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drawings/drawing82.xml" ContentType="application/vnd.openxmlformats-officedocument.drawing+xml"/>
  <Override PartName="/xl/drawings/drawing83.xml" ContentType="application/vnd.openxmlformats-officedocument.drawing+xml"/>
  <Override PartName="/xl/drawings/drawing84.xml" ContentType="application/vnd.openxmlformats-officedocument.drawing+xml"/>
  <Override PartName="/xl/drawings/drawing85.xml" ContentType="application/vnd.openxmlformats-officedocument.drawing+xml"/>
  <Override PartName="/xl/drawings/drawing86.xml" ContentType="application/vnd.openxmlformats-officedocument.drawing+xml"/>
  <Override PartName="/xl/drawings/drawing87.xml" ContentType="application/vnd.openxmlformats-officedocument.drawing+xml"/>
  <Override PartName="/xl/drawings/drawing88.xml" ContentType="application/vnd.openxmlformats-officedocument.drawing+xml"/>
  <Override PartName="/xl/drawings/drawing89.xml" ContentType="application/vnd.openxmlformats-officedocument.drawing+xml"/>
  <Override PartName="/xl/drawings/drawing90.xml" ContentType="application/vnd.openxmlformats-officedocument.drawing+xml"/>
  <Override PartName="/xl/drawings/drawing91.xml" ContentType="application/vnd.openxmlformats-officedocument.drawing+xml"/>
  <Override PartName="/xl/drawings/drawing92.xml" ContentType="application/vnd.openxmlformats-officedocument.drawing+xml"/>
  <Override PartName="/xl/drawings/drawing93.xml" ContentType="application/vnd.openxmlformats-officedocument.drawing+xml"/>
  <Override PartName="/xl/drawings/drawing94.xml" ContentType="application/vnd.openxmlformats-officedocument.drawing+xml"/>
  <Override PartName="/xl/drawings/drawing95.xml" ContentType="application/vnd.openxmlformats-officedocument.drawing+xml"/>
  <Override PartName="/xl/drawings/drawing96.xml" ContentType="application/vnd.openxmlformats-officedocument.drawing+xml"/>
  <Override PartName="/xl/drawings/drawing97.xml" ContentType="application/vnd.openxmlformats-officedocument.drawing+xml"/>
  <Override PartName="/xl/drawings/drawing98.xml" ContentType="application/vnd.openxmlformats-officedocument.drawing+xml"/>
  <Override PartName="/xl/drawings/drawing99.xml" ContentType="application/vnd.openxmlformats-officedocument.drawing+xml"/>
  <Override PartName="/xl/drawings/drawing100.xml" ContentType="application/vnd.openxmlformats-officedocument.drawing+xml"/>
  <Override PartName="/xl/drawings/drawing101.xml" ContentType="application/vnd.openxmlformats-officedocument.drawing+xml"/>
  <Override PartName="/xl/drawings/drawing102.xml" ContentType="application/vnd.openxmlformats-officedocument.drawing+xml"/>
  <Override PartName="/xl/drawings/drawing103.xml" ContentType="application/vnd.openxmlformats-officedocument.drawing+xml"/>
  <Override PartName="/xl/drawings/drawing104.xml" ContentType="application/vnd.openxmlformats-officedocument.drawing+xml"/>
  <Override PartName="/xl/drawings/drawing105.xml" ContentType="application/vnd.openxmlformats-officedocument.drawing+xml"/>
  <Override PartName="/xl/drawings/drawing106.xml" ContentType="application/vnd.openxmlformats-officedocument.drawing+xml"/>
  <Override PartName="/xl/drawings/drawing107.xml" ContentType="application/vnd.openxmlformats-officedocument.drawing+xml"/>
  <Override PartName="/xl/drawings/drawing108.xml" ContentType="application/vnd.openxmlformats-officedocument.drawing+xml"/>
  <Override PartName="/xl/drawings/drawing109.xml" ContentType="application/vnd.openxmlformats-officedocument.drawing+xml"/>
  <Override PartName="/xl/drawings/drawing110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8500AAEC-18C4-4401-8FCB-B79C4703E175}" xr6:coauthVersionLast="45" xr6:coauthVersionMax="47" xr10:uidLastSave="{00000000-0000-0000-0000-000000000000}"/>
  <bookViews>
    <workbookView xWindow="-120" yWindow="-120" windowWidth="29040" windowHeight="15840" firstSheet="101" activeTab="108" xr2:uid="{00000000-000D-0000-FFFF-FFFF00000000}"/>
  </bookViews>
  <sheets>
    <sheet name="(December 2025)" sheetId="814" r:id="rId1"/>
    <sheet name="(01)" sheetId="1536" r:id="rId2"/>
    <sheet name="01,12 R1" sheetId="1537" r:id="rId3"/>
    <sheet name="01,12 R2" sheetId="1538" r:id="rId4"/>
    <sheet name="01,12 R3" sheetId="1539" r:id="rId5"/>
    <sheet name="(2)" sheetId="1541" r:id="rId6"/>
    <sheet name="02,12 R1" sheetId="1542" r:id="rId7"/>
    <sheet name="02,12 R2" sheetId="1543" r:id="rId8"/>
    <sheet name="02,12 R3" sheetId="1544" r:id="rId9"/>
    <sheet name="(3)" sheetId="1545" r:id="rId10"/>
    <sheet name="03,12 R1" sheetId="1546" r:id="rId11"/>
    <sheet name="03,12 R2" sheetId="1547" r:id="rId12"/>
    <sheet name="03,12 R3" sheetId="1548" r:id="rId13"/>
    <sheet name="(4)" sheetId="1549" r:id="rId14"/>
    <sheet name="04,12 R1" sheetId="1550" r:id="rId15"/>
    <sheet name="04,12 R2" sheetId="1551" r:id="rId16"/>
    <sheet name="04,12 R3" sheetId="1552" r:id="rId17"/>
    <sheet name="(5)" sheetId="1553" r:id="rId18"/>
    <sheet name="05,12 R1" sheetId="1554" r:id="rId19"/>
    <sheet name="05,12 R2" sheetId="1555" r:id="rId20"/>
    <sheet name="05,12 R3" sheetId="1556" r:id="rId21"/>
    <sheet name="(6)" sheetId="1557" r:id="rId22"/>
    <sheet name="06,12 R1" sheetId="1558" r:id="rId23"/>
    <sheet name="06,12 R2" sheetId="1559" r:id="rId24"/>
    <sheet name="06,12 R3" sheetId="1560" r:id="rId25"/>
    <sheet name="(8)" sheetId="1561" r:id="rId26"/>
    <sheet name="08,12 R1" sheetId="1562" r:id="rId27"/>
    <sheet name="08,12 R2" sheetId="1563" r:id="rId28"/>
    <sheet name="08,12 R3" sheetId="1564" r:id="rId29"/>
    <sheet name="(9)" sheetId="1565" r:id="rId30"/>
    <sheet name="09,12 R1" sheetId="1566" r:id="rId31"/>
    <sheet name="09,12 R2" sheetId="1567" r:id="rId32"/>
    <sheet name="09,12 R3" sheetId="1568" r:id="rId33"/>
    <sheet name="(10)" sheetId="1569" r:id="rId34"/>
    <sheet name="10,12 R1 No Trip" sheetId="1570" r:id="rId35"/>
    <sheet name="10,12 R2" sheetId="1571" r:id="rId36"/>
    <sheet name="10,12 R3" sheetId="1572" r:id="rId37"/>
    <sheet name="(11)" sheetId="1573" r:id="rId38"/>
    <sheet name="11,12 R1" sheetId="1574" r:id="rId39"/>
    <sheet name="11,12 R2" sheetId="1575" r:id="rId40"/>
    <sheet name="11,12 R3" sheetId="1576" r:id="rId41"/>
    <sheet name="(12)" sheetId="1577" r:id="rId42"/>
    <sheet name="12,12 R1" sheetId="1578" r:id="rId43"/>
    <sheet name="12,12 R2" sheetId="1579" r:id="rId44"/>
    <sheet name="12,12 R3" sheetId="1580" r:id="rId45"/>
    <sheet name="(13)" sheetId="1581" r:id="rId46"/>
    <sheet name="13,12 R1" sheetId="1582" r:id="rId47"/>
    <sheet name="13,12 R2" sheetId="1583" r:id="rId48"/>
    <sheet name="13,12 R3" sheetId="1584" r:id="rId49"/>
    <sheet name="(15)" sheetId="1585" r:id="rId50"/>
    <sheet name="15,12 R1" sheetId="1586" r:id="rId51"/>
    <sheet name="15,12 R2" sheetId="1587" r:id="rId52"/>
    <sheet name="15,12 R3" sheetId="1588" r:id="rId53"/>
    <sheet name="(16)" sheetId="1589" r:id="rId54"/>
    <sheet name="16,12 R1" sheetId="1590" r:id="rId55"/>
    <sheet name="16,12 R2" sheetId="1591" r:id="rId56"/>
    <sheet name="16,12 R3" sheetId="1592" r:id="rId57"/>
    <sheet name="(17)" sheetId="1593" r:id="rId58"/>
    <sheet name="17,12 R1" sheetId="1594" r:id="rId59"/>
    <sheet name="17,12 R2" sheetId="1595" r:id="rId60"/>
    <sheet name="17,12 R3" sheetId="1596" r:id="rId61"/>
    <sheet name="(18)" sheetId="1597" r:id="rId62"/>
    <sheet name="18,12 R1" sheetId="1598" r:id="rId63"/>
    <sheet name="18,12 R2" sheetId="1599" r:id="rId64"/>
    <sheet name="18,12 R3" sheetId="1600" r:id="rId65"/>
    <sheet name="(19)" sheetId="1601" r:id="rId66"/>
    <sheet name="19,12 R1" sheetId="1602" r:id="rId67"/>
    <sheet name="19,12 R2" sheetId="1603" r:id="rId68"/>
    <sheet name="19,12 R3" sheetId="1604" r:id="rId69"/>
    <sheet name="(20)" sheetId="1605" r:id="rId70"/>
    <sheet name="20,12 R1" sheetId="1606" r:id="rId71"/>
    <sheet name="20,12 R2" sheetId="1607" r:id="rId72"/>
    <sheet name="20,12 R3" sheetId="1608" r:id="rId73"/>
    <sheet name="(22)" sheetId="1609" r:id="rId74"/>
    <sheet name="22,12 R1" sheetId="1610" r:id="rId75"/>
    <sheet name="22,12 R2" sheetId="1611" r:id="rId76"/>
    <sheet name="22,12 R3" sheetId="1612" r:id="rId77"/>
    <sheet name="(23)" sheetId="1613" r:id="rId78"/>
    <sheet name="23,12 R1" sheetId="1614" r:id="rId79"/>
    <sheet name="23,12 R2" sheetId="1615" r:id="rId80"/>
    <sheet name="23,12 R3" sheetId="1616" r:id="rId81"/>
    <sheet name="(24)" sheetId="1617" r:id="rId82"/>
    <sheet name="24,12 R1" sheetId="1618" r:id="rId83"/>
    <sheet name="24,12 R2" sheetId="1619" r:id="rId84"/>
    <sheet name="24,12 R3" sheetId="1620" r:id="rId85"/>
    <sheet name="(25 No Trip)" sheetId="1621" r:id="rId86"/>
    <sheet name="25,12 R1 No Trip" sheetId="1622" r:id="rId87"/>
    <sheet name="25,12 R2 No Trip" sheetId="1623" r:id="rId88"/>
    <sheet name="25,12 R3 No Trip" sheetId="1624" r:id="rId89"/>
    <sheet name="(26)" sheetId="1625" r:id="rId90"/>
    <sheet name="26,12 R1" sheetId="1626" r:id="rId91"/>
    <sheet name="26,12 R2" sheetId="1627" r:id="rId92"/>
    <sheet name="26,12 R3" sheetId="1628" r:id="rId93"/>
    <sheet name="(27)" sheetId="1629" r:id="rId94"/>
    <sheet name="27,12 R1-A" sheetId="1630" r:id="rId95"/>
    <sheet name="27,12 R1-B" sheetId="1645" r:id="rId96"/>
    <sheet name="27,12 R2" sheetId="1631" r:id="rId97"/>
    <sheet name="27,12 R3" sheetId="1632" r:id="rId98"/>
    <sheet name="(29) No Trip" sheetId="1633" r:id="rId99"/>
    <sheet name="29,12 R1 No Trip" sheetId="1634" r:id="rId100"/>
    <sheet name="29,12 R2 No Trip" sheetId="1635" r:id="rId101"/>
    <sheet name="29,12 R3 No Trip" sheetId="1636" r:id="rId102"/>
    <sheet name="(30)" sheetId="1637" r:id="rId103"/>
    <sheet name="30,12 R1" sheetId="1638" r:id="rId104"/>
    <sheet name="30,12 R1-B" sheetId="1646" r:id="rId105"/>
    <sheet name="30,12 R2 NO TRIP" sheetId="1639" r:id="rId106"/>
    <sheet name="30,12 R3" sheetId="1640" r:id="rId107"/>
    <sheet name="(31)" sheetId="1641" r:id="rId108"/>
    <sheet name="31,12 R1" sheetId="1642" r:id="rId109"/>
    <sheet name="31,12 R2 NO TRIP" sheetId="1643" r:id="rId110"/>
    <sheet name="31,12 R3 NO TRIP" sheetId="1644" r:id="rId111"/>
  </sheets>
  <definedNames>
    <definedName name="_xlnm.Print_Area" localSheetId="1">'(01)'!$A$1:$J$60</definedName>
    <definedName name="_xlnm.Print_Area" localSheetId="33">'(10)'!$A$1:$J$60</definedName>
    <definedName name="_xlnm.Print_Area" localSheetId="37">'(11)'!$A$1:$J$60</definedName>
    <definedName name="_xlnm.Print_Area" localSheetId="41">'(12)'!$A$1:$J$60</definedName>
    <definedName name="_xlnm.Print_Area" localSheetId="45">'(13)'!$A$1:$J$60</definedName>
    <definedName name="_xlnm.Print_Area" localSheetId="49">'(15)'!$A$1:$J$60</definedName>
    <definedName name="_xlnm.Print_Area" localSheetId="53">'(16)'!$A$1:$J$60</definedName>
    <definedName name="_xlnm.Print_Area" localSheetId="57">'(17)'!$A$1:$J$60</definedName>
    <definedName name="_xlnm.Print_Area" localSheetId="61">'(18)'!$A$1:$J$60</definedName>
    <definedName name="_xlnm.Print_Area" localSheetId="65">'(19)'!$A$1:$J$60</definedName>
    <definedName name="_xlnm.Print_Area" localSheetId="5">'(2)'!$A$1:$J$60</definedName>
    <definedName name="_xlnm.Print_Area" localSheetId="69">'(20)'!$A$1:$J$60</definedName>
    <definedName name="_xlnm.Print_Area" localSheetId="73">'(22)'!$A$1:$J$60</definedName>
    <definedName name="_xlnm.Print_Area" localSheetId="77">'(23)'!$A$1:$J$60</definedName>
    <definedName name="_xlnm.Print_Area" localSheetId="81">'(24)'!$A$1:$J$60</definedName>
    <definedName name="_xlnm.Print_Area" localSheetId="85">'(25 No Trip)'!$A$1:$J$60</definedName>
    <definedName name="_xlnm.Print_Area" localSheetId="89">'(26)'!$A$1:$J$60</definedName>
    <definedName name="_xlnm.Print_Area" localSheetId="93">'(27)'!$A$1:$J$60</definedName>
    <definedName name="_xlnm.Print_Area" localSheetId="98">'(29) No Trip'!$A$1:$J$60</definedName>
    <definedName name="_xlnm.Print_Area" localSheetId="9">'(3)'!$A$1:$J$60</definedName>
    <definedName name="_xlnm.Print_Area" localSheetId="102">'(30)'!$A$1:$J$60</definedName>
    <definedName name="_xlnm.Print_Area" localSheetId="107">'(31)'!$A$1:$J$60</definedName>
    <definedName name="_xlnm.Print_Area" localSheetId="13">'(4)'!$A$1:$J$60</definedName>
    <definedName name="_xlnm.Print_Area" localSheetId="17">'(5)'!$A$1:$J$60</definedName>
    <definedName name="_xlnm.Print_Area" localSheetId="21">'(6)'!$A$1:$J$60</definedName>
    <definedName name="_xlnm.Print_Area" localSheetId="25">'(8)'!$A$1:$J$60</definedName>
    <definedName name="_xlnm.Print_Area" localSheetId="29">'(9)'!$A$1:$J$60</definedName>
    <definedName name="_xlnm.Print_Area" localSheetId="2">'01,12 R1'!$A$1:$J$60</definedName>
    <definedName name="_xlnm.Print_Area" localSheetId="3">'01,12 R2'!$A$1:$J$60</definedName>
    <definedName name="_xlnm.Print_Area" localSheetId="4">'01,12 R3'!$A$1:$J$60</definedName>
    <definedName name="_xlnm.Print_Area" localSheetId="6">'02,12 R1'!$A$1:$J$60</definedName>
    <definedName name="_xlnm.Print_Area" localSheetId="7">'02,12 R2'!$A$1:$J$60</definedName>
    <definedName name="_xlnm.Print_Area" localSheetId="8">'02,12 R3'!$A$1:$J$60</definedName>
    <definedName name="_xlnm.Print_Area" localSheetId="10">'03,12 R1'!$A$1:$J$60</definedName>
    <definedName name="_xlnm.Print_Area" localSheetId="11">'03,12 R2'!$A$1:$J$60</definedName>
    <definedName name="_xlnm.Print_Area" localSheetId="12">'03,12 R3'!$A$1:$J$60</definedName>
    <definedName name="_xlnm.Print_Area" localSheetId="14">'04,12 R1'!$A$1:$J$60</definedName>
    <definedName name="_xlnm.Print_Area" localSheetId="15">'04,12 R2'!$A$1:$J$60</definedName>
    <definedName name="_xlnm.Print_Area" localSheetId="16">'04,12 R3'!$A$1:$J$60</definedName>
    <definedName name="_xlnm.Print_Area" localSheetId="18">'05,12 R1'!$A$1:$J$60</definedName>
    <definedName name="_xlnm.Print_Area" localSheetId="19">'05,12 R2'!$A$1:$J$60</definedName>
    <definedName name="_xlnm.Print_Area" localSheetId="20">'05,12 R3'!$A$1:$J$60</definedName>
    <definedName name="_xlnm.Print_Area" localSheetId="22">'06,12 R1'!$A$1:$J$60</definedName>
    <definedName name="_xlnm.Print_Area" localSheetId="23">'06,12 R2'!$A$1:$J$60</definedName>
    <definedName name="_xlnm.Print_Area" localSheetId="24">'06,12 R3'!$A$1:$J$60</definedName>
    <definedName name="_xlnm.Print_Area" localSheetId="26">'08,12 R1'!$A$1:$J$60</definedName>
    <definedName name="_xlnm.Print_Area" localSheetId="27">'08,12 R2'!$A$1:$J$60</definedName>
    <definedName name="_xlnm.Print_Area" localSheetId="28">'08,12 R3'!$A$1:$J$60</definedName>
    <definedName name="_xlnm.Print_Area" localSheetId="30">'09,12 R1'!$A$1:$J$60</definedName>
    <definedName name="_xlnm.Print_Area" localSheetId="31">'09,12 R2'!$A$1:$J$60</definedName>
    <definedName name="_xlnm.Print_Area" localSheetId="32">'09,12 R3'!$A$1:$J$60</definedName>
    <definedName name="_xlnm.Print_Area" localSheetId="34">'10,12 R1 No Trip'!$A$1:$J$60</definedName>
    <definedName name="_xlnm.Print_Area" localSheetId="35">'10,12 R2'!$A$1:$J$60</definedName>
    <definedName name="_xlnm.Print_Area" localSheetId="36">'10,12 R3'!$A$1:$J$60</definedName>
    <definedName name="_xlnm.Print_Area" localSheetId="38">'11,12 R1'!$A$1:$J$60</definedName>
    <definedName name="_xlnm.Print_Area" localSheetId="39">'11,12 R2'!$A$1:$J$60</definedName>
    <definedName name="_xlnm.Print_Area" localSheetId="40">'11,12 R3'!$A$1:$J$60</definedName>
    <definedName name="_xlnm.Print_Area" localSheetId="42">'12,12 R1'!$A$1:$J$60</definedName>
    <definedName name="_xlnm.Print_Area" localSheetId="43">'12,12 R2'!$A$1:$J$60</definedName>
    <definedName name="_xlnm.Print_Area" localSheetId="44">'12,12 R3'!$A$1:$J$60</definedName>
    <definedName name="_xlnm.Print_Area" localSheetId="46">'13,12 R1'!$A$1:$J$60</definedName>
    <definedName name="_xlnm.Print_Area" localSheetId="47">'13,12 R2'!$A$1:$J$60</definedName>
    <definedName name="_xlnm.Print_Area" localSheetId="48">'13,12 R3'!$A$1:$J$60</definedName>
    <definedName name="_xlnm.Print_Area" localSheetId="50">'15,12 R1'!$A$1:$J$60</definedName>
    <definedName name="_xlnm.Print_Area" localSheetId="51">'15,12 R2'!$A$1:$J$60</definedName>
    <definedName name="_xlnm.Print_Area" localSheetId="52">'15,12 R3'!$A$1:$J$60</definedName>
    <definedName name="_xlnm.Print_Area" localSheetId="54">'16,12 R1'!$A$1:$J$60</definedName>
    <definedName name="_xlnm.Print_Area" localSheetId="55">'16,12 R2'!$A$1:$J$60</definedName>
    <definedName name="_xlnm.Print_Area" localSheetId="56">'16,12 R3'!$A$1:$J$60</definedName>
    <definedName name="_xlnm.Print_Area" localSheetId="58">'17,12 R1'!$A$1:$J$60</definedName>
    <definedName name="_xlnm.Print_Area" localSheetId="59">'17,12 R2'!$A$1:$J$60</definedName>
    <definedName name="_xlnm.Print_Area" localSheetId="60">'17,12 R3'!$A$1:$J$60</definedName>
    <definedName name="_xlnm.Print_Area" localSheetId="62">'18,12 R1'!$A$1:$J$60</definedName>
    <definedName name="_xlnm.Print_Area" localSheetId="63">'18,12 R2'!$A$1:$J$60</definedName>
    <definedName name="_xlnm.Print_Area" localSheetId="64">'18,12 R3'!$A$1:$J$60</definedName>
    <definedName name="_xlnm.Print_Area" localSheetId="66">'19,12 R1'!$A$1:$J$60</definedName>
    <definedName name="_xlnm.Print_Area" localSheetId="67">'19,12 R2'!$A$1:$J$60</definedName>
    <definedName name="_xlnm.Print_Area" localSheetId="68">'19,12 R3'!$A$1:$J$60</definedName>
    <definedName name="_xlnm.Print_Area" localSheetId="70">'20,12 R1'!$A$1:$J$60</definedName>
    <definedName name="_xlnm.Print_Area" localSheetId="71">'20,12 R2'!$A$1:$J$60</definedName>
    <definedName name="_xlnm.Print_Area" localSheetId="72">'20,12 R3'!$A$1:$J$60</definedName>
    <definedName name="_xlnm.Print_Area" localSheetId="74">'22,12 R1'!$A$1:$J$60</definedName>
    <definedName name="_xlnm.Print_Area" localSheetId="75">'22,12 R2'!$A$1:$J$60</definedName>
    <definedName name="_xlnm.Print_Area" localSheetId="76">'22,12 R3'!$A$1:$J$60</definedName>
    <definedName name="_xlnm.Print_Area" localSheetId="78">'23,12 R1'!$A$1:$J$60</definedName>
    <definedName name="_xlnm.Print_Area" localSheetId="79">'23,12 R2'!$A$1:$J$60</definedName>
    <definedName name="_xlnm.Print_Area" localSheetId="80">'23,12 R3'!$A$1:$J$60</definedName>
    <definedName name="_xlnm.Print_Area" localSheetId="82">'24,12 R1'!$A$1:$J$60</definedName>
    <definedName name="_xlnm.Print_Area" localSheetId="83">'24,12 R2'!$A$1:$J$60</definedName>
    <definedName name="_xlnm.Print_Area" localSheetId="84">'24,12 R3'!$A$1:$J$60</definedName>
    <definedName name="_xlnm.Print_Area" localSheetId="86">'25,12 R1 No Trip'!$A$1:$J$60</definedName>
    <definedName name="_xlnm.Print_Area" localSheetId="87">'25,12 R2 No Trip'!$A$1:$J$60</definedName>
    <definedName name="_xlnm.Print_Area" localSheetId="88">'25,12 R3 No Trip'!$A$1:$J$60</definedName>
    <definedName name="_xlnm.Print_Area" localSheetId="90">'26,12 R1'!$A$1:$J$60</definedName>
    <definedName name="_xlnm.Print_Area" localSheetId="91">'26,12 R2'!$A$1:$J$60</definedName>
    <definedName name="_xlnm.Print_Area" localSheetId="92">'26,12 R3'!$A$1:$J$60</definedName>
    <definedName name="_xlnm.Print_Area" localSheetId="94">'27,12 R1-A'!$A$1:$J$60</definedName>
    <definedName name="_xlnm.Print_Area" localSheetId="95">'27,12 R1-B'!$A$1:$J$60</definedName>
    <definedName name="_xlnm.Print_Area" localSheetId="96">'27,12 R2'!$A$1:$J$60</definedName>
    <definedName name="_xlnm.Print_Area" localSheetId="97">'27,12 R3'!$A$1:$J$60</definedName>
    <definedName name="_xlnm.Print_Area" localSheetId="99">'29,12 R1 No Trip'!$A$1:$J$60</definedName>
    <definedName name="_xlnm.Print_Area" localSheetId="100">'29,12 R2 No Trip'!$A$1:$J$60</definedName>
    <definedName name="_xlnm.Print_Area" localSheetId="101">'29,12 R3 No Trip'!$A$1:$J$60</definedName>
    <definedName name="_xlnm.Print_Area" localSheetId="103">'30,12 R1'!$A$1:$J$60</definedName>
    <definedName name="_xlnm.Print_Area" localSheetId="104">'30,12 R1-B'!$A$1:$J$60</definedName>
    <definedName name="_xlnm.Print_Area" localSheetId="105">'30,12 R2 NO TRIP'!$A$1:$J$60</definedName>
    <definedName name="_xlnm.Print_Area" localSheetId="106">'30,12 R3'!$A$1:$J$63</definedName>
    <definedName name="_xlnm.Print_Area" localSheetId="108">'31,12 R1'!$A$1:$J$60</definedName>
    <definedName name="_xlnm.Print_Area" localSheetId="109">'31,12 R2 NO TRIP'!$A$1:$J$60</definedName>
    <definedName name="_xlnm.Print_Area" localSheetId="110">'31,12 R3 NO TRIP'!$A$1:$J$60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38" i="1640" l="1"/>
  <c r="G37" i="1640"/>
  <c r="G35" i="1640"/>
  <c r="H16" i="1646"/>
  <c r="H16" i="1640" l="1"/>
  <c r="C19" i="1640"/>
  <c r="C12" i="1640"/>
  <c r="L26" i="1646"/>
  <c r="D26" i="1646" s="1"/>
  <c r="C12" i="1646"/>
  <c r="D12" i="1646" s="1"/>
  <c r="C21" i="1646"/>
  <c r="D21" i="1646" s="1"/>
  <c r="R52" i="1646"/>
  <c r="R51" i="1646"/>
  <c r="D50" i="1646"/>
  <c r="R49" i="1646"/>
  <c r="D49" i="1646"/>
  <c r="R48" i="1646"/>
  <c r="D48" i="1646"/>
  <c r="D46" i="1646"/>
  <c r="D45" i="1646"/>
  <c r="R44" i="1646"/>
  <c r="P44" i="1646"/>
  <c r="D44" i="1646"/>
  <c r="R42" i="1646"/>
  <c r="L6" i="1646" s="1"/>
  <c r="D6" i="1646" s="1"/>
  <c r="D42" i="1646"/>
  <c r="R41" i="1646"/>
  <c r="D41" i="1646"/>
  <c r="R40" i="1646"/>
  <c r="L8" i="1646" s="1"/>
  <c r="D8" i="1646" s="1"/>
  <c r="D40" i="1646"/>
  <c r="R39" i="1646"/>
  <c r="H39" i="1646"/>
  <c r="D39" i="1646"/>
  <c r="R38" i="1646"/>
  <c r="L9" i="1646" s="1"/>
  <c r="D9" i="1646" s="1"/>
  <c r="H38" i="1646"/>
  <c r="D38" i="1646"/>
  <c r="R37" i="1646"/>
  <c r="H37" i="1646"/>
  <c r="D37" i="1646"/>
  <c r="R36" i="1646"/>
  <c r="H36" i="1646"/>
  <c r="D36" i="1646"/>
  <c r="R35" i="1646"/>
  <c r="H35" i="1646"/>
  <c r="D35" i="1646"/>
  <c r="R34" i="1646"/>
  <c r="L12" i="1646" s="1"/>
  <c r="H34" i="1646"/>
  <c r="D34" i="1646"/>
  <c r="R33" i="1646"/>
  <c r="R32" i="1646"/>
  <c r="R31" i="1646"/>
  <c r="R30" i="1646"/>
  <c r="R29" i="1646"/>
  <c r="R28" i="1646"/>
  <c r="L16" i="1646" s="1"/>
  <c r="D16" i="1646" s="1"/>
  <c r="D28" i="1646"/>
  <c r="R27" i="1646"/>
  <c r="D27" i="1646"/>
  <c r="R26" i="1646"/>
  <c r="R25" i="1646"/>
  <c r="L25" i="1646"/>
  <c r="D25" i="1646"/>
  <c r="R24" i="1646"/>
  <c r="L24" i="1646"/>
  <c r="D24" i="1646"/>
  <c r="R23" i="1646"/>
  <c r="D23" i="1646"/>
  <c r="R22" i="1646"/>
  <c r="D22" i="1646"/>
  <c r="R21" i="1646"/>
  <c r="R20" i="1646"/>
  <c r="L20" i="1646"/>
  <c r="D20" i="1646"/>
  <c r="R19" i="1646"/>
  <c r="D19" i="1646"/>
  <c r="R18" i="1646"/>
  <c r="D18" i="1646"/>
  <c r="R17" i="1646"/>
  <c r="L17" i="1646"/>
  <c r="D17" i="1646"/>
  <c r="R16" i="1646"/>
  <c r="R15" i="1646"/>
  <c r="D15" i="1646"/>
  <c r="R14" i="1646"/>
  <c r="D14" i="1646"/>
  <c r="R13" i="1646"/>
  <c r="D13" i="1646"/>
  <c r="R12" i="1646"/>
  <c r="R11" i="1646"/>
  <c r="L11" i="1646"/>
  <c r="D11" i="1646"/>
  <c r="L10" i="1646"/>
  <c r="D10" i="1646"/>
  <c r="L7" i="1646"/>
  <c r="D7" i="1646" s="1"/>
  <c r="R6" i="1646"/>
  <c r="R5" i="1646"/>
  <c r="R4" i="1646"/>
  <c r="C12" i="1638"/>
  <c r="G49" i="1646" l="1"/>
  <c r="D54" i="1646"/>
  <c r="H14" i="1646" s="1"/>
  <c r="D29" i="1646"/>
  <c r="H13" i="1646" s="1"/>
  <c r="H16" i="1632"/>
  <c r="G49" i="1632"/>
  <c r="H16" i="1631"/>
  <c r="H16" i="1630"/>
  <c r="C12" i="1632"/>
  <c r="C12" i="1645"/>
  <c r="C12" i="1630"/>
  <c r="R52" i="1645"/>
  <c r="R51" i="1645"/>
  <c r="D50" i="1645"/>
  <c r="R49" i="1645"/>
  <c r="D49" i="1645"/>
  <c r="R48" i="1645"/>
  <c r="D48" i="1645"/>
  <c r="D46" i="1645"/>
  <c r="D45" i="1645"/>
  <c r="R44" i="1645"/>
  <c r="P44" i="1645"/>
  <c r="D44" i="1645"/>
  <c r="R42" i="1645"/>
  <c r="D42" i="1645"/>
  <c r="R41" i="1645"/>
  <c r="D41" i="1645"/>
  <c r="R40" i="1645"/>
  <c r="L8" i="1645" s="1"/>
  <c r="D8" i="1645" s="1"/>
  <c r="D40" i="1645"/>
  <c r="R39" i="1645"/>
  <c r="L20" i="1645" s="1"/>
  <c r="D20" i="1645" s="1"/>
  <c r="H39" i="1645"/>
  <c r="D39" i="1645"/>
  <c r="R38" i="1645"/>
  <c r="L9" i="1645" s="1"/>
  <c r="D9" i="1645" s="1"/>
  <c r="H38" i="1645"/>
  <c r="D38" i="1645"/>
  <c r="R37" i="1645"/>
  <c r="H37" i="1645"/>
  <c r="D37" i="1645"/>
  <c r="R36" i="1645"/>
  <c r="H36" i="1645"/>
  <c r="D36" i="1645"/>
  <c r="R35" i="1645"/>
  <c r="H35" i="1645"/>
  <c r="D35" i="1645"/>
  <c r="R34" i="1645"/>
  <c r="H34" i="1645"/>
  <c r="D34" i="1645"/>
  <c r="R33" i="1645"/>
  <c r="R32" i="1645"/>
  <c r="L11" i="1645" s="1"/>
  <c r="D11" i="1645" s="1"/>
  <c r="R31" i="1645"/>
  <c r="R30" i="1645"/>
  <c r="R29" i="1645"/>
  <c r="R28" i="1645"/>
  <c r="L16" i="1645" s="1"/>
  <c r="D16" i="1645" s="1"/>
  <c r="D28" i="1645"/>
  <c r="R27" i="1645"/>
  <c r="D27" i="1645"/>
  <c r="R26" i="1645"/>
  <c r="L26" i="1645"/>
  <c r="D26" i="1645"/>
  <c r="R25" i="1645"/>
  <c r="L25" i="1645"/>
  <c r="D25" i="1645"/>
  <c r="R24" i="1645"/>
  <c r="L24" i="1645"/>
  <c r="D24" i="1645"/>
  <c r="R23" i="1645"/>
  <c r="D23" i="1645"/>
  <c r="R22" i="1645"/>
  <c r="D22" i="1645"/>
  <c r="R21" i="1645"/>
  <c r="D21" i="1645"/>
  <c r="R20" i="1645"/>
  <c r="R19" i="1645"/>
  <c r="D19" i="1645"/>
  <c r="R18" i="1645"/>
  <c r="D18" i="1645"/>
  <c r="R17" i="1645"/>
  <c r="L17" i="1645"/>
  <c r="D17" i="1645"/>
  <c r="R16" i="1645"/>
  <c r="R15" i="1645"/>
  <c r="D15" i="1645"/>
  <c r="R14" i="1645"/>
  <c r="D14" i="1645"/>
  <c r="R13" i="1645"/>
  <c r="D13" i="1645"/>
  <c r="R12" i="1645"/>
  <c r="L12" i="1645"/>
  <c r="R11" i="1645"/>
  <c r="L10" i="1645"/>
  <c r="D10" i="1645"/>
  <c r="L7" i="1645"/>
  <c r="D7" i="1645"/>
  <c r="R6" i="1645"/>
  <c r="L6" i="1645"/>
  <c r="D6" i="1645"/>
  <c r="R5" i="1645"/>
  <c r="R4" i="1645"/>
  <c r="H15" i="1646" l="1"/>
  <c r="H29" i="1646" s="1"/>
  <c r="G51" i="1646" s="1"/>
  <c r="G49" i="1645"/>
  <c r="D54" i="1645"/>
  <c r="H14" i="1645" s="1"/>
  <c r="D12" i="1645"/>
  <c r="D29" i="1645"/>
  <c r="H13" i="1645" s="1"/>
  <c r="H16" i="1626"/>
  <c r="H29" i="1628"/>
  <c r="C6" i="1627"/>
  <c r="C21" i="1627"/>
  <c r="C12" i="1626"/>
  <c r="H16" i="1628"/>
  <c r="H16" i="1627"/>
  <c r="H15" i="1645" l="1"/>
  <c r="H29" i="1645" s="1"/>
  <c r="G51" i="1645" s="1"/>
  <c r="H16" i="1620"/>
  <c r="H16" i="1619"/>
  <c r="C21" i="1618"/>
  <c r="H16" i="1614" l="1"/>
  <c r="C20" i="1614" l="1"/>
  <c r="H16" i="1616" l="1"/>
  <c r="G49" i="1616"/>
  <c r="H16" i="1615"/>
  <c r="G49" i="1614"/>
  <c r="C23" i="1616"/>
  <c r="C21" i="1616"/>
  <c r="L25" i="1610" l="1"/>
  <c r="H16" i="1612"/>
  <c r="C12" i="1611"/>
  <c r="C20" i="1610"/>
  <c r="C12" i="1610"/>
  <c r="L25" i="1607" l="1"/>
  <c r="H16" i="1608" l="1"/>
  <c r="H16" i="1607"/>
  <c r="H16" i="1606"/>
  <c r="C12" i="1608" l="1"/>
  <c r="C12" i="1607"/>
  <c r="L25" i="1603" l="1"/>
  <c r="H16" i="1604" l="1"/>
  <c r="R52" i="1644" l="1"/>
  <c r="R51" i="1644"/>
  <c r="D50" i="1644"/>
  <c r="R49" i="1644"/>
  <c r="D49" i="1644"/>
  <c r="R48" i="1644"/>
  <c r="D48" i="1644"/>
  <c r="D46" i="1644"/>
  <c r="D45" i="1644"/>
  <c r="D44" i="1644"/>
  <c r="R42" i="1644"/>
  <c r="D42" i="1644"/>
  <c r="R41" i="1644"/>
  <c r="L7" i="1644" s="1"/>
  <c r="D7" i="1644" s="1"/>
  <c r="D41" i="1644"/>
  <c r="R40" i="1644"/>
  <c r="D40" i="1644"/>
  <c r="R39" i="1644"/>
  <c r="H39" i="1644"/>
  <c r="D39" i="1644"/>
  <c r="R38" i="1644"/>
  <c r="H38" i="1644"/>
  <c r="D38" i="1644"/>
  <c r="R37" i="1644"/>
  <c r="H37" i="1644"/>
  <c r="D37" i="1644"/>
  <c r="R36" i="1644"/>
  <c r="H36" i="1644"/>
  <c r="D36" i="1644"/>
  <c r="R35" i="1644"/>
  <c r="L19" i="1644" s="1"/>
  <c r="D19" i="1644" s="1"/>
  <c r="H35" i="1644"/>
  <c r="D35" i="1644"/>
  <c r="D54" i="1644" s="1"/>
  <c r="H14" i="1644" s="1"/>
  <c r="R34" i="1644"/>
  <c r="H34" i="1644"/>
  <c r="G49" i="1644" s="1"/>
  <c r="D34" i="1644"/>
  <c r="R33" i="1644"/>
  <c r="R32" i="1644"/>
  <c r="R31" i="1644"/>
  <c r="R30" i="1644"/>
  <c r="R29" i="1644"/>
  <c r="R28" i="1644"/>
  <c r="L16" i="1644" s="1"/>
  <c r="D16" i="1644" s="1"/>
  <c r="D28" i="1644"/>
  <c r="R27" i="1644"/>
  <c r="D27" i="1644"/>
  <c r="R26" i="1644"/>
  <c r="L26" i="1644"/>
  <c r="D26" i="1644" s="1"/>
  <c r="R25" i="1644"/>
  <c r="L25" i="1644"/>
  <c r="D25" i="1644"/>
  <c r="R24" i="1644"/>
  <c r="D24" i="1644"/>
  <c r="R23" i="1644"/>
  <c r="L23" i="1644"/>
  <c r="D23" i="1644" s="1"/>
  <c r="R22" i="1644"/>
  <c r="L22" i="1644"/>
  <c r="D22" i="1644"/>
  <c r="R21" i="1644"/>
  <c r="D21" i="1644"/>
  <c r="R20" i="1644"/>
  <c r="L20" i="1644"/>
  <c r="D20" i="1644" s="1"/>
  <c r="R19" i="1644"/>
  <c r="R18" i="1644"/>
  <c r="D18" i="1644"/>
  <c r="R17" i="1644"/>
  <c r="D17" i="1644"/>
  <c r="R16" i="1644"/>
  <c r="R15" i="1644"/>
  <c r="D15" i="1644"/>
  <c r="R14" i="1644"/>
  <c r="D14" i="1644"/>
  <c r="R13" i="1644"/>
  <c r="D13" i="1644"/>
  <c r="R12" i="1644"/>
  <c r="L12" i="1644"/>
  <c r="D12" i="1644"/>
  <c r="R11" i="1644"/>
  <c r="L11" i="1644"/>
  <c r="D11" i="1644"/>
  <c r="L10" i="1644"/>
  <c r="D10" i="1644"/>
  <c r="L9" i="1644"/>
  <c r="D9" i="1644"/>
  <c r="L8" i="1644"/>
  <c r="D8" i="1644"/>
  <c r="R6" i="1644"/>
  <c r="L6" i="1644"/>
  <c r="D6" i="1644" s="1"/>
  <c r="R5" i="1644"/>
  <c r="R4" i="1644"/>
  <c r="R52" i="1643"/>
  <c r="R51" i="1643"/>
  <c r="D50" i="1643"/>
  <c r="R49" i="1643"/>
  <c r="D49" i="1643"/>
  <c r="R48" i="1643"/>
  <c r="D48" i="1643"/>
  <c r="D46" i="1643"/>
  <c r="D45" i="1643"/>
  <c r="D44" i="1643"/>
  <c r="R42" i="1643"/>
  <c r="L6" i="1643" s="1"/>
  <c r="D6" i="1643" s="1"/>
  <c r="D42" i="1643"/>
  <c r="R41" i="1643"/>
  <c r="L7" i="1643" s="1"/>
  <c r="D7" i="1643" s="1"/>
  <c r="D41" i="1643"/>
  <c r="R40" i="1643"/>
  <c r="D40" i="1643"/>
  <c r="R39" i="1643"/>
  <c r="H39" i="1643"/>
  <c r="D39" i="1643"/>
  <c r="R38" i="1643"/>
  <c r="L9" i="1643" s="1"/>
  <c r="D9" i="1643" s="1"/>
  <c r="H38" i="1643"/>
  <c r="D38" i="1643"/>
  <c r="R37" i="1643"/>
  <c r="H37" i="1643"/>
  <c r="D37" i="1643"/>
  <c r="R36" i="1643"/>
  <c r="H36" i="1643"/>
  <c r="G49" i="1643" s="1"/>
  <c r="D36" i="1643"/>
  <c r="R35" i="1643"/>
  <c r="L19" i="1643" s="1"/>
  <c r="D19" i="1643" s="1"/>
  <c r="H35" i="1643"/>
  <c r="D35" i="1643"/>
  <c r="R34" i="1643"/>
  <c r="H34" i="1643"/>
  <c r="D34" i="1643"/>
  <c r="D54" i="1643" s="1"/>
  <c r="H14" i="1643" s="1"/>
  <c r="R33" i="1643"/>
  <c r="R32" i="1643"/>
  <c r="R31" i="1643"/>
  <c r="R30" i="1643"/>
  <c r="R29" i="1643"/>
  <c r="R28" i="1643"/>
  <c r="D28" i="1643"/>
  <c r="R27" i="1643"/>
  <c r="D27" i="1643"/>
  <c r="R26" i="1643"/>
  <c r="L26" i="1643"/>
  <c r="D26" i="1643"/>
  <c r="R25" i="1643"/>
  <c r="L25" i="1643"/>
  <c r="D25" i="1643"/>
  <c r="R24" i="1643"/>
  <c r="L24" i="1643"/>
  <c r="D24" i="1643"/>
  <c r="R23" i="1643"/>
  <c r="L23" i="1643"/>
  <c r="D23" i="1643"/>
  <c r="R22" i="1643"/>
  <c r="L22" i="1643"/>
  <c r="D22" i="1643" s="1"/>
  <c r="R21" i="1643"/>
  <c r="L17" i="1643" s="1"/>
  <c r="D17" i="1643" s="1"/>
  <c r="D21" i="1643"/>
  <c r="R20" i="1643"/>
  <c r="L20" i="1643"/>
  <c r="D20" i="1643"/>
  <c r="R19" i="1643"/>
  <c r="R18" i="1643"/>
  <c r="D18" i="1643"/>
  <c r="R17" i="1643"/>
  <c r="R16" i="1643"/>
  <c r="L16" i="1643"/>
  <c r="D16" i="1643" s="1"/>
  <c r="R15" i="1643"/>
  <c r="D15" i="1643"/>
  <c r="R14" i="1643"/>
  <c r="D14" i="1643"/>
  <c r="R13" i="1643"/>
  <c r="D13" i="1643"/>
  <c r="R12" i="1643"/>
  <c r="L12" i="1643"/>
  <c r="D12" i="1643" s="1"/>
  <c r="R11" i="1643"/>
  <c r="L11" i="1643"/>
  <c r="D11" i="1643"/>
  <c r="L10" i="1643"/>
  <c r="D10" i="1643"/>
  <c r="L8" i="1643"/>
  <c r="D8" i="1643"/>
  <c r="R6" i="1643"/>
  <c r="R5" i="1643"/>
  <c r="R4" i="1643"/>
  <c r="R52" i="1642"/>
  <c r="R51" i="1642"/>
  <c r="D50" i="1642"/>
  <c r="R49" i="1642"/>
  <c r="D49" i="1642"/>
  <c r="R48" i="1642"/>
  <c r="D48" i="1642"/>
  <c r="D46" i="1642"/>
  <c r="D45" i="1642"/>
  <c r="P44" i="1642"/>
  <c r="R44" i="1642" s="1"/>
  <c r="D44" i="1642"/>
  <c r="R42" i="1642"/>
  <c r="L6" i="1642" s="1"/>
  <c r="D6" i="1642" s="1"/>
  <c r="D42" i="1642"/>
  <c r="R41" i="1642"/>
  <c r="D41" i="1642"/>
  <c r="R40" i="1642"/>
  <c r="L8" i="1642" s="1"/>
  <c r="D8" i="1642" s="1"/>
  <c r="D40" i="1642"/>
  <c r="R39" i="1642"/>
  <c r="L20" i="1642" s="1"/>
  <c r="D20" i="1642" s="1"/>
  <c r="H39" i="1642"/>
  <c r="D39" i="1642"/>
  <c r="R38" i="1642"/>
  <c r="H38" i="1642"/>
  <c r="D38" i="1642"/>
  <c r="R37" i="1642"/>
  <c r="H37" i="1642"/>
  <c r="D37" i="1642"/>
  <c r="R36" i="1642"/>
  <c r="H36" i="1642"/>
  <c r="D36" i="1642"/>
  <c r="R35" i="1642"/>
  <c r="H35" i="1642"/>
  <c r="D35" i="1642"/>
  <c r="R34" i="1642"/>
  <c r="H34" i="1642"/>
  <c r="D34" i="1642"/>
  <c r="R33" i="1642"/>
  <c r="R32" i="1642"/>
  <c r="L11" i="1642" s="1"/>
  <c r="D11" i="1642" s="1"/>
  <c r="R31" i="1642"/>
  <c r="R30" i="1642"/>
  <c r="R29" i="1642"/>
  <c r="R28" i="1642"/>
  <c r="D28" i="1642"/>
  <c r="R27" i="1642"/>
  <c r="D27" i="1642"/>
  <c r="R26" i="1642"/>
  <c r="L26" i="1642"/>
  <c r="D26" i="1642" s="1"/>
  <c r="R25" i="1642"/>
  <c r="L25" i="1642"/>
  <c r="D25" i="1642"/>
  <c r="R24" i="1642"/>
  <c r="L24" i="1642"/>
  <c r="D24" i="1642"/>
  <c r="R23" i="1642"/>
  <c r="D23" i="1642"/>
  <c r="R22" i="1642"/>
  <c r="D22" i="1642"/>
  <c r="R21" i="1642"/>
  <c r="D21" i="1642"/>
  <c r="R20" i="1642"/>
  <c r="R19" i="1642"/>
  <c r="D19" i="1642"/>
  <c r="R18" i="1642"/>
  <c r="D18" i="1642"/>
  <c r="R17" i="1642"/>
  <c r="L17" i="1642"/>
  <c r="D17" i="1642"/>
  <c r="R16" i="1642"/>
  <c r="L16" i="1642"/>
  <c r="D16" i="1642"/>
  <c r="R15" i="1642"/>
  <c r="D15" i="1642"/>
  <c r="R14" i="1642"/>
  <c r="D14" i="1642"/>
  <c r="R13" i="1642"/>
  <c r="D13" i="1642"/>
  <c r="R12" i="1642"/>
  <c r="L12" i="1642"/>
  <c r="D12" i="1642"/>
  <c r="R11" i="1642"/>
  <c r="L10" i="1642"/>
  <c r="D10" i="1642" s="1"/>
  <c r="L9" i="1642"/>
  <c r="D9" i="1642" s="1"/>
  <c r="L7" i="1642"/>
  <c r="D7" i="1642" s="1"/>
  <c r="R6" i="1642"/>
  <c r="R5" i="1642"/>
  <c r="R4" i="1642"/>
  <c r="R52" i="1641"/>
  <c r="R51" i="1641"/>
  <c r="D50" i="1641"/>
  <c r="R49" i="1641"/>
  <c r="G49" i="1641"/>
  <c r="D49" i="1641"/>
  <c r="R48" i="1641"/>
  <c r="D48" i="1641"/>
  <c r="D46" i="1641"/>
  <c r="D45" i="1641"/>
  <c r="D44" i="1641"/>
  <c r="R42" i="1641"/>
  <c r="L6" i="1641" s="1"/>
  <c r="D6" i="1641" s="1"/>
  <c r="D42" i="1641"/>
  <c r="R41" i="1641"/>
  <c r="L7" i="1641" s="1"/>
  <c r="D7" i="1641" s="1"/>
  <c r="D41" i="1641"/>
  <c r="R40" i="1641"/>
  <c r="D40" i="1641"/>
  <c r="R39" i="1641"/>
  <c r="D39" i="1641"/>
  <c r="R38" i="1641"/>
  <c r="D38" i="1641"/>
  <c r="R37" i="1641"/>
  <c r="D37" i="1641"/>
  <c r="R36" i="1641"/>
  <c r="D36" i="1641"/>
  <c r="R35" i="1641"/>
  <c r="D35" i="1641"/>
  <c r="R34" i="1641"/>
  <c r="L12" i="1641" s="1"/>
  <c r="D12" i="1641" s="1"/>
  <c r="D34" i="1641"/>
  <c r="D54" i="1641" s="1"/>
  <c r="H14" i="1641" s="1"/>
  <c r="R33" i="1641"/>
  <c r="L23" i="1641" s="1"/>
  <c r="D23" i="1641" s="1"/>
  <c r="R32" i="1641"/>
  <c r="R31" i="1641"/>
  <c r="R30" i="1641"/>
  <c r="R29" i="1641"/>
  <c r="R28" i="1641"/>
  <c r="L16" i="1641" s="1"/>
  <c r="D16" i="1641" s="1"/>
  <c r="D28" i="1641"/>
  <c r="R27" i="1641"/>
  <c r="D27" i="1641"/>
  <c r="R26" i="1641"/>
  <c r="L26" i="1641"/>
  <c r="D26" i="1641"/>
  <c r="R25" i="1641"/>
  <c r="L25" i="1641"/>
  <c r="D25" i="1641"/>
  <c r="R24" i="1641"/>
  <c r="D24" i="1641"/>
  <c r="R23" i="1641"/>
  <c r="R22" i="1641"/>
  <c r="L22" i="1641"/>
  <c r="D22" i="1641"/>
  <c r="R21" i="1641"/>
  <c r="D21" i="1641"/>
  <c r="R20" i="1641"/>
  <c r="L20" i="1641"/>
  <c r="D20" i="1641" s="1"/>
  <c r="R19" i="1641"/>
  <c r="L19" i="1641"/>
  <c r="D19" i="1641"/>
  <c r="R18" i="1641"/>
  <c r="D18" i="1641"/>
  <c r="R17" i="1641"/>
  <c r="D17" i="1641"/>
  <c r="R16" i="1641"/>
  <c r="S15" i="1641"/>
  <c r="R15" i="1641"/>
  <c r="D15" i="1641"/>
  <c r="S14" i="1641"/>
  <c r="R14" i="1641"/>
  <c r="D14" i="1641"/>
  <c r="R13" i="1641"/>
  <c r="D13" i="1641"/>
  <c r="R12" i="1641"/>
  <c r="R11" i="1641"/>
  <c r="L11" i="1641"/>
  <c r="D11" i="1641" s="1"/>
  <c r="L10" i="1641"/>
  <c r="D10" i="1641"/>
  <c r="L9" i="1641"/>
  <c r="D9" i="1641"/>
  <c r="L8" i="1641"/>
  <c r="D8" i="1641" s="1"/>
  <c r="R6" i="1641"/>
  <c r="R5" i="1641"/>
  <c r="R4" i="1641"/>
  <c r="R55" i="1640"/>
  <c r="R54" i="1640"/>
  <c r="D53" i="1640"/>
  <c r="R52" i="1640"/>
  <c r="D52" i="1640"/>
  <c r="R51" i="1640"/>
  <c r="D51" i="1640"/>
  <c r="D46" i="1640"/>
  <c r="D45" i="1640"/>
  <c r="D44" i="1640"/>
  <c r="R42" i="1640"/>
  <c r="L6" i="1640" s="1"/>
  <c r="D6" i="1640" s="1"/>
  <c r="D42" i="1640"/>
  <c r="R41" i="1640"/>
  <c r="L7" i="1640" s="1"/>
  <c r="D7" i="1640" s="1"/>
  <c r="D41" i="1640"/>
  <c r="R40" i="1640"/>
  <c r="D40" i="1640"/>
  <c r="R39" i="1640"/>
  <c r="H39" i="1640"/>
  <c r="D39" i="1640"/>
  <c r="R38" i="1640"/>
  <c r="L9" i="1640" s="1"/>
  <c r="D9" i="1640" s="1"/>
  <c r="H38" i="1640"/>
  <c r="D38" i="1640"/>
  <c r="R37" i="1640"/>
  <c r="H37" i="1640"/>
  <c r="D37" i="1640"/>
  <c r="R36" i="1640"/>
  <c r="L10" i="1640" s="1"/>
  <c r="D10" i="1640" s="1"/>
  <c r="H36" i="1640"/>
  <c r="D36" i="1640"/>
  <c r="R35" i="1640"/>
  <c r="L19" i="1640" s="1"/>
  <c r="D19" i="1640" s="1"/>
  <c r="H35" i="1640"/>
  <c r="D35" i="1640"/>
  <c r="R34" i="1640"/>
  <c r="L12" i="1640" s="1"/>
  <c r="D12" i="1640" s="1"/>
  <c r="H34" i="1640"/>
  <c r="D34" i="1640"/>
  <c r="R33" i="1640"/>
  <c r="R32" i="1640"/>
  <c r="R31" i="1640"/>
  <c r="R30" i="1640"/>
  <c r="R29" i="1640"/>
  <c r="R28" i="1640"/>
  <c r="L16" i="1640" s="1"/>
  <c r="D16" i="1640" s="1"/>
  <c r="D28" i="1640"/>
  <c r="R27" i="1640"/>
  <c r="D27" i="1640"/>
  <c r="R26" i="1640"/>
  <c r="L26" i="1640"/>
  <c r="D26" i="1640" s="1"/>
  <c r="R25" i="1640"/>
  <c r="L25" i="1640"/>
  <c r="D25" i="1640"/>
  <c r="R24" i="1640"/>
  <c r="D24" i="1640"/>
  <c r="R23" i="1640"/>
  <c r="L23" i="1640"/>
  <c r="D23" i="1640" s="1"/>
  <c r="R22" i="1640"/>
  <c r="L22" i="1640"/>
  <c r="D22" i="1640"/>
  <c r="R21" i="1640"/>
  <c r="D21" i="1640"/>
  <c r="R20" i="1640"/>
  <c r="L20" i="1640"/>
  <c r="D20" i="1640" s="1"/>
  <c r="R19" i="1640"/>
  <c r="R18" i="1640"/>
  <c r="D18" i="1640"/>
  <c r="R17" i="1640"/>
  <c r="D17" i="1640"/>
  <c r="R16" i="1640"/>
  <c r="R15" i="1640"/>
  <c r="D15" i="1640"/>
  <c r="R14" i="1640"/>
  <c r="D14" i="1640"/>
  <c r="R13" i="1640"/>
  <c r="D13" i="1640"/>
  <c r="R12" i="1640"/>
  <c r="R11" i="1640"/>
  <c r="L11" i="1640"/>
  <c r="D11" i="1640" s="1"/>
  <c r="L8" i="1640"/>
  <c r="D8" i="1640"/>
  <c r="R6" i="1640"/>
  <c r="R5" i="1640"/>
  <c r="R4" i="1640"/>
  <c r="R52" i="1639"/>
  <c r="R51" i="1639"/>
  <c r="D50" i="1639"/>
  <c r="R49" i="1639"/>
  <c r="D49" i="1639"/>
  <c r="R48" i="1639"/>
  <c r="D48" i="1639"/>
  <c r="D46" i="1639"/>
  <c r="D45" i="1639"/>
  <c r="D44" i="1639"/>
  <c r="R42" i="1639"/>
  <c r="L6" i="1639" s="1"/>
  <c r="D6" i="1639" s="1"/>
  <c r="D42" i="1639"/>
  <c r="R41" i="1639"/>
  <c r="L7" i="1639" s="1"/>
  <c r="D7" i="1639" s="1"/>
  <c r="D41" i="1639"/>
  <c r="R40" i="1639"/>
  <c r="D40" i="1639"/>
  <c r="R39" i="1639"/>
  <c r="H39" i="1639"/>
  <c r="D39" i="1639"/>
  <c r="R38" i="1639"/>
  <c r="L9" i="1639" s="1"/>
  <c r="D9" i="1639" s="1"/>
  <c r="H38" i="1639"/>
  <c r="D38" i="1639"/>
  <c r="R37" i="1639"/>
  <c r="H37" i="1639"/>
  <c r="D37" i="1639"/>
  <c r="R36" i="1639"/>
  <c r="H36" i="1639"/>
  <c r="D36" i="1639"/>
  <c r="R35" i="1639"/>
  <c r="L19" i="1639" s="1"/>
  <c r="D19" i="1639" s="1"/>
  <c r="H35" i="1639"/>
  <c r="D35" i="1639"/>
  <c r="R34" i="1639"/>
  <c r="H34" i="1639"/>
  <c r="G49" i="1639" s="1"/>
  <c r="D34" i="1639"/>
  <c r="D54" i="1639" s="1"/>
  <c r="H14" i="1639" s="1"/>
  <c r="R33" i="1639"/>
  <c r="L23" i="1639" s="1"/>
  <c r="D23" i="1639" s="1"/>
  <c r="R32" i="1639"/>
  <c r="L11" i="1639" s="1"/>
  <c r="D11" i="1639" s="1"/>
  <c r="R31" i="1639"/>
  <c r="R30" i="1639"/>
  <c r="R29" i="1639"/>
  <c r="R28" i="1639"/>
  <c r="D28" i="1639"/>
  <c r="R27" i="1639"/>
  <c r="D27" i="1639"/>
  <c r="R26" i="1639"/>
  <c r="L26" i="1639"/>
  <c r="D26" i="1639"/>
  <c r="R25" i="1639"/>
  <c r="L25" i="1639"/>
  <c r="D25" i="1639"/>
  <c r="R24" i="1639"/>
  <c r="L24" i="1639"/>
  <c r="D24" i="1639" s="1"/>
  <c r="R23" i="1639"/>
  <c r="R22" i="1639"/>
  <c r="L22" i="1639"/>
  <c r="D22" i="1639" s="1"/>
  <c r="R21" i="1639"/>
  <c r="L17" i="1639" s="1"/>
  <c r="D17" i="1639" s="1"/>
  <c r="D21" i="1639"/>
  <c r="R20" i="1639"/>
  <c r="L20" i="1639"/>
  <c r="D20" i="1639"/>
  <c r="R19" i="1639"/>
  <c r="R18" i="1639"/>
  <c r="D18" i="1639"/>
  <c r="R17" i="1639"/>
  <c r="R16" i="1639"/>
  <c r="L16" i="1639"/>
  <c r="D16" i="1639" s="1"/>
  <c r="R15" i="1639"/>
  <c r="D15" i="1639"/>
  <c r="R14" i="1639"/>
  <c r="D14" i="1639"/>
  <c r="R13" i="1639"/>
  <c r="D13" i="1639"/>
  <c r="R12" i="1639"/>
  <c r="L12" i="1639"/>
  <c r="D12" i="1639" s="1"/>
  <c r="R11" i="1639"/>
  <c r="L10" i="1639"/>
  <c r="D10" i="1639"/>
  <c r="L8" i="1639"/>
  <c r="D8" i="1639"/>
  <c r="R6" i="1639"/>
  <c r="R5" i="1639"/>
  <c r="R4" i="1639"/>
  <c r="R52" i="1638"/>
  <c r="R51" i="1638"/>
  <c r="D50" i="1638"/>
  <c r="R49" i="1638"/>
  <c r="D49" i="1638"/>
  <c r="R48" i="1638"/>
  <c r="D48" i="1638"/>
  <c r="D46" i="1638"/>
  <c r="D45" i="1638"/>
  <c r="P44" i="1638"/>
  <c r="R44" i="1638" s="1"/>
  <c r="D44" i="1638"/>
  <c r="R42" i="1638"/>
  <c r="L6" i="1638" s="1"/>
  <c r="D6" i="1638" s="1"/>
  <c r="D42" i="1638"/>
  <c r="R41" i="1638"/>
  <c r="D41" i="1638"/>
  <c r="R40" i="1638"/>
  <c r="D40" i="1638"/>
  <c r="R39" i="1638"/>
  <c r="H39" i="1638"/>
  <c r="D39" i="1638"/>
  <c r="R38" i="1638"/>
  <c r="H38" i="1638"/>
  <c r="D38" i="1638"/>
  <c r="R37" i="1638"/>
  <c r="H37" i="1638"/>
  <c r="D37" i="1638"/>
  <c r="R36" i="1638"/>
  <c r="L10" i="1638" s="1"/>
  <c r="D10" i="1638" s="1"/>
  <c r="H36" i="1638"/>
  <c r="D36" i="1638"/>
  <c r="R35" i="1638"/>
  <c r="H35" i="1638"/>
  <c r="D35" i="1638"/>
  <c r="R34" i="1638"/>
  <c r="L12" i="1638" s="1"/>
  <c r="D12" i="1638" s="1"/>
  <c r="H34" i="1638"/>
  <c r="D34" i="1638"/>
  <c r="R33" i="1638"/>
  <c r="R32" i="1638"/>
  <c r="L11" i="1638" s="1"/>
  <c r="D11" i="1638" s="1"/>
  <c r="R31" i="1638"/>
  <c r="R30" i="1638"/>
  <c r="R29" i="1638"/>
  <c r="R28" i="1638"/>
  <c r="L16" i="1638" s="1"/>
  <c r="D16" i="1638" s="1"/>
  <c r="D28" i="1638"/>
  <c r="R27" i="1638"/>
  <c r="D27" i="1638"/>
  <c r="R26" i="1638"/>
  <c r="L26" i="1638"/>
  <c r="D26" i="1638"/>
  <c r="R25" i="1638"/>
  <c r="L25" i="1638"/>
  <c r="D25" i="1638" s="1"/>
  <c r="R24" i="1638"/>
  <c r="L24" i="1638"/>
  <c r="D24" i="1638" s="1"/>
  <c r="R23" i="1638"/>
  <c r="D23" i="1638"/>
  <c r="R22" i="1638"/>
  <c r="D22" i="1638"/>
  <c r="R21" i="1638"/>
  <c r="D21" i="1638"/>
  <c r="R20" i="1638"/>
  <c r="L20" i="1638"/>
  <c r="D20" i="1638" s="1"/>
  <c r="R19" i="1638"/>
  <c r="D19" i="1638"/>
  <c r="R18" i="1638"/>
  <c r="D18" i="1638"/>
  <c r="R17" i="1638"/>
  <c r="L17" i="1638"/>
  <c r="D17" i="1638" s="1"/>
  <c r="R16" i="1638"/>
  <c r="R15" i="1638"/>
  <c r="D15" i="1638"/>
  <c r="R14" i="1638"/>
  <c r="D14" i="1638"/>
  <c r="R13" i="1638"/>
  <c r="D13" i="1638"/>
  <c r="R12" i="1638"/>
  <c r="R11" i="1638"/>
  <c r="L9" i="1638"/>
  <c r="D9" i="1638" s="1"/>
  <c r="L8" i="1638"/>
  <c r="D8" i="1638" s="1"/>
  <c r="L7" i="1638"/>
  <c r="D7" i="1638"/>
  <c r="R6" i="1638"/>
  <c r="R5" i="1638"/>
  <c r="R4" i="1638"/>
  <c r="R52" i="1637"/>
  <c r="R51" i="1637"/>
  <c r="D50" i="1637"/>
  <c r="R49" i="1637"/>
  <c r="G49" i="1637"/>
  <c r="D49" i="1637"/>
  <c r="R48" i="1637"/>
  <c r="D48" i="1637"/>
  <c r="D46" i="1637"/>
  <c r="D45" i="1637"/>
  <c r="D44" i="1637"/>
  <c r="R42" i="1637"/>
  <c r="D42" i="1637"/>
  <c r="R41" i="1637"/>
  <c r="L7" i="1637" s="1"/>
  <c r="D7" i="1637" s="1"/>
  <c r="D41" i="1637"/>
  <c r="R40" i="1637"/>
  <c r="L8" i="1637" s="1"/>
  <c r="D8" i="1637" s="1"/>
  <c r="D40" i="1637"/>
  <c r="R39" i="1637"/>
  <c r="D39" i="1637"/>
  <c r="R38" i="1637"/>
  <c r="D38" i="1637"/>
  <c r="R37" i="1637"/>
  <c r="D37" i="1637"/>
  <c r="D54" i="1637" s="1"/>
  <c r="H14" i="1637" s="1"/>
  <c r="R36" i="1637"/>
  <c r="D36" i="1637"/>
  <c r="R35" i="1637"/>
  <c r="L19" i="1637" s="1"/>
  <c r="D19" i="1637" s="1"/>
  <c r="D35" i="1637"/>
  <c r="R34" i="1637"/>
  <c r="D34" i="1637"/>
  <c r="R33" i="1637"/>
  <c r="L23" i="1637" s="1"/>
  <c r="D23" i="1637" s="1"/>
  <c r="R32" i="1637"/>
  <c r="R31" i="1637"/>
  <c r="R30" i="1637"/>
  <c r="R29" i="1637"/>
  <c r="R28" i="1637"/>
  <c r="L16" i="1637" s="1"/>
  <c r="D16" i="1637" s="1"/>
  <c r="D28" i="1637"/>
  <c r="R27" i="1637"/>
  <c r="D27" i="1637"/>
  <c r="R26" i="1637"/>
  <c r="L26" i="1637"/>
  <c r="D26" i="1637" s="1"/>
  <c r="R25" i="1637"/>
  <c r="L25" i="1637"/>
  <c r="D25" i="1637"/>
  <c r="R24" i="1637"/>
  <c r="D24" i="1637"/>
  <c r="R23" i="1637"/>
  <c r="R22" i="1637"/>
  <c r="L22" i="1637"/>
  <c r="D22" i="1637" s="1"/>
  <c r="R21" i="1637"/>
  <c r="D21" i="1637"/>
  <c r="R20" i="1637"/>
  <c r="L20" i="1637"/>
  <c r="D20" i="1637" s="1"/>
  <c r="R19" i="1637"/>
  <c r="R18" i="1637"/>
  <c r="D18" i="1637"/>
  <c r="R17" i="1637"/>
  <c r="D17" i="1637"/>
  <c r="R16" i="1637"/>
  <c r="S15" i="1637"/>
  <c r="R15" i="1637"/>
  <c r="D15" i="1637"/>
  <c r="S14" i="1637"/>
  <c r="R14" i="1637"/>
  <c r="D14" i="1637"/>
  <c r="R13" i="1637"/>
  <c r="D13" i="1637"/>
  <c r="R12" i="1637"/>
  <c r="L12" i="1637"/>
  <c r="D12" i="1637"/>
  <c r="R11" i="1637"/>
  <c r="L11" i="1637"/>
  <c r="D11" i="1637" s="1"/>
  <c r="L10" i="1637"/>
  <c r="D10" i="1637"/>
  <c r="L9" i="1637"/>
  <c r="D9" i="1637"/>
  <c r="R6" i="1637"/>
  <c r="L6" i="1637"/>
  <c r="D6" i="1637" s="1"/>
  <c r="R5" i="1637"/>
  <c r="R4" i="1637"/>
  <c r="D54" i="1636"/>
  <c r="H14" i="1636" s="1"/>
  <c r="R52" i="1636"/>
  <c r="R51" i="1636"/>
  <c r="D50" i="1636"/>
  <c r="R49" i="1636"/>
  <c r="D49" i="1636"/>
  <c r="R48" i="1636"/>
  <c r="D48" i="1636"/>
  <c r="D46" i="1636"/>
  <c r="D45" i="1636"/>
  <c r="D44" i="1636"/>
  <c r="R42" i="1636"/>
  <c r="D42" i="1636"/>
  <c r="R41" i="1636"/>
  <c r="L7" i="1636" s="1"/>
  <c r="D7" i="1636" s="1"/>
  <c r="D41" i="1636"/>
  <c r="R40" i="1636"/>
  <c r="D40" i="1636"/>
  <c r="R39" i="1636"/>
  <c r="H39" i="1636"/>
  <c r="D39" i="1636"/>
  <c r="R38" i="1636"/>
  <c r="H38" i="1636"/>
  <c r="D38" i="1636"/>
  <c r="R37" i="1636"/>
  <c r="H37" i="1636"/>
  <c r="D37" i="1636"/>
  <c r="R36" i="1636"/>
  <c r="H36" i="1636"/>
  <c r="D36" i="1636"/>
  <c r="R35" i="1636"/>
  <c r="L19" i="1636" s="1"/>
  <c r="D19" i="1636" s="1"/>
  <c r="H35" i="1636"/>
  <c r="D35" i="1636"/>
  <c r="R34" i="1636"/>
  <c r="L12" i="1636" s="1"/>
  <c r="D12" i="1636" s="1"/>
  <c r="H34" i="1636"/>
  <c r="G49" i="1636" s="1"/>
  <c r="D34" i="1636"/>
  <c r="R33" i="1636"/>
  <c r="L23" i="1636" s="1"/>
  <c r="D23" i="1636" s="1"/>
  <c r="R32" i="1636"/>
  <c r="R31" i="1636"/>
  <c r="R30" i="1636"/>
  <c r="R29" i="1636"/>
  <c r="R28" i="1636"/>
  <c r="D28" i="1636"/>
  <c r="R27" i="1636"/>
  <c r="D27" i="1636"/>
  <c r="R26" i="1636"/>
  <c r="L26" i="1636"/>
  <c r="D26" i="1636" s="1"/>
  <c r="R25" i="1636"/>
  <c r="L25" i="1636"/>
  <c r="D25" i="1636"/>
  <c r="R24" i="1636"/>
  <c r="D24" i="1636"/>
  <c r="R23" i="1636"/>
  <c r="R22" i="1636"/>
  <c r="L22" i="1636"/>
  <c r="D22" i="1636"/>
  <c r="R21" i="1636"/>
  <c r="D21" i="1636"/>
  <c r="R20" i="1636"/>
  <c r="L20" i="1636"/>
  <c r="D20" i="1636" s="1"/>
  <c r="R19" i="1636"/>
  <c r="R18" i="1636"/>
  <c r="D18" i="1636"/>
  <c r="R17" i="1636"/>
  <c r="D17" i="1636"/>
  <c r="R16" i="1636"/>
  <c r="L16" i="1636"/>
  <c r="D16" i="1636" s="1"/>
  <c r="R15" i="1636"/>
  <c r="D15" i="1636"/>
  <c r="R14" i="1636"/>
  <c r="D14" i="1636"/>
  <c r="R13" i="1636"/>
  <c r="D13" i="1636"/>
  <c r="R12" i="1636"/>
  <c r="R11" i="1636"/>
  <c r="L11" i="1636"/>
  <c r="D11" i="1636"/>
  <c r="L10" i="1636"/>
  <c r="D10" i="1636"/>
  <c r="L9" i="1636"/>
  <c r="D9" i="1636"/>
  <c r="L8" i="1636"/>
  <c r="D8" i="1636" s="1"/>
  <c r="R6" i="1636"/>
  <c r="L6" i="1636"/>
  <c r="D6" i="1636" s="1"/>
  <c r="R5" i="1636"/>
  <c r="R4" i="1636"/>
  <c r="R52" i="1635"/>
  <c r="R51" i="1635"/>
  <c r="D50" i="1635"/>
  <c r="R49" i="1635"/>
  <c r="D49" i="1635"/>
  <c r="R48" i="1635"/>
  <c r="D48" i="1635"/>
  <c r="D46" i="1635"/>
  <c r="D45" i="1635"/>
  <c r="D44" i="1635"/>
  <c r="R42" i="1635"/>
  <c r="L6" i="1635" s="1"/>
  <c r="D6" i="1635" s="1"/>
  <c r="D42" i="1635"/>
  <c r="R41" i="1635"/>
  <c r="L7" i="1635" s="1"/>
  <c r="D7" i="1635" s="1"/>
  <c r="D41" i="1635"/>
  <c r="R40" i="1635"/>
  <c r="D40" i="1635"/>
  <c r="R39" i="1635"/>
  <c r="H39" i="1635"/>
  <c r="D39" i="1635"/>
  <c r="R38" i="1635"/>
  <c r="L9" i="1635" s="1"/>
  <c r="D9" i="1635" s="1"/>
  <c r="H38" i="1635"/>
  <c r="D38" i="1635"/>
  <c r="R37" i="1635"/>
  <c r="H37" i="1635"/>
  <c r="D37" i="1635"/>
  <c r="R36" i="1635"/>
  <c r="L10" i="1635" s="1"/>
  <c r="D10" i="1635" s="1"/>
  <c r="H36" i="1635"/>
  <c r="D36" i="1635"/>
  <c r="R35" i="1635"/>
  <c r="L19" i="1635" s="1"/>
  <c r="D19" i="1635" s="1"/>
  <c r="H35" i="1635"/>
  <c r="D35" i="1635"/>
  <c r="R34" i="1635"/>
  <c r="L12" i="1635" s="1"/>
  <c r="D12" i="1635" s="1"/>
  <c r="H34" i="1635"/>
  <c r="G49" i="1635" s="1"/>
  <c r="D34" i="1635"/>
  <c r="D54" i="1635" s="1"/>
  <c r="H14" i="1635" s="1"/>
  <c r="R33" i="1635"/>
  <c r="R32" i="1635"/>
  <c r="R31" i="1635"/>
  <c r="R30" i="1635"/>
  <c r="R29" i="1635"/>
  <c r="R28" i="1635"/>
  <c r="D28" i="1635"/>
  <c r="R27" i="1635"/>
  <c r="D27" i="1635"/>
  <c r="R26" i="1635"/>
  <c r="L26" i="1635"/>
  <c r="D26" i="1635"/>
  <c r="R25" i="1635"/>
  <c r="L25" i="1635"/>
  <c r="D25" i="1635" s="1"/>
  <c r="R24" i="1635"/>
  <c r="L24" i="1635"/>
  <c r="D24" i="1635" s="1"/>
  <c r="R23" i="1635"/>
  <c r="L23" i="1635"/>
  <c r="D23" i="1635" s="1"/>
  <c r="R22" i="1635"/>
  <c r="L22" i="1635"/>
  <c r="D22" i="1635" s="1"/>
  <c r="R21" i="1635"/>
  <c r="L17" i="1635" s="1"/>
  <c r="D17" i="1635" s="1"/>
  <c r="D21" i="1635"/>
  <c r="R20" i="1635"/>
  <c r="L20" i="1635"/>
  <c r="D20" i="1635" s="1"/>
  <c r="R19" i="1635"/>
  <c r="R18" i="1635"/>
  <c r="D18" i="1635"/>
  <c r="R17" i="1635"/>
  <c r="R16" i="1635"/>
  <c r="L16" i="1635"/>
  <c r="D16" i="1635" s="1"/>
  <c r="R15" i="1635"/>
  <c r="D15" i="1635"/>
  <c r="R14" i="1635"/>
  <c r="D14" i="1635"/>
  <c r="R13" i="1635"/>
  <c r="D13" i="1635"/>
  <c r="R12" i="1635"/>
  <c r="R11" i="1635"/>
  <c r="L11" i="1635"/>
  <c r="D11" i="1635"/>
  <c r="L8" i="1635"/>
  <c r="D8" i="1635"/>
  <c r="R6" i="1635"/>
  <c r="R5" i="1635"/>
  <c r="R4" i="1635"/>
  <c r="R52" i="1634"/>
  <c r="R51" i="1634"/>
  <c r="D50" i="1634"/>
  <c r="R49" i="1634"/>
  <c r="D49" i="1634"/>
  <c r="R48" i="1634"/>
  <c r="D48" i="1634"/>
  <c r="D46" i="1634"/>
  <c r="D45" i="1634"/>
  <c r="P44" i="1634"/>
  <c r="R44" i="1634" s="1"/>
  <c r="D44" i="1634"/>
  <c r="R42" i="1634"/>
  <c r="D42" i="1634"/>
  <c r="R41" i="1634"/>
  <c r="L7" i="1634" s="1"/>
  <c r="D7" i="1634" s="1"/>
  <c r="D41" i="1634"/>
  <c r="R40" i="1634"/>
  <c r="D40" i="1634"/>
  <c r="R39" i="1634"/>
  <c r="L20" i="1634" s="1"/>
  <c r="D20" i="1634" s="1"/>
  <c r="H39" i="1634"/>
  <c r="D39" i="1634"/>
  <c r="R38" i="1634"/>
  <c r="H38" i="1634"/>
  <c r="D38" i="1634"/>
  <c r="R37" i="1634"/>
  <c r="H37" i="1634"/>
  <c r="D37" i="1634"/>
  <c r="R36" i="1634"/>
  <c r="H36" i="1634"/>
  <c r="D36" i="1634"/>
  <c r="R35" i="1634"/>
  <c r="H35" i="1634"/>
  <c r="D35" i="1634"/>
  <c r="R34" i="1634"/>
  <c r="H34" i="1634"/>
  <c r="G49" i="1634" s="1"/>
  <c r="D34" i="1634"/>
  <c r="D54" i="1634" s="1"/>
  <c r="H14" i="1634" s="1"/>
  <c r="R33" i="1634"/>
  <c r="R32" i="1634"/>
  <c r="L11" i="1634" s="1"/>
  <c r="D11" i="1634" s="1"/>
  <c r="R31" i="1634"/>
  <c r="R30" i="1634"/>
  <c r="R29" i="1634"/>
  <c r="R28" i="1634"/>
  <c r="D28" i="1634"/>
  <c r="R27" i="1634"/>
  <c r="D27" i="1634"/>
  <c r="R26" i="1634"/>
  <c r="L26" i="1634"/>
  <c r="D26" i="1634"/>
  <c r="R25" i="1634"/>
  <c r="L25" i="1634"/>
  <c r="D25" i="1634" s="1"/>
  <c r="R24" i="1634"/>
  <c r="L24" i="1634"/>
  <c r="D24" i="1634" s="1"/>
  <c r="R23" i="1634"/>
  <c r="D23" i="1634"/>
  <c r="R22" i="1634"/>
  <c r="D22" i="1634"/>
  <c r="R21" i="1634"/>
  <c r="D21" i="1634"/>
  <c r="R20" i="1634"/>
  <c r="R19" i="1634"/>
  <c r="D19" i="1634"/>
  <c r="R18" i="1634"/>
  <c r="D18" i="1634"/>
  <c r="R17" i="1634"/>
  <c r="L17" i="1634"/>
  <c r="D17" i="1634" s="1"/>
  <c r="R16" i="1634"/>
  <c r="L16" i="1634"/>
  <c r="D16" i="1634"/>
  <c r="R15" i="1634"/>
  <c r="D15" i="1634"/>
  <c r="R14" i="1634"/>
  <c r="D14" i="1634"/>
  <c r="R13" i="1634"/>
  <c r="D13" i="1634"/>
  <c r="R12" i="1634"/>
  <c r="L12" i="1634"/>
  <c r="D12" i="1634"/>
  <c r="R11" i="1634"/>
  <c r="L10" i="1634"/>
  <c r="D10" i="1634" s="1"/>
  <c r="L9" i="1634"/>
  <c r="D9" i="1634"/>
  <c r="L8" i="1634"/>
  <c r="D8" i="1634" s="1"/>
  <c r="R6" i="1634"/>
  <c r="L6" i="1634"/>
  <c r="D6" i="1634" s="1"/>
  <c r="D29" i="1634" s="1"/>
  <c r="H13" i="1634" s="1"/>
  <c r="H15" i="1634" s="1"/>
  <c r="H29" i="1634" s="1"/>
  <c r="R5" i="1634"/>
  <c r="R4" i="1634"/>
  <c r="R52" i="1633"/>
  <c r="R51" i="1633"/>
  <c r="D50" i="1633"/>
  <c r="R49" i="1633"/>
  <c r="G49" i="1633"/>
  <c r="D49" i="1633"/>
  <c r="R48" i="1633"/>
  <c r="D48" i="1633"/>
  <c r="D46" i="1633"/>
  <c r="D45" i="1633"/>
  <c r="D44" i="1633"/>
  <c r="R42" i="1633"/>
  <c r="D42" i="1633"/>
  <c r="R41" i="1633"/>
  <c r="L7" i="1633" s="1"/>
  <c r="D7" i="1633" s="1"/>
  <c r="D41" i="1633"/>
  <c r="R40" i="1633"/>
  <c r="D40" i="1633"/>
  <c r="R39" i="1633"/>
  <c r="D39" i="1633"/>
  <c r="R38" i="1633"/>
  <c r="D38" i="1633"/>
  <c r="R37" i="1633"/>
  <c r="D37" i="1633"/>
  <c r="R36" i="1633"/>
  <c r="L10" i="1633" s="1"/>
  <c r="D10" i="1633" s="1"/>
  <c r="D36" i="1633"/>
  <c r="R35" i="1633"/>
  <c r="D35" i="1633"/>
  <c r="D54" i="1633" s="1"/>
  <c r="H14" i="1633" s="1"/>
  <c r="R34" i="1633"/>
  <c r="L12" i="1633" s="1"/>
  <c r="D12" i="1633" s="1"/>
  <c r="D34" i="1633"/>
  <c r="R33" i="1633"/>
  <c r="L23" i="1633" s="1"/>
  <c r="D23" i="1633" s="1"/>
  <c r="R32" i="1633"/>
  <c r="L11" i="1633" s="1"/>
  <c r="D11" i="1633" s="1"/>
  <c r="R31" i="1633"/>
  <c r="R30" i="1633"/>
  <c r="R29" i="1633"/>
  <c r="R28" i="1633"/>
  <c r="D28" i="1633"/>
  <c r="R27" i="1633"/>
  <c r="D27" i="1633"/>
  <c r="R26" i="1633"/>
  <c r="L26" i="1633"/>
  <c r="D26" i="1633"/>
  <c r="R25" i="1633"/>
  <c r="L25" i="1633"/>
  <c r="D25" i="1633"/>
  <c r="R24" i="1633"/>
  <c r="D24" i="1633"/>
  <c r="R23" i="1633"/>
  <c r="R22" i="1633"/>
  <c r="L22" i="1633"/>
  <c r="D22" i="1633"/>
  <c r="R21" i="1633"/>
  <c r="D21" i="1633"/>
  <c r="R20" i="1633"/>
  <c r="L20" i="1633"/>
  <c r="D20" i="1633"/>
  <c r="R19" i="1633"/>
  <c r="L19" i="1633"/>
  <c r="D19" i="1633"/>
  <c r="R18" i="1633"/>
  <c r="D18" i="1633"/>
  <c r="R17" i="1633"/>
  <c r="D17" i="1633"/>
  <c r="R16" i="1633"/>
  <c r="L16" i="1633"/>
  <c r="D16" i="1633" s="1"/>
  <c r="S15" i="1633"/>
  <c r="R15" i="1633"/>
  <c r="D15" i="1633"/>
  <c r="S14" i="1633"/>
  <c r="R14" i="1633"/>
  <c r="D14" i="1633"/>
  <c r="R13" i="1633"/>
  <c r="D13" i="1633"/>
  <c r="R12" i="1633"/>
  <c r="R11" i="1633"/>
  <c r="L9" i="1633"/>
  <c r="D9" i="1633" s="1"/>
  <c r="L8" i="1633"/>
  <c r="D8" i="1633"/>
  <c r="R6" i="1633"/>
  <c r="L6" i="1633"/>
  <c r="D6" i="1633"/>
  <c r="R5" i="1633"/>
  <c r="R4" i="1633"/>
  <c r="R52" i="1632"/>
  <c r="R51" i="1632"/>
  <c r="D50" i="1632"/>
  <c r="R49" i="1632"/>
  <c r="D49" i="1632"/>
  <c r="R48" i="1632"/>
  <c r="D48" i="1632"/>
  <c r="D46" i="1632"/>
  <c r="D45" i="1632"/>
  <c r="D44" i="1632"/>
  <c r="R42" i="1632"/>
  <c r="D42" i="1632"/>
  <c r="R41" i="1632"/>
  <c r="D41" i="1632"/>
  <c r="R40" i="1632"/>
  <c r="D40" i="1632"/>
  <c r="R39" i="1632"/>
  <c r="H39" i="1632"/>
  <c r="D39" i="1632"/>
  <c r="R38" i="1632"/>
  <c r="L9" i="1632" s="1"/>
  <c r="D9" i="1632" s="1"/>
  <c r="H38" i="1632"/>
  <c r="D38" i="1632"/>
  <c r="R37" i="1632"/>
  <c r="H37" i="1632"/>
  <c r="D37" i="1632"/>
  <c r="R36" i="1632"/>
  <c r="H36" i="1632"/>
  <c r="D36" i="1632"/>
  <c r="R35" i="1632"/>
  <c r="H35" i="1632"/>
  <c r="D35" i="1632"/>
  <c r="R34" i="1632"/>
  <c r="L12" i="1632" s="1"/>
  <c r="D12" i="1632" s="1"/>
  <c r="H34" i="1632"/>
  <c r="D34" i="1632"/>
  <c r="R33" i="1632"/>
  <c r="R32" i="1632"/>
  <c r="L11" i="1632" s="1"/>
  <c r="D11" i="1632" s="1"/>
  <c r="R31" i="1632"/>
  <c r="R30" i="1632"/>
  <c r="R29" i="1632"/>
  <c r="R28" i="1632"/>
  <c r="D28" i="1632"/>
  <c r="R27" i="1632"/>
  <c r="D27" i="1632"/>
  <c r="R26" i="1632"/>
  <c r="L26" i="1632"/>
  <c r="D26" i="1632" s="1"/>
  <c r="R25" i="1632"/>
  <c r="L25" i="1632"/>
  <c r="D25" i="1632" s="1"/>
  <c r="R24" i="1632"/>
  <c r="D24" i="1632"/>
  <c r="R23" i="1632"/>
  <c r="L23" i="1632"/>
  <c r="D23" i="1632" s="1"/>
  <c r="R22" i="1632"/>
  <c r="L22" i="1632"/>
  <c r="D22" i="1632" s="1"/>
  <c r="R21" i="1632"/>
  <c r="D21" i="1632"/>
  <c r="R20" i="1632"/>
  <c r="L20" i="1632"/>
  <c r="D20" i="1632" s="1"/>
  <c r="R19" i="1632"/>
  <c r="L19" i="1632"/>
  <c r="D19" i="1632" s="1"/>
  <c r="R18" i="1632"/>
  <c r="D18" i="1632"/>
  <c r="R17" i="1632"/>
  <c r="D17" i="1632"/>
  <c r="R16" i="1632"/>
  <c r="L16" i="1632"/>
  <c r="D16" i="1632" s="1"/>
  <c r="R15" i="1632"/>
  <c r="D15" i="1632"/>
  <c r="R14" i="1632"/>
  <c r="D14" i="1632"/>
  <c r="R13" i="1632"/>
  <c r="D13" i="1632"/>
  <c r="R12" i="1632"/>
  <c r="R11" i="1632"/>
  <c r="L10" i="1632"/>
  <c r="D10" i="1632" s="1"/>
  <c r="L8" i="1632"/>
  <c r="D8" i="1632"/>
  <c r="L7" i="1632"/>
  <c r="D7" i="1632"/>
  <c r="R6" i="1632"/>
  <c r="L6" i="1632"/>
  <c r="D6" i="1632"/>
  <c r="R5" i="1632"/>
  <c r="R4" i="1632"/>
  <c r="R52" i="1631"/>
  <c r="R51" i="1631"/>
  <c r="D50" i="1631"/>
  <c r="R49" i="1631"/>
  <c r="D49" i="1631"/>
  <c r="R48" i="1631"/>
  <c r="D48" i="1631"/>
  <c r="D46" i="1631"/>
  <c r="D45" i="1631"/>
  <c r="D44" i="1631"/>
  <c r="R42" i="1631"/>
  <c r="L6" i="1631" s="1"/>
  <c r="D6" i="1631" s="1"/>
  <c r="D42" i="1631"/>
  <c r="R41" i="1631"/>
  <c r="D41" i="1631"/>
  <c r="R40" i="1631"/>
  <c r="D40" i="1631"/>
  <c r="R39" i="1631"/>
  <c r="H39" i="1631"/>
  <c r="D39" i="1631"/>
  <c r="R38" i="1631"/>
  <c r="L9" i="1631" s="1"/>
  <c r="D9" i="1631" s="1"/>
  <c r="H38" i="1631"/>
  <c r="D38" i="1631"/>
  <c r="R37" i="1631"/>
  <c r="H37" i="1631"/>
  <c r="D37" i="1631"/>
  <c r="R36" i="1631"/>
  <c r="L10" i="1631" s="1"/>
  <c r="D10" i="1631" s="1"/>
  <c r="H36" i="1631"/>
  <c r="D36" i="1631"/>
  <c r="R35" i="1631"/>
  <c r="H35" i="1631"/>
  <c r="D35" i="1631"/>
  <c r="R34" i="1631"/>
  <c r="L12" i="1631" s="1"/>
  <c r="D12" i="1631" s="1"/>
  <c r="H34" i="1631"/>
  <c r="D34" i="1631"/>
  <c r="R33" i="1631"/>
  <c r="L23" i="1631" s="1"/>
  <c r="D23" i="1631" s="1"/>
  <c r="R32" i="1631"/>
  <c r="L11" i="1631" s="1"/>
  <c r="D11" i="1631" s="1"/>
  <c r="R31" i="1631"/>
  <c r="R30" i="1631"/>
  <c r="R29" i="1631"/>
  <c r="R28" i="1631"/>
  <c r="D28" i="1631"/>
  <c r="R27" i="1631"/>
  <c r="D27" i="1631"/>
  <c r="R26" i="1631"/>
  <c r="L26" i="1631"/>
  <c r="D26" i="1631"/>
  <c r="R25" i="1631"/>
  <c r="L25" i="1631"/>
  <c r="D25" i="1631"/>
  <c r="R24" i="1631"/>
  <c r="L24" i="1631"/>
  <c r="D24" i="1631" s="1"/>
  <c r="R23" i="1631"/>
  <c r="R22" i="1631"/>
  <c r="L22" i="1631"/>
  <c r="D22" i="1631" s="1"/>
  <c r="R21" i="1631"/>
  <c r="D21" i="1631"/>
  <c r="R20" i="1631"/>
  <c r="L20" i="1631"/>
  <c r="D20" i="1631" s="1"/>
  <c r="R19" i="1631"/>
  <c r="L19" i="1631"/>
  <c r="D19" i="1631" s="1"/>
  <c r="R18" i="1631"/>
  <c r="D18" i="1631"/>
  <c r="R17" i="1631"/>
  <c r="L17" i="1631"/>
  <c r="D17" i="1631" s="1"/>
  <c r="R16" i="1631"/>
  <c r="L16" i="1631"/>
  <c r="D16" i="1631" s="1"/>
  <c r="R15" i="1631"/>
  <c r="D15" i="1631"/>
  <c r="R14" i="1631"/>
  <c r="D14" i="1631"/>
  <c r="R13" i="1631"/>
  <c r="D13" i="1631"/>
  <c r="R12" i="1631"/>
  <c r="R11" i="1631"/>
  <c r="L8" i="1631"/>
  <c r="D8" i="1631"/>
  <c r="L7" i="1631"/>
  <c r="D7" i="1631"/>
  <c r="R6" i="1631"/>
  <c r="R5" i="1631"/>
  <c r="R4" i="1631"/>
  <c r="R52" i="1630"/>
  <c r="R51" i="1630"/>
  <c r="D50" i="1630"/>
  <c r="R49" i="1630"/>
  <c r="D49" i="1630"/>
  <c r="R48" i="1630"/>
  <c r="D48" i="1630"/>
  <c r="D46" i="1630"/>
  <c r="D45" i="1630"/>
  <c r="R44" i="1630"/>
  <c r="P44" i="1630"/>
  <c r="D44" i="1630"/>
  <c r="R42" i="1630"/>
  <c r="L6" i="1630" s="1"/>
  <c r="D6" i="1630" s="1"/>
  <c r="D42" i="1630"/>
  <c r="R41" i="1630"/>
  <c r="D41" i="1630"/>
  <c r="R40" i="1630"/>
  <c r="L8" i="1630" s="1"/>
  <c r="D8" i="1630" s="1"/>
  <c r="D40" i="1630"/>
  <c r="R39" i="1630"/>
  <c r="H39" i="1630"/>
  <c r="D39" i="1630"/>
  <c r="R38" i="1630"/>
  <c r="H38" i="1630"/>
  <c r="D38" i="1630"/>
  <c r="R37" i="1630"/>
  <c r="H37" i="1630"/>
  <c r="D37" i="1630"/>
  <c r="R36" i="1630"/>
  <c r="H36" i="1630"/>
  <c r="D36" i="1630"/>
  <c r="R35" i="1630"/>
  <c r="H35" i="1630"/>
  <c r="D35" i="1630"/>
  <c r="R34" i="1630"/>
  <c r="L12" i="1630" s="1"/>
  <c r="D12" i="1630" s="1"/>
  <c r="H34" i="1630"/>
  <c r="D34" i="1630"/>
  <c r="R33" i="1630"/>
  <c r="R32" i="1630"/>
  <c r="R31" i="1630"/>
  <c r="R30" i="1630"/>
  <c r="R29" i="1630"/>
  <c r="R28" i="1630"/>
  <c r="D28" i="1630"/>
  <c r="R27" i="1630"/>
  <c r="D27" i="1630"/>
  <c r="R26" i="1630"/>
  <c r="L26" i="1630"/>
  <c r="D26" i="1630"/>
  <c r="R25" i="1630"/>
  <c r="L25" i="1630"/>
  <c r="D25" i="1630"/>
  <c r="R24" i="1630"/>
  <c r="L24" i="1630"/>
  <c r="D24" i="1630"/>
  <c r="R23" i="1630"/>
  <c r="D23" i="1630"/>
  <c r="R22" i="1630"/>
  <c r="D22" i="1630"/>
  <c r="R21" i="1630"/>
  <c r="D21" i="1630"/>
  <c r="R20" i="1630"/>
  <c r="L20" i="1630"/>
  <c r="D20" i="1630"/>
  <c r="R19" i="1630"/>
  <c r="D19" i="1630"/>
  <c r="R18" i="1630"/>
  <c r="D18" i="1630"/>
  <c r="R17" i="1630"/>
  <c r="L17" i="1630"/>
  <c r="D17" i="1630"/>
  <c r="R16" i="1630"/>
  <c r="L16" i="1630"/>
  <c r="D16" i="1630" s="1"/>
  <c r="R15" i="1630"/>
  <c r="D15" i="1630"/>
  <c r="R14" i="1630"/>
  <c r="D14" i="1630"/>
  <c r="R13" i="1630"/>
  <c r="D13" i="1630"/>
  <c r="R12" i="1630"/>
  <c r="R11" i="1630"/>
  <c r="L11" i="1630"/>
  <c r="D11" i="1630"/>
  <c r="L10" i="1630"/>
  <c r="D10" i="1630" s="1"/>
  <c r="L9" i="1630"/>
  <c r="D9" i="1630" s="1"/>
  <c r="L7" i="1630"/>
  <c r="D7" i="1630"/>
  <c r="R6" i="1630"/>
  <c r="R5" i="1630"/>
  <c r="R4" i="1630"/>
  <c r="R52" i="1629"/>
  <c r="R51" i="1629"/>
  <c r="D50" i="1629"/>
  <c r="R49" i="1629"/>
  <c r="G49" i="1629"/>
  <c r="D49" i="1629"/>
  <c r="R48" i="1629"/>
  <c r="D48" i="1629"/>
  <c r="D46" i="1629"/>
  <c r="D45" i="1629"/>
  <c r="D44" i="1629"/>
  <c r="R42" i="1629"/>
  <c r="L6" i="1629" s="1"/>
  <c r="D6" i="1629" s="1"/>
  <c r="D42" i="1629"/>
  <c r="R41" i="1629"/>
  <c r="L7" i="1629" s="1"/>
  <c r="D7" i="1629" s="1"/>
  <c r="D41" i="1629"/>
  <c r="R40" i="1629"/>
  <c r="D40" i="1629"/>
  <c r="R39" i="1629"/>
  <c r="D39" i="1629"/>
  <c r="R38" i="1629"/>
  <c r="L9" i="1629" s="1"/>
  <c r="D9" i="1629" s="1"/>
  <c r="D38" i="1629"/>
  <c r="R37" i="1629"/>
  <c r="D37" i="1629"/>
  <c r="R36" i="1629"/>
  <c r="L10" i="1629" s="1"/>
  <c r="D10" i="1629" s="1"/>
  <c r="D36" i="1629"/>
  <c r="R35" i="1629"/>
  <c r="D35" i="1629"/>
  <c r="R34" i="1629"/>
  <c r="L12" i="1629" s="1"/>
  <c r="D12" i="1629" s="1"/>
  <c r="D34" i="1629"/>
  <c r="D54" i="1629" s="1"/>
  <c r="H14" i="1629" s="1"/>
  <c r="R33" i="1629"/>
  <c r="L23" i="1629" s="1"/>
  <c r="D23" i="1629" s="1"/>
  <c r="R32" i="1629"/>
  <c r="R31" i="1629"/>
  <c r="R30" i="1629"/>
  <c r="R29" i="1629"/>
  <c r="R28" i="1629"/>
  <c r="D28" i="1629"/>
  <c r="R27" i="1629"/>
  <c r="D27" i="1629"/>
  <c r="R26" i="1629"/>
  <c r="L26" i="1629"/>
  <c r="D26" i="1629"/>
  <c r="R25" i="1629"/>
  <c r="L25" i="1629"/>
  <c r="D25" i="1629"/>
  <c r="R24" i="1629"/>
  <c r="D24" i="1629"/>
  <c r="R23" i="1629"/>
  <c r="R22" i="1629"/>
  <c r="L22" i="1629"/>
  <c r="D22" i="1629"/>
  <c r="R21" i="1629"/>
  <c r="D21" i="1629"/>
  <c r="R20" i="1629"/>
  <c r="L20" i="1629"/>
  <c r="D20" i="1629"/>
  <c r="R19" i="1629"/>
  <c r="L19" i="1629"/>
  <c r="D19" i="1629"/>
  <c r="R18" i="1629"/>
  <c r="D18" i="1629"/>
  <c r="R17" i="1629"/>
  <c r="D17" i="1629"/>
  <c r="R16" i="1629"/>
  <c r="L16" i="1629"/>
  <c r="D16" i="1629" s="1"/>
  <c r="S15" i="1629"/>
  <c r="R15" i="1629"/>
  <c r="D15" i="1629"/>
  <c r="S14" i="1629"/>
  <c r="R14" i="1629"/>
  <c r="D14" i="1629"/>
  <c r="R13" i="1629"/>
  <c r="D13" i="1629"/>
  <c r="R12" i="1629"/>
  <c r="R11" i="1629"/>
  <c r="L11" i="1629"/>
  <c r="D11" i="1629"/>
  <c r="L8" i="1629"/>
  <c r="D8" i="1629"/>
  <c r="R6" i="1629"/>
  <c r="R5" i="1629"/>
  <c r="R4" i="1629"/>
  <c r="R52" i="1628"/>
  <c r="R51" i="1628"/>
  <c r="D50" i="1628"/>
  <c r="R49" i="1628"/>
  <c r="D49" i="1628"/>
  <c r="R48" i="1628"/>
  <c r="D48" i="1628"/>
  <c r="D46" i="1628"/>
  <c r="D45" i="1628"/>
  <c r="D44" i="1628"/>
  <c r="R42" i="1628"/>
  <c r="D42" i="1628"/>
  <c r="R41" i="1628"/>
  <c r="D41" i="1628"/>
  <c r="R40" i="1628"/>
  <c r="L8" i="1628" s="1"/>
  <c r="D8" i="1628" s="1"/>
  <c r="D40" i="1628"/>
  <c r="R39" i="1628"/>
  <c r="H39" i="1628"/>
  <c r="D39" i="1628"/>
  <c r="R38" i="1628"/>
  <c r="H38" i="1628"/>
  <c r="D38" i="1628"/>
  <c r="R37" i="1628"/>
  <c r="H37" i="1628"/>
  <c r="D37" i="1628"/>
  <c r="R36" i="1628"/>
  <c r="H36" i="1628"/>
  <c r="D36" i="1628"/>
  <c r="R35" i="1628"/>
  <c r="L19" i="1628" s="1"/>
  <c r="D19" i="1628" s="1"/>
  <c r="H35" i="1628"/>
  <c r="D35" i="1628"/>
  <c r="R34" i="1628"/>
  <c r="L12" i="1628" s="1"/>
  <c r="D12" i="1628" s="1"/>
  <c r="H34" i="1628"/>
  <c r="D34" i="1628"/>
  <c r="R33" i="1628"/>
  <c r="L23" i="1628" s="1"/>
  <c r="D23" i="1628" s="1"/>
  <c r="R32" i="1628"/>
  <c r="R31" i="1628"/>
  <c r="R30" i="1628"/>
  <c r="R29" i="1628"/>
  <c r="R28" i="1628"/>
  <c r="L16" i="1628" s="1"/>
  <c r="D16" i="1628" s="1"/>
  <c r="D28" i="1628"/>
  <c r="R27" i="1628"/>
  <c r="D27" i="1628"/>
  <c r="R26" i="1628"/>
  <c r="L26" i="1628"/>
  <c r="D26" i="1628"/>
  <c r="R25" i="1628"/>
  <c r="L25" i="1628"/>
  <c r="D25" i="1628"/>
  <c r="R24" i="1628"/>
  <c r="D24" i="1628"/>
  <c r="R23" i="1628"/>
  <c r="R22" i="1628"/>
  <c r="L22" i="1628"/>
  <c r="D22" i="1628"/>
  <c r="R21" i="1628"/>
  <c r="D21" i="1628"/>
  <c r="R20" i="1628"/>
  <c r="L20" i="1628"/>
  <c r="D20" i="1628"/>
  <c r="R19" i="1628"/>
  <c r="R18" i="1628"/>
  <c r="D18" i="1628"/>
  <c r="R17" i="1628"/>
  <c r="D17" i="1628"/>
  <c r="R16" i="1628"/>
  <c r="R15" i="1628"/>
  <c r="D15" i="1628"/>
  <c r="R14" i="1628"/>
  <c r="D14" i="1628"/>
  <c r="R13" i="1628"/>
  <c r="D13" i="1628"/>
  <c r="R12" i="1628"/>
  <c r="R11" i="1628"/>
  <c r="L11" i="1628"/>
  <c r="D11" i="1628" s="1"/>
  <c r="L10" i="1628"/>
  <c r="D10" i="1628"/>
  <c r="L9" i="1628"/>
  <c r="D9" i="1628"/>
  <c r="L7" i="1628"/>
  <c r="D7" i="1628" s="1"/>
  <c r="R6" i="1628"/>
  <c r="L6" i="1628"/>
  <c r="D6" i="1628" s="1"/>
  <c r="R5" i="1628"/>
  <c r="R4" i="1628"/>
  <c r="R52" i="1627"/>
  <c r="R51" i="1627"/>
  <c r="D50" i="1627"/>
  <c r="R49" i="1627"/>
  <c r="D49" i="1627"/>
  <c r="R48" i="1627"/>
  <c r="D48" i="1627"/>
  <c r="D46" i="1627"/>
  <c r="D45" i="1627"/>
  <c r="D44" i="1627"/>
  <c r="R42" i="1627"/>
  <c r="L6" i="1627" s="1"/>
  <c r="D6" i="1627" s="1"/>
  <c r="D42" i="1627"/>
  <c r="R41" i="1627"/>
  <c r="D41" i="1627"/>
  <c r="R40" i="1627"/>
  <c r="D40" i="1627"/>
  <c r="R39" i="1627"/>
  <c r="L20" i="1627" s="1"/>
  <c r="D20" i="1627" s="1"/>
  <c r="H39" i="1627"/>
  <c r="D39" i="1627"/>
  <c r="R38" i="1627"/>
  <c r="L9" i="1627" s="1"/>
  <c r="D9" i="1627" s="1"/>
  <c r="H38" i="1627"/>
  <c r="D38" i="1627"/>
  <c r="R37" i="1627"/>
  <c r="H37" i="1627"/>
  <c r="D37" i="1627"/>
  <c r="R36" i="1627"/>
  <c r="L10" i="1627" s="1"/>
  <c r="D10" i="1627" s="1"/>
  <c r="H36" i="1627"/>
  <c r="D36" i="1627"/>
  <c r="R35" i="1627"/>
  <c r="H35" i="1627"/>
  <c r="D35" i="1627"/>
  <c r="R34" i="1627"/>
  <c r="H34" i="1627"/>
  <c r="D34" i="1627"/>
  <c r="R33" i="1627"/>
  <c r="L23" i="1627" s="1"/>
  <c r="D23" i="1627" s="1"/>
  <c r="R32" i="1627"/>
  <c r="R31" i="1627"/>
  <c r="R30" i="1627"/>
  <c r="R29" i="1627"/>
  <c r="R28" i="1627"/>
  <c r="D28" i="1627"/>
  <c r="R27" i="1627"/>
  <c r="D27" i="1627"/>
  <c r="R26" i="1627"/>
  <c r="L26" i="1627"/>
  <c r="D26" i="1627" s="1"/>
  <c r="R25" i="1627"/>
  <c r="L25" i="1627"/>
  <c r="D25" i="1627"/>
  <c r="R24" i="1627"/>
  <c r="L24" i="1627"/>
  <c r="D24" i="1627" s="1"/>
  <c r="R23" i="1627"/>
  <c r="R22" i="1627"/>
  <c r="L22" i="1627"/>
  <c r="D22" i="1627" s="1"/>
  <c r="R21" i="1627"/>
  <c r="L17" i="1627" s="1"/>
  <c r="D17" i="1627" s="1"/>
  <c r="D21" i="1627"/>
  <c r="R20" i="1627"/>
  <c r="R19" i="1627"/>
  <c r="L19" i="1627"/>
  <c r="D19" i="1627" s="1"/>
  <c r="R18" i="1627"/>
  <c r="D18" i="1627"/>
  <c r="R17" i="1627"/>
  <c r="R16" i="1627"/>
  <c r="L16" i="1627"/>
  <c r="D16" i="1627" s="1"/>
  <c r="R15" i="1627"/>
  <c r="D15" i="1627"/>
  <c r="R14" i="1627"/>
  <c r="D14" i="1627"/>
  <c r="R13" i="1627"/>
  <c r="D13" i="1627"/>
  <c r="R12" i="1627"/>
  <c r="L12" i="1627"/>
  <c r="D12" i="1627" s="1"/>
  <c r="R11" i="1627"/>
  <c r="L11" i="1627"/>
  <c r="D11" i="1627"/>
  <c r="L8" i="1627"/>
  <c r="D8" i="1627"/>
  <c r="L7" i="1627"/>
  <c r="D7" i="1627" s="1"/>
  <c r="R6" i="1627"/>
  <c r="R5" i="1627"/>
  <c r="R4" i="1627"/>
  <c r="R52" i="1626"/>
  <c r="R51" i="1626"/>
  <c r="D50" i="1626"/>
  <c r="R49" i="1626"/>
  <c r="D49" i="1626"/>
  <c r="R48" i="1626"/>
  <c r="D48" i="1626"/>
  <c r="D46" i="1626"/>
  <c r="D45" i="1626"/>
  <c r="R44" i="1626"/>
  <c r="P44" i="1626"/>
  <c r="D44" i="1626"/>
  <c r="R42" i="1626"/>
  <c r="D42" i="1626"/>
  <c r="R41" i="1626"/>
  <c r="L7" i="1626" s="1"/>
  <c r="D7" i="1626" s="1"/>
  <c r="D41" i="1626"/>
  <c r="R40" i="1626"/>
  <c r="D40" i="1626"/>
  <c r="R39" i="1626"/>
  <c r="L20" i="1626" s="1"/>
  <c r="D20" i="1626" s="1"/>
  <c r="H39" i="1626"/>
  <c r="D39" i="1626"/>
  <c r="R38" i="1626"/>
  <c r="H38" i="1626"/>
  <c r="D38" i="1626"/>
  <c r="R37" i="1626"/>
  <c r="H37" i="1626"/>
  <c r="D37" i="1626"/>
  <c r="R36" i="1626"/>
  <c r="H36" i="1626"/>
  <c r="D36" i="1626"/>
  <c r="R35" i="1626"/>
  <c r="H35" i="1626"/>
  <c r="D35" i="1626"/>
  <c r="R34" i="1626"/>
  <c r="L12" i="1626" s="1"/>
  <c r="D12" i="1626" s="1"/>
  <c r="H34" i="1626"/>
  <c r="D34" i="1626"/>
  <c r="R33" i="1626"/>
  <c r="R32" i="1626"/>
  <c r="R31" i="1626"/>
  <c r="R30" i="1626"/>
  <c r="R29" i="1626"/>
  <c r="R28" i="1626"/>
  <c r="D28" i="1626"/>
  <c r="R27" i="1626"/>
  <c r="D27" i="1626"/>
  <c r="R26" i="1626"/>
  <c r="L26" i="1626"/>
  <c r="D26" i="1626"/>
  <c r="R25" i="1626"/>
  <c r="L25" i="1626"/>
  <c r="D25" i="1626" s="1"/>
  <c r="R24" i="1626"/>
  <c r="L24" i="1626"/>
  <c r="D24" i="1626"/>
  <c r="R23" i="1626"/>
  <c r="D23" i="1626"/>
  <c r="R22" i="1626"/>
  <c r="D22" i="1626"/>
  <c r="R21" i="1626"/>
  <c r="D21" i="1626"/>
  <c r="R20" i="1626"/>
  <c r="R19" i="1626"/>
  <c r="D19" i="1626"/>
  <c r="R18" i="1626"/>
  <c r="D18" i="1626"/>
  <c r="R17" i="1626"/>
  <c r="L17" i="1626"/>
  <c r="D17" i="1626"/>
  <c r="R16" i="1626"/>
  <c r="L16" i="1626"/>
  <c r="D16" i="1626" s="1"/>
  <c r="R15" i="1626"/>
  <c r="D15" i="1626"/>
  <c r="R14" i="1626"/>
  <c r="D14" i="1626"/>
  <c r="R13" i="1626"/>
  <c r="D13" i="1626"/>
  <c r="R12" i="1626"/>
  <c r="R11" i="1626"/>
  <c r="L11" i="1626"/>
  <c r="D11" i="1626"/>
  <c r="L10" i="1626"/>
  <c r="D10" i="1626" s="1"/>
  <c r="L9" i="1626"/>
  <c r="D9" i="1626" s="1"/>
  <c r="L8" i="1626"/>
  <c r="D8" i="1626" s="1"/>
  <c r="R6" i="1626"/>
  <c r="L6" i="1626"/>
  <c r="D6" i="1626" s="1"/>
  <c r="R5" i="1626"/>
  <c r="R4" i="1626"/>
  <c r="R52" i="1625"/>
  <c r="R51" i="1625"/>
  <c r="D50" i="1625"/>
  <c r="R49" i="1625"/>
  <c r="G49" i="1625"/>
  <c r="D49" i="1625"/>
  <c r="R48" i="1625"/>
  <c r="D48" i="1625"/>
  <c r="D46" i="1625"/>
  <c r="D45" i="1625"/>
  <c r="D44" i="1625"/>
  <c r="R42" i="1625"/>
  <c r="L6" i="1625" s="1"/>
  <c r="D6" i="1625" s="1"/>
  <c r="D42" i="1625"/>
  <c r="R41" i="1625"/>
  <c r="L7" i="1625" s="1"/>
  <c r="D7" i="1625" s="1"/>
  <c r="D41" i="1625"/>
  <c r="R40" i="1625"/>
  <c r="D40" i="1625"/>
  <c r="R39" i="1625"/>
  <c r="D39" i="1625"/>
  <c r="R38" i="1625"/>
  <c r="L9" i="1625" s="1"/>
  <c r="D9" i="1625" s="1"/>
  <c r="D38" i="1625"/>
  <c r="R37" i="1625"/>
  <c r="D37" i="1625"/>
  <c r="R36" i="1625"/>
  <c r="L10" i="1625" s="1"/>
  <c r="D10" i="1625" s="1"/>
  <c r="D36" i="1625"/>
  <c r="R35" i="1625"/>
  <c r="L19" i="1625" s="1"/>
  <c r="D19" i="1625" s="1"/>
  <c r="D35" i="1625"/>
  <c r="R34" i="1625"/>
  <c r="L12" i="1625" s="1"/>
  <c r="D12" i="1625" s="1"/>
  <c r="D34" i="1625"/>
  <c r="D54" i="1625" s="1"/>
  <c r="H14" i="1625" s="1"/>
  <c r="R33" i="1625"/>
  <c r="L23" i="1625" s="1"/>
  <c r="D23" i="1625" s="1"/>
  <c r="R32" i="1625"/>
  <c r="R31" i="1625"/>
  <c r="R30" i="1625"/>
  <c r="R29" i="1625"/>
  <c r="R28" i="1625"/>
  <c r="D28" i="1625"/>
  <c r="R27" i="1625"/>
  <c r="D27" i="1625"/>
  <c r="R26" i="1625"/>
  <c r="L26" i="1625"/>
  <c r="D26" i="1625"/>
  <c r="R25" i="1625"/>
  <c r="L25" i="1625"/>
  <c r="D25" i="1625"/>
  <c r="R24" i="1625"/>
  <c r="D24" i="1625"/>
  <c r="R23" i="1625"/>
  <c r="R22" i="1625"/>
  <c r="L22" i="1625"/>
  <c r="D22" i="1625"/>
  <c r="R21" i="1625"/>
  <c r="D21" i="1625"/>
  <c r="R20" i="1625"/>
  <c r="L20" i="1625"/>
  <c r="D20" i="1625"/>
  <c r="R19" i="1625"/>
  <c r="R18" i="1625"/>
  <c r="D18" i="1625"/>
  <c r="R17" i="1625"/>
  <c r="D17" i="1625"/>
  <c r="R16" i="1625"/>
  <c r="L16" i="1625"/>
  <c r="D16" i="1625" s="1"/>
  <c r="S15" i="1625"/>
  <c r="R15" i="1625"/>
  <c r="D15" i="1625"/>
  <c r="S14" i="1625"/>
  <c r="R14" i="1625"/>
  <c r="D14" i="1625"/>
  <c r="R13" i="1625"/>
  <c r="D13" i="1625"/>
  <c r="R12" i="1625"/>
  <c r="R11" i="1625"/>
  <c r="L11" i="1625"/>
  <c r="D11" i="1625"/>
  <c r="L8" i="1625"/>
  <c r="D8" i="1625"/>
  <c r="R6" i="1625"/>
  <c r="R5" i="1625"/>
  <c r="R4" i="1625"/>
  <c r="R52" i="1624"/>
  <c r="R51" i="1624"/>
  <c r="D50" i="1624"/>
  <c r="R49" i="1624"/>
  <c r="D49" i="1624"/>
  <c r="R48" i="1624"/>
  <c r="D48" i="1624"/>
  <c r="D46" i="1624"/>
  <c r="D45" i="1624"/>
  <c r="D44" i="1624"/>
  <c r="R42" i="1624"/>
  <c r="D42" i="1624"/>
  <c r="R41" i="1624"/>
  <c r="L7" i="1624" s="1"/>
  <c r="D7" i="1624" s="1"/>
  <c r="D41" i="1624"/>
  <c r="R40" i="1624"/>
  <c r="L8" i="1624" s="1"/>
  <c r="D8" i="1624" s="1"/>
  <c r="D40" i="1624"/>
  <c r="R39" i="1624"/>
  <c r="H39" i="1624"/>
  <c r="D39" i="1624"/>
  <c r="R38" i="1624"/>
  <c r="L9" i="1624" s="1"/>
  <c r="D9" i="1624" s="1"/>
  <c r="H38" i="1624"/>
  <c r="D38" i="1624"/>
  <c r="R37" i="1624"/>
  <c r="H37" i="1624"/>
  <c r="D37" i="1624"/>
  <c r="R36" i="1624"/>
  <c r="H36" i="1624"/>
  <c r="D36" i="1624"/>
  <c r="R35" i="1624"/>
  <c r="L19" i="1624" s="1"/>
  <c r="D19" i="1624" s="1"/>
  <c r="H35" i="1624"/>
  <c r="D35" i="1624"/>
  <c r="R34" i="1624"/>
  <c r="L12" i="1624" s="1"/>
  <c r="D12" i="1624" s="1"/>
  <c r="H34" i="1624"/>
  <c r="G49" i="1624" s="1"/>
  <c r="D34" i="1624"/>
  <c r="D54" i="1624" s="1"/>
  <c r="H14" i="1624" s="1"/>
  <c r="R33" i="1624"/>
  <c r="L23" i="1624" s="1"/>
  <c r="D23" i="1624" s="1"/>
  <c r="R32" i="1624"/>
  <c r="R31" i="1624"/>
  <c r="R30" i="1624"/>
  <c r="R29" i="1624"/>
  <c r="R28" i="1624"/>
  <c r="L16" i="1624" s="1"/>
  <c r="D16" i="1624" s="1"/>
  <c r="D28" i="1624"/>
  <c r="R27" i="1624"/>
  <c r="D27" i="1624"/>
  <c r="R26" i="1624"/>
  <c r="L26" i="1624"/>
  <c r="D26" i="1624" s="1"/>
  <c r="R25" i="1624"/>
  <c r="L25" i="1624"/>
  <c r="D25" i="1624"/>
  <c r="R24" i="1624"/>
  <c r="D24" i="1624"/>
  <c r="R23" i="1624"/>
  <c r="R22" i="1624"/>
  <c r="L22" i="1624"/>
  <c r="D22" i="1624"/>
  <c r="R21" i="1624"/>
  <c r="D21" i="1624"/>
  <c r="R20" i="1624"/>
  <c r="L20" i="1624"/>
  <c r="D20" i="1624" s="1"/>
  <c r="R19" i="1624"/>
  <c r="R18" i="1624"/>
  <c r="D18" i="1624"/>
  <c r="R17" i="1624"/>
  <c r="D17" i="1624"/>
  <c r="R16" i="1624"/>
  <c r="R15" i="1624"/>
  <c r="D15" i="1624"/>
  <c r="R14" i="1624"/>
  <c r="D14" i="1624"/>
  <c r="R13" i="1624"/>
  <c r="D13" i="1624"/>
  <c r="R12" i="1624"/>
  <c r="R11" i="1624"/>
  <c r="L11" i="1624"/>
  <c r="D11" i="1624" s="1"/>
  <c r="L10" i="1624"/>
  <c r="D10" i="1624"/>
  <c r="R6" i="1624"/>
  <c r="L6" i="1624"/>
  <c r="D6" i="1624" s="1"/>
  <c r="D29" i="1624" s="1"/>
  <c r="H13" i="1624" s="1"/>
  <c r="R5" i="1624"/>
  <c r="R4" i="1624"/>
  <c r="R52" i="1623"/>
  <c r="R51" i="1623"/>
  <c r="D50" i="1623"/>
  <c r="R49" i="1623"/>
  <c r="D49" i="1623"/>
  <c r="R48" i="1623"/>
  <c r="D48" i="1623"/>
  <c r="D46" i="1623"/>
  <c r="D45" i="1623"/>
  <c r="D44" i="1623"/>
  <c r="R42" i="1623"/>
  <c r="D42" i="1623"/>
  <c r="R41" i="1623"/>
  <c r="L7" i="1623" s="1"/>
  <c r="D7" i="1623" s="1"/>
  <c r="D29" i="1623" s="1"/>
  <c r="H13" i="1623" s="1"/>
  <c r="H15" i="1623" s="1"/>
  <c r="H29" i="1623" s="1"/>
  <c r="D41" i="1623"/>
  <c r="R40" i="1623"/>
  <c r="D40" i="1623"/>
  <c r="R39" i="1623"/>
  <c r="L20" i="1623" s="1"/>
  <c r="D20" i="1623" s="1"/>
  <c r="H39" i="1623"/>
  <c r="D39" i="1623"/>
  <c r="R38" i="1623"/>
  <c r="H38" i="1623"/>
  <c r="D38" i="1623"/>
  <c r="R37" i="1623"/>
  <c r="H37" i="1623"/>
  <c r="D37" i="1623"/>
  <c r="R36" i="1623"/>
  <c r="H36" i="1623"/>
  <c r="D36" i="1623"/>
  <c r="R35" i="1623"/>
  <c r="H35" i="1623"/>
  <c r="D35" i="1623"/>
  <c r="D54" i="1623" s="1"/>
  <c r="H14" i="1623" s="1"/>
  <c r="R34" i="1623"/>
  <c r="L12" i="1623" s="1"/>
  <c r="D12" i="1623" s="1"/>
  <c r="H34" i="1623"/>
  <c r="G49" i="1623" s="1"/>
  <c r="D34" i="1623"/>
  <c r="R33" i="1623"/>
  <c r="R32" i="1623"/>
  <c r="R31" i="1623"/>
  <c r="R30" i="1623"/>
  <c r="R29" i="1623"/>
  <c r="R28" i="1623"/>
  <c r="D28" i="1623"/>
  <c r="R27" i="1623"/>
  <c r="D27" i="1623"/>
  <c r="R26" i="1623"/>
  <c r="L26" i="1623"/>
  <c r="D26" i="1623"/>
  <c r="R25" i="1623"/>
  <c r="L25" i="1623"/>
  <c r="D25" i="1623"/>
  <c r="R24" i="1623"/>
  <c r="L24" i="1623"/>
  <c r="D24" i="1623"/>
  <c r="R23" i="1623"/>
  <c r="L23" i="1623"/>
  <c r="D23" i="1623"/>
  <c r="R22" i="1623"/>
  <c r="L22" i="1623"/>
  <c r="D22" i="1623" s="1"/>
  <c r="R21" i="1623"/>
  <c r="D21" i="1623"/>
  <c r="R20" i="1623"/>
  <c r="R19" i="1623"/>
  <c r="L19" i="1623"/>
  <c r="D19" i="1623" s="1"/>
  <c r="R18" i="1623"/>
  <c r="D18" i="1623"/>
  <c r="R17" i="1623"/>
  <c r="L17" i="1623"/>
  <c r="D17" i="1623"/>
  <c r="R16" i="1623"/>
  <c r="L16" i="1623"/>
  <c r="D16" i="1623" s="1"/>
  <c r="R15" i="1623"/>
  <c r="D15" i="1623"/>
  <c r="R14" i="1623"/>
  <c r="D14" i="1623"/>
  <c r="R13" i="1623"/>
  <c r="D13" i="1623"/>
  <c r="R12" i="1623"/>
  <c r="R11" i="1623"/>
  <c r="L11" i="1623"/>
  <c r="D11" i="1623"/>
  <c r="L10" i="1623"/>
  <c r="D10" i="1623"/>
  <c r="L9" i="1623"/>
  <c r="D9" i="1623"/>
  <c r="L8" i="1623"/>
  <c r="D8" i="1623"/>
  <c r="R6" i="1623"/>
  <c r="L6" i="1623"/>
  <c r="D6" i="1623"/>
  <c r="R5" i="1623"/>
  <c r="R4" i="1623"/>
  <c r="R52" i="1622"/>
  <c r="R51" i="1622"/>
  <c r="D50" i="1622"/>
  <c r="R49" i="1622"/>
  <c r="D49" i="1622"/>
  <c r="R48" i="1622"/>
  <c r="D48" i="1622"/>
  <c r="D46" i="1622"/>
  <c r="D45" i="1622"/>
  <c r="P44" i="1622"/>
  <c r="R44" i="1622" s="1"/>
  <c r="D44" i="1622"/>
  <c r="R42" i="1622"/>
  <c r="L6" i="1622" s="1"/>
  <c r="D6" i="1622" s="1"/>
  <c r="D42" i="1622"/>
  <c r="R41" i="1622"/>
  <c r="L7" i="1622" s="1"/>
  <c r="D7" i="1622" s="1"/>
  <c r="D41" i="1622"/>
  <c r="R40" i="1622"/>
  <c r="D40" i="1622"/>
  <c r="R39" i="1622"/>
  <c r="L20" i="1622" s="1"/>
  <c r="D20" i="1622" s="1"/>
  <c r="H39" i="1622"/>
  <c r="D39" i="1622"/>
  <c r="R38" i="1622"/>
  <c r="H38" i="1622"/>
  <c r="D38" i="1622"/>
  <c r="R37" i="1622"/>
  <c r="H37" i="1622"/>
  <c r="D37" i="1622"/>
  <c r="R36" i="1622"/>
  <c r="H36" i="1622"/>
  <c r="D36" i="1622"/>
  <c r="R35" i="1622"/>
  <c r="H35" i="1622"/>
  <c r="D35" i="1622"/>
  <c r="R34" i="1622"/>
  <c r="L12" i="1622" s="1"/>
  <c r="D12" i="1622" s="1"/>
  <c r="H34" i="1622"/>
  <c r="G49" i="1622" s="1"/>
  <c r="D34" i="1622"/>
  <c r="D54" i="1622" s="1"/>
  <c r="H14" i="1622" s="1"/>
  <c r="R33" i="1622"/>
  <c r="R32" i="1622"/>
  <c r="R31" i="1622"/>
  <c r="R30" i="1622"/>
  <c r="R29" i="1622"/>
  <c r="R28" i="1622"/>
  <c r="D28" i="1622"/>
  <c r="R27" i="1622"/>
  <c r="D27" i="1622"/>
  <c r="R26" i="1622"/>
  <c r="L26" i="1622"/>
  <c r="D26" i="1622"/>
  <c r="R25" i="1622"/>
  <c r="L25" i="1622"/>
  <c r="D25" i="1622" s="1"/>
  <c r="R24" i="1622"/>
  <c r="L24" i="1622"/>
  <c r="D24" i="1622"/>
  <c r="R23" i="1622"/>
  <c r="D23" i="1622"/>
  <c r="R22" i="1622"/>
  <c r="D22" i="1622"/>
  <c r="R21" i="1622"/>
  <c r="D21" i="1622"/>
  <c r="R20" i="1622"/>
  <c r="R19" i="1622"/>
  <c r="D19" i="1622"/>
  <c r="R18" i="1622"/>
  <c r="D18" i="1622"/>
  <c r="R17" i="1622"/>
  <c r="L17" i="1622"/>
  <c r="D17" i="1622"/>
  <c r="R16" i="1622"/>
  <c r="L16" i="1622"/>
  <c r="D16" i="1622"/>
  <c r="R15" i="1622"/>
  <c r="D15" i="1622"/>
  <c r="R14" i="1622"/>
  <c r="D14" i="1622"/>
  <c r="R13" i="1622"/>
  <c r="D13" i="1622"/>
  <c r="R12" i="1622"/>
  <c r="R11" i="1622"/>
  <c r="L11" i="1622"/>
  <c r="D11" i="1622"/>
  <c r="L10" i="1622"/>
  <c r="D10" i="1622" s="1"/>
  <c r="L9" i="1622"/>
  <c r="D9" i="1622" s="1"/>
  <c r="L8" i="1622"/>
  <c r="D8" i="1622"/>
  <c r="R6" i="1622"/>
  <c r="R5" i="1622"/>
  <c r="R4" i="1622"/>
  <c r="R52" i="1621"/>
  <c r="R51" i="1621"/>
  <c r="D50" i="1621"/>
  <c r="R49" i="1621"/>
  <c r="G49" i="1621"/>
  <c r="D49" i="1621"/>
  <c r="R48" i="1621"/>
  <c r="D48" i="1621"/>
  <c r="D46" i="1621"/>
  <c r="D45" i="1621"/>
  <c r="D44" i="1621"/>
  <c r="R42" i="1621"/>
  <c r="D42" i="1621"/>
  <c r="R41" i="1621"/>
  <c r="L7" i="1621" s="1"/>
  <c r="D7" i="1621" s="1"/>
  <c r="D41" i="1621"/>
  <c r="R40" i="1621"/>
  <c r="L8" i="1621" s="1"/>
  <c r="D8" i="1621" s="1"/>
  <c r="D40" i="1621"/>
  <c r="R39" i="1621"/>
  <c r="D39" i="1621"/>
  <c r="R38" i="1621"/>
  <c r="L9" i="1621" s="1"/>
  <c r="D9" i="1621" s="1"/>
  <c r="D38" i="1621"/>
  <c r="R37" i="1621"/>
  <c r="D37" i="1621"/>
  <c r="R36" i="1621"/>
  <c r="L10" i="1621" s="1"/>
  <c r="D10" i="1621" s="1"/>
  <c r="D36" i="1621"/>
  <c r="R35" i="1621"/>
  <c r="D35" i="1621"/>
  <c r="D54" i="1621" s="1"/>
  <c r="H14" i="1621" s="1"/>
  <c r="R34" i="1621"/>
  <c r="L12" i="1621" s="1"/>
  <c r="D12" i="1621" s="1"/>
  <c r="D34" i="1621"/>
  <c r="R33" i="1621"/>
  <c r="R32" i="1621"/>
  <c r="R31" i="1621"/>
  <c r="R30" i="1621"/>
  <c r="R29" i="1621"/>
  <c r="R28" i="1621"/>
  <c r="L16" i="1621" s="1"/>
  <c r="D16" i="1621" s="1"/>
  <c r="D28" i="1621"/>
  <c r="R27" i="1621"/>
  <c r="D27" i="1621"/>
  <c r="R26" i="1621"/>
  <c r="L26" i="1621"/>
  <c r="D26" i="1621"/>
  <c r="R25" i="1621"/>
  <c r="L25" i="1621"/>
  <c r="D25" i="1621"/>
  <c r="R24" i="1621"/>
  <c r="D24" i="1621"/>
  <c r="R23" i="1621"/>
  <c r="L23" i="1621"/>
  <c r="D23" i="1621" s="1"/>
  <c r="R22" i="1621"/>
  <c r="L22" i="1621"/>
  <c r="D22" i="1621" s="1"/>
  <c r="R21" i="1621"/>
  <c r="D21" i="1621"/>
  <c r="R20" i="1621"/>
  <c r="L20" i="1621"/>
  <c r="D20" i="1621"/>
  <c r="R19" i="1621"/>
  <c r="L19" i="1621"/>
  <c r="D19" i="1621"/>
  <c r="R18" i="1621"/>
  <c r="D18" i="1621"/>
  <c r="R17" i="1621"/>
  <c r="D17" i="1621"/>
  <c r="R16" i="1621"/>
  <c r="S15" i="1621"/>
  <c r="R15" i="1621"/>
  <c r="D15" i="1621"/>
  <c r="S14" i="1621"/>
  <c r="R14" i="1621"/>
  <c r="D14" i="1621"/>
  <c r="R13" i="1621"/>
  <c r="D13" i="1621"/>
  <c r="R12" i="1621"/>
  <c r="R11" i="1621"/>
  <c r="L11" i="1621"/>
  <c r="D11" i="1621" s="1"/>
  <c r="R6" i="1621"/>
  <c r="L6" i="1621"/>
  <c r="D6" i="1621" s="1"/>
  <c r="D29" i="1621" s="1"/>
  <c r="H13" i="1621" s="1"/>
  <c r="H15" i="1621" s="1"/>
  <c r="H29" i="1621" s="1"/>
  <c r="R5" i="1621"/>
  <c r="R4" i="1621"/>
  <c r="R52" i="1620"/>
  <c r="R51" i="1620"/>
  <c r="D50" i="1620"/>
  <c r="R49" i="1620"/>
  <c r="D49" i="1620"/>
  <c r="R48" i="1620"/>
  <c r="D48" i="1620"/>
  <c r="D46" i="1620"/>
  <c r="D45" i="1620"/>
  <c r="D44" i="1620"/>
  <c r="R42" i="1620"/>
  <c r="D42" i="1620"/>
  <c r="R41" i="1620"/>
  <c r="D41" i="1620"/>
  <c r="R40" i="1620"/>
  <c r="L8" i="1620" s="1"/>
  <c r="D8" i="1620" s="1"/>
  <c r="D40" i="1620"/>
  <c r="R39" i="1620"/>
  <c r="H39" i="1620"/>
  <c r="D39" i="1620"/>
  <c r="R38" i="1620"/>
  <c r="L9" i="1620" s="1"/>
  <c r="D9" i="1620" s="1"/>
  <c r="H38" i="1620"/>
  <c r="D38" i="1620"/>
  <c r="R37" i="1620"/>
  <c r="H37" i="1620"/>
  <c r="D37" i="1620"/>
  <c r="R36" i="1620"/>
  <c r="H36" i="1620"/>
  <c r="D36" i="1620"/>
  <c r="R35" i="1620"/>
  <c r="H35" i="1620"/>
  <c r="D35" i="1620"/>
  <c r="R34" i="1620"/>
  <c r="H34" i="1620"/>
  <c r="D34" i="1620"/>
  <c r="R33" i="1620"/>
  <c r="L23" i="1620" s="1"/>
  <c r="D23" i="1620" s="1"/>
  <c r="R32" i="1620"/>
  <c r="L11" i="1620" s="1"/>
  <c r="D11" i="1620" s="1"/>
  <c r="R31" i="1620"/>
  <c r="R30" i="1620"/>
  <c r="R29" i="1620"/>
  <c r="R28" i="1620"/>
  <c r="D28" i="1620"/>
  <c r="R27" i="1620"/>
  <c r="D27" i="1620"/>
  <c r="R26" i="1620"/>
  <c r="L26" i="1620"/>
  <c r="D26" i="1620"/>
  <c r="R25" i="1620"/>
  <c r="L25" i="1620"/>
  <c r="D25" i="1620"/>
  <c r="R24" i="1620"/>
  <c r="D24" i="1620"/>
  <c r="R23" i="1620"/>
  <c r="R22" i="1620"/>
  <c r="L22" i="1620"/>
  <c r="D22" i="1620"/>
  <c r="R21" i="1620"/>
  <c r="D21" i="1620"/>
  <c r="R20" i="1620"/>
  <c r="L20" i="1620"/>
  <c r="D20" i="1620"/>
  <c r="R19" i="1620"/>
  <c r="L19" i="1620"/>
  <c r="D19" i="1620"/>
  <c r="R18" i="1620"/>
  <c r="D18" i="1620"/>
  <c r="R17" i="1620"/>
  <c r="D17" i="1620"/>
  <c r="R16" i="1620"/>
  <c r="L16" i="1620"/>
  <c r="D16" i="1620" s="1"/>
  <c r="R15" i="1620"/>
  <c r="D15" i="1620"/>
  <c r="R14" i="1620"/>
  <c r="D14" i="1620"/>
  <c r="R13" i="1620"/>
  <c r="D13" i="1620"/>
  <c r="R12" i="1620"/>
  <c r="L12" i="1620"/>
  <c r="D12" i="1620" s="1"/>
  <c r="R11" i="1620"/>
  <c r="L10" i="1620"/>
  <c r="D10" i="1620"/>
  <c r="L7" i="1620"/>
  <c r="D7" i="1620"/>
  <c r="R6" i="1620"/>
  <c r="L6" i="1620"/>
  <c r="D6" i="1620"/>
  <c r="R5" i="1620"/>
  <c r="R4" i="1620"/>
  <c r="R52" i="1619"/>
  <c r="R51" i="1619"/>
  <c r="D50" i="1619"/>
  <c r="R49" i="1619"/>
  <c r="D49" i="1619"/>
  <c r="R48" i="1619"/>
  <c r="D48" i="1619"/>
  <c r="D46" i="1619"/>
  <c r="D45" i="1619"/>
  <c r="D44" i="1619"/>
  <c r="R42" i="1619"/>
  <c r="D42" i="1619"/>
  <c r="R41" i="1619"/>
  <c r="L7" i="1619" s="1"/>
  <c r="D7" i="1619" s="1"/>
  <c r="D41" i="1619"/>
  <c r="R40" i="1619"/>
  <c r="D40" i="1619"/>
  <c r="R39" i="1619"/>
  <c r="L20" i="1619" s="1"/>
  <c r="D20" i="1619" s="1"/>
  <c r="H39" i="1619"/>
  <c r="D39" i="1619"/>
  <c r="R38" i="1619"/>
  <c r="H38" i="1619"/>
  <c r="D38" i="1619"/>
  <c r="R37" i="1619"/>
  <c r="H37" i="1619"/>
  <c r="D37" i="1619"/>
  <c r="R36" i="1619"/>
  <c r="H36" i="1619"/>
  <c r="D36" i="1619"/>
  <c r="R35" i="1619"/>
  <c r="L19" i="1619" s="1"/>
  <c r="D19" i="1619" s="1"/>
  <c r="H35" i="1619"/>
  <c r="D35" i="1619"/>
  <c r="R34" i="1619"/>
  <c r="L12" i="1619" s="1"/>
  <c r="D12" i="1619" s="1"/>
  <c r="H34" i="1619"/>
  <c r="D34" i="1619"/>
  <c r="R33" i="1619"/>
  <c r="L23" i="1619" s="1"/>
  <c r="D23" i="1619" s="1"/>
  <c r="R32" i="1619"/>
  <c r="L11" i="1619" s="1"/>
  <c r="D11" i="1619" s="1"/>
  <c r="R31" i="1619"/>
  <c r="R30" i="1619"/>
  <c r="R29" i="1619"/>
  <c r="R28" i="1619"/>
  <c r="D28" i="1619"/>
  <c r="R27" i="1619"/>
  <c r="D27" i="1619"/>
  <c r="R26" i="1619"/>
  <c r="L26" i="1619"/>
  <c r="D26" i="1619"/>
  <c r="R25" i="1619"/>
  <c r="L25" i="1619"/>
  <c r="D25" i="1619"/>
  <c r="R24" i="1619"/>
  <c r="L24" i="1619"/>
  <c r="D24" i="1619"/>
  <c r="R23" i="1619"/>
  <c r="R22" i="1619"/>
  <c r="L22" i="1619"/>
  <c r="D22" i="1619" s="1"/>
  <c r="R21" i="1619"/>
  <c r="L17" i="1619" s="1"/>
  <c r="D17" i="1619" s="1"/>
  <c r="D21" i="1619"/>
  <c r="R20" i="1619"/>
  <c r="R19" i="1619"/>
  <c r="R18" i="1619"/>
  <c r="D18" i="1619"/>
  <c r="R17" i="1619"/>
  <c r="R16" i="1619"/>
  <c r="L16" i="1619"/>
  <c r="D16" i="1619" s="1"/>
  <c r="R15" i="1619"/>
  <c r="D15" i="1619"/>
  <c r="R14" i="1619"/>
  <c r="D14" i="1619"/>
  <c r="R13" i="1619"/>
  <c r="D13" i="1619"/>
  <c r="R12" i="1619"/>
  <c r="R11" i="1619"/>
  <c r="L10" i="1619"/>
  <c r="D10" i="1619"/>
  <c r="L9" i="1619"/>
  <c r="D9" i="1619"/>
  <c r="L8" i="1619"/>
  <c r="D8" i="1619"/>
  <c r="R6" i="1619"/>
  <c r="L6" i="1619"/>
  <c r="D6" i="1619"/>
  <c r="R5" i="1619"/>
  <c r="R4" i="1619"/>
  <c r="R52" i="1618"/>
  <c r="R51" i="1618"/>
  <c r="D50" i="1618"/>
  <c r="R49" i="1618"/>
  <c r="D49" i="1618"/>
  <c r="R48" i="1618"/>
  <c r="D48" i="1618"/>
  <c r="D46" i="1618"/>
  <c r="D45" i="1618"/>
  <c r="P44" i="1618"/>
  <c r="R44" i="1618" s="1"/>
  <c r="D44" i="1618"/>
  <c r="R42" i="1618"/>
  <c r="L6" i="1618" s="1"/>
  <c r="D6" i="1618" s="1"/>
  <c r="D42" i="1618"/>
  <c r="R41" i="1618"/>
  <c r="D41" i="1618"/>
  <c r="R40" i="1618"/>
  <c r="D40" i="1618"/>
  <c r="R39" i="1618"/>
  <c r="L20" i="1618" s="1"/>
  <c r="D20" i="1618" s="1"/>
  <c r="H39" i="1618"/>
  <c r="D39" i="1618"/>
  <c r="R38" i="1618"/>
  <c r="H38" i="1618"/>
  <c r="D38" i="1618"/>
  <c r="R37" i="1618"/>
  <c r="H37" i="1618"/>
  <c r="D37" i="1618"/>
  <c r="R36" i="1618"/>
  <c r="L10" i="1618" s="1"/>
  <c r="D10" i="1618" s="1"/>
  <c r="H36" i="1618"/>
  <c r="G49" i="1618" s="1"/>
  <c r="D36" i="1618"/>
  <c r="R35" i="1618"/>
  <c r="H35" i="1618"/>
  <c r="D35" i="1618"/>
  <c r="R34" i="1618"/>
  <c r="H34" i="1618"/>
  <c r="D34" i="1618"/>
  <c r="R33" i="1618"/>
  <c r="R32" i="1618"/>
  <c r="R31" i="1618"/>
  <c r="R30" i="1618"/>
  <c r="R29" i="1618"/>
  <c r="R28" i="1618"/>
  <c r="L16" i="1618" s="1"/>
  <c r="D16" i="1618" s="1"/>
  <c r="D28" i="1618"/>
  <c r="R27" i="1618"/>
  <c r="D27" i="1618"/>
  <c r="R26" i="1618"/>
  <c r="L26" i="1618"/>
  <c r="D26" i="1618" s="1"/>
  <c r="R25" i="1618"/>
  <c r="L25" i="1618"/>
  <c r="D25" i="1618"/>
  <c r="R24" i="1618"/>
  <c r="L24" i="1618"/>
  <c r="D24" i="1618" s="1"/>
  <c r="R23" i="1618"/>
  <c r="D23" i="1618"/>
  <c r="R22" i="1618"/>
  <c r="D22" i="1618"/>
  <c r="R21" i="1618"/>
  <c r="D21" i="1618"/>
  <c r="R20" i="1618"/>
  <c r="R19" i="1618"/>
  <c r="D19" i="1618"/>
  <c r="R18" i="1618"/>
  <c r="D18" i="1618"/>
  <c r="R17" i="1618"/>
  <c r="L17" i="1618"/>
  <c r="D17" i="1618" s="1"/>
  <c r="R16" i="1618"/>
  <c r="R15" i="1618"/>
  <c r="D15" i="1618"/>
  <c r="R14" i="1618"/>
  <c r="D14" i="1618"/>
  <c r="R13" i="1618"/>
  <c r="D13" i="1618"/>
  <c r="R12" i="1618"/>
  <c r="L12" i="1618"/>
  <c r="D12" i="1618"/>
  <c r="R11" i="1618"/>
  <c r="L11" i="1618"/>
  <c r="D11" i="1618"/>
  <c r="L9" i="1618"/>
  <c r="D9" i="1618" s="1"/>
  <c r="L8" i="1618"/>
  <c r="D8" i="1618" s="1"/>
  <c r="L7" i="1618"/>
  <c r="D7" i="1618" s="1"/>
  <c r="R6" i="1618"/>
  <c r="R5" i="1618"/>
  <c r="R4" i="1618"/>
  <c r="R52" i="1617"/>
  <c r="R51" i="1617"/>
  <c r="D50" i="1617"/>
  <c r="R49" i="1617"/>
  <c r="G49" i="1617"/>
  <c r="D49" i="1617"/>
  <c r="R48" i="1617"/>
  <c r="D48" i="1617"/>
  <c r="D46" i="1617"/>
  <c r="D45" i="1617"/>
  <c r="D44" i="1617"/>
  <c r="R42" i="1617"/>
  <c r="D42" i="1617"/>
  <c r="R41" i="1617"/>
  <c r="L7" i="1617" s="1"/>
  <c r="D7" i="1617" s="1"/>
  <c r="D41" i="1617"/>
  <c r="R40" i="1617"/>
  <c r="L8" i="1617" s="1"/>
  <c r="D8" i="1617" s="1"/>
  <c r="D40" i="1617"/>
  <c r="R39" i="1617"/>
  <c r="D39" i="1617"/>
  <c r="R38" i="1617"/>
  <c r="D38" i="1617"/>
  <c r="R37" i="1617"/>
  <c r="D37" i="1617"/>
  <c r="R36" i="1617"/>
  <c r="L10" i="1617" s="1"/>
  <c r="D10" i="1617" s="1"/>
  <c r="D36" i="1617"/>
  <c r="R35" i="1617"/>
  <c r="D35" i="1617"/>
  <c r="R34" i="1617"/>
  <c r="D34" i="1617"/>
  <c r="D54" i="1617" s="1"/>
  <c r="H14" i="1617" s="1"/>
  <c r="R33" i="1617"/>
  <c r="R32" i="1617"/>
  <c r="L11" i="1617" s="1"/>
  <c r="D11" i="1617" s="1"/>
  <c r="R31" i="1617"/>
  <c r="R30" i="1617"/>
  <c r="R29" i="1617"/>
  <c r="R28" i="1617"/>
  <c r="D28" i="1617"/>
  <c r="R27" i="1617"/>
  <c r="D27" i="1617"/>
  <c r="R26" i="1617"/>
  <c r="L26" i="1617"/>
  <c r="D26" i="1617"/>
  <c r="R25" i="1617"/>
  <c r="L25" i="1617"/>
  <c r="D25" i="1617"/>
  <c r="R24" i="1617"/>
  <c r="D24" i="1617"/>
  <c r="R23" i="1617"/>
  <c r="L23" i="1617"/>
  <c r="D23" i="1617"/>
  <c r="R22" i="1617"/>
  <c r="L22" i="1617"/>
  <c r="D22" i="1617"/>
  <c r="R21" i="1617"/>
  <c r="D21" i="1617"/>
  <c r="R20" i="1617"/>
  <c r="L20" i="1617"/>
  <c r="D20" i="1617"/>
  <c r="R19" i="1617"/>
  <c r="L19" i="1617"/>
  <c r="D19" i="1617"/>
  <c r="R18" i="1617"/>
  <c r="D18" i="1617"/>
  <c r="R17" i="1617"/>
  <c r="D17" i="1617"/>
  <c r="R16" i="1617"/>
  <c r="L16" i="1617"/>
  <c r="D16" i="1617" s="1"/>
  <c r="S15" i="1617"/>
  <c r="R15" i="1617"/>
  <c r="D15" i="1617"/>
  <c r="S14" i="1617"/>
  <c r="R14" i="1617"/>
  <c r="D14" i="1617"/>
  <c r="R13" i="1617"/>
  <c r="D13" i="1617"/>
  <c r="R12" i="1617"/>
  <c r="L12" i="1617"/>
  <c r="D12" i="1617"/>
  <c r="R11" i="1617"/>
  <c r="L9" i="1617"/>
  <c r="D9" i="1617"/>
  <c r="R6" i="1617"/>
  <c r="L6" i="1617"/>
  <c r="D6" i="1617"/>
  <c r="R5" i="1617"/>
  <c r="R4" i="1617"/>
  <c r="R52" i="1616"/>
  <c r="R51" i="1616"/>
  <c r="D50" i="1616"/>
  <c r="R49" i="1616"/>
  <c r="D49" i="1616"/>
  <c r="R48" i="1616"/>
  <c r="D48" i="1616"/>
  <c r="D46" i="1616"/>
  <c r="D45" i="1616"/>
  <c r="D44" i="1616"/>
  <c r="R42" i="1616"/>
  <c r="L6" i="1616" s="1"/>
  <c r="D6" i="1616" s="1"/>
  <c r="D42" i="1616"/>
  <c r="R41" i="1616"/>
  <c r="D41" i="1616"/>
  <c r="R40" i="1616"/>
  <c r="L8" i="1616" s="1"/>
  <c r="D8" i="1616" s="1"/>
  <c r="D40" i="1616"/>
  <c r="R39" i="1616"/>
  <c r="H39" i="1616"/>
  <c r="D39" i="1616"/>
  <c r="R38" i="1616"/>
  <c r="H38" i="1616"/>
  <c r="D38" i="1616"/>
  <c r="R37" i="1616"/>
  <c r="H37" i="1616"/>
  <c r="D37" i="1616"/>
  <c r="R36" i="1616"/>
  <c r="H36" i="1616"/>
  <c r="D36" i="1616"/>
  <c r="R35" i="1616"/>
  <c r="L19" i="1616" s="1"/>
  <c r="D19" i="1616" s="1"/>
  <c r="H35" i="1616"/>
  <c r="D35" i="1616"/>
  <c r="R34" i="1616"/>
  <c r="L12" i="1616" s="1"/>
  <c r="D12" i="1616" s="1"/>
  <c r="H34" i="1616"/>
  <c r="D34" i="1616"/>
  <c r="R33" i="1616"/>
  <c r="L23" i="1616" s="1"/>
  <c r="D23" i="1616" s="1"/>
  <c r="R32" i="1616"/>
  <c r="R31" i="1616"/>
  <c r="R30" i="1616"/>
  <c r="R29" i="1616"/>
  <c r="R28" i="1616"/>
  <c r="L16" i="1616" s="1"/>
  <c r="D16" i="1616" s="1"/>
  <c r="D28" i="1616"/>
  <c r="R27" i="1616"/>
  <c r="D27" i="1616"/>
  <c r="R26" i="1616"/>
  <c r="L26" i="1616"/>
  <c r="D26" i="1616"/>
  <c r="R25" i="1616"/>
  <c r="L25" i="1616"/>
  <c r="D25" i="1616"/>
  <c r="R24" i="1616"/>
  <c r="D24" i="1616"/>
  <c r="R23" i="1616"/>
  <c r="R22" i="1616"/>
  <c r="L22" i="1616"/>
  <c r="D22" i="1616"/>
  <c r="R21" i="1616"/>
  <c r="D21" i="1616"/>
  <c r="R20" i="1616"/>
  <c r="L20" i="1616"/>
  <c r="D20" i="1616"/>
  <c r="R19" i="1616"/>
  <c r="R18" i="1616"/>
  <c r="D18" i="1616"/>
  <c r="R17" i="1616"/>
  <c r="D17" i="1616"/>
  <c r="R16" i="1616"/>
  <c r="R15" i="1616"/>
  <c r="D15" i="1616"/>
  <c r="R14" i="1616"/>
  <c r="D14" i="1616"/>
  <c r="R13" i="1616"/>
  <c r="D13" i="1616"/>
  <c r="R12" i="1616"/>
  <c r="R11" i="1616"/>
  <c r="L11" i="1616"/>
  <c r="D11" i="1616" s="1"/>
  <c r="L10" i="1616"/>
  <c r="D10" i="1616"/>
  <c r="L9" i="1616"/>
  <c r="D9" i="1616"/>
  <c r="L7" i="1616"/>
  <c r="D7" i="1616" s="1"/>
  <c r="R6" i="1616"/>
  <c r="R5" i="1616"/>
  <c r="R4" i="1616"/>
  <c r="R52" i="1615"/>
  <c r="R51" i="1615"/>
  <c r="D50" i="1615"/>
  <c r="R49" i="1615"/>
  <c r="D49" i="1615"/>
  <c r="R48" i="1615"/>
  <c r="D48" i="1615"/>
  <c r="D46" i="1615"/>
  <c r="D45" i="1615"/>
  <c r="D44" i="1615"/>
  <c r="R42" i="1615"/>
  <c r="L6" i="1615" s="1"/>
  <c r="D6" i="1615" s="1"/>
  <c r="D42" i="1615"/>
  <c r="R41" i="1615"/>
  <c r="L7" i="1615" s="1"/>
  <c r="D7" i="1615" s="1"/>
  <c r="D41" i="1615"/>
  <c r="R40" i="1615"/>
  <c r="D40" i="1615"/>
  <c r="R39" i="1615"/>
  <c r="H39" i="1615"/>
  <c r="D39" i="1615"/>
  <c r="R38" i="1615"/>
  <c r="H38" i="1615"/>
  <c r="D38" i="1615"/>
  <c r="R37" i="1615"/>
  <c r="H37" i="1615"/>
  <c r="D37" i="1615"/>
  <c r="R36" i="1615"/>
  <c r="H36" i="1615"/>
  <c r="D36" i="1615"/>
  <c r="R35" i="1615"/>
  <c r="L19" i="1615" s="1"/>
  <c r="D19" i="1615" s="1"/>
  <c r="H35" i="1615"/>
  <c r="D35" i="1615"/>
  <c r="R34" i="1615"/>
  <c r="L12" i="1615" s="1"/>
  <c r="D12" i="1615" s="1"/>
  <c r="H34" i="1615"/>
  <c r="D34" i="1615"/>
  <c r="R33" i="1615"/>
  <c r="R32" i="1615"/>
  <c r="L11" i="1615" s="1"/>
  <c r="D11" i="1615" s="1"/>
  <c r="R31" i="1615"/>
  <c r="R30" i="1615"/>
  <c r="R29" i="1615"/>
  <c r="R28" i="1615"/>
  <c r="D28" i="1615"/>
  <c r="R27" i="1615"/>
  <c r="D27" i="1615"/>
  <c r="R26" i="1615"/>
  <c r="L26" i="1615"/>
  <c r="D26" i="1615"/>
  <c r="R25" i="1615"/>
  <c r="L25" i="1615"/>
  <c r="D25" i="1615"/>
  <c r="R24" i="1615"/>
  <c r="L24" i="1615"/>
  <c r="D24" i="1615"/>
  <c r="R23" i="1615"/>
  <c r="L23" i="1615"/>
  <c r="D23" i="1615" s="1"/>
  <c r="R22" i="1615"/>
  <c r="L22" i="1615"/>
  <c r="D22" i="1615" s="1"/>
  <c r="R21" i="1615"/>
  <c r="D21" i="1615"/>
  <c r="R20" i="1615"/>
  <c r="L20" i="1615"/>
  <c r="D20" i="1615" s="1"/>
  <c r="R19" i="1615"/>
  <c r="R18" i="1615"/>
  <c r="D18" i="1615"/>
  <c r="R17" i="1615"/>
  <c r="L17" i="1615"/>
  <c r="D17" i="1615" s="1"/>
  <c r="R16" i="1615"/>
  <c r="L16" i="1615"/>
  <c r="D16" i="1615" s="1"/>
  <c r="R15" i="1615"/>
  <c r="D15" i="1615"/>
  <c r="R14" i="1615"/>
  <c r="D14" i="1615"/>
  <c r="R13" i="1615"/>
  <c r="D13" i="1615"/>
  <c r="R12" i="1615"/>
  <c r="R11" i="1615"/>
  <c r="L10" i="1615"/>
  <c r="D10" i="1615"/>
  <c r="L9" i="1615"/>
  <c r="D9" i="1615"/>
  <c r="L8" i="1615"/>
  <c r="D8" i="1615" s="1"/>
  <c r="R6" i="1615"/>
  <c r="R5" i="1615"/>
  <c r="R4" i="1615"/>
  <c r="R52" i="1614"/>
  <c r="R51" i="1614"/>
  <c r="D50" i="1614"/>
  <c r="R49" i="1614"/>
  <c r="D49" i="1614"/>
  <c r="R48" i="1614"/>
  <c r="D48" i="1614"/>
  <c r="D46" i="1614"/>
  <c r="D45" i="1614"/>
  <c r="P44" i="1614"/>
  <c r="R44" i="1614" s="1"/>
  <c r="D44" i="1614"/>
  <c r="R42" i="1614"/>
  <c r="D42" i="1614"/>
  <c r="R41" i="1614"/>
  <c r="D41" i="1614"/>
  <c r="R40" i="1614"/>
  <c r="L8" i="1614" s="1"/>
  <c r="D8" i="1614" s="1"/>
  <c r="D40" i="1614"/>
  <c r="R39" i="1614"/>
  <c r="L20" i="1614" s="1"/>
  <c r="D20" i="1614" s="1"/>
  <c r="H39" i="1614"/>
  <c r="D39" i="1614"/>
  <c r="R38" i="1614"/>
  <c r="L9" i="1614" s="1"/>
  <c r="D9" i="1614" s="1"/>
  <c r="H38" i="1614"/>
  <c r="D38" i="1614"/>
  <c r="R37" i="1614"/>
  <c r="H37" i="1614"/>
  <c r="D37" i="1614"/>
  <c r="R36" i="1614"/>
  <c r="L10" i="1614" s="1"/>
  <c r="D10" i="1614" s="1"/>
  <c r="H36" i="1614"/>
  <c r="D36" i="1614"/>
  <c r="R35" i="1614"/>
  <c r="H35" i="1614"/>
  <c r="D35" i="1614"/>
  <c r="R34" i="1614"/>
  <c r="H34" i="1614"/>
  <c r="D34" i="1614"/>
  <c r="R33" i="1614"/>
  <c r="R32" i="1614"/>
  <c r="L11" i="1614" s="1"/>
  <c r="D11" i="1614" s="1"/>
  <c r="R31" i="1614"/>
  <c r="R30" i="1614"/>
  <c r="R29" i="1614"/>
  <c r="R28" i="1614"/>
  <c r="L16" i="1614" s="1"/>
  <c r="D16" i="1614" s="1"/>
  <c r="D28" i="1614"/>
  <c r="R27" i="1614"/>
  <c r="D27" i="1614"/>
  <c r="R26" i="1614"/>
  <c r="L26" i="1614"/>
  <c r="D26" i="1614"/>
  <c r="R25" i="1614"/>
  <c r="L25" i="1614"/>
  <c r="D25" i="1614"/>
  <c r="R24" i="1614"/>
  <c r="L24" i="1614"/>
  <c r="D24" i="1614"/>
  <c r="R23" i="1614"/>
  <c r="D23" i="1614"/>
  <c r="R22" i="1614"/>
  <c r="D22" i="1614"/>
  <c r="R21" i="1614"/>
  <c r="D21" i="1614"/>
  <c r="R20" i="1614"/>
  <c r="R19" i="1614"/>
  <c r="D19" i="1614"/>
  <c r="R18" i="1614"/>
  <c r="D18" i="1614"/>
  <c r="R17" i="1614"/>
  <c r="L17" i="1614"/>
  <c r="D17" i="1614"/>
  <c r="R16" i="1614"/>
  <c r="R15" i="1614"/>
  <c r="D15" i="1614"/>
  <c r="R14" i="1614"/>
  <c r="D14" i="1614"/>
  <c r="R13" i="1614"/>
  <c r="D13" i="1614"/>
  <c r="R12" i="1614"/>
  <c r="L12" i="1614"/>
  <c r="D12" i="1614" s="1"/>
  <c r="R11" i="1614"/>
  <c r="L7" i="1614"/>
  <c r="D7" i="1614"/>
  <c r="R6" i="1614"/>
  <c r="L6" i="1614"/>
  <c r="D6" i="1614"/>
  <c r="R5" i="1614"/>
  <c r="R4" i="1614"/>
  <c r="R52" i="1613"/>
  <c r="R51" i="1613"/>
  <c r="D50" i="1613"/>
  <c r="R49" i="1613"/>
  <c r="G49" i="1613"/>
  <c r="D49" i="1613"/>
  <c r="R48" i="1613"/>
  <c r="D48" i="1613"/>
  <c r="D46" i="1613"/>
  <c r="D45" i="1613"/>
  <c r="D44" i="1613"/>
  <c r="R42" i="1613"/>
  <c r="L6" i="1613" s="1"/>
  <c r="D6" i="1613" s="1"/>
  <c r="D29" i="1613" s="1"/>
  <c r="H13" i="1613" s="1"/>
  <c r="H15" i="1613" s="1"/>
  <c r="H29" i="1613" s="1"/>
  <c r="D42" i="1613"/>
  <c r="R41" i="1613"/>
  <c r="D41" i="1613"/>
  <c r="R40" i="1613"/>
  <c r="D40" i="1613"/>
  <c r="R39" i="1613"/>
  <c r="D39" i="1613"/>
  <c r="R38" i="1613"/>
  <c r="D38" i="1613"/>
  <c r="R37" i="1613"/>
  <c r="D37" i="1613"/>
  <c r="R36" i="1613"/>
  <c r="L10" i="1613" s="1"/>
  <c r="D10" i="1613" s="1"/>
  <c r="D36" i="1613"/>
  <c r="R35" i="1613"/>
  <c r="L19" i="1613" s="1"/>
  <c r="D19" i="1613" s="1"/>
  <c r="D35" i="1613"/>
  <c r="D54" i="1613" s="1"/>
  <c r="H14" i="1613" s="1"/>
  <c r="R34" i="1613"/>
  <c r="L12" i="1613" s="1"/>
  <c r="D12" i="1613" s="1"/>
  <c r="D34" i="1613"/>
  <c r="R33" i="1613"/>
  <c r="R32" i="1613"/>
  <c r="L11" i="1613" s="1"/>
  <c r="D11" i="1613" s="1"/>
  <c r="R31" i="1613"/>
  <c r="R30" i="1613"/>
  <c r="R29" i="1613"/>
  <c r="R28" i="1613"/>
  <c r="L16" i="1613" s="1"/>
  <c r="D16" i="1613" s="1"/>
  <c r="D28" i="1613"/>
  <c r="R27" i="1613"/>
  <c r="D27" i="1613"/>
  <c r="R26" i="1613"/>
  <c r="L26" i="1613"/>
  <c r="D26" i="1613"/>
  <c r="R25" i="1613"/>
  <c r="L25" i="1613"/>
  <c r="D25" i="1613"/>
  <c r="R24" i="1613"/>
  <c r="D24" i="1613"/>
  <c r="R23" i="1613"/>
  <c r="L23" i="1613"/>
  <c r="D23" i="1613"/>
  <c r="R22" i="1613"/>
  <c r="L22" i="1613"/>
  <c r="D22" i="1613" s="1"/>
  <c r="R21" i="1613"/>
  <c r="D21" i="1613"/>
  <c r="R20" i="1613"/>
  <c r="L20" i="1613"/>
  <c r="D20" i="1613"/>
  <c r="R19" i="1613"/>
  <c r="R18" i="1613"/>
  <c r="D18" i="1613"/>
  <c r="R17" i="1613"/>
  <c r="D17" i="1613"/>
  <c r="R16" i="1613"/>
  <c r="S15" i="1613"/>
  <c r="R15" i="1613"/>
  <c r="D15" i="1613"/>
  <c r="S14" i="1613"/>
  <c r="R14" i="1613"/>
  <c r="D14" i="1613"/>
  <c r="R13" i="1613"/>
  <c r="D13" i="1613"/>
  <c r="R12" i="1613"/>
  <c r="R11" i="1613"/>
  <c r="L9" i="1613"/>
  <c r="D9" i="1613"/>
  <c r="L8" i="1613"/>
  <c r="D8" i="1613"/>
  <c r="L7" i="1613"/>
  <c r="D7" i="1613"/>
  <c r="R6" i="1613"/>
  <c r="R5" i="1613"/>
  <c r="R4" i="1613"/>
  <c r="G49" i="1642" l="1"/>
  <c r="D54" i="1642"/>
  <c r="H14" i="1642" s="1"/>
  <c r="G52" i="1640"/>
  <c r="G49" i="1638"/>
  <c r="D57" i="1640"/>
  <c r="H14" i="1640" s="1"/>
  <c r="D54" i="1638"/>
  <c r="H14" i="1638" s="1"/>
  <c r="G49" i="1631"/>
  <c r="G49" i="1630"/>
  <c r="D54" i="1632"/>
  <c r="H14" i="1632" s="1"/>
  <c r="D54" i="1631"/>
  <c r="H14" i="1631" s="1"/>
  <c r="D54" i="1630"/>
  <c r="H14" i="1630" s="1"/>
  <c r="D54" i="1628"/>
  <c r="H14" i="1628" s="1"/>
  <c r="D54" i="1627"/>
  <c r="H14" i="1627" s="1"/>
  <c r="D54" i="1626"/>
  <c r="H14" i="1626" s="1"/>
  <c r="G49" i="1628"/>
  <c r="G49" i="1627"/>
  <c r="G49" i="1626"/>
  <c r="G49" i="1620"/>
  <c r="G49" i="1619"/>
  <c r="D54" i="1620"/>
  <c r="H14" i="1620" s="1"/>
  <c r="D54" i="1619"/>
  <c r="H14" i="1619" s="1"/>
  <c r="D54" i="1618"/>
  <c r="H14" i="1618" s="1"/>
  <c r="G49" i="1615"/>
  <c r="D54" i="1616"/>
  <c r="H14" i="1616" s="1"/>
  <c r="D54" i="1615"/>
  <c r="H14" i="1615" s="1"/>
  <c r="D54" i="1614"/>
  <c r="H14" i="1614" s="1"/>
  <c r="D29" i="1644"/>
  <c r="H13" i="1644" s="1"/>
  <c r="H15" i="1644" s="1"/>
  <c r="H29" i="1644" s="1"/>
  <c r="G51" i="1644" s="1"/>
  <c r="D29" i="1643"/>
  <c r="H13" i="1643" s="1"/>
  <c r="H15" i="1643" s="1"/>
  <c r="H29" i="1643" s="1"/>
  <c r="G51" i="1643" s="1"/>
  <c r="D29" i="1642"/>
  <c r="H13" i="1642" s="1"/>
  <c r="D29" i="1641"/>
  <c r="H13" i="1641" s="1"/>
  <c r="H15" i="1641" s="1"/>
  <c r="H29" i="1641" s="1"/>
  <c r="G51" i="1641" s="1"/>
  <c r="D29" i="1640"/>
  <c r="H13" i="1640" s="1"/>
  <c r="D29" i="1639"/>
  <c r="H13" i="1639" s="1"/>
  <c r="H15" i="1639" s="1"/>
  <c r="H29" i="1639" s="1"/>
  <c r="G51" i="1639"/>
  <c r="D29" i="1638"/>
  <c r="H13" i="1638" s="1"/>
  <c r="D29" i="1637"/>
  <c r="H13" i="1637" s="1"/>
  <c r="H15" i="1637" s="1"/>
  <c r="H29" i="1637" s="1"/>
  <c r="G51" i="1637" s="1"/>
  <c r="D29" i="1636"/>
  <c r="H13" i="1636" s="1"/>
  <c r="H15" i="1636" s="1"/>
  <c r="H29" i="1636" s="1"/>
  <c r="G51" i="1636" s="1"/>
  <c r="D29" i="1635"/>
  <c r="H13" i="1635" s="1"/>
  <c r="H15" i="1635" s="1"/>
  <c r="H29" i="1635" s="1"/>
  <c r="G51" i="1635" s="1"/>
  <c r="G51" i="1634"/>
  <c r="D29" i="1633"/>
  <c r="H13" i="1633" s="1"/>
  <c r="H15" i="1633" s="1"/>
  <c r="H29" i="1633" s="1"/>
  <c r="G51" i="1633"/>
  <c r="D29" i="1632"/>
  <c r="H13" i="1632" s="1"/>
  <c r="D29" i="1631"/>
  <c r="H13" i="1631" s="1"/>
  <c r="D29" i="1630"/>
  <c r="H13" i="1630" s="1"/>
  <c r="H15" i="1630" s="1"/>
  <c r="H29" i="1630" s="1"/>
  <c r="D29" i="1629"/>
  <c r="H13" i="1629" s="1"/>
  <c r="H15" i="1629" s="1"/>
  <c r="H29" i="1629" s="1"/>
  <c r="G51" i="1629" s="1"/>
  <c r="D29" i="1628"/>
  <c r="H13" i="1628" s="1"/>
  <c r="D29" i="1627"/>
  <c r="H13" i="1627" s="1"/>
  <c r="D29" i="1626"/>
  <c r="H13" i="1626" s="1"/>
  <c r="D29" i="1625"/>
  <c r="H13" i="1625" s="1"/>
  <c r="H15" i="1625" s="1"/>
  <c r="H29" i="1625" s="1"/>
  <c r="G51" i="1625"/>
  <c r="H15" i="1624"/>
  <c r="H29" i="1624" s="1"/>
  <c r="G51" i="1624" s="1"/>
  <c r="G51" i="1623"/>
  <c r="D29" i="1622"/>
  <c r="H13" i="1622" s="1"/>
  <c r="H15" i="1622" s="1"/>
  <c r="H29" i="1622" s="1"/>
  <c r="G51" i="1622"/>
  <c r="G51" i="1621"/>
  <c r="D29" i="1620"/>
  <c r="H13" i="1620" s="1"/>
  <c r="D29" i="1619"/>
  <c r="H13" i="1619" s="1"/>
  <c r="D29" i="1618"/>
  <c r="H13" i="1618" s="1"/>
  <c r="D29" i="1617"/>
  <c r="H13" i="1617" s="1"/>
  <c r="H15" i="1617" s="1"/>
  <c r="H29" i="1617" s="1"/>
  <c r="G51" i="1617" s="1"/>
  <c r="D29" i="1616"/>
  <c r="H13" i="1616" s="1"/>
  <c r="D29" i="1615"/>
  <c r="H13" i="1615" s="1"/>
  <c r="D29" i="1614"/>
  <c r="H13" i="1614" s="1"/>
  <c r="H15" i="1614" s="1"/>
  <c r="H29" i="1614" s="1"/>
  <c r="G51" i="1613"/>
  <c r="L25" i="1599"/>
  <c r="H15" i="1642" l="1"/>
  <c r="H29" i="1642" s="1"/>
  <c r="G51" i="1642" s="1"/>
  <c r="H15" i="1640"/>
  <c r="H29" i="1640" s="1"/>
  <c r="G54" i="1640" s="1"/>
  <c r="H15" i="1638"/>
  <c r="H29" i="1638" s="1"/>
  <c r="G51" i="1638" s="1"/>
  <c r="G51" i="1630"/>
  <c r="H15" i="1632"/>
  <c r="H29" i="1632" s="1"/>
  <c r="G51" i="1632" s="1"/>
  <c r="H15" i="1631"/>
  <c r="H29" i="1631" s="1"/>
  <c r="G51" i="1631" s="1"/>
  <c r="H15" i="1628"/>
  <c r="G51" i="1628" s="1"/>
  <c r="H15" i="1627"/>
  <c r="H29" i="1627" s="1"/>
  <c r="G51" i="1627" s="1"/>
  <c r="H15" i="1626"/>
  <c r="H29" i="1626" s="1"/>
  <c r="G51" i="1626" s="1"/>
  <c r="H15" i="1620"/>
  <c r="H29" i="1620" s="1"/>
  <c r="G51" i="1620" s="1"/>
  <c r="H15" i="1619"/>
  <c r="H29" i="1619" s="1"/>
  <c r="G51" i="1619" s="1"/>
  <c r="H15" i="1618"/>
  <c r="H29" i="1618" s="1"/>
  <c r="G51" i="1618" s="1"/>
  <c r="G51" i="1614"/>
  <c r="H15" i="1616"/>
  <c r="H29" i="1616" s="1"/>
  <c r="G51" i="1616" s="1"/>
  <c r="H15" i="1615"/>
  <c r="H29" i="1615" s="1"/>
  <c r="G51" i="1615" s="1"/>
  <c r="H16" i="1600"/>
  <c r="H16" i="1598"/>
  <c r="C12" i="1600" l="1"/>
  <c r="C19" i="1599"/>
  <c r="C12" i="1599"/>
  <c r="H16" i="1595" l="1"/>
  <c r="C23" i="1596" l="1"/>
  <c r="L26" i="1596"/>
  <c r="C19" i="1596"/>
  <c r="C12" i="1596"/>
  <c r="C18" i="1596"/>
  <c r="L20" i="1596"/>
  <c r="L18" i="1596"/>
  <c r="C21" i="1596"/>
  <c r="C15" i="1596"/>
  <c r="C10" i="1594"/>
  <c r="C12" i="1594"/>
  <c r="H16" i="1591" l="1"/>
  <c r="H16" i="1592"/>
  <c r="C20" i="1591"/>
  <c r="L26" i="1590"/>
  <c r="L25" i="1590"/>
  <c r="C21" i="1590"/>
  <c r="H16" i="1588" l="1"/>
  <c r="H16" i="1587" l="1"/>
  <c r="H16" i="1586"/>
  <c r="R52" i="1612" l="1"/>
  <c r="R51" i="1612"/>
  <c r="D50" i="1612"/>
  <c r="R49" i="1612"/>
  <c r="D49" i="1612"/>
  <c r="R48" i="1612"/>
  <c r="D48" i="1612"/>
  <c r="D46" i="1612"/>
  <c r="D45" i="1612"/>
  <c r="D44" i="1612"/>
  <c r="R42" i="1612"/>
  <c r="D42" i="1612"/>
  <c r="R41" i="1612"/>
  <c r="L7" i="1612" s="1"/>
  <c r="D7" i="1612" s="1"/>
  <c r="D41" i="1612"/>
  <c r="R40" i="1612"/>
  <c r="D40" i="1612"/>
  <c r="R39" i="1612"/>
  <c r="H39" i="1612"/>
  <c r="D39" i="1612"/>
  <c r="R38" i="1612"/>
  <c r="H38" i="1612"/>
  <c r="D38" i="1612"/>
  <c r="R37" i="1612"/>
  <c r="H37" i="1612"/>
  <c r="D37" i="1612"/>
  <c r="R36" i="1612"/>
  <c r="H36" i="1612"/>
  <c r="D36" i="1612"/>
  <c r="R35" i="1612"/>
  <c r="H35" i="1612"/>
  <c r="D35" i="1612"/>
  <c r="R34" i="1612"/>
  <c r="H34" i="1612"/>
  <c r="D34" i="1612"/>
  <c r="R33" i="1612"/>
  <c r="L23" i="1612" s="1"/>
  <c r="D23" i="1612" s="1"/>
  <c r="R32" i="1612"/>
  <c r="R31" i="1612"/>
  <c r="R30" i="1612"/>
  <c r="R29" i="1612"/>
  <c r="R28" i="1612"/>
  <c r="D28" i="1612"/>
  <c r="R27" i="1612"/>
  <c r="D27" i="1612"/>
  <c r="R26" i="1612"/>
  <c r="L26" i="1612"/>
  <c r="D26" i="1612"/>
  <c r="R25" i="1612"/>
  <c r="L25" i="1612"/>
  <c r="D25" i="1612"/>
  <c r="R24" i="1612"/>
  <c r="D24" i="1612"/>
  <c r="R23" i="1612"/>
  <c r="R22" i="1612"/>
  <c r="L22" i="1612"/>
  <c r="D22" i="1612"/>
  <c r="R21" i="1612"/>
  <c r="D21" i="1612"/>
  <c r="R20" i="1612"/>
  <c r="L20" i="1612"/>
  <c r="D20" i="1612"/>
  <c r="R19" i="1612"/>
  <c r="L19" i="1612"/>
  <c r="D19" i="1612"/>
  <c r="R18" i="1612"/>
  <c r="D18" i="1612"/>
  <c r="R17" i="1612"/>
  <c r="D17" i="1612"/>
  <c r="R16" i="1612"/>
  <c r="L16" i="1612"/>
  <c r="D16" i="1612" s="1"/>
  <c r="R15" i="1612"/>
  <c r="D15" i="1612"/>
  <c r="R14" i="1612"/>
  <c r="D14" i="1612"/>
  <c r="R13" i="1612"/>
  <c r="D13" i="1612"/>
  <c r="R12" i="1612"/>
  <c r="L12" i="1612"/>
  <c r="D12" i="1612" s="1"/>
  <c r="R11" i="1612"/>
  <c r="L11" i="1612"/>
  <c r="D11" i="1612"/>
  <c r="L10" i="1612"/>
  <c r="D10" i="1612"/>
  <c r="L9" i="1612"/>
  <c r="D9" i="1612"/>
  <c r="L8" i="1612"/>
  <c r="D8" i="1612" s="1"/>
  <c r="R6" i="1612"/>
  <c r="L6" i="1612"/>
  <c r="D6" i="1612" s="1"/>
  <c r="R5" i="1612"/>
  <c r="R4" i="1612"/>
  <c r="R52" i="1611"/>
  <c r="R51" i="1611"/>
  <c r="D50" i="1611"/>
  <c r="R49" i="1611"/>
  <c r="D49" i="1611"/>
  <c r="R48" i="1611"/>
  <c r="D48" i="1611"/>
  <c r="D46" i="1611"/>
  <c r="D45" i="1611"/>
  <c r="D44" i="1611"/>
  <c r="R42" i="1611"/>
  <c r="L6" i="1611" s="1"/>
  <c r="D6" i="1611" s="1"/>
  <c r="D42" i="1611"/>
  <c r="R41" i="1611"/>
  <c r="L7" i="1611" s="1"/>
  <c r="D7" i="1611" s="1"/>
  <c r="D41" i="1611"/>
  <c r="R40" i="1611"/>
  <c r="D40" i="1611"/>
  <c r="R39" i="1611"/>
  <c r="H39" i="1611"/>
  <c r="D39" i="1611"/>
  <c r="R38" i="1611"/>
  <c r="H38" i="1611"/>
  <c r="D38" i="1611"/>
  <c r="R37" i="1611"/>
  <c r="H37" i="1611"/>
  <c r="D37" i="1611"/>
  <c r="R36" i="1611"/>
  <c r="H36" i="1611"/>
  <c r="D36" i="1611"/>
  <c r="R35" i="1611"/>
  <c r="L19" i="1611" s="1"/>
  <c r="D19" i="1611" s="1"/>
  <c r="H35" i="1611"/>
  <c r="D35" i="1611"/>
  <c r="R34" i="1611"/>
  <c r="H34" i="1611"/>
  <c r="D34" i="1611"/>
  <c r="R33" i="1611"/>
  <c r="R32" i="1611"/>
  <c r="L11" i="1611" s="1"/>
  <c r="D11" i="1611" s="1"/>
  <c r="R31" i="1611"/>
  <c r="R30" i="1611"/>
  <c r="R29" i="1611"/>
  <c r="R28" i="1611"/>
  <c r="D28" i="1611"/>
  <c r="R27" i="1611"/>
  <c r="D27" i="1611"/>
  <c r="R26" i="1611"/>
  <c r="L26" i="1611"/>
  <c r="D26" i="1611" s="1"/>
  <c r="R25" i="1611"/>
  <c r="L25" i="1611"/>
  <c r="D25" i="1611"/>
  <c r="R24" i="1611"/>
  <c r="L24" i="1611"/>
  <c r="D24" i="1611"/>
  <c r="R23" i="1611"/>
  <c r="L23" i="1611"/>
  <c r="D23" i="1611" s="1"/>
  <c r="R22" i="1611"/>
  <c r="L22" i="1611"/>
  <c r="D22" i="1611" s="1"/>
  <c r="R21" i="1611"/>
  <c r="L17" i="1611" s="1"/>
  <c r="D17" i="1611" s="1"/>
  <c r="D21" i="1611"/>
  <c r="R20" i="1611"/>
  <c r="L20" i="1611"/>
  <c r="D20" i="1611" s="1"/>
  <c r="R19" i="1611"/>
  <c r="R18" i="1611"/>
  <c r="D18" i="1611"/>
  <c r="R17" i="1611"/>
  <c r="R16" i="1611"/>
  <c r="L16" i="1611"/>
  <c r="D16" i="1611"/>
  <c r="R15" i="1611"/>
  <c r="D15" i="1611"/>
  <c r="R14" i="1611"/>
  <c r="D14" i="1611"/>
  <c r="R13" i="1611"/>
  <c r="D13" i="1611"/>
  <c r="R12" i="1611"/>
  <c r="L12" i="1611"/>
  <c r="D12" i="1611" s="1"/>
  <c r="R11" i="1611"/>
  <c r="L10" i="1611"/>
  <c r="D10" i="1611"/>
  <c r="L9" i="1611"/>
  <c r="D9" i="1611" s="1"/>
  <c r="L8" i="1611"/>
  <c r="D8" i="1611" s="1"/>
  <c r="R6" i="1611"/>
  <c r="R5" i="1611"/>
  <c r="R4" i="1611"/>
  <c r="R52" i="1610"/>
  <c r="R51" i="1610"/>
  <c r="D50" i="1610"/>
  <c r="R49" i="1610"/>
  <c r="D49" i="1610"/>
  <c r="R48" i="1610"/>
  <c r="D48" i="1610"/>
  <c r="D46" i="1610"/>
  <c r="D45" i="1610"/>
  <c r="P44" i="1610"/>
  <c r="R44" i="1610" s="1"/>
  <c r="D44" i="1610"/>
  <c r="R42" i="1610"/>
  <c r="L6" i="1610" s="1"/>
  <c r="D6" i="1610" s="1"/>
  <c r="D42" i="1610"/>
  <c r="R41" i="1610"/>
  <c r="D41" i="1610"/>
  <c r="R40" i="1610"/>
  <c r="D40" i="1610"/>
  <c r="R39" i="1610"/>
  <c r="H39" i="1610"/>
  <c r="D39" i="1610"/>
  <c r="R38" i="1610"/>
  <c r="H38" i="1610"/>
  <c r="D38" i="1610"/>
  <c r="R37" i="1610"/>
  <c r="H37" i="1610"/>
  <c r="D37" i="1610"/>
  <c r="R36" i="1610"/>
  <c r="L10" i="1610" s="1"/>
  <c r="D10" i="1610" s="1"/>
  <c r="H36" i="1610"/>
  <c r="D36" i="1610"/>
  <c r="R35" i="1610"/>
  <c r="H35" i="1610"/>
  <c r="D35" i="1610"/>
  <c r="R34" i="1610"/>
  <c r="L12" i="1610" s="1"/>
  <c r="D12" i="1610" s="1"/>
  <c r="H34" i="1610"/>
  <c r="G49" i="1610" s="1"/>
  <c r="D34" i="1610"/>
  <c r="R33" i="1610"/>
  <c r="R32" i="1610"/>
  <c r="R31" i="1610"/>
  <c r="R30" i="1610"/>
  <c r="R29" i="1610"/>
  <c r="R28" i="1610"/>
  <c r="L16" i="1610" s="1"/>
  <c r="D16" i="1610" s="1"/>
  <c r="D28" i="1610"/>
  <c r="R27" i="1610"/>
  <c r="D27" i="1610"/>
  <c r="R26" i="1610"/>
  <c r="L26" i="1610"/>
  <c r="D26" i="1610" s="1"/>
  <c r="R25" i="1610"/>
  <c r="D25" i="1610"/>
  <c r="R24" i="1610"/>
  <c r="L24" i="1610"/>
  <c r="D24" i="1610" s="1"/>
  <c r="R23" i="1610"/>
  <c r="D23" i="1610"/>
  <c r="R22" i="1610"/>
  <c r="D22" i="1610"/>
  <c r="R21" i="1610"/>
  <c r="D21" i="1610"/>
  <c r="R20" i="1610"/>
  <c r="L20" i="1610"/>
  <c r="D20" i="1610"/>
  <c r="R19" i="1610"/>
  <c r="D19" i="1610"/>
  <c r="R18" i="1610"/>
  <c r="D18" i="1610"/>
  <c r="R17" i="1610"/>
  <c r="L17" i="1610"/>
  <c r="D17" i="1610"/>
  <c r="R16" i="1610"/>
  <c r="R15" i="1610"/>
  <c r="D15" i="1610"/>
  <c r="R14" i="1610"/>
  <c r="D14" i="1610"/>
  <c r="R13" i="1610"/>
  <c r="D13" i="1610"/>
  <c r="R12" i="1610"/>
  <c r="R11" i="1610"/>
  <c r="L11" i="1610"/>
  <c r="D11" i="1610" s="1"/>
  <c r="L9" i="1610"/>
  <c r="D9" i="1610"/>
  <c r="L8" i="1610"/>
  <c r="D8" i="1610" s="1"/>
  <c r="L7" i="1610"/>
  <c r="D7" i="1610" s="1"/>
  <c r="R6" i="1610"/>
  <c r="R5" i="1610"/>
  <c r="R4" i="1610"/>
  <c r="R52" i="1609"/>
  <c r="R51" i="1609"/>
  <c r="D50" i="1609"/>
  <c r="R49" i="1609"/>
  <c r="G49" i="1609"/>
  <c r="D49" i="1609"/>
  <c r="R48" i="1609"/>
  <c r="D48" i="1609"/>
  <c r="D46" i="1609"/>
  <c r="D45" i="1609"/>
  <c r="D44" i="1609"/>
  <c r="R42" i="1609"/>
  <c r="L6" i="1609" s="1"/>
  <c r="D6" i="1609" s="1"/>
  <c r="D42" i="1609"/>
  <c r="R41" i="1609"/>
  <c r="L7" i="1609" s="1"/>
  <c r="D7" i="1609" s="1"/>
  <c r="D41" i="1609"/>
  <c r="R40" i="1609"/>
  <c r="D40" i="1609"/>
  <c r="R39" i="1609"/>
  <c r="D39" i="1609"/>
  <c r="R38" i="1609"/>
  <c r="D38" i="1609"/>
  <c r="R37" i="1609"/>
  <c r="D37" i="1609"/>
  <c r="R36" i="1609"/>
  <c r="D36" i="1609"/>
  <c r="R35" i="1609"/>
  <c r="D35" i="1609"/>
  <c r="R34" i="1609"/>
  <c r="D34" i="1609"/>
  <c r="D54" i="1609" s="1"/>
  <c r="H14" i="1609" s="1"/>
  <c r="R33" i="1609"/>
  <c r="L23" i="1609" s="1"/>
  <c r="D23" i="1609" s="1"/>
  <c r="R32" i="1609"/>
  <c r="R31" i="1609"/>
  <c r="R30" i="1609"/>
  <c r="R29" i="1609"/>
  <c r="R28" i="1609"/>
  <c r="D28" i="1609"/>
  <c r="R27" i="1609"/>
  <c r="D27" i="1609"/>
  <c r="R26" i="1609"/>
  <c r="L26" i="1609"/>
  <c r="D26" i="1609"/>
  <c r="R25" i="1609"/>
  <c r="L25" i="1609"/>
  <c r="D25" i="1609"/>
  <c r="R24" i="1609"/>
  <c r="D24" i="1609"/>
  <c r="R23" i="1609"/>
  <c r="R22" i="1609"/>
  <c r="L22" i="1609"/>
  <c r="D22" i="1609"/>
  <c r="R21" i="1609"/>
  <c r="D21" i="1609"/>
  <c r="R20" i="1609"/>
  <c r="L20" i="1609"/>
  <c r="D20" i="1609"/>
  <c r="R19" i="1609"/>
  <c r="L19" i="1609"/>
  <c r="D19" i="1609"/>
  <c r="R18" i="1609"/>
  <c r="D18" i="1609"/>
  <c r="R17" i="1609"/>
  <c r="D17" i="1609"/>
  <c r="R16" i="1609"/>
  <c r="L16" i="1609"/>
  <c r="D16" i="1609" s="1"/>
  <c r="S15" i="1609"/>
  <c r="R15" i="1609"/>
  <c r="D15" i="1609"/>
  <c r="S14" i="1609"/>
  <c r="R14" i="1609"/>
  <c r="D14" i="1609"/>
  <c r="R13" i="1609"/>
  <c r="D13" i="1609"/>
  <c r="R12" i="1609"/>
  <c r="L12" i="1609"/>
  <c r="D12" i="1609" s="1"/>
  <c r="R11" i="1609"/>
  <c r="L11" i="1609"/>
  <c r="D11" i="1609"/>
  <c r="L10" i="1609"/>
  <c r="D10" i="1609" s="1"/>
  <c r="L9" i="1609"/>
  <c r="D9" i="1609"/>
  <c r="L8" i="1609"/>
  <c r="D8" i="1609" s="1"/>
  <c r="R6" i="1609"/>
  <c r="R5" i="1609"/>
  <c r="R4" i="1609"/>
  <c r="R52" i="1608"/>
  <c r="R51" i="1608"/>
  <c r="D50" i="1608"/>
  <c r="R49" i="1608"/>
  <c r="D49" i="1608"/>
  <c r="R48" i="1608"/>
  <c r="D48" i="1608"/>
  <c r="D46" i="1608"/>
  <c r="D45" i="1608"/>
  <c r="D44" i="1608"/>
  <c r="R42" i="1608"/>
  <c r="L6" i="1608" s="1"/>
  <c r="D6" i="1608" s="1"/>
  <c r="D42" i="1608"/>
  <c r="R41" i="1608"/>
  <c r="L7" i="1608" s="1"/>
  <c r="D7" i="1608" s="1"/>
  <c r="D41" i="1608"/>
  <c r="R40" i="1608"/>
  <c r="D40" i="1608"/>
  <c r="R39" i="1608"/>
  <c r="H39" i="1608"/>
  <c r="D39" i="1608"/>
  <c r="R38" i="1608"/>
  <c r="H38" i="1608"/>
  <c r="D38" i="1608"/>
  <c r="R37" i="1608"/>
  <c r="H37" i="1608"/>
  <c r="D37" i="1608"/>
  <c r="R36" i="1608"/>
  <c r="H36" i="1608"/>
  <c r="D36" i="1608"/>
  <c r="R35" i="1608"/>
  <c r="L19" i="1608" s="1"/>
  <c r="D19" i="1608" s="1"/>
  <c r="H35" i="1608"/>
  <c r="D35" i="1608"/>
  <c r="R34" i="1608"/>
  <c r="H34" i="1608"/>
  <c r="D34" i="1608"/>
  <c r="R33" i="1608"/>
  <c r="R32" i="1608"/>
  <c r="R31" i="1608"/>
  <c r="R30" i="1608"/>
  <c r="R29" i="1608"/>
  <c r="R28" i="1608"/>
  <c r="D28" i="1608"/>
  <c r="R27" i="1608"/>
  <c r="D27" i="1608"/>
  <c r="R26" i="1608"/>
  <c r="L26" i="1608"/>
  <c r="D26" i="1608"/>
  <c r="R25" i="1608"/>
  <c r="L25" i="1608"/>
  <c r="D25" i="1608" s="1"/>
  <c r="R24" i="1608"/>
  <c r="D24" i="1608"/>
  <c r="R23" i="1608"/>
  <c r="L23" i="1608"/>
  <c r="D23" i="1608"/>
  <c r="R22" i="1608"/>
  <c r="L22" i="1608"/>
  <c r="D22" i="1608" s="1"/>
  <c r="R21" i="1608"/>
  <c r="D21" i="1608"/>
  <c r="R20" i="1608"/>
  <c r="L20" i="1608"/>
  <c r="D20" i="1608"/>
  <c r="R19" i="1608"/>
  <c r="R18" i="1608"/>
  <c r="D18" i="1608"/>
  <c r="R17" i="1608"/>
  <c r="D17" i="1608"/>
  <c r="R16" i="1608"/>
  <c r="L16" i="1608"/>
  <c r="D16" i="1608" s="1"/>
  <c r="R15" i="1608"/>
  <c r="D15" i="1608"/>
  <c r="R14" i="1608"/>
  <c r="D14" i="1608"/>
  <c r="R13" i="1608"/>
  <c r="D13" i="1608"/>
  <c r="R12" i="1608"/>
  <c r="L12" i="1608"/>
  <c r="D12" i="1608"/>
  <c r="R11" i="1608"/>
  <c r="L11" i="1608"/>
  <c r="D11" i="1608"/>
  <c r="L10" i="1608"/>
  <c r="D10" i="1608" s="1"/>
  <c r="L9" i="1608"/>
  <c r="D9" i="1608"/>
  <c r="L8" i="1608"/>
  <c r="D8" i="1608" s="1"/>
  <c r="R6" i="1608"/>
  <c r="R5" i="1608"/>
  <c r="R4" i="1608"/>
  <c r="R52" i="1607"/>
  <c r="R51" i="1607"/>
  <c r="D50" i="1607"/>
  <c r="R49" i="1607"/>
  <c r="D49" i="1607"/>
  <c r="R48" i="1607"/>
  <c r="D48" i="1607"/>
  <c r="D46" i="1607"/>
  <c r="D45" i="1607"/>
  <c r="D44" i="1607"/>
  <c r="R42" i="1607"/>
  <c r="L6" i="1607" s="1"/>
  <c r="D6" i="1607" s="1"/>
  <c r="D42" i="1607"/>
  <c r="R41" i="1607"/>
  <c r="L7" i="1607" s="1"/>
  <c r="D7" i="1607" s="1"/>
  <c r="D41" i="1607"/>
  <c r="R40" i="1607"/>
  <c r="D40" i="1607"/>
  <c r="R39" i="1607"/>
  <c r="H39" i="1607"/>
  <c r="D39" i="1607"/>
  <c r="R38" i="1607"/>
  <c r="H38" i="1607"/>
  <c r="D38" i="1607"/>
  <c r="R37" i="1607"/>
  <c r="H37" i="1607"/>
  <c r="D37" i="1607"/>
  <c r="R36" i="1607"/>
  <c r="H36" i="1607"/>
  <c r="D36" i="1607"/>
  <c r="R35" i="1607"/>
  <c r="L19" i="1607" s="1"/>
  <c r="D19" i="1607" s="1"/>
  <c r="H35" i="1607"/>
  <c r="D35" i="1607"/>
  <c r="R34" i="1607"/>
  <c r="L12" i="1607" s="1"/>
  <c r="D12" i="1607" s="1"/>
  <c r="H34" i="1607"/>
  <c r="G49" i="1607" s="1"/>
  <c r="D34" i="1607"/>
  <c r="R33" i="1607"/>
  <c r="R32" i="1607"/>
  <c r="R31" i="1607"/>
  <c r="R30" i="1607"/>
  <c r="R29" i="1607"/>
  <c r="R28" i="1607"/>
  <c r="D28" i="1607"/>
  <c r="R27" i="1607"/>
  <c r="D27" i="1607"/>
  <c r="R26" i="1607"/>
  <c r="L26" i="1607"/>
  <c r="D26" i="1607"/>
  <c r="R25" i="1607"/>
  <c r="D25" i="1607"/>
  <c r="R24" i="1607"/>
  <c r="L24" i="1607"/>
  <c r="D24" i="1607"/>
  <c r="R23" i="1607"/>
  <c r="L23" i="1607"/>
  <c r="D23" i="1607" s="1"/>
  <c r="R22" i="1607"/>
  <c r="L22" i="1607"/>
  <c r="D22" i="1607"/>
  <c r="R21" i="1607"/>
  <c r="L17" i="1607" s="1"/>
  <c r="D17" i="1607" s="1"/>
  <c r="D21" i="1607"/>
  <c r="R20" i="1607"/>
  <c r="L20" i="1607"/>
  <c r="D20" i="1607" s="1"/>
  <c r="R19" i="1607"/>
  <c r="R18" i="1607"/>
  <c r="D18" i="1607"/>
  <c r="R17" i="1607"/>
  <c r="R16" i="1607"/>
  <c r="L16" i="1607"/>
  <c r="D16" i="1607"/>
  <c r="R15" i="1607"/>
  <c r="D15" i="1607"/>
  <c r="R14" i="1607"/>
  <c r="D14" i="1607"/>
  <c r="R13" i="1607"/>
  <c r="D13" i="1607"/>
  <c r="R12" i="1607"/>
  <c r="R11" i="1607"/>
  <c r="L11" i="1607"/>
  <c r="D11" i="1607"/>
  <c r="L10" i="1607"/>
  <c r="D10" i="1607"/>
  <c r="L9" i="1607"/>
  <c r="D9" i="1607" s="1"/>
  <c r="L8" i="1607"/>
  <c r="D8" i="1607" s="1"/>
  <c r="R6" i="1607"/>
  <c r="R5" i="1607"/>
  <c r="R4" i="1607"/>
  <c r="R52" i="1606"/>
  <c r="R51" i="1606"/>
  <c r="D50" i="1606"/>
  <c r="R49" i="1606"/>
  <c r="D49" i="1606"/>
  <c r="R48" i="1606"/>
  <c r="D48" i="1606"/>
  <c r="D46" i="1606"/>
  <c r="D45" i="1606"/>
  <c r="P44" i="1606"/>
  <c r="R44" i="1606" s="1"/>
  <c r="D44" i="1606"/>
  <c r="R42" i="1606"/>
  <c r="D42" i="1606"/>
  <c r="R41" i="1606"/>
  <c r="D41" i="1606"/>
  <c r="R40" i="1606"/>
  <c r="L8" i="1606" s="1"/>
  <c r="D8" i="1606" s="1"/>
  <c r="D40" i="1606"/>
  <c r="R39" i="1606"/>
  <c r="L20" i="1606" s="1"/>
  <c r="D20" i="1606" s="1"/>
  <c r="H39" i="1606"/>
  <c r="D39" i="1606"/>
  <c r="R38" i="1606"/>
  <c r="H38" i="1606"/>
  <c r="D38" i="1606"/>
  <c r="R37" i="1606"/>
  <c r="H37" i="1606"/>
  <c r="D37" i="1606"/>
  <c r="R36" i="1606"/>
  <c r="H36" i="1606"/>
  <c r="D36" i="1606"/>
  <c r="R35" i="1606"/>
  <c r="H35" i="1606"/>
  <c r="D35" i="1606"/>
  <c r="R34" i="1606"/>
  <c r="L12" i="1606" s="1"/>
  <c r="D12" i="1606" s="1"/>
  <c r="H34" i="1606"/>
  <c r="G49" i="1606" s="1"/>
  <c r="D34" i="1606"/>
  <c r="R33" i="1606"/>
  <c r="R32" i="1606"/>
  <c r="R31" i="1606"/>
  <c r="R30" i="1606"/>
  <c r="R29" i="1606"/>
  <c r="R28" i="1606"/>
  <c r="D28" i="1606"/>
  <c r="R27" i="1606"/>
  <c r="D27" i="1606"/>
  <c r="R26" i="1606"/>
  <c r="L26" i="1606"/>
  <c r="D26" i="1606"/>
  <c r="R25" i="1606"/>
  <c r="L25" i="1606"/>
  <c r="D25" i="1606" s="1"/>
  <c r="R24" i="1606"/>
  <c r="L24" i="1606"/>
  <c r="D24" i="1606" s="1"/>
  <c r="R23" i="1606"/>
  <c r="D23" i="1606"/>
  <c r="R22" i="1606"/>
  <c r="D22" i="1606"/>
  <c r="R21" i="1606"/>
  <c r="D21" i="1606"/>
  <c r="R20" i="1606"/>
  <c r="R19" i="1606"/>
  <c r="D19" i="1606"/>
  <c r="R18" i="1606"/>
  <c r="D18" i="1606"/>
  <c r="R17" i="1606"/>
  <c r="L17" i="1606"/>
  <c r="D17" i="1606" s="1"/>
  <c r="R16" i="1606"/>
  <c r="L16" i="1606"/>
  <c r="D16" i="1606"/>
  <c r="R15" i="1606"/>
  <c r="D15" i="1606"/>
  <c r="R14" i="1606"/>
  <c r="D14" i="1606"/>
  <c r="R13" i="1606"/>
  <c r="D13" i="1606"/>
  <c r="R12" i="1606"/>
  <c r="R11" i="1606"/>
  <c r="L11" i="1606"/>
  <c r="D11" i="1606"/>
  <c r="L10" i="1606"/>
  <c r="D10" i="1606" s="1"/>
  <c r="L9" i="1606"/>
  <c r="D9" i="1606" s="1"/>
  <c r="L7" i="1606"/>
  <c r="D7" i="1606"/>
  <c r="R6" i="1606"/>
  <c r="L6" i="1606"/>
  <c r="D6" i="1606" s="1"/>
  <c r="R5" i="1606"/>
  <c r="R4" i="1606"/>
  <c r="R52" i="1605"/>
  <c r="R51" i="1605"/>
  <c r="D50" i="1605"/>
  <c r="R49" i="1605"/>
  <c r="G49" i="1605"/>
  <c r="D49" i="1605"/>
  <c r="R48" i="1605"/>
  <c r="D48" i="1605"/>
  <c r="D46" i="1605"/>
  <c r="D45" i="1605"/>
  <c r="D44" i="1605"/>
  <c r="R42" i="1605"/>
  <c r="D42" i="1605"/>
  <c r="R41" i="1605"/>
  <c r="L7" i="1605" s="1"/>
  <c r="D7" i="1605" s="1"/>
  <c r="D41" i="1605"/>
  <c r="R40" i="1605"/>
  <c r="L8" i="1605" s="1"/>
  <c r="D8" i="1605" s="1"/>
  <c r="D40" i="1605"/>
  <c r="R39" i="1605"/>
  <c r="D39" i="1605"/>
  <c r="R38" i="1605"/>
  <c r="L9" i="1605" s="1"/>
  <c r="D9" i="1605" s="1"/>
  <c r="D38" i="1605"/>
  <c r="R37" i="1605"/>
  <c r="D37" i="1605"/>
  <c r="D54" i="1605" s="1"/>
  <c r="H14" i="1605" s="1"/>
  <c r="R36" i="1605"/>
  <c r="D36" i="1605"/>
  <c r="R35" i="1605"/>
  <c r="D35" i="1605"/>
  <c r="R34" i="1605"/>
  <c r="D34" i="1605"/>
  <c r="R33" i="1605"/>
  <c r="L23" i="1605" s="1"/>
  <c r="D23" i="1605" s="1"/>
  <c r="R32" i="1605"/>
  <c r="R31" i="1605"/>
  <c r="R30" i="1605"/>
  <c r="R29" i="1605"/>
  <c r="R28" i="1605"/>
  <c r="D28" i="1605"/>
  <c r="R27" i="1605"/>
  <c r="D27" i="1605"/>
  <c r="R26" i="1605"/>
  <c r="L26" i="1605"/>
  <c r="D26" i="1605"/>
  <c r="R25" i="1605"/>
  <c r="L25" i="1605"/>
  <c r="D25" i="1605"/>
  <c r="R24" i="1605"/>
  <c r="D24" i="1605"/>
  <c r="R23" i="1605"/>
  <c r="R22" i="1605"/>
  <c r="L22" i="1605"/>
  <c r="D22" i="1605" s="1"/>
  <c r="R21" i="1605"/>
  <c r="D21" i="1605"/>
  <c r="R20" i="1605"/>
  <c r="L20" i="1605"/>
  <c r="D20" i="1605"/>
  <c r="R19" i="1605"/>
  <c r="L19" i="1605"/>
  <c r="D19" i="1605"/>
  <c r="R18" i="1605"/>
  <c r="D18" i="1605"/>
  <c r="R17" i="1605"/>
  <c r="D17" i="1605"/>
  <c r="R16" i="1605"/>
  <c r="L16" i="1605"/>
  <c r="D16" i="1605" s="1"/>
  <c r="S15" i="1605"/>
  <c r="R15" i="1605"/>
  <c r="D15" i="1605"/>
  <c r="S14" i="1605"/>
  <c r="R14" i="1605"/>
  <c r="D14" i="1605"/>
  <c r="R13" i="1605"/>
  <c r="D13" i="1605"/>
  <c r="R12" i="1605"/>
  <c r="L12" i="1605"/>
  <c r="D12" i="1605"/>
  <c r="R11" i="1605"/>
  <c r="L11" i="1605"/>
  <c r="D11" i="1605" s="1"/>
  <c r="L10" i="1605"/>
  <c r="D10" i="1605" s="1"/>
  <c r="R6" i="1605"/>
  <c r="L6" i="1605"/>
  <c r="D6" i="1605"/>
  <c r="R5" i="1605"/>
  <c r="R4" i="1605"/>
  <c r="R52" i="1604"/>
  <c r="R51" i="1604"/>
  <c r="D50" i="1604"/>
  <c r="R49" i="1604"/>
  <c r="D49" i="1604"/>
  <c r="R48" i="1604"/>
  <c r="D48" i="1604"/>
  <c r="D46" i="1604"/>
  <c r="D45" i="1604"/>
  <c r="D44" i="1604"/>
  <c r="R42" i="1604"/>
  <c r="L6" i="1604" s="1"/>
  <c r="D6" i="1604" s="1"/>
  <c r="D42" i="1604"/>
  <c r="R41" i="1604"/>
  <c r="L7" i="1604" s="1"/>
  <c r="D7" i="1604" s="1"/>
  <c r="D41" i="1604"/>
  <c r="R40" i="1604"/>
  <c r="D40" i="1604"/>
  <c r="R39" i="1604"/>
  <c r="H39" i="1604"/>
  <c r="D39" i="1604"/>
  <c r="R38" i="1604"/>
  <c r="H38" i="1604"/>
  <c r="D38" i="1604"/>
  <c r="R37" i="1604"/>
  <c r="H37" i="1604"/>
  <c r="D37" i="1604"/>
  <c r="R36" i="1604"/>
  <c r="H36" i="1604"/>
  <c r="D36" i="1604"/>
  <c r="R35" i="1604"/>
  <c r="L19" i="1604" s="1"/>
  <c r="D19" i="1604" s="1"/>
  <c r="H35" i="1604"/>
  <c r="D35" i="1604"/>
  <c r="R34" i="1604"/>
  <c r="H34" i="1604"/>
  <c r="D34" i="1604"/>
  <c r="R33" i="1604"/>
  <c r="R32" i="1604"/>
  <c r="R31" i="1604"/>
  <c r="R30" i="1604"/>
  <c r="R29" i="1604"/>
  <c r="R28" i="1604"/>
  <c r="D28" i="1604"/>
  <c r="R27" i="1604"/>
  <c r="D27" i="1604"/>
  <c r="R26" i="1604"/>
  <c r="L26" i="1604"/>
  <c r="D26" i="1604" s="1"/>
  <c r="R25" i="1604"/>
  <c r="L25" i="1604"/>
  <c r="D25" i="1604" s="1"/>
  <c r="R24" i="1604"/>
  <c r="D24" i="1604"/>
  <c r="R23" i="1604"/>
  <c r="L23" i="1604"/>
  <c r="D23" i="1604" s="1"/>
  <c r="R22" i="1604"/>
  <c r="L22" i="1604"/>
  <c r="D22" i="1604"/>
  <c r="R21" i="1604"/>
  <c r="D21" i="1604"/>
  <c r="R20" i="1604"/>
  <c r="L20" i="1604"/>
  <c r="D20" i="1604" s="1"/>
  <c r="R19" i="1604"/>
  <c r="R18" i="1604"/>
  <c r="D18" i="1604"/>
  <c r="R17" i="1604"/>
  <c r="D17" i="1604"/>
  <c r="R16" i="1604"/>
  <c r="L16" i="1604"/>
  <c r="D16" i="1604"/>
  <c r="R15" i="1604"/>
  <c r="D15" i="1604"/>
  <c r="R14" i="1604"/>
  <c r="D14" i="1604"/>
  <c r="R13" i="1604"/>
  <c r="D13" i="1604"/>
  <c r="R12" i="1604"/>
  <c r="L12" i="1604"/>
  <c r="D12" i="1604"/>
  <c r="R11" i="1604"/>
  <c r="L11" i="1604"/>
  <c r="D11" i="1604"/>
  <c r="L10" i="1604"/>
  <c r="D10" i="1604"/>
  <c r="L9" i="1604"/>
  <c r="D9" i="1604"/>
  <c r="L8" i="1604"/>
  <c r="D8" i="1604" s="1"/>
  <c r="R6" i="1604"/>
  <c r="R5" i="1604"/>
  <c r="R4" i="1604"/>
  <c r="R52" i="1603"/>
  <c r="R51" i="1603"/>
  <c r="D50" i="1603"/>
  <c r="R49" i="1603"/>
  <c r="D49" i="1603"/>
  <c r="R48" i="1603"/>
  <c r="D48" i="1603"/>
  <c r="D46" i="1603"/>
  <c r="D45" i="1603"/>
  <c r="D44" i="1603"/>
  <c r="R42" i="1603"/>
  <c r="D42" i="1603"/>
  <c r="R41" i="1603"/>
  <c r="D41" i="1603"/>
  <c r="R40" i="1603"/>
  <c r="D40" i="1603"/>
  <c r="R39" i="1603"/>
  <c r="L20" i="1603" s="1"/>
  <c r="D20" i="1603" s="1"/>
  <c r="H39" i="1603"/>
  <c r="D39" i="1603"/>
  <c r="R38" i="1603"/>
  <c r="H38" i="1603"/>
  <c r="D38" i="1603"/>
  <c r="R37" i="1603"/>
  <c r="H37" i="1603"/>
  <c r="D37" i="1603"/>
  <c r="R36" i="1603"/>
  <c r="L10" i="1603" s="1"/>
  <c r="D10" i="1603" s="1"/>
  <c r="H36" i="1603"/>
  <c r="D36" i="1603"/>
  <c r="R35" i="1603"/>
  <c r="L19" i="1603" s="1"/>
  <c r="D19" i="1603" s="1"/>
  <c r="H35" i="1603"/>
  <c r="D35" i="1603"/>
  <c r="R34" i="1603"/>
  <c r="H34" i="1603"/>
  <c r="D34" i="1603"/>
  <c r="R33" i="1603"/>
  <c r="R32" i="1603"/>
  <c r="R31" i="1603"/>
  <c r="R30" i="1603"/>
  <c r="R29" i="1603"/>
  <c r="R28" i="1603"/>
  <c r="L16" i="1603" s="1"/>
  <c r="D16" i="1603" s="1"/>
  <c r="D28" i="1603"/>
  <c r="R27" i="1603"/>
  <c r="D27" i="1603"/>
  <c r="R26" i="1603"/>
  <c r="L26" i="1603"/>
  <c r="D26" i="1603"/>
  <c r="R25" i="1603"/>
  <c r="D25" i="1603"/>
  <c r="R24" i="1603"/>
  <c r="L24" i="1603"/>
  <c r="D24" i="1603" s="1"/>
  <c r="R23" i="1603"/>
  <c r="L23" i="1603"/>
  <c r="D23" i="1603" s="1"/>
  <c r="R22" i="1603"/>
  <c r="L22" i="1603"/>
  <c r="D22" i="1603"/>
  <c r="R21" i="1603"/>
  <c r="L17" i="1603" s="1"/>
  <c r="D17" i="1603" s="1"/>
  <c r="D21" i="1603"/>
  <c r="R20" i="1603"/>
  <c r="R19" i="1603"/>
  <c r="R18" i="1603"/>
  <c r="D18" i="1603"/>
  <c r="R17" i="1603"/>
  <c r="R16" i="1603"/>
  <c r="R15" i="1603"/>
  <c r="D15" i="1603"/>
  <c r="R14" i="1603"/>
  <c r="D14" i="1603"/>
  <c r="R13" i="1603"/>
  <c r="D13" i="1603"/>
  <c r="R12" i="1603"/>
  <c r="L12" i="1603"/>
  <c r="D12" i="1603"/>
  <c r="R11" i="1603"/>
  <c r="L11" i="1603"/>
  <c r="D11" i="1603" s="1"/>
  <c r="L9" i="1603"/>
  <c r="D9" i="1603" s="1"/>
  <c r="L8" i="1603"/>
  <c r="D8" i="1603"/>
  <c r="L7" i="1603"/>
  <c r="D7" i="1603" s="1"/>
  <c r="R6" i="1603"/>
  <c r="L6" i="1603"/>
  <c r="D6" i="1603" s="1"/>
  <c r="R5" i="1603"/>
  <c r="R4" i="1603"/>
  <c r="R52" i="1602"/>
  <c r="R51" i="1602"/>
  <c r="D50" i="1602"/>
  <c r="R49" i="1602"/>
  <c r="D49" i="1602"/>
  <c r="R48" i="1602"/>
  <c r="D48" i="1602"/>
  <c r="D46" i="1602"/>
  <c r="D45" i="1602"/>
  <c r="P44" i="1602"/>
  <c r="R44" i="1602" s="1"/>
  <c r="D44" i="1602"/>
  <c r="R42" i="1602"/>
  <c r="L6" i="1602" s="1"/>
  <c r="D6" i="1602" s="1"/>
  <c r="D42" i="1602"/>
  <c r="R41" i="1602"/>
  <c r="L7" i="1602" s="1"/>
  <c r="D7" i="1602" s="1"/>
  <c r="D41" i="1602"/>
  <c r="R40" i="1602"/>
  <c r="D40" i="1602"/>
  <c r="R39" i="1602"/>
  <c r="H39" i="1602"/>
  <c r="D39" i="1602"/>
  <c r="R38" i="1602"/>
  <c r="H38" i="1602"/>
  <c r="D38" i="1602"/>
  <c r="R37" i="1602"/>
  <c r="H37" i="1602"/>
  <c r="D37" i="1602"/>
  <c r="R36" i="1602"/>
  <c r="H36" i="1602"/>
  <c r="D36" i="1602"/>
  <c r="R35" i="1602"/>
  <c r="H35" i="1602"/>
  <c r="D35" i="1602"/>
  <c r="R34" i="1602"/>
  <c r="H34" i="1602"/>
  <c r="D34" i="1602"/>
  <c r="R33" i="1602"/>
  <c r="R32" i="1602"/>
  <c r="R31" i="1602"/>
  <c r="R30" i="1602"/>
  <c r="R29" i="1602"/>
  <c r="R28" i="1602"/>
  <c r="D28" i="1602"/>
  <c r="R27" i="1602"/>
  <c r="D27" i="1602"/>
  <c r="R26" i="1602"/>
  <c r="L26" i="1602"/>
  <c r="D26" i="1602" s="1"/>
  <c r="R25" i="1602"/>
  <c r="L25" i="1602"/>
  <c r="D25" i="1602"/>
  <c r="R24" i="1602"/>
  <c r="L24" i="1602"/>
  <c r="D24" i="1602"/>
  <c r="R23" i="1602"/>
  <c r="D23" i="1602"/>
  <c r="R22" i="1602"/>
  <c r="D22" i="1602"/>
  <c r="R21" i="1602"/>
  <c r="D21" i="1602"/>
  <c r="R20" i="1602"/>
  <c r="L20" i="1602"/>
  <c r="D20" i="1602" s="1"/>
  <c r="R19" i="1602"/>
  <c r="D19" i="1602"/>
  <c r="R18" i="1602"/>
  <c r="D18" i="1602"/>
  <c r="R17" i="1602"/>
  <c r="L17" i="1602"/>
  <c r="D17" i="1602"/>
  <c r="R16" i="1602"/>
  <c r="L16" i="1602"/>
  <c r="D16" i="1602"/>
  <c r="R15" i="1602"/>
  <c r="D15" i="1602"/>
  <c r="R14" i="1602"/>
  <c r="D14" i="1602"/>
  <c r="R13" i="1602"/>
  <c r="D13" i="1602"/>
  <c r="R12" i="1602"/>
  <c r="L12" i="1602"/>
  <c r="D12" i="1602"/>
  <c r="R11" i="1602"/>
  <c r="L11" i="1602"/>
  <c r="D11" i="1602"/>
  <c r="L10" i="1602"/>
  <c r="D10" i="1602" s="1"/>
  <c r="L9" i="1602"/>
  <c r="D9" i="1602" s="1"/>
  <c r="L8" i="1602"/>
  <c r="D8" i="1602"/>
  <c r="R6" i="1602"/>
  <c r="R5" i="1602"/>
  <c r="R4" i="1602"/>
  <c r="R52" i="1601"/>
  <c r="R51" i="1601"/>
  <c r="D50" i="1601"/>
  <c r="R49" i="1601"/>
  <c r="G49" i="1601"/>
  <c r="D49" i="1601"/>
  <c r="R48" i="1601"/>
  <c r="D48" i="1601"/>
  <c r="D46" i="1601"/>
  <c r="D45" i="1601"/>
  <c r="D44" i="1601"/>
  <c r="R42" i="1601"/>
  <c r="L6" i="1601" s="1"/>
  <c r="D6" i="1601" s="1"/>
  <c r="D42" i="1601"/>
  <c r="R41" i="1601"/>
  <c r="L7" i="1601" s="1"/>
  <c r="D7" i="1601" s="1"/>
  <c r="D41" i="1601"/>
  <c r="R40" i="1601"/>
  <c r="D40" i="1601"/>
  <c r="R39" i="1601"/>
  <c r="D39" i="1601"/>
  <c r="R38" i="1601"/>
  <c r="D38" i="1601"/>
  <c r="R37" i="1601"/>
  <c r="D37" i="1601"/>
  <c r="R36" i="1601"/>
  <c r="L10" i="1601" s="1"/>
  <c r="D10" i="1601" s="1"/>
  <c r="D36" i="1601"/>
  <c r="R35" i="1601"/>
  <c r="D35" i="1601"/>
  <c r="R34" i="1601"/>
  <c r="L12" i="1601" s="1"/>
  <c r="D12" i="1601" s="1"/>
  <c r="D34" i="1601"/>
  <c r="D54" i="1601" s="1"/>
  <c r="H14" i="1601" s="1"/>
  <c r="R33" i="1601"/>
  <c r="L23" i="1601" s="1"/>
  <c r="D23" i="1601" s="1"/>
  <c r="R32" i="1601"/>
  <c r="R31" i="1601"/>
  <c r="R30" i="1601"/>
  <c r="R29" i="1601"/>
  <c r="R28" i="1601"/>
  <c r="L16" i="1601" s="1"/>
  <c r="D16" i="1601" s="1"/>
  <c r="D28" i="1601"/>
  <c r="R27" i="1601"/>
  <c r="D27" i="1601"/>
  <c r="R26" i="1601"/>
  <c r="L26" i="1601"/>
  <c r="D26" i="1601"/>
  <c r="R25" i="1601"/>
  <c r="L25" i="1601"/>
  <c r="D25" i="1601"/>
  <c r="R24" i="1601"/>
  <c r="D24" i="1601"/>
  <c r="R23" i="1601"/>
  <c r="R22" i="1601"/>
  <c r="L22" i="1601"/>
  <c r="D22" i="1601"/>
  <c r="R21" i="1601"/>
  <c r="D21" i="1601"/>
  <c r="R20" i="1601"/>
  <c r="L20" i="1601"/>
  <c r="D20" i="1601"/>
  <c r="R19" i="1601"/>
  <c r="L19" i="1601"/>
  <c r="D19" i="1601"/>
  <c r="R18" i="1601"/>
  <c r="D18" i="1601"/>
  <c r="R17" i="1601"/>
  <c r="D17" i="1601"/>
  <c r="R16" i="1601"/>
  <c r="S15" i="1601"/>
  <c r="R15" i="1601"/>
  <c r="D15" i="1601"/>
  <c r="S14" i="1601"/>
  <c r="R14" i="1601"/>
  <c r="D14" i="1601"/>
  <c r="R13" i="1601"/>
  <c r="D13" i="1601"/>
  <c r="R12" i="1601"/>
  <c r="R11" i="1601"/>
  <c r="L11" i="1601"/>
  <c r="D11" i="1601"/>
  <c r="L9" i="1601"/>
  <c r="D9" i="1601"/>
  <c r="L8" i="1601"/>
  <c r="D8" i="1601"/>
  <c r="R6" i="1601"/>
  <c r="R5" i="1601"/>
  <c r="R4" i="1601"/>
  <c r="R52" i="1600"/>
  <c r="R51" i="1600"/>
  <c r="D50" i="1600"/>
  <c r="R49" i="1600"/>
  <c r="D49" i="1600"/>
  <c r="R48" i="1600"/>
  <c r="D48" i="1600"/>
  <c r="D46" i="1600"/>
  <c r="D45" i="1600"/>
  <c r="D44" i="1600"/>
  <c r="R42" i="1600"/>
  <c r="D42" i="1600"/>
  <c r="R41" i="1600"/>
  <c r="L7" i="1600" s="1"/>
  <c r="D7" i="1600" s="1"/>
  <c r="D41" i="1600"/>
  <c r="R40" i="1600"/>
  <c r="L8" i="1600" s="1"/>
  <c r="D8" i="1600" s="1"/>
  <c r="D40" i="1600"/>
  <c r="R39" i="1600"/>
  <c r="H39" i="1600"/>
  <c r="D39" i="1600"/>
  <c r="R38" i="1600"/>
  <c r="L9" i="1600" s="1"/>
  <c r="D9" i="1600" s="1"/>
  <c r="H38" i="1600"/>
  <c r="D38" i="1600"/>
  <c r="R37" i="1600"/>
  <c r="H37" i="1600"/>
  <c r="D37" i="1600"/>
  <c r="R36" i="1600"/>
  <c r="H36" i="1600"/>
  <c r="D36" i="1600"/>
  <c r="R35" i="1600"/>
  <c r="H35" i="1600"/>
  <c r="D35" i="1600"/>
  <c r="R34" i="1600"/>
  <c r="H34" i="1600"/>
  <c r="D34" i="1600"/>
  <c r="R33" i="1600"/>
  <c r="L23" i="1600" s="1"/>
  <c r="D23" i="1600" s="1"/>
  <c r="R32" i="1600"/>
  <c r="L11" i="1600" s="1"/>
  <c r="D11" i="1600" s="1"/>
  <c r="R31" i="1600"/>
  <c r="R30" i="1600"/>
  <c r="R29" i="1600"/>
  <c r="R28" i="1600"/>
  <c r="L16" i="1600" s="1"/>
  <c r="D16" i="1600" s="1"/>
  <c r="D28" i="1600"/>
  <c r="R27" i="1600"/>
  <c r="D27" i="1600"/>
  <c r="R26" i="1600"/>
  <c r="L26" i="1600"/>
  <c r="D26" i="1600" s="1"/>
  <c r="R25" i="1600"/>
  <c r="L25" i="1600"/>
  <c r="D25" i="1600"/>
  <c r="R24" i="1600"/>
  <c r="D24" i="1600"/>
  <c r="R23" i="1600"/>
  <c r="R22" i="1600"/>
  <c r="L22" i="1600"/>
  <c r="D22" i="1600" s="1"/>
  <c r="R21" i="1600"/>
  <c r="D21" i="1600"/>
  <c r="R20" i="1600"/>
  <c r="L20" i="1600"/>
  <c r="D20" i="1600" s="1"/>
  <c r="R19" i="1600"/>
  <c r="L19" i="1600"/>
  <c r="D19" i="1600"/>
  <c r="R18" i="1600"/>
  <c r="D18" i="1600"/>
  <c r="R17" i="1600"/>
  <c r="D17" i="1600"/>
  <c r="R16" i="1600"/>
  <c r="R15" i="1600"/>
  <c r="D15" i="1600"/>
  <c r="R14" i="1600"/>
  <c r="D14" i="1600"/>
  <c r="R13" i="1600"/>
  <c r="D13" i="1600"/>
  <c r="R12" i="1600"/>
  <c r="L12" i="1600"/>
  <c r="D12" i="1600"/>
  <c r="R11" i="1600"/>
  <c r="L10" i="1600"/>
  <c r="D10" i="1600" s="1"/>
  <c r="R6" i="1600"/>
  <c r="L6" i="1600"/>
  <c r="D6" i="1600"/>
  <c r="R5" i="1600"/>
  <c r="R4" i="1600"/>
  <c r="R52" i="1599"/>
  <c r="R51" i="1599"/>
  <c r="D50" i="1599"/>
  <c r="R49" i="1599"/>
  <c r="D49" i="1599"/>
  <c r="R48" i="1599"/>
  <c r="D48" i="1599"/>
  <c r="D46" i="1599"/>
  <c r="D45" i="1599"/>
  <c r="D44" i="1599"/>
  <c r="R42" i="1599"/>
  <c r="L6" i="1599" s="1"/>
  <c r="D6" i="1599" s="1"/>
  <c r="D42" i="1599"/>
  <c r="R41" i="1599"/>
  <c r="L7" i="1599" s="1"/>
  <c r="D7" i="1599" s="1"/>
  <c r="D41" i="1599"/>
  <c r="R40" i="1599"/>
  <c r="L8" i="1599" s="1"/>
  <c r="D8" i="1599" s="1"/>
  <c r="D40" i="1599"/>
  <c r="R39" i="1599"/>
  <c r="L20" i="1599" s="1"/>
  <c r="D20" i="1599" s="1"/>
  <c r="H39" i="1599"/>
  <c r="D39" i="1599"/>
  <c r="R38" i="1599"/>
  <c r="L9" i="1599" s="1"/>
  <c r="D9" i="1599" s="1"/>
  <c r="H38" i="1599"/>
  <c r="D38" i="1599"/>
  <c r="R37" i="1599"/>
  <c r="H37" i="1599"/>
  <c r="D37" i="1599"/>
  <c r="R36" i="1599"/>
  <c r="L10" i="1599" s="1"/>
  <c r="D10" i="1599" s="1"/>
  <c r="H36" i="1599"/>
  <c r="D36" i="1599"/>
  <c r="R35" i="1599"/>
  <c r="L19" i="1599" s="1"/>
  <c r="D19" i="1599" s="1"/>
  <c r="H35" i="1599"/>
  <c r="D35" i="1599"/>
  <c r="R34" i="1599"/>
  <c r="H34" i="1599"/>
  <c r="D34" i="1599"/>
  <c r="R33" i="1599"/>
  <c r="R32" i="1599"/>
  <c r="R31" i="1599"/>
  <c r="R30" i="1599"/>
  <c r="R29" i="1599"/>
  <c r="R28" i="1599"/>
  <c r="L16" i="1599" s="1"/>
  <c r="D16" i="1599" s="1"/>
  <c r="D28" i="1599"/>
  <c r="R27" i="1599"/>
  <c r="D27" i="1599"/>
  <c r="R26" i="1599"/>
  <c r="L26" i="1599"/>
  <c r="D26" i="1599" s="1"/>
  <c r="R25" i="1599"/>
  <c r="D25" i="1599"/>
  <c r="R24" i="1599"/>
  <c r="L24" i="1599"/>
  <c r="D24" i="1599" s="1"/>
  <c r="R23" i="1599"/>
  <c r="L23" i="1599"/>
  <c r="D23" i="1599"/>
  <c r="R22" i="1599"/>
  <c r="L22" i="1599"/>
  <c r="D22" i="1599" s="1"/>
  <c r="R21" i="1599"/>
  <c r="L17" i="1599" s="1"/>
  <c r="D17" i="1599" s="1"/>
  <c r="D21" i="1599"/>
  <c r="R20" i="1599"/>
  <c r="R19" i="1599"/>
  <c r="R18" i="1599"/>
  <c r="D18" i="1599"/>
  <c r="R17" i="1599"/>
  <c r="R16" i="1599"/>
  <c r="R15" i="1599"/>
  <c r="D15" i="1599"/>
  <c r="R14" i="1599"/>
  <c r="D14" i="1599"/>
  <c r="R13" i="1599"/>
  <c r="D13" i="1599"/>
  <c r="R12" i="1599"/>
  <c r="L12" i="1599"/>
  <c r="D12" i="1599" s="1"/>
  <c r="R11" i="1599"/>
  <c r="L11" i="1599"/>
  <c r="D11" i="1599" s="1"/>
  <c r="R6" i="1599"/>
  <c r="R5" i="1599"/>
  <c r="R4" i="1599"/>
  <c r="R52" i="1598"/>
  <c r="R51" i="1598"/>
  <c r="D50" i="1598"/>
  <c r="R49" i="1598"/>
  <c r="D49" i="1598"/>
  <c r="R48" i="1598"/>
  <c r="D48" i="1598"/>
  <c r="D46" i="1598"/>
  <c r="D45" i="1598"/>
  <c r="R44" i="1598"/>
  <c r="P44" i="1598"/>
  <c r="D44" i="1598"/>
  <c r="R42" i="1598"/>
  <c r="L6" i="1598" s="1"/>
  <c r="D6" i="1598" s="1"/>
  <c r="D42" i="1598"/>
  <c r="R41" i="1598"/>
  <c r="D41" i="1598"/>
  <c r="R40" i="1598"/>
  <c r="D40" i="1598"/>
  <c r="R39" i="1598"/>
  <c r="L20" i="1598" s="1"/>
  <c r="D20" i="1598" s="1"/>
  <c r="H39" i="1598"/>
  <c r="D39" i="1598"/>
  <c r="R38" i="1598"/>
  <c r="H38" i="1598"/>
  <c r="D38" i="1598"/>
  <c r="R37" i="1598"/>
  <c r="H37" i="1598"/>
  <c r="D37" i="1598"/>
  <c r="R36" i="1598"/>
  <c r="L10" i="1598" s="1"/>
  <c r="D10" i="1598" s="1"/>
  <c r="H36" i="1598"/>
  <c r="D36" i="1598"/>
  <c r="R35" i="1598"/>
  <c r="H35" i="1598"/>
  <c r="D35" i="1598"/>
  <c r="R34" i="1598"/>
  <c r="L12" i="1598" s="1"/>
  <c r="D12" i="1598" s="1"/>
  <c r="H34" i="1598"/>
  <c r="D34" i="1598"/>
  <c r="R33" i="1598"/>
  <c r="R32" i="1598"/>
  <c r="R31" i="1598"/>
  <c r="R30" i="1598"/>
  <c r="R29" i="1598"/>
  <c r="R28" i="1598"/>
  <c r="L16" i="1598" s="1"/>
  <c r="D16" i="1598" s="1"/>
  <c r="D28" i="1598"/>
  <c r="R27" i="1598"/>
  <c r="D27" i="1598"/>
  <c r="R26" i="1598"/>
  <c r="L26" i="1598"/>
  <c r="D26" i="1598"/>
  <c r="R25" i="1598"/>
  <c r="L25" i="1598"/>
  <c r="D25" i="1598" s="1"/>
  <c r="R24" i="1598"/>
  <c r="L24" i="1598"/>
  <c r="D24" i="1598"/>
  <c r="R23" i="1598"/>
  <c r="D23" i="1598"/>
  <c r="R22" i="1598"/>
  <c r="D22" i="1598"/>
  <c r="R21" i="1598"/>
  <c r="D21" i="1598"/>
  <c r="R20" i="1598"/>
  <c r="R19" i="1598"/>
  <c r="D19" i="1598"/>
  <c r="R18" i="1598"/>
  <c r="D18" i="1598"/>
  <c r="R17" i="1598"/>
  <c r="L17" i="1598"/>
  <c r="D17" i="1598"/>
  <c r="R16" i="1598"/>
  <c r="R15" i="1598"/>
  <c r="D15" i="1598"/>
  <c r="R14" i="1598"/>
  <c r="D14" i="1598"/>
  <c r="R13" i="1598"/>
  <c r="D13" i="1598"/>
  <c r="R12" i="1598"/>
  <c r="R11" i="1598"/>
  <c r="L11" i="1598"/>
  <c r="D11" i="1598"/>
  <c r="L9" i="1598"/>
  <c r="D9" i="1598" s="1"/>
  <c r="L8" i="1598"/>
  <c r="D8" i="1598" s="1"/>
  <c r="L7" i="1598"/>
  <c r="D7" i="1598"/>
  <c r="R6" i="1598"/>
  <c r="R5" i="1598"/>
  <c r="R4" i="1598"/>
  <c r="R52" i="1597"/>
  <c r="R51" i="1597"/>
  <c r="D50" i="1597"/>
  <c r="R49" i="1597"/>
  <c r="G49" i="1597"/>
  <c r="D49" i="1597"/>
  <c r="R48" i="1597"/>
  <c r="D48" i="1597"/>
  <c r="D46" i="1597"/>
  <c r="D45" i="1597"/>
  <c r="D44" i="1597"/>
  <c r="R42" i="1597"/>
  <c r="D42" i="1597"/>
  <c r="R41" i="1597"/>
  <c r="L7" i="1597" s="1"/>
  <c r="D7" i="1597" s="1"/>
  <c r="D41" i="1597"/>
  <c r="R40" i="1597"/>
  <c r="D40" i="1597"/>
  <c r="R39" i="1597"/>
  <c r="D39" i="1597"/>
  <c r="R38" i="1597"/>
  <c r="D38" i="1597"/>
  <c r="R37" i="1597"/>
  <c r="D37" i="1597"/>
  <c r="R36" i="1597"/>
  <c r="L10" i="1597" s="1"/>
  <c r="D10" i="1597" s="1"/>
  <c r="D36" i="1597"/>
  <c r="R35" i="1597"/>
  <c r="D35" i="1597"/>
  <c r="R34" i="1597"/>
  <c r="D34" i="1597"/>
  <c r="D54" i="1597" s="1"/>
  <c r="H14" i="1597" s="1"/>
  <c r="R33" i="1597"/>
  <c r="L23" i="1597" s="1"/>
  <c r="D23" i="1597" s="1"/>
  <c r="R32" i="1597"/>
  <c r="R31" i="1597"/>
  <c r="R30" i="1597"/>
  <c r="R29" i="1597"/>
  <c r="R28" i="1597"/>
  <c r="D28" i="1597"/>
  <c r="R27" i="1597"/>
  <c r="D27" i="1597"/>
  <c r="R26" i="1597"/>
  <c r="L26" i="1597"/>
  <c r="D26" i="1597" s="1"/>
  <c r="R25" i="1597"/>
  <c r="L25" i="1597"/>
  <c r="D25" i="1597"/>
  <c r="R24" i="1597"/>
  <c r="D24" i="1597"/>
  <c r="R23" i="1597"/>
  <c r="R22" i="1597"/>
  <c r="L22" i="1597"/>
  <c r="D22" i="1597" s="1"/>
  <c r="R21" i="1597"/>
  <c r="D21" i="1597"/>
  <c r="R20" i="1597"/>
  <c r="L20" i="1597"/>
  <c r="D20" i="1597" s="1"/>
  <c r="R19" i="1597"/>
  <c r="L19" i="1597"/>
  <c r="D19" i="1597"/>
  <c r="R18" i="1597"/>
  <c r="D18" i="1597"/>
  <c r="R17" i="1597"/>
  <c r="D17" i="1597"/>
  <c r="R16" i="1597"/>
  <c r="L16" i="1597"/>
  <c r="D16" i="1597" s="1"/>
  <c r="S15" i="1597"/>
  <c r="R15" i="1597"/>
  <c r="D15" i="1597"/>
  <c r="S14" i="1597"/>
  <c r="R14" i="1597"/>
  <c r="D14" i="1597"/>
  <c r="R13" i="1597"/>
  <c r="D13" i="1597"/>
  <c r="R12" i="1597"/>
  <c r="L12" i="1597"/>
  <c r="D12" i="1597" s="1"/>
  <c r="R11" i="1597"/>
  <c r="L11" i="1597"/>
  <c r="D11" i="1597" s="1"/>
  <c r="L9" i="1597"/>
  <c r="D9" i="1597" s="1"/>
  <c r="L8" i="1597"/>
  <c r="D8" i="1597" s="1"/>
  <c r="R6" i="1597"/>
  <c r="L6" i="1597"/>
  <c r="D6" i="1597"/>
  <c r="R5" i="1597"/>
  <c r="R4" i="1597"/>
  <c r="R52" i="1596"/>
  <c r="R51" i="1596"/>
  <c r="D50" i="1596"/>
  <c r="R49" i="1596"/>
  <c r="D49" i="1596"/>
  <c r="R48" i="1596"/>
  <c r="D48" i="1596"/>
  <c r="D46" i="1596"/>
  <c r="D45" i="1596"/>
  <c r="D44" i="1596"/>
  <c r="R42" i="1596"/>
  <c r="D42" i="1596"/>
  <c r="R41" i="1596"/>
  <c r="L7" i="1596" s="1"/>
  <c r="D7" i="1596" s="1"/>
  <c r="D41" i="1596"/>
  <c r="R40" i="1596"/>
  <c r="D40" i="1596"/>
  <c r="R39" i="1596"/>
  <c r="H39" i="1596"/>
  <c r="D39" i="1596"/>
  <c r="R38" i="1596"/>
  <c r="L9" i="1596" s="1"/>
  <c r="D9" i="1596" s="1"/>
  <c r="H38" i="1596"/>
  <c r="D38" i="1596"/>
  <c r="R37" i="1596"/>
  <c r="H37" i="1596"/>
  <c r="D37" i="1596"/>
  <c r="R36" i="1596"/>
  <c r="H36" i="1596"/>
  <c r="D36" i="1596"/>
  <c r="R35" i="1596"/>
  <c r="L19" i="1596" s="1"/>
  <c r="D19" i="1596" s="1"/>
  <c r="H35" i="1596"/>
  <c r="D35" i="1596"/>
  <c r="R34" i="1596"/>
  <c r="H34" i="1596"/>
  <c r="D34" i="1596"/>
  <c r="R33" i="1596"/>
  <c r="L23" i="1596" s="1"/>
  <c r="D23" i="1596" s="1"/>
  <c r="R32" i="1596"/>
  <c r="L11" i="1596" s="1"/>
  <c r="D11" i="1596" s="1"/>
  <c r="R31" i="1596"/>
  <c r="R30" i="1596"/>
  <c r="R29" i="1596"/>
  <c r="R28" i="1596"/>
  <c r="L16" i="1596" s="1"/>
  <c r="D16" i="1596" s="1"/>
  <c r="D28" i="1596"/>
  <c r="R27" i="1596"/>
  <c r="D27" i="1596"/>
  <c r="R26" i="1596"/>
  <c r="D26" i="1596"/>
  <c r="R25" i="1596"/>
  <c r="L25" i="1596"/>
  <c r="D25" i="1596"/>
  <c r="R24" i="1596"/>
  <c r="D24" i="1596"/>
  <c r="R23" i="1596"/>
  <c r="R22" i="1596"/>
  <c r="L22" i="1596"/>
  <c r="D22" i="1596"/>
  <c r="R21" i="1596"/>
  <c r="D21" i="1596"/>
  <c r="R20" i="1596"/>
  <c r="D20" i="1596"/>
  <c r="R19" i="1596"/>
  <c r="R18" i="1596"/>
  <c r="D18" i="1596"/>
  <c r="R17" i="1596"/>
  <c r="D17" i="1596"/>
  <c r="R16" i="1596"/>
  <c r="R15" i="1596"/>
  <c r="D15" i="1596"/>
  <c r="R14" i="1596"/>
  <c r="D14" i="1596"/>
  <c r="R13" i="1596"/>
  <c r="D13" i="1596"/>
  <c r="R12" i="1596"/>
  <c r="L12" i="1596"/>
  <c r="D12" i="1596"/>
  <c r="R11" i="1596"/>
  <c r="L10" i="1596"/>
  <c r="D10" i="1596"/>
  <c r="L8" i="1596"/>
  <c r="D8" i="1596" s="1"/>
  <c r="R6" i="1596"/>
  <c r="L6" i="1596"/>
  <c r="D6" i="1596"/>
  <c r="R5" i="1596"/>
  <c r="R4" i="1596"/>
  <c r="R52" i="1595"/>
  <c r="R51" i="1595"/>
  <c r="D50" i="1595"/>
  <c r="R49" i="1595"/>
  <c r="D49" i="1595"/>
  <c r="R48" i="1595"/>
  <c r="D48" i="1595"/>
  <c r="D46" i="1595"/>
  <c r="D45" i="1595"/>
  <c r="D44" i="1595"/>
  <c r="R42" i="1595"/>
  <c r="L6" i="1595" s="1"/>
  <c r="D6" i="1595" s="1"/>
  <c r="D42" i="1595"/>
  <c r="R41" i="1595"/>
  <c r="L7" i="1595" s="1"/>
  <c r="D7" i="1595" s="1"/>
  <c r="D41" i="1595"/>
  <c r="R40" i="1595"/>
  <c r="L8" i="1595" s="1"/>
  <c r="D8" i="1595" s="1"/>
  <c r="D40" i="1595"/>
  <c r="R39" i="1595"/>
  <c r="L20" i="1595" s="1"/>
  <c r="D20" i="1595" s="1"/>
  <c r="H39" i="1595"/>
  <c r="D39" i="1595"/>
  <c r="R38" i="1595"/>
  <c r="L9" i="1595" s="1"/>
  <c r="D9" i="1595" s="1"/>
  <c r="H38" i="1595"/>
  <c r="D38" i="1595"/>
  <c r="R37" i="1595"/>
  <c r="H37" i="1595"/>
  <c r="D37" i="1595"/>
  <c r="R36" i="1595"/>
  <c r="L10" i="1595" s="1"/>
  <c r="D10" i="1595" s="1"/>
  <c r="H36" i="1595"/>
  <c r="D36" i="1595"/>
  <c r="R35" i="1595"/>
  <c r="L19" i="1595" s="1"/>
  <c r="D19" i="1595" s="1"/>
  <c r="H35" i="1595"/>
  <c r="D35" i="1595"/>
  <c r="R34" i="1595"/>
  <c r="H34" i="1595"/>
  <c r="D34" i="1595"/>
  <c r="R33" i="1595"/>
  <c r="R32" i="1595"/>
  <c r="R31" i="1595"/>
  <c r="R30" i="1595"/>
  <c r="R29" i="1595"/>
  <c r="R28" i="1595"/>
  <c r="D28" i="1595"/>
  <c r="R27" i="1595"/>
  <c r="D27" i="1595"/>
  <c r="R26" i="1595"/>
  <c r="L26" i="1595"/>
  <c r="D26" i="1595" s="1"/>
  <c r="R25" i="1595"/>
  <c r="L25" i="1595"/>
  <c r="D25" i="1595" s="1"/>
  <c r="R24" i="1595"/>
  <c r="L24" i="1595"/>
  <c r="D24" i="1595"/>
  <c r="R23" i="1595"/>
  <c r="L23" i="1595"/>
  <c r="D23" i="1595"/>
  <c r="R22" i="1595"/>
  <c r="L22" i="1595"/>
  <c r="D22" i="1595" s="1"/>
  <c r="R21" i="1595"/>
  <c r="L17" i="1595" s="1"/>
  <c r="D17" i="1595" s="1"/>
  <c r="D21" i="1595"/>
  <c r="R20" i="1595"/>
  <c r="R19" i="1595"/>
  <c r="R18" i="1595"/>
  <c r="D18" i="1595"/>
  <c r="R17" i="1595"/>
  <c r="R16" i="1595"/>
  <c r="L16" i="1595"/>
  <c r="D16" i="1595" s="1"/>
  <c r="R15" i="1595"/>
  <c r="D15" i="1595"/>
  <c r="R14" i="1595"/>
  <c r="D14" i="1595"/>
  <c r="R13" i="1595"/>
  <c r="D13" i="1595"/>
  <c r="R12" i="1595"/>
  <c r="L12" i="1595"/>
  <c r="D12" i="1595"/>
  <c r="R11" i="1595"/>
  <c r="L11" i="1595"/>
  <c r="D11" i="1595"/>
  <c r="R6" i="1595"/>
  <c r="R5" i="1595"/>
  <c r="R4" i="1595"/>
  <c r="R52" i="1594"/>
  <c r="R51" i="1594"/>
  <c r="D50" i="1594"/>
  <c r="R49" i="1594"/>
  <c r="D49" i="1594"/>
  <c r="R48" i="1594"/>
  <c r="D48" i="1594"/>
  <c r="D46" i="1594"/>
  <c r="D45" i="1594"/>
  <c r="P44" i="1594"/>
  <c r="R44" i="1594" s="1"/>
  <c r="D44" i="1594"/>
  <c r="R42" i="1594"/>
  <c r="L6" i="1594" s="1"/>
  <c r="D6" i="1594" s="1"/>
  <c r="D42" i="1594"/>
  <c r="R41" i="1594"/>
  <c r="D41" i="1594"/>
  <c r="R40" i="1594"/>
  <c r="D40" i="1594"/>
  <c r="R39" i="1594"/>
  <c r="H39" i="1594"/>
  <c r="D39" i="1594"/>
  <c r="R38" i="1594"/>
  <c r="H38" i="1594"/>
  <c r="D38" i="1594"/>
  <c r="R37" i="1594"/>
  <c r="H37" i="1594"/>
  <c r="D37" i="1594"/>
  <c r="R36" i="1594"/>
  <c r="H36" i="1594"/>
  <c r="D36" i="1594"/>
  <c r="R35" i="1594"/>
  <c r="H35" i="1594"/>
  <c r="D35" i="1594"/>
  <c r="R34" i="1594"/>
  <c r="H34" i="1594"/>
  <c r="D34" i="1594"/>
  <c r="R33" i="1594"/>
  <c r="R32" i="1594"/>
  <c r="R31" i="1594"/>
  <c r="R30" i="1594"/>
  <c r="R29" i="1594"/>
  <c r="R28" i="1594"/>
  <c r="L16" i="1594" s="1"/>
  <c r="D16" i="1594" s="1"/>
  <c r="D28" i="1594"/>
  <c r="R27" i="1594"/>
  <c r="D27" i="1594"/>
  <c r="R26" i="1594"/>
  <c r="L26" i="1594"/>
  <c r="D26" i="1594"/>
  <c r="R25" i="1594"/>
  <c r="L25" i="1594"/>
  <c r="D25" i="1594"/>
  <c r="R24" i="1594"/>
  <c r="L24" i="1594"/>
  <c r="D24" i="1594" s="1"/>
  <c r="R23" i="1594"/>
  <c r="D23" i="1594"/>
  <c r="R22" i="1594"/>
  <c r="D22" i="1594"/>
  <c r="R21" i="1594"/>
  <c r="D21" i="1594"/>
  <c r="R20" i="1594"/>
  <c r="L20" i="1594"/>
  <c r="D20" i="1594" s="1"/>
  <c r="R19" i="1594"/>
  <c r="D19" i="1594"/>
  <c r="R18" i="1594"/>
  <c r="D18" i="1594"/>
  <c r="R17" i="1594"/>
  <c r="L17" i="1594"/>
  <c r="D17" i="1594" s="1"/>
  <c r="R16" i="1594"/>
  <c r="R15" i="1594"/>
  <c r="D15" i="1594"/>
  <c r="R14" i="1594"/>
  <c r="D14" i="1594"/>
  <c r="R13" i="1594"/>
  <c r="D13" i="1594"/>
  <c r="R12" i="1594"/>
  <c r="L12" i="1594"/>
  <c r="D12" i="1594" s="1"/>
  <c r="R11" i="1594"/>
  <c r="L11" i="1594"/>
  <c r="D11" i="1594" s="1"/>
  <c r="L10" i="1594"/>
  <c r="D10" i="1594" s="1"/>
  <c r="L9" i="1594"/>
  <c r="D9" i="1594"/>
  <c r="L8" i="1594"/>
  <c r="D8" i="1594"/>
  <c r="L7" i="1594"/>
  <c r="D7" i="1594"/>
  <c r="R6" i="1594"/>
  <c r="R5" i="1594"/>
  <c r="R4" i="1594"/>
  <c r="R52" i="1593"/>
  <c r="R51" i="1593"/>
  <c r="D50" i="1593"/>
  <c r="R49" i="1593"/>
  <c r="G49" i="1593"/>
  <c r="D49" i="1593"/>
  <c r="R48" i="1593"/>
  <c r="D48" i="1593"/>
  <c r="D46" i="1593"/>
  <c r="D45" i="1593"/>
  <c r="D44" i="1593"/>
  <c r="R42" i="1593"/>
  <c r="L6" i="1593" s="1"/>
  <c r="D6" i="1593" s="1"/>
  <c r="D42" i="1593"/>
  <c r="R41" i="1593"/>
  <c r="L7" i="1593" s="1"/>
  <c r="D7" i="1593" s="1"/>
  <c r="D41" i="1593"/>
  <c r="R40" i="1593"/>
  <c r="D40" i="1593"/>
  <c r="R39" i="1593"/>
  <c r="D39" i="1593"/>
  <c r="R38" i="1593"/>
  <c r="D38" i="1593"/>
  <c r="R37" i="1593"/>
  <c r="D37" i="1593"/>
  <c r="R36" i="1593"/>
  <c r="D36" i="1593"/>
  <c r="R35" i="1593"/>
  <c r="D35" i="1593"/>
  <c r="R34" i="1593"/>
  <c r="L12" i="1593" s="1"/>
  <c r="D12" i="1593" s="1"/>
  <c r="D34" i="1593"/>
  <c r="D54" i="1593" s="1"/>
  <c r="H14" i="1593" s="1"/>
  <c r="R33" i="1593"/>
  <c r="L23" i="1593" s="1"/>
  <c r="D23" i="1593" s="1"/>
  <c r="R32" i="1593"/>
  <c r="R31" i="1593"/>
  <c r="R30" i="1593"/>
  <c r="R29" i="1593"/>
  <c r="R28" i="1593"/>
  <c r="L16" i="1593" s="1"/>
  <c r="D16" i="1593" s="1"/>
  <c r="D28" i="1593"/>
  <c r="R27" i="1593"/>
  <c r="D27" i="1593"/>
  <c r="R26" i="1593"/>
  <c r="L26" i="1593"/>
  <c r="D26" i="1593"/>
  <c r="R25" i="1593"/>
  <c r="L25" i="1593"/>
  <c r="D25" i="1593"/>
  <c r="R24" i="1593"/>
  <c r="D24" i="1593"/>
  <c r="R23" i="1593"/>
  <c r="R22" i="1593"/>
  <c r="L22" i="1593"/>
  <c r="D22" i="1593"/>
  <c r="R21" i="1593"/>
  <c r="D21" i="1593"/>
  <c r="R20" i="1593"/>
  <c r="L20" i="1593"/>
  <c r="D20" i="1593"/>
  <c r="R19" i="1593"/>
  <c r="L19" i="1593"/>
  <c r="D19" i="1593"/>
  <c r="R18" i="1593"/>
  <c r="D18" i="1593"/>
  <c r="R17" i="1593"/>
  <c r="D17" i="1593"/>
  <c r="R16" i="1593"/>
  <c r="S15" i="1593"/>
  <c r="R15" i="1593"/>
  <c r="D15" i="1593"/>
  <c r="S14" i="1593"/>
  <c r="R14" i="1593"/>
  <c r="D14" i="1593"/>
  <c r="R13" i="1593"/>
  <c r="D13" i="1593"/>
  <c r="R12" i="1593"/>
  <c r="R11" i="1593"/>
  <c r="L11" i="1593"/>
  <c r="D11" i="1593"/>
  <c r="L10" i="1593"/>
  <c r="D10" i="1593" s="1"/>
  <c r="L9" i="1593"/>
  <c r="D9" i="1593"/>
  <c r="L8" i="1593"/>
  <c r="D8" i="1593"/>
  <c r="R6" i="1593"/>
  <c r="R5" i="1593"/>
  <c r="R4" i="1593"/>
  <c r="R52" i="1592"/>
  <c r="R51" i="1592"/>
  <c r="D50" i="1592"/>
  <c r="R49" i="1592"/>
  <c r="D49" i="1592"/>
  <c r="R48" i="1592"/>
  <c r="D48" i="1592"/>
  <c r="D46" i="1592"/>
  <c r="D45" i="1592"/>
  <c r="D44" i="1592"/>
  <c r="R42" i="1592"/>
  <c r="D42" i="1592"/>
  <c r="R41" i="1592"/>
  <c r="L7" i="1592" s="1"/>
  <c r="D7" i="1592" s="1"/>
  <c r="D41" i="1592"/>
  <c r="R40" i="1592"/>
  <c r="L8" i="1592" s="1"/>
  <c r="D8" i="1592" s="1"/>
  <c r="D40" i="1592"/>
  <c r="R39" i="1592"/>
  <c r="H39" i="1592"/>
  <c r="D39" i="1592"/>
  <c r="R38" i="1592"/>
  <c r="L9" i="1592" s="1"/>
  <c r="D9" i="1592" s="1"/>
  <c r="H38" i="1592"/>
  <c r="D38" i="1592"/>
  <c r="R37" i="1592"/>
  <c r="H37" i="1592"/>
  <c r="D37" i="1592"/>
  <c r="R36" i="1592"/>
  <c r="H36" i="1592"/>
  <c r="D36" i="1592"/>
  <c r="R35" i="1592"/>
  <c r="L19" i="1592" s="1"/>
  <c r="D19" i="1592" s="1"/>
  <c r="H35" i="1592"/>
  <c r="D35" i="1592"/>
  <c r="R34" i="1592"/>
  <c r="H34" i="1592"/>
  <c r="D34" i="1592"/>
  <c r="R33" i="1592"/>
  <c r="L23" i="1592" s="1"/>
  <c r="D23" i="1592" s="1"/>
  <c r="R32" i="1592"/>
  <c r="L11" i="1592" s="1"/>
  <c r="D11" i="1592" s="1"/>
  <c r="R31" i="1592"/>
  <c r="R30" i="1592"/>
  <c r="R29" i="1592"/>
  <c r="R28" i="1592"/>
  <c r="D28" i="1592"/>
  <c r="R27" i="1592"/>
  <c r="D27" i="1592"/>
  <c r="R26" i="1592"/>
  <c r="L26" i="1592"/>
  <c r="D26" i="1592" s="1"/>
  <c r="R25" i="1592"/>
  <c r="L25" i="1592"/>
  <c r="D25" i="1592"/>
  <c r="R24" i="1592"/>
  <c r="D24" i="1592"/>
  <c r="R23" i="1592"/>
  <c r="R22" i="1592"/>
  <c r="L22" i="1592"/>
  <c r="D22" i="1592"/>
  <c r="R21" i="1592"/>
  <c r="D21" i="1592"/>
  <c r="R20" i="1592"/>
  <c r="L20" i="1592"/>
  <c r="D20" i="1592" s="1"/>
  <c r="R19" i="1592"/>
  <c r="R18" i="1592"/>
  <c r="D18" i="1592"/>
  <c r="R17" i="1592"/>
  <c r="D17" i="1592"/>
  <c r="R16" i="1592"/>
  <c r="L16" i="1592"/>
  <c r="D16" i="1592" s="1"/>
  <c r="R15" i="1592"/>
  <c r="D15" i="1592"/>
  <c r="R14" i="1592"/>
  <c r="D14" i="1592"/>
  <c r="R13" i="1592"/>
  <c r="D13" i="1592"/>
  <c r="R12" i="1592"/>
  <c r="L12" i="1592"/>
  <c r="D12" i="1592" s="1"/>
  <c r="R11" i="1592"/>
  <c r="L10" i="1592"/>
  <c r="D10" i="1592"/>
  <c r="R6" i="1592"/>
  <c r="L6" i="1592"/>
  <c r="D6" i="1592"/>
  <c r="R5" i="1592"/>
  <c r="R4" i="1592"/>
  <c r="R52" i="1591"/>
  <c r="R51" i="1591"/>
  <c r="D50" i="1591"/>
  <c r="R49" i="1591"/>
  <c r="D49" i="1591"/>
  <c r="R48" i="1591"/>
  <c r="D48" i="1591"/>
  <c r="D46" i="1591"/>
  <c r="D45" i="1591"/>
  <c r="D44" i="1591"/>
  <c r="R42" i="1591"/>
  <c r="D42" i="1591"/>
  <c r="R41" i="1591"/>
  <c r="L7" i="1591" s="1"/>
  <c r="D7" i="1591" s="1"/>
  <c r="D41" i="1591"/>
  <c r="R40" i="1591"/>
  <c r="D40" i="1591"/>
  <c r="R39" i="1591"/>
  <c r="L20" i="1591" s="1"/>
  <c r="D20" i="1591" s="1"/>
  <c r="H39" i="1591"/>
  <c r="D39" i="1591"/>
  <c r="R38" i="1591"/>
  <c r="L9" i="1591" s="1"/>
  <c r="D9" i="1591" s="1"/>
  <c r="H38" i="1591"/>
  <c r="D38" i="1591"/>
  <c r="R37" i="1591"/>
  <c r="H37" i="1591"/>
  <c r="D37" i="1591"/>
  <c r="R36" i="1591"/>
  <c r="H36" i="1591"/>
  <c r="D36" i="1591"/>
  <c r="R35" i="1591"/>
  <c r="L19" i="1591" s="1"/>
  <c r="D19" i="1591" s="1"/>
  <c r="H35" i="1591"/>
  <c r="D35" i="1591"/>
  <c r="R34" i="1591"/>
  <c r="H34" i="1591"/>
  <c r="D34" i="1591"/>
  <c r="R33" i="1591"/>
  <c r="L23" i="1591" s="1"/>
  <c r="D23" i="1591" s="1"/>
  <c r="R32" i="1591"/>
  <c r="R31" i="1591"/>
  <c r="R30" i="1591"/>
  <c r="R29" i="1591"/>
  <c r="R28" i="1591"/>
  <c r="D28" i="1591"/>
  <c r="R27" i="1591"/>
  <c r="D27" i="1591"/>
  <c r="R26" i="1591"/>
  <c r="L26" i="1591"/>
  <c r="D26" i="1591"/>
  <c r="R25" i="1591"/>
  <c r="L25" i="1591"/>
  <c r="D25" i="1591"/>
  <c r="R24" i="1591"/>
  <c r="L24" i="1591"/>
  <c r="D24" i="1591" s="1"/>
  <c r="R23" i="1591"/>
  <c r="R22" i="1591"/>
  <c r="L22" i="1591"/>
  <c r="D22" i="1591" s="1"/>
  <c r="R21" i="1591"/>
  <c r="L17" i="1591" s="1"/>
  <c r="D17" i="1591" s="1"/>
  <c r="D21" i="1591"/>
  <c r="R20" i="1591"/>
  <c r="R19" i="1591"/>
  <c r="R18" i="1591"/>
  <c r="D18" i="1591"/>
  <c r="R17" i="1591"/>
  <c r="R16" i="1591"/>
  <c r="L16" i="1591"/>
  <c r="D16" i="1591" s="1"/>
  <c r="R15" i="1591"/>
  <c r="D15" i="1591"/>
  <c r="R14" i="1591"/>
  <c r="D14" i="1591"/>
  <c r="R13" i="1591"/>
  <c r="D13" i="1591"/>
  <c r="R12" i="1591"/>
  <c r="L12" i="1591"/>
  <c r="D12" i="1591"/>
  <c r="R11" i="1591"/>
  <c r="L11" i="1591"/>
  <c r="D11" i="1591"/>
  <c r="L10" i="1591"/>
  <c r="D10" i="1591"/>
  <c r="L8" i="1591"/>
  <c r="D8" i="1591"/>
  <c r="R6" i="1591"/>
  <c r="L6" i="1591"/>
  <c r="D6" i="1591" s="1"/>
  <c r="R5" i="1591"/>
  <c r="R4" i="1591"/>
  <c r="R52" i="1590"/>
  <c r="R51" i="1590"/>
  <c r="D50" i="1590"/>
  <c r="R49" i="1590"/>
  <c r="D49" i="1590"/>
  <c r="R48" i="1590"/>
  <c r="D48" i="1590"/>
  <c r="D46" i="1590"/>
  <c r="D45" i="1590"/>
  <c r="P44" i="1590"/>
  <c r="R44" i="1590" s="1"/>
  <c r="D44" i="1590"/>
  <c r="R42" i="1590"/>
  <c r="L6" i="1590" s="1"/>
  <c r="D6" i="1590" s="1"/>
  <c r="D42" i="1590"/>
  <c r="R41" i="1590"/>
  <c r="D41" i="1590"/>
  <c r="R40" i="1590"/>
  <c r="L8" i="1590" s="1"/>
  <c r="D8" i="1590" s="1"/>
  <c r="D40" i="1590"/>
  <c r="R39" i="1590"/>
  <c r="L20" i="1590" s="1"/>
  <c r="D20" i="1590" s="1"/>
  <c r="H39" i="1590"/>
  <c r="D39" i="1590"/>
  <c r="R38" i="1590"/>
  <c r="H38" i="1590"/>
  <c r="D38" i="1590"/>
  <c r="R37" i="1590"/>
  <c r="H37" i="1590"/>
  <c r="D37" i="1590"/>
  <c r="R36" i="1590"/>
  <c r="L10" i="1590" s="1"/>
  <c r="D10" i="1590" s="1"/>
  <c r="H36" i="1590"/>
  <c r="D36" i="1590"/>
  <c r="R35" i="1590"/>
  <c r="H35" i="1590"/>
  <c r="D35" i="1590"/>
  <c r="R34" i="1590"/>
  <c r="H34" i="1590"/>
  <c r="D34" i="1590"/>
  <c r="R33" i="1590"/>
  <c r="R32" i="1590"/>
  <c r="R31" i="1590"/>
  <c r="R30" i="1590"/>
  <c r="R29" i="1590"/>
  <c r="R28" i="1590"/>
  <c r="L16" i="1590" s="1"/>
  <c r="D16" i="1590" s="1"/>
  <c r="D28" i="1590"/>
  <c r="R27" i="1590"/>
  <c r="D27" i="1590"/>
  <c r="R26" i="1590"/>
  <c r="D26" i="1590"/>
  <c r="R25" i="1590"/>
  <c r="D25" i="1590"/>
  <c r="R24" i="1590"/>
  <c r="L24" i="1590"/>
  <c r="D24" i="1590"/>
  <c r="R23" i="1590"/>
  <c r="D23" i="1590"/>
  <c r="R22" i="1590"/>
  <c r="D22" i="1590"/>
  <c r="R21" i="1590"/>
  <c r="D21" i="1590"/>
  <c r="R20" i="1590"/>
  <c r="R19" i="1590"/>
  <c r="D19" i="1590"/>
  <c r="R18" i="1590"/>
  <c r="D18" i="1590"/>
  <c r="R17" i="1590"/>
  <c r="L17" i="1590"/>
  <c r="D17" i="1590"/>
  <c r="R16" i="1590"/>
  <c r="R15" i="1590"/>
  <c r="D15" i="1590"/>
  <c r="R14" i="1590"/>
  <c r="D14" i="1590"/>
  <c r="R13" i="1590"/>
  <c r="D13" i="1590"/>
  <c r="R12" i="1590"/>
  <c r="L12" i="1590"/>
  <c r="D12" i="1590"/>
  <c r="R11" i="1590"/>
  <c r="L11" i="1590"/>
  <c r="D11" i="1590"/>
  <c r="L9" i="1590"/>
  <c r="D9" i="1590"/>
  <c r="L7" i="1590"/>
  <c r="D7" i="1590" s="1"/>
  <c r="R6" i="1590"/>
  <c r="R5" i="1590"/>
  <c r="R4" i="1590"/>
  <c r="R52" i="1589"/>
  <c r="R51" i="1589"/>
  <c r="D50" i="1589"/>
  <c r="R49" i="1589"/>
  <c r="G49" i="1589"/>
  <c r="D49" i="1589"/>
  <c r="R48" i="1589"/>
  <c r="D48" i="1589"/>
  <c r="D46" i="1589"/>
  <c r="D45" i="1589"/>
  <c r="D44" i="1589"/>
  <c r="R42" i="1589"/>
  <c r="L6" i="1589" s="1"/>
  <c r="D6" i="1589" s="1"/>
  <c r="D42" i="1589"/>
  <c r="R41" i="1589"/>
  <c r="L7" i="1589" s="1"/>
  <c r="D7" i="1589" s="1"/>
  <c r="D41" i="1589"/>
  <c r="R40" i="1589"/>
  <c r="D40" i="1589"/>
  <c r="R39" i="1589"/>
  <c r="D39" i="1589"/>
  <c r="R38" i="1589"/>
  <c r="D38" i="1589"/>
  <c r="R37" i="1589"/>
  <c r="D37" i="1589"/>
  <c r="R36" i="1589"/>
  <c r="L10" i="1589" s="1"/>
  <c r="D10" i="1589" s="1"/>
  <c r="D36" i="1589"/>
  <c r="R35" i="1589"/>
  <c r="D35" i="1589"/>
  <c r="R34" i="1589"/>
  <c r="L12" i="1589" s="1"/>
  <c r="D12" i="1589" s="1"/>
  <c r="D34" i="1589"/>
  <c r="D54" i="1589" s="1"/>
  <c r="H14" i="1589" s="1"/>
  <c r="R33" i="1589"/>
  <c r="L23" i="1589" s="1"/>
  <c r="D23" i="1589" s="1"/>
  <c r="R32" i="1589"/>
  <c r="R31" i="1589"/>
  <c r="R30" i="1589"/>
  <c r="R29" i="1589"/>
  <c r="R28" i="1589"/>
  <c r="L16" i="1589" s="1"/>
  <c r="D16" i="1589" s="1"/>
  <c r="D28" i="1589"/>
  <c r="R27" i="1589"/>
  <c r="D27" i="1589"/>
  <c r="R26" i="1589"/>
  <c r="L26" i="1589"/>
  <c r="D26" i="1589"/>
  <c r="R25" i="1589"/>
  <c r="L25" i="1589"/>
  <c r="D25" i="1589"/>
  <c r="R24" i="1589"/>
  <c r="D24" i="1589"/>
  <c r="R23" i="1589"/>
  <c r="R22" i="1589"/>
  <c r="L22" i="1589"/>
  <c r="D22" i="1589"/>
  <c r="R21" i="1589"/>
  <c r="D21" i="1589"/>
  <c r="R20" i="1589"/>
  <c r="L20" i="1589"/>
  <c r="D20" i="1589"/>
  <c r="R19" i="1589"/>
  <c r="L19" i="1589"/>
  <c r="D19" i="1589"/>
  <c r="R18" i="1589"/>
  <c r="D18" i="1589"/>
  <c r="R17" i="1589"/>
  <c r="D17" i="1589"/>
  <c r="R16" i="1589"/>
  <c r="S15" i="1589"/>
  <c r="R15" i="1589"/>
  <c r="D15" i="1589"/>
  <c r="S14" i="1589"/>
  <c r="R14" i="1589"/>
  <c r="D14" i="1589"/>
  <c r="R13" i="1589"/>
  <c r="D13" i="1589"/>
  <c r="R12" i="1589"/>
  <c r="R11" i="1589"/>
  <c r="L11" i="1589"/>
  <c r="D11" i="1589"/>
  <c r="L9" i="1589"/>
  <c r="D9" i="1589"/>
  <c r="L8" i="1589"/>
  <c r="D8" i="1589"/>
  <c r="R6" i="1589"/>
  <c r="R5" i="1589"/>
  <c r="R4" i="1589"/>
  <c r="G49" i="1612" l="1"/>
  <c r="G49" i="1611"/>
  <c r="D54" i="1612"/>
  <c r="H14" i="1612" s="1"/>
  <c r="D54" i="1611"/>
  <c r="H14" i="1611" s="1"/>
  <c r="D54" i="1610"/>
  <c r="H14" i="1610" s="1"/>
  <c r="G49" i="1608"/>
  <c r="D54" i="1608"/>
  <c r="H14" i="1608" s="1"/>
  <c r="D54" i="1607"/>
  <c r="H14" i="1607" s="1"/>
  <c r="D54" i="1606"/>
  <c r="H14" i="1606" s="1"/>
  <c r="G49" i="1604"/>
  <c r="G49" i="1603"/>
  <c r="G49" i="1602"/>
  <c r="D54" i="1604"/>
  <c r="H14" i="1604" s="1"/>
  <c r="D54" i="1603"/>
  <c r="H14" i="1603" s="1"/>
  <c r="D54" i="1602"/>
  <c r="H14" i="1602" s="1"/>
  <c r="G49" i="1600"/>
  <c r="G49" i="1599"/>
  <c r="G49" i="1598"/>
  <c r="D54" i="1600"/>
  <c r="H14" i="1600" s="1"/>
  <c r="D54" i="1599"/>
  <c r="H14" i="1599" s="1"/>
  <c r="D54" i="1598"/>
  <c r="H14" i="1598" s="1"/>
  <c r="G49" i="1596"/>
  <c r="G49" i="1595"/>
  <c r="G49" i="1594"/>
  <c r="D54" i="1596"/>
  <c r="H14" i="1596" s="1"/>
  <c r="D29" i="1596"/>
  <c r="H13" i="1596" s="1"/>
  <c r="D54" i="1595"/>
  <c r="H14" i="1595" s="1"/>
  <c r="D54" i="1594"/>
  <c r="H14" i="1594" s="1"/>
  <c r="G49" i="1591"/>
  <c r="G49" i="1592"/>
  <c r="G49" i="1590"/>
  <c r="D54" i="1592"/>
  <c r="H14" i="1592" s="1"/>
  <c r="D54" i="1591"/>
  <c r="H14" i="1591" s="1"/>
  <c r="D54" i="1590"/>
  <c r="H14" i="1590" s="1"/>
  <c r="D29" i="1612"/>
  <c r="H13" i="1612" s="1"/>
  <c r="D29" i="1611"/>
  <c r="H13" i="1611" s="1"/>
  <c r="D29" i="1610"/>
  <c r="H13" i="1610" s="1"/>
  <c r="D29" i="1609"/>
  <c r="H13" i="1609" s="1"/>
  <c r="H15" i="1609" s="1"/>
  <c r="H29" i="1609" s="1"/>
  <c r="G51" i="1609" s="1"/>
  <c r="D29" i="1608"/>
  <c r="H13" i="1608" s="1"/>
  <c r="D29" i="1607"/>
  <c r="H13" i="1607" s="1"/>
  <c r="D29" i="1606"/>
  <c r="H13" i="1606" s="1"/>
  <c r="D29" i="1605"/>
  <c r="H13" i="1605" s="1"/>
  <c r="H15" i="1605" s="1"/>
  <c r="H29" i="1605" s="1"/>
  <c r="G51" i="1605"/>
  <c r="D29" i="1604"/>
  <c r="H13" i="1604" s="1"/>
  <c r="D29" i="1603"/>
  <c r="H13" i="1603" s="1"/>
  <c r="D29" i="1602"/>
  <c r="H13" i="1602" s="1"/>
  <c r="D29" i="1601"/>
  <c r="H13" i="1601" s="1"/>
  <c r="H15" i="1601" s="1"/>
  <c r="H29" i="1601" s="1"/>
  <c r="G51" i="1601" s="1"/>
  <c r="D29" i="1600"/>
  <c r="H13" i="1600" s="1"/>
  <c r="D29" i="1599"/>
  <c r="H13" i="1599" s="1"/>
  <c r="D29" i="1598"/>
  <c r="H13" i="1598" s="1"/>
  <c r="H15" i="1598" s="1"/>
  <c r="H29" i="1598" s="1"/>
  <c r="D29" i="1597"/>
  <c r="H13" i="1597" s="1"/>
  <c r="H15" i="1597" s="1"/>
  <c r="H29" i="1597" s="1"/>
  <c r="G51" i="1597" s="1"/>
  <c r="D29" i="1595"/>
  <c r="H13" i="1595" s="1"/>
  <c r="D29" i="1594"/>
  <c r="H13" i="1594" s="1"/>
  <c r="D29" i="1593"/>
  <c r="H13" i="1593" s="1"/>
  <c r="H15" i="1593" s="1"/>
  <c r="H29" i="1593" s="1"/>
  <c r="G51" i="1593"/>
  <c r="D29" i="1592"/>
  <c r="H13" i="1592" s="1"/>
  <c r="D29" i="1591"/>
  <c r="H13" i="1591" s="1"/>
  <c r="D29" i="1590"/>
  <c r="H13" i="1590" s="1"/>
  <c r="D29" i="1589"/>
  <c r="H13" i="1589" s="1"/>
  <c r="H15" i="1589" s="1"/>
  <c r="H29" i="1589" s="1"/>
  <c r="G51" i="1589"/>
  <c r="C12" i="1584"/>
  <c r="C21" i="1583"/>
  <c r="H16" i="1584"/>
  <c r="H16" i="1583"/>
  <c r="H15" i="1612" l="1"/>
  <c r="H29" i="1612" s="1"/>
  <c r="G51" i="1612" s="1"/>
  <c r="H15" i="1611"/>
  <c r="H29" i="1611" s="1"/>
  <c r="G51" i="1611" s="1"/>
  <c r="H15" i="1610"/>
  <c r="H29" i="1610" s="1"/>
  <c r="G51" i="1610" s="1"/>
  <c r="H15" i="1608"/>
  <c r="H29" i="1608" s="1"/>
  <c r="G51" i="1608" s="1"/>
  <c r="H15" i="1607"/>
  <c r="H29" i="1607" s="1"/>
  <c r="G51" i="1607" s="1"/>
  <c r="H15" i="1606"/>
  <c r="H29" i="1606" s="1"/>
  <c r="G51" i="1606" s="1"/>
  <c r="H15" i="1604"/>
  <c r="H29" i="1604" s="1"/>
  <c r="G51" i="1604" s="1"/>
  <c r="H15" i="1603"/>
  <c r="H29" i="1603" s="1"/>
  <c r="G51" i="1603" s="1"/>
  <c r="H15" i="1602"/>
  <c r="H29" i="1602" s="1"/>
  <c r="G51" i="1602" s="1"/>
  <c r="G51" i="1598"/>
  <c r="H15" i="1600"/>
  <c r="H29" i="1600" s="1"/>
  <c r="G51" i="1600" s="1"/>
  <c r="H15" i="1599"/>
  <c r="H29" i="1599" s="1"/>
  <c r="G51" i="1599" s="1"/>
  <c r="H15" i="1596"/>
  <c r="H29" i="1596" s="1"/>
  <c r="G51" i="1596" s="1"/>
  <c r="H15" i="1595"/>
  <c r="H29" i="1595" s="1"/>
  <c r="G51" i="1595" s="1"/>
  <c r="H15" i="1594"/>
  <c r="H29" i="1594" s="1"/>
  <c r="G51" i="1594" s="1"/>
  <c r="H15" i="1592"/>
  <c r="H29" i="1592" s="1"/>
  <c r="G51" i="1592" s="1"/>
  <c r="H15" i="1591"/>
  <c r="H29" i="1591" s="1"/>
  <c r="G51" i="1591" s="1"/>
  <c r="H15" i="1590"/>
  <c r="H29" i="1590" s="1"/>
  <c r="G51" i="1590" s="1"/>
  <c r="L25" i="1579"/>
  <c r="G37" i="1580" l="1"/>
  <c r="G35" i="1580"/>
  <c r="G34" i="1580"/>
  <c r="H16" i="1580" l="1"/>
  <c r="C12" i="1580"/>
  <c r="L25" i="1575" l="1"/>
  <c r="L27" i="1574"/>
  <c r="L26" i="1574"/>
  <c r="L25" i="1574"/>
  <c r="H16" i="1574"/>
  <c r="L24" i="1543" l="1"/>
  <c r="H16" i="1571" l="1"/>
  <c r="C12" i="1571"/>
  <c r="C12" i="1566" l="1"/>
  <c r="H16" i="1568"/>
  <c r="H16" i="1567"/>
  <c r="L25" i="1563" l="1"/>
  <c r="G49" i="1562"/>
  <c r="C12" i="1563" l="1"/>
  <c r="L25" i="1559" l="1"/>
  <c r="R52" i="1588" l="1"/>
  <c r="R51" i="1588"/>
  <c r="D50" i="1588"/>
  <c r="R49" i="1588"/>
  <c r="D49" i="1588"/>
  <c r="R48" i="1588"/>
  <c r="D48" i="1588"/>
  <c r="D46" i="1588"/>
  <c r="D45" i="1588"/>
  <c r="D44" i="1588"/>
  <c r="R42" i="1588"/>
  <c r="L6" i="1588" s="1"/>
  <c r="D6" i="1588" s="1"/>
  <c r="D42" i="1588"/>
  <c r="R41" i="1588"/>
  <c r="L7" i="1588" s="1"/>
  <c r="D7" i="1588" s="1"/>
  <c r="D41" i="1588"/>
  <c r="R40" i="1588"/>
  <c r="D40" i="1588"/>
  <c r="R39" i="1588"/>
  <c r="H39" i="1588"/>
  <c r="D39" i="1588"/>
  <c r="R38" i="1588"/>
  <c r="H38" i="1588"/>
  <c r="D38" i="1588"/>
  <c r="R37" i="1588"/>
  <c r="H37" i="1588"/>
  <c r="D37" i="1588"/>
  <c r="R36" i="1588"/>
  <c r="H36" i="1588"/>
  <c r="D36" i="1588"/>
  <c r="R35" i="1588"/>
  <c r="L19" i="1588" s="1"/>
  <c r="D19" i="1588" s="1"/>
  <c r="H35" i="1588"/>
  <c r="D35" i="1588"/>
  <c r="R34" i="1588"/>
  <c r="L12" i="1588" s="1"/>
  <c r="D12" i="1588" s="1"/>
  <c r="H34" i="1588"/>
  <c r="D34" i="1588"/>
  <c r="R33" i="1588"/>
  <c r="R32" i="1588"/>
  <c r="L11" i="1588" s="1"/>
  <c r="D11" i="1588" s="1"/>
  <c r="R31" i="1588"/>
  <c r="R30" i="1588"/>
  <c r="R29" i="1588"/>
  <c r="R28" i="1588"/>
  <c r="L16" i="1588" s="1"/>
  <c r="D16" i="1588" s="1"/>
  <c r="D28" i="1588"/>
  <c r="R27" i="1588"/>
  <c r="D27" i="1588"/>
  <c r="R26" i="1588"/>
  <c r="L26" i="1588"/>
  <c r="D26" i="1588"/>
  <c r="R25" i="1588"/>
  <c r="L25" i="1588"/>
  <c r="D25" i="1588" s="1"/>
  <c r="R24" i="1588"/>
  <c r="D24" i="1588"/>
  <c r="R23" i="1588"/>
  <c r="L23" i="1588"/>
  <c r="D23" i="1588" s="1"/>
  <c r="R22" i="1588"/>
  <c r="L22" i="1588"/>
  <c r="D22" i="1588"/>
  <c r="R21" i="1588"/>
  <c r="D21" i="1588"/>
  <c r="R20" i="1588"/>
  <c r="L20" i="1588"/>
  <c r="D20" i="1588"/>
  <c r="R19" i="1588"/>
  <c r="R18" i="1588"/>
  <c r="D18" i="1588"/>
  <c r="R17" i="1588"/>
  <c r="D17" i="1588"/>
  <c r="R16" i="1588"/>
  <c r="R15" i="1588"/>
  <c r="D15" i="1588"/>
  <c r="R14" i="1588"/>
  <c r="D14" i="1588"/>
  <c r="R13" i="1588"/>
  <c r="D13" i="1588"/>
  <c r="R12" i="1588"/>
  <c r="R11" i="1588"/>
  <c r="L10" i="1588"/>
  <c r="D10" i="1588"/>
  <c r="L9" i="1588"/>
  <c r="D9" i="1588"/>
  <c r="L8" i="1588"/>
  <c r="D8" i="1588" s="1"/>
  <c r="R6" i="1588"/>
  <c r="R5" i="1588"/>
  <c r="R4" i="1588"/>
  <c r="R52" i="1587"/>
  <c r="R51" i="1587"/>
  <c r="D50" i="1587"/>
  <c r="R49" i="1587"/>
  <c r="D49" i="1587"/>
  <c r="R48" i="1587"/>
  <c r="D48" i="1587"/>
  <c r="D46" i="1587"/>
  <c r="D45" i="1587"/>
  <c r="D44" i="1587"/>
  <c r="R42" i="1587"/>
  <c r="L6" i="1587" s="1"/>
  <c r="D6" i="1587" s="1"/>
  <c r="D29" i="1587" s="1"/>
  <c r="H13" i="1587" s="1"/>
  <c r="D42" i="1587"/>
  <c r="R41" i="1587"/>
  <c r="L7" i="1587" s="1"/>
  <c r="D7" i="1587" s="1"/>
  <c r="D41" i="1587"/>
  <c r="R40" i="1587"/>
  <c r="L8" i="1587" s="1"/>
  <c r="D8" i="1587" s="1"/>
  <c r="D40" i="1587"/>
  <c r="R39" i="1587"/>
  <c r="H39" i="1587"/>
  <c r="D39" i="1587"/>
  <c r="R38" i="1587"/>
  <c r="L9" i="1587" s="1"/>
  <c r="D9" i="1587" s="1"/>
  <c r="H38" i="1587"/>
  <c r="D38" i="1587"/>
  <c r="R37" i="1587"/>
  <c r="H37" i="1587"/>
  <c r="D37" i="1587"/>
  <c r="R36" i="1587"/>
  <c r="L10" i="1587" s="1"/>
  <c r="D10" i="1587" s="1"/>
  <c r="H36" i="1587"/>
  <c r="D36" i="1587"/>
  <c r="R35" i="1587"/>
  <c r="L19" i="1587" s="1"/>
  <c r="D19" i="1587" s="1"/>
  <c r="H35" i="1587"/>
  <c r="D35" i="1587"/>
  <c r="R34" i="1587"/>
  <c r="H34" i="1587"/>
  <c r="D34" i="1587"/>
  <c r="R33" i="1587"/>
  <c r="R32" i="1587"/>
  <c r="R31" i="1587"/>
  <c r="R30" i="1587"/>
  <c r="R29" i="1587"/>
  <c r="R28" i="1587"/>
  <c r="D28" i="1587"/>
  <c r="R27" i="1587"/>
  <c r="D27" i="1587"/>
  <c r="R26" i="1587"/>
  <c r="L26" i="1587"/>
  <c r="D26" i="1587" s="1"/>
  <c r="R25" i="1587"/>
  <c r="L25" i="1587"/>
  <c r="D25" i="1587" s="1"/>
  <c r="R24" i="1587"/>
  <c r="L24" i="1587"/>
  <c r="D24" i="1587" s="1"/>
  <c r="R23" i="1587"/>
  <c r="L23" i="1587"/>
  <c r="D23" i="1587"/>
  <c r="R22" i="1587"/>
  <c r="L22" i="1587"/>
  <c r="D22" i="1587" s="1"/>
  <c r="R21" i="1587"/>
  <c r="L17" i="1587" s="1"/>
  <c r="D17" i="1587" s="1"/>
  <c r="D21" i="1587"/>
  <c r="R20" i="1587"/>
  <c r="L20" i="1587"/>
  <c r="D20" i="1587" s="1"/>
  <c r="R19" i="1587"/>
  <c r="R18" i="1587"/>
  <c r="D18" i="1587"/>
  <c r="R17" i="1587"/>
  <c r="R16" i="1587"/>
  <c r="L16" i="1587"/>
  <c r="D16" i="1587" s="1"/>
  <c r="R15" i="1587"/>
  <c r="D15" i="1587"/>
  <c r="R14" i="1587"/>
  <c r="D14" i="1587"/>
  <c r="R13" i="1587"/>
  <c r="D13" i="1587"/>
  <c r="R12" i="1587"/>
  <c r="L12" i="1587"/>
  <c r="D12" i="1587" s="1"/>
  <c r="R11" i="1587"/>
  <c r="L11" i="1587"/>
  <c r="D11" i="1587"/>
  <c r="R6" i="1587"/>
  <c r="R5" i="1587"/>
  <c r="R4" i="1587"/>
  <c r="R52" i="1586"/>
  <c r="R51" i="1586"/>
  <c r="D50" i="1586"/>
  <c r="R49" i="1586"/>
  <c r="D49" i="1586"/>
  <c r="R48" i="1586"/>
  <c r="D48" i="1586"/>
  <c r="D46" i="1586"/>
  <c r="D45" i="1586"/>
  <c r="P44" i="1586"/>
  <c r="R44" i="1586" s="1"/>
  <c r="D44" i="1586"/>
  <c r="R42" i="1586"/>
  <c r="L6" i="1586" s="1"/>
  <c r="D6" i="1586" s="1"/>
  <c r="D42" i="1586"/>
  <c r="R41" i="1586"/>
  <c r="L7" i="1586" s="1"/>
  <c r="D7" i="1586" s="1"/>
  <c r="D41" i="1586"/>
  <c r="R40" i="1586"/>
  <c r="D40" i="1586"/>
  <c r="R39" i="1586"/>
  <c r="H39" i="1586"/>
  <c r="D39" i="1586"/>
  <c r="R38" i="1586"/>
  <c r="H38" i="1586"/>
  <c r="D38" i="1586"/>
  <c r="R37" i="1586"/>
  <c r="H37" i="1586"/>
  <c r="D37" i="1586"/>
  <c r="R36" i="1586"/>
  <c r="L10" i="1586" s="1"/>
  <c r="D10" i="1586" s="1"/>
  <c r="H36" i="1586"/>
  <c r="D36" i="1586"/>
  <c r="R35" i="1586"/>
  <c r="H35" i="1586"/>
  <c r="D35" i="1586"/>
  <c r="R34" i="1586"/>
  <c r="H34" i="1586"/>
  <c r="D34" i="1586"/>
  <c r="R33" i="1586"/>
  <c r="R32" i="1586"/>
  <c r="R31" i="1586"/>
  <c r="R30" i="1586"/>
  <c r="R29" i="1586"/>
  <c r="R28" i="1586"/>
  <c r="L16" i="1586" s="1"/>
  <c r="D16" i="1586" s="1"/>
  <c r="D28" i="1586"/>
  <c r="R27" i="1586"/>
  <c r="D27" i="1586"/>
  <c r="R26" i="1586"/>
  <c r="L26" i="1586"/>
  <c r="D26" i="1586"/>
  <c r="R25" i="1586"/>
  <c r="L25" i="1586"/>
  <c r="D25" i="1586"/>
  <c r="R24" i="1586"/>
  <c r="L24" i="1586"/>
  <c r="D24" i="1586"/>
  <c r="R23" i="1586"/>
  <c r="D23" i="1586"/>
  <c r="R22" i="1586"/>
  <c r="D22" i="1586"/>
  <c r="R21" i="1586"/>
  <c r="D21" i="1586"/>
  <c r="R20" i="1586"/>
  <c r="L20" i="1586"/>
  <c r="D20" i="1586" s="1"/>
  <c r="R19" i="1586"/>
  <c r="D19" i="1586"/>
  <c r="R18" i="1586"/>
  <c r="D18" i="1586"/>
  <c r="R17" i="1586"/>
  <c r="L17" i="1586"/>
  <c r="D17" i="1586"/>
  <c r="R16" i="1586"/>
  <c r="R15" i="1586"/>
  <c r="D15" i="1586"/>
  <c r="R14" i="1586"/>
  <c r="D14" i="1586"/>
  <c r="R13" i="1586"/>
  <c r="D13" i="1586"/>
  <c r="R12" i="1586"/>
  <c r="L12" i="1586"/>
  <c r="D12" i="1586" s="1"/>
  <c r="R11" i="1586"/>
  <c r="L11" i="1586"/>
  <c r="D11" i="1586"/>
  <c r="L9" i="1586"/>
  <c r="D9" i="1586" s="1"/>
  <c r="L8" i="1586"/>
  <c r="D8" i="1586" s="1"/>
  <c r="R6" i="1586"/>
  <c r="R5" i="1586"/>
  <c r="R4" i="1586"/>
  <c r="R52" i="1585"/>
  <c r="R51" i="1585"/>
  <c r="D50" i="1585"/>
  <c r="R49" i="1585"/>
  <c r="G49" i="1585"/>
  <c r="D49" i="1585"/>
  <c r="R48" i="1585"/>
  <c r="D48" i="1585"/>
  <c r="D46" i="1585"/>
  <c r="D45" i="1585"/>
  <c r="D44" i="1585"/>
  <c r="R42" i="1585"/>
  <c r="L6" i="1585" s="1"/>
  <c r="D6" i="1585" s="1"/>
  <c r="D42" i="1585"/>
  <c r="R41" i="1585"/>
  <c r="D41" i="1585"/>
  <c r="R40" i="1585"/>
  <c r="D40" i="1585"/>
  <c r="R39" i="1585"/>
  <c r="D39" i="1585"/>
  <c r="R38" i="1585"/>
  <c r="D38" i="1585"/>
  <c r="R37" i="1585"/>
  <c r="D37" i="1585"/>
  <c r="R36" i="1585"/>
  <c r="L10" i="1585" s="1"/>
  <c r="D10" i="1585" s="1"/>
  <c r="D36" i="1585"/>
  <c r="R35" i="1585"/>
  <c r="L19" i="1585" s="1"/>
  <c r="D19" i="1585" s="1"/>
  <c r="D35" i="1585"/>
  <c r="R34" i="1585"/>
  <c r="L12" i="1585" s="1"/>
  <c r="D12" i="1585" s="1"/>
  <c r="D34" i="1585"/>
  <c r="D54" i="1585" s="1"/>
  <c r="H14" i="1585" s="1"/>
  <c r="R33" i="1585"/>
  <c r="L23" i="1585" s="1"/>
  <c r="D23" i="1585" s="1"/>
  <c r="R32" i="1585"/>
  <c r="R31" i="1585"/>
  <c r="R30" i="1585"/>
  <c r="R29" i="1585"/>
  <c r="R28" i="1585"/>
  <c r="L16" i="1585" s="1"/>
  <c r="D16" i="1585" s="1"/>
  <c r="D28" i="1585"/>
  <c r="R27" i="1585"/>
  <c r="D27" i="1585"/>
  <c r="R26" i="1585"/>
  <c r="L26" i="1585"/>
  <c r="D26" i="1585" s="1"/>
  <c r="R25" i="1585"/>
  <c r="L25" i="1585"/>
  <c r="D25" i="1585" s="1"/>
  <c r="R24" i="1585"/>
  <c r="D24" i="1585"/>
  <c r="R23" i="1585"/>
  <c r="R22" i="1585"/>
  <c r="L22" i="1585"/>
  <c r="D22" i="1585" s="1"/>
  <c r="R21" i="1585"/>
  <c r="D21" i="1585"/>
  <c r="R20" i="1585"/>
  <c r="L20" i="1585"/>
  <c r="D20" i="1585" s="1"/>
  <c r="R19" i="1585"/>
  <c r="R18" i="1585"/>
  <c r="D18" i="1585"/>
  <c r="R17" i="1585"/>
  <c r="D17" i="1585"/>
  <c r="R16" i="1585"/>
  <c r="S15" i="1585"/>
  <c r="R15" i="1585"/>
  <c r="D15" i="1585"/>
  <c r="S14" i="1585"/>
  <c r="R14" i="1585"/>
  <c r="D14" i="1585"/>
  <c r="R13" i="1585"/>
  <c r="D13" i="1585"/>
  <c r="R12" i="1585"/>
  <c r="R11" i="1585"/>
  <c r="L11" i="1585"/>
  <c r="D11" i="1585" s="1"/>
  <c r="L9" i="1585"/>
  <c r="D9" i="1585"/>
  <c r="L8" i="1585"/>
  <c r="D8" i="1585"/>
  <c r="L7" i="1585"/>
  <c r="D7" i="1585" s="1"/>
  <c r="R6" i="1585"/>
  <c r="R5" i="1585"/>
  <c r="R4" i="1585"/>
  <c r="R52" i="1584"/>
  <c r="R51" i="1584"/>
  <c r="D50" i="1584"/>
  <c r="R49" i="1584"/>
  <c r="D49" i="1584"/>
  <c r="R48" i="1584"/>
  <c r="D48" i="1584"/>
  <c r="D46" i="1584"/>
  <c r="D45" i="1584"/>
  <c r="D44" i="1584"/>
  <c r="R42" i="1584"/>
  <c r="L6" i="1584" s="1"/>
  <c r="D6" i="1584" s="1"/>
  <c r="D42" i="1584"/>
  <c r="R41" i="1584"/>
  <c r="L7" i="1584" s="1"/>
  <c r="D7" i="1584" s="1"/>
  <c r="D41" i="1584"/>
  <c r="R40" i="1584"/>
  <c r="D40" i="1584"/>
  <c r="R39" i="1584"/>
  <c r="H39" i="1584"/>
  <c r="D39" i="1584"/>
  <c r="R38" i="1584"/>
  <c r="H38" i="1584"/>
  <c r="D38" i="1584"/>
  <c r="R37" i="1584"/>
  <c r="H37" i="1584"/>
  <c r="D37" i="1584"/>
  <c r="R36" i="1584"/>
  <c r="H36" i="1584"/>
  <c r="D36" i="1584"/>
  <c r="R35" i="1584"/>
  <c r="L19" i="1584" s="1"/>
  <c r="D19" i="1584" s="1"/>
  <c r="H35" i="1584"/>
  <c r="D35" i="1584"/>
  <c r="R34" i="1584"/>
  <c r="H34" i="1584"/>
  <c r="D34" i="1584"/>
  <c r="R33" i="1584"/>
  <c r="R32" i="1584"/>
  <c r="R31" i="1584"/>
  <c r="R30" i="1584"/>
  <c r="R29" i="1584"/>
  <c r="R28" i="1584"/>
  <c r="L16" i="1584" s="1"/>
  <c r="D16" i="1584" s="1"/>
  <c r="D28" i="1584"/>
  <c r="R27" i="1584"/>
  <c r="D27" i="1584"/>
  <c r="R26" i="1584"/>
  <c r="L26" i="1584"/>
  <c r="D26" i="1584" s="1"/>
  <c r="R25" i="1584"/>
  <c r="L25" i="1584"/>
  <c r="D25" i="1584" s="1"/>
  <c r="R24" i="1584"/>
  <c r="D24" i="1584"/>
  <c r="R23" i="1584"/>
  <c r="L23" i="1584"/>
  <c r="D23" i="1584"/>
  <c r="R22" i="1584"/>
  <c r="L22" i="1584"/>
  <c r="D22" i="1584"/>
  <c r="R21" i="1584"/>
  <c r="D21" i="1584"/>
  <c r="R20" i="1584"/>
  <c r="L20" i="1584"/>
  <c r="D20" i="1584" s="1"/>
  <c r="R19" i="1584"/>
  <c r="R18" i="1584"/>
  <c r="D18" i="1584"/>
  <c r="R17" i="1584"/>
  <c r="D17" i="1584"/>
  <c r="R16" i="1584"/>
  <c r="R15" i="1584"/>
  <c r="D15" i="1584"/>
  <c r="R14" i="1584"/>
  <c r="D14" i="1584"/>
  <c r="R13" i="1584"/>
  <c r="D13" i="1584"/>
  <c r="R12" i="1584"/>
  <c r="L12" i="1584"/>
  <c r="D12" i="1584" s="1"/>
  <c r="R11" i="1584"/>
  <c r="L11" i="1584"/>
  <c r="D11" i="1584" s="1"/>
  <c r="L10" i="1584"/>
  <c r="D10" i="1584"/>
  <c r="L9" i="1584"/>
  <c r="D9" i="1584"/>
  <c r="L8" i="1584"/>
  <c r="D8" i="1584"/>
  <c r="R6" i="1584"/>
  <c r="R5" i="1584"/>
  <c r="R4" i="1584"/>
  <c r="R52" i="1583"/>
  <c r="R51" i="1583"/>
  <c r="D50" i="1583"/>
  <c r="R49" i="1583"/>
  <c r="D49" i="1583"/>
  <c r="R48" i="1583"/>
  <c r="D48" i="1583"/>
  <c r="D46" i="1583"/>
  <c r="D45" i="1583"/>
  <c r="D44" i="1583"/>
  <c r="R42" i="1583"/>
  <c r="L6" i="1583" s="1"/>
  <c r="D6" i="1583" s="1"/>
  <c r="D42" i="1583"/>
  <c r="R41" i="1583"/>
  <c r="D41" i="1583"/>
  <c r="R40" i="1583"/>
  <c r="D40" i="1583"/>
  <c r="R39" i="1583"/>
  <c r="H39" i="1583"/>
  <c r="D39" i="1583"/>
  <c r="R38" i="1583"/>
  <c r="H38" i="1583"/>
  <c r="D38" i="1583"/>
  <c r="R37" i="1583"/>
  <c r="H37" i="1583"/>
  <c r="D37" i="1583"/>
  <c r="R36" i="1583"/>
  <c r="H36" i="1583"/>
  <c r="D36" i="1583"/>
  <c r="R35" i="1583"/>
  <c r="H35" i="1583"/>
  <c r="D35" i="1583"/>
  <c r="R34" i="1583"/>
  <c r="L12" i="1583" s="1"/>
  <c r="D12" i="1583" s="1"/>
  <c r="H34" i="1583"/>
  <c r="D34" i="1583"/>
  <c r="R33" i="1583"/>
  <c r="L23" i="1583" s="1"/>
  <c r="D23" i="1583" s="1"/>
  <c r="R32" i="1583"/>
  <c r="R31" i="1583"/>
  <c r="R30" i="1583"/>
  <c r="R29" i="1583"/>
  <c r="R28" i="1583"/>
  <c r="D28" i="1583"/>
  <c r="R27" i="1583"/>
  <c r="D27" i="1583"/>
  <c r="R26" i="1583"/>
  <c r="L26" i="1583"/>
  <c r="D26" i="1583"/>
  <c r="R25" i="1583"/>
  <c r="L25" i="1583"/>
  <c r="D25" i="1583"/>
  <c r="R24" i="1583"/>
  <c r="L24" i="1583"/>
  <c r="D24" i="1583" s="1"/>
  <c r="R23" i="1583"/>
  <c r="R22" i="1583"/>
  <c r="L22" i="1583"/>
  <c r="D22" i="1583"/>
  <c r="R21" i="1583"/>
  <c r="D21" i="1583"/>
  <c r="R20" i="1583"/>
  <c r="L20" i="1583"/>
  <c r="D20" i="1583" s="1"/>
  <c r="R19" i="1583"/>
  <c r="L19" i="1583"/>
  <c r="D19" i="1583" s="1"/>
  <c r="R18" i="1583"/>
  <c r="D18" i="1583"/>
  <c r="R17" i="1583"/>
  <c r="L17" i="1583"/>
  <c r="D17" i="1583"/>
  <c r="R16" i="1583"/>
  <c r="L16" i="1583"/>
  <c r="D16" i="1583"/>
  <c r="R15" i="1583"/>
  <c r="D15" i="1583"/>
  <c r="R14" i="1583"/>
  <c r="D14" i="1583"/>
  <c r="R13" i="1583"/>
  <c r="D13" i="1583"/>
  <c r="R12" i="1583"/>
  <c r="R11" i="1583"/>
  <c r="L11" i="1583"/>
  <c r="D11" i="1583" s="1"/>
  <c r="L10" i="1583"/>
  <c r="D10" i="1583"/>
  <c r="L9" i="1583"/>
  <c r="D9" i="1583"/>
  <c r="L8" i="1583"/>
  <c r="D8" i="1583" s="1"/>
  <c r="L7" i="1583"/>
  <c r="D7" i="1583"/>
  <c r="R6" i="1583"/>
  <c r="R5" i="1583"/>
  <c r="R4" i="1583"/>
  <c r="R52" i="1582"/>
  <c r="R51" i="1582"/>
  <c r="D50" i="1582"/>
  <c r="R49" i="1582"/>
  <c r="D49" i="1582"/>
  <c r="R48" i="1582"/>
  <c r="D48" i="1582"/>
  <c r="D46" i="1582"/>
  <c r="D45" i="1582"/>
  <c r="P44" i="1582"/>
  <c r="R44" i="1582" s="1"/>
  <c r="D44" i="1582"/>
  <c r="R42" i="1582"/>
  <c r="L6" i="1582" s="1"/>
  <c r="D6" i="1582" s="1"/>
  <c r="D42" i="1582"/>
  <c r="R41" i="1582"/>
  <c r="L7" i="1582" s="1"/>
  <c r="D7" i="1582" s="1"/>
  <c r="D41" i="1582"/>
  <c r="R40" i="1582"/>
  <c r="D40" i="1582"/>
  <c r="R39" i="1582"/>
  <c r="L20" i="1582" s="1"/>
  <c r="D20" i="1582" s="1"/>
  <c r="H39" i="1582"/>
  <c r="D39" i="1582"/>
  <c r="R38" i="1582"/>
  <c r="H38" i="1582"/>
  <c r="D38" i="1582"/>
  <c r="R37" i="1582"/>
  <c r="H37" i="1582"/>
  <c r="D37" i="1582"/>
  <c r="R36" i="1582"/>
  <c r="L10" i="1582" s="1"/>
  <c r="D10" i="1582" s="1"/>
  <c r="H36" i="1582"/>
  <c r="D36" i="1582"/>
  <c r="R35" i="1582"/>
  <c r="H35" i="1582"/>
  <c r="D35" i="1582"/>
  <c r="R34" i="1582"/>
  <c r="H34" i="1582"/>
  <c r="G49" i="1582" s="1"/>
  <c r="D34" i="1582"/>
  <c r="R33" i="1582"/>
  <c r="R32" i="1582"/>
  <c r="R31" i="1582"/>
  <c r="R30" i="1582"/>
  <c r="R29" i="1582"/>
  <c r="R28" i="1582"/>
  <c r="L16" i="1582" s="1"/>
  <c r="D16" i="1582" s="1"/>
  <c r="D28" i="1582"/>
  <c r="R27" i="1582"/>
  <c r="D27" i="1582"/>
  <c r="R26" i="1582"/>
  <c r="L26" i="1582"/>
  <c r="D26" i="1582"/>
  <c r="R25" i="1582"/>
  <c r="L25" i="1582"/>
  <c r="D25" i="1582"/>
  <c r="R24" i="1582"/>
  <c r="L24" i="1582"/>
  <c r="D24" i="1582"/>
  <c r="R23" i="1582"/>
  <c r="D23" i="1582"/>
  <c r="R22" i="1582"/>
  <c r="D22" i="1582"/>
  <c r="R21" i="1582"/>
  <c r="D21" i="1582"/>
  <c r="R20" i="1582"/>
  <c r="R19" i="1582"/>
  <c r="D19" i="1582"/>
  <c r="R18" i="1582"/>
  <c r="D18" i="1582"/>
  <c r="R17" i="1582"/>
  <c r="L17" i="1582"/>
  <c r="D17" i="1582"/>
  <c r="R16" i="1582"/>
  <c r="R15" i="1582"/>
  <c r="D15" i="1582"/>
  <c r="R14" i="1582"/>
  <c r="D14" i="1582"/>
  <c r="R13" i="1582"/>
  <c r="D13" i="1582"/>
  <c r="R12" i="1582"/>
  <c r="L12" i="1582"/>
  <c r="D12" i="1582" s="1"/>
  <c r="R11" i="1582"/>
  <c r="L11" i="1582"/>
  <c r="D11" i="1582" s="1"/>
  <c r="L9" i="1582"/>
  <c r="D9" i="1582" s="1"/>
  <c r="L8" i="1582"/>
  <c r="D8" i="1582" s="1"/>
  <c r="R6" i="1582"/>
  <c r="R5" i="1582"/>
  <c r="R4" i="1582"/>
  <c r="R52" i="1581"/>
  <c r="R51" i="1581"/>
  <c r="D50" i="1581"/>
  <c r="R49" i="1581"/>
  <c r="G49" i="1581"/>
  <c r="D49" i="1581"/>
  <c r="R48" i="1581"/>
  <c r="D48" i="1581"/>
  <c r="D46" i="1581"/>
  <c r="D45" i="1581"/>
  <c r="D44" i="1581"/>
  <c r="R42" i="1581"/>
  <c r="D42" i="1581"/>
  <c r="R41" i="1581"/>
  <c r="L7" i="1581" s="1"/>
  <c r="D7" i="1581" s="1"/>
  <c r="D41" i="1581"/>
  <c r="R40" i="1581"/>
  <c r="L8" i="1581" s="1"/>
  <c r="D8" i="1581" s="1"/>
  <c r="D40" i="1581"/>
  <c r="R39" i="1581"/>
  <c r="D39" i="1581"/>
  <c r="R38" i="1581"/>
  <c r="L9" i="1581" s="1"/>
  <c r="D9" i="1581" s="1"/>
  <c r="D38" i="1581"/>
  <c r="R37" i="1581"/>
  <c r="D37" i="1581"/>
  <c r="R36" i="1581"/>
  <c r="L10" i="1581" s="1"/>
  <c r="D10" i="1581" s="1"/>
  <c r="D36" i="1581"/>
  <c r="R35" i="1581"/>
  <c r="L19" i="1581" s="1"/>
  <c r="D19" i="1581" s="1"/>
  <c r="D35" i="1581"/>
  <c r="R34" i="1581"/>
  <c r="L12" i="1581" s="1"/>
  <c r="D12" i="1581" s="1"/>
  <c r="D34" i="1581"/>
  <c r="D54" i="1581" s="1"/>
  <c r="H14" i="1581" s="1"/>
  <c r="R33" i="1581"/>
  <c r="L23" i="1581" s="1"/>
  <c r="D23" i="1581" s="1"/>
  <c r="R32" i="1581"/>
  <c r="R31" i="1581"/>
  <c r="R30" i="1581"/>
  <c r="R29" i="1581"/>
  <c r="R28" i="1581"/>
  <c r="D28" i="1581"/>
  <c r="R27" i="1581"/>
  <c r="D27" i="1581"/>
  <c r="R26" i="1581"/>
  <c r="L26" i="1581"/>
  <c r="D26" i="1581" s="1"/>
  <c r="R25" i="1581"/>
  <c r="L25" i="1581"/>
  <c r="D25" i="1581"/>
  <c r="R24" i="1581"/>
  <c r="D24" i="1581"/>
  <c r="R23" i="1581"/>
  <c r="R22" i="1581"/>
  <c r="L22" i="1581"/>
  <c r="D22" i="1581"/>
  <c r="R21" i="1581"/>
  <c r="D21" i="1581"/>
  <c r="R20" i="1581"/>
  <c r="L20" i="1581"/>
  <c r="D20" i="1581" s="1"/>
  <c r="R19" i="1581"/>
  <c r="R18" i="1581"/>
  <c r="D18" i="1581"/>
  <c r="R17" i="1581"/>
  <c r="D17" i="1581"/>
  <c r="R16" i="1581"/>
  <c r="L16" i="1581"/>
  <c r="D16" i="1581" s="1"/>
  <c r="S15" i="1581"/>
  <c r="R15" i="1581"/>
  <c r="D15" i="1581"/>
  <c r="S14" i="1581"/>
  <c r="R14" i="1581"/>
  <c r="D14" i="1581"/>
  <c r="R13" i="1581"/>
  <c r="D13" i="1581"/>
  <c r="R12" i="1581"/>
  <c r="R11" i="1581"/>
  <c r="L11" i="1581"/>
  <c r="D11" i="1581"/>
  <c r="R6" i="1581"/>
  <c r="L6" i="1581"/>
  <c r="D6" i="1581" s="1"/>
  <c r="R5" i="1581"/>
  <c r="R4" i="1581"/>
  <c r="R52" i="1580"/>
  <c r="R51" i="1580"/>
  <c r="D50" i="1580"/>
  <c r="R49" i="1580"/>
  <c r="D49" i="1580"/>
  <c r="R48" i="1580"/>
  <c r="D48" i="1580"/>
  <c r="D46" i="1580"/>
  <c r="D45" i="1580"/>
  <c r="D44" i="1580"/>
  <c r="R42" i="1580"/>
  <c r="D42" i="1580"/>
  <c r="R41" i="1580"/>
  <c r="D41" i="1580"/>
  <c r="R40" i="1580"/>
  <c r="D40" i="1580"/>
  <c r="R39" i="1580"/>
  <c r="H39" i="1580"/>
  <c r="D39" i="1580"/>
  <c r="R38" i="1580"/>
  <c r="H38" i="1580"/>
  <c r="D38" i="1580"/>
  <c r="R37" i="1580"/>
  <c r="H37" i="1580"/>
  <c r="D37" i="1580"/>
  <c r="R36" i="1580"/>
  <c r="H36" i="1580"/>
  <c r="D36" i="1580"/>
  <c r="R35" i="1580"/>
  <c r="H35" i="1580"/>
  <c r="D35" i="1580"/>
  <c r="R34" i="1580"/>
  <c r="L12" i="1580" s="1"/>
  <c r="D12" i="1580" s="1"/>
  <c r="H34" i="1580"/>
  <c r="D34" i="1580"/>
  <c r="R33" i="1580"/>
  <c r="R32" i="1580"/>
  <c r="R31" i="1580"/>
  <c r="R30" i="1580"/>
  <c r="R29" i="1580"/>
  <c r="R28" i="1580"/>
  <c r="L16" i="1580" s="1"/>
  <c r="D16" i="1580" s="1"/>
  <c r="D28" i="1580"/>
  <c r="R27" i="1580"/>
  <c r="D27" i="1580"/>
  <c r="R26" i="1580"/>
  <c r="L26" i="1580"/>
  <c r="D26" i="1580" s="1"/>
  <c r="R25" i="1580"/>
  <c r="L25" i="1580"/>
  <c r="D25" i="1580" s="1"/>
  <c r="R24" i="1580"/>
  <c r="D24" i="1580"/>
  <c r="R23" i="1580"/>
  <c r="L23" i="1580"/>
  <c r="D23" i="1580" s="1"/>
  <c r="R22" i="1580"/>
  <c r="L22" i="1580"/>
  <c r="D22" i="1580"/>
  <c r="R21" i="1580"/>
  <c r="D21" i="1580"/>
  <c r="R20" i="1580"/>
  <c r="L20" i="1580"/>
  <c r="D20" i="1580" s="1"/>
  <c r="R19" i="1580"/>
  <c r="L19" i="1580"/>
  <c r="D19" i="1580" s="1"/>
  <c r="R18" i="1580"/>
  <c r="D18" i="1580"/>
  <c r="R17" i="1580"/>
  <c r="D17" i="1580"/>
  <c r="R16" i="1580"/>
  <c r="R15" i="1580"/>
  <c r="D15" i="1580"/>
  <c r="R14" i="1580"/>
  <c r="D14" i="1580"/>
  <c r="R13" i="1580"/>
  <c r="D13" i="1580"/>
  <c r="R12" i="1580"/>
  <c r="R11" i="1580"/>
  <c r="L11" i="1580"/>
  <c r="D11" i="1580" s="1"/>
  <c r="L10" i="1580"/>
  <c r="D10" i="1580"/>
  <c r="L9" i="1580"/>
  <c r="D9" i="1580"/>
  <c r="L8" i="1580"/>
  <c r="D8" i="1580"/>
  <c r="L7" i="1580"/>
  <c r="D7" i="1580" s="1"/>
  <c r="R6" i="1580"/>
  <c r="L6" i="1580"/>
  <c r="D6" i="1580" s="1"/>
  <c r="R5" i="1580"/>
  <c r="R4" i="1580"/>
  <c r="R52" i="1579"/>
  <c r="R51" i="1579"/>
  <c r="D50" i="1579"/>
  <c r="R49" i="1579"/>
  <c r="D49" i="1579"/>
  <c r="R48" i="1579"/>
  <c r="D48" i="1579"/>
  <c r="D46" i="1579"/>
  <c r="D45" i="1579"/>
  <c r="D44" i="1579"/>
  <c r="R42" i="1579"/>
  <c r="D42" i="1579"/>
  <c r="R41" i="1579"/>
  <c r="L7" i="1579" s="1"/>
  <c r="D7" i="1579" s="1"/>
  <c r="D41" i="1579"/>
  <c r="R40" i="1579"/>
  <c r="L8" i="1579" s="1"/>
  <c r="D8" i="1579" s="1"/>
  <c r="D40" i="1579"/>
  <c r="R39" i="1579"/>
  <c r="L20" i="1579" s="1"/>
  <c r="D20" i="1579" s="1"/>
  <c r="H39" i="1579"/>
  <c r="D39" i="1579"/>
  <c r="R38" i="1579"/>
  <c r="L9" i="1579" s="1"/>
  <c r="D9" i="1579" s="1"/>
  <c r="H38" i="1579"/>
  <c r="D38" i="1579"/>
  <c r="R37" i="1579"/>
  <c r="H37" i="1579"/>
  <c r="D37" i="1579"/>
  <c r="R36" i="1579"/>
  <c r="H36" i="1579"/>
  <c r="D36" i="1579"/>
  <c r="R35" i="1579"/>
  <c r="H35" i="1579"/>
  <c r="D35" i="1579"/>
  <c r="R34" i="1579"/>
  <c r="L12" i="1579" s="1"/>
  <c r="D12" i="1579" s="1"/>
  <c r="H34" i="1579"/>
  <c r="D34" i="1579"/>
  <c r="R33" i="1579"/>
  <c r="L23" i="1579" s="1"/>
  <c r="D23" i="1579" s="1"/>
  <c r="R32" i="1579"/>
  <c r="L11" i="1579" s="1"/>
  <c r="D11" i="1579" s="1"/>
  <c r="R31" i="1579"/>
  <c r="R30" i="1579"/>
  <c r="R29" i="1579"/>
  <c r="R28" i="1579"/>
  <c r="L16" i="1579" s="1"/>
  <c r="D16" i="1579" s="1"/>
  <c r="D28" i="1579"/>
  <c r="R27" i="1579"/>
  <c r="D27" i="1579"/>
  <c r="R26" i="1579"/>
  <c r="L26" i="1579"/>
  <c r="D26" i="1579" s="1"/>
  <c r="R25" i="1579"/>
  <c r="D25" i="1579"/>
  <c r="R24" i="1579"/>
  <c r="L24" i="1579"/>
  <c r="D24" i="1579" s="1"/>
  <c r="R23" i="1579"/>
  <c r="R22" i="1579"/>
  <c r="L22" i="1579"/>
  <c r="D22" i="1579"/>
  <c r="R21" i="1579"/>
  <c r="L17" i="1579" s="1"/>
  <c r="D17" i="1579" s="1"/>
  <c r="D21" i="1579"/>
  <c r="R20" i="1579"/>
  <c r="R19" i="1579"/>
  <c r="L19" i="1579"/>
  <c r="D19" i="1579"/>
  <c r="R18" i="1579"/>
  <c r="D18" i="1579"/>
  <c r="R17" i="1579"/>
  <c r="R16" i="1579"/>
  <c r="R15" i="1579"/>
  <c r="D15" i="1579"/>
  <c r="R14" i="1579"/>
  <c r="D14" i="1579"/>
  <c r="R13" i="1579"/>
  <c r="D13" i="1579"/>
  <c r="R12" i="1579"/>
  <c r="R11" i="1579"/>
  <c r="L10" i="1579"/>
  <c r="D10" i="1579"/>
  <c r="R6" i="1579"/>
  <c r="L6" i="1579"/>
  <c r="D6" i="1579" s="1"/>
  <c r="R5" i="1579"/>
  <c r="R4" i="1579"/>
  <c r="R52" i="1578"/>
  <c r="R51" i="1578"/>
  <c r="D50" i="1578"/>
  <c r="R49" i="1578"/>
  <c r="D49" i="1578"/>
  <c r="R48" i="1578"/>
  <c r="D48" i="1578"/>
  <c r="D46" i="1578"/>
  <c r="D45" i="1578"/>
  <c r="R44" i="1578"/>
  <c r="P44" i="1578"/>
  <c r="D44" i="1578"/>
  <c r="R42" i="1578"/>
  <c r="L6" i="1578" s="1"/>
  <c r="D6" i="1578" s="1"/>
  <c r="D42" i="1578"/>
  <c r="R41" i="1578"/>
  <c r="D41" i="1578"/>
  <c r="R40" i="1578"/>
  <c r="L8" i="1578" s="1"/>
  <c r="D8" i="1578" s="1"/>
  <c r="D40" i="1578"/>
  <c r="R39" i="1578"/>
  <c r="H39" i="1578"/>
  <c r="D39" i="1578"/>
  <c r="R38" i="1578"/>
  <c r="L9" i="1578" s="1"/>
  <c r="D9" i="1578" s="1"/>
  <c r="H38" i="1578"/>
  <c r="D38" i="1578"/>
  <c r="R37" i="1578"/>
  <c r="H37" i="1578"/>
  <c r="D37" i="1578"/>
  <c r="R36" i="1578"/>
  <c r="H36" i="1578"/>
  <c r="D36" i="1578"/>
  <c r="R35" i="1578"/>
  <c r="H35" i="1578"/>
  <c r="D35" i="1578"/>
  <c r="R34" i="1578"/>
  <c r="H34" i="1578"/>
  <c r="G49" i="1578" s="1"/>
  <c r="D34" i="1578"/>
  <c r="R33" i="1578"/>
  <c r="R32" i="1578"/>
  <c r="L11" i="1578" s="1"/>
  <c r="D11" i="1578" s="1"/>
  <c r="R31" i="1578"/>
  <c r="R30" i="1578"/>
  <c r="R29" i="1578"/>
  <c r="R28" i="1578"/>
  <c r="D28" i="1578"/>
  <c r="R27" i="1578"/>
  <c r="D27" i="1578"/>
  <c r="R26" i="1578"/>
  <c r="L26" i="1578"/>
  <c r="D26" i="1578" s="1"/>
  <c r="R25" i="1578"/>
  <c r="L25" i="1578"/>
  <c r="D25" i="1578"/>
  <c r="R24" i="1578"/>
  <c r="L24" i="1578"/>
  <c r="D24" i="1578" s="1"/>
  <c r="R23" i="1578"/>
  <c r="D23" i="1578"/>
  <c r="R22" i="1578"/>
  <c r="D22" i="1578"/>
  <c r="R21" i="1578"/>
  <c r="D21" i="1578"/>
  <c r="R20" i="1578"/>
  <c r="L20" i="1578"/>
  <c r="D20" i="1578"/>
  <c r="R19" i="1578"/>
  <c r="D19" i="1578"/>
  <c r="R18" i="1578"/>
  <c r="D18" i="1578"/>
  <c r="R17" i="1578"/>
  <c r="L17" i="1578"/>
  <c r="D17" i="1578" s="1"/>
  <c r="R16" i="1578"/>
  <c r="L16" i="1578"/>
  <c r="D16" i="1578" s="1"/>
  <c r="R15" i="1578"/>
  <c r="D15" i="1578"/>
  <c r="R14" i="1578"/>
  <c r="D14" i="1578"/>
  <c r="R13" i="1578"/>
  <c r="D13" i="1578"/>
  <c r="R12" i="1578"/>
  <c r="L12" i="1578"/>
  <c r="D12" i="1578"/>
  <c r="R11" i="1578"/>
  <c r="L10" i="1578"/>
  <c r="D10" i="1578" s="1"/>
  <c r="L7" i="1578"/>
  <c r="D7" i="1578" s="1"/>
  <c r="R6" i="1578"/>
  <c r="R5" i="1578"/>
  <c r="R4" i="1578"/>
  <c r="R52" i="1577"/>
  <c r="R51" i="1577"/>
  <c r="D50" i="1577"/>
  <c r="R49" i="1577"/>
  <c r="G49" i="1577"/>
  <c r="D49" i="1577"/>
  <c r="R48" i="1577"/>
  <c r="D48" i="1577"/>
  <c r="D46" i="1577"/>
  <c r="D45" i="1577"/>
  <c r="D44" i="1577"/>
  <c r="R42" i="1577"/>
  <c r="L6" i="1577" s="1"/>
  <c r="D6" i="1577" s="1"/>
  <c r="D42" i="1577"/>
  <c r="R41" i="1577"/>
  <c r="L7" i="1577" s="1"/>
  <c r="D7" i="1577" s="1"/>
  <c r="D41" i="1577"/>
  <c r="R40" i="1577"/>
  <c r="D40" i="1577"/>
  <c r="R39" i="1577"/>
  <c r="D39" i="1577"/>
  <c r="R38" i="1577"/>
  <c r="L9" i="1577" s="1"/>
  <c r="D9" i="1577" s="1"/>
  <c r="D38" i="1577"/>
  <c r="R37" i="1577"/>
  <c r="D37" i="1577"/>
  <c r="R36" i="1577"/>
  <c r="L10" i="1577" s="1"/>
  <c r="D10" i="1577" s="1"/>
  <c r="D36" i="1577"/>
  <c r="R35" i="1577"/>
  <c r="L19" i="1577" s="1"/>
  <c r="D19" i="1577" s="1"/>
  <c r="D35" i="1577"/>
  <c r="R34" i="1577"/>
  <c r="L12" i="1577" s="1"/>
  <c r="D12" i="1577" s="1"/>
  <c r="D34" i="1577"/>
  <c r="D54" i="1577" s="1"/>
  <c r="H14" i="1577" s="1"/>
  <c r="R33" i="1577"/>
  <c r="L23" i="1577" s="1"/>
  <c r="D23" i="1577" s="1"/>
  <c r="R32" i="1577"/>
  <c r="R31" i="1577"/>
  <c r="R30" i="1577"/>
  <c r="R29" i="1577"/>
  <c r="R28" i="1577"/>
  <c r="D28" i="1577"/>
  <c r="R27" i="1577"/>
  <c r="D27" i="1577"/>
  <c r="R26" i="1577"/>
  <c r="L26" i="1577"/>
  <c r="D26" i="1577"/>
  <c r="R25" i="1577"/>
  <c r="L25" i="1577"/>
  <c r="D25" i="1577"/>
  <c r="R24" i="1577"/>
  <c r="D24" i="1577"/>
  <c r="R23" i="1577"/>
  <c r="R22" i="1577"/>
  <c r="L22" i="1577"/>
  <c r="D22" i="1577"/>
  <c r="R21" i="1577"/>
  <c r="D21" i="1577"/>
  <c r="R20" i="1577"/>
  <c r="L20" i="1577"/>
  <c r="D20" i="1577"/>
  <c r="R19" i="1577"/>
  <c r="R18" i="1577"/>
  <c r="D18" i="1577"/>
  <c r="R17" i="1577"/>
  <c r="D17" i="1577"/>
  <c r="R16" i="1577"/>
  <c r="L16" i="1577"/>
  <c r="D16" i="1577" s="1"/>
  <c r="S15" i="1577"/>
  <c r="R15" i="1577"/>
  <c r="D15" i="1577"/>
  <c r="S14" i="1577"/>
  <c r="R14" i="1577"/>
  <c r="D14" i="1577"/>
  <c r="R13" i="1577"/>
  <c r="D13" i="1577"/>
  <c r="R12" i="1577"/>
  <c r="R11" i="1577"/>
  <c r="L11" i="1577"/>
  <c r="D11" i="1577"/>
  <c r="L8" i="1577"/>
  <c r="D8" i="1577"/>
  <c r="R6" i="1577"/>
  <c r="R5" i="1577"/>
  <c r="R4" i="1577"/>
  <c r="R52" i="1576"/>
  <c r="R51" i="1576"/>
  <c r="D50" i="1576"/>
  <c r="R49" i="1576"/>
  <c r="D49" i="1576"/>
  <c r="R48" i="1576"/>
  <c r="D48" i="1576"/>
  <c r="D46" i="1576"/>
  <c r="D45" i="1576"/>
  <c r="D44" i="1576"/>
  <c r="R42" i="1576"/>
  <c r="L6" i="1576" s="1"/>
  <c r="D6" i="1576" s="1"/>
  <c r="D42" i="1576"/>
  <c r="R41" i="1576"/>
  <c r="L7" i="1576" s="1"/>
  <c r="D7" i="1576" s="1"/>
  <c r="D41" i="1576"/>
  <c r="R40" i="1576"/>
  <c r="D40" i="1576"/>
  <c r="R39" i="1576"/>
  <c r="H39" i="1576"/>
  <c r="D39" i="1576"/>
  <c r="R38" i="1576"/>
  <c r="H38" i="1576"/>
  <c r="D38" i="1576"/>
  <c r="R37" i="1576"/>
  <c r="H37" i="1576"/>
  <c r="D37" i="1576"/>
  <c r="R36" i="1576"/>
  <c r="H36" i="1576"/>
  <c r="D36" i="1576"/>
  <c r="R35" i="1576"/>
  <c r="L19" i="1576" s="1"/>
  <c r="D19" i="1576" s="1"/>
  <c r="H35" i="1576"/>
  <c r="D35" i="1576"/>
  <c r="R34" i="1576"/>
  <c r="H34" i="1576"/>
  <c r="D34" i="1576"/>
  <c r="R33" i="1576"/>
  <c r="R32" i="1576"/>
  <c r="R31" i="1576"/>
  <c r="R30" i="1576"/>
  <c r="R29" i="1576"/>
  <c r="R28" i="1576"/>
  <c r="L16" i="1576" s="1"/>
  <c r="D16" i="1576" s="1"/>
  <c r="D28" i="1576"/>
  <c r="R27" i="1576"/>
  <c r="D27" i="1576"/>
  <c r="R26" i="1576"/>
  <c r="L26" i="1576"/>
  <c r="D26" i="1576"/>
  <c r="R25" i="1576"/>
  <c r="L25" i="1576"/>
  <c r="D25" i="1576"/>
  <c r="R24" i="1576"/>
  <c r="D24" i="1576"/>
  <c r="R23" i="1576"/>
  <c r="L23" i="1576"/>
  <c r="D23" i="1576" s="1"/>
  <c r="R22" i="1576"/>
  <c r="L22" i="1576"/>
  <c r="D22" i="1576"/>
  <c r="R21" i="1576"/>
  <c r="D21" i="1576"/>
  <c r="R20" i="1576"/>
  <c r="L20" i="1576"/>
  <c r="D20" i="1576"/>
  <c r="R19" i="1576"/>
  <c r="R18" i="1576"/>
  <c r="D18" i="1576"/>
  <c r="R17" i="1576"/>
  <c r="D17" i="1576"/>
  <c r="R16" i="1576"/>
  <c r="R15" i="1576"/>
  <c r="D15" i="1576"/>
  <c r="R14" i="1576"/>
  <c r="D14" i="1576"/>
  <c r="R13" i="1576"/>
  <c r="D13" i="1576"/>
  <c r="R12" i="1576"/>
  <c r="L12" i="1576"/>
  <c r="D12" i="1576"/>
  <c r="R11" i="1576"/>
  <c r="L11" i="1576"/>
  <c r="D11" i="1576" s="1"/>
  <c r="L10" i="1576"/>
  <c r="D10" i="1576"/>
  <c r="L9" i="1576"/>
  <c r="D9" i="1576"/>
  <c r="L8" i="1576"/>
  <c r="D8" i="1576" s="1"/>
  <c r="R6" i="1576"/>
  <c r="R5" i="1576"/>
  <c r="R4" i="1576"/>
  <c r="R52" i="1575"/>
  <c r="R51" i="1575"/>
  <c r="D50" i="1575"/>
  <c r="R49" i="1575"/>
  <c r="D49" i="1575"/>
  <c r="R48" i="1575"/>
  <c r="D48" i="1575"/>
  <c r="D46" i="1575"/>
  <c r="D45" i="1575"/>
  <c r="D44" i="1575"/>
  <c r="R42" i="1575"/>
  <c r="L6" i="1575" s="1"/>
  <c r="D6" i="1575" s="1"/>
  <c r="D42" i="1575"/>
  <c r="R41" i="1575"/>
  <c r="D41" i="1575"/>
  <c r="R40" i="1575"/>
  <c r="D40" i="1575"/>
  <c r="R39" i="1575"/>
  <c r="H39" i="1575"/>
  <c r="D39" i="1575"/>
  <c r="R38" i="1575"/>
  <c r="H38" i="1575"/>
  <c r="D38" i="1575"/>
  <c r="R37" i="1575"/>
  <c r="H37" i="1575"/>
  <c r="D37" i="1575"/>
  <c r="R36" i="1575"/>
  <c r="L10" i="1575" s="1"/>
  <c r="D10" i="1575" s="1"/>
  <c r="H36" i="1575"/>
  <c r="D36" i="1575"/>
  <c r="R35" i="1575"/>
  <c r="H35" i="1575"/>
  <c r="D35" i="1575"/>
  <c r="R34" i="1575"/>
  <c r="L12" i="1575" s="1"/>
  <c r="D12" i="1575" s="1"/>
  <c r="H34" i="1575"/>
  <c r="D34" i="1575"/>
  <c r="R33" i="1575"/>
  <c r="R32" i="1575"/>
  <c r="R31" i="1575"/>
  <c r="R30" i="1575"/>
  <c r="R29" i="1575"/>
  <c r="R28" i="1575"/>
  <c r="L16" i="1575" s="1"/>
  <c r="D16" i="1575" s="1"/>
  <c r="D28" i="1575"/>
  <c r="R27" i="1575"/>
  <c r="D27" i="1575"/>
  <c r="R26" i="1575"/>
  <c r="L26" i="1575"/>
  <c r="D26" i="1575"/>
  <c r="R25" i="1575"/>
  <c r="D25" i="1575"/>
  <c r="R24" i="1575"/>
  <c r="L24" i="1575"/>
  <c r="D24" i="1575"/>
  <c r="R23" i="1575"/>
  <c r="L23" i="1575"/>
  <c r="D23" i="1575" s="1"/>
  <c r="R22" i="1575"/>
  <c r="L22" i="1575"/>
  <c r="D22" i="1575"/>
  <c r="R21" i="1575"/>
  <c r="D21" i="1575"/>
  <c r="R20" i="1575"/>
  <c r="L20" i="1575"/>
  <c r="D20" i="1575"/>
  <c r="R19" i="1575"/>
  <c r="L19" i="1575"/>
  <c r="D19" i="1575" s="1"/>
  <c r="R18" i="1575"/>
  <c r="D18" i="1575"/>
  <c r="R17" i="1575"/>
  <c r="L17" i="1575"/>
  <c r="D17" i="1575" s="1"/>
  <c r="R16" i="1575"/>
  <c r="R15" i="1575"/>
  <c r="D15" i="1575"/>
  <c r="R14" i="1575"/>
  <c r="D14" i="1575"/>
  <c r="R13" i="1575"/>
  <c r="D13" i="1575"/>
  <c r="R12" i="1575"/>
  <c r="R11" i="1575"/>
  <c r="L11" i="1575"/>
  <c r="D11" i="1575" s="1"/>
  <c r="L9" i="1575"/>
  <c r="D9" i="1575"/>
  <c r="L8" i="1575"/>
  <c r="D8" i="1575"/>
  <c r="L7" i="1575"/>
  <c r="D7" i="1575" s="1"/>
  <c r="R6" i="1575"/>
  <c r="R5" i="1575"/>
  <c r="R4" i="1575"/>
  <c r="R52" i="1574"/>
  <c r="R51" i="1574"/>
  <c r="D50" i="1574"/>
  <c r="R49" i="1574"/>
  <c r="D49" i="1574"/>
  <c r="R48" i="1574"/>
  <c r="D48" i="1574"/>
  <c r="D46" i="1574"/>
  <c r="D45" i="1574"/>
  <c r="R44" i="1574"/>
  <c r="P44" i="1574"/>
  <c r="D44" i="1574"/>
  <c r="R42" i="1574"/>
  <c r="L6" i="1574" s="1"/>
  <c r="D6" i="1574" s="1"/>
  <c r="D42" i="1574"/>
  <c r="R41" i="1574"/>
  <c r="D41" i="1574"/>
  <c r="R40" i="1574"/>
  <c r="L8" i="1574" s="1"/>
  <c r="D8" i="1574" s="1"/>
  <c r="D40" i="1574"/>
  <c r="R39" i="1574"/>
  <c r="H39" i="1574"/>
  <c r="D39" i="1574"/>
  <c r="R38" i="1574"/>
  <c r="H38" i="1574"/>
  <c r="D38" i="1574"/>
  <c r="R37" i="1574"/>
  <c r="H37" i="1574"/>
  <c r="D37" i="1574"/>
  <c r="R36" i="1574"/>
  <c r="L10" i="1574" s="1"/>
  <c r="D10" i="1574" s="1"/>
  <c r="H36" i="1574"/>
  <c r="D36" i="1574"/>
  <c r="R35" i="1574"/>
  <c r="H35" i="1574"/>
  <c r="G49" i="1574" s="1"/>
  <c r="D35" i="1574"/>
  <c r="R34" i="1574"/>
  <c r="L12" i="1574" s="1"/>
  <c r="D12" i="1574" s="1"/>
  <c r="H34" i="1574"/>
  <c r="D34" i="1574"/>
  <c r="R33" i="1574"/>
  <c r="R32" i="1574"/>
  <c r="R31" i="1574"/>
  <c r="R30" i="1574"/>
  <c r="R29" i="1574"/>
  <c r="R28" i="1574"/>
  <c r="L16" i="1574" s="1"/>
  <c r="D16" i="1574" s="1"/>
  <c r="D28" i="1574"/>
  <c r="R27" i="1574"/>
  <c r="D27" i="1574"/>
  <c r="R26" i="1574"/>
  <c r="D26" i="1574"/>
  <c r="R25" i="1574"/>
  <c r="D25" i="1574"/>
  <c r="R24" i="1574"/>
  <c r="L24" i="1574"/>
  <c r="D24" i="1574"/>
  <c r="R23" i="1574"/>
  <c r="D23" i="1574"/>
  <c r="R22" i="1574"/>
  <c r="D22" i="1574"/>
  <c r="R21" i="1574"/>
  <c r="D21" i="1574"/>
  <c r="R20" i="1574"/>
  <c r="L20" i="1574"/>
  <c r="D20" i="1574"/>
  <c r="R19" i="1574"/>
  <c r="D19" i="1574"/>
  <c r="R18" i="1574"/>
  <c r="D18" i="1574"/>
  <c r="R17" i="1574"/>
  <c r="L17" i="1574"/>
  <c r="D17" i="1574"/>
  <c r="R16" i="1574"/>
  <c r="R15" i="1574"/>
  <c r="D15" i="1574"/>
  <c r="R14" i="1574"/>
  <c r="D14" i="1574"/>
  <c r="R13" i="1574"/>
  <c r="D13" i="1574"/>
  <c r="R12" i="1574"/>
  <c r="R11" i="1574"/>
  <c r="L11" i="1574"/>
  <c r="D11" i="1574" s="1"/>
  <c r="L9" i="1574"/>
  <c r="D9" i="1574"/>
  <c r="L7" i="1574"/>
  <c r="D7" i="1574"/>
  <c r="R6" i="1574"/>
  <c r="R5" i="1574"/>
  <c r="R4" i="1574"/>
  <c r="R52" i="1573"/>
  <c r="R51" i="1573"/>
  <c r="D50" i="1573"/>
  <c r="R49" i="1573"/>
  <c r="G49" i="1573"/>
  <c r="D49" i="1573"/>
  <c r="R48" i="1573"/>
  <c r="D48" i="1573"/>
  <c r="D46" i="1573"/>
  <c r="D45" i="1573"/>
  <c r="D44" i="1573"/>
  <c r="R42" i="1573"/>
  <c r="L6" i="1573" s="1"/>
  <c r="D6" i="1573" s="1"/>
  <c r="D29" i="1573" s="1"/>
  <c r="H13" i="1573" s="1"/>
  <c r="D42" i="1573"/>
  <c r="R41" i="1573"/>
  <c r="L7" i="1573" s="1"/>
  <c r="D7" i="1573" s="1"/>
  <c r="D41" i="1573"/>
  <c r="R40" i="1573"/>
  <c r="D40" i="1573"/>
  <c r="R39" i="1573"/>
  <c r="D39" i="1573"/>
  <c r="R38" i="1573"/>
  <c r="L9" i="1573" s="1"/>
  <c r="D9" i="1573" s="1"/>
  <c r="D38" i="1573"/>
  <c r="R37" i="1573"/>
  <c r="D37" i="1573"/>
  <c r="R36" i="1573"/>
  <c r="L10" i="1573" s="1"/>
  <c r="D10" i="1573" s="1"/>
  <c r="D36" i="1573"/>
  <c r="R35" i="1573"/>
  <c r="D35" i="1573"/>
  <c r="R34" i="1573"/>
  <c r="L12" i="1573" s="1"/>
  <c r="D12" i="1573" s="1"/>
  <c r="D34" i="1573"/>
  <c r="D54" i="1573" s="1"/>
  <c r="H14" i="1573" s="1"/>
  <c r="R33" i="1573"/>
  <c r="L23" i="1573" s="1"/>
  <c r="D23" i="1573" s="1"/>
  <c r="R32" i="1573"/>
  <c r="R31" i="1573"/>
  <c r="R30" i="1573"/>
  <c r="R29" i="1573"/>
  <c r="R28" i="1573"/>
  <c r="L16" i="1573" s="1"/>
  <c r="D16" i="1573" s="1"/>
  <c r="D28" i="1573"/>
  <c r="R27" i="1573"/>
  <c r="D27" i="1573"/>
  <c r="R26" i="1573"/>
  <c r="L26" i="1573"/>
  <c r="D26" i="1573"/>
  <c r="R25" i="1573"/>
  <c r="L25" i="1573"/>
  <c r="D25" i="1573"/>
  <c r="R24" i="1573"/>
  <c r="D24" i="1573"/>
  <c r="R23" i="1573"/>
  <c r="R22" i="1573"/>
  <c r="L22" i="1573"/>
  <c r="D22" i="1573" s="1"/>
  <c r="R21" i="1573"/>
  <c r="D21" i="1573"/>
  <c r="R20" i="1573"/>
  <c r="L20" i="1573"/>
  <c r="D20" i="1573"/>
  <c r="R19" i="1573"/>
  <c r="L19" i="1573"/>
  <c r="D19" i="1573"/>
  <c r="R18" i="1573"/>
  <c r="D18" i="1573"/>
  <c r="R17" i="1573"/>
  <c r="D17" i="1573"/>
  <c r="R16" i="1573"/>
  <c r="S15" i="1573"/>
  <c r="R15" i="1573"/>
  <c r="D15" i="1573"/>
  <c r="S14" i="1573"/>
  <c r="R14" i="1573"/>
  <c r="D14" i="1573"/>
  <c r="R13" i="1573"/>
  <c r="D13" i="1573"/>
  <c r="R12" i="1573"/>
  <c r="R11" i="1573"/>
  <c r="L11" i="1573"/>
  <c r="D11" i="1573" s="1"/>
  <c r="L8" i="1573"/>
  <c r="D8" i="1573"/>
  <c r="R6" i="1573"/>
  <c r="R5" i="1573"/>
  <c r="R4" i="1573"/>
  <c r="R52" i="1572"/>
  <c r="R51" i="1572"/>
  <c r="D50" i="1572"/>
  <c r="R49" i="1572"/>
  <c r="D49" i="1572"/>
  <c r="R48" i="1572"/>
  <c r="D48" i="1572"/>
  <c r="D46" i="1572"/>
  <c r="D45" i="1572"/>
  <c r="D44" i="1572"/>
  <c r="R42" i="1572"/>
  <c r="L6" i="1572" s="1"/>
  <c r="D6" i="1572" s="1"/>
  <c r="D42" i="1572"/>
  <c r="R41" i="1572"/>
  <c r="D41" i="1572"/>
  <c r="R40" i="1572"/>
  <c r="L8" i="1572" s="1"/>
  <c r="D8" i="1572" s="1"/>
  <c r="D40" i="1572"/>
  <c r="R39" i="1572"/>
  <c r="H39" i="1572"/>
  <c r="D39" i="1572"/>
  <c r="R38" i="1572"/>
  <c r="H38" i="1572"/>
  <c r="D38" i="1572"/>
  <c r="R37" i="1572"/>
  <c r="H37" i="1572"/>
  <c r="D37" i="1572"/>
  <c r="R36" i="1572"/>
  <c r="L10" i="1572" s="1"/>
  <c r="D10" i="1572" s="1"/>
  <c r="H36" i="1572"/>
  <c r="D36" i="1572"/>
  <c r="R35" i="1572"/>
  <c r="L19" i="1572" s="1"/>
  <c r="D19" i="1572" s="1"/>
  <c r="H35" i="1572"/>
  <c r="D35" i="1572"/>
  <c r="R34" i="1572"/>
  <c r="L12" i="1572" s="1"/>
  <c r="D12" i="1572" s="1"/>
  <c r="H34" i="1572"/>
  <c r="D34" i="1572"/>
  <c r="R33" i="1572"/>
  <c r="R32" i="1572"/>
  <c r="R31" i="1572"/>
  <c r="R30" i="1572"/>
  <c r="R29" i="1572"/>
  <c r="R28" i="1572"/>
  <c r="L16" i="1572" s="1"/>
  <c r="D16" i="1572" s="1"/>
  <c r="D28" i="1572"/>
  <c r="R27" i="1572"/>
  <c r="D27" i="1572"/>
  <c r="R26" i="1572"/>
  <c r="L26" i="1572"/>
  <c r="D26" i="1572"/>
  <c r="R25" i="1572"/>
  <c r="L25" i="1572"/>
  <c r="D25" i="1572" s="1"/>
  <c r="R24" i="1572"/>
  <c r="D24" i="1572"/>
  <c r="R23" i="1572"/>
  <c r="L23" i="1572"/>
  <c r="D23" i="1572"/>
  <c r="R22" i="1572"/>
  <c r="L22" i="1572"/>
  <c r="D22" i="1572"/>
  <c r="R21" i="1572"/>
  <c r="D21" i="1572"/>
  <c r="R20" i="1572"/>
  <c r="L20" i="1572"/>
  <c r="D20" i="1572"/>
  <c r="R19" i="1572"/>
  <c r="R18" i="1572"/>
  <c r="D18" i="1572"/>
  <c r="R17" i="1572"/>
  <c r="D17" i="1572"/>
  <c r="R16" i="1572"/>
  <c r="R15" i="1572"/>
  <c r="D15" i="1572"/>
  <c r="R14" i="1572"/>
  <c r="D14" i="1572"/>
  <c r="R13" i="1572"/>
  <c r="D13" i="1572"/>
  <c r="R12" i="1572"/>
  <c r="R11" i="1572"/>
  <c r="L11" i="1572"/>
  <c r="D11" i="1572"/>
  <c r="L9" i="1572"/>
  <c r="D9" i="1572" s="1"/>
  <c r="L7" i="1572"/>
  <c r="D7" i="1572" s="1"/>
  <c r="R6" i="1572"/>
  <c r="R5" i="1572"/>
  <c r="R4" i="1572"/>
  <c r="R52" i="1571"/>
  <c r="R51" i="1571"/>
  <c r="D50" i="1571"/>
  <c r="R49" i="1571"/>
  <c r="D49" i="1571"/>
  <c r="R48" i="1571"/>
  <c r="D48" i="1571"/>
  <c r="D46" i="1571"/>
  <c r="D45" i="1571"/>
  <c r="D44" i="1571"/>
  <c r="R42" i="1571"/>
  <c r="L6" i="1571" s="1"/>
  <c r="D6" i="1571" s="1"/>
  <c r="D42" i="1571"/>
  <c r="R41" i="1571"/>
  <c r="L7" i="1571" s="1"/>
  <c r="D7" i="1571" s="1"/>
  <c r="D41" i="1571"/>
  <c r="R40" i="1571"/>
  <c r="D40" i="1571"/>
  <c r="R39" i="1571"/>
  <c r="H39" i="1571"/>
  <c r="D39" i="1571"/>
  <c r="R38" i="1571"/>
  <c r="H38" i="1571"/>
  <c r="D38" i="1571"/>
  <c r="R37" i="1571"/>
  <c r="H37" i="1571"/>
  <c r="D37" i="1571"/>
  <c r="R36" i="1571"/>
  <c r="H36" i="1571"/>
  <c r="D36" i="1571"/>
  <c r="R35" i="1571"/>
  <c r="L19" i="1571" s="1"/>
  <c r="D19" i="1571" s="1"/>
  <c r="H35" i="1571"/>
  <c r="D35" i="1571"/>
  <c r="R34" i="1571"/>
  <c r="L12" i="1571" s="1"/>
  <c r="D12" i="1571" s="1"/>
  <c r="H34" i="1571"/>
  <c r="G49" i="1571" s="1"/>
  <c r="D34" i="1571"/>
  <c r="R33" i="1571"/>
  <c r="R32" i="1571"/>
  <c r="R31" i="1571"/>
  <c r="R30" i="1571"/>
  <c r="R29" i="1571"/>
  <c r="R28" i="1571"/>
  <c r="D28" i="1571"/>
  <c r="R27" i="1571"/>
  <c r="D27" i="1571"/>
  <c r="R26" i="1571"/>
  <c r="L26" i="1571"/>
  <c r="D26" i="1571"/>
  <c r="R25" i="1571"/>
  <c r="L25" i="1571"/>
  <c r="D25" i="1571"/>
  <c r="R24" i="1571"/>
  <c r="L24" i="1571"/>
  <c r="D24" i="1571"/>
  <c r="R23" i="1571"/>
  <c r="L23" i="1571"/>
  <c r="D23" i="1571"/>
  <c r="R22" i="1571"/>
  <c r="L22" i="1571"/>
  <c r="D22" i="1571" s="1"/>
  <c r="R21" i="1571"/>
  <c r="L17" i="1571" s="1"/>
  <c r="D17" i="1571" s="1"/>
  <c r="D21" i="1571"/>
  <c r="R20" i="1571"/>
  <c r="L20" i="1571"/>
  <c r="D20" i="1571" s="1"/>
  <c r="R19" i="1571"/>
  <c r="R18" i="1571"/>
  <c r="D18" i="1571"/>
  <c r="R17" i="1571"/>
  <c r="R16" i="1571"/>
  <c r="L16" i="1571"/>
  <c r="D16" i="1571" s="1"/>
  <c r="R15" i="1571"/>
  <c r="D15" i="1571"/>
  <c r="R14" i="1571"/>
  <c r="D14" i="1571"/>
  <c r="R13" i="1571"/>
  <c r="D13" i="1571"/>
  <c r="R12" i="1571"/>
  <c r="R11" i="1571"/>
  <c r="L11" i="1571"/>
  <c r="D11" i="1571"/>
  <c r="L10" i="1571"/>
  <c r="D10" i="1571"/>
  <c r="L9" i="1571"/>
  <c r="D9" i="1571"/>
  <c r="L8" i="1571"/>
  <c r="D8" i="1571" s="1"/>
  <c r="R6" i="1571"/>
  <c r="R5" i="1571"/>
  <c r="R4" i="1571"/>
  <c r="R52" i="1570"/>
  <c r="R51" i="1570"/>
  <c r="D50" i="1570"/>
  <c r="R49" i="1570"/>
  <c r="D49" i="1570"/>
  <c r="R48" i="1570"/>
  <c r="D48" i="1570"/>
  <c r="D46" i="1570"/>
  <c r="D45" i="1570"/>
  <c r="P44" i="1570"/>
  <c r="R44" i="1570" s="1"/>
  <c r="D44" i="1570"/>
  <c r="R42" i="1570"/>
  <c r="D42" i="1570"/>
  <c r="R41" i="1570"/>
  <c r="D41" i="1570"/>
  <c r="R40" i="1570"/>
  <c r="L8" i="1570" s="1"/>
  <c r="D8" i="1570" s="1"/>
  <c r="D40" i="1570"/>
  <c r="R39" i="1570"/>
  <c r="H39" i="1570"/>
  <c r="D39" i="1570"/>
  <c r="R38" i="1570"/>
  <c r="H38" i="1570"/>
  <c r="D38" i="1570"/>
  <c r="R37" i="1570"/>
  <c r="H37" i="1570"/>
  <c r="D37" i="1570"/>
  <c r="R36" i="1570"/>
  <c r="H36" i="1570"/>
  <c r="D36" i="1570"/>
  <c r="R35" i="1570"/>
  <c r="H35" i="1570"/>
  <c r="G49" i="1570" s="1"/>
  <c r="D35" i="1570"/>
  <c r="D54" i="1570" s="1"/>
  <c r="H14" i="1570" s="1"/>
  <c r="R34" i="1570"/>
  <c r="L12" i="1570" s="1"/>
  <c r="D12" i="1570" s="1"/>
  <c r="H34" i="1570"/>
  <c r="D34" i="1570"/>
  <c r="R33" i="1570"/>
  <c r="R32" i="1570"/>
  <c r="R31" i="1570"/>
  <c r="R30" i="1570"/>
  <c r="R29" i="1570"/>
  <c r="R28" i="1570"/>
  <c r="D28" i="1570"/>
  <c r="R27" i="1570"/>
  <c r="D27" i="1570"/>
  <c r="R26" i="1570"/>
  <c r="L26" i="1570"/>
  <c r="D26" i="1570"/>
  <c r="R25" i="1570"/>
  <c r="L25" i="1570"/>
  <c r="D25" i="1570" s="1"/>
  <c r="R24" i="1570"/>
  <c r="L24" i="1570"/>
  <c r="D24" i="1570"/>
  <c r="R23" i="1570"/>
  <c r="D23" i="1570"/>
  <c r="R22" i="1570"/>
  <c r="D22" i="1570"/>
  <c r="R21" i="1570"/>
  <c r="D21" i="1570"/>
  <c r="R20" i="1570"/>
  <c r="L20" i="1570"/>
  <c r="D20" i="1570"/>
  <c r="R19" i="1570"/>
  <c r="D19" i="1570"/>
  <c r="R18" i="1570"/>
  <c r="D18" i="1570"/>
  <c r="R17" i="1570"/>
  <c r="L17" i="1570"/>
  <c r="D17" i="1570"/>
  <c r="R16" i="1570"/>
  <c r="L16" i="1570"/>
  <c r="D16" i="1570"/>
  <c r="R15" i="1570"/>
  <c r="D15" i="1570"/>
  <c r="R14" i="1570"/>
  <c r="D14" i="1570"/>
  <c r="R13" i="1570"/>
  <c r="D13" i="1570"/>
  <c r="R12" i="1570"/>
  <c r="R11" i="1570"/>
  <c r="L11" i="1570"/>
  <c r="D11" i="1570" s="1"/>
  <c r="L10" i="1570"/>
  <c r="D10" i="1570" s="1"/>
  <c r="L9" i="1570"/>
  <c r="D9" i="1570"/>
  <c r="L7" i="1570"/>
  <c r="D7" i="1570"/>
  <c r="R6" i="1570"/>
  <c r="L6" i="1570"/>
  <c r="D6" i="1570" s="1"/>
  <c r="R5" i="1570"/>
  <c r="R4" i="1570"/>
  <c r="R52" i="1569"/>
  <c r="R51" i="1569"/>
  <c r="D50" i="1569"/>
  <c r="R49" i="1569"/>
  <c r="G49" i="1569"/>
  <c r="D49" i="1569"/>
  <c r="R48" i="1569"/>
  <c r="D48" i="1569"/>
  <c r="D46" i="1569"/>
  <c r="D45" i="1569"/>
  <c r="D44" i="1569"/>
  <c r="R42" i="1569"/>
  <c r="L6" i="1569" s="1"/>
  <c r="D6" i="1569" s="1"/>
  <c r="D42" i="1569"/>
  <c r="R41" i="1569"/>
  <c r="L7" i="1569" s="1"/>
  <c r="D7" i="1569" s="1"/>
  <c r="D41" i="1569"/>
  <c r="R40" i="1569"/>
  <c r="D40" i="1569"/>
  <c r="R39" i="1569"/>
  <c r="D39" i="1569"/>
  <c r="R38" i="1569"/>
  <c r="D38" i="1569"/>
  <c r="R37" i="1569"/>
  <c r="D37" i="1569"/>
  <c r="R36" i="1569"/>
  <c r="L10" i="1569" s="1"/>
  <c r="D10" i="1569" s="1"/>
  <c r="D36" i="1569"/>
  <c r="R35" i="1569"/>
  <c r="D35" i="1569"/>
  <c r="R34" i="1569"/>
  <c r="L12" i="1569" s="1"/>
  <c r="D12" i="1569" s="1"/>
  <c r="D34" i="1569"/>
  <c r="D54" i="1569" s="1"/>
  <c r="H14" i="1569" s="1"/>
  <c r="R33" i="1569"/>
  <c r="L23" i="1569" s="1"/>
  <c r="D23" i="1569" s="1"/>
  <c r="R32" i="1569"/>
  <c r="R31" i="1569"/>
  <c r="R30" i="1569"/>
  <c r="R29" i="1569"/>
  <c r="R28" i="1569"/>
  <c r="L16" i="1569" s="1"/>
  <c r="D16" i="1569" s="1"/>
  <c r="D28" i="1569"/>
  <c r="R27" i="1569"/>
  <c r="D27" i="1569"/>
  <c r="R26" i="1569"/>
  <c r="L26" i="1569"/>
  <c r="D26" i="1569"/>
  <c r="R25" i="1569"/>
  <c r="L25" i="1569"/>
  <c r="D25" i="1569"/>
  <c r="R24" i="1569"/>
  <c r="D24" i="1569"/>
  <c r="R23" i="1569"/>
  <c r="R22" i="1569"/>
  <c r="L22" i="1569"/>
  <c r="D22" i="1569" s="1"/>
  <c r="R21" i="1569"/>
  <c r="D21" i="1569"/>
  <c r="R20" i="1569"/>
  <c r="L20" i="1569"/>
  <c r="D20" i="1569"/>
  <c r="R19" i="1569"/>
  <c r="L19" i="1569"/>
  <c r="D19" i="1569"/>
  <c r="R18" i="1569"/>
  <c r="D18" i="1569"/>
  <c r="R17" i="1569"/>
  <c r="D17" i="1569"/>
  <c r="R16" i="1569"/>
  <c r="S15" i="1569"/>
  <c r="R15" i="1569"/>
  <c r="D15" i="1569"/>
  <c r="S14" i="1569"/>
  <c r="R14" i="1569"/>
  <c r="D14" i="1569"/>
  <c r="R13" i="1569"/>
  <c r="D13" i="1569"/>
  <c r="R12" i="1569"/>
  <c r="R11" i="1569"/>
  <c r="L11" i="1569"/>
  <c r="D11" i="1569" s="1"/>
  <c r="L9" i="1569"/>
  <c r="D9" i="1569"/>
  <c r="L8" i="1569"/>
  <c r="D8" i="1569"/>
  <c r="R6" i="1569"/>
  <c r="R5" i="1569"/>
  <c r="R4" i="1569"/>
  <c r="R52" i="1568"/>
  <c r="R51" i="1568"/>
  <c r="D50" i="1568"/>
  <c r="R49" i="1568"/>
  <c r="G49" i="1568"/>
  <c r="D49" i="1568"/>
  <c r="R48" i="1568"/>
  <c r="D48" i="1568"/>
  <c r="D46" i="1568"/>
  <c r="D45" i="1568"/>
  <c r="D44" i="1568"/>
  <c r="R42" i="1568"/>
  <c r="L6" i="1568" s="1"/>
  <c r="D6" i="1568" s="1"/>
  <c r="D42" i="1568"/>
  <c r="R41" i="1568"/>
  <c r="L7" i="1568" s="1"/>
  <c r="D7" i="1568" s="1"/>
  <c r="D41" i="1568"/>
  <c r="R40" i="1568"/>
  <c r="L8" i="1568" s="1"/>
  <c r="D8" i="1568" s="1"/>
  <c r="D40" i="1568"/>
  <c r="R39" i="1568"/>
  <c r="H39" i="1568"/>
  <c r="D39" i="1568"/>
  <c r="R38" i="1568"/>
  <c r="L9" i="1568" s="1"/>
  <c r="D9" i="1568" s="1"/>
  <c r="H38" i="1568"/>
  <c r="D38" i="1568"/>
  <c r="R37" i="1568"/>
  <c r="H37" i="1568"/>
  <c r="D37" i="1568"/>
  <c r="R36" i="1568"/>
  <c r="H36" i="1568"/>
  <c r="D36" i="1568"/>
  <c r="R35" i="1568"/>
  <c r="L19" i="1568" s="1"/>
  <c r="D19" i="1568" s="1"/>
  <c r="H35" i="1568"/>
  <c r="D35" i="1568"/>
  <c r="R34" i="1568"/>
  <c r="H34" i="1568"/>
  <c r="D34" i="1568"/>
  <c r="R33" i="1568"/>
  <c r="L23" i="1568" s="1"/>
  <c r="D23" i="1568" s="1"/>
  <c r="R32" i="1568"/>
  <c r="L11" i="1568" s="1"/>
  <c r="D11" i="1568" s="1"/>
  <c r="R31" i="1568"/>
  <c r="R30" i="1568"/>
  <c r="R29" i="1568"/>
  <c r="R28" i="1568"/>
  <c r="L16" i="1568" s="1"/>
  <c r="D16" i="1568" s="1"/>
  <c r="D28" i="1568"/>
  <c r="R27" i="1568"/>
  <c r="D27" i="1568"/>
  <c r="R26" i="1568"/>
  <c r="L26" i="1568"/>
  <c r="D26" i="1568" s="1"/>
  <c r="R25" i="1568"/>
  <c r="L25" i="1568"/>
  <c r="D25" i="1568"/>
  <c r="R24" i="1568"/>
  <c r="D24" i="1568"/>
  <c r="R23" i="1568"/>
  <c r="R22" i="1568"/>
  <c r="L22" i="1568"/>
  <c r="D22" i="1568"/>
  <c r="R21" i="1568"/>
  <c r="D21" i="1568"/>
  <c r="R20" i="1568"/>
  <c r="L20" i="1568"/>
  <c r="D20" i="1568" s="1"/>
  <c r="R19" i="1568"/>
  <c r="R18" i="1568"/>
  <c r="D18" i="1568"/>
  <c r="R17" i="1568"/>
  <c r="D17" i="1568"/>
  <c r="R16" i="1568"/>
  <c r="R15" i="1568"/>
  <c r="D15" i="1568"/>
  <c r="R14" i="1568"/>
  <c r="D14" i="1568"/>
  <c r="R13" i="1568"/>
  <c r="D13" i="1568"/>
  <c r="R12" i="1568"/>
  <c r="L12" i="1568"/>
  <c r="D12" i="1568" s="1"/>
  <c r="R11" i="1568"/>
  <c r="L10" i="1568"/>
  <c r="D10" i="1568"/>
  <c r="R6" i="1568"/>
  <c r="R5" i="1568"/>
  <c r="R4" i="1568"/>
  <c r="R52" i="1567"/>
  <c r="R51" i="1567"/>
  <c r="D50" i="1567"/>
  <c r="R49" i="1567"/>
  <c r="D49" i="1567"/>
  <c r="R48" i="1567"/>
  <c r="D48" i="1567"/>
  <c r="D46" i="1567"/>
  <c r="D45" i="1567"/>
  <c r="D44" i="1567"/>
  <c r="R42" i="1567"/>
  <c r="D42" i="1567"/>
  <c r="R41" i="1567"/>
  <c r="L7" i="1567" s="1"/>
  <c r="D7" i="1567" s="1"/>
  <c r="D41" i="1567"/>
  <c r="R40" i="1567"/>
  <c r="D40" i="1567"/>
  <c r="R39" i="1567"/>
  <c r="L20" i="1567" s="1"/>
  <c r="D20" i="1567" s="1"/>
  <c r="H39" i="1567"/>
  <c r="D39" i="1567"/>
  <c r="R38" i="1567"/>
  <c r="H38" i="1567"/>
  <c r="D38" i="1567"/>
  <c r="R37" i="1567"/>
  <c r="H37" i="1567"/>
  <c r="D37" i="1567"/>
  <c r="R36" i="1567"/>
  <c r="L10" i="1567" s="1"/>
  <c r="D10" i="1567" s="1"/>
  <c r="H36" i="1567"/>
  <c r="D36" i="1567"/>
  <c r="R35" i="1567"/>
  <c r="L19" i="1567" s="1"/>
  <c r="D19" i="1567" s="1"/>
  <c r="H35" i="1567"/>
  <c r="D35" i="1567"/>
  <c r="R34" i="1567"/>
  <c r="L12" i="1567" s="1"/>
  <c r="D12" i="1567" s="1"/>
  <c r="H34" i="1567"/>
  <c r="G49" i="1567" s="1"/>
  <c r="D34" i="1567"/>
  <c r="R33" i="1567"/>
  <c r="L23" i="1567" s="1"/>
  <c r="D23" i="1567" s="1"/>
  <c r="R32" i="1567"/>
  <c r="R31" i="1567"/>
  <c r="R30" i="1567"/>
  <c r="R29" i="1567"/>
  <c r="R28" i="1567"/>
  <c r="D28" i="1567"/>
  <c r="R27" i="1567"/>
  <c r="D27" i="1567"/>
  <c r="R26" i="1567"/>
  <c r="L26" i="1567"/>
  <c r="D26" i="1567"/>
  <c r="R25" i="1567"/>
  <c r="L25" i="1567"/>
  <c r="D25" i="1567"/>
  <c r="R24" i="1567"/>
  <c r="L24" i="1567"/>
  <c r="D24" i="1567"/>
  <c r="R23" i="1567"/>
  <c r="R22" i="1567"/>
  <c r="L22" i="1567"/>
  <c r="D22" i="1567" s="1"/>
  <c r="R21" i="1567"/>
  <c r="L17" i="1567" s="1"/>
  <c r="D17" i="1567" s="1"/>
  <c r="D21" i="1567"/>
  <c r="R20" i="1567"/>
  <c r="R19" i="1567"/>
  <c r="R18" i="1567"/>
  <c r="D18" i="1567"/>
  <c r="R17" i="1567"/>
  <c r="R16" i="1567"/>
  <c r="L16" i="1567"/>
  <c r="D16" i="1567" s="1"/>
  <c r="R15" i="1567"/>
  <c r="D15" i="1567"/>
  <c r="R14" i="1567"/>
  <c r="D14" i="1567"/>
  <c r="R13" i="1567"/>
  <c r="D13" i="1567"/>
  <c r="R12" i="1567"/>
  <c r="R11" i="1567"/>
  <c r="L11" i="1567"/>
  <c r="D11" i="1567"/>
  <c r="L9" i="1567"/>
  <c r="D9" i="1567" s="1"/>
  <c r="L8" i="1567"/>
  <c r="D8" i="1567"/>
  <c r="R6" i="1567"/>
  <c r="L6" i="1567"/>
  <c r="D6" i="1567"/>
  <c r="R5" i="1567"/>
  <c r="R4" i="1567"/>
  <c r="R52" i="1566"/>
  <c r="R51" i="1566"/>
  <c r="D50" i="1566"/>
  <c r="R49" i="1566"/>
  <c r="D49" i="1566"/>
  <c r="R48" i="1566"/>
  <c r="D48" i="1566"/>
  <c r="D46" i="1566"/>
  <c r="D45" i="1566"/>
  <c r="P44" i="1566"/>
  <c r="R44" i="1566" s="1"/>
  <c r="D44" i="1566"/>
  <c r="R42" i="1566"/>
  <c r="L6" i="1566" s="1"/>
  <c r="D6" i="1566" s="1"/>
  <c r="D42" i="1566"/>
  <c r="R41" i="1566"/>
  <c r="L7" i="1566" s="1"/>
  <c r="D7" i="1566" s="1"/>
  <c r="D41" i="1566"/>
  <c r="R40" i="1566"/>
  <c r="D40" i="1566"/>
  <c r="R39" i="1566"/>
  <c r="H39" i="1566"/>
  <c r="D39" i="1566"/>
  <c r="R38" i="1566"/>
  <c r="H38" i="1566"/>
  <c r="D38" i="1566"/>
  <c r="R37" i="1566"/>
  <c r="H37" i="1566"/>
  <c r="D37" i="1566"/>
  <c r="R36" i="1566"/>
  <c r="H36" i="1566"/>
  <c r="D36" i="1566"/>
  <c r="R35" i="1566"/>
  <c r="H35" i="1566"/>
  <c r="D35" i="1566"/>
  <c r="R34" i="1566"/>
  <c r="H34" i="1566"/>
  <c r="D34" i="1566"/>
  <c r="R33" i="1566"/>
  <c r="R32" i="1566"/>
  <c r="R31" i="1566"/>
  <c r="R30" i="1566"/>
  <c r="R29" i="1566"/>
  <c r="R28" i="1566"/>
  <c r="L16" i="1566" s="1"/>
  <c r="D16" i="1566" s="1"/>
  <c r="D28" i="1566"/>
  <c r="R27" i="1566"/>
  <c r="D27" i="1566"/>
  <c r="R26" i="1566"/>
  <c r="L26" i="1566"/>
  <c r="D26" i="1566"/>
  <c r="R25" i="1566"/>
  <c r="L25" i="1566"/>
  <c r="D25" i="1566" s="1"/>
  <c r="R24" i="1566"/>
  <c r="L24" i="1566"/>
  <c r="D24" i="1566"/>
  <c r="R23" i="1566"/>
  <c r="D23" i="1566"/>
  <c r="R22" i="1566"/>
  <c r="D22" i="1566"/>
  <c r="R21" i="1566"/>
  <c r="D21" i="1566"/>
  <c r="R20" i="1566"/>
  <c r="L20" i="1566"/>
  <c r="D20" i="1566" s="1"/>
  <c r="R19" i="1566"/>
  <c r="D19" i="1566"/>
  <c r="R18" i="1566"/>
  <c r="D18" i="1566"/>
  <c r="R17" i="1566"/>
  <c r="L17" i="1566"/>
  <c r="D17" i="1566"/>
  <c r="R16" i="1566"/>
  <c r="R15" i="1566"/>
  <c r="D15" i="1566"/>
  <c r="R14" i="1566"/>
  <c r="D14" i="1566"/>
  <c r="R13" i="1566"/>
  <c r="D13" i="1566"/>
  <c r="R12" i="1566"/>
  <c r="L12" i="1566"/>
  <c r="D12" i="1566"/>
  <c r="R11" i="1566"/>
  <c r="L11" i="1566"/>
  <c r="D11" i="1566" s="1"/>
  <c r="L10" i="1566"/>
  <c r="D10" i="1566" s="1"/>
  <c r="L9" i="1566"/>
  <c r="D9" i="1566"/>
  <c r="L8" i="1566"/>
  <c r="D8" i="1566" s="1"/>
  <c r="R6" i="1566"/>
  <c r="R5" i="1566"/>
  <c r="R4" i="1566"/>
  <c r="R52" i="1565"/>
  <c r="R51" i="1565"/>
  <c r="D50" i="1565"/>
  <c r="R49" i="1565"/>
  <c r="G49" i="1565"/>
  <c r="D49" i="1565"/>
  <c r="R48" i="1565"/>
  <c r="D48" i="1565"/>
  <c r="D46" i="1565"/>
  <c r="D45" i="1565"/>
  <c r="D44" i="1565"/>
  <c r="R42" i="1565"/>
  <c r="L6" i="1565" s="1"/>
  <c r="D6" i="1565" s="1"/>
  <c r="D42" i="1565"/>
  <c r="R41" i="1565"/>
  <c r="D41" i="1565"/>
  <c r="R40" i="1565"/>
  <c r="D40" i="1565"/>
  <c r="R39" i="1565"/>
  <c r="D39" i="1565"/>
  <c r="R38" i="1565"/>
  <c r="D38" i="1565"/>
  <c r="R37" i="1565"/>
  <c r="D37" i="1565"/>
  <c r="R36" i="1565"/>
  <c r="L10" i="1565" s="1"/>
  <c r="D10" i="1565" s="1"/>
  <c r="D36" i="1565"/>
  <c r="R35" i="1565"/>
  <c r="L19" i="1565" s="1"/>
  <c r="D19" i="1565" s="1"/>
  <c r="D35" i="1565"/>
  <c r="D54" i="1565" s="1"/>
  <c r="H14" i="1565" s="1"/>
  <c r="R34" i="1565"/>
  <c r="L12" i="1565" s="1"/>
  <c r="D12" i="1565" s="1"/>
  <c r="D34" i="1565"/>
  <c r="R33" i="1565"/>
  <c r="R32" i="1565"/>
  <c r="R31" i="1565"/>
  <c r="R30" i="1565"/>
  <c r="R29" i="1565"/>
  <c r="R28" i="1565"/>
  <c r="L16" i="1565" s="1"/>
  <c r="D16" i="1565" s="1"/>
  <c r="D28" i="1565"/>
  <c r="R27" i="1565"/>
  <c r="D27" i="1565"/>
  <c r="R26" i="1565"/>
  <c r="L26" i="1565"/>
  <c r="D26" i="1565" s="1"/>
  <c r="R25" i="1565"/>
  <c r="L25" i="1565"/>
  <c r="D25" i="1565" s="1"/>
  <c r="R24" i="1565"/>
  <c r="D24" i="1565"/>
  <c r="R23" i="1565"/>
  <c r="L23" i="1565"/>
  <c r="D23" i="1565"/>
  <c r="R22" i="1565"/>
  <c r="L22" i="1565"/>
  <c r="D22" i="1565" s="1"/>
  <c r="R21" i="1565"/>
  <c r="D21" i="1565"/>
  <c r="R20" i="1565"/>
  <c r="L20" i="1565"/>
  <c r="D20" i="1565"/>
  <c r="R19" i="1565"/>
  <c r="R18" i="1565"/>
  <c r="D18" i="1565"/>
  <c r="R17" i="1565"/>
  <c r="D17" i="1565"/>
  <c r="R16" i="1565"/>
  <c r="S15" i="1565"/>
  <c r="R15" i="1565"/>
  <c r="D15" i="1565"/>
  <c r="S14" i="1565"/>
  <c r="R14" i="1565"/>
  <c r="D14" i="1565"/>
  <c r="R13" i="1565"/>
  <c r="D13" i="1565"/>
  <c r="R12" i="1565"/>
  <c r="R11" i="1565"/>
  <c r="L11" i="1565"/>
  <c r="D11" i="1565" s="1"/>
  <c r="L9" i="1565"/>
  <c r="D9" i="1565"/>
  <c r="L8" i="1565"/>
  <c r="D8" i="1565"/>
  <c r="L7" i="1565"/>
  <c r="D7" i="1565" s="1"/>
  <c r="R6" i="1565"/>
  <c r="R5" i="1565"/>
  <c r="R4" i="1565"/>
  <c r="G49" i="1588" l="1"/>
  <c r="G49" i="1587"/>
  <c r="G49" i="1586"/>
  <c r="D54" i="1588"/>
  <c r="H14" i="1588" s="1"/>
  <c r="D54" i="1587"/>
  <c r="H14" i="1587" s="1"/>
  <c r="H15" i="1587" s="1"/>
  <c r="H29" i="1587" s="1"/>
  <c r="D54" i="1586"/>
  <c r="H14" i="1586" s="1"/>
  <c r="D54" i="1584"/>
  <c r="H14" i="1584" s="1"/>
  <c r="D54" i="1583"/>
  <c r="H14" i="1583" s="1"/>
  <c r="D29" i="1583"/>
  <c r="H13" i="1583" s="1"/>
  <c r="D54" i="1582"/>
  <c r="H14" i="1582" s="1"/>
  <c r="G49" i="1584"/>
  <c r="G49" i="1583"/>
  <c r="G49" i="1580"/>
  <c r="G49" i="1579"/>
  <c r="D54" i="1580"/>
  <c r="H14" i="1580" s="1"/>
  <c r="D54" i="1579"/>
  <c r="H14" i="1579" s="1"/>
  <c r="D54" i="1578"/>
  <c r="H14" i="1578" s="1"/>
  <c r="D54" i="1576"/>
  <c r="H14" i="1576" s="1"/>
  <c r="D54" i="1575"/>
  <c r="H14" i="1575" s="1"/>
  <c r="D54" i="1574"/>
  <c r="H14" i="1574" s="1"/>
  <c r="G49" i="1576"/>
  <c r="G49" i="1575"/>
  <c r="G49" i="1572"/>
  <c r="D54" i="1572"/>
  <c r="H14" i="1572" s="1"/>
  <c r="D29" i="1572"/>
  <c r="H13" i="1572" s="1"/>
  <c r="D54" i="1571"/>
  <c r="H14" i="1571" s="1"/>
  <c r="D54" i="1568"/>
  <c r="H14" i="1568" s="1"/>
  <c r="D54" i="1567"/>
  <c r="H14" i="1567" s="1"/>
  <c r="D54" i="1566"/>
  <c r="H14" i="1566" s="1"/>
  <c r="G49" i="1566"/>
  <c r="D29" i="1588"/>
  <c r="H13" i="1588" s="1"/>
  <c r="D29" i="1586"/>
  <c r="H13" i="1586" s="1"/>
  <c r="D29" i="1585"/>
  <c r="H13" i="1585" s="1"/>
  <c r="H15" i="1585" s="1"/>
  <c r="H29" i="1585" s="1"/>
  <c r="G51" i="1585" s="1"/>
  <c r="D29" i="1584"/>
  <c r="H13" i="1584" s="1"/>
  <c r="D29" i="1582"/>
  <c r="H13" i="1582" s="1"/>
  <c r="D29" i="1581"/>
  <c r="H13" i="1581" s="1"/>
  <c r="H15" i="1581" s="1"/>
  <c r="H29" i="1581" s="1"/>
  <c r="G51" i="1581"/>
  <c r="D29" i="1580"/>
  <c r="H13" i="1580" s="1"/>
  <c r="D29" i="1579"/>
  <c r="H13" i="1579" s="1"/>
  <c r="D29" i="1578"/>
  <c r="H13" i="1578" s="1"/>
  <c r="D29" i="1577"/>
  <c r="H13" i="1577" s="1"/>
  <c r="H15" i="1577" s="1"/>
  <c r="H29" i="1577" s="1"/>
  <c r="G51" i="1577" s="1"/>
  <c r="D29" i="1576"/>
  <c r="H13" i="1576" s="1"/>
  <c r="D29" i="1575"/>
  <c r="H13" i="1575" s="1"/>
  <c r="D29" i="1574"/>
  <c r="H13" i="1574" s="1"/>
  <c r="H15" i="1573"/>
  <c r="H29" i="1573" s="1"/>
  <c r="G51" i="1573"/>
  <c r="D29" i="1571"/>
  <c r="H13" i="1571" s="1"/>
  <c r="G51" i="1570"/>
  <c r="D29" i="1570"/>
  <c r="H13" i="1570" s="1"/>
  <c r="H15" i="1570" s="1"/>
  <c r="H29" i="1570" s="1"/>
  <c r="D29" i="1569"/>
  <c r="H13" i="1569" s="1"/>
  <c r="H15" i="1569" s="1"/>
  <c r="H29" i="1569" s="1"/>
  <c r="G51" i="1569" s="1"/>
  <c r="D29" i="1568"/>
  <c r="H13" i="1568" s="1"/>
  <c r="D29" i="1567"/>
  <c r="H13" i="1567" s="1"/>
  <c r="D29" i="1566"/>
  <c r="H13" i="1566" s="1"/>
  <c r="D29" i="1565"/>
  <c r="H13" i="1565" s="1"/>
  <c r="H15" i="1565" s="1"/>
  <c r="H29" i="1565" s="1"/>
  <c r="G51" i="1565" s="1"/>
  <c r="H16" i="1560"/>
  <c r="G51" i="1587" l="1"/>
  <c r="H15" i="1588"/>
  <c r="H29" i="1588" s="1"/>
  <c r="G51" i="1588" s="1"/>
  <c r="H15" i="1586"/>
  <c r="H29" i="1586" s="1"/>
  <c r="G51" i="1586" s="1"/>
  <c r="H15" i="1584"/>
  <c r="H29" i="1584" s="1"/>
  <c r="G51" i="1584" s="1"/>
  <c r="H15" i="1583"/>
  <c r="H29" i="1583" s="1"/>
  <c r="G51" i="1583" s="1"/>
  <c r="H15" i="1582"/>
  <c r="H29" i="1582" s="1"/>
  <c r="G51" i="1582" s="1"/>
  <c r="H15" i="1580"/>
  <c r="H29" i="1580" s="1"/>
  <c r="G51" i="1580" s="1"/>
  <c r="H15" i="1579"/>
  <c r="H29" i="1579" s="1"/>
  <c r="G51" i="1579" s="1"/>
  <c r="H15" i="1578"/>
  <c r="H29" i="1578" s="1"/>
  <c r="G51" i="1578" s="1"/>
  <c r="H15" i="1576"/>
  <c r="H29" i="1576" s="1"/>
  <c r="G51" i="1576" s="1"/>
  <c r="H15" i="1575"/>
  <c r="H29" i="1575" s="1"/>
  <c r="G51" i="1575" s="1"/>
  <c r="H15" i="1574"/>
  <c r="H29" i="1574" s="1"/>
  <c r="G51" i="1574" s="1"/>
  <c r="H15" i="1572"/>
  <c r="H29" i="1572" s="1"/>
  <c r="G51" i="1572" s="1"/>
  <c r="H15" i="1571"/>
  <c r="H29" i="1571" s="1"/>
  <c r="G51" i="1571" s="1"/>
  <c r="H15" i="1568"/>
  <c r="H29" i="1568" s="1"/>
  <c r="G51" i="1568" s="1"/>
  <c r="H15" i="1567"/>
  <c r="H29" i="1567" s="1"/>
  <c r="G51" i="1567" s="1"/>
  <c r="H15" i="1566"/>
  <c r="H29" i="1566" s="1"/>
  <c r="G51" i="1566" s="1"/>
  <c r="H16" i="1556"/>
  <c r="H16" i="1554"/>
  <c r="C12" i="1556"/>
  <c r="L25" i="1555"/>
  <c r="H16" i="1552" l="1"/>
  <c r="H16" i="1551"/>
  <c r="C12" i="1552" l="1"/>
  <c r="L25" i="1551"/>
  <c r="C20" i="1551"/>
  <c r="C21" i="1551"/>
  <c r="L24" i="1550"/>
  <c r="G49" i="1548" l="1"/>
  <c r="H16" i="1548" l="1"/>
  <c r="H29" i="1548"/>
  <c r="H16" i="1547"/>
  <c r="C12" i="1548" l="1"/>
  <c r="C6" i="1547"/>
  <c r="C21" i="1546"/>
  <c r="C21" i="1543" l="1"/>
  <c r="C19" i="1542"/>
  <c r="C21" i="1542"/>
  <c r="H16" i="1544"/>
  <c r="H16" i="1543"/>
  <c r="H16" i="1539" l="1"/>
  <c r="L26" i="1537"/>
  <c r="L25" i="1537"/>
  <c r="C12" i="1537"/>
  <c r="C21" i="1537"/>
  <c r="R52" i="1564" l="1"/>
  <c r="R51" i="1564"/>
  <c r="D50" i="1564"/>
  <c r="R49" i="1564"/>
  <c r="D49" i="1564"/>
  <c r="R48" i="1564"/>
  <c r="D48" i="1564"/>
  <c r="D46" i="1564"/>
  <c r="D45" i="1564"/>
  <c r="D44" i="1564"/>
  <c r="R42" i="1564"/>
  <c r="D42" i="1564"/>
  <c r="R41" i="1564"/>
  <c r="L7" i="1564" s="1"/>
  <c r="D7" i="1564" s="1"/>
  <c r="D41" i="1564"/>
  <c r="R40" i="1564"/>
  <c r="L8" i="1564" s="1"/>
  <c r="D8" i="1564" s="1"/>
  <c r="D40" i="1564"/>
  <c r="R39" i="1564"/>
  <c r="H39" i="1564"/>
  <c r="D39" i="1564"/>
  <c r="R38" i="1564"/>
  <c r="H38" i="1564"/>
  <c r="D38" i="1564"/>
  <c r="R37" i="1564"/>
  <c r="H37" i="1564"/>
  <c r="D37" i="1564"/>
  <c r="R36" i="1564"/>
  <c r="L10" i="1564" s="1"/>
  <c r="D10" i="1564" s="1"/>
  <c r="H36" i="1564"/>
  <c r="D36" i="1564"/>
  <c r="R35" i="1564"/>
  <c r="L19" i="1564" s="1"/>
  <c r="D19" i="1564" s="1"/>
  <c r="H35" i="1564"/>
  <c r="D35" i="1564"/>
  <c r="R34" i="1564"/>
  <c r="H34" i="1564"/>
  <c r="D34" i="1564"/>
  <c r="R33" i="1564"/>
  <c r="L23" i="1564" s="1"/>
  <c r="D23" i="1564" s="1"/>
  <c r="R32" i="1564"/>
  <c r="R31" i="1564"/>
  <c r="R30" i="1564"/>
  <c r="R29" i="1564"/>
  <c r="R28" i="1564"/>
  <c r="L16" i="1564" s="1"/>
  <c r="D16" i="1564" s="1"/>
  <c r="D28" i="1564"/>
  <c r="R27" i="1564"/>
  <c r="D27" i="1564"/>
  <c r="R26" i="1564"/>
  <c r="L26" i="1564"/>
  <c r="D26" i="1564" s="1"/>
  <c r="R25" i="1564"/>
  <c r="L25" i="1564"/>
  <c r="D25" i="1564"/>
  <c r="R24" i="1564"/>
  <c r="D24" i="1564"/>
  <c r="R23" i="1564"/>
  <c r="R22" i="1564"/>
  <c r="L22" i="1564"/>
  <c r="D22" i="1564" s="1"/>
  <c r="R21" i="1564"/>
  <c r="D21" i="1564"/>
  <c r="R20" i="1564"/>
  <c r="L20" i="1564"/>
  <c r="D20" i="1564" s="1"/>
  <c r="R19" i="1564"/>
  <c r="R18" i="1564"/>
  <c r="D18" i="1564"/>
  <c r="R17" i="1564"/>
  <c r="D17" i="1564"/>
  <c r="R16" i="1564"/>
  <c r="R15" i="1564"/>
  <c r="D15" i="1564"/>
  <c r="R14" i="1564"/>
  <c r="D14" i="1564"/>
  <c r="R13" i="1564"/>
  <c r="D13" i="1564"/>
  <c r="R12" i="1564"/>
  <c r="L12" i="1564"/>
  <c r="D12" i="1564"/>
  <c r="R11" i="1564"/>
  <c r="L11" i="1564"/>
  <c r="D11" i="1564"/>
  <c r="L9" i="1564"/>
  <c r="D9" i="1564"/>
  <c r="R6" i="1564"/>
  <c r="L6" i="1564"/>
  <c r="D6" i="1564" s="1"/>
  <c r="R5" i="1564"/>
  <c r="R4" i="1564"/>
  <c r="R52" i="1563"/>
  <c r="R51" i="1563"/>
  <c r="D50" i="1563"/>
  <c r="R49" i="1563"/>
  <c r="D49" i="1563"/>
  <c r="R48" i="1563"/>
  <c r="D48" i="1563"/>
  <c r="D46" i="1563"/>
  <c r="D45" i="1563"/>
  <c r="D44" i="1563"/>
  <c r="R42" i="1563"/>
  <c r="L6" i="1563" s="1"/>
  <c r="D6" i="1563" s="1"/>
  <c r="D42" i="1563"/>
  <c r="R41" i="1563"/>
  <c r="L7" i="1563" s="1"/>
  <c r="D7" i="1563" s="1"/>
  <c r="D41" i="1563"/>
  <c r="R40" i="1563"/>
  <c r="D40" i="1563"/>
  <c r="R39" i="1563"/>
  <c r="L20" i="1563" s="1"/>
  <c r="D20" i="1563" s="1"/>
  <c r="H39" i="1563"/>
  <c r="D39" i="1563"/>
  <c r="R38" i="1563"/>
  <c r="H38" i="1563"/>
  <c r="D38" i="1563"/>
  <c r="R37" i="1563"/>
  <c r="H37" i="1563"/>
  <c r="D37" i="1563"/>
  <c r="R36" i="1563"/>
  <c r="H36" i="1563"/>
  <c r="D36" i="1563"/>
  <c r="R35" i="1563"/>
  <c r="L19" i="1563" s="1"/>
  <c r="D19" i="1563" s="1"/>
  <c r="H35" i="1563"/>
  <c r="D35" i="1563"/>
  <c r="R34" i="1563"/>
  <c r="L12" i="1563" s="1"/>
  <c r="D12" i="1563" s="1"/>
  <c r="H34" i="1563"/>
  <c r="D34" i="1563"/>
  <c r="R33" i="1563"/>
  <c r="R32" i="1563"/>
  <c r="R31" i="1563"/>
  <c r="R30" i="1563"/>
  <c r="R29" i="1563"/>
  <c r="R28" i="1563"/>
  <c r="D28" i="1563"/>
  <c r="R27" i="1563"/>
  <c r="D27" i="1563"/>
  <c r="R26" i="1563"/>
  <c r="L26" i="1563"/>
  <c r="D26" i="1563" s="1"/>
  <c r="R25" i="1563"/>
  <c r="D25" i="1563"/>
  <c r="R24" i="1563"/>
  <c r="L24" i="1563"/>
  <c r="D24" i="1563"/>
  <c r="R23" i="1563"/>
  <c r="L23" i="1563"/>
  <c r="D23" i="1563"/>
  <c r="R22" i="1563"/>
  <c r="L22" i="1563"/>
  <c r="D22" i="1563"/>
  <c r="R21" i="1563"/>
  <c r="L17" i="1563" s="1"/>
  <c r="D17" i="1563" s="1"/>
  <c r="D21" i="1563"/>
  <c r="R20" i="1563"/>
  <c r="R19" i="1563"/>
  <c r="R18" i="1563"/>
  <c r="D18" i="1563"/>
  <c r="R17" i="1563"/>
  <c r="R16" i="1563"/>
  <c r="L16" i="1563"/>
  <c r="D16" i="1563"/>
  <c r="R15" i="1563"/>
  <c r="D15" i="1563"/>
  <c r="R14" i="1563"/>
  <c r="D14" i="1563"/>
  <c r="R13" i="1563"/>
  <c r="D13" i="1563"/>
  <c r="R12" i="1563"/>
  <c r="R11" i="1563"/>
  <c r="L11" i="1563"/>
  <c r="D11" i="1563"/>
  <c r="L10" i="1563"/>
  <c r="D10" i="1563"/>
  <c r="L9" i="1563"/>
  <c r="D9" i="1563" s="1"/>
  <c r="L8" i="1563"/>
  <c r="D8" i="1563"/>
  <c r="R6" i="1563"/>
  <c r="R5" i="1563"/>
  <c r="R4" i="1563"/>
  <c r="R52" i="1562"/>
  <c r="R51" i="1562"/>
  <c r="D50" i="1562"/>
  <c r="R49" i="1562"/>
  <c r="D49" i="1562"/>
  <c r="R48" i="1562"/>
  <c r="D48" i="1562"/>
  <c r="D46" i="1562"/>
  <c r="D45" i="1562"/>
  <c r="P44" i="1562"/>
  <c r="R44" i="1562" s="1"/>
  <c r="D44" i="1562"/>
  <c r="R42" i="1562"/>
  <c r="L6" i="1562" s="1"/>
  <c r="D6" i="1562" s="1"/>
  <c r="D42" i="1562"/>
  <c r="R41" i="1562"/>
  <c r="D41" i="1562"/>
  <c r="R40" i="1562"/>
  <c r="L8" i="1562" s="1"/>
  <c r="D8" i="1562" s="1"/>
  <c r="D40" i="1562"/>
  <c r="R39" i="1562"/>
  <c r="H39" i="1562"/>
  <c r="D39" i="1562"/>
  <c r="R38" i="1562"/>
  <c r="H38" i="1562"/>
  <c r="D38" i="1562"/>
  <c r="R37" i="1562"/>
  <c r="H37" i="1562"/>
  <c r="D37" i="1562"/>
  <c r="R36" i="1562"/>
  <c r="H36" i="1562"/>
  <c r="D36" i="1562"/>
  <c r="R35" i="1562"/>
  <c r="H35" i="1562"/>
  <c r="D35" i="1562"/>
  <c r="R34" i="1562"/>
  <c r="H34" i="1562"/>
  <c r="D34" i="1562"/>
  <c r="R33" i="1562"/>
  <c r="R32" i="1562"/>
  <c r="R31" i="1562"/>
  <c r="R30" i="1562"/>
  <c r="R29" i="1562"/>
  <c r="R28" i="1562"/>
  <c r="D28" i="1562"/>
  <c r="R27" i="1562"/>
  <c r="D27" i="1562"/>
  <c r="R26" i="1562"/>
  <c r="L26" i="1562"/>
  <c r="D26" i="1562" s="1"/>
  <c r="R25" i="1562"/>
  <c r="L25" i="1562"/>
  <c r="D25" i="1562" s="1"/>
  <c r="R24" i="1562"/>
  <c r="L24" i="1562"/>
  <c r="D24" i="1562"/>
  <c r="R23" i="1562"/>
  <c r="D23" i="1562"/>
  <c r="R22" i="1562"/>
  <c r="D22" i="1562"/>
  <c r="R21" i="1562"/>
  <c r="D21" i="1562"/>
  <c r="R20" i="1562"/>
  <c r="L20" i="1562"/>
  <c r="D20" i="1562" s="1"/>
  <c r="R19" i="1562"/>
  <c r="D19" i="1562"/>
  <c r="R18" i="1562"/>
  <c r="D18" i="1562"/>
  <c r="R17" i="1562"/>
  <c r="L17" i="1562"/>
  <c r="D17" i="1562"/>
  <c r="R16" i="1562"/>
  <c r="L16" i="1562"/>
  <c r="D16" i="1562"/>
  <c r="R15" i="1562"/>
  <c r="D15" i="1562"/>
  <c r="R14" i="1562"/>
  <c r="D14" i="1562"/>
  <c r="R13" i="1562"/>
  <c r="D13" i="1562"/>
  <c r="R12" i="1562"/>
  <c r="L12" i="1562"/>
  <c r="D12" i="1562" s="1"/>
  <c r="R11" i="1562"/>
  <c r="L11" i="1562"/>
  <c r="D11" i="1562" s="1"/>
  <c r="L10" i="1562"/>
  <c r="D10" i="1562" s="1"/>
  <c r="L9" i="1562"/>
  <c r="D9" i="1562" s="1"/>
  <c r="L7" i="1562"/>
  <c r="D7" i="1562" s="1"/>
  <c r="R6" i="1562"/>
  <c r="R5" i="1562"/>
  <c r="R4" i="1562"/>
  <c r="R52" i="1561"/>
  <c r="R51" i="1561"/>
  <c r="D50" i="1561"/>
  <c r="R49" i="1561"/>
  <c r="G49" i="1561"/>
  <c r="D49" i="1561"/>
  <c r="R48" i="1561"/>
  <c r="D48" i="1561"/>
  <c r="D46" i="1561"/>
  <c r="D45" i="1561"/>
  <c r="D44" i="1561"/>
  <c r="R42" i="1561"/>
  <c r="L6" i="1561" s="1"/>
  <c r="D6" i="1561" s="1"/>
  <c r="D42" i="1561"/>
  <c r="R41" i="1561"/>
  <c r="L7" i="1561" s="1"/>
  <c r="D7" i="1561" s="1"/>
  <c r="D41" i="1561"/>
  <c r="R40" i="1561"/>
  <c r="D40" i="1561"/>
  <c r="R39" i="1561"/>
  <c r="D39" i="1561"/>
  <c r="R38" i="1561"/>
  <c r="D38" i="1561"/>
  <c r="R37" i="1561"/>
  <c r="D37" i="1561"/>
  <c r="R36" i="1561"/>
  <c r="L10" i="1561" s="1"/>
  <c r="D10" i="1561" s="1"/>
  <c r="D36" i="1561"/>
  <c r="R35" i="1561"/>
  <c r="D35" i="1561"/>
  <c r="R34" i="1561"/>
  <c r="L12" i="1561" s="1"/>
  <c r="D12" i="1561" s="1"/>
  <c r="D34" i="1561"/>
  <c r="D54" i="1561" s="1"/>
  <c r="H14" i="1561" s="1"/>
  <c r="R33" i="1561"/>
  <c r="L23" i="1561" s="1"/>
  <c r="D23" i="1561" s="1"/>
  <c r="R32" i="1561"/>
  <c r="R31" i="1561"/>
  <c r="R30" i="1561"/>
  <c r="R29" i="1561"/>
  <c r="R28" i="1561"/>
  <c r="L16" i="1561" s="1"/>
  <c r="D16" i="1561" s="1"/>
  <c r="D28" i="1561"/>
  <c r="R27" i="1561"/>
  <c r="D27" i="1561"/>
  <c r="R26" i="1561"/>
  <c r="L26" i="1561"/>
  <c r="D26" i="1561"/>
  <c r="R25" i="1561"/>
  <c r="L25" i="1561"/>
  <c r="D25" i="1561"/>
  <c r="R24" i="1561"/>
  <c r="D24" i="1561"/>
  <c r="R23" i="1561"/>
  <c r="R22" i="1561"/>
  <c r="L22" i="1561"/>
  <c r="D22" i="1561"/>
  <c r="R21" i="1561"/>
  <c r="D21" i="1561"/>
  <c r="R20" i="1561"/>
  <c r="L20" i="1561"/>
  <c r="D20" i="1561"/>
  <c r="R19" i="1561"/>
  <c r="L19" i="1561"/>
  <c r="D19" i="1561"/>
  <c r="R18" i="1561"/>
  <c r="D18" i="1561"/>
  <c r="R17" i="1561"/>
  <c r="D17" i="1561"/>
  <c r="R16" i="1561"/>
  <c r="S15" i="1561"/>
  <c r="R15" i="1561"/>
  <c r="D15" i="1561"/>
  <c r="S14" i="1561"/>
  <c r="R14" i="1561"/>
  <c r="D14" i="1561"/>
  <c r="R13" i="1561"/>
  <c r="D13" i="1561"/>
  <c r="R12" i="1561"/>
  <c r="R11" i="1561"/>
  <c r="L11" i="1561"/>
  <c r="D11" i="1561"/>
  <c r="L9" i="1561"/>
  <c r="D9" i="1561"/>
  <c r="L8" i="1561"/>
  <c r="D8" i="1561"/>
  <c r="R6" i="1561"/>
  <c r="R5" i="1561"/>
  <c r="R4" i="1561"/>
  <c r="R52" i="1560"/>
  <c r="R51" i="1560"/>
  <c r="D50" i="1560"/>
  <c r="R49" i="1560"/>
  <c r="D49" i="1560"/>
  <c r="R48" i="1560"/>
  <c r="D48" i="1560"/>
  <c r="D46" i="1560"/>
  <c r="D45" i="1560"/>
  <c r="D44" i="1560"/>
  <c r="R42" i="1560"/>
  <c r="L6" i="1560" s="1"/>
  <c r="D6" i="1560" s="1"/>
  <c r="D42" i="1560"/>
  <c r="R41" i="1560"/>
  <c r="L7" i="1560" s="1"/>
  <c r="D7" i="1560" s="1"/>
  <c r="D41" i="1560"/>
  <c r="R40" i="1560"/>
  <c r="D40" i="1560"/>
  <c r="R39" i="1560"/>
  <c r="H39" i="1560"/>
  <c r="D39" i="1560"/>
  <c r="R38" i="1560"/>
  <c r="H38" i="1560"/>
  <c r="D38" i="1560"/>
  <c r="R37" i="1560"/>
  <c r="H37" i="1560"/>
  <c r="D37" i="1560"/>
  <c r="R36" i="1560"/>
  <c r="H36" i="1560"/>
  <c r="D36" i="1560"/>
  <c r="R35" i="1560"/>
  <c r="L19" i="1560" s="1"/>
  <c r="D19" i="1560" s="1"/>
  <c r="H35" i="1560"/>
  <c r="D35" i="1560"/>
  <c r="R34" i="1560"/>
  <c r="H34" i="1560"/>
  <c r="D34" i="1560"/>
  <c r="R33" i="1560"/>
  <c r="L23" i="1560" s="1"/>
  <c r="D23" i="1560" s="1"/>
  <c r="R32" i="1560"/>
  <c r="R31" i="1560"/>
  <c r="R30" i="1560"/>
  <c r="R29" i="1560"/>
  <c r="R28" i="1560"/>
  <c r="D28" i="1560"/>
  <c r="R27" i="1560"/>
  <c r="D27" i="1560"/>
  <c r="R26" i="1560"/>
  <c r="L26" i="1560"/>
  <c r="D26" i="1560"/>
  <c r="R25" i="1560"/>
  <c r="L25" i="1560"/>
  <c r="D25" i="1560"/>
  <c r="R24" i="1560"/>
  <c r="D24" i="1560"/>
  <c r="R23" i="1560"/>
  <c r="R22" i="1560"/>
  <c r="L22" i="1560"/>
  <c r="D22" i="1560"/>
  <c r="R21" i="1560"/>
  <c r="D21" i="1560"/>
  <c r="R20" i="1560"/>
  <c r="L20" i="1560"/>
  <c r="D20" i="1560"/>
  <c r="R19" i="1560"/>
  <c r="R18" i="1560"/>
  <c r="D18" i="1560"/>
  <c r="R17" i="1560"/>
  <c r="D17" i="1560"/>
  <c r="R16" i="1560"/>
  <c r="L16" i="1560"/>
  <c r="D16" i="1560" s="1"/>
  <c r="R15" i="1560"/>
  <c r="D15" i="1560"/>
  <c r="R14" i="1560"/>
  <c r="D14" i="1560"/>
  <c r="R13" i="1560"/>
  <c r="D13" i="1560"/>
  <c r="R12" i="1560"/>
  <c r="L12" i="1560"/>
  <c r="D12" i="1560"/>
  <c r="R11" i="1560"/>
  <c r="L11" i="1560"/>
  <c r="D11" i="1560"/>
  <c r="L10" i="1560"/>
  <c r="D10" i="1560"/>
  <c r="L9" i="1560"/>
  <c r="D9" i="1560"/>
  <c r="L8" i="1560"/>
  <c r="D8" i="1560"/>
  <c r="R6" i="1560"/>
  <c r="R5" i="1560"/>
  <c r="R4" i="1560"/>
  <c r="R52" i="1559"/>
  <c r="R51" i="1559"/>
  <c r="D50" i="1559"/>
  <c r="R49" i="1559"/>
  <c r="D49" i="1559"/>
  <c r="R48" i="1559"/>
  <c r="D48" i="1559"/>
  <c r="D46" i="1559"/>
  <c r="D45" i="1559"/>
  <c r="D44" i="1559"/>
  <c r="R42" i="1559"/>
  <c r="D42" i="1559"/>
  <c r="R41" i="1559"/>
  <c r="L7" i="1559" s="1"/>
  <c r="D7" i="1559" s="1"/>
  <c r="D41" i="1559"/>
  <c r="R40" i="1559"/>
  <c r="D40" i="1559"/>
  <c r="R39" i="1559"/>
  <c r="H39" i="1559"/>
  <c r="D39" i="1559"/>
  <c r="R38" i="1559"/>
  <c r="H38" i="1559"/>
  <c r="D38" i="1559"/>
  <c r="R37" i="1559"/>
  <c r="H37" i="1559"/>
  <c r="D37" i="1559"/>
  <c r="R36" i="1559"/>
  <c r="L10" i="1559" s="1"/>
  <c r="D10" i="1559" s="1"/>
  <c r="H36" i="1559"/>
  <c r="D36" i="1559"/>
  <c r="R35" i="1559"/>
  <c r="L19" i="1559" s="1"/>
  <c r="D19" i="1559" s="1"/>
  <c r="H35" i="1559"/>
  <c r="D35" i="1559"/>
  <c r="R34" i="1559"/>
  <c r="H34" i="1559"/>
  <c r="D34" i="1559"/>
  <c r="R33" i="1559"/>
  <c r="L23" i="1559" s="1"/>
  <c r="D23" i="1559" s="1"/>
  <c r="R32" i="1559"/>
  <c r="R31" i="1559"/>
  <c r="R30" i="1559"/>
  <c r="R29" i="1559"/>
  <c r="R28" i="1559"/>
  <c r="L16" i="1559" s="1"/>
  <c r="D16" i="1559" s="1"/>
  <c r="D28" i="1559"/>
  <c r="R27" i="1559"/>
  <c r="D27" i="1559"/>
  <c r="R26" i="1559"/>
  <c r="L26" i="1559"/>
  <c r="D26" i="1559" s="1"/>
  <c r="R25" i="1559"/>
  <c r="D25" i="1559"/>
  <c r="R24" i="1559"/>
  <c r="L24" i="1559"/>
  <c r="D24" i="1559"/>
  <c r="R23" i="1559"/>
  <c r="R22" i="1559"/>
  <c r="L22" i="1559"/>
  <c r="D22" i="1559"/>
  <c r="R21" i="1559"/>
  <c r="L17" i="1559" s="1"/>
  <c r="D17" i="1559" s="1"/>
  <c r="D21" i="1559"/>
  <c r="R20" i="1559"/>
  <c r="L20" i="1559"/>
  <c r="D20" i="1559"/>
  <c r="R19" i="1559"/>
  <c r="R18" i="1559"/>
  <c r="D18" i="1559"/>
  <c r="R17" i="1559"/>
  <c r="R16" i="1559"/>
  <c r="R15" i="1559"/>
  <c r="D15" i="1559"/>
  <c r="R14" i="1559"/>
  <c r="D14" i="1559"/>
  <c r="R13" i="1559"/>
  <c r="D13" i="1559"/>
  <c r="R12" i="1559"/>
  <c r="L12" i="1559"/>
  <c r="D12" i="1559" s="1"/>
  <c r="R11" i="1559"/>
  <c r="L11" i="1559"/>
  <c r="D11" i="1559" s="1"/>
  <c r="L9" i="1559"/>
  <c r="D9" i="1559"/>
  <c r="L8" i="1559"/>
  <c r="D8" i="1559"/>
  <c r="R6" i="1559"/>
  <c r="L6" i="1559"/>
  <c r="D6" i="1559" s="1"/>
  <c r="R5" i="1559"/>
  <c r="R4" i="1559"/>
  <c r="R52" i="1558"/>
  <c r="R51" i="1558"/>
  <c r="D50" i="1558"/>
  <c r="R49" i="1558"/>
  <c r="D49" i="1558"/>
  <c r="R48" i="1558"/>
  <c r="D48" i="1558"/>
  <c r="D46" i="1558"/>
  <c r="D45" i="1558"/>
  <c r="P44" i="1558"/>
  <c r="R44" i="1558" s="1"/>
  <c r="D44" i="1558"/>
  <c r="R42" i="1558"/>
  <c r="L6" i="1558" s="1"/>
  <c r="D6" i="1558" s="1"/>
  <c r="D42" i="1558"/>
  <c r="R41" i="1558"/>
  <c r="L7" i="1558" s="1"/>
  <c r="D7" i="1558" s="1"/>
  <c r="D41" i="1558"/>
  <c r="R40" i="1558"/>
  <c r="D40" i="1558"/>
  <c r="R39" i="1558"/>
  <c r="L20" i="1558" s="1"/>
  <c r="D20" i="1558" s="1"/>
  <c r="H39" i="1558"/>
  <c r="D39" i="1558"/>
  <c r="R38" i="1558"/>
  <c r="H38" i="1558"/>
  <c r="D38" i="1558"/>
  <c r="R37" i="1558"/>
  <c r="H37" i="1558"/>
  <c r="D37" i="1558"/>
  <c r="R36" i="1558"/>
  <c r="L10" i="1558" s="1"/>
  <c r="D10" i="1558" s="1"/>
  <c r="H36" i="1558"/>
  <c r="D36" i="1558"/>
  <c r="R35" i="1558"/>
  <c r="H35" i="1558"/>
  <c r="D35" i="1558"/>
  <c r="R34" i="1558"/>
  <c r="H34" i="1558"/>
  <c r="D34" i="1558"/>
  <c r="R33" i="1558"/>
  <c r="R32" i="1558"/>
  <c r="L11" i="1558" s="1"/>
  <c r="D11" i="1558" s="1"/>
  <c r="R31" i="1558"/>
  <c r="R30" i="1558"/>
  <c r="R29" i="1558"/>
  <c r="R28" i="1558"/>
  <c r="L16" i="1558" s="1"/>
  <c r="D16" i="1558" s="1"/>
  <c r="D28" i="1558"/>
  <c r="R27" i="1558"/>
  <c r="D27" i="1558"/>
  <c r="R26" i="1558"/>
  <c r="L26" i="1558"/>
  <c r="D26" i="1558"/>
  <c r="R25" i="1558"/>
  <c r="L25" i="1558"/>
  <c r="D25" i="1558"/>
  <c r="R24" i="1558"/>
  <c r="L24" i="1558"/>
  <c r="D24" i="1558"/>
  <c r="R23" i="1558"/>
  <c r="D23" i="1558"/>
  <c r="R22" i="1558"/>
  <c r="D22" i="1558"/>
  <c r="R21" i="1558"/>
  <c r="D21" i="1558"/>
  <c r="R20" i="1558"/>
  <c r="R19" i="1558"/>
  <c r="D19" i="1558"/>
  <c r="R18" i="1558"/>
  <c r="D18" i="1558"/>
  <c r="R17" i="1558"/>
  <c r="L17" i="1558"/>
  <c r="D17" i="1558"/>
  <c r="R16" i="1558"/>
  <c r="R15" i="1558"/>
  <c r="D15" i="1558"/>
  <c r="R14" i="1558"/>
  <c r="D14" i="1558"/>
  <c r="R13" i="1558"/>
  <c r="D13" i="1558"/>
  <c r="R12" i="1558"/>
  <c r="L12" i="1558"/>
  <c r="D12" i="1558" s="1"/>
  <c r="R11" i="1558"/>
  <c r="L9" i="1558"/>
  <c r="D9" i="1558"/>
  <c r="L8" i="1558"/>
  <c r="D8" i="1558" s="1"/>
  <c r="R6" i="1558"/>
  <c r="R5" i="1558"/>
  <c r="R4" i="1558"/>
  <c r="R52" i="1557"/>
  <c r="R51" i="1557"/>
  <c r="D50" i="1557"/>
  <c r="R49" i="1557"/>
  <c r="G49" i="1557"/>
  <c r="D49" i="1557"/>
  <c r="R48" i="1557"/>
  <c r="D48" i="1557"/>
  <c r="D46" i="1557"/>
  <c r="D45" i="1557"/>
  <c r="D44" i="1557"/>
  <c r="R42" i="1557"/>
  <c r="D42" i="1557"/>
  <c r="R41" i="1557"/>
  <c r="L7" i="1557" s="1"/>
  <c r="D7" i="1557" s="1"/>
  <c r="D41" i="1557"/>
  <c r="R40" i="1557"/>
  <c r="L8" i="1557" s="1"/>
  <c r="D8" i="1557" s="1"/>
  <c r="D40" i="1557"/>
  <c r="R39" i="1557"/>
  <c r="D39" i="1557"/>
  <c r="R38" i="1557"/>
  <c r="L9" i="1557" s="1"/>
  <c r="D9" i="1557" s="1"/>
  <c r="D38" i="1557"/>
  <c r="R37" i="1557"/>
  <c r="D37" i="1557"/>
  <c r="R36" i="1557"/>
  <c r="D36" i="1557"/>
  <c r="R35" i="1557"/>
  <c r="D35" i="1557"/>
  <c r="R34" i="1557"/>
  <c r="D34" i="1557"/>
  <c r="D54" i="1557" s="1"/>
  <c r="H14" i="1557" s="1"/>
  <c r="R33" i="1557"/>
  <c r="L23" i="1557" s="1"/>
  <c r="D23" i="1557" s="1"/>
  <c r="R32" i="1557"/>
  <c r="R31" i="1557"/>
  <c r="R30" i="1557"/>
  <c r="R29" i="1557"/>
  <c r="R28" i="1557"/>
  <c r="D28" i="1557"/>
  <c r="R27" i="1557"/>
  <c r="D27" i="1557"/>
  <c r="R26" i="1557"/>
  <c r="L26" i="1557"/>
  <c r="D26" i="1557" s="1"/>
  <c r="R25" i="1557"/>
  <c r="L25" i="1557"/>
  <c r="D25" i="1557"/>
  <c r="R24" i="1557"/>
  <c r="D24" i="1557"/>
  <c r="R23" i="1557"/>
  <c r="R22" i="1557"/>
  <c r="L22" i="1557"/>
  <c r="D22" i="1557"/>
  <c r="R21" i="1557"/>
  <c r="D21" i="1557"/>
  <c r="R20" i="1557"/>
  <c r="L20" i="1557"/>
  <c r="D20" i="1557"/>
  <c r="R19" i="1557"/>
  <c r="L19" i="1557"/>
  <c r="D19" i="1557"/>
  <c r="R18" i="1557"/>
  <c r="D18" i="1557"/>
  <c r="R17" i="1557"/>
  <c r="D17" i="1557"/>
  <c r="R16" i="1557"/>
  <c r="L16" i="1557"/>
  <c r="D16" i="1557" s="1"/>
  <c r="S15" i="1557"/>
  <c r="R15" i="1557"/>
  <c r="D15" i="1557"/>
  <c r="S14" i="1557"/>
  <c r="R14" i="1557"/>
  <c r="D14" i="1557"/>
  <c r="R13" i="1557"/>
  <c r="D13" i="1557"/>
  <c r="R12" i="1557"/>
  <c r="L12" i="1557"/>
  <c r="D12" i="1557" s="1"/>
  <c r="R11" i="1557"/>
  <c r="L11" i="1557"/>
  <c r="D11" i="1557"/>
  <c r="L10" i="1557"/>
  <c r="D10" i="1557" s="1"/>
  <c r="R6" i="1557"/>
  <c r="L6" i="1557"/>
  <c r="D6" i="1557"/>
  <c r="R5" i="1557"/>
  <c r="R4" i="1557"/>
  <c r="R52" i="1556"/>
  <c r="R51" i="1556"/>
  <c r="D50" i="1556"/>
  <c r="R49" i="1556"/>
  <c r="D49" i="1556"/>
  <c r="R48" i="1556"/>
  <c r="D48" i="1556"/>
  <c r="D46" i="1556"/>
  <c r="D45" i="1556"/>
  <c r="D44" i="1556"/>
  <c r="R42" i="1556"/>
  <c r="D42" i="1556"/>
  <c r="R41" i="1556"/>
  <c r="D41" i="1556"/>
  <c r="R40" i="1556"/>
  <c r="L8" i="1556" s="1"/>
  <c r="D8" i="1556" s="1"/>
  <c r="D40" i="1556"/>
  <c r="R39" i="1556"/>
  <c r="H39" i="1556"/>
  <c r="D39" i="1556"/>
  <c r="R38" i="1556"/>
  <c r="H38" i="1556"/>
  <c r="D38" i="1556"/>
  <c r="R37" i="1556"/>
  <c r="H37" i="1556"/>
  <c r="D37" i="1556"/>
  <c r="R36" i="1556"/>
  <c r="H36" i="1556"/>
  <c r="D36" i="1556"/>
  <c r="R35" i="1556"/>
  <c r="L19" i="1556" s="1"/>
  <c r="D19" i="1556" s="1"/>
  <c r="H35" i="1556"/>
  <c r="D35" i="1556"/>
  <c r="R34" i="1556"/>
  <c r="L12" i="1556" s="1"/>
  <c r="D12" i="1556" s="1"/>
  <c r="H34" i="1556"/>
  <c r="D34" i="1556"/>
  <c r="R33" i="1556"/>
  <c r="L23" i="1556" s="1"/>
  <c r="D23" i="1556" s="1"/>
  <c r="R32" i="1556"/>
  <c r="R31" i="1556"/>
  <c r="R30" i="1556"/>
  <c r="R29" i="1556"/>
  <c r="R28" i="1556"/>
  <c r="L16" i="1556" s="1"/>
  <c r="D16" i="1556" s="1"/>
  <c r="D28" i="1556"/>
  <c r="R27" i="1556"/>
  <c r="D27" i="1556"/>
  <c r="R26" i="1556"/>
  <c r="L26" i="1556"/>
  <c r="D26" i="1556"/>
  <c r="R25" i="1556"/>
  <c r="L25" i="1556"/>
  <c r="D25" i="1556"/>
  <c r="R24" i="1556"/>
  <c r="D24" i="1556"/>
  <c r="R23" i="1556"/>
  <c r="R22" i="1556"/>
  <c r="L22" i="1556"/>
  <c r="D22" i="1556"/>
  <c r="R21" i="1556"/>
  <c r="D21" i="1556"/>
  <c r="R20" i="1556"/>
  <c r="L20" i="1556"/>
  <c r="D20" i="1556"/>
  <c r="R19" i="1556"/>
  <c r="R18" i="1556"/>
  <c r="D18" i="1556"/>
  <c r="R17" i="1556"/>
  <c r="D17" i="1556"/>
  <c r="R16" i="1556"/>
  <c r="R15" i="1556"/>
  <c r="D15" i="1556"/>
  <c r="R14" i="1556"/>
  <c r="D14" i="1556"/>
  <c r="R13" i="1556"/>
  <c r="D13" i="1556"/>
  <c r="R12" i="1556"/>
  <c r="R11" i="1556"/>
  <c r="L11" i="1556"/>
  <c r="D11" i="1556" s="1"/>
  <c r="L10" i="1556"/>
  <c r="D10" i="1556"/>
  <c r="L9" i="1556"/>
  <c r="D9" i="1556"/>
  <c r="L7" i="1556"/>
  <c r="D7" i="1556" s="1"/>
  <c r="R6" i="1556"/>
  <c r="L6" i="1556"/>
  <c r="D6" i="1556" s="1"/>
  <c r="R5" i="1556"/>
  <c r="R4" i="1556"/>
  <c r="R52" i="1555"/>
  <c r="R51" i="1555"/>
  <c r="D50" i="1555"/>
  <c r="R49" i="1555"/>
  <c r="D49" i="1555"/>
  <c r="R48" i="1555"/>
  <c r="D48" i="1555"/>
  <c r="D46" i="1555"/>
  <c r="D45" i="1555"/>
  <c r="D44" i="1555"/>
  <c r="R42" i="1555"/>
  <c r="L6" i="1555" s="1"/>
  <c r="D6" i="1555" s="1"/>
  <c r="D42" i="1555"/>
  <c r="R41" i="1555"/>
  <c r="D41" i="1555"/>
  <c r="R40" i="1555"/>
  <c r="D40" i="1555"/>
  <c r="R39" i="1555"/>
  <c r="H39" i="1555"/>
  <c r="D39" i="1555"/>
  <c r="R38" i="1555"/>
  <c r="H38" i="1555"/>
  <c r="D38" i="1555"/>
  <c r="R37" i="1555"/>
  <c r="H37" i="1555"/>
  <c r="D37" i="1555"/>
  <c r="R36" i="1555"/>
  <c r="L10" i="1555" s="1"/>
  <c r="D10" i="1555" s="1"/>
  <c r="H36" i="1555"/>
  <c r="D36" i="1555"/>
  <c r="R35" i="1555"/>
  <c r="H35" i="1555"/>
  <c r="D35" i="1555"/>
  <c r="R34" i="1555"/>
  <c r="L12" i="1555" s="1"/>
  <c r="D12" i="1555" s="1"/>
  <c r="H34" i="1555"/>
  <c r="D34" i="1555"/>
  <c r="R33" i="1555"/>
  <c r="R32" i="1555"/>
  <c r="R31" i="1555"/>
  <c r="R30" i="1555"/>
  <c r="R29" i="1555"/>
  <c r="R28" i="1555"/>
  <c r="D28" i="1555"/>
  <c r="R27" i="1555"/>
  <c r="D27" i="1555"/>
  <c r="R26" i="1555"/>
  <c r="L26" i="1555"/>
  <c r="D26" i="1555"/>
  <c r="R25" i="1555"/>
  <c r="D25" i="1555"/>
  <c r="R24" i="1555"/>
  <c r="L24" i="1555"/>
  <c r="D24" i="1555"/>
  <c r="R23" i="1555"/>
  <c r="L23" i="1555"/>
  <c r="D23" i="1555" s="1"/>
  <c r="R22" i="1555"/>
  <c r="L22" i="1555"/>
  <c r="D22" i="1555" s="1"/>
  <c r="R21" i="1555"/>
  <c r="D21" i="1555"/>
  <c r="R20" i="1555"/>
  <c r="L20" i="1555"/>
  <c r="D20" i="1555" s="1"/>
  <c r="R19" i="1555"/>
  <c r="L19" i="1555"/>
  <c r="D19" i="1555" s="1"/>
  <c r="R18" i="1555"/>
  <c r="D18" i="1555"/>
  <c r="R17" i="1555"/>
  <c r="L17" i="1555"/>
  <c r="D17" i="1555" s="1"/>
  <c r="R16" i="1555"/>
  <c r="L16" i="1555"/>
  <c r="D16" i="1555" s="1"/>
  <c r="R15" i="1555"/>
  <c r="D15" i="1555"/>
  <c r="R14" i="1555"/>
  <c r="D14" i="1555"/>
  <c r="R13" i="1555"/>
  <c r="D13" i="1555"/>
  <c r="R12" i="1555"/>
  <c r="R11" i="1555"/>
  <c r="L11" i="1555"/>
  <c r="D11" i="1555"/>
  <c r="L9" i="1555"/>
  <c r="D9" i="1555"/>
  <c r="L8" i="1555"/>
  <c r="D8" i="1555" s="1"/>
  <c r="L7" i="1555"/>
  <c r="D7" i="1555"/>
  <c r="R6" i="1555"/>
  <c r="R5" i="1555"/>
  <c r="R4" i="1555"/>
  <c r="R52" i="1554"/>
  <c r="R51" i="1554"/>
  <c r="D50" i="1554"/>
  <c r="R49" i="1554"/>
  <c r="D49" i="1554"/>
  <c r="R48" i="1554"/>
  <c r="D48" i="1554"/>
  <c r="D46" i="1554"/>
  <c r="D45" i="1554"/>
  <c r="P44" i="1554"/>
  <c r="R44" i="1554" s="1"/>
  <c r="D44" i="1554"/>
  <c r="R42" i="1554"/>
  <c r="L6" i="1554" s="1"/>
  <c r="D6" i="1554" s="1"/>
  <c r="D42" i="1554"/>
  <c r="R41" i="1554"/>
  <c r="D41" i="1554"/>
  <c r="R40" i="1554"/>
  <c r="D40" i="1554"/>
  <c r="R39" i="1554"/>
  <c r="L20" i="1554" s="1"/>
  <c r="D20" i="1554" s="1"/>
  <c r="H39" i="1554"/>
  <c r="D39" i="1554"/>
  <c r="R38" i="1554"/>
  <c r="L9" i="1554" s="1"/>
  <c r="D9" i="1554" s="1"/>
  <c r="H38" i="1554"/>
  <c r="D38" i="1554"/>
  <c r="R37" i="1554"/>
  <c r="H37" i="1554"/>
  <c r="D37" i="1554"/>
  <c r="R36" i="1554"/>
  <c r="H36" i="1554"/>
  <c r="D36" i="1554"/>
  <c r="R35" i="1554"/>
  <c r="H35" i="1554"/>
  <c r="D35" i="1554"/>
  <c r="R34" i="1554"/>
  <c r="H34" i="1554"/>
  <c r="D34" i="1554"/>
  <c r="R33" i="1554"/>
  <c r="R32" i="1554"/>
  <c r="L11" i="1554" s="1"/>
  <c r="D11" i="1554" s="1"/>
  <c r="R31" i="1554"/>
  <c r="R30" i="1554"/>
  <c r="R29" i="1554"/>
  <c r="R28" i="1554"/>
  <c r="D28" i="1554"/>
  <c r="R27" i="1554"/>
  <c r="D27" i="1554"/>
  <c r="R26" i="1554"/>
  <c r="L26" i="1554"/>
  <c r="D26" i="1554"/>
  <c r="R25" i="1554"/>
  <c r="L25" i="1554"/>
  <c r="D25" i="1554"/>
  <c r="R24" i="1554"/>
  <c r="L24" i="1554"/>
  <c r="D24" i="1554"/>
  <c r="R23" i="1554"/>
  <c r="D23" i="1554"/>
  <c r="R22" i="1554"/>
  <c r="D22" i="1554"/>
  <c r="R21" i="1554"/>
  <c r="D21" i="1554"/>
  <c r="R20" i="1554"/>
  <c r="R19" i="1554"/>
  <c r="D19" i="1554"/>
  <c r="R18" i="1554"/>
  <c r="D18" i="1554"/>
  <c r="R17" i="1554"/>
  <c r="L17" i="1554"/>
  <c r="D17" i="1554"/>
  <c r="R16" i="1554"/>
  <c r="L16" i="1554"/>
  <c r="D16" i="1554"/>
  <c r="R15" i="1554"/>
  <c r="D15" i="1554"/>
  <c r="R14" i="1554"/>
  <c r="D14" i="1554"/>
  <c r="R13" i="1554"/>
  <c r="D13" i="1554"/>
  <c r="R12" i="1554"/>
  <c r="L12" i="1554"/>
  <c r="D12" i="1554" s="1"/>
  <c r="R11" i="1554"/>
  <c r="L10" i="1554"/>
  <c r="D10" i="1554" s="1"/>
  <c r="L8" i="1554"/>
  <c r="D8" i="1554"/>
  <c r="L7" i="1554"/>
  <c r="D7" i="1554"/>
  <c r="R6" i="1554"/>
  <c r="R5" i="1554"/>
  <c r="R4" i="1554"/>
  <c r="R52" i="1553"/>
  <c r="R51" i="1553"/>
  <c r="D50" i="1553"/>
  <c r="R49" i="1553"/>
  <c r="G49" i="1553"/>
  <c r="D49" i="1553"/>
  <c r="R48" i="1553"/>
  <c r="D48" i="1553"/>
  <c r="D46" i="1553"/>
  <c r="D45" i="1553"/>
  <c r="D44" i="1553"/>
  <c r="R42" i="1553"/>
  <c r="D42" i="1553"/>
  <c r="R41" i="1553"/>
  <c r="L7" i="1553" s="1"/>
  <c r="D7" i="1553" s="1"/>
  <c r="D41" i="1553"/>
  <c r="R40" i="1553"/>
  <c r="D40" i="1553"/>
  <c r="R39" i="1553"/>
  <c r="D39" i="1553"/>
  <c r="R38" i="1553"/>
  <c r="D38" i="1553"/>
  <c r="R37" i="1553"/>
  <c r="D37" i="1553"/>
  <c r="R36" i="1553"/>
  <c r="D36" i="1553"/>
  <c r="D54" i="1553" s="1"/>
  <c r="H14" i="1553" s="1"/>
  <c r="R35" i="1553"/>
  <c r="L19" i="1553" s="1"/>
  <c r="D19" i="1553" s="1"/>
  <c r="D35" i="1553"/>
  <c r="R34" i="1553"/>
  <c r="D34" i="1553"/>
  <c r="R33" i="1553"/>
  <c r="L23" i="1553" s="1"/>
  <c r="D23" i="1553" s="1"/>
  <c r="R32" i="1553"/>
  <c r="L11" i="1553" s="1"/>
  <c r="D11" i="1553" s="1"/>
  <c r="R31" i="1553"/>
  <c r="R30" i="1553"/>
  <c r="R29" i="1553"/>
  <c r="R28" i="1553"/>
  <c r="D28" i="1553"/>
  <c r="R27" i="1553"/>
  <c r="D27" i="1553"/>
  <c r="R26" i="1553"/>
  <c r="L26" i="1553"/>
  <c r="D26" i="1553" s="1"/>
  <c r="R25" i="1553"/>
  <c r="L25" i="1553"/>
  <c r="D25" i="1553"/>
  <c r="R24" i="1553"/>
  <c r="D24" i="1553"/>
  <c r="R23" i="1553"/>
  <c r="R22" i="1553"/>
  <c r="L22" i="1553"/>
  <c r="D22" i="1553" s="1"/>
  <c r="R21" i="1553"/>
  <c r="D21" i="1553"/>
  <c r="R20" i="1553"/>
  <c r="L20" i="1553"/>
  <c r="D20" i="1553" s="1"/>
  <c r="R19" i="1553"/>
  <c r="R18" i="1553"/>
  <c r="D18" i="1553"/>
  <c r="R17" i="1553"/>
  <c r="D17" i="1553"/>
  <c r="R16" i="1553"/>
  <c r="L16" i="1553"/>
  <c r="D16" i="1553" s="1"/>
  <c r="S15" i="1553"/>
  <c r="R15" i="1553"/>
  <c r="D15" i="1553"/>
  <c r="S14" i="1553"/>
  <c r="R14" i="1553"/>
  <c r="D14" i="1553"/>
  <c r="R13" i="1553"/>
  <c r="D13" i="1553"/>
  <c r="R12" i="1553"/>
  <c r="L12" i="1553"/>
  <c r="D12" i="1553" s="1"/>
  <c r="R11" i="1553"/>
  <c r="L10" i="1553"/>
  <c r="D10" i="1553"/>
  <c r="L9" i="1553"/>
  <c r="D9" i="1553" s="1"/>
  <c r="L8" i="1553"/>
  <c r="D8" i="1553" s="1"/>
  <c r="R6" i="1553"/>
  <c r="L6" i="1553"/>
  <c r="D6" i="1553"/>
  <c r="R5" i="1553"/>
  <c r="R4" i="1553"/>
  <c r="R52" i="1552"/>
  <c r="R51" i="1552"/>
  <c r="D50" i="1552"/>
  <c r="R49" i="1552"/>
  <c r="D49" i="1552"/>
  <c r="R48" i="1552"/>
  <c r="D48" i="1552"/>
  <c r="D46" i="1552"/>
  <c r="D45" i="1552"/>
  <c r="D44" i="1552"/>
  <c r="R42" i="1552"/>
  <c r="L6" i="1552" s="1"/>
  <c r="D6" i="1552" s="1"/>
  <c r="D42" i="1552"/>
  <c r="R41" i="1552"/>
  <c r="L7" i="1552" s="1"/>
  <c r="D7" i="1552" s="1"/>
  <c r="D41" i="1552"/>
  <c r="R40" i="1552"/>
  <c r="D40" i="1552"/>
  <c r="R39" i="1552"/>
  <c r="H39" i="1552"/>
  <c r="D39" i="1552"/>
  <c r="R38" i="1552"/>
  <c r="H38" i="1552"/>
  <c r="D38" i="1552"/>
  <c r="R37" i="1552"/>
  <c r="H37" i="1552"/>
  <c r="D37" i="1552"/>
  <c r="R36" i="1552"/>
  <c r="H36" i="1552"/>
  <c r="D36" i="1552"/>
  <c r="R35" i="1552"/>
  <c r="L19" i="1552" s="1"/>
  <c r="D19" i="1552" s="1"/>
  <c r="H35" i="1552"/>
  <c r="D35" i="1552"/>
  <c r="R34" i="1552"/>
  <c r="H34" i="1552"/>
  <c r="G49" i="1552" s="1"/>
  <c r="D34" i="1552"/>
  <c r="R33" i="1552"/>
  <c r="R32" i="1552"/>
  <c r="R31" i="1552"/>
  <c r="R30" i="1552"/>
  <c r="R29" i="1552"/>
  <c r="R28" i="1552"/>
  <c r="D28" i="1552"/>
  <c r="R27" i="1552"/>
  <c r="D27" i="1552"/>
  <c r="R26" i="1552"/>
  <c r="L26" i="1552"/>
  <c r="D26" i="1552" s="1"/>
  <c r="R25" i="1552"/>
  <c r="L25" i="1552"/>
  <c r="D25" i="1552"/>
  <c r="R24" i="1552"/>
  <c r="D24" i="1552"/>
  <c r="R23" i="1552"/>
  <c r="L23" i="1552"/>
  <c r="D23" i="1552" s="1"/>
  <c r="R22" i="1552"/>
  <c r="L22" i="1552"/>
  <c r="D22" i="1552"/>
  <c r="R21" i="1552"/>
  <c r="D21" i="1552"/>
  <c r="R20" i="1552"/>
  <c r="L20" i="1552"/>
  <c r="D20" i="1552" s="1"/>
  <c r="R19" i="1552"/>
  <c r="R18" i="1552"/>
  <c r="D18" i="1552"/>
  <c r="R17" i="1552"/>
  <c r="D17" i="1552"/>
  <c r="R16" i="1552"/>
  <c r="L16" i="1552"/>
  <c r="D16" i="1552" s="1"/>
  <c r="R15" i="1552"/>
  <c r="D15" i="1552"/>
  <c r="R14" i="1552"/>
  <c r="D14" i="1552"/>
  <c r="R13" i="1552"/>
  <c r="D13" i="1552"/>
  <c r="R12" i="1552"/>
  <c r="L12" i="1552"/>
  <c r="D12" i="1552"/>
  <c r="R11" i="1552"/>
  <c r="L11" i="1552"/>
  <c r="D11" i="1552"/>
  <c r="L10" i="1552"/>
  <c r="D10" i="1552"/>
  <c r="L9" i="1552"/>
  <c r="D9" i="1552"/>
  <c r="L8" i="1552"/>
  <c r="D8" i="1552" s="1"/>
  <c r="R6" i="1552"/>
  <c r="R5" i="1552"/>
  <c r="R4" i="1552"/>
  <c r="R52" i="1551"/>
  <c r="R51" i="1551"/>
  <c r="D50" i="1551"/>
  <c r="R49" i="1551"/>
  <c r="D49" i="1551"/>
  <c r="R48" i="1551"/>
  <c r="D48" i="1551"/>
  <c r="D46" i="1551"/>
  <c r="D45" i="1551"/>
  <c r="D44" i="1551"/>
  <c r="R42" i="1551"/>
  <c r="L6" i="1551" s="1"/>
  <c r="D6" i="1551" s="1"/>
  <c r="D42" i="1551"/>
  <c r="R41" i="1551"/>
  <c r="D41" i="1551"/>
  <c r="R40" i="1551"/>
  <c r="L8" i="1551" s="1"/>
  <c r="D8" i="1551" s="1"/>
  <c r="D40" i="1551"/>
  <c r="R39" i="1551"/>
  <c r="L20" i="1551" s="1"/>
  <c r="D20" i="1551" s="1"/>
  <c r="H39" i="1551"/>
  <c r="D39" i="1551"/>
  <c r="R38" i="1551"/>
  <c r="H38" i="1551"/>
  <c r="D38" i="1551"/>
  <c r="R37" i="1551"/>
  <c r="H37" i="1551"/>
  <c r="D37" i="1551"/>
  <c r="R36" i="1551"/>
  <c r="H36" i="1551"/>
  <c r="D36" i="1551"/>
  <c r="R35" i="1551"/>
  <c r="L19" i="1551" s="1"/>
  <c r="D19" i="1551" s="1"/>
  <c r="H35" i="1551"/>
  <c r="D35" i="1551"/>
  <c r="R34" i="1551"/>
  <c r="H34" i="1551"/>
  <c r="G49" i="1551" s="1"/>
  <c r="D34" i="1551"/>
  <c r="R33" i="1551"/>
  <c r="R32" i="1551"/>
  <c r="L11" i="1551" s="1"/>
  <c r="D11" i="1551" s="1"/>
  <c r="R31" i="1551"/>
  <c r="R30" i="1551"/>
  <c r="R29" i="1551"/>
  <c r="R28" i="1551"/>
  <c r="D28" i="1551"/>
  <c r="R27" i="1551"/>
  <c r="D27" i="1551"/>
  <c r="R26" i="1551"/>
  <c r="L26" i="1551"/>
  <c r="D26" i="1551" s="1"/>
  <c r="R25" i="1551"/>
  <c r="D25" i="1551"/>
  <c r="R24" i="1551"/>
  <c r="L24" i="1551"/>
  <c r="D24" i="1551"/>
  <c r="R23" i="1551"/>
  <c r="L23" i="1551"/>
  <c r="D23" i="1551"/>
  <c r="R22" i="1551"/>
  <c r="D22" i="1551"/>
  <c r="R21" i="1551"/>
  <c r="L17" i="1551" s="1"/>
  <c r="D17" i="1551" s="1"/>
  <c r="D21" i="1551"/>
  <c r="R20" i="1551"/>
  <c r="R19" i="1551"/>
  <c r="R18" i="1551"/>
  <c r="D18" i="1551"/>
  <c r="R17" i="1551"/>
  <c r="R16" i="1551"/>
  <c r="L16" i="1551"/>
  <c r="D16" i="1551"/>
  <c r="R15" i="1551"/>
  <c r="D15" i="1551"/>
  <c r="R14" i="1551"/>
  <c r="D14" i="1551"/>
  <c r="R13" i="1551"/>
  <c r="D13" i="1551"/>
  <c r="R12" i="1551"/>
  <c r="L12" i="1551"/>
  <c r="D12" i="1551"/>
  <c r="R11" i="1551"/>
  <c r="L10" i="1551"/>
  <c r="D10" i="1551"/>
  <c r="L9" i="1551"/>
  <c r="D9" i="1551"/>
  <c r="L7" i="1551"/>
  <c r="D7" i="1551" s="1"/>
  <c r="R6" i="1551"/>
  <c r="R5" i="1551"/>
  <c r="R4" i="1551"/>
  <c r="R52" i="1550"/>
  <c r="R51" i="1550"/>
  <c r="D50" i="1550"/>
  <c r="R49" i="1550"/>
  <c r="D49" i="1550"/>
  <c r="R48" i="1550"/>
  <c r="D48" i="1550"/>
  <c r="D46" i="1550"/>
  <c r="D45" i="1550"/>
  <c r="P44" i="1550"/>
  <c r="R44" i="1550" s="1"/>
  <c r="D44" i="1550"/>
  <c r="R42" i="1550"/>
  <c r="D42" i="1550"/>
  <c r="R41" i="1550"/>
  <c r="D41" i="1550"/>
  <c r="R40" i="1550"/>
  <c r="L8" i="1550" s="1"/>
  <c r="D8" i="1550" s="1"/>
  <c r="D40" i="1550"/>
  <c r="R39" i="1550"/>
  <c r="L20" i="1550" s="1"/>
  <c r="D20" i="1550" s="1"/>
  <c r="H39" i="1550"/>
  <c r="D39" i="1550"/>
  <c r="R38" i="1550"/>
  <c r="L9" i="1550" s="1"/>
  <c r="D9" i="1550" s="1"/>
  <c r="H38" i="1550"/>
  <c r="D38" i="1550"/>
  <c r="R37" i="1550"/>
  <c r="H37" i="1550"/>
  <c r="D37" i="1550"/>
  <c r="R36" i="1550"/>
  <c r="H36" i="1550"/>
  <c r="D36" i="1550"/>
  <c r="R35" i="1550"/>
  <c r="H35" i="1550"/>
  <c r="D35" i="1550"/>
  <c r="R34" i="1550"/>
  <c r="H34" i="1550"/>
  <c r="G49" i="1550" s="1"/>
  <c r="D34" i="1550"/>
  <c r="R33" i="1550"/>
  <c r="R32" i="1550"/>
  <c r="L11" i="1550" s="1"/>
  <c r="D11" i="1550" s="1"/>
  <c r="R31" i="1550"/>
  <c r="R30" i="1550"/>
  <c r="R29" i="1550"/>
  <c r="R28" i="1550"/>
  <c r="D28" i="1550"/>
  <c r="R27" i="1550"/>
  <c r="D27" i="1550"/>
  <c r="R26" i="1550"/>
  <c r="L26" i="1550"/>
  <c r="D26" i="1550" s="1"/>
  <c r="R25" i="1550"/>
  <c r="L25" i="1550"/>
  <c r="D25" i="1550"/>
  <c r="R24" i="1550"/>
  <c r="D24" i="1550"/>
  <c r="R23" i="1550"/>
  <c r="D23" i="1550"/>
  <c r="R22" i="1550"/>
  <c r="D22" i="1550"/>
  <c r="R21" i="1550"/>
  <c r="D21" i="1550"/>
  <c r="R20" i="1550"/>
  <c r="R19" i="1550"/>
  <c r="D19" i="1550"/>
  <c r="R18" i="1550"/>
  <c r="D18" i="1550"/>
  <c r="R17" i="1550"/>
  <c r="L17" i="1550"/>
  <c r="D17" i="1550" s="1"/>
  <c r="R16" i="1550"/>
  <c r="L16" i="1550"/>
  <c r="D16" i="1550"/>
  <c r="R15" i="1550"/>
  <c r="D15" i="1550"/>
  <c r="R14" i="1550"/>
  <c r="D14" i="1550"/>
  <c r="R13" i="1550"/>
  <c r="D13" i="1550"/>
  <c r="R12" i="1550"/>
  <c r="L12" i="1550"/>
  <c r="D12" i="1550"/>
  <c r="R11" i="1550"/>
  <c r="L10" i="1550"/>
  <c r="D10" i="1550" s="1"/>
  <c r="L7" i="1550"/>
  <c r="D7" i="1550" s="1"/>
  <c r="R6" i="1550"/>
  <c r="L6" i="1550"/>
  <c r="D6" i="1550" s="1"/>
  <c r="R5" i="1550"/>
  <c r="R4" i="1550"/>
  <c r="D54" i="1549"/>
  <c r="H14" i="1549" s="1"/>
  <c r="R52" i="1549"/>
  <c r="R51" i="1549"/>
  <c r="D50" i="1549"/>
  <c r="R49" i="1549"/>
  <c r="G49" i="1549"/>
  <c r="D49" i="1549"/>
  <c r="R48" i="1549"/>
  <c r="D48" i="1549"/>
  <c r="D46" i="1549"/>
  <c r="D45" i="1549"/>
  <c r="D44" i="1549"/>
  <c r="R42" i="1549"/>
  <c r="D42" i="1549"/>
  <c r="R41" i="1549"/>
  <c r="L7" i="1549" s="1"/>
  <c r="D7" i="1549" s="1"/>
  <c r="D41" i="1549"/>
  <c r="R40" i="1549"/>
  <c r="L8" i="1549" s="1"/>
  <c r="D8" i="1549" s="1"/>
  <c r="D40" i="1549"/>
  <c r="R39" i="1549"/>
  <c r="D39" i="1549"/>
  <c r="R38" i="1549"/>
  <c r="L9" i="1549" s="1"/>
  <c r="D9" i="1549" s="1"/>
  <c r="D38" i="1549"/>
  <c r="R37" i="1549"/>
  <c r="D37" i="1549"/>
  <c r="R36" i="1549"/>
  <c r="L10" i="1549" s="1"/>
  <c r="D10" i="1549" s="1"/>
  <c r="D36" i="1549"/>
  <c r="R35" i="1549"/>
  <c r="D35" i="1549"/>
  <c r="R34" i="1549"/>
  <c r="D34" i="1549"/>
  <c r="R33" i="1549"/>
  <c r="L23" i="1549" s="1"/>
  <c r="D23" i="1549" s="1"/>
  <c r="R32" i="1549"/>
  <c r="L11" i="1549" s="1"/>
  <c r="D11" i="1549" s="1"/>
  <c r="R31" i="1549"/>
  <c r="R30" i="1549"/>
  <c r="R29" i="1549"/>
  <c r="R28" i="1549"/>
  <c r="L16" i="1549" s="1"/>
  <c r="D16" i="1549" s="1"/>
  <c r="D28" i="1549"/>
  <c r="R27" i="1549"/>
  <c r="D27" i="1549"/>
  <c r="R26" i="1549"/>
  <c r="L26" i="1549"/>
  <c r="D26" i="1549"/>
  <c r="R25" i="1549"/>
  <c r="L25" i="1549"/>
  <c r="D25" i="1549"/>
  <c r="R24" i="1549"/>
  <c r="D24" i="1549"/>
  <c r="R23" i="1549"/>
  <c r="R22" i="1549"/>
  <c r="L22" i="1549"/>
  <c r="D22" i="1549" s="1"/>
  <c r="R21" i="1549"/>
  <c r="D21" i="1549"/>
  <c r="R20" i="1549"/>
  <c r="L20" i="1549"/>
  <c r="D20" i="1549"/>
  <c r="R19" i="1549"/>
  <c r="L19" i="1549"/>
  <c r="D19" i="1549"/>
  <c r="R18" i="1549"/>
  <c r="D18" i="1549"/>
  <c r="R17" i="1549"/>
  <c r="D17" i="1549"/>
  <c r="R16" i="1549"/>
  <c r="S15" i="1549"/>
  <c r="R15" i="1549"/>
  <c r="D15" i="1549"/>
  <c r="S14" i="1549"/>
  <c r="R14" i="1549"/>
  <c r="D14" i="1549"/>
  <c r="R13" i="1549"/>
  <c r="D13" i="1549"/>
  <c r="R12" i="1549"/>
  <c r="L12" i="1549"/>
  <c r="D12" i="1549" s="1"/>
  <c r="R11" i="1549"/>
  <c r="R6" i="1549"/>
  <c r="L6" i="1549"/>
  <c r="D6" i="1549" s="1"/>
  <c r="R5" i="1549"/>
  <c r="R4" i="1549"/>
  <c r="R52" i="1548"/>
  <c r="R51" i="1548"/>
  <c r="D50" i="1548"/>
  <c r="R49" i="1548"/>
  <c r="D49" i="1548"/>
  <c r="R48" i="1548"/>
  <c r="D48" i="1548"/>
  <c r="D46" i="1548"/>
  <c r="D45" i="1548"/>
  <c r="D44" i="1548"/>
  <c r="R42" i="1548"/>
  <c r="D42" i="1548"/>
  <c r="R41" i="1548"/>
  <c r="D41" i="1548"/>
  <c r="R40" i="1548"/>
  <c r="L8" i="1548" s="1"/>
  <c r="D8" i="1548" s="1"/>
  <c r="D40" i="1548"/>
  <c r="R39" i="1548"/>
  <c r="H39" i="1548"/>
  <c r="D39" i="1548"/>
  <c r="R38" i="1548"/>
  <c r="L9" i="1548" s="1"/>
  <c r="D9" i="1548" s="1"/>
  <c r="H38" i="1548"/>
  <c r="D38" i="1548"/>
  <c r="R37" i="1548"/>
  <c r="H37" i="1548"/>
  <c r="D37" i="1548"/>
  <c r="R36" i="1548"/>
  <c r="H36" i="1548"/>
  <c r="D36" i="1548"/>
  <c r="R35" i="1548"/>
  <c r="H35" i="1548"/>
  <c r="D35" i="1548"/>
  <c r="R34" i="1548"/>
  <c r="H34" i="1548"/>
  <c r="D34" i="1548"/>
  <c r="R33" i="1548"/>
  <c r="L23" i="1548" s="1"/>
  <c r="D23" i="1548" s="1"/>
  <c r="R32" i="1548"/>
  <c r="R31" i="1548"/>
  <c r="R30" i="1548"/>
  <c r="R29" i="1548"/>
  <c r="R28" i="1548"/>
  <c r="L16" i="1548" s="1"/>
  <c r="D16" i="1548" s="1"/>
  <c r="D28" i="1548"/>
  <c r="R27" i="1548"/>
  <c r="D27" i="1548"/>
  <c r="R26" i="1548"/>
  <c r="L26" i="1548"/>
  <c r="D26" i="1548"/>
  <c r="R25" i="1548"/>
  <c r="L25" i="1548"/>
  <c r="D25" i="1548"/>
  <c r="R24" i="1548"/>
  <c r="D24" i="1548"/>
  <c r="R23" i="1548"/>
  <c r="R22" i="1548"/>
  <c r="L22" i="1548"/>
  <c r="D22" i="1548"/>
  <c r="R21" i="1548"/>
  <c r="D21" i="1548"/>
  <c r="R20" i="1548"/>
  <c r="L20" i="1548"/>
  <c r="D20" i="1548"/>
  <c r="R19" i="1548"/>
  <c r="L19" i="1548"/>
  <c r="D19" i="1548" s="1"/>
  <c r="R18" i="1548"/>
  <c r="D18" i="1548"/>
  <c r="R17" i="1548"/>
  <c r="D17" i="1548"/>
  <c r="R16" i="1548"/>
  <c r="R15" i="1548"/>
  <c r="D15" i="1548"/>
  <c r="R14" i="1548"/>
  <c r="D14" i="1548"/>
  <c r="R13" i="1548"/>
  <c r="D13" i="1548"/>
  <c r="R12" i="1548"/>
  <c r="L12" i="1548"/>
  <c r="D12" i="1548" s="1"/>
  <c r="R11" i="1548"/>
  <c r="L11" i="1548"/>
  <c r="D11" i="1548" s="1"/>
  <c r="L10" i="1548"/>
  <c r="D10" i="1548"/>
  <c r="L7" i="1548"/>
  <c r="D7" i="1548"/>
  <c r="R6" i="1548"/>
  <c r="L6" i="1548"/>
  <c r="D6" i="1548" s="1"/>
  <c r="R5" i="1548"/>
  <c r="R4" i="1548"/>
  <c r="R52" i="1547"/>
  <c r="R51" i="1547"/>
  <c r="D50" i="1547"/>
  <c r="R49" i="1547"/>
  <c r="D49" i="1547"/>
  <c r="R48" i="1547"/>
  <c r="D48" i="1547"/>
  <c r="D46" i="1547"/>
  <c r="D45" i="1547"/>
  <c r="D44" i="1547"/>
  <c r="R42" i="1547"/>
  <c r="D42" i="1547"/>
  <c r="R41" i="1547"/>
  <c r="L7" i="1547" s="1"/>
  <c r="D7" i="1547" s="1"/>
  <c r="D41" i="1547"/>
  <c r="R40" i="1547"/>
  <c r="L8" i="1547" s="1"/>
  <c r="D8" i="1547" s="1"/>
  <c r="D40" i="1547"/>
  <c r="R39" i="1547"/>
  <c r="L20" i="1547" s="1"/>
  <c r="D20" i="1547" s="1"/>
  <c r="H39" i="1547"/>
  <c r="D39" i="1547"/>
  <c r="R38" i="1547"/>
  <c r="H38" i="1547"/>
  <c r="D38" i="1547"/>
  <c r="R37" i="1547"/>
  <c r="H37" i="1547"/>
  <c r="D37" i="1547"/>
  <c r="R36" i="1547"/>
  <c r="L10" i="1547" s="1"/>
  <c r="D10" i="1547" s="1"/>
  <c r="H36" i="1547"/>
  <c r="D36" i="1547"/>
  <c r="R35" i="1547"/>
  <c r="H35" i="1547"/>
  <c r="D35" i="1547"/>
  <c r="R34" i="1547"/>
  <c r="H34" i="1547"/>
  <c r="D34" i="1547"/>
  <c r="R33" i="1547"/>
  <c r="L23" i="1547" s="1"/>
  <c r="D23" i="1547" s="1"/>
  <c r="R32" i="1547"/>
  <c r="L11" i="1547" s="1"/>
  <c r="D11" i="1547" s="1"/>
  <c r="R31" i="1547"/>
  <c r="R30" i="1547"/>
  <c r="R29" i="1547"/>
  <c r="R28" i="1547"/>
  <c r="D28" i="1547"/>
  <c r="R27" i="1547"/>
  <c r="D27" i="1547"/>
  <c r="R26" i="1547"/>
  <c r="L26" i="1547"/>
  <c r="D26" i="1547" s="1"/>
  <c r="R25" i="1547"/>
  <c r="L25" i="1547"/>
  <c r="D25" i="1547"/>
  <c r="R24" i="1547"/>
  <c r="L24" i="1547"/>
  <c r="D24" i="1547"/>
  <c r="R23" i="1547"/>
  <c r="R22" i="1547"/>
  <c r="L22" i="1547"/>
  <c r="D22" i="1547" s="1"/>
  <c r="R21" i="1547"/>
  <c r="L17" i="1547" s="1"/>
  <c r="D17" i="1547" s="1"/>
  <c r="D21" i="1547"/>
  <c r="R20" i="1547"/>
  <c r="R19" i="1547"/>
  <c r="L19" i="1547"/>
  <c r="D19" i="1547"/>
  <c r="R18" i="1547"/>
  <c r="D18" i="1547"/>
  <c r="R17" i="1547"/>
  <c r="R16" i="1547"/>
  <c r="L16" i="1547"/>
  <c r="D16" i="1547" s="1"/>
  <c r="R15" i="1547"/>
  <c r="D15" i="1547"/>
  <c r="R14" i="1547"/>
  <c r="D14" i="1547"/>
  <c r="R13" i="1547"/>
  <c r="D13" i="1547"/>
  <c r="R12" i="1547"/>
  <c r="L12" i="1547"/>
  <c r="D12" i="1547" s="1"/>
  <c r="R11" i="1547"/>
  <c r="L9" i="1547"/>
  <c r="D9" i="1547"/>
  <c r="R6" i="1547"/>
  <c r="L6" i="1547"/>
  <c r="D6" i="1547"/>
  <c r="R5" i="1547"/>
  <c r="R4" i="1547"/>
  <c r="R52" i="1546"/>
  <c r="R51" i="1546"/>
  <c r="D50" i="1546"/>
  <c r="R49" i="1546"/>
  <c r="D49" i="1546"/>
  <c r="R48" i="1546"/>
  <c r="D48" i="1546"/>
  <c r="D46" i="1546"/>
  <c r="D45" i="1546"/>
  <c r="P44" i="1546"/>
  <c r="R44" i="1546" s="1"/>
  <c r="D44" i="1546"/>
  <c r="R42" i="1546"/>
  <c r="D42" i="1546"/>
  <c r="R41" i="1546"/>
  <c r="D41" i="1546"/>
  <c r="R40" i="1546"/>
  <c r="L8" i="1546" s="1"/>
  <c r="D8" i="1546" s="1"/>
  <c r="D40" i="1546"/>
  <c r="R39" i="1546"/>
  <c r="L20" i="1546" s="1"/>
  <c r="D20" i="1546" s="1"/>
  <c r="H39" i="1546"/>
  <c r="D39" i="1546"/>
  <c r="R38" i="1546"/>
  <c r="L9" i="1546" s="1"/>
  <c r="D9" i="1546" s="1"/>
  <c r="H38" i="1546"/>
  <c r="D38" i="1546"/>
  <c r="R37" i="1546"/>
  <c r="H37" i="1546"/>
  <c r="D37" i="1546"/>
  <c r="R36" i="1546"/>
  <c r="H36" i="1546"/>
  <c r="D36" i="1546"/>
  <c r="R35" i="1546"/>
  <c r="H35" i="1546"/>
  <c r="D35" i="1546"/>
  <c r="R34" i="1546"/>
  <c r="L12" i="1546" s="1"/>
  <c r="D12" i="1546" s="1"/>
  <c r="H34" i="1546"/>
  <c r="D34" i="1546"/>
  <c r="R33" i="1546"/>
  <c r="R32" i="1546"/>
  <c r="R31" i="1546"/>
  <c r="R30" i="1546"/>
  <c r="R29" i="1546"/>
  <c r="R28" i="1546"/>
  <c r="D28" i="1546"/>
  <c r="R27" i="1546"/>
  <c r="D27" i="1546"/>
  <c r="R26" i="1546"/>
  <c r="L26" i="1546"/>
  <c r="D26" i="1546"/>
  <c r="R25" i="1546"/>
  <c r="L25" i="1546"/>
  <c r="D25" i="1546" s="1"/>
  <c r="R24" i="1546"/>
  <c r="L24" i="1546"/>
  <c r="D24" i="1546"/>
  <c r="R23" i="1546"/>
  <c r="D23" i="1546"/>
  <c r="R22" i="1546"/>
  <c r="D22" i="1546"/>
  <c r="R21" i="1546"/>
  <c r="D21" i="1546"/>
  <c r="R20" i="1546"/>
  <c r="R19" i="1546"/>
  <c r="D19" i="1546"/>
  <c r="R18" i="1546"/>
  <c r="D18" i="1546"/>
  <c r="R17" i="1546"/>
  <c r="L17" i="1546"/>
  <c r="D17" i="1546"/>
  <c r="R16" i="1546"/>
  <c r="L16" i="1546"/>
  <c r="D16" i="1546"/>
  <c r="R15" i="1546"/>
  <c r="D15" i="1546"/>
  <c r="R14" i="1546"/>
  <c r="D14" i="1546"/>
  <c r="R13" i="1546"/>
  <c r="D13" i="1546"/>
  <c r="R12" i="1546"/>
  <c r="R11" i="1546"/>
  <c r="L11" i="1546"/>
  <c r="D11" i="1546" s="1"/>
  <c r="L10" i="1546"/>
  <c r="D10" i="1546" s="1"/>
  <c r="L7" i="1546"/>
  <c r="D7" i="1546"/>
  <c r="R6" i="1546"/>
  <c r="L6" i="1546"/>
  <c r="D6" i="1546" s="1"/>
  <c r="R5" i="1546"/>
  <c r="R4" i="1546"/>
  <c r="R52" i="1545"/>
  <c r="R51" i="1545"/>
  <c r="D50" i="1545"/>
  <c r="R49" i="1545"/>
  <c r="G49" i="1545"/>
  <c r="D49" i="1545"/>
  <c r="R48" i="1545"/>
  <c r="D48" i="1545"/>
  <c r="D46" i="1545"/>
  <c r="D45" i="1545"/>
  <c r="D44" i="1545"/>
  <c r="R42" i="1545"/>
  <c r="L6" i="1545" s="1"/>
  <c r="D6" i="1545" s="1"/>
  <c r="D42" i="1545"/>
  <c r="R41" i="1545"/>
  <c r="L7" i="1545" s="1"/>
  <c r="D7" i="1545" s="1"/>
  <c r="D41" i="1545"/>
  <c r="R40" i="1545"/>
  <c r="L8" i="1545" s="1"/>
  <c r="D8" i="1545" s="1"/>
  <c r="D40" i="1545"/>
  <c r="R39" i="1545"/>
  <c r="D39" i="1545"/>
  <c r="R38" i="1545"/>
  <c r="D38" i="1545"/>
  <c r="R37" i="1545"/>
  <c r="D37" i="1545"/>
  <c r="R36" i="1545"/>
  <c r="L10" i="1545" s="1"/>
  <c r="D10" i="1545" s="1"/>
  <c r="D36" i="1545"/>
  <c r="R35" i="1545"/>
  <c r="D35" i="1545"/>
  <c r="R34" i="1545"/>
  <c r="L12" i="1545" s="1"/>
  <c r="D12" i="1545" s="1"/>
  <c r="D34" i="1545"/>
  <c r="D54" i="1545" s="1"/>
  <c r="H14" i="1545" s="1"/>
  <c r="R33" i="1545"/>
  <c r="L23" i="1545" s="1"/>
  <c r="D23" i="1545" s="1"/>
  <c r="R32" i="1545"/>
  <c r="R31" i="1545"/>
  <c r="R30" i="1545"/>
  <c r="R29" i="1545"/>
  <c r="R28" i="1545"/>
  <c r="D28" i="1545"/>
  <c r="R27" i="1545"/>
  <c r="D27" i="1545"/>
  <c r="R26" i="1545"/>
  <c r="L26" i="1545"/>
  <c r="D26" i="1545"/>
  <c r="R25" i="1545"/>
  <c r="L25" i="1545"/>
  <c r="D25" i="1545"/>
  <c r="R24" i="1545"/>
  <c r="D24" i="1545"/>
  <c r="R23" i="1545"/>
  <c r="R22" i="1545"/>
  <c r="L22" i="1545"/>
  <c r="D22" i="1545"/>
  <c r="R21" i="1545"/>
  <c r="D21" i="1545"/>
  <c r="R20" i="1545"/>
  <c r="L20" i="1545"/>
  <c r="D20" i="1545"/>
  <c r="R19" i="1545"/>
  <c r="L19" i="1545"/>
  <c r="D19" i="1545"/>
  <c r="R18" i="1545"/>
  <c r="D18" i="1545"/>
  <c r="R17" i="1545"/>
  <c r="D17" i="1545"/>
  <c r="R16" i="1545"/>
  <c r="L16" i="1545"/>
  <c r="D16" i="1545" s="1"/>
  <c r="S15" i="1545"/>
  <c r="R15" i="1545"/>
  <c r="D15" i="1545"/>
  <c r="S14" i="1545"/>
  <c r="R14" i="1545"/>
  <c r="D14" i="1545"/>
  <c r="R13" i="1545"/>
  <c r="D13" i="1545"/>
  <c r="R12" i="1545"/>
  <c r="R11" i="1545"/>
  <c r="L11" i="1545"/>
  <c r="D11" i="1545"/>
  <c r="L9" i="1545"/>
  <c r="D9" i="1545"/>
  <c r="R6" i="1545"/>
  <c r="R5" i="1545"/>
  <c r="R4" i="1545"/>
  <c r="R52" i="1544"/>
  <c r="R51" i="1544"/>
  <c r="D50" i="1544"/>
  <c r="R49" i="1544"/>
  <c r="D49" i="1544"/>
  <c r="R48" i="1544"/>
  <c r="D48" i="1544"/>
  <c r="D46" i="1544"/>
  <c r="D45" i="1544"/>
  <c r="D44" i="1544"/>
  <c r="R42" i="1544"/>
  <c r="D42" i="1544"/>
  <c r="R41" i="1544"/>
  <c r="L7" i="1544" s="1"/>
  <c r="D7" i="1544" s="1"/>
  <c r="D41" i="1544"/>
  <c r="R40" i="1544"/>
  <c r="L8" i="1544" s="1"/>
  <c r="D8" i="1544" s="1"/>
  <c r="D40" i="1544"/>
  <c r="R39" i="1544"/>
  <c r="H39" i="1544"/>
  <c r="D39" i="1544"/>
  <c r="R38" i="1544"/>
  <c r="H38" i="1544"/>
  <c r="D38" i="1544"/>
  <c r="R37" i="1544"/>
  <c r="H37" i="1544"/>
  <c r="D37" i="1544"/>
  <c r="R36" i="1544"/>
  <c r="L10" i="1544" s="1"/>
  <c r="D10" i="1544" s="1"/>
  <c r="H36" i="1544"/>
  <c r="D36" i="1544"/>
  <c r="R35" i="1544"/>
  <c r="L19" i="1544" s="1"/>
  <c r="D19" i="1544" s="1"/>
  <c r="H35" i="1544"/>
  <c r="D35" i="1544"/>
  <c r="R34" i="1544"/>
  <c r="H34" i="1544"/>
  <c r="G49" i="1544" s="1"/>
  <c r="D34" i="1544"/>
  <c r="R33" i="1544"/>
  <c r="L23" i="1544" s="1"/>
  <c r="D23" i="1544" s="1"/>
  <c r="R32" i="1544"/>
  <c r="L11" i="1544" s="1"/>
  <c r="D11" i="1544" s="1"/>
  <c r="R31" i="1544"/>
  <c r="R30" i="1544"/>
  <c r="R29" i="1544"/>
  <c r="R28" i="1544"/>
  <c r="L16" i="1544" s="1"/>
  <c r="D16" i="1544" s="1"/>
  <c r="D28" i="1544"/>
  <c r="R27" i="1544"/>
  <c r="D27" i="1544"/>
  <c r="R26" i="1544"/>
  <c r="L26" i="1544"/>
  <c r="D26" i="1544"/>
  <c r="R25" i="1544"/>
  <c r="L25" i="1544"/>
  <c r="D25" i="1544" s="1"/>
  <c r="R24" i="1544"/>
  <c r="D24" i="1544"/>
  <c r="R23" i="1544"/>
  <c r="R22" i="1544"/>
  <c r="L22" i="1544"/>
  <c r="D22" i="1544" s="1"/>
  <c r="R21" i="1544"/>
  <c r="D21" i="1544"/>
  <c r="R20" i="1544"/>
  <c r="L20" i="1544"/>
  <c r="D20" i="1544"/>
  <c r="R19" i="1544"/>
  <c r="R18" i="1544"/>
  <c r="D18" i="1544"/>
  <c r="R17" i="1544"/>
  <c r="D17" i="1544"/>
  <c r="R16" i="1544"/>
  <c r="R15" i="1544"/>
  <c r="D15" i="1544"/>
  <c r="R14" i="1544"/>
  <c r="D14" i="1544"/>
  <c r="R13" i="1544"/>
  <c r="D13" i="1544"/>
  <c r="R12" i="1544"/>
  <c r="L12" i="1544"/>
  <c r="D12" i="1544" s="1"/>
  <c r="R11" i="1544"/>
  <c r="L9" i="1544"/>
  <c r="D9" i="1544"/>
  <c r="R6" i="1544"/>
  <c r="L6" i="1544"/>
  <c r="D6" i="1544" s="1"/>
  <c r="R5" i="1544"/>
  <c r="R4" i="1544"/>
  <c r="R52" i="1543"/>
  <c r="R51" i="1543"/>
  <c r="D50" i="1543"/>
  <c r="R49" i="1543"/>
  <c r="D49" i="1543"/>
  <c r="R48" i="1543"/>
  <c r="D48" i="1543"/>
  <c r="D46" i="1543"/>
  <c r="D45" i="1543"/>
  <c r="D44" i="1543"/>
  <c r="R42" i="1543"/>
  <c r="D42" i="1543"/>
  <c r="R41" i="1543"/>
  <c r="L7" i="1543" s="1"/>
  <c r="D7" i="1543" s="1"/>
  <c r="D41" i="1543"/>
  <c r="R40" i="1543"/>
  <c r="L8" i="1543" s="1"/>
  <c r="D8" i="1543" s="1"/>
  <c r="D40" i="1543"/>
  <c r="R39" i="1543"/>
  <c r="L20" i="1543" s="1"/>
  <c r="D20" i="1543" s="1"/>
  <c r="H39" i="1543"/>
  <c r="D39" i="1543"/>
  <c r="R38" i="1543"/>
  <c r="L9" i="1543" s="1"/>
  <c r="D9" i="1543" s="1"/>
  <c r="H38" i="1543"/>
  <c r="D38" i="1543"/>
  <c r="R37" i="1543"/>
  <c r="H37" i="1543"/>
  <c r="D37" i="1543"/>
  <c r="R36" i="1543"/>
  <c r="L10" i="1543" s="1"/>
  <c r="D10" i="1543" s="1"/>
  <c r="H36" i="1543"/>
  <c r="D36" i="1543"/>
  <c r="R35" i="1543"/>
  <c r="L19" i="1543" s="1"/>
  <c r="D19" i="1543" s="1"/>
  <c r="H35" i="1543"/>
  <c r="D35" i="1543"/>
  <c r="R34" i="1543"/>
  <c r="H34" i="1543"/>
  <c r="D34" i="1543"/>
  <c r="R33" i="1543"/>
  <c r="L23" i="1543" s="1"/>
  <c r="D23" i="1543" s="1"/>
  <c r="R32" i="1543"/>
  <c r="L11" i="1543" s="1"/>
  <c r="D11" i="1543" s="1"/>
  <c r="R31" i="1543"/>
  <c r="R30" i="1543"/>
  <c r="R29" i="1543"/>
  <c r="R28" i="1543"/>
  <c r="D28" i="1543"/>
  <c r="R27" i="1543"/>
  <c r="D27" i="1543"/>
  <c r="R26" i="1543"/>
  <c r="L26" i="1543"/>
  <c r="D26" i="1543" s="1"/>
  <c r="R25" i="1543"/>
  <c r="L25" i="1543"/>
  <c r="D25" i="1543"/>
  <c r="R24" i="1543"/>
  <c r="D24" i="1543"/>
  <c r="R23" i="1543"/>
  <c r="R22" i="1543"/>
  <c r="L22" i="1543"/>
  <c r="D22" i="1543" s="1"/>
  <c r="R21" i="1543"/>
  <c r="L17" i="1543" s="1"/>
  <c r="D17" i="1543" s="1"/>
  <c r="D21" i="1543"/>
  <c r="R20" i="1543"/>
  <c r="R19" i="1543"/>
  <c r="R18" i="1543"/>
  <c r="D18" i="1543"/>
  <c r="R17" i="1543"/>
  <c r="R16" i="1543"/>
  <c r="L16" i="1543"/>
  <c r="D16" i="1543" s="1"/>
  <c r="R15" i="1543"/>
  <c r="D15" i="1543"/>
  <c r="R14" i="1543"/>
  <c r="D14" i="1543"/>
  <c r="R13" i="1543"/>
  <c r="D13" i="1543"/>
  <c r="R12" i="1543"/>
  <c r="L12" i="1543"/>
  <c r="D12" i="1543"/>
  <c r="R11" i="1543"/>
  <c r="R6" i="1543"/>
  <c r="L6" i="1543"/>
  <c r="D6" i="1543" s="1"/>
  <c r="R5" i="1543"/>
  <c r="R4" i="1543"/>
  <c r="R52" i="1542"/>
  <c r="R51" i="1542"/>
  <c r="D50" i="1542"/>
  <c r="R49" i="1542"/>
  <c r="D49" i="1542"/>
  <c r="R48" i="1542"/>
  <c r="D48" i="1542"/>
  <c r="D46" i="1542"/>
  <c r="D45" i="1542"/>
  <c r="P44" i="1542"/>
  <c r="R44" i="1542" s="1"/>
  <c r="D44" i="1542"/>
  <c r="R42" i="1542"/>
  <c r="L6" i="1542" s="1"/>
  <c r="D6" i="1542" s="1"/>
  <c r="D42" i="1542"/>
  <c r="R41" i="1542"/>
  <c r="L7" i="1542" s="1"/>
  <c r="D7" i="1542" s="1"/>
  <c r="D41" i="1542"/>
  <c r="R40" i="1542"/>
  <c r="D40" i="1542"/>
  <c r="R39" i="1542"/>
  <c r="L20" i="1542" s="1"/>
  <c r="D20" i="1542" s="1"/>
  <c r="H39" i="1542"/>
  <c r="D39" i="1542"/>
  <c r="R38" i="1542"/>
  <c r="H38" i="1542"/>
  <c r="D38" i="1542"/>
  <c r="R37" i="1542"/>
  <c r="H37" i="1542"/>
  <c r="D37" i="1542"/>
  <c r="R36" i="1542"/>
  <c r="H36" i="1542"/>
  <c r="D36" i="1542"/>
  <c r="R35" i="1542"/>
  <c r="H35" i="1542"/>
  <c r="D35" i="1542"/>
  <c r="R34" i="1542"/>
  <c r="H34" i="1542"/>
  <c r="D34" i="1542"/>
  <c r="R33" i="1542"/>
  <c r="R32" i="1542"/>
  <c r="R31" i="1542"/>
  <c r="R30" i="1542"/>
  <c r="R29" i="1542"/>
  <c r="R28" i="1542"/>
  <c r="D28" i="1542"/>
  <c r="R27" i="1542"/>
  <c r="D27" i="1542"/>
  <c r="R26" i="1542"/>
  <c r="L26" i="1542"/>
  <c r="D26" i="1542"/>
  <c r="R25" i="1542"/>
  <c r="L25" i="1542"/>
  <c r="D25" i="1542"/>
  <c r="R24" i="1542"/>
  <c r="L24" i="1542"/>
  <c r="D24" i="1542"/>
  <c r="R23" i="1542"/>
  <c r="D23" i="1542"/>
  <c r="R22" i="1542"/>
  <c r="D22" i="1542"/>
  <c r="R21" i="1542"/>
  <c r="D21" i="1542"/>
  <c r="R20" i="1542"/>
  <c r="R19" i="1542"/>
  <c r="D19" i="1542"/>
  <c r="R18" i="1542"/>
  <c r="D18" i="1542"/>
  <c r="R17" i="1542"/>
  <c r="L17" i="1542"/>
  <c r="D17" i="1542"/>
  <c r="R16" i="1542"/>
  <c r="L16" i="1542"/>
  <c r="D16" i="1542"/>
  <c r="R15" i="1542"/>
  <c r="D15" i="1542"/>
  <c r="R14" i="1542"/>
  <c r="D14" i="1542"/>
  <c r="R13" i="1542"/>
  <c r="D13" i="1542"/>
  <c r="R12" i="1542"/>
  <c r="L12" i="1542"/>
  <c r="D12" i="1542"/>
  <c r="R11" i="1542"/>
  <c r="L11" i="1542"/>
  <c r="D11" i="1542"/>
  <c r="L10" i="1542"/>
  <c r="D10" i="1542" s="1"/>
  <c r="L9" i="1542"/>
  <c r="D9" i="1542" s="1"/>
  <c r="L8" i="1542"/>
  <c r="D8" i="1542"/>
  <c r="R6" i="1542"/>
  <c r="R5" i="1542"/>
  <c r="R4" i="1542"/>
  <c r="D54" i="1541"/>
  <c r="H14" i="1541" s="1"/>
  <c r="R52" i="1541"/>
  <c r="R51" i="1541"/>
  <c r="D50" i="1541"/>
  <c r="R49" i="1541"/>
  <c r="G49" i="1541"/>
  <c r="D49" i="1541"/>
  <c r="R48" i="1541"/>
  <c r="D48" i="1541"/>
  <c r="D46" i="1541"/>
  <c r="D45" i="1541"/>
  <c r="D44" i="1541"/>
  <c r="R42" i="1541"/>
  <c r="D42" i="1541"/>
  <c r="R41" i="1541"/>
  <c r="L7" i="1541" s="1"/>
  <c r="D7" i="1541" s="1"/>
  <c r="D41" i="1541"/>
  <c r="R40" i="1541"/>
  <c r="L8" i="1541" s="1"/>
  <c r="D8" i="1541" s="1"/>
  <c r="D40" i="1541"/>
  <c r="R39" i="1541"/>
  <c r="D39" i="1541"/>
  <c r="R38" i="1541"/>
  <c r="D38" i="1541"/>
  <c r="R37" i="1541"/>
  <c r="D37" i="1541"/>
  <c r="R36" i="1541"/>
  <c r="D36" i="1541"/>
  <c r="R35" i="1541"/>
  <c r="D35" i="1541"/>
  <c r="R34" i="1541"/>
  <c r="L12" i="1541" s="1"/>
  <c r="D12" i="1541" s="1"/>
  <c r="D34" i="1541"/>
  <c r="R33" i="1541"/>
  <c r="L23" i="1541" s="1"/>
  <c r="D23" i="1541" s="1"/>
  <c r="R32" i="1541"/>
  <c r="L11" i="1541" s="1"/>
  <c r="D11" i="1541" s="1"/>
  <c r="R31" i="1541"/>
  <c r="R30" i="1541"/>
  <c r="R29" i="1541"/>
  <c r="R28" i="1541"/>
  <c r="L16" i="1541" s="1"/>
  <c r="D16" i="1541" s="1"/>
  <c r="D28" i="1541"/>
  <c r="R27" i="1541"/>
  <c r="D27" i="1541"/>
  <c r="R26" i="1541"/>
  <c r="L26" i="1541"/>
  <c r="D26" i="1541"/>
  <c r="R25" i="1541"/>
  <c r="L25" i="1541"/>
  <c r="D25" i="1541"/>
  <c r="R24" i="1541"/>
  <c r="D24" i="1541"/>
  <c r="R23" i="1541"/>
  <c r="R22" i="1541"/>
  <c r="L22" i="1541"/>
  <c r="D22" i="1541"/>
  <c r="R21" i="1541"/>
  <c r="D21" i="1541"/>
  <c r="R20" i="1541"/>
  <c r="L20" i="1541"/>
  <c r="D20" i="1541"/>
  <c r="R19" i="1541"/>
  <c r="L19" i="1541"/>
  <c r="D19" i="1541"/>
  <c r="R18" i="1541"/>
  <c r="D18" i="1541"/>
  <c r="R17" i="1541"/>
  <c r="D17" i="1541"/>
  <c r="R16" i="1541"/>
  <c r="S15" i="1541"/>
  <c r="R15" i="1541"/>
  <c r="D15" i="1541"/>
  <c r="S14" i="1541"/>
  <c r="R14" i="1541"/>
  <c r="D14" i="1541"/>
  <c r="R13" i="1541"/>
  <c r="D13" i="1541"/>
  <c r="R12" i="1541"/>
  <c r="R11" i="1541"/>
  <c r="L10" i="1541"/>
  <c r="D10" i="1541"/>
  <c r="L9" i="1541"/>
  <c r="D9" i="1541"/>
  <c r="R6" i="1541"/>
  <c r="L6" i="1541"/>
  <c r="D6" i="1541" s="1"/>
  <c r="R5" i="1541"/>
  <c r="R4" i="1541"/>
  <c r="G49" i="1564" l="1"/>
  <c r="G49" i="1563"/>
  <c r="D54" i="1564"/>
  <c r="H14" i="1564" s="1"/>
  <c r="D54" i="1563"/>
  <c r="H14" i="1563" s="1"/>
  <c r="D29" i="1563"/>
  <c r="H13" i="1563" s="1"/>
  <c r="D54" i="1562"/>
  <c r="H14" i="1562" s="1"/>
  <c r="D29" i="1562"/>
  <c r="H13" i="1562" s="1"/>
  <c r="D54" i="1560"/>
  <c r="H14" i="1560" s="1"/>
  <c r="D29" i="1560"/>
  <c r="H13" i="1560" s="1"/>
  <c r="D54" i="1559"/>
  <c r="H14" i="1559" s="1"/>
  <c r="D29" i="1559"/>
  <c r="H13" i="1559" s="1"/>
  <c r="D54" i="1558"/>
  <c r="H14" i="1558" s="1"/>
  <c r="G49" i="1560"/>
  <c r="G49" i="1559"/>
  <c r="G49" i="1558"/>
  <c r="G49" i="1556"/>
  <c r="G49" i="1555"/>
  <c r="G49" i="1554"/>
  <c r="D54" i="1556"/>
  <c r="H14" i="1556" s="1"/>
  <c r="D54" i="1555"/>
  <c r="H14" i="1555" s="1"/>
  <c r="D54" i="1554"/>
  <c r="H14" i="1554" s="1"/>
  <c r="D54" i="1552"/>
  <c r="H14" i="1552" s="1"/>
  <c r="D54" i="1551"/>
  <c r="H14" i="1551" s="1"/>
  <c r="D54" i="1550"/>
  <c r="H14" i="1550" s="1"/>
  <c r="G49" i="1547"/>
  <c r="G49" i="1546"/>
  <c r="D54" i="1548"/>
  <c r="H14" i="1548" s="1"/>
  <c r="D54" i="1547"/>
  <c r="H14" i="1547" s="1"/>
  <c r="D54" i="1546"/>
  <c r="H14" i="1546" s="1"/>
  <c r="D54" i="1544"/>
  <c r="H14" i="1544" s="1"/>
  <c r="D54" i="1543"/>
  <c r="H14" i="1543" s="1"/>
  <c r="D54" i="1542"/>
  <c r="H14" i="1542" s="1"/>
  <c r="G49" i="1543"/>
  <c r="G49" i="1542"/>
  <c r="D29" i="1564"/>
  <c r="H13" i="1564" s="1"/>
  <c r="D29" i="1561"/>
  <c r="H13" i="1561" s="1"/>
  <c r="H15" i="1561" s="1"/>
  <c r="H29" i="1561" s="1"/>
  <c r="G51" i="1561" s="1"/>
  <c r="D29" i="1558"/>
  <c r="H13" i="1558" s="1"/>
  <c r="D29" i="1557"/>
  <c r="H13" i="1557" s="1"/>
  <c r="H15" i="1557" s="1"/>
  <c r="H29" i="1557" s="1"/>
  <c r="G51" i="1557" s="1"/>
  <c r="D29" i="1556"/>
  <c r="H13" i="1556" s="1"/>
  <c r="D29" i="1555"/>
  <c r="H13" i="1555" s="1"/>
  <c r="D29" i="1554"/>
  <c r="H13" i="1554" s="1"/>
  <c r="H15" i="1554" s="1"/>
  <c r="H29" i="1554" s="1"/>
  <c r="D29" i="1553"/>
  <c r="H13" i="1553" s="1"/>
  <c r="H15" i="1553" s="1"/>
  <c r="H29" i="1553" s="1"/>
  <c r="G51" i="1553" s="1"/>
  <c r="D29" i="1552"/>
  <c r="H13" i="1552" s="1"/>
  <c r="D29" i="1551"/>
  <c r="H13" i="1551" s="1"/>
  <c r="H15" i="1551" s="1"/>
  <c r="H29" i="1551" s="1"/>
  <c r="G51" i="1551" s="1"/>
  <c r="D29" i="1550"/>
  <c r="H13" i="1550" s="1"/>
  <c r="D29" i="1549"/>
  <c r="H13" i="1549" s="1"/>
  <c r="H15" i="1549" s="1"/>
  <c r="H29" i="1549" s="1"/>
  <c r="G51" i="1549" s="1"/>
  <c r="D29" i="1548"/>
  <c r="H13" i="1548" s="1"/>
  <c r="D29" i="1547"/>
  <c r="H13" i="1547" s="1"/>
  <c r="D29" i="1546"/>
  <c r="H13" i="1546" s="1"/>
  <c r="H15" i="1546" s="1"/>
  <c r="H29" i="1546" s="1"/>
  <c r="G51" i="1546" s="1"/>
  <c r="D29" i="1545"/>
  <c r="H13" i="1545" s="1"/>
  <c r="H15" i="1545" s="1"/>
  <c r="H29" i="1545" s="1"/>
  <c r="G51" i="1545" s="1"/>
  <c r="D29" i="1544"/>
  <c r="H13" i="1544" s="1"/>
  <c r="D29" i="1543"/>
  <c r="H13" i="1543" s="1"/>
  <c r="D29" i="1542"/>
  <c r="H13" i="1542" s="1"/>
  <c r="D29" i="1541"/>
  <c r="H13" i="1541" s="1"/>
  <c r="H15" i="1541" s="1"/>
  <c r="H29" i="1541" s="1"/>
  <c r="G51" i="1541" s="1"/>
  <c r="R52" i="1539"/>
  <c r="R51" i="1539"/>
  <c r="D50" i="1539"/>
  <c r="R49" i="1539"/>
  <c r="D49" i="1539"/>
  <c r="R48" i="1539"/>
  <c r="D48" i="1539"/>
  <c r="D46" i="1539"/>
  <c r="D45" i="1539"/>
  <c r="D44" i="1539"/>
  <c r="R42" i="1539"/>
  <c r="L6" i="1539" s="1"/>
  <c r="D6" i="1539" s="1"/>
  <c r="D42" i="1539"/>
  <c r="R41" i="1539"/>
  <c r="L7" i="1539" s="1"/>
  <c r="D7" i="1539" s="1"/>
  <c r="D41" i="1539"/>
  <c r="R40" i="1539"/>
  <c r="L8" i="1539" s="1"/>
  <c r="D8" i="1539" s="1"/>
  <c r="D40" i="1539"/>
  <c r="R39" i="1539"/>
  <c r="H39" i="1539"/>
  <c r="D39" i="1539"/>
  <c r="R38" i="1539"/>
  <c r="H38" i="1539"/>
  <c r="D38" i="1539"/>
  <c r="R37" i="1539"/>
  <c r="H37" i="1539"/>
  <c r="D37" i="1539"/>
  <c r="R36" i="1539"/>
  <c r="H36" i="1539"/>
  <c r="D36" i="1539"/>
  <c r="R35" i="1539"/>
  <c r="H35" i="1539"/>
  <c r="D35" i="1539"/>
  <c r="R34" i="1539"/>
  <c r="H34" i="1539"/>
  <c r="D34" i="1539"/>
  <c r="R33" i="1539"/>
  <c r="L23" i="1539" s="1"/>
  <c r="D23" i="1539" s="1"/>
  <c r="R32" i="1539"/>
  <c r="R31" i="1539"/>
  <c r="R30" i="1539"/>
  <c r="R29" i="1539"/>
  <c r="R28" i="1539"/>
  <c r="D28" i="1539"/>
  <c r="R27" i="1539"/>
  <c r="D27" i="1539"/>
  <c r="R26" i="1539"/>
  <c r="L26" i="1539"/>
  <c r="D26" i="1539" s="1"/>
  <c r="R25" i="1539"/>
  <c r="L25" i="1539"/>
  <c r="D25" i="1539" s="1"/>
  <c r="R24" i="1539"/>
  <c r="D24" i="1539"/>
  <c r="R23" i="1539"/>
  <c r="R22" i="1539"/>
  <c r="L22" i="1539"/>
  <c r="D22" i="1539"/>
  <c r="R21" i="1539"/>
  <c r="D21" i="1539"/>
  <c r="R20" i="1539"/>
  <c r="L20" i="1539"/>
  <c r="D20" i="1539" s="1"/>
  <c r="R19" i="1539"/>
  <c r="L19" i="1539"/>
  <c r="D19" i="1539" s="1"/>
  <c r="R18" i="1539"/>
  <c r="D18" i="1539"/>
  <c r="R17" i="1539"/>
  <c r="D17" i="1539"/>
  <c r="R16" i="1539"/>
  <c r="L16" i="1539"/>
  <c r="D16" i="1539" s="1"/>
  <c r="R15" i="1539"/>
  <c r="D15" i="1539"/>
  <c r="R14" i="1539"/>
  <c r="D14" i="1539"/>
  <c r="R13" i="1539"/>
  <c r="D13" i="1539"/>
  <c r="R12" i="1539"/>
  <c r="L12" i="1539"/>
  <c r="D12" i="1539" s="1"/>
  <c r="R11" i="1539"/>
  <c r="L11" i="1539"/>
  <c r="D11" i="1539"/>
  <c r="L10" i="1539"/>
  <c r="D10" i="1539"/>
  <c r="L9" i="1539"/>
  <c r="D9" i="1539"/>
  <c r="R6" i="1539"/>
  <c r="R5" i="1539"/>
  <c r="R4" i="1539"/>
  <c r="R52" i="1538"/>
  <c r="R51" i="1538"/>
  <c r="D50" i="1538"/>
  <c r="R49" i="1538"/>
  <c r="D49" i="1538"/>
  <c r="R48" i="1538"/>
  <c r="D48" i="1538"/>
  <c r="D46" i="1538"/>
  <c r="D45" i="1538"/>
  <c r="D44" i="1538"/>
  <c r="R42" i="1538"/>
  <c r="D42" i="1538"/>
  <c r="R41" i="1538"/>
  <c r="D41" i="1538"/>
  <c r="R40" i="1538"/>
  <c r="D40" i="1538"/>
  <c r="R39" i="1538"/>
  <c r="H39" i="1538"/>
  <c r="D39" i="1538"/>
  <c r="R38" i="1538"/>
  <c r="H38" i="1538"/>
  <c r="D38" i="1538"/>
  <c r="R37" i="1538"/>
  <c r="H37" i="1538"/>
  <c r="D37" i="1538"/>
  <c r="R36" i="1538"/>
  <c r="L10" i="1538" s="1"/>
  <c r="D10" i="1538" s="1"/>
  <c r="H36" i="1538"/>
  <c r="D36" i="1538"/>
  <c r="R35" i="1538"/>
  <c r="H35" i="1538"/>
  <c r="D35" i="1538"/>
  <c r="R34" i="1538"/>
  <c r="L12" i="1538" s="1"/>
  <c r="D12" i="1538" s="1"/>
  <c r="H34" i="1538"/>
  <c r="D34" i="1538"/>
  <c r="R33" i="1538"/>
  <c r="R32" i="1538"/>
  <c r="L11" i="1538" s="1"/>
  <c r="D11" i="1538" s="1"/>
  <c r="R31" i="1538"/>
  <c r="R30" i="1538"/>
  <c r="R29" i="1538"/>
  <c r="R28" i="1538"/>
  <c r="D28" i="1538"/>
  <c r="R27" i="1538"/>
  <c r="D27" i="1538"/>
  <c r="R26" i="1538"/>
  <c r="L26" i="1538"/>
  <c r="D26" i="1538"/>
  <c r="R25" i="1538"/>
  <c r="L25" i="1538"/>
  <c r="D25" i="1538"/>
  <c r="R24" i="1538"/>
  <c r="L24" i="1538"/>
  <c r="D24" i="1538" s="1"/>
  <c r="R23" i="1538"/>
  <c r="L23" i="1538"/>
  <c r="D23" i="1538" s="1"/>
  <c r="R22" i="1538"/>
  <c r="L22" i="1538"/>
  <c r="D22" i="1538" s="1"/>
  <c r="R21" i="1538"/>
  <c r="D21" i="1538"/>
  <c r="R20" i="1538"/>
  <c r="L20" i="1538"/>
  <c r="D20" i="1538" s="1"/>
  <c r="R19" i="1538"/>
  <c r="L19" i="1538"/>
  <c r="D19" i="1538"/>
  <c r="R18" i="1538"/>
  <c r="D18" i="1538"/>
  <c r="R17" i="1538"/>
  <c r="L17" i="1538"/>
  <c r="D17" i="1538" s="1"/>
  <c r="R16" i="1538"/>
  <c r="L16" i="1538"/>
  <c r="D16" i="1538" s="1"/>
  <c r="R15" i="1538"/>
  <c r="D15" i="1538"/>
  <c r="R14" i="1538"/>
  <c r="D14" i="1538"/>
  <c r="R13" i="1538"/>
  <c r="D13" i="1538"/>
  <c r="R12" i="1538"/>
  <c r="R11" i="1538"/>
  <c r="L9" i="1538"/>
  <c r="D9" i="1538"/>
  <c r="L8" i="1538"/>
  <c r="D8" i="1538" s="1"/>
  <c r="L7" i="1538"/>
  <c r="D7" i="1538"/>
  <c r="R6" i="1538"/>
  <c r="L6" i="1538"/>
  <c r="D6" i="1538" s="1"/>
  <c r="R5" i="1538"/>
  <c r="R4" i="1538"/>
  <c r="R52" i="1537"/>
  <c r="R51" i="1537"/>
  <c r="D50" i="1537"/>
  <c r="R49" i="1537"/>
  <c r="D49" i="1537"/>
  <c r="R48" i="1537"/>
  <c r="D48" i="1537"/>
  <c r="D46" i="1537"/>
  <c r="D45" i="1537"/>
  <c r="P44" i="1537"/>
  <c r="R44" i="1537" s="1"/>
  <c r="D44" i="1537"/>
  <c r="R42" i="1537"/>
  <c r="L6" i="1537" s="1"/>
  <c r="D6" i="1537" s="1"/>
  <c r="D42" i="1537"/>
  <c r="R41" i="1537"/>
  <c r="L7" i="1537" s="1"/>
  <c r="D7" i="1537" s="1"/>
  <c r="D41" i="1537"/>
  <c r="R40" i="1537"/>
  <c r="D40" i="1537"/>
  <c r="R39" i="1537"/>
  <c r="L20" i="1537" s="1"/>
  <c r="D20" i="1537" s="1"/>
  <c r="H39" i="1537"/>
  <c r="D39" i="1537"/>
  <c r="R38" i="1537"/>
  <c r="H38" i="1537"/>
  <c r="D38" i="1537"/>
  <c r="R37" i="1537"/>
  <c r="H37" i="1537"/>
  <c r="D37" i="1537"/>
  <c r="R36" i="1537"/>
  <c r="H36" i="1537"/>
  <c r="D36" i="1537"/>
  <c r="R35" i="1537"/>
  <c r="H35" i="1537"/>
  <c r="D35" i="1537"/>
  <c r="R34" i="1537"/>
  <c r="L12" i="1537" s="1"/>
  <c r="D12" i="1537" s="1"/>
  <c r="H34" i="1537"/>
  <c r="D34" i="1537"/>
  <c r="R33" i="1537"/>
  <c r="R32" i="1537"/>
  <c r="R31" i="1537"/>
  <c r="R30" i="1537"/>
  <c r="R29" i="1537"/>
  <c r="R28" i="1537"/>
  <c r="D28" i="1537"/>
  <c r="R27" i="1537"/>
  <c r="D27" i="1537"/>
  <c r="R26" i="1537"/>
  <c r="D26" i="1537"/>
  <c r="R25" i="1537"/>
  <c r="D25" i="1537"/>
  <c r="R24" i="1537"/>
  <c r="L24" i="1537"/>
  <c r="D24" i="1537"/>
  <c r="R23" i="1537"/>
  <c r="D23" i="1537"/>
  <c r="R22" i="1537"/>
  <c r="D22" i="1537"/>
  <c r="R21" i="1537"/>
  <c r="D21" i="1537"/>
  <c r="R20" i="1537"/>
  <c r="R19" i="1537"/>
  <c r="D19" i="1537"/>
  <c r="R18" i="1537"/>
  <c r="D18" i="1537"/>
  <c r="R17" i="1537"/>
  <c r="L17" i="1537"/>
  <c r="D17" i="1537"/>
  <c r="R16" i="1537"/>
  <c r="L16" i="1537"/>
  <c r="D16" i="1537"/>
  <c r="R15" i="1537"/>
  <c r="D15" i="1537"/>
  <c r="R14" i="1537"/>
  <c r="D14" i="1537"/>
  <c r="R13" i="1537"/>
  <c r="D13" i="1537"/>
  <c r="R12" i="1537"/>
  <c r="R11" i="1537"/>
  <c r="L11" i="1537"/>
  <c r="D11" i="1537"/>
  <c r="L10" i="1537"/>
  <c r="D10" i="1537" s="1"/>
  <c r="L9" i="1537"/>
  <c r="D9" i="1537" s="1"/>
  <c r="L8" i="1537"/>
  <c r="D8" i="1537"/>
  <c r="R6" i="1537"/>
  <c r="R5" i="1537"/>
  <c r="R4" i="1537"/>
  <c r="R52" i="1536"/>
  <c r="R51" i="1536"/>
  <c r="D50" i="1536"/>
  <c r="R49" i="1536"/>
  <c r="G49" i="1536"/>
  <c r="D49" i="1536"/>
  <c r="R48" i="1536"/>
  <c r="D48" i="1536"/>
  <c r="D46" i="1536"/>
  <c r="D45" i="1536"/>
  <c r="D44" i="1536"/>
  <c r="R42" i="1536"/>
  <c r="D42" i="1536"/>
  <c r="R41" i="1536"/>
  <c r="L7" i="1536" s="1"/>
  <c r="D7" i="1536" s="1"/>
  <c r="D41" i="1536"/>
  <c r="R40" i="1536"/>
  <c r="L8" i="1536" s="1"/>
  <c r="D8" i="1536" s="1"/>
  <c r="D40" i="1536"/>
  <c r="R39" i="1536"/>
  <c r="D39" i="1536"/>
  <c r="R38" i="1536"/>
  <c r="D38" i="1536"/>
  <c r="R37" i="1536"/>
  <c r="D37" i="1536"/>
  <c r="R36" i="1536"/>
  <c r="L10" i="1536" s="1"/>
  <c r="D10" i="1536" s="1"/>
  <c r="D36" i="1536"/>
  <c r="D54" i="1536" s="1"/>
  <c r="H14" i="1536" s="1"/>
  <c r="R35" i="1536"/>
  <c r="D35" i="1536"/>
  <c r="R34" i="1536"/>
  <c r="L12" i="1536" s="1"/>
  <c r="D12" i="1536" s="1"/>
  <c r="D34" i="1536"/>
  <c r="R33" i="1536"/>
  <c r="L23" i="1536" s="1"/>
  <c r="D23" i="1536" s="1"/>
  <c r="R32" i="1536"/>
  <c r="R31" i="1536"/>
  <c r="R30" i="1536"/>
  <c r="R29" i="1536"/>
  <c r="R28" i="1536"/>
  <c r="D28" i="1536"/>
  <c r="R27" i="1536"/>
  <c r="D27" i="1536"/>
  <c r="R26" i="1536"/>
  <c r="L26" i="1536"/>
  <c r="D26" i="1536"/>
  <c r="R25" i="1536"/>
  <c r="L25" i="1536"/>
  <c r="D25" i="1536"/>
  <c r="R24" i="1536"/>
  <c r="D24" i="1536"/>
  <c r="R23" i="1536"/>
  <c r="R22" i="1536"/>
  <c r="L22" i="1536"/>
  <c r="D22" i="1536" s="1"/>
  <c r="R21" i="1536"/>
  <c r="D21" i="1536"/>
  <c r="R20" i="1536"/>
  <c r="L20" i="1536"/>
  <c r="D20" i="1536"/>
  <c r="R19" i="1536"/>
  <c r="L19" i="1536"/>
  <c r="D19" i="1536"/>
  <c r="R18" i="1536"/>
  <c r="D18" i="1536"/>
  <c r="R17" i="1536"/>
  <c r="D17" i="1536"/>
  <c r="R16" i="1536"/>
  <c r="L16" i="1536"/>
  <c r="D16" i="1536" s="1"/>
  <c r="S15" i="1536"/>
  <c r="R15" i="1536"/>
  <c r="D15" i="1536"/>
  <c r="S14" i="1536"/>
  <c r="R14" i="1536"/>
  <c r="D14" i="1536"/>
  <c r="R13" i="1536"/>
  <c r="D13" i="1536"/>
  <c r="R12" i="1536"/>
  <c r="R11" i="1536"/>
  <c r="L11" i="1536"/>
  <c r="D11" i="1536" s="1"/>
  <c r="L9" i="1536"/>
  <c r="D9" i="1536" s="1"/>
  <c r="R6" i="1536"/>
  <c r="L6" i="1536"/>
  <c r="D6" i="1536" s="1"/>
  <c r="R5" i="1536"/>
  <c r="R4" i="1536"/>
  <c r="H15" i="1564" l="1"/>
  <c r="H29" i="1564" s="1"/>
  <c r="G51" i="1564" s="1"/>
  <c r="H15" i="1563"/>
  <c r="H29" i="1563" s="1"/>
  <c r="G51" i="1563" s="1"/>
  <c r="H15" i="1562"/>
  <c r="H29" i="1562" s="1"/>
  <c r="G51" i="1562" s="1"/>
  <c r="H15" i="1560"/>
  <c r="H29" i="1560" s="1"/>
  <c r="G51" i="1560" s="1"/>
  <c r="H15" i="1559"/>
  <c r="H29" i="1559" s="1"/>
  <c r="G51" i="1559" s="1"/>
  <c r="H15" i="1558"/>
  <c r="H29" i="1558" s="1"/>
  <c r="G51" i="1558" s="1"/>
  <c r="G51" i="1554"/>
  <c r="H15" i="1556"/>
  <c r="H29" i="1556" s="1"/>
  <c r="G51" i="1556" s="1"/>
  <c r="H15" i="1555"/>
  <c r="H29" i="1555" s="1"/>
  <c r="G51" i="1555" s="1"/>
  <c r="H15" i="1552"/>
  <c r="H29" i="1552" s="1"/>
  <c r="G51" i="1552" s="1"/>
  <c r="H15" i="1550"/>
  <c r="H29" i="1550" s="1"/>
  <c r="G51" i="1550" s="1"/>
  <c r="H15" i="1548"/>
  <c r="G51" i="1548" s="1"/>
  <c r="H15" i="1547"/>
  <c r="H29" i="1547" s="1"/>
  <c r="G51" i="1547" s="1"/>
  <c r="H15" i="1544"/>
  <c r="H29" i="1544" s="1"/>
  <c r="G51" i="1544" s="1"/>
  <c r="H15" i="1543"/>
  <c r="H29" i="1543" s="1"/>
  <c r="G51" i="1543" s="1"/>
  <c r="H15" i="1542"/>
  <c r="H29" i="1542" s="1"/>
  <c r="G51" i="1542"/>
  <c r="G49" i="1539"/>
  <c r="G49" i="1538"/>
  <c r="G49" i="1537"/>
  <c r="D54" i="1539"/>
  <c r="H14" i="1539" s="1"/>
  <c r="D54" i="1538"/>
  <c r="H14" i="1538" s="1"/>
  <c r="D54" i="1537"/>
  <c r="H14" i="1537" s="1"/>
  <c r="D29" i="1537"/>
  <c r="H13" i="1537" s="1"/>
  <c r="D29" i="1539"/>
  <c r="H13" i="1539" s="1"/>
  <c r="D29" i="1538"/>
  <c r="H13" i="1538" s="1"/>
  <c r="D29" i="1536"/>
  <c r="H13" i="1536" s="1"/>
  <c r="H15" i="1536" s="1"/>
  <c r="H29" i="1536" s="1"/>
  <c r="G51" i="1536" s="1"/>
  <c r="H15" i="1539" l="1"/>
  <c r="H29" i="1539" s="1"/>
  <c r="G51" i="1539" s="1"/>
  <c r="H15" i="1538"/>
  <c r="H29" i="1538" s="1"/>
  <c r="G51" i="1538" s="1"/>
  <c r="H15" i="1537"/>
  <c r="H29" i="1537" s="1"/>
  <c r="G51" i="1537" s="1"/>
</calcChain>
</file>

<file path=xl/sharedStrings.xml><?xml version="1.0" encoding="utf-8"?>
<sst xmlns="http://schemas.openxmlformats.org/spreadsheetml/2006/main" count="14622" uniqueCount="254">
  <si>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</si>
  <si>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</si>
  <si>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</si>
  <si>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</si>
  <si>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</si>
  <si>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</si>
  <si>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</si>
  <si>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</si>
  <si>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</si>
  <si>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</si>
  <si>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</si>
  <si>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</si>
  <si>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</si>
  <si>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</si>
  <si>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</si>
  <si>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</si>
  <si>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</si>
  <si>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</si>
  <si>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</si>
  <si>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</si>
  <si>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</si>
  <si>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</si>
  <si>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</si>
  <si>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</si>
  <si>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</si>
  <si>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</si>
  <si>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</si>
  <si>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</si>
  <si>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</si>
  <si>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</si>
  <si>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</si>
  <si>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</si>
  <si>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</si>
  <si>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</si>
  <si>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</si>
  <si>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</si>
  <si>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</si>
  <si>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</si>
  <si>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</si>
  <si>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</si>
  <si>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</si>
  <si>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</si>
  <si>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</si>
  <si>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</si>
  <si>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</si>
  <si>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</si>
  <si>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</si>
  <si>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</si>
  <si>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</si>
  <si>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</si>
  <si>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</si>
  <si>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</si>
  <si>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</si>
  <si>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</si>
  <si>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</si>
  <si>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</si>
  <si>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</si>
  <si>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</si>
  <si>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</si>
  <si>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</si>
  <si>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</si>
  <si>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</si>
  <si>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</si>
  <si>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</si>
  <si>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</si>
  <si>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</si>
  <si>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</si>
  <si>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</si>
  <si>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</si>
  <si>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</si>
  <si>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</si>
  <si>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</si>
  <si>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</si>
  <si>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</si>
  <si>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</si>
  <si>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</si>
  <si>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</si>
  <si>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</si>
  <si>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</si>
  <si>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</si>
  <si>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</si>
  <si>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</si>
  <si>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</si>
  <si>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</si>
  <si>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</si>
  <si>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</si>
  <si>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</si>
  <si>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</si>
  <si>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</si>
  <si>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</si>
  <si>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</si>
  <si>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</si>
  <si>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</si>
  <si>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</si>
  <si>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</si>
  <si>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</si>
  <si>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</si>
  <si>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</si>
  <si>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</si>
  <si>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</si>
  <si>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</si>
  <si>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</si>
  <si>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</si>
  <si>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</si>
  <si>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</si>
  <si>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</si>
  <si>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</si>
  <si>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</si>
  <si>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</si>
  <si>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</si>
  <si>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</si>
  <si>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</si>
  <si>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SALIG, JULIVEN</t>
  </si>
  <si>
    <t>PAMC</t>
  </si>
  <si>
    <t>ENCLONAR, JEROME</t>
  </si>
  <si>
    <t>SALIG, JOVANI</t>
  </si>
  <si>
    <t>SDC</t>
  </si>
  <si>
    <t>FBAC</t>
  </si>
  <si>
    <t xml:space="preserve">                            RONNEL DANDAYO</t>
  </si>
  <si>
    <t>ARANCES, MARIO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</si>
  <si>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</si>
  <si>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</si>
  <si>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</si>
  <si>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</si>
  <si>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</si>
  <si>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</si>
  <si>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</si>
  <si>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</si>
  <si>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</si>
  <si>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</si>
  <si>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</si>
  <si>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</si>
  <si>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</si>
  <si>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 xml:space="preserve">                           ESTEMARK PORMENTO</t>
  </si>
  <si>
    <t>FBAC/FBLC</t>
  </si>
  <si>
    <t>GOMORA, JURLAN</t>
  </si>
  <si>
    <t>CC/CIC/C10C</t>
  </si>
  <si>
    <t>CBB</t>
  </si>
  <si>
    <t>CLC/SDC</t>
  </si>
  <si>
    <t>SMZB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</si>
  <si>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</si>
  <si>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GICA, GRACE B.</t>
  </si>
  <si>
    <t xml:space="preserve">                             GRACE B. GICA</t>
  </si>
  <si>
    <t>FB BOTT.</t>
  </si>
  <si>
    <t>PP BOTT.</t>
  </si>
  <si>
    <t>G-CASH</t>
  </si>
  <si>
    <t>PNB BANK TRANSFER</t>
  </si>
  <si>
    <t>BALWARTE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</si>
  <si>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</si>
  <si>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G-CASH(NEILVIN)</t>
  </si>
  <si>
    <t>BDO</t>
  </si>
  <si>
    <t>140843</t>
  </si>
  <si>
    <t>1VB</t>
  </si>
  <si>
    <t>4820778</t>
  </si>
  <si>
    <t>ELIZABETH HENSON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</si>
  <si>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</si>
  <si>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42909</t>
  </si>
  <si>
    <t>47839</t>
  </si>
  <si>
    <t>BANK TRANSFER</t>
  </si>
  <si>
    <t>MERCADO</t>
  </si>
  <si>
    <t>4820762</t>
  </si>
  <si>
    <t>FBAC/FBLYC</t>
  </si>
  <si>
    <t>140854</t>
  </si>
  <si>
    <t>PNB</t>
  </si>
  <si>
    <t>200005619</t>
  </si>
  <si>
    <t>200002634</t>
  </si>
  <si>
    <t>SOUND CHECK</t>
  </si>
  <si>
    <t>PSBC</t>
  </si>
  <si>
    <t>2120007601</t>
  </si>
  <si>
    <t>2120012734</t>
  </si>
  <si>
    <t>47849</t>
  </si>
  <si>
    <t>200002637</t>
  </si>
  <si>
    <t>SOUNDCHECK</t>
  </si>
  <si>
    <t>42916</t>
  </si>
  <si>
    <t>135251</t>
  </si>
  <si>
    <t>200002642</t>
  </si>
  <si>
    <t>146729</t>
  </si>
  <si>
    <t>47858</t>
  </si>
  <si>
    <t>4820760</t>
  </si>
  <si>
    <t>SMLB BOTT.</t>
  </si>
  <si>
    <t>144902</t>
  </si>
  <si>
    <t>200007315</t>
  </si>
  <si>
    <t>2120007602</t>
  </si>
  <si>
    <t>2120012750</t>
  </si>
  <si>
    <t>143297</t>
  </si>
  <si>
    <t>146745</t>
  </si>
  <si>
    <t>20005641</t>
  </si>
  <si>
    <t>145600</t>
  </si>
  <si>
    <t>143301</t>
  </si>
  <si>
    <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 xml:space="preserve">/ </t>
    </r>
    <r>
      <rPr>
        <u/>
        <sz val="11"/>
        <rFont val="Calibri"/>
        <family val="2"/>
        <scheme val="minor"/>
      </rPr>
      <t xml:space="preserve">OVER </t>
    </r>
  </si>
  <si>
    <t>42923</t>
  </si>
  <si>
    <t>PPC/RHC/SMLC</t>
  </si>
  <si>
    <t>200002655</t>
  </si>
  <si>
    <t>146755</t>
  </si>
  <si>
    <t>FBLYC/FBAC</t>
  </si>
  <si>
    <t>KRB</t>
  </si>
  <si>
    <t>PAMB/SDB</t>
  </si>
  <si>
    <t>FBAC/FBLC/FBLYC</t>
  </si>
  <si>
    <t>PPG</t>
  </si>
  <si>
    <t>SMLC/RHC/PPC</t>
  </si>
  <si>
    <t>PNB(BALWARTE)</t>
  </si>
  <si>
    <t>43302</t>
  </si>
  <si>
    <t>HENSON INCENTIVES</t>
  </si>
  <si>
    <t>146756</t>
  </si>
  <si>
    <t>47876</t>
  </si>
  <si>
    <t>144931</t>
  </si>
  <si>
    <t>TEBAN</t>
  </si>
  <si>
    <t>42928</t>
  </si>
  <si>
    <t>2120012790</t>
  </si>
  <si>
    <t>BOSS RIE</t>
  </si>
  <si>
    <t>146762</t>
  </si>
  <si>
    <t>1ST VALLEY BANK</t>
  </si>
  <si>
    <t>20002672</t>
  </si>
  <si>
    <t>200005668</t>
  </si>
  <si>
    <t>4820791</t>
  </si>
  <si>
    <t>CBB/PAMB</t>
  </si>
  <si>
    <t>PAMC/CBC/SDC</t>
  </si>
  <si>
    <t>141961</t>
  </si>
  <si>
    <t>135255</t>
  </si>
  <si>
    <t>CC/CIC/CIC</t>
  </si>
  <si>
    <t>146766</t>
  </si>
  <si>
    <t>2000007345</t>
  </si>
  <si>
    <t>2000005675</t>
  </si>
  <si>
    <t>2000002683</t>
  </si>
  <si>
    <t>HENSON</t>
  </si>
  <si>
    <t>47883</t>
  </si>
  <si>
    <t>CASH</t>
  </si>
  <si>
    <t>145651</t>
  </si>
  <si>
    <t>144943</t>
  </si>
  <si>
    <t>143324</t>
  </si>
  <si>
    <t>42932</t>
  </si>
  <si>
    <t>4820792</t>
  </si>
  <si>
    <t>200000</t>
  </si>
  <si>
    <t>1-A</t>
  </si>
  <si>
    <t>1-B</t>
  </si>
  <si>
    <t>LOPEZ, GINA</t>
  </si>
  <si>
    <t>PODIOTAN, AIR JOHN</t>
  </si>
  <si>
    <t>2120012797</t>
  </si>
  <si>
    <t>146770</t>
  </si>
  <si>
    <t>BPO</t>
  </si>
  <si>
    <t>2000007354</t>
  </si>
  <si>
    <t>2000002691</t>
  </si>
  <si>
    <t>42934</t>
  </si>
  <si>
    <t>1B</t>
  </si>
  <si>
    <t>GEK</t>
  </si>
  <si>
    <t>2120012799</t>
  </si>
  <si>
    <t>135258</t>
  </si>
  <si>
    <t>135259</t>
  </si>
  <si>
    <t>GRACE CHIONG</t>
  </si>
  <si>
    <t>JEROME</t>
  </si>
  <si>
    <t>PORMAN</t>
  </si>
  <si>
    <t>2000005687</t>
  </si>
  <si>
    <t>2000007364</t>
  </si>
  <si>
    <t>2000007363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</si>
</sst>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u/>
      <sz val="11"/>
      <name val="Calibri"/>
      <family val="2"/>
      <scheme val="minor"/>
    </font>
    <font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80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16" xfId="0" applyFont="1" applyFill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9" fillId="0" borderId="16" xfId="0" applyFont="1" applyBorder="1" applyAlignment="1">
      <alignment horizontal="right"/>
    </xf>
    <xf numFmtId="0" fontId="22" fillId="0" borderId="16" xfId="0" applyFont="1" applyBorder="1" applyAlignment="1">
      <alignment horizontal="right"/>
    </xf>
    <xf numFmtId="0" fontId="22" fillId="0" borderId="10" xfId="0" applyFont="1" applyBorder="1" applyAlignment="1">
      <alignment horizontal="center"/>
    </xf>
    <xf numFmtId="0" fontId="14" fillId="0" borderId="10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15" fillId="0" borderId="10" xfId="0" applyFont="1" applyBorder="1" applyAlignment="1">
      <alignment horizontal="center"/>
    </xf>
    <xf numFmtId="49" fontId="22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4" fillId="0" borderId="21" xfId="0" applyFont="1" applyBorder="1"/>
    <xf numFmtId="0" fontId="24" fillId="0" borderId="16" xfId="0" applyFont="1" applyBorder="1"/>
    <xf numFmtId="0" fontId="22" fillId="0" borderId="16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9" fillId="0" borderId="16" xfId="0" applyFont="1" applyBorder="1"/>
    <xf numFmtId="0" fontId="3" fillId="0" borderId="10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9" fontId="0" fillId="0" borderId="16" xfId="0" applyNumberFormat="1" applyFont="1" applyBorder="1" applyAlignment="1">
      <alignment horizontal="right"/>
    </xf>
    <xf numFmtId="0" fontId="0" fillId="0" borderId="16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5" fillId="3" borderId="21" xfId="0" applyFont="1" applyFill="1" applyBorder="1" applyAlignment="1">
      <alignment horizontal="center" vertical="center" textRotation="90"/>
    </xf>
    <xf numFmtId="0" fontId="0" fillId="0" borderId="16" xfId="0" applyFont="1" applyBorder="1" applyAlignment="1">
      <alignment horizontal="right"/>
    </xf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12" fillId="3" borderId="16" xfId="0" applyNumberFormat="1" applyFont="1" applyFill="1" applyBorder="1" applyAlignment="1">
      <alignment horizontal="right"/>
    </xf>
    <xf numFmtId="44" fontId="0" fillId="3" borderId="16" xfId="0" applyNumberFormat="1" applyFill="1" applyBorder="1" applyAlignment="1">
      <alignment horizontal="right"/>
    </xf>
    <xf numFmtId="44" fontId="12" fillId="3" borderId="12" xfId="0" applyNumberFormat="1" applyFont="1" applyFill="1" applyBorder="1" applyAlignment="1">
      <alignment horizontal="center"/>
    </xf>
    <xf numFmtId="44" fontId="12" fillId="3" borderId="28" xfId="0" applyNumberFormat="1" applyFont="1" applyFill="1" applyBorder="1" applyAlignment="1">
      <alignment horizontal="center"/>
    </xf>
    <xf numFmtId="44" fontId="12" fillId="3" borderId="23" xfId="0" applyNumberFormat="1" applyFont="1" applyFill="1" applyBorder="1" applyAlignment="1">
      <alignment horizontal="center"/>
    </xf>
    <xf numFmtId="44" fontId="8" fillId="0" borderId="6" xfId="0" applyNumberFormat="1" applyFont="1" applyBorder="1" applyAlignment="1">
      <alignment horizontal="left" vertical="center"/>
    </xf>
    <xf numFmtId="44" fontId="8" fillId="0" borderId="4" xfId="0" applyNumberFormat="1" applyFont="1" applyBorder="1" applyAlignment="1">
      <alignment horizontal="left" vertical="center"/>
    </xf>
    <xf numFmtId="44" fontId="8" fillId="0" borderId="7" xfId="0" applyNumberFormat="1" applyFont="1" applyBorder="1" applyAlignment="1">
      <alignment horizontal="left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theme" Target="theme/theme1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styles" Target="styles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14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calcChain" Target="calcChain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A80107-E02E-42A2-A7AC-093B578060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81B0AE-09AA-46F1-BC89-679C876B3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70E8CEA-80E7-4FF4-8CA0-6347B523DD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D5650FE-A2BD-4377-B59C-20522EC23D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A7D46D-48CB-4139-9F1F-02C6547DD6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417E26-9084-41A0-91BC-AA8D92F691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802C35E-176A-479B-A8CF-BFC6F8D277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D9B136-301A-4C78-95CF-2E0F95DFE9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817738-C258-468E-AE04-CF0F499820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988391-ECA5-47FD-939E-D7C4897E03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7EA27E-3579-44C0-8FF2-62B83650F8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020075-1623-48A4-B754-60DFCBC005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A79E672-B797-44F5-8651-FC7F840D13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B1807CD-5C9F-47CB-9079-0562A96B27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16A13F-929F-4D08-BB32-A2DC845346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1C6A06-A3FF-43A2-BACC-1C5557D361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015DA5-5D68-4DC3-8DD8-C33BAF61C6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AE6300-D4F3-4A55-8237-2BCD6B22F2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6D341B-1216-4509-BD3F-2705A7706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810255-88D2-489E-9764-2AFEDB76BC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939A98-8F84-4880-86B6-4D02A120E6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14B207E-07A4-4C86-AAD8-C5391B97D7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996E79-3028-4E68-BAD1-CD5AAE31CA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C4D8823-62A4-47A3-86C1-A331E3C7A2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8CFE86-5B27-4A2B-8CC0-0BC230FDB4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E4C996-1F89-440F-AC6B-099019A06A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AB3620F-2720-4B53-BD41-C0023C56B6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A3C0FD-8CB2-4E0C-8A57-E2B6CCBAC4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DF0812-2C8B-4EDB-9C96-7423AD9841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892B9C-DC3A-4D0C-B64C-034A2FE915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FDCCBF-A036-4DC4-87BB-DBC33F242D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D8E34D-225C-4108-A785-797DC7BD36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B1E978-16AB-43F5-87B0-02D2E5E0D6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2C6FFD-9C30-4D0A-B591-148E4D106D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7A6FE63-39FA-480D-BCA7-70464CE8F8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7C7879-E685-4FEC-A072-1B9B274608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43C8057-6FF3-4A83-8C00-EDBC8B7DC1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5A9CA9-8245-4CF5-9425-A902A6C8DF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BEE2C4E-6AC1-485D-8A75-A248DBE622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ABBF1D-AB99-42A6-A63D-78489AF726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FC9875-C6A6-4EE5-9A8F-D941CD5C5B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2E89512-80F4-4421-A173-679B6DC3F8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533DD2-5F19-44CC-B47E-38F97CC765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3DF5788-B5F3-4C7F-82BA-468C3735BE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AE1BA4-7419-4287-9002-86DE9813E3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983999-ED4E-48B9-A7B0-92C82BBB03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D0422C-C9B4-42DF-8636-13A1D12E40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2B841A-D560-49E6-89FC-AC95426DD8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C16493-FAD9-40BD-A3B0-6420E4D530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F97E59-CFE5-4728-B092-6C1A95A493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FE21FF-DC9B-4BC6-953E-B68F27C889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7029BF0-B763-4FA4-A55F-AC0C4E623E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D84EDC-255F-4D45-8C78-2B8F16BBFE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64F566-10CC-43B1-B969-B920400A64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CED159-114B-4618-A928-D769CD21A0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E80140F-913D-4C53-B09A-96F084F4F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58C38D-E1C0-44B2-A60E-7DCDDC89F6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47A3B3-9F69-4EEE-BD8B-DB3B15A6D6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1382A27-7D10-4BE7-934D-9B36722593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7DE0E6-D8CD-4780-894D-D6ACB8AC76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369A205-A83A-4C95-809E-E9BE3D7FEA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F6A94B6-ED6F-4E16-B55C-2A3595A14B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B46724-8B1A-46DA-880F-FDEA383BB0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63CE6E3-116B-4B15-867C-1C6F6E5B2B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A9CFD1-3559-4380-9D87-ABEE853BAE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8DEEA77-2330-4BB0-88D1-00D7062709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FEFA6FA-2ED6-4FC7-8DE0-70069F6F65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7076D2-555D-4168-90DA-E134C85608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4A2472-E9F6-466B-98C9-FF75E03111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86B09A-8401-46D7-89BA-94E3739FF4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0E09CC-54F2-46FD-B0ED-575958DD38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7E69AA-A017-486C-89F3-20C224A4D8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A21832-6BFE-4EED-83F8-D9FA5B241B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F17EDBD-A293-417A-927F-3E32AC702E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3E7B8F-BB87-4D55-8DC2-E04BC42E58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BE97BC-8C6F-4D2D-9BA1-B3F22425C4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58F76E-F694-4BA4-ABEE-37FEFC9B5A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54FF88D-CF03-4E14-84CA-92BB1DE219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3BA8C20-09EB-4F28-A312-010508D2BC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FECA1A-2247-4EFF-8B8C-2386AE7200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5E2AF8-C749-4947-A538-CDB9C3F24A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44F98BA-609D-4BDA-AF52-74B1D5DEAE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8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51B4D6-27BD-43E0-9BF5-173133EDD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A4559C-8456-4797-9CD9-9CD87A7153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17FFE0-81C6-4FCC-867A-5D1F497543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B87A0C1-B8BD-4F5A-916F-1882FEBEE1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8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F90AEE9-93FB-4A38-A406-1105BCA9A8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DD01905-A7E6-454E-A55F-D69DD4CD46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C3BBF8E-FAD6-432B-9516-51C63BADF6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8A5B4AD-6FA1-4A2C-A596-0EA3538639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9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10FF08-B3CE-450E-BB1C-455539BD0E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9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015A808-80C7-4CEF-83E4-75FD826ED6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884CE0-F40A-47EC-896F-88199BEA32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94B05D-B605-499D-8083-C1B61927F9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9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52CA696-6D38-4984-BE97-C2AB33F199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9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F64355-0D98-4866-BAD1-0D82FCD06B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9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EE458E2-9EE5-4DDF-BDC3-3924C58125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CF6411-D00B-4B64-AC60-0FEA6B8F8F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EE29097-3896-4D40-AFE1-1C00CCFDC7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0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23F633-B387-45A7-AA7D-6118504D67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0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C895859-E476-4652-A9C6-6F6C379646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36645E-0D00-40A8-B5B7-E529BECFB4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1DC644-1ED0-42FB-AE93-2345245B54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0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42A27C-375F-44DC-A818-E824811215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0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C79D4B-6B91-4FBC-AF2C-256628A8A8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0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57</xdr:row>
      <xdr:rowOff>138241</xdr:rowOff>
    </xdr:from>
    <xdr:to>
      <xdr:col>3</xdr:col>
      <xdr:colOff>371475</xdr:colOff>
      <xdr:row>60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5C107C-C5D5-4E81-AA4E-7A8ED676A6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941E07A-5768-4780-A599-C01631477A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13536B-3C21-4BE8-867F-50ADB038E2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0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8372B5-8EC1-4606-A74E-0F639BBA6A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45DFB4-3C06-4675-82A8-4D6029177D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2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3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4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5.xml"/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6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7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8.xml"/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9.xml"/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0.xml"/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1.xml"/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2.xml"/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3.xml"/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4.xml"/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5.xml"/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6.xml"/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7.xml"/><Relationship Id="rId1" Type="http://schemas.openxmlformats.org/officeDocument/2006/relationships/printerSettings" Target="../printerSettings/printerSettings97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8.xml"/><Relationship Id="rId1" Type="http://schemas.openxmlformats.org/officeDocument/2006/relationships/printerSettings" Target="../printerSettings/printerSettings98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9.xml"/><Relationship Id="rId1" Type="http://schemas.openxmlformats.org/officeDocument/2006/relationships/printerSettings" Target="../printerSettings/printerSettings99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0.xml"/><Relationship Id="rId1" Type="http://schemas.openxmlformats.org/officeDocument/2006/relationships/printerSettings" Target="../printerSettings/printerSettings100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1.xml"/><Relationship Id="rId1" Type="http://schemas.openxmlformats.org/officeDocument/2006/relationships/printerSettings" Target="../printerSettings/printerSettings101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2.xml"/><Relationship Id="rId1" Type="http://schemas.openxmlformats.org/officeDocument/2006/relationships/printerSettings" Target="../printerSettings/printerSettings102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3.xml"/><Relationship Id="rId1" Type="http://schemas.openxmlformats.org/officeDocument/2006/relationships/printerSettings" Target="../printerSettings/printerSettings103.bin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4.xml"/><Relationship Id="rId1" Type="http://schemas.openxmlformats.org/officeDocument/2006/relationships/printerSettings" Target="../printerSettings/printerSettings104.bin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5.xml"/><Relationship Id="rId1" Type="http://schemas.openxmlformats.org/officeDocument/2006/relationships/printerSettings" Target="../printerSettings/printerSettings105.bin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6.xml"/><Relationship Id="rId1" Type="http://schemas.openxmlformats.org/officeDocument/2006/relationships/printerSettings" Target="../printerSettings/printerSettings106.bin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7.xml"/><Relationship Id="rId1" Type="http://schemas.openxmlformats.org/officeDocument/2006/relationships/printerSettings" Target="../printerSettings/printerSettings107.bin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8.xml"/><Relationship Id="rId1" Type="http://schemas.openxmlformats.org/officeDocument/2006/relationships/printerSettings" Target="../printerSettings/printerSettings108.bin"/></Relationships>
</file>

<file path=xl/worksheets/_rels/sheet1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9.xml"/><Relationship Id="rId1" Type="http://schemas.openxmlformats.org/officeDocument/2006/relationships/printerSettings" Target="../printerSettings/printerSettings109.bin"/></Relationships>
</file>

<file path=xl/worksheets/_rels/sheet1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0.xml"/><Relationship Id="rId1" Type="http://schemas.openxmlformats.org/officeDocument/2006/relationships/printerSettings" Target="../printerSettings/printerSettings1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E6A235-3A24-4309-914D-FEF64CDEF2D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9" t="s">
        <v>1</v>
      </c>
      <c r="O1" s="229"/>
      <c r="P1" s="87" t="s">
        <v>2</v>
      </c>
      <c r="Q1" s="8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0" t="s">
        <v>7</v>
      </c>
      <c r="B4" s="181"/>
      <c r="C4" s="181"/>
      <c r="D4" s="182"/>
      <c r="F4" s="230" t="s">
        <v>8</v>
      </c>
      <c r="G4" s="232"/>
      <c r="H4" s="234" t="s">
        <v>9</v>
      </c>
      <c r="I4" s="236"/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5"/>
      <c r="B6" s="16"/>
      <c r="C6" s="10"/>
      <c r="D6" s="13">
        <f t="shared" ref="D6:D28" si="1">C6*L6</f>
        <v>0</v>
      </c>
      <c r="F6" s="240" t="s">
        <v>16</v>
      </c>
      <c r="G6" s="242"/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5"/>
      <c r="B7" s="16"/>
      <c r="C7" s="10"/>
      <c r="D7" s="13">
        <f t="shared" si="1"/>
        <v>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5"/>
      <c r="B8" s="16"/>
      <c r="C8" s="10"/>
      <c r="D8" s="13">
        <f t="shared" si="1"/>
        <v>0</v>
      </c>
      <c r="F8" s="248" t="s">
        <v>21</v>
      </c>
      <c r="G8" s="249"/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5"/>
      <c r="B9" s="16"/>
      <c r="C9" s="10"/>
      <c r="D9" s="13">
        <f t="shared" si="1"/>
        <v>0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5"/>
      <c r="C10" s="10"/>
      <c r="D10" s="13">
        <f t="shared" si="1"/>
        <v>0</v>
      </c>
      <c r="F10" s="240" t="s">
        <v>26</v>
      </c>
      <c r="G10" s="255"/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9" ht="15.75" x14ac:dyDescent="0.25">
      <c r="A11" s="175"/>
      <c r="B11" s="17"/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5"/>
      <c r="B12" s="17"/>
      <c r="C12" s="10"/>
      <c r="D12" s="48">
        <f t="shared" si="1"/>
        <v>0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5"/>
      <c r="B13" s="17"/>
      <c r="C13" s="10"/>
      <c r="D13" s="48">
        <f t="shared" si="1"/>
        <v>0</v>
      </c>
      <c r="F13" s="261" t="s">
        <v>36</v>
      </c>
      <c r="G13" s="225"/>
      <c r="H13" s="216">
        <f>D29</f>
        <v>0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5"/>
      <c r="B14" s="14"/>
      <c r="C14" s="10"/>
      <c r="D14" s="31">
        <f t="shared" si="1"/>
        <v>0</v>
      </c>
      <c r="F14" s="219" t="s">
        <v>39</v>
      </c>
      <c r="G14" s="220"/>
      <c r="H14" s="221">
        <f>D54</f>
        <v>0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5"/>
      <c r="B15" s="14"/>
      <c r="C15" s="10"/>
      <c r="D15" s="31">
        <f t="shared" si="1"/>
        <v>0</v>
      </c>
      <c r="F15" s="224" t="s">
        <v>40</v>
      </c>
      <c r="G15" s="225"/>
      <c r="H15" s="226">
        <f>H13-H14</f>
        <v>0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C17" s="10"/>
      <c r="D17" s="48">
        <f t="shared" si="1"/>
        <v>0</v>
      </c>
      <c r="F17" s="56"/>
      <c r="G17" s="66" t="s">
        <v>45</v>
      </c>
      <c r="H17" s="197"/>
      <c r="I17" s="197"/>
      <c r="J17" s="19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/>
      <c r="C18" s="10"/>
      <c r="D18" s="48">
        <f t="shared" si="1"/>
        <v>0</v>
      </c>
      <c r="F18" s="56"/>
      <c r="G18" s="66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/>
      <c r="C19" s="10"/>
      <c r="D19" s="48">
        <f t="shared" si="1"/>
        <v>0</v>
      </c>
      <c r="F19" s="56"/>
      <c r="G19" s="68" t="s">
        <v>50</v>
      </c>
      <c r="H19" s="198"/>
      <c r="I19" s="198"/>
      <c r="J19" s="19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/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/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/>
      <c r="C23" s="10"/>
      <c r="D23" s="48">
        <f t="shared" si="1"/>
        <v>0</v>
      </c>
      <c r="F23" s="78"/>
      <c r="G23" s="79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/>
      <c r="C24" s="10"/>
      <c r="D24" s="48">
        <f t="shared" si="1"/>
        <v>0</v>
      </c>
      <c r="F24" s="38"/>
      <c r="G24" s="37"/>
      <c r="H24" s="203"/>
      <c r="I24" s="172"/>
      <c r="J24" s="17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4" t="s">
        <v>13</v>
      </c>
      <c r="I25" s="205"/>
      <c r="J25" s="20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/>
      <c r="C26" s="10"/>
      <c r="D26" s="48">
        <f t="shared" si="1"/>
        <v>0</v>
      </c>
      <c r="F26" s="64"/>
      <c r="G26" s="59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/>
      <c r="C27" s="10"/>
      <c r="D27" s="44">
        <f t="shared" si="1"/>
        <v>0</v>
      </c>
      <c r="F27" s="25"/>
      <c r="G27" s="80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/>
      <c r="C28" s="10"/>
      <c r="D28" s="48">
        <f t="shared" si="1"/>
        <v>0</v>
      </c>
      <c r="F28" s="88"/>
      <c r="G28" s="61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0</v>
      </c>
      <c r="F29" s="133" t="s">
        <v>55</v>
      </c>
      <c r="G29" s="195"/>
      <c r="H29" s="155">
        <f>H15-H16-H17-H18-H19-H20-H22-H23-H24+H26+H27</f>
        <v>0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7"/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8">
        <v>500</v>
      </c>
      <c r="G35" s="41"/>
      <c r="H35" s="177"/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/>
      <c r="H36" s="177"/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7"/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/>
      <c r="D38" s="12">
        <f>C38*84</f>
        <v>0</v>
      </c>
      <c r="F38" s="30">
        <v>50</v>
      </c>
      <c r="G38" s="39"/>
      <c r="H38" s="177"/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/>
      <c r="D39" s="31">
        <f>C39*4.5</f>
        <v>0</v>
      </c>
      <c r="F39" s="12">
        <v>20</v>
      </c>
      <c r="G39" s="37"/>
      <c r="H39" s="177"/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/>
      <c r="D42" s="12">
        <f>C42*2.25</f>
        <v>0</v>
      </c>
      <c r="F42" s="39" t="s">
        <v>79</v>
      </c>
      <c r="G42" s="177"/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59" t="s">
        <v>82</v>
      </c>
      <c r="G43" s="85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/>
      <c r="D44" s="12">
        <f>C44*120</f>
        <v>0</v>
      </c>
      <c r="F44" s="37"/>
      <c r="G44" s="76"/>
      <c r="H44" s="172"/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/>
      <c r="G45" s="76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1"/>
      <c r="D46" s="12">
        <f>C46*1.5</f>
        <v>0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59"/>
      <c r="G47" s="59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/>
      <c r="D48" s="12">
        <f>C48*78</f>
        <v>0</v>
      </c>
      <c r="F48" s="59"/>
      <c r="G48" s="59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/>
      <c r="D49" s="12">
        <f>C49*42</f>
        <v>0</v>
      </c>
      <c r="F49" s="153" t="s">
        <v>86</v>
      </c>
      <c r="G49" s="155">
        <f>H34+H35+H36+H37+H38+H39+H40+H41+G42+H44+H45+H46</f>
        <v>0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/>
      <c r="D50" s="12">
        <f>C50*1.5</f>
        <v>0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128</v>
      </c>
      <c r="G51" s="163">
        <f>G49-H29</f>
        <v>0</v>
      </c>
      <c r="H51" s="164"/>
      <c r="I51" s="164"/>
      <c r="J51" s="1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166"/>
      <c r="H52" s="167"/>
      <c r="I52" s="167"/>
      <c r="J52" s="1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0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115EC-4457-4686-AE6F-FCF1A5A6B2F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1</v>
      </c>
      <c r="H4" s="234" t="s">
        <v>9</v>
      </c>
      <c r="I4" s="236">
        <v>45992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84">
        <v>262</v>
      </c>
      <c r="D6" s="13">
        <f t="shared" ref="D6:D28" si="1">C6*L6</f>
        <v>193094</v>
      </c>
      <c r="F6" s="240" t="s">
        <v>16</v>
      </c>
      <c r="G6" s="242" t="s">
        <v>129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84">
        <v>16</v>
      </c>
      <c r="D7" s="13">
        <f t="shared" si="1"/>
        <v>11600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84">
        <v>1</v>
      </c>
      <c r="D8" s="13">
        <f t="shared" si="1"/>
        <v>1033</v>
      </c>
      <c r="F8" s="248" t="s">
        <v>21</v>
      </c>
      <c r="G8" s="249" t="s">
        <v>112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84">
        <v>20</v>
      </c>
      <c r="D9" s="13">
        <f t="shared" si="1"/>
        <v>14140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84">
        <v>2</v>
      </c>
      <c r="D10" s="13">
        <f t="shared" si="1"/>
        <v>1944</v>
      </c>
      <c r="F10" s="240" t="s">
        <v>26</v>
      </c>
      <c r="G10" s="255" t="s">
        <v>130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84">
        <v>1</v>
      </c>
      <c r="D11" s="13">
        <f t="shared" si="1"/>
        <v>1125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84">
        <f>2</f>
        <v>2</v>
      </c>
      <c r="D12" s="48">
        <f t="shared" si="1"/>
        <v>1904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84">
        <v>9</v>
      </c>
      <c r="D13" s="48">
        <f t="shared" si="1"/>
        <v>2763</v>
      </c>
      <c r="F13" s="261" t="s">
        <v>36</v>
      </c>
      <c r="G13" s="225"/>
      <c r="H13" s="216">
        <f>D29</f>
        <v>240783.5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84">
        <v>3</v>
      </c>
      <c r="D14" s="31">
        <f t="shared" si="1"/>
        <v>33</v>
      </c>
      <c r="F14" s="219" t="s">
        <v>39</v>
      </c>
      <c r="G14" s="220"/>
      <c r="H14" s="221">
        <f>D54</f>
        <v>35187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84"/>
      <c r="D15" s="31">
        <f t="shared" si="1"/>
        <v>0</v>
      </c>
      <c r="F15" s="224" t="s">
        <v>40</v>
      </c>
      <c r="G15" s="225"/>
      <c r="H15" s="226">
        <f>H13-H14</f>
        <v>205596.5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138</v>
      </c>
      <c r="C17" s="84"/>
      <c r="D17" s="48">
        <f t="shared" si="1"/>
        <v>0</v>
      </c>
      <c r="F17" s="56"/>
      <c r="G17" s="66" t="s">
        <v>45</v>
      </c>
      <c r="H17" s="197"/>
      <c r="I17" s="197"/>
      <c r="J17" s="19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84">
        <v>3</v>
      </c>
      <c r="D18" s="48">
        <f t="shared" si="1"/>
        <v>1860</v>
      </c>
      <c r="F18" s="56"/>
      <c r="G18" s="66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97"/>
      <c r="I19" s="197"/>
      <c r="J19" s="197"/>
      <c r="L19" s="6">
        <v>1102</v>
      </c>
      <c r="Q19" s="4"/>
      <c r="R19" s="5">
        <f t="shared" si="0"/>
        <v>0</v>
      </c>
    </row>
    <row r="20" spans="1:18" ht="15.75" x14ac:dyDescent="0.25">
      <c r="A20" s="175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136</v>
      </c>
      <c r="C21" s="84">
        <f>1+1</f>
        <v>2</v>
      </c>
      <c r="D21" s="48">
        <f t="shared" si="1"/>
        <v>1300</v>
      </c>
      <c r="F21" s="69" t="s">
        <v>99</v>
      </c>
      <c r="G21" s="82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127</v>
      </c>
      <c r="C22" s="84"/>
      <c r="D22" s="48">
        <f t="shared" si="1"/>
        <v>0</v>
      </c>
      <c r="F22" s="77" t="s">
        <v>147</v>
      </c>
      <c r="G22" s="73">
        <v>7541</v>
      </c>
      <c r="H22" s="202">
        <v>79918</v>
      </c>
      <c r="I22" s="202"/>
      <c r="J22" s="20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101</v>
      </c>
      <c r="C23" s="84"/>
      <c r="D23" s="48">
        <f t="shared" si="1"/>
        <v>0</v>
      </c>
      <c r="F23" s="77"/>
      <c r="G23" s="79"/>
      <c r="H23" s="262"/>
      <c r="I23" s="263"/>
      <c r="J23" s="26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121</v>
      </c>
      <c r="C24" s="84">
        <v>12</v>
      </c>
      <c r="D24" s="48">
        <f t="shared" si="1"/>
        <v>474.5</v>
      </c>
      <c r="F24" s="77"/>
      <c r="G24" s="79"/>
      <c r="H24" s="262"/>
      <c r="I24" s="263"/>
      <c r="J24" s="26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143</v>
      </c>
      <c r="C25" s="84">
        <v>12</v>
      </c>
      <c r="D25" s="48">
        <f t="shared" si="1"/>
        <v>434</v>
      </c>
      <c r="F25" s="60" t="s">
        <v>100</v>
      </c>
      <c r="G25" s="55" t="s">
        <v>98</v>
      </c>
      <c r="H25" s="204" t="s">
        <v>13</v>
      </c>
      <c r="I25" s="205"/>
      <c r="J25" s="206"/>
      <c r="L25" s="47">
        <f>832/24+1.5</f>
        <v>36.166666666666664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144</v>
      </c>
      <c r="C26" s="84">
        <v>12</v>
      </c>
      <c r="D26" s="48">
        <f t="shared" si="1"/>
        <v>444</v>
      </c>
      <c r="F26" s="75" t="s">
        <v>147</v>
      </c>
      <c r="G26" s="65">
        <v>7383</v>
      </c>
      <c r="H26" s="172">
        <v>87410</v>
      </c>
      <c r="I26" s="172"/>
      <c r="J26" s="172"/>
      <c r="L26" s="7">
        <f>852/24+1.5</f>
        <v>37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110</v>
      </c>
      <c r="C27" s="84"/>
      <c r="D27" s="44">
        <f t="shared" si="1"/>
        <v>0</v>
      </c>
      <c r="F27" s="71"/>
      <c r="G27" s="85"/>
      <c r="H27" s="264"/>
      <c r="I27" s="265"/>
      <c r="J27" s="26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84">
        <v>11</v>
      </c>
      <c r="D28" s="48">
        <f t="shared" si="1"/>
        <v>8635</v>
      </c>
      <c r="F28" s="88"/>
      <c r="G28" s="61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240783.5</v>
      </c>
      <c r="F29" s="133" t="s">
        <v>55</v>
      </c>
      <c r="G29" s="195"/>
      <c r="H29" s="155">
        <f>H15-H16-H17-H18-H19-H20-H22-H23-H24+H26+H27+H28</f>
        <v>213088.5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77</v>
      </c>
      <c r="H34" s="177">
        <f t="shared" ref="H34:H39" si="2">F34*G34</f>
        <v>77000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38</v>
      </c>
      <c r="H35" s="177">
        <f t="shared" si="2"/>
        <v>19000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2</v>
      </c>
      <c r="H36" s="177">
        <f t="shared" si="2"/>
        <v>400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>
        <v>258</v>
      </c>
      <c r="D37" s="12">
        <f>C37*111</f>
        <v>28638</v>
      </c>
      <c r="F37" s="12">
        <v>100</v>
      </c>
      <c r="G37" s="39">
        <v>6</v>
      </c>
      <c r="H37" s="177">
        <f t="shared" si="2"/>
        <v>600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>
        <v>43</v>
      </c>
      <c r="D38" s="12">
        <f>C38*84</f>
        <v>3612</v>
      </c>
      <c r="F38" s="30">
        <v>50</v>
      </c>
      <c r="G38" s="39">
        <v>7</v>
      </c>
      <c r="H38" s="177">
        <f t="shared" si="2"/>
        <v>350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>
        <v>8</v>
      </c>
      <c r="D39" s="31">
        <f>C39*4.5</f>
        <v>36</v>
      </c>
      <c r="F39" s="12">
        <v>20</v>
      </c>
      <c r="G39" s="37">
        <v>1</v>
      </c>
      <c r="H39" s="177">
        <f t="shared" si="2"/>
        <v>20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>
        <v>4</v>
      </c>
      <c r="D42" s="12">
        <f>C42*2.25</f>
        <v>9</v>
      </c>
      <c r="F42" s="39" t="s">
        <v>79</v>
      </c>
      <c r="G42" s="177">
        <v>25</v>
      </c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59" t="s">
        <v>82</v>
      </c>
      <c r="G43" s="85" t="s">
        <v>83</v>
      </c>
      <c r="H43" s="169" t="s">
        <v>13</v>
      </c>
      <c r="I43" s="170"/>
      <c r="J43" s="17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8"/>
      <c r="B44" s="27" t="s">
        <v>66</v>
      </c>
      <c r="C44" s="10">
        <v>5</v>
      </c>
      <c r="D44" s="12">
        <f>C44*120</f>
        <v>600</v>
      </c>
      <c r="F44" s="37" t="s">
        <v>145</v>
      </c>
      <c r="G44" s="62"/>
      <c r="H44" s="172">
        <v>15213</v>
      </c>
      <c r="I44" s="172"/>
      <c r="J44" s="17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48"/>
      <c r="B45" s="27" t="s">
        <v>68</v>
      </c>
      <c r="C45" s="33">
        <v>2</v>
      </c>
      <c r="D45" s="12">
        <f>C45*84</f>
        <v>168</v>
      </c>
      <c r="F45" s="37" t="s">
        <v>145</v>
      </c>
      <c r="G45" s="62"/>
      <c r="H45" s="172">
        <v>13245</v>
      </c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1">
        <v>9</v>
      </c>
      <c r="D46" s="12">
        <f>C46*1.5</f>
        <v>13.5</v>
      </c>
      <c r="F46" s="96" t="s">
        <v>146</v>
      </c>
      <c r="G46" s="62"/>
      <c r="H46" s="172">
        <v>87410</v>
      </c>
      <c r="I46" s="172"/>
      <c r="J46" s="172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59"/>
      <c r="G47" s="59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>
        <v>1</v>
      </c>
      <c r="D49" s="12">
        <f>C49*42</f>
        <v>42</v>
      </c>
      <c r="F49" s="153" t="s">
        <v>86</v>
      </c>
      <c r="G49" s="155">
        <f>H34+H35+H36+H37+H38+H39+H40+H41+G42+H44+H45+H46</f>
        <v>213263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>
        <v>12</v>
      </c>
      <c r="D50" s="12">
        <f>C50*1.5</f>
        <v>18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148</v>
      </c>
      <c r="G51" s="163">
        <f>G49-H29</f>
        <v>174.5</v>
      </c>
      <c r="H51" s="164"/>
      <c r="I51" s="164"/>
      <c r="J51" s="1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166"/>
      <c r="H52" s="167"/>
      <c r="I52" s="167"/>
      <c r="J52" s="1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35187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6E304-820A-41D0-9FF3-244B80FD61B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2</v>
      </c>
      <c r="H4" s="234" t="s">
        <v>9</v>
      </c>
      <c r="I4" s="236">
        <v>45992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10">
        <v>168</v>
      </c>
      <c r="D6" s="13">
        <f t="shared" ref="D6:D28" si="1">C6*L6</f>
        <v>123816</v>
      </c>
      <c r="F6" s="240" t="s">
        <v>16</v>
      </c>
      <c r="G6" s="242" t="s">
        <v>141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10">
        <v>2</v>
      </c>
      <c r="D7" s="13">
        <f t="shared" si="1"/>
        <v>1450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10"/>
      <c r="D8" s="13">
        <f t="shared" si="1"/>
        <v>0</v>
      </c>
      <c r="F8" s="248" t="s">
        <v>21</v>
      </c>
      <c r="G8" s="249" t="s">
        <v>114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10">
        <v>39</v>
      </c>
      <c r="D9" s="13">
        <f t="shared" si="1"/>
        <v>27573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10"/>
      <c r="D10" s="13">
        <f t="shared" si="1"/>
        <v>0</v>
      </c>
      <c r="F10" s="240" t="s">
        <v>26</v>
      </c>
      <c r="G10" s="255" t="s">
        <v>115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10"/>
      <c r="D12" s="48">
        <f t="shared" si="1"/>
        <v>0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10">
        <v>4</v>
      </c>
      <c r="D13" s="48">
        <f t="shared" si="1"/>
        <v>1228</v>
      </c>
      <c r="F13" s="261" t="s">
        <v>36</v>
      </c>
      <c r="G13" s="225"/>
      <c r="H13" s="216">
        <f>D29</f>
        <v>154078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10">
        <v>1</v>
      </c>
      <c r="D14" s="31">
        <f t="shared" si="1"/>
        <v>11</v>
      </c>
      <c r="F14" s="219" t="s">
        <v>39</v>
      </c>
      <c r="G14" s="220"/>
      <c r="H14" s="221">
        <f>D54</f>
        <v>24060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10"/>
      <c r="D15" s="31">
        <f t="shared" si="1"/>
        <v>0</v>
      </c>
      <c r="F15" s="224" t="s">
        <v>40</v>
      </c>
      <c r="G15" s="225"/>
      <c r="H15" s="226">
        <f>H13-H14</f>
        <v>130018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6">
        <v>1314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93</v>
      </c>
      <c r="C17" s="10"/>
      <c r="D17" s="48">
        <f t="shared" si="1"/>
        <v>0</v>
      </c>
      <c r="F17" s="56"/>
      <c r="G17" s="66" t="s">
        <v>45</v>
      </c>
      <c r="H17" s="197"/>
      <c r="I17" s="197"/>
      <c r="J17" s="19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2">
        <v>50</v>
      </c>
      <c r="I19" s="272"/>
      <c r="J19" s="27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7"/>
      <c r="I20" s="197"/>
      <c r="J20" s="19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104</v>
      </c>
      <c r="C22" s="10"/>
      <c r="D22" s="48">
        <f t="shared" si="1"/>
        <v>0</v>
      </c>
      <c r="F22" s="72"/>
      <c r="G22" s="73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107</v>
      </c>
      <c r="C23" s="10"/>
      <c r="D23" s="48">
        <f t="shared" si="1"/>
        <v>0</v>
      </c>
      <c r="F23" s="25"/>
      <c r="G23" s="37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123</v>
      </c>
      <c r="C24" s="10"/>
      <c r="D24" s="48">
        <f t="shared" si="1"/>
        <v>0</v>
      </c>
      <c r="F24" s="38"/>
      <c r="G24" s="37"/>
      <c r="H24" s="203"/>
      <c r="I24" s="172"/>
      <c r="J24" s="17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4" t="s">
        <v>13</v>
      </c>
      <c r="I25" s="205"/>
      <c r="J25" s="20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105</v>
      </c>
      <c r="C26" s="10"/>
      <c r="D26" s="48">
        <f t="shared" si="1"/>
        <v>0</v>
      </c>
      <c r="F26" s="64"/>
      <c r="G26" s="10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109</v>
      </c>
      <c r="C27" s="10"/>
      <c r="D27" s="44">
        <f t="shared" si="1"/>
        <v>0</v>
      </c>
      <c r="F27" s="14"/>
      <c r="G27" s="14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10"/>
      <c r="D28" s="48">
        <f t="shared" si="1"/>
        <v>0</v>
      </c>
      <c r="F28" s="88"/>
      <c r="G28" s="61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154078</v>
      </c>
      <c r="F29" s="133" t="s">
        <v>55</v>
      </c>
      <c r="G29" s="195"/>
      <c r="H29" s="155">
        <f>H15-H16-H17-H18-H19-H20-H22-H23-H24+H26+H27</f>
        <v>128654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101</v>
      </c>
      <c r="H34" s="177">
        <f>F34*G34</f>
        <v>101000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8">
        <v>500</v>
      </c>
      <c r="G35" s="41">
        <v>53</v>
      </c>
      <c r="H35" s="177">
        <f t="shared" ref="H35:H39" si="2">F35*G35</f>
        <v>26500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/>
      <c r="H36" s="177">
        <f>F36*G36</f>
        <v>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>
        <v>211</v>
      </c>
      <c r="D37" s="12">
        <f>C37*111</f>
        <v>23421</v>
      </c>
      <c r="F37" s="12">
        <v>100</v>
      </c>
      <c r="G37" s="39">
        <v>4</v>
      </c>
      <c r="H37" s="177">
        <f t="shared" si="2"/>
        <v>400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177">
        <f t="shared" si="2"/>
        <v>50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77">
        <f t="shared" si="2"/>
        <v>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>
        <v>8</v>
      </c>
      <c r="D42" s="12">
        <f>C42*2.25</f>
        <v>18</v>
      </c>
      <c r="F42" s="39" t="s">
        <v>79</v>
      </c>
      <c r="G42" s="177">
        <v>35</v>
      </c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59" t="s">
        <v>82</v>
      </c>
      <c r="G43" s="85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/>
      <c r="D44" s="12">
        <f>C44*120</f>
        <v>0</v>
      </c>
      <c r="F44" s="37"/>
      <c r="G44" s="62"/>
      <c r="H44" s="172"/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/>
      <c r="G45" s="62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1">
        <v>1</v>
      </c>
      <c r="D46" s="12">
        <f>C46*1.5</f>
        <v>1.5</v>
      </c>
      <c r="F46" s="37"/>
      <c r="G46" s="86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59"/>
      <c r="G47" s="59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>
        <v>1</v>
      </c>
      <c r="D49" s="12">
        <f>C49*42</f>
        <v>42</v>
      </c>
      <c r="F49" s="153" t="s">
        <v>86</v>
      </c>
      <c r="G49" s="155">
        <f>H34+H35+H36+H37+H38+H39+H40+H41+G42+H44+H45+H46</f>
        <v>127985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>
        <v>22</v>
      </c>
      <c r="D50" s="12">
        <f>C50*1.5</f>
        <v>33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132</v>
      </c>
      <c r="G51" s="266">
        <f>G49-H29</f>
        <v>-669</v>
      </c>
      <c r="H51" s="267"/>
      <c r="I51" s="267"/>
      <c r="J51" s="26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269"/>
      <c r="H52" s="270"/>
      <c r="I52" s="270"/>
      <c r="J52" s="27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24060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10039-1D4D-45F4-91AD-620EE5B72D1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3</v>
      </c>
      <c r="H4" s="234" t="s">
        <v>9</v>
      </c>
      <c r="I4" s="236">
        <v>45992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10">
        <v>211</v>
      </c>
      <c r="D6" s="13">
        <f t="shared" ref="D6:D28" si="1">C6*L6</f>
        <v>155507</v>
      </c>
      <c r="F6" s="240" t="s">
        <v>16</v>
      </c>
      <c r="G6" s="242" t="s">
        <v>111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10">
        <v>11</v>
      </c>
      <c r="D7" s="13">
        <f t="shared" si="1"/>
        <v>7975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10">
        <v>1</v>
      </c>
      <c r="D8" s="13">
        <f t="shared" si="1"/>
        <v>1033</v>
      </c>
      <c r="F8" s="248" t="s">
        <v>21</v>
      </c>
      <c r="G8" s="249" t="s">
        <v>119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10">
        <v>18</v>
      </c>
      <c r="D9" s="13">
        <f t="shared" si="1"/>
        <v>12726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10">
        <v>2</v>
      </c>
      <c r="D10" s="13">
        <f t="shared" si="1"/>
        <v>1944</v>
      </c>
      <c r="F10" s="240" t="s">
        <v>26</v>
      </c>
      <c r="G10" s="255" t="s">
        <v>135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10">
        <v>3</v>
      </c>
      <c r="D12" s="48">
        <f t="shared" si="1"/>
        <v>2856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10">
        <v>5</v>
      </c>
      <c r="D13" s="48">
        <f t="shared" si="1"/>
        <v>1535</v>
      </c>
      <c r="F13" s="261" t="s">
        <v>36</v>
      </c>
      <c r="G13" s="225"/>
      <c r="H13" s="216">
        <f>D29</f>
        <v>197825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10">
        <v>1</v>
      </c>
      <c r="D14" s="31">
        <f t="shared" si="1"/>
        <v>11</v>
      </c>
      <c r="F14" s="219" t="s">
        <v>39</v>
      </c>
      <c r="G14" s="220"/>
      <c r="H14" s="221">
        <f>D54</f>
        <v>31160.25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10"/>
      <c r="D15" s="31">
        <f t="shared" si="1"/>
        <v>0</v>
      </c>
      <c r="F15" s="224" t="s">
        <v>40</v>
      </c>
      <c r="G15" s="225"/>
      <c r="H15" s="226">
        <f>H13-H14</f>
        <v>166664.75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6">
        <f>300</f>
        <v>300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113</v>
      </c>
      <c r="C17" s="10"/>
      <c r="D17" s="48">
        <f t="shared" si="1"/>
        <v>0</v>
      </c>
      <c r="F17" s="56"/>
      <c r="G17" s="66" t="s">
        <v>45</v>
      </c>
      <c r="H17" s="197"/>
      <c r="I17" s="197"/>
      <c r="J17" s="19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2"/>
      <c r="I19" s="272"/>
      <c r="J19" s="27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104</v>
      </c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107</v>
      </c>
      <c r="C23" s="10"/>
      <c r="D23" s="48">
        <f t="shared" si="1"/>
        <v>0</v>
      </c>
      <c r="F23" s="78"/>
      <c r="G23" s="79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101</v>
      </c>
      <c r="C24" s="10"/>
      <c r="D24" s="48">
        <f t="shared" si="1"/>
        <v>0</v>
      </c>
      <c r="F24" s="38"/>
      <c r="G24" s="37"/>
      <c r="H24" s="203"/>
      <c r="I24" s="172"/>
      <c r="J24" s="17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4" t="s">
        <v>13</v>
      </c>
      <c r="I25" s="205"/>
      <c r="J25" s="20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105</v>
      </c>
      <c r="C26" s="10"/>
      <c r="D26" s="48">
        <f t="shared" si="1"/>
        <v>0</v>
      </c>
      <c r="F26" s="64"/>
      <c r="G26" s="59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109</v>
      </c>
      <c r="C27" s="10">
        <v>9</v>
      </c>
      <c r="D27" s="44">
        <f t="shared" si="1"/>
        <v>14238</v>
      </c>
      <c r="F27" s="25"/>
      <c r="G27" s="80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10"/>
      <c r="D28" s="48">
        <f t="shared" si="1"/>
        <v>0</v>
      </c>
      <c r="F28" s="88"/>
      <c r="G28" s="61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197825</v>
      </c>
      <c r="F29" s="133" t="s">
        <v>55</v>
      </c>
      <c r="G29" s="195"/>
      <c r="H29" s="155">
        <f>H15-H16-H17-H18-H19-H20-H22-H23-H24+H26+H27</f>
        <v>166364.75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131</v>
      </c>
      <c r="H34" s="177">
        <f>F34*G34</f>
        <v>131000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8">
        <v>500</v>
      </c>
      <c r="G35" s="41">
        <v>42</v>
      </c>
      <c r="H35" s="177">
        <f>F35*G35</f>
        <v>21000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>
        <v>3</v>
      </c>
      <c r="D36" s="12">
        <f>C36*1.5</f>
        <v>4.5</v>
      </c>
      <c r="F36" s="12">
        <v>200</v>
      </c>
      <c r="G36" s="37"/>
      <c r="H36" s="177">
        <f t="shared" ref="H36:H39" si="2">F36*G36</f>
        <v>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>
        <v>262</v>
      </c>
      <c r="D37" s="12">
        <f>C37*111</f>
        <v>29082</v>
      </c>
      <c r="F37" s="12">
        <v>100</v>
      </c>
      <c r="G37" s="39"/>
      <c r="H37" s="177">
        <f t="shared" si="2"/>
        <v>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/>
      <c r="D38" s="12">
        <f>C38*84</f>
        <v>0</v>
      </c>
      <c r="F38" s="30">
        <v>50</v>
      </c>
      <c r="G38" s="39"/>
      <c r="H38" s="177">
        <f t="shared" si="2"/>
        <v>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/>
      <c r="D39" s="31">
        <f>C39*4.5</f>
        <v>0</v>
      </c>
      <c r="F39" s="12">
        <v>20</v>
      </c>
      <c r="G39" s="37"/>
      <c r="H39" s="177">
        <f t="shared" si="2"/>
        <v>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>
        <v>9</v>
      </c>
      <c r="D42" s="12">
        <f>C42*2.25</f>
        <v>20.25</v>
      </c>
      <c r="F42" s="39" t="s">
        <v>79</v>
      </c>
      <c r="G42" s="177">
        <v>86</v>
      </c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59" t="s">
        <v>82</v>
      </c>
      <c r="G43" s="85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>
        <v>2</v>
      </c>
      <c r="D44" s="12">
        <f>C44*120</f>
        <v>240</v>
      </c>
      <c r="F44" s="95" t="s">
        <v>149</v>
      </c>
      <c r="G44" s="76"/>
      <c r="H44" s="172">
        <v>14238</v>
      </c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>
        <v>1</v>
      </c>
      <c r="D45" s="12">
        <f>C45*84</f>
        <v>84</v>
      </c>
      <c r="F45" s="37"/>
      <c r="G45" s="76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1">
        <v>11</v>
      </c>
      <c r="D46" s="12">
        <f>C46*1.5</f>
        <v>16.5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59"/>
      <c r="G47" s="59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>
        <v>1</v>
      </c>
      <c r="D49" s="12">
        <f>C49*42</f>
        <v>42</v>
      </c>
      <c r="F49" s="153" t="s">
        <v>86</v>
      </c>
      <c r="G49" s="155">
        <f>H34+H35+H36+H37+H38+H39+H40+H41+G42+H44+H45+H46</f>
        <v>166324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>
        <v>6</v>
      </c>
      <c r="D50" s="12">
        <f>C50*1.5</f>
        <v>9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140</v>
      </c>
      <c r="G51" s="266">
        <f>G49-H29</f>
        <v>-40.75</v>
      </c>
      <c r="H51" s="267"/>
      <c r="I51" s="267"/>
      <c r="J51" s="26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269"/>
      <c r="H52" s="270"/>
      <c r="I52" s="270"/>
      <c r="J52" s="27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31160.25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F323A-99F6-4AC1-9760-55923A2C96C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9" t="s">
        <v>1</v>
      </c>
      <c r="O1" s="229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0" t="s">
        <v>7</v>
      </c>
      <c r="B4" s="181"/>
      <c r="C4" s="181"/>
      <c r="D4" s="182"/>
      <c r="F4" s="230" t="s">
        <v>8</v>
      </c>
      <c r="G4" s="232"/>
      <c r="H4" s="234" t="s">
        <v>9</v>
      </c>
      <c r="I4" s="236"/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5"/>
      <c r="B6" s="16"/>
      <c r="C6" s="10"/>
      <c r="D6" s="13">
        <f t="shared" ref="D6:D28" si="1">C6*L6</f>
        <v>0</v>
      </c>
      <c r="F6" s="240" t="s">
        <v>16</v>
      </c>
      <c r="G6" s="242"/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5"/>
      <c r="B7" s="16"/>
      <c r="C7" s="10"/>
      <c r="D7" s="13">
        <f t="shared" si="1"/>
        <v>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5"/>
      <c r="B8" s="16"/>
      <c r="C8" s="10"/>
      <c r="D8" s="13">
        <f t="shared" si="1"/>
        <v>0</v>
      </c>
      <c r="F8" s="248" t="s">
        <v>21</v>
      </c>
      <c r="G8" s="249"/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5"/>
      <c r="B9" s="16"/>
      <c r="C9" s="10"/>
      <c r="D9" s="13">
        <f t="shared" si="1"/>
        <v>0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5"/>
      <c r="C10" s="10"/>
      <c r="D10" s="13">
        <f t="shared" si="1"/>
        <v>0</v>
      </c>
      <c r="F10" s="240" t="s">
        <v>26</v>
      </c>
      <c r="G10" s="255"/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9" ht="15.75" x14ac:dyDescent="0.25">
      <c r="A11" s="175"/>
      <c r="B11" s="17"/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5"/>
      <c r="B12" s="17"/>
      <c r="C12" s="10"/>
      <c r="D12" s="48">
        <f t="shared" si="1"/>
        <v>0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5"/>
      <c r="B13" s="17"/>
      <c r="C13" s="10"/>
      <c r="D13" s="48">
        <f t="shared" si="1"/>
        <v>0</v>
      </c>
      <c r="F13" s="261" t="s">
        <v>36</v>
      </c>
      <c r="G13" s="225"/>
      <c r="H13" s="216">
        <f>D29</f>
        <v>0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5"/>
      <c r="B14" s="14"/>
      <c r="C14" s="10"/>
      <c r="D14" s="31">
        <f t="shared" si="1"/>
        <v>0</v>
      </c>
      <c r="F14" s="219" t="s">
        <v>39</v>
      </c>
      <c r="G14" s="220"/>
      <c r="H14" s="221">
        <f>D54</f>
        <v>0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5"/>
      <c r="B15" s="14"/>
      <c r="C15" s="10"/>
      <c r="D15" s="31">
        <f t="shared" si="1"/>
        <v>0</v>
      </c>
      <c r="F15" s="224" t="s">
        <v>40</v>
      </c>
      <c r="G15" s="225"/>
      <c r="H15" s="226">
        <f>H13-H14</f>
        <v>0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C17" s="10"/>
      <c r="D17" s="48">
        <f t="shared" si="1"/>
        <v>0</v>
      </c>
      <c r="F17" s="56"/>
      <c r="G17" s="66" t="s">
        <v>45</v>
      </c>
      <c r="H17" s="197"/>
      <c r="I17" s="197"/>
      <c r="J17" s="19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/>
      <c r="C18" s="10"/>
      <c r="D18" s="48">
        <f t="shared" si="1"/>
        <v>0</v>
      </c>
      <c r="F18" s="56"/>
      <c r="G18" s="66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/>
      <c r="C19" s="10"/>
      <c r="D19" s="48">
        <f t="shared" si="1"/>
        <v>0</v>
      </c>
      <c r="F19" s="56"/>
      <c r="G19" s="68" t="s">
        <v>50</v>
      </c>
      <c r="H19" s="198"/>
      <c r="I19" s="198"/>
      <c r="J19" s="19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/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/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/>
      <c r="C23" s="10"/>
      <c r="D23" s="48">
        <f t="shared" si="1"/>
        <v>0</v>
      </c>
      <c r="F23" s="78"/>
      <c r="G23" s="79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/>
      <c r="C24" s="10"/>
      <c r="D24" s="48">
        <f t="shared" si="1"/>
        <v>0</v>
      </c>
      <c r="F24" s="38"/>
      <c r="G24" s="37"/>
      <c r="H24" s="203"/>
      <c r="I24" s="172"/>
      <c r="J24" s="17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4" t="s">
        <v>13</v>
      </c>
      <c r="I25" s="205"/>
      <c r="J25" s="20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/>
      <c r="C26" s="10"/>
      <c r="D26" s="48">
        <f t="shared" si="1"/>
        <v>0</v>
      </c>
      <c r="F26" s="64"/>
      <c r="G26" s="59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/>
      <c r="C27" s="10"/>
      <c r="D27" s="44">
        <f t="shared" si="1"/>
        <v>0</v>
      </c>
      <c r="F27" s="25"/>
      <c r="G27" s="80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/>
      <c r="C28" s="10"/>
      <c r="D28" s="48">
        <f t="shared" si="1"/>
        <v>0</v>
      </c>
      <c r="F28" s="93"/>
      <c r="G28" s="61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0</v>
      </c>
      <c r="F29" s="133" t="s">
        <v>55</v>
      </c>
      <c r="G29" s="195"/>
      <c r="H29" s="155">
        <f>H15-H16-H17-H18-H19-H20-H22-H23-H24+H26+H27</f>
        <v>0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7"/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8">
        <v>500</v>
      </c>
      <c r="G35" s="41"/>
      <c r="H35" s="177"/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/>
      <c r="H36" s="177"/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7"/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/>
      <c r="D38" s="12">
        <f>C38*84</f>
        <v>0</v>
      </c>
      <c r="F38" s="30">
        <v>50</v>
      </c>
      <c r="G38" s="39"/>
      <c r="H38" s="177"/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/>
      <c r="D39" s="31">
        <f>C39*4.5</f>
        <v>0</v>
      </c>
      <c r="F39" s="12">
        <v>20</v>
      </c>
      <c r="G39" s="37"/>
      <c r="H39" s="177"/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/>
      <c r="D42" s="12">
        <f>C42*2.25</f>
        <v>0</v>
      </c>
      <c r="F42" s="39" t="s">
        <v>79</v>
      </c>
      <c r="G42" s="177"/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59" t="s">
        <v>82</v>
      </c>
      <c r="G43" s="90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/>
      <c r="D44" s="12">
        <f>C44*120</f>
        <v>0</v>
      </c>
      <c r="F44" s="37"/>
      <c r="G44" s="76"/>
      <c r="H44" s="172"/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/>
      <c r="G45" s="76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1"/>
      <c r="D46" s="12">
        <f>C46*1.5</f>
        <v>0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59"/>
      <c r="G47" s="59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/>
      <c r="D48" s="12">
        <f>C48*78</f>
        <v>0</v>
      </c>
      <c r="F48" s="59"/>
      <c r="G48" s="59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/>
      <c r="D49" s="12">
        <f>C49*42</f>
        <v>0</v>
      </c>
      <c r="F49" s="153" t="s">
        <v>86</v>
      </c>
      <c r="G49" s="155">
        <f>H34+H35+H36+H37+H38+H39+H40+H41+G42+H44+H45+H46</f>
        <v>0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/>
      <c r="D50" s="12">
        <f>C50*1.5</f>
        <v>0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128</v>
      </c>
      <c r="G51" s="163">
        <f>G49-H29</f>
        <v>0</v>
      </c>
      <c r="H51" s="164"/>
      <c r="I51" s="164"/>
      <c r="J51" s="1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166"/>
      <c r="H52" s="167"/>
      <c r="I52" s="167"/>
      <c r="J52" s="1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0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B3FA8-FAB8-4146-95DA-A54B5200ACE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1</v>
      </c>
      <c r="H4" s="234" t="s">
        <v>9</v>
      </c>
      <c r="I4" s="236">
        <v>45993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84">
        <v>261</v>
      </c>
      <c r="D6" s="13">
        <f t="shared" ref="D6:D28" si="1">C6*L6</f>
        <v>192357</v>
      </c>
      <c r="F6" s="240" t="s">
        <v>16</v>
      </c>
      <c r="G6" s="242" t="s">
        <v>129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84">
        <v>3</v>
      </c>
      <c r="D7" s="13">
        <f t="shared" si="1"/>
        <v>2175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84"/>
      <c r="D8" s="13">
        <f t="shared" si="1"/>
        <v>0</v>
      </c>
      <c r="F8" s="248" t="s">
        <v>21</v>
      </c>
      <c r="G8" s="249" t="s">
        <v>112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84">
        <v>20</v>
      </c>
      <c r="D9" s="13">
        <f t="shared" si="1"/>
        <v>14140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84">
        <v>1</v>
      </c>
      <c r="D10" s="13">
        <f t="shared" si="1"/>
        <v>972</v>
      </c>
      <c r="F10" s="240" t="s">
        <v>26</v>
      </c>
      <c r="G10" s="255" t="s">
        <v>130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84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84">
        <v>1</v>
      </c>
      <c r="D12" s="48">
        <f t="shared" si="1"/>
        <v>952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84">
        <v>4</v>
      </c>
      <c r="D13" s="48">
        <f t="shared" si="1"/>
        <v>1228</v>
      </c>
      <c r="F13" s="261" t="s">
        <v>36</v>
      </c>
      <c r="G13" s="225"/>
      <c r="H13" s="216">
        <f>D29</f>
        <v>220448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84">
        <v>22</v>
      </c>
      <c r="D14" s="31">
        <f t="shared" si="1"/>
        <v>242</v>
      </c>
      <c r="F14" s="219" t="s">
        <v>39</v>
      </c>
      <c r="G14" s="220"/>
      <c r="H14" s="221">
        <f>D54</f>
        <v>32962.5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84"/>
      <c r="D15" s="31">
        <f t="shared" si="1"/>
        <v>0</v>
      </c>
      <c r="F15" s="224" t="s">
        <v>40</v>
      </c>
      <c r="G15" s="225"/>
      <c r="H15" s="226">
        <f>H13-H14</f>
        <v>187485.5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138</v>
      </c>
      <c r="C17" s="84"/>
      <c r="D17" s="48">
        <f t="shared" si="1"/>
        <v>0</v>
      </c>
      <c r="F17" s="56"/>
      <c r="G17" s="66" t="s">
        <v>45</v>
      </c>
      <c r="H17" s="197"/>
      <c r="I17" s="197"/>
      <c r="J17" s="19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134</v>
      </c>
      <c r="C19" s="84">
        <f>1</f>
        <v>1</v>
      </c>
      <c r="D19" s="48">
        <f t="shared" si="1"/>
        <v>1102</v>
      </c>
      <c r="F19" s="56"/>
      <c r="G19" s="68" t="s">
        <v>50</v>
      </c>
      <c r="H19" s="197"/>
      <c r="I19" s="197"/>
      <c r="J19" s="197"/>
      <c r="L19" s="6">
        <v>1102</v>
      </c>
      <c r="Q19" s="4"/>
      <c r="R19" s="5">
        <f t="shared" si="0"/>
        <v>0</v>
      </c>
    </row>
    <row r="20" spans="1:18" ht="15.75" x14ac:dyDescent="0.25">
      <c r="A20" s="175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136</v>
      </c>
      <c r="C21" s="84">
        <f>1+2</f>
        <v>3</v>
      </c>
      <c r="D21" s="48">
        <f t="shared" si="1"/>
        <v>1950</v>
      </c>
      <c r="F21" s="69" t="s">
        <v>99</v>
      </c>
      <c r="G21" s="82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127</v>
      </c>
      <c r="C22" s="84"/>
      <c r="D22" s="48">
        <f t="shared" si="1"/>
        <v>0</v>
      </c>
      <c r="F22" s="77"/>
      <c r="G22" s="73"/>
      <c r="H22" s="202"/>
      <c r="I22" s="202"/>
      <c r="J22" s="20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101</v>
      </c>
      <c r="C23" s="84"/>
      <c r="D23" s="48">
        <f t="shared" si="1"/>
        <v>0</v>
      </c>
      <c r="F23" s="77"/>
      <c r="G23" s="79"/>
      <c r="H23" s="262"/>
      <c r="I23" s="263"/>
      <c r="J23" s="26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121</v>
      </c>
      <c r="C24" s="84"/>
      <c r="D24" s="48">
        <f t="shared" si="1"/>
        <v>0</v>
      </c>
      <c r="F24" s="77"/>
      <c r="G24" s="79"/>
      <c r="H24" s="262"/>
      <c r="I24" s="263"/>
      <c r="J24" s="26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204" t="s">
        <v>13</v>
      </c>
      <c r="I25" s="205"/>
      <c r="J25" s="20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137</v>
      </c>
      <c r="C26" s="84"/>
      <c r="D26" s="48">
        <f t="shared" si="1"/>
        <v>0</v>
      </c>
      <c r="F26" s="75"/>
      <c r="G26" s="65"/>
      <c r="H26" s="172"/>
      <c r="I26" s="172"/>
      <c r="J26" s="172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110</v>
      </c>
      <c r="C27" s="84"/>
      <c r="D27" s="44">
        <f t="shared" si="1"/>
        <v>0</v>
      </c>
      <c r="F27" s="71"/>
      <c r="G27" s="90"/>
      <c r="H27" s="264"/>
      <c r="I27" s="265"/>
      <c r="J27" s="26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84">
        <v>6</v>
      </c>
      <c r="D28" s="48">
        <f t="shared" si="1"/>
        <v>4710</v>
      </c>
      <c r="F28" s="93"/>
      <c r="G28" s="61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220448</v>
      </c>
      <c r="F29" s="133" t="s">
        <v>55</v>
      </c>
      <c r="G29" s="195"/>
      <c r="H29" s="155">
        <f>H15-H16-H17-H18-H19-H20-H22-H23-H24+H26+H27+H28</f>
        <v>187485.5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124</v>
      </c>
      <c r="H34" s="177">
        <f t="shared" ref="H34:H39" si="2">F34*G34</f>
        <v>124000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8">
        <v>500</v>
      </c>
      <c r="G35" s="41">
        <v>104</v>
      </c>
      <c r="H35" s="177">
        <f t="shared" si="2"/>
        <v>52000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2</v>
      </c>
      <c r="H36" s="177">
        <f t="shared" si="2"/>
        <v>400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>
        <v>281</v>
      </c>
      <c r="D37" s="12">
        <f>C37*111</f>
        <v>31191</v>
      </c>
      <c r="F37" s="12">
        <v>100</v>
      </c>
      <c r="G37" s="39">
        <v>26</v>
      </c>
      <c r="H37" s="177">
        <f t="shared" si="2"/>
        <v>2600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>
        <v>8</v>
      </c>
      <c r="D38" s="12">
        <f>C38*84</f>
        <v>672</v>
      </c>
      <c r="F38" s="30">
        <v>50</v>
      </c>
      <c r="G38" s="39"/>
      <c r="H38" s="177">
        <f t="shared" si="2"/>
        <v>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77">
        <f t="shared" si="2"/>
        <v>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>
        <v>12</v>
      </c>
      <c r="D42" s="12">
        <f>C42*2.25</f>
        <v>27</v>
      </c>
      <c r="F42" s="39" t="s">
        <v>79</v>
      </c>
      <c r="G42" s="177">
        <v>69</v>
      </c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59" t="s">
        <v>82</v>
      </c>
      <c r="G43" s="90" t="s">
        <v>83</v>
      </c>
      <c r="H43" s="169" t="s">
        <v>13</v>
      </c>
      <c r="I43" s="170"/>
      <c r="J43" s="17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8"/>
      <c r="B44" s="27" t="s">
        <v>66</v>
      </c>
      <c r="C44" s="10">
        <v>2</v>
      </c>
      <c r="D44" s="12">
        <f>C44*120</f>
        <v>240</v>
      </c>
      <c r="F44" s="37" t="s">
        <v>145</v>
      </c>
      <c r="G44" s="62"/>
      <c r="H44" s="172">
        <v>7978</v>
      </c>
      <c r="I44" s="172"/>
      <c r="J44" s="17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/>
      <c r="G45" s="62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1">
        <v>5</v>
      </c>
      <c r="D46" s="12">
        <f>C46*1.5</f>
        <v>7.5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59"/>
      <c r="G47" s="59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>
        <v>1</v>
      </c>
      <c r="D49" s="12">
        <f>C49*42</f>
        <v>42</v>
      </c>
      <c r="F49" s="153" t="s">
        <v>86</v>
      </c>
      <c r="G49" s="155">
        <f>H34+H35+H36+H37+H38+H39+H40+H41+G42+H44+H45+H46</f>
        <v>187047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>
        <v>20</v>
      </c>
      <c r="D50" s="12">
        <f>C50*1.5</f>
        <v>30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131</v>
      </c>
      <c r="G51" s="266">
        <f>G49-H29</f>
        <v>-438.5</v>
      </c>
      <c r="H51" s="267"/>
      <c r="I51" s="267"/>
      <c r="J51" s="26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269"/>
      <c r="H52" s="270"/>
      <c r="I52" s="270"/>
      <c r="J52" s="27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32962.5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0B2313-0902-430B-B8EE-3375DD1308C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2</v>
      </c>
      <c r="H4" s="234" t="s">
        <v>9</v>
      </c>
      <c r="I4" s="236">
        <v>45993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10">
        <v>230</v>
      </c>
      <c r="D6" s="13">
        <f t="shared" ref="D6:D28" si="1">C6*L6</f>
        <v>169510</v>
      </c>
      <c r="F6" s="240" t="s">
        <v>16</v>
      </c>
      <c r="G6" s="242" t="s">
        <v>141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10">
        <v>7</v>
      </c>
      <c r="D7" s="13">
        <f t="shared" si="1"/>
        <v>5075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10"/>
      <c r="D8" s="13">
        <f t="shared" si="1"/>
        <v>0</v>
      </c>
      <c r="F8" s="248" t="s">
        <v>21</v>
      </c>
      <c r="G8" s="249" t="s">
        <v>114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10">
        <v>20</v>
      </c>
      <c r="D9" s="13">
        <f t="shared" si="1"/>
        <v>14140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10"/>
      <c r="D10" s="13">
        <f t="shared" si="1"/>
        <v>0</v>
      </c>
      <c r="F10" s="240" t="s">
        <v>26</v>
      </c>
      <c r="G10" s="255" t="s">
        <v>115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10">
        <v>2</v>
      </c>
      <c r="D12" s="48">
        <f t="shared" si="1"/>
        <v>1904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10">
        <v>8</v>
      </c>
      <c r="D13" s="48">
        <f t="shared" si="1"/>
        <v>2456</v>
      </c>
      <c r="F13" s="261" t="s">
        <v>36</v>
      </c>
      <c r="G13" s="225"/>
      <c r="H13" s="216">
        <f>D29</f>
        <v>196685.66666666666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10">
        <v>13</v>
      </c>
      <c r="D14" s="31">
        <f t="shared" si="1"/>
        <v>143</v>
      </c>
      <c r="F14" s="219" t="s">
        <v>39</v>
      </c>
      <c r="G14" s="220"/>
      <c r="H14" s="221">
        <f>D54</f>
        <v>36855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10"/>
      <c r="D15" s="31">
        <f t="shared" si="1"/>
        <v>0</v>
      </c>
      <c r="F15" s="224" t="s">
        <v>40</v>
      </c>
      <c r="G15" s="225"/>
      <c r="H15" s="226">
        <f>H13-H14</f>
        <v>159830.66666666666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6">
        <f>1899</f>
        <v>1899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93</v>
      </c>
      <c r="C17" s="10"/>
      <c r="D17" s="48">
        <f t="shared" si="1"/>
        <v>0</v>
      </c>
      <c r="F17" s="56"/>
      <c r="G17" s="66" t="s">
        <v>45</v>
      </c>
      <c r="H17" s="197"/>
      <c r="I17" s="197"/>
      <c r="J17" s="19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7"/>
      <c r="I20" s="197"/>
      <c r="J20" s="19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126</v>
      </c>
      <c r="C21" s="10">
        <f>3+2</f>
        <v>5</v>
      </c>
      <c r="D21" s="48">
        <f t="shared" si="1"/>
        <v>3250</v>
      </c>
      <c r="F21" s="69" t="s">
        <v>99</v>
      </c>
      <c r="G21" s="82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104</v>
      </c>
      <c r="C22" s="10"/>
      <c r="D22" s="48">
        <f t="shared" si="1"/>
        <v>0</v>
      </c>
      <c r="F22" s="72"/>
      <c r="G22" s="73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107</v>
      </c>
      <c r="C23" s="10"/>
      <c r="D23" s="48">
        <f t="shared" si="1"/>
        <v>0</v>
      </c>
      <c r="F23" s="25"/>
      <c r="G23" s="37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123</v>
      </c>
      <c r="C24" s="10">
        <v>2</v>
      </c>
      <c r="D24" s="48">
        <f t="shared" si="1"/>
        <v>207.66666666666666</v>
      </c>
      <c r="F24" s="38"/>
      <c r="G24" s="37"/>
      <c r="H24" s="203"/>
      <c r="I24" s="172"/>
      <c r="J24" s="172"/>
      <c r="L24" s="47">
        <f>596/6+4.5</f>
        <v>103.83333333333333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4" t="s">
        <v>13</v>
      </c>
      <c r="I25" s="205"/>
      <c r="J25" s="20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105</v>
      </c>
      <c r="C26" s="10"/>
      <c r="D26" s="48">
        <f t="shared" si="1"/>
        <v>0</v>
      </c>
      <c r="F26" s="64"/>
      <c r="G26" s="10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109</v>
      </c>
      <c r="C27" s="10"/>
      <c r="D27" s="44">
        <f t="shared" si="1"/>
        <v>0</v>
      </c>
      <c r="F27" s="14"/>
      <c r="G27" s="14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10"/>
      <c r="D28" s="48">
        <f t="shared" si="1"/>
        <v>0</v>
      </c>
      <c r="F28" s="93"/>
      <c r="G28" s="61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196685.66666666666</v>
      </c>
      <c r="F29" s="133" t="s">
        <v>55</v>
      </c>
      <c r="G29" s="195"/>
      <c r="H29" s="155">
        <f>H15-H16-H17-H18-H19-H20-H22-H23-H24+H26+H27</f>
        <v>157931.66666666666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34</v>
      </c>
      <c r="H34" s="177">
        <f>F34*G34</f>
        <v>34000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8">
        <v>500</v>
      </c>
      <c r="G35" s="41">
        <v>2</v>
      </c>
      <c r="H35" s="177">
        <f t="shared" ref="H35:H39" si="2">F35*G35</f>
        <v>1000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/>
      <c r="H36" s="177">
        <f>F36*G36</f>
        <v>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>
        <v>323</v>
      </c>
      <c r="D37" s="12">
        <f>C37*111</f>
        <v>35853</v>
      </c>
      <c r="F37" s="12">
        <v>100</v>
      </c>
      <c r="G37" s="39">
        <v>4</v>
      </c>
      <c r="H37" s="177">
        <f t="shared" si="2"/>
        <v>400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>
        <v>5</v>
      </c>
      <c r="D38" s="12">
        <f>C38*84</f>
        <v>420</v>
      </c>
      <c r="F38" s="30">
        <v>50</v>
      </c>
      <c r="G38" s="39"/>
      <c r="H38" s="177">
        <f t="shared" si="2"/>
        <v>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>
        <v>6</v>
      </c>
      <c r="D39" s="31">
        <f>C39*4.5</f>
        <v>27</v>
      </c>
      <c r="F39" s="12">
        <v>20</v>
      </c>
      <c r="G39" s="37"/>
      <c r="H39" s="177">
        <f t="shared" si="2"/>
        <v>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>
        <v>2</v>
      </c>
      <c r="D42" s="12">
        <f>C42*2.25</f>
        <v>4.5</v>
      </c>
      <c r="F42" s="39" t="s">
        <v>79</v>
      </c>
      <c r="G42" s="177">
        <v>2460</v>
      </c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59" t="s">
        <v>82</v>
      </c>
      <c r="G43" s="90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>
        <v>1</v>
      </c>
      <c r="D44" s="12">
        <f>C44*120</f>
        <v>120</v>
      </c>
      <c r="F44" s="37" t="s">
        <v>150</v>
      </c>
      <c r="G44" s="62" t="s">
        <v>151</v>
      </c>
      <c r="H44" s="172">
        <v>119875</v>
      </c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>
        <v>1</v>
      </c>
      <c r="D45" s="12">
        <f>C45*84</f>
        <v>84</v>
      </c>
      <c r="F45" s="37"/>
      <c r="G45" s="62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1">
        <v>5</v>
      </c>
      <c r="D46" s="12">
        <f>C46*1.5</f>
        <v>7.5</v>
      </c>
      <c r="F46" s="37"/>
      <c r="G46" s="91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59"/>
      <c r="G47" s="59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>
        <v>1</v>
      </c>
      <c r="D49" s="12">
        <f>C49*42</f>
        <v>42</v>
      </c>
      <c r="F49" s="153" t="s">
        <v>86</v>
      </c>
      <c r="G49" s="155">
        <f>H34+H35+H36+H37+H38+H39+H40+H41+G42+H44+H45+H46</f>
        <v>157735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>
        <v>20</v>
      </c>
      <c r="D50" s="12">
        <f>C50*1.5</f>
        <v>30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132</v>
      </c>
      <c r="G51" s="266">
        <f>G49-H29</f>
        <v>-196.66666666665697</v>
      </c>
      <c r="H51" s="267"/>
      <c r="I51" s="267"/>
      <c r="J51" s="26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269"/>
      <c r="H52" s="270"/>
      <c r="I52" s="270"/>
      <c r="J52" s="27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36855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FA3F0-3F42-4048-B246-BB7E7997016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3</v>
      </c>
      <c r="H4" s="234" t="s">
        <v>9</v>
      </c>
      <c r="I4" s="236">
        <v>45993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10">
        <v>194</v>
      </c>
      <c r="D6" s="13">
        <f t="shared" ref="D6:D28" si="1">C6*L6</f>
        <v>142978</v>
      </c>
      <c r="F6" s="240" t="s">
        <v>16</v>
      </c>
      <c r="G6" s="242" t="s">
        <v>111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10">
        <v>17</v>
      </c>
      <c r="D7" s="13">
        <f t="shared" si="1"/>
        <v>12325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10"/>
      <c r="D8" s="13">
        <f t="shared" si="1"/>
        <v>0</v>
      </c>
      <c r="F8" s="248" t="s">
        <v>21</v>
      </c>
      <c r="G8" s="249" t="s">
        <v>119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10">
        <v>13</v>
      </c>
      <c r="D9" s="13">
        <f t="shared" si="1"/>
        <v>9191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10">
        <v>2</v>
      </c>
      <c r="D10" s="13">
        <f t="shared" si="1"/>
        <v>1944</v>
      </c>
      <c r="F10" s="240" t="s">
        <v>26</v>
      </c>
      <c r="G10" s="255" t="s">
        <v>135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10">
        <v>2</v>
      </c>
      <c r="D11" s="13">
        <f t="shared" si="1"/>
        <v>2250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10">
        <v>2</v>
      </c>
      <c r="D12" s="48">
        <f t="shared" si="1"/>
        <v>1904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10">
        <v>5</v>
      </c>
      <c r="D13" s="48">
        <f t="shared" si="1"/>
        <v>1535</v>
      </c>
      <c r="F13" s="261" t="s">
        <v>36</v>
      </c>
      <c r="G13" s="225"/>
      <c r="H13" s="216">
        <f>D29</f>
        <v>173906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10">
        <v>19</v>
      </c>
      <c r="D14" s="31">
        <f t="shared" si="1"/>
        <v>209</v>
      </c>
      <c r="F14" s="219" t="s">
        <v>39</v>
      </c>
      <c r="G14" s="220"/>
      <c r="H14" s="221">
        <f>D54</f>
        <v>39246.75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10"/>
      <c r="D15" s="31">
        <f t="shared" si="1"/>
        <v>0</v>
      </c>
      <c r="F15" s="224" t="s">
        <v>40</v>
      </c>
      <c r="G15" s="225"/>
      <c r="H15" s="226">
        <f>H13-H14</f>
        <v>134659.25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6">
        <f>336</f>
        <v>336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113</v>
      </c>
      <c r="C17" s="10"/>
      <c r="D17" s="48">
        <f t="shared" si="1"/>
        <v>0</v>
      </c>
      <c r="F17" s="56"/>
      <c r="G17" s="66" t="s">
        <v>45</v>
      </c>
      <c r="H17" s="197"/>
      <c r="I17" s="197"/>
      <c r="J17" s="19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2"/>
      <c r="I19" s="272"/>
      <c r="J19" s="27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104</v>
      </c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107</v>
      </c>
      <c r="C23" s="10"/>
      <c r="D23" s="48">
        <f t="shared" si="1"/>
        <v>0</v>
      </c>
      <c r="F23" s="78"/>
      <c r="G23" s="79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101</v>
      </c>
      <c r="C24" s="10"/>
      <c r="D24" s="48">
        <f t="shared" si="1"/>
        <v>0</v>
      </c>
      <c r="F24" s="38"/>
      <c r="G24" s="37"/>
      <c r="H24" s="203"/>
      <c r="I24" s="172"/>
      <c r="J24" s="17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4" t="s">
        <v>13</v>
      </c>
      <c r="I25" s="205"/>
      <c r="J25" s="20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105</v>
      </c>
      <c r="C26" s="10"/>
      <c r="D26" s="48">
        <f t="shared" si="1"/>
        <v>0</v>
      </c>
      <c r="F26" s="97" t="s">
        <v>154</v>
      </c>
      <c r="G26" s="59">
        <v>7331</v>
      </c>
      <c r="H26" s="207">
        <v>85842</v>
      </c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109</v>
      </c>
      <c r="C27" s="10"/>
      <c r="D27" s="44">
        <f t="shared" si="1"/>
        <v>0</v>
      </c>
      <c r="F27" s="25"/>
      <c r="G27" s="80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10">
        <v>2</v>
      </c>
      <c r="D28" s="48">
        <f t="shared" si="1"/>
        <v>1570</v>
      </c>
      <c r="F28" s="93"/>
      <c r="G28" s="61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173906</v>
      </c>
      <c r="F29" s="133" t="s">
        <v>55</v>
      </c>
      <c r="G29" s="195"/>
      <c r="H29" s="155">
        <f>H15-H16-H17-H18-H19-H20-H22-H23-H24+H26+H27</f>
        <v>220165.25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133</v>
      </c>
      <c r="H34" s="177">
        <f>F34*G34</f>
        <v>133000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8">
        <v>500</v>
      </c>
      <c r="G35" s="41">
        <v>22</v>
      </c>
      <c r="H35" s="177">
        <f>F35*G35</f>
        <v>11000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/>
      <c r="H36" s="177">
        <f t="shared" ref="H36:H39" si="2">F36*G36</f>
        <v>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>
        <v>322</v>
      </c>
      <c r="D37" s="12">
        <f>C37*111</f>
        <v>35742</v>
      </c>
      <c r="F37" s="12">
        <v>100</v>
      </c>
      <c r="G37" s="39">
        <v>3</v>
      </c>
      <c r="H37" s="177">
        <f t="shared" si="2"/>
        <v>300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2</v>
      </c>
      <c r="H38" s="177">
        <f t="shared" si="2"/>
        <v>100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77">
        <f t="shared" si="2"/>
        <v>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>
        <v>1</v>
      </c>
      <c r="D42" s="12">
        <f>C42*2.25</f>
        <v>2.25</v>
      </c>
      <c r="F42" s="39" t="s">
        <v>79</v>
      </c>
      <c r="G42" s="177">
        <v>61</v>
      </c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59" t="s">
        <v>82</v>
      </c>
      <c r="G43" s="90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>
        <v>5</v>
      </c>
      <c r="D44" s="12">
        <f>C44*120</f>
        <v>600</v>
      </c>
      <c r="F44" s="37" t="s">
        <v>152</v>
      </c>
      <c r="G44" s="76" t="s">
        <v>153</v>
      </c>
      <c r="H44" s="172">
        <v>85842</v>
      </c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/>
      <c r="G45" s="76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1">
        <v>3</v>
      </c>
      <c r="D46" s="12">
        <f>C46*1.5</f>
        <v>4.5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59"/>
      <c r="G47" s="59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/>
      <c r="D49" s="12">
        <f>C49*42</f>
        <v>0</v>
      </c>
      <c r="F49" s="153" t="s">
        <v>86</v>
      </c>
      <c r="G49" s="155">
        <f>H34+H35+H36+H37+H38+H39+H40+H41+G42+H44+H45+H46</f>
        <v>230303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>
        <v>5</v>
      </c>
      <c r="D50" s="12">
        <f>C50*1.5</f>
        <v>7.5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148</v>
      </c>
      <c r="G51" s="163">
        <f>G49-H29</f>
        <v>10137.75</v>
      </c>
      <c r="H51" s="164"/>
      <c r="I51" s="164"/>
      <c r="J51" s="1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166"/>
      <c r="H52" s="167"/>
      <c r="I52" s="167"/>
      <c r="J52" s="1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39246.75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24416-A329-4BDE-B1C6-A3CE45120B7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9" t="s">
        <v>1</v>
      </c>
      <c r="O1" s="229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0" t="s">
        <v>7</v>
      </c>
      <c r="B4" s="181"/>
      <c r="C4" s="181"/>
      <c r="D4" s="182"/>
      <c r="F4" s="230" t="s">
        <v>8</v>
      </c>
      <c r="G4" s="232"/>
      <c r="H4" s="234" t="s">
        <v>9</v>
      </c>
      <c r="I4" s="236"/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5"/>
      <c r="B6" s="16"/>
      <c r="C6" s="10"/>
      <c r="D6" s="13">
        <f t="shared" ref="D6:D28" si="1">C6*L6</f>
        <v>0</v>
      </c>
      <c r="F6" s="240" t="s">
        <v>16</v>
      </c>
      <c r="G6" s="242"/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5"/>
      <c r="B7" s="16"/>
      <c r="C7" s="10"/>
      <c r="D7" s="13">
        <f t="shared" si="1"/>
        <v>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5"/>
      <c r="B8" s="16"/>
      <c r="C8" s="10"/>
      <c r="D8" s="13">
        <f t="shared" si="1"/>
        <v>0</v>
      </c>
      <c r="F8" s="248" t="s">
        <v>21</v>
      </c>
      <c r="G8" s="249"/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5"/>
      <c r="B9" s="16"/>
      <c r="C9" s="10"/>
      <c r="D9" s="13">
        <f t="shared" si="1"/>
        <v>0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5"/>
      <c r="C10" s="10"/>
      <c r="D10" s="13">
        <f t="shared" si="1"/>
        <v>0</v>
      </c>
      <c r="F10" s="240" t="s">
        <v>26</v>
      </c>
      <c r="G10" s="255"/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9" ht="15.75" x14ac:dyDescent="0.25">
      <c r="A11" s="175"/>
      <c r="B11" s="17"/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5"/>
      <c r="B12" s="17"/>
      <c r="C12" s="10"/>
      <c r="D12" s="48">
        <f t="shared" si="1"/>
        <v>0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5"/>
      <c r="B13" s="17"/>
      <c r="C13" s="10"/>
      <c r="D13" s="48">
        <f t="shared" si="1"/>
        <v>0</v>
      </c>
      <c r="F13" s="261" t="s">
        <v>36</v>
      </c>
      <c r="G13" s="225"/>
      <c r="H13" s="216">
        <f>D29</f>
        <v>0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5"/>
      <c r="B14" s="14"/>
      <c r="C14" s="10"/>
      <c r="D14" s="31">
        <f t="shared" si="1"/>
        <v>0</v>
      </c>
      <c r="F14" s="219" t="s">
        <v>39</v>
      </c>
      <c r="G14" s="220"/>
      <c r="H14" s="221">
        <f>D54</f>
        <v>0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5"/>
      <c r="B15" s="14"/>
      <c r="C15" s="10"/>
      <c r="D15" s="31">
        <f t="shared" si="1"/>
        <v>0</v>
      </c>
      <c r="F15" s="224" t="s">
        <v>40</v>
      </c>
      <c r="G15" s="225"/>
      <c r="H15" s="226">
        <f>H13-H14</f>
        <v>0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C17" s="10"/>
      <c r="D17" s="48">
        <f t="shared" si="1"/>
        <v>0</v>
      </c>
      <c r="F17" s="56"/>
      <c r="G17" s="66" t="s">
        <v>45</v>
      </c>
      <c r="H17" s="197"/>
      <c r="I17" s="197"/>
      <c r="J17" s="19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/>
      <c r="C18" s="10"/>
      <c r="D18" s="48">
        <f t="shared" si="1"/>
        <v>0</v>
      </c>
      <c r="F18" s="56"/>
      <c r="G18" s="66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/>
      <c r="C19" s="10"/>
      <c r="D19" s="48">
        <f t="shared" si="1"/>
        <v>0</v>
      </c>
      <c r="F19" s="56"/>
      <c r="G19" s="68" t="s">
        <v>50</v>
      </c>
      <c r="H19" s="198"/>
      <c r="I19" s="198"/>
      <c r="J19" s="19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/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/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/>
      <c r="C23" s="10"/>
      <c r="D23" s="48">
        <f t="shared" si="1"/>
        <v>0</v>
      </c>
      <c r="F23" s="78"/>
      <c r="G23" s="79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/>
      <c r="C24" s="10"/>
      <c r="D24" s="48">
        <f t="shared" si="1"/>
        <v>0</v>
      </c>
      <c r="F24" s="38"/>
      <c r="G24" s="37"/>
      <c r="H24" s="203"/>
      <c r="I24" s="172"/>
      <c r="J24" s="17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4" t="s">
        <v>13</v>
      </c>
      <c r="I25" s="205"/>
      <c r="J25" s="20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/>
      <c r="C26" s="10"/>
      <c r="D26" s="48">
        <f t="shared" si="1"/>
        <v>0</v>
      </c>
      <c r="F26" s="64"/>
      <c r="G26" s="59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/>
      <c r="C27" s="10"/>
      <c r="D27" s="44">
        <f t="shared" si="1"/>
        <v>0</v>
      </c>
      <c r="F27" s="25"/>
      <c r="G27" s="80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/>
      <c r="C28" s="10"/>
      <c r="D28" s="48">
        <f t="shared" si="1"/>
        <v>0</v>
      </c>
      <c r="F28" s="93"/>
      <c r="G28" s="61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0</v>
      </c>
      <c r="F29" s="133" t="s">
        <v>55</v>
      </c>
      <c r="G29" s="195"/>
      <c r="H29" s="155">
        <f>H15-H16-H17-H18-H19-H20-H22-H23-H24+H26+H27</f>
        <v>0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7"/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8">
        <v>500</v>
      </c>
      <c r="G35" s="41"/>
      <c r="H35" s="177"/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/>
      <c r="H36" s="177"/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7"/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/>
      <c r="D38" s="12">
        <f>C38*84</f>
        <v>0</v>
      </c>
      <c r="F38" s="30">
        <v>50</v>
      </c>
      <c r="G38" s="39"/>
      <c r="H38" s="177"/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/>
      <c r="D39" s="31">
        <f>C39*4.5</f>
        <v>0</v>
      </c>
      <c r="F39" s="12">
        <v>20</v>
      </c>
      <c r="G39" s="37"/>
      <c r="H39" s="177"/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/>
      <c r="D42" s="12">
        <f>C42*2.25</f>
        <v>0</v>
      </c>
      <c r="F42" s="39" t="s">
        <v>79</v>
      </c>
      <c r="G42" s="177"/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59" t="s">
        <v>82</v>
      </c>
      <c r="G43" s="90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/>
      <c r="D44" s="12">
        <f>C44*120</f>
        <v>0</v>
      </c>
      <c r="F44" s="37"/>
      <c r="G44" s="76"/>
      <c r="H44" s="172"/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/>
      <c r="G45" s="76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1"/>
      <c r="D46" s="12">
        <f>C46*1.5</f>
        <v>0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59"/>
      <c r="G47" s="59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/>
      <c r="D48" s="12">
        <f>C48*78</f>
        <v>0</v>
      </c>
      <c r="F48" s="59"/>
      <c r="G48" s="59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/>
      <c r="D49" s="12">
        <f>C49*42</f>
        <v>0</v>
      </c>
      <c r="F49" s="153" t="s">
        <v>86</v>
      </c>
      <c r="G49" s="155">
        <f>H34+H35+H36+H37+H38+H39+H40+H41+G42+H44+H45+H46</f>
        <v>0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/>
      <c r="D50" s="12">
        <f>C50*1.5</f>
        <v>0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128</v>
      </c>
      <c r="G51" s="163">
        <f>G49-H29</f>
        <v>0</v>
      </c>
      <c r="H51" s="164"/>
      <c r="I51" s="164"/>
      <c r="J51" s="1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166"/>
      <c r="H52" s="167"/>
      <c r="I52" s="167"/>
      <c r="J52" s="1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0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7F3FB-8878-4E3E-863E-1BE61C67EEE1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1</v>
      </c>
      <c r="H4" s="234" t="s">
        <v>9</v>
      </c>
      <c r="I4" s="236">
        <v>45994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84">
        <v>150</v>
      </c>
      <c r="D6" s="13">
        <f t="shared" ref="D6:D28" si="1">C6*L6</f>
        <v>110550</v>
      </c>
      <c r="F6" s="240" t="s">
        <v>16</v>
      </c>
      <c r="G6" s="242" t="s">
        <v>129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84">
        <v>5</v>
      </c>
      <c r="D7" s="13">
        <f t="shared" si="1"/>
        <v>3625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84"/>
      <c r="D8" s="13">
        <f t="shared" si="1"/>
        <v>0</v>
      </c>
      <c r="F8" s="248" t="s">
        <v>21</v>
      </c>
      <c r="G8" s="249" t="s">
        <v>112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84">
        <v>10</v>
      </c>
      <c r="D9" s="13">
        <f t="shared" si="1"/>
        <v>7070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84"/>
      <c r="D10" s="13">
        <f t="shared" si="1"/>
        <v>0</v>
      </c>
      <c r="F10" s="240" t="s">
        <v>26</v>
      </c>
      <c r="G10" s="255" t="s">
        <v>130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84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84"/>
      <c r="D12" s="48">
        <f t="shared" si="1"/>
        <v>0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84">
        <v>4</v>
      </c>
      <c r="D13" s="48">
        <f t="shared" si="1"/>
        <v>1228</v>
      </c>
      <c r="F13" s="261" t="s">
        <v>36</v>
      </c>
      <c r="G13" s="225"/>
      <c r="H13" s="216">
        <f>D29</f>
        <v>124676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84">
        <v>23</v>
      </c>
      <c r="D14" s="31">
        <f t="shared" si="1"/>
        <v>253</v>
      </c>
      <c r="F14" s="219" t="s">
        <v>39</v>
      </c>
      <c r="G14" s="220"/>
      <c r="H14" s="221">
        <f>D54</f>
        <v>17744.25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84"/>
      <c r="D15" s="31">
        <f t="shared" si="1"/>
        <v>0</v>
      </c>
      <c r="F15" s="224" t="s">
        <v>40</v>
      </c>
      <c r="G15" s="225"/>
      <c r="H15" s="226">
        <f>H13-H14</f>
        <v>106931.75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138</v>
      </c>
      <c r="C17" s="84"/>
      <c r="D17" s="48">
        <f t="shared" si="1"/>
        <v>0</v>
      </c>
      <c r="F17" s="56"/>
      <c r="G17" s="66" t="s">
        <v>45</v>
      </c>
      <c r="H17" s="197"/>
      <c r="I17" s="197"/>
      <c r="J17" s="19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97"/>
      <c r="I19" s="197"/>
      <c r="J19" s="197"/>
      <c r="L19" s="6">
        <v>1102</v>
      </c>
      <c r="Q19" s="4"/>
      <c r="R19" s="5">
        <f t="shared" si="0"/>
        <v>0</v>
      </c>
    </row>
    <row r="20" spans="1:18" ht="15.75" x14ac:dyDescent="0.25">
      <c r="A20" s="175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136</v>
      </c>
      <c r="C21" s="84">
        <f>1+2</f>
        <v>3</v>
      </c>
      <c r="D21" s="48">
        <f t="shared" si="1"/>
        <v>1950</v>
      </c>
      <c r="F21" s="69" t="s">
        <v>99</v>
      </c>
      <c r="G21" s="82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127</v>
      </c>
      <c r="C22" s="84"/>
      <c r="D22" s="48">
        <f t="shared" si="1"/>
        <v>0</v>
      </c>
      <c r="F22" s="77"/>
      <c r="G22" s="73"/>
      <c r="H22" s="202"/>
      <c r="I22" s="202"/>
      <c r="J22" s="20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101</v>
      </c>
      <c r="C23" s="84"/>
      <c r="D23" s="48">
        <f t="shared" si="1"/>
        <v>0</v>
      </c>
      <c r="F23" s="77"/>
      <c r="G23" s="79"/>
      <c r="H23" s="262"/>
      <c r="I23" s="263"/>
      <c r="J23" s="26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121</v>
      </c>
      <c r="C24" s="84"/>
      <c r="D24" s="48">
        <f t="shared" si="1"/>
        <v>0</v>
      </c>
      <c r="F24" s="77"/>
      <c r="G24" s="79"/>
      <c r="H24" s="262"/>
      <c r="I24" s="263"/>
      <c r="J24" s="26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204" t="s">
        <v>13</v>
      </c>
      <c r="I25" s="205"/>
      <c r="J25" s="20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137</v>
      </c>
      <c r="C26" s="84"/>
      <c r="D26" s="48">
        <f t="shared" si="1"/>
        <v>0</v>
      </c>
      <c r="F26" s="75"/>
      <c r="G26" s="65"/>
      <c r="H26" s="172"/>
      <c r="I26" s="172"/>
      <c r="J26" s="172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110</v>
      </c>
      <c r="C27" s="84"/>
      <c r="D27" s="44">
        <f t="shared" si="1"/>
        <v>0</v>
      </c>
      <c r="F27" s="71"/>
      <c r="G27" s="90"/>
      <c r="H27" s="264"/>
      <c r="I27" s="265"/>
      <c r="J27" s="26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84"/>
      <c r="D28" s="48">
        <f t="shared" si="1"/>
        <v>0</v>
      </c>
      <c r="F28" s="93"/>
      <c r="G28" s="61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124676</v>
      </c>
      <c r="F29" s="133" t="s">
        <v>55</v>
      </c>
      <c r="G29" s="195"/>
      <c r="H29" s="155">
        <f>H15-H16-H17-H18-H19-H20-H22-H23-H24+H26+H27+H28</f>
        <v>106931.75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89</v>
      </c>
      <c r="H34" s="177">
        <f t="shared" ref="H34:H39" si="2">F34*G34</f>
        <v>89000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8">
        <v>500</v>
      </c>
      <c r="G35" s="41">
        <v>31</v>
      </c>
      <c r="H35" s="177">
        <f t="shared" si="2"/>
        <v>15500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77">
        <f t="shared" si="2"/>
        <v>200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>
        <v>150</v>
      </c>
      <c r="D37" s="12">
        <f>C37*111</f>
        <v>16650</v>
      </c>
      <c r="F37" s="12">
        <v>100</v>
      </c>
      <c r="G37" s="39">
        <v>25</v>
      </c>
      <c r="H37" s="177">
        <f t="shared" si="2"/>
        <v>2500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</v>
      </c>
      <c r="H38" s="177">
        <f t="shared" si="2"/>
        <v>50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77">
        <f t="shared" si="2"/>
        <v>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>
        <v>5</v>
      </c>
      <c r="D42" s="12">
        <f>C42*2.25</f>
        <v>11.25</v>
      </c>
      <c r="F42" s="39" t="s">
        <v>79</v>
      </c>
      <c r="G42" s="177">
        <v>395</v>
      </c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59" t="s">
        <v>82</v>
      </c>
      <c r="G43" s="90" t="s">
        <v>83</v>
      </c>
      <c r="H43" s="169" t="s">
        <v>13</v>
      </c>
      <c r="I43" s="170"/>
      <c r="J43" s="17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8"/>
      <c r="B44" s="27" t="s">
        <v>66</v>
      </c>
      <c r="C44" s="10"/>
      <c r="D44" s="12">
        <f>C44*120</f>
        <v>0</v>
      </c>
      <c r="F44" s="37"/>
      <c r="G44" s="62"/>
      <c r="H44" s="172"/>
      <c r="I44" s="172"/>
      <c r="J44" s="17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/>
      <c r="G45" s="62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1"/>
      <c r="D46" s="12">
        <f>C46*1.5</f>
        <v>0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59"/>
      <c r="G47" s="59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>
        <v>1</v>
      </c>
      <c r="D49" s="12">
        <f>C49*42</f>
        <v>42</v>
      </c>
      <c r="F49" s="153" t="s">
        <v>86</v>
      </c>
      <c r="G49" s="155">
        <f>H34+H35+H36+H37+H38+H39+H40+H41+G42+H44+H45+H46</f>
        <v>107645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>
        <v>20</v>
      </c>
      <c r="D50" s="12">
        <f>C50*1.5</f>
        <v>30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148</v>
      </c>
      <c r="G51" s="163">
        <f>G49-H29</f>
        <v>713.25</v>
      </c>
      <c r="H51" s="164"/>
      <c r="I51" s="164"/>
      <c r="J51" s="1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166"/>
      <c r="H52" s="167"/>
      <c r="I52" s="167"/>
      <c r="J52" s="1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17744.25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3F163-FFE6-4864-B547-EB1433D85A0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2</v>
      </c>
      <c r="H4" s="234" t="s">
        <v>9</v>
      </c>
      <c r="I4" s="236">
        <v>45994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10">
        <f>440-99</f>
        <v>341</v>
      </c>
      <c r="D6" s="13">
        <f t="shared" ref="D6:D28" si="1">C6*L6</f>
        <v>251317</v>
      </c>
      <c r="F6" s="240" t="s">
        <v>16</v>
      </c>
      <c r="G6" s="242" t="s">
        <v>141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10">
        <v>2</v>
      </c>
      <c r="D7" s="13">
        <f t="shared" si="1"/>
        <v>1450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10"/>
      <c r="D8" s="13">
        <f t="shared" si="1"/>
        <v>0</v>
      </c>
      <c r="F8" s="248" t="s">
        <v>21</v>
      </c>
      <c r="G8" s="249" t="s">
        <v>114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10">
        <v>5</v>
      </c>
      <c r="D9" s="13">
        <f t="shared" si="1"/>
        <v>3535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10"/>
      <c r="D10" s="13">
        <f t="shared" si="1"/>
        <v>0</v>
      </c>
      <c r="F10" s="240" t="s">
        <v>26</v>
      </c>
      <c r="G10" s="255" t="s">
        <v>115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10"/>
      <c r="D12" s="48">
        <f t="shared" si="1"/>
        <v>0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10">
        <v>14</v>
      </c>
      <c r="D13" s="48">
        <f t="shared" si="1"/>
        <v>4298</v>
      </c>
      <c r="F13" s="261" t="s">
        <v>36</v>
      </c>
      <c r="G13" s="225"/>
      <c r="H13" s="216">
        <f>D29</f>
        <v>261506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10">
        <v>11</v>
      </c>
      <c r="D14" s="31">
        <f t="shared" si="1"/>
        <v>121</v>
      </c>
      <c r="F14" s="219" t="s">
        <v>39</v>
      </c>
      <c r="G14" s="220"/>
      <c r="H14" s="221">
        <f>D54</f>
        <v>40169.25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10"/>
      <c r="D15" s="31">
        <f t="shared" si="1"/>
        <v>0</v>
      </c>
      <c r="F15" s="224" t="s">
        <v>40</v>
      </c>
      <c r="G15" s="225"/>
      <c r="H15" s="226">
        <f>H13-H14</f>
        <v>221336.75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6">
        <f>337*9</f>
        <v>3033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93</v>
      </c>
      <c r="C17" s="10"/>
      <c r="D17" s="48">
        <f t="shared" si="1"/>
        <v>0</v>
      </c>
      <c r="F17" s="56"/>
      <c r="G17" s="66" t="s">
        <v>45</v>
      </c>
      <c r="H17" s="197"/>
      <c r="I17" s="197"/>
      <c r="J17" s="19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7"/>
      <c r="I20" s="197"/>
      <c r="J20" s="19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104</v>
      </c>
      <c r="C22" s="10"/>
      <c r="D22" s="48">
        <f t="shared" si="1"/>
        <v>0</v>
      </c>
      <c r="F22" s="72"/>
      <c r="G22" s="73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107</v>
      </c>
      <c r="C23" s="10"/>
      <c r="D23" s="48">
        <f t="shared" si="1"/>
        <v>0</v>
      </c>
      <c r="F23" s="25"/>
      <c r="G23" s="37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123</v>
      </c>
      <c r="C24" s="10"/>
      <c r="D24" s="48">
        <f t="shared" si="1"/>
        <v>0</v>
      </c>
      <c r="F24" s="38"/>
      <c r="G24" s="37"/>
      <c r="H24" s="203"/>
      <c r="I24" s="172"/>
      <c r="J24" s="17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4" t="s">
        <v>13</v>
      </c>
      <c r="I25" s="205"/>
      <c r="J25" s="20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105</v>
      </c>
      <c r="C26" s="10"/>
      <c r="D26" s="48">
        <f t="shared" si="1"/>
        <v>0</v>
      </c>
      <c r="F26" s="64"/>
      <c r="G26" s="10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109</v>
      </c>
      <c r="C27" s="10"/>
      <c r="D27" s="44">
        <f t="shared" si="1"/>
        <v>0</v>
      </c>
      <c r="F27" s="14"/>
      <c r="G27" s="14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10">
        <v>1</v>
      </c>
      <c r="D28" s="48">
        <f t="shared" si="1"/>
        <v>785</v>
      </c>
      <c r="F28" s="93"/>
      <c r="G28" s="61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261506</v>
      </c>
      <c r="F29" s="133" t="s">
        <v>55</v>
      </c>
      <c r="G29" s="195"/>
      <c r="H29" s="155">
        <f>H15-H16-H17-H18-H19-H20-H22-H23-H24+H26+H27</f>
        <v>218303.75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216</v>
      </c>
      <c r="H34" s="177">
        <f>F34*G34</f>
        <v>216000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8">
        <v>500</v>
      </c>
      <c r="G35" s="41">
        <v>4</v>
      </c>
      <c r="H35" s="177">
        <f t="shared" ref="H35:H39" si="2">F35*G35</f>
        <v>2000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/>
      <c r="H36" s="177">
        <f>F36*G36</f>
        <v>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>
        <v>348</v>
      </c>
      <c r="D37" s="12">
        <f>C37*111</f>
        <v>38628</v>
      </c>
      <c r="F37" s="12">
        <v>100</v>
      </c>
      <c r="G37" s="39">
        <v>2</v>
      </c>
      <c r="H37" s="177">
        <f t="shared" si="2"/>
        <v>200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3</v>
      </c>
      <c r="H38" s="177">
        <f t="shared" si="2"/>
        <v>150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77">
        <f t="shared" si="2"/>
        <v>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77">
        <v>8</v>
      </c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59" t="s">
        <v>82</v>
      </c>
      <c r="G43" s="90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/>
      <c r="D44" s="12">
        <f>C44*120</f>
        <v>0</v>
      </c>
      <c r="F44" s="37"/>
      <c r="G44" s="62"/>
      <c r="H44" s="172"/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/>
      <c r="G45" s="62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1">
        <v>1</v>
      </c>
      <c r="D46" s="12">
        <f>C46*1.5</f>
        <v>1.5</v>
      </c>
      <c r="F46" s="37"/>
      <c r="G46" s="91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59"/>
      <c r="G47" s="59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>
        <v>17</v>
      </c>
      <c r="D49" s="12">
        <f>C49*42</f>
        <v>714</v>
      </c>
      <c r="F49" s="153" t="s">
        <v>86</v>
      </c>
      <c r="G49" s="155">
        <f>H34+H35+H36+H37+H38+H39+H40+H41+G42+H44+H45+H46</f>
        <v>218358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>
        <v>21</v>
      </c>
      <c r="D50" s="12">
        <f>C50*1.5</f>
        <v>31.5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155</v>
      </c>
      <c r="G51" s="163">
        <f>G49-H29</f>
        <v>54.25</v>
      </c>
      <c r="H51" s="164"/>
      <c r="I51" s="164"/>
      <c r="J51" s="1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166"/>
      <c r="H52" s="167"/>
      <c r="I52" s="167"/>
      <c r="J52" s="1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40169.25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9418FD-8EAD-4720-8591-5179583978D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3</v>
      </c>
      <c r="H4" s="234" t="s">
        <v>9</v>
      </c>
      <c r="I4" s="236">
        <v>45994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10">
        <v>536</v>
      </c>
      <c r="D6" s="13">
        <f t="shared" ref="D6:D28" si="1">C6*L6</f>
        <v>395032</v>
      </c>
      <c r="F6" s="240" t="s">
        <v>16</v>
      </c>
      <c r="G6" s="242" t="s">
        <v>111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10">
        <v>15</v>
      </c>
      <c r="D7" s="13">
        <f t="shared" si="1"/>
        <v>10875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10"/>
      <c r="D8" s="13">
        <f t="shared" si="1"/>
        <v>0</v>
      </c>
      <c r="F8" s="248" t="s">
        <v>21</v>
      </c>
      <c r="G8" s="249" t="s">
        <v>119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10">
        <v>129</v>
      </c>
      <c r="D9" s="13">
        <f t="shared" si="1"/>
        <v>91203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10"/>
      <c r="D10" s="13">
        <f t="shared" si="1"/>
        <v>0</v>
      </c>
      <c r="F10" s="240" t="s">
        <v>26</v>
      </c>
      <c r="G10" s="255" t="s">
        <v>135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10">
        <f>1+1</f>
        <v>2</v>
      </c>
      <c r="D12" s="48">
        <f t="shared" si="1"/>
        <v>1904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10">
        <v>8</v>
      </c>
      <c r="D13" s="48">
        <f t="shared" si="1"/>
        <v>2456</v>
      </c>
      <c r="F13" s="261" t="s">
        <v>36</v>
      </c>
      <c r="G13" s="225"/>
      <c r="H13" s="216">
        <f>D29</f>
        <v>505571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10">
        <v>16</v>
      </c>
      <c r="D14" s="31">
        <f t="shared" si="1"/>
        <v>176</v>
      </c>
      <c r="F14" s="219" t="s">
        <v>39</v>
      </c>
      <c r="G14" s="220"/>
      <c r="H14" s="221">
        <f>D54</f>
        <v>38012.25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10"/>
      <c r="D15" s="31">
        <f t="shared" si="1"/>
        <v>0</v>
      </c>
      <c r="F15" s="224" t="s">
        <v>40</v>
      </c>
      <c r="G15" s="225"/>
      <c r="H15" s="226">
        <f>H13-H14</f>
        <v>467558.75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6">
        <f>2610+330</f>
        <v>2940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113</v>
      </c>
      <c r="C17" s="10"/>
      <c r="D17" s="48">
        <f t="shared" si="1"/>
        <v>0</v>
      </c>
      <c r="F17" s="56"/>
      <c r="G17" s="66" t="s">
        <v>45</v>
      </c>
      <c r="H17" s="197"/>
      <c r="I17" s="197"/>
      <c r="J17" s="19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2">
        <v>50</v>
      </c>
      <c r="I19" s="272"/>
      <c r="J19" s="27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104</v>
      </c>
      <c r="C22" s="10"/>
      <c r="D22" s="48">
        <f t="shared" si="1"/>
        <v>0</v>
      </c>
      <c r="F22" s="98"/>
      <c r="G22" s="73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107</v>
      </c>
      <c r="C23" s="10"/>
      <c r="D23" s="48">
        <f t="shared" si="1"/>
        <v>0</v>
      </c>
      <c r="F23" s="78"/>
      <c r="G23" s="79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101</v>
      </c>
      <c r="C24" s="10"/>
      <c r="D24" s="48">
        <f t="shared" si="1"/>
        <v>0</v>
      </c>
      <c r="F24" s="38"/>
      <c r="G24" s="37"/>
      <c r="H24" s="203"/>
      <c r="I24" s="172"/>
      <c r="J24" s="17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4" t="s">
        <v>13</v>
      </c>
      <c r="I25" s="205"/>
      <c r="J25" s="20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105</v>
      </c>
      <c r="C26" s="10"/>
      <c r="D26" s="48">
        <f t="shared" si="1"/>
        <v>0</v>
      </c>
      <c r="F26" s="64"/>
      <c r="G26" s="59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109</v>
      </c>
      <c r="C27" s="10"/>
      <c r="D27" s="44">
        <f t="shared" si="1"/>
        <v>0</v>
      </c>
      <c r="F27" s="25"/>
      <c r="G27" s="80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10">
        <v>5</v>
      </c>
      <c r="D28" s="48">
        <f t="shared" si="1"/>
        <v>3925</v>
      </c>
      <c r="F28" s="93"/>
      <c r="G28" s="61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505571</v>
      </c>
      <c r="F29" s="133" t="s">
        <v>55</v>
      </c>
      <c r="G29" s="195"/>
      <c r="H29" s="155">
        <f>H15-H16-H17-H18-H19-H20-H22-H23-H24+H26+H27+H28</f>
        <v>464568.75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</v>
      </c>
      <c r="H34" s="177">
        <f>F34*G34</f>
        <v>12000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8">
        <v>500</v>
      </c>
      <c r="G35" s="41"/>
      <c r="H35" s="177">
        <f>F35*G35</f>
        <v>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/>
      <c r="H36" s="177">
        <f t="shared" ref="H36:H39" si="2">F36*G36</f>
        <v>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>
        <v>327</v>
      </c>
      <c r="D37" s="12">
        <f>C37*111</f>
        <v>36297</v>
      </c>
      <c r="F37" s="12">
        <v>100</v>
      </c>
      <c r="G37" s="39">
        <v>4</v>
      </c>
      <c r="H37" s="177">
        <f t="shared" si="2"/>
        <v>400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77">
        <f t="shared" si="2"/>
        <v>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77">
        <f t="shared" si="2"/>
        <v>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>
        <v>7</v>
      </c>
      <c r="D42" s="12">
        <f>C42*2.25</f>
        <v>15.75</v>
      </c>
      <c r="F42" s="39" t="s">
        <v>79</v>
      </c>
      <c r="G42" s="177">
        <v>45</v>
      </c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59" t="s">
        <v>82</v>
      </c>
      <c r="G43" s="90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>
        <v>2</v>
      </c>
      <c r="D44" s="12">
        <f>C44*120</f>
        <v>240</v>
      </c>
      <c r="F44" s="37" t="s">
        <v>150</v>
      </c>
      <c r="G44" s="76" t="s">
        <v>156</v>
      </c>
      <c r="H44" s="172">
        <v>283894</v>
      </c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 t="s">
        <v>150</v>
      </c>
      <c r="G45" s="76" t="s">
        <v>157</v>
      </c>
      <c r="H45" s="172">
        <v>34498</v>
      </c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1"/>
      <c r="D46" s="12">
        <f>C46*1.5</f>
        <v>0</v>
      </c>
      <c r="F46" s="95" t="s">
        <v>158</v>
      </c>
      <c r="G46" s="62" t="s">
        <v>159</v>
      </c>
      <c r="H46" s="172">
        <v>19009</v>
      </c>
      <c r="I46" s="172"/>
      <c r="J46" s="172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37" t="s">
        <v>152</v>
      </c>
      <c r="G47" s="76" t="s">
        <v>160</v>
      </c>
      <c r="H47" s="172">
        <v>102341</v>
      </c>
      <c r="I47" s="172"/>
      <c r="J47" s="17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>
        <v>1</v>
      </c>
      <c r="D49" s="12">
        <f>C49*42</f>
        <v>42</v>
      </c>
      <c r="F49" s="153" t="s">
        <v>86</v>
      </c>
      <c r="G49" s="155">
        <f>H34+H35+H36+H37+H38+H39+H40+H41+G42+H44+H45+H46+H47</f>
        <v>452187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>
        <v>2</v>
      </c>
      <c r="D50" s="12">
        <f>C50*1.5</f>
        <v>3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140</v>
      </c>
      <c r="G51" s="266">
        <f>G49-H29</f>
        <v>-12381.75</v>
      </c>
      <c r="H51" s="267"/>
      <c r="I51" s="267"/>
      <c r="J51" s="26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269"/>
      <c r="H52" s="270"/>
      <c r="I52" s="270"/>
      <c r="J52" s="27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38012.25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A31ECC-2E5D-482D-8B67-DE074F9C0A8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9" t="s">
        <v>1</v>
      </c>
      <c r="O1" s="229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0" t="s">
        <v>7</v>
      </c>
      <c r="B4" s="181"/>
      <c r="C4" s="181"/>
      <c r="D4" s="182"/>
      <c r="F4" s="230" t="s">
        <v>8</v>
      </c>
      <c r="G4" s="232"/>
      <c r="H4" s="234" t="s">
        <v>9</v>
      </c>
      <c r="I4" s="236"/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5"/>
      <c r="B6" s="16"/>
      <c r="C6" s="10"/>
      <c r="D6" s="13">
        <f t="shared" ref="D6:D28" si="1">C6*L6</f>
        <v>0</v>
      </c>
      <c r="F6" s="240" t="s">
        <v>16</v>
      </c>
      <c r="G6" s="242"/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5"/>
      <c r="B7" s="16"/>
      <c r="C7" s="10"/>
      <c r="D7" s="13">
        <f t="shared" si="1"/>
        <v>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5"/>
      <c r="B8" s="16"/>
      <c r="C8" s="10"/>
      <c r="D8" s="13">
        <f t="shared" si="1"/>
        <v>0</v>
      </c>
      <c r="F8" s="248" t="s">
        <v>21</v>
      </c>
      <c r="G8" s="249"/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5"/>
      <c r="B9" s="16"/>
      <c r="C9" s="10"/>
      <c r="D9" s="13">
        <f t="shared" si="1"/>
        <v>0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5"/>
      <c r="C10" s="10"/>
      <c r="D10" s="13">
        <f t="shared" si="1"/>
        <v>0</v>
      </c>
      <c r="F10" s="240" t="s">
        <v>26</v>
      </c>
      <c r="G10" s="255"/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9" ht="15.75" x14ac:dyDescent="0.25">
      <c r="A11" s="175"/>
      <c r="B11" s="17"/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5"/>
      <c r="B12" s="17"/>
      <c r="C12" s="10"/>
      <c r="D12" s="48">
        <f t="shared" si="1"/>
        <v>0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5"/>
      <c r="B13" s="17"/>
      <c r="C13" s="10"/>
      <c r="D13" s="48">
        <f t="shared" si="1"/>
        <v>0</v>
      </c>
      <c r="F13" s="261" t="s">
        <v>36</v>
      </c>
      <c r="G13" s="225"/>
      <c r="H13" s="216">
        <f>D29</f>
        <v>0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5"/>
      <c r="B14" s="14"/>
      <c r="C14" s="10"/>
      <c r="D14" s="31">
        <f t="shared" si="1"/>
        <v>0</v>
      </c>
      <c r="F14" s="219" t="s">
        <v>39</v>
      </c>
      <c r="G14" s="220"/>
      <c r="H14" s="221">
        <f>D54</f>
        <v>0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5"/>
      <c r="B15" s="14"/>
      <c r="C15" s="10"/>
      <c r="D15" s="31">
        <f t="shared" si="1"/>
        <v>0</v>
      </c>
      <c r="F15" s="224" t="s">
        <v>40</v>
      </c>
      <c r="G15" s="225"/>
      <c r="H15" s="226">
        <f>H13-H14</f>
        <v>0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C17" s="10"/>
      <c r="D17" s="48">
        <f t="shared" si="1"/>
        <v>0</v>
      </c>
      <c r="F17" s="56"/>
      <c r="G17" s="66" t="s">
        <v>45</v>
      </c>
      <c r="H17" s="197"/>
      <c r="I17" s="197"/>
      <c r="J17" s="19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/>
      <c r="C18" s="10"/>
      <c r="D18" s="48">
        <f t="shared" si="1"/>
        <v>0</v>
      </c>
      <c r="F18" s="56"/>
      <c r="G18" s="66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/>
      <c r="C19" s="10"/>
      <c r="D19" s="48">
        <f t="shared" si="1"/>
        <v>0</v>
      </c>
      <c r="F19" s="56"/>
      <c r="G19" s="68" t="s">
        <v>50</v>
      </c>
      <c r="H19" s="198"/>
      <c r="I19" s="198"/>
      <c r="J19" s="19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/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/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/>
      <c r="C23" s="10"/>
      <c r="D23" s="48">
        <f t="shared" si="1"/>
        <v>0</v>
      </c>
      <c r="F23" s="78"/>
      <c r="G23" s="79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/>
      <c r="C24" s="10"/>
      <c r="D24" s="48">
        <f t="shared" si="1"/>
        <v>0</v>
      </c>
      <c r="F24" s="38"/>
      <c r="G24" s="37"/>
      <c r="H24" s="203"/>
      <c r="I24" s="172"/>
      <c r="J24" s="17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4" t="s">
        <v>13</v>
      </c>
      <c r="I25" s="205"/>
      <c r="J25" s="20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/>
      <c r="C26" s="10"/>
      <c r="D26" s="48">
        <f t="shared" si="1"/>
        <v>0</v>
      </c>
      <c r="F26" s="64"/>
      <c r="G26" s="59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/>
      <c r="C27" s="10"/>
      <c r="D27" s="44">
        <f t="shared" si="1"/>
        <v>0</v>
      </c>
      <c r="F27" s="25"/>
      <c r="G27" s="80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/>
      <c r="C28" s="10"/>
      <c r="D28" s="48">
        <f t="shared" si="1"/>
        <v>0</v>
      </c>
      <c r="F28" s="93"/>
      <c r="G28" s="61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0</v>
      </c>
      <c r="F29" s="133" t="s">
        <v>55</v>
      </c>
      <c r="G29" s="195"/>
      <c r="H29" s="155">
        <f>H15-H16-H17-H18-H19-H20-H22-H23-H24+H26+H27</f>
        <v>0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7"/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8">
        <v>500</v>
      </c>
      <c r="G35" s="41"/>
      <c r="H35" s="177"/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/>
      <c r="H36" s="177"/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7"/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/>
      <c r="D38" s="12">
        <f>C38*84</f>
        <v>0</v>
      </c>
      <c r="F38" s="30">
        <v>50</v>
      </c>
      <c r="G38" s="39"/>
      <c r="H38" s="177"/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/>
      <c r="D39" s="31">
        <f>C39*4.5</f>
        <v>0</v>
      </c>
      <c r="F39" s="12">
        <v>20</v>
      </c>
      <c r="G39" s="37"/>
      <c r="H39" s="177"/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/>
      <c r="D42" s="12">
        <f>C42*2.25</f>
        <v>0</v>
      </c>
      <c r="F42" s="39" t="s">
        <v>79</v>
      </c>
      <c r="G42" s="177"/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59" t="s">
        <v>82</v>
      </c>
      <c r="G43" s="90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/>
      <c r="D44" s="12">
        <f>C44*120</f>
        <v>0</v>
      </c>
      <c r="F44" s="37"/>
      <c r="G44" s="76"/>
      <c r="H44" s="172"/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/>
      <c r="G45" s="76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1"/>
      <c r="D46" s="12">
        <f>C46*1.5</f>
        <v>0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59"/>
      <c r="G47" s="59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/>
      <c r="D48" s="12">
        <f>C48*78</f>
        <v>0</v>
      </c>
      <c r="F48" s="59"/>
      <c r="G48" s="59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/>
      <c r="D49" s="12">
        <f>C49*42</f>
        <v>0</v>
      </c>
      <c r="F49" s="153" t="s">
        <v>86</v>
      </c>
      <c r="G49" s="155">
        <f>H34+H35+H36+H37+H38+H39+H40+H41+G42+H44+H45+H46</f>
        <v>0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/>
      <c r="D50" s="12">
        <f>C50*1.5</f>
        <v>0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128</v>
      </c>
      <c r="G51" s="163">
        <f>G49-H29</f>
        <v>0</v>
      </c>
      <c r="H51" s="164"/>
      <c r="I51" s="164"/>
      <c r="J51" s="1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166"/>
      <c r="H52" s="167"/>
      <c r="I52" s="167"/>
      <c r="J52" s="1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0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C3FCA-3B4A-4591-94BD-82AEE38AEF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1</v>
      </c>
      <c r="H4" s="234" t="s">
        <v>9</v>
      </c>
      <c r="I4" s="236">
        <v>45995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84"/>
      <c r="D6" s="13">
        <f t="shared" ref="D6:D28" si="1">C6*L6</f>
        <v>0</v>
      </c>
      <c r="F6" s="240" t="s">
        <v>16</v>
      </c>
      <c r="G6" s="242" t="s">
        <v>129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84"/>
      <c r="D7" s="13">
        <f t="shared" si="1"/>
        <v>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84"/>
      <c r="D8" s="13">
        <f t="shared" si="1"/>
        <v>0</v>
      </c>
      <c r="F8" s="248" t="s">
        <v>21</v>
      </c>
      <c r="G8" s="249" t="s">
        <v>112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84"/>
      <c r="D9" s="13">
        <f t="shared" si="1"/>
        <v>0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84"/>
      <c r="D10" s="13">
        <f t="shared" si="1"/>
        <v>0</v>
      </c>
      <c r="F10" s="240" t="s">
        <v>26</v>
      </c>
      <c r="G10" s="255" t="s">
        <v>130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84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84"/>
      <c r="D12" s="48">
        <f t="shared" si="1"/>
        <v>0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84"/>
      <c r="D13" s="48">
        <f t="shared" si="1"/>
        <v>0</v>
      </c>
      <c r="F13" s="261" t="s">
        <v>36</v>
      </c>
      <c r="G13" s="225"/>
      <c r="H13" s="216">
        <f>D29</f>
        <v>0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84"/>
      <c r="D14" s="31">
        <f t="shared" si="1"/>
        <v>0</v>
      </c>
      <c r="F14" s="219" t="s">
        <v>39</v>
      </c>
      <c r="G14" s="220"/>
      <c r="H14" s="221">
        <f>D54</f>
        <v>0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84"/>
      <c r="D15" s="31">
        <f t="shared" si="1"/>
        <v>0</v>
      </c>
      <c r="F15" s="224" t="s">
        <v>40</v>
      </c>
      <c r="G15" s="225"/>
      <c r="H15" s="226">
        <f>H13-H14</f>
        <v>0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138</v>
      </c>
      <c r="C17" s="84"/>
      <c r="D17" s="48">
        <f t="shared" si="1"/>
        <v>0</v>
      </c>
      <c r="F17" s="56"/>
      <c r="G17" s="66" t="s">
        <v>45</v>
      </c>
      <c r="H17" s="197"/>
      <c r="I17" s="197"/>
      <c r="J17" s="19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161</v>
      </c>
      <c r="C19" s="84"/>
      <c r="D19" s="48">
        <f t="shared" si="1"/>
        <v>0</v>
      </c>
      <c r="F19" s="56"/>
      <c r="G19" s="68" t="s">
        <v>50</v>
      </c>
      <c r="H19" s="197"/>
      <c r="I19" s="197"/>
      <c r="J19" s="197"/>
      <c r="L19" s="6">
        <v>1102</v>
      </c>
      <c r="Q19" s="4"/>
      <c r="R19" s="5">
        <f t="shared" si="0"/>
        <v>0</v>
      </c>
    </row>
    <row r="20" spans="1:18" ht="15.75" x14ac:dyDescent="0.25">
      <c r="A20" s="175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127</v>
      </c>
      <c r="C22" s="84"/>
      <c r="D22" s="48">
        <f t="shared" si="1"/>
        <v>0</v>
      </c>
      <c r="F22" s="77"/>
      <c r="G22" s="73"/>
      <c r="H22" s="202"/>
      <c r="I22" s="202"/>
      <c r="J22" s="20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101</v>
      </c>
      <c r="C23" s="84"/>
      <c r="D23" s="48">
        <f t="shared" si="1"/>
        <v>0</v>
      </c>
      <c r="F23" s="77"/>
      <c r="G23" s="79"/>
      <c r="H23" s="262"/>
      <c r="I23" s="263"/>
      <c r="J23" s="26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124</v>
      </c>
      <c r="C24" s="84"/>
      <c r="D24" s="48">
        <f t="shared" si="1"/>
        <v>0</v>
      </c>
      <c r="F24" s="77"/>
      <c r="G24" s="79"/>
      <c r="H24" s="262"/>
      <c r="I24" s="263"/>
      <c r="J24" s="263"/>
      <c r="L24" s="47">
        <f>674/6+4.5</f>
        <v>116.83333333333333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204" t="s">
        <v>13</v>
      </c>
      <c r="I25" s="205"/>
      <c r="J25" s="20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137</v>
      </c>
      <c r="C26" s="84"/>
      <c r="D26" s="48">
        <f t="shared" si="1"/>
        <v>0</v>
      </c>
      <c r="F26" s="75"/>
      <c r="G26" s="65"/>
      <c r="H26" s="172"/>
      <c r="I26" s="172"/>
      <c r="J26" s="172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110</v>
      </c>
      <c r="C27" s="84"/>
      <c r="D27" s="44">
        <f t="shared" si="1"/>
        <v>0</v>
      </c>
      <c r="F27" s="71"/>
      <c r="G27" s="90"/>
      <c r="H27" s="264"/>
      <c r="I27" s="265"/>
      <c r="J27" s="26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84"/>
      <c r="D28" s="48">
        <f t="shared" si="1"/>
        <v>0</v>
      </c>
      <c r="F28" s="93"/>
      <c r="G28" s="61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0</v>
      </c>
      <c r="F29" s="133" t="s">
        <v>55</v>
      </c>
      <c r="G29" s="195"/>
      <c r="H29" s="155">
        <f>H15-H16-H17-H18-H19-H20-H22-H23-H24+H26+H27+H28</f>
        <v>0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77">
        <f t="shared" ref="H34:H39" si="2">F34*G34</f>
        <v>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8">
        <v>500</v>
      </c>
      <c r="G35" s="41"/>
      <c r="H35" s="177">
        <f t="shared" si="2"/>
        <v>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/>
      <c r="H36" s="177">
        <f t="shared" si="2"/>
        <v>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7">
        <f t="shared" si="2"/>
        <v>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/>
      <c r="D38" s="12">
        <f>C38*84</f>
        <v>0</v>
      </c>
      <c r="F38" s="30">
        <v>50</v>
      </c>
      <c r="G38" s="39"/>
      <c r="H38" s="177">
        <f t="shared" si="2"/>
        <v>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/>
      <c r="D39" s="31">
        <f>C39*4.5</f>
        <v>0</v>
      </c>
      <c r="F39" s="12">
        <v>20</v>
      </c>
      <c r="G39" s="37"/>
      <c r="H39" s="177">
        <f t="shared" si="2"/>
        <v>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/>
      <c r="D42" s="12">
        <f>C42*2.25</f>
        <v>0</v>
      </c>
      <c r="F42" s="39" t="s">
        <v>79</v>
      </c>
      <c r="G42" s="177"/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59" t="s">
        <v>82</v>
      </c>
      <c r="G43" s="90" t="s">
        <v>83</v>
      </c>
      <c r="H43" s="169" t="s">
        <v>13</v>
      </c>
      <c r="I43" s="170"/>
      <c r="J43" s="17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8"/>
      <c r="B44" s="27" t="s">
        <v>66</v>
      </c>
      <c r="C44" s="10"/>
      <c r="D44" s="12">
        <f>C44*120</f>
        <v>0</v>
      </c>
      <c r="F44" s="37"/>
      <c r="G44" s="62"/>
      <c r="H44" s="172"/>
      <c r="I44" s="172"/>
      <c r="J44" s="17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/>
      <c r="G45" s="62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1"/>
      <c r="D46" s="12">
        <f>C46*1.5</f>
        <v>0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59"/>
      <c r="G47" s="59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/>
      <c r="D48" s="12">
        <f>C48*78</f>
        <v>0</v>
      </c>
      <c r="F48" s="59"/>
      <c r="G48" s="59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/>
      <c r="D49" s="12">
        <f>C49*42</f>
        <v>0</v>
      </c>
      <c r="F49" s="153" t="s">
        <v>86</v>
      </c>
      <c r="G49" s="155">
        <f>H34+H35+H36+H37+H38+H39+H40+H41+G42+H44+H45+H46</f>
        <v>0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/>
      <c r="D50" s="12">
        <f>C50*1.5</f>
        <v>0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131</v>
      </c>
      <c r="G51" s="266">
        <f>G49-H29</f>
        <v>0</v>
      </c>
      <c r="H51" s="267"/>
      <c r="I51" s="267"/>
      <c r="J51" s="26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269"/>
      <c r="H52" s="270"/>
      <c r="I52" s="270"/>
      <c r="J52" s="27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34B79-5408-4FC9-AB3F-AE981D97B11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2</v>
      </c>
      <c r="H4" s="234" t="s">
        <v>9</v>
      </c>
      <c r="I4" s="236">
        <v>45995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10">
        <v>207</v>
      </c>
      <c r="D6" s="13">
        <f t="shared" ref="D6:D28" si="1">C6*L6</f>
        <v>152559</v>
      </c>
      <c r="F6" s="240" t="s">
        <v>16</v>
      </c>
      <c r="G6" s="242" t="s">
        <v>141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10">
        <v>4</v>
      </c>
      <c r="D7" s="13">
        <f t="shared" si="1"/>
        <v>2900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10"/>
      <c r="D8" s="13">
        <f t="shared" si="1"/>
        <v>0</v>
      </c>
      <c r="F8" s="248" t="s">
        <v>21</v>
      </c>
      <c r="G8" s="249" t="s">
        <v>114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10">
        <v>13</v>
      </c>
      <c r="D9" s="13">
        <f t="shared" si="1"/>
        <v>9191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10"/>
      <c r="D10" s="13">
        <f t="shared" si="1"/>
        <v>0</v>
      </c>
      <c r="F10" s="240" t="s">
        <v>26</v>
      </c>
      <c r="G10" s="255" t="s">
        <v>115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10"/>
      <c r="D12" s="48">
        <f t="shared" si="1"/>
        <v>0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10">
        <v>4</v>
      </c>
      <c r="D13" s="48">
        <f t="shared" si="1"/>
        <v>1228</v>
      </c>
      <c r="F13" s="261" t="s">
        <v>36</v>
      </c>
      <c r="G13" s="225"/>
      <c r="H13" s="216">
        <f>D29</f>
        <v>187607.83333333334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10">
        <v>15</v>
      </c>
      <c r="D14" s="31">
        <f t="shared" si="1"/>
        <v>165</v>
      </c>
      <c r="F14" s="219" t="s">
        <v>39</v>
      </c>
      <c r="G14" s="220"/>
      <c r="H14" s="221">
        <f>D54</f>
        <v>13236.75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10"/>
      <c r="D15" s="31">
        <f t="shared" si="1"/>
        <v>0</v>
      </c>
      <c r="F15" s="224" t="s">
        <v>40</v>
      </c>
      <c r="G15" s="225"/>
      <c r="H15" s="226">
        <f>H13-H14</f>
        <v>174371.08333333334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6">
        <f>1620</f>
        <v>1620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93</v>
      </c>
      <c r="C17" s="10"/>
      <c r="D17" s="48">
        <f t="shared" si="1"/>
        <v>0</v>
      </c>
      <c r="F17" s="56"/>
      <c r="G17" s="66" t="s">
        <v>45</v>
      </c>
      <c r="H17" s="197"/>
      <c r="I17" s="197"/>
      <c r="J17" s="19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96</v>
      </c>
      <c r="C19" s="10">
        <v>1</v>
      </c>
      <c r="D19" s="48">
        <f t="shared" si="1"/>
        <v>1102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 t="s">
        <v>122</v>
      </c>
      <c r="C20" s="10">
        <f>1+6</f>
        <v>7</v>
      </c>
      <c r="D20" s="13">
        <f t="shared" si="1"/>
        <v>8225</v>
      </c>
      <c r="F20" s="57"/>
      <c r="G20" s="70" t="s">
        <v>120</v>
      </c>
      <c r="H20" s="197"/>
      <c r="I20" s="197"/>
      <c r="J20" s="19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136</v>
      </c>
      <c r="C21" s="10">
        <f>8+2</f>
        <v>10</v>
      </c>
      <c r="D21" s="48">
        <f t="shared" si="1"/>
        <v>6500</v>
      </c>
      <c r="F21" s="69" t="s">
        <v>99</v>
      </c>
      <c r="G21" s="82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101</v>
      </c>
      <c r="C22" s="10">
        <v>3</v>
      </c>
      <c r="D22" s="48">
        <f t="shared" si="1"/>
        <v>5001</v>
      </c>
      <c r="F22" s="72"/>
      <c r="G22" s="73"/>
      <c r="H22" s="202"/>
      <c r="I22" s="202"/>
      <c r="J22" s="202"/>
      <c r="L22" s="7">
        <v>1667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107</v>
      </c>
      <c r="C23" s="10"/>
      <c r="D23" s="48">
        <f t="shared" si="1"/>
        <v>0</v>
      </c>
      <c r="F23" s="25"/>
      <c r="G23" s="37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123</v>
      </c>
      <c r="C24" s="10"/>
      <c r="D24" s="48">
        <f t="shared" si="1"/>
        <v>0</v>
      </c>
      <c r="F24" s="38"/>
      <c r="G24" s="37"/>
      <c r="H24" s="203"/>
      <c r="I24" s="172"/>
      <c r="J24" s="17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124</v>
      </c>
      <c r="C25" s="10">
        <v>1</v>
      </c>
      <c r="D25" s="48">
        <f t="shared" si="1"/>
        <v>116.83333333333333</v>
      </c>
      <c r="F25" s="60" t="s">
        <v>100</v>
      </c>
      <c r="G25" s="55" t="s">
        <v>98</v>
      </c>
      <c r="H25" s="204" t="s">
        <v>13</v>
      </c>
      <c r="I25" s="205"/>
      <c r="J25" s="206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105</v>
      </c>
      <c r="C26" s="10"/>
      <c r="D26" s="48">
        <f t="shared" si="1"/>
        <v>0</v>
      </c>
      <c r="F26" s="64"/>
      <c r="G26" s="10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109</v>
      </c>
      <c r="C27" s="10"/>
      <c r="D27" s="44">
        <f t="shared" si="1"/>
        <v>0</v>
      </c>
      <c r="F27" s="14"/>
      <c r="G27" s="14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10"/>
      <c r="D28" s="48">
        <f t="shared" si="1"/>
        <v>0</v>
      </c>
      <c r="F28" s="93"/>
      <c r="G28" s="61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187607.83333333334</v>
      </c>
      <c r="F29" s="133" t="s">
        <v>55</v>
      </c>
      <c r="G29" s="195"/>
      <c r="H29" s="155">
        <f>H15-H16-H17-H18-H19-H20-H22-H23-H24+H26+H27</f>
        <v>172751.08333333334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21</v>
      </c>
      <c r="H34" s="177">
        <f>F34*G34</f>
        <v>21000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8">
        <v>500</v>
      </c>
      <c r="G35" s="41">
        <v>13</v>
      </c>
      <c r="H35" s="177">
        <f t="shared" ref="H35:H39" si="2">F35*G35</f>
        <v>6500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177">
        <f>F36*G36</f>
        <v>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>
        <v>105</v>
      </c>
      <c r="D37" s="12">
        <f>C37*111</f>
        <v>11655</v>
      </c>
      <c r="F37" s="12">
        <v>100</v>
      </c>
      <c r="G37" s="39">
        <v>1</v>
      </c>
      <c r="H37" s="177">
        <f t="shared" si="2"/>
        <v>100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77">
        <f t="shared" si="2"/>
        <v>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77">
        <f t="shared" si="2"/>
        <v>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>
        <v>5</v>
      </c>
      <c r="D42" s="12">
        <f>C42*2.25</f>
        <v>11.25</v>
      </c>
      <c r="F42" s="39" t="s">
        <v>79</v>
      </c>
      <c r="G42" s="177">
        <v>477</v>
      </c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59" t="s">
        <v>82</v>
      </c>
      <c r="G43" s="90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>
        <v>1</v>
      </c>
      <c r="D44" s="12">
        <f>C44*120</f>
        <v>120</v>
      </c>
      <c r="F44" s="37" t="s">
        <v>150</v>
      </c>
      <c r="G44" s="62" t="s">
        <v>162</v>
      </c>
      <c r="H44" s="172">
        <v>144167</v>
      </c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>
        <v>2</v>
      </c>
      <c r="D45" s="12">
        <f>C45*84</f>
        <v>168</v>
      </c>
      <c r="F45" s="37"/>
      <c r="G45" s="62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1">
        <v>13</v>
      </c>
      <c r="D46" s="12">
        <f>C46*1.5</f>
        <v>19.5</v>
      </c>
      <c r="F46" s="37"/>
      <c r="G46" s="91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59"/>
      <c r="G47" s="59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>
        <v>6</v>
      </c>
      <c r="D49" s="12">
        <f>C49*42</f>
        <v>252</v>
      </c>
      <c r="F49" s="153" t="s">
        <v>86</v>
      </c>
      <c r="G49" s="155">
        <f>H34+H35+H36+H37+H38+H39+H40+H41+G42+H44+H45+H46</f>
        <v>172244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>
        <v>22</v>
      </c>
      <c r="D50" s="12">
        <f>C50*1.5</f>
        <v>33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132</v>
      </c>
      <c r="G51" s="266">
        <f>G49-H29</f>
        <v>-507.08333333334303</v>
      </c>
      <c r="H51" s="267"/>
      <c r="I51" s="267"/>
      <c r="J51" s="26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269"/>
      <c r="H52" s="270"/>
      <c r="I52" s="270"/>
      <c r="J52" s="27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13236.75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7D12CC-B1BF-4C13-8D4D-5A0033F3BBDF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3</v>
      </c>
      <c r="H4" s="234" t="s">
        <v>9</v>
      </c>
      <c r="I4" s="236">
        <v>45995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10">
        <v>429</v>
      </c>
      <c r="D6" s="13">
        <f t="shared" ref="D6:D28" si="1">C6*L6</f>
        <v>316173</v>
      </c>
      <c r="F6" s="240" t="s">
        <v>16</v>
      </c>
      <c r="G6" s="242" t="s">
        <v>111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10"/>
      <c r="D7" s="13">
        <f t="shared" si="1"/>
        <v>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10"/>
      <c r="D8" s="13">
        <f t="shared" si="1"/>
        <v>0</v>
      </c>
      <c r="F8" s="248" t="s">
        <v>21</v>
      </c>
      <c r="G8" s="249" t="s">
        <v>119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10">
        <v>70</v>
      </c>
      <c r="D9" s="13">
        <f t="shared" si="1"/>
        <v>49490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10">
        <v>1</v>
      </c>
      <c r="D10" s="13">
        <f t="shared" si="1"/>
        <v>972</v>
      </c>
      <c r="F10" s="240" t="s">
        <v>26</v>
      </c>
      <c r="G10" s="255" t="s">
        <v>135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10">
        <f>3+1</f>
        <v>4</v>
      </c>
      <c r="D12" s="48">
        <f t="shared" si="1"/>
        <v>3808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10">
        <v>18</v>
      </c>
      <c r="D13" s="48">
        <f t="shared" si="1"/>
        <v>5526</v>
      </c>
      <c r="F13" s="261" t="s">
        <v>36</v>
      </c>
      <c r="G13" s="225"/>
      <c r="H13" s="216">
        <f>D29</f>
        <v>378246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10"/>
      <c r="D14" s="31">
        <f t="shared" si="1"/>
        <v>0</v>
      </c>
      <c r="F14" s="219" t="s">
        <v>39</v>
      </c>
      <c r="G14" s="220"/>
      <c r="H14" s="221">
        <f>D54</f>
        <v>50790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10"/>
      <c r="D15" s="31">
        <f t="shared" si="1"/>
        <v>0</v>
      </c>
      <c r="F15" s="224" t="s">
        <v>40</v>
      </c>
      <c r="G15" s="225"/>
      <c r="H15" s="226">
        <f>H13-H14</f>
        <v>327456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6">
        <f>912+1824+300</f>
        <v>3036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113</v>
      </c>
      <c r="C17" s="10"/>
      <c r="D17" s="48">
        <f t="shared" si="1"/>
        <v>0</v>
      </c>
      <c r="F17" s="56"/>
      <c r="G17" s="66" t="s">
        <v>45</v>
      </c>
      <c r="H17" s="197"/>
      <c r="I17" s="197"/>
      <c r="J17" s="19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2"/>
      <c r="I19" s="272"/>
      <c r="J19" s="27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 t="s">
        <v>108</v>
      </c>
      <c r="C20" s="10">
        <v>1</v>
      </c>
      <c r="D20" s="13">
        <f t="shared" si="1"/>
        <v>1102</v>
      </c>
      <c r="F20" s="57"/>
      <c r="G20" s="70" t="s">
        <v>120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104</v>
      </c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107</v>
      </c>
      <c r="C23" s="10">
        <v>1</v>
      </c>
      <c r="D23" s="48">
        <f t="shared" si="1"/>
        <v>1175</v>
      </c>
      <c r="F23" s="78"/>
      <c r="G23" s="79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101</v>
      </c>
      <c r="C24" s="10"/>
      <c r="D24" s="48">
        <f t="shared" si="1"/>
        <v>0</v>
      </c>
      <c r="F24" s="38"/>
      <c r="G24" s="37"/>
      <c r="H24" s="203"/>
      <c r="I24" s="172"/>
      <c r="J24" s="17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4" t="s">
        <v>13</v>
      </c>
      <c r="I25" s="205"/>
      <c r="J25" s="20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105</v>
      </c>
      <c r="C26" s="10"/>
      <c r="D26" s="48">
        <f t="shared" si="1"/>
        <v>0</v>
      </c>
      <c r="F26" s="64"/>
      <c r="G26" s="59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109</v>
      </c>
      <c r="C27" s="10"/>
      <c r="D27" s="44">
        <f t="shared" si="1"/>
        <v>0</v>
      </c>
      <c r="F27" s="25"/>
      <c r="G27" s="80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10"/>
      <c r="D28" s="48">
        <f t="shared" si="1"/>
        <v>0</v>
      </c>
      <c r="F28" s="93"/>
      <c r="G28" s="61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378246</v>
      </c>
      <c r="F29" s="133" t="s">
        <v>55</v>
      </c>
      <c r="G29" s="195"/>
      <c r="H29" s="155">
        <f>H15-H16-H17-H18-H19-H20-H22-H23-H24+H26+H27</f>
        <v>324420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31</v>
      </c>
      <c r="H34" s="177">
        <f>F34*G34</f>
        <v>31000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8">
        <v>500</v>
      </c>
      <c r="G35" s="41"/>
      <c r="H35" s="177">
        <f>F35*G35</f>
        <v>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/>
      <c r="H36" s="177">
        <f t="shared" ref="H36:H39" si="2">F36*G36</f>
        <v>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>
        <v>444</v>
      </c>
      <c r="D37" s="12">
        <f>C37*111</f>
        <v>49284</v>
      </c>
      <c r="F37" s="12">
        <v>100</v>
      </c>
      <c r="G37" s="39"/>
      <c r="H37" s="177">
        <f t="shared" si="2"/>
        <v>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/>
      <c r="D38" s="12">
        <f>C38*84</f>
        <v>0</v>
      </c>
      <c r="F38" s="30">
        <v>50</v>
      </c>
      <c r="G38" s="39"/>
      <c r="H38" s="177">
        <f t="shared" si="2"/>
        <v>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>
        <v>6</v>
      </c>
      <c r="D39" s="31">
        <f>C39*4.5</f>
        <v>27</v>
      </c>
      <c r="F39" s="12">
        <v>20</v>
      </c>
      <c r="G39" s="37"/>
      <c r="H39" s="177">
        <f t="shared" si="2"/>
        <v>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/>
      <c r="D42" s="12">
        <f>C42*2.25</f>
        <v>0</v>
      </c>
      <c r="F42" s="39" t="s">
        <v>79</v>
      </c>
      <c r="G42" s="177">
        <v>2</v>
      </c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59" t="s">
        <v>82</v>
      </c>
      <c r="G43" s="90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>
        <v>4</v>
      </c>
      <c r="D44" s="12">
        <f>C44*120</f>
        <v>480</v>
      </c>
      <c r="F44" s="37" t="s">
        <v>163</v>
      </c>
      <c r="G44" s="76" t="s">
        <v>164</v>
      </c>
      <c r="H44" s="172">
        <v>101868</v>
      </c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 t="s">
        <v>163</v>
      </c>
      <c r="G45" s="76" t="s">
        <v>165</v>
      </c>
      <c r="H45" s="172">
        <v>191152</v>
      </c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1"/>
      <c r="D46" s="12">
        <f>C46*1.5</f>
        <v>0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59"/>
      <c r="G47" s="59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/>
      <c r="D48" s="12">
        <f>C48*78</f>
        <v>0</v>
      </c>
      <c r="F48" s="59"/>
      <c r="G48" s="59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>
        <v>11</v>
      </c>
      <c r="D49" s="12">
        <f>C49*42</f>
        <v>462</v>
      </c>
      <c r="F49" s="153" t="s">
        <v>86</v>
      </c>
      <c r="G49" s="155">
        <f>H34+H35+H36+H37+H38+H39+H40+H41+G42+H44+H45+H46</f>
        <v>324022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/>
      <c r="D50" s="12">
        <f>C50*1.5</f>
        <v>0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140</v>
      </c>
      <c r="G51" s="266">
        <f>G49-H29</f>
        <v>-398</v>
      </c>
      <c r="H51" s="267"/>
      <c r="I51" s="267"/>
      <c r="J51" s="26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269"/>
      <c r="H52" s="270"/>
      <c r="I52" s="270"/>
      <c r="J52" s="27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50790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79CBEF-6F6C-41D9-B171-AA7638A998C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9" t="s">
        <v>1</v>
      </c>
      <c r="O1" s="229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0" t="s">
        <v>7</v>
      </c>
      <c r="B4" s="181"/>
      <c r="C4" s="181"/>
      <c r="D4" s="182"/>
      <c r="F4" s="230" t="s">
        <v>8</v>
      </c>
      <c r="G4" s="232"/>
      <c r="H4" s="234" t="s">
        <v>9</v>
      </c>
      <c r="I4" s="236"/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5"/>
      <c r="B6" s="16"/>
      <c r="C6" s="10"/>
      <c r="D6" s="13">
        <f t="shared" ref="D6:D28" si="1">C6*L6</f>
        <v>0</v>
      </c>
      <c r="F6" s="240" t="s">
        <v>16</v>
      </c>
      <c r="G6" s="242"/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5"/>
      <c r="B7" s="16"/>
      <c r="C7" s="10"/>
      <c r="D7" s="13">
        <f t="shared" si="1"/>
        <v>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5"/>
      <c r="B8" s="16"/>
      <c r="C8" s="10"/>
      <c r="D8" s="13">
        <f t="shared" si="1"/>
        <v>0</v>
      </c>
      <c r="F8" s="248" t="s">
        <v>21</v>
      </c>
      <c r="G8" s="249"/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5"/>
      <c r="B9" s="16"/>
      <c r="C9" s="10"/>
      <c r="D9" s="13">
        <f t="shared" si="1"/>
        <v>0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5"/>
      <c r="C10" s="10"/>
      <c r="D10" s="13">
        <f t="shared" si="1"/>
        <v>0</v>
      </c>
      <c r="F10" s="240" t="s">
        <v>26</v>
      </c>
      <c r="G10" s="255"/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9" ht="15.75" x14ac:dyDescent="0.25">
      <c r="A11" s="175"/>
      <c r="B11" s="17"/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5"/>
      <c r="B12" s="17"/>
      <c r="C12" s="10"/>
      <c r="D12" s="48">
        <f t="shared" si="1"/>
        <v>0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5"/>
      <c r="B13" s="17"/>
      <c r="C13" s="10"/>
      <c r="D13" s="48">
        <f t="shared" si="1"/>
        <v>0</v>
      </c>
      <c r="F13" s="261" t="s">
        <v>36</v>
      </c>
      <c r="G13" s="225"/>
      <c r="H13" s="216">
        <f>D29</f>
        <v>0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5"/>
      <c r="B14" s="14"/>
      <c r="C14" s="10"/>
      <c r="D14" s="31">
        <f t="shared" si="1"/>
        <v>0</v>
      </c>
      <c r="F14" s="219" t="s">
        <v>39</v>
      </c>
      <c r="G14" s="220"/>
      <c r="H14" s="221">
        <f>D54</f>
        <v>0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5"/>
      <c r="B15" s="14"/>
      <c r="C15" s="10"/>
      <c r="D15" s="31">
        <f t="shared" si="1"/>
        <v>0</v>
      </c>
      <c r="F15" s="224" t="s">
        <v>40</v>
      </c>
      <c r="G15" s="225"/>
      <c r="H15" s="226">
        <f>H13-H14</f>
        <v>0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C17" s="10"/>
      <c r="D17" s="48">
        <f t="shared" si="1"/>
        <v>0</v>
      </c>
      <c r="F17" s="56"/>
      <c r="G17" s="66" t="s">
        <v>45</v>
      </c>
      <c r="H17" s="197"/>
      <c r="I17" s="197"/>
      <c r="J17" s="19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/>
      <c r="C18" s="10"/>
      <c r="D18" s="48">
        <f t="shared" si="1"/>
        <v>0</v>
      </c>
      <c r="F18" s="56"/>
      <c r="G18" s="66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/>
      <c r="C19" s="10"/>
      <c r="D19" s="48">
        <f t="shared" si="1"/>
        <v>0</v>
      </c>
      <c r="F19" s="56"/>
      <c r="G19" s="68" t="s">
        <v>50</v>
      </c>
      <c r="H19" s="198"/>
      <c r="I19" s="198"/>
      <c r="J19" s="19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/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/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/>
      <c r="C23" s="10"/>
      <c r="D23" s="48">
        <f t="shared" si="1"/>
        <v>0</v>
      </c>
      <c r="F23" s="78"/>
      <c r="G23" s="79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/>
      <c r="C24" s="10"/>
      <c r="D24" s="48">
        <f t="shared" si="1"/>
        <v>0</v>
      </c>
      <c r="F24" s="38"/>
      <c r="G24" s="37"/>
      <c r="H24" s="203"/>
      <c r="I24" s="172"/>
      <c r="J24" s="17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4" t="s">
        <v>13</v>
      </c>
      <c r="I25" s="205"/>
      <c r="J25" s="20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/>
      <c r="C26" s="10"/>
      <c r="D26" s="48">
        <f t="shared" si="1"/>
        <v>0</v>
      </c>
      <c r="F26" s="64"/>
      <c r="G26" s="59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/>
      <c r="C27" s="10"/>
      <c r="D27" s="44">
        <f t="shared" si="1"/>
        <v>0</v>
      </c>
      <c r="F27" s="25"/>
      <c r="G27" s="80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/>
      <c r="C28" s="10"/>
      <c r="D28" s="48">
        <f t="shared" si="1"/>
        <v>0</v>
      </c>
      <c r="F28" s="93"/>
      <c r="G28" s="61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0</v>
      </c>
      <c r="F29" s="133" t="s">
        <v>55</v>
      </c>
      <c r="G29" s="195"/>
      <c r="H29" s="155">
        <f>H15-H16-H17-H18-H19-H20-H22-H23-H24+H26+H27</f>
        <v>0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7"/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8">
        <v>500</v>
      </c>
      <c r="G35" s="41"/>
      <c r="H35" s="177"/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/>
      <c r="H36" s="177"/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7"/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/>
      <c r="D38" s="12">
        <f>C38*84</f>
        <v>0</v>
      </c>
      <c r="F38" s="30">
        <v>50</v>
      </c>
      <c r="G38" s="39"/>
      <c r="H38" s="177"/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/>
      <c r="D39" s="31">
        <f>C39*4.5</f>
        <v>0</v>
      </c>
      <c r="F39" s="12">
        <v>20</v>
      </c>
      <c r="G39" s="37"/>
      <c r="H39" s="177"/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/>
      <c r="D42" s="12">
        <f>C42*2.25</f>
        <v>0</v>
      </c>
      <c r="F42" s="39" t="s">
        <v>79</v>
      </c>
      <c r="G42" s="177"/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59" t="s">
        <v>82</v>
      </c>
      <c r="G43" s="90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/>
      <c r="D44" s="12">
        <f>C44*120</f>
        <v>0</v>
      </c>
      <c r="F44" s="37"/>
      <c r="G44" s="76"/>
      <c r="H44" s="172"/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/>
      <c r="G45" s="76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1"/>
      <c r="D46" s="12">
        <f>C46*1.5</f>
        <v>0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59"/>
      <c r="G47" s="59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/>
      <c r="D48" s="12">
        <f>C48*78</f>
        <v>0</v>
      </c>
      <c r="F48" s="59"/>
      <c r="G48" s="59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/>
      <c r="D49" s="12">
        <f>C49*42</f>
        <v>0</v>
      </c>
      <c r="F49" s="153" t="s">
        <v>86</v>
      </c>
      <c r="G49" s="155">
        <f>H34+H35+H36+H37+H38+H39+H40+H41+G42+H44+H45+H46</f>
        <v>0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/>
      <c r="D50" s="12">
        <f>C50*1.5</f>
        <v>0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128</v>
      </c>
      <c r="G51" s="163">
        <f>G49-H29</f>
        <v>0</v>
      </c>
      <c r="H51" s="164"/>
      <c r="I51" s="164"/>
      <c r="J51" s="1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166"/>
      <c r="H52" s="167"/>
      <c r="I52" s="167"/>
      <c r="J52" s="1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0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18BE-29B0-485D-A3A4-C99833CB9FE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1</v>
      </c>
      <c r="H4" s="234" t="s">
        <v>9</v>
      </c>
      <c r="I4" s="236">
        <v>45996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84">
        <v>522</v>
      </c>
      <c r="D6" s="13">
        <f t="shared" ref="D6:D28" si="1">C6*L6</f>
        <v>384714</v>
      </c>
      <c r="F6" s="240" t="s">
        <v>16</v>
      </c>
      <c r="G6" s="242" t="s">
        <v>129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84">
        <v>3</v>
      </c>
      <c r="D7" s="13">
        <f t="shared" si="1"/>
        <v>2175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84">
        <v>50</v>
      </c>
      <c r="D8" s="13">
        <f t="shared" si="1"/>
        <v>51650</v>
      </c>
      <c r="F8" s="248" t="s">
        <v>21</v>
      </c>
      <c r="G8" s="249" t="s">
        <v>112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84">
        <v>51</v>
      </c>
      <c r="D9" s="13">
        <f t="shared" si="1"/>
        <v>36057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84"/>
      <c r="D10" s="13">
        <f t="shared" si="1"/>
        <v>0</v>
      </c>
      <c r="F10" s="240" t="s">
        <v>26</v>
      </c>
      <c r="G10" s="255" t="s">
        <v>130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84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84"/>
      <c r="D12" s="48">
        <f t="shared" si="1"/>
        <v>0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84">
        <v>22</v>
      </c>
      <c r="D13" s="48">
        <f t="shared" si="1"/>
        <v>6754</v>
      </c>
      <c r="F13" s="261" t="s">
        <v>36</v>
      </c>
      <c r="G13" s="225"/>
      <c r="H13" s="216">
        <f>D29</f>
        <v>481416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84">
        <v>6</v>
      </c>
      <c r="D14" s="31">
        <f t="shared" si="1"/>
        <v>66</v>
      </c>
      <c r="F14" s="219" t="s">
        <v>39</v>
      </c>
      <c r="G14" s="220"/>
      <c r="H14" s="221">
        <f>D54</f>
        <v>102241.5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84"/>
      <c r="D15" s="31">
        <f t="shared" si="1"/>
        <v>0</v>
      </c>
      <c r="F15" s="224" t="s">
        <v>40</v>
      </c>
      <c r="G15" s="225"/>
      <c r="H15" s="226">
        <f>H13-H14</f>
        <v>379174.5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6">
        <f>3012</f>
        <v>3012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138</v>
      </c>
      <c r="C17" s="84"/>
      <c r="D17" s="48">
        <f t="shared" si="1"/>
        <v>0</v>
      </c>
      <c r="F17" s="56"/>
      <c r="G17" s="66" t="s">
        <v>45</v>
      </c>
      <c r="H17" s="197"/>
      <c r="I17" s="197"/>
      <c r="J17" s="19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97"/>
      <c r="I19" s="197"/>
      <c r="J19" s="197"/>
      <c r="L19" s="6">
        <v>1102</v>
      </c>
      <c r="Q19" s="4"/>
      <c r="R19" s="5">
        <f t="shared" si="0"/>
        <v>0</v>
      </c>
    </row>
    <row r="20" spans="1:18" ht="15.75" x14ac:dyDescent="0.25">
      <c r="A20" s="175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127</v>
      </c>
      <c r="C22" s="84"/>
      <c r="D22" s="48">
        <f t="shared" si="1"/>
        <v>0</v>
      </c>
      <c r="F22" s="77" t="s">
        <v>166</v>
      </c>
      <c r="G22" s="73">
        <v>7681</v>
      </c>
      <c r="H22" s="202">
        <v>45650</v>
      </c>
      <c r="I22" s="202"/>
      <c r="J22" s="20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101</v>
      </c>
      <c r="C23" s="84"/>
      <c r="D23" s="48">
        <f t="shared" si="1"/>
        <v>0</v>
      </c>
      <c r="F23" s="77"/>
      <c r="G23" s="79"/>
      <c r="H23" s="262"/>
      <c r="I23" s="263"/>
      <c r="J23" s="26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121</v>
      </c>
      <c r="C24" s="84"/>
      <c r="D24" s="48">
        <f t="shared" si="1"/>
        <v>0</v>
      </c>
      <c r="F24" s="77"/>
      <c r="G24" s="79"/>
      <c r="H24" s="262"/>
      <c r="I24" s="263"/>
      <c r="J24" s="26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204" t="s">
        <v>13</v>
      </c>
      <c r="I25" s="205"/>
      <c r="J25" s="20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137</v>
      </c>
      <c r="C26" s="84"/>
      <c r="D26" s="48">
        <f t="shared" si="1"/>
        <v>0</v>
      </c>
      <c r="F26" s="75"/>
      <c r="G26" s="65"/>
      <c r="H26" s="172"/>
      <c r="I26" s="172"/>
      <c r="J26" s="172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110</v>
      </c>
      <c r="C27" s="84"/>
      <c r="D27" s="44">
        <f t="shared" si="1"/>
        <v>0</v>
      </c>
      <c r="F27" s="71"/>
      <c r="G27" s="90"/>
      <c r="H27" s="264"/>
      <c r="I27" s="265"/>
      <c r="J27" s="26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84"/>
      <c r="D28" s="48">
        <f t="shared" si="1"/>
        <v>0</v>
      </c>
      <c r="F28" s="93"/>
      <c r="G28" s="61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481416</v>
      </c>
      <c r="F29" s="133" t="s">
        <v>55</v>
      </c>
      <c r="G29" s="195"/>
      <c r="H29" s="155">
        <f>H15-H16-H17-H18-H19-H20-H22-H23-H24+H26+H27+H28</f>
        <v>330512.5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>
        <v>10</v>
      </c>
      <c r="D34" s="30">
        <f>C34*120</f>
        <v>1200</v>
      </c>
      <c r="F34" s="12">
        <v>1000</v>
      </c>
      <c r="G34" s="40">
        <v>278</v>
      </c>
      <c r="H34" s="177">
        <f t="shared" ref="H34:H39" si="2">F34*G34</f>
        <v>278000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8">
        <v>500</v>
      </c>
      <c r="G35" s="41">
        <v>102</v>
      </c>
      <c r="H35" s="177">
        <f t="shared" si="2"/>
        <v>51000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>
        <v>12</v>
      </c>
      <c r="D36" s="12">
        <f>C36*1.5</f>
        <v>18</v>
      </c>
      <c r="F36" s="12">
        <v>200</v>
      </c>
      <c r="G36" s="37"/>
      <c r="H36" s="177">
        <f t="shared" si="2"/>
        <v>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>
        <v>838</v>
      </c>
      <c r="D37" s="12">
        <f>C37*111</f>
        <v>93018</v>
      </c>
      <c r="F37" s="12">
        <v>100</v>
      </c>
      <c r="G37" s="39">
        <v>9</v>
      </c>
      <c r="H37" s="177">
        <f t="shared" si="2"/>
        <v>900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/>
      <c r="D38" s="12">
        <f>C38*84</f>
        <v>0</v>
      </c>
      <c r="F38" s="30">
        <v>50</v>
      </c>
      <c r="G38" s="39">
        <v>3</v>
      </c>
      <c r="H38" s="177">
        <f t="shared" si="2"/>
        <v>150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/>
      <c r="D39" s="31">
        <f>C39*4.5</f>
        <v>0</v>
      </c>
      <c r="F39" s="12">
        <v>20</v>
      </c>
      <c r="G39" s="37"/>
      <c r="H39" s="177">
        <f t="shared" si="2"/>
        <v>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/>
      <c r="D42" s="12">
        <f>C42*2.25</f>
        <v>0</v>
      </c>
      <c r="F42" s="39" t="s">
        <v>79</v>
      </c>
      <c r="G42" s="177">
        <v>25</v>
      </c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59" t="s">
        <v>82</v>
      </c>
      <c r="G43" s="90" t="s">
        <v>83</v>
      </c>
      <c r="H43" s="169" t="s">
        <v>13</v>
      </c>
      <c r="I43" s="170"/>
      <c r="J43" s="17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8"/>
      <c r="B44" s="27" t="s">
        <v>66</v>
      </c>
      <c r="C44" s="10">
        <v>41</v>
      </c>
      <c r="D44" s="12">
        <f>C44*120</f>
        <v>4920</v>
      </c>
      <c r="F44" s="37"/>
      <c r="G44" s="62"/>
      <c r="H44" s="172"/>
      <c r="I44" s="172"/>
      <c r="J44" s="17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/>
      <c r="G45" s="62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1">
        <v>9</v>
      </c>
      <c r="D46" s="12">
        <f>C46*1.5</f>
        <v>13.5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59"/>
      <c r="G47" s="59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>
        <v>48</v>
      </c>
      <c r="D49" s="12">
        <f>C49*42</f>
        <v>2016</v>
      </c>
      <c r="F49" s="153" t="s">
        <v>86</v>
      </c>
      <c r="G49" s="155">
        <f>H34+H35+H36+H37+H38+H39+H40+H41+G42+H44+H45+H46</f>
        <v>330075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>
        <v>14</v>
      </c>
      <c r="D50" s="12">
        <f>C50*1.5</f>
        <v>21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131</v>
      </c>
      <c r="G51" s="266">
        <f>G49-H29</f>
        <v>-437.5</v>
      </c>
      <c r="H51" s="267"/>
      <c r="I51" s="267"/>
      <c r="J51" s="26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269"/>
      <c r="H52" s="270"/>
      <c r="I52" s="270"/>
      <c r="J52" s="27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102241.5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5333D-C745-474C-8FF0-9245C6796D1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2</v>
      </c>
      <c r="H4" s="234" t="s">
        <v>9</v>
      </c>
      <c r="I4" s="236">
        <v>45996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10">
        <v>186</v>
      </c>
      <c r="D6" s="13">
        <f t="shared" ref="D6:D28" si="1">C6*L6</f>
        <v>137082</v>
      </c>
      <c r="F6" s="240" t="s">
        <v>16</v>
      </c>
      <c r="G6" s="242" t="s">
        <v>141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10">
        <v>2</v>
      </c>
      <c r="D7" s="13">
        <f t="shared" si="1"/>
        <v>1450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10"/>
      <c r="D8" s="13">
        <f t="shared" si="1"/>
        <v>0</v>
      </c>
      <c r="F8" s="248" t="s">
        <v>21</v>
      </c>
      <c r="G8" s="249" t="s">
        <v>114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10">
        <v>8</v>
      </c>
      <c r="D9" s="13">
        <f t="shared" si="1"/>
        <v>5656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10"/>
      <c r="D10" s="13">
        <f t="shared" si="1"/>
        <v>0</v>
      </c>
      <c r="F10" s="240" t="s">
        <v>26</v>
      </c>
      <c r="G10" s="255" t="s">
        <v>115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10"/>
      <c r="D12" s="48">
        <f t="shared" si="1"/>
        <v>0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10">
        <v>5</v>
      </c>
      <c r="D13" s="48">
        <f t="shared" si="1"/>
        <v>1535</v>
      </c>
      <c r="F13" s="261" t="s">
        <v>36</v>
      </c>
      <c r="G13" s="225"/>
      <c r="H13" s="216">
        <f>D29</f>
        <v>148838.16666666666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10">
        <v>16</v>
      </c>
      <c r="D14" s="31">
        <f t="shared" si="1"/>
        <v>176</v>
      </c>
      <c r="F14" s="219" t="s">
        <v>39</v>
      </c>
      <c r="G14" s="220"/>
      <c r="H14" s="221">
        <f>D54</f>
        <v>23934.75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10"/>
      <c r="D15" s="31">
        <f t="shared" si="1"/>
        <v>0</v>
      </c>
      <c r="F15" s="224" t="s">
        <v>40</v>
      </c>
      <c r="G15" s="225"/>
      <c r="H15" s="226">
        <f>H13-H14</f>
        <v>124903.41666666666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93</v>
      </c>
      <c r="C17" s="10"/>
      <c r="D17" s="48">
        <f t="shared" si="1"/>
        <v>0</v>
      </c>
      <c r="F17" s="56"/>
      <c r="G17" s="66" t="s">
        <v>45</v>
      </c>
      <c r="H17" s="197"/>
      <c r="I17" s="197"/>
      <c r="J17" s="19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7"/>
      <c r="I20" s="197"/>
      <c r="J20" s="19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104</v>
      </c>
      <c r="C22" s="10"/>
      <c r="D22" s="48">
        <f t="shared" si="1"/>
        <v>0</v>
      </c>
      <c r="F22" s="72"/>
      <c r="G22" s="73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107</v>
      </c>
      <c r="C23" s="10"/>
      <c r="D23" s="48">
        <f t="shared" si="1"/>
        <v>0</v>
      </c>
      <c r="F23" s="25"/>
      <c r="G23" s="37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123</v>
      </c>
      <c r="C24" s="10"/>
      <c r="D24" s="48">
        <f t="shared" si="1"/>
        <v>0</v>
      </c>
      <c r="F24" s="38"/>
      <c r="G24" s="37"/>
      <c r="H24" s="203"/>
      <c r="I24" s="172"/>
      <c r="J24" s="17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124</v>
      </c>
      <c r="C25" s="10">
        <v>5</v>
      </c>
      <c r="D25" s="48">
        <f t="shared" si="1"/>
        <v>584.16666666666663</v>
      </c>
      <c r="F25" s="60" t="s">
        <v>100</v>
      </c>
      <c r="G25" s="55" t="s">
        <v>98</v>
      </c>
      <c r="H25" s="204" t="s">
        <v>13</v>
      </c>
      <c r="I25" s="205"/>
      <c r="J25" s="206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105</v>
      </c>
      <c r="C26" s="10"/>
      <c r="D26" s="48">
        <f t="shared" si="1"/>
        <v>0</v>
      </c>
      <c r="F26" s="64"/>
      <c r="G26" s="10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109</v>
      </c>
      <c r="C27" s="10"/>
      <c r="D27" s="44">
        <f t="shared" si="1"/>
        <v>0</v>
      </c>
      <c r="F27" s="14"/>
      <c r="G27" s="14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10">
        <v>3</v>
      </c>
      <c r="D28" s="48">
        <f t="shared" si="1"/>
        <v>2355</v>
      </c>
      <c r="F28" s="93"/>
      <c r="G28" s="61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148838.16666666666</v>
      </c>
      <c r="F29" s="133" t="s">
        <v>55</v>
      </c>
      <c r="G29" s="195"/>
      <c r="H29" s="155">
        <f>H15-H16-H17-H18-H19-H20-H22-H23-H24+H26+H27</f>
        <v>124903.41666666666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91</v>
      </c>
      <c r="H34" s="177">
        <f>F34*G34</f>
        <v>91000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8">
        <v>500</v>
      </c>
      <c r="G35" s="41">
        <v>65</v>
      </c>
      <c r="H35" s="177">
        <f t="shared" ref="H35:H39" si="2">F35*G35</f>
        <v>32500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77">
        <f>F36*G36</f>
        <v>200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>
        <v>202</v>
      </c>
      <c r="D37" s="12">
        <f>C37*111</f>
        <v>22422</v>
      </c>
      <c r="F37" s="12">
        <v>100</v>
      </c>
      <c r="G37" s="39">
        <v>17</v>
      </c>
      <c r="H37" s="177">
        <f t="shared" si="2"/>
        <v>1700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>
        <v>10</v>
      </c>
      <c r="D38" s="12">
        <f>C38*84</f>
        <v>840</v>
      </c>
      <c r="F38" s="30">
        <v>50</v>
      </c>
      <c r="G38" s="39"/>
      <c r="H38" s="177">
        <f t="shared" si="2"/>
        <v>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77">
        <f t="shared" si="2"/>
        <v>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>
        <v>7</v>
      </c>
      <c r="D42" s="12">
        <f>C42*2.25</f>
        <v>15.75</v>
      </c>
      <c r="F42" s="39" t="s">
        <v>79</v>
      </c>
      <c r="G42" s="177">
        <v>11</v>
      </c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59" t="s">
        <v>82</v>
      </c>
      <c r="G43" s="90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/>
      <c r="D44" s="12">
        <f>C44*120</f>
        <v>0</v>
      </c>
      <c r="F44" s="37"/>
      <c r="G44" s="62"/>
      <c r="H44" s="172"/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/>
      <c r="G45" s="62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1"/>
      <c r="D46" s="12">
        <f>C46*1.5</f>
        <v>0</v>
      </c>
      <c r="F46" s="37"/>
      <c r="G46" s="91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59"/>
      <c r="G47" s="59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>
        <v>2</v>
      </c>
      <c r="D49" s="12">
        <f>C49*42</f>
        <v>84</v>
      </c>
      <c r="F49" s="153" t="s">
        <v>86</v>
      </c>
      <c r="G49" s="155">
        <f>H34+H35+H36+H37+H38+H39+H40+H41+G42+H44+H45+H46</f>
        <v>125411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>
        <v>17</v>
      </c>
      <c r="D50" s="12">
        <f>C50*1.5</f>
        <v>25.5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155</v>
      </c>
      <c r="G51" s="163">
        <f>G49-H29</f>
        <v>507.58333333334303</v>
      </c>
      <c r="H51" s="164"/>
      <c r="I51" s="164"/>
      <c r="J51" s="1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166"/>
      <c r="H52" s="167"/>
      <c r="I52" s="167"/>
      <c r="J52" s="1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23934.75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47494-3345-458E-8782-BD702A3573B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3</v>
      </c>
      <c r="H4" s="234" t="s">
        <v>9</v>
      </c>
      <c r="I4" s="236">
        <v>45996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10">
        <v>175</v>
      </c>
      <c r="D6" s="13">
        <f t="shared" ref="D6:D28" si="1">C6*L6</f>
        <v>128975</v>
      </c>
      <c r="F6" s="240" t="s">
        <v>16</v>
      </c>
      <c r="G6" s="242" t="s">
        <v>111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10">
        <v>20</v>
      </c>
      <c r="D7" s="13">
        <f t="shared" si="1"/>
        <v>14500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10"/>
      <c r="D8" s="13">
        <f t="shared" si="1"/>
        <v>0</v>
      </c>
      <c r="F8" s="248" t="s">
        <v>21</v>
      </c>
      <c r="G8" s="249" t="s">
        <v>119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10">
        <v>17</v>
      </c>
      <c r="D9" s="13">
        <f t="shared" si="1"/>
        <v>12019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10">
        <v>3</v>
      </c>
      <c r="D10" s="13">
        <f t="shared" si="1"/>
        <v>2916</v>
      </c>
      <c r="F10" s="240" t="s">
        <v>26</v>
      </c>
      <c r="G10" s="255" t="s">
        <v>135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10">
        <v>1</v>
      </c>
      <c r="D11" s="13">
        <f t="shared" si="1"/>
        <v>1125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10">
        <f>1+1</f>
        <v>2</v>
      </c>
      <c r="D12" s="48">
        <f t="shared" si="1"/>
        <v>1904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10">
        <v>6</v>
      </c>
      <c r="D13" s="48">
        <f t="shared" si="1"/>
        <v>1842</v>
      </c>
      <c r="F13" s="261" t="s">
        <v>36</v>
      </c>
      <c r="G13" s="225"/>
      <c r="H13" s="216">
        <f>D29</f>
        <v>166256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10"/>
      <c r="D14" s="31">
        <f t="shared" si="1"/>
        <v>0</v>
      </c>
      <c r="F14" s="219" t="s">
        <v>39</v>
      </c>
      <c r="G14" s="220"/>
      <c r="H14" s="221">
        <f>D54</f>
        <v>24198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10"/>
      <c r="D15" s="31">
        <f t="shared" si="1"/>
        <v>0</v>
      </c>
      <c r="F15" s="224" t="s">
        <v>40</v>
      </c>
      <c r="G15" s="225"/>
      <c r="H15" s="226">
        <f>H13-H14</f>
        <v>142058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6">
        <f>300</f>
        <v>300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113</v>
      </c>
      <c r="C17" s="10"/>
      <c r="D17" s="48">
        <f t="shared" si="1"/>
        <v>0</v>
      </c>
      <c r="F17" s="56"/>
      <c r="G17" s="66" t="s">
        <v>45</v>
      </c>
      <c r="H17" s="197"/>
      <c r="I17" s="197"/>
      <c r="J17" s="19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2">
        <v>50</v>
      </c>
      <c r="I19" s="272"/>
      <c r="J19" s="27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104</v>
      </c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107</v>
      </c>
      <c r="C23" s="10"/>
      <c r="D23" s="48">
        <f t="shared" si="1"/>
        <v>0</v>
      </c>
      <c r="F23" s="78"/>
      <c r="G23" s="79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101</v>
      </c>
      <c r="C24" s="10"/>
      <c r="D24" s="48">
        <f t="shared" si="1"/>
        <v>0</v>
      </c>
      <c r="F24" s="38"/>
      <c r="G24" s="37"/>
      <c r="H24" s="203"/>
      <c r="I24" s="172"/>
      <c r="J24" s="17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4" t="s">
        <v>13</v>
      </c>
      <c r="I25" s="205"/>
      <c r="J25" s="20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105</v>
      </c>
      <c r="C26" s="10"/>
      <c r="D26" s="48">
        <f t="shared" si="1"/>
        <v>0</v>
      </c>
      <c r="F26" s="64"/>
      <c r="G26" s="59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109</v>
      </c>
      <c r="C27" s="10"/>
      <c r="D27" s="44">
        <f t="shared" si="1"/>
        <v>0</v>
      </c>
      <c r="F27" s="25"/>
      <c r="G27" s="80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10">
        <v>3</v>
      </c>
      <c r="D28" s="48">
        <f t="shared" si="1"/>
        <v>2355</v>
      </c>
      <c r="F28" s="93"/>
      <c r="G28" s="61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166256</v>
      </c>
      <c r="F29" s="133" t="s">
        <v>55</v>
      </c>
      <c r="G29" s="195"/>
      <c r="H29" s="155">
        <f>H15-H16-H17-H18-H19-H20-H22-H23-H24+H26+H27</f>
        <v>141708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113</v>
      </c>
      <c r="H34" s="177">
        <f>F34*G34</f>
        <v>113000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37</v>
      </c>
      <c r="H35" s="177">
        <f>F35*G35</f>
        <v>18500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>
        <v>12</v>
      </c>
      <c r="D36" s="12">
        <f>C36*1.5</f>
        <v>18</v>
      </c>
      <c r="F36" s="12">
        <v>200</v>
      </c>
      <c r="G36" s="37">
        <v>2</v>
      </c>
      <c r="H36" s="177">
        <f t="shared" ref="H36:H39" si="2">F36*G36</f>
        <v>400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>
        <v>194</v>
      </c>
      <c r="D37" s="12">
        <f>C37*111</f>
        <v>21534</v>
      </c>
      <c r="F37" s="12">
        <v>100</v>
      </c>
      <c r="G37" s="39">
        <v>51</v>
      </c>
      <c r="H37" s="177">
        <f t="shared" si="2"/>
        <v>5100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15</v>
      </c>
      <c r="H38" s="177">
        <f t="shared" si="2"/>
        <v>750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77">
        <f t="shared" si="2"/>
        <v>20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>
        <v>10</v>
      </c>
      <c r="D42" s="12">
        <f>C42*2.25</f>
        <v>22.5</v>
      </c>
      <c r="F42" s="39" t="s">
        <v>79</v>
      </c>
      <c r="G42" s="177">
        <v>127</v>
      </c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59" t="s">
        <v>82</v>
      </c>
      <c r="G43" s="90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>
        <v>3</v>
      </c>
      <c r="D44" s="12">
        <f>C44*120</f>
        <v>360</v>
      </c>
      <c r="F44" s="37" t="s">
        <v>145</v>
      </c>
      <c r="G44" s="76"/>
      <c r="H44" s="172">
        <v>3792</v>
      </c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/>
      <c r="G45" s="76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1">
        <v>6</v>
      </c>
      <c r="D46" s="12">
        <f>C46*1.5</f>
        <v>9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59"/>
      <c r="G47" s="59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>
        <v>1</v>
      </c>
      <c r="D49" s="12">
        <f>C49*42</f>
        <v>42</v>
      </c>
      <c r="F49" s="153" t="s">
        <v>86</v>
      </c>
      <c r="G49" s="155">
        <f>H34+H35+H36+H37+H38+H39+H40+H41+G42+H44+H45+H46</f>
        <v>141689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>
        <v>12</v>
      </c>
      <c r="D50" s="12">
        <f>C50*1.5</f>
        <v>18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140</v>
      </c>
      <c r="G51" s="266">
        <f>G49-H29</f>
        <v>-19</v>
      </c>
      <c r="H51" s="267"/>
      <c r="I51" s="267"/>
      <c r="J51" s="26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269"/>
      <c r="H52" s="270"/>
      <c r="I52" s="270"/>
      <c r="J52" s="27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24198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02144-84CA-4F0C-8D6A-20F5884C869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9" t="s">
        <v>1</v>
      </c>
      <c r="O1" s="229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0" t="s">
        <v>7</v>
      </c>
      <c r="B4" s="181"/>
      <c r="C4" s="181"/>
      <c r="D4" s="182"/>
      <c r="F4" s="230" t="s">
        <v>8</v>
      </c>
      <c r="G4" s="232"/>
      <c r="H4" s="234" t="s">
        <v>9</v>
      </c>
      <c r="I4" s="236"/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5"/>
      <c r="B6" s="16"/>
      <c r="C6" s="10"/>
      <c r="D6" s="13">
        <f t="shared" ref="D6:D28" si="1">C6*L6</f>
        <v>0</v>
      </c>
      <c r="F6" s="240" t="s">
        <v>16</v>
      </c>
      <c r="G6" s="242"/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5"/>
      <c r="B7" s="16"/>
      <c r="C7" s="10"/>
      <c r="D7" s="13">
        <f t="shared" si="1"/>
        <v>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5"/>
      <c r="B8" s="16"/>
      <c r="C8" s="10"/>
      <c r="D8" s="13">
        <f t="shared" si="1"/>
        <v>0</v>
      </c>
      <c r="F8" s="248" t="s">
        <v>21</v>
      </c>
      <c r="G8" s="249"/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5"/>
      <c r="B9" s="16"/>
      <c r="C9" s="10"/>
      <c r="D9" s="13">
        <f t="shared" si="1"/>
        <v>0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5"/>
      <c r="C10" s="10"/>
      <c r="D10" s="13">
        <f t="shared" si="1"/>
        <v>0</v>
      </c>
      <c r="F10" s="240" t="s">
        <v>26</v>
      </c>
      <c r="G10" s="255"/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9" ht="15.75" x14ac:dyDescent="0.25">
      <c r="A11" s="175"/>
      <c r="B11" s="17"/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5"/>
      <c r="B12" s="17"/>
      <c r="C12" s="10"/>
      <c r="D12" s="48">
        <f t="shared" si="1"/>
        <v>0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5"/>
      <c r="B13" s="17"/>
      <c r="C13" s="10"/>
      <c r="D13" s="48">
        <f t="shared" si="1"/>
        <v>0</v>
      </c>
      <c r="F13" s="261" t="s">
        <v>36</v>
      </c>
      <c r="G13" s="225"/>
      <c r="H13" s="216">
        <f>D29</f>
        <v>0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5"/>
      <c r="B14" s="14"/>
      <c r="C14" s="10"/>
      <c r="D14" s="31">
        <f t="shared" si="1"/>
        <v>0</v>
      </c>
      <c r="F14" s="219" t="s">
        <v>39</v>
      </c>
      <c r="G14" s="220"/>
      <c r="H14" s="221">
        <f>D54</f>
        <v>0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5"/>
      <c r="B15" s="14"/>
      <c r="C15" s="10"/>
      <c r="D15" s="31">
        <f t="shared" si="1"/>
        <v>0</v>
      </c>
      <c r="F15" s="224" t="s">
        <v>40</v>
      </c>
      <c r="G15" s="225"/>
      <c r="H15" s="226">
        <f>H13-H14</f>
        <v>0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C17" s="10"/>
      <c r="D17" s="48">
        <f t="shared" si="1"/>
        <v>0</v>
      </c>
      <c r="F17" s="56"/>
      <c r="G17" s="66" t="s">
        <v>45</v>
      </c>
      <c r="H17" s="197"/>
      <c r="I17" s="197"/>
      <c r="J17" s="19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/>
      <c r="C18" s="10"/>
      <c r="D18" s="48">
        <f t="shared" si="1"/>
        <v>0</v>
      </c>
      <c r="F18" s="56"/>
      <c r="G18" s="66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/>
      <c r="C19" s="10"/>
      <c r="D19" s="48">
        <f t="shared" si="1"/>
        <v>0</v>
      </c>
      <c r="F19" s="56"/>
      <c r="G19" s="68" t="s">
        <v>50</v>
      </c>
      <c r="H19" s="198"/>
      <c r="I19" s="198"/>
      <c r="J19" s="19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/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/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/>
      <c r="C23" s="10"/>
      <c r="D23" s="48">
        <f t="shared" si="1"/>
        <v>0</v>
      </c>
      <c r="F23" s="78"/>
      <c r="G23" s="79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/>
      <c r="C24" s="10"/>
      <c r="D24" s="48">
        <f t="shared" si="1"/>
        <v>0</v>
      </c>
      <c r="F24" s="38"/>
      <c r="G24" s="37"/>
      <c r="H24" s="203"/>
      <c r="I24" s="172"/>
      <c r="J24" s="17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4" t="s">
        <v>13</v>
      </c>
      <c r="I25" s="205"/>
      <c r="J25" s="20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/>
      <c r="C26" s="10"/>
      <c r="D26" s="48">
        <f t="shared" si="1"/>
        <v>0</v>
      </c>
      <c r="F26" s="64"/>
      <c r="G26" s="59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/>
      <c r="C27" s="10"/>
      <c r="D27" s="44">
        <f t="shared" si="1"/>
        <v>0</v>
      </c>
      <c r="F27" s="25"/>
      <c r="G27" s="80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/>
      <c r="C28" s="10"/>
      <c r="D28" s="48">
        <f t="shared" si="1"/>
        <v>0</v>
      </c>
      <c r="F28" s="93"/>
      <c r="G28" s="61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0</v>
      </c>
      <c r="F29" s="133" t="s">
        <v>55</v>
      </c>
      <c r="G29" s="195"/>
      <c r="H29" s="155">
        <f>H15-H16-H17-H18-H19-H20-H22-H23-H24+H26+H27</f>
        <v>0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7"/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8">
        <v>500</v>
      </c>
      <c r="G35" s="41"/>
      <c r="H35" s="177"/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/>
      <c r="H36" s="177"/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7"/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/>
      <c r="D38" s="12">
        <f>C38*84</f>
        <v>0</v>
      </c>
      <c r="F38" s="30">
        <v>50</v>
      </c>
      <c r="G38" s="39"/>
      <c r="H38" s="177"/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/>
      <c r="D39" s="31">
        <f>C39*4.5</f>
        <v>0</v>
      </c>
      <c r="F39" s="12">
        <v>20</v>
      </c>
      <c r="G39" s="37"/>
      <c r="H39" s="177"/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/>
      <c r="D42" s="12">
        <f>C42*2.25</f>
        <v>0</v>
      </c>
      <c r="F42" s="39" t="s">
        <v>79</v>
      </c>
      <c r="G42" s="177"/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59" t="s">
        <v>82</v>
      </c>
      <c r="G43" s="90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/>
      <c r="D44" s="12">
        <f>C44*120</f>
        <v>0</v>
      </c>
      <c r="F44" s="37"/>
      <c r="G44" s="76"/>
      <c r="H44" s="172"/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/>
      <c r="G45" s="76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1"/>
      <c r="D46" s="12">
        <f>C46*1.5</f>
        <v>0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59"/>
      <c r="G47" s="59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/>
      <c r="D48" s="12">
        <f>C48*78</f>
        <v>0</v>
      </c>
      <c r="F48" s="59"/>
      <c r="G48" s="59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/>
      <c r="D49" s="12">
        <f>C49*42</f>
        <v>0</v>
      </c>
      <c r="F49" s="153" t="s">
        <v>86</v>
      </c>
      <c r="G49" s="155">
        <f>H34+H35+H36+H37+H38+H39+H40+H41+G42+H44+H45+H46</f>
        <v>0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/>
      <c r="D50" s="12">
        <f>C50*1.5</f>
        <v>0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128</v>
      </c>
      <c r="G51" s="163">
        <f>G49-H29</f>
        <v>0</v>
      </c>
      <c r="H51" s="164"/>
      <c r="I51" s="164"/>
      <c r="J51" s="1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166"/>
      <c r="H52" s="167"/>
      <c r="I52" s="167"/>
      <c r="J52" s="1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0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088B4-3EC0-40DB-9955-A051FFE9D53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1</v>
      </c>
      <c r="H4" s="234" t="s">
        <v>9</v>
      </c>
      <c r="I4" s="236">
        <v>45997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84">
        <v>407</v>
      </c>
      <c r="D6" s="13">
        <f t="shared" ref="D6:D28" si="1">C6*L6</f>
        <v>299959</v>
      </c>
      <c r="F6" s="240" t="s">
        <v>16</v>
      </c>
      <c r="G6" s="242" t="s">
        <v>129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84"/>
      <c r="D7" s="13">
        <f t="shared" si="1"/>
        <v>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84"/>
      <c r="D8" s="13">
        <f t="shared" si="1"/>
        <v>0</v>
      </c>
      <c r="F8" s="248" t="s">
        <v>21</v>
      </c>
      <c r="G8" s="249" t="s">
        <v>112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84">
        <v>54</v>
      </c>
      <c r="D9" s="13">
        <f t="shared" si="1"/>
        <v>38178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84"/>
      <c r="D10" s="13">
        <f t="shared" si="1"/>
        <v>0</v>
      </c>
      <c r="F10" s="240" t="s">
        <v>26</v>
      </c>
      <c r="G10" s="255" t="s">
        <v>130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84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84"/>
      <c r="D12" s="48">
        <f t="shared" si="1"/>
        <v>0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84">
        <v>9</v>
      </c>
      <c r="D13" s="48">
        <f t="shared" si="1"/>
        <v>2763</v>
      </c>
      <c r="F13" s="261" t="s">
        <v>36</v>
      </c>
      <c r="G13" s="225"/>
      <c r="H13" s="216">
        <f>D29</f>
        <v>343299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84">
        <v>4</v>
      </c>
      <c r="D14" s="31">
        <f t="shared" si="1"/>
        <v>44</v>
      </c>
      <c r="F14" s="219" t="s">
        <v>39</v>
      </c>
      <c r="G14" s="220"/>
      <c r="H14" s="221">
        <f>D54</f>
        <v>83292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84"/>
      <c r="D15" s="31">
        <f t="shared" si="1"/>
        <v>0</v>
      </c>
      <c r="F15" s="224" t="s">
        <v>40</v>
      </c>
      <c r="G15" s="225"/>
      <c r="H15" s="226">
        <f>H13-H14</f>
        <v>260007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138</v>
      </c>
      <c r="C17" s="84"/>
      <c r="D17" s="48">
        <f t="shared" si="1"/>
        <v>0</v>
      </c>
      <c r="F17" s="56"/>
      <c r="G17" s="66" t="s">
        <v>45</v>
      </c>
      <c r="H17" s="197"/>
      <c r="I17" s="197"/>
      <c r="J17" s="19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97"/>
      <c r="I19" s="197"/>
      <c r="J19" s="197"/>
      <c r="L19" s="6">
        <v>1102</v>
      </c>
      <c r="Q19" s="4"/>
      <c r="R19" s="5">
        <f t="shared" si="0"/>
        <v>0</v>
      </c>
    </row>
    <row r="20" spans="1:18" ht="15.75" x14ac:dyDescent="0.25">
      <c r="A20" s="175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127</v>
      </c>
      <c r="C22" s="84"/>
      <c r="D22" s="48">
        <f t="shared" si="1"/>
        <v>0</v>
      </c>
      <c r="F22" s="77"/>
      <c r="G22" s="73"/>
      <c r="H22" s="202"/>
      <c r="I22" s="202"/>
      <c r="J22" s="20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101</v>
      </c>
      <c r="C23" s="84"/>
      <c r="D23" s="48">
        <f t="shared" si="1"/>
        <v>0</v>
      </c>
      <c r="F23" s="77"/>
      <c r="G23" s="79"/>
      <c r="H23" s="262"/>
      <c r="I23" s="263"/>
      <c r="J23" s="26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121</v>
      </c>
      <c r="C24" s="84"/>
      <c r="D24" s="48">
        <f t="shared" si="1"/>
        <v>0</v>
      </c>
      <c r="F24" s="77"/>
      <c r="G24" s="79"/>
      <c r="H24" s="262"/>
      <c r="I24" s="263"/>
      <c r="J24" s="26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204" t="s">
        <v>13</v>
      </c>
      <c r="I25" s="205"/>
      <c r="J25" s="20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137</v>
      </c>
      <c r="C26" s="84"/>
      <c r="D26" s="48">
        <f t="shared" si="1"/>
        <v>0</v>
      </c>
      <c r="F26" s="75"/>
      <c r="G26" s="65"/>
      <c r="H26" s="172"/>
      <c r="I26" s="172"/>
      <c r="J26" s="172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110</v>
      </c>
      <c r="C27" s="84"/>
      <c r="D27" s="44">
        <f t="shared" si="1"/>
        <v>0</v>
      </c>
      <c r="F27" s="71"/>
      <c r="G27" s="90"/>
      <c r="H27" s="264"/>
      <c r="I27" s="265"/>
      <c r="J27" s="26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84">
        <v>3</v>
      </c>
      <c r="D28" s="48">
        <f t="shared" si="1"/>
        <v>2355</v>
      </c>
      <c r="F28" s="93"/>
      <c r="G28" s="61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343299</v>
      </c>
      <c r="F29" s="133" t="s">
        <v>55</v>
      </c>
      <c r="G29" s="195"/>
      <c r="H29" s="155">
        <f>H15-H16-H17-H18-H19-H20-H22-H23-H24+H26+H27+H28</f>
        <v>260007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53</v>
      </c>
      <c r="H34" s="177">
        <f t="shared" ref="H34:H39" si="2">F34*G34</f>
        <v>53000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8">
        <v>500</v>
      </c>
      <c r="G35" s="41">
        <v>42</v>
      </c>
      <c r="H35" s="177">
        <f t="shared" si="2"/>
        <v>21000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/>
      <c r="H36" s="177">
        <f t="shared" si="2"/>
        <v>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>
        <v>713</v>
      </c>
      <c r="D37" s="12">
        <f>C37*111</f>
        <v>79143</v>
      </c>
      <c r="F37" s="12">
        <v>100</v>
      </c>
      <c r="G37" s="39">
        <v>8</v>
      </c>
      <c r="H37" s="177">
        <f t="shared" si="2"/>
        <v>800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</v>
      </c>
      <c r="H38" s="177">
        <f t="shared" si="2"/>
        <v>100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77">
        <f t="shared" si="2"/>
        <v>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3">
        <v>30</v>
      </c>
      <c r="D40" s="12">
        <f>C40*111</f>
        <v>3330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/>
      <c r="D42" s="12">
        <f>C42*2.25</f>
        <v>0</v>
      </c>
      <c r="F42" s="39" t="s">
        <v>79</v>
      </c>
      <c r="G42" s="177">
        <v>122</v>
      </c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59" t="s">
        <v>82</v>
      </c>
      <c r="G43" s="90" t="s">
        <v>83</v>
      </c>
      <c r="H43" s="169" t="s">
        <v>13</v>
      </c>
      <c r="I43" s="170"/>
      <c r="J43" s="17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8"/>
      <c r="B44" s="27" t="s">
        <v>66</v>
      </c>
      <c r="C44" s="10"/>
      <c r="D44" s="12">
        <f>C44*120</f>
        <v>0</v>
      </c>
      <c r="F44" s="37" t="s">
        <v>167</v>
      </c>
      <c r="G44" s="62" t="s">
        <v>168</v>
      </c>
      <c r="H44" s="172">
        <v>118353</v>
      </c>
      <c r="I44" s="172"/>
      <c r="J44" s="17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 t="s">
        <v>167</v>
      </c>
      <c r="G45" s="62" t="s">
        <v>169</v>
      </c>
      <c r="H45" s="172">
        <v>66364</v>
      </c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1"/>
      <c r="D46" s="12">
        <f>C46*1.5</f>
        <v>0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59"/>
      <c r="G47" s="59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/>
      <c r="D49" s="12">
        <f>C49*42</f>
        <v>0</v>
      </c>
      <c r="F49" s="153" t="s">
        <v>86</v>
      </c>
      <c r="G49" s="155">
        <f>H34+H35+H36+H37+H38+H39+H40+H41+G42+H44+H45+H46</f>
        <v>259739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>
        <v>7</v>
      </c>
      <c r="D50" s="12">
        <f>C50*1.5</f>
        <v>10.5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131</v>
      </c>
      <c r="G51" s="266">
        <f>G49-H29</f>
        <v>-268</v>
      </c>
      <c r="H51" s="267"/>
      <c r="I51" s="267"/>
      <c r="J51" s="26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269"/>
      <c r="H52" s="270"/>
      <c r="I52" s="270"/>
      <c r="J52" s="27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83292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3B5111-FC87-4E15-A519-7A3A6FF5456B}">
  <dimension ref="A1:R59"/>
  <sheetViews>
    <sheetView topLeftCell="A25"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2</v>
      </c>
      <c r="H4" s="234" t="s">
        <v>9</v>
      </c>
      <c r="I4" s="236">
        <v>45997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10">
        <v>203</v>
      </c>
      <c r="D6" s="13">
        <f t="shared" ref="D6:D28" si="1">C6*L6</f>
        <v>149611</v>
      </c>
      <c r="F6" s="240" t="s">
        <v>16</v>
      </c>
      <c r="G6" s="242" t="s">
        <v>141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10">
        <v>9</v>
      </c>
      <c r="D7" s="13">
        <f t="shared" si="1"/>
        <v>6525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10">
        <v>1</v>
      </c>
      <c r="D8" s="13">
        <f t="shared" si="1"/>
        <v>1033</v>
      </c>
      <c r="F8" s="248" t="s">
        <v>21</v>
      </c>
      <c r="G8" s="249" t="s">
        <v>114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10">
        <v>34</v>
      </c>
      <c r="D9" s="13">
        <f t="shared" si="1"/>
        <v>24038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10">
        <v>1</v>
      </c>
      <c r="D10" s="13">
        <f t="shared" si="1"/>
        <v>972</v>
      </c>
      <c r="F10" s="240" t="s">
        <v>26</v>
      </c>
      <c r="G10" s="255" t="s">
        <v>115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10">
        <v>1</v>
      </c>
      <c r="D12" s="48">
        <f t="shared" si="1"/>
        <v>952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10">
        <v>6</v>
      </c>
      <c r="D13" s="48">
        <f t="shared" si="1"/>
        <v>1842</v>
      </c>
      <c r="F13" s="261" t="s">
        <v>36</v>
      </c>
      <c r="G13" s="225"/>
      <c r="H13" s="216">
        <f>D29</f>
        <v>186017.83333333334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10">
        <v>13</v>
      </c>
      <c r="D14" s="31">
        <f t="shared" si="1"/>
        <v>143</v>
      </c>
      <c r="F14" s="219" t="s">
        <v>39</v>
      </c>
      <c r="G14" s="220"/>
      <c r="H14" s="221">
        <f>D54</f>
        <v>28258.5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10"/>
      <c r="D15" s="31">
        <f t="shared" si="1"/>
        <v>0</v>
      </c>
      <c r="F15" s="224" t="s">
        <v>40</v>
      </c>
      <c r="G15" s="225"/>
      <c r="H15" s="226">
        <f>H13-H14</f>
        <v>157759.33333333334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93</v>
      </c>
      <c r="C17" s="10"/>
      <c r="D17" s="48">
        <f t="shared" si="1"/>
        <v>0</v>
      </c>
      <c r="F17" s="56"/>
      <c r="G17" s="66" t="s">
        <v>45</v>
      </c>
      <c r="H17" s="197"/>
      <c r="I17" s="197"/>
      <c r="J17" s="19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7"/>
      <c r="I20" s="197"/>
      <c r="J20" s="19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104</v>
      </c>
      <c r="C22" s="10"/>
      <c r="D22" s="48">
        <f t="shared" si="1"/>
        <v>0</v>
      </c>
      <c r="F22" s="72"/>
      <c r="G22" s="73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107</v>
      </c>
      <c r="C23" s="10"/>
      <c r="D23" s="48">
        <f t="shared" si="1"/>
        <v>0</v>
      </c>
      <c r="F23" s="25"/>
      <c r="G23" s="37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123</v>
      </c>
      <c r="C24" s="10"/>
      <c r="D24" s="48">
        <f t="shared" si="1"/>
        <v>0</v>
      </c>
      <c r="F24" s="38"/>
      <c r="G24" s="37"/>
      <c r="H24" s="203"/>
      <c r="I24" s="172"/>
      <c r="J24" s="17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124</v>
      </c>
      <c r="C25" s="10">
        <v>1</v>
      </c>
      <c r="D25" s="48">
        <f t="shared" si="1"/>
        <v>116.83333333333333</v>
      </c>
      <c r="F25" s="60" t="s">
        <v>100</v>
      </c>
      <c r="G25" s="55" t="s">
        <v>98</v>
      </c>
      <c r="H25" s="204" t="s">
        <v>13</v>
      </c>
      <c r="I25" s="205"/>
      <c r="J25" s="206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105</v>
      </c>
      <c r="C26" s="10"/>
      <c r="D26" s="48">
        <f t="shared" si="1"/>
        <v>0</v>
      </c>
      <c r="F26" s="64"/>
      <c r="G26" s="10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109</v>
      </c>
      <c r="C27" s="10"/>
      <c r="D27" s="44">
        <f t="shared" si="1"/>
        <v>0</v>
      </c>
      <c r="F27" s="14"/>
      <c r="G27" s="14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10">
        <v>1</v>
      </c>
      <c r="D28" s="48">
        <f t="shared" si="1"/>
        <v>785</v>
      </c>
      <c r="F28" s="93"/>
      <c r="G28" s="61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186017.83333333334</v>
      </c>
      <c r="F29" s="133" t="s">
        <v>55</v>
      </c>
      <c r="G29" s="195"/>
      <c r="H29" s="155">
        <f>H15-H16-H17-H18-H19-H20-H22-H23-H24+H26+H27</f>
        <v>157759.33333333334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132</v>
      </c>
      <c r="H34" s="177">
        <f>F34*G34</f>
        <v>132000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8">
        <v>500</v>
      </c>
      <c r="G35" s="41">
        <v>49</v>
      </c>
      <c r="H35" s="177">
        <f t="shared" ref="H35:H39" si="2">F35*G35</f>
        <v>24500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>
        <v>9</v>
      </c>
      <c r="D36" s="12">
        <f>C36*1.5</f>
        <v>13.5</v>
      </c>
      <c r="F36" s="12">
        <v>200</v>
      </c>
      <c r="G36" s="37"/>
      <c r="H36" s="177">
        <f>F36*G36</f>
        <v>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>
        <v>226</v>
      </c>
      <c r="D37" s="12">
        <f>C37*111</f>
        <v>25086</v>
      </c>
      <c r="F37" s="12">
        <v>100</v>
      </c>
      <c r="G37" s="39">
        <v>11</v>
      </c>
      <c r="H37" s="177">
        <f t="shared" si="2"/>
        <v>1100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6</v>
      </c>
      <c r="H38" s="177">
        <f t="shared" si="2"/>
        <v>300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77">
        <f t="shared" si="2"/>
        <v>20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3">
        <v>15</v>
      </c>
      <c r="D40" s="12">
        <f>C40*111</f>
        <v>1665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/>
      <c r="D42" s="12">
        <f>C42*2.25</f>
        <v>0</v>
      </c>
      <c r="F42" s="39" t="s">
        <v>79</v>
      </c>
      <c r="G42" s="177">
        <v>27</v>
      </c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59" t="s">
        <v>82</v>
      </c>
      <c r="G43" s="90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>
        <v>1</v>
      </c>
      <c r="D44" s="12">
        <f>C44*120</f>
        <v>120</v>
      </c>
      <c r="F44" s="37"/>
      <c r="G44" s="62"/>
      <c r="H44" s="172"/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>
        <v>3</v>
      </c>
      <c r="D45" s="12">
        <f>C45*84</f>
        <v>252</v>
      </c>
      <c r="F45" s="37"/>
      <c r="G45" s="62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1">
        <v>18</v>
      </c>
      <c r="D46" s="12">
        <f>C46*1.5</f>
        <v>27</v>
      </c>
      <c r="F46" s="37"/>
      <c r="G46" s="91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59"/>
      <c r="G47" s="59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/>
      <c r="D49" s="12">
        <f>C49*42</f>
        <v>0</v>
      </c>
      <c r="F49" s="153" t="s">
        <v>86</v>
      </c>
      <c r="G49" s="155">
        <f>H34+H35+H36+H37+H38+H39+H40+H41+G42+H44+H45+H46</f>
        <v>157947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>
        <v>15</v>
      </c>
      <c r="D50" s="12">
        <f>C50*1.5</f>
        <v>22.5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155</v>
      </c>
      <c r="G51" s="163">
        <f>G49-H29</f>
        <v>187.66666666665697</v>
      </c>
      <c r="H51" s="164"/>
      <c r="I51" s="164"/>
      <c r="J51" s="1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166"/>
      <c r="H52" s="167"/>
      <c r="I52" s="167"/>
      <c r="J52" s="1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28258.5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D65E3-7877-4F77-80B7-F654C62AF0B5}">
  <dimension ref="A1:R59"/>
  <sheetViews>
    <sheetView topLeftCell="A10" zoomScaleNormal="100" zoomScaleSheetLayoutView="85" workbookViewId="0">
      <selection activeCell="H45" sqref="H45:J4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3</v>
      </c>
      <c r="H4" s="234" t="s">
        <v>9</v>
      </c>
      <c r="I4" s="236">
        <v>45997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10">
        <v>365</v>
      </c>
      <c r="D6" s="13">
        <f t="shared" ref="D6:D28" si="1">C6*L6</f>
        <v>269005</v>
      </c>
      <c r="F6" s="240" t="s">
        <v>16</v>
      </c>
      <c r="G6" s="242" t="s">
        <v>111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10">
        <v>3</v>
      </c>
      <c r="D7" s="13">
        <f t="shared" si="1"/>
        <v>2175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10"/>
      <c r="D8" s="13">
        <f t="shared" si="1"/>
        <v>0</v>
      </c>
      <c r="F8" s="248" t="s">
        <v>21</v>
      </c>
      <c r="G8" s="249" t="s">
        <v>119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10">
        <v>25</v>
      </c>
      <c r="D9" s="13">
        <f t="shared" si="1"/>
        <v>17675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10">
        <v>2</v>
      </c>
      <c r="D10" s="13">
        <f t="shared" si="1"/>
        <v>1944</v>
      </c>
      <c r="F10" s="240" t="s">
        <v>26</v>
      </c>
      <c r="G10" s="255" t="s">
        <v>135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10">
        <v>2</v>
      </c>
      <c r="D12" s="48">
        <f t="shared" si="1"/>
        <v>1904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10">
        <v>10</v>
      </c>
      <c r="D13" s="48">
        <f t="shared" si="1"/>
        <v>3070</v>
      </c>
      <c r="F13" s="261" t="s">
        <v>36</v>
      </c>
      <c r="G13" s="225"/>
      <c r="H13" s="216">
        <f>D29</f>
        <v>297409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10">
        <v>6</v>
      </c>
      <c r="D14" s="31">
        <f t="shared" si="1"/>
        <v>66</v>
      </c>
      <c r="F14" s="219" t="s">
        <v>39</v>
      </c>
      <c r="G14" s="220"/>
      <c r="H14" s="221">
        <f>D54</f>
        <v>44916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10"/>
      <c r="D15" s="31">
        <f t="shared" si="1"/>
        <v>0</v>
      </c>
      <c r="F15" s="224" t="s">
        <v>40</v>
      </c>
      <c r="G15" s="225"/>
      <c r="H15" s="226">
        <f>H13-H14</f>
        <v>252493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6">
        <f>612+702+750</f>
        <v>2064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113</v>
      </c>
      <c r="C17" s="10"/>
      <c r="D17" s="48">
        <f t="shared" si="1"/>
        <v>0</v>
      </c>
      <c r="F17" s="56"/>
      <c r="G17" s="66" t="s">
        <v>45</v>
      </c>
      <c r="H17" s="197"/>
      <c r="I17" s="197"/>
      <c r="J17" s="19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2"/>
      <c r="I19" s="272"/>
      <c r="J19" s="27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104</v>
      </c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107</v>
      </c>
      <c r="C23" s="10"/>
      <c r="D23" s="48">
        <f t="shared" si="1"/>
        <v>0</v>
      </c>
      <c r="F23" s="78"/>
      <c r="G23" s="79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101</v>
      </c>
      <c r="C24" s="10"/>
      <c r="D24" s="48">
        <f t="shared" si="1"/>
        <v>0</v>
      </c>
      <c r="F24" s="38"/>
      <c r="G24" s="37"/>
      <c r="H24" s="203"/>
      <c r="I24" s="172"/>
      <c r="J24" s="17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4" t="s">
        <v>13</v>
      </c>
      <c r="I25" s="205"/>
      <c r="J25" s="20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105</v>
      </c>
      <c r="C26" s="10"/>
      <c r="D26" s="48">
        <f t="shared" si="1"/>
        <v>0</v>
      </c>
      <c r="F26" s="64"/>
      <c r="G26" s="59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109</v>
      </c>
      <c r="C27" s="10"/>
      <c r="D27" s="44">
        <f t="shared" si="1"/>
        <v>0</v>
      </c>
      <c r="F27" s="25"/>
      <c r="G27" s="80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10">
        <v>2</v>
      </c>
      <c r="D28" s="48">
        <f t="shared" si="1"/>
        <v>1570</v>
      </c>
      <c r="F28" s="93"/>
      <c r="G28" s="61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297409</v>
      </c>
      <c r="F29" s="133" t="s">
        <v>55</v>
      </c>
      <c r="G29" s="195"/>
      <c r="H29" s="155">
        <f>H15-H16-H17-H18-H19-H20-H22-H23-H24+H26+H27</f>
        <v>250429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103</v>
      </c>
      <c r="H34" s="177">
        <f>F34*G34</f>
        <v>103000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7</v>
      </c>
      <c r="H35" s="177">
        <f>F35*G35</f>
        <v>3500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>
        <v>3</v>
      </c>
      <c r="D36" s="12">
        <f>C36*1.5</f>
        <v>4.5</v>
      </c>
      <c r="F36" s="12">
        <v>200</v>
      </c>
      <c r="G36" s="37"/>
      <c r="H36" s="177">
        <f t="shared" ref="H36:H39" si="2">F36*G36</f>
        <v>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>
        <v>389</v>
      </c>
      <c r="D37" s="12">
        <f>C37*111</f>
        <v>43179</v>
      </c>
      <c r="F37" s="12">
        <v>100</v>
      </c>
      <c r="G37" s="39">
        <v>4</v>
      </c>
      <c r="H37" s="177">
        <f t="shared" si="2"/>
        <v>400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177">
        <f t="shared" si="2"/>
        <v>50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77">
        <f t="shared" si="2"/>
        <v>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>
        <v>4</v>
      </c>
      <c r="D42" s="12">
        <f>C42*2.25</f>
        <v>9</v>
      </c>
      <c r="F42" s="39" t="s">
        <v>79</v>
      </c>
      <c r="G42" s="177">
        <v>30</v>
      </c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59" t="s">
        <v>82</v>
      </c>
      <c r="G43" s="90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>
        <v>1</v>
      </c>
      <c r="D44" s="12">
        <f>C44*120</f>
        <v>120</v>
      </c>
      <c r="F44" s="37" t="s">
        <v>150</v>
      </c>
      <c r="G44" s="76" t="s">
        <v>170</v>
      </c>
      <c r="H44" s="172">
        <v>64639.5</v>
      </c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>
        <v>1</v>
      </c>
      <c r="D45" s="12">
        <f>C45*84</f>
        <v>84</v>
      </c>
      <c r="F45" s="37" t="s">
        <v>163</v>
      </c>
      <c r="G45" s="76" t="s">
        <v>171</v>
      </c>
      <c r="H45" s="172">
        <v>78155</v>
      </c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1">
        <v>22</v>
      </c>
      <c r="D46" s="12">
        <f>C46*1.5</f>
        <v>33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59"/>
      <c r="G47" s="59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/>
      <c r="D49" s="12">
        <f>C49*42</f>
        <v>0</v>
      </c>
      <c r="F49" s="153" t="s">
        <v>86</v>
      </c>
      <c r="G49" s="155">
        <f>H34+H35+H36+H37+H38+H39+H40+H41+G42+H44+H45+H46</f>
        <v>249774.5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>
        <v>11</v>
      </c>
      <c r="D50" s="12">
        <f>C50*1.5</f>
        <v>16.5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140</v>
      </c>
      <c r="G51" s="266">
        <f>G49-H29</f>
        <v>-654.5</v>
      </c>
      <c r="H51" s="267"/>
      <c r="I51" s="267"/>
      <c r="J51" s="26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269"/>
      <c r="H52" s="270"/>
      <c r="I52" s="270"/>
      <c r="J52" s="27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44916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780764-0C27-42F4-8DF5-27E70BF7B77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9" t="s">
        <v>1</v>
      </c>
      <c r="O1" s="229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0" t="s">
        <v>7</v>
      </c>
      <c r="B4" s="181"/>
      <c r="C4" s="181"/>
      <c r="D4" s="182"/>
      <c r="F4" s="230" t="s">
        <v>8</v>
      </c>
      <c r="G4" s="232"/>
      <c r="H4" s="234" t="s">
        <v>9</v>
      </c>
      <c r="I4" s="236"/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5"/>
      <c r="B6" s="16"/>
      <c r="C6" s="10"/>
      <c r="D6" s="13">
        <f t="shared" ref="D6:D28" si="1">C6*L6</f>
        <v>0</v>
      </c>
      <c r="F6" s="240" t="s">
        <v>16</v>
      </c>
      <c r="G6" s="242"/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5"/>
      <c r="B7" s="16"/>
      <c r="C7" s="10"/>
      <c r="D7" s="13">
        <f t="shared" si="1"/>
        <v>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5"/>
      <c r="B8" s="16"/>
      <c r="C8" s="10"/>
      <c r="D8" s="13">
        <f t="shared" si="1"/>
        <v>0</v>
      </c>
      <c r="F8" s="248" t="s">
        <v>21</v>
      </c>
      <c r="G8" s="249"/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5"/>
      <c r="B9" s="16"/>
      <c r="C9" s="10"/>
      <c r="D9" s="13">
        <f t="shared" si="1"/>
        <v>0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5"/>
      <c r="C10" s="10"/>
      <c r="D10" s="13">
        <f t="shared" si="1"/>
        <v>0</v>
      </c>
      <c r="F10" s="240" t="s">
        <v>26</v>
      </c>
      <c r="G10" s="255"/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9" ht="15.75" x14ac:dyDescent="0.25">
      <c r="A11" s="175"/>
      <c r="B11" s="17"/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5"/>
      <c r="B12" s="17"/>
      <c r="C12" s="10"/>
      <c r="D12" s="48">
        <f t="shared" si="1"/>
        <v>0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5"/>
      <c r="B13" s="17"/>
      <c r="C13" s="10"/>
      <c r="D13" s="48">
        <f t="shared" si="1"/>
        <v>0</v>
      </c>
      <c r="F13" s="261" t="s">
        <v>36</v>
      </c>
      <c r="G13" s="225"/>
      <c r="H13" s="216">
        <f>D29</f>
        <v>0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5"/>
      <c r="B14" s="14"/>
      <c r="C14" s="10"/>
      <c r="D14" s="31">
        <f t="shared" si="1"/>
        <v>0</v>
      </c>
      <c r="F14" s="219" t="s">
        <v>39</v>
      </c>
      <c r="G14" s="220"/>
      <c r="H14" s="221">
        <f>D54</f>
        <v>0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5"/>
      <c r="B15" s="14"/>
      <c r="C15" s="10"/>
      <c r="D15" s="31">
        <f t="shared" si="1"/>
        <v>0</v>
      </c>
      <c r="F15" s="224" t="s">
        <v>40</v>
      </c>
      <c r="G15" s="225"/>
      <c r="H15" s="226">
        <f>H13-H14</f>
        <v>0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C17" s="10"/>
      <c r="D17" s="48">
        <f t="shared" si="1"/>
        <v>0</v>
      </c>
      <c r="F17" s="56"/>
      <c r="G17" s="66" t="s">
        <v>45</v>
      </c>
      <c r="H17" s="197"/>
      <c r="I17" s="197"/>
      <c r="J17" s="19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/>
      <c r="C18" s="10"/>
      <c r="D18" s="48">
        <f t="shared" si="1"/>
        <v>0</v>
      </c>
      <c r="F18" s="56"/>
      <c r="G18" s="66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/>
      <c r="C19" s="10"/>
      <c r="D19" s="48">
        <f t="shared" si="1"/>
        <v>0</v>
      </c>
      <c r="F19" s="56"/>
      <c r="G19" s="68" t="s">
        <v>50</v>
      </c>
      <c r="H19" s="198"/>
      <c r="I19" s="198"/>
      <c r="J19" s="19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/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/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/>
      <c r="C23" s="10"/>
      <c r="D23" s="48">
        <f t="shared" si="1"/>
        <v>0</v>
      </c>
      <c r="F23" s="78"/>
      <c r="G23" s="79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/>
      <c r="C24" s="10"/>
      <c r="D24" s="48">
        <f t="shared" si="1"/>
        <v>0</v>
      </c>
      <c r="F24" s="38"/>
      <c r="G24" s="37"/>
      <c r="H24" s="203"/>
      <c r="I24" s="172"/>
      <c r="J24" s="17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4" t="s">
        <v>13</v>
      </c>
      <c r="I25" s="205"/>
      <c r="J25" s="20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/>
      <c r="C26" s="10"/>
      <c r="D26" s="48">
        <f t="shared" si="1"/>
        <v>0</v>
      </c>
      <c r="F26" s="64"/>
      <c r="G26" s="59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/>
      <c r="C27" s="10"/>
      <c r="D27" s="44">
        <f t="shared" si="1"/>
        <v>0</v>
      </c>
      <c r="F27" s="25"/>
      <c r="G27" s="80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/>
      <c r="C28" s="10"/>
      <c r="D28" s="48">
        <f t="shared" si="1"/>
        <v>0</v>
      </c>
      <c r="F28" s="93"/>
      <c r="G28" s="61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0</v>
      </c>
      <c r="F29" s="133" t="s">
        <v>55</v>
      </c>
      <c r="G29" s="195"/>
      <c r="H29" s="155">
        <f>H15-H16-H17-H18-H19-H20-H22-H23-H24+H26+H27</f>
        <v>0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7"/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8">
        <v>500</v>
      </c>
      <c r="G35" s="41"/>
      <c r="H35" s="177"/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/>
      <c r="H36" s="177"/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7"/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/>
      <c r="D38" s="12">
        <f>C38*84</f>
        <v>0</v>
      </c>
      <c r="F38" s="30">
        <v>50</v>
      </c>
      <c r="G38" s="39"/>
      <c r="H38" s="177"/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/>
      <c r="D39" s="31">
        <f>C39*4.5</f>
        <v>0</v>
      </c>
      <c r="F39" s="12">
        <v>20</v>
      </c>
      <c r="G39" s="37"/>
      <c r="H39" s="177"/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/>
      <c r="D42" s="12">
        <f>C42*2.25</f>
        <v>0</v>
      </c>
      <c r="F42" s="39" t="s">
        <v>79</v>
      </c>
      <c r="G42" s="177"/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59" t="s">
        <v>82</v>
      </c>
      <c r="G43" s="90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/>
      <c r="D44" s="12">
        <f>C44*120</f>
        <v>0</v>
      </c>
      <c r="F44" s="37"/>
      <c r="G44" s="76"/>
      <c r="H44" s="172"/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/>
      <c r="G45" s="76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1"/>
      <c r="D46" s="12">
        <f>C46*1.5</f>
        <v>0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59"/>
      <c r="G47" s="59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/>
      <c r="D48" s="12">
        <f>C48*78</f>
        <v>0</v>
      </c>
      <c r="F48" s="59"/>
      <c r="G48" s="59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/>
      <c r="D49" s="12">
        <f>C49*42</f>
        <v>0</v>
      </c>
      <c r="F49" s="153" t="s">
        <v>86</v>
      </c>
      <c r="G49" s="155">
        <f>H34+H35+H36+H37+H38+H39+H40+H41+G42+H44+H45+H46</f>
        <v>0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/>
      <c r="D50" s="12">
        <f>C50*1.5</f>
        <v>0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128</v>
      </c>
      <c r="G51" s="163">
        <f>G49-H29</f>
        <v>0</v>
      </c>
      <c r="H51" s="164"/>
      <c r="I51" s="164"/>
      <c r="J51" s="1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166"/>
      <c r="H52" s="167"/>
      <c r="I52" s="167"/>
      <c r="J52" s="1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0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EED22-7B7E-4DC0-84A5-4A216B52F522}">
  <dimension ref="A1:R59"/>
  <sheetViews>
    <sheetView topLeftCell="A19" zoomScaleNormal="100" zoomScaleSheetLayoutView="85" workbookViewId="0">
      <selection activeCell="H45" sqref="H45:J4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1</v>
      </c>
      <c r="H4" s="234" t="s">
        <v>9</v>
      </c>
      <c r="I4" s="236">
        <v>45999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84">
        <v>135</v>
      </c>
      <c r="D6" s="13">
        <f t="shared" ref="D6:D28" si="1">C6*L6</f>
        <v>99495</v>
      </c>
      <c r="F6" s="240" t="s">
        <v>16</v>
      </c>
      <c r="G6" s="242" t="s">
        <v>129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84">
        <v>10</v>
      </c>
      <c r="D7" s="13">
        <f t="shared" si="1"/>
        <v>7250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84"/>
      <c r="D8" s="13">
        <f t="shared" si="1"/>
        <v>0</v>
      </c>
      <c r="F8" s="248" t="s">
        <v>21</v>
      </c>
      <c r="G8" s="249" t="s">
        <v>112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84">
        <v>27</v>
      </c>
      <c r="D9" s="13">
        <f t="shared" si="1"/>
        <v>19089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84"/>
      <c r="D10" s="13">
        <f t="shared" si="1"/>
        <v>0</v>
      </c>
      <c r="F10" s="240" t="s">
        <v>26</v>
      </c>
      <c r="G10" s="255" t="s">
        <v>130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84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84"/>
      <c r="D12" s="48">
        <f t="shared" si="1"/>
        <v>0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84">
        <v>4</v>
      </c>
      <c r="D13" s="48">
        <f t="shared" si="1"/>
        <v>1228</v>
      </c>
      <c r="F13" s="261" t="s">
        <v>36</v>
      </c>
      <c r="G13" s="225"/>
      <c r="H13" s="216">
        <f>D29</f>
        <v>128632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84"/>
      <c r="D14" s="31">
        <f t="shared" si="1"/>
        <v>0</v>
      </c>
      <c r="F14" s="219" t="s">
        <v>39</v>
      </c>
      <c r="G14" s="220"/>
      <c r="H14" s="221">
        <f>D54</f>
        <v>19241.25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84"/>
      <c r="D15" s="31">
        <f t="shared" si="1"/>
        <v>0</v>
      </c>
      <c r="F15" s="224" t="s">
        <v>40</v>
      </c>
      <c r="G15" s="225"/>
      <c r="H15" s="226">
        <f>H13-H14</f>
        <v>109390.75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138</v>
      </c>
      <c r="C17" s="84"/>
      <c r="D17" s="48">
        <f t="shared" si="1"/>
        <v>0</v>
      </c>
      <c r="F17" s="56"/>
      <c r="G17" s="66" t="s">
        <v>45</v>
      </c>
      <c r="H17" s="197"/>
      <c r="I17" s="197"/>
      <c r="J17" s="19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97"/>
      <c r="I19" s="197"/>
      <c r="J19" s="197"/>
      <c r="L19" s="6">
        <v>1102</v>
      </c>
      <c r="Q19" s="4"/>
      <c r="R19" s="5">
        <f t="shared" si="0"/>
        <v>0</v>
      </c>
    </row>
    <row r="20" spans="1:18" ht="15.75" x14ac:dyDescent="0.25">
      <c r="A20" s="175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127</v>
      </c>
      <c r="C22" s="84"/>
      <c r="D22" s="48">
        <f t="shared" si="1"/>
        <v>0</v>
      </c>
      <c r="F22" s="77"/>
      <c r="G22" s="73"/>
      <c r="H22" s="202"/>
      <c r="I22" s="202"/>
      <c r="J22" s="20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101</v>
      </c>
      <c r="C23" s="84"/>
      <c r="D23" s="48">
        <f t="shared" si="1"/>
        <v>0</v>
      </c>
      <c r="F23" s="77"/>
      <c r="G23" s="79"/>
      <c r="H23" s="262"/>
      <c r="I23" s="263"/>
      <c r="J23" s="26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121</v>
      </c>
      <c r="C24" s="84"/>
      <c r="D24" s="48">
        <f t="shared" si="1"/>
        <v>0</v>
      </c>
      <c r="F24" s="77"/>
      <c r="G24" s="79"/>
      <c r="H24" s="262"/>
      <c r="I24" s="263"/>
      <c r="J24" s="26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204" t="s">
        <v>13</v>
      </c>
      <c r="I25" s="205"/>
      <c r="J25" s="20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137</v>
      </c>
      <c r="C26" s="84"/>
      <c r="D26" s="48">
        <f t="shared" si="1"/>
        <v>0</v>
      </c>
      <c r="F26" s="104" t="s">
        <v>172</v>
      </c>
      <c r="G26" s="65">
        <v>7681</v>
      </c>
      <c r="H26" s="172">
        <v>45650</v>
      </c>
      <c r="I26" s="172"/>
      <c r="J26" s="172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110</v>
      </c>
      <c r="C27" s="84"/>
      <c r="D27" s="44">
        <f t="shared" si="1"/>
        <v>0</v>
      </c>
      <c r="F27" s="71"/>
      <c r="G27" s="90"/>
      <c r="H27" s="264"/>
      <c r="I27" s="265"/>
      <c r="J27" s="26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84">
        <v>2</v>
      </c>
      <c r="D28" s="48">
        <f t="shared" si="1"/>
        <v>1570</v>
      </c>
      <c r="F28" s="93"/>
      <c r="G28" s="61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128632</v>
      </c>
      <c r="F29" s="133" t="s">
        <v>55</v>
      </c>
      <c r="G29" s="195"/>
      <c r="H29" s="155">
        <f>H15-H16-H17-H18-H19-H20-H22-H23-H24+H26+H27+H28</f>
        <v>155040.75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144</v>
      </c>
      <c r="H34" s="177">
        <f t="shared" ref="H34:H39" si="2">F34*G34</f>
        <v>144000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8">
        <v>500</v>
      </c>
      <c r="G35" s="41">
        <v>11</v>
      </c>
      <c r="H35" s="177">
        <f t="shared" si="2"/>
        <v>5500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/>
      <c r="H36" s="177">
        <f t="shared" si="2"/>
        <v>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>
        <v>156</v>
      </c>
      <c r="D37" s="12">
        <f>C37*111</f>
        <v>17316</v>
      </c>
      <c r="F37" s="12">
        <v>100</v>
      </c>
      <c r="G37" s="39">
        <v>2</v>
      </c>
      <c r="H37" s="177">
        <f t="shared" si="2"/>
        <v>200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1</v>
      </c>
      <c r="H38" s="177">
        <f t="shared" si="2"/>
        <v>50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77">
        <f t="shared" si="2"/>
        <v>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>
        <v>9</v>
      </c>
      <c r="D42" s="12">
        <f>C42*2.25</f>
        <v>20.25</v>
      </c>
      <c r="F42" s="39" t="s">
        <v>79</v>
      </c>
      <c r="G42" s="177">
        <v>255</v>
      </c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59" t="s">
        <v>82</v>
      </c>
      <c r="G43" s="90" t="s">
        <v>83</v>
      </c>
      <c r="H43" s="169" t="s">
        <v>13</v>
      </c>
      <c r="I43" s="170"/>
      <c r="J43" s="17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8"/>
      <c r="B44" s="27" t="s">
        <v>66</v>
      </c>
      <c r="C44" s="10"/>
      <c r="D44" s="12">
        <f>C44*120</f>
        <v>0</v>
      </c>
      <c r="F44" s="37" t="s">
        <v>145</v>
      </c>
      <c r="G44" s="62"/>
      <c r="H44" s="172">
        <v>4994</v>
      </c>
      <c r="I44" s="172"/>
      <c r="J44" s="17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/>
      <c r="G45" s="62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1">
        <v>5</v>
      </c>
      <c r="D46" s="12">
        <f>C46*1.5</f>
        <v>7.5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59"/>
      <c r="G47" s="59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>
        <v>1</v>
      </c>
      <c r="D49" s="12">
        <f>C49*42</f>
        <v>42</v>
      </c>
      <c r="F49" s="153" t="s">
        <v>86</v>
      </c>
      <c r="G49" s="155">
        <f>H34+H35+H36+H37+H38+H39+H40+H41+G42+H44+H45+H46</f>
        <v>154999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>
        <v>11</v>
      </c>
      <c r="D50" s="12">
        <f>C50*1.5</f>
        <v>16.5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131</v>
      </c>
      <c r="G51" s="266">
        <f>G49-H29</f>
        <v>-41.75</v>
      </c>
      <c r="H51" s="267"/>
      <c r="I51" s="267"/>
      <c r="J51" s="26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269"/>
      <c r="H52" s="270"/>
      <c r="I52" s="270"/>
      <c r="J52" s="27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19241.25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44C58-F673-46DD-8B88-9E574B8DD65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2</v>
      </c>
      <c r="H4" s="234" t="s">
        <v>9</v>
      </c>
      <c r="I4" s="236">
        <v>45999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10">
        <v>233</v>
      </c>
      <c r="D6" s="13">
        <f t="shared" ref="D6:D28" si="1">C6*L6</f>
        <v>171721</v>
      </c>
      <c r="F6" s="240" t="s">
        <v>16</v>
      </c>
      <c r="G6" s="242" t="s">
        <v>141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10">
        <v>12</v>
      </c>
      <c r="D7" s="13">
        <f t="shared" si="1"/>
        <v>8700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10"/>
      <c r="D8" s="13">
        <f t="shared" si="1"/>
        <v>0</v>
      </c>
      <c r="F8" s="248" t="s">
        <v>21</v>
      </c>
      <c r="G8" s="249" t="s">
        <v>114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10">
        <v>24</v>
      </c>
      <c r="D9" s="13">
        <f t="shared" si="1"/>
        <v>16968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10">
        <v>1</v>
      </c>
      <c r="D10" s="13">
        <f t="shared" si="1"/>
        <v>972</v>
      </c>
      <c r="F10" s="240" t="s">
        <v>26</v>
      </c>
      <c r="G10" s="255" t="s">
        <v>115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10">
        <f>2+1</f>
        <v>3</v>
      </c>
      <c r="D12" s="48">
        <f t="shared" si="1"/>
        <v>2856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10">
        <v>5</v>
      </c>
      <c r="D13" s="48">
        <f t="shared" si="1"/>
        <v>1535</v>
      </c>
      <c r="F13" s="261" t="s">
        <v>36</v>
      </c>
      <c r="G13" s="225"/>
      <c r="H13" s="216">
        <f>D29</f>
        <v>204048.33333333334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10">
        <v>4</v>
      </c>
      <c r="D14" s="31">
        <f t="shared" si="1"/>
        <v>44</v>
      </c>
      <c r="F14" s="219" t="s">
        <v>39</v>
      </c>
      <c r="G14" s="220"/>
      <c r="H14" s="221">
        <f>D54</f>
        <v>31084.5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10"/>
      <c r="D15" s="31">
        <f t="shared" si="1"/>
        <v>0</v>
      </c>
      <c r="F15" s="224" t="s">
        <v>40</v>
      </c>
      <c r="G15" s="225"/>
      <c r="H15" s="226">
        <f>H13-H14</f>
        <v>172963.83333333334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6">
        <v>600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93</v>
      </c>
      <c r="C17" s="10"/>
      <c r="D17" s="48">
        <f t="shared" si="1"/>
        <v>0</v>
      </c>
      <c r="F17" s="56"/>
      <c r="G17" s="66" t="s">
        <v>45</v>
      </c>
      <c r="H17" s="197"/>
      <c r="I17" s="197"/>
      <c r="J17" s="19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7"/>
      <c r="I20" s="197"/>
      <c r="J20" s="19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104</v>
      </c>
      <c r="C22" s="10"/>
      <c r="D22" s="48">
        <f t="shared" si="1"/>
        <v>0</v>
      </c>
      <c r="F22" s="72"/>
      <c r="G22" s="73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107</v>
      </c>
      <c r="C23" s="10"/>
      <c r="D23" s="48">
        <f t="shared" si="1"/>
        <v>0</v>
      </c>
      <c r="F23" s="25"/>
      <c r="G23" s="37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123</v>
      </c>
      <c r="C24" s="10"/>
      <c r="D24" s="48">
        <f t="shared" si="1"/>
        <v>0</v>
      </c>
      <c r="F24" s="38"/>
      <c r="G24" s="37"/>
      <c r="H24" s="203"/>
      <c r="I24" s="172"/>
      <c r="J24" s="17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124</v>
      </c>
      <c r="C25" s="10">
        <v>4</v>
      </c>
      <c r="D25" s="48">
        <f t="shared" si="1"/>
        <v>467.33333333333331</v>
      </c>
      <c r="F25" s="60" t="s">
        <v>100</v>
      </c>
      <c r="G25" s="55" t="s">
        <v>98</v>
      </c>
      <c r="H25" s="204" t="s">
        <v>13</v>
      </c>
      <c r="I25" s="205"/>
      <c r="J25" s="206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105</v>
      </c>
      <c r="C26" s="10"/>
      <c r="D26" s="48">
        <f t="shared" si="1"/>
        <v>0</v>
      </c>
      <c r="F26" s="64"/>
      <c r="G26" s="10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109</v>
      </c>
      <c r="C27" s="10"/>
      <c r="D27" s="44">
        <f t="shared" si="1"/>
        <v>0</v>
      </c>
      <c r="F27" s="14"/>
      <c r="G27" s="14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10">
        <v>1</v>
      </c>
      <c r="D28" s="48">
        <f t="shared" si="1"/>
        <v>785</v>
      </c>
      <c r="F28" s="93"/>
      <c r="G28" s="61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204048.33333333334</v>
      </c>
      <c r="F29" s="133" t="s">
        <v>55</v>
      </c>
      <c r="G29" s="195"/>
      <c r="H29" s="155">
        <f>H15-H16-H17-H18-H19-H20-H22-H23-H24+H26+H27</f>
        <v>172363.83333333334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157</v>
      </c>
      <c r="H34" s="177">
        <f>F34*G34</f>
        <v>157000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31</v>
      </c>
      <c r="H35" s="177">
        <f t="shared" ref="H35:H39" si="2">F35*G35</f>
        <v>15500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>
        <v>22</v>
      </c>
      <c r="D36" s="12">
        <f>C36*1.5</f>
        <v>33</v>
      </c>
      <c r="F36" s="12">
        <v>200</v>
      </c>
      <c r="G36" s="37"/>
      <c r="H36" s="177">
        <f>F36*G36</f>
        <v>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>
        <v>259</v>
      </c>
      <c r="D37" s="12">
        <f>C37*111</f>
        <v>28749</v>
      </c>
      <c r="F37" s="12">
        <v>100</v>
      </c>
      <c r="G37" s="39">
        <v>5</v>
      </c>
      <c r="H37" s="177">
        <f t="shared" si="2"/>
        <v>500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>
        <v>9</v>
      </c>
      <c r="D38" s="12">
        <f>C38*84</f>
        <v>756</v>
      </c>
      <c r="F38" s="30">
        <v>50</v>
      </c>
      <c r="G38" s="39">
        <v>4</v>
      </c>
      <c r="H38" s="177">
        <f t="shared" si="2"/>
        <v>200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77">
        <f t="shared" si="2"/>
        <v>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>
        <v>8</v>
      </c>
      <c r="D42" s="12">
        <f>C42*2.25</f>
        <v>18</v>
      </c>
      <c r="F42" s="39" t="s">
        <v>79</v>
      </c>
      <c r="G42" s="177">
        <v>2</v>
      </c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59" t="s">
        <v>82</v>
      </c>
      <c r="G43" s="90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>
        <v>2</v>
      </c>
      <c r="D44" s="12">
        <f>C44*120</f>
        <v>240</v>
      </c>
      <c r="F44" s="37"/>
      <c r="G44" s="62"/>
      <c r="H44" s="172"/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>
        <v>2</v>
      </c>
      <c r="D45" s="12">
        <f>C45*84</f>
        <v>168</v>
      </c>
      <c r="F45" s="37"/>
      <c r="G45" s="62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1">
        <v>3</v>
      </c>
      <c r="D46" s="12">
        <f>C46*1.5</f>
        <v>4.5</v>
      </c>
      <c r="F46" s="37"/>
      <c r="G46" s="91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59"/>
      <c r="G47" s="59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/>
      <c r="D49" s="12">
        <f>C49*42</f>
        <v>0</v>
      </c>
      <c r="F49" s="153" t="s">
        <v>86</v>
      </c>
      <c r="G49" s="155">
        <f>H34+H35+H36+H37+H38+H39+H40+H41+G42+H44+H45+H46</f>
        <v>173202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>
        <v>32</v>
      </c>
      <c r="D50" s="12">
        <f>C50*1.5</f>
        <v>48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155</v>
      </c>
      <c r="G51" s="163">
        <f>G49-H29</f>
        <v>838.16666666665697</v>
      </c>
      <c r="H51" s="164"/>
      <c r="I51" s="164"/>
      <c r="J51" s="1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166"/>
      <c r="H52" s="167"/>
      <c r="I52" s="167"/>
      <c r="J52" s="1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31084.5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E99B3-7E03-4098-9747-FAA0D0E9AE7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3</v>
      </c>
      <c r="H4" s="234" t="s">
        <v>9</v>
      </c>
      <c r="I4" s="236">
        <v>45999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10">
        <v>386</v>
      </c>
      <c r="D6" s="13">
        <f t="shared" ref="D6:D28" si="1">C6*L6</f>
        <v>284482</v>
      </c>
      <c r="F6" s="240" t="s">
        <v>16</v>
      </c>
      <c r="G6" s="242" t="s">
        <v>111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10">
        <v>10</v>
      </c>
      <c r="D7" s="13">
        <f t="shared" si="1"/>
        <v>7250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10"/>
      <c r="D8" s="13">
        <f t="shared" si="1"/>
        <v>0</v>
      </c>
      <c r="F8" s="248" t="s">
        <v>21</v>
      </c>
      <c r="G8" s="249" t="s">
        <v>119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10">
        <v>113</v>
      </c>
      <c r="D9" s="13">
        <f t="shared" si="1"/>
        <v>79891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10">
        <v>5</v>
      </c>
      <c r="D10" s="13">
        <f t="shared" si="1"/>
        <v>4860</v>
      </c>
      <c r="F10" s="240" t="s">
        <v>26</v>
      </c>
      <c r="G10" s="255" t="s">
        <v>135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10">
        <v>5</v>
      </c>
      <c r="D12" s="48">
        <f t="shared" si="1"/>
        <v>4760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10"/>
      <c r="D13" s="48">
        <f t="shared" si="1"/>
        <v>0</v>
      </c>
      <c r="F13" s="261" t="s">
        <v>36</v>
      </c>
      <c r="G13" s="225"/>
      <c r="H13" s="216">
        <f>D29</f>
        <v>392314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10">
        <v>11</v>
      </c>
      <c r="D14" s="31">
        <f t="shared" si="1"/>
        <v>121</v>
      </c>
      <c r="F14" s="219" t="s">
        <v>39</v>
      </c>
      <c r="G14" s="220"/>
      <c r="H14" s="221">
        <f>D54</f>
        <v>44706.75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10">
        <v>4</v>
      </c>
      <c r="D15" s="31">
        <f t="shared" si="1"/>
        <v>2480</v>
      </c>
      <c r="F15" s="224" t="s">
        <v>40</v>
      </c>
      <c r="G15" s="225"/>
      <c r="H15" s="226">
        <f>H13-H14</f>
        <v>347607.25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6">
        <v>2712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113</v>
      </c>
      <c r="C17" s="10"/>
      <c r="D17" s="48">
        <f t="shared" si="1"/>
        <v>0</v>
      </c>
      <c r="F17" s="56"/>
      <c r="G17" s="66" t="s">
        <v>45</v>
      </c>
      <c r="H17" s="197"/>
      <c r="I17" s="197"/>
      <c r="J17" s="19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2"/>
      <c r="I19" s="272"/>
      <c r="J19" s="27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104</v>
      </c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107</v>
      </c>
      <c r="C23" s="10"/>
      <c r="D23" s="48">
        <f t="shared" si="1"/>
        <v>0</v>
      </c>
      <c r="F23" s="78"/>
      <c r="G23" s="79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101</v>
      </c>
      <c r="C24" s="10"/>
      <c r="D24" s="48">
        <f t="shared" si="1"/>
        <v>0</v>
      </c>
      <c r="F24" s="38"/>
      <c r="G24" s="37"/>
      <c r="H24" s="203"/>
      <c r="I24" s="172"/>
      <c r="J24" s="17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4" t="s">
        <v>13</v>
      </c>
      <c r="I25" s="205"/>
      <c r="J25" s="20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105</v>
      </c>
      <c r="C26" s="10"/>
      <c r="D26" s="48">
        <f t="shared" si="1"/>
        <v>0</v>
      </c>
      <c r="F26" s="64"/>
      <c r="G26" s="59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109</v>
      </c>
      <c r="C27" s="10"/>
      <c r="D27" s="44">
        <f t="shared" si="1"/>
        <v>0</v>
      </c>
      <c r="F27" s="25"/>
      <c r="G27" s="80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10">
        <v>10</v>
      </c>
      <c r="D28" s="48">
        <f t="shared" si="1"/>
        <v>7850</v>
      </c>
      <c r="F28" s="93"/>
      <c r="G28" s="61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392314</v>
      </c>
      <c r="F29" s="133" t="s">
        <v>55</v>
      </c>
      <c r="G29" s="195"/>
      <c r="H29" s="155">
        <f>H15-H16-H17-H18-H19-H20-H22-H23-H24+H26+H27</f>
        <v>344895.25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36</v>
      </c>
      <c r="H34" s="177">
        <f>F34*G34</f>
        <v>36000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10</v>
      </c>
      <c r="H35" s="177">
        <f>F35*G35</f>
        <v>5000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>
        <v>10</v>
      </c>
      <c r="D36" s="12">
        <f>C36*1.5</f>
        <v>15</v>
      </c>
      <c r="F36" s="12">
        <v>200</v>
      </c>
      <c r="G36" s="37"/>
      <c r="H36" s="177">
        <f t="shared" ref="H36:H39" si="2">F36*G36</f>
        <v>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>
        <v>367</v>
      </c>
      <c r="D37" s="12">
        <f>C37*111</f>
        <v>40737</v>
      </c>
      <c r="F37" s="12">
        <v>100</v>
      </c>
      <c r="G37" s="39">
        <v>8</v>
      </c>
      <c r="H37" s="177">
        <f t="shared" si="2"/>
        <v>800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1</v>
      </c>
      <c r="H38" s="177">
        <f t="shared" si="2"/>
        <v>50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>
        <v>2</v>
      </c>
      <c r="D39" s="31">
        <f>C39*4.5</f>
        <v>9</v>
      </c>
      <c r="F39" s="12">
        <v>20</v>
      </c>
      <c r="G39" s="37">
        <v>1</v>
      </c>
      <c r="H39" s="177">
        <f t="shared" si="2"/>
        <v>20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>
        <v>1</v>
      </c>
      <c r="D42" s="12">
        <f>C42*2.25</f>
        <v>2.25</v>
      </c>
      <c r="F42" s="39" t="s">
        <v>79</v>
      </c>
      <c r="G42" s="177">
        <v>45</v>
      </c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59" t="s">
        <v>82</v>
      </c>
      <c r="G43" s="90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>
        <v>11</v>
      </c>
      <c r="D44" s="12">
        <f>C44*120</f>
        <v>1320</v>
      </c>
      <c r="F44" s="37" t="s">
        <v>150</v>
      </c>
      <c r="G44" s="76" t="s">
        <v>173</v>
      </c>
      <c r="H44" s="172">
        <v>303690</v>
      </c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/>
      <c r="G45" s="76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1">
        <v>10</v>
      </c>
      <c r="D46" s="12">
        <f>C46*1.5</f>
        <v>15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59"/>
      <c r="G47" s="59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>
        <v>11</v>
      </c>
      <c r="D48" s="12">
        <f>C48*78</f>
        <v>858</v>
      </c>
      <c r="F48" s="59"/>
      <c r="G48" s="59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>
        <v>1</v>
      </c>
      <c r="D49" s="12">
        <f>C49*42</f>
        <v>42</v>
      </c>
      <c r="F49" s="153" t="s">
        <v>86</v>
      </c>
      <c r="G49" s="155">
        <f>H34+H35+H36+H37+H38+H39+H40+H41+G42+H44+H45+H46</f>
        <v>345605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>
        <v>1</v>
      </c>
      <c r="D50" s="12">
        <f>C50*1.5</f>
        <v>1.5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148</v>
      </c>
      <c r="G51" s="163">
        <f>G49-H29</f>
        <v>709.75</v>
      </c>
      <c r="H51" s="164"/>
      <c r="I51" s="164"/>
      <c r="J51" s="1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166"/>
      <c r="H52" s="167"/>
      <c r="I52" s="167"/>
      <c r="J52" s="1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44706.75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3E97A-3D19-4F59-8E9B-06A2311825A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9" t="s">
        <v>1</v>
      </c>
      <c r="O1" s="229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0" t="s">
        <v>7</v>
      </c>
      <c r="B4" s="181"/>
      <c r="C4" s="181"/>
      <c r="D4" s="182"/>
      <c r="F4" s="230" t="s">
        <v>8</v>
      </c>
      <c r="G4" s="232"/>
      <c r="H4" s="234" t="s">
        <v>9</v>
      </c>
      <c r="I4" s="236"/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5"/>
      <c r="B6" s="16"/>
      <c r="C6" s="10"/>
      <c r="D6" s="13">
        <f t="shared" ref="D6:D28" si="1">C6*L6</f>
        <v>0</v>
      </c>
      <c r="F6" s="240" t="s">
        <v>16</v>
      </c>
      <c r="G6" s="242"/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5"/>
      <c r="B7" s="16"/>
      <c r="C7" s="10"/>
      <c r="D7" s="13">
        <f t="shared" si="1"/>
        <v>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5"/>
      <c r="B8" s="16"/>
      <c r="C8" s="10"/>
      <c r="D8" s="13">
        <f t="shared" si="1"/>
        <v>0</v>
      </c>
      <c r="F8" s="248" t="s">
        <v>21</v>
      </c>
      <c r="G8" s="249"/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5"/>
      <c r="B9" s="16"/>
      <c r="C9" s="10"/>
      <c r="D9" s="13">
        <f t="shared" si="1"/>
        <v>0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5"/>
      <c r="C10" s="10"/>
      <c r="D10" s="13">
        <f t="shared" si="1"/>
        <v>0</v>
      </c>
      <c r="F10" s="240" t="s">
        <v>26</v>
      </c>
      <c r="G10" s="255"/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9" ht="15.75" x14ac:dyDescent="0.25">
      <c r="A11" s="175"/>
      <c r="B11" s="17"/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5"/>
      <c r="B12" s="17"/>
      <c r="C12" s="10"/>
      <c r="D12" s="48">
        <f t="shared" si="1"/>
        <v>0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5"/>
      <c r="B13" s="17"/>
      <c r="C13" s="10"/>
      <c r="D13" s="48">
        <f t="shared" si="1"/>
        <v>0</v>
      </c>
      <c r="F13" s="261" t="s">
        <v>36</v>
      </c>
      <c r="G13" s="225"/>
      <c r="H13" s="216">
        <f>D29</f>
        <v>0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5"/>
      <c r="B14" s="14"/>
      <c r="C14" s="10"/>
      <c r="D14" s="31">
        <f t="shared" si="1"/>
        <v>0</v>
      </c>
      <c r="F14" s="219" t="s">
        <v>39</v>
      </c>
      <c r="G14" s="220"/>
      <c r="H14" s="221">
        <f>D54</f>
        <v>0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5"/>
      <c r="B15" s="14"/>
      <c r="C15" s="10"/>
      <c r="D15" s="31">
        <f t="shared" si="1"/>
        <v>0</v>
      </c>
      <c r="F15" s="224" t="s">
        <v>40</v>
      </c>
      <c r="G15" s="225"/>
      <c r="H15" s="226">
        <f>H13-H14</f>
        <v>0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C17" s="10"/>
      <c r="D17" s="48">
        <f t="shared" si="1"/>
        <v>0</v>
      </c>
      <c r="F17" s="56"/>
      <c r="G17" s="66" t="s">
        <v>45</v>
      </c>
      <c r="H17" s="197"/>
      <c r="I17" s="197"/>
      <c r="J17" s="19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/>
      <c r="C18" s="10"/>
      <c r="D18" s="48">
        <f t="shared" si="1"/>
        <v>0</v>
      </c>
      <c r="F18" s="56"/>
      <c r="G18" s="66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/>
      <c r="C19" s="10"/>
      <c r="D19" s="48">
        <f t="shared" si="1"/>
        <v>0</v>
      </c>
      <c r="F19" s="56"/>
      <c r="G19" s="68" t="s">
        <v>50</v>
      </c>
      <c r="H19" s="198"/>
      <c r="I19" s="198"/>
      <c r="J19" s="19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/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/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/>
      <c r="C23" s="10"/>
      <c r="D23" s="48">
        <f t="shared" si="1"/>
        <v>0</v>
      </c>
      <c r="F23" s="78"/>
      <c r="G23" s="79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/>
      <c r="C24" s="10"/>
      <c r="D24" s="48">
        <f t="shared" si="1"/>
        <v>0</v>
      </c>
      <c r="F24" s="38"/>
      <c r="G24" s="37"/>
      <c r="H24" s="203"/>
      <c r="I24" s="172"/>
      <c r="J24" s="17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4" t="s">
        <v>13</v>
      </c>
      <c r="I25" s="205"/>
      <c r="J25" s="20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/>
      <c r="C26" s="10"/>
      <c r="D26" s="48">
        <f t="shared" si="1"/>
        <v>0</v>
      </c>
      <c r="F26" s="64"/>
      <c r="G26" s="59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/>
      <c r="C27" s="10"/>
      <c r="D27" s="44">
        <f t="shared" si="1"/>
        <v>0</v>
      </c>
      <c r="F27" s="25"/>
      <c r="G27" s="80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/>
      <c r="C28" s="10"/>
      <c r="D28" s="48">
        <f t="shared" si="1"/>
        <v>0</v>
      </c>
      <c r="F28" s="100"/>
      <c r="G28" s="61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0</v>
      </c>
      <c r="F29" s="133" t="s">
        <v>55</v>
      </c>
      <c r="G29" s="195"/>
      <c r="H29" s="155">
        <f>H15-H16-H17-H18-H19-H20-H22-H23-H24+H26+H27</f>
        <v>0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7"/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8">
        <v>500</v>
      </c>
      <c r="G35" s="41"/>
      <c r="H35" s="177"/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/>
      <c r="H36" s="177"/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7"/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/>
      <c r="D38" s="12">
        <f>C38*84</f>
        <v>0</v>
      </c>
      <c r="F38" s="30">
        <v>50</v>
      </c>
      <c r="G38" s="39"/>
      <c r="H38" s="177"/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/>
      <c r="D39" s="31">
        <f>C39*4.5</f>
        <v>0</v>
      </c>
      <c r="F39" s="12">
        <v>20</v>
      </c>
      <c r="G39" s="37"/>
      <c r="H39" s="177"/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/>
      <c r="D42" s="12">
        <f>C42*2.25</f>
        <v>0</v>
      </c>
      <c r="F42" s="39" t="s">
        <v>79</v>
      </c>
      <c r="G42" s="177"/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59" t="s">
        <v>82</v>
      </c>
      <c r="G43" s="103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/>
      <c r="D44" s="12">
        <f>C44*120</f>
        <v>0</v>
      </c>
      <c r="F44" s="37"/>
      <c r="G44" s="76"/>
      <c r="H44" s="172"/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/>
      <c r="G45" s="76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1"/>
      <c r="D46" s="12">
        <f>C46*1.5</f>
        <v>0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59"/>
      <c r="G47" s="59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/>
      <c r="D48" s="12">
        <f>C48*78</f>
        <v>0</v>
      </c>
      <c r="F48" s="59"/>
      <c r="G48" s="59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/>
      <c r="D49" s="12">
        <f>C49*42</f>
        <v>0</v>
      </c>
      <c r="F49" s="153" t="s">
        <v>86</v>
      </c>
      <c r="G49" s="155">
        <f>H34+H35+H36+H37+H38+H39+H40+H41+G42+H44+H45+H46</f>
        <v>0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/>
      <c r="D50" s="12">
        <f>C50*1.5</f>
        <v>0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128</v>
      </c>
      <c r="G51" s="163">
        <f>G49-H29</f>
        <v>0</v>
      </c>
      <c r="H51" s="164"/>
      <c r="I51" s="164"/>
      <c r="J51" s="1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166"/>
      <c r="H52" s="167"/>
      <c r="I52" s="167"/>
      <c r="J52" s="1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0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AE089-8E7B-4B94-B489-6840337C8DE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1</v>
      </c>
      <c r="H4" s="234" t="s">
        <v>9</v>
      </c>
      <c r="I4" s="236">
        <v>46000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84">
        <v>270</v>
      </c>
      <c r="D6" s="13">
        <f t="shared" ref="D6:D28" si="1">C6*L6</f>
        <v>198990</v>
      </c>
      <c r="F6" s="240" t="s">
        <v>16</v>
      </c>
      <c r="G6" s="242" t="s">
        <v>129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84">
        <v>7</v>
      </c>
      <c r="D7" s="13">
        <f t="shared" si="1"/>
        <v>5075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84"/>
      <c r="D8" s="13">
        <f t="shared" si="1"/>
        <v>0</v>
      </c>
      <c r="F8" s="248" t="s">
        <v>21</v>
      </c>
      <c r="G8" s="249" t="s">
        <v>112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84">
        <v>22</v>
      </c>
      <c r="D9" s="13">
        <f t="shared" si="1"/>
        <v>15554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84"/>
      <c r="D10" s="13">
        <f t="shared" si="1"/>
        <v>0</v>
      </c>
      <c r="F10" s="240" t="s">
        <v>26</v>
      </c>
      <c r="G10" s="255" t="s">
        <v>130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84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84">
        <f>1+1</f>
        <v>2</v>
      </c>
      <c r="D12" s="48">
        <f t="shared" si="1"/>
        <v>1904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84">
        <v>4</v>
      </c>
      <c r="D13" s="48">
        <f t="shared" si="1"/>
        <v>1228</v>
      </c>
      <c r="F13" s="261" t="s">
        <v>36</v>
      </c>
      <c r="G13" s="225"/>
      <c r="H13" s="216">
        <f>D29</f>
        <v>224255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84">
        <v>9</v>
      </c>
      <c r="D14" s="31">
        <f t="shared" si="1"/>
        <v>99</v>
      </c>
      <c r="F14" s="219" t="s">
        <v>39</v>
      </c>
      <c r="G14" s="220"/>
      <c r="H14" s="221">
        <f>D54</f>
        <v>33251.25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84"/>
      <c r="D15" s="31">
        <f t="shared" si="1"/>
        <v>0</v>
      </c>
      <c r="F15" s="224" t="s">
        <v>40</v>
      </c>
      <c r="G15" s="225"/>
      <c r="H15" s="226">
        <f>H13-H14</f>
        <v>191003.75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138</v>
      </c>
      <c r="C17" s="84"/>
      <c r="D17" s="48">
        <f t="shared" si="1"/>
        <v>0</v>
      </c>
      <c r="F17" s="56"/>
      <c r="G17" s="66" t="s">
        <v>45</v>
      </c>
      <c r="H17" s="197"/>
      <c r="I17" s="197"/>
      <c r="J17" s="19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97"/>
      <c r="I19" s="197"/>
      <c r="J19" s="197"/>
      <c r="L19" s="6">
        <v>1102</v>
      </c>
      <c r="Q19" s="4"/>
      <c r="R19" s="5">
        <f t="shared" si="0"/>
        <v>0</v>
      </c>
    </row>
    <row r="20" spans="1:18" ht="15.75" x14ac:dyDescent="0.25">
      <c r="A20" s="175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127</v>
      </c>
      <c r="C22" s="84"/>
      <c r="D22" s="48">
        <f t="shared" si="1"/>
        <v>0</v>
      </c>
      <c r="F22" s="77"/>
      <c r="G22" s="73"/>
      <c r="H22" s="202"/>
      <c r="I22" s="202"/>
      <c r="J22" s="20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101</v>
      </c>
      <c r="C23" s="84"/>
      <c r="D23" s="48">
        <f t="shared" si="1"/>
        <v>0</v>
      </c>
      <c r="F23" s="77"/>
      <c r="G23" s="79"/>
      <c r="H23" s="262"/>
      <c r="I23" s="263"/>
      <c r="J23" s="26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121</v>
      </c>
      <c r="C24" s="84"/>
      <c r="D24" s="48">
        <f t="shared" si="1"/>
        <v>0</v>
      </c>
      <c r="F24" s="77"/>
      <c r="G24" s="79"/>
      <c r="H24" s="262"/>
      <c r="I24" s="263"/>
      <c r="J24" s="26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204" t="s">
        <v>13</v>
      </c>
      <c r="I25" s="205"/>
      <c r="J25" s="20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137</v>
      </c>
      <c r="C26" s="84"/>
      <c r="D26" s="48">
        <f t="shared" si="1"/>
        <v>0</v>
      </c>
      <c r="F26" s="75"/>
      <c r="G26" s="65"/>
      <c r="H26" s="172"/>
      <c r="I26" s="172"/>
      <c r="J26" s="172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110</v>
      </c>
      <c r="C27" s="84"/>
      <c r="D27" s="44">
        <f t="shared" si="1"/>
        <v>0</v>
      </c>
      <c r="F27" s="71"/>
      <c r="G27" s="103"/>
      <c r="H27" s="264"/>
      <c r="I27" s="265"/>
      <c r="J27" s="26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84">
        <v>1</v>
      </c>
      <c r="D28" s="48">
        <f t="shared" si="1"/>
        <v>785</v>
      </c>
      <c r="F28" s="100"/>
      <c r="G28" s="61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224255</v>
      </c>
      <c r="F29" s="133" t="s">
        <v>55</v>
      </c>
      <c r="G29" s="195"/>
      <c r="H29" s="155">
        <f>H15-H16-H17-H18-H19-H20-H22-H23-H24+H26+H27+H28</f>
        <v>191003.75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120</v>
      </c>
      <c r="H34" s="177">
        <f t="shared" ref="H34:H39" si="2">F34*G34</f>
        <v>120000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8">
        <v>500</v>
      </c>
      <c r="G35" s="41">
        <v>92</v>
      </c>
      <c r="H35" s="177">
        <f t="shared" si="2"/>
        <v>46000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/>
      <c r="H36" s="177">
        <f t="shared" si="2"/>
        <v>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>
        <v>275</v>
      </c>
      <c r="D37" s="12">
        <f>C37*111</f>
        <v>30525</v>
      </c>
      <c r="F37" s="12">
        <v>100</v>
      </c>
      <c r="G37" s="39">
        <v>33</v>
      </c>
      <c r="H37" s="177">
        <f t="shared" si="2"/>
        <v>3300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1</v>
      </c>
      <c r="H38" s="177">
        <f t="shared" si="2"/>
        <v>50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77">
        <f t="shared" si="2"/>
        <v>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>
        <v>3</v>
      </c>
      <c r="D42" s="12">
        <f>C42*2.25</f>
        <v>6.75</v>
      </c>
      <c r="F42" s="39" t="s">
        <v>79</v>
      </c>
      <c r="G42" s="177">
        <v>33</v>
      </c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59" t="s">
        <v>82</v>
      </c>
      <c r="G43" s="103" t="s">
        <v>83</v>
      </c>
      <c r="H43" s="169" t="s">
        <v>13</v>
      </c>
      <c r="I43" s="170"/>
      <c r="J43" s="17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8"/>
      <c r="B44" s="27" t="s">
        <v>66</v>
      </c>
      <c r="C44" s="10">
        <v>2</v>
      </c>
      <c r="D44" s="12">
        <f>C44*120</f>
        <v>240</v>
      </c>
      <c r="F44" s="37" t="s">
        <v>145</v>
      </c>
      <c r="G44" s="62"/>
      <c r="H44" s="172">
        <v>21364</v>
      </c>
      <c r="I44" s="172"/>
      <c r="J44" s="17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48"/>
      <c r="B45" s="27" t="s">
        <v>68</v>
      </c>
      <c r="C45" s="33">
        <v>1</v>
      </c>
      <c r="D45" s="12">
        <f>C45*84</f>
        <v>84</v>
      </c>
      <c r="F45" s="37"/>
      <c r="G45" s="62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1">
        <v>8</v>
      </c>
      <c r="D46" s="12">
        <f>C46*1.5</f>
        <v>12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59"/>
      <c r="G47" s="59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/>
      <c r="D49" s="12">
        <f>C49*42</f>
        <v>0</v>
      </c>
      <c r="F49" s="153" t="s">
        <v>86</v>
      </c>
      <c r="G49" s="155">
        <f>H34+H35+H36+H37+H38+H39+H40+H41+G42+H44+H45+H46</f>
        <v>190747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>
        <v>25</v>
      </c>
      <c r="D50" s="12">
        <f>C50*1.5</f>
        <v>37.5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131</v>
      </c>
      <c r="G51" s="266">
        <f>G49-H29</f>
        <v>-256.75</v>
      </c>
      <c r="H51" s="267"/>
      <c r="I51" s="267"/>
      <c r="J51" s="26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269"/>
      <c r="H52" s="270"/>
      <c r="I52" s="270"/>
      <c r="J52" s="27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33251.25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D07C5-0932-4753-9140-C8E7227EE5FF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2</v>
      </c>
      <c r="H4" s="234" t="s">
        <v>9</v>
      </c>
      <c r="I4" s="236">
        <v>46000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10">
        <v>332</v>
      </c>
      <c r="D6" s="13">
        <f t="shared" ref="D6:D28" si="1">C6*L6</f>
        <v>244684</v>
      </c>
      <c r="F6" s="240" t="s">
        <v>16</v>
      </c>
      <c r="G6" s="242" t="s">
        <v>141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10"/>
      <c r="D7" s="13">
        <f t="shared" si="1"/>
        <v>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10"/>
      <c r="D8" s="13">
        <f t="shared" si="1"/>
        <v>0</v>
      </c>
      <c r="F8" s="248" t="s">
        <v>21</v>
      </c>
      <c r="G8" s="249" t="s">
        <v>114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10">
        <v>3</v>
      </c>
      <c r="D9" s="13">
        <f t="shared" si="1"/>
        <v>2121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10">
        <v>5</v>
      </c>
      <c r="D10" s="13">
        <f t="shared" si="1"/>
        <v>4860</v>
      </c>
      <c r="F10" s="240" t="s">
        <v>26</v>
      </c>
      <c r="G10" s="255" t="s">
        <v>115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10">
        <v>2</v>
      </c>
      <c r="D11" s="13">
        <f t="shared" si="1"/>
        <v>2250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10">
        <v>2</v>
      </c>
      <c r="D12" s="48">
        <f t="shared" si="1"/>
        <v>1904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10">
        <v>13</v>
      </c>
      <c r="D13" s="48">
        <f t="shared" si="1"/>
        <v>3991</v>
      </c>
      <c r="F13" s="261" t="s">
        <v>36</v>
      </c>
      <c r="G13" s="225"/>
      <c r="H13" s="216">
        <f>D29</f>
        <v>261815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10">
        <v>5</v>
      </c>
      <c r="D14" s="31">
        <f t="shared" si="1"/>
        <v>55</v>
      </c>
      <c r="F14" s="219" t="s">
        <v>39</v>
      </c>
      <c r="G14" s="220"/>
      <c r="H14" s="221">
        <f>D54</f>
        <v>38712.75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10"/>
      <c r="D15" s="31">
        <f t="shared" si="1"/>
        <v>0</v>
      </c>
      <c r="F15" s="224" t="s">
        <v>40</v>
      </c>
      <c r="G15" s="225"/>
      <c r="H15" s="226">
        <f>H13-H14</f>
        <v>223102.25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6">
        <f>1854</f>
        <v>1854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93</v>
      </c>
      <c r="C17" s="10"/>
      <c r="D17" s="48">
        <f t="shared" si="1"/>
        <v>0</v>
      </c>
      <c r="F17" s="56"/>
      <c r="G17" s="66" t="s">
        <v>45</v>
      </c>
      <c r="H17" s="197"/>
      <c r="I17" s="197"/>
      <c r="J17" s="19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7"/>
      <c r="I20" s="197"/>
      <c r="J20" s="19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126</v>
      </c>
      <c r="C21" s="10">
        <v>3</v>
      </c>
      <c r="D21" s="48">
        <f t="shared" si="1"/>
        <v>1950</v>
      </c>
      <c r="F21" s="69" t="s">
        <v>99</v>
      </c>
      <c r="G21" s="82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104</v>
      </c>
      <c r="C22" s="10"/>
      <c r="D22" s="48">
        <f t="shared" si="1"/>
        <v>0</v>
      </c>
      <c r="F22" s="72"/>
      <c r="G22" s="73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107</v>
      </c>
      <c r="C23" s="10"/>
      <c r="D23" s="48">
        <f t="shared" si="1"/>
        <v>0</v>
      </c>
      <c r="F23" s="25"/>
      <c r="G23" s="37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123</v>
      </c>
      <c r="C24" s="10"/>
      <c r="D24" s="48">
        <f t="shared" si="1"/>
        <v>0</v>
      </c>
      <c r="F24" s="38"/>
      <c r="G24" s="37"/>
      <c r="H24" s="203"/>
      <c r="I24" s="172"/>
      <c r="J24" s="17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4" t="s">
        <v>13</v>
      </c>
      <c r="I25" s="205"/>
      <c r="J25" s="20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105</v>
      </c>
      <c r="C26" s="10"/>
      <c r="D26" s="48">
        <f t="shared" si="1"/>
        <v>0</v>
      </c>
      <c r="F26" s="64"/>
      <c r="G26" s="10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109</v>
      </c>
      <c r="C27" s="10"/>
      <c r="D27" s="44">
        <f t="shared" si="1"/>
        <v>0</v>
      </c>
      <c r="F27" s="14"/>
      <c r="G27" s="14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10"/>
      <c r="D28" s="48">
        <f t="shared" si="1"/>
        <v>0</v>
      </c>
      <c r="F28" s="100"/>
      <c r="G28" s="61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261815</v>
      </c>
      <c r="F29" s="133" t="s">
        <v>55</v>
      </c>
      <c r="G29" s="195"/>
      <c r="H29" s="155">
        <f>H15-H16-H17-H18-H19-H20-H22-H23-H24+H26+H27</f>
        <v>221248.25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74">
        <v>21</v>
      </c>
      <c r="H34" s="177">
        <f>F34*G34</f>
        <v>21000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8">
        <v>500</v>
      </c>
      <c r="G35" s="41"/>
      <c r="H35" s="177">
        <f t="shared" ref="H35:H39" si="2">F35*G35</f>
        <v>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/>
      <c r="H36" s="177">
        <f>F36*G36</f>
        <v>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>
        <v>338</v>
      </c>
      <c r="D37" s="12">
        <f>C37*111</f>
        <v>37518</v>
      </c>
      <c r="F37" s="12">
        <v>100</v>
      </c>
      <c r="G37" s="39"/>
      <c r="H37" s="177">
        <f t="shared" si="2"/>
        <v>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/>
      <c r="D38" s="12">
        <f>C38*84</f>
        <v>0</v>
      </c>
      <c r="F38" s="30">
        <v>50</v>
      </c>
      <c r="G38" s="39"/>
      <c r="H38" s="177">
        <f t="shared" si="2"/>
        <v>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77">
        <f t="shared" si="2"/>
        <v>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>
        <v>1</v>
      </c>
      <c r="D42" s="12">
        <f>C42*2.25</f>
        <v>2.25</v>
      </c>
      <c r="F42" s="39" t="s">
        <v>79</v>
      </c>
      <c r="G42" s="177">
        <v>48</v>
      </c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59" t="s">
        <v>82</v>
      </c>
      <c r="G43" s="103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/>
      <c r="D44" s="12">
        <f>C44*120</f>
        <v>0</v>
      </c>
      <c r="F44" s="37" t="s">
        <v>150</v>
      </c>
      <c r="G44" s="62" t="s">
        <v>174</v>
      </c>
      <c r="H44" s="172">
        <v>199178</v>
      </c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/>
      <c r="G45" s="62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1">
        <v>3</v>
      </c>
      <c r="D46" s="12">
        <f>C46*1.5</f>
        <v>4.5</v>
      </c>
      <c r="F46" s="37"/>
      <c r="G46" s="10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59"/>
      <c r="G47" s="59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/>
      <c r="D48" s="12">
        <f>C48*78</f>
        <v>0</v>
      </c>
      <c r="F48" s="59"/>
      <c r="G48" s="59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>
        <v>13</v>
      </c>
      <c r="D49" s="12">
        <f>C49*42</f>
        <v>546</v>
      </c>
      <c r="F49" s="153" t="s">
        <v>86</v>
      </c>
      <c r="G49" s="155">
        <f>H34+H35+H36+H37+H38+H39+H40+H41+G42+H44+H45+H46</f>
        <v>220226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>
        <v>25</v>
      </c>
      <c r="D50" s="12">
        <f>C50*1.5</f>
        <v>37.5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132</v>
      </c>
      <c r="G51" s="266">
        <f>G49-H29</f>
        <v>-1022.25</v>
      </c>
      <c r="H51" s="267"/>
      <c r="I51" s="267"/>
      <c r="J51" s="26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269"/>
      <c r="H52" s="270"/>
      <c r="I52" s="270"/>
      <c r="J52" s="27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38712.75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F39D3-3D4B-46F3-B0DF-5BDCC39799B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3</v>
      </c>
      <c r="H4" s="234" t="s">
        <v>9</v>
      </c>
      <c r="I4" s="236">
        <v>46000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10">
        <v>377</v>
      </c>
      <c r="D6" s="13">
        <f t="shared" ref="D6:D28" si="1">C6*L6</f>
        <v>277849</v>
      </c>
      <c r="F6" s="240" t="s">
        <v>16</v>
      </c>
      <c r="G6" s="242" t="s">
        <v>111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10">
        <v>25</v>
      </c>
      <c r="D7" s="13">
        <f t="shared" si="1"/>
        <v>18125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10"/>
      <c r="D8" s="13">
        <f t="shared" si="1"/>
        <v>0</v>
      </c>
      <c r="F8" s="248" t="s">
        <v>21</v>
      </c>
      <c r="G8" s="249" t="s">
        <v>119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10">
        <v>118</v>
      </c>
      <c r="D9" s="13">
        <f t="shared" si="1"/>
        <v>83426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10"/>
      <c r="D10" s="13">
        <f t="shared" si="1"/>
        <v>0</v>
      </c>
      <c r="F10" s="240" t="s">
        <v>26</v>
      </c>
      <c r="G10" s="255" t="s">
        <v>135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10">
        <v>3</v>
      </c>
      <c r="D12" s="48">
        <f t="shared" si="1"/>
        <v>2856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10">
        <v>16</v>
      </c>
      <c r="D13" s="48">
        <f t="shared" si="1"/>
        <v>4912</v>
      </c>
      <c r="F13" s="261" t="s">
        <v>36</v>
      </c>
      <c r="G13" s="225"/>
      <c r="H13" s="216">
        <f>D29</f>
        <v>388760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10">
        <v>2</v>
      </c>
      <c r="D14" s="31">
        <f t="shared" si="1"/>
        <v>22</v>
      </c>
      <c r="F14" s="219" t="s">
        <v>39</v>
      </c>
      <c r="G14" s="220"/>
      <c r="H14" s="221">
        <f>D54</f>
        <v>49567.5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10"/>
      <c r="D15" s="31">
        <f t="shared" si="1"/>
        <v>0</v>
      </c>
      <c r="F15" s="224" t="s">
        <v>40</v>
      </c>
      <c r="G15" s="225"/>
      <c r="H15" s="226">
        <f>H13-H14</f>
        <v>339192.5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6">
        <f>342+363*6</f>
        <v>2520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113</v>
      </c>
      <c r="C17" s="10"/>
      <c r="D17" s="48">
        <f t="shared" si="1"/>
        <v>0</v>
      </c>
      <c r="F17" s="56"/>
      <c r="G17" s="66" t="s">
        <v>45</v>
      </c>
      <c r="H17" s="197"/>
      <c r="I17" s="197"/>
      <c r="J17" s="19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2"/>
      <c r="I19" s="272"/>
      <c r="J19" s="27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104</v>
      </c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107</v>
      </c>
      <c r="C23" s="10"/>
      <c r="D23" s="48">
        <f t="shared" si="1"/>
        <v>0</v>
      </c>
      <c r="F23" s="78"/>
      <c r="G23" s="79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101</v>
      </c>
      <c r="C24" s="10"/>
      <c r="D24" s="48">
        <f t="shared" si="1"/>
        <v>0</v>
      </c>
      <c r="F24" s="38"/>
      <c r="G24" s="37"/>
      <c r="H24" s="203"/>
      <c r="I24" s="172"/>
      <c r="J24" s="17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4" t="s">
        <v>13</v>
      </c>
      <c r="I25" s="205"/>
      <c r="J25" s="20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105</v>
      </c>
      <c r="C26" s="10"/>
      <c r="D26" s="48">
        <f t="shared" si="1"/>
        <v>0</v>
      </c>
      <c r="F26" s="64"/>
      <c r="G26" s="59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109</v>
      </c>
      <c r="C27" s="10"/>
      <c r="D27" s="44">
        <f t="shared" si="1"/>
        <v>0</v>
      </c>
      <c r="F27" s="25"/>
      <c r="G27" s="80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10">
        <v>2</v>
      </c>
      <c r="D28" s="48">
        <f t="shared" si="1"/>
        <v>1570</v>
      </c>
      <c r="F28" s="100"/>
      <c r="G28" s="61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388760</v>
      </c>
      <c r="F29" s="133" t="s">
        <v>55</v>
      </c>
      <c r="G29" s="195"/>
      <c r="H29" s="155">
        <f>H15-H16-H17-H18-H19-H20-H22-H23-H24+H26+H27</f>
        <v>336672.5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72</v>
      </c>
      <c r="H34" s="177">
        <f>F34*G34</f>
        <v>72000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8">
        <v>500</v>
      </c>
      <c r="G35" s="41">
        <v>92</v>
      </c>
      <c r="H35" s="177">
        <f>F35*G35</f>
        <v>46000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/>
      <c r="H36" s="177">
        <f t="shared" ref="H36:H39" si="2">F36*G36</f>
        <v>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>
        <v>422</v>
      </c>
      <c r="D37" s="12">
        <f>C37*111</f>
        <v>46842</v>
      </c>
      <c r="F37" s="12">
        <v>100</v>
      </c>
      <c r="G37" s="39">
        <v>5</v>
      </c>
      <c r="H37" s="177">
        <f t="shared" si="2"/>
        <v>500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5</v>
      </c>
      <c r="H38" s="177">
        <f t="shared" si="2"/>
        <v>250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77">
        <f t="shared" si="2"/>
        <v>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3">
        <v>14</v>
      </c>
      <c r="D40" s="12">
        <f>C40*111</f>
        <v>1554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/>
      <c r="D42" s="12">
        <f>C42*2.25</f>
        <v>0</v>
      </c>
      <c r="F42" s="39" t="s">
        <v>79</v>
      </c>
      <c r="G42" s="177">
        <v>109</v>
      </c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59" t="s">
        <v>82</v>
      </c>
      <c r="G43" s="103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>
        <v>2</v>
      </c>
      <c r="D44" s="12">
        <f>C44*120</f>
        <v>240</v>
      </c>
      <c r="F44" s="37" t="s">
        <v>163</v>
      </c>
      <c r="G44" s="76" t="s">
        <v>175</v>
      </c>
      <c r="H44" s="172">
        <v>217387</v>
      </c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/>
      <c r="G45" s="76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1"/>
      <c r="D46" s="12">
        <f>C46*1.5</f>
        <v>0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59"/>
      <c r="G47" s="59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>
        <v>13</v>
      </c>
      <c r="D49" s="12">
        <f>C49*42</f>
        <v>546</v>
      </c>
      <c r="F49" s="153" t="s">
        <v>86</v>
      </c>
      <c r="G49" s="155">
        <f>H34+H35+H36+H37+H38+H39+H40+H41+G42+H44+H45+H46</f>
        <v>336246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>
        <v>2</v>
      </c>
      <c r="D50" s="12">
        <f>C50*1.5</f>
        <v>3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140</v>
      </c>
      <c r="G51" s="266">
        <f>G49-H29</f>
        <v>-426.5</v>
      </c>
      <c r="H51" s="267"/>
      <c r="I51" s="267"/>
      <c r="J51" s="26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269"/>
      <c r="H52" s="270"/>
      <c r="I52" s="270"/>
      <c r="J52" s="27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49567.5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5BDDD9-0359-4CAB-A269-1BB1CFCB83F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9" t="s">
        <v>1</v>
      </c>
      <c r="O1" s="229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0" t="s">
        <v>7</v>
      </c>
      <c r="B4" s="181"/>
      <c r="C4" s="181"/>
      <c r="D4" s="182"/>
      <c r="F4" s="230" t="s">
        <v>8</v>
      </c>
      <c r="G4" s="232"/>
      <c r="H4" s="234" t="s">
        <v>9</v>
      </c>
      <c r="I4" s="236"/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5"/>
      <c r="B6" s="16"/>
      <c r="C6" s="10"/>
      <c r="D6" s="13">
        <f t="shared" ref="D6:D28" si="1">C6*L6</f>
        <v>0</v>
      </c>
      <c r="F6" s="240" t="s">
        <v>16</v>
      </c>
      <c r="G6" s="242"/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5"/>
      <c r="B7" s="16"/>
      <c r="C7" s="10"/>
      <c r="D7" s="13">
        <f t="shared" si="1"/>
        <v>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5"/>
      <c r="B8" s="16"/>
      <c r="C8" s="10"/>
      <c r="D8" s="13">
        <f t="shared" si="1"/>
        <v>0</v>
      </c>
      <c r="F8" s="248" t="s">
        <v>21</v>
      </c>
      <c r="G8" s="249"/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5"/>
      <c r="B9" s="16"/>
      <c r="C9" s="10"/>
      <c r="D9" s="13">
        <f t="shared" si="1"/>
        <v>0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5"/>
      <c r="C10" s="10"/>
      <c r="D10" s="13">
        <f t="shared" si="1"/>
        <v>0</v>
      </c>
      <c r="F10" s="240" t="s">
        <v>26</v>
      </c>
      <c r="G10" s="255"/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9" ht="15.75" x14ac:dyDescent="0.25">
      <c r="A11" s="175"/>
      <c r="B11" s="17"/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5"/>
      <c r="B12" s="17"/>
      <c r="C12" s="10"/>
      <c r="D12" s="48">
        <f t="shared" si="1"/>
        <v>0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5"/>
      <c r="B13" s="17"/>
      <c r="C13" s="10"/>
      <c r="D13" s="48">
        <f t="shared" si="1"/>
        <v>0</v>
      </c>
      <c r="F13" s="261" t="s">
        <v>36</v>
      </c>
      <c r="G13" s="225"/>
      <c r="H13" s="216">
        <f>D29</f>
        <v>0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5"/>
      <c r="B14" s="14"/>
      <c r="C14" s="10"/>
      <c r="D14" s="31">
        <f t="shared" si="1"/>
        <v>0</v>
      </c>
      <c r="F14" s="219" t="s">
        <v>39</v>
      </c>
      <c r="G14" s="220"/>
      <c r="H14" s="221">
        <f>D54</f>
        <v>0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5"/>
      <c r="B15" s="14"/>
      <c r="C15" s="10"/>
      <c r="D15" s="31">
        <f t="shared" si="1"/>
        <v>0</v>
      </c>
      <c r="F15" s="224" t="s">
        <v>40</v>
      </c>
      <c r="G15" s="225"/>
      <c r="H15" s="226">
        <f>H13-H14</f>
        <v>0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C17" s="10"/>
      <c r="D17" s="48">
        <f t="shared" si="1"/>
        <v>0</v>
      </c>
      <c r="F17" s="56"/>
      <c r="G17" s="66" t="s">
        <v>45</v>
      </c>
      <c r="H17" s="197"/>
      <c r="I17" s="197"/>
      <c r="J17" s="19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/>
      <c r="C18" s="10"/>
      <c r="D18" s="48">
        <f t="shared" si="1"/>
        <v>0</v>
      </c>
      <c r="F18" s="56"/>
      <c r="G18" s="66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/>
      <c r="C19" s="10"/>
      <c r="D19" s="48">
        <f t="shared" si="1"/>
        <v>0</v>
      </c>
      <c r="F19" s="56"/>
      <c r="G19" s="68" t="s">
        <v>50</v>
      </c>
      <c r="H19" s="198"/>
      <c r="I19" s="198"/>
      <c r="J19" s="19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/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/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/>
      <c r="C23" s="10"/>
      <c r="D23" s="48">
        <f t="shared" si="1"/>
        <v>0</v>
      </c>
      <c r="F23" s="78"/>
      <c r="G23" s="79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/>
      <c r="C24" s="10"/>
      <c r="D24" s="48">
        <f t="shared" si="1"/>
        <v>0</v>
      </c>
      <c r="F24" s="38"/>
      <c r="G24" s="37"/>
      <c r="H24" s="203"/>
      <c r="I24" s="172"/>
      <c r="J24" s="17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4" t="s">
        <v>13</v>
      </c>
      <c r="I25" s="205"/>
      <c r="J25" s="20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/>
      <c r="C26" s="10"/>
      <c r="D26" s="48">
        <f t="shared" si="1"/>
        <v>0</v>
      </c>
      <c r="F26" s="64"/>
      <c r="G26" s="59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/>
      <c r="C27" s="10"/>
      <c r="D27" s="44">
        <f t="shared" si="1"/>
        <v>0</v>
      </c>
      <c r="F27" s="25"/>
      <c r="G27" s="80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/>
      <c r="C28" s="10"/>
      <c r="D28" s="48">
        <f t="shared" si="1"/>
        <v>0</v>
      </c>
      <c r="F28" s="100"/>
      <c r="G28" s="61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0</v>
      </c>
      <c r="F29" s="133" t="s">
        <v>55</v>
      </c>
      <c r="G29" s="195"/>
      <c r="H29" s="155">
        <f>H15-H16-H17-H18-H19-H20-H22-H23-H24+H26+H27</f>
        <v>0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7"/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8">
        <v>500</v>
      </c>
      <c r="G35" s="41"/>
      <c r="H35" s="177"/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/>
      <c r="H36" s="177"/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7"/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/>
      <c r="D38" s="12">
        <f>C38*84</f>
        <v>0</v>
      </c>
      <c r="F38" s="30">
        <v>50</v>
      </c>
      <c r="G38" s="39"/>
      <c r="H38" s="177"/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/>
      <c r="D39" s="31">
        <f>C39*4.5</f>
        <v>0</v>
      </c>
      <c r="F39" s="12">
        <v>20</v>
      </c>
      <c r="G39" s="37"/>
      <c r="H39" s="177"/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/>
      <c r="D42" s="12">
        <f>C42*2.25</f>
        <v>0</v>
      </c>
      <c r="F42" s="39" t="s">
        <v>79</v>
      </c>
      <c r="G42" s="177"/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59" t="s">
        <v>82</v>
      </c>
      <c r="G43" s="103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/>
      <c r="D44" s="12">
        <f>C44*120</f>
        <v>0</v>
      </c>
      <c r="F44" s="37"/>
      <c r="G44" s="76"/>
      <c r="H44" s="172"/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/>
      <c r="G45" s="76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1"/>
      <c r="D46" s="12">
        <f>C46*1.5</f>
        <v>0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59"/>
      <c r="G47" s="59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/>
      <c r="D48" s="12">
        <f>C48*78</f>
        <v>0</v>
      </c>
      <c r="F48" s="59"/>
      <c r="G48" s="59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/>
      <c r="D49" s="12">
        <f>C49*42</f>
        <v>0</v>
      </c>
      <c r="F49" s="153" t="s">
        <v>86</v>
      </c>
      <c r="G49" s="155">
        <f>H34+H35+H36+H37+H38+H39+H40+H41+G42+H44+H45+H46</f>
        <v>0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/>
      <c r="D50" s="12">
        <f>C50*1.5</f>
        <v>0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128</v>
      </c>
      <c r="G51" s="163">
        <f>G49-H29</f>
        <v>0</v>
      </c>
      <c r="H51" s="164"/>
      <c r="I51" s="164"/>
      <c r="J51" s="1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166"/>
      <c r="H52" s="167"/>
      <c r="I52" s="167"/>
      <c r="J52" s="1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0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BFAFF-028C-4C8A-BEF8-DB1BDF4DB2B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1</v>
      </c>
      <c r="H4" s="234" t="s">
        <v>9</v>
      </c>
      <c r="I4" s="236">
        <v>46001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84"/>
      <c r="D6" s="13">
        <f t="shared" ref="D6:D28" si="1">C6*L6</f>
        <v>0</v>
      </c>
      <c r="F6" s="240" t="s">
        <v>16</v>
      </c>
      <c r="G6" s="242" t="s">
        <v>129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84"/>
      <c r="D7" s="13">
        <f t="shared" si="1"/>
        <v>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84"/>
      <c r="D8" s="13">
        <f t="shared" si="1"/>
        <v>0</v>
      </c>
      <c r="F8" s="248" t="s">
        <v>21</v>
      </c>
      <c r="G8" s="249" t="s">
        <v>112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84"/>
      <c r="D9" s="13">
        <f t="shared" si="1"/>
        <v>0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84"/>
      <c r="D10" s="13">
        <f t="shared" si="1"/>
        <v>0</v>
      </c>
      <c r="F10" s="240" t="s">
        <v>26</v>
      </c>
      <c r="G10" s="255" t="s">
        <v>130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84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84"/>
      <c r="D12" s="48">
        <f t="shared" si="1"/>
        <v>0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84"/>
      <c r="D13" s="48">
        <f t="shared" si="1"/>
        <v>0</v>
      </c>
      <c r="F13" s="261" t="s">
        <v>36</v>
      </c>
      <c r="G13" s="225"/>
      <c r="H13" s="216">
        <f>D29</f>
        <v>0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84"/>
      <c r="D14" s="31">
        <f t="shared" si="1"/>
        <v>0</v>
      </c>
      <c r="F14" s="219" t="s">
        <v>39</v>
      </c>
      <c r="G14" s="220"/>
      <c r="H14" s="221">
        <f>D54</f>
        <v>0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84"/>
      <c r="D15" s="31">
        <f t="shared" si="1"/>
        <v>0</v>
      </c>
      <c r="F15" s="224" t="s">
        <v>40</v>
      </c>
      <c r="G15" s="225"/>
      <c r="H15" s="226">
        <f>H13-H14</f>
        <v>0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138</v>
      </c>
      <c r="C17" s="84"/>
      <c r="D17" s="48">
        <f t="shared" si="1"/>
        <v>0</v>
      </c>
      <c r="F17" s="56"/>
      <c r="G17" s="66" t="s">
        <v>45</v>
      </c>
      <c r="H17" s="197"/>
      <c r="I17" s="197"/>
      <c r="J17" s="19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97"/>
      <c r="I19" s="197"/>
      <c r="J19" s="197"/>
      <c r="L19" s="6">
        <v>1102</v>
      </c>
      <c r="Q19" s="4"/>
      <c r="R19" s="5">
        <f t="shared" si="0"/>
        <v>0</v>
      </c>
    </row>
    <row r="20" spans="1:18" ht="15.75" x14ac:dyDescent="0.25">
      <c r="A20" s="175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127</v>
      </c>
      <c r="C22" s="84"/>
      <c r="D22" s="48">
        <f t="shared" si="1"/>
        <v>0</v>
      </c>
      <c r="F22" s="77"/>
      <c r="G22" s="73"/>
      <c r="H22" s="202"/>
      <c r="I22" s="202"/>
      <c r="J22" s="20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101</v>
      </c>
      <c r="C23" s="84"/>
      <c r="D23" s="48">
        <f t="shared" si="1"/>
        <v>0</v>
      </c>
      <c r="F23" s="77"/>
      <c r="G23" s="79"/>
      <c r="H23" s="262"/>
      <c r="I23" s="263"/>
      <c r="J23" s="26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121</v>
      </c>
      <c r="C24" s="84"/>
      <c r="D24" s="48">
        <f t="shared" si="1"/>
        <v>0</v>
      </c>
      <c r="F24" s="77"/>
      <c r="G24" s="79"/>
      <c r="H24" s="262"/>
      <c r="I24" s="263"/>
      <c r="J24" s="26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204" t="s">
        <v>13</v>
      </c>
      <c r="I25" s="205"/>
      <c r="J25" s="20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137</v>
      </c>
      <c r="C26" s="84"/>
      <c r="D26" s="48">
        <f t="shared" si="1"/>
        <v>0</v>
      </c>
      <c r="F26" s="75"/>
      <c r="G26" s="65"/>
      <c r="H26" s="172"/>
      <c r="I26" s="172"/>
      <c r="J26" s="172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110</v>
      </c>
      <c r="C27" s="84"/>
      <c r="D27" s="44">
        <f t="shared" si="1"/>
        <v>0</v>
      </c>
      <c r="F27" s="71"/>
      <c r="G27" s="103"/>
      <c r="H27" s="264"/>
      <c r="I27" s="265"/>
      <c r="J27" s="26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84"/>
      <c r="D28" s="48">
        <f t="shared" si="1"/>
        <v>0</v>
      </c>
      <c r="F28" s="100"/>
      <c r="G28" s="61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0</v>
      </c>
      <c r="F29" s="133" t="s">
        <v>55</v>
      </c>
      <c r="G29" s="195"/>
      <c r="H29" s="155">
        <f>H15-H16-H17-H18-H19-H20-H22-H23-H24+H26+H27+H28</f>
        <v>0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77">
        <f t="shared" ref="H34:H39" si="2">F34*G34</f>
        <v>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8">
        <v>500</v>
      </c>
      <c r="G35" s="41"/>
      <c r="H35" s="177">
        <f t="shared" si="2"/>
        <v>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/>
      <c r="H36" s="177">
        <f t="shared" si="2"/>
        <v>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7">
        <f t="shared" si="2"/>
        <v>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/>
      <c r="D38" s="12">
        <f>C38*84</f>
        <v>0</v>
      </c>
      <c r="F38" s="30">
        <v>50</v>
      </c>
      <c r="G38" s="39"/>
      <c r="H38" s="177">
        <f t="shared" si="2"/>
        <v>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/>
      <c r="D39" s="31">
        <f>C39*4.5</f>
        <v>0</v>
      </c>
      <c r="F39" s="12">
        <v>20</v>
      </c>
      <c r="G39" s="37"/>
      <c r="H39" s="177">
        <f t="shared" si="2"/>
        <v>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/>
      <c r="D42" s="12">
        <f>C42*2.25</f>
        <v>0</v>
      </c>
      <c r="F42" s="39" t="s">
        <v>79</v>
      </c>
      <c r="G42" s="177"/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59" t="s">
        <v>82</v>
      </c>
      <c r="G43" s="103" t="s">
        <v>83</v>
      </c>
      <c r="H43" s="169" t="s">
        <v>13</v>
      </c>
      <c r="I43" s="170"/>
      <c r="J43" s="17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8"/>
      <c r="B44" s="27" t="s">
        <v>66</v>
      </c>
      <c r="C44" s="10"/>
      <c r="D44" s="12">
        <f>C44*120</f>
        <v>0</v>
      </c>
      <c r="F44" s="37"/>
      <c r="G44" s="62"/>
      <c r="H44" s="172"/>
      <c r="I44" s="172"/>
      <c r="J44" s="17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/>
      <c r="G45" s="62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1"/>
      <c r="D46" s="12">
        <f>C46*1.5</f>
        <v>0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59"/>
      <c r="G47" s="59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/>
      <c r="D48" s="12">
        <f>C48*78</f>
        <v>0</v>
      </c>
      <c r="F48" s="59"/>
      <c r="G48" s="59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/>
      <c r="D49" s="12">
        <f>C49*42</f>
        <v>0</v>
      </c>
      <c r="F49" s="153" t="s">
        <v>86</v>
      </c>
      <c r="G49" s="155">
        <f>H34+H35+H36+H37+H38+H39+H40+H41+G42+H44+H45+H46</f>
        <v>0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/>
      <c r="D50" s="12">
        <f>C50*1.5</f>
        <v>0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131</v>
      </c>
      <c r="G51" s="266">
        <f>G49-H29</f>
        <v>0</v>
      </c>
      <c r="H51" s="267"/>
      <c r="I51" s="267"/>
      <c r="J51" s="26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269"/>
      <c r="H52" s="270"/>
      <c r="I52" s="270"/>
      <c r="J52" s="27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06D7-EAC5-4C75-88D8-37EC6AE7CC8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2</v>
      </c>
      <c r="H4" s="234" t="s">
        <v>9</v>
      </c>
      <c r="I4" s="236">
        <v>46001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10">
        <v>422</v>
      </c>
      <c r="D6" s="13">
        <f t="shared" ref="D6:D28" si="1">C6*L6</f>
        <v>311014</v>
      </c>
      <c r="F6" s="240" t="s">
        <v>16</v>
      </c>
      <c r="G6" s="242" t="s">
        <v>141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10">
        <v>5</v>
      </c>
      <c r="D7" s="13">
        <f t="shared" si="1"/>
        <v>3625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10"/>
      <c r="D8" s="13">
        <f t="shared" si="1"/>
        <v>0</v>
      </c>
      <c r="F8" s="248" t="s">
        <v>21</v>
      </c>
      <c r="G8" s="249" t="s">
        <v>114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10">
        <v>110</v>
      </c>
      <c r="D9" s="13">
        <f t="shared" si="1"/>
        <v>77770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10">
        <v>2</v>
      </c>
      <c r="D10" s="13">
        <f t="shared" si="1"/>
        <v>1944</v>
      </c>
      <c r="F10" s="240" t="s">
        <v>26</v>
      </c>
      <c r="G10" s="255" t="s">
        <v>115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10">
        <f>2</f>
        <v>2</v>
      </c>
      <c r="D12" s="48">
        <f t="shared" si="1"/>
        <v>1904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10">
        <v>20</v>
      </c>
      <c r="D13" s="48">
        <f t="shared" si="1"/>
        <v>6140</v>
      </c>
      <c r="F13" s="261" t="s">
        <v>36</v>
      </c>
      <c r="G13" s="225"/>
      <c r="H13" s="216">
        <f>D29</f>
        <v>403697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10"/>
      <c r="D14" s="31">
        <f t="shared" si="1"/>
        <v>0</v>
      </c>
      <c r="F14" s="219" t="s">
        <v>39</v>
      </c>
      <c r="G14" s="220"/>
      <c r="H14" s="221">
        <f>D54</f>
        <v>92064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10"/>
      <c r="D15" s="31">
        <f t="shared" si="1"/>
        <v>0</v>
      </c>
      <c r="F15" s="224" t="s">
        <v>40</v>
      </c>
      <c r="G15" s="225"/>
      <c r="H15" s="226">
        <f>H13-H14</f>
        <v>311633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274">
        <f>1194+1836</f>
        <v>3030</v>
      </c>
      <c r="I16" s="275"/>
      <c r="J16" s="2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93</v>
      </c>
      <c r="C17" s="10"/>
      <c r="D17" s="48">
        <f t="shared" si="1"/>
        <v>0</v>
      </c>
      <c r="F17" s="56"/>
      <c r="G17" s="66" t="s">
        <v>45</v>
      </c>
      <c r="H17" s="197"/>
      <c r="I17" s="197"/>
      <c r="J17" s="19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4">
        <v>100</v>
      </c>
      <c r="I19" s="275"/>
      <c r="J19" s="27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7"/>
      <c r="I20" s="197"/>
      <c r="J20" s="19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104</v>
      </c>
      <c r="C22" s="10"/>
      <c r="D22" s="48">
        <f t="shared" si="1"/>
        <v>0</v>
      </c>
      <c r="F22" s="72"/>
      <c r="G22" s="73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107</v>
      </c>
      <c r="C23" s="10"/>
      <c r="D23" s="48">
        <f t="shared" si="1"/>
        <v>0</v>
      </c>
      <c r="F23" s="25"/>
      <c r="G23" s="37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123</v>
      </c>
      <c r="C24" s="10"/>
      <c r="D24" s="48">
        <f t="shared" si="1"/>
        <v>0</v>
      </c>
      <c r="F24" s="38"/>
      <c r="G24" s="37"/>
      <c r="H24" s="203"/>
      <c r="I24" s="172"/>
      <c r="J24" s="17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4" t="s">
        <v>13</v>
      </c>
      <c r="I25" s="205"/>
      <c r="J25" s="20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105</v>
      </c>
      <c r="C26" s="10"/>
      <c r="D26" s="48">
        <f t="shared" si="1"/>
        <v>0</v>
      </c>
      <c r="F26" s="64"/>
      <c r="G26" s="10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109</v>
      </c>
      <c r="C27" s="10"/>
      <c r="D27" s="44">
        <f t="shared" si="1"/>
        <v>0</v>
      </c>
      <c r="F27" s="14"/>
      <c r="G27" s="14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10"/>
      <c r="D28" s="48">
        <f t="shared" si="1"/>
        <v>0</v>
      </c>
      <c r="F28" s="100"/>
      <c r="G28" s="61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403697</v>
      </c>
      <c r="F29" s="133" t="s">
        <v>55</v>
      </c>
      <c r="G29" s="195"/>
      <c r="H29" s="155">
        <f>H15-H16-H17-H18-H19-H20-H22-H23-H24+H26+H27</f>
        <v>308503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142</v>
      </c>
      <c r="H34" s="177">
        <f>F34*G34</f>
        <v>142000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8">
        <v>500</v>
      </c>
      <c r="G35" s="41">
        <v>95</v>
      </c>
      <c r="H35" s="177">
        <f t="shared" ref="H35:H39" si="2">F35*G35</f>
        <v>47500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77">
        <f>F36*G36</f>
        <v>200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>
        <v>787</v>
      </c>
      <c r="D37" s="12">
        <f>C37*111</f>
        <v>87357</v>
      </c>
      <c r="F37" s="12">
        <v>100</v>
      </c>
      <c r="G37" s="39"/>
      <c r="H37" s="177">
        <f t="shared" si="2"/>
        <v>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>
        <v>28</v>
      </c>
      <c r="D38" s="12">
        <f>C38*84</f>
        <v>2352</v>
      </c>
      <c r="F38" s="30">
        <v>50</v>
      </c>
      <c r="G38" s="39"/>
      <c r="H38" s="177">
        <f t="shared" si="2"/>
        <v>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77">
        <f t="shared" si="2"/>
        <v>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>
        <v>8</v>
      </c>
      <c r="D42" s="12">
        <f>C42*2.25</f>
        <v>18</v>
      </c>
      <c r="F42" s="39" t="s">
        <v>79</v>
      </c>
      <c r="G42" s="177">
        <v>79</v>
      </c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59" t="s">
        <v>82</v>
      </c>
      <c r="G43" s="103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>
        <v>3</v>
      </c>
      <c r="D44" s="12">
        <f>C44*120</f>
        <v>360</v>
      </c>
      <c r="F44" s="37" t="s">
        <v>150</v>
      </c>
      <c r="G44" s="62" t="s">
        <v>176</v>
      </c>
      <c r="H44" s="172">
        <v>119491</v>
      </c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>
        <v>1</v>
      </c>
      <c r="D45" s="12">
        <f>C45*84</f>
        <v>84</v>
      </c>
      <c r="F45" s="37"/>
      <c r="G45" s="62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1">
        <v>12</v>
      </c>
      <c r="D46" s="12">
        <f>C46*1.5</f>
        <v>18</v>
      </c>
      <c r="F46" s="37"/>
      <c r="G46" s="10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59"/>
      <c r="G47" s="59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>
        <v>12</v>
      </c>
      <c r="D49" s="12">
        <f>C49*42</f>
        <v>504</v>
      </c>
      <c r="F49" s="153" t="s">
        <v>86</v>
      </c>
      <c r="G49" s="155">
        <f>H34+H35+H36+H37+H38+H39+H40+H41+G42+H44+H45+H46</f>
        <v>309270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>
        <v>26</v>
      </c>
      <c r="D50" s="12">
        <f>C50*1.5</f>
        <v>39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155</v>
      </c>
      <c r="G51" s="163">
        <f>G49-H29</f>
        <v>767</v>
      </c>
      <c r="H51" s="164"/>
      <c r="I51" s="164"/>
      <c r="J51" s="1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166"/>
      <c r="H52" s="167"/>
      <c r="I52" s="167"/>
      <c r="J52" s="1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92064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4D21B-A26C-4A22-A87A-F20E490ECEF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3</v>
      </c>
      <c r="H4" s="234" t="s">
        <v>9</v>
      </c>
      <c r="I4" s="236">
        <v>46001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10">
        <v>174</v>
      </c>
      <c r="D6" s="13">
        <f t="shared" ref="D6:D28" si="1">C6*L6</f>
        <v>128238</v>
      </c>
      <c r="F6" s="240" t="s">
        <v>16</v>
      </c>
      <c r="G6" s="242" t="s">
        <v>111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10"/>
      <c r="D7" s="13">
        <f t="shared" si="1"/>
        <v>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10"/>
      <c r="D8" s="13">
        <f t="shared" si="1"/>
        <v>0</v>
      </c>
      <c r="F8" s="248" t="s">
        <v>21</v>
      </c>
      <c r="G8" s="249" t="s">
        <v>119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10">
        <v>65</v>
      </c>
      <c r="D9" s="13">
        <f t="shared" si="1"/>
        <v>45955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10"/>
      <c r="D10" s="13">
        <f t="shared" si="1"/>
        <v>0</v>
      </c>
      <c r="F10" s="240" t="s">
        <v>26</v>
      </c>
      <c r="G10" s="255" t="s">
        <v>135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10">
        <v>1</v>
      </c>
      <c r="D11" s="13">
        <f t="shared" si="1"/>
        <v>1125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10">
        <v>1</v>
      </c>
      <c r="D12" s="48">
        <f t="shared" si="1"/>
        <v>952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10">
        <v>5</v>
      </c>
      <c r="D13" s="48">
        <f t="shared" si="1"/>
        <v>1535</v>
      </c>
      <c r="F13" s="261" t="s">
        <v>36</v>
      </c>
      <c r="G13" s="225"/>
      <c r="H13" s="216">
        <f>D29</f>
        <v>179358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10">
        <v>23</v>
      </c>
      <c r="D14" s="31">
        <f t="shared" si="1"/>
        <v>253</v>
      </c>
      <c r="F14" s="219" t="s">
        <v>39</v>
      </c>
      <c r="G14" s="220"/>
      <c r="H14" s="221">
        <f>D54</f>
        <v>18797.25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10"/>
      <c r="D15" s="31">
        <f t="shared" si="1"/>
        <v>0</v>
      </c>
      <c r="F15" s="224" t="s">
        <v>40</v>
      </c>
      <c r="G15" s="225"/>
      <c r="H15" s="226">
        <f>H13-H14</f>
        <v>160560.75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6">
        <v>456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113</v>
      </c>
      <c r="C17" s="10"/>
      <c r="D17" s="48">
        <f t="shared" si="1"/>
        <v>0</v>
      </c>
      <c r="F17" s="56"/>
      <c r="G17" s="66" t="s">
        <v>45</v>
      </c>
      <c r="H17" s="197"/>
      <c r="I17" s="197"/>
      <c r="J17" s="19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2"/>
      <c r="I19" s="272"/>
      <c r="J19" s="27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104</v>
      </c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107</v>
      </c>
      <c r="C23" s="10"/>
      <c r="D23" s="48">
        <f t="shared" si="1"/>
        <v>0</v>
      </c>
      <c r="F23" s="78"/>
      <c r="G23" s="79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101</v>
      </c>
      <c r="C24" s="10"/>
      <c r="D24" s="48">
        <f t="shared" si="1"/>
        <v>0</v>
      </c>
      <c r="F24" s="38"/>
      <c r="G24" s="37"/>
      <c r="H24" s="203"/>
      <c r="I24" s="172"/>
      <c r="J24" s="17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4" t="s">
        <v>13</v>
      </c>
      <c r="I25" s="205"/>
      <c r="J25" s="20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105</v>
      </c>
      <c r="C26" s="10"/>
      <c r="D26" s="48">
        <f t="shared" si="1"/>
        <v>0</v>
      </c>
      <c r="F26" s="64"/>
      <c r="G26" s="59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109</v>
      </c>
      <c r="C27" s="10"/>
      <c r="D27" s="44">
        <f t="shared" si="1"/>
        <v>0</v>
      </c>
      <c r="F27" s="25"/>
      <c r="G27" s="80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10"/>
      <c r="D28" s="48">
        <f t="shared" si="1"/>
        <v>0</v>
      </c>
      <c r="F28" s="100"/>
      <c r="G28" s="61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179358</v>
      </c>
      <c r="F29" s="133" t="s">
        <v>55</v>
      </c>
      <c r="G29" s="195"/>
      <c r="H29" s="155">
        <f>H15-H16-H17-H18-H19-H20-H22-H23-H24+H26+H27</f>
        <v>160104.75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59</v>
      </c>
      <c r="H34" s="177">
        <f>F34*G34</f>
        <v>59000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8">
        <v>500</v>
      </c>
      <c r="G35" s="41">
        <v>105</v>
      </c>
      <c r="H35" s="177">
        <f>F35*G35</f>
        <v>52500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/>
      <c r="H36" s="177">
        <f t="shared" ref="H36:H39" si="2">F36*G36</f>
        <v>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>
        <v>134</v>
      </c>
      <c r="D37" s="12">
        <f>C37*111</f>
        <v>14874</v>
      </c>
      <c r="F37" s="12">
        <v>100</v>
      </c>
      <c r="G37" s="39">
        <v>4</v>
      </c>
      <c r="H37" s="177">
        <f t="shared" si="2"/>
        <v>400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>
        <v>25</v>
      </c>
      <c r="D38" s="12">
        <f>C38*84</f>
        <v>2100</v>
      </c>
      <c r="F38" s="30">
        <v>50</v>
      </c>
      <c r="G38" s="39">
        <v>2</v>
      </c>
      <c r="H38" s="177">
        <f t="shared" si="2"/>
        <v>100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177">
        <f t="shared" si="2"/>
        <v>20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>
        <v>13</v>
      </c>
      <c r="D42" s="12">
        <f>C42*2.25</f>
        <v>29.25</v>
      </c>
      <c r="F42" s="39" t="s">
        <v>79</v>
      </c>
      <c r="G42" s="177">
        <v>31</v>
      </c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59" t="s">
        <v>82</v>
      </c>
      <c r="G43" s="103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>
        <v>5</v>
      </c>
      <c r="D44" s="12">
        <f>C44*120</f>
        <v>600</v>
      </c>
      <c r="F44" s="37" t="s">
        <v>150</v>
      </c>
      <c r="G44" s="76" t="s">
        <v>177</v>
      </c>
      <c r="H44" s="172">
        <v>48140</v>
      </c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>
        <v>1</v>
      </c>
      <c r="D45" s="12">
        <f>C45*84</f>
        <v>84</v>
      </c>
      <c r="F45" s="37"/>
      <c r="G45" s="76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1">
        <v>11</v>
      </c>
      <c r="D46" s="12">
        <f>C46*1.5</f>
        <v>16.5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59"/>
      <c r="G47" s="59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>
        <v>11</v>
      </c>
      <c r="D48" s="12">
        <f>C48*78</f>
        <v>858</v>
      </c>
      <c r="F48" s="59"/>
      <c r="G48" s="59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/>
      <c r="D49" s="12">
        <f>C49*42</f>
        <v>0</v>
      </c>
      <c r="F49" s="153" t="s">
        <v>86</v>
      </c>
      <c r="G49" s="155">
        <f>H34+H35+H36+H37+H38+H39+H40+H41+G42+H44+H45+H46</f>
        <v>160191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/>
      <c r="D50" s="12">
        <f>C50*1.5</f>
        <v>0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148</v>
      </c>
      <c r="G51" s="163">
        <f>G49-H29</f>
        <v>86.25</v>
      </c>
      <c r="H51" s="164"/>
      <c r="I51" s="164"/>
      <c r="J51" s="1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166"/>
      <c r="H52" s="167"/>
      <c r="I52" s="167"/>
      <c r="J52" s="1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18797.25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78AADA-E78E-4C6F-A8ED-0E95154FB6A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9" t="s">
        <v>1</v>
      </c>
      <c r="O1" s="229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0" t="s">
        <v>7</v>
      </c>
      <c r="B4" s="181"/>
      <c r="C4" s="181"/>
      <c r="D4" s="182"/>
      <c r="F4" s="230" t="s">
        <v>8</v>
      </c>
      <c r="G4" s="232"/>
      <c r="H4" s="234" t="s">
        <v>9</v>
      </c>
      <c r="I4" s="236"/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5"/>
      <c r="B6" s="16"/>
      <c r="C6" s="10"/>
      <c r="D6" s="13">
        <f t="shared" ref="D6:D28" si="1">C6*L6</f>
        <v>0</v>
      </c>
      <c r="F6" s="240" t="s">
        <v>16</v>
      </c>
      <c r="G6" s="242"/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5"/>
      <c r="B7" s="16"/>
      <c r="C7" s="10"/>
      <c r="D7" s="13">
        <f t="shared" si="1"/>
        <v>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5"/>
      <c r="B8" s="16"/>
      <c r="C8" s="10"/>
      <c r="D8" s="13">
        <f t="shared" si="1"/>
        <v>0</v>
      </c>
      <c r="F8" s="248" t="s">
        <v>21</v>
      </c>
      <c r="G8" s="249"/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5"/>
      <c r="B9" s="16"/>
      <c r="C9" s="10"/>
      <c r="D9" s="13">
        <f t="shared" si="1"/>
        <v>0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5"/>
      <c r="C10" s="10"/>
      <c r="D10" s="13">
        <f t="shared" si="1"/>
        <v>0</v>
      </c>
      <c r="F10" s="240" t="s">
        <v>26</v>
      </c>
      <c r="G10" s="255"/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9" ht="15.75" x14ac:dyDescent="0.25">
      <c r="A11" s="175"/>
      <c r="B11" s="17"/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5"/>
      <c r="B12" s="17"/>
      <c r="C12" s="10"/>
      <c r="D12" s="48">
        <f t="shared" si="1"/>
        <v>0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5"/>
      <c r="B13" s="17"/>
      <c r="C13" s="10"/>
      <c r="D13" s="48">
        <f t="shared" si="1"/>
        <v>0</v>
      </c>
      <c r="F13" s="261" t="s">
        <v>36</v>
      </c>
      <c r="G13" s="225"/>
      <c r="H13" s="216">
        <f>D29</f>
        <v>0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5"/>
      <c r="B14" s="14"/>
      <c r="C14" s="10"/>
      <c r="D14" s="31">
        <f t="shared" si="1"/>
        <v>0</v>
      </c>
      <c r="F14" s="219" t="s">
        <v>39</v>
      </c>
      <c r="G14" s="220"/>
      <c r="H14" s="221">
        <f>D54</f>
        <v>0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5"/>
      <c r="B15" s="14"/>
      <c r="C15" s="10"/>
      <c r="D15" s="31">
        <f t="shared" si="1"/>
        <v>0</v>
      </c>
      <c r="F15" s="224" t="s">
        <v>40</v>
      </c>
      <c r="G15" s="225"/>
      <c r="H15" s="226">
        <f>H13-H14</f>
        <v>0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C17" s="10"/>
      <c r="D17" s="48">
        <f t="shared" si="1"/>
        <v>0</v>
      </c>
      <c r="F17" s="56"/>
      <c r="G17" s="66" t="s">
        <v>45</v>
      </c>
      <c r="H17" s="197"/>
      <c r="I17" s="197"/>
      <c r="J17" s="19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/>
      <c r="C18" s="10"/>
      <c r="D18" s="48">
        <f t="shared" si="1"/>
        <v>0</v>
      </c>
      <c r="F18" s="56"/>
      <c r="G18" s="66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/>
      <c r="C19" s="10"/>
      <c r="D19" s="48">
        <f t="shared" si="1"/>
        <v>0</v>
      </c>
      <c r="F19" s="56"/>
      <c r="G19" s="68" t="s">
        <v>50</v>
      </c>
      <c r="H19" s="198"/>
      <c r="I19" s="198"/>
      <c r="J19" s="19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/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/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/>
      <c r="C23" s="10"/>
      <c r="D23" s="48">
        <f t="shared" si="1"/>
        <v>0</v>
      </c>
      <c r="F23" s="78"/>
      <c r="G23" s="79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/>
      <c r="C24" s="10"/>
      <c r="D24" s="48">
        <f t="shared" si="1"/>
        <v>0</v>
      </c>
      <c r="F24" s="38"/>
      <c r="G24" s="37"/>
      <c r="H24" s="203"/>
      <c r="I24" s="172"/>
      <c r="J24" s="17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4" t="s">
        <v>13</v>
      </c>
      <c r="I25" s="205"/>
      <c r="J25" s="20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/>
      <c r="C26" s="10"/>
      <c r="D26" s="48">
        <f t="shared" si="1"/>
        <v>0</v>
      </c>
      <c r="F26" s="64"/>
      <c r="G26" s="59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/>
      <c r="C27" s="10"/>
      <c r="D27" s="44">
        <f t="shared" si="1"/>
        <v>0</v>
      </c>
      <c r="F27" s="25"/>
      <c r="G27" s="80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/>
      <c r="C28" s="10"/>
      <c r="D28" s="48">
        <f t="shared" si="1"/>
        <v>0</v>
      </c>
      <c r="F28" s="100"/>
      <c r="G28" s="61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0</v>
      </c>
      <c r="F29" s="133" t="s">
        <v>55</v>
      </c>
      <c r="G29" s="195"/>
      <c r="H29" s="155">
        <f>H15-H16-H17-H18-H19-H20-H22-H23-H24+H26+H27</f>
        <v>0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7"/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8">
        <v>500</v>
      </c>
      <c r="G35" s="41"/>
      <c r="H35" s="177"/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/>
      <c r="H36" s="177"/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7"/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/>
      <c r="D38" s="12">
        <f>C38*84</f>
        <v>0</v>
      </c>
      <c r="F38" s="30">
        <v>50</v>
      </c>
      <c r="G38" s="39"/>
      <c r="H38" s="177"/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/>
      <c r="D39" s="31">
        <f>C39*4.5</f>
        <v>0</v>
      </c>
      <c r="F39" s="12">
        <v>20</v>
      </c>
      <c r="G39" s="37"/>
      <c r="H39" s="177"/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/>
      <c r="D42" s="12">
        <f>C42*2.25</f>
        <v>0</v>
      </c>
      <c r="F42" s="39" t="s">
        <v>79</v>
      </c>
      <c r="G42" s="177"/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59" t="s">
        <v>82</v>
      </c>
      <c r="G43" s="103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/>
      <c r="D44" s="12">
        <f>C44*120</f>
        <v>0</v>
      </c>
      <c r="F44" s="37"/>
      <c r="G44" s="76"/>
      <c r="H44" s="172"/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/>
      <c r="G45" s="76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1"/>
      <c r="D46" s="12">
        <f>C46*1.5</f>
        <v>0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59"/>
      <c r="G47" s="59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/>
      <c r="D48" s="12">
        <f>C48*78</f>
        <v>0</v>
      </c>
      <c r="F48" s="59"/>
      <c r="G48" s="59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/>
      <c r="D49" s="12">
        <f>C49*42</f>
        <v>0</v>
      </c>
      <c r="F49" s="153" t="s">
        <v>86</v>
      </c>
      <c r="G49" s="155">
        <f>H34+H35+H36+H37+H38+H39+H40+H41+G42+H44+H45+H46</f>
        <v>0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/>
      <c r="D50" s="12">
        <f>C50*1.5</f>
        <v>0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128</v>
      </c>
      <c r="G51" s="163">
        <f>G49-H29</f>
        <v>0</v>
      </c>
      <c r="H51" s="164"/>
      <c r="I51" s="164"/>
      <c r="J51" s="1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166"/>
      <c r="H52" s="167"/>
      <c r="I52" s="167"/>
      <c r="J52" s="1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0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BA192-CC62-4BE6-8D5B-44080381523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1</v>
      </c>
      <c r="H4" s="234" t="s">
        <v>9</v>
      </c>
      <c r="I4" s="236">
        <v>46002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84">
        <v>739</v>
      </c>
      <c r="D6" s="13">
        <f t="shared" ref="D6:D28" si="1">C6*L6</f>
        <v>544643</v>
      </c>
      <c r="F6" s="240" t="s">
        <v>16</v>
      </c>
      <c r="G6" s="242" t="s">
        <v>129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84">
        <v>17</v>
      </c>
      <c r="D7" s="13">
        <f t="shared" si="1"/>
        <v>12325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84"/>
      <c r="D8" s="13">
        <f t="shared" si="1"/>
        <v>0</v>
      </c>
      <c r="F8" s="248" t="s">
        <v>21</v>
      </c>
      <c r="G8" s="249" t="s">
        <v>112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84">
        <v>11</v>
      </c>
      <c r="D9" s="13">
        <f t="shared" si="1"/>
        <v>7777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84"/>
      <c r="D10" s="13">
        <f t="shared" si="1"/>
        <v>0</v>
      </c>
      <c r="F10" s="240" t="s">
        <v>26</v>
      </c>
      <c r="G10" s="255" t="s">
        <v>130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84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84">
        <v>2</v>
      </c>
      <c r="D12" s="48">
        <f t="shared" si="1"/>
        <v>1904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84">
        <v>32</v>
      </c>
      <c r="D13" s="48">
        <f t="shared" si="1"/>
        <v>9824</v>
      </c>
      <c r="F13" s="261" t="s">
        <v>36</v>
      </c>
      <c r="G13" s="225"/>
      <c r="H13" s="216">
        <f>D29</f>
        <v>586934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84">
        <v>8</v>
      </c>
      <c r="D14" s="31">
        <f t="shared" si="1"/>
        <v>88</v>
      </c>
      <c r="F14" s="219" t="s">
        <v>39</v>
      </c>
      <c r="G14" s="220"/>
      <c r="H14" s="221">
        <f>D54</f>
        <v>80880.75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84"/>
      <c r="D15" s="31">
        <f t="shared" si="1"/>
        <v>0</v>
      </c>
      <c r="F15" s="224" t="s">
        <v>40</v>
      </c>
      <c r="G15" s="225"/>
      <c r="H15" s="226">
        <f>H13-H14</f>
        <v>506053.25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6">
        <f>3960</f>
        <v>3960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138</v>
      </c>
      <c r="C17" s="84"/>
      <c r="D17" s="48">
        <f t="shared" si="1"/>
        <v>0</v>
      </c>
      <c r="F17" s="56"/>
      <c r="G17" s="66" t="s">
        <v>45</v>
      </c>
      <c r="H17" s="197"/>
      <c r="I17" s="197"/>
      <c r="J17" s="19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97"/>
      <c r="I19" s="197"/>
      <c r="J19" s="197"/>
      <c r="L19" s="6">
        <v>1102</v>
      </c>
      <c r="Q19" s="4"/>
      <c r="R19" s="5">
        <f t="shared" si="0"/>
        <v>0</v>
      </c>
    </row>
    <row r="20" spans="1:18" ht="15.75" x14ac:dyDescent="0.25">
      <c r="A20" s="175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136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127</v>
      </c>
      <c r="C22" s="84"/>
      <c r="D22" s="48">
        <f t="shared" si="1"/>
        <v>0</v>
      </c>
      <c r="F22" s="77" t="s">
        <v>147</v>
      </c>
      <c r="G22" s="73">
        <v>7830</v>
      </c>
      <c r="H22" s="202">
        <v>70727</v>
      </c>
      <c r="I22" s="202"/>
      <c r="J22" s="20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101</v>
      </c>
      <c r="C23" s="84"/>
      <c r="D23" s="48">
        <f t="shared" si="1"/>
        <v>0</v>
      </c>
      <c r="F23" s="77"/>
      <c r="G23" s="79"/>
      <c r="H23" s="262"/>
      <c r="I23" s="263"/>
      <c r="J23" s="26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121</v>
      </c>
      <c r="C24" s="84">
        <v>12</v>
      </c>
      <c r="D24" s="48">
        <f t="shared" si="1"/>
        <v>474.5</v>
      </c>
      <c r="F24" s="77"/>
      <c r="G24" s="79"/>
      <c r="H24" s="262"/>
      <c r="I24" s="263"/>
      <c r="J24" s="26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179</v>
      </c>
      <c r="C25" s="84">
        <v>12</v>
      </c>
      <c r="D25" s="48">
        <f t="shared" si="1"/>
        <v>520.5</v>
      </c>
      <c r="F25" s="60" t="s">
        <v>100</v>
      </c>
      <c r="G25" s="55" t="s">
        <v>98</v>
      </c>
      <c r="H25" s="204" t="s">
        <v>13</v>
      </c>
      <c r="I25" s="205"/>
      <c r="J25" s="206"/>
      <c r="L25" s="47">
        <f>1005/24+1.5</f>
        <v>43.375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143</v>
      </c>
      <c r="C26" s="84">
        <v>12</v>
      </c>
      <c r="D26" s="48">
        <f t="shared" si="1"/>
        <v>434</v>
      </c>
      <c r="F26" s="75" t="s">
        <v>147</v>
      </c>
      <c r="G26" s="65">
        <v>7541</v>
      </c>
      <c r="H26" s="172">
        <v>79918</v>
      </c>
      <c r="I26" s="172"/>
      <c r="J26" s="17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144</v>
      </c>
      <c r="C27" s="84">
        <v>12</v>
      </c>
      <c r="D27" s="44">
        <f t="shared" si="1"/>
        <v>444</v>
      </c>
      <c r="F27" s="71"/>
      <c r="G27" s="103"/>
      <c r="H27" s="264"/>
      <c r="I27" s="265"/>
      <c r="J27" s="265"/>
      <c r="L27" s="7">
        <f>852/24+1.5</f>
        <v>37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84">
        <v>10</v>
      </c>
      <c r="D28" s="48">
        <f t="shared" si="1"/>
        <v>7850</v>
      </c>
      <c r="F28" s="100"/>
      <c r="G28" s="61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586934</v>
      </c>
      <c r="F29" s="133" t="s">
        <v>55</v>
      </c>
      <c r="G29" s="195"/>
      <c r="H29" s="155">
        <f>H15-H16-H17-H18-H19-H20-H22-H23-H24+H26+H27+H28</f>
        <v>511284.25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208</v>
      </c>
      <c r="H34" s="177">
        <f t="shared" ref="H34:H39" si="2">F34*G34</f>
        <v>208000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443</v>
      </c>
      <c r="H35" s="177">
        <f t="shared" si="2"/>
        <v>221500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>
        <v>12</v>
      </c>
      <c r="D36" s="12">
        <f>C36*1.5</f>
        <v>18</v>
      </c>
      <c r="F36" s="12">
        <v>200</v>
      </c>
      <c r="G36" s="37"/>
      <c r="H36" s="177">
        <f t="shared" si="2"/>
        <v>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>
        <v>692</v>
      </c>
      <c r="D37" s="12">
        <f>C37*111</f>
        <v>76812</v>
      </c>
      <c r="F37" s="12">
        <v>100</v>
      </c>
      <c r="G37" s="39">
        <v>4</v>
      </c>
      <c r="H37" s="177">
        <f t="shared" si="2"/>
        <v>400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1</v>
      </c>
      <c r="H38" s="177">
        <f t="shared" si="2"/>
        <v>50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77">
        <f t="shared" si="2"/>
        <v>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>
        <v>23</v>
      </c>
      <c r="D42" s="12">
        <f>C42*2.25</f>
        <v>51.75</v>
      </c>
      <c r="F42" s="39" t="s">
        <v>79</v>
      </c>
      <c r="G42" s="177">
        <v>38</v>
      </c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59" t="s">
        <v>82</v>
      </c>
      <c r="G43" s="103" t="s">
        <v>83</v>
      </c>
      <c r="H43" s="169" t="s">
        <v>13</v>
      </c>
      <c r="I43" s="170"/>
      <c r="J43" s="17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8"/>
      <c r="B44" s="27" t="s">
        <v>66</v>
      </c>
      <c r="C44" s="10">
        <v>2</v>
      </c>
      <c r="D44" s="12">
        <f>C44*120</f>
        <v>240</v>
      </c>
      <c r="F44" s="37" t="s">
        <v>163</v>
      </c>
      <c r="G44" s="105" t="s">
        <v>158</v>
      </c>
      <c r="H44" s="172">
        <v>79918</v>
      </c>
      <c r="I44" s="172"/>
      <c r="J44" s="17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48"/>
      <c r="B45" s="27" t="s">
        <v>68</v>
      </c>
      <c r="C45" s="33">
        <v>1</v>
      </c>
      <c r="D45" s="12">
        <f>C45*84</f>
        <v>84</v>
      </c>
      <c r="F45" s="37"/>
      <c r="G45" s="62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1">
        <v>14</v>
      </c>
      <c r="D46" s="12">
        <f>C46*1.5</f>
        <v>21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59"/>
      <c r="G47" s="59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>
        <v>9</v>
      </c>
      <c r="D49" s="12">
        <f>C49*42</f>
        <v>378</v>
      </c>
      <c r="F49" s="153" t="s">
        <v>86</v>
      </c>
      <c r="G49" s="155">
        <f>H34+H35+H36+H37+H38+H39+H40+H41+G42+H44+H45+H46</f>
        <v>509906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>
        <v>11</v>
      </c>
      <c r="D50" s="12">
        <f>C50*1.5</f>
        <v>16.5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131</v>
      </c>
      <c r="G51" s="266">
        <f>G49-H29</f>
        <v>-1378.25</v>
      </c>
      <c r="H51" s="267"/>
      <c r="I51" s="267"/>
      <c r="J51" s="26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269"/>
      <c r="H52" s="270"/>
      <c r="I52" s="270"/>
      <c r="J52" s="27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80880.75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374413-1B41-4CD4-BDC2-F310EAEC9B6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2</v>
      </c>
      <c r="H4" s="234" t="s">
        <v>9</v>
      </c>
      <c r="I4" s="236">
        <v>46002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10">
        <v>249</v>
      </c>
      <c r="D6" s="13">
        <f t="shared" ref="D6:D28" si="1">C6*L6</f>
        <v>183513</v>
      </c>
      <c r="F6" s="240" t="s">
        <v>16</v>
      </c>
      <c r="G6" s="242" t="s">
        <v>141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10">
        <v>1</v>
      </c>
      <c r="D7" s="13">
        <f t="shared" si="1"/>
        <v>725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10"/>
      <c r="D8" s="13">
        <f t="shared" si="1"/>
        <v>0</v>
      </c>
      <c r="F8" s="248" t="s">
        <v>21</v>
      </c>
      <c r="G8" s="249" t="s">
        <v>114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10">
        <v>15</v>
      </c>
      <c r="D9" s="13">
        <f t="shared" si="1"/>
        <v>10605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10"/>
      <c r="D10" s="13">
        <f t="shared" si="1"/>
        <v>0</v>
      </c>
      <c r="F10" s="240" t="s">
        <v>26</v>
      </c>
      <c r="G10" s="255" t="s">
        <v>115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10"/>
      <c r="D12" s="48">
        <f t="shared" si="1"/>
        <v>0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10">
        <v>11</v>
      </c>
      <c r="D13" s="48">
        <f t="shared" si="1"/>
        <v>3377</v>
      </c>
      <c r="F13" s="261" t="s">
        <v>36</v>
      </c>
      <c r="G13" s="225"/>
      <c r="H13" s="216">
        <f>D29</f>
        <v>198369.83333333334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10">
        <v>3</v>
      </c>
      <c r="D14" s="31">
        <f t="shared" si="1"/>
        <v>33</v>
      </c>
      <c r="F14" s="219" t="s">
        <v>39</v>
      </c>
      <c r="G14" s="220"/>
      <c r="H14" s="221">
        <f>D54</f>
        <v>16148.25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10"/>
      <c r="D15" s="31">
        <f t="shared" si="1"/>
        <v>0</v>
      </c>
      <c r="F15" s="224" t="s">
        <v>40</v>
      </c>
      <c r="G15" s="225"/>
      <c r="H15" s="226">
        <f>H13-H14</f>
        <v>182221.58333333334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6">
        <v>1296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93</v>
      </c>
      <c r="C17" s="10"/>
      <c r="D17" s="48">
        <f t="shared" si="1"/>
        <v>0</v>
      </c>
      <c r="F17" s="56"/>
      <c r="G17" s="66" t="s">
        <v>45</v>
      </c>
      <c r="H17" s="197"/>
      <c r="I17" s="197"/>
      <c r="J17" s="19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7"/>
      <c r="I20" s="197"/>
      <c r="J20" s="19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104</v>
      </c>
      <c r="C22" s="10"/>
      <c r="D22" s="48">
        <f t="shared" si="1"/>
        <v>0</v>
      </c>
      <c r="F22" s="72"/>
      <c r="G22" s="73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107</v>
      </c>
      <c r="C23" s="10"/>
      <c r="D23" s="48">
        <f t="shared" si="1"/>
        <v>0</v>
      </c>
      <c r="F23" s="25"/>
      <c r="G23" s="37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123</v>
      </c>
      <c r="C24" s="10"/>
      <c r="D24" s="48">
        <f t="shared" si="1"/>
        <v>0</v>
      </c>
      <c r="F24" s="38"/>
      <c r="G24" s="37"/>
      <c r="H24" s="203"/>
      <c r="I24" s="172"/>
      <c r="J24" s="17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124</v>
      </c>
      <c r="C25" s="10">
        <v>1</v>
      </c>
      <c r="D25" s="48">
        <f t="shared" si="1"/>
        <v>116.83333333333333</v>
      </c>
      <c r="F25" s="60" t="s">
        <v>100</v>
      </c>
      <c r="G25" s="55" t="s">
        <v>98</v>
      </c>
      <c r="H25" s="204" t="s">
        <v>13</v>
      </c>
      <c r="I25" s="205"/>
      <c r="J25" s="206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105</v>
      </c>
      <c r="C26" s="10"/>
      <c r="D26" s="48">
        <f t="shared" si="1"/>
        <v>0</v>
      </c>
      <c r="F26" s="64"/>
      <c r="G26" s="10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109</v>
      </c>
      <c r="C27" s="10"/>
      <c r="D27" s="44">
        <f t="shared" si="1"/>
        <v>0</v>
      </c>
      <c r="F27" s="14"/>
      <c r="G27" s="14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10"/>
      <c r="D28" s="48">
        <f t="shared" si="1"/>
        <v>0</v>
      </c>
      <c r="F28" s="100"/>
      <c r="G28" s="61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198369.83333333334</v>
      </c>
      <c r="F29" s="133" t="s">
        <v>55</v>
      </c>
      <c r="G29" s="195"/>
      <c r="H29" s="155">
        <f>H15-H16-H17-H18-H19-H20-H22-H23-H24+H26+H27</f>
        <v>180925.58333333334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121</v>
      </c>
      <c r="H34" s="177">
        <f>F34*G34</f>
        <v>121000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8">
        <v>500</v>
      </c>
      <c r="G35" s="41">
        <v>120</v>
      </c>
      <c r="H35" s="177">
        <f t="shared" ref="H35:H39" si="2">F35*G35</f>
        <v>60000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/>
      <c r="H36" s="177">
        <f>F36*G36</f>
        <v>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>
        <v>137</v>
      </c>
      <c r="D37" s="12">
        <f>C37*111</f>
        <v>15207</v>
      </c>
      <c r="F37" s="12">
        <v>100</v>
      </c>
      <c r="G37" s="39">
        <v>1</v>
      </c>
      <c r="H37" s="177">
        <f t="shared" si="2"/>
        <v>100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1</v>
      </c>
      <c r="H38" s="177">
        <f t="shared" si="2"/>
        <v>50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/>
      <c r="D39" s="31">
        <f>C39*4.5</f>
        <v>0</v>
      </c>
      <c r="F39" s="12">
        <v>20</v>
      </c>
      <c r="G39" s="37">
        <v>2</v>
      </c>
      <c r="H39" s="177">
        <f t="shared" si="2"/>
        <v>40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>
        <v>1</v>
      </c>
      <c r="D42" s="12">
        <f>C42*2.25</f>
        <v>2.25</v>
      </c>
      <c r="F42" s="39" t="s">
        <v>79</v>
      </c>
      <c r="G42" s="177">
        <v>31</v>
      </c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59" t="s">
        <v>82</v>
      </c>
      <c r="G43" s="103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/>
      <c r="D44" s="12">
        <f>C44*120</f>
        <v>0</v>
      </c>
      <c r="F44" s="37"/>
      <c r="G44" s="62"/>
      <c r="H44" s="172"/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/>
      <c r="G45" s="62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1"/>
      <c r="D46" s="12">
        <f>C46*1.5</f>
        <v>0</v>
      </c>
      <c r="F46" s="37"/>
      <c r="G46" s="10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59"/>
      <c r="G47" s="59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>
        <v>6</v>
      </c>
      <c r="D49" s="12">
        <f>C49*42</f>
        <v>252</v>
      </c>
      <c r="F49" s="153" t="s">
        <v>86</v>
      </c>
      <c r="G49" s="155">
        <f>H34+H35+H36+H37+H38+H39+H40+H41+G42+H44+H45+H46</f>
        <v>181221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/>
      <c r="D50" s="12">
        <f>C50*1.5</f>
        <v>0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155</v>
      </c>
      <c r="G51" s="163">
        <f>G49-H29</f>
        <v>295.41666666665697</v>
      </c>
      <c r="H51" s="164"/>
      <c r="I51" s="164"/>
      <c r="J51" s="1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166"/>
      <c r="H52" s="167"/>
      <c r="I52" s="167"/>
      <c r="J52" s="1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16148.25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1793DB-2DFD-479E-A6A4-6924CDB5B12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3</v>
      </c>
      <c r="H4" s="234" t="s">
        <v>9</v>
      </c>
      <c r="I4" s="236">
        <v>46002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10">
        <v>326</v>
      </c>
      <c r="D6" s="13">
        <f t="shared" ref="D6:D28" si="1">C6*L6</f>
        <v>240262</v>
      </c>
      <c r="F6" s="240" t="s">
        <v>16</v>
      </c>
      <c r="G6" s="242" t="s">
        <v>111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10">
        <v>8</v>
      </c>
      <c r="D7" s="13">
        <f t="shared" si="1"/>
        <v>5800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10">
        <v>1</v>
      </c>
      <c r="D8" s="13">
        <f t="shared" si="1"/>
        <v>1033</v>
      </c>
      <c r="F8" s="248" t="s">
        <v>21</v>
      </c>
      <c r="G8" s="249" t="s">
        <v>119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10">
        <v>108</v>
      </c>
      <c r="D9" s="13">
        <f t="shared" si="1"/>
        <v>76356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10">
        <v>3</v>
      </c>
      <c r="D10" s="13">
        <f t="shared" si="1"/>
        <v>2916</v>
      </c>
      <c r="F10" s="240" t="s">
        <v>26</v>
      </c>
      <c r="G10" s="255" t="s">
        <v>135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10">
        <v>5</v>
      </c>
      <c r="D12" s="48">
        <f t="shared" si="1"/>
        <v>4760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10">
        <v>14</v>
      </c>
      <c r="D13" s="48">
        <f t="shared" si="1"/>
        <v>4298</v>
      </c>
      <c r="F13" s="261" t="s">
        <v>36</v>
      </c>
      <c r="G13" s="225"/>
      <c r="H13" s="216">
        <f>D29</f>
        <v>336863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10">
        <v>18</v>
      </c>
      <c r="D14" s="31">
        <f t="shared" si="1"/>
        <v>198</v>
      </c>
      <c r="F14" s="219" t="s">
        <v>39</v>
      </c>
      <c r="G14" s="220"/>
      <c r="H14" s="221">
        <f>D54</f>
        <v>51703.5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10">
        <v>2</v>
      </c>
      <c r="D15" s="31">
        <f t="shared" si="1"/>
        <v>1240</v>
      </c>
      <c r="F15" s="224" t="s">
        <v>40</v>
      </c>
      <c r="G15" s="225"/>
      <c r="H15" s="226">
        <f>H13-H14</f>
        <v>285159.5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6">
        <v>330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113</v>
      </c>
      <c r="C17" s="10"/>
      <c r="D17" s="48">
        <f t="shared" si="1"/>
        <v>0</v>
      </c>
      <c r="F17" s="56"/>
      <c r="G17" s="66" t="s">
        <v>45</v>
      </c>
      <c r="H17" s="197"/>
      <c r="I17" s="197"/>
      <c r="J17" s="19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2"/>
      <c r="I19" s="272"/>
      <c r="J19" s="27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104</v>
      </c>
      <c r="C22" s="10"/>
      <c r="D22" s="48">
        <f t="shared" si="1"/>
        <v>0</v>
      </c>
      <c r="F22" s="98"/>
      <c r="G22" s="73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107</v>
      </c>
      <c r="C23" s="10"/>
      <c r="D23" s="48">
        <f t="shared" si="1"/>
        <v>0</v>
      </c>
      <c r="F23" s="78"/>
      <c r="G23" s="79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101</v>
      </c>
      <c r="C24" s="10"/>
      <c r="D24" s="48">
        <f t="shared" si="1"/>
        <v>0</v>
      </c>
      <c r="F24" s="38"/>
      <c r="G24" s="37"/>
      <c r="H24" s="203"/>
      <c r="I24" s="172"/>
      <c r="J24" s="17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4" t="s">
        <v>13</v>
      </c>
      <c r="I25" s="205"/>
      <c r="J25" s="20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105</v>
      </c>
      <c r="C26" s="10"/>
      <c r="D26" s="48">
        <f t="shared" si="1"/>
        <v>0</v>
      </c>
      <c r="F26" s="64"/>
      <c r="G26" s="59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109</v>
      </c>
      <c r="C27" s="10"/>
      <c r="D27" s="44">
        <f t="shared" si="1"/>
        <v>0</v>
      </c>
      <c r="F27" s="25"/>
      <c r="G27" s="80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10"/>
      <c r="D28" s="48">
        <f t="shared" si="1"/>
        <v>0</v>
      </c>
      <c r="F28" s="100"/>
      <c r="G28" s="61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336863</v>
      </c>
      <c r="F29" s="133" t="s">
        <v>55</v>
      </c>
      <c r="G29" s="195"/>
      <c r="H29" s="155">
        <f>H15-H16-H17-H18-H19-H20-H22-H23-H24+H26+H27</f>
        <v>284829.5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>
        <v>9</v>
      </c>
      <c r="D34" s="30">
        <f>C34*120</f>
        <v>1080</v>
      </c>
      <c r="F34" s="12">
        <v>1000</v>
      </c>
      <c r="G34" s="74">
        <v>129</v>
      </c>
      <c r="H34" s="177">
        <f>F34*G34</f>
        <v>129000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8">
        <v>500</v>
      </c>
      <c r="G35" s="41">
        <v>62</v>
      </c>
      <c r="H35" s="177">
        <f>F35*G35</f>
        <v>31000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/>
      <c r="H36" s="177">
        <f t="shared" ref="H36:H39" si="2">F36*G36</f>
        <v>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>
        <v>425</v>
      </c>
      <c r="D37" s="12">
        <f>C37*111</f>
        <v>47175</v>
      </c>
      <c r="F37" s="12">
        <v>100</v>
      </c>
      <c r="G37" s="39">
        <v>60</v>
      </c>
      <c r="H37" s="177">
        <f t="shared" si="2"/>
        <v>6000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15</v>
      </c>
      <c r="H38" s="177">
        <f t="shared" si="2"/>
        <v>750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1</v>
      </c>
      <c r="H39" s="177">
        <f t="shared" si="2"/>
        <v>20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>
        <v>10</v>
      </c>
      <c r="D42" s="12">
        <f>C42*2.25</f>
        <v>22.5</v>
      </c>
      <c r="F42" s="39" t="s">
        <v>79</v>
      </c>
      <c r="G42" s="177">
        <v>234</v>
      </c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59" t="s">
        <v>82</v>
      </c>
      <c r="G43" s="103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>
        <v>1</v>
      </c>
      <c r="D44" s="12">
        <f>C44*120</f>
        <v>120</v>
      </c>
      <c r="F44" s="37" t="s">
        <v>152</v>
      </c>
      <c r="G44" s="76" t="s">
        <v>178</v>
      </c>
      <c r="H44" s="172">
        <v>118360</v>
      </c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>
        <v>1</v>
      </c>
      <c r="D45" s="12">
        <f>C45*84</f>
        <v>84</v>
      </c>
      <c r="F45" s="37"/>
      <c r="G45" s="76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1">
        <v>15</v>
      </c>
      <c r="D46" s="12">
        <f>C46*1.5</f>
        <v>22.5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59"/>
      <c r="G47" s="59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>
        <v>27</v>
      </c>
      <c r="D48" s="12">
        <f>C48*78</f>
        <v>2106</v>
      </c>
      <c r="F48" s="59"/>
      <c r="G48" s="59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/>
      <c r="D49" s="12">
        <f>C49*42</f>
        <v>0</v>
      </c>
      <c r="F49" s="153" t="s">
        <v>86</v>
      </c>
      <c r="G49" s="155">
        <f>H34+H35+H36+H37+H38+H39+H40+H41+G42+H44+H45+H46</f>
        <v>285364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>
        <v>22</v>
      </c>
      <c r="D50" s="12">
        <f>C50*1.5</f>
        <v>33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148</v>
      </c>
      <c r="G51" s="163">
        <f>G49-H29</f>
        <v>534.5</v>
      </c>
      <c r="H51" s="164"/>
      <c r="I51" s="164"/>
      <c r="J51" s="1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166"/>
      <c r="H52" s="167"/>
      <c r="I52" s="167"/>
      <c r="J52" s="1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51703.5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28A9F-B0B8-4AAD-B668-5ABB2F1910E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9" t="s">
        <v>1</v>
      </c>
      <c r="O1" s="229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0" t="s">
        <v>7</v>
      </c>
      <c r="B4" s="181"/>
      <c r="C4" s="181"/>
      <c r="D4" s="182"/>
      <c r="F4" s="230" t="s">
        <v>8</v>
      </c>
      <c r="G4" s="232"/>
      <c r="H4" s="234" t="s">
        <v>9</v>
      </c>
      <c r="I4" s="236"/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5"/>
      <c r="B6" s="16"/>
      <c r="C6" s="10"/>
      <c r="D6" s="13">
        <f t="shared" ref="D6:D28" si="1">C6*L6</f>
        <v>0</v>
      </c>
      <c r="F6" s="240" t="s">
        <v>16</v>
      </c>
      <c r="G6" s="242"/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5"/>
      <c r="B7" s="16"/>
      <c r="C7" s="10"/>
      <c r="D7" s="13">
        <f t="shared" si="1"/>
        <v>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5"/>
      <c r="B8" s="16"/>
      <c r="C8" s="10"/>
      <c r="D8" s="13">
        <f t="shared" si="1"/>
        <v>0</v>
      </c>
      <c r="F8" s="248" t="s">
        <v>21</v>
      </c>
      <c r="G8" s="249"/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5"/>
      <c r="B9" s="16"/>
      <c r="C9" s="10"/>
      <c r="D9" s="13">
        <f t="shared" si="1"/>
        <v>0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5"/>
      <c r="C10" s="10"/>
      <c r="D10" s="13">
        <f t="shared" si="1"/>
        <v>0</v>
      </c>
      <c r="F10" s="240" t="s">
        <v>26</v>
      </c>
      <c r="G10" s="255"/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9" ht="15.75" x14ac:dyDescent="0.25">
      <c r="A11" s="175"/>
      <c r="B11" s="17"/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5"/>
      <c r="B12" s="17"/>
      <c r="C12" s="10"/>
      <c r="D12" s="48">
        <f t="shared" si="1"/>
        <v>0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5"/>
      <c r="B13" s="17"/>
      <c r="C13" s="10"/>
      <c r="D13" s="48">
        <f t="shared" si="1"/>
        <v>0</v>
      </c>
      <c r="F13" s="261" t="s">
        <v>36</v>
      </c>
      <c r="G13" s="225"/>
      <c r="H13" s="216">
        <f>D29</f>
        <v>0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5"/>
      <c r="B14" s="14"/>
      <c r="C14" s="10"/>
      <c r="D14" s="31">
        <f t="shared" si="1"/>
        <v>0</v>
      </c>
      <c r="F14" s="219" t="s">
        <v>39</v>
      </c>
      <c r="G14" s="220"/>
      <c r="H14" s="221">
        <f>D54</f>
        <v>0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5"/>
      <c r="B15" s="14"/>
      <c r="C15" s="10"/>
      <c r="D15" s="31">
        <f t="shared" si="1"/>
        <v>0</v>
      </c>
      <c r="F15" s="224" t="s">
        <v>40</v>
      </c>
      <c r="G15" s="225"/>
      <c r="H15" s="226">
        <f>H13-H14</f>
        <v>0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C17" s="10"/>
      <c r="D17" s="48">
        <f t="shared" si="1"/>
        <v>0</v>
      </c>
      <c r="F17" s="56"/>
      <c r="G17" s="66" t="s">
        <v>45</v>
      </c>
      <c r="H17" s="197"/>
      <c r="I17" s="197"/>
      <c r="J17" s="19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/>
      <c r="C18" s="10"/>
      <c r="D18" s="48">
        <f t="shared" si="1"/>
        <v>0</v>
      </c>
      <c r="F18" s="56"/>
      <c r="G18" s="66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/>
      <c r="C19" s="10"/>
      <c r="D19" s="48">
        <f t="shared" si="1"/>
        <v>0</v>
      </c>
      <c r="F19" s="56"/>
      <c r="G19" s="68" t="s">
        <v>50</v>
      </c>
      <c r="H19" s="198"/>
      <c r="I19" s="198"/>
      <c r="J19" s="19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/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/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/>
      <c r="C23" s="10"/>
      <c r="D23" s="48">
        <f t="shared" si="1"/>
        <v>0</v>
      </c>
      <c r="F23" s="78"/>
      <c r="G23" s="79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/>
      <c r="C24" s="10"/>
      <c r="D24" s="48">
        <f t="shared" si="1"/>
        <v>0</v>
      </c>
      <c r="F24" s="38"/>
      <c r="G24" s="37"/>
      <c r="H24" s="203"/>
      <c r="I24" s="172"/>
      <c r="J24" s="17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4" t="s">
        <v>13</v>
      </c>
      <c r="I25" s="205"/>
      <c r="J25" s="20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/>
      <c r="C26" s="10"/>
      <c r="D26" s="48">
        <f t="shared" si="1"/>
        <v>0</v>
      </c>
      <c r="F26" s="64"/>
      <c r="G26" s="59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/>
      <c r="C27" s="10"/>
      <c r="D27" s="44">
        <f t="shared" si="1"/>
        <v>0</v>
      </c>
      <c r="F27" s="25"/>
      <c r="G27" s="80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/>
      <c r="C28" s="10"/>
      <c r="D28" s="48">
        <f t="shared" si="1"/>
        <v>0</v>
      </c>
      <c r="F28" s="100"/>
      <c r="G28" s="61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0</v>
      </c>
      <c r="F29" s="133" t="s">
        <v>55</v>
      </c>
      <c r="G29" s="195"/>
      <c r="H29" s="155">
        <f>H15-H16-H17-H18-H19-H20-H22-H23-H24+H26+H27</f>
        <v>0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7"/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8">
        <v>500</v>
      </c>
      <c r="G35" s="41"/>
      <c r="H35" s="177"/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/>
      <c r="H36" s="177"/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7"/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/>
      <c r="D38" s="12">
        <f>C38*84</f>
        <v>0</v>
      </c>
      <c r="F38" s="30">
        <v>50</v>
      </c>
      <c r="G38" s="39"/>
      <c r="H38" s="177"/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/>
      <c r="D39" s="31">
        <f>C39*4.5</f>
        <v>0</v>
      </c>
      <c r="F39" s="12">
        <v>20</v>
      </c>
      <c r="G39" s="37"/>
      <c r="H39" s="177"/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/>
      <c r="D42" s="12">
        <f>C42*2.25</f>
        <v>0</v>
      </c>
      <c r="F42" s="39" t="s">
        <v>79</v>
      </c>
      <c r="G42" s="177"/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59" t="s">
        <v>82</v>
      </c>
      <c r="G43" s="103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/>
      <c r="D44" s="12">
        <f>C44*120</f>
        <v>0</v>
      </c>
      <c r="F44" s="37"/>
      <c r="G44" s="76"/>
      <c r="H44" s="172"/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/>
      <c r="G45" s="76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1"/>
      <c r="D46" s="12">
        <f>C46*1.5</f>
        <v>0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59"/>
      <c r="G47" s="59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/>
      <c r="D48" s="12">
        <f>C48*78</f>
        <v>0</v>
      </c>
      <c r="F48" s="59"/>
      <c r="G48" s="59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/>
      <c r="D49" s="12">
        <f>C49*42</f>
        <v>0</v>
      </c>
      <c r="F49" s="153" t="s">
        <v>86</v>
      </c>
      <c r="G49" s="155">
        <f>H34+H35+H36+H37+H38+H39+H40+H41+G42+H44+H45+H46</f>
        <v>0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/>
      <c r="D50" s="12">
        <f>C50*1.5</f>
        <v>0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128</v>
      </c>
      <c r="G51" s="163">
        <f>G49-H29</f>
        <v>0</v>
      </c>
      <c r="H51" s="164"/>
      <c r="I51" s="164"/>
      <c r="J51" s="1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166"/>
      <c r="H52" s="167"/>
      <c r="I52" s="167"/>
      <c r="J52" s="1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0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820AA0-3162-4C79-A476-874441927B5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1</v>
      </c>
      <c r="H4" s="234" t="s">
        <v>9</v>
      </c>
      <c r="I4" s="236">
        <v>46003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84">
        <v>748</v>
      </c>
      <c r="D6" s="13">
        <f t="shared" ref="D6:D28" si="1">C6*L6</f>
        <v>551276</v>
      </c>
      <c r="F6" s="240" t="s">
        <v>16</v>
      </c>
      <c r="G6" s="242" t="s">
        <v>129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84">
        <v>98</v>
      </c>
      <c r="D7" s="13">
        <f t="shared" si="1"/>
        <v>71050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84">
        <v>5</v>
      </c>
      <c r="D8" s="13">
        <f t="shared" si="1"/>
        <v>5165</v>
      </c>
      <c r="F8" s="248" t="s">
        <v>21</v>
      </c>
      <c r="G8" s="249" t="s">
        <v>112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84">
        <v>221</v>
      </c>
      <c r="D9" s="13">
        <f t="shared" si="1"/>
        <v>156247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84"/>
      <c r="D10" s="13">
        <f t="shared" si="1"/>
        <v>0</v>
      </c>
      <c r="F10" s="240" t="s">
        <v>26</v>
      </c>
      <c r="G10" s="255" t="s">
        <v>130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84">
        <v>10</v>
      </c>
      <c r="D11" s="13">
        <f t="shared" si="1"/>
        <v>11250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84">
        <v>10</v>
      </c>
      <c r="D12" s="48">
        <f t="shared" si="1"/>
        <v>9520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84">
        <v>15</v>
      </c>
      <c r="D13" s="48">
        <f t="shared" si="1"/>
        <v>4605</v>
      </c>
      <c r="F13" s="261" t="s">
        <v>36</v>
      </c>
      <c r="G13" s="225"/>
      <c r="H13" s="216">
        <f>D29</f>
        <v>813038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84"/>
      <c r="D14" s="31">
        <f t="shared" si="1"/>
        <v>0</v>
      </c>
      <c r="F14" s="219" t="s">
        <v>39</v>
      </c>
      <c r="G14" s="220"/>
      <c r="H14" s="221">
        <f>D54</f>
        <v>109269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84"/>
      <c r="D15" s="31">
        <f t="shared" si="1"/>
        <v>0</v>
      </c>
      <c r="F15" s="224" t="s">
        <v>40</v>
      </c>
      <c r="G15" s="225"/>
      <c r="H15" s="226">
        <f>H13-H14</f>
        <v>703769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6">
        <v>6150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138</v>
      </c>
      <c r="C17" s="84"/>
      <c r="D17" s="48">
        <f t="shared" si="1"/>
        <v>0</v>
      </c>
      <c r="F17" s="56"/>
      <c r="G17" s="66" t="s">
        <v>45</v>
      </c>
      <c r="H17" s="197"/>
      <c r="I17" s="197"/>
      <c r="J17" s="19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97"/>
      <c r="I19" s="197"/>
      <c r="J19" s="197"/>
      <c r="L19" s="6">
        <v>1102</v>
      </c>
      <c r="Q19" s="4"/>
      <c r="R19" s="5">
        <f t="shared" si="0"/>
        <v>0</v>
      </c>
    </row>
    <row r="20" spans="1:18" ht="15.75" x14ac:dyDescent="0.25">
      <c r="A20" s="175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127</v>
      </c>
      <c r="C22" s="84"/>
      <c r="D22" s="48">
        <f t="shared" si="1"/>
        <v>0</v>
      </c>
      <c r="F22" s="77"/>
      <c r="G22" s="73"/>
      <c r="H22" s="202"/>
      <c r="I22" s="202"/>
      <c r="J22" s="20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101</v>
      </c>
      <c r="C23" s="84"/>
      <c r="D23" s="48">
        <f t="shared" si="1"/>
        <v>0</v>
      </c>
      <c r="F23" s="77"/>
      <c r="G23" s="79"/>
      <c r="H23" s="262"/>
      <c r="I23" s="263"/>
      <c r="J23" s="26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121</v>
      </c>
      <c r="C24" s="84"/>
      <c r="D24" s="48">
        <f t="shared" si="1"/>
        <v>0</v>
      </c>
      <c r="F24" s="77"/>
      <c r="G24" s="79"/>
      <c r="H24" s="262"/>
      <c r="I24" s="263"/>
      <c r="J24" s="26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204" t="s">
        <v>13</v>
      </c>
      <c r="I25" s="205"/>
      <c r="J25" s="20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137</v>
      </c>
      <c r="C26" s="84"/>
      <c r="D26" s="48">
        <f t="shared" si="1"/>
        <v>0</v>
      </c>
      <c r="F26" s="75"/>
      <c r="G26" s="65"/>
      <c r="H26" s="172"/>
      <c r="I26" s="172"/>
      <c r="J26" s="172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110</v>
      </c>
      <c r="C27" s="84"/>
      <c r="D27" s="44">
        <f t="shared" si="1"/>
        <v>0</v>
      </c>
      <c r="F27" s="71"/>
      <c r="G27" s="103"/>
      <c r="H27" s="264"/>
      <c r="I27" s="265"/>
      <c r="J27" s="26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84">
        <v>5</v>
      </c>
      <c r="D28" s="48">
        <f t="shared" si="1"/>
        <v>3925</v>
      </c>
      <c r="F28" s="100"/>
      <c r="G28" s="61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813038</v>
      </c>
      <c r="F29" s="133" t="s">
        <v>55</v>
      </c>
      <c r="G29" s="195"/>
      <c r="H29" s="155">
        <f>H15-H16-H17-H18-H19-H20-H22-H23-H24+H26+H27+H28</f>
        <v>697619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32</v>
      </c>
      <c r="H34" s="177">
        <f t="shared" ref="H34:H39" si="2">F34*G34</f>
        <v>32000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8">
        <v>500</v>
      </c>
      <c r="G35" s="41">
        <v>18</v>
      </c>
      <c r="H35" s="177">
        <f t="shared" si="2"/>
        <v>9000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/>
      <c r="H36" s="177">
        <f t="shared" si="2"/>
        <v>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>
        <v>977</v>
      </c>
      <c r="D37" s="12">
        <f>C37*111</f>
        <v>108447</v>
      </c>
      <c r="F37" s="12">
        <v>100</v>
      </c>
      <c r="G37" s="39">
        <v>3</v>
      </c>
      <c r="H37" s="177">
        <f t="shared" si="2"/>
        <v>300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/>
      <c r="D38" s="12">
        <f>C38*84</f>
        <v>0</v>
      </c>
      <c r="F38" s="30">
        <v>50</v>
      </c>
      <c r="G38" s="39"/>
      <c r="H38" s="177">
        <f t="shared" si="2"/>
        <v>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77">
        <f t="shared" si="2"/>
        <v>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>
        <v>10</v>
      </c>
      <c r="D42" s="12">
        <f>C42*2.25</f>
        <v>22.5</v>
      </c>
      <c r="F42" s="39" t="s">
        <v>79</v>
      </c>
      <c r="G42" s="177">
        <v>35</v>
      </c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59" t="s">
        <v>82</v>
      </c>
      <c r="G43" s="103" t="s">
        <v>83</v>
      </c>
      <c r="H43" s="169" t="s">
        <v>13</v>
      </c>
      <c r="I43" s="170"/>
      <c r="J43" s="17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8"/>
      <c r="B44" s="27" t="s">
        <v>66</v>
      </c>
      <c r="C44" s="10">
        <v>5</v>
      </c>
      <c r="D44" s="12">
        <f>C44*120</f>
        <v>600</v>
      </c>
      <c r="F44" s="37" t="s">
        <v>150</v>
      </c>
      <c r="G44" s="62" t="s">
        <v>180</v>
      </c>
      <c r="H44" s="172">
        <v>656614</v>
      </c>
      <c r="I44" s="172"/>
      <c r="J44" s="17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/>
      <c r="G45" s="62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1"/>
      <c r="D46" s="12">
        <f>C46*1.5</f>
        <v>0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59"/>
      <c r="G47" s="59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/>
      <c r="D48" s="12">
        <f>C48*78</f>
        <v>0</v>
      </c>
      <c r="F48" s="59"/>
      <c r="G48" s="59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/>
      <c r="D49" s="12">
        <f>C49*42</f>
        <v>0</v>
      </c>
      <c r="F49" s="153" t="s">
        <v>86</v>
      </c>
      <c r="G49" s="155">
        <f>H34+H35+H36+H37+H38+H39+H40+H41+G42+H44+H45+H46</f>
        <v>697949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/>
      <c r="D50" s="12">
        <f>C50*1.5</f>
        <v>0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148</v>
      </c>
      <c r="G51" s="163">
        <f>G49-H29</f>
        <v>330</v>
      </c>
      <c r="H51" s="164"/>
      <c r="I51" s="164"/>
      <c r="J51" s="1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166"/>
      <c r="H52" s="167"/>
      <c r="I52" s="167"/>
      <c r="J52" s="1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109269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CB486-29E7-4848-8159-45D97386438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2</v>
      </c>
      <c r="H4" s="234" t="s">
        <v>9</v>
      </c>
      <c r="I4" s="236">
        <v>46003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10">
        <v>216</v>
      </c>
      <c r="D6" s="13">
        <f t="shared" ref="D6:D28" si="1">C6*L6</f>
        <v>159192</v>
      </c>
      <c r="F6" s="240" t="s">
        <v>16</v>
      </c>
      <c r="G6" s="242" t="s">
        <v>141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10">
        <v>7</v>
      </c>
      <c r="D7" s="13">
        <f t="shared" si="1"/>
        <v>5075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10"/>
      <c r="D8" s="13">
        <f t="shared" si="1"/>
        <v>0</v>
      </c>
      <c r="F8" s="248" t="s">
        <v>21</v>
      </c>
      <c r="G8" s="249" t="s">
        <v>114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10">
        <v>31</v>
      </c>
      <c r="D9" s="13">
        <f t="shared" si="1"/>
        <v>21917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10">
        <v>1</v>
      </c>
      <c r="D10" s="13">
        <f t="shared" si="1"/>
        <v>972</v>
      </c>
      <c r="F10" s="240" t="s">
        <v>26</v>
      </c>
      <c r="G10" s="255" t="s">
        <v>115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10">
        <v>1</v>
      </c>
      <c r="D12" s="48">
        <f t="shared" si="1"/>
        <v>952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10">
        <v>4</v>
      </c>
      <c r="D13" s="48">
        <f t="shared" si="1"/>
        <v>1228</v>
      </c>
      <c r="F13" s="261" t="s">
        <v>36</v>
      </c>
      <c r="G13" s="225"/>
      <c r="H13" s="216">
        <f>D29</f>
        <v>189712.66666666666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10">
        <v>13</v>
      </c>
      <c r="D14" s="31">
        <f t="shared" si="1"/>
        <v>143</v>
      </c>
      <c r="F14" s="219" t="s">
        <v>39</v>
      </c>
      <c r="G14" s="220"/>
      <c r="H14" s="221">
        <f>D54</f>
        <v>26337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10"/>
      <c r="D15" s="31">
        <f t="shared" si="1"/>
        <v>0</v>
      </c>
      <c r="F15" s="224" t="s">
        <v>40</v>
      </c>
      <c r="G15" s="225"/>
      <c r="H15" s="226">
        <f>H13-H14</f>
        <v>163375.66666666666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6">
        <v>672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93</v>
      </c>
      <c r="C17" s="10"/>
      <c r="D17" s="48">
        <f t="shared" si="1"/>
        <v>0</v>
      </c>
      <c r="F17" s="56"/>
      <c r="G17" s="66" t="s">
        <v>45</v>
      </c>
      <c r="H17" s="197"/>
      <c r="I17" s="197"/>
      <c r="J17" s="19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7"/>
      <c r="I20" s="197"/>
      <c r="J20" s="19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104</v>
      </c>
      <c r="C22" s="10"/>
      <c r="D22" s="48">
        <f t="shared" si="1"/>
        <v>0</v>
      </c>
      <c r="F22" s="72"/>
      <c r="G22" s="73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107</v>
      </c>
      <c r="C23" s="10"/>
      <c r="D23" s="48">
        <f t="shared" si="1"/>
        <v>0</v>
      </c>
      <c r="F23" s="25"/>
      <c r="G23" s="37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123</v>
      </c>
      <c r="C24" s="10"/>
      <c r="D24" s="48">
        <f t="shared" si="1"/>
        <v>0</v>
      </c>
      <c r="F24" s="38"/>
      <c r="G24" s="37"/>
      <c r="H24" s="203"/>
      <c r="I24" s="172"/>
      <c r="J24" s="17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124</v>
      </c>
      <c r="C25" s="10">
        <v>2</v>
      </c>
      <c r="D25" s="48">
        <f t="shared" si="1"/>
        <v>233.66666666666666</v>
      </c>
      <c r="F25" s="60" t="s">
        <v>100</v>
      </c>
      <c r="G25" s="55" t="s">
        <v>98</v>
      </c>
      <c r="H25" s="204" t="s">
        <v>13</v>
      </c>
      <c r="I25" s="205"/>
      <c r="J25" s="206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105</v>
      </c>
      <c r="C26" s="10"/>
      <c r="D26" s="48">
        <f t="shared" si="1"/>
        <v>0</v>
      </c>
      <c r="F26" s="64"/>
      <c r="G26" s="10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109</v>
      </c>
      <c r="C27" s="10"/>
      <c r="D27" s="44">
        <f t="shared" si="1"/>
        <v>0</v>
      </c>
      <c r="F27" s="14"/>
      <c r="G27" s="14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10"/>
      <c r="D28" s="48">
        <f t="shared" si="1"/>
        <v>0</v>
      </c>
      <c r="F28" s="100"/>
      <c r="G28" s="61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189712.66666666666</v>
      </c>
      <c r="F29" s="133" t="s">
        <v>55</v>
      </c>
      <c r="G29" s="195"/>
      <c r="H29" s="155">
        <f>H15-H16-H17-H18-H19-H20-H22-H23-H24+H26+H27</f>
        <v>162703.66666666666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161</v>
      </c>
      <c r="H34" s="177">
        <f>F34*G34</f>
        <v>161000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8">
        <v>500</v>
      </c>
      <c r="G35" s="41"/>
      <c r="H35" s="177">
        <f t="shared" ref="H35:H39" si="2">F35*G35</f>
        <v>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/>
      <c r="H36" s="177">
        <f>F36*G36</f>
        <v>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>
        <v>226</v>
      </c>
      <c r="D37" s="12">
        <f>C37*111</f>
        <v>25086</v>
      </c>
      <c r="F37" s="12">
        <v>100</v>
      </c>
      <c r="G37" s="39">
        <v>1</v>
      </c>
      <c r="H37" s="177">
        <f t="shared" si="2"/>
        <v>100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</v>
      </c>
      <c r="H38" s="177">
        <f t="shared" si="2"/>
        <v>50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77">
        <f t="shared" si="2"/>
        <v>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>
        <v>2</v>
      </c>
      <c r="D42" s="12">
        <f>C42*2.25</f>
        <v>4.5</v>
      </c>
      <c r="F42" s="39" t="s">
        <v>79</v>
      </c>
      <c r="G42" s="177">
        <v>241</v>
      </c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59" t="s">
        <v>82</v>
      </c>
      <c r="G43" s="103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/>
      <c r="D44" s="12">
        <f>C44*120</f>
        <v>0</v>
      </c>
      <c r="F44" s="37"/>
      <c r="G44" s="62"/>
      <c r="H44" s="172"/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>
        <v>1</v>
      </c>
      <c r="D45" s="12">
        <f>C45*84</f>
        <v>84</v>
      </c>
      <c r="F45" s="37"/>
      <c r="G45" s="62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1">
        <v>4</v>
      </c>
      <c r="D46" s="12">
        <f>C46*1.5</f>
        <v>6</v>
      </c>
      <c r="F46" s="37"/>
      <c r="G46" s="10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59"/>
      <c r="G47" s="59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/>
      <c r="D49" s="12">
        <f>C49*42</f>
        <v>0</v>
      </c>
      <c r="F49" s="153" t="s">
        <v>86</v>
      </c>
      <c r="G49" s="155">
        <f>H34+H35+H36+H37+H38+H39+H40+H41+G42+H44+H45+H46</f>
        <v>161391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>
        <v>14</v>
      </c>
      <c r="D50" s="12">
        <f>C50*1.5</f>
        <v>21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132</v>
      </c>
      <c r="G51" s="266">
        <f>G49-H29</f>
        <v>-1312.666666666657</v>
      </c>
      <c r="H51" s="267"/>
      <c r="I51" s="267"/>
      <c r="J51" s="26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269"/>
      <c r="H52" s="270"/>
      <c r="I52" s="270"/>
      <c r="J52" s="27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26337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F3C68-3B18-4E9D-A936-0A70BED03F6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3</v>
      </c>
      <c r="H4" s="234" t="s">
        <v>9</v>
      </c>
      <c r="I4" s="236">
        <v>46003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10">
        <v>632</v>
      </c>
      <c r="D6" s="13">
        <f t="shared" ref="D6:D28" si="1">C6*L6</f>
        <v>465784</v>
      </c>
      <c r="F6" s="240" t="s">
        <v>16</v>
      </c>
      <c r="G6" s="242" t="s">
        <v>111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10">
        <v>33</v>
      </c>
      <c r="D7" s="13">
        <f t="shared" si="1"/>
        <v>23925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10"/>
      <c r="D8" s="13">
        <f t="shared" si="1"/>
        <v>0</v>
      </c>
      <c r="F8" s="248" t="s">
        <v>21</v>
      </c>
      <c r="G8" s="249" t="s">
        <v>119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10">
        <v>115</v>
      </c>
      <c r="D9" s="13">
        <f t="shared" si="1"/>
        <v>81305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10">
        <v>10</v>
      </c>
      <c r="D10" s="13">
        <f t="shared" si="1"/>
        <v>9720</v>
      </c>
      <c r="F10" s="240" t="s">
        <v>26</v>
      </c>
      <c r="G10" s="255" t="s">
        <v>135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10">
        <f>9+2</f>
        <v>11</v>
      </c>
      <c r="D12" s="48">
        <f t="shared" si="1"/>
        <v>10472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10">
        <v>26</v>
      </c>
      <c r="D13" s="48">
        <f t="shared" si="1"/>
        <v>7982</v>
      </c>
      <c r="F13" s="261" t="s">
        <v>36</v>
      </c>
      <c r="G13" s="225"/>
      <c r="H13" s="216">
        <f>D29</f>
        <v>599243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10">
        <v>5</v>
      </c>
      <c r="D14" s="31">
        <f t="shared" si="1"/>
        <v>55</v>
      </c>
      <c r="F14" s="219" t="s">
        <v>39</v>
      </c>
      <c r="G14" s="220"/>
      <c r="H14" s="221">
        <f>D54</f>
        <v>81460.5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10"/>
      <c r="D15" s="31">
        <f t="shared" si="1"/>
        <v>0</v>
      </c>
      <c r="F15" s="224" t="s">
        <v>40</v>
      </c>
      <c r="G15" s="225"/>
      <c r="H15" s="226">
        <f>H13-H14</f>
        <v>517782.5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6">
        <f>1332+450+2448+330</f>
        <v>4560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113</v>
      </c>
      <c r="C17" s="10"/>
      <c r="D17" s="48">
        <f t="shared" si="1"/>
        <v>0</v>
      </c>
      <c r="F17" s="56"/>
      <c r="G17" s="66" t="s">
        <v>45</v>
      </c>
      <c r="H17" s="197"/>
      <c r="I17" s="197"/>
      <c r="J17" s="19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2"/>
      <c r="I19" s="272"/>
      <c r="J19" s="27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104</v>
      </c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107</v>
      </c>
      <c r="C23" s="10"/>
      <c r="D23" s="48">
        <f t="shared" si="1"/>
        <v>0</v>
      </c>
      <c r="F23" s="78"/>
      <c r="G23" s="79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101</v>
      </c>
      <c r="C24" s="10"/>
      <c r="D24" s="48">
        <f t="shared" si="1"/>
        <v>0</v>
      </c>
      <c r="F24" s="38"/>
      <c r="G24" s="37"/>
      <c r="H24" s="203"/>
      <c r="I24" s="172"/>
      <c r="J24" s="17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4" t="s">
        <v>13</v>
      </c>
      <c r="I25" s="205"/>
      <c r="J25" s="20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105</v>
      </c>
      <c r="C26" s="10"/>
      <c r="D26" s="48">
        <f t="shared" si="1"/>
        <v>0</v>
      </c>
      <c r="F26" s="64"/>
      <c r="G26" s="59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109</v>
      </c>
      <c r="C27" s="10"/>
      <c r="D27" s="44">
        <f t="shared" si="1"/>
        <v>0</v>
      </c>
      <c r="F27" s="25"/>
      <c r="G27" s="80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10"/>
      <c r="D28" s="48">
        <f t="shared" si="1"/>
        <v>0</v>
      </c>
      <c r="F28" s="100"/>
      <c r="G28" s="61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599243</v>
      </c>
      <c r="F29" s="133" t="s">
        <v>55</v>
      </c>
      <c r="G29" s="195"/>
      <c r="H29" s="155">
        <f>H15-H16-H17-H18-H19-H20-H22-H23-H24+H26+H27</f>
        <v>513222.5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74">
        <f>201+43</f>
        <v>244</v>
      </c>
      <c r="H34" s="177">
        <f>F34*G34</f>
        <v>244000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8">
        <v>500</v>
      </c>
      <c r="G35" s="41">
        <f>2+12</f>
        <v>14</v>
      </c>
      <c r="H35" s="177">
        <f>F35*G35</f>
        <v>7000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77">
        <f t="shared" ref="H36:H39" si="2">F36*G36</f>
        <v>200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>
        <v>700</v>
      </c>
      <c r="D37" s="12">
        <f>C37*111</f>
        <v>77700</v>
      </c>
      <c r="F37" s="12">
        <v>100</v>
      </c>
      <c r="G37" s="39">
        <f>6+10</f>
        <v>16</v>
      </c>
      <c r="H37" s="177">
        <f t="shared" si="2"/>
        <v>1600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5</v>
      </c>
      <c r="H38" s="177">
        <f t="shared" si="2"/>
        <v>250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6</v>
      </c>
      <c r="H39" s="177">
        <f t="shared" si="2"/>
        <v>120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>
        <v>8</v>
      </c>
      <c r="D42" s="12">
        <f>C42*2.25</f>
        <v>18</v>
      </c>
      <c r="F42" s="39" t="s">
        <v>79</v>
      </c>
      <c r="G42" s="177">
        <v>108</v>
      </c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59" t="s">
        <v>82</v>
      </c>
      <c r="G43" s="103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>
        <v>5</v>
      </c>
      <c r="D44" s="12">
        <f>C44*120</f>
        <v>600</v>
      </c>
      <c r="F44" s="37" t="s">
        <v>163</v>
      </c>
      <c r="G44" s="76" t="s">
        <v>181</v>
      </c>
      <c r="H44" s="172">
        <v>258855</v>
      </c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/>
      <c r="G45" s="76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1">
        <v>10</v>
      </c>
      <c r="D46" s="12">
        <f>C46*1.5</f>
        <v>15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59"/>
      <c r="G47" s="59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>
        <v>19</v>
      </c>
      <c r="D48" s="12">
        <f>C48*78</f>
        <v>1482</v>
      </c>
      <c r="F48" s="59"/>
      <c r="G48" s="59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/>
      <c r="D49" s="12">
        <f>C49*42</f>
        <v>0</v>
      </c>
      <c r="F49" s="153" t="s">
        <v>86</v>
      </c>
      <c r="G49" s="155">
        <f>H34+H35+H36+H37+H38+H39+H40+H41+G42+H44+H45+H46</f>
        <v>512133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>
        <v>8</v>
      </c>
      <c r="D50" s="12">
        <f>C50*1.5</f>
        <v>12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140</v>
      </c>
      <c r="G51" s="266">
        <f>G49-H29</f>
        <v>-1089.5</v>
      </c>
      <c r="H51" s="267"/>
      <c r="I51" s="267"/>
      <c r="J51" s="26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269"/>
      <c r="H52" s="270"/>
      <c r="I52" s="270"/>
      <c r="J52" s="27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81460.5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4118BE-97FB-4EBF-8ECD-A8FCC1B2A86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9" t="s">
        <v>1</v>
      </c>
      <c r="O1" s="229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0" t="s">
        <v>7</v>
      </c>
      <c r="B4" s="181"/>
      <c r="C4" s="181"/>
      <c r="D4" s="182"/>
      <c r="F4" s="230" t="s">
        <v>8</v>
      </c>
      <c r="G4" s="232"/>
      <c r="H4" s="234" t="s">
        <v>9</v>
      </c>
      <c r="I4" s="236"/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5"/>
      <c r="B6" s="16"/>
      <c r="C6" s="10"/>
      <c r="D6" s="13">
        <f t="shared" ref="D6:D28" si="1">C6*L6</f>
        <v>0</v>
      </c>
      <c r="F6" s="240" t="s">
        <v>16</v>
      </c>
      <c r="G6" s="242"/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5"/>
      <c r="B7" s="16"/>
      <c r="C7" s="10"/>
      <c r="D7" s="13">
        <f t="shared" si="1"/>
        <v>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5"/>
      <c r="B8" s="16"/>
      <c r="C8" s="10"/>
      <c r="D8" s="13">
        <f t="shared" si="1"/>
        <v>0</v>
      </c>
      <c r="F8" s="248" t="s">
        <v>21</v>
      </c>
      <c r="G8" s="249"/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5"/>
      <c r="B9" s="16"/>
      <c r="C9" s="10"/>
      <c r="D9" s="13">
        <f t="shared" si="1"/>
        <v>0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5"/>
      <c r="C10" s="10"/>
      <c r="D10" s="13">
        <f t="shared" si="1"/>
        <v>0</v>
      </c>
      <c r="F10" s="240" t="s">
        <v>26</v>
      </c>
      <c r="G10" s="255"/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9" ht="15.75" x14ac:dyDescent="0.25">
      <c r="A11" s="175"/>
      <c r="B11" s="17"/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5"/>
      <c r="B12" s="17"/>
      <c r="C12" s="10"/>
      <c r="D12" s="48">
        <f t="shared" si="1"/>
        <v>0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5"/>
      <c r="B13" s="17"/>
      <c r="C13" s="10"/>
      <c r="D13" s="48">
        <f t="shared" si="1"/>
        <v>0</v>
      </c>
      <c r="F13" s="261" t="s">
        <v>36</v>
      </c>
      <c r="G13" s="225"/>
      <c r="H13" s="216">
        <f>D29</f>
        <v>0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5"/>
      <c r="B14" s="14"/>
      <c r="C14" s="10"/>
      <c r="D14" s="31">
        <f t="shared" si="1"/>
        <v>0</v>
      </c>
      <c r="F14" s="219" t="s">
        <v>39</v>
      </c>
      <c r="G14" s="220"/>
      <c r="H14" s="221">
        <f>D54</f>
        <v>0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5"/>
      <c r="B15" s="14"/>
      <c r="C15" s="10"/>
      <c r="D15" s="31">
        <f t="shared" si="1"/>
        <v>0</v>
      </c>
      <c r="F15" s="224" t="s">
        <v>40</v>
      </c>
      <c r="G15" s="225"/>
      <c r="H15" s="226">
        <f>H13-H14</f>
        <v>0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C17" s="10"/>
      <c r="D17" s="48">
        <f t="shared" si="1"/>
        <v>0</v>
      </c>
      <c r="F17" s="56"/>
      <c r="G17" s="66" t="s">
        <v>45</v>
      </c>
      <c r="H17" s="197"/>
      <c r="I17" s="197"/>
      <c r="J17" s="19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/>
      <c r="C18" s="10"/>
      <c r="D18" s="48">
        <f t="shared" si="1"/>
        <v>0</v>
      </c>
      <c r="F18" s="56"/>
      <c r="G18" s="66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/>
      <c r="C19" s="10"/>
      <c r="D19" s="48">
        <f t="shared" si="1"/>
        <v>0</v>
      </c>
      <c r="F19" s="56"/>
      <c r="G19" s="68" t="s">
        <v>50</v>
      </c>
      <c r="H19" s="198"/>
      <c r="I19" s="198"/>
      <c r="J19" s="19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/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/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/>
      <c r="C23" s="10"/>
      <c r="D23" s="48">
        <f t="shared" si="1"/>
        <v>0</v>
      </c>
      <c r="F23" s="78"/>
      <c r="G23" s="79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/>
      <c r="C24" s="10"/>
      <c r="D24" s="48">
        <f t="shared" si="1"/>
        <v>0</v>
      </c>
      <c r="F24" s="38"/>
      <c r="G24" s="37"/>
      <c r="H24" s="203"/>
      <c r="I24" s="172"/>
      <c r="J24" s="17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4" t="s">
        <v>13</v>
      </c>
      <c r="I25" s="205"/>
      <c r="J25" s="20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/>
      <c r="C26" s="10"/>
      <c r="D26" s="48">
        <f t="shared" si="1"/>
        <v>0</v>
      </c>
      <c r="F26" s="64"/>
      <c r="G26" s="59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/>
      <c r="C27" s="10"/>
      <c r="D27" s="44">
        <f t="shared" si="1"/>
        <v>0</v>
      </c>
      <c r="F27" s="25"/>
      <c r="G27" s="80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/>
      <c r="C28" s="10"/>
      <c r="D28" s="48">
        <f t="shared" si="1"/>
        <v>0</v>
      </c>
      <c r="F28" s="100"/>
      <c r="G28" s="61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0</v>
      </c>
      <c r="F29" s="133" t="s">
        <v>55</v>
      </c>
      <c r="G29" s="195"/>
      <c r="H29" s="155">
        <f>H15-H16-H17-H18-H19-H20-H22-H23-H24+H26+H27</f>
        <v>0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7"/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8">
        <v>500</v>
      </c>
      <c r="G35" s="41"/>
      <c r="H35" s="177"/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/>
      <c r="H36" s="177"/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7"/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/>
      <c r="D38" s="12">
        <f>C38*84</f>
        <v>0</v>
      </c>
      <c r="F38" s="30">
        <v>50</v>
      </c>
      <c r="G38" s="39"/>
      <c r="H38" s="177"/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/>
      <c r="D39" s="31">
        <f>C39*4.5</f>
        <v>0</v>
      </c>
      <c r="F39" s="12">
        <v>20</v>
      </c>
      <c r="G39" s="37"/>
      <c r="H39" s="177"/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/>
      <c r="D42" s="12">
        <f>C42*2.25</f>
        <v>0</v>
      </c>
      <c r="F42" s="39" t="s">
        <v>79</v>
      </c>
      <c r="G42" s="177"/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59" t="s">
        <v>82</v>
      </c>
      <c r="G43" s="103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/>
      <c r="D44" s="12">
        <f>C44*120</f>
        <v>0</v>
      </c>
      <c r="F44" s="37"/>
      <c r="G44" s="76"/>
      <c r="H44" s="172"/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/>
      <c r="G45" s="76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1"/>
      <c r="D46" s="12">
        <f>C46*1.5</f>
        <v>0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59"/>
      <c r="G47" s="59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/>
      <c r="D48" s="12">
        <f>C48*78</f>
        <v>0</v>
      </c>
      <c r="F48" s="59"/>
      <c r="G48" s="59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/>
      <c r="D49" s="12">
        <f>C49*42</f>
        <v>0</v>
      </c>
      <c r="F49" s="153" t="s">
        <v>86</v>
      </c>
      <c r="G49" s="155">
        <f>H34+H35+H36+H37+H38+H39+H40+H41+G42+H44+H45+H46</f>
        <v>0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/>
      <c r="D50" s="12">
        <f>C50*1.5</f>
        <v>0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128</v>
      </c>
      <c r="G51" s="163">
        <f>G49-H29</f>
        <v>0</v>
      </c>
      <c r="H51" s="164"/>
      <c r="I51" s="164"/>
      <c r="J51" s="1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166"/>
      <c r="H52" s="167"/>
      <c r="I52" s="167"/>
      <c r="J52" s="1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0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2F3BB-60D6-4785-AB99-4A4119E5B2B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1</v>
      </c>
      <c r="H4" s="234" t="s">
        <v>9</v>
      </c>
      <c r="I4" s="236">
        <v>46004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84">
        <v>406</v>
      </c>
      <c r="D6" s="13">
        <f t="shared" ref="D6:D28" si="1">C6*L6</f>
        <v>299222</v>
      </c>
      <c r="F6" s="240" t="s">
        <v>16</v>
      </c>
      <c r="G6" s="242" t="s">
        <v>129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84">
        <v>1</v>
      </c>
      <c r="D7" s="13">
        <f t="shared" si="1"/>
        <v>725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84">
        <v>50</v>
      </c>
      <c r="D8" s="13">
        <f t="shared" si="1"/>
        <v>51650</v>
      </c>
      <c r="F8" s="248" t="s">
        <v>21</v>
      </c>
      <c r="G8" s="249" t="s">
        <v>112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84">
        <v>20</v>
      </c>
      <c r="D9" s="13">
        <f t="shared" si="1"/>
        <v>14140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84">
        <v>2</v>
      </c>
      <c r="D10" s="13">
        <f t="shared" si="1"/>
        <v>1944</v>
      </c>
      <c r="F10" s="240" t="s">
        <v>26</v>
      </c>
      <c r="G10" s="255" t="s">
        <v>130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84">
        <v>4</v>
      </c>
      <c r="D11" s="13">
        <f t="shared" si="1"/>
        <v>4500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84">
        <v>6</v>
      </c>
      <c r="D12" s="48">
        <f t="shared" si="1"/>
        <v>5712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84">
        <v>9</v>
      </c>
      <c r="D13" s="48">
        <f t="shared" si="1"/>
        <v>2763</v>
      </c>
      <c r="F13" s="261" t="s">
        <v>36</v>
      </c>
      <c r="G13" s="225"/>
      <c r="H13" s="216">
        <f>D29</f>
        <v>385716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84">
        <v>15</v>
      </c>
      <c r="D14" s="31">
        <f t="shared" si="1"/>
        <v>165</v>
      </c>
      <c r="F14" s="219" t="s">
        <v>39</v>
      </c>
      <c r="G14" s="220"/>
      <c r="H14" s="221">
        <f>D54</f>
        <v>56205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84">
        <v>2</v>
      </c>
      <c r="D15" s="31">
        <f t="shared" si="1"/>
        <v>1240</v>
      </c>
      <c r="F15" s="224" t="s">
        <v>40</v>
      </c>
      <c r="G15" s="225"/>
      <c r="H15" s="226">
        <f>H13-H14</f>
        <v>329511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138</v>
      </c>
      <c r="C17" s="84"/>
      <c r="D17" s="48">
        <f t="shared" si="1"/>
        <v>0</v>
      </c>
      <c r="F17" s="56"/>
      <c r="G17" s="66" t="s">
        <v>45</v>
      </c>
      <c r="H17" s="197"/>
      <c r="I17" s="197"/>
      <c r="J17" s="19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97"/>
      <c r="I19" s="197"/>
      <c r="J19" s="197"/>
      <c r="L19" s="6">
        <v>1102</v>
      </c>
      <c r="Q19" s="4"/>
      <c r="R19" s="5">
        <f t="shared" si="0"/>
        <v>0</v>
      </c>
    </row>
    <row r="20" spans="1:18" ht="15.75" x14ac:dyDescent="0.25">
      <c r="A20" s="175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136</v>
      </c>
      <c r="C21" s="84">
        <v>2</v>
      </c>
      <c r="D21" s="48">
        <f t="shared" si="1"/>
        <v>1300</v>
      </c>
      <c r="F21" s="69" t="s">
        <v>99</v>
      </c>
      <c r="G21" s="82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127</v>
      </c>
      <c r="C22" s="84"/>
      <c r="D22" s="48">
        <f t="shared" si="1"/>
        <v>0</v>
      </c>
      <c r="F22" s="77"/>
      <c r="G22" s="73"/>
      <c r="H22" s="202"/>
      <c r="I22" s="202"/>
      <c r="J22" s="20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101</v>
      </c>
      <c r="C23" s="84"/>
      <c r="D23" s="48">
        <f t="shared" si="1"/>
        <v>0</v>
      </c>
      <c r="F23" s="77"/>
      <c r="G23" s="79"/>
      <c r="H23" s="262"/>
      <c r="I23" s="263"/>
      <c r="J23" s="26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121</v>
      </c>
      <c r="C24" s="84"/>
      <c r="D24" s="48">
        <f t="shared" si="1"/>
        <v>0</v>
      </c>
      <c r="F24" s="77"/>
      <c r="G24" s="79"/>
      <c r="H24" s="262"/>
      <c r="I24" s="263"/>
      <c r="J24" s="26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204" t="s">
        <v>13</v>
      </c>
      <c r="I25" s="205"/>
      <c r="J25" s="20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137</v>
      </c>
      <c r="C26" s="84"/>
      <c r="D26" s="48">
        <f t="shared" si="1"/>
        <v>0</v>
      </c>
      <c r="F26" s="75"/>
      <c r="G26" s="65"/>
      <c r="H26" s="172"/>
      <c r="I26" s="172"/>
      <c r="J26" s="172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110</v>
      </c>
      <c r="C27" s="84"/>
      <c r="D27" s="44">
        <f t="shared" si="1"/>
        <v>0</v>
      </c>
      <c r="F27" s="71"/>
      <c r="G27" s="103"/>
      <c r="H27" s="264"/>
      <c r="I27" s="265"/>
      <c r="J27" s="26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84">
        <v>3</v>
      </c>
      <c r="D28" s="48">
        <f t="shared" si="1"/>
        <v>2355</v>
      </c>
      <c r="F28" s="100"/>
      <c r="G28" s="61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385716</v>
      </c>
      <c r="F29" s="133" t="s">
        <v>55</v>
      </c>
      <c r="G29" s="195"/>
      <c r="H29" s="155">
        <f>H15-H16-H17-H18-H19-H20-H22-H23-H24+H26+H27+H28</f>
        <v>329511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171</v>
      </c>
      <c r="H34" s="177">
        <f t="shared" ref="H34:H39" si="2">F34*G34</f>
        <v>171000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8">
        <v>500</v>
      </c>
      <c r="G35" s="41">
        <v>78</v>
      </c>
      <c r="H35" s="177">
        <f t="shared" si="2"/>
        <v>39000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>
        <v>3</v>
      </c>
      <c r="D36" s="12">
        <f>C36*1.5</f>
        <v>4.5</v>
      </c>
      <c r="F36" s="12">
        <v>200</v>
      </c>
      <c r="G36" s="37"/>
      <c r="H36" s="177">
        <f t="shared" si="2"/>
        <v>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>
        <v>426</v>
      </c>
      <c r="D37" s="12">
        <f>C37*111</f>
        <v>47286</v>
      </c>
      <c r="F37" s="12">
        <v>100</v>
      </c>
      <c r="G37" s="39">
        <v>1</v>
      </c>
      <c r="H37" s="177">
        <f t="shared" si="2"/>
        <v>100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</v>
      </c>
      <c r="H38" s="177">
        <f t="shared" si="2"/>
        <v>100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77">
        <f t="shared" si="2"/>
        <v>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/>
      <c r="D42" s="12">
        <f>C42*2.25</f>
        <v>0</v>
      </c>
      <c r="F42" s="39" t="s">
        <v>79</v>
      </c>
      <c r="G42" s="177">
        <v>67</v>
      </c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59" t="s">
        <v>82</v>
      </c>
      <c r="G43" s="103" t="s">
        <v>83</v>
      </c>
      <c r="H43" s="169" t="s">
        <v>13</v>
      </c>
      <c r="I43" s="170"/>
      <c r="J43" s="17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8"/>
      <c r="B44" s="27" t="s">
        <v>66</v>
      </c>
      <c r="C44" s="10">
        <v>65</v>
      </c>
      <c r="D44" s="12">
        <f>C44*120</f>
        <v>7800</v>
      </c>
      <c r="F44" s="37" t="s">
        <v>167</v>
      </c>
      <c r="G44" s="62" t="s">
        <v>182</v>
      </c>
      <c r="H44" s="172">
        <v>72654</v>
      </c>
      <c r="I44" s="172"/>
      <c r="J44" s="17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48"/>
      <c r="B45" s="27" t="s">
        <v>68</v>
      </c>
      <c r="C45" s="33">
        <v>2</v>
      </c>
      <c r="D45" s="12">
        <f>C45*84</f>
        <v>168</v>
      </c>
      <c r="F45" s="37" t="s">
        <v>167</v>
      </c>
      <c r="G45" s="62" t="s">
        <v>183</v>
      </c>
      <c r="H45" s="172">
        <v>33219</v>
      </c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1">
        <v>23</v>
      </c>
      <c r="D46" s="12">
        <f>C46*1.5</f>
        <v>34.5</v>
      </c>
      <c r="F46" s="37" t="s">
        <v>145</v>
      </c>
      <c r="G46" s="62"/>
      <c r="H46" s="172">
        <v>13353</v>
      </c>
      <c r="I46" s="172"/>
      <c r="J46" s="172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59"/>
      <c r="G47" s="59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>
        <v>1</v>
      </c>
      <c r="D49" s="12">
        <f>C49*42</f>
        <v>42</v>
      </c>
      <c r="F49" s="153" t="s">
        <v>86</v>
      </c>
      <c r="G49" s="155">
        <f>H34+H35+H36+H37+H38+H39+H40+H41+G42+H44+H45+H46</f>
        <v>329493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>
        <v>28</v>
      </c>
      <c r="D50" s="12">
        <f>C50*1.5</f>
        <v>42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131</v>
      </c>
      <c r="G51" s="266">
        <f>G49-H29</f>
        <v>-18</v>
      </c>
      <c r="H51" s="267"/>
      <c r="I51" s="267"/>
      <c r="J51" s="26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269"/>
      <c r="H52" s="270"/>
      <c r="I52" s="270"/>
      <c r="J52" s="27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56205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8547-B1E6-475C-B18B-9AAC1112837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2</v>
      </c>
      <c r="H4" s="234" t="s">
        <v>9</v>
      </c>
      <c r="I4" s="236">
        <v>46004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10">
        <v>864</v>
      </c>
      <c r="D6" s="13">
        <f t="shared" ref="D6:D28" si="1">C6*L6</f>
        <v>636768</v>
      </c>
      <c r="F6" s="240" t="s">
        <v>16</v>
      </c>
      <c r="G6" s="242" t="s">
        <v>141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10">
        <v>8</v>
      </c>
      <c r="D7" s="13">
        <f t="shared" si="1"/>
        <v>5800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10"/>
      <c r="D8" s="13">
        <f t="shared" si="1"/>
        <v>0</v>
      </c>
      <c r="F8" s="248" t="s">
        <v>21</v>
      </c>
      <c r="G8" s="249" t="s">
        <v>114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10">
        <v>158</v>
      </c>
      <c r="D9" s="13">
        <f t="shared" si="1"/>
        <v>111706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10">
        <v>2</v>
      </c>
      <c r="D10" s="13">
        <f t="shared" si="1"/>
        <v>1944</v>
      </c>
      <c r="F10" s="240" t="s">
        <v>26</v>
      </c>
      <c r="G10" s="255" t="s">
        <v>115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10">
        <v>1</v>
      </c>
      <c r="D12" s="48">
        <f t="shared" si="1"/>
        <v>952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10">
        <v>32</v>
      </c>
      <c r="D13" s="48">
        <f t="shared" si="1"/>
        <v>9824</v>
      </c>
      <c r="F13" s="261" t="s">
        <v>36</v>
      </c>
      <c r="G13" s="225"/>
      <c r="H13" s="216">
        <f>D29</f>
        <v>768503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10">
        <v>19</v>
      </c>
      <c r="D14" s="31">
        <f t="shared" si="1"/>
        <v>209</v>
      </c>
      <c r="F14" s="219" t="s">
        <v>39</v>
      </c>
      <c r="G14" s="220"/>
      <c r="H14" s="221">
        <f>D54</f>
        <v>41563.5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10"/>
      <c r="D15" s="31">
        <f t="shared" si="1"/>
        <v>0</v>
      </c>
      <c r="F15" s="224" t="s">
        <v>40</v>
      </c>
      <c r="G15" s="225"/>
      <c r="H15" s="226">
        <f>H13-H14</f>
        <v>726939.5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6">
        <f>3888+1200</f>
        <v>5088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93</v>
      </c>
      <c r="C17" s="10"/>
      <c r="D17" s="48">
        <f t="shared" si="1"/>
        <v>0</v>
      </c>
      <c r="F17" s="56"/>
      <c r="G17" s="66" t="s">
        <v>45</v>
      </c>
      <c r="H17" s="197"/>
      <c r="I17" s="197"/>
      <c r="J17" s="19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7"/>
      <c r="I20" s="197"/>
      <c r="J20" s="19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136</v>
      </c>
      <c r="C21" s="10">
        <f>2</f>
        <v>2</v>
      </c>
      <c r="D21" s="48">
        <f t="shared" si="1"/>
        <v>1300</v>
      </c>
      <c r="F21" s="69" t="s">
        <v>99</v>
      </c>
      <c r="G21" s="82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104</v>
      </c>
      <c r="C22" s="10"/>
      <c r="D22" s="48">
        <f t="shared" si="1"/>
        <v>0</v>
      </c>
      <c r="F22" s="72"/>
      <c r="G22" s="73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107</v>
      </c>
      <c r="C23" s="10"/>
      <c r="D23" s="48">
        <f t="shared" si="1"/>
        <v>0</v>
      </c>
      <c r="F23" s="25"/>
      <c r="G23" s="37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123</v>
      </c>
      <c r="C24" s="10"/>
      <c r="D24" s="48">
        <f t="shared" si="1"/>
        <v>0</v>
      </c>
      <c r="F24" s="38"/>
      <c r="G24" s="37"/>
      <c r="H24" s="203"/>
      <c r="I24" s="172"/>
      <c r="J24" s="17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4" t="s">
        <v>13</v>
      </c>
      <c r="I25" s="205"/>
      <c r="J25" s="20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105</v>
      </c>
      <c r="C26" s="10"/>
      <c r="D26" s="48">
        <f t="shared" si="1"/>
        <v>0</v>
      </c>
      <c r="F26" s="64"/>
      <c r="G26" s="10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109</v>
      </c>
      <c r="C27" s="10"/>
      <c r="D27" s="44">
        <f t="shared" si="1"/>
        <v>0</v>
      </c>
      <c r="F27" s="14"/>
      <c r="G27" s="14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10"/>
      <c r="D28" s="48">
        <f t="shared" si="1"/>
        <v>0</v>
      </c>
      <c r="F28" s="100"/>
      <c r="G28" s="61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768503</v>
      </c>
      <c r="F29" s="133" t="s">
        <v>55</v>
      </c>
      <c r="G29" s="195"/>
      <c r="H29" s="155">
        <f>H15-H16-H17-H18-H19-H20-H22-H23-H24+H26+H27</f>
        <v>721851.5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110</v>
      </c>
      <c r="H34" s="177">
        <f>F34*G34</f>
        <v>110000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12</v>
      </c>
      <c r="H35" s="177">
        <f t="shared" ref="H35:H39" si="2">F35*G35</f>
        <v>6000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>
        <v>1</v>
      </c>
      <c r="D36" s="12">
        <f>C36*1.5</f>
        <v>1.5</v>
      </c>
      <c r="F36" s="12">
        <v>200</v>
      </c>
      <c r="G36" s="37"/>
      <c r="H36" s="177">
        <f>F36*G36</f>
        <v>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>
        <v>320</v>
      </c>
      <c r="D37" s="12">
        <f>C37*111</f>
        <v>35520</v>
      </c>
      <c r="F37" s="12">
        <v>100</v>
      </c>
      <c r="G37" s="39">
        <v>4</v>
      </c>
      <c r="H37" s="177">
        <f t="shared" si="2"/>
        <v>400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>
        <v>51</v>
      </c>
      <c r="D38" s="12">
        <f>C38*84</f>
        <v>4284</v>
      </c>
      <c r="F38" s="30">
        <v>50</v>
      </c>
      <c r="G38" s="39"/>
      <c r="H38" s="177">
        <f t="shared" si="2"/>
        <v>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/>
      <c r="D39" s="31">
        <f>C39*4.5</f>
        <v>0</v>
      </c>
      <c r="F39" s="12">
        <v>20</v>
      </c>
      <c r="G39" s="37"/>
      <c r="H39" s="177">
        <f t="shared" si="2"/>
        <v>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>
        <v>10</v>
      </c>
      <c r="D42" s="12">
        <f>C42*2.25</f>
        <v>22.5</v>
      </c>
      <c r="F42" s="39" t="s">
        <v>79</v>
      </c>
      <c r="G42" s="177"/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59" t="s">
        <v>82</v>
      </c>
      <c r="G43" s="103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>
        <v>1</v>
      </c>
      <c r="D44" s="12">
        <f>C44*120</f>
        <v>120</v>
      </c>
      <c r="F44" s="37" t="s">
        <v>150</v>
      </c>
      <c r="G44" s="62" t="s">
        <v>184</v>
      </c>
      <c r="H44" s="172">
        <v>404660</v>
      </c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 t="s">
        <v>150</v>
      </c>
      <c r="G45" s="62" t="s">
        <v>185</v>
      </c>
      <c r="H45" s="172">
        <v>128884</v>
      </c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1">
        <v>4</v>
      </c>
      <c r="D46" s="12">
        <f>C46*1.5</f>
        <v>6</v>
      </c>
      <c r="F46" s="37"/>
      <c r="G46" s="10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59"/>
      <c r="G47" s="59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>
        <v>5</v>
      </c>
      <c r="D49" s="12">
        <f>C49*42</f>
        <v>210</v>
      </c>
      <c r="F49" s="153" t="s">
        <v>86</v>
      </c>
      <c r="G49" s="155">
        <f>H34+H35+H36+H37+H38+H39+H40+H41+G42+H44+H45+H46</f>
        <v>649944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>
        <v>13</v>
      </c>
      <c r="D50" s="12">
        <f>C50*1.5</f>
        <v>19.5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132</v>
      </c>
      <c r="G51" s="266">
        <f>G49-H29</f>
        <v>-71907.5</v>
      </c>
      <c r="H51" s="267"/>
      <c r="I51" s="267"/>
      <c r="J51" s="26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269"/>
      <c r="H52" s="270"/>
      <c r="I52" s="270"/>
      <c r="J52" s="27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41563.5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79036-3A64-4FDB-A5E3-8C51971AE3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3</v>
      </c>
      <c r="H4" s="234" t="s">
        <v>9</v>
      </c>
      <c r="I4" s="236">
        <v>46004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10">
        <v>287</v>
      </c>
      <c r="D6" s="13">
        <f t="shared" ref="D6:D28" si="1">C6*L6</f>
        <v>211519</v>
      </c>
      <c r="F6" s="240" t="s">
        <v>16</v>
      </c>
      <c r="G6" s="242" t="s">
        <v>111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10">
        <v>3</v>
      </c>
      <c r="D7" s="13">
        <f t="shared" si="1"/>
        <v>2175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10"/>
      <c r="D8" s="13">
        <f t="shared" si="1"/>
        <v>0</v>
      </c>
      <c r="F8" s="248" t="s">
        <v>21</v>
      </c>
      <c r="G8" s="249" t="s">
        <v>119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10">
        <v>15</v>
      </c>
      <c r="D9" s="13">
        <f t="shared" si="1"/>
        <v>10605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10">
        <v>30</v>
      </c>
      <c r="D10" s="13">
        <f t="shared" si="1"/>
        <v>29160</v>
      </c>
      <c r="F10" s="240" t="s">
        <v>26</v>
      </c>
      <c r="G10" s="255" t="s">
        <v>135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10">
        <v>2</v>
      </c>
      <c r="D11" s="13">
        <f t="shared" si="1"/>
        <v>2250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10">
        <f>9+2</f>
        <v>11</v>
      </c>
      <c r="D12" s="48">
        <f t="shared" si="1"/>
        <v>10472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10">
        <v>10</v>
      </c>
      <c r="D13" s="48">
        <f t="shared" si="1"/>
        <v>3070</v>
      </c>
      <c r="F13" s="261" t="s">
        <v>36</v>
      </c>
      <c r="G13" s="225"/>
      <c r="H13" s="216">
        <f>D29</f>
        <v>269956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10">
        <v>5</v>
      </c>
      <c r="D14" s="31">
        <f t="shared" si="1"/>
        <v>55</v>
      </c>
      <c r="F14" s="219" t="s">
        <v>39</v>
      </c>
      <c r="G14" s="220"/>
      <c r="H14" s="221">
        <f>D54</f>
        <v>39363.75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10"/>
      <c r="D15" s="31">
        <f t="shared" si="1"/>
        <v>0</v>
      </c>
      <c r="F15" s="224" t="s">
        <v>40</v>
      </c>
      <c r="G15" s="225"/>
      <c r="H15" s="226">
        <f>H13-H14</f>
        <v>230592.25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6">
        <f>312+1212</f>
        <v>1524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113</v>
      </c>
      <c r="C17" s="10"/>
      <c r="D17" s="48">
        <f t="shared" si="1"/>
        <v>0</v>
      </c>
      <c r="F17" s="56"/>
      <c r="G17" s="66" t="s">
        <v>45</v>
      </c>
      <c r="H17" s="197"/>
      <c r="I17" s="197"/>
      <c r="J17" s="19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2"/>
      <c r="I19" s="272"/>
      <c r="J19" s="27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136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104</v>
      </c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107</v>
      </c>
      <c r="C23" s="10"/>
      <c r="D23" s="48">
        <f t="shared" si="1"/>
        <v>0</v>
      </c>
      <c r="F23" s="78"/>
      <c r="G23" s="79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101</v>
      </c>
      <c r="C24" s="10"/>
      <c r="D24" s="48">
        <f t="shared" si="1"/>
        <v>0</v>
      </c>
      <c r="F24" s="38"/>
      <c r="G24" s="37"/>
      <c r="H24" s="203"/>
      <c r="I24" s="172"/>
      <c r="J24" s="17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4" t="s">
        <v>13</v>
      </c>
      <c r="I25" s="205"/>
      <c r="J25" s="20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105</v>
      </c>
      <c r="C26" s="10"/>
      <c r="D26" s="48">
        <f t="shared" si="1"/>
        <v>0</v>
      </c>
      <c r="F26" s="64"/>
      <c r="G26" s="59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109</v>
      </c>
      <c r="C27" s="10"/>
      <c r="D27" s="44">
        <f t="shared" si="1"/>
        <v>0</v>
      </c>
      <c r="F27" s="25"/>
      <c r="G27" s="80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10"/>
      <c r="D28" s="48">
        <f t="shared" si="1"/>
        <v>0</v>
      </c>
      <c r="F28" s="100"/>
      <c r="G28" s="61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269956</v>
      </c>
      <c r="F29" s="133" t="s">
        <v>55</v>
      </c>
      <c r="G29" s="195"/>
      <c r="H29" s="155">
        <f>H15-H16-H17-H18-H19-H20-H22-H23-H24+H26+H27</f>
        <v>229068.25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>
        <v>7</v>
      </c>
      <c r="D34" s="30">
        <f>C34*120</f>
        <v>840</v>
      </c>
      <c r="F34" s="12">
        <v>1000</v>
      </c>
      <c r="G34" s="74">
        <v>46</v>
      </c>
      <c r="H34" s="177">
        <f>F34*G34</f>
        <v>46000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8">
        <v>500</v>
      </c>
      <c r="G35" s="41">
        <v>53</v>
      </c>
      <c r="H35" s="177">
        <f>F35*G35</f>
        <v>26500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>
        <v>9</v>
      </c>
      <c r="D36" s="12">
        <f>C36*1.5</f>
        <v>13.5</v>
      </c>
      <c r="F36" s="12">
        <v>200</v>
      </c>
      <c r="G36" s="37">
        <v>2</v>
      </c>
      <c r="H36" s="177">
        <f t="shared" ref="H36:H39" si="2">F36*G36</f>
        <v>400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>
        <v>317</v>
      </c>
      <c r="D37" s="12">
        <f>C37*111</f>
        <v>35187</v>
      </c>
      <c r="F37" s="12">
        <v>100</v>
      </c>
      <c r="G37" s="39">
        <v>105</v>
      </c>
      <c r="H37" s="177">
        <f t="shared" si="2"/>
        <v>10500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110</v>
      </c>
      <c r="H38" s="177">
        <f t="shared" si="2"/>
        <v>5500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77">
        <f t="shared" si="2"/>
        <v>20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>
        <v>1</v>
      </c>
      <c r="D42" s="12">
        <f>C42*2.25</f>
        <v>2.25</v>
      </c>
      <c r="F42" s="39" t="s">
        <v>79</v>
      </c>
      <c r="G42" s="177">
        <v>2088</v>
      </c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59" t="s">
        <v>82</v>
      </c>
      <c r="G43" s="103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>
        <v>12</v>
      </c>
      <c r="D44" s="12">
        <f>C44*120</f>
        <v>1440</v>
      </c>
      <c r="F44" s="37" t="s">
        <v>163</v>
      </c>
      <c r="G44" s="76" t="s">
        <v>186</v>
      </c>
      <c r="H44" s="172">
        <v>134102</v>
      </c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>
        <v>4</v>
      </c>
      <c r="D45" s="12">
        <f>C45*84</f>
        <v>336</v>
      </c>
      <c r="F45" s="37"/>
      <c r="G45" s="76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1">
        <v>1</v>
      </c>
      <c r="D46" s="12">
        <f>C46*1.5</f>
        <v>1.5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59"/>
      <c r="G47" s="59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>
        <v>3</v>
      </c>
      <c r="D49" s="12">
        <f>C49*42</f>
        <v>126</v>
      </c>
      <c r="F49" s="153" t="s">
        <v>86</v>
      </c>
      <c r="G49" s="155">
        <f>H34+H35+H36+H37+H38+H39+H40+H41+G42+H44+H45+H46</f>
        <v>225110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>
        <v>4</v>
      </c>
      <c r="D50" s="12">
        <f>C50*1.5</f>
        <v>6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140</v>
      </c>
      <c r="G51" s="266">
        <f>G49-H29</f>
        <v>-3958.25</v>
      </c>
      <c r="H51" s="267"/>
      <c r="I51" s="267"/>
      <c r="J51" s="26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269"/>
      <c r="H52" s="270"/>
      <c r="I52" s="270"/>
      <c r="J52" s="27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39363.75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05DA29-AA25-471C-A966-A80B9697709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9" t="s">
        <v>1</v>
      </c>
      <c r="O1" s="229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0" t="s">
        <v>7</v>
      </c>
      <c r="B4" s="181"/>
      <c r="C4" s="181"/>
      <c r="D4" s="182"/>
      <c r="F4" s="230" t="s">
        <v>8</v>
      </c>
      <c r="G4" s="232"/>
      <c r="H4" s="234" t="s">
        <v>9</v>
      </c>
      <c r="I4" s="236"/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5"/>
      <c r="B6" s="16"/>
      <c r="C6" s="10"/>
      <c r="D6" s="13">
        <f t="shared" ref="D6:D28" si="1">C6*L6</f>
        <v>0</v>
      </c>
      <c r="F6" s="240" t="s">
        <v>16</v>
      </c>
      <c r="G6" s="242"/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5"/>
      <c r="B7" s="16"/>
      <c r="C7" s="10"/>
      <c r="D7" s="13">
        <f t="shared" si="1"/>
        <v>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5"/>
      <c r="B8" s="16"/>
      <c r="C8" s="10"/>
      <c r="D8" s="13">
        <f t="shared" si="1"/>
        <v>0</v>
      </c>
      <c r="F8" s="248" t="s">
        <v>21</v>
      </c>
      <c r="G8" s="249"/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5"/>
      <c r="B9" s="16"/>
      <c r="C9" s="10"/>
      <c r="D9" s="13">
        <f t="shared" si="1"/>
        <v>0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5"/>
      <c r="C10" s="10"/>
      <c r="D10" s="13">
        <f t="shared" si="1"/>
        <v>0</v>
      </c>
      <c r="F10" s="240" t="s">
        <v>26</v>
      </c>
      <c r="G10" s="255"/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9" ht="15.75" x14ac:dyDescent="0.25">
      <c r="A11" s="175"/>
      <c r="B11" s="17"/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5"/>
      <c r="B12" s="17"/>
      <c r="C12" s="10"/>
      <c r="D12" s="48">
        <f t="shared" si="1"/>
        <v>0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5"/>
      <c r="B13" s="17"/>
      <c r="C13" s="10"/>
      <c r="D13" s="48">
        <f t="shared" si="1"/>
        <v>0</v>
      </c>
      <c r="F13" s="261" t="s">
        <v>36</v>
      </c>
      <c r="G13" s="225"/>
      <c r="H13" s="216">
        <f>D29</f>
        <v>0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5"/>
      <c r="B14" s="14"/>
      <c r="C14" s="10"/>
      <c r="D14" s="31">
        <f t="shared" si="1"/>
        <v>0</v>
      </c>
      <c r="F14" s="219" t="s">
        <v>39</v>
      </c>
      <c r="G14" s="220"/>
      <c r="H14" s="221">
        <f>D54</f>
        <v>0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5"/>
      <c r="B15" s="14"/>
      <c r="C15" s="10"/>
      <c r="D15" s="31">
        <f t="shared" si="1"/>
        <v>0</v>
      </c>
      <c r="F15" s="224" t="s">
        <v>40</v>
      </c>
      <c r="G15" s="225"/>
      <c r="H15" s="226">
        <f>H13-H14</f>
        <v>0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C17" s="10"/>
      <c r="D17" s="48">
        <f t="shared" si="1"/>
        <v>0</v>
      </c>
      <c r="F17" s="56"/>
      <c r="G17" s="66" t="s">
        <v>45</v>
      </c>
      <c r="H17" s="197"/>
      <c r="I17" s="197"/>
      <c r="J17" s="19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/>
      <c r="C18" s="10"/>
      <c r="D18" s="48">
        <f t="shared" si="1"/>
        <v>0</v>
      </c>
      <c r="F18" s="56"/>
      <c r="G18" s="66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/>
      <c r="C19" s="10"/>
      <c r="D19" s="48">
        <f t="shared" si="1"/>
        <v>0</v>
      </c>
      <c r="F19" s="56"/>
      <c r="G19" s="68" t="s">
        <v>50</v>
      </c>
      <c r="H19" s="198"/>
      <c r="I19" s="198"/>
      <c r="J19" s="19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/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/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/>
      <c r="C23" s="10"/>
      <c r="D23" s="48">
        <f t="shared" si="1"/>
        <v>0</v>
      </c>
      <c r="F23" s="78"/>
      <c r="G23" s="79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/>
      <c r="C24" s="10"/>
      <c r="D24" s="48">
        <f t="shared" si="1"/>
        <v>0</v>
      </c>
      <c r="F24" s="38"/>
      <c r="G24" s="37"/>
      <c r="H24" s="203"/>
      <c r="I24" s="172"/>
      <c r="J24" s="17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4" t="s">
        <v>13</v>
      </c>
      <c r="I25" s="205"/>
      <c r="J25" s="20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/>
      <c r="C26" s="10"/>
      <c r="D26" s="48">
        <f t="shared" si="1"/>
        <v>0</v>
      </c>
      <c r="F26" s="64"/>
      <c r="G26" s="59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/>
      <c r="C27" s="10"/>
      <c r="D27" s="44">
        <f t="shared" si="1"/>
        <v>0</v>
      </c>
      <c r="F27" s="25"/>
      <c r="G27" s="80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/>
      <c r="C28" s="10"/>
      <c r="D28" s="48">
        <f t="shared" si="1"/>
        <v>0</v>
      </c>
      <c r="F28" s="100"/>
      <c r="G28" s="61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0</v>
      </c>
      <c r="F29" s="133" t="s">
        <v>55</v>
      </c>
      <c r="G29" s="195"/>
      <c r="H29" s="155">
        <f>H15-H16-H17-H18-H19-H20-H22-H23-H24+H26+H27</f>
        <v>0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7"/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8">
        <v>500</v>
      </c>
      <c r="G35" s="41"/>
      <c r="H35" s="177"/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/>
      <c r="H36" s="177"/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7"/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/>
      <c r="D38" s="12">
        <f>C38*84</f>
        <v>0</v>
      </c>
      <c r="F38" s="30">
        <v>50</v>
      </c>
      <c r="G38" s="39"/>
      <c r="H38" s="177"/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/>
      <c r="D39" s="31">
        <f>C39*4.5</f>
        <v>0</v>
      </c>
      <c r="F39" s="12">
        <v>20</v>
      </c>
      <c r="G39" s="37"/>
      <c r="H39" s="177"/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/>
      <c r="D42" s="12">
        <f>C42*2.25</f>
        <v>0</v>
      </c>
      <c r="F42" s="39" t="s">
        <v>79</v>
      </c>
      <c r="G42" s="177"/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59" t="s">
        <v>82</v>
      </c>
      <c r="G43" s="103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/>
      <c r="D44" s="12">
        <f>C44*120</f>
        <v>0</v>
      </c>
      <c r="F44" s="37"/>
      <c r="G44" s="76"/>
      <c r="H44" s="172"/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/>
      <c r="G45" s="76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1"/>
      <c r="D46" s="12">
        <f>C46*1.5</f>
        <v>0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59"/>
      <c r="G47" s="59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/>
      <c r="D48" s="12">
        <f>C48*78</f>
        <v>0</v>
      </c>
      <c r="F48" s="59"/>
      <c r="G48" s="59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/>
      <c r="D49" s="12">
        <f>C49*42</f>
        <v>0</v>
      </c>
      <c r="F49" s="153" t="s">
        <v>86</v>
      </c>
      <c r="G49" s="155">
        <f>H34+H35+H36+H37+H38+H39+H40+H41+G42+H44+H45+H46</f>
        <v>0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/>
      <c r="D50" s="12">
        <f>C50*1.5</f>
        <v>0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128</v>
      </c>
      <c r="G51" s="163">
        <f>G49-H29</f>
        <v>0</v>
      </c>
      <c r="H51" s="164"/>
      <c r="I51" s="164"/>
      <c r="J51" s="1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166"/>
      <c r="H52" s="167"/>
      <c r="I52" s="167"/>
      <c r="J52" s="1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0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A4F7D5-F2A9-4CDB-B186-F613712C4F02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1</v>
      </c>
      <c r="H4" s="234" t="s">
        <v>9</v>
      </c>
      <c r="I4" s="236">
        <v>46006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84">
        <v>702</v>
      </c>
      <c r="D6" s="13">
        <f t="shared" ref="D6:D28" si="1">C6*L6</f>
        <v>517374</v>
      </c>
      <c r="F6" s="240" t="s">
        <v>16</v>
      </c>
      <c r="G6" s="242" t="s">
        <v>129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84">
        <v>3</v>
      </c>
      <c r="D7" s="13">
        <f t="shared" si="1"/>
        <v>2175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84"/>
      <c r="D8" s="13">
        <f t="shared" si="1"/>
        <v>0</v>
      </c>
      <c r="F8" s="248" t="s">
        <v>21</v>
      </c>
      <c r="G8" s="249" t="s">
        <v>112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84">
        <v>10</v>
      </c>
      <c r="D9" s="13">
        <f t="shared" si="1"/>
        <v>7070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84"/>
      <c r="D10" s="13">
        <f t="shared" si="1"/>
        <v>0</v>
      </c>
      <c r="F10" s="240" t="s">
        <v>26</v>
      </c>
      <c r="G10" s="255" t="s">
        <v>130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84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84"/>
      <c r="D12" s="48">
        <f t="shared" si="1"/>
        <v>0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84">
        <v>27</v>
      </c>
      <c r="D13" s="48">
        <f t="shared" si="1"/>
        <v>8289</v>
      </c>
      <c r="F13" s="261" t="s">
        <v>36</v>
      </c>
      <c r="G13" s="225"/>
      <c r="H13" s="216">
        <f>D29</f>
        <v>535040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84">
        <v>12</v>
      </c>
      <c r="D14" s="31">
        <f t="shared" si="1"/>
        <v>132</v>
      </c>
      <c r="F14" s="219" t="s">
        <v>39</v>
      </c>
      <c r="G14" s="220"/>
      <c r="H14" s="221">
        <f>D54</f>
        <v>108862.5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84"/>
      <c r="D15" s="31">
        <f t="shared" si="1"/>
        <v>0</v>
      </c>
      <c r="F15" s="224" t="s">
        <v>40</v>
      </c>
      <c r="G15" s="225"/>
      <c r="H15" s="226">
        <f>H13-H14</f>
        <v>426177.5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6">
        <f>3882</f>
        <v>3882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138</v>
      </c>
      <c r="C17" s="84"/>
      <c r="D17" s="48">
        <f t="shared" si="1"/>
        <v>0</v>
      </c>
      <c r="F17" s="56"/>
      <c r="G17" s="66" t="s">
        <v>45</v>
      </c>
      <c r="H17" s="197"/>
      <c r="I17" s="197"/>
      <c r="J17" s="19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97"/>
      <c r="I19" s="197"/>
      <c r="J19" s="197"/>
      <c r="L19" s="6">
        <v>1102</v>
      </c>
      <c r="Q19" s="4"/>
      <c r="R19" s="5">
        <f t="shared" si="0"/>
        <v>0</v>
      </c>
    </row>
    <row r="20" spans="1:18" ht="15.75" x14ac:dyDescent="0.25">
      <c r="A20" s="175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127</v>
      </c>
      <c r="C22" s="84"/>
      <c r="D22" s="48">
        <f t="shared" si="1"/>
        <v>0</v>
      </c>
      <c r="F22" s="77"/>
      <c r="G22" s="73"/>
      <c r="H22" s="202"/>
      <c r="I22" s="202"/>
      <c r="J22" s="20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101</v>
      </c>
      <c r="C23" s="84"/>
      <c r="D23" s="48">
        <f t="shared" si="1"/>
        <v>0</v>
      </c>
      <c r="F23" s="77"/>
      <c r="G23" s="79"/>
      <c r="H23" s="262"/>
      <c r="I23" s="263"/>
      <c r="J23" s="26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121</v>
      </c>
      <c r="C24" s="84"/>
      <c r="D24" s="48">
        <f t="shared" si="1"/>
        <v>0</v>
      </c>
      <c r="F24" s="77"/>
      <c r="G24" s="79"/>
      <c r="H24" s="262"/>
      <c r="I24" s="263"/>
      <c r="J24" s="26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204" t="s">
        <v>13</v>
      </c>
      <c r="I25" s="205"/>
      <c r="J25" s="20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137</v>
      </c>
      <c r="C26" s="84"/>
      <c r="D26" s="48">
        <f t="shared" si="1"/>
        <v>0</v>
      </c>
      <c r="F26" s="75"/>
      <c r="G26" s="65"/>
      <c r="H26" s="172"/>
      <c r="I26" s="172"/>
      <c r="J26" s="172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110</v>
      </c>
      <c r="C27" s="84"/>
      <c r="D27" s="44">
        <f t="shared" si="1"/>
        <v>0</v>
      </c>
      <c r="F27" s="71"/>
      <c r="G27" s="103"/>
      <c r="H27" s="264"/>
      <c r="I27" s="265"/>
      <c r="J27" s="26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84"/>
      <c r="D28" s="48">
        <f t="shared" si="1"/>
        <v>0</v>
      </c>
      <c r="F28" s="100"/>
      <c r="G28" s="61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535040</v>
      </c>
      <c r="F29" s="133" t="s">
        <v>55</v>
      </c>
      <c r="G29" s="195"/>
      <c r="H29" s="155">
        <f>H15-H16-H17-H18-H19-H20-H22-H23-H24+H26+H27+H28</f>
        <v>422295.5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33</v>
      </c>
      <c r="H34" s="177">
        <f t="shared" ref="H34:H39" si="2">F34*G34</f>
        <v>33000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8">
        <v>500</v>
      </c>
      <c r="G35" s="41">
        <v>15</v>
      </c>
      <c r="H35" s="177">
        <f t="shared" si="2"/>
        <v>7500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>
        <v>3</v>
      </c>
      <c r="D36" s="12">
        <f>C36*1.5</f>
        <v>4.5</v>
      </c>
      <c r="F36" s="12">
        <v>200</v>
      </c>
      <c r="G36" s="37"/>
      <c r="H36" s="177">
        <f t="shared" si="2"/>
        <v>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>
        <v>924</v>
      </c>
      <c r="D37" s="12">
        <f>C37*111</f>
        <v>102564</v>
      </c>
      <c r="F37" s="12">
        <v>100</v>
      </c>
      <c r="G37" s="39">
        <v>20</v>
      </c>
      <c r="H37" s="177">
        <f t="shared" si="2"/>
        <v>2000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>
        <v>14</v>
      </c>
      <c r="D38" s="12">
        <f>C38*84</f>
        <v>1176</v>
      </c>
      <c r="F38" s="30">
        <v>50</v>
      </c>
      <c r="G38" s="39"/>
      <c r="H38" s="177">
        <f t="shared" si="2"/>
        <v>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1</v>
      </c>
      <c r="H39" s="177">
        <f t="shared" si="2"/>
        <v>20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3">
        <v>30</v>
      </c>
      <c r="D40" s="12">
        <f>C40*111</f>
        <v>3330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>
        <v>20</v>
      </c>
      <c r="D42" s="12">
        <f>C42*2.25</f>
        <v>45</v>
      </c>
      <c r="F42" s="39" t="s">
        <v>79</v>
      </c>
      <c r="G42" s="177">
        <v>39</v>
      </c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59" t="s">
        <v>82</v>
      </c>
      <c r="G43" s="103" t="s">
        <v>83</v>
      </c>
      <c r="H43" s="169" t="s">
        <v>13</v>
      </c>
      <c r="I43" s="170"/>
      <c r="J43" s="17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8"/>
      <c r="B44" s="27" t="s">
        <v>66</v>
      </c>
      <c r="C44" s="10">
        <v>10</v>
      </c>
      <c r="D44" s="12">
        <f>C44*120</f>
        <v>1200</v>
      </c>
      <c r="F44" s="37" t="s">
        <v>150</v>
      </c>
      <c r="G44" s="62" t="s">
        <v>187</v>
      </c>
      <c r="H44" s="172">
        <v>379729</v>
      </c>
      <c r="I44" s="172"/>
      <c r="J44" s="17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48"/>
      <c r="B45" s="27" t="s">
        <v>68</v>
      </c>
      <c r="C45" s="33">
        <v>1</v>
      </c>
      <c r="D45" s="12">
        <f>C45*84</f>
        <v>84</v>
      </c>
      <c r="F45" s="37"/>
      <c r="G45" s="62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1">
        <v>17</v>
      </c>
      <c r="D46" s="12">
        <f>C46*1.5</f>
        <v>25.5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59"/>
      <c r="G47" s="59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/>
      <c r="D49" s="12">
        <f>C49*42</f>
        <v>0</v>
      </c>
      <c r="F49" s="153" t="s">
        <v>86</v>
      </c>
      <c r="G49" s="155">
        <f>H34+H35+H36+H37+H38+H39+H40+H41+G42+H44+H45+H46</f>
        <v>422288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>
        <v>18</v>
      </c>
      <c r="D50" s="12">
        <f>C50*1.5</f>
        <v>27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131</v>
      </c>
      <c r="G51" s="266">
        <f>G49-H29</f>
        <v>-7.5</v>
      </c>
      <c r="H51" s="267"/>
      <c r="I51" s="267"/>
      <c r="J51" s="26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269"/>
      <c r="H52" s="270"/>
      <c r="I52" s="270"/>
      <c r="J52" s="27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108862.5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1EDEF-10C7-4790-A52F-2601DDA046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2</v>
      </c>
      <c r="H4" s="234" t="s">
        <v>9</v>
      </c>
      <c r="I4" s="236">
        <v>46006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10">
        <v>602</v>
      </c>
      <c r="D6" s="13">
        <f t="shared" ref="D6:D28" si="1">C6*L6</f>
        <v>443674</v>
      </c>
      <c r="F6" s="240" t="s">
        <v>16</v>
      </c>
      <c r="G6" s="242" t="s">
        <v>141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10">
        <v>11</v>
      </c>
      <c r="D7" s="13">
        <f t="shared" si="1"/>
        <v>7975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10"/>
      <c r="D8" s="13">
        <f t="shared" si="1"/>
        <v>0</v>
      </c>
      <c r="F8" s="248" t="s">
        <v>21</v>
      </c>
      <c r="G8" s="249" t="s">
        <v>114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10">
        <v>108</v>
      </c>
      <c r="D9" s="13">
        <f t="shared" si="1"/>
        <v>76356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10"/>
      <c r="D10" s="13">
        <f t="shared" si="1"/>
        <v>0</v>
      </c>
      <c r="F10" s="240" t="s">
        <v>26</v>
      </c>
      <c r="G10" s="255" t="s">
        <v>115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10"/>
      <c r="D12" s="48">
        <f t="shared" si="1"/>
        <v>0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10">
        <v>22</v>
      </c>
      <c r="D13" s="48">
        <f t="shared" si="1"/>
        <v>6754</v>
      </c>
      <c r="F13" s="261" t="s">
        <v>36</v>
      </c>
      <c r="G13" s="225"/>
      <c r="H13" s="216">
        <f>D29</f>
        <v>534847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10">
        <v>8</v>
      </c>
      <c r="D14" s="31">
        <f t="shared" si="1"/>
        <v>88</v>
      </c>
      <c r="F14" s="219" t="s">
        <v>39</v>
      </c>
      <c r="G14" s="220"/>
      <c r="H14" s="221">
        <f>D54</f>
        <v>105343.5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10"/>
      <c r="D15" s="31">
        <f t="shared" si="1"/>
        <v>0</v>
      </c>
      <c r="F15" s="224" t="s">
        <v>40</v>
      </c>
      <c r="G15" s="225"/>
      <c r="H15" s="226">
        <f>H13-H14</f>
        <v>429503.5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6">
        <f>3948</f>
        <v>3948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93</v>
      </c>
      <c r="C17" s="10"/>
      <c r="D17" s="48">
        <f t="shared" si="1"/>
        <v>0</v>
      </c>
      <c r="F17" s="56"/>
      <c r="G17" s="66" t="s">
        <v>45</v>
      </c>
      <c r="H17" s="197"/>
      <c r="I17" s="197"/>
      <c r="J17" s="19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7"/>
      <c r="I20" s="197"/>
      <c r="J20" s="19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104</v>
      </c>
      <c r="C22" s="10"/>
      <c r="D22" s="48">
        <f t="shared" si="1"/>
        <v>0</v>
      </c>
      <c r="F22" s="72"/>
      <c r="G22" s="73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107</v>
      </c>
      <c r="C23" s="10"/>
      <c r="D23" s="48">
        <f t="shared" si="1"/>
        <v>0</v>
      </c>
      <c r="F23" s="25"/>
      <c r="G23" s="37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123</v>
      </c>
      <c r="C24" s="10"/>
      <c r="D24" s="48">
        <f t="shared" si="1"/>
        <v>0</v>
      </c>
      <c r="F24" s="38"/>
      <c r="G24" s="37"/>
      <c r="H24" s="203"/>
      <c r="I24" s="172"/>
      <c r="J24" s="17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4" t="s">
        <v>13</v>
      </c>
      <c r="I25" s="205"/>
      <c r="J25" s="20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105</v>
      </c>
      <c r="C26" s="10"/>
      <c r="D26" s="48">
        <f t="shared" si="1"/>
        <v>0</v>
      </c>
      <c r="F26" s="64"/>
      <c r="G26" s="10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109</v>
      </c>
      <c r="C27" s="10"/>
      <c r="D27" s="44">
        <f t="shared" si="1"/>
        <v>0</v>
      </c>
      <c r="F27" s="14"/>
      <c r="G27" s="14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10"/>
      <c r="D28" s="48">
        <f t="shared" si="1"/>
        <v>0</v>
      </c>
      <c r="F28" s="100"/>
      <c r="G28" s="61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534847</v>
      </c>
      <c r="F29" s="133" t="s">
        <v>55</v>
      </c>
      <c r="G29" s="195"/>
      <c r="H29" s="155">
        <f>H15-H16-H17-H18-H19-H20-H22-H23-H24+H26+H27</f>
        <v>425555.5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31</v>
      </c>
      <c r="H34" s="177">
        <f>F34*G34</f>
        <v>31000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8">
        <v>500</v>
      </c>
      <c r="G35" s="41">
        <v>16</v>
      </c>
      <c r="H35" s="177">
        <f t="shared" ref="H35:H39" si="2">F35*G35</f>
        <v>8000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/>
      <c r="H36" s="177">
        <f>F36*G36</f>
        <v>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>
        <v>907</v>
      </c>
      <c r="D37" s="12">
        <f>C37*111</f>
        <v>100677</v>
      </c>
      <c r="F37" s="12">
        <v>100</v>
      </c>
      <c r="G37" s="39">
        <v>3</v>
      </c>
      <c r="H37" s="177">
        <f t="shared" si="2"/>
        <v>300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>
        <v>14</v>
      </c>
      <c r="D38" s="12">
        <f>C38*84</f>
        <v>1176</v>
      </c>
      <c r="F38" s="30">
        <v>50</v>
      </c>
      <c r="G38" s="39"/>
      <c r="H38" s="177">
        <f t="shared" si="2"/>
        <v>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77">
        <f t="shared" si="2"/>
        <v>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3">
        <v>17</v>
      </c>
      <c r="D40" s="12">
        <f>C40*111</f>
        <v>1887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>
        <v>2</v>
      </c>
      <c r="D42" s="12">
        <f>C42*2.25</f>
        <v>4.5</v>
      </c>
      <c r="F42" s="39" t="s">
        <v>79</v>
      </c>
      <c r="G42" s="177">
        <v>48</v>
      </c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59" t="s">
        <v>82</v>
      </c>
      <c r="G43" s="103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/>
      <c r="D44" s="12">
        <f>C44*120</f>
        <v>0</v>
      </c>
      <c r="F44" s="37" t="s">
        <v>150</v>
      </c>
      <c r="G44" s="62" t="s">
        <v>188</v>
      </c>
      <c r="H44" s="172">
        <v>457977</v>
      </c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/>
      <c r="G45" s="62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1"/>
      <c r="D46" s="12">
        <f>C46*1.5</f>
        <v>0</v>
      </c>
      <c r="F46" s="37"/>
      <c r="G46" s="10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59"/>
      <c r="G47" s="59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>
        <v>30</v>
      </c>
      <c r="D49" s="12">
        <f>C49*42</f>
        <v>1260</v>
      </c>
      <c r="F49" s="153" t="s">
        <v>86</v>
      </c>
      <c r="G49" s="155">
        <f>H34+H35+H36+H37+H38+H39+H40+H41+G42+H44+H45+H46</f>
        <v>497325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>
        <v>15</v>
      </c>
      <c r="D50" s="12">
        <f>C50*1.5</f>
        <v>22.5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189</v>
      </c>
      <c r="G51" s="163">
        <f>G49-H29</f>
        <v>71769.5</v>
      </c>
      <c r="H51" s="164"/>
      <c r="I51" s="164"/>
      <c r="J51" s="1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166"/>
      <c r="H52" s="167"/>
      <c r="I52" s="167"/>
      <c r="J52" s="1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105343.5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BF28B4-E6BE-40BC-8DBA-96DCD1A9C63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3</v>
      </c>
      <c r="H4" s="234" t="s">
        <v>9</v>
      </c>
      <c r="I4" s="236">
        <v>46006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10">
        <v>451</v>
      </c>
      <c r="D6" s="13">
        <f t="shared" ref="D6:D28" si="1">C6*L6</f>
        <v>332387</v>
      </c>
      <c r="F6" s="240" t="s">
        <v>16</v>
      </c>
      <c r="G6" s="242" t="s">
        <v>111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10"/>
      <c r="D7" s="13">
        <f t="shared" si="1"/>
        <v>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10">
        <v>2</v>
      </c>
      <c r="D8" s="13">
        <f t="shared" si="1"/>
        <v>2066</v>
      </c>
      <c r="F8" s="248" t="s">
        <v>21</v>
      </c>
      <c r="G8" s="249" t="s">
        <v>119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10">
        <v>117</v>
      </c>
      <c r="D9" s="13">
        <f t="shared" si="1"/>
        <v>82719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10"/>
      <c r="D10" s="13">
        <f t="shared" si="1"/>
        <v>0</v>
      </c>
      <c r="F10" s="240" t="s">
        <v>26</v>
      </c>
      <c r="G10" s="255" t="s">
        <v>135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10">
        <v>1</v>
      </c>
      <c r="D12" s="48">
        <f t="shared" si="1"/>
        <v>952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10">
        <v>10</v>
      </c>
      <c r="D13" s="48">
        <f t="shared" si="1"/>
        <v>3070</v>
      </c>
      <c r="F13" s="261" t="s">
        <v>36</v>
      </c>
      <c r="G13" s="225"/>
      <c r="H13" s="216">
        <f>D29</f>
        <v>421370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10">
        <v>16</v>
      </c>
      <c r="D14" s="31">
        <f t="shared" si="1"/>
        <v>176</v>
      </c>
      <c r="F14" s="219" t="s">
        <v>39</v>
      </c>
      <c r="G14" s="220"/>
      <c r="H14" s="221">
        <f>D54</f>
        <v>61642.5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10"/>
      <c r="D15" s="31">
        <f t="shared" si="1"/>
        <v>0</v>
      </c>
      <c r="F15" s="224" t="s">
        <v>40</v>
      </c>
      <c r="G15" s="225"/>
      <c r="H15" s="226">
        <f>H13-H14</f>
        <v>359727.5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6">
        <f>2604+600</f>
        <v>3204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113</v>
      </c>
      <c r="C17" s="10"/>
      <c r="D17" s="48">
        <f t="shared" si="1"/>
        <v>0</v>
      </c>
      <c r="F17" s="56"/>
      <c r="G17" s="66" t="s">
        <v>45</v>
      </c>
      <c r="H17" s="197"/>
      <c r="I17" s="197"/>
      <c r="J17" s="19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2"/>
      <c r="I19" s="272"/>
      <c r="J19" s="27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104</v>
      </c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107</v>
      </c>
      <c r="C23" s="10"/>
      <c r="D23" s="48">
        <f t="shared" si="1"/>
        <v>0</v>
      </c>
      <c r="F23" s="78"/>
      <c r="G23" s="79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101</v>
      </c>
      <c r="C24" s="10"/>
      <c r="D24" s="48">
        <f t="shared" si="1"/>
        <v>0</v>
      </c>
      <c r="F24" s="38"/>
      <c r="G24" s="37"/>
      <c r="H24" s="203"/>
      <c r="I24" s="172"/>
      <c r="J24" s="17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4" t="s">
        <v>13</v>
      </c>
      <c r="I25" s="205"/>
      <c r="J25" s="20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105</v>
      </c>
      <c r="C26" s="10"/>
      <c r="D26" s="48">
        <f t="shared" si="1"/>
        <v>0</v>
      </c>
      <c r="F26" s="64"/>
      <c r="G26" s="59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109</v>
      </c>
      <c r="C27" s="10"/>
      <c r="D27" s="44">
        <f t="shared" si="1"/>
        <v>0</v>
      </c>
      <c r="F27" s="25"/>
      <c r="G27" s="80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10"/>
      <c r="D28" s="48">
        <f t="shared" si="1"/>
        <v>0</v>
      </c>
      <c r="F28" s="100"/>
      <c r="G28" s="61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421370</v>
      </c>
      <c r="F29" s="133" t="s">
        <v>55</v>
      </c>
      <c r="G29" s="195"/>
      <c r="H29" s="155">
        <f>H15-H16-H17-H18-H19-H20-H22-H23-H24+H26+H27</f>
        <v>356523.5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36</v>
      </c>
      <c r="H34" s="177">
        <f>F34*G34</f>
        <v>36000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8">
        <v>500</v>
      </c>
      <c r="G35" s="41">
        <v>80</v>
      </c>
      <c r="H35" s="177">
        <f>F35*G35</f>
        <v>40000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/>
      <c r="H36" s="177">
        <f t="shared" ref="H36:H39" si="2">F36*G36</f>
        <v>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>
        <v>540</v>
      </c>
      <c r="D37" s="12">
        <f>C37*111</f>
        <v>59940</v>
      </c>
      <c r="F37" s="12">
        <v>100</v>
      </c>
      <c r="G37" s="39">
        <v>5</v>
      </c>
      <c r="H37" s="177">
        <f t="shared" si="2"/>
        <v>500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77">
        <f t="shared" si="2"/>
        <v>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77">
        <f t="shared" si="2"/>
        <v>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/>
      <c r="D42" s="12">
        <f>C42*2.25</f>
        <v>0</v>
      </c>
      <c r="F42" s="39" t="s">
        <v>79</v>
      </c>
      <c r="G42" s="177">
        <v>73</v>
      </c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59" t="s">
        <v>82</v>
      </c>
      <c r="G43" s="103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>
        <v>2</v>
      </c>
      <c r="D44" s="12">
        <f>C44*120</f>
        <v>240</v>
      </c>
      <c r="F44" s="37" t="s">
        <v>150</v>
      </c>
      <c r="G44" s="76" t="s">
        <v>190</v>
      </c>
      <c r="H44" s="172">
        <v>283328</v>
      </c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>
        <v>1</v>
      </c>
      <c r="D45" s="12">
        <f>C45*84</f>
        <v>84</v>
      </c>
      <c r="F45" s="37"/>
      <c r="G45" s="76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1">
        <v>6</v>
      </c>
      <c r="D46" s="12">
        <f>C46*1.5</f>
        <v>9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59"/>
      <c r="G47" s="59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>
        <v>16</v>
      </c>
      <c r="D48" s="12">
        <f>C48*78</f>
        <v>1248</v>
      </c>
      <c r="F48" s="59"/>
      <c r="G48" s="59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/>
      <c r="D49" s="12">
        <f>C49*42</f>
        <v>0</v>
      </c>
      <c r="F49" s="153" t="s">
        <v>86</v>
      </c>
      <c r="G49" s="155">
        <f>H34+H35+H36+H37+H38+H39+H40+H41+G42+H44+H45+H46</f>
        <v>359901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>
        <v>16</v>
      </c>
      <c r="D50" s="12">
        <f>C50*1.5</f>
        <v>24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148</v>
      </c>
      <c r="G51" s="163">
        <f>G49-H29</f>
        <v>3377.5</v>
      </c>
      <c r="H51" s="164"/>
      <c r="I51" s="164"/>
      <c r="J51" s="1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166"/>
      <c r="H52" s="167"/>
      <c r="I52" s="167"/>
      <c r="J52" s="1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61642.5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D0D82-F1B5-43AA-9E9E-DB984341959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9" t="s">
        <v>1</v>
      </c>
      <c r="O1" s="229"/>
      <c r="P1" s="106" t="s">
        <v>2</v>
      </c>
      <c r="Q1" s="10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0" t="s">
        <v>7</v>
      </c>
      <c r="B4" s="181"/>
      <c r="C4" s="181"/>
      <c r="D4" s="182"/>
      <c r="F4" s="230" t="s">
        <v>8</v>
      </c>
      <c r="G4" s="232"/>
      <c r="H4" s="234" t="s">
        <v>9</v>
      </c>
      <c r="I4" s="236"/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5"/>
      <c r="B6" s="16"/>
      <c r="C6" s="10"/>
      <c r="D6" s="13">
        <f t="shared" ref="D6:D28" si="1">C6*L6</f>
        <v>0</v>
      </c>
      <c r="F6" s="240" t="s">
        <v>16</v>
      </c>
      <c r="G6" s="242"/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5"/>
      <c r="B7" s="16"/>
      <c r="C7" s="10"/>
      <c r="D7" s="13">
        <f t="shared" si="1"/>
        <v>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5"/>
      <c r="B8" s="16"/>
      <c r="C8" s="10"/>
      <c r="D8" s="13">
        <f t="shared" si="1"/>
        <v>0</v>
      </c>
      <c r="F8" s="248" t="s">
        <v>21</v>
      </c>
      <c r="G8" s="249"/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5"/>
      <c r="B9" s="16"/>
      <c r="C9" s="10"/>
      <c r="D9" s="13">
        <f t="shared" si="1"/>
        <v>0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5"/>
      <c r="C10" s="10"/>
      <c r="D10" s="13">
        <f t="shared" si="1"/>
        <v>0</v>
      </c>
      <c r="F10" s="240" t="s">
        <v>26</v>
      </c>
      <c r="G10" s="255"/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9" ht="15.75" x14ac:dyDescent="0.25">
      <c r="A11" s="175"/>
      <c r="B11" s="17"/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5"/>
      <c r="B12" s="17"/>
      <c r="C12" s="10"/>
      <c r="D12" s="48">
        <f t="shared" si="1"/>
        <v>0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5"/>
      <c r="B13" s="17"/>
      <c r="C13" s="10"/>
      <c r="D13" s="48">
        <f t="shared" si="1"/>
        <v>0</v>
      </c>
      <c r="F13" s="261" t="s">
        <v>36</v>
      </c>
      <c r="G13" s="225"/>
      <c r="H13" s="216">
        <f>D29</f>
        <v>0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5"/>
      <c r="B14" s="14"/>
      <c r="C14" s="10"/>
      <c r="D14" s="31">
        <f t="shared" si="1"/>
        <v>0</v>
      </c>
      <c r="F14" s="219" t="s">
        <v>39</v>
      </c>
      <c r="G14" s="220"/>
      <c r="H14" s="221">
        <f>D54</f>
        <v>0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5"/>
      <c r="B15" s="14"/>
      <c r="C15" s="10"/>
      <c r="D15" s="31">
        <f t="shared" si="1"/>
        <v>0</v>
      </c>
      <c r="F15" s="224" t="s">
        <v>40</v>
      </c>
      <c r="G15" s="225"/>
      <c r="H15" s="226">
        <f>H13-H14</f>
        <v>0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C17" s="10"/>
      <c r="D17" s="48">
        <f t="shared" si="1"/>
        <v>0</v>
      </c>
      <c r="F17" s="56"/>
      <c r="G17" s="66" t="s">
        <v>45</v>
      </c>
      <c r="H17" s="197"/>
      <c r="I17" s="197"/>
      <c r="J17" s="19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/>
      <c r="C18" s="10"/>
      <c r="D18" s="48">
        <f t="shared" si="1"/>
        <v>0</v>
      </c>
      <c r="F18" s="56"/>
      <c r="G18" s="66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/>
      <c r="C19" s="10"/>
      <c r="D19" s="48">
        <f t="shared" si="1"/>
        <v>0</v>
      </c>
      <c r="F19" s="56"/>
      <c r="G19" s="68" t="s">
        <v>50</v>
      </c>
      <c r="H19" s="198"/>
      <c r="I19" s="198"/>
      <c r="J19" s="19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/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/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/>
      <c r="C23" s="10"/>
      <c r="D23" s="48">
        <f t="shared" si="1"/>
        <v>0</v>
      </c>
      <c r="F23" s="78"/>
      <c r="G23" s="79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/>
      <c r="C24" s="10"/>
      <c r="D24" s="48">
        <f t="shared" si="1"/>
        <v>0</v>
      </c>
      <c r="F24" s="38"/>
      <c r="G24" s="37"/>
      <c r="H24" s="203"/>
      <c r="I24" s="172"/>
      <c r="J24" s="17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4" t="s">
        <v>13</v>
      </c>
      <c r="I25" s="205"/>
      <c r="J25" s="20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/>
      <c r="C26" s="10"/>
      <c r="D26" s="48">
        <f t="shared" si="1"/>
        <v>0</v>
      </c>
      <c r="F26" s="64"/>
      <c r="G26" s="59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/>
      <c r="C27" s="10"/>
      <c r="D27" s="44">
        <f t="shared" si="1"/>
        <v>0</v>
      </c>
      <c r="F27" s="25"/>
      <c r="G27" s="80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/>
      <c r="C28" s="10"/>
      <c r="D28" s="48">
        <f t="shared" si="1"/>
        <v>0</v>
      </c>
      <c r="F28" s="107"/>
      <c r="G28" s="61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0</v>
      </c>
      <c r="F29" s="133" t="s">
        <v>55</v>
      </c>
      <c r="G29" s="195"/>
      <c r="H29" s="155">
        <f>H15-H16-H17-H18-H19-H20-H22-H23-H24+H26+H27</f>
        <v>0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7"/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8">
        <v>500</v>
      </c>
      <c r="G35" s="41"/>
      <c r="H35" s="177"/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/>
      <c r="H36" s="177"/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7"/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/>
      <c r="D38" s="12">
        <f>C38*84</f>
        <v>0</v>
      </c>
      <c r="F38" s="30">
        <v>50</v>
      </c>
      <c r="G38" s="39"/>
      <c r="H38" s="177"/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/>
      <c r="D39" s="31">
        <f>C39*4.5</f>
        <v>0</v>
      </c>
      <c r="F39" s="12">
        <v>20</v>
      </c>
      <c r="G39" s="37"/>
      <c r="H39" s="177"/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/>
      <c r="D42" s="12">
        <f>C42*2.25</f>
        <v>0</v>
      </c>
      <c r="F42" s="39" t="s">
        <v>79</v>
      </c>
      <c r="G42" s="177"/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59" t="s">
        <v>82</v>
      </c>
      <c r="G43" s="110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/>
      <c r="D44" s="12">
        <f>C44*120</f>
        <v>0</v>
      </c>
      <c r="F44" s="37"/>
      <c r="G44" s="76"/>
      <c r="H44" s="172"/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/>
      <c r="G45" s="76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1"/>
      <c r="D46" s="12">
        <f>C46*1.5</f>
        <v>0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59"/>
      <c r="G47" s="59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/>
      <c r="D48" s="12">
        <f>C48*78</f>
        <v>0</v>
      </c>
      <c r="F48" s="59"/>
      <c r="G48" s="59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/>
      <c r="D49" s="12">
        <f>C49*42</f>
        <v>0</v>
      </c>
      <c r="F49" s="153" t="s">
        <v>86</v>
      </c>
      <c r="G49" s="155">
        <f>H34+H35+H36+H37+H38+H39+H40+H41+G42+H44+H45+H46</f>
        <v>0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/>
      <c r="D50" s="12">
        <f>C50*1.5</f>
        <v>0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128</v>
      </c>
      <c r="G51" s="163">
        <f>G49-H29</f>
        <v>0</v>
      </c>
      <c r="H51" s="164"/>
      <c r="I51" s="164"/>
      <c r="J51" s="1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166"/>
      <c r="H52" s="167"/>
      <c r="I52" s="167"/>
      <c r="J52" s="1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0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DE8B0-EC51-489D-BD2E-CDD4A1CD7C1D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1</v>
      </c>
      <c r="H4" s="234" t="s">
        <v>9</v>
      </c>
      <c r="I4" s="236">
        <v>46007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84">
        <v>295</v>
      </c>
      <c r="D6" s="13">
        <f t="shared" ref="D6:D28" si="1">C6*L6</f>
        <v>217415</v>
      </c>
      <c r="F6" s="240" t="s">
        <v>16</v>
      </c>
      <c r="G6" s="242" t="s">
        <v>129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84">
        <v>6</v>
      </c>
      <c r="D7" s="13">
        <f t="shared" si="1"/>
        <v>4350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84"/>
      <c r="D8" s="13">
        <f t="shared" si="1"/>
        <v>0</v>
      </c>
      <c r="F8" s="248" t="s">
        <v>21</v>
      </c>
      <c r="G8" s="249" t="s">
        <v>112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84">
        <v>31</v>
      </c>
      <c r="D9" s="13">
        <f t="shared" si="1"/>
        <v>21917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84"/>
      <c r="D10" s="13">
        <f t="shared" si="1"/>
        <v>0</v>
      </c>
      <c r="F10" s="240" t="s">
        <v>26</v>
      </c>
      <c r="G10" s="255" t="s">
        <v>130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84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84">
        <v>2</v>
      </c>
      <c r="D12" s="48">
        <f t="shared" si="1"/>
        <v>1904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84">
        <v>7</v>
      </c>
      <c r="D13" s="48">
        <f t="shared" si="1"/>
        <v>2149</v>
      </c>
      <c r="F13" s="261" t="s">
        <v>36</v>
      </c>
      <c r="G13" s="225"/>
      <c r="H13" s="216">
        <f>D29</f>
        <v>250143.5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84">
        <v>14</v>
      </c>
      <c r="D14" s="31">
        <f t="shared" si="1"/>
        <v>154</v>
      </c>
      <c r="F14" s="219" t="s">
        <v>39</v>
      </c>
      <c r="G14" s="220"/>
      <c r="H14" s="221">
        <f>D54</f>
        <v>34743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84"/>
      <c r="D15" s="31">
        <f t="shared" si="1"/>
        <v>0</v>
      </c>
      <c r="F15" s="224" t="s">
        <v>40</v>
      </c>
      <c r="G15" s="225"/>
      <c r="H15" s="226">
        <f>H13-H14</f>
        <v>215400.5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138</v>
      </c>
      <c r="C17" s="84"/>
      <c r="D17" s="48">
        <f t="shared" si="1"/>
        <v>0</v>
      </c>
      <c r="F17" s="56"/>
      <c r="G17" s="66" t="s">
        <v>45</v>
      </c>
      <c r="H17" s="197"/>
      <c r="I17" s="197"/>
      <c r="J17" s="19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97"/>
      <c r="I19" s="197"/>
      <c r="J19" s="197"/>
      <c r="L19" s="6">
        <v>1102</v>
      </c>
      <c r="Q19" s="4"/>
      <c r="R19" s="5">
        <f t="shared" si="0"/>
        <v>0</v>
      </c>
    </row>
    <row r="20" spans="1:18" ht="15.75" x14ac:dyDescent="0.25">
      <c r="A20" s="175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136</v>
      </c>
      <c r="C21" s="84">
        <f>1+1</f>
        <v>2</v>
      </c>
      <c r="D21" s="48">
        <f t="shared" si="1"/>
        <v>1300</v>
      </c>
      <c r="F21" s="69" t="s">
        <v>99</v>
      </c>
      <c r="G21" s="82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127</v>
      </c>
      <c r="C22" s="84"/>
      <c r="D22" s="48">
        <f t="shared" si="1"/>
        <v>0</v>
      </c>
      <c r="F22" s="77"/>
      <c r="G22" s="73"/>
      <c r="H22" s="202"/>
      <c r="I22" s="202"/>
      <c r="J22" s="20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101</v>
      </c>
      <c r="C23" s="84"/>
      <c r="D23" s="48">
        <f t="shared" si="1"/>
        <v>0</v>
      </c>
      <c r="F23" s="77"/>
      <c r="G23" s="79"/>
      <c r="H23" s="262"/>
      <c r="I23" s="263"/>
      <c r="J23" s="26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121</v>
      </c>
      <c r="C24" s="84"/>
      <c r="D24" s="48">
        <f t="shared" si="1"/>
        <v>0</v>
      </c>
      <c r="F24" s="77"/>
      <c r="G24" s="79"/>
      <c r="H24" s="262"/>
      <c r="I24" s="263"/>
      <c r="J24" s="26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179</v>
      </c>
      <c r="C25" s="84">
        <v>12</v>
      </c>
      <c r="D25" s="48">
        <f t="shared" si="1"/>
        <v>520.5</v>
      </c>
      <c r="F25" s="60" t="s">
        <v>100</v>
      </c>
      <c r="G25" s="55" t="s">
        <v>98</v>
      </c>
      <c r="H25" s="204" t="s">
        <v>13</v>
      </c>
      <c r="I25" s="205"/>
      <c r="J25" s="206"/>
      <c r="L25" s="47">
        <f>1005/24+1.5</f>
        <v>43.375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143</v>
      </c>
      <c r="C26" s="84">
        <v>12</v>
      </c>
      <c r="D26" s="48">
        <f t="shared" si="1"/>
        <v>434</v>
      </c>
      <c r="F26" s="75"/>
      <c r="G26" s="65"/>
      <c r="H26" s="172"/>
      <c r="I26" s="172"/>
      <c r="J26" s="17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110</v>
      </c>
      <c r="C27" s="84"/>
      <c r="D27" s="44">
        <f t="shared" si="1"/>
        <v>0</v>
      </c>
      <c r="F27" s="71"/>
      <c r="G27" s="110"/>
      <c r="H27" s="264"/>
      <c r="I27" s="265"/>
      <c r="J27" s="26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84"/>
      <c r="D28" s="48">
        <f t="shared" si="1"/>
        <v>0</v>
      </c>
      <c r="F28" s="107"/>
      <c r="G28" s="61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250143.5</v>
      </c>
      <c r="F29" s="133" t="s">
        <v>55</v>
      </c>
      <c r="G29" s="195"/>
      <c r="H29" s="155">
        <f>H15-H16-H17-H18-H19-H20-H22-H23-H24+H26+H27+H28</f>
        <v>215400.5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195</v>
      </c>
      <c r="H34" s="177">
        <f t="shared" ref="H34:H39" si="2">F34*G34</f>
        <v>195000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8">
        <v>500</v>
      </c>
      <c r="G35" s="41">
        <v>32</v>
      </c>
      <c r="H35" s="177">
        <f t="shared" si="2"/>
        <v>16000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/>
      <c r="H36" s="177">
        <f t="shared" si="2"/>
        <v>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>
        <v>292</v>
      </c>
      <c r="D37" s="12">
        <f>C37*111</f>
        <v>32412</v>
      </c>
      <c r="F37" s="12">
        <v>100</v>
      </c>
      <c r="G37" s="39">
        <v>4</v>
      </c>
      <c r="H37" s="177">
        <f t="shared" si="2"/>
        <v>400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>
        <v>7</v>
      </c>
      <c r="D38" s="12">
        <f>C38*84</f>
        <v>588</v>
      </c>
      <c r="F38" s="30">
        <v>50</v>
      </c>
      <c r="G38" s="39">
        <v>3</v>
      </c>
      <c r="H38" s="177">
        <f t="shared" si="2"/>
        <v>150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177">
        <f t="shared" si="2"/>
        <v>20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>
        <v>4</v>
      </c>
      <c r="D42" s="12">
        <f>C42*2.25</f>
        <v>9</v>
      </c>
      <c r="F42" s="39" t="s">
        <v>79</v>
      </c>
      <c r="G42" s="177">
        <v>2608</v>
      </c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59" t="s">
        <v>82</v>
      </c>
      <c r="G43" s="110" t="s">
        <v>83</v>
      </c>
      <c r="H43" s="169" t="s">
        <v>13</v>
      </c>
      <c r="I43" s="170"/>
      <c r="J43" s="17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8"/>
      <c r="B44" s="27" t="s">
        <v>66</v>
      </c>
      <c r="C44" s="10">
        <v>2</v>
      </c>
      <c r="D44" s="12">
        <f>C44*120</f>
        <v>240</v>
      </c>
      <c r="F44" s="37" t="s">
        <v>145</v>
      </c>
      <c r="G44" s="62"/>
      <c r="H44" s="172">
        <v>1485</v>
      </c>
      <c r="I44" s="172"/>
      <c r="J44" s="17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48"/>
      <c r="B45" s="27" t="s">
        <v>68</v>
      </c>
      <c r="C45" s="33">
        <v>1</v>
      </c>
      <c r="D45" s="12">
        <f>C45*84</f>
        <v>84</v>
      </c>
      <c r="F45" s="37"/>
      <c r="G45" s="62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1">
        <v>8</v>
      </c>
      <c r="D46" s="12">
        <f>C46*1.5</f>
        <v>12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59"/>
      <c r="G47" s="59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/>
      <c r="D49" s="12">
        <f>C49*42</f>
        <v>0</v>
      </c>
      <c r="F49" s="153" t="s">
        <v>86</v>
      </c>
      <c r="G49" s="155">
        <f>H34+H35+H36+H37+H38+H39+H40+H41+G42+H44+H45+H46</f>
        <v>215663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>
        <v>4</v>
      </c>
      <c r="D50" s="12">
        <f>C50*1.5</f>
        <v>6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148</v>
      </c>
      <c r="G51" s="163">
        <f>G49-H29</f>
        <v>262.5</v>
      </c>
      <c r="H51" s="164"/>
      <c r="I51" s="164"/>
      <c r="J51" s="1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166"/>
      <c r="H52" s="167"/>
      <c r="I52" s="167"/>
      <c r="J52" s="1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34743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309BCD-5D02-4C90-A466-405BA1557CE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2</v>
      </c>
      <c r="H4" s="234" t="s">
        <v>9</v>
      </c>
      <c r="I4" s="236">
        <v>46007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10">
        <v>384</v>
      </c>
      <c r="D6" s="13">
        <f t="shared" ref="D6:D28" si="1">C6*L6</f>
        <v>283008</v>
      </c>
      <c r="F6" s="240" t="s">
        <v>16</v>
      </c>
      <c r="G6" s="242" t="s">
        <v>141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10">
        <v>2</v>
      </c>
      <c r="D7" s="13">
        <f t="shared" si="1"/>
        <v>1450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10"/>
      <c r="D8" s="13">
        <f t="shared" si="1"/>
        <v>0</v>
      </c>
      <c r="F8" s="248" t="s">
        <v>21</v>
      </c>
      <c r="G8" s="249" t="s">
        <v>114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10">
        <v>64</v>
      </c>
      <c r="D9" s="13">
        <f t="shared" si="1"/>
        <v>45248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10">
        <v>2</v>
      </c>
      <c r="D10" s="13">
        <f t="shared" si="1"/>
        <v>1944</v>
      </c>
      <c r="F10" s="240" t="s">
        <v>26</v>
      </c>
      <c r="G10" s="255" t="s">
        <v>115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10">
        <v>1</v>
      </c>
      <c r="D12" s="48">
        <f t="shared" si="1"/>
        <v>952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10">
        <v>14</v>
      </c>
      <c r="D13" s="48">
        <f t="shared" si="1"/>
        <v>4298</v>
      </c>
      <c r="F13" s="261" t="s">
        <v>36</v>
      </c>
      <c r="G13" s="225"/>
      <c r="H13" s="216">
        <f>D29</f>
        <v>343740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10">
        <v>5</v>
      </c>
      <c r="D14" s="31">
        <f t="shared" si="1"/>
        <v>55</v>
      </c>
      <c r="F14" s="219" t="s">
        <v>39</v>
      </c>
      <c r="G14" s="220"/>
      <c r="H14" s="221">
        <f>D54</f>
        <v>42231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10"/>
      <c r="D15" s="31">
        <f t="shared" si="1"/>
        <v>0</v>
      </c>
      <c r="F15" s="224" t="s">
        <v>40</v>
      </c>
      <c r="G15" s="225"/>
      <c r="H15" s="226">
        <f>H13-H14</f>
        <v>301509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6">
        <f>654+1212</f>
        <v>1866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93</v>
      </c>
      <c r="C17" s="10"/>
      <c r="D17" s="48">
        <f t="shared" si="1"/>
        <v>0</v>
      </c>
      <c r="F17" s="56"/>
      <c r="G17" s="66" t="s">
        <v>45</v>
      </c>
      <c r="H17" s="197"/>
      <c r="I17" s="197"/>
      <c r="J17" s="19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2">
        <v>50</v>
      </c>
      <c r="I19" s="272"/>
      <c r="J19" s="27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111" t="s">
        <v>191</v>
      </c>
      <c r="C20" s="10">
        <f>1+1+2</f>
        <v>4</v>
      </c>
      <c r="D20" s="13">
        <f t="shared" si="1"/>
        <v>4700</v>
      </c>
      <c r="F20" s="57"/>
      <c r="G20" s="70" t="s">
        <v>120</v>
      </c>
      <c r="H20" s="197"/>
      <c r="I20" s="197"/>
      <c r="J20" s="19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104</v>
      </c>
      <c r="C22" s="10"/>
      <c r="D22" s="48">
        <f t="shared" si="1"/>
        <v>0</v>
      </c>
      <c r="F22" s="72"/>
      <c r="G22" s="73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107</v>
      </c>
      <c r="C23" s="10"/>
      <c r="D23" s="48">
        <f t="shared" si="1"/>
        <v>0</v>
      </c>
      <c r="F23" s="25"/>
      <c r="G23" s="37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123</v>
      </c>
      <c r="C24" s="10"/>
      <c r="D24" s="48">
        <f t="shared" si="1"/>
        <v>0</v>
      </c>
      <c r="F24" s="38"/>
      <c r="G24" s="37"/>
      <c r="H24" s="203"/>
      <c r="I24" s="172"/>
      <c r="J24" s="17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4" t="s">
        <v>13</v>
      </c>
      <c r="I25" s="205"/>
      <c r="J25" s="20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105</v>
      </c>
      <c r="C26" s="10"/>
      <c r="D26" s="48">
        <f t="shared" si="1"/>
        <v>0</v>
      </c>
      <c r="F26" s="64"/>
      <c r="G26" s="10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109</v>
      </c>
      <c r="C27" s="10"/>
      <c r="D27" s="44">
        <f t="shared" si="1"/>
        <v>0</v>
      </c>
      <c r="F27" s="14"/>
      <c r="G27" s="14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10">
        <v>1</v>
      </c>
      <c r="D28" s="48">
        <f t="shared" si="1"/>
        <v>785</v>
      </c>
      <c r="F28" s="107"/>
      <c r="G28" s="61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343740</v>
      </c>
      <c r="F29" s="133" t="s">
        <v>55</v>
      </c>
      <c r="G29" s="195"/>
      <c r="H29" s="155">
        <f>H15-H16-H17-H18-H19-H20-H22-H23-H24+H26+H27</f>
        <v>299593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147</v>
      </c>
      <c r="H34" s="177">
        <f>F34*G34</f>
        <v>147000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8">
        <v>500</v>
      </c>
      <c r="G35" s="41">
        <v>29</v>
      </c>
      <c r="H35" s="177">
        <f t="shared" ref="H35:H39" si="2">F35*G35</f>
        <v>14500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>
        <v>1</v>
      </c>
      <c r="D36" s="12">
        <f>C36*1.5</f>
        <v>1.5</v>
      </c>
      <c r="F36" s="12">
        <v>200</v>
      </c>
      <c r="G36" s="37"/>
      <c r="H36" s="177">
        <f>F36*G36</f>
        <v>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>
        <v>353</v>
      </c>
      <c r="D37" s="12">
        <f>C37*111</f>
        <v>39183</v>
      </c>
      <c r="F37" s="12">
        <v>100</v>
      </c>
      <c r="G37" s="39">
        <v>3</v>
      </c>
      <c r="H37" s="177">
        <f t="shared" si="2"/>
        <v>300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>
        <v>19</v>
      </c>
      <c r="D38" s="12">
        <f>C38*84</f>
        <v>1596</v>
      </c>
      <c r="F38" s="30">
        <v>50</v>
      </c>
      <c r="G38" s="39">
        <v>3</v>
      </c>
      <c r="H38" s="177">
        <f t="shared" si="2"/>
        <v>150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77">
        <f t="shared" si="2"/>
        <v>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>
        <v>14</v>
      </c>
      <c r="D42" s="12">
        <f>C42*2.25</f>
        <v>31.5</v>
      </c>
      <c r="F42" s="39" t="s">
        <v>79</v>
      </c>
      <c r="G42" s="177">
        <v>26</v>
      </c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59" t="s">
        <v>82</v>
      </c>
      <c r="G43" s="110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>
        <v>1</v>
      </c>
      <c r="D44" s="12">
        <f>C44*120</f>
        <v>120</v>
      </c>
      <c r="F44" s="37" t="s">
        <v>150</v>
      </c>
      <c r="G44" s="62" t="s">
        <v>193</v>
      </c>
      <c r="H44" s="172">
        <v>128917</v>
      </c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>
        <v>1</v>
      </c>
      <c r="D45" s="12">
        <f>C45*84</f>
        <v>84</v>
      </c>
      <c r="F45" s="37" t="s">
        <v>145</v>
      </c>
      <c r="G45" s="62"/>
      <c r="H45" s="172">
        <v>8906</v>
      </c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1">
        <v>12</v>
      </c>
      <c r="D46" s="12">
        <f>C46*1.5</f>
        <v>18</v>
      </c>
      <c r="F46" s="37"/>
      <c r="G46" s="109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59"/>
      <c r="G47" s="59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>
        <v>6</v>
      </c>
      <c r="D49" s="12">
        <f>C49*42</f>
        <v>252</v>
      </c>
      <c r="F49" s="153" t="s">
        <v>86</v>
      </c>
      <c r="G49" s="155">
        <f>H34+H35+H36+H37+H38+H39+H40+H41+G42+H44+H45+H46</f>
        <v>299799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/>
      <c r="D50" s="12">
        <f>C50*1.5</f>
        <v>0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155</v>
      </c>
      <c r="G51" s="163">
        <f>G49-H29</f>
        <v>206</v>
      </c>
      <c r="H51" s="164"/>
      <c r="I51" s="164"/>
      <c r="J51" s="1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166"/>
      <c r="H52" s="167"/>
      <c r="I52" s="167"/>
      <c r="J52" s="1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42231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C138-D8DE-42AD-998A-48A2089851F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3</v>
      </c>
      <c r="H4" s="234" t="s">
        <v>9</v>
      </c>
      <c r="I4" s="236">
        <v>46007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10">
        <v>590</v>
      </c>
      <c r="D6" s="13">
        <f t="shared" ref="D6:D28" si="1">C6*L6</f>
        <v>434830</v>
      </c>
      <c r="F6" s="240" t="s">
        <v>16</v>
      </c>
      <c r="G6" s="242" t="s">
        <v>111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10">
        <v>5</v>
      </c>
      <c r="D7" s="13">
        <f t="shared" si="1"/>
        <v>3625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10"/>
      <c r="D8" s="13">
        <f t="shared" si="1"/>
        <v>0</v>
      </c>
      <c r="F8" s="248" t="s">
        <v>21</v>
      </c>
      <c r="G8" s="249" t="s">
        <v>119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10">
        <v>101</v>
      </c>
      <c r="D9" s="13">
        <f t="shared" si="1"/>
        <v>71407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10">
        <v>2</v>
      </c>
      <c r="D10" s="13">
        <f t="shared" si="1"/>
        <v>1944</v>
      </c>
      <c r="F10" s="240" t="s">
        <v>26</v>
      </c>
      <c r="G10" s="255" t="s">
        <v>135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10">
        <v>10</v>
      </c>
      <c r="D11" s="13">
        <f t="shared" si="1"/>
        <v>11250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10">
        <v>22</v>
      </c>
      <c r="D12" s="48">
        <f t="shared" si="1"/>
        <v>20944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10">
        <v>27</v>
      </c>
      <c r="D13" s="48">
        <f t="shared" si="1"/>
        <v>8289</v>
      </c>
      <c r="F13" s="261" t="s">
        <v>36</v>
      </c>
      <c r="G13" s="225"/>
      <c r="H13" s="216">
        <f>D29</f>
        <v>553085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10">
        <v>1</v>
      </c>
      <c r="D14" s="31">
        <f t="shared" si="1"/>
        <v>11</v>
      </c>
      <c r="F14" s="219" t="s">
        <v>39</v>
      </c>
      <c r="G14" s="220"/>
      <c r="H14" s="221">
        <f>D54</f>
        <v>75510.75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10"/>
      <c r="D15" s="31">
        <f t="shared" si="1"/>
        <v>0</v>
      </c>
      <c r="F15" s="224" t="s">
        <v>40</v>
      </c>
      <c r="G15" s="225"/>
      <c r="H15" s="226">
        <f>H13-H14</f>
        <v>477574.25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6">
        <f>2946+1140</f>
        <v>4086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113</v>
      </c>
      <c r="C17" s="10"/>
      <c r="D17" s="48">
        <f t="shared" si="1"/>
        <v>0</v>
      </c>
      <c r="F17" s="56"/>
      <c r="G17" s="66" t="s">
        <v>45</v>
      </c>
      <c r="H17" s="197"/>
      <c r="I17" s="197"/>
      <c r="J17" s="19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2"/>
      <c r="I19" s="272"/>
      <c r="J19" s="27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104</v>
      </c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107</v>
      </c>
      <c r="C23" s="10"/>
      <c r="D23" s="48">
        <f t="shared" si="1"/>
        <v>0</v>
      </c>
      <c r="F23" s="78"/>
      <c r="G23" s="79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101</v>
      </c>
      <c r="C24" s="10"/>
      <c r="D24" s="48">
        <f t="shared" si="1"/>
        <v>0</v>
      </c>
      <c r="F24" s="38"/>
      <c r="G24" s="37"/>
      <c r="H24" s="203"/>
      <c r="I24" s="172"/>
      <c r="J24" s="17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4" t="s">
        <v>13</v>
      </c>
      <c r="I25" s="205"/>
      <c r="J25" s="20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105</v>
      </c>
      <c r="C26" s="10"/>
      <c r="D26" s="48">
        <f t="shared" si="1"/>
        <v>0</v>
      </c>
      <c r="F26" s="64"/>
      <c r="G26" s="59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109</v>
      </c>
      <c r="C27" s="10"/>
      <c r="D27" s="44">
        <f t="shared" si="1"/>
        <v>0</v>
      </c>
      <c r="F27" s="25"/>
      <c r="G27" s="80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10">
        <v>1</v>
      </c>
      <c r="D28" s="48">
        <f t="shared" si="1"/>
        <v>785</v>
      </c>
      <c r="F28" s="107"/>
      <c r="G28" s="61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553085</v>
      </c>
      <c r="F29" s="133" t="s">
        <v>55</v>
      </c>
      <c r="G29" s="195"/>
      <c r="H29" s="155">
        <f>H15-H16-H17-H18-H19-H20-H22-H23-H24+H26+H27</f>
        <v>473488.25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>
        <v>4</v>
      </c>
      <c r="D34" s="30">
        <f>C34*120</f>
        <v>480</v>
      </c>
      <c r="F34" s="12">
        <v>1000</v>
      </c>
      <c r="G34" s="74">
        <v>146</v>
      </c>
      <c r="H34" s="177">
        <f>F34*G34</f>
        <v>146000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8">
        <v>500</v>
      </c>
      <c r="G35" s="41">
        <v>41</v>
      </c>
      <c r="H35" s="177">
        <f>F35*G35</f>
        <v>20500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/>
      <c r="H36" s="177">
        <f t="shared" ref="H36:H39" si="2">F36*G36</f>
        <v>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>
        <v>629</v>
      </c>
      <c r="D37" s="12">
        <f>C37*111</f>
        <v>69819</v>
      </c>
      <c r="F37" s="12">
        <v>100</v>
      </c>
      <c r="G37" s="39">
        <v>4</v>
      </c>
      <c r="H37" s="177">
        <f t="shared" si="2"/>
        <v>400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</v>
      </c>
      <c r="H38" s="177">
        <f t="shared" si="2"/>
        <v>50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/>
      <c r="D39" s="31">
        <f>C39*4.5</f>
        <v>0</v>
      </c>
      <c r="F39" s="12">
        <v>20</v>
      </c>
      <c r="G39" s="37"/>
      <c r="H39" s="177">
        <f t="shared" si="2"/>
        <v>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3">
        <v>15</v>
      </c>
      <c r="D40" s="12">
        <f>C40*111</f>
        <v>1665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77">
        <v>25</v>
      </c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59" t="s">
        <v>82</v>
      </c>
      <c r="G43" s="110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>
        <v>8</v>
      </c>
      <c r="D44" s="12">
        <f>C44*120</f>
        <v>960</v>
      </c>
      <c r="F44" s="37" t="s">
        <v>163</v>
      </c>
      <c r="G44" s="76" t="s">
        <v>192</v>
      </c>
      <c r="H44" s="172">
        <v>305278</v>
      </c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>
        <v>3</v>
      </c>
      <c r="D45" s="12">
        <f>C45*84</f>
        <v>252</v>
      </c>
      <c r="F45" s="37"/>
      <c r="G45" s="76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1">
        <v>6</v>
      </c>
      <c r="D46" s="12">
        <f>C46*1.5</f>
        <v>9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59"/>
      <c r="G47" s="59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>
        <v>24</v>
      </c>
      <c r="D48" s="12">
        <f>C48*78</f>
        <v>1872</v>
      </c>
      <c r="F48" s="59"/>
      <c r="G48" s="59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>
        <v>4</v>
      </c>
      <c r="D49" s="12">
        <f>C49*42</f>
        <v>168</v>
      </c>
      <c r="F49" s="153" t="s">
        <v>86</v>
      </c>
      <c r="G49" s="155">
        <f>H34+H35+H36+H37+H38+H39+H40+H41+G42+H44+H45+H46</f>
        <v>472253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>
        <v>6</v>
      </c>
      <c r="D50" s="12">
        <f>C50*1.5</f>
        <v>9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140</v>
      </c>
      <c r="G51" s="266">
        <f>G49-H29</f>
        <v>-1235.25</v>
      </c>
      <c r="H51" s="267"/>
      <c r="I51" s="267"/>
      <c r="J51" s="26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269"/>
      <c r="H52" s="270"/>
      <c r="I52" s="270"/>
      <c r="J52" s="27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75510.75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0CC24-DAC2-49E4-9080-A4A43D6C765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9" t="s">
        <v>1</v>
      </c>
      <c r="O1" s="229"/>
      <c r="P1" s="106" t="s">
        <v>2</v>
      </c>
      <c r="Q1" s="10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0" t="s">
        <v>7</v>
      </c>
      <c r="B4" s="181"/>
      <c r="C4" s="181"/>
      <c r="D4" s="182"/>
      <c r="F4" s="230" t="s">
        <v>8</v>
      </c>
      <c r="G4" s="232"/>
      <c r="H4" s="234" t="s">
        <v>9</v>
      </c>
      <c r="I4" s="236"/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5"/>
      <c r="B6" s="16"/>
      <c r="C6" s="10"/>
      <c r="D6" s="13">
        <f t="shared" ref="D6:D28" si="1">C6*L6</f>
        <v>0</v>
      </c>
      <c r="F6" s="240" t="s">
        <v>16</v>
      </c>
      <c r="G6" s="242"/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5"/>
      <c r="B7" s="16"/>
      <c r="C7" s="10"/>
      <c r="D7" s="13">
        <f t="shared" si="1"/>
        <v>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5"/>
      <c r="B8" s="16"/>
      <c r="C8" s="10"/>
      <c r="D8" s="13">
        <f t="shared" si="1"/>
        <v>0</v>
      </c>
      <c r="F8" s="248" t="s">
        <v>21</v>
      </c>
      <c r="G8" s="249"/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5"/>
      <c r="B9" s="16"/>
      <c r="C9" s="10"/>
      <c r="D9" s="13">
        <f t="shared" si="1"/>
        <v>0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5"/>
      <c r="C10" s="10"/>
      <c r="D10" s="13">
        <f t="shared" si="1"/>
        <v>0</v>
      </c>
      <c r="F10" s="240" t="s">
        <v>26</v>
      </c>
      <c r="G10" s="255"/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9" ht="15.75" x14ac:dyDescent="0.25">
      <c r="A11" s="175"/>
      <c r="B11" s="17"/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5"/>
      <c r="B12" s="17"/>
      <c r="C12" s="10"/>
      <c r="D12" s="48">
        <f t="shared" si="1"/>
        <v>0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5"/>
      <c r="B13" s="17"/>
      <c r="C13" s="10"/>
      <c r="D13" s="48">
        <f t="shared" si="1"/>
        <v>0</v>
      </c>
      <c r="F13" s="261" t="s">
        <v>36</v>
      </c>
      <c r="G13" s="225"/>
      <c r="H13" s="216">
        <f>D29</f>
        <v>0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5"/>
      <c r="B14" s="14"/>
      <c r="C14" s="10"/>
      <c r="D14" s="31">
        <f t="shared" si="1"/>
        <v>0</v>
      </c>
      <c r="F14" s="219" t="s">
        <v>39</v>
      </c>
      <c r="G14" s="220"/>
      <c r="H14" s="221">
        <f>D54</f>
        <v>0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5"/>
      <c r="B15" s="14"/>
      <c r="C15" s="10"/>
      <c r="D15" s="31">
        <f t="shared" si="1"/>
        <v>0</v>
      </c>
      <c r="F15" s="224" t="s">
        <v>40</v>
      </c>
      <c r="G15" s="225"/>
      <c r="H15" s="226">
        <f>H13-H14</f>
        <v>0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C17" s="10"/>
      <c r="D17" s="48">
        <f t="shared" si="1"/>
        <v>0</v>
      </c>
      <c r="F17" s="56"/>
      <c r="G17" s="66" t="s">
        <v>45</v>
      </c>
      <c r="H17" s="197"/>
      <c r="I17" s="197"/>
      <c r="J17" s="19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/>
      <c r="C18" s="10"/>
      <c r="D18" s="48">
        <f t="shared" si="1"/>
        <v>0</v>
      </c>
      <c r="F18" s="56"/>
      <c r="G18" s="66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/>
      <c r="C19" s="10"/>
      <c r="D19" s="48">
        <f t="shared" si="1"/>
        <v>0</v>
      </c>
      <c r="F19" s="56"/>
      <c r="G19" s="68" t="s">
        <v>50</v>
      </c>
      <c r="H19" s="198"/>
      <c r="I19" s="198"/>
      <c r="J19" s="19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/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/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/>
      <c r="C23" s="10"/>
      <c r="D23" s="48">
        <f t="shared" si="1"/>
        <v>0</v>
      </c>
      <c r="F23" s="78"/>
      <c r="G23" s="79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/>
      <c r="C24" s="10"/>
      <c r="D24" s="48">
        <f t="shared" si="1"/>
        <v>0</v>
      </c>
      <c r="F24" s="38"/>
      <c r="G24" s="37"/>
      <c r="H24" s="203"/>
      <c r="I24" s="172"/>
      <c r="J24" s="17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4" t="s">
        <v>13</v>
      </c>
      <c r="I25" s="205"/>
      <c r="J25" s="20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/>
      <c r="C26" s="10"/>
      <c r="D26" s="48">
        <f t="shared" si="1"/>
        <v>0</v>
      </c>
      <c r="F26" s="64"/>
      <c r="G26" s="59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/>
      <c r="C27" s="10"/>
      <c r="D27" s="44">
        <f t="shared" si="1"/>
        <v>0</v>
      </c>
      <c r="F27" s="25"/>
      <c r="G27" s="80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/>
      <c r="C28" s="10"/>
      <c r="D28" s="48">
        <f t="shared" si="1"/>
        <v>0</v>
      </c>
      <c r="F28" s="107"/>
      <c r="G28" s="61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0</v>
      </c>
      <c r="F29" s="133" t="s">
        <v>55</v>
      </c>
      <c r="G29" s="195"/>
      <c r="H29" s="155">
        <f>H15-H16-H17-H18-H19-H20-H22-H23-H24+H26+H27</f>
        <v>0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7"/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8">
        <v>500</v>
      </c>
      <c r="G35" s="41"/>
      <c r="H35" s="177"/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/>
      <c r="H36" s="177"/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7"/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/>
      <c r="D38" s="12">
        <f>C38*84</f>
        <v>0</v>
      </c>
      <c r="F38" s="30">
        <v>50</v>
      </c>
      <c r="G38" s="39"/>
      <c r="H38" s="177"/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/>
      <c r="D39" s="31">
        <f>C39*4.5</f>
        <v>0</v>
      </c>
      <c r="F39" s="12">
        <v>20</v>
      </c>
      <c r="G39" s="37"/>
      <c r="H39" s="177"/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/>
      <c r="D42" s="12">
        <f>C42*2.25</f>
        <v>0</v>
      </c>
      <c r="F42" s="39" t="s">
        <v>79</v>
      </c>
      <c r="G42" s="177"/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59" t="s">
        <v>82</v>
      </c>
      <c r="G43" s="110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/>
      <c r="D44" s="12">
        <f>C44*120</f>
        <v>0</v>
      </c>
      <c r="F44" s="37"/>
      <c r="G44" s="76"/>
      <c r="H44" s="172"/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/>
      <c r="G45" s="76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1"/>
      <c r="D46" s="12">
        <f>C46*1.5</f>
        <v>0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59"/>
      <c r="G47" s="59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/>
      <c r="D48" s="12">
        <f>C48*78</f>
        <v>0</v>
      </c>
      <c r="F48" s="59"/>
      <c r="G48" s="59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/>
      <c r="D49" s="12">
        <f>C49*42</f>
        <v>0</v>
      </c>
      <c r="F49" s="153" t="s">
        <v>86</v>
      </c>
      <c r="G49" s="155">
        <f>H34+H35+H36+H37+H38+H39+H40+H41+G42+H44+H45+H46</f>
        <v>0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/>
      <c r="D50" s="12">
        <f>C50*1.5</f>
        <v>0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128</v>
      </c>
      <c r="G51" s="163">
        <f>G49-H29</f>
        <v>0</v>
      </c>
      <c r="H51" s="164"/>
      <c r="I51" s="164"/>
      <c r="J51" s="1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166"/>
      <c r="H52" s="167"/>
      <c r="I52" s="167"/>
      <c r="J52" s="1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0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9EAED3-E71E-4B6B-AFC2-618AD06D83C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1</v>
      </c>
      <c r="H4" s="234" t="s">
        <v>9</v>
      </c>
      <c r="I4" s="236">
        <v>46008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84">
        <v>207</v>
      </c>
      <c r="D6" s="13">
        <f t="shared" ref="D6:D28" si="1">C6*L6</f>
        <v>152559</v>
      </c>
      <c r="F6" s="240" t="s">
        <v>16</v>
      </c>
      <c r="G6" s="242" t="s">
        <v>129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84">
        <v>7</v>
      </c>
      <c r="D7" s="13">
        <f t="shared" si="1"/>
        <v>5075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84">
        <v>2</v>
      </c>
      <c r="D8" s="13">
        <f t="shared" si="1"/>
        <v>2066</v>
      </c>
      <c r="F8" s="248" t="s">
        <v>21</v>
      </c>
      <c r="G8" s="249" t="s">
        <v>112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84">
        <v>18</v>
      </c>
      <c r="D9" s="13">
        <f t="shared" si="1"/>
        <v>12726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84">
        <f>3</f>
        <v>3</v>
      </c>
      <c r="D10" s="13">
        <f t="shared" si="1"/>
        <v>2916</v>
      </c>
      <c r="F10" s="240" t="s">
        <v>26</v>
      </c>
      <c r="G10" s="255" t="s">
        <v>130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84">
        <v>2</v>
      </c>
      <c r="D11" s="13">
        <f t="shared" si="1"/>
        <v>2250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84">
        <f>3</f>
        <v>3</v>
      </c>
      <c r="D12" s="48">
        <f t="shared" si="1"/>
        <v>2856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84">
        <v>7</v>
      </c>
      <c r="D13" s="48">
        <f t="shared" si="1"/>
        <v>2149</v>
      </c>
      <c r="F13" s="261" t="s">
        <v>36</v>
      </c>
      <c r="G13" s="225"/>
      <c r="H13" s="216">
        <f>D29</f>
        <v>185225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84">
        <v>8</v>
      </c>
      <c r="D14" s="31">
        <f t="shared" si="1"/>
        <v>88</v>
      </c>
      <c r="F14" s="219" t="s">
        <v>39</v>
      </c>
      <c r="G14" s="220"/>
      <c r="H14" s="221">
        <f>D54</f>
        <v>27961.5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84"/>
      <c r="D15" s="31">
        <f t="shared" si="1"/>
        <v>0</v>
      </c>
      <c r="F15" s="224" t="s">
        <v>40</v>
      </c>
      <c r="G15" s="225"/>
      <c r="H15" s="226">
        <f>H13-H14</f>
        <v>157263.5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138</v>
      </c>
      <c r="C17" s="84"/>
      <c r="D17" s="48">
        <f t="shared" si="1"/>
        <v>0</v>
      </c>
      <c r="F17" s="56"/>
      <c r="G17" s="66" t="s">
        <v>45</v>
      </c>
      <c r="H17" s="197"/>
      <c r="I17" s="197"/>
      <c r="J17" s="19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97"/>
      <c r="I19" s="197"/>
      <c r="J19" s="197"/>
      <c r="L19" s="6">
        <v>1102</v>
      </c>
      <c r="Q19" s="4"/>
      <c r="R19" s="5">
        <f t="shared" si="0"/>
        <v>0</v>
      </c>
    </row>
    <row r="20" spans="1:18" ht="15.75" x14ac:dyDescent="0.25">
      <c r="A20" s="175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136</v>
      </c>
      <c r="C21" s="84">
        <v>2</v>
      </c>
      <c r="D21" s="48">
        <f t="shared" si="1"/>
        <v>1300</v>
      </c>
      <c r="F21" s="69" t="s">
        <v>99</v>
      </c>
      <c r="G21" s="82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127</v>
      </c>
      <c r="C22" s="84"/>
      <c r="D22" s="48">
        <f t="shared" si="1"/>
        <v>0</v>
      </c>
      <c r="F22" s="77" t="s">
        <v>147</v>
      </c>
      <c r="G22" s="73">
        <v>7972</v>
      </c>
      <c r="H22" s="202">
        <v>76509</v>
      </c>
      <c r="I22" s="202"/>
      <c r="J22" s="20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101</v>
      </c>
      <c r="C23" s="84"/>
      <c r="D23" s="48">
        <f t="shared" si="1"/>
        <v>0</v>
      </c>
      <c r="F23" s="77"/>
      <c r="G23" s="79"/>
      <c r="H23" s="262"/>
      <c r="I23" s="263"/>
      <c r="J23" s="26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121</v>
      </c>
      <c r="C24" s="84"/>
      <c r="D24" s="48">
        <f t="shared" si="1"/>
        <v>0</v>
      </c>
      <c r="F24" s="77"/>
      <c r="G24" s="79"/>
      <c r="H24" s="262"/>
      <c r="I24" s="263"/>
      <c r="J24" s="26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204" t="s">
        <v>13</v>
      </c>
      <c r="I25" s="205"/>
      <c r="J25" s="20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137</v>
      </c>
      <c r="C26" s="84"/>
      <c r="D26" s="48">
        <f t="shared" si="1"/>
        <v>0</v>
      </c>
      <c r="F26" s="75" t="s">
        <v>147</v>
      </c>
      <c r="G26" s="65">
        <v>7830</v>
      </c>
      <c r="H26" s="172">
        <v>70727</v>
      </c>
      <c r="I26" s="172"/>
      <c r="J26" s="172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110</v>
      </c>
      <c r="C27" s="84"/>
      <c r="D27" s="44">
        <f t="shared" si="1"/>
        <v>0</v>
      </c>
      <c r="F27" s="71"/>
      <c r="G27" s="110"/>
      <c r="H27" s="264"/>
      <c r="I27" s="265"/>
      <c r="J27" s="26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84"/>
      <c r="D28" s="48">
        <f t="shared" si="1"/>
        <v>0</v>
      </c>
      <c r="F28" s="107"/>
      <c r="G28" s="61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185225</v>
      </c>
      <c r="F29" s="133" t="s">
        <v>55</v>
      </c>
      <c r="G29" s="195"/>
      <c r="H29" s="155">
        <f>H15-H16-H17-H18-H19-H20-H22-H23-H24+H26+H27+H28</f>
        <v>151481.5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40">
        <v>66</v>
      </c>
      <c r="H34" s="177">
        <f t="shared" ref="H34:H39" si="2">F34*G34</f>
        <v>66000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8">
        <v>500</v>
      </c>
      <c r="G35" s="41">
        <v>24</v>
      </c>
      <c r="H35" s="177">
        <f t="shared" si="2"/>
        <v>12000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>
        <v>15</v>
      </c>
      <c r="D36" s="12">
        <f>C36*1.5</f>
        <v>22.5</v>
      </c>
      <c r="F36" s="12">
        <v>200</v>
      </c>
      <c r="G36" s="37">
        <v>1</v>
      </c>
      <c r="H36" s="177">
        <f t="shared" si="2"/>
        <v>200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>
        <v>219</v>
      </c>
      <c r="D37" s="12">
        <f>C37*111</f>
        <v>24309</v>
      </c>
      <c r="F37" s="12">
        <v>100</v>
      </c>
      <c r="G37" s="39">
        <v>24</v>
      </c>
      <c r="H37" s="177">
        <f t="shared" si="2"/>
        <v>2400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9</v>
      </c>
      <c r="H38" s="177">
        <f t="shared" si="2"/>
        <v>450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177">
        <f t="shared" si="2"/>
        <v>20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>
        <v>7</v>
      </c>
      <c r="D41" s="12">
        <f>C41*84</f>
        <v>588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>
        <v>4</v>
      </c>
      <c r="D42" s="12">
        <f>C42*2.25</f>
        <v>9</v>
      </c>
      <c r="F42" s="39" t="s">
        <v>79</v>
      </c>
      <c r="G42" s="177">
        <v>262</v>
      </c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59" t="s">
        <v>82</v>
      </c>
      <c r="G43" s="110" t="s">
        <v>83</v>
      </c>
      <c r="H43" s="169" t="s">
        <v>13</v>
      </c>
      <c r="I43" s="170"/>
      <c r="J43" s="17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8"/>
      <c r="B44" s="27" t="s">
        <v>66</v>
      </c>
      <c r="C44" s="10">
        <v>7</v>
      </c>
      <c r="D44" s="12">
        <f>C44*120</f>
        <v>840</v>
      </c>
      <c r="F44" s="95" t="s">
        <v>200</v>
      </c>
      <c r="G44" s="105" t="s">
        <v>158</v>
      </c>
      <c r="H44" s="172">
        <v>70727</v>
      </c>
      <c r="I44" s="172"/>
      <c r="J44" s="17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48"/>
      <c r="B45" s="27" t="s">
        <v>68</v>
      </c>
      <c r="C45" s="33">
        <v>2</v>
      </c>
      <c r="D45" s="12">
        <f>C45*84</f>
        <v>168</v>
      </c>
      <c r="F45" s="37"/>
      <c r="G45" s="62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1">
        <v>20</v>
      </c>
      <c r="D46" s="12">
        <f>C46*1.5</f>
        <v>30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59"/>
      <c r="G47" s="59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/>
      <c r="D49" s="12">
        <f>C49*42</f>
        <v>0</v>
      </c>
      <c r="F49" s="153" t="s">
        <v>86</v>
      </c>
      <c r="G49" s="155">
        <f>H34+H35+H36+H37+H38+H39+H40+H41+G42+H44+H45+H46</f>
        <v>152059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>
        <v>17</v>
      </c>
      <c r="D50" s="12">
        <f>C50*1.5</f>
        <v>25.5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148</v>
      </c>
      <c r="G51" s="163">
        <f>G49-H29</f>
        <v>577.5</v>
      </c>
      <c r="H51" s="164"/>
      <c r="I51" s="164"/>
      <c r="J51" s="1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166"/>
      <c r="H52" s="167"/>
      <c r="I52" s="167"/>
      <c r="J52" s="1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27961.5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7A2E9-1AAA-4ABC-857C-59DD86C1655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2</v>
      </c>
      <c r="H4" s="234" t="s">
        <v>9</v>
      </c>
      <c r="I4" s="236">
        <v>46008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10">
        <v>543</v>
      </c>
      <c r="D6" s="13">
        <f t="shared" ref="D6:D28" si="1">C6*L6</f>
        <v>400191</v>
      </c>
      <c r="F6" s="240" t="s">
        <v>16</v>
      </c>
      <c r="G6" s="242" t="s">
        <v>141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10"/>
      <c r="D7" s="13">
        <f t="shared" si="1"/>
        <v>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10"/>
      <c r="D8" s="13">
        <f t="shared" si="1"/>
        <v>0</v>
      </c>
      <c r="F8" s="248" t="s">
        <v>21</v>
      </c>
      <c r="G8" s="249" t="s">
        <v>114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10">
        <v>108</v>
      </c>
      <c r="D9" s="13">
        <f t="shared" si="1"/>
        <v>76356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10"/>
      <c r="D10" s="13">
        <f t="shared" si="1"/>
        <v>0</v>
      </c>
      <c r="F10" s="240" t="s">
        <v>26</v>
      </c>
      <c r="G10" s="255" t="s">
        <v>115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10"/>
      <c r="D12" s="48">
        <f t="shared" si="1"/>
        <v>0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10">
        <v>27</v>
      </c>
      <c r="D13" s="48">
        <f t="shared" si="1"/>
        <v>8289</v>
      </c>
      <c r="F13" s="261" t="s">
        <v>36</v>
      </c>
      <c r="G13" s="225"/>
      <c r="H13" s="216">
        <f>D29</f>
        <v>487238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10"/>
      <c r="D14" s="31">
        <f t="shared" si="1"/>
        <v>0</v>
      </c>
      <c r="F14" s="219" t="s">
        <v>39</v>
      </c>
      <c r="G14" s="220"/>
      <c r="H14" s="221">
        <f>D54</f>
        <v>50415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10"/>
      <c r="D15" s="31">
        <f t="shared" si="1"/>
        <v>0</v>
      </c>
      <c r="F15" s="224" t="s">
        <v>40</v>
      </c>
      <c r="G15" s="225"/>
      <c r="H15" s="226">
        <f>H13-H14</f>
        <v>436823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6">
        <f>3894</f>
        <v>3894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93</v>
      </c>
      <c r="C17" s="10"/>
      <c r="D17" s="48">
        <f t="shared" si="1"/>
        <v>0</v>
      </c>
      <c r="F17" s="56"/>
      <c r="G17" s="66" t="s">
        <v>45</v>
      </c>
      <c r="H17" s="197"/>
      <c r="I17" s="197"/>
      <c r="J17" s="19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194</v>
      </c>
      <c r="C19" s="10">
        <v>1</v>
      </c>
      <c r="D19" s="48">
        <f t="shared" si="1"/>
        <v>1102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7"/>
      <c r="I20" s="197"/>
      <c r="J20" s="19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104</v>
      </c>
      <c r="C22" s="10"/>
      <c r="D22" s="48">
        <f t="shared" si="1"/>
        <v>0</v>
      </c>
      <c r="F22" s="72"/>
      <c r="G22" s="73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107</v>
      </c>
      <c r="C23" s="10"/>
      <c r="D23" s="48">
        <f t="shared" si="1"/>
        <v>0</v>
      </c>
      <c r="F23" s="25"/>
      <c r="G23" s="37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123</v>
      </c>
      <c r="C24" s="10"/>
      <c r="D24" s="48">
        <f t="shared" si="1"/>
        <v>0</v>
      </c>
      <c r="F24" s="38"/>
      <c r="G24" s="37"/>
      <c r="H24" s="203"/>
      <c r="I24" s="172"/>
      <c r="J24" s="17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4" t="s">
        <v>13</v>
      </c>
      <c r="I25" s="205"/>
      <c r="J25" s="20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105</v>
      </c>
      <c r="C26" s="10"/>
      <c r="D26" s="48">
        <f t="shared" si="1"/>
        <v>0</v>
      </c>
      <c r="F26" s="64"/>
      <c r="G26" s="10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109</v>
      </c>
      <c r="C27" s="10"/>
      <c r="D27" s="44">
        <f t="shared" si="1"/>
        <v>0</v>
      </c>
      <c r="F27" s="14"/>
      <c r="G27" s="14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10"/>
      <c r="D28" s="48">
        <f t="shared" si="1"/>
        <v>0</v>
      </c>
      <c r="F28" s="107"/>
      <c r="G28" s="61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487238</v>
      </c>
      <c r="F29" s="133" t="s">
        <v>55</v>
      </c>
      <c r="G29" s="195"/>
      <c r="H29" s="155">
        <f>H15-H16-H17-H18-H19-H20-H22-H23-H24+H26+H27</f>
        <v>432929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321</v>
      </c>
      <c r="H34" s="177">
        <f>F34*G34</f>
        <v>321000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8">
        <v>500</v>
      </c>
      <c r="G35" s="41">
        <v>224</v>
      </c>
      <c r="H35" s="177">
        <f t="shared" ref="H35:H39" si="2">F35*G35</f>
        <v>112000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/>
      <c r="H36" s="177">
        <f>F36*G36</f>
        <v>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>
        <v>426</v>
      </c>
      <c r="D37" s="12">
        <f>C37*111</f>
        <v>47286</v>
      </c>
      <c r="F37" s="12">
        <v>100</v>
      </c>
      <c r="G37" s="39"/>
      <c r="H37" s="177">
        <f t="shared" si="2"/>
        <v>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>
        <v>19</v>
      </c>
      <c r="D38" s="12">
        <f>C38*84</f>
        <v>1596</v>
      </c>
      <c r="F38" s="30">
        <v>50</v>
      </c>
      <c r="G38" s="39"/>
      <c r="H38" s="177">
        <f t="shared" si="2"/>
        <v>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/>
      <c r="D39" s="31">
        <f>C39*4.5</f>
        <v>0</v>
      </c>
      <c r="F39" s="12">
        <v>20</v>
      </c>
      <c r="G39" s="37"/>
      <c r="H39" s="177">
        <f t="shared" si="2"/>
        <v>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/>
      <c r="D42" s="12">
        <f>C42*2.25</f>
        <v>0</v>
      </c>
      <c r="F42" s="39" t="s">
        <v>79</v>
      </c>
      <c r="G42" s="177">
        <v>14</v>
      </c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59" t="s">
        <v>82</v>
      </c>
      <c r="G43" s="110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/>
      <c r="D44" s="12">
        <f>C44*120</f>
        <v>0</v>
      </c>
      <c r="F44" s="37"/>
      <c r="G44" s="62"/>
      <c r="H44" s="172"/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>
        <v>1</v>
      </c>
      <c r="D45" s="12">
        <f>C45*84</f>
        <v>84</v>
      </c>
      <c r="F45" s="37"/>
      <c r="G45" s="62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1"/>
      <c r="D46" s="12">
        <f>C46*1.5</f>
        <v>0</v>
      </c>
      <c r="F46" s="37"/>
      <c r="G46" s="109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59"/>
      <c r="G47" s="59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>
        <v>21</v>
      </c>
      <c r="D49" s="12">
        <f>C49*42</f>
        <v>882</v>
      </c>
      <c r="F49" s="153" t="s">
        <v>86</v>
      </c>
      <c r="G49" s="155">
        <f>H34+H35+H36+H37+H38+H39+H40+H41+G42+H44+H45+H46</f>
        <v>433014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/>
      <c r="D50" s="12">
        <f>C50*1.5</f>
        <v>0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155</v>
      </c>
      <c r="G51" s="163">
        <f>G49-H29</f>
        <v>85</v>
      </c>
      <c r="H51" s="164"/>
      <c r="I51" s="164"/>
      <c r="J51" s="1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166"/>
      <c r="H52" s="167"/>
      <c r="I52" s="167"/>
      <c r="J52" s="1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50415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22382-9A1B-48E8-961E-0EE1FFDEE10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3</v>
      </c>
      <c r="H4" s="234" t="s">
        <v>9</v>
      </c>
      <c r="I4" s="236">
        <v>46008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10">
        <v>1024</v>
      </c>
      <c r="D6" s="13">
        <f t="shared" ref="D6:D28" si="1">C6*L6</f>
        <v>754688</v>
      </c>
      <c r="F6" s="240" t="s">
        <v>16</v>
      </c>
      <c r="G6" s="242" t="s">
        <v>111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10">
        <v>90</v>
      </c>
      <c r="D7" s="13">
        <f t="shared" si="1"/>
        <v>65250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10"/>
      <c r="D8" s="13">
        <f t="shared" si="1"/>
        <v>0</v>
      </c>
      <c r="F8" s="248" t="s">
        <v>21</v>
      </c>
      <c r="G8" s="249" t="s">
        <v>119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10">
        <v>135</v>
      </c>
      <c r="D9" s="13">
        <f t="shared" si="1"/>
        <v>95445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10">
        <v>20</v>
      </c>
      <c r="D10" s="13">
        <f t="shared" si="1"/>
        <v>19440</v>
      </c>
      <c r="F10" s="240" t="s">
        <v>26</v>
      </c>
      <c r="G10" s="255" t="s">
        <v>135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10">
        <v>1</v>
      </c>
      <c r="D11" s="13">
        <f t="shared" si="1"/>
        <v>1125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10">
        <f>2+5</f>
        <v>7</v>
      </c>
      <c r="D12" s="48">
        <f t="shared" si="1"/>
        <v>6664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10">
        <v>6</v>
      </c>
      <c r="D13" s="48">
        <f t="shared" si="1"/>
        <v>1842</v>
      </c>
      <c r="F13" s="261" t="s">
        <v>36</v>
      </c>
      <c r="G13" s="225"/>
      <c r="H13" s="216">
        <f>D29</f>
        <v>1023540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10">
        <v>1</v>
      </c>
      <c r="D14" s="31">
        <f t="shared" si="1"/>
        <v>11</v>
      </c>
      <c r="F14" s="219" t="s">
        <v>39</v>
      </c>
      <c r="G14" s="220"/>
      <c r="H14" s="221">
        <f>D54</f>
        <v>73122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10">
        <f>5+10</f>
        <v>15</v>
      </c>
      <c r="D15" s="31">
        <f t="shared" si="1"/>
        <v>9300</v>
      </c>
      <c r="F15" s="224" t="s">
        <v>40</v>
      </c>
      <c r="G15" s="225"/>
      <c r="H15" s="226">
        <f>H13-H14</f>
        <v>950418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113</v>
      </c>
      <c r="C17" s="10">
        <v>1</v>
      </c>
      <c r="D17" s="48">
        <f t="shared" si="1"/>
        <v>1582</v>
      </c>
      <c r="F17" s="56"/>
      <c r="G17" s="66" t="s">
        <v>45</v>
      </c>
      <c r="H17" s="197"/>
      <c r="I17" s="197"/>
      <c r="J17" s="19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196</v>
      </c>
      <c r="C18" s="10">
        <f>2+1</f>
        <v>3</v>
      </c>
      <c r="D18" s="48">
        <f t="shared" si="1"/>
        <v>4701</v>
      </c>
      <c r="F18" s="56"/>
      <c r="G18" s="66" t="s">
        <v>47</v>
      </c>
      <c r="H18" s="197"/>
      <c r="I18" s="197"/>
      <c r="J18" s="197"/>
      <c r="L18" s="6">
        <f>1447+120</f>
        <v>1567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13" t="s">
        <v>197</v>
      </c>
      <c r="C19" s="10">
        <f>1+2+2</f>
        <v>5</v>
      </c>
      <c r="D19" s="48">
        <f t="shared" si="1"/>
        <v>5510</v>
      </c>
      <c r="F19" s="56"/>
      <c r="G19" s="68" t="s">
        <v>50</v>
      </c>
      <c r="H19" s="272"/>
      <c r="I19" s="272"/>
      <c r="J19" s="27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 t="s">
        <v>195</v>
      </c>
      <c r="C20" s="10">
        <v>1</v>
      </c>
      <c r="D20" s="13">
        <f t="shared" si="1"/>
        <v>1728</v>
      </c>
      <c r="F20" s="57"/>
      <c r="G20" s="70" t="s">
        <v>120</v>
      </c>
      <c r="H20" s="186"/>
      <c r="I20" s="186"/>
      <c r="J20" s="186"/>
      <c r="L20" s="6">
        <f>1728</f>
        <v>1728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126</v>
      </c>
      <c r="C21" s="10">
        <f>10+6</f>
        <v>16</v>
      </c>
      <c r="D21" s="48">
        <f t="shared" si="1"/>
        <v>10400</v>
      </c>
      <c r="F21" s="69" t="s">
        <v>99</v>
      </c>
      <c r="G21" s="82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104</v>
      </c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12" t="s">
        <v>199</v>
      </c>
      <c r="C23" s="10">
        <f>10+2+10</f>
        <v>22</v>
      </c>
      <c r="D23" s="48">
        <f t="shared" si="1"/>
        <v>25850</v>
      </c>
      <c r="F23" s="78"/>
      <c r="G23" s="79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101</v>
      </c>
      <c r="C24" s="10"/>
      <c r="D24" s="48">
        <f t="shared" si="1"/>
        <v>0</v>
      </c>
      <c r="F24" s="38"/>
      <c r="G24" s="37"/>
      <c r="H24" s="203"/>
      <c r="I24" s="172"/>
      <c r="J24" s="17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116</v>
      </c>
      <c r="C25" s="10">
        <v>1</v>
      </c>
      <c r="D25" s="48">
        <f t="shared" si="1"/>
        <v>1582</v>
      </c>
      <c r="F25" s="60" t="s">
        <v>100</v>
      </c>
      <c r="G25" s="55" t="s">
        <v>98</v>
      </c>
      <c r="H25" s="204" t="s">
        <v>13</v>
      </c>
      <c r="I25" s="205"/>
      <c r="J25" s="20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198</v>
      </c>
      <c r="C26" s="10">
        <v>1</v>
      </c>
      <c r="D26" s="48">
        <f t="shared" si="1"/>
        <v>1140</v>
      </c>
      <c r="F26" s="64"/>
      <c r="G26" s="59"/>
      <c r="H26" s="207"/>
      <c r="I26" s="208"/>
      <c r="J26" s="209"/>
      <c r="L26" s="7">
        <f>1020+120</f>
        <v>1140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109</v>
      </c>
      <c r="C27" s="10">
        <v>1</v>
      </c>
      <c r="D27" s="44">
        <f t="shared" si="1"/>
        <v>1582</v>
      </c>
      <c r="F27" s="25"/>
      <c r="G27" s="80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10">
        <v>20</v>
      </c>
      <c r="D28" s="48">
        <f t="shared" si="1"/>
        <v>15700</v>
      </c>
      <c r="F28" s="107"/>
      <c r="G28" s="61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1023540</v>
      </c>
      <c r="F29" s="133" t="s">
        <v>55</v>
      </c>
      <c r="G29" s="195"/>
      <c r="H29" s="155">
        <f>H15-H16-H17-H18-H19-H20-H22-H23-H24+H26+H27</f>
        <v>950418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115</v>
      </c>
      <c r="H34" s="177">
        <f>F34*G34</f>
        <v>115000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>
        <v>4</v>
      </c>
      <c r="D35" s="30">
        <f>C35*84</f>
        <v>336</v>
      </c>
      <c r="F35" s="58">
        <v>500</v>
      </c>
      <c r="G35" s="41">
        <v>26</v>
      </c>
      <c r="H35" s="177">
        <f>F35*G35</f>
        <v>13000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>
        <v>10</v>
      </c>
      <c r="D36" s="12">
        <f>C36*1.5</f>
        <v>15</v>
      </c>
      <c r="F36" s="12">
        <v>200</v>
      </c>
      <c r="G36" s="37">
        <v>22</v>
      </c>
      <c r="H36" s="177">
        <f t="shared" ref="H36:H39" si="2">F36*G36</f>
        <v>4400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>
        <v>353</v>
      </c>
      <c r="D37" s="12">
        <f>C37*111</f>
        <v>39183</v>
      </c>
      <c r="F37" s="12">
        <v>100</v>
      </c>
      <c r="G37" s="39">
        <v>92</v>
      </c>
      <c r="H37" s="177">
        <f t="shared" si="2"/>
        <v>9200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>
        <v>292</v>
      </c>
      <c r="D38" s="12">
        <f>C38*84</f>
        <v>24528</v>
      </c>
      <c r="F38" s="30">
        <v>50</v>
      </c>
      <c r="G38" s="39">
        <v>41</v>
      </c>
      <c r="H38" s="177">
        <f t="shared" si="2"/>
        <v>2050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>
        <v>7</v>
      </c>
      <c r="D39" s="31">
        <f>C39*4.5</f>
        <v>31.5</v>
      </c>
      <c r="F39" s="12">
        <v>20</v>
      </c>
      <c r="G39" s="37">
        <v>1</v>
      </c>
      <c r="H39" s="177">
        <f t="shared" si="2"/>
        <v>20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>
        <v>33</v>
      </c>
      <c r="D41" s="12">
        <f>C41*84</f>
        <v>2772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>
        <v>18</v>
      </c>
      <c r="D42" s="12">
        <f>C42*2.25</f>
        <v>40.5</v>
      </c>
      <c r="F42" s="39" t="s">
        <v>79</v>
      </c>
      <c r="G42" s="177">
        <v>64</v>
      </c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59" t="s">
        <v>82</v>
      </c>
      <c r="G43" s="110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>
        <v>4</v>
      </c>
      <c r="D44" s="12">
        <f>C44*120</f>
        <v>480</v>
      </c>
      <c r="F44" s="37" t="s">
        <v>150</v>
      </c>
      <c r="G44" s="76" t="s">
        <v>201</v>
      </c>
      <c r="H44" s="172">
        <v>786488</v>
      </c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>
        <v>48</v>
      </c>
      <c r="D45" s="12">
        <f>C45*84</f>
        <v>4032</v>
      </c>
      <c r="F45" s="96" t="s">
        <v>202</v>
      </c>
      <c r="G45" s="76"/>
      <c r="H45" s="172">
        <v>17430</v>
      </c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1">
        <v>16</v>
      </c>
      <c r="D46" s="12">
        <f>C46*1.5</f>
        <v>24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59"/>
      <c r="G47" s="59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>
        <v>1</v>
      </c>
      <c r="D49" s="12">
        <f>C49*42</f>
        <v>42</v>
      </c>
      <c r="F49" s="153" t="s">
        <v>86</v>
      </c>
      <c r="G49" s="155">
        <f>H34+H35+H36+H37+H38+H39+H40+H41+G42+H44+H45+H46</f>
        <v>947652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>
        <v>18</v>
      </c>
      <c r="D50" s="12">
        <f>C50*1.5</f>
        <v>27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140</v>
      </c>
      <c r="G51" s="266">
        <f>G49-H29</f>
        <v>-2766</v>
      </c>
      <c r="H51" s="267"/>
      <c r="I51" s="267"/>
      <c r="J51" s="26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269"/>
      <c r="H52" s="270"/>
      <c r="I52" s="270"/>
      <c r="J52" s="27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73122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A7DEF-F839-4D11-8BEF-F3238BE20117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9" t="s">
        <v>1</v>
      </c>
      <c r="O1" s="229"/>
      <c r="P1" s="106" t="s">
        <v>2</v>
      </c>
      <c r="Q1" s="10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0" t="s">
        <v>7</v>
      </c>
      <c r="B4" s="181"/>
      <c r="C4" s="181"/>
      <c r="D4" s="182"/>
      <c r="F4" s="230" t="s">
        <v>8</v>
      </c>
      <c r="G4" s="232"/>
      <c r="H4" s="234" t="s">
        <v>9</v>
      </c>
      <c r="I4" s="236"/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5"/>
      <c r="B6" s="16"/>
      <c r="C6" s="10"/>
      <c r="D6" s="13">
        <f t="shared" ref="D6:D28" si="1">C6*L6</f>
        <v>0</v>
      </c>
      <c r="F6" s="240" t="s">
        <v>16</v>
      </c>
      <c r="G6" s="242"/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5"/>
      <c r="B7" s="16"/>
      <c r="C7" s="10"/>
      <c r="D7" s="13">
        <f t="shared" si="1"/>
        <v>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5"/>
      <c r="B8" s="16"/>
      <c r="C8" s="10"/>
      <c r="D8" s="13">
        <f t="shared" si="1"/>
        <v>0</v>
      </c>
      <c r="F8" s="248" t="s">
        <v>21</v>
      </c>
      <c r="G8" s="249"/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5"/>
      <c r="B9" s="16"/>
      <c r="C9" s="10"/>
      <c r="D9" s="13">
        <f t="shared" si="1"/>
        <v>0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5"/>
      <c r="C10" s="10"/>
      <c r="D10" s="13">
        <f t="shared" si="1"/>
        <v>0</v>
      </c>
      <c r="F10" s="240" t="s">
        <v>26</v>
      </c>
      <c r="G10" s="255"/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9" ht="15.75" x14ac:dyDescent="0.25">
      <c r="A11" s="175"/>
      <c r="B11" s="17"/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5"/>
      <c r="B12" s="17"/>
      <c r="C12" s="10"/>
      <c r="D12" s="48">
        <f t="shared" si="1"/>
        <v>0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5"/>
      <c r="B13" s="17"/>
      <c r="C13" s="10"/>
      <c r="D13" s="48">
        <f t="shared" si="1"/>
        <v>0</v>
      </c>
      <c r="F13" s="261" t="s">
        <v>36</v>
      </c>
      <c r="G13" s="225"/>
      <c r="H13" s="216">
        <f>D29</f>
        <v>0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5"/>
      <c r="B14" s="14"/>
      <c r="C14" s="10"/>
      <c r="D14" s="31">
        <f t="shared" si="1"/>
        <v>0</v>
      </c>
      <c r="F14" s="219" t="s">
        <v>39</v>
      </c>
      <c r="G14" s="220"/>
      <c r="H14" s="221">
        <f>D54</f>
        <v>0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5"/>
      <c r="B15" s="14"/>
      <c r="C15" s="10"/>
      <c r="D15" s="31">
        <f t="shared" si="1"/>
        <v>0</v>
      </c>
      <c r="F15" s="224" t="s">
        <v>40</v>
      </c>
      <c r="G15" s="225"/>
      <c r="H15" s="226">
        <f>H13-H14</f>
        <v>0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C17" s="10"/>
      <c r="D17" s="48">
        <f t="shared" si="1"/>
        <v>0</v>
      </c>
      <c r="F17" s="56"/>
      <c r="G17" s="66" t="s">
        <v>45</v>
      </c>
      <c r="H17" s="197"/>
      <c r="I17" s="197"/>
      <c r="J17" s="19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/>
      <c r="C18" s="10"/>
      <c r="D18" s="48">
        <f t="shared" si="1"/>
        <v>0</v>
      </c>
      <c r="F18" s="56"/>
      <c r="G18" s="66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/>
      <c r="C19" s="10"/>
      <c r="D19" s="48">
        <f t="shared" si="1"/>
        <v>0</v>
      </c>
      <c r="F19" s="56"/>
      <c r="G19" s="68" t="s">
        <v>50</v>
      </c>
      <c r="H19" s="198"/>
      <c r="I19" s="198"/>
      <c r="J19" s="19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/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/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/>
      <c r="C23" s="10"/>
      <c r="D23" s="48">
        <f t="shared" si="1"/>
        <v>0</v>
      </c>
      <c r="F23" s="78"/>
      <c r="G23" s="79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/>
      <c r="C24" s="10"/>
      <c r="D24" s="48">
        <f t="shared" si="1"/>
        <v>0</v>
      </c>
      <c r="F24" s="38"/>
      <c r="G24" s="37"/>
      <c r="H24" s="203"/>
      <c r="I24" s="172"/>
      <c r="J24" s="17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4" t="s">
        <v>13</v>
      </c>
      <c r="I25" s="205"/>
      <c r="J25" s="20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/>
      <c r="C26" s="10"/>
      <c r="D26" s="48">
        <f t="shared" si="1"/>
        <v>0</v>
      </c>
      <c r="F26" s="64"/>
      <c r="G26" s="59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/>
      <c r="C27" s="10"/>
      <c r="D27" s="44">
        <f t="shared" si="1"/>
        <v>0</v>
      </c>
      <c r="F27" s="25"/>
      <c r="G27" s="80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/>
      <c r="C28" s="10"/>
      <c r="D28" s="48">
        <f t="shared" si="1"/>
        <v>0</v>
      </c>
      <c r="F28" s="107"/>
      <c r="G28" s="61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0</v>
      </c>
      <c r="F29" s="133" t="s">
        <v>55</v>
      </c>
      <c r="G29" s="195"/>
      <c r="H29" s="155">
        <f>H15-H16-H17-H18-H19-H20-H22-H23-H24+H26+H27</f>
        <v>0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7"/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8">
        <v>500</v>
      </c>
      <c r="G35" s="41"/>
      <c r="H35" s="177"/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/>
      <c r="H36" s="177"/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7"/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/>
      <c r="D38" s="12">
        <f>C38*84</f>
        <v>0</v>
      </c>
      <c r="F38" s="30">
        <v>50</v>
      </c>
      <c r="G38" s="39"/>
      <c r="H38" s="177"/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/>
      <c r="D39" s="31">
        <f>C39*4.5</f>
        <v>0</v>
      </c>
      <c r="F39" s="12">
        <v>20</v>
      </c>
      <c r="G39" s="37"/>
      <c r="H39" s="177"/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/>
      <c r="D42" s="12">
        <f>C42*2.25</f>
        <v>0</v>
      </c>
      <c r="F42" s="39" t="s">
        <v>79</v>
      </c>
      <c r="G42" s="177"/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59" t="s">
        <v>82</v>
      </c>
      <c r="G43" s="110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/>
      <c r="D44" s="12">
        <f>C44*120</f>
        <v>0</v>
      </c>
      <c r="F44" s="37"/>
      <c r="G44" s="76"/>
      <c r="H44" s="172"/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/>
      <c r="G45" s="76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1"/>
      <c r="D46" s="12">
        <f>C46*1.5</f>
        <v>0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59"/>
      <c r="G47" s="59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/>
      <c r="D48" s="12">
        <f>C48*78</f>
        <v>0</v>
      </c>
      <c r="F48" s="59"/>
      <c r="G48" s="59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/>
      <c r="D49" s="12">
        <f>C49*42</f>
        <v>0</v>
      </c>
      <c r="F49" s="153" t="s">
        <v>86</v>
      </c>
      <c r="G49" s="155">
        <f>H34+H35+H36+H37+H38+H39+H40+H41+G42+H44+H45+H46</f>
        <v>0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/>
      <c r="D50" s="12">
        <f>C50*1.5</f>
        <v>0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128</v>
      </c>
      <c r="G51" s="163">
        <f>G49-H29</f>
        <v>0</v>
      </c>
      <c r="H51" s="164"/>
      <c r="I51" s="164"/>
      <c r="J51" s="1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166"/>
      <c r="H52" s="167"/>
      <c r="I52" s="167"/>
      <c r="J52" s="1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0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9D960-F6DE-4522-9B80-C5DDADB3626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1</v>
      </c>
      <c r="H4" s="234" t="s">
        <v>9</v>
      </c>
      <c r="I4" s="236">
        <v>46009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84">
        <v>648</v>
      </c>
      <c r="D6" s="13">
        <f t="shared" ref="D6:D28" si="1">C6*L6</f>
        <v>477576</v>
      </c>
      <c r="F6" s="240" t="s">
        <v>16</v>
      </c>
      <c r="G6" s="242" t="s">
        <v>129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84"/>
      <c r="D7" s="13">
        <f t="shared" si="1"/>
        <v>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84"/>
      <c r="D8" s="13">
        <f t="shared" si="1"/>
        <v>0</v>
      </c>
      <c r="F8" s="248" t="s">
        <v>21</v>
      </c>
      <c r="G8" s="249" t="s">
        <v>112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84"/>
      <c r="D9" s="13">
        <f t="shared" si="1"/>
        <v>0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84"/>
      <c r="D10" s="13">
        <f t="shared" si="1"/>
        <v>0</v>
      </c>
      <c r="F10" s="240" t="s">
        <v>26</v>
      </c>
      <c r="G10" s="255" t="s">
        <v>130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84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84"/>
      <c r="D12" s="48">
        <f t="shared" si="1"/>
        <v>0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84">
        <v>26</v>
      </c>
      <c r="D13" s="48">
        <f t="shared" si="1"/>
        <v>7982</v>
      </c>
      <c r="F13" s="261" t="s">
        <v>36</v>
      </c>
      <c r="G13" s="225"/>
      <c r="H13" s="216">
        <f>D29</f>
        <v>485558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84"/>
      <c r="D14" s="31">
        <f t="shared" si="1"/>
        <v>0</v>
      </c>
      <c r="F14" s="219" t="s">
        <v>39</v>
      </c>
      <c r="G14" s="220"/>
      <c r="H14" s="221">
        <f>D54</f>
        <v>73656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84"/>
      <c r="D15" s="31">
        <f t="shared" si="1"/>
        <v>0</v>
      </c>
      <c r="F15" s="224" t="s">
        <v>40</v>
      </c>
      <c r="G15" s="225"/>
      <c r="H15" s="226">
        <f>H13-H14</f>
        <v>411902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6">
        <f>1944+1944</f>
        <v>3888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138</v>
      </c>
      <c r="C17" s="84"/>
      <c r="D17" s="48">
        <f t="shared" si="1"/>
        <v>0</v>
      </c>
      <c r="F17" s="56"/>
      <c r="G17" s="66" t="s">
        <v>45</v>
      </c>
      <c r="H17" s="197"/>
      <c r="I17" s="197"/>
      <c r="J17" s="19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97"/>
      <c r="I19" s="197"/>
      <c r="J19" s="197"/>
      <c r="L19" s="6">
        <v>1102</v>
      </c>
      <c r="Q19" s="4"/>
      <c r="R19" s="5">
        <f t="shared" si="0"/>
        <v>0</v>
      </c>
    </row>
    <row r="20" spans="1:18" ht="15.75" x14ac:dyDescent="0.25">
      <c r="A20" s="175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127</v>
      </c>
      <c r="C22" s="84"/>
      <c r="D22" s="48">
        <f t="shared" si="1"/>
        <v>0</v>
      </c>
      <c r="F22" s="77"/>
      <c r="G22" s="73"/>
      <c r="H22" s="202"/>
      <c r="I22" s="202"/>
      <c r="J22" s="20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101</v>
      </c>
      <c r="C23" s="84"/>
      <c r="D23" s="48">
        <f t="shared" si="1"/>
        <v>0</v>
      </c>
      <c r="F23" s="77"/>
      <c r="G23" s="79"/>
      <c r="H23" s="262"/>
      <c r="I23" s="263"/>
      <c r="J23" s="26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121</v>
      </c>
      <c r="C24" s="84"/>
      <c r="D24" s="48">
        <f t="shared" si="1"/>
        <v>0</v>
      </c>
      <c r="F24" s="77"/>
      <c r="G24" s="79"/>
      <c r="H24" s="262"/>
      <c r="I24" s="263"/>
      <c r="J24" s="26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204" t="s">
        <v>13</v>
      </c>
      <c r="I25" s="205"/>
      <c r="J25" s="20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137</v>
      </c>
      <c r="C26" s="84"/>
      <c r="D26" s="48">
        <f t="shared" si="1"/>
        <v>0</v>
      </c>
      <c r="F26" s="75"/>
      <c r="G26" s="65"/>
      <c r="H26" s="172"/>
      <c r="I26" s="172"/>
      <c r="J26" s="172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110</v>
      </c>
      <c r="C27" s="84"/>
      <c r="D27" s="44">
        <f t="shared" si="1"/>
        <v>0</v>
      </c>
      <c r="F27" s="71"/>
      <c r="G27" s="110"/>
      <c r="H27" s="264"/>
      <c r="I27" s="265"/>
      <c r="J27" s="26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84"/>
      <c r="D28" s="48">
        <f t="shared" si="1"/>
        <v>0</v>
      </c>
      <c r="F28" s="107"/>
      <c r="G28" s="61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485558</v>
      </c>
      <c r="F29" s="133" t="s">
        <v>55</v>
      </c>
      <c r="G29" s="195"/>
      <c r="H29" s="155">
        <f>H15-H16-H17-H18-H19-H20-H22-H23-H24+H26+H27+H28</f>
        <v>408014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364</v>
      </c>
      <c r="H34" s="177">
        <f t="shared" ref="H34:H39" si="2">F34*G34</f>
        <v>364000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8">
        <v>500</v>
      </c>
      <c r="G35" s="41">
        <v>87</v>
      </c>
      <c r="H35" s="177">
        <f t="shared" si="2"/>
        <v>43500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/>
      <c r="H36" s="177">
        <f t="shared" si="2"/>
        <v>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>
        <v>648</v>
      </c>
      <c r="D37" s="12">
        <f>C37*111</f>
        <v>71928</v>
      </c>
      <c r="F37" s="12">
        <v>100</v>
      </c>
      <c r="G37" s="39">
        <v>4</v>
      </c>
      <c r="H37" s="177">
        <f t="shared" si="2"/>
        <v>400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1</v>
      </c>
      <c r="H38" s="177">
        <f t="shared" si="2"/>
        <v>50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/>
      <c r="D39" s="31">
        <f>C39*4.5</f>
        <v>0</v>
      </c>
      <c r="F39" s="12">
        <v>20</v>
      </c>
      <c r="G39" s="37"/>
      <c r="H39" s="177">
        <f t="shared" si="2"/>
        <v>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/>
      <c r="D42" s="12">
        <f>C42*2.25</f>
        <v>0</v>
      </c>
      <c r="F42" s="39" t="s">
        <v>79</v>
      </c>
      <c r="G42" s="177">
        <v>46</v>
      </c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59" t="s">
        <v>82</v>
      </c>
      <c r="G43" s="110" t="s">
        <v>83</v>
      </c>
      <c r="H43" s="169" t="s">
        <v>13</v>
      </c>
      <c r="I43" s="170"/>
      <c r="J43" s="17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8"/>
      <c r="B44" s="27" t="s">
        <v>66</v>
      </c>
      <c r="C44" s="10"/>
      <c r="D44" s="12">
        <f>C44*120</f>
        <v>0</v>
      </c>
      <c r="F44" s="37"/>
      <c r="G44" s="62"/>
      <c r="H44" s="172"/>
      <c r="I44" s="172"/>
      <c r="J44" s="17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/>
      <c r="G45" s="62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1">
        <v>7</v>
      </c>
      <c r="D46" s="12">
        <f>C46*1.5</f>
        <v>10.5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59"/>
      <c r="G47" s="59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>
        <v>23</v>
      </c>
      <c r="D49" s="12">
        <f>C49*42</f>
        <v>966</v>
      </c>
      <c r="F49" s="153" t="s">
        <v>86</v>
      </c>
      <c r="G49" s="155">
        <f>H34+H35+H36+H37+H38+H39+H40+H41+G42+H44+H45+H46</f>
        <v>407996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>
        <v>17</v>
      </c>
      <c r="D50" s="12">
        <f>C50*1.5</f>
        <v>25.5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131</v>
      </c>
      <c r="G51" s="266">
        <f>G49-H29</f>
        <v>-18</v>
      </c>
      <c r="H51" s="267"/>
      <c r="I51" s="267"/>
      <c r="J51" s="26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269"/>
      <c r="H52" s="270"/>
      <c r="I52" s="270"/>
      <c r="J52" s="27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73656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28EC4A-1E22-4757-B935-DB894FA504B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2</v>
      </c>
      <c r="H4" s="234" t="s">
        <v>9</v>
      </c>
      <c r="I4" s="236">
        <v>46009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84">
        <v>294</v>
      </c>
      <c r="D6" s="13">
        <f t="shared" ref="D6:D28" si="1">C6*L6</f>
        <v>216678</v>
      </c>
      <c r="F6" s="240" t="s">
        <v>16</v>
      </c>
      <c r="G6" s="242" t="s">
        <v>141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84">
        <v>12</v>
      </c>
      <c r="D7" s="13">
        <f t="shared" si="1"/>
        <v>8700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84"/>
      <c r="D8" s="13">
        <f t="shared" si="1"/>
        <v>0</v>
      </c>
      <c r="F8" s="248" t="s">
        <v>21</v>
      </c>
      <c r="G8" s="249" t="s">
        <v>114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84">
        <v>33</v>
      </c>
      <c r="D9" s="13">
        <f t="shared" si="1"/>
        <v>23331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84">
        <v>2</v>
      </c>
      <c r="D10" s="13">
        <f t="shared" si="1"/>
        <v>1944</v>
      </c>
      <c r="F10" s="240" t="s">
        <v>26</v>
      </c>
      <c r="G10" s="255" t="s">
        <v>115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84">
        <v>2</v>
      </c>
      <c r="D11" s="13">
        <f t="shared" si="1"/>
        <v>2250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84">
        <f>4+1</f>
        <v>5</v>
      </c>
      <c r="D12" s="48">
        <f t="shared" si="1"/>
        <v>4760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84">
        <v>11</v>
      </c>
      <c r="D13" s="48">
        <f t="shared" si="1"/>
        <v>3377</v>
      </c>
      <c r="F13" s="261" t="s">
        <v>36</v>
      </c>
      <c r="G13" s="225"/>
      <c r="H13" s="216">
        <f>D29</f>
        <v>264540.33333333331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84">
        <v>1</v>
      </c>
      <c r="D14" s="31">
        <f t="shared" si="1"/>
        <v>11</v>
      </c>
      <c r="F14" s="219" t="s">
        <v>39</v>
      </c>
      <c r="G14" s="220"/>
      <c r="H14" s="221">
        <f>D54</f>
        <v>31185.75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84"/>
      <c r="D15" s="31">
        <f t="shared" si="1"/>
        <v>0</v>
      </c>
      <c r="F15" s="224" t="s">
        <v>40</v>
      </c>
      <c r="G15" s="225"/>
      <c r="H15" s="226">
        <f>H13-H14</f>
        <v>233354.58333333331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6">
        <v>1206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93</v>
      </c>
      <c r="C17" s="84"/>
      <c r="D17" s="48">
        <f t="shared" si="1"/>
        <v>0</v>
      </c>
      <c r="F17" s="56"/>
      <c r="G17" s="66" t="s">
        <v>45</v>
      </c>
      <c r="H17" s="197"/>
      <c r="I17" s="197"/>
      <c r="J17" s="19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194</v>
      </c>
      <c r="C19" s="84">
        <f>1</f>
        <v>1</v>
      </c>
      <c r="D19" s="48">
        <f t="shared" si="1"/>
        <v>1102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 t="s">
        <v>122</v>
      </c>
      <c r="C20" s="84"/>
      <c r="D20" s="13">
        <f t="shared" si="1"/>
        <v>0</v>
      </c>
      <c r="F20" s="57"/>
      <c r="G20" s="70" t="s">
        <v>120</v>
      </c>
      <c r="H20" s="197"/>
      <c r="I20" s="197"/>
      <c r="J20" s="19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126</v>
      </c>
      <c r="C21" s="84">
        <v>2</v>
      </c>
      <c r="D21" s="48">
        <f t="shared" si="1"/>
        <v>1300</v>
      </c>
      <c r="F21" s="69" t="s">
        <v>99</v>
      </c>
      <c r="G21" s="82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104</v>
      </c>
      <c r="C22" s="84"/>
      <c r="D22" s="48">
        <f t="shared" si="1"/>
        <v>0</v>
      </c>
      <c r="F22" s="72"/>
      <c r="G22" s="73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107</v>
      </c>
      <c r="C23" s="84"/>
      <c r="D23" s="48">
        <f t="shared" si="1"/>
        <v>0</v>
      </c>
      <c r="F23" s="25"/>
      <c r="G23" s="37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123</v>
      </c>
      <c r="C24" s="84"/>
      <c r="D24" s="48">
        <f t="shared" si="1"/>
        <v>0</v>
      </c>
      <c r="F24" s="38"/>
      <c r="G24" s="37"/>
      <c r="H24" s="203"/>
      <c r="I24" s="172"/>
      <c r="J24" s="17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124</v>
      </c>
      <c r="C25" s="84">
        <v>4</v>
      </c>
      <c r="D25" s="48">
        <f t="shared" si="1"/>
        <v>467.33333333333331</v>
      </c>
      <c r="F25" s="60" t="s">
        <v>100</v>
      </c>
      <c r="G25" s="55" t="s">
        <v>98</v>
      </c>
      <c r="H25" s="204" t="s">
        <v>13</v>
      </c>
      <c r="I25" s="205"/>
      <c r="J25" s="206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105</v>
      </c>
      <c r="C26" s="84"/>
      <c r="D26" s="48">
        <f t="shared" si="1"/>
        <v>0</v>
      </c>
      <c r="F26" s="64"/>
      <c r="G26" s="10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109</v>
      </c>
      <c r="C27" s="10"/>
      <c r="D27" s="44">
        <f t="shared" si="1"/>
        <v>0</v>
      </c>
      <c r="F27" s="14"/>
      <c r="G27" s="14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10"/>
      <c r="D28" s="48">
        <f t="shared" si="1"/>
        <v>0</v>
      </c>
      <c r="F28" s="107"/>
      <c r="G28" s="61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264540.33333333331</v>
      </c>
      <c r="F29" s="133" t="s">
        <v>55</v>
      </c>
      <c r="G29" s="195"/>
      <c r="H29" s="155">
        <f>H15-H16-H17-H18-H19-H20-H22-H23-H24+H26+H27</f>
        <v>232148.58333333331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86</v>
      </c>
      <c r="H34" s="177">
        <f>F34*G34</f>
        <v>86000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8">
        <v>500</v>
      </c>
      <c r="G35" s="41">
        <v>16</v>
      </c>
      <c r="H35" s="177">
        <f t="shared" ref="H35:H39" si="2">F35*G35</f>
        <v>8000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>
        <v>5</v>
      </c>
      <c r="D36" s="12">
        <f>C36*1.5</f>
        <v>7.5</v>
      </c>
      <c r="F36" s="12">
        <v>200</v>
      </c>
      <c r="G36" s="37"/>
      <c r="H36" s="177">
        <f>F36*G36</f>
        <v>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>
        <v>247</v>
      </c>
      <c r="D37" s="12">
        <f>C37*111</f>
        <v>27417</v>
      </c>
      <c r="F37" s="12">
        <v>100</v>
      </c>
      <c r="G37" s="39"/>
      <c r="H37" s="177">
        <f t="shared" si="2"/>
        <v>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>
        <v>22</v>
      </c>
      <c r="D38" s="12">
        <f>C38*84</f>
        <v>1848</v>
      </c>
      <c r="F38" s="30">
        <v>50</v>
      </c>
      <c r="G38" s="39">
        <v>6</v>
      </c>
      <c r="H38" s="177">
        <f t="shared" si="2"/>
        <v>300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>
        <v>10</v>
      </c>
      <c r="D39" s="31">
        <f>C39*4.5</f>
        <v>45</v>
      </c>
      <c r="F39" s="12">
        <v>20</v>
      </c>
      <c r="G39" s="37">
        <v>2</v>
      </c>
      <c r="H39" s="177">
        <f t="shared" si="2"/>
        <v>40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>
        <v>9</v>
      </c>
      <c r="D42" s="12">
        <f>C42*2.25</f>
        <v>20.25</v>
      </c>
      <c r="F42" s="39" t="s">
        <v>79</v>
      </c>
      <c r="G42" s="177">
        <v>72</v>
      </c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59" t="s">
        <v>82</v>
      </c>
      <c r="G43" s="110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>
        <v>2</v>
      </c>
      <c r="D44" s="12">
        <f>C44*120</f>
        <v>240</v>
      </c>
      <c r="F44" s="37" t="s">
        <v>150</v>
      </c>
      <c r="G44" s="62" t="s">
        <v>203</v>
      </c>
      <c r="H44" s="172">
        <v>137850</v>
      </c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>
        <v>2</v>
      </c>
      <c r="D45" s="12">
        <f>C45*84</f>
        <v>168</v>
      </c>
      <c r="F45" s="37"/>
      <c r="G45" s="62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1">
        <v>28</v>
      </c>
      <c r="D46" s="12">
        <f>C46*1.5</f>
        <v>42</v>
      </c>
      <c r="F46" s="37"/>
      <c r="G46" s="109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59"/>
      <c r="G47" s="59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>
        <v>3</v>
      </c>
      <c r="D49" s="12">
        <f>C49*42</f>
        <v>126</v>
      </c>
      <c r="F49" s="153" t="s">
        <v>86</v>
      </c>
      <c r="G49" s="155">
        <f>H34+H35+H36+H37+H38+H39+H40+H41+G42+H44+H45+H46</f>
        <v>232262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>
        <v>26</v>
      </c>
      <c r="D50" s="12">
        <f>C50*1.5</f>
        <v>39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155</v>
      </c>
      <c r="G51" s="163">
        <f>G49-H29</f>
        <v>113.41666666668607</v>
      </c>
      <c r="H51" s="164"/>
      <c r="I51" s="164"/>
      <c r="J51" s="1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166"/>
      <c r="H52" s="167"/>
      <c r="I52" s="167"/>
      <c r="J52" s="1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31185.75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B71EF-C451-404E-884F-C34BE1CC48D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3</v>
      </c>
      <c r="H4" s="234" t="s">
        <v>9</v>
      </c>
      <c r="I4" s="236">
        <v>46009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10">
        <v>396</v>
      </c>
      <c r="D6" s="13">
        <f t="shared" ref="D6:D28" si="1">C6*L6</f>
        <v>291852</v>
      </c>
      <c r="F6" s="240" t="s">
        <v>16</v>
      </c>
      <c r="G6" s="242" t="s">
        <v>111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10">
        <v>4</v>
      </c>
      <c r="D7" s="13">
        <f t="shared" si="1"/>
        <v>2900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10">
        <v>1</v>
      </c>
      <c r="D8" s="13">
        <f t="shared" si="1"/>
        <v>1033</v>
      </c>
      <c r="F8" s="248" t="s">
        <v>21</v>
      </c>
      <c r="G8" s="249" t="s">
        <v>119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10">
        <v>77</v>
      </c>
      <c r="D9" s="13">
        <f t="shared" si="1"/>
        <v>54439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10">
        <v>1</v>
      </c>
      <c r="D10" s="13">
        <f t="shared" si="1"/>
        <v>972</v>
      </c>
      <c r="F10" s="240" t="s">
        <v>26</v>
      </c>
      <c r="G10" s="255" t="s">
        <v>135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10">
        <f>14+3</f>
        <v>17</v>
      </c>
      <c r="D12" s="48">
        <f t="shared" si="1"/>
        <v>16184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10">
        <v>13</v>
      </c>
      <c r="D13" s="48">
        <f t="shared" si="1"/>
        <v>3991</v>
      </c>
      <c r="F13" s="261" t="s">
        <v>36</v>
      </c>
      <c r="G13" s="225"/>
      <c r="H13" s="216">
        <f>D29</f>
        <v>374852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10">
        <v>21</v>
      </c>
      <c r="D14" s="31">
        <f t="shared" si="1"/>
        <v>231</v>
      </c>
      <c r="F14" s="219" t="s">
        <v>39</v>
      </c>
      <c r="G14" s="220"/>
      <c r="H14" s="221">
        <f>D54</f>
        <v>47979.75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10"/>
      <c r="D15" s="31">
        <f t="shared" si="1"/>
        <v>0</v>
      </c>
      <c r="F15" s="224" t="s">
        <v>40</v>
      </c>
      <c r="G15" s="225"/>
      <c r="H15" s="226">
        <f>H13-H14</f>
        <v>326872.25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6">
        <f>1212</f>
        <v>1212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113</v>
      </c>
      <c r="C17" s="10"/>
      <c r="D17" s="48">
        <f t="shared" si="1"/>
        <v>0</v>
      </c>
      <c r="F17" s="56"/>
      <c r="G17" s="66" t="s">
        <v>45</v>
      </c>
      <c r="H17" s="197"/>
      <c r="I17" s="197"/>
      <c r="J17" s="19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2">
        <v>50</v>
      </c>
      <c r="I19" s="272"/>
      <c r="J19" s="27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126</v>
      </c>
      <c r="C21" s="10">
        <v>5</v>
      </c>
      <c r="D21" s="48">
        <f t="shared" si="1"/>
        <v>3250</v>
      </c>
      <c r="F21" s="69" t="s">
        <v>99</v>
      </c>
      <c r="G21" s="82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104</v>
      </c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107</v>
      </c>
      <c r="C23" s="10"/>
      <c r="D23" s="48">
        <f t="shared" si="1"/>
        <v>0</v>
      </c>
      <c r="F23" s="78"/>
      <c r="G23" s="79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101</v>
      </c>
      <c r="C24" s="10"/>
      <c r="D24" s="48">
        <f t="shared" si="1"/>
        <v>0</v>
      </c>
      <c r="F24" s="38"/>
      <c r="G24" s="37"/>
      <c r="H24" s="203"/>
      <c r="I24" s="172"/>
      <c r="J24" s="17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4" t="s">
        <v>13</v>
      </c>
      <c r="I25" s="205"/>
      <c r="J25" s="20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105</v>
      </c>
      <c r="C26" s="10"/>
      <c r="D26" s="48">
        <f t="shared" si="1"/>
        <v>0</v>
      </c>
      <c r="F26" s="64"/>
      <c r="G26" s="59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109</v>
      </c>
      <c r="C27" s="10"/>
      <c r="D27" s="44">
        <f t="shared" si="1"/>
        <v>0</v>
      </c>
      <c r="F27" s="25"/>
      <c r="G27" s="80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10"/>
      <c r="D28" s="48">
        <f t="shared" si="1"/>
        <v>0</v>
      </c>
      <c r="F28" s="107"/>
      <c r="G28" s="61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374852</v>
      </c>
      <c r="F29" s="133" t="s">
        <v>55</v>
      </c>
      <c r="G29" s="195"/>
      <c r="H29" s="155">
        <f>H15-H16-H17-H18-H19-H20-H22-H23-H24+H26+H27</f>
        <v>325610.25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133</v>
      </c>
      <c r="H34" s="177">
        <f>F34*G34</f>
        <v>133000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8">
        <v>500</v>
      </c>
      <c r="G35" s="41">
        <v>108</v>
      </c>
      <c r="H35" s="177">
        <f>F35*G35</f>
        <v>54000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32</v>
      </c>
      <c r="H36" s="177">
        <f t="shared" ref="H36:H39" si="2">F36*G36</f>
        <v>6400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>
        <v>389</v>
      </c>
      <c r="D37" s="12">
        <f>C37*111</f>
        <v>43179</v>
      </c>
      <c r="F37" s="12">
        <v>100</v>
      </c>
      <c r="G37" s="39">
        <v>31</v>
      </c>
      <c r="H37" s="177">
        <f t="shared" si="2"/>
        <v>3100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>
        <v>19</v>
      </c>
      <c r="D38" s="12">
        <f>C38*84</f>
        <v>1596</v>
      </c>
      <c r="F38" s="30">
        <v>50</v>
      </c>
      <c r="G38" s="39">
        <v>2</v>
      </c>
      <c r="H38" s="177">
        <f t="shared" si="2"/>
        <v>100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77">
        <f t="shared" si="2"/>
        <v>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>
        <v>5</v>
      </c>
      <c r="D41" s="12">
        <f>C41*84</f>
        <v>420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>
        <v>7</v>
      </c>
      <c r="D42" s="12">
        <f>C42*2.25</f>
        <v>15.75</v>
      </c>
      <c r="F42" s="39" t="s">
        <v>79</v>
      </c>
      <c r="G42" s="177">
        <v>45</v>
      </c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59" t="s">
        <v>82</v>
      </c>
      <c r="G43" s="110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>
        <v>3</v>
      </c>
      <c r="D44" s="12">
        <f>C44*120</f>
        <v>360</v>
      </c>
      <c r="F44" s="37" t="s">
        <v>150</v>
      </c>
      <c r="G44" s="76" t="s">
        <v>204</v>
      </c>
      <c r="H44" s="172">
        <v>130454</v>
      </c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>
        <v>5</v>
      </c>
      <c r="D45" s="12">
        <f>C45*84</f>
        <v>420</v>
      </c>
      <c r="F45" s="37"/>
      <c r="G45" s="76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1">
        <v>7</v>
      </c>
      <c r="D46" s="12">
        <f>C46*1.5</f>
        <v>10.5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59"/>
      <c r="G47" s="59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>
        <v>1</v>
      </c>
      <c r="D49" s="12">
        <f>C49*42</f>
        <v>42</v>
      </c>
      <c r="F49" s="153" t="s">
        <v>86</v>
      </c>
      <c r="G49" s="155">
        <f>H34+H35+H36+H37+H38+H39+H40+H41+G42+H44+H45+H46</f>
        <v>327099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>
        <v>12</v>
      </c>
      <c r="D50" s="12">
        <f>C50*1.5</f>
        <v>18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148</v>
      </c>
      <c r="G51" s="163">
        <f>G49-H29</f>
        <v>1488.75</v>
      </c>
      <c r="H51" s="164"/>
      <c r="I51" s="164"/>
      <c r="J51" s="1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166"/>
      <c r="H52" s="167"/>
      <c r="I52" s="167"/>
      <c r="J52" s="1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47979.75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A1AA8-83AE-483F-BABF-5166BF65F463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9" t="s">
        <v>1</v>
      </c>
      <c r="O1" s="229"/>
      <c r="P1" s="106" t="s">
        <v>2</v>
      </c>
      <c r="Q1" s="10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0" t="s">
        <v>7</v>
      </c>
      <c r="B4" s="181"/>
      <c r="C4" s="181"/>
      <c r="D4" s="182"/>
      <c r="F4" s="230" t="s">
        <v>8</v>
      </c>
      <c r="G4" s="232"/>
      <c r="H4" s="234" t="s">
        <v>9</v>
      </c>
      <c r="I4" s="236"/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5"/>
      <c r="B6" s="16"/>
      <c r="C6" s="10"/>
      <c r="D6" s="13">
        <f t="shared" ref="D6:D28" si="1">C6*L6</f>
        <v>0</v>
      </c>
      <c r="F6" s="240" t="s">
        <v>16</v>
      </c>
      <c r="G6" s="242"/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5"/>
      <c r="B7" s="16"/>
      <c r="C7" s="10"/>
      <c r="D7" s="13">
        <f t="shared" si="1"/>
        <v>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5"/>
      <c r="B8" s="16"/>
      <c r="C8" s="10"/>
      <c r="D8" s="13">
        <f t="shared" si="1"/>
        <v>0</v>
      </c>
      <c r="F8" s="248" t="s">
        <v>21</v>
      </c>
      <c r="G8" s="249"/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5"/>
      <c r="B9" s="16"/>
      <c r="C9" s="10"/>
      <c r="D9" s="13">
        <f t="shared" si="1"/>
        <v>0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5"/>
      <c r="C10" s="10"/>
      <c r="D10" s="13">
        <f t="shared" si="1"/>
        <v>0</v>
      </c>
      <c r="F10" s="240" t="s">
        <v>26</v>
      </c>
      <c r="G10" s="255"/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9" ht="15.75" x14ac:dyDescent="0.25">
      <c r="A11" s="175"/>
      <c r="B11" s="17"/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5"/>
      <c r="B12" s="17"/>
      <c r="C12" s="10"/>
      <c r="D12" s="48">
        <f t="shared" si="1"/>
        <v>0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5"/>
      <c r="B13" s="17"/>
      <c r="C13" s="10"/>
      <c r="D13" s="48">
        <f t="shared" si="1"/>
        <v>0</v>
      </c>
      <c r="F13" s="261" t="s">
        <v>36</v>
      </c>
      <c r="G13" s="225"/>
      <c r="H13" s="216">
        <f>D29</f>
        <v>0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5"/>
      <c r="B14" s="14"/>
      <c r="C14" s="10"/>
      <c r="D14" s="31">
        <f t="shared" si="1"/>
        <v>0</v>
      </c>
      <c r="F14" s="219" t="s">
        <v>39</v>
      </c>
      <c r="G14" s="220"/>
      <c r="H14" s="221">
        <f>D54</f>
        <v>0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5"/>
      <c r="B15" s="14"/>
      <c r="C15" s="10"/>
      <c r="D15" s="31">
        <f t="shared" si="1"/>
        <v>0</v>
      </c>
      <c r="F15" s="224" t="s">
        <v>40</v>
      </c>
      <c r="G15" s="225"/>
      <c r="H15" s="226">
        <f>H13-H14</f>
        <v>0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C17" s="10"/>
      <c r="D17" s="48">
        <f t="shared" si="1"/>
        <v>0</v>
      </c>
      <c r="F17" s="56"/>
      <c r="G17" s="66" t="s">
        <v>45</v>
      </c>
      <c r="H17" s="197"/>
      <c r="I17" s="197"/>
      <c r="J17" s="19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/>
      <c r="C18" s="10"/>
      <c r="D18" s="48">
        <f t="shared" si="1"/>
        <v>0</v>
      </c>
      <c r="F18" s="56"/>
      <c r="G18" s="66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/>
      <c r="C19" s="10"/>
      <c r="D19" s="48">
        <f t="shared" si="1"/>
        <v>0</v>
      </c>
      <c r="F19" s="56"/>
      <c r="G19" s="68" t="s">
        <v>50</v>
      </c>
      <c r="H19" s="198"/>
      <c r="I19" s="198"/>
      <c r="J19" s="19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/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/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/>
      <c r="C23" s="10"/>
      <c r="D23" s="48">
        <f t="shared" si="1"/>
        <v>0</v>
      </c>
      <c r="F23" s="78"/>
      <c r="G23" s="79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/>
      <c r="C24" s="10"/>
      <c r="D24" s="48">
        <f t="shared" si="1"/>
        <v>0</v>
      </c>
      <c r="F24" s="38"/>
      <c r="G24" s="37"/>
      <c r="H24" s="203"/>
      <c r="I24" s="172"/>
      <c r="J24" s="17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4" t="s">
        <v>13</v>
      </c>
      <c r="I25" s="205"/>
      <c r="J25" s="20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/>
      <c r="C26" s="10"/>
      <c r="D26" s="48">
        <f t="shared" si="1"/>
        <v>0</v>
      </c>
      <c r="F26" s="64"/>
      <c r="G26" s="59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/>
      <c r="C27" s="10"/>
      <c r="D27" s="44">
        <f t="shared" si="1"/>
        <v>0</v>
      </c>
      <c r="F27" s="25"/>
      <c r="G27" s="80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/>
      <c r="C28" s="10"/>
      <c r="D28" s="48">
        <f t="shared" si="1"/>
        <v>0</v>
      </c>
      <c r="F28" s="107"/>
      <c r="G28" s="61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0</v>
      </c>
      <c r="F29" s="133" t="s">
        <v>55</v>
      </c>
      <c r="G29" s="195"/>
      <c r="H29" s="155">
        <f>H15-H16-H17-H18-H19-H20-H22-H23-H24+H26+H27</f>
        <v>0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7"/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8">
        <v>500</v>
      </c>
      <c r="G35" s="41"/>
      <c r="H35" s="177"/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/>
      <c r="H36" s="177"/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7"/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/>
      <c r="D38" s="12">
        <f>C38*84</f>
        <v>0</v>
      </c>
      <c r="F38" s="30">
        <v>50</v>
      </c>
      <c r="G38" s="39"/>
      <c r="H38" s="177"/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/>
      <c r="D39" s="31">
        <f>C39*4.5</f>
        <v>0</v>
      </c>
      <c r="F39" s="12">
        <v>20</v>
      </c>
      <c r="G39" s="37"/>
      <c r="H39" s="177"/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/>
      <c r="D42" s="12">
        <f>C42*2.25</f>
        <v>0</v>
      </c>
      <c r="F42" s="39" t="s">
        <v>79</v>
      </c>
      <c r="G42" s="177"/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59" t="s">
        <v>82</v>
      </c>
      <c r="G43" s="110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/>
      <c r="D44" s="12">
        <f>C44*120</f>
        <v>0</v>
      </c>
      <c r="F44" s="37"/>
      <c r="G44" s="76"/>
      <c r="H44" s="172"/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/>
      <c r="G45" s="76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1"/>
      <c r="D46" s="12">
        <f>C46*1.5</f>
        <v>0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59"/>
      <c r="G47" s="59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/>
      <c r="D48" s="12">
        <f>C48*78</f>
        <v>0</v>
      </c>
      <c r="F48" s="59"/>
      <c r="G48" s="59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/>
      <c r="D49" s="12">
        <f>C49*42</f>
        <v>0</v>
      </c>
      <c r="F49" s="153" t="s">
        <v>86</v>
      </c>
      <c r="G49" s="155">
        <f>H34+H35+H36+H37+H38+H39+H40+H41+G42+H44+H45+H46</f>
        <v>0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/>
      <c r="D50" s="12">
        <f>C50*1.5</f>
        <v>0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128</v>
      </c>
      <c r="G51" s="163">
        <f>G49-H29</f>
        <v>0</v>
      </c>
      <c r="H51" s="164"/>
      <c r="I51" s="164"/>
      <c r="J51" s="1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166"/>
      <c r="H52" s="167"/>
      <c r="I52" s="167"/>
      <c r="J52" s="1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0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B3E69-E336-4B3E-A67F-0B6A8E8E4DB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1</v>
      </c>
      <c r="H4" s="234" t="s">
        <v>9</v>
      </c>
      <c r="I4" s="236">
        <v>46010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84">
        <v>1135</v>
      </c>
      <c r="D6" s="13">
        <f t="shared" ref="D6:D28" si="1">C6*L6</f>
        <v>836495</v>
      </c>
      <c r="F6" s="240" t="s">
        <v>16</v>
      </c>
      <c r="G6" s="242" t="s">
        <v>129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84">
        <v>4</v>
      </c>
      <c r="D7" s="13">
        <f t="shared" si="1"/>
        <v>2900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84"/>
      <c r="D8" s="13">
        <f t="shared" si="1"/>
        <v>0</v>
      </c>
      <c r="F8" s="248" t="s">
        <v>21</v>
      </c>
      <c r="G8" s="249" t="s">
        <v>112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84">
        <v>36</v>
      </c>
      <c r="D9" s="13">
        <f t="shared" si="1"/>
        <v>25452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84">
        <v>30</v>
      </c>
      <c r="D10" s="13">
        <f t="shared" si="1"/>
        <v>29160</v>
      </c>
      <c r="F10" s="240" t="s">
        <v>26</v>
      </c>
      <c r="G10" s="255" t="s">
        <v>130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84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84">
        <v>5</v>
      </c>
      <c r="D12" s="48">
        <f t="shared" si="1"/>
        <v>4760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84">
        <v>30</v>
      </c>
      <c r="D13" s="48">
        <f t="shared" si="1"/>
        <v>9210</v>
      </c>
      <c r="F13" s="261" t="s">
        <v>36</v>
      </c>
      <c r="G13" s="225"/>
      <c r="H13" s="216">
        <f>D29</f>
        <v>908109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84">
        <v>12</v>
      </c>
      <c r="D14" s="31">
        <f t="shared" si="1"/>
        <v>132</v>
      </c>
      <c r="F14" s="219" t="s">
        <v>39</v>
      </c>
      <c r="G14" s="220"/>
      <c r="H14" s="221">
        <f>D54</f>
        <v>103836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84"/>
      <c r="D15" s="31">
        <f t="shared" si="1"/>
        <v>0</v>
      </c>
      <c r="F15" s="224" t="s">
        <v>40</v>
      </c>
      <c r="G15" s="225"/>
      <c r="H15" s="226">
        <f>H13-H14</f>
        <v>804273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6">
        <v>5358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138</v>
      </c>
      <c r="C17" s="84"/>
      <c r="D17" s="48">
        <f t="shared" si="1"/>
        <v>0</v>
      </c>
      <c r="F17" s="56"/>
      <c r="G17" s="66" t="s">
        <v>45</v>
      </c>
      <c r="H17" s="197"/>
      <c r="I17" s="197"/>
      <c r="J17" s="19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97"/>
      <c r="I19" s="197"/>
      <c r="J19" s="197"/>
      <c r="L19" s="6">
        <v>1102</v>
      </c>
      <c r="Q19" s="4"/>
      <c r="R19" s="5">
        <f t="shared" si="0"/>
        <v>0</v>
      </c>
    </row>
    <row r="20" spans="1:18" ht="15.75" x14ac:dyDescent="0.25">
      <c r="A20" s="175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127</v>
      </c>
      <c r="C22" s="84"/>
      <c r="D22" s="48">
        <f t="shared" si="1"/>
        <v>0</v>
      </c>
      <c r="F22" s="77" t="s">
        <v>206</v>
      </c>
      <c r="G22" s="73">
        <v>7982</v>
      </c>
      <c r="H22" s="202">
        <v>58360</v>
      </c>
      <c r="I22" s="202"/>
      <c r="J22" s="20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101</v>
      </c>
      <c r="C23" s="84"/>
      <c r="D23" s="48">
        <f t="shared" si="1"/>
        <v>0</v>
      </c>
      <c r="F23" s="77"/>
      <c r="G23" s="79"/>
      <c r="H23" s="262"/>
      <c r="I23" s="263"/>
      <c r="J23" s="26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121</v>
      </c>
      <c r="C24" s="84"/>
      <c r="D24" s="48">
        <f t="shared" si="1"/>
        <v>0</v>
      </c>
      <c r="F24" s="77"/>
      <c r="G24" s="79"/>
      <c r="H24" s="262"/>
      <c r="I24" s="263"/>
      <c r="J24" s="26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204" t="s">
        <v>13</v>
      </c>
      <c r="I25" s="205"/>
      <c r="J25" s="20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137</v>
      </c>
      <c r="C26" s="84"/>
      <c r="D26" s="48">
        <f t="shared" si="1"/>
        <v>0</v>
      </c>
      <c r="F26" s="75"/>
      <c r="G26" s="65"/>
      <c r="H26" s="172"/>
      <c r="I26" s="172"/>
      <c r="J26" s="172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110</v>
      </c>
      <c r="C27" s="84"/>
      <c r="D27" s="44">
        <f t="shared" si="1"/>
        <v>0</v>
      </c>
      <c r="F27" s="71"/>
      <c r="G27" s="110"/>
      <c r="H27" s="264"/>
      <c r="I27" s="265"/>
      <c r="J27" s="26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84"/>
      <c r="D28" s="48">
        <f t="shared" si="1"/>
        <v>0</v>
      </c>
      <c r="F28" s="107"/>
      <c r="G28" s="61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908109</v>
      </c>
      <c r="F29" s="133" t="s">
        <v>55</v>
      </c>
      <c r="G29" s="195"/>
      <c r="H29" s="155">
        <f>H15-H16-H17-H18-H19-H20-H22-H23-H24+H26+H27+H28</f>
        <v>740555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>
        <v>33</v>
      </c>
      <c r="D34" s="30">
        <f>C34*120</f>
        <v>3960</v>
      </c>
      <c r="F34" s="12">
        <v>1000</v>
      </c>
      <c r="G34" s="40">
        <v>79</v>
      </c>
      <c r="H34" s="177">
        <f t="shared" ref="H34:H39" si="2">F34*G34</f>
        <v>79000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8">
        <v>500</v>
      </c>
      <c r="G35" s="41">
        <v>140</v>
      </c>
      <c r="H35" s="177">
        <f t="shared" si="2"/>
        <v>70000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>
        <v>4</v>
      </c>
      <c r="D36" s="12">
        <f>C36*1.5</f>
        <v>6</v>
      </c>
      <c r="F36" s="12">
        <v>200</v>
      </c>
      <c r="G36" s="37"/>
      <c r="H36" s="177">
        <f t="shared" si="2"/>
        <v>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>
        <v>762</v>
      </c>
      <c r="D37" s="12">
        <f>C37*111</f>
        <v>84582</v>
      </c>
      <c r="F37" s="12">
        <v>100</v>
      </c>
      <c r="G37" s="39">
        <v>1</v>
      </c>
      <c r="H37" s="177">
        <f t="shared" si="2"/>
        <v>100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>
        <v>50</v>
      </c>
      <c r="D38" s="12">
        <f>C38*84</f>
        <v>4200</v>
      </c>
      <c r="F38" s="30">
        <v>50</v>
      </c>
      <c r="G38" s="39"/>
      <c r="H38" s="177">
        <f t="shared" si="2"/>
        <v>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>
        <v>8</v>
      </c>
      <c r="D39" s="31">
        <f>C39*4.5</f>
        <v>36</v>
      </c>
      <c r="F39" s="12">
        <v>20</v>
      </c>
      <c r="G39" s="37"/>
      <c r="H39" s="177">
        <f t="shared" si="2"/>
        <v>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3">
        <v>38</v>
      </c>
      <c r="D40" s="12">
        <f>C40*111</f>
        <v>4218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>
        <v>14</v>
      </c>
      <c r="D42" s="12">
        <f>C42*2.25</f>
        <v>31.5</v>
      </c>
      <c r="F42" s="39" t="s">
        <v>79</v>
      </c>
      <c r="G42" s="177">
        <v>85</v>
      </c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59" t="s">
        <v>82</v>
      </c>
      <c r="G43" s="110" t="s">
        <v>83</v>
      </c>
      <c r="H43" s="169" t="s">
        <v>13</v>
      </c>
      <c r="I43" s="170"/>
      <c r="J43" s="17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8"/>
      <c r="B44" s="27" t="s">
        <v>66</v>
      </c>
      <c r="C44" s="10">
        <v>32</v>
      </c>
      <c r="D44" s="12">
        <f>C44*120</f>
        <v>3840</v>
      </c>
      <c r="F44" s="37" t="s">
        <v>150</v>
      </c>
      <c r="G44" s="62" t="s">
        <v>205</v>
      </c>
      <c r="H44" s="172">
        <v>591364</v>
      </c>
      <c r="I44" s="172"/>
      <c r="J44" s="17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48"/>
      <c r="B45" s="27" t="s">
        <v>68</v>
      </c>
      <c r="C45" s="33">
        <v>1</v>
      </c>
      <c r="D45" s="12">
        <f>C45*84</f>
        <v>84</v>
      </c>
      <c r="F45" s="37"/>
      <c r="G45" s="62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1">
        <v>25</v>
      </c>
      <c r="D46" s="12">
        <f>C46*1.5</f>
        <v>37.5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59"/>
      <c r="G47" s="59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>
        <v>26</v>
      </c>
      <c r="D48" s="12">
        <f>C48*78</f>
        <v>2028</v>
      </c>
      <c r="F48" s="59"/>
      <c r="G48" s="59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>
        <v>15</v>
      </c>
      <c r="D49" s="12">
        <f>C49*42</f>
        <v>630</v>
      </c>
      <c r="F49" s="153" t="s">
        <v>86</v>
      </c>
      <c r="G49" s="155">
        <f>H34+H35+H36+H37+H38+H39+H40+H41+G42+H44+H45+H46</f>
        <v>740549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>
        <v>10</v>
      </c>
      <c r="D50" s="12">
        <f>C50*1.5</f>
        <v>15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131</v>
      </c>
      <c r="G51" s="266">
        <f>G49-H29</f>
        <v>-6</v>
      </c>
      <c r="H51" s="267"/>
      <c r="I51" s="267"/>
      <c r="J51" s="26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269"/>
      <c r="H52" s="270"/>
      <c r="I52" s="270"/>
      <c r="J52" s="27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103836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9409-0D01-4EEF-94F8-D87BC31EE6C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2</v>
      </c>
      <c r="H4" s="234" t="s">
        <v>9</v>
      </c>
      <c r="I4" s="236">
        <v>46010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10">
        <v>292</v>
      </c>
      <c r="D6" s="13">
        <f t="shared" ref="D6:D28" si="1">C6*L6</f>
        <v>215204</v>
      </c>
      <c r="F6" s="240" t="s">
        <v>16</v>
      </c>
      <c r="G6" s="242" t="s">
        <v>141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10">
        <v>5</v>
      </c>
      <c r="D7" s="13">
        <f t="shared" si="1"/>
        <v>3625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10"/>
      <c r="D8" s="13">
        <f t="shared" si="1"/>
        <v>0</v>
      </c>
      <c r="F8" s="248" t="s">
        <v>21</v>
      </c>
      <c r="G8" s="249" t="s">
        <v>114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10">
        <v>21</v>
      </c>
      <c r="D9" s="13">
        <f t="shared" si="1"/>
        <v>14847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10">
        <v>1</v>
      </c>
      <c r="D10" s="13">
        <f t="shared" si="1"/>
        <v>972</v>
      </c>
      <c r="F10" s="240" t="s">
        <v>26</v>
      </c>
      <c r="G10" s="255" t="s">
        <v>115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10"/>
      <c r="D12" s="48">
        <f t="shared" si="1"/>
        <v>0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10">
        <v>9</v>
      </c>
      <c r="D13" s="48">
        <f t="shared" si="1"/>
        <v>2763</v>
      </c>
      <c r="F13" s="261" t="s">
        <v>36</v>
      </c>
      <c r="G13" s="225"/>
      <c r="H13" s="216">
        <f>D29</f>
        <v>239839.66666666666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10">
        <v>10</v>
      </c>
      <c r="D14" s="31">
        <f t="shared" si="1"/>
        <v>110</v>
      </c>
      <c r="F14" s="219" t="s">
        <v>39</v>
      </c>
      <c r="G14" s="220"/>
      <c r="H14" s="221">
        <f>D54</f>
        <v>34114.5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10"/>
      <c r="D15" s="31">
        <f t="shared" si="1"/>
        <v>0</v>
      </c>
      <c r="F15" s="224" t="s">
        <v>40</v>
      </c>
      <c r="G15" s="225"/>
      <c r="H15" s="226">
        <f>H13-H14</f>
        <v>205725.16666666666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93</v>
      </c>
      <c r="C17" s="10"/>
      <c r="D17" s="48">
        <f t="shared" si="1"/>
        <v>0</v>
      </c>
      <c r="F17" s="56"/>
      <c r="G17" s="66" t="s">
        <v>45</v>
      </c>
      <c r="H17" s="197"/>
      <c r="I17" s="197"/>
      <c r="J17" s="19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7"/>
      <c r="I20" s="197"/>
      <c r="J20" s="19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104</v>
      </c>
      <c r="C22" s="10"/>
      <c r="D22" s="48">
        <f t="shared" si="1"/>
        <v>0</v>
      </c>
      <c r="F22" s="72"/>
      <c r="G22" s="73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107</v>
      </c>
      <c r="C23" s="10"/>
      <c r="D23" s="48">
        <f t="shared" si="1"/>
        <v>0</v>
      </c>
      <c r="F23" s="25"/>
      <c r="G23" s="37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123</v>
      </c>
      <c r="C24" s="10"/>
      <c r="D24" s="48">
        <f t="shared" si="1"/>
        <v>0</v>
      </c>
      <c r="F24" s="38"/>
      <c r="G24" s="37"/>
      <c r="H24" s="203"/>
      <c r="I24" s="172"/>
      <c r="J24" s="17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124</v>
      </c>
      <c r="C25" s="10">
        <v>2</v>
      </c>
      <c r="D25" s="48">
        <f t="shared" si="1"/>
        <v>233.66666666666666</v>
      </c>
      <c r="F25" s="60" t="s">
        <v>100</v>
      </c>
      <c r="G25" s="55" t="s">
        <v>98</v>
      </c>
      <c r="H25" s="204" t="s">
        <v>13</v>
      </c>
      <c r="I25" s="205"/>
      <c r="J25" s="206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105</v>
      </c>
      <c r="C26" s="10"/>
      <c r="D26" s="48">
        <f t="shared" si="1"/>
        <v>0</v>
      </c>
      <c r="F26" s="64"/>
      <c r="G26" s="10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109</v>
      </c>
      <c r="C27" s="10"/>
      <c r="D27" s="44">
        <f t="shared" si="1"/>
        <v>0</v>
      </c>
      <c r="F27" s="14"/>
      <c r="G27" s="14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10">
        <v>1</v>
      </c>
      <c r="D28" s="48">
        <f t="shared" si="1"/>
        <v>785</v>
      </c>
      <c r="F28" s="107"/>
      <c r="G28" s="61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239839.66666666666</v>
      </c>
      <c r="F29" s="133" t="s">
        <v>55</v>
      </c>
      <c r="G29" s="195"/>
      <c r="H29" s="155">
        <f>H15-H16-H17-H18-H19-H20-H22-H23-H24+H26+H27</f>
        <v>205725.16666666666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178</v>
      </c>
      <c r="H34" s="177">
        <f>F34*G34</f>
        <v>178000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8">
        <v>500</v>
      </c>
      <c r="G35" s="41">
        <v>50</v>
      </c>
      <c r="H35" s="177">
        <f t="shared" ref="H35:H39" si="2">F35*G35</f>
        <v>25000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/>
      <c r="H36" s="177">
        <f>F36*G36</f>
        <v>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>
        <v>260</v>
      </c>
      <c r="D37" s="12">
        <f>C37*111</f>
        <v>28860</v>
      </c>
      <c r="F37" s="12">
        <v>100</v>
      </c>
      <c r="G37" s="39">
        <v>8</v>
      </c>
      <c r="H37" s="177">
        <f t="shared" si="2"/>
        <v>800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>
        <v>45</v>
      </c>
      <c r="D38" s="12">
        <f>C38*84</f>
        <v>3780</v>
      </c>
      <c r="F38" s="30">
        <v>50</v>
      </c>
      <c r="G38" s="39">
        <v>1</v>
      </c>
      <c r="H38" s="177">
        <f t="shared" si="2"/>
        <v>50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>
        <v>7</v>
      </c>
      <c r="D39" s="31">
        <f>C39*4.5</f>
        <v>31.5</v>
      </c>
      <c r="F39" s="12">
        <v>20</v>
      </c>
      <c r="G39" s="37"/>
      <c r="H39" s="177">
        <f t="shared" si="2"/>
        <v>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>
        <v>14</v>
      </c>
      <c r="D42" s="12">
        <f>C42*2.25</f>
        <v>31.5</v>
      </c>
      <c r="F42" s="39" t="s">
        <v>79</v>
      </c>
      <c r="G42" s="177">
        <v>68</v>
      </c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59" t="s">
        <v>82</v>
      </c>
      <c r="G43" s="110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/>
      <c r="D44" s="12">
        <f>C44*120</f>
        <v>0</v>
      </c>
      <c r="F44" s="37"/>
      <c r="G44" s="62"/>
      <c r="H44" s="172"/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/>
      <c r="G45" s="62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1"/>
      <c r="D46" s="12">
        <f>C46*1.5</f>
        <v>0</v>
      </c>
      <c r="F46" s="37"/>
      <c r="G46" s="109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59"/>
      <c r="G47" s="59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>
        <v>5</v>
      </c>
      <c r="D49" s="12">
        <f>C49*42</f>
        <v>210</v>
      </c>
      <c r="F49" s="153" t="s">
        <v>86</v>
      </c>
      <c r="G49" s="155">
        <f>H34+H35+H36+H37+H38+H39+H40+H41+G42+H44+H45+H46</f>
        <v>203918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>
        <v>13</v>
      </c>
      <c r="D50" s="12">
        <f>C50*1.5</f>
        <v>19.5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132</v>
      </c>
      <c r="G51" s="266">
        <f>G49-H29</f>
        <v>-1807.166666666657</v>
      </c>
      <c r="H51" s="267"/>
      <c r="I51" s="267"/>
      <c r="J51" s="26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269"/>
      <c r="H52" s="270"/>
      <c r="I52" s="270"/>
      <c r="J52" s="27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34114.5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AE038-526B-4EE3-A973-CD08A0E1A3D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3</v>
      </c>
      <c r="H4" s="234" t="s">
        <v>9</v>
      </c>
      <c r="I4" s="236">
        <v>46010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10">
        <v>392</v>
      </c>
      <c r="D6" s="13">
        <f t="shared" ref="D6:D28" si="1">C6*L6</f>
        <v>288904</v>
      </c>
      <c r="F6" s="240" t="s">
        <v>16</v>
      </c>
      <c r="G6" s="242" t="s">
        <v>111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10">
        <v>12</v>
      </c>
      <c r="D7" s="13">
        <f t="shared" si="1"/>
        <v>8700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10">
        <v>1</v>
      </c>
      <c r="D8" s="13">
        <f t="shared" si="1"/>
        <v>1033</v>
      </c>
      <c r="F8" s="248" t="s">
        <v>21</v>
      </c>
      <c r="G8" s="249" t="s">
        <v>119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10">
        <v>14</v>
      </c>
      <c r="D9" s="13">
        <f t="shared" si="1"/>
        <v>9898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10">
        <v>1</v>
      </c>
      <c r="D10" s="13">
        <f t="shared" si="1"/>
        <v>972</v>
      </c>
      <c r="F10" s="240" t="s">
        <v>26</v>
      </c>
      <c r="G10" s="255" t="s">
        <v>135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10">
        <v>2</v>
      </c>
      <c r="D11" s="13">
        <f t="shared" si="1"/>
        <v>2250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10">
        <v>2</v>
      </c>
      <c r="D12" s="48">
        <f t="shared" si="1"/>
        <v>1904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10">
        <v>6</v>
      </c>
      <c r="D13" s="48">
        <f t="shared" si="1"/>
        <v>1842</v>
      </c>
      <c r="F13" s="261" t="s">
        <v>36</v>
      </c>
      <c r="G13" s="225"/>
      <c r="H13" s="216">
        <f>D29</f>
        <v>316798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10">
        <v>5</v>
      </c>
      <c r="D14" s="31">
        <f t="shared" si="1"/>
        <v>55</v>
      </c>
      <c r="F14" s="219" t="s">
        <v>39</v>
      </c>
      <c r="G14" s="220"/>
      <c r="H14" s="221">
        <f>D54</f>
        <v>48750.75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10">
        <v>2</v>
      </c>
      <c r="D15" s="31">
        <f t="shared" si="1"/>
        <v>1240</v>
      </c>
      <c r="F15" s="224" t="s">
        <v>40</v>
      </c>
      <c r="G15" s="225"/>
      <c r="H15" s="226">
        <f>H13-H14</f>
        <v>268047.25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6">
        <f>1362+762</f>
        <v>2124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113</v>
      </c>
      <c r="C17" s="10"/>
      <c r="D17" s="48">
        <f t="shared" si="1"/>
        <v>0</v>
      </c>
      <c r="F17" s="56"/>
      <c r="G17" s="66" t="s">
        <v>45</v>
      </c>
      <c r="H17" s="197"/>
      <c r="I17" s="197"/>
      <c r="J17" s="19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2"/>
      <c r="I19" s="272"/>
      <c r="J19" s="27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104</v>
      </c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107</v>
      </c>
      <c r="C23" s="10"/>
      <c r="D23" s="48">
        <f t="shared" si="1"/>
        <v>0</v>
      </c>
      <c r="F23" s="78"/>
      <c r="G23" s="79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101</v>
      </c>
      <c r="C24" s="10"/>
      <c r="D24" s="48">
        <f t="shared" si="1"/>
        <v>0</v>
      </c>
      <c r="F24" s="38"/>
      <c r="G24" s="37"/>
      <c r="H24" s="203"/>
      <c r="I24" s="172"/>
      <c r="J24" s="17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4" t="s">
        <v>13</v>
      </c>
      <c r="I25" s="205"/>
      <c r="J25" s="20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105</v>
      </c>
      <c r="C26" s="10"/>
      <c r="D26" s="48">
        <f t="shared" si="1"/>
        <v>0</v>
      </c>
      <c r="F26" s="64"/>
      <c r="G26" s="59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109</v>
      </c>
      <c r="C27" s="10"/>
      <c r="D27" s="44">
        <f t="shared" si="1"/>
        <v>0</v>
      </c>
      <c r="F27" s="25"/>
      <c r="G27" s="80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10"/>
      <c r="D28" s="48">
        <f t="shared" si="1"/>
        <v>0</v>
      </c>
      <c r="F28" s="107"/>
      <c r="G28" s="61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316798</v>
      </c>
      <c r="F29" s="133" t="s">
        <v>55</v>
      </c>
      <c r="G29" s="195"/>
      <c r="H29" s="155">
        <f>H15-H16-H17-H18-H19-H20-H22-H23-H24+H26+H27</f>
        <v>265923.25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74">
        <v>89</v>
      </c>
      <c r="H34" s="177">
        <f>F34*G34</f>
        <v>89000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8">
        <v>500</v>
      </c>
      <c r="G35" s="41">
        <v>62</v>
      </c>
      <c r="H35" s="177">
        <f>F35*G35</f>
        <v>31000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77">
        <f t="shared" ref="H36:H39" si="2">F36*G36</f>
        <v>200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>
        <v>413</v>
      </c>
      <c r="D37" s="12">
        <f>C37*111</f>
        <v>45843</v>
      </c>
      <c r="F37" s="12">
        <v>100</v>
      </c>
      <c r="G37" s="39">
        <v>17</v>
      </c>
      <c r="H37" s="177">
        <f t="shared" si="2"/>
        <v>1700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>
        <v>15</v>
      </c>
      <c r="D38" s="12">
        <f>C38*84</f>
        <v>1260</v>
      </c>
      <c r="F38" s="30">
        <v>50</v>
      </c>
      <c r="G38" s="39">
        <v>1</v>
      </c>
      <c r="H38" s="177">
        <f t="shared" si="2"/>
        <v>50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77">
        <f t="shared" si="2"/>
        <v>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>
        <v>7</v>
      </c>
      <c r="D42" s="12">
        <f>C42*2.25</f>
        <v>15.75</v>
      </c>
      <c r="F42" s="39" t="s">
        <v>79</v>
      </c>
      <c r="G42" s="177">
        <v>84</v>
      </c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59" t="s">
        <v>82</v>
      </c>
      <c r="G43" s="110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>
        <v>3</v>
      </c>
      <c r="D44" s="12">
        <f>C44*120</f>
        <v>360</v>
      </c>
      <c r="F44" s="37" t="s">
        <v>150</v>
      </c>
      <c r="G44" s="76" t="s">
        <v>207</v>
      </c>
      <c r="H44" s="172">
        <v>143468</v>
      </c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/>
      <c r="G45" s="76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1"/>
      <c r="D46" s="12">
        <f>C46*1.5</f>
        <v>0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59"/>
      <c r="G47" s="59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/>
      <c r="D49" s="12">
        <f>C49*42</f>
        <v>0</v>
      </c>
      <c r="F49" s="153" t="s">
        <v>86</v>
      </c>
      <c r="G49" s="155">
        <f>H34+H35+H36+H37+H38+H39+H40+H41+G42+H44+H45+H46</f>
        <v>265502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>
        <v>3</v>
      </c>
      <c r="D50" s="12">
        <f>C50*1.5</f>
        <v>4.5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140</v>
      </c>
      <c r="G51" s="266">
        <f>G49-H29</f>
        <v>-421.25</v>
      </c>
      <c r="H51" s="267"/>
      <c r="I51" s="267"/>
      <c r="J51" s="26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269"/>
      <c r="H52" s="270"/>
      <c r="I52" s="270"/>
      <c r="J52" s="27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48750.75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E0740E-7CB9-4E1F-9B65-1629A07AD48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9" t="s">
        <v>1</v>
      </c>
      <c r="O1" s="229"/>
      <c r="P1" s="106" t="s">
        <v>2</v>
      </c>
      <c r="Q1" s="10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0" t="s">
        <v>7</v>
      </c>
      <c r="B4" s="181"/>
      <c r="C4" s="181"/>
      <c r="D4" s="182"/>
      <c r="F4" s="230" t="s">
        <v>8</v>
      </c>
      <c r="G4" s="232"/>
      <c r="H4" s="234" t="s">
        <v>9</v>
      </c>
      <c r="I4" s="236"/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5"/>
      <c r="B6" s="16"/>
      <c r="C6" s="10"/>
      <c r="D6" s="13">
        <f t="shared" ref="D6:D28" si="1">C6*L6</f>
        <v>0</v>
      </c>
      <c r="F6" s="240" t="s">
        <v>16</v>
      </c>
      <c r="G6" s="242"/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5"/>
      <c r="B7" s="16"/>
      <c r="C7" s="10"/>
      <c r="D7" s="13">
        <f t="shared" si="1"/>
        <v>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5"/>
      <c r="B8" s="16"/>
      <c r="C8" s="10"/>
      <c r="D8" s="13">
        <f t="shared" si="1"/>
        <v>0</v>
      </c>
      <c r="F8" s="248" t="s">
        <v>21</v>
      </c>
      <c r="G8" s="249"/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5"/>
      <c r="B9" s="16"/>
      <c r="C9" s="10"/>
      <c r="D9" s="13">
        <f t="shared" si="1"/>
        <v>0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5"/>
      <c r="C10" s="10"/>
      <c r="D10" s="13">
        <f t="shared" si="1"/>
        <v>0</v>
      </c>
      <c r="F10" s="240" t="s">
        <v>26</v>
      </c>
      <c r="G10" s="255"/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9" ht="15.75" x14ac:dyDescent="0.25">
      <c r="A11" s="175"/>
      <c r="B11" s="17"/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5"/>
      <c r="B12" s="17"/>
      <c r="C12" s="10"/>
      <c r="D12" s="48">
        <f t="shared" si="1"/>
        <v>0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5"/>
      <c r="B13" s="17"/>
      <c r="C13" s="10"/>
      <c r="D13" s="48">
        <f t="shared" si="1"/>
        <v>0</v>
      </c>
      <c r="F13" s="261" t="s">
        <v>36</v>
      </c>
      <c r="G13" s="225"/>
      <c r="H13" s="216">
        <f>D29</f>
        <v>0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5"/>
      <c r="B14" s="14"/>
      <c r="C14" s="10"/>
      <c r="D14" s="31">
        <f t="shared" si="1"/>
        <v>0</v>
      </c>
      <c r="F14" s="219" t="s">
        <v>39</v>
      </c>
      <c r="G14" s="220"/>
      <c r="H14" s="221">
        <f>D54</f>
        <v>0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5"/>
      <c r="B15" s="14"/>
      <c r="C15" s="10"/>
      <c r="D15" s="31">
        <f t="shared" si="1"/>
        <v>0</v>
      </c>
      <c r="F15" s="224" t="s">
        <v>40</v>
      </c>
      <c r="G15" s="225"/>
      <c r="H15" s="226">
        <f>H13-H14</f>
        <v>0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C17" s="10"/>
      <c r="D17" s="48">
        <f t="shared" si="1"/>
        <v>0</v>
      </c>
      <c r="F17" s="56"/>
      <c r="G17" s="66" t="s">
        <v>45</v>
      </c>
      <c r="H17" s="197"/>
      <c r="I17" s="197"/>
      <c r="J17" s="19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/>
      <c r="C18" s="10"/>
      <c r="D18" s="48">
        <f t="shared" si="1"/>
        <v>0</v>
      </c>
      <c r="F18" s="56"/>
      <c r="G18" s="66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/>
      <c r="C19" s="10"/>
      <c r="D19" s="48">
        <f t="shared" si="1"/>
        <v>0</v>
      </c>
      <c r="F19" s="56"/>
      <c r="G19" s="68" t="s">
        <v>50</v>
      </c>
      <c r="H19" s="198"/>
      <c r="I19" s="198"/>
      <c r="J19" s="19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/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/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/>
      <c r="C23" s="10"/>
      <c r="D23" s="48">
        <f t="shared" si="1"/>
        <v>0</v>
      </c>
      <c r="F23" s="78"/>
      <c r="G23" s="79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/>
      <c r="C24" s="10"/>
      <c r="D24" s="48">
        <f t="shared" si="1"/>
        <v>0</v>
      </c>
      <c r="F24" s="38"/>
      <c r="G24" s="37"/>
      <c r="H24" s="203"/>
      <c r="I24" s="172"/>
      <c r="J24" s="17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4" t="s">
        <v>13</v>
      </c>
      <c r="I25" s="205"/>
      <c r="J25" s="20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/>
      <c r="C26" s="10"/>
      <c r="D26" s="48">
        <f t="shared" si="1"/>
        <v>0</v>
      </c>
      <c r="F26" s="64"/>
      <c r="G26" s="59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/>
      <c r="C27" s="10"/>
      <c r="D27" s="44">
        <f t="shared" si="1"/>
        <v>0</v>
      </c>
      <c r="F27" s="25"/>
      <c r="G27" s="80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/>
      <c r="C28" s="10"/>
      <c r="D28" s="48">
        <f t="shared" si="1"/>
        <v>0</v>
      </c>
      <c r="F28" s="107"/>
      <c r="G28" s="61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0</v>
      </c>
      <c r="F29" s="133" t="s">
        <v>55</v>
      </c>
      <c r="G29" s="195"/>
      <c r="H29" s="155">
        <f>H15-H16-H17-H18-H19-H20-H22-H23-H24+H26+H27</f>
        <v>0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7"/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8">
        <v>500</v>
      </c>
      <c r="G35" s="41"/>
      <c r="H35" s="177"/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/>
      <c r="H36" s="177"/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7"/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/>
      <c r="D38" s="12">
        <f>C38*84</f>
        <v>0</v>
      </c>
      <c r="F38" s="30">
        <v>50</v>
      </c>
      <c r="G38" s="39"/>
      <c r="H38" s="177"/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/>
      <c r="D39" s="31">
        <f>C39*4.5</f>
        <v>0</v>
      </c>
      <c r="F39" s="12">
        <v>20</v>
      </c>
      <c r="G39" s="37"/>
      <c r="H39" s="177"/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/>
      <c r="D42" s="12">
        <f>C42*2.25</f>
        <v>0</v>
      </c>
      <c r="F42" s="39" t="s">
        <v>79</v>
      </c>
      <c r="G42" s="177"/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59" t="s">
        <v>82</v>
      </c>
      <c r="G43" s="110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/>
      <c r="D44" s="12">
        <f>C44*120</f>
        <v>0</v>
      </c>
      <c r="F44" s="37"/>
      <c r="G44" s="76"/>
      <c r="H44" s="172"/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/>
      <c r="G45" s="76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1"/>
      <c r="D46" s="12">
        <f>C46*1.5</f>
        <v>0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59"/>
      <c r="G47" s="59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/>
      <c r="D48" s="12">
        <f>C48*78</f>
        <v>0</v>
      </c>
      <c r="F48" s="59"/>
      <c r="G48" s="59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/>
      <c r="D49" s="12">
        <f>C49*42</f>
        <v>0</v>
      </c>
      <c r="F49" s="153" t="s">
        <v>86</v>
      </c>
      <c r="G49" s="155">
        <f>H34+H35+H36+H37+H38+H39+H40+H41+G42+H44+H45+H46</f>
        <v>0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/>
      <c r="D50" s="12">
        <f>C50*1.5</f>
        <v>0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128</v>
      </c>
      <c r="G51" s="163">
        <f>G49-H29</f>
        <v>0</v>
      </c>
      <c r="H51" s="164"/>
      <c r="I51" s="164"/>
      <c r="J51" s="1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166"/>
      <c r="H52" s="167"/>
      <c r="I52" s="167"/>
      <c r="J52" s="1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0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84802-86E2-48D2-A04C-1EC20312EC7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1</v>
      </c>
      <c r="H4" s="234" t="s">
        <v>9</v>
      </c>
      <c r="I4" s="236">
        <v>46011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84">
        <v>612</v>
      </c>
      <c r="D6" s="13">
        <f t="shared" ref="D6:D28" si="1">C6*L6</f>
        <v>451044</v>
      </c>
      <c r="F6" s="240" t="s">
        <v>16</v>
      </c>
      <c r="G6" s="242" t="s">
        <v>129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84">
        <v>1</v>
      </c>
      <c r="D7" s="13">
        <f t="shared" si="1"/>
        <v>725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84">
        <v>54</v>
      </c>
      <c r="D8" s="13">
        <f t="shared" si="1"/>
        <v>55782</v>
      </c>
      <c r="F8" s="248" t="s">
        <v>21</v>
      </c>
      <c r="G8" s="249" t="s">
        <v>112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84">
        <v>5</v>
      </c>
      <c r="D9" s="13">
        <f t="shared" si="1"/>
        <v>3535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84">
        <v>2</v>
      </c>
      <c r="D10" s="13">
        <f t="shared" si="1"/>
        <v>1944</v>
      </c>
      <c r="F10" s="240" t="s">
        <v>26</v>
      </c>
      <c r="G10" s="255" t="s">
        <v>130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84">
        <v>7</v>
      </c>
      <c r="D11" s="13">
        <f t="shared" si="1"/>
        <v>7875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84">
        <v>4</v>
      </c>
      <c r="D12" s="48">
        <f t="shared" si="1"/>
        <v>3808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84">
        <v>16</v>
      </c>
      <c r="D13" s="48">
        <f t="shared" si="1"/>
        <v>4912</v>
      </c>
      <c r="F13" s="261" t="s">
        <v>36</v>
      </c>
      <c r="G13" s="225"/>
      <c r="H13" s="216">
        <f>D29</f>
        <v>532253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84">
        <v>8</v>
      </c>
      <c r="D14" s="31">
        <f t="shared" si="1"/>
        <v>88</v>
      </c>
      <c r="F14" s="219" t="s">
        <v>39</v>
      </c>
      <c r="G14" s="220"/>
      <c r="H14" s="221">
        <f>D54</f>
        <v>40435.5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84">
        <v>2</v>
      </c>
      <c r="D15" s="31">
        <f t="shared" si="1"/>
        <v>1240</v>
      </c>
      <c r="F15" s="224" t="s">
        <v>40</v>
      </c>
      <c r="G15" s="225"/>
      <c r="H15" s="226">
        <f>H13-H14</f>
        <v>491817.5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6">
        <f>1944</f>
        <v>1944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138</v>
      </c>
      <c r="C17" s="84"/>
      <c r="D17" s="48">
        <f t="shared" si="1"/>
        <v>0</v>
      </c>
      <c r="F17" s="56"/>
      <c r="G17" s="66" t="s">
        <v>45</v>
      </c>
      <c r="H17" s="197"/>
      <c r="I17" s="197"/>
      <c r="J17" s="19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97"/>
      <c r="I19" s="197"/>
      <c r="J19" s="197"/>
      <c r="L19" s="6">
        <v>1102</v>
      </c>
      <c r="Q19" s="4"/>
      <c r="R19" s="5">
        <f t="shared" si="0"/>
        <v>0</v>
      </c>
    </row>
    <row r="20" spans="1:18" ht="15.75" x14ac:dyDescent="0.25">
      <c r="A20" s="175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136</v>
      </c>
      <c r="C21" s="84">
        <v>2</v>
      </c>
      <c r="D21" s="48">
        <f t="shared" si="1"/>
        <v>1300</v>
      </c>
      <c r="F21" s="69" t="s">
        <v>99</v>
      </c>
      <c r="G21" s="82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127</v>
      </c>
      <c r="C22" s="84"/>
      <c r="D22" s="48">
        <f t="shared" si="1"/>
        <v>0</v>
      </c>
      <c r="F22" s="77"/>
      <c r="G22" s="73"/>
      <c r="H22" s="202"/>
      <c r="I22" s="202"/>
      <c r="J22" s="20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101</v>
      </c>
      <c r="C23" s="84"/>
      <c r="D23" s="48">
        <f t="shared" si="1"/>
        <v>0</v>
      </c>
      <c r="F23" s="77"/>
      <c r="G23" s="79"/>
      <c r="H23" s="262"/>
      <c r="I23" s="263"/>
      <c r="J23" s="26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121</v>
      </c>
      <c r="C24" s="84"/>
      <c r="D24" s="48">
        <f t="shared" si="1"/>
        <v>0</v>
      </c>
      <c r="F24" s="77"/>
      <c r="G24" s="79"/>
      <c r="H24" s="262"/>
      <c r="I24" s="263"/>
      <c r="J24" s="26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204" t="s">
        <v>13</v>
      </c>
      <c r="I25" s="205"/>
      <c r="J25" s="20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137</v>
      </c>
      <c r="C26" s="84"/>
      <c r="D26" s="48">
        <f t="shared" si="1"/>
        <v>0</v>
      </c>
      <c r="F26" s="75"/>
      <c r="G26" s="65"/>
      <c r="H26" s="172"/>
      <c r="I26" s="172"/>
      <c r="J26" s="172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110</v>
      </c>
      <c r="C27" s="84"/>
      <c r="D27" s="44">
        <f t="shared" si="1"/>
        <v>0</v>
      </c>
      <c r="F27" s="71"/>
      <c r="G27" s="110"/>
      <c r="H27" s="264"/>
      <c r="I27" s="265"/>
      <c r="J27" s="26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84"/>
      <c r="D28" s="48">
        <f t="shared" si="1"/>
        <v>0</v>
      </c>
      <c r="F28" s="107"/>
      <c r="G28" s="61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532253</v>
      </c>
      <c r="F29" s="133" t="s">
        <v>55</v>
      </c>
      <c r="G29" s="195"/>
      <c r="H29" s="155">
        <f>H15-H16-H17-H18-H19-H20-H22-H23-H24+H26+H27+H28</f>
        <v>489873.5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316</v>
      </c>
      <c r="H34" s="177">
        <f t="shared" ref="H34:H39" si="2">F34*G34</f>
        <v>316000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8">
        <v>500</v>
      </c>
      <c r="G35" s="41">
        <v>84</v>
      </c>
      <c r="H35" s="177">
        <f t="shared" si="2"/>
        <v>42000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>
        <v>18</v>
      </c>
      <c r="D36" s="12">
        <f>C36*1.5</f>
        <v>27</v>
      </c>
      <c r="F36" s="12">
        <v>200</v>
      </c>
      <c r="G36" s="37"/>
      <c r="H36" s="177">
        <f t="shared" si="2"/>
        <v>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>
        <v>263</v>
      </c>
      <c r="D37" s="12">
        <f>C37*111</f>
        <v>29193</v>
      </c>
      <c r="F37" s="12">
        <v>100</v>
      </c>
      <c r="G37" s="39">
        <v>1</v>
      </c>
      <c r="H37" s="177">
        <f t="shared" si="2"/>
        <v>100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>
        <v>16</v>
      </c>
      <c r="D38" s="12">
        <f>C38*84</f>
        <v>1344</v>
      </c>
      <c r="F38" s="30">
        <v>50</v>
      </c>
      <c r="G38" s="39"/>
      <c r="H38" s="177">
        <f t="shared" si="2"/>
        <v>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>
        <v>7</v>
      </c>
      <c r="D39" s="31">
        <f>C39*4.5</f>
        <v>31.5</v>
      </c>
      <c r="F39" s="12">
        <v>20</v>
      </c>
      <c r="G39" s="37"/>
      <c r="H39" s="177">
        <f t="shared" si="2"/>
        <v>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>
        <v>8</v>
      </c>
      <c r="D42" s="12">
        <f>C42*2.25</f>
        <v>18</v>
      </c>
      <c r="F42" s="39" t="s">
        <v>79</v>
      </c>
      <c r="G42" s="177">
        <v>18</v>
      </c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59" t="s">
        <v>82</v>
      </c>
      <c r="G43" s="110" t="s">
        <v>83</v>
      </c>
      <c r="H43" s="169" t="s">
        <v>13</v>
      </c>
      <c r="I43" s="170"/>
      <c r="J43" s="17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8"/>
      <c r="B44" s="27" t="s">
        <v>66</v>
      </c>
      <c r="C44" s="10">
        <v>65</v>
      </c>
      <c r="D44" s="12">
        <f>C44*120</f>
        <v>7800</v>
      </c>
      <c r="F44" s="37" t="s">
        <v>167</v>
      </c>
      <c r="G44" s="62" t="s">
        <v>208</v>
      </c>
      <c r="H44" s="172">
        <v>83151</v>
      </c>
      <c r="I44" s="172"/>
      <c r="J44" s="17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48"/>
      <c r="B45" s="27" t="s">
        <v>68</v>
      </c>
      <c r="C45" s="33">
        <v>2</v>
      </c>
      <c r="D45" s="12">
        <f>C45*84</f>
        <v>168</v>
      </c>
      <c r="F45" s="37" t="s">
        <v>145</v>
      </c>
      <c r="G45" s="62" t="s">
        <v>209</v>
      </c>
      <c r="H45" s="172">
        <v>8853</v>
      </c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1">
        <v>48</v>
      </c>
      <c r="D46" s="12">
        <f>C46*1.5</f>
        <v>72</v>
      </c>
      <c r="F46" s="37" t="s">
        <v>145</v>
      </c>
      <c r="G46" s="62" t="s">
        <v>209</v>
      </c>
      <c r="H46" s="172">
        <v>40057</v>
      </c>
      <c r="I46" s="172"/>
      <c r="J46" s="172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59"/>
      <c r="G47" s="59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>
        <v>1</v>
      </c>
      <c r="D49" s="12">
        <f>C49*42</f>
        <v>42</v>
      </c>
      <c r="F49" s="153" t="s">
        <v>86</v>
      </c>
      <c r="G49" s="155">
        <f>H34+H35+H36+H37+H38+H39+H40+H41+G42+H44+H45+H46</f>
        <v>490179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>
        <v>54</v>
      </c>
      <c r="D50" s="12">
        <f>C50*1.5</f>
        <v>81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148</v>
      </c>
      <c r="G51" s="163">
        <f>G49-H29</f>
        <v>305.5</v>
      </c>
      <c r="H51" s="164"/>
      <c r="I51" s="164"/>
      <c r="J51" s="1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166"/>
      <c r="H52" s="167"/>
      <c r="I52" s="167"/>
      <c r="J52" s="1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40435.5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6D22F-9F81-4A42-BDB6-1D3B9C8870C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2</v>
      </c>
      <c r="H4" s="234" t="s">
        <v>9</v>
      </c>
      <c r="I4" s="236">
        <v>46011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10">
        <v>428</v>
      </c>
      <c r="D6" s="13">
        <f t="shared" ref="D6:D28" si="1">C6*L6</f>
        <v>315436</v>
      </c>
      <c r="F6" s="240" t="s">
        <v>16</v>
      </c>
      <c r="G6" s="242" t="s">
        <v>141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10">
        <v>5</v>
      </c>
      <c r="D7" s="13">
        <f t="shared" si="1"/>
        <v>3625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10"/>
      <c r="D8" s="13">
        <f t="shared" si="1"/>
        <v>0</v>
      </c>
      <c r="F8" s="248" t="s">
        <v>21</v>
      </c>
      <c r="G8" s="249" t="s">
        <v>114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10">
        <v>20</v>
      </c>
      <c r="D9" s="13">
        <f t="shared" si="1"/>
        <v>14140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10">
        <v>6</v>
      </c>
      <c r="D10" s="13">
        <f t="shared" si="1"/>
        <v>5832</v>
      </c>
      <c r="F10" s="240" t="s">
        <v>26</v>
      </c>
      <c r="G10" s="255" t="s">
        <v>115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10">
        <f>3+1</f>
        <v>4</v>
      </c>
      <c r="D12" s="48">
        <f t="shared" si="1"/>
        <v>3808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10">
        <v>13</v>
      </c>
      <c r="D13" s="48">
        <f t="shared" si="1"/>
        <v>3991</v>
      </c>
      <c r="F13" s="261" t="s">
        <v>36</v>
      </c>
      <c r="G13" s="225"/>
      <c r="H13" s="216">
        <f>D29</f>
        <v>349942.33333333331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10">
        <v>3</v>
      </c>
      <c r="D14" s="31">
        <f t="shared" si="1"/>
        <v>33</v>
      </c>
      <c r="F14" s="219" t="s">
        <v>39</v>
      </c>
      <c r="G14" s="220"/>
      <c r="H14" s="221">
        <f>D54</f>
        <v>43980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10"/>
      <c r="D15" s="31">
        <f t="shared" si="1"/>
        <v>0</v>
      </c>
      <c r="F15" s="224" t="s">
        <v>40</v>
      </c>
      <c r="G15" s="225"/>
      <c r="H15" s="226">
        <f>H13-H14</f>
        <v>305962.33333333331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6">
        <f>660+1206</f>
        <v>1866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93</v>
      </c>
      <c r="C17" s="10"/>
      <c r="D17" s="48">
        <f t="shared" si="1"/>
        <v>0</v>
      </c>
      <c r="F17" s="56"/>
      <c r="G17" s="66" t="s">
        <v>45</v>
      </c>
      <c r="H17" s="197"/>
      <c r="I17" s="197"/>
      <c r="J17" s="19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 t="s">
        <v>122</v>
      </c>
      <c r="C20" s="10">
        <v>1</v>
      </c>
      <c r="D20" s="13">
        <f t="shared" si="1"/>
        <v>1175</v>
      </c>
      <c r="F20" s="57"/>
      <c r="G20" s="70" t="s">
        <v>120</v>
      </c>
      <c r="H20" s="197"/>
      <c r="I20" s="197"/>
      <c r="J20" s="19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104</v>
      </c>
      <c r="C22" s="10"/>
      <c r="D22" s="48">
        <f t="shared" si="1"/>
        <v>0</v>
      </c>
      <c r="F22" s="72"/>
      <c r="G22" s="73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107</v>
      </c>
      <c r="C23" s="10"/>
      <c r="D23" s="48">
        <f t="shared" si="1"/>
        <v>0</v>
      </c>
      <c r="F23" s="25"/>
      <c r="G23" s="37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123</v>
      </c>
      <c r="C24" s="10"/>
      <c r="D24" s="48">
        <f t="shared" si="1"/>
        <v>0</v>
      </c>
      <c r="F24" s="38"/>
      <c r="G24" s="37"/>
      <c r="H24" s="203"/>
      <c r="I24" s="172"/>
      <c r="J24" s="17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124</v>
      </c>
      <c r="C25" s="10">
        <v>4</v>
      </c>
      <c r="D25" s="48">
        <f t="shared" si="1"/>
        <v>467.33333333333331</v>
      </c>
      <c r="F25" s="60" t="s">
        <v>100</v>
      </c>
      <c r="G25" s="55" t="s">
        <v>98</v>
      </c>
      <c r="H25" s="204" t="s">
        <v>13</v>
      </c>
      <c r="I25" s="205"/>
      <c r="J25" s="206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105</v>
      </c>
      <c r="C26" s="10"/>
      <c r="D26" s="48">
        <f t="shared" si="1"/>
        <v>0</v>
      </c>
      <c r="F26" s="64"/>
      <c r="G26" s="10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109</v>
      </c>
      <c r="C27" s="10"/>
      <c r="D27" s="44">
        <f t="shared" si="1"/>
        <v>0</v>
      </c>
      <c r="F27" s="14"/>
      <c r="G27" s="14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10">
        <v>1</v>
      </c>
      <c r="D28" s="48">
        <f t="shared" si="1"/>
        <v>785</v>
      </c>
      <c r="F28" s="107"/>
      <c r="G28" s="61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349942.33333333331</v>
      </c>
      <c r="F29" s="133" t="s">
        <v>55</v>
      </c>
      <c r="G29" s="195"/>
      <c r="H29" s="155">
        <f>H15-H16-H17-H18-H19-H20-H22-H23-H24+H26+H27</f>
        <v>304096.33333333331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144</v>
      </c>
      <c r="H34" s="177">
        <f>F34*G34</f>
        <v>144000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51</v>
      </c>
      <c r="H35" s="177">
        <f t="shared" ref="H35:H39" si="2">F35*G35</f>
        <v>25500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>
        <v>5</v>
      </c>
      <c r="D36" s="12">
        <f>C36*1.5</f>
        <v>7.5</v>
      </c>
      <c r="F36" s="12">
        <v>200</v>
      </c>
      <c r="G36" s="37"/>
      <c r="H36" s="177">
        <f>F36*G36</f>
        <v>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>
        <v>278</v>
      </c>
      <c r="D37" s="12">
        <f>C37*111</f>
        <v>30858</v>
      </c>
      <c r="F37" s="12">
        <v>100</v>
      </c>
      <c r="G37" s="39">
        <v>35</v>
      </c>
      <c r="H37" s="177">
        <f t="shared" si="2"/>
        <v>3500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>
        <v>73</v>
      </c>
      <c r="D38" s="12">
        <f>C38*84</f>
        <v>6132</v>
      </c>
      <c r="F38" s="30">
        <v>50</v>
      </c>
      <c r="G38" s="39"/>
      <c r="H38" s="177">
        <f t="shared" si="2"/>
        <v>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>
        <v>7</v>
      </c>
      <c r="D39" s="31">
        <f>C39*4.5</f>
        <v>31.5</v>
      </c>
      <c r="F39" s="12">
        <v>20</v>
      </c>
      <c r="G39" s="37"/>
      <c r="H39" s="177">
        <f t="shared" si="2"/>
        <v>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>
        <v>25</v>
      </c>
      <c r="D41" s="12">
        <f>C41*84</f>
        <v>2100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>
        <v>2</v>
      </c>
      <c r="D42" s="12">
        <f>C42*2.25</f>
        <v>4.5</v>
      </c>
      <c r="F42" s="39" t="s">
        <v>79</v>
      </c>
      <c r="G42" s="177"/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59" t="s">
        <v>82</v>
      </c>
      <c r="G43" s="110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/>
      <c r="D44" s="12">
        <f>C44*120</f>
        <v>0</v>
      </c>
      <c r="F44" s="37" t="s">
        <v>150</v>
      </c>
      <c r="G44" s="62" t="s">
        <v>210</v>
      </c>
      <c r="H44" s="172">
        <v>135063</v>
      </c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>
        <v>5</v>
      </c>
      <c r="D45" s="12">
        <f>C45*84</f>
        <v>420</v>
      </c>
      <c r="F45" s="37"/>
      <c r="G45" s="62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1">
        <v>29</v>
      </c>
      <c r="D46" s="12">
        <f>C46*1.5</f>
        <v>43.5</v>
      </c>
      <c r="F46" s="37"/>
      <c r="G46" s="109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59"/>
      <c r="G47" s="59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>
        <v>71</v>
      </c>
      <c r="D49" s="12">
        <f>C49*42</f>
        <v>2982</v>
      </c>
      <c r="F49" s="153" t="s">
        <v>86</v>
      </c>
      <c r="G49" s="155">
        <f>H34+H35+H36+H37+H38+H39+H40+H41+G42+H44+H45+H46</f>
        <v>308063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>
        <v>12</v>
      </c>
      <c r="D50" s="12">
        <f>C50*1.5</f>
        <v>18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155</v>
      </c>
      <c r="G51" s="163">
        <f>G49-H29</f>
        <v>3966.6666666666861</v>
      </c>
      <c r="H51" s="164"/>
      <c r="I51" s="164"/>
      <c r="J51" s="1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166"/>
      <c r="H52" s="167"/>
      <c r="I52" s="167"/>
      <c r="J52" s="1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43980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B8415-F03B-41A4-AECC-57C3972522B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3</v>
      </c>
      <c r="H4" s="234" t="s">
        <v>9</v>
      </c>
      <c r="I4" s="236">
        <v>46011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10">
        <v>598</v>
      </c>
      <c r="D6" s="13">
        <f t="shared" ref="D6:D28" si="1">C6*L6</f>
        <v>440726</v>
      </c>
      <c r="F6" s="240" t="s">
        <v>16</v>
      </c>
      <c r="G6" s="242" t="s">
        <v>111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10">
        <v>12</v>
      </c>
      <c r="D7" s="13">
        <f t="shared" si="1"/>
        <v>8700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10"/>
      <c r="D8" s="13">
        <f t="shared" si="1"/>
        <v>0</v>
      </c>
      <c r="F8" s="248" t="s">
        <v>21</v>
      </c>
      <c r="G8" s="249" t="s">
        <v>119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10">
        <v>92</v>
      </c>
      <c r="D9" s="13">
        <f t="shared" si="1"/>
        <v>65044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10">
        <v>3</v>
      </c>
      <c r="D10" s="13">
        <f t="shared" si="1"/>
        <v>2916</v>
      </c>
      <c r="F10" s="240" t="s">
        <v>26</v>
      </c>
      <c r="G10" s="255" t="s">
        <v>135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10">
        <v>10</v>
      </c>
      <c r="D11" s="13">
        <f t="shared" si="1"/>
        <v>11250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10">
        <f>21+3</f>
        <v>24</v>
      </c>
      <c r="D12" s="48">
        <f t="shared" si="1"/>
        <v>22848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10">
        <v>22</v>
      </c>
      <c r="D13" s="48">
        <f t="shared" si="1"/>
        <v>6754</v>
      </c>
      <c r="F13" s="261" t="s">
        <v>36</v>
      </c>
      <c r="G13" s="225"/>
      <c r="H13" s="216">
        <f>D29</f>
        <v>561499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10">
        <v>1</v>
      </c>
      <c r="D14" s="31">
        <f t="shared" si="1"/>
        <v>11</v>
      </c>
      <c r="F14" s="219" t="s">
        <v>39</v>
      </c>
      <c r="G14" s="220"/>
      <c r="H14" s="221">
        <f>D54</f>
        <v>61628.25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10"/>
      <c r="D15" s="31">
        <f t="shared" si="1"/>
        <v>0</v>
      </c>
      <c r="F15" s="224" t="s">
        <v>40</v>
      </c>
      <c r="G15" s="225"/>
      <c r="H15" s="226">
        <f>H13-H14</f>
        <v>499870.75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6">
        <f>600+780+780+456</f>
        <v>2616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113</v>
      </c>
      <c r="C17" s="10"/>
      <c r="D17" s="48">
        <f t="shared" si="1"/>
        <v>0</v>
      </c>
      <c r="F17" s="56"/>
      <c r="G17" s="66" t="s">
        <v>45</v>
      </c>
      <c r="H17" s="197"/>
      <c r="I17" s="197"/>
      <c r="J17" s="19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2"/>
      <c r="I19" s="272"/>
      <c r="J19" s="27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126</v>
      </c>
      <c r="C21" s="10">
        <v>5</v>
      </c>
      <c r="D21" s="48">
        <f t="shared" si="1"/>
        <v>3250</v>
      </c>
      <c r="F21" s="69" t="s">
        <v>99</v>
      </c>
      <c r="G21" s="82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104</v>
      </c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107</v>
      </c>
      <c r="C23" s="10"/>
      <c r="D23" s="48">
        <f t="shared" si="1"/>
        <v>0</v>
      </c>
      <c r="F23" s="78"/>
      <c r="G23" s="79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101</v>
      </c>
      <c r="C24" s="10"/>
      <c r="D24" s="48">
        <f t="shared" si="1"/>
        <v>0</v>
      </c>
      <c r="F24" s="38"/>
      <c r="G24" s="37"/>
      <c r="H24" s="203"/>
      <c r="I24" s="172"/>
      <c r="J24" s="17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4" t="s">
        <v>13</v>
      </c>
      <c r="I25" s="205"/>
      <c r="J25" s="20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105</v>
      </c>
      <c r="C26" s="10"/>
      <c r="D26" s="48">
        <f t="shared" si="1"/>
        <v>0</v>
      </c>
      <c r="F26" s="64"/>
      <c r="G26" s="59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109</v>
      </c>
      <c r="C27" s="10"/>
      <c r="D27" s="44">
        <f t="shared" si="1"/>
        <v>0</v>
      </c>
      <c r="F27" s="25"/>
      <c r="G27" s="80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10"/>
      <c r="D28" s="48">
        <f t="shared" si="1"/>
        <v>0</v>
      </c>
      <c r="F28" s="107"/>
      <c r="G28" s="61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561499</v>
      </c>
      <c r="F29" s="133" t="s">
        <v>55</v>
      </c>
      <c r="G29" s="195"/>
      <c r="H29" s="155">
        <f>H15-H16-H17-H18-H19-H20-H22-H23-H24+H26+H27</f>
        <v>497254.75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179</v>
      </c>
      <c r="H34" s="177">
        <f>F34*G34</f>
        <v>179000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8">
        <v>500</v>
      </c>
      <c r="G35" s="41">
        <v>55</v>
      </c>
      <c r="H35" s="177">
        <f>F35*G35</f>
        <v>27500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77">
        <f t="shared" ref="H36:H39" si="2">F36*G36</f>
        <v>200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>
        <v>498</v>
      </c>
      <c r="D37" s="12">
        <f>C37*111</f>
        <v>55278</v>
      </c>
      <c r="F37" s="12">
        <v>100</v>
      </c>
      <c r="G37" s="39">
        <v>13</v>
      </c>
      <c r="H37" s="177">
        <f t="shared" si="2"/>
        <v>1300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>
        <v>24</v>
      </c>
      <c r="D38" s="12">
        <f>C38*84</f>
        <v>2016</v>
      </c>
      <c r="F38" s="30">
        <v>50</v>
      </c>
      <c r="G38" s="39">
        <v>23</v>
      </c>
      <c r="H38" s="177">
        <f t="shared" si="2"/>
        <v>1150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77">
        <f t="shared" si="2"/>
        <v>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>
        <v>15</v>
      </c>
      <c r="D42" s="12">
        <f>C42*2.25</f>
        <v>33.75</v>
      </c>
      <c r="F42" s="39" t="s">
        <v>79</v>
      </c>
      <c r="G42" s="177">
        <v>12</v>
      </c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59" t="s">
        <v>82</v>
      </c>
      <c r="G43" s="110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>
        <v>15</v>
      </c>
      <c r="D44" s="12">
        <f>C44*120</f>
        <v>1800</v>
      </c>
      <c r="F44" s="37" t="s">
        <v>163</v>
      </c>
      <c r="G44" s="76" t="s">
        <v>212</v>
      </c>
      <c r="H44" s="172">
        <v>91751</v>
      </c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 t="s">
        <v>163</v>
      </c>
      <c r="G45" s="76" t="s">
        <v>213</v>
      </c>
      <c r="H45" s="172">
        <v>85809</v>
      </c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1">
        <v>9</v>
      </c>
      <c r="D46" s="12">
        <f>C46*1.5</f>
        <v>13.5</v>
      </c>
      <c r="F46" s="95" t="s">
        <v>211</v>
      </c>
      <c r="G46" s="62" t="s">
        <v>214</v>
      </c>
      <c r="H46" s="172">
        <v>111132</v>
      </c>
      <c r="I46" s="172"/>
      <c r="J46" s="172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59"/>
      <c r="G47" s="59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>
        <v>6</v>
      </c>
      <c r="D49" s="12">
        <f>C49*42</f>
        <v>252</v>
      </c>
      <c r="F49" s="153" t="s">
        <v>86</v>
      </c>
      <c r="G49" s="155">
        <f>H34+H35+H36+H37+H38+H39+H40+H41+G42+H44+H45+H46</f>
        <v>497854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>
        <v>23</v>
      </c>
      <c r="D50" s="12">
        <f>C50*1.5</f>
        <v>34.5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148</v>
      </c>
      <c r="G51" s="163">
        <f>G49-H29</f>
        <v>599.25</v>
      </c>
      <c r="H51" s="164"/>
      <c r="I51" s="164"/>
      <c r="J51" s="1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166"/>
      <c r="H52" s="167"/>
      <c r="I52" s="167"/>
      <c r="J52" s="1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61628.25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51DD5-5D1D-4F33-B62F-BB439BADD74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9" t="s">
        <v>1</v>
      </c>
      <c r="O1" s="229"/>
      <c r="P1" s="106" t="s">
        <v>2</v>
      </c>
      <c r="Q1" s="10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0" t="s">
        <v>7</v>
      </c>
      <c r="B4" s="181"/>
      <c r="C4" s="181"/>
      <c r="D4" s="182"/>
      <c r="F4" s="230" t="s">
        <v>8</v>
      </c>
      <c r="G4" s="232"/>
      <c r="H4" s="234" t="s">
        <v>9</v>
      </c>
      <c r="I4" s="236"/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5"/>
      <c r="B6" s="16"/>
      <c r="C6" s="10"/>
      <c r="D6" s="13">
        <f t="shared" ref="D6:D28" si="1">C6*L6</f>
        <v>0</v>
      </c>
      <c r="F6" s="240" t="s">
        <v>16</v>
      </c>
      <c r="G6" s="242"/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5"/>
      <c r="B7" s="16"/>
      <c r="C7" s="10"/>
      <c r="D7" s="13">
        <f t="shared" si="1"/>
        <v>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5"/>
      <c r="B8" s="16"/>
      <c r="C8" s="10"/>
      <c r="D8" s="13">
        <f t="shared" si="1"/>
        <v>0</v>
      </c>
      <c r="F8" s="248" t="s">
        <v>21</v>
      </c>
      <c r="G8" s="249"/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5"/>
      <c r="B9" s="16"/>
      <c r="C9" s="10"/>
      <c r="D9" s="13">
        <f t="shared" si="1"/>
        <v>0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5"/>
      <c r="C10" s="10"/>
      <c r="D10" s="13">
        <f t="shared" si="1"/>
        <v>0</v>
      </c>
      <c r="F10" s="240" t="s">
        <v>26</v>
      </c>
      <c r="G10" s="255"/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9" ht="15.75" x14ac:dyDescent="0.25">
      <c r="A11" s="175"/>
      <c r="B11" s="17"/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5"/>
      <c r="B12" s="17"/>
      <c r="C12" s="10"/>
      <c r="D12" s="48">
        <f t="shared" si="1"/>
        <v>0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5"/>
      <c r="B13" s="17"/>
      <c r="C13" s="10"/>
      <c r="D13" s="48">
        <f t="shared" si="1"/>
        <v>0</v>
      </c>
      <c r="F13" s="261" t="s">
        <v>36</v>
      </c>
      <c r="G13" s="225"/>
      <c r="H13" s="216">
        <f>D29</f>
        <v>0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5"/>
      <c r="B14" s="14"/>
      <c r="C14" s="10"/>
      <c r="D14" s="31">
        <f t="shared" si="1"/>
        <v>0</v>
      </c>
      <c r="F14" s="219" t="s">
        <v>39</v>
      </c>
      <c r="G14" s="220"/>
      <c r="H14" s="221">
        <f>D54</f>
        <v>0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5"/>
      <c r="B15" s="14"/>
      <c r="C15" s="10"/>
      <c r="D15" s="31">
        <f t="shared" si="1"/>
        <v>0</v>
      </c>
      <c r="F15" s="224" t="s">
        <v>40</v>
      </c>
      <c r="G15" s="225"/>
      <c r="H15" s="226">
        <f>H13-H14</f>
        <v>0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C17" s="10"/>
      <c r="D17" s="48">
        <f t="shared" si="1"/>
        <v>0</v>
      </c>
      <c r="F17" s="56"/>
      <c r="G17" s="66" t="s">
        <v>45</v>
      </c>
      <c r="H17" s="197"/>
      <c r="I17" s="197"/>
      <c r="J17" s="19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/>
      <c r="C18" s="10"/>
      <c r="D18" s="48">
        <f t="shared" si="1"/>
        <v>0</v>
      </c>
      <c r="F18" s="56"/>
      <c r="G18" s="66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/>
      <c r="C19" s="10"/>
      <c r="D19" s="48">
        <f t="shared" si="1"/>
        <v>0</v>
      </c>
      <c r="F19" s="56"/>
      <c r="G19" s="68" t="s">
        <v>50</v>
      </c>
      <c r="H19" s="198"/>
      <c r="I19" s="198"/>
      <c r="J19" s="19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/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/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/>
      <c r="C23" s="10"/>
      <c r="D23" s="48">
        <f t="shared" si="1"/>
        <v>0</v>
      </c>
      <c r="F23" s="78"/>
      <c r="G23" s="79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/>
      <c r="C24" s="10"/>
      <c r="D24" s="48">
        <f t="shared" si="1"/>
        <v>0</v>
      </c>
      <c r="F24" s="38"/>
      <c r="G24" s="37"/>
      <c r="H24" s="203"/>
      <c r="I24" s="172"/>
      <c r="J24" s="17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4" t="s">
        <v>13</v>
      </c>
      <c r="I25" s="205"/>
      <c r="J25" s="20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/>
      <c r="C26" s="10"/>
      <c r="D26" s="48">
        <f t="shared" si="1"/>
        <v>0</v>
      </c>
      <c r="F26" s="64"/>
      <c r="G26" s="59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/>
      <c r="C27" s="10"/>
      <c r="D27" s="44">
        <f t="shared" si="1"/>
        <v>0</v>
      </c>
      <c r="F27" s="25"/>
      <c r="G27" s="80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/>
      <c r="C28" s="10"/>
      <c r="D28" s="48">
        <f t="shared" si="1"/>
        <v>0</v>
      </c>
      <c r="F28" s="107"/>
      <c r="G28" s="61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0</v>
      </c>
      <c r="F29" s="133" t="s">
        <v>55</v>
      </c>
      <c r="G29" s="195"/>
      <c r="H29" s="155">
        <f>H15-H16-H17-H18-H19-H20-H22-H23-H24+H26+H27</f>
        <v>0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7"/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8">
        <v>500</v>
      </c>
      <c r="G35" s="41"/>
      <c r="H35" s="177"/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/>
      <c r="H36" s="177"/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7"/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/>
      <c r="D38" s="12">
        <f>C38*84</f>
        <v>0</v>
      </c>
      <c r="F38" s="30">
        <v>50</v>
      </c>
      <c r="G38" s="39"/>
      <c r="H38" s="177"/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/>
      <c r="D39" s="31">
        <f>C39*4.5</f>
        <v>0</v>
      </c>
      <c r="F39" s="12">
        <v>20</v>
      </c>
      <c r="G39" s="37"/>
      <c r="H39" s="177"/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/>
      <c r="D42" s="12">
        <f>C42*2.25</f>
        <v>0</v>
      </c>
      <c r="F42" s="39" t="s">
        <v>79</v>
      </c>
      <c r="G42" s="177"/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59" t="s">
        <v>82</v>
      </c>
      <c r="G43" s="110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/>
      <c r="D44" s="12">
        <f>C44*120</f>
        <v>0</v>
      </c>
      <c r="F44" s="37"/>
      <c r="G44" s="76"/>
      <c r="H44" s="172"/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/>
      <c r="G45" s="76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1"/>
      <c r="D46" s="12">
        <f>C46*1.5</f>
        <v>0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59"/>
      <c r="G47" s="59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/>
      <c r="D48" s="12">
        <f>C48*78</f>
        <v>0</v>
      </c>
      <c r="F48" s="59"/>
      <c r="G48" s="59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/>
      <c r="D49" s="12">
        <f>C49*42</f>
        <v>0</v>
      </c>
      <c r="F49" s="153" t="s">
        <v>86</v>
      </c>
      <c r="G49" s="155">
        <f>H34+H35+H36+H37+H38+H39+H40+H41+G42+H44+H45+H46</f>
        <v>0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/>
      <c r="D50" s="12">
        <f>C50*1.5</f>
        <v>0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128</v>
      </c>
      <c r="G51" s="163">
        <f>G49-H29</f>
        <v>0</v>
      </c>
      <c r="H51" s="164"/>
      <c r="I51" s="164"/>
      <c r="J51" s="1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166"/>
      <c r="H52" s="167"/>
      <c r="I52" s="167"/>
      <c r="J52" s="1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0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D3A0F-7C36-4CF5-BCE9-7146BB0035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1</v>
      </c>
      <c r="H4" s="234" t="s">
        <v>9</v>
      </c>
      <c r="I4" s="236">
        <v>46013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84">
        <v>633</v>
      </c>
      <c r="D6" s="13">
        <f t="shared" ref="D6:D28" si="1">C6*L6</f>
        <v>466521</v>
      </c>
      <c r="F6" s="240" t="s">
        <v>16</v>
      </c>
      <c r="G6" s="242" t="s">
        <v>129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84">
        <v>52</v>
      </c>
      <c r="D7" s="13">
        <f t="shared" si="1"/>
        <v>37700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84">
        <v>10</v>
      </c>
      <c r="D8" s="13">
        <f t="shared" si="1"/>
        <v>10330</v>
      </c>
      <c r="F8" s="248" t="s">
        <v>21</v>
      </c>
      <c r="G8" s="249" t="s">
        <v>112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84">
        <v>105</v>
      </c>
      <c r="D9" s="13">
        <f t="shared" si="1"/>
        <v>74235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84"/>
      <c r="D10" s="13">
        <f t="shared" si="1"/>
        <v>0</v>
      </c>
      <c r="F10" s="240" t="s">
        <v>26</v>
      </c>
      <c r="G10" s="255" t="s">
        <v>130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84">
        <v>10</v>
      </c>
      <c r="D11" s="13">
        <f t="shared" si="1"/>
        <v>11250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84">
        <f>50+5+2+1</f>
        <v>58</v>
      </c>
      <c r="D12" s="48">
        <f t="shared" si="1"/>
        <v>55216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84"/>
      <c r="D13" s="48">
        <f t="shared" si="1"/>
        <v>0</v>
      </c>
      <c r="F13" s="261" t="s">
        <v>36</v>
      </c>
      <c r="G13" s="225"/>
      <c r="H13" s="216">
        <f>D29</f>
        <v>667882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84"/>
      <c r="D14" s="31">
        <f t="shared" si="1"/>
        <v>0</v>
      </c>
      <c r="F14" s="219" t="s">
        <v>39</v>
      </c>
      <c r="G14" s="220"/>
      <c r="H14" s="221">
        <f>D54</f>
        <v>36479.25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84">
        <v>5</v>
      </c>
      <c r="D15" s="31">
        <f t="shared" si="1"/>
        <v>3100</v>
      </c>
      <c r="F15" s="224" t="s">
        <v>40</v>
      </c>
      <c r="G15" s="225"/>
      <c r="H15" s="226">
        <f>H13-H14</f>
        <v>631402.75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138</v>
      </c>
      <c r="C17" s="84"/>
      <c r="D17" s="48">
        <f t="shared" si="1"/>
        <v>0</v>
      </c>
      <c r="F17" s="56"/>
      <c r="G17" s="66" t="s">
        <v>45</v>
      </c>
      <c r="H17" s="197"/>
      <c r="I17" s="197"/>
      <c r="J17" s="19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97"/>
      <c r="I19" s="197"/>
      <c r="J19" s="197"/>
      <c r="L19" s="6">
        <v>1102</v>
      </c>
      <c r="Q19" s="4"/>
      <c r="R19" s="5">
        <f t="shared" si="0"/>
        <v>0</v>
      </c>
    </row>
    <row r="20" spans="1:18" ht="15.75" x14ac:dyDescent="0.25">
      <c r="A20" s="175"/>
      <c r="B20" s="83" t="s">
        <v>125</v>
      </c>
      <c r="C20" s="84">
        <f>1+1</f>
        <v>2</v>
      </c>
      <c r="D20" s="13">
        <f t="shared" si="1"/>
        <v>2350</v>
      </c>
      <c r="F20" s="57"/>
      <c r="G20" s="70" t="s">
        <v>120</v>
      </c>
      <c r="H20" s="186"/>
      <c r="I20" s="186"/>
      <c r="J20" s="18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136</v>
      </c>
      <c r="C21" s="84">
        <v>2</v>
      </c>
      <c r="D21" s="48">
        <f t="shared" si="1"/>
        <v>1300</v>
      </c>
      <c r="F21" s="69" t="s">
        <v>99</v>
      </c>
      <c r="G21" s="82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111" t="s">
        <v>216</v>
      </c>
      <c r="C22" s="84">
        <v>1</v>
      </c>
      <c r="D22" s="48">
        <f t="shared" si="1"/>
        <v>1582</v>
      </c>
      <c r="F22" s="77"/>
      <c r="G22" s="73"/>
      <c r="H22" s="202"/>
      <c r="I22" s="202"/>
      <c r="J22" s="20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101</v>
      </c>
      <c r="C23" s="84">
        <v>1</v>
      </c>
      <c r="D23" s="48">
        <f t="shared" si="1"/>
        <v>1667</v>
      </c>
      <c r="F23" s="77"/>
      <c r="G23" s="79"/>
      <c r="H23" s="262"/>
      <c r="I23" s="263"/>
      <c r="J23" s="26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121</v>
      </c>
      <c r="C24" s="84"/>
      <c r="D24" s="48">
        <f t="shared" si="1"/>
        <v>0</v>
      </c>
      <c r="F24" s="77"/>
      <c r="G24" s="79"/>
      <c r="H24" s="262"/>
      <c r="I24" s="263"/>
      <c r="J24" s="26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144</v>
      </c>
      <c r="C25" s="84">
        <v>12</v>
      </c>
      <c r="D25" s="48">
        <f t="shared" si="1"/>
        <v>444</v>
      </c>
      <c r="F25" s="60" t="s">
        <v>100</v>
      </c>
      <c r="G25" s="55" t="s">
        <v>98</v>
      </c>
      <c r="H25" s="204" t="s">
        <v>13</v>
      </c>
      <c r="I25" s="205"/>
      <c r="J25" s="206"/>
      <c r="L25" s="47">
        <f>852/24+1.5</f>
        <v>37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215</v>
      </c>
      <c r="C26" s="84">
        <v>1</v>
      </c>
      <c r="D26" s="48">
        <f t="shared" si="1"/>
        <v>1567</v>
      </c>
      <c r="F26" s="75" t="s">
        <v>147</v>
      </c>
      <c r="G26" s="65">
        <v>7972</v>
      </c>
      <c r="H26" s="172">
        <v>76509</v>
      </c>
      <c r="I26" s="172"/>
      <c r="J26" s="172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110</v>
      </c>
      <c r="C27" s="84"/>
      <c r="D27" s="44">
        <f t="shared" si="1"/>
        <v>0</v>
      </c>
      <c r="F27" s="71"/>
      <c r="G27" s="110"/>
      <c r="H27" s="264"/>
      <c r="I27" s="265"/>
      <c r="J27" s="26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84"/>
      <c r="D28" s="48">
        <f t="shared" si="1"/>
        <v>0</v>
      </c>
      <c r="F28" s="107"/>
      <c r="G28" s="61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667882</v>
      </c>
      <c r="F29" s="133" t="s">
        <v>55</v>
      </c>
      <c r="G29" s="195"/>
      <c r="H29" s="155">
        <f>H15-H16-H17-H18-H19-H20-H22-H23-H24+H26+H27+H28</f>
        <v>707911.75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21</v>
      </c>
      <c r="H34" s="177">
        <f t="shared" ref="H34:H39" si="2">F34*G34</f>
        <v>21000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>
        <v>7</v>
      </c>
      <c r="D35" s="30">
        <f>C35*84</f>
        <v>588</v>
      </c>
      <c r="F35" s="58">
        <v>500</v>
      </c>
      <c r="G35" s="41">
        <v>9</v>
      </c>
      <c r="H35" s="177">
        <f t="shared" si="2"/>
        <v>4500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177">
        <f t="shared" si="2"/>
        <v>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>
        <v>82</v>
      </c>
      <c r="D37" s="12">
        <f>C37*111</f>
        <v>9102</v>
      </c>
      <c r="F37" s="12">
        <v>100</v>
      </c>
      <c r="G37" s="39">
        <v>1</v>
      </c>
      <c r="H37" s="177">
        <f t="shared" si="2"/>
        <v>100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>
        <v>223</v>
      </c>
      <c r="D38" s="12">
        <f>C38*84</f>
        <v>18732</v>
      </c>
      <c r="F38" s="30">
        <v>50</v>
      </c>
      <c r="G38" s="39">
        <v>1</v>
      </c>
      <c r="H38" s="177">
        <f t="shared" si="2"/>
        <v>50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77">
        <f t="shared" si="2"/>
        <v>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>
        <v>25</v>
      </c>
      <c r="D41" s="12">
        <f>C41*84</f>
        <v>2100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77">
        <v>71</v>
      </c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59" t="s">
        <v>82</v>
      </c>
      <c r="G43" s="110" t="s">
        <v>83</v>
      </c>
      <c r="H43" s="169" t="s">
        <v>13</v>
      </c>
      <c r="I43" s="170"/>
      <c r="J43" s="17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8"/>
      <c r="B44" s="27" t="s">
        <v>66</v>
      </c>
      <c r="C44" s="10">
        <v>1</v>
      </c>
      <c r="D44" s="12">
        <f>C44*120</f>
        <v>120</v>
      </c>
      <c r="F44" s="37" t="s">
        <v>163</v>
      </c>
      <c r="G44" s="105" t="s">
        <v>158</v>
      </c>
      <c r="H44" s="172">
        <v>76509</v>
      </c>
      <c r="I44" s="172"/>
      <c r="J44" s="17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48"/>
      <c r="B45" s="27" t="s">
        <v>68</v>
      </c>
      <c r="C45" s="33">
        <v>65</v>
      </c>
      <c r="D45" s="12">
        <f>C45*84</f>
        <v>5460</v>
      </c>
      <c r="F45" s="37" t="s">
        <v>150</v>
      </c>
      <c r="G45" s="62" t="s">
        <v>217</v>
      </c>
      <c r="H45" s="172">
        <v>603808</v>
      </c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1"/>
      <c r="D46" s="12">
        <f>C46*1.5</f>
        <v>0</v>
      </c>
      <c r="F46" s="37" t="s">
        <v>145</v>
      </c>
      <c r="G46" s="62"/>
      <c r="H46" s="172">
        <v>2842</v>
      </c>
      <c r="I46" s="172"/>
      <c r="J46" s="172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59"/>
      <c r="G47" s="59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/>
      <c r="D48" s="12">
        <f>C48*78</f>
        <v>0</v>
      </c>
      <c r="F48" s="59"/>
      <c r="G48" s="59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/>
      <c r="D49" s="12">
        <f>C49*42</f>
        <v>0</v>
      </c>
      <c r="F49" s="153" t="s">
        <v>86</v>
      </c>
      <c r="G49" s="155">
        <f>H34+H35+H36+H37+H38+H39+H40+H41+G42+H44+H45+H46</f>
        <v>708880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>
        <v>2</v>
      </c>
      <c r="D50" s="12">
        <f>C50*1.5</f>
        <v>3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148</v>
      </c>
      <c r="G51" s="163">
        <f>G49-H29</f>
        <v>968.25</v>
      </c>
      <c r="H51" s="164"/>
      <c r="I51" s="164"/>
      <c r="J51" s="1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166"/>
      <c r="H52" s="167"/>
      <c r="I52" s="167"/>
      <c r="J52" s="1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36479.25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F5AD73-F908-49DC-83AD-B22F7F8B4D0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2</v>
      </c>
      <c r="H4" s="234" t="s">
        <v>9</v>
      </c>
      <c r="I4" s="236">
        <v>46013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10">
        <v>424</v>
      </c>
      <c r="D6" s="13">
        <f t="shared" ref="D6:D28" si="1">C6*L6</f>
        <v>312488</v>
      </c>
      <c r="F6" s="240" t="s">
        <v>16</v>
      </c>
      <c r="G6" s="242" t="s">
        <v>141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10">
        <v>12</v>
      </c>
      <c r="D7" s="13">
        <f t="shared" si="1"/>
        <v>8700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10">
        <v>2</v>
      </c>
      <c r="D8" s="13">
        <f t="shared" si="1"/>
        <v>2066</v>
      </c>
      <c r="F8" s="248" t="s">
        <v>21</v>
      </c>
      <c r="G8" s="249" t="s">
        <v>114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10">
        <v>76</v>
      </c>
      <c r="D9" s="13">
        <f t="shared" si="1"/>
        <v>53732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10">
        <v>8</v>
      </c>
      <c r="D10" s="13">
        <f t="shared" si="1"/>
        <v>7776</v>
      </c>
      <c r="F10" s="240" t="s">
        <v>26</v>
      </c>
      <c r="G10" s="255" t="s">
        <v>115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10">
        <v>2</v>
      </c>
      <c r="D11" s="13">
        <f t="shared" si="1"/>
        <v>2250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10">
        <f>7+1+2</f>
        <v>10</v>
      </c>
      <c r="D12" s="48">
        <f t="shared" si="1"/>
        <v>9520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10">
        <v>11</v>
      </c>
      <c r="D13" s="48">
        <f t="shared" si="1"/>
        <v>3377</v>
      </c>
      <c r="F13" s="261" t="s">
        <v>36</v>
      </c>
      <c r="G13" s="225"/>
      <c r="H13" s="216">
        <f>D29</f>
        <v>411154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10"/>
      <c r="D14" s="31">
        <f t="shared" si="1"/>
        <v>0</v>
      </c>
      <c r="F14" s="219" t="s">
        <v>39</v>
      </c>
      <c r="G14" s="220"/>
      <c r="H14" s="221">
        <f>D54</f>
        <v>58881.75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10"/>
      <c r="D15" s="31">
        <f t="shared" si="1"/>
        <v>0</v>
      </c>
      <c r="F15" s="224" t="s">
        <v>40</v>
      </c>
      <c r="G15" s="225"/>
      <c r="H15" s="226">
        <f>H13-H14</f>
        <v>352272.25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6">
        <v>1572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93</v>
      </c>
      <c r="C17" s="10"/>
      <c r="D17" s="48">
        <f t="shared" si="1"/>
        <v>0</v>
      </c>
      <c r="F17" s="56"/>
      <c r="G17" s="66" t="s">
        <v>45</v>
      </c>
      <c r="H17" s="197"/>
      <c r="I17" s="197"/>
      <c r="J17" s="19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 t="s">
        <v>122</v>
      </c>
      <c r="C20" s="10">
        <v>1</v>
      </c>
      <c r="D20" s="13">
        <f t="shared" si="1"/>
        <v>1175</v>
      </c>
      <c r="F20" s="57"/>
      <c r="G20" s="70" t="s">
        <v>120</v>
      </c>
      <c r="H20" s="197"/>
      <c r="I20" s="197"/>
      <c r="J20" s="19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104</v>
      </c>
      <c r="C22" s="10"/>
      <c r="D22" s="48">
        <f t="shared" si="1"/>
        <v>0</v>
      </c>
      <c r="F22" s="72" t="s">
        <v>147</v>
      </c>
      <c r="G22" s="73">
        <v>8042</v>
      </c>
      <c r="H22" s="202">
        <v>84449</v>
      </c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107</v>
      </c>
      <c r="C23" s="10"/>
      <c r="D23" s="48">
        <f t="shared" si="1"/>
        <v>0</v>
      </c>
      <c r="F23" s="25"/>
      <c r="G23" s="37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123</v>
      </c>
      <c r="C24" s="10"/>
      <c r="D24" s="48">
        <f t="shared" si="1"/>
        <v>0</v>
      </c>
      <c r="F24" s="38"/>
      <c r="G24" s="37"/>
      <c r="H24" s="203"/>
      <c r="I24" s="172"/>
      <c r="J24" s="17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4" t="s">
        <v>13</v>
      </c>
      <c r="I25" s="205"/>
      <c r="J25" s="20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105</v>
      </c>
      <c r="C26" s="10"/>
      <c r="D26" s="48">
        <f t="shared" si="1"/>
        <v>0</v>
      </c>
      <c r="F26" s="64"/>
      <c r="G26" s="10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109</v>
      </c>
      <c r="C27" s="10"/>
      <c r="D27" s="44">
        <f t="shared" si="1"/>
        <v>0</v>
      </c>
      <c r="F27" s="14"/>
      <c r="G27" s="14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10">
        <v>12</v>
      </c>
      <c r="D28" s="48">
        <f t="shared" si="1"/>
        <v>9420</v>
      </c>
      <c r="F28" s="107"/>
      <c r="G28" s="61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411154</v>
      </c>
      <c r="F29" s="133" t="s">
        <v>55</v>
      </c>
      <c r="G29" s="195"/>
      <c r="H29" s="155">
        <f>H15-H16-H17-H18-H19-H20-H22-H23-H24+H26+H27</f>
        <v>266251.25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74">
        <v>81</v>
      </c>
      <c r="H34" s="177">
        <f>F34*G34</f>
        <v>81000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31</v>
      </c>
      <c r="H35" s="177">
        <f t="shared" ref="H35:H39" si="2">F35*G35</f>
        <v>15500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>
        <v>13</v>
      </c>
      <c r="D36" s="12">
        <f>C36*1.5</f>
        <v>19.5</v>
      </c>
      <c r="F36" s="12">
        <v>200</v>
      </c>
      <c r="G36" s="37">
        <v>1</v>
      </c>
      <c r="H36" s="177">
        <f>F36*G36</f>
        <v>200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>
        <v>465</v>
      </c>
      <c r="D37" s="12">
        <f>C37*111</f>
        <v>51615</v>
      </c>
      <c r="F37" s="12">
        <v>100</v>
      </c>
      <c r="G37" s="39">
        <v>28</v>
      </c>
      <c r="H37" s="177">
        <f t="shared" si="2"/>
        <v>2800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>
        <v>20</v>
      </c>
      <c r="D38" s="12">
        <f>C38*84</f>
        <v>1680</v>
      </c>
      <c r="F38" s="30">
        <v>50</v>
      </c>
      <c r="G38" s="39">
        <v>11</v>
      </c>
      <c r="H38" s="177">
        <f t="shared" si="2"/>
        <v>550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77">
        <f t="shared" si="2"/>
        <v>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>
        <v>18</v>
      </c>
      <c r="D41" s="12">
        <f>C41*84</f>
        <v>1512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>
        <v>13</v>
      </c>
      <c r="D42" s="12">
        <f>C42*2.25</f>
        <v>29.25</v>
      </c>
      <c r="F42" s="39" t="s">
        <v>79</v>
      </c>
      <c r="G42" s="177"/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59" t="s">
        <v>82</v>
      </c>
      <c r="G43" s="110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>
        <v>10</v>
      </c>
      <c r="D44" s="12">
        <f>C44*120</f>
        <v>1200</v>
      </c>
      <c r="F44" s="37" t="s">
        <v>150</v>
      </c>
      <c r="G44" s="62" t="s">
        <v>218</v>
      </c>
      <c r="H44" s="172">
        <v>166408</v>
      </c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>
        <v>4</v>
      </c>
      <c r="D45" s="12">
        <f>C45*84</f>
        <v>336</v>
      </c>
      <c r="F45" s="37"/>
      <c r="G45" s="62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1">
        <v>16</v>
      </c>
      <c r="D46" s="12">
        <f>C46*1.5</f>
        <v>24</v>
      </c>
      <c r="F46" s="37"/>
      <c r="G46" s="109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59"/>
      <c r="G47" s="59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>
        <v>12</v>
      </c>
      <c r="D49" s="12">
        <f>C49*42</f>
        <v>504</v>
      </c>
      <c r="F49" s="153" t="s">
        <v>86</v>
      </c>
      <c r="G49" s="155">
        <f>H34+H35+H36+H37+H38+H39+H40+H41+G42+H44+H45+H46</f>
        <v>266458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>
        <v>17</v>
      </c>
      <c r="D50" s="12">
        <f>C50*1.5</f>
        <v>25.5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155</v>
      </c>
      <c r="G51" s="163">
        <f>G49-H29</f>
        <v>206.75</v>
      </c>
      <c r="H51" s="164"/>
      <c r="I51" s="164"/>
      <c r="J51" s="1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166"/>
      <c r="H52" s="167"/>
      <c r="I52" s="167"/>
      <c r="J52" s="1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58881.75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9F5F9-427C-4D55-BE37-6EA785E9325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3</v>
      </c>
      <c r="H4" s="234" t="s">
        <v>9</v>
      </c>
      <c r="I4" s="236">
        <v>46013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10">
        <v>295</v>
      </c>
      <c r="D6" s="13">
        <f t="shared" ref="D6:D28" si="1">C6*L6</f>
        <v>217415</v>
      </c>
      <c r="F6" s="240" t="s">
        <v>16</v>
      </c>
      <c r="G6" s="242" t="s">
        <v>111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10"/>
      <c r="D7" s="13">
        <f t="shared" si="1"/>
        <v>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10"/>
      <c r="D8" s="13">
        <f t="shared" si="1"/>
        <v>0</v>
      </c>
      <c r="F8" s="248" t="s">
        <v>21</v>
      </c>
      <c r="G8" s="249" t="s">
        <v>119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10">
        <v>32</v>
      </c>
      <c r="D9" s="13">
        <f t="shared" si="1"/>
        <v>22624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10"/>
      <c r="D10" s="13">
        <f t="shared" si="1"/>
        <v>0</v>
      </c>
      <c r="F10" s="240" t="s">
        <v>26</v>
      </c>
      <c r="G10" s="255" t="s">
        <v>135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10">
        <v>3</v>
      </c>
      <c r="D12" s="48">
        <f t="shared" si="1"/>
        <v>2856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10">
        <v>9</v>
      </c>
      <c r="D13" s="48">
        <f t="shared" si="1"/>
        <v>2763</v>
      </c>
      <c r="F13" s="261" t="s">
        <v>36</v>
      </c>
      <c r="G13" s="225"/>
      <c r="H13" s="216">
        <f>D29</f>
        <v>245790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10">
        <v>12</v>
      </c>
      <c r="D14" s="31">
        <f t="shared" si="1"/>
        <v>132</v>
      </c>
      <c r="F14" s="219" t="s">
        <v>39</v>
      </c>
      <c r="G14" s="220"/>
      <c r="H14" s="221">
        <f>D54</f>
        <v>36779.25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10"/>
      <c r="D15" s="31">
        <f t="shared" si="1"/>
        <v>0</v>
      </c>
      <c r="F15" s="224" t="s">
        <v>40</v>
      </c>
      <c r="G15" s="225"/>
      <c r="H15" s="226">
        <f>H13-H14</f>
        <v>209010.75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6">
        <f>780+600</f>
        <v>1380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113</v>
      </c>
      <c r="C17" s="10"/>
      <c r="D17" s="48">
        <f t="shared" si="1"/>
        <v>0</v>
      </c>
      <c r="F17" s="56"/>
      <c r="G17" s="66" t="s">
        <v>45</v>
      </c>
      <c r="H17" s="197"/>
      <c r="I17" s="197"/>
      <c r="J17" s="19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2"/>
      <c r="I19" s="272"/>
      <c r="J19" s="27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104</v>
      </c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107</v>
      </c>
      <c r="C23" s="10"/>
      <c r="D23" s="48">
        <f t="shared" si="1"/>
        <v>0</v>
      </c>
      <c r="F23" s="78"/>
      <c r="G23" s="79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101</v>
      </c>
      <c r="C24" s="10"/>
      <c r="D24" s="48">
        <f t="shared" si="1"/>
        <v>0</v>
      </c>
      <c r="F24" s="38"/>
      <c r="G24" s="37"/>
      <c r="H24" s="203"/>
      <c r="I24" s="172"/>
      <c r="J24" s="17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4" t="s">
        <v>13</v>
      </c>
      <c r="I25" s="205"/>
      <c r="J25" s="20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105</v>
      </c>
      <c r="C26" s="10"/>
      <c r="D26" s="48">
        <f t="shared" si="1"/>
        <v>0</v>
      </c>
      <c r="F26" s="64"/>
      <c r="G26" s="59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109</v>
      </c>
      <c r="C27" s="10"/>
      <c r="D27" s="44">
        <f t="shared" si="1"/>
        <v>0</v>
      </c>
      <c r="F27" s="25"/>
      <c r="G27" s="80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10"/>
      <c r="D28" s="48">
        <f t="shared" si="1"/>
        <v>0</v>
      </c>
      <c r="F28" s="107"/>
      <c r="G28" s="61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245790</v>
      </c>
      <c r="F29" s="133" t="s">
        <v>55</v>
      </c>
      <c r="G29" s="195"/>
      <c r="H29" s="155">
        <f>H15-H16-H17-H18-H19-H20-H22-H23-H24+H26+H27</f>
        <v>207630.75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105</v>
      </c>
      <c r="H34" s="177">
        <f>F34*G34</f>
        <v>105000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8">
        <v>500</v>
      </c>
      <c r="G35" s="41">
        <v>198</v>
      </c>
      <c r="H35" s="177">
        <f>F35*G35</f>
        <v>99000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/>
      <c r="H36" s="177">
        <f t="shared" ref="H36:H39" si="2">F36*G36</f>
        <v>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>
        <v>307</v>
      </c>
      <c r="D37" s="12">
        <f>C37*111</f>
        <v>34077</v>
      </c>
      <c r="F37" s="12">
        <v>100</v>
      </c>
      <c r="G37" s="39">
        <v>36</v>
      </c>
      <c r="H37" s="177">
        <f t="shared" si="2"/>
        <v>3600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2</v>
      </c>
      <c r="H38" s="177">
        <f t="shared" si="2"/>
        <v>100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77">
        <f t="shared" si="2"/>
        <v>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77"/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59" t="s">
        <v>82</v>
      </c>
      <c r="G43" s="110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>
        <v>3</v>
      </c>
      <c r="D44" s="12">
        <f>C44*120</f>
        <v>360</v>
      </c>
      <c r="F44" s="37"/>
      <c r="G44" s="76"/>
      <c r="H44" s="172"/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/>
      <c r="G45" s="76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1"/>
      <c r="D46" s="12">
        <f>C46*1.5</f>
        <v>0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59"/>
      <c r="G47" s="59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>
        <v>14</v>
      </c>
      <c r="D48" s="12">
        <f>C48*78</f>
        <v>1092</v>
      </c>
      <c r="F48" s="59"/>
      <c r="G48" s="59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>
        <v>1</v>
      </c>
      <c r="D49" s="12">
        <f>C49*42</f>
        <v>42</v>
      </c>
      <c r="F49" s="153" t="s">
        <v>86</v>
      </c>
      <c r="G49" s="155">
        <f>H34+H35+H36+H37+H38+H39+H40+H41+G42+H44+H45+H46</f>
        <v>207700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/>
      <c r="D50" s="12">
        <f>C50*1.5</f>
        <v>0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148</v>
      </c>
      <c r="G51" s="163">
        <f>G49-H29</f>
        <v>69.25</v>
      </c>
      <c r="H51" s="164"/>
      <c r="I51" s="164"/>
      <c r="J51" s="1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166"/>
      <c r="H52" s="167"/>
      <c r="I52" s="167"/>
      <c r="J52" s="1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36779.25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C247F-83BB-409C-BF07-983B108AFE1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9" t="s">
        <v>1</v>
      </c>
      <c r="O1" s="229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0" t="s">
        <v>7</v>
      </c>
      <c r="B4" s="181"/>
      <c r="C4" s="181"/>
      <c r="D4" s="182"/>
      <c r="F4" s="230" t="s">
        <v>8</v>
      </c>
      <c r="G4" s="232"/>
      <c r="H4" s="234" t="s">
        <v>9</v>
      </c>
      <c r="I4" s="236"/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5"/>
      <c r="B6" s="16"/>
      <c r="C6" s="10"/>
      <c r="D6" s="13">
        <f t="shared" ref="D6:D28" si="1">C6*L6</f>
        <v>0</v>
      </c>
      <c r="F6" s="240" t="s">
        <v>16</v>
      </c>
      <c r="G6" s="242"/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5"/>
      <c r="B7" s="16"/>
      <c r="C7" s="10"/>
      <c r="D7" s="13">
        <f t="shared" si="1"/>
        <v>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5"/>
      <c r="B8" s="16"/>
      <c r="C8" s="10"/>
      <c r="D8" s="13">
        <f t="shared" si="1"/>
        <v>0</v>
      </c>
      <c r="F8" s="248" t="s">
        <v>21</v>
      </c>
      <c r="G8" s="249"/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5"/>
      <c r="B9" s="16"/>
      <c r="C9" s="10"/>
      <c r="D9" s="13">
        <f t="shared" si="1"/>
        <v>0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5"/>
      <c r="C10" s="10"/>
      <c r="D10" s="13">
        <f t="shared" si="1"/>
        <v>0</v>
      </c>
      <c r="F10" s="240" t="s">
        <v>26</v>
      </c>
      <c r="G10" s="255"/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9" ht="15.75" x14ac:dyDescent="0.25">
      <c r="A11" s="175"/>
      <c r="B11" s="17"/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5"/>
      <c r="B12" s="17"/>
      <c r="C12" s="10"/>
      <c r="D12" s="48">
        <f t="shared" si="1"/>
        <v>0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5"/>
      <c r="B13" s="17"/>
      <c r="C13" s="10"/>
      <c r="D13" s="48">
        <f t="shared" si="1"/>
        <v>0</v>
      </c>
      <c r="F13" s="261" t="s">
        <v>36</v>
      </c>
      <c r="G13" s="225"/>
      <c r="H13" s="216">
        <f>D29</f>
        <v>0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5"/>
      <c r="B14" s="14"/>
      <c r="C14" s="10"/>
      <c r="D14" s="31">
        <f t="shared" si="1"/>
        <v>0</v>
      </c>
      <c r="F14" s="219" t="s">
        <v>39</v>
      </c>
      <c r="G14" s="220"/>
      <c r="H14" s="221">
        <f>D54</f>
        <v>0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5"/>
      <c r="B15" s="14"/>
      <c r="C15" s="10"/>
      <c r="D15" s="31">
        <f t="shared" si="1"/>
        <v>0</v>
      </c>
      <c r="F15" s="224" t="s">
        <v>40</v>
      </c>
      <c r="G15" s="225"/>
      <c r="H15" s="226">
        <f>H13-H14</f>
        <v>0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C17" s="10"/>
      <c r="D17" s="48">
        <f t="shared" si="1"/>
        <v>0</v>
      </c>
      <c r="F17" s="56"/>
      <c r="G17" s="66" t="s">
        <v>45</v>
      </c>
      <c r="H17" s="197"/>
      <c r="I17" s="197"/>
      <c r="J17" s="19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/>
      <c r="C18" s="10"/>
      <c r="D18" s="48">
        <f t="shared" si="1"/>
        <v>0</v>
      </c>
      <c r="F18" s="56"/>
      <c r="G18" s="66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/>
      <c r="C19" s="10"/>
      <c r="D19" s="48">
        <f t="shared" si="1"/>
        <v>0</v>
      </c>
      <c r="F19" s="56"/>
      <c r="G19" s="68" t="s">
        <v>50</v>
      </c>
      <c r="H19" s="198"/>
      <c r="I19" s="198"/>
      <c r="J19" s="19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/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/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/>
      <c r="C23" s="10"/>
      <c r="D23" s="48">
        <f t="shared" si="1"/>
        <v>0</v>
      </c>
      <c r="F23" s="78"/>
      <c r="G23" s="79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/>
      <c r="C24" s="10"/>
      <c r="D24" s="48">
        <f t="shared" si="1"/>
        <v>0</v>
      </c>
      <c r="F24" s="38"/>
      <c r="G24" s="37"/>
      <c r="H24" s="203"/>
      <c r="I24" s="172"/>
      <c r="J24" s="17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4" t="s">
        <v>13</v>
      </c>
      <c r="I25" s="205"/>
      <c r="J25" s="20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/>
      <c r="C26" s="10"/>
      <c r="D26" s="48">
        <f t="shared" si="1"/>
        <v>0</v>
      </c>
      <c r="F26" s="64"/>
      <c r="G26" s="59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/>
      <c r="C27" s="10"/>
      <c r="D27" s="44">
        <f t="shared" si="1"/>
        <v>0</v>
      </c>
      <c r="F27" s="25"/>
      <c r="G27" s="80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/>
      <c r="C28" s="10"/>
      <c r="D28" s="48">
        <f t="shared" si="1"/>
        <v>0</v>
      </c>
      <c r="F28" s="117"/>
      <c r="G28" s="61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0</v>
      </c>
      <c r="F29" s="133" t="s">
        <v>55</v>
      </c>
      <c r="G29" s="195"/>
      <c r="H29" s="155">
        <f>H15-H16-H17-H18-H19-H20-H22-H23-H24+H26+H27</f>
        <v>0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7"/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8">
        <v>500</v>
      </c>
      <c r="G35" s="41"/>
      <c r="H35" s="177"/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/>
      <c r="H36" s="177"/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7"/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/>
      <c r="D38" s="12">
        <f>C38*84</f>
        <v>0</v>
      </c>
      <c r="F38" s="30">
        <v>50</v>
      </c>
      <c r="G38" s="39"/>
      <c r="H38" s="177"/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/>
      <c r="D39" s="31">
        <f>C39*4.5</f>
        <v>0</v>
      </c>
      <c r="F39" s="12">
        <v>20</v>
      </c>
      <c r="G39" s="37"/>
      <c r="H39" s="177"/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/>
      <c r="D42" s="12">
        <f>C42*2.25</f>
        <v>0</v>
      </c>
      <c r="F42" s="39" t="s">
        <v>79</v>
      </c>
      <c r="G42" s="177"/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59" t="s">
        <v>82</v>
      </c>
      <c r="G43" s="114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/>
      <c r="D44" s="12">
        <f>C44*120</f>
        <v>0</v>
      </c>
      <c r="F44" s="37"/>
      <c r="G44" s="76"/>
      <c r="H44" s="172"/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/>
      <c r="G45" s="76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1"/>
      <c r="D46" s="12">
        <f>C46*1.5</f>
        <v>0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59"/>
      <c r="G47" s="59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/>
      <c r="D48" s="12">
        <f>C48*78</f>
        <v>0</v>
      </c>
      <c r="F48" s="59"/>
      <c r="G48" s="59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/>
      <c r="D49" s="12">
        <f>C49*42</f>
        <v>0</v>
      </c>
      <c r="F49" s="153" t="s">
        <v>86</v>
      </c>
      <c r="G49" s="155">
        <f>H34+H35+H36+H37+H38+H39+H40+H41+G42+H44+H45+H46</f>
        <v>0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/>
      <c r="D50" s="12">
        <f>C50*1.5</f>
        <v>0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128</v>
      </c>
      <c r="G51" s="163">
        <f>G49-H29</f>
        <v>0</v>
      </c>
      <c r="H51" s="164"/>
      <c r="I51" s="164"/>
      <c r="J51" s="1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166"/>
      <c r="H52" s="167"/>
      <c r="I52" s="167"/>
      <c r="J52" s="1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0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4AE46-81DA-46E0-A109-C03055F3BCCD}">
  <dimension ref="A1:R59"/>
  <sheetViews>
    <sheetView zoomScaleNormal="100" zoomScaleSheetLayoutView="85" workbookViewId="0">
      <selection activeCell="F48" sqref="F48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1</v>
      </c>
      <c r="H4" s="234" t="s">
        <v>9</v>
      </c>
      <c r="I4" s="236">
        <v>46014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84">
        <v>1945</v>
      </c>
      <c r="D6" s="13">
        <f t="shared" ref="D6:D28" si="1">C6*L6</f>
        <v>1433465</v>
      </c>
      <c r="F6" s="240" t="s">
        <v>16</v>
      </c>
      <c r="G6" s="242" t="s">
        <v>129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84"/>
      <c r="D7" s="13">
        <f t="shared" si="1"/>
        <v>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84">
        <v>1</v>
      </c>
      <c r="D8" s="13">
        <f t="shared" si="1"/>
        <v>1033</v>
      </c>
      <c r="F8" s="248" t="s">
        <v>21</v>
      </c>
      <c r="G8" s="249" t="s">
        <v>112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84">
        <v>111</v>
      </c>
      <c r="D9" s="13">
        <f t="shared" si="1"/>
        <v>78477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84">
        <v>1</v>
      </c>
      <c r="D10" s="13">
        <f t="shared" si="1"/>
        <v>972</v>
      </c>
      <c r="F10" s="240" t="s">
        <v>26</v>
      </c>
      <c r="G10" s="255" t="s">
        <v>130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84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84">
        <v>1</v>
      </c>
      <c r="D12" s="48">
        <f t="shared" si="1"/>
        <v>952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84">
        <v>81</v>
      </c>
      <c r="D13" s="48">
        <f t="shared" si="1"/>
        <v>24867</v>
      </c>
      <c r="F13" s="261" t="s">
        <v>36</v>
      </c>
      <c r="G13" s="225"/>
      <c r="H13" s="216">
        <f>D29</f>
        <v>1543565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84">
        <v>4</v>
      </c>
      <c r="D14" s="31">
        <f t="shared" si="1"/>
        <v>44</v>
      </c>
      <c r="F14" s="219" t="s">
        <v>39</v>
      </c>
      <c r="G14" s="220"/>
      <c r="H14" s="221">
        <f>D54</f>
        <v>108652.5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84"/>
      <c r="D15" s="31">
        <f t="shared" si="1"/>
        <v>0</v>
      </c>
      <c r="F15" s="224" t="s">
        <v>40</v>
      </c>
      <c r="G15" s="225"/>
      <c r="H15" s="226">
        <f>H13-H14</f>
        <v>1434912.5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6">
        <f>11658</f>
        <v>11658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138</v>
      </c>
      <c r="C17" s="84"/>
      <c r="D17" s="48">
        <f t="shared" si="1"/>
        <v>0</v>
      </c>
      <c r="F17" s="56"/>
      <c r="G17" s="66" t="s">
        <v>45</v>
      </c>
      <c r="H17" s="197"/>
      <c r="I17" s="197"/>
      <c r="J17" s="19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97"/>
      <c r="I19" s="197"/>
      <c r="J19" s="197"/>
      <c r="L19" s="6">
        <v>1102</v>
      </c>
      <c r="Q19" s="4"/>
      <c r="R19" s="5">
        <f t="shared" si="0"/>
        <v>0</v>
      </c>
    </row>
    <row r="20" spans="1:18" ht="15.75" x14ac:dyDescent="0.25">
      <c r="A20" s="175"/>
      <c r="B20" s="83" t="s">
        <v>125</v>
      </c>
      <c r="C20" s="84">
        <f>1+1</f>
        <v>2</v>
      </c>
      <c r="D20" s="13">
        <f t="shared" si="1"/>
        <v>2350</v>
      </c>
      <c r="F20" s="57"/>
      <c r="G20" s="70" t="s">
        <v>120</v>
      </c>
      <c r="H20" s="186"/>
      <c r="I20" s="186"/>
      <c r="J20" s="18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127</v>
      </c>
      <c r="C22" s="84"/>
      <c r="D22" s="48">
        <f t="shared" si="1"/>
        <v>0</v>
      </c>
      <c r="F22" s="77"/>
      <c r="G22" s="73"/>
      <c r="H22" s="202"/>
      <c r="I22" s="202"/>
      <c r="J22" s="20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101</v>
      </c>
      <c r="C23" s="84"/>
      <c r="D23" s="48">
        <f t="shared" si="1"/>
        <v>0</v>
      </c>
      <c r="F23" s="77"/>
      <c r="G23" s="79"/>
      <c r="H23" s="262"/>
      <c r="I23" s="263"/>
      <c r="J23" s="26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121</v>
      </c>
      <c r="C24" s="84"/>
      <c r="D24" s="48">
        <f t="shared" si="1"/>
        <v>0</v>
      </c>
      <c r="F24" s="77"/>
      <c r="G24" s="79"/>
      <c r="H24" s="262"/>
      <c r="I24" s="263"/>
      <c r="J24" s="26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204" t="s">
        <v>13</v>
      </c>
      <c r="I25" s="205"/>
      <c r="J25" s="20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137</v>
      </c>
      <c r="C26" s="84"/>
      <c r="D26" s="48">
        <f t="shared" si="1"/>
        <v>0</v>
      </c>
      <c r="F26" s="120" t="s">
        <v>206</v>
      </c>
      <c r="G26" s="65">
        <v>7982</v>
      </c>
      <c r="H26" s="172">
        <v>58360</v>
      </c>
      <c r="I26" s="172"/>
      <c r="J26" s="172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110</v>
      </c>
      <c r="C27" s="84"/>
      <c r="D27" s="44">
        <f t="shared" si="1"/>
        <v>0</v>
      </c>
      <c r="F27" s="71"/>
      <c r="G27" s="114"/>
      <c r="H27" s="264"/>
      <c r="I27" s="265"/>
      <c r="J27" s="26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84">
        <v>1</v>
      </c>
      <c r="D28" s="48">
        <f t="shared" si="1"/>
        <v>785</v>
      </c>
      <c r="F28" s="117"/>
      <c r="G28" s="61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1543565</v>
      </c>
      <c r="F29" s="133" t="s">
        <v>55</v>
      </c>
      <c r="G29" s="195"/>
      <c r="H29" s="155">
        <f>H15-H16-H17-H18-H19-H20-H22-H23-H24+H26+H27+H28</f>
        <v>1481614.5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>
        <v>14</v>
      </c>
      <c r="D34" s="30">
        <f>C34*120</f>
        <v>1680</v>
      </c>
      <c r="F34" s="12">
        <v>1000</v>
      </c>
      <c r="G34" s="40">
        <v>43</v>
      </c>
      <c r="H34" s="177">
        <f t="shared" ref="H34:H39" si="2">F34*G34</f>
        <v>43000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8</v>
      </c>
      <c r="H35" s="177">
        <f t="shared" si="2"/>
        <v>4000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>
        <v>21</v>
      </c>
      <c r="D36" s="12">
        <f>C36*1.5</f>
        <v>31.5</v>
      </c>
      <c r="F36" s="12">
        <v>200</v>
      </c>
      <c r="G36" s="37"/>
      <c r="H36" s="177">
        <f t="shared" si="2"/>
        <v>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>
        <v>913</v>
      </c>
      <c r="D37" s="12">
        <f>C37*111</f>
        <v>101343</v>
      </c>
      <c r="F37" s="12">
        <v>100</v>
      </c>
      <c r="G37" s="39">
        <v>4</v>
      </c>
      <c r="H37" s="177">
        <f t="shared" si="2"/>
        <v>400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>
        <v>25</v>
      </c>
      <c r="D38" s="12">
        <f>C38*84</f>
        <v>2100</v>
      </c>
      <c r="F38" s="30">
        <v>50</v>
      </c>
      <c r="G38" s="39"/>
      <c r="H38" s="177">
        <f t="shared" si="2"/>
        <v>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77">
        <f t="shared" si="2"/>
        <v>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>
        <v>4</v>
      </c>
      <c r="D42" s="12">
        <f>C42*2.25</f>
        <v>9</v>
      </c>
      <c r="F42" s="39" t="s">
        <v>79</v>
      </c>
      <c r="G42" s="177">
        <v>6</v>
      </c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59" t="s">
        <v>82</v>
      </c>
      <c r="G43" s="114" t="s">
        <v>83</v>
      </c>
      <c r="H43" s="169" t="s">
        <v>13</v>
      </c>
      <c r="I43" s="170"/>
      <c r="J43" s="17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8"/>
      <c r="B44" s="27" t="s">
        <v>66</v>
      </c>
      <c r="C44" s="10">
        <v>14</v>
      </c>
      <c r="D44" s="12">
        <f>C44*120</f>
        <v>1680</v>
      </c>
      <c r="F44" s="37" t="s">
        <v>145</v>
      </c>
      <c r="G44" s="62"/>
      <c r="H44" s="172">
        <v>23444</v>
      </c>
      <c r="I44" s="172"/>
      <c r="J44" s="17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48"/>
      <c r="B45" s="27" t="s">
        <v>68</v>
      </c>
      <c r="C45" s="33">
        <v>6</v>
      </c>
      <c r="D45" s="12">
        <f>C45*84</f>
        <v>504</v>
      </c>
      <c r="F45" s="37" t="s">
        <v>145</v>
      </c>
      <c r="G45" s="62"/>
      <c r="H45" s="172">
        <v>28155</v>
      </c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1">
        <v>39</v>
      </c>
      <c r="D46" s="12">
        <f>C46*1.5</f>
        <v>58.5</v>
      </c>
      <c r="F46" s="37" t="s">
        <v>145</v>
      </c>
      <c r="G46" s="62"/>
      <c r="H46" s="172">
        <v>28155</v>
      </c>
      <c r="I46" s="172"/>
      <c r="J46" s="172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37" t="s">
        <v>150</v>
      </c>
      <c r="G47" s="59">
        <v>145645</v>
      </c>
      <c r="H47" s="172">
        <v>1354140</v>
      </c>
      <c r="I47" s="172"/>
      <c r="J47" s="17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/>
      <c r="D48" s="12">
        <f>C48*78</f>
        <v>0</v>
      </c>
      <c r="F48" s="37" t="s">
        <v>226</v>
      </c>
      <c r="G48" s="59" t="s">
        <v>206</v>
      </c>
      <c r="H48" s="172">
        <v>43906</v>
      </c>
      <c r="I48" s="172"/>
      <c r="J48" s="17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>
        <v>1</v>
      </c>
      <c r="D49" s="12">
        <f>C49*42</f>
        <v>42</v>
      </c>
      <c r="F49" s="153" t="s">
        <v>86</v>
      </c>
      <c r="G49" s="277">
        <f>H34+H35+H36+H37+H38+H39+H40+H41+G42+H44+H45+H46+H47</f>
        <v>1481300</v>
      </c>
      <c r="H49" s="278"/>
      <c r="I49" s="278"/>
      <c r="J49" s="27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>
        <v>16</v>
      </c>
      <c r="D50" s="12">
        <f>C50*1.5</f>
        <v>24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131</v>
      </c>
      <c r="G51" s="266">
        <f>G49-H29</f>
        <v>-314.5</v>
      </c>
      <c r="H51" s="267"/>
      <c r="I51" s="267"/>
      <c r="J51" s="26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269"/>
      <c r="H52" s="270"/>
      <c r="I52" s="270"/>
      <c r="J52" s="27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108652.5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18645-0150-47F7-B40F-3FC340856F9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2</v>
      </c>
      <c r="H4" s="234" t="s">
        <v>9</v>
      </c>
      <c r="I4" s="236">
        <v>46014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10">
        <v>517</v>
      </c>
      <c r="D6" s="13">
        <f t="shared" ref="D6:D28" si="1">C6*L6</f>
        <v>381029</v>
      </c>
      <c r="F6" s="240" t="s">
        <v>16</v>
      </c>
      <c r="G6" s="242" t="s">
        <v>141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10">
        <v>13</v>
      </c>
      <c r="D7" s="13">
        <f t="shared" si="1"/>
        <v>9425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10"/>
      <c r="D8" s="13">
        <f t="shared" si="1"/>
        <v>0</v>
      </c>
      <c r="F8" s="248" t="s">
        <v>21</v>
      </c>
      <c r="G8" s="249" t="s">
        <v>114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10">
        <v>61</v>
      </c>
      <c r="D9" s="13">
        <f t="shared" si="1"/>
        <v>43127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10"/>
      <c r="D10" s="13">
        <f t="shared" si="1"/>
        <v>0</v>
      </c>
      <c r="F10" s="240" t="s">
        <v>26</v>
      </c>
      <c r="G10" s="255" t="s">
        <v>115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10"/>
      <c r="D12" s="48">
        <f t="shared" si="1"/>
        <v>0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10">
        <v>20</v>
      </c>
      <c r="D13" s="48">
        <f t="shared" si="1"/>
        <v>6140</v>
      </c>
      <c r="F13" s="261" t="s">
        <v>36</v>
      </c>
      <c r="G13" s="225"/>
      <c r="H13" s="216">
        <f>D29</f>
        <v>441263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10">
        <v>22</v>
      </c>
      <c r="D14" s="31">
        <f t="shared" si="1"/>
        <v>242</v>
      </c>
      <c r="F14" s="219" t="s">
        <v>39</v>
      </c>
      <c r="G14" s="220"/>
      <c r="H14" s="221">
        <f>D54</f>
        <v>47526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10"/>
      <c r="D15" s="31">
        <f t="shared" si="1"/>
        <v>0</v>
      </c>
      <c r="F15" s="224" t="s">
        <v>40</v>
      </c>
      <c r="G15" s="225"/>
      <c r="H15" s="226">
        <f>H13-H14</f>
        <v>393737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6">
        <f>2760</f>
        <v>2760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93</v>
      </c>
      <c r="C17" s="10"/>
      <c r="D17" s="48">
        <f t="shared" si="1"/>
        <v>0</v>
      </c>
      <c r="F17" s="56"/>
      <c r="G17" s="66" t="s">
        <v>45</v>
      </c>
      <c r="H17" s="197"/>
      <c r="I17" s="197"/>
      <c r="J17" s="19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7"/>
      <c r="I20" s="197"/>
      <c r="J20" s="19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104</v>
      </c>
      <c r="C22" s="10"/>
      <c r="D22" s="48">
        <f t="shared" si="1"/>
        <v>0</v>
      </c>
      <c r="F22" s="72"/>
      <c r="G22" s="73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107</v>
      </c>
      <c r="C23" s="10"/>
      <c r="D23" s="48">
        <f t="shared" si="1"/>
        <v>0</v>
      </c>
      <c r="F23" s="25"/>
      <c r="G23" s="37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123</v>
      </c>
      <c r="C24" s="10"/>
      <c r="D24" s="48">
        <f t="shared" si="1"/>
        <v>0</v>
      </c>
      <c r="F24" s="38"/>
      <c r="G24" s="37"/>
      <c r="H24" s="203"/>
      <c r="I24" s="172"/>
      <c r="J24" s="17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4" t="s">
        <v>13</v>
      </c>
      <c r="I25" s="205"/>
      <c r="J25" s="20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105</v>
      </c>
      <c r="C26" s="10"/>
      <c r="D26" s="48">
        <f t="shared" si="1"/>
        <v>0</v>
      </c>
      <c r="F26" s="64"/>
      <c r="G26" s="10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109</v>
      </c>
      <c r="C27" s="10"/>
      <c r="D27" s="44">
        <f t="shared" si="1"/>
        <v>0</v>
      </c>
      <c r="F27" s="14"/>
      <c r="G27" s="14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10"/>
      <c r="D28" s="48">
        <f t="shared" si="1"/>
        <v>0</v>
      </c>
      <c r="F28" s="117"/>
      <c r="G28" s="61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441263</v>
      </c>
      <c r="F29" s="133" t="s">
        <v>55</v>
      </c>
      <c r="G29" s="195"/>
      <c r="H29" s="155">
        <f>H15-H16-H17-H18-H19-H20-H22-H23-H24+H26+H27</f>
        <v>390977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73</v>
      </c>
      <c r="H34" s="177">
        <f>F34*G34</f>
        <v>73000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17</v>
      </c>
      <c r="H35" s="177">
        <f t="shared" ref="H35:H39" si="2">F35*G35</f>
        <v>8500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1</v>
      </c>
      <c r="H36" s="177">
        <f>F36*G36</f>
        <v>200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>
        <v>405</v>
      </c>
      <c r="D37" s="12">
        <f>C37*111</f>
        <v>44955</v>
      </c>
      <c r="F37" s="12">
        <v>100</v>
      </c>
      <c r="G37" s="39">
        <v>22</v>
      </c>
      <c r="H37" s="177">
        <f t="shared" si="2"/>
        <v>2200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1</v>
      </c>
      <c r="H38" s="177">
        <f t="shared" si="2"/>
        <v>50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77">
        <f t="shared" si="2"/>
        <v>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>
        <v>2</v>
      </c>
      <c r="D42" s="12">
        <f>C42*2.25</f>
        <v>4.5</v>
      </c>
      <c r="F42" s="39" t="s">
        <v>79</v>
      </c>
      <c r="G42" s="177">
        <v>69</v>
      </c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59" t="s">
        <v>82</v>
      </c>
      <c r="G43" s="114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>
        <v>1</v>
      </c>
      <c r="D44" s="12">
        <f>C44*120</f>
        <v>120</v>
      </c>
      <c r="F44" s="37" t="s">
        <v>150</v>
      </c>
      <c r="G44" s="62" t="s">
        <v>220</v>
      </c>
      <c r="H44" s="172">
        <v>306665</v>
      </c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>
        <v>2</v>
      </c>
      <c r="D45" s="12">
        <f>C45*84</f>
        <v>168</v>
      </c>
      <c r="F45" s="37"/>
      <c r="G45" s="62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1">
        <v>13</v>
      </c>
      <c r="D46" s="12">
        <f>C46*1.5</f>
        <v>19.5</v>
      </c>
      <c r="F46" s="37"/>
      <c r="G46" s="115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59"/>
      <c r="G47" s="59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>
        <v>10</v>
      </c>
      <c r="D49" s="12">
        <f>C49*42</f>
        <v>420</v>
      </c>
      <c r="F49" s="153" t="s">
        <v>86</v>
      </c>
      <c r="G49" s="155">
        <f>H34+H35+H36+H37+H38+H39+H40+H41+G42+H44+H45+H46</f>
        <v>390684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>
        <v>11</v>
      </c>
      <c r="D50" s="12">
        <f>C50*1.5</f>
        <v>16.5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132</v>
      </c>
      <c r="G51" s="266">
        <f>G49-H29</f>
        <v>-293</v>
      </c>
      <c r="H51" s="267"/>
      <c r="I51" s="267"/>
      <c r="J51" s="26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269"/>
      <c r="H52" s="270"/>
      <c r="I52" s="270"/>
      <c r="J52" s="27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47526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1B5F6C-85C7-4F63-AC3A-BD653A02ACE7}">
  <dimension ref="A1:R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3</v>
      </c>
      <c r="H4" s="234" t="s">
        <v>9</v>
      </c>
      <c r="I4" s="236">
        <v>46014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10">
        <v>690</v>
      </c>
      <c r="D6" s="13">
        <f t="shared" ref="D6:D28" si="1">C6*L6</f>
        <v>508530</v>
      </c>
      <c r="F6" s="240" t="s">
        <v>16</v>
      </c>
      <c r="G6" s="242" t="s">
        <v>111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10">
        <v>20</v>
      </c>
      <c r="D7" s="13">
        <f t="shared" si="1"/>
        <v>14500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10"/>
      <c r="D8" s="13">
        <f t="shared" si="1"/>
        <v>0</v>
      </c>
      <c r="F8" s="248" t="s">
        <v>21</v>
      </c>
      <c r="G8" s="249" t="s">
        <v>119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10">
        <v>119</v>
      </c>
      <c r="D9" s="13">
        <f t="shared" si="1"/>
        <v>84133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10">
        <v>5</v>
      </c>
      <c r="D10" s="13">
        <f t="shared" si="1"/>
        <v>4860</v>
      </c>
      <c r="F10" s="240" t="s">
        <v>26</v>
      </c>
      <c r="G10" s="255" t="s">
        <v>135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10">
        <v>10</v>
      </c>
      <c r="D11" s="13">
        <f t="shared" si="1"/>
        <v>11250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10">
        <v>5</v>
      </c>
      <c r="D12" s="48">
        <f t="shared" si="1"/>
        <v>4760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10">
        <v>21</v>
      </c>
      <c r="D13" s="48">
        <f t="shared" si="1"/>
        <v>6447</v>
      </c>
      <c r="F13" s="261" t="s">
        <v>36</v>
      </c>
      <c r="G13" s="225"/>
      <c r="H13" s="216">
        <f>D29</f>
        <v>650976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10">
        <v>1</v>
      </c>
      <c r="D14" s="31">
        <f t="shared" si="1"/>
        <v>11</v>
      </c>
      <c r="F14" s="219" t="s">
        <v>39</v>
      </c>
      <c r="G14" s="220"/>
      <c r="H14" s="221">
        <f>D54</f>
        <v>43450.5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10">
        <v>3</v>
      </c>
      <c r="D15" s="31">
        <f t="shared" si="1"/>
        <v>1860</v>
      </c>
      <c r="F15" s="224" t="s">
        <v>40</v>
      </c>
      <c r="G15" s="225"/>
      <c r="H15" s="226">
        <f>H13-H14</f>
        <v>607525.5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6">
        <f>300+1296+1302+1614+660</f>
        <v>5172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113</v>
      </c>
      <c r="C17" s="10"/>
      <c r="D17" s="48">
        <f t="shared" si="1"/>
        <v>0</v>
      </c>
      <c r="F17" s="56"/>
      <c r="G17" s="66" t="s">
        <v>45</v>
      </c>
      <c r="H17" s="197"/>
      <c r="I17" s="197"/>
      <c r="J17" s="19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2"/>
      <c r="I19" s="272"/>
      <c r="J19" s="27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219</v>
      </c>
      <c r="C21" s="10">
        <f>2+3</f>
        <v>5</v>
      </c>
      <c r="D21" s="48">
        <f t="shared" si="1"/>
        <v>3250</v>
      </c>
      <c r="F21" s="69" t="s">
        <v>99</v>
      </c>
      <c r="G21" s="82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104</v>
      </c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19" t="s">
        <v>199</v>
      </c>
      <c r="C23" s="10">
        <f>1+1+1</f>
        <v>3</v>
      </c>
      <c r="D23" s="48">
        <f t="shared" si="1"/>
        <v>3525</v>
      </c>
      <c r="F23" s="78"/>
      <c r="G23" s="79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101</v>
      </c>
      <c r="C24" s="10"/>
      <c r="D24" s="48">
        <f t="shared" si="1"/>
        <v>0</v>
      </c>
      <c r="F24" s="38"/>
      <c r="G24" s="37"/>
      <c r="H24" s="203"/>
      <c r="I24" s="172"/>
      <c r="J24" s="17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4" t="s">
        <v>13</v>
      </c>
      <c r="I25" s="205"/>
      <c r="J25" s="20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105</v>
      </c>
      <c r="C26" s="10"/>
      <c r="D26" s="48">
        <f t="shared" si="1"/>
        <v>0</v>
      </c>
      <c r="F26" s="64"/>
      <c r="G26" s="59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109</v>
      </c>
      <c r="C27" s="10"/>
      <c r="D27" s="44">
        <f t="shared" si="1"/>
        <v>0</v>
      </c>
      <c r="F27" s="25"/>
      <c r="G27" s="80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10">
        <v>10</v>
      </c>
      <c r="D28" s="48">
        <f t="shared" si="1"/>
        <v>7850</v>
      </c>
      <c r="F28" s="117"/>
      <c r="G28" s="61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650976</v>
      </c>
      <c r="F29" s="133" t="s">
        <v>55</v>
      </c>
      <c r="G29" s="195"/>
      <c r="H29" s="155">
        <f>H15-H16-H17-H18-H19-H20-H22-H23-H24+H26+H27</f>
        <v>602353.5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61</v>
      </c>
      <c r="H34" s="177">
        <f>F34*G34</f>
        <v>61000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8">
        <v>500</v>
      </c>
      <c r="G35" s="41">
        <v>13</v>
      </c>
      <c r="H35" s="177">
        <f>F35*G35</f>
        <v>6500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/>
      <c r="H36" s="177">
        <f t="shared" ref="H36:H39" si="2">F36*G36</f>
        <v>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>
        <v>349</v>
      </c>
      <c r="D37" s="12">
        <f>C37*111</f>
        <v>38739</v>
      </c>
      <c r="F37" s="12">
        <v>100</v>
      </c>
      <c r="G37" s="39">
        <v>7</v>
      </c>
      <c r="H37" s="177">
        <f t="shared" si="2"/>
        <v>700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>
        <v>26</v>
      </c>
      <c r="D38" s="12">
        <f>C38*84</f>
        <v>2184</v>
      </c>
      <c r="F38" s="30">
        <v>50</v>
      </c>
      <c r="G38" s="39">
        <v>6</v>
      </c>
      <c r="H38" s="177">
        <f t="shared" si="2"/>
        <v>300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77">
        <f t="shared" si="2"/>
        <v>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/>
      <c r="D42" s="12">
        <f>C42*2.25</f>
        <v>0</v>
      </c>
      <c r="F42" s="39" t="s">
        <v>79</v>
      </c>
      <c r="G42" s="177">
        <v>62</v>
      </c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59" t="s">
        <v>82</v>
      </c>
      <c r="G43" s="114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>
        <v>3</v>
      </c>
      <c r="D44" s="12">
        <f>C44*120</f>
        <v>360</v>
      </c>
      <c r="F44" s="37" t="s">
        <v>163</v>
      </c>
      <c r="G44" s="76" t="s">
        <v>221</v>
      </c>
      <c r="H44" s="172">
        <v>143655</v>
      </c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>
        <v>2</v>
      </c>
      <c r="D45" s="12">
        <f>C45*84</f>
        <v>168</v>
      </c>
      <c r="F45" s="37" t="s">
        <v>163</v>
      </c>
      <c r="G45" s="76" t="s">
        <v>222</v>
      </c>
      <c r="H45" s="172">
        <v>163580</v>
      </c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1"/>
      <c r="D46" s="12">
        <f>C46*1.5</f>
        <v>0</v>
      </c>
      <c r="F46" s="37" t="s">
        <v>163</v>
      </c>
      <c r="G46" s="76" t="s">
        <v>223</v>
      </c>
      <c r="H46" s="172">
        <v>195049</v>
      </c>
      <c r="I46" s="172"/>
      <c r="J46" s="172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37" t="s">
        <v>145</v>
      </c>
      <c r="G47" s="59" t="s">
        <v>224</v>
      </c>
      <c r="H47" s="172">
        <v>31458</v>
      </c>
      <c r="I47" s="172"/>
      <c r="J47" s="17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/>
      <c r="D49" s="12">
        <f>C49*42</f>
        <v>0</v>
      </c>
      <c r="F49" s="153" t="s">
        <v>86</v>
      </c>
      <c r="G49" s="155">
        <f>H34+H35+H36+H37+H38+H39+H40+H41+G42+H44+H45+H46+H47</f>
        <v>602304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>
        <v>1</v>
      </c>
      <c r="D50" s="12">
        <f>C50*1.5</f>
        <v>1.5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140</v>
      </c>
      <c r="G51" s="266">
        <f>G49-H29</f>
        <v>-49.5</v>
      </c>
      <c r="H51" s="267"/>
      <c r="I51" s="267"/>
      <c r="J51" s="26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269"/>
      <c r="H52" s="270"/>
      <c r="I52" s="270"/>
      <c r="J52" s="27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43450.5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B1F021-A59F-4DF7-847B-486D304BFED3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9" t="s">
        <v>1</v>
      </c>
      <c r="O1" s="229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0" t="s">
        <v>7</v>
      </c>
      <c r="B4" s="181"/>
      <c r="C4" s="181"/>
      <c r="D4" s="182"/>
      <c r="F4" s="230" t="s">
        <v>8</v>
      </c>
      <c r="G4" s="232"/>
      <c r="H4" s="234" t="s">
        <v>9</v>
      </c>
      <c r="I4" s="236"/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5"/>
      <c r="B6" s="16"/>
      <c r="C6" s="10"/>
      <c r="D6" s="13">
        <f t="shared" ref="D6:D28" si="1">C6*L6</f>
        <v>0</v>
      </c>
      <c r="F6" s="240" t="s">
        <v>16</v>
      </c>
      <c r="G6" s="242"/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5"/>
      <c r="B7" s="16"/>
      <c r="C7" s="10"/>
      <c r="D7" s="13">
        <f t="shared" si="1"/>
        <v>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5"/>
      <c r="B8" s="16"/>
      <c r="C8" s="10"/>
      <c r="D8" s="13">
        <f t="shared" si="1"/>
        <v>0</v>
      </c>
      <c r="F8" s="248" t="s">
        <v>21</v>
      </c>
      <c r="G8" s="249"/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5"/>
      <c r="B9" s="16"/>
      <c r="C9" s="10"/>
      <c r="D9" s="13">
        <f t="shared" si="1"/>
        <v>0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5"/>
      <c r="C10" s="10"/>
      <c r="D10" s="13">
        <f t="shared" si="1"/>
        <v>0</v>
      </c>
      <c r="F10" s="240" t="s">
        <v>26</v>
      </c>
      <c r="G10" s="255"/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9" ht="15.75" x14ac:dyDescent="0.25">
      <c r="A11" s="175"/>
      <c r="B11" s="17"/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5"/>
      <c r="B12" s="17"/>
      <c r="C12" s="10"/>
      <c r="D12" s="48">
        <f t="shared" si="1"/>
        <v>0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5"/>
      <c r="B13" s="17"/>
      <c r="C13" s="10"/>
      <c r="D13" s="48">
        <f t="shared" si="1"/>
        <v>0</v>
      </c>
      <c r="F13" s="261" t="s">
        <v>36</v>
      </c>
      <c r="G13" s="225"/>
      <c r="H13" s="216">
        <f>D29</f>
        <v>0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5"/>
      <c r="B14" s="14"/>
      <c r="C14" s="10"/>
      <c r="D14" s="31">
        <f t="shared" si="1"/>
        <v>0</v>
      </c>
      <c r="F14" s="219" t="s">
        <v>39</v>
      </c>
      <c r="G14" s="220"/>
      <c r="H14" s="221">
        <f>D54</f>
        <v>0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5"/>
      <c r="B15" s="14"/>
      <c r="C15" s="10"/>
      <c r="D15" s="31">
        <f t="shared" si="1"/>
        <v>0</v>
      </c>
      <c r="F15" s="224" t="s">
        <v>40</v>
      </c>
      <c r="G15" s="225"/>
      <c r="H15" s="226">
        <f>H13-H14</f>
        <v>0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C17" s="10"/>
      <c r="D17" s="48">
        <f t="shared" si="1"/>
        <v>0</v>
      </c>
      <c r="F17" s="56"/>
      <c r="G17" s="66" t="s">
        <v>45</v>
      </c>
      <c r="H17" s="197"/>
      <c r="I17" s="197"/>
      <c r="J17" s="19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/>
      <c r="C18" s="10"/>
      <c r="D18" s="48">
        <f t="shared" si="1"/>
        <v>0</v>
      </c>
      <c r="F18" s="56"/>
      <c r="G18" s="66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/>
      <c r="C19" s="10"/>
      <c r="D19" s="48">
        <f t="shared" si="1"/>
        <v>0</v>
      </c>
      <c r="F19" s="56"/>
      <c r="G19" s="68" t="s">
        <v>50</v>
      </c>
      <c r="H19" s="198"/>
      <c r="I19" s="198"/>
      <c r="J19" s="19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/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/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/>
      <c r="C23" s="10"/>
      <c r="D23" s="48">
        <f t="shared" si="1"/>
        <v>0</v>
      </c>
      <c r="F23" s="78"/>
      <c r="G23" s="79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/>
      <c r="C24" s="10"/>
      <c r="D24" s="48">
        <f t="shared" si="1"/>
        <v>0</v>
      </c>
      <c r="F24" s="38"/>
      <c r="G24" s="37"/>
      <c r="H24" s="203"/>
      <c r="I24" s="172"/>
      <c r="J24" s="17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4" t="s">
        <v>13</v>
      </c>
      <c r="I25" s="205"/>
      <c r="J25" s="20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/>
      <c r="C26" s="10"/>
      <c r="D26" s="48">
        <f t="shared" si="1"/>
        <v>0</v>
      </c>
      <c r="F26" s="64"/>
      <c r="G26" s="59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/>
      <c r="C27" s="10"/>
      <c r="D27" s="44">
        <f t="shared" si="1"/>
        <v>0</v>
      </c>
      <c r="F27" s="25"/>
      <c r="G27" s="80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/>
      <c r="C28" s="10"/>
      <c r="D28" s="48">
        <f t="shared" si="1"/>
        <v>0</v>
      </c>
      <c r="F28" s="117"/>
      <c r="G28" s="61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0</v>
      </c>
      <c r="F29" s="133" t="s">
        <v>55</v>
      </c>
      <c r="G29" s="195"/>
      <c r="H29" s="155">
        <f>H15-H16-H17-H18-H19-H20-H22-H23-H24+H26+H27</f>
        <v>0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7"/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8">
        <v>500</v>
      </c>
      <c r="G35" s="41"/>
      <c r="H35" s="177"/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/>
      <c r="H36" s="177"/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7"/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/>
      <c r="D38" s="12">
        <f>C38*84</f>
        <v>0</v>
      </c>
      <c r="F38" s="30">
        <v>50</v>
      </c>
      <c r="G38" s="39"/>
      <c r="H38" s="177"/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/>
      <c r="D39" s="31">
        <f>C39*4.5</f>
        <v>0</v>
      </c>
      <c r="F39" s="12">
        <v>20</v>
      </c>
      <c r="G39" s="37"/>
      <c r="H39" s="177"/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/>
      <c r="D42" s="12">
        <f>C42*2.25</f>
        <v>0</v>
      </c>
      <c r="F42" s="39" t="s">
        <v>79</v>
      </c>
      <c r="G42" s="177"/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59" t="s">
        <v>82</v>
      </c>
      <c r="G43" s="114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/>
      <c r="D44" s="12">
        <f>C44*120</f>
        <v>0</v>
      </c>
      <c r="F44" s="37"/>
      <c r="G44" s="76"/>
      <c r="H44" s="172"/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/>
      <c r="G45" s="76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1"/>
      <c r="D46" s="12">
        <f>C46*1.5</f>
        <v>0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59"/>
      <c r="G47" s="59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/>
      <c r="D48" s="12">
        <f>C48*78</f>
        <v>0</v>
      </c>
      <c r="F48" s="59"/>
      <c r="G48" s="59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/>
      <c r="D49" s="12">
        <f>C49*42</f>
        <v>0</v>
      </c>
      <c r="F49" s="153" t="s">
        <v>86</v>
      </c>
      <c r="G49" s="155">
        <f>H34+H35+H36+H37+H38+H39+H40+H41+G42+H44+H45+H46</f>
        <v>0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/>
      <c r="D50" s="12">
        <f>C50*1.5</f>
        <v>0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128</v>
      </c>
      <c r="G51" s="163">
        <f>G49-H29</f>
        <v>0</v>
      </c>
      <c r="H51" s="164"/>
      <c r="I51" s="164"/>
      <c r="J51" s="1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166"/>
      <c r="H52" s="167"/>
      <c r="I52" s="167"/>
      <c r="J52" s="1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0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603C0-8A60-45BF-8795-C1318699A60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1</v>
      </c>
      <c r="H4" s="234" t="s">
        <v>9</v>
      </c>
      <c r="I4" s="236">
        <v>46015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84">
        <v>466</v>
      </c>
      <c r="D6" s="13">
        <f t="shared" ref="D6:D28" si="1">C6*L6</f>
        <v>343442</v>
      </c>
      <c r="F6" s="240" t="s">
        <v>16</v>
      </c>
      <c r="G6" s="242" t="s">
        <v>129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84">
        <v>5</v>
      </c>
      <c r="D7" s="13">
        <f t="shared" si="1"/>
        <v>3625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84"/>
      <c r="D8" s="13">
        <f t="shared" si="1"/>
        <v>0</v>
      </c>
      <c r="F8" s="248" t="s">
        <v>21</v>
      </c>
      <c r="G8" s="249" t="s">
        <v>112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84">
        <v>47</v>
      </c>
      <c r="D9" s="13">
        <f t="shared" si="1"/>
        <v>33229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84">
        <v>2</v>
      </c>
      <c r="D10" s="13">
        <f t="shared" si="1"/>
        <v>1944</v>
      </c>
      <c r="F10" s="240" t="s">
        <v>26</v>
      </c>
      <c r="G10" s="255" t="s">
        <v>130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84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84">
        <v>3</v>
      </c>
      <c r="D12" s="48">
        <f t="shared" si="1"/>
        <v>2856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84">
        <v>1</v>
      </c>
      <c r="D13" s="48">
        <f t="shared" si="1"/>
        <v>307</v>
      </c>
      <c r="F13" s="261" t="s">
        <v>36</v>
      </c>
      <c r="G13" s="225"/>
      <c r="H13" s="216">
        <f>D29</f>
        <v>395600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84">
        <v>22</v>
      </c>
      <c r="D14" s="31">
        <f t="shared" si="1"/>
        <v>242</v>
      </c>
      <c r="F14" s="219" t="s">
        <v>39</v>
      </c>
      <c r="G14" s="220"/>
      <c r="H14" s="221">
        <f>D54</f>
        <v>51921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84"/>
      <c r="D15" s="31">
        <f t="shared" si="1"/>
        <v>0</v>
      </c>
      <c r="F15" s="224" t="s">
        <v>40</v>
      </c>
      <c r="G15" s="225"/>
      <c r="H15" s="226">
        <f>H13-H14</f>
        <v>343679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138</v>
      </c>
      <c r="C17" s="84"/>
      <c r="D17" s="48">
        <f t="shared" si="1"/>
        <v>0</v>
      </c>
      <c r="F17" s="56"/>
      <c r="G17" s="66" t="s">
        <v>45</v>
      </c>
      <c r="H17" s="197"/>
      <c r="I17" s="197"/>
      <c r="J17" s="19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84">
        <v>3</v>
      </c>
      <c r="D18" s="48">
        <f t="shared" si="1"/>
        <v>1860</v>
      </c>
      <c r="F18" s="56"/>
      <c r="G18" s="66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97"/>
      <c r="I19" s="197"/>
      <c r="J19" s="197"/>
      <c r="L19" s="6">
        <v>1102</v>
      </c>
      <c r="Q19" s="4"/>
      <c r="R19" s="5">
        <f t="shared" si="0"/>
        <v>0</v>
      </c>
    </row>
    <row r="20" spans="1:18" ht="15.75" x14ac:dyDescent="0.25">
      <c r="A20" s="175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136</v>
      </c>
      <c r="C21" s="84">
        <f>2+2</f>
        <v>4</v>
      </c>
      <c r="D21" s="48">
        <f t="shared" si="1"/>
        <v>2600</v>
      </c>
      <c r="F21" s="69" t="s">
        <v>99</v>
      </c>
      <c r="G21" s="82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127</v>
      </c>
      <c r="C22" s="84"/>
      <c r="D22" s="48">
        <f t="shared" si="1"/>
        <v>0</v>
      </c>
      <c r="F22" s="77"/>
      <c r="G22" s="73"/>
      <c r="H22" s="202"/>
      <c r="I22" s="202"/>
      <c r="J22" s="20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101</v>
      </c>
      <c r="C23" s="84"/>
      <c r="D23" s="48">
        <f t="shared" si="1"/>
        <v>0</v>
      </c>
      <c r="F23" s="77"/>
      <c r="G23" s="79"/>
      <c r="H23" s="262"/>
      <c r="I23" s="263"/>
      <c r="J23" s="26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121</v>
      </c>
      <c r="C24" s="84"/>
      <c r="D24" s="48">
        <f t="shared" si="1"/>
        <v>0</v>
      </c>
      <c r="F24" s="77"/>
      <c r="G24" s="79"/>
      <c r="H24" s="262"/>
      <c r="I24" s="263"/>
      <c r="J24" s="26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204" t="s">
        <v>13</v>
      </c>
      <c r="I25" s="205"/>
      <c r="J25" s="20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137</v>
      </c>
      <c r="C26" s="84"/>
      <c r="D26" s="48">
        <f t="shared" si="1"/>
        <v>0</v>
      </c>
      <c r="F26" s="75"/>
      <c r="G26" s="65"/>
      <c r="H26" s="172"/>
      <c r="I26" s="172"/>
      <c r="J26" s="172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110</v>
      </c>
      <c r="C27" s="84"/>
      <c r="D27" s="44">
        <f t="shared" si="1"/>
        <v>0</v>
      </c>
      <c r="F27" s="71"/>
      <c r="G27" s="114"/>
      <c r="H27" s="264"/>
      <c r="I27" s="265"/>
      <c r="J27" s="26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84">
        <v>7</v>
      </c>
      <c r="D28" s="48">
        <f t="shared" si="1"/>
        <v>5495</v>
      </c>
      <c r="F28" s="117"/>
      <c r="G28" s="61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395600</v>
      </c>
      <c r="F29" s="133" t="s">
        <v>55</v>
      </c>
      <c r="G29" s="195"/>
      <c r="H29" s="155">
        <f>H15-H16-H17-H18-H19-H20-H22-H23-H24+H26+H27+H28</f>
        <v>343679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40">
        <v>79</v>
      </c>
      <c r="H34" s="177">
        <f t="shared" ref="H34:H39" si="2">F34*G34</f>
        <v>79000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8">
        <v>500</v>
      </c>
      <c r="G35" s="41">
        <v>228</v>
      </c>
      <c r="H35" s="177">
        <f t="shared" si="2"/>
        <v>114000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/>
      <c r="H36" s="177">
        <f t="shared" si="2"/>
        <v>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>
        <v>440</v>
      </c>
      <c r="D37" s="12">
        <f>C37*111</f>
        <v>48840</v>
      </c>
      <c r="F37" s="12">
        <v>100</v>
      </c>
      <c r="G37" s="39">
        <v>4</v>
      </c>
      <c r="H37" s="177">
        <f t="shared" si="2"/>
        <v>400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>
        <v>18</v>
      </c>
      <c r="D38" s="12">
        <f>C38*84</f>
        <v>1512</v>
      </c>
      <c r="F38" s="30">
        <v>50</v>
      </c>
      <c r="G38" s="39">
        <v>10</v>
      </c>
      <c r="H38" s="177">
        <f t="shared" si="2"/>
        <v>500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>
        <v>11</v>
      </c>
      <c r="D39" s="31">
        <f>C39*4.5</f>
        <v>49.5</v>
      </c>
      <c r="F39" s="12">
        <v>20</v>
      </c>
      <c r="G39" s="37"/>
      <c r="H39" s="177">
        <f t="shared" si="2"/>
        <v>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>
        <v>12</v>
      </c>
      <c r="D42" s="12">
        <f>C42*2.25</f>
        <v>27</v>
      </c>
      <c r="F42" s="39" t="s">
        <v>79</v>
      </c>
      <c r="G42" s="177">
        <v>37</v>
      </c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59" t="s">
        <v>82</v>
      </c>
      <c r="G43" s="114" t="s">
        <v>83</v>
      </c>
      <c r="H43" s="169" t="s">
        <v>13</v>
      </c>
      <c r="I43" s="170"/>
      <c r="J43" s="17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8"/>
      <c r="B44" s="27" t="s">
        <v>66</v>
      </c>
      <c r="C44" s="10">
        <v>6</v>
      </c>
      <c r="D44" s="12">
        <f>C44*120</f>
        <v>720</v>
      </c>
      <c r="F44" s="37" t="s">
        <v>145</v>
      </c>
      <c r="G44" s="62"/>
      <c r="H44" s="172">
        <v>650</v>
      </c>
      <c r="I44" s="172"/>
      <c r="J44" s="17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48"/>
      <c r="B45" s="27" t="s">
        <v>68</v>
      </c>
      <c r="C45" s="33">
        <v>1</v>
      </c>
      <c r="D45" s="12">
        <f>C45*84</f>
        <v>84</v>
      </c>
      <c r="F45" s="37" t="s">
        <v>145</v>
      </c>
      <c r="G45" s="62"/>
      <c r="H45" s="172">
        <v>50088</v>
      </c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1">
        <v>7</v>
      </c>
      <c r="D46" s="12">
        <f>C46*1.5</f>
        <v>10.5</v>
      </c>
      <c r="F46" s="37" t="s">
        <v>167</v>
      </c>
      <c r="G46" s="62"/>
      <c r="H46" s="172">
        <v>97704</v>
      </c>
      <c r="I46" s="172"/>
      <c r="J46" s="172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59"/>
      <c r="G47" s="59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/>
      <c r="D49" s="12">
        <f>C49*42</f>
        <v>0</v>
      </c>
      <c r="F49" s="153" t="s">
        <v>86</v>
      </c>
      <c r="G49" s="155">
        <f>H34+H35+H36+H37+H38+H39+H40+H41+G42+H44+H45+H46</f>
        <v>342379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>
        <v>6</v>
      </c>
      <c r="D50" s="12">
        <f>C50*1.5</f>
        <v>9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131</v>
      </c>
      <c r="G51" s="266">
        <f>G49-H29</f>
        <v>-1300</v>
      </c>
      <c r="H51" s="267"/>
      <c r="I51" s="267"/>
      <c r="J51" s="26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269"/>
      <c r="H52" s="270"/>
      <c r="I52" s="270"/>
      <c r="J52" s="27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51921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95B9C-982B-4A48-BE38-866509822B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2</v>
      </c>
      <c r="H4" s="234" t="s">
        <v>9</v>
      </c>
      <c r="I4" s="236">
        <v>46015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10">
        <v>819</v>
      </c>
      <c r="D6" s="13">
        <f t="shared" ref="D6:D28" si="1">C6*L6</f>
        <v>603603</v>
      </c>
      <c r="F6" s="240" t="s">
        <v>16</v>
      </c>
      <c r="G6" s="242" t="s">
        <v>141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10">
        <v>1</v>
      </c>
      <c r="D7" s="13">
        <f t="shared" si="1"/>
        <v>725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10"/>
      <c r="D8" s="13">
        <f t="shared" si="1"/>
        <v>0</v>
      </c>
      <c r="F8" s="248" t="s">
        <v>21</v>
      </c>
      <c r="G8" s="249" t="s">
        <v>114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10">
        <v>128</v>
      </c>
      <c r="D9" s="13">
        <f t="shared" si="1"/>
        <v>90496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10"/>
      <c r="D10" s="13">
        <f t="shared" si="1"/>
        <v>0</v>
      </c>
      <c r="F10" s="240" t="s">
        <v>26</v>
      </c>
      <c r="G10" s="255" t="s">
        <v>115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10">
        <v>3</v>
      </c>
      <c r="D12" s="48">
        <f t="shared" si="1"/>
        <v>2856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10">
        <v>33</v>
      </c>
      <c r="D13" s="48">
        <f t="shared" si="1"/>
        <v>10131</v>
      </c>
      <c r="F13" s="261" t="s">
        <v>36</v>
      </c>
      <c r="G13" s="225"/>
      <c r="H13" s="216">
        <f>D29</f>
        <v>711061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10"/>
      <c r="D14" s="31">
        <f t="shared" si="1"/>
        <v>0</v>
      </c>
      <c r="F14" s="219" t="s">
        <v>39</v>
      </c>
      <c r="G14" s="220"/>
      <c r="H14" s="221">
        <f>D54</f>
        <v>108664.5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10"/>
      <c r="D15" s="31">
        <f t="shared" si="1"/>
        <v>0</v>
      </c>
      <c r="F15" s="224" t="s">
        <v>40</v>
      </c>
      <c r="G15" s="225"/>
      <c r="H15" s="226">
        <f>H13-H14</f>
        <v>602396.5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6">
        <f>1296+3582</f>
        <v>4878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93</v>
      </c>
      <c r="C17" s="10"/>
      <c r="D17" s="48">
        <f t="shared" si="1"/>
        <v>0</v>
      </c>
      <c r="F17" s="56"/>
      <c r="G17" s="66" t="s">
        <v>45</v>
      </c>
      <c r="H17" s="197"/>
      <c r="I17" s="197"/>
      <c r="J17" s="19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7"/>
      <c r="I20" s="197"/>
      <c r="J20" s="19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126</v>
      </c>
      <c r="C21" s="10">
        <v>5</v>
      </c>
      <c r="D21" s="48">
        <f t="shared" si="1"/>
        <v>3250</v>
      </c>
      <c r="F21" s="69" t="s">
        <v>99</v>
      </c>
      <c r="G21" s="82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104</v>
      </c>
      <c r="C22" s="10"/>
      <c r="D22" s="48">
        <f t="shared" si="1"/>
        <v>0</v>
      </c>
      <c r="F22" s="72"/>
      <c r="G22" s="73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107</v>
      </c>
      <c r="C23" s="10"/>
      <c r="D23" s="48">
        <f t="shared" si="1"/>
        <v>0</v>
      </c>
      <c r="F23" s="25"/>
      <c r="G23" s="37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123</v>
      </c>
      <c r="C24" s="10"/>
      <c r="D24" s="48">
        <f t="shared" si="1"/>
        <v>0</v>
      </c>
      <c r="F24" s="38"/>
      <c r="G24" s="37"/>
      <c r="H24" s="203"/>
      <c r="I24" s="172"/>
      <c r="J24" s="17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4" t="s">
        <v>13</v>
      </c>
      <c r="I25" s="205"/>
      <c r="J25" s="20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105</v>
      </c>
      <c r="C26" s="10"/>
      <c r="D26" s="48">
        <f t="shared" si="1"/>
        <v>0</v>
      </c>
      <c r="F26" s="64"/>
      <c r="G26" s="10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109</v>
      </c>
      <c r="C27" s="10"/>
      <c r="D27" s="44">
        <f t="shared" si="1"/>
        <v>0</v>
      </c>
      <c r="F27" s="14"/>
      <c r="G27" s="14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10"/>
      <c r="D28" s="48">
        <f t="shared" si="1"/>
        <v>0</v>
      </c>
      <c r="F28" s="117"/>
      <c r="G28" s="61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711061</v>
      </c>
      <c r="F29" s="133" t="s">
        <v>55</v>
      </c>
      <c r="G29" s="195"/>
      <c r="H29" s="155">
        <f>H15-H16-H17-H18-H19-H20-H22-H23-H24+H26+H27</f>
        <v>597518.5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525</v>
      </c>
      <c r="H34" s="177">
        <f>F34*G34</f>
        <v>525000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8">
        <v>500</v>
      </c>
      <c r="G35" s="41">
        <v>144</v>
      </c>
      <c r="H35" s="177">
        <f t="shared" ref="H35:H39" si="2">F35*G35</f>
        <v>72000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/>
      <c r="H36" s="177">
        <f>F36*G36</f>
        <v>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>
        <v>948</v>
      </c>
      <c r="D37" s="12">
        <f>C37*111</f>
        <v>105228</v>
      </c>
      <c r="F37" s="12">
        <v>100</v>
      </c>
      <c r="G37" s="39">
        <v>6</v>
      </c>
      <c r="H37" s="177">
        <f t="shared" si="2"/>
        <v>600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1</v>
      </c>
      <c r="H38" s="177">
        <f t="shared" si="2"/>
        <v>50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/>
      <c r="D39" s="31">
        <f>C39*4.5</f>
        <v>0</v>
      </c>
      <c r="F39" s="12">
        <v>20</v>
      </c>
      <c r="G39" s="37"/>
      <c r="H39" s="177">
        <f t="shared" si="2"/>
        <v>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>
        <v>8</v>
      </c>
      <c r="D42" s="12">
        <f>C42*2.25</f>
        <v>18</v>
      </c>
      <c r="F42" s="39" t="s">
        <v>79</v>
      </c>
      <c r="G42" s="177"/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59" t="s">
        <v>82</v>
      </c>
      <c r="G43" s="114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>
        <v>2</v>
      </c>
      <c r="D44" s="12">
        <f>C44*120</f>
        <v>240</v>
      </c>
      <c r="F44" s="37"/>
      <c r="G44" s="62"/>
      <c r="H44" s="172"/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/>
      <c r="G45" s="62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1">
        <v>6</v>
      </c>
      <c r="D46" s="12">
        <f>C46*1.5</f>
        <v>9</v>
      </c>
      <c r="F46" s="37"/>
      <c r="G46" s="115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59"/>
      <c r="G47" s="59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>
        <v>15</v>
      </c>
      <c r="D48" s="12">
        <f>C48*78</f>
        <v>1170</v>
      </c>
      <c r="F48" s="59"/>
      <c r="G48" s="59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>
        <v>24</v>
      </c>
      <c r="D49" s="12">
        <f>C49*42</f>
        <v>1008</v>
      </c>
      <c r="F49" s="153" t="s">
        <v>86</v>
      </c>
      <c r="G49" s="155">
        <f>H34+H35+H36+H37+H38+H39+H40+H41+G42+H44+H45+H46</f>
        <v>597650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>
        <v>29</v>
      </c>
      <c r="D50" s="12">
        <f>C50*1.5</f>
        <v>43.5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155</v>
      </c>
      <c r="G51" s="163">
        <f>G49-H29</f>
        <v>131.5</v>
      </c>
      <c r="H51" s="164"/>
      <c r="I51" s="164"/>
      <c r="J51" s="1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166"/>
      <c r="H52" s="167"/>
      <c r="I52" s="167"/>
      <c r="J52" s="1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108664.5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66BE7-48CE-458D-AA89-CE10031A60C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3</v>
      </c>
      <c r="H4" s="234" t="s">
        <v>9</v>
      </c>
      <c r="I4" s="236">
        <v>46015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10">
        <v>649</v>
      </c>
      <c r="D6" s="13">
        <f t="shared" ref="D6:D28" si="1">C6*L6</f>
        <v>478313</v>
      </c>
      <c r="F6" s="240" t="s">
        <v>16</v>
      </c>
      <c r="G6" s="242" t="s">
        <v>111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10">
        <v>40</v>
      </c>
      <c r="D7" s="13">
        <f t="shared" si="1"/>
        <v>29000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10"/>
      <c r="D8" s="13">
        <f t="shared" si="1"/>
        <v>0</v>
      </c>
      <c r="F8" s="248" t="s">
        <v>21</v>
      </c>
      <c r="G8" s="249" t="s">
        <v>119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10">
        <v>108</v>
      </c>
      <c r="D9" s="13">
        <f t="shared" si="1"/>
        <v>76356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10">
        <v>2</v>
      </c>
      <c r="D10" s="13">
        <f t="shared" si="1"/>
        <v>1944</v>
      </c>
      <c r="F10" s="240" t="s">
        <v>26</v>
      </c>
      <c r="G10" s="255" t="s">
        <v>135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10">
        <v>5</v>
      </c>
      <c r="D11" s="13">
        <f t="shared" si="1"/>
        <v>5625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10">
        <v>5</v>
      </c>
      <c r="D12" s="48">
        <f t="shared" si="1"/>
        <v>4760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10">
        <v>19</v>
      </c>
      <c r="D13" s="48">
        <f t="shared" si="1"/>
        <v>5833</v>
      </c>
      <c r="F13" s="261" t="s">
        <v>36</v>
      </c>
      <c r="G13" s="225"/>
      <c r="H13" s="216">
        <f>D29</f>
        <v>605756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10"/>
      <c r="D14" s="31">
        <f t="shared" si="1"/>
        <v>0</v>
      </c>
      <c r="F14" s="219" t="s">
        <v>39</v>
      </c>
      <c r="G14" s="220"/>
      <c r="H14" s="221">
        <f>D54</f>
        <v>79959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10"/>
      <c r="D15" s="31">
        <f t="shared" si="1"/>
        <v>0</v>
      </c>
      <c r="F15" s="224" t="s">
        <v>40</v>
      </c>
      <c r="G15" s="225"/>
      <c r="H15" s="226">
        <f>H13-H14</f>
        <v>525797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6">
        <f>930+1200+828+870+948</f>
        <v>4776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113</v>
      </c>
      <c r="C17" s="10"/>
      <c r="D17" s="48">
        <f t="shared" si="1"/>
        <v>0</v>
      </c>
      <c r="F17" s="56"/>
      <c r="G17" s="66" t="s">
        <v>45</v>
      </c>
      <c r="H17" s="197"/>
      <c r="I17" s="197"/>
      <c r="J17" s="19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2"/>
      <c r="I19" s="272"/>
      <c r="J19" s="27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104</v>
      </c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107</v>
      </c>
      <c r="C23" s="10"/>
      <c r="D23" s="48">
        <f t="shared" si="1"/>
        <v>0</v>
      </c>
      <c r="F23" s="78"/>
      <c r="G23" s="79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101</v>
      </c>
      <c r="C24" s="10"/>
      <c r="D24" s="48">
        <f t="shared" si="1"/>
        <v>0</v>
      </c>
      <c r="F24" s="38"/>
      <c r="G24" s="37"/>
      <c r="H24" s="203"/>
      <c r="I24" s="172"/>
      <c r="J24" s="17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4" t="s">
        <v>13</v>
      </c>
      <c r="I25" s="205"/>
      <c r="J25" s="20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105</v>
      </c>
      <c r="C26" s="10"/>
      <c r="D26" s="48">
        <f t="shared" si="1"/>
        <v>0</v>
      </c>
      <c r="F26" s="64"/>
      <c r="G26" s="59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109</v>
      </c>
      <c r="C27" s="10"/>
      <c r="D27" s="44">
        <f t="shared" si="1"/>
        <v>0</v>
      </c>
      <c r="F27" s="25"/>
      <c r="G27" s="80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10">
        <v>5</v>
      </c>
      <c r="D28" s="48">
        <f t="shared" si="1"/>
        <v>3925</v>
      </c>
      <c r="F28" s="117"/>
      <c r="G28" s="61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605756</v>
      </c>
      <c r="F29" s="133" t="s">
        <v>55</v>
      </c>
      <c r="G29" s="195"/>
      <c r="H29" s="155">
        <f>H15-H16-H17-H18-H19-H20-H22-H23-H24+H26+H27</f>
        <v>521021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74">
        <v>271</v>
      </c>
      <c r="H34" s="177">
        <f>F34*G34</f>
        <v>271000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8">
        <v>500</v>
      </c>
      <c r="G35" s="41">
        <v>225</v>
      </c>
      <c r="H35" s="177">
        <f>F35*G35</f>
        <v>112500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/>
      <c r="H36" s="177">
        <f t="shared" ref="H36:H39" si="2">F36*G36</f>
        <v>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>
        <v>624</v>
      </c>
      <c r="D37" s="12">
        <f>C37*111</f>
        <v>69264</v>
      </c>
      <c r="F37" s="12">
        <v>100</v>
      </c>
      <c r="G37" s="39">
        <v>4</v>
      </c>
      <c r="H37" s="177">
        <f t="shared" si="2"/>
        <v>400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3</v>
      </c>
      <c r="H38" s="177">
        <f t="shared" si="2"/>
        <v>150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/>
      <c r="D39" s="31">
        <f>C39*4.5</f>
        <v>0</v>
      </c>
      <c r="F39" s="12">
        <v>20</v>
      </c>
      <c r="G39" s="37"/>
      <c r="H39" s="177">
        <f t="shared" si="2"/>
        <v>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3">
        <v>63</v>
      </c>
      <c r="D40" s="12">
        <f>C40*111</f>
        <v>6993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/>
      <c r="D42" s="12">
        <f>C42*2.25</f>
        <v>0</v>
      </c>
      <c r="F42" s="39" t="s">
        <v>79</v>
      </c>
      <c r="G42" s="177">
        <v>74</v>
      </c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59" t="s">
        <v>82</v>
      </c>
      <c r="G43" s="114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>
        <v>7</v>
      </c>
      <c r="D44" s="12">
        <f>C44*120</f>
        <v>840</v>
      </c>
      <c r="F44" s="37" t="s">
        <v>150</v>
      </c>
      <c r="G44" s="76" t="s">
        <v>225</v>
      </c>
      <c r="H44" s="172">
        <v>134916</v>
      </c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>
        <v>2</v>
      </c>
      <c r="D45" s="12">
        <f>C45*84</f>
        <v>168</v>
      </c>
      <c r="F45" s="37"/>
      <c r="G45" s="76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1">
        <v>4</v>
      </c>
      <c r="D46" s="12">
        <f>C46*1.5</f>
        <v>6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59"/>
      <c r="G47" s="59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>
        <v>16</v>
      </c>
      <c r="D48" s="12">
        <f>C48*78</f>
        <v>1248</v>
      </c>
      <c r="F48" s="59"/>
      <c r="G48" s="59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>
        <v>1</v>
      </c>
      <c r="D49" s="12">
        <f>C49*42</f>
        <v>42</v>
      </c>
      <c r="F49" s="153" t="s">
        <v>86</v>
      </c>
      <c r="G49" s="155">
        <f>H34+H35+H36+H37+H38+H39+H40+H41+G42+H44+H45+H46</f>
        <v>519040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>
        <v>20</v>
      </c>
      <c r="D50" s="12">
        <f>C50*1.5</f>
        <v>30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140</v>
      </c>
      <c r="G51" s="266">
        <f>G49-H29</f>
        <v>-1981</v>
      </c>
      <c r="H51" s="267"/>
      <c r="I51" s="267"/>
      <c r="J51" s="26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269"/>
      <c r="H52" s="270"/>
      <c r="I52" s="270"/>
      <c r="J52" s="27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79959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17406-8C32-4120-9BFE-726F5A3C0D8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9" t="s">
        <v>1</v>
      </c>
      <c r="O1" s="229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0" t="s">
        <v>7</v>
      </c>
      <c r="B4" s="181"/>
      <c r="C4" s="181"/>
      <c r="D4" s="182"/>
      <c r="F4" s="230" t="s">
        <v>8</v>
      </c>
      <c r="G4" s="232"/>
      <c r="H4" s="234" t="s">
        <v>9</v>
      </c>
      <c r="I4" s="236"/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5"/>
      <c r="B6" s="16"/>
      <c r="C6" s="10"/>
      <c r="D6" s="13">
        <f t="shared" ref="D6:D28" si="1">C6*L6</f>
        <v>0</v>
      </c>
      <c r="F6" s="240" t="s">
        <v>16</v>
      </c>
      <c r="G6" s="242"/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5"/>
      <c r="B7" s="16"/>
      <c r="C7" s="10"/>
      <c r="D7" s="13">
        <f t="shared" si="1"/>
        <v>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5"/>
      <c r="B8" s="16"/>
      <c r="C8" s="10"/>
      <c r="D8" s="13">
        <f t="shared" si="1"/>
        <v>0</v>
      </c>
      <c r="F8" s="248" t="s">
        <v>21</v>
      </c>
      <c r="G8" s="249"/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5"/>
      <c r="B9" s="16"/>
      <c r="C9" s="10"/>
      <c r="D9" s="13">
        <f t="shared" si="1"/>
        <v>0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5"/>
      <c r="C10" s="10"/>
      <c r="D10" s="13">
        <f t="shared" si="1"/>
        <v>0</v>
      </c>
      <c r="F10" s="240" t="s">
        <v>26</v>
      </c>
      <c r="G10" s="255"/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9" ht="15.75" x14ac:dyDescent="0.25">
      <c r="A11" s="175"/>
      <c r="B11" s="17"/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5"/>
      <c r="B12" s="17"/>
      <c r="C12" s="10"/>
      <c r="D12" s="48">
        <f t="shared" si="1"/>
        <v>0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5"/>
      <c r="B13" s="17"/>
      <c r="C13" s="10"/>
      <c r="D13" s="48">
        <f t="shared" si="1"/>
        <v>0</v>
      </c>
      <c r="F13" s="261" t="s">
        <v>36</v>
      </c>
      <c r="G13" s="225"/>
      <c r="H13" s="216">
        <f>D29</f>
        <v>0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5"/>
      <c r="B14" s="14"/>
      <c r="C14" s="10"/>
      <c r="D14" s="31">
        <f t="shared" si="1"/>
        <v>0</v>
      </c>
      <c r="F14" s="219" t="s">
        <v>39</v>
      </c>
      <c r="G14" s="220"/>
      <c r="H14" s="221">
        <f>D54</f>
        <v>0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5"/>
      <c r="B15" s="14"/>
      <c r="C15" s="10"/>
      <c r="D15" s="31">
        <f t="shared" si="1"/>
        <v>0</v>
      </c>
      <c r="F15" s="224" t="s">
        <v>40</v>
      </c>
      <c r="G15" s="225"/>
      <c r="H15" s="226">
        <f>H13-H14</f>
        <v>0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C17" s="10"/>
      <c r="D17" s="48">
        <f t="shared" si="1"/>
        <v>0</v>
      </c>
      <c r="F17" s="56"/>
      <c r="G17" s="66" t="s">
        <v>45</v>
      </c>
      <c r="H17" s="197"/>
      <c r="I17" s="197"/>
      <c r="J17" s="19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/>
      <c r="C18" s="10"/>
      <c r="D18" s="48">
        <f t="shared" si="1"/>
        <v>0</v>
      </c>
      <c r="F18" s="56"/>
      <c r="G18" s="66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/>
      <c r="C19" s="10"/>
      <c r="D19" s="48">
        <f t="shared" si="1"/>
        <v>0</v>
      </c>
      <c r="F19" s="56"/>
      <c r="G19" s="68" t="s">
        <v>50</v>
      </c>
      <c r="H19" s="198"/>
      <c r="I19" s="198"/>
      <c r="J19" s="19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/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/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/>
      <c r="C23" s="10"/>
      <c r="D23" s="48">
        <f t="shared" si="1"/>
        <v>0</v>
      </c>
      <c r="F23" s="78"/>
      <c r="G23" s="79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/>
      <c r="C24" s="10"/>
      <c r="D24" s="48">
        <f t="shared" si="1"/>
        <v>0</v>
      </c>
      <c r="F24" s="38"/>
      <c r="G24" s="37"/>
      <c r="H24" s="203"/>
      <c r="I24" s="172"/>
      <c r="J24" s="17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4" t="s">
        <v>13</v>
      </c>
      <c r="I25" s="205"/>
      <c r="J25" s="20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/>
      <c r="C26" s="10"/>
      <c r="D26" s="48">
        <f t="shared" si="1"/>
        <v>0</v>
      </c>
      <c r="F26" s="64"/>
      <c r="G26" s="59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/>
      <c r="C27" s="10"/>
      <c r="D27" s="44">
        <f t="shared" si="1"/>
        <v>0</v>
      </c>
      <c r="F27" s="25"/>
      <c r="G27" s="80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/>
      <c r="C28" s="10"/>
      <c r="D28" s="48">
        <f t="shared" si="1"/>
        <v>0</v>
      </c>
      <c r="F28" s="117"/>
      <c r="G28" s="61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0</v>
      </c>
      <c r="F29" s="133" t="s">
        <v>55</v>
      </c>
      <c r="G29" s="195"/>
      <c r="H29" s="155">
        <f>H15-H16-H17-H18-H19-H20-H22-H23-H24+H26+H27</f>
        <v>0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7"/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8">
        <v>500</v>
      </c>
      <c r="G35" s="41"/>
      <c r="H35" s="177"/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/>
      <c r="H36" s="177"/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7"/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/>
      <c r="D38" s="12">
        <f>C38*84</f>
        <v>0</v>
      </c>
      <c r="F38" s="30">
        <v>50</v>
      </c>
      <c r="G38" s="39"/>
      <c r="H38" s="177"/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/>
      <c r="D39" s="31">
        <f>C39*4.5</f>
        <v>0</v>
      </c>
      <c r="F39" s="12">
        <v>20</v>
      </c>
      <c r="G39" s="37"/>
      <c r="H39" s="177"/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/>
      <c r="D42" s="12">
        <f>C42*2.25</f>
        <v>0</v>
      </c>
      <c r="F42" s="39" t="s">
        <v>79</v>
      </c>
      <c r="G42" s="177"/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59" t="s">
        <v>82</v>
      </c>
      <c r="G43" s="114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/>
      <c r="D44" s="12">
        <f>C44*120</f>
        <v>0</v>
      </c>
      <c r="F44" s="37"/>
      <c r="G44" s="76"/>
      <c r="H44" s="172"/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/>
      <c r="G45" s="76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1"/>
      <c r="D46" s="12">
        <f>C46*1.5</f>
        <v>0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59"/>
      <c r="G47" s="59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/>
      <c r="D48" s="12">
        <f>C48*78</f>
        <v>0</v>
      </c>
      <c r="F48" s="59"/>
      <c r="G48" s="59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/>
      <c r="D49" s="12">
        <f>C49*42</f>
        <v>0</v>
      </c>
      <c r="F49" s="153" t="s">
        <v>86</v>
      </c>
      <c r="G49" s="155">
        <f>H34+H35+H36+H37+H38+H39+H40+H41+G42+H44+H45+H46</f>
        <v>0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/>
      <c r="D50" s="12">
        <f>C50*1.5</f>
        <v>0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128</v>
      </c>
      <c r="G51" s="163">
        <f>G49-H29</f>
        <v>0</v>
      </c>
      <c r="H51" s="164"/>
      <c r="I51" s="164"/>
      <c r="J51" s="1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166"/>
      <c r="H52" s="167"/>
      <c r="I52" s="167"/>
      <c r="J52" s="1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0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3940F-5A10-463A-80EE-9BBA7E80F40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1</v>
      </c>
      <c r="H4" s="234" t="s">
        <v>9</v>
      </c>
      <c r="I4" s="236">
        <v>46016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84"/>
      <c r="D6" s="13">
        <f t="shared" ref="D6:D28" si="1">C6*L6</f>
        <v>0</v>
      </c>
      <c r="F6" s="240" t="s">
        <v>16</v>
      </c>
      <c r="G6" s="242" t="s">
        <v>129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84"/>
      <c r="D7" s="13">
        <f t="shared" si="1"/>
        <v>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84"/>
      <c r="D8" s="13">
        <f t="shared" si="1"/>
        <v>0</v>
      </c>
      <c r="F8" s="248" t="s">
        <v>21</v>
      </c>
      <c r="G8" s="249" t="s">
        <v>112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84"/>
      <c r="D9" s="13">
        <f t="shared" si="1"/>
        <v>0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84"/>
      <c r="D10" s="13">
        <f t="shared" si="1"/>
        <v>0</v>
      </c>
      <c r="F10" s="240" t="s">
        <v>26</v>
      </c>
      <c r="G10" s="255" t="s">
        <v>130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84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84"/>
      <c r="D12" s="48">
        <f t="shared" si="1"/>
        <v>0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84"/>
      <c r="D13" s="48">
        <f t="shared" si="1"/>
        <v>0</v>
      </c>
      <c r="F13" s="261" t="s">
        <v>36</v>
      </c>
      <c r="G13" s="225"/>
      <c r="H13" s="216">
        <f>D29</f>
        <v>0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84"/>
      <c r="D14" s="31">
        <f t="shared" si="1"/>
        <v>0</v>
      </c>
      <c r="F14" s="219" t="s">
        <v>39</v>
      </c>
      <c r="G14" s="220"/>
      <c r="H14" s="221">
        <f>D54</f>
        <v>0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84"/>
      <c r="D15" s="31">
        <f t="shared" si="1"/>
        <v>0</v>
      </c>
      <c r="F15" s="224" t="s">
        <v>40</v>
      </c>
      <c r="G15" s="225"/>
      <c r="H15" s="226">
        <f>H13-H14</f>
        <v>0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138</v>
      </c>
      <c r="C17" s="84"/>
      <c r="D17" s="48">
        <f t="shared" si="1"/>
        <v>0</v>
      </c>
      <c r="F17" s="56"/>
      <c r="G17" s="66" t="s">
        <v>45</v>
      </c>
      <c r="H17" s="197"/>
      <c r="I17" s="197"/>
      <c r="J17" s="19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97"/>
      <c r="I19" s="197"/>
      <c r="J19" s="197"/>
      <c r="L19" s="6">
        <v>1102</v>
      </c>
      <c r="Q19" s="4"/>
      <c r="R19" s="5">
        <f t="shared" si="0"/>
        <v>0</v>
      </c>
    </row>
    <row r="20" spans="1:18" ht="15.75" x14ac:dyDescent="0.25">
      <c r="A20" s="175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127</v>
      </c>
      <c r="C22" s="84"/>
      <c r="D22" s="48">
        <f t="shared" si="1"/>
        <v>0</v>
      </c>
      <c r="F22" s="77"/>
      <c r="G22" s="73"/>
      <c r="H22" s="202"/>
      <c r="I22" s="202"/>
      <c r="J22" s="20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101</v>
      </c>
      <c r="C23" s="84"/>
      <c r="D23" s="48">
        <f t="shared" si="1"/>
        <v>0</v>
      </c>
      <c r="F23" s="77"/>
      <c r="G23" s="79"/>
      <c r="H23" s="262"/>
      <c r="I23" s="263"/>
      <c r="J23" s="26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121</v>
      </c>
      <c r="C24" s="84"/>
      <c r="D24" s="48">
        <f t="shared" si="1"/>
        <v>0</v>
      </c>
      <c r="F24" s="77"/>
      <c r="G24" s="79"/>
      <c r="H24" s="262"/>
      <c r="I24" s="263"/>
      <c r="J24" s="26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204" t="s">
        <v>13</v>
      </c>
      <c r="I25" s="205"/>
      <c r="J25" s="20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137</v>
      </c>
      <c r="C26" s="84"/>
      <c r="D26" s="48">
        <f t="shared" si="1"/>
        <v>0</v>
      </c>
      <c r="F26" s="75"/>
      <c r="G26" s="65"/>
      <c r="H26" s="172"/>
      <c r="I26" s="172"/>
      <c r="J26" s="172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110</v>
      </c>
      <c r="C27" s="84"/>
      <c r="D27" s="44">
        <f t="shared" si="1"/>
        <v>0</v>
      </c>
      <c r="F27" s="71"/>
      <c r="G27" s="114"/>
      <c r="H27" s="264"/>
      <c r="I27" s="265"/>
      <c r="J27" s="26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84"/>
      <c r="D28" s="48">
        <f t="shared" si="1"/>
        <v>0</v>
      </c>
      <c r="F28" s="117"/>
      <c r="G28" s="61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0</v>
      </c>
      <c r="F29" s="133" t="s">
        <v>55</v>
      </c>
      <c r="G29" s="195"/>
      <c r="H29" s="155">
        <f>H15-H16-H17-H18-H19-H20-H22-H23-H24+H26+H27+H28</f>
        <v>0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77">
        <f t="shared" ref="H34:H39" si="2">F34*G34</f>
        <v>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8">
        <v>500</v>
      </c>
      <c r="G35" s="41"/>
      <c r="H35" s="177">
        <f t="shared" si="2"/>
        <v>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/>
      <c r="H36" s="177">
        <f t="shared" si="2"/>
        <v>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7">
        <f t="shared" si="2"/>
        <v>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/>
      <c r="D38" s="12">
        <f>C38*84</f>
        <v>0</v>
      </c>
      <c r="F38" s="30">
        <v>50</v>
      </c>
      <c r="G38" s="39"/>
      <c r="H38" s="177">
        <f t="shared" si="2"/>
        <v>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/>
      <c r="D39" s="31">
        <f>C39*4.5</f>
        <v>0</v>
      </c>
      <c r="F39" s="12">
        <v>20</v>
      </c>
      <c r="G39" s="37"/>
      <c r="H39" s="177">
        <f t="shared" si="2"/>
        <v>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/>
      <c r="D42" s="12">
        <f>C42*2.25</f>
        <v>0</v>
      </c>
      <c r="F42" s="39" t="s">
        <v>79</v>
      </c>
      <c r="G42" s="177"/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59" t="s">
        <v>82</v>
      </c>
      <c r="G43" s="114" t="s">
        <v>83</v>
      </c>
      <c r="H43" s="169" t="s">
        <v>13</v>
      </c>
      <c r="I43" s="170"/>
      <c r="J43" s="17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8"/>
      <c r="B44" s="27" t="s">
        <v>66</v>
      </c>
      <c r="C44" s="10"/>
      <c r="D44" s="12">
        <f>C44*120</f>
        <v>0</v>
      </c>
      <c r="F44" s="37"/>
      <c r="G44" s="62"/>
      <c r="H44" s="172"/>
      <c r="I44" s="172"/>
      <c r="J44" s="17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/>
      <c r="G45" s="62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1"/>
      <c r="D46" s="12">
        <f>C46*1.5</f>
        <v>0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59"/>
      <c r="G47" s="59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/>
      <c r="D48" s="12">
        <f>C48*78</f>
        <v>0</v>
      </c>
      <c r="F48" s="59"/>
      <c r="G48" s="59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/>
      <c r="D49" s="12">
        <f>C49*42</f>
        <v>0</v>
      </c>
      <c r="F49" s="153" t="s">
        <v>86</v>
      </c>
      <c r="G49" s="155">
        <f>H34+H35+H36+H37+H38+H39+H40+H41+G42+H44+H45+H46</f>
        <v>0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/>
      <c r="D50" s="12">
        <f>C50*1.5</f>
        <v>0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131</v>
      </c>
      <c r="G51" s="266">
        <f>G49-H29</f>
        <v>0</v>
      </c>
      <c r="H51" s="267"/>
      <c r="I51" s="267"/>
      <c r="J51" s="26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269"/>
      <c r="H52" s="270"/>
      <c r="I52" s="270"/>
      <c r="J52" s="27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24430-1AD6-455E-AD80-E2C1386CC24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2</v>
      </c>
      <c r="H4" s="234" t="s">
        <v>9</v>
      </c>
      <c r="I4" s="236">
        <v>46016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10"/>
      <c r="D6" s="13">
        <f t="shared" ref="D6:D28" si="1">C6*L6</f>
        <v>0</v>
      </c>
      <c r="F6" s="240" t="s">
        <v>16</v>
      </c>
      <c r="G6" s="242" t="s">
        <v>141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10"/>
      <c r="D7" s="13">
        <f t="shared" si="1"/>
        <v>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10"/>
      <c r="D8" s="13">
        <f t="shared" si="1"/>
        <v>0</v>
      </c>
      <c r="F8" s="248" t="s">
        <v>21</v>
      </c>
      <c r="G8" s="249" t="s">
        <v>114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10"/>
      <c r="D9" s="13">
        <f t="shared" si="1"/>
        <v>0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10"/>
      <c r="D10" s="13">
        <f t="shared" si="1"/>
        <v>0</v>
      </c>
      <c r="F10" s="240" t="s">
        <v>26</v>
      </c>
      <c r="G10" s="255" t="s">
        <v>115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10"/>
      <c r="D12" s="48">
        <f t="shared" si="1"/>
        <v>0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10"/>
      <c r="D13" s="48">
        <f t="shared" si="1"/>
        <v>0</v>
      </c>
      <c r="F13" s="261" t="s">
        <v>36</v>
      </c>
      <c r="G13" s="225"/>
      <c r="H13" s="216">
        <f>D29</f>
        <v>0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10"/>
      <c r="D14" s="31">
        <f t="shared" si="1"/>
        <v>0</v>
      </c>
      <c r="F14" s="219" t="s">
        <v>39</v>
      </c>
      <c r="G14" s="220"/>
      <c r="H14" s="221">
        <f>D54</f>
        <v>0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10"/>
      <c r="D15" s="31">
        <f t="shared" si="1"/>
        <v>0</v>
      </c>
      <c r="F15" s="224" t="s">
        <v>40</v>
      </c>
      <c r="G15" s="225"/>
      <c r="H15" s="226">
        <f>H13-H14</f>
        <v>0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93</v>
      </c>
      <c r="C17" s="10"/>
      <c r="D17" s="48">
        <f t="shared" si="1"/>
        <v>0</v>
      </c>
      <c r="F17" s="56"/>
      <c r="G17" s="66" t="s">
        <v>45</v>
      </c>
      <c r="H17" s="197"/>
      <c r="I17" s="197"/>
      <c r="J17" s="19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7"/>
      <c r="I20" s="197"/>
      <c r="J20" s="19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104</v>
      </c>
      <c r="C22" s="10"/>
      <c r="D22" s="48">
        <f t="shared" si="1"/>
        <v>0</v>
      </c>
      <c r="F22" s="72"/>
      <c r="G22" s="73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107</v>
      </c>
      <c r="C23" s="10"/>
      <c r="D23" s="48">
        <f t="shared" si="1"/>
        <v>0</v>
      </c>
      <c r="F23" s="25"/>
      <c r="G23" s="37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123</v>
      </c>
      <c r="C24" s="10"/>
      <c r="D24" s="48">
        <f t="shared" si="1"/>
        <v>0</v>
      </c>
      <c r="F24" s="38"/>
      <c r="G24" s="37"/>
      <c r="H24" s="203"/>
      <c r="I24" s="172"/>
      <c r="J24" s="17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4" t="s">
        <v>13</v>
      </c>
      <c r="I25" s="205"/>
      <c r="J25" s="20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105</v>
      </c>
      <c r="C26" s="10"/>
      <c r="D26" s="48">
        <f t="shared" si="1"/>
        <v>0</v>
      </c>
      <c r="F26" s="64"/>
      <c r="G26" s="10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109</v>
      </c>
      <c r="C27" s="10"/>
      <c r="D27" s="44">
        <f t="shared" si="1"/>
        <v>0</v>
      </c>
      <c r="F27" s="14"/>
      <c r="G27" s="14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10"/>
      <c r="D28" s="48">
        <f t="shared" si="1"/>
        <v>0</v>
      </c>
      <c r="F28" s="117"/>
      <c r="G28" s="61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0</v>
      </c>
      <c r="F29" s="133" t="s">
        <v>55</v>
      </c>
      <c r="G29" s="195"/>
      <c r="H29" s="155">
        <f>H15-H16-H17-H18-H19-H20-H22-H23-H24+H26+H27</f>
        <v>0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7">
        <f>F34*G34</f>
        <v>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8">
        <v>500</v>
      </c>
      <c r="G35" s="41"/>
      <c r="H35" s="177">
        <f t="shared" ref="H35:H39" si="2">F35*G35</f>
        <v>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/>
      <c r="H36" s="177">
        <f>F36*G36</f>
        <v>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7">
        <f t="shared" si="2"/>
        <v>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/>
      <c r="D38" s="12">
        <f>C38*84</f>
        <v>0</v>
      </c>
      <c r="F38" s="30">
        <v>50</v>
      </c>
      <c r="G38" s="39"/>
      <c r="H38" s="177">
        <f t="shared" si="2"/>
        <v>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/>
      <c r="D39" s="31">
        <f>C39*4.5</f>
        <v>0</v>
      </c>
      <c r="F39" s="12">
        <v>20</v>
      </c>
      <c r="G39" s="37"/>
      <c r="H39" s="177">
        <f t="shared" si="2"/>
        <v>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/>
      <c r="D42" s="12">
        <f>C42*2.25</f>
        <v>0</v>
      </c>
      <c r="F42" s="39" t="s">
        <v>79</v>
      </c>
      <c r="G42" s="177"/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59" t="s">
        <v>82</v>
      </c>
      <c r="G43" s="114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/>
      <c r="D44" s="12">
        <f>C44*120</f>
        <v>0</v>
      </c>
      <c r="F44" s="37"/>
      <c r="G44" s="62"/>
      <c r="H44" s="172"/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/>
      <c r="G45" s="62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1"/>
      <c r="D46" s="12">
        <f>C46*1.5</f>
        <v>0</v>
      </c>
      <c r="F46" s="37"/>
      <c r="G46" s="115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59"/>
      <c r="G47" s="59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/>
      <c r="D48" s="12">
        <f>C48*78</f>
        <v>0</v>
      </c>
      <c r="F48" s="59"/>
      <c r="G48" s="59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/>
      <c r="D49" s="12">
        <f>C49*42</f>
        <v>0</v>
      </c>
      <c r="F49" s="153" t="s">
        <v>86</v>
      </c>
      <c r="G49" s="155">
        <f>H34+H35+H36+H37+H38+H39+H40+H41+G42+H44+H45+H46</f>
        <v>0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/>
      <c r="D50" s="12">
        <f>C50*1.5</f>
        <v>0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132</v>
      </c>
      <c r="G51" s="266">
        <f>G49-H29</f>
        <v>0</v>
      </c>
      <c r="H51" s="267"/>
      <c r="I51" s="267"/>
      <c r="J51" s="26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269"/>
      <c r="H52" s="270"/>
      <c r="I52" s="270"/>
      <c r="J52" s="27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0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3F12A-8FFD-4F6A-9850-5B4483B2724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3</v>
      </c>
      <c r="H4" s="234" t="s">
        <v>9</v>
      </c>
      <c r="I4" s="236">
        <v>46016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10"/>
      <c r="D6" s="13">
        <f t="shared" ref="D6:D28" si="1">C6*L6</f>
        <v>0</v>
      </c>
      <c r="F6" s="240" t="s">
        <v>16</v>
      </c>
      <c r="G6" s="242" t="s">
        <v>111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10"/>
      <c r="D7" s="13">
        <f t="shared" si="1"/>
        <v>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10"/>
      <c r="D8" s="13">
        <f t="shared" si="1"/>
        <v>0</v>
      </c>
      <c r="F8" s="248" t="s">
        <v>21</v>
      </c>
      <c r="G8" s="249" t="s">
        <v>119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10"/>
      <c r="D9" s="13">
        <f t="shared" si="1"/>
        <v>0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10"/>
      <c r="D10" s="13">
        <f t="shared" si="1"/>
        <v>0</v>
      </c>
      <c r="F10" s="240" t="s">
        <v>26</v>
      </c>
      <c r="G10" s="255" t="s">
        <v>135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10"/>
      <c r="D12" s="48">
        <f t="shared" si="1"/>
        <v>0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10"/>
      <c r="D13" s="48">
        <f t="shared" si="1"/>
        <v>0</v>
      </c>
      <c r="F13" s="261" t="s">
        <v>36</v>
      </c>
      <c r="G13" s="225"/>
      <c r="H13" s="216">
        <f>D29</f>
        <v>0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10"/>
      <c r="D14" s="31">
        <f t="shared" si="1"/>
        <v>0</v>
      </c>
      <c r="F14" s="219" t="s">
        <v>39</v>
      </c>
      <c r="G14" s="220"/>
      <c r="H14" s="221">
        <f>D54</f>
        <v>0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10"/>
      <c r="D15" s="31">
        <f t="shared" si="1"/>
        <v>0</v>
      </c>
      <c r="F15" s="224" t="s">
        <v>40</v>
      </c>
      <c r="G15" s="225"/>
      <c r="H15" s="226">
        <f>H13-H14</f>
        <v>0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113</v>
      </c>
      <c r="C17" s="10"/>
      <c r="D17" s="48">
        <f t="shared" si="1"/>
        <v>0</v>
      </c>
      <c r="F17" s="56"/>
      <c r="G17" s="66" t="s">
        <v>45</v>
      </c>
      <c r="H17" s="197"/>
      <c r="I17" s="197"/>
      <c r="J17" s="19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2"/>
      <c r="I19" s="272"/>
      <c r="J19" s="27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104</v>
      </c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107</v>
      </c>
      <c r="C23" s="10"/>
      <c r="D23" s="48">
        <f t="shared" si="1"/>
        <v>0</v>
      </c>
      <c r="F23" s="78"/>
      <c r="G23" s="79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101</v>
      </c>
      <c r="C24" s="10"/>
      <c r="D24" s="48">
        <f t="shared" si="1"/>
        <v>0</v>
      </c>
      <c r="F24" s="38"/>
      <c r="G24" s="37"/>
      <c r="H24" s="203"/>
      <c r="I24" s="172"/>
      <c r="J24" s="17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4" t="s">
        <v>13</v>
      </c>
      <c r="I25" s="205"/>
      <c r="J25" s="20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105</v>
      </c>
      <c r="C26" s="10"/>
      <c r="D26" s="48">
        <f t="shared" si="1"/>
        <v>0</v>
      </c>
      <c r="F26" s="64"/>
      <c r="G26" s="59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109</v>
      </c>
      <c r="C27" s="10"/>
      <c r="D27" s="44">
        <f t="shared" si="1"/>
        <v>0</v>
      </c>
      <c r="F27" s="25"/>
      <c r="G27" s="80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10"/>
      <c r="D28" s="48">
        <f t="shared" si="1"/>
        <v>0</v>
      </c>
      <c r="F28" s="117"/>
      <c r="G28" s="61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0</v>
      </c>
      <c r="F29" s="133" t="s">
        <v>55</v>
      </c>
      <c r="G29" s="195"/>
      <c r="H29" s="155">
        <f>H15-H16-H17-H18-H19-H20-H22-H23-H24+H26+H27</f>
        <v>0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7">
        <f>F34*G34</f>
        <v>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8">
        <v>500</v>
      </c>
      <c r="G35" s="41"/>
      <c r="H35" s="177">
        <f>F35*G35</f>
        <v>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/>
      <c r="H36" s="177">
        <f t="shared" ref="H36:H39" si="2">F36*G36</f>
        <v>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7">
        <f t="shared" si="2"/>
        <v>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/>
      <c r="D38" s="12">
        <f>C38*84</f>
        <v>0</v>
      </c>
      <c r="F38" s="30">
        <v>50</v>
      </c>
      <c r="G38" s="39"/>
      <c r="H38" s="177">
        <f t="shared" si="2"/>
        <v>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/>
      <c r="D39" s="31">
        <f>C39*4.5</f>
        <v>0</v>
      </c>
      <c r="F39" s="12">
        <v>20</v>
      </c>
      <c r="G39" s="37"/>
      <c r="H39" s="177">
        <f t="shared" si="2"/>
        <v>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/>
      <c r="D42" s="12">
        <f>C42*2.25</f>
        <v>0</v>
      </c>
      <c r="F42" s="39" t="s">
        <v>79</v>
      </c>
      <c r="G42" s="177"/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59" t="s">
        <v>82</v>
      </c>
      <c r="G43" s="114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/>
      <c r="D44" s="12">
        <f>C44*120</f>
        <v>0</v>
      </c>
      <c r="F44" s="37"/>
      <c r="G44" s="76"/>
      <c r="H44" s="172"/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/>
      <c r="G45" s="76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1"/>
      <c r="D46" s="12">
        <f>C46*1.5</f>
        <v>0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59"/>
      <c r="G47" s="59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/>
      <c r="D48" s="12">
        <f>C48*78</f>
        <v>0</v>
      </c>
      <c r="F48" s="59"/>
      <c r="G48" s="59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/>
      <c r="D49" s="12">
        <f>C49*42</f>
        <v>0</v>
      </c>
      <c r="F49" s="153" t="s">
        <v>86</v>
      </c>
      <c r="G49" s="155">
        <f>H34+H35+H36+H37+H38+H39+H40+H41+G42+H44+H45+H46</f>
        <v>0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/>
      <c r="D50" s="12">
        <f>C50*1.5</f>
        <v>0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140</v>
      </c>
      <c r="G51" s="266">
        <f>G49-H29</f>
        <v>0</v>
      </c>
      <c r="H51" s="267"/>
      <c r="I51" s="267"/>
      <c r="J51" s="26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269"/>
      <c r="H52" s="270"/>
      <c r="I52" s="270"/>
      <c r="J52" s="27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0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CAACA1-FE89-4A58-BA63-BF889FDE283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9" t="s">
        <v>1</v>
      </c>
      <c r="O1" s="229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0" t="s">
        <v>7</v>
      </c>
      <c r="B4" s="181"/>
      <c r="C4" s="181"/>
      <c r="D4" s="182"/>
      <c r="F4" s="230" t="s">
        <v>8</v>
      </c>
      <c r="G4" s="232"/>
      <c r="H4" s="234" t="s">
        <v>9</v>
      </c>
      <c r="I4" s="236"/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5"/>
      <c r="B6" s="16"/>
      <c r="C6" s="10"/>
      <c r="D6" s="13">
        <f t="shared" ref="D6:D28" si="1">C6*L6</f>
        <v>0</v>
      </c>
      <c r="F6" s="240" t="s">
        <v>16</v>
      </c>
      <c r="G6" s="242"/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5"/>
      <c r="B7" s="16"/>
      <c r="C7" s="10"/>
      <c r="D7" s="13">
        <f t="shared" si="1"/>
        <v>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5"/>
      <c r="B8" s="16"/>
      <c r="C8" s="10"/>
      <c r="D8" s="13">
        <f t="shared" si="1"/>
        <v>0</v>
      </c>
      <c r="F8" s="248" t="s">
        <v>21</v>
      </c>
      <c r="G8" s="249"/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5"/>
      <c r="B9" s="16"/>
      <c r="C9" s="10"/>
      <c r="D9" s="13">
        <f t="shared" si="1"/>
        <v>0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5"/>
      <c r="C10" s="10"/>
      <c r="D10" s="13">
        <f t="shared" si="1"/>
        <v>0</v>
      </c>
      <c r="F10" s="240" t="s">
        <v>26</v>
      </c>
      <c r="G10" s="255"/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9" ht="15.75" x14ac:dyDescent="0.25">
      <c r="A11" s="175"/>
      <c r="B11" s="17"/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5"/>
      <c r="B12" s="17"/>
      <c r="C12" s="10"/>
      <c r="D12" s="48">
        <f t="shared" si="1"/>
        <v>0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5"/>
      <c r="B13" s="17"/>
      <c r="C13" s="10"/>
      <c r="D13" s="48">
        <f t="shared" si="1"/>
        <v>0</v>
      </c>
      <c r="F13" s="261" t="s">
        <v>36</v>
      </c>
      <c r="G13" s="225"/>
      <c r="H13" s="216">
        <f>D29</f>
        <v>0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5"/>
      <c r="B14" s="14"/>
      <c r="C14" s="10"/>
      <c r="D14" s="31">
        <f t="shared" si="1"/>
        <v>0</v>
      </c>
      <c r="F14" s="219" t="s">
        <v>39</v>
      </c>
      <c r="G14" s="220"/>
      <c r="H14" s="221">
        <f>D54</f>
        <v>0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5"/>
      <c r="B15" s="14"/>
      <c r="C15" s="10"/>
      <c r="D15" s="31">
        <f t="shared" si="1"/>
        <v>0</v>
      </c>
      <c r="F15" s="224" t="s">
        <v>40</v>
      </c>
      <c r="G15" s="225"/>
      <c r="H15" s="226">
        <f>H13-H14</f>
        <v>0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C17" s="10"/>
      <c r="D17" s="48">
        <f t="shared" si="1"/>
        <v>0</v>
      </c>
      <c r="F17" s="56"/>
      <c r="G17" s="66" t="s">
        <v>45</v>
      </c>
      <c r="H17" s="197"/>
      <c r="I17" s="197"/>
      <c r="J17" s="19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/>
      <c r="C18" s="10"/>
      <c r="D18" s="48">
        <f t="shared" si="1"/>
        <v>0</v>
      </c>
      <c r="F18" s="56"/>
      <c r="G18" s="66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/>
      <c r="C19" s="10"/>
      <c r="D19" s="48">
        <f t="shared" si="1"/>
        <v>0</v>
      </c>
      <c r="F19" s="56"/>
      <c r="G19" s="68" t="s">
        <v>50</v>
      </c>
      <c r="H19" s="198"/>
      <c r="I19" s="198"/>
      <c r="J19" s="19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/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/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/>
      <c r="C23" s="10"/>
      <c r="D23" s="48">
        <f t="shared" si="1"/>
        <v>0</v>
      </c>
      <c r="F23" s="78"/>
      <c r="G23" s="79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/>
      <c r="C24" s="10"/>
      <c r="D24" s="48">
        <f t="shared" si="1"/>
        <v>0</v>
      </c>
      <c r="F24" s="38"/>
      <c r="G24" s="37"/>
      <c r="H24" s="203"/>
      <c r="I24" s="172"/>
      <c r="J24" s="17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4" t="s">
        <v>13</v>
      </c>
      <c r="I25" s="205"/>
      <c r="J25" s="20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/>
      <c r="C26" s="10"/>
      <c r="D26" s="48">
        <f t="shared" si="1"/>
        <v>0</v>
      </c>
      <c r="F26" s="64"/>
      <c r="G26" s="59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/>
      <c r="C27" s="10"/>
      <c r="D27" s="44">
        <f t="shared" si="1"/>
        <v>0</v>
      </c>
      <c r="F27" s="25"/>
      <c r="G27" s="80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/>
      <c r="C28" s="10"/>
      <c r="D28" s="48">
        <f t="shared" si="1"/>
        <v>0</v>
      </c>
      <c r="F28" s="117"/>
      <c r="G28" s="61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0</v>
      </c>
      <c r="F29" s="133" t="s">
        <v>55</v>
      </c>
      <c r="G29" s="195"/>
      <c r="H29" s="155">
        <f>H15-H16-H17-H18-H19-H20-H22-H23-H24+H26+H27</f>
        <v>0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7"/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8">
        <v>500</v>
      </c>
      <c r="G35" s="41"/>
      <c r="H35" s="177"/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/>
      <c r="H36" s="177"/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7"/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/>
      <c r="D38" s="12">
        <f>C38*84</f>
        <v>0</v>
      </c>
      <c r="F38" s="30">
        <v>50</v>
      </c>
      <c r="G38" s="39"/>
      <c r="H38" s="177"/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/>
      <c r="D39" s="31">
        <f>C39*4.5</f>
        <v>0</v>
      </c>
      <c r="F39" s="12">
        <v>20</v>
      </c>
      <c r="G39" s="37"/>
      <c r="H39" s="177"/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/>
      <c r="D42" s="12">
        <f>C42*2.25</f>
        <v>0</v>
      </c>
      <c r="F42" s="39" t="s">
        <v>79</v>
      </c>
      <c r="G42" s="177"/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59" t="s">
        <v>82</v>
      </c>
      <c r="G43" s="114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/>
      <c r="D44" s="12">
        <f>C44*120</f>
        <v>0</v>
      </c>
      <c r="F44" s="37"/>
      <c r="G44" s="76"/>
      <c r="H44" s="172"/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/>
      <c r="G45" s="76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1"/>
      <c r="D46" s="12">
        <f>C46*1.5</f>
        <v>0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59"/>
      <c r="G47" s="59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/>
      <c r="D48" s="12">
        <f>C48*78</f>
        <v>0</v>
      </c>
      <c r="F48" s="59"/>
      <c r="G48" s="59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/>
      <c r="D49" s="12">
        <f>C49*42</f>
        <v>0</v>
      </c>
      <c r="F49" s="153" t="s">
        <v>86</v>
      </c>
      <c r="G49" s="155">
        <f>H34+H35+H36+H37+H38+H39+H40+H41+G42+H44+H45+H46</f>
        <v>0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/>
      <c r="D50" s="12">
        <f>C50*1.5</f>
        <v>0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128</v>
      </c>
      <c r="G51" s="163">
        <f>G49-H29</f>
        <v>0</v>
      </c>
      <c r="H51" s="164"/>
      <c r="I51" s="164"/>
      <c r="J51" s="1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166"/>
      <c r="H52" s="167"/>
      <c r="I52" s="167"/>
      <c r="J52" s="1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0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0498E-F227-4D4A-A3D1-5BE8ADE35F2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1</v>
      </c>
      <c r="H4" s="234" t="s">
        <v>9</v>
      </c>
      <c r="I4" s="236">
        <v>46017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84">
        <v>1563</v>
      </c>
      <c r="D6" s="13">
        <f t="shared" ref="D6:D28" si="1">C6*L6</f>
        <v>1151931</v>
      </c>
      <c r="F6" s="240" t="s">
        <v>16</v>
      </c>
      <c r="G6" s="242" t="s">
        <v>129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84">
        <v>2</v>
      </c>
      <c r="D7" s="13">
        <f t="shared" si="1"/>
        <v>1450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84">
        <v>20</v>
      </c>
      <c r="D8" s="13">
        <f t="shared" si="1"/>
        <v>20660</v>
      </c>
      <c r="F8" s="248" t="s">
        <v>21</v>
      </c>
      <c r="G8" s="249" t="s">
        <v>112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84">
        <v>119</v>
      </c>
      <c r="D9" s="13">
        <f t="shared" si="1"/>
        <v>84133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84">
        <v>1</v>
      </c>
      <c r="D10" s="13">
        <f t="shared" si="1"/>
        <v>972</v>
      </c>
      <c r="F10" s="240" t="s">
        <v>26</v>
      </c>
      <c r="G10" s="255" t="s">
        <v>130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84">
        <v>1</v>
      </c>
      <c r="D11" s="13">
        <f t="shared" si="1"/>
        <v>1125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84">
        <f>1</f>
        <v>1</v>
      </c>
      <c r="D12" s="48">
        <f t="shared" si="1"/>
        <v>952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84">
        <v>63</v>
      </c>
      <c r="D13" s="48">
        <f t="shared" si="1"/>
        <v>19341</v>
      </c>
      <c r="F13" s="261" t="s">
        <v>36</v>
      </c>
      <c r="G13" s="225"/>
      <c r="H13" s="216">
        <f>D29</f>
        <v>1280597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84">
        <v>3</v>
      </c>
      <c r="D14" s="31">
        <f t="shared" si="1"/>
        <v>33</v>
      </c>
      <c r="F14" s="219" t="s">
        <v>39</v>
      </c>
      <c r="G14" s="220"/>
      <c r="H14" s="221">
        <f>D54</f>
        <v>142872.75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84"/>
      <c r="D15" s="31">
        <f t="shared" si="1"/>
        <v>0</v>
      </c>
      <c r="F15" s="224" t="s">
        <v>40</v>
      </c>
      <c r="G15" s="225"/>
      <c r="H15" s="226">
        <f>H13-H14</f>
        <v>1137724.25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6">
        <f>4656+5184</f>
        <v>9840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138</v>
      </c>
      <c r="C17" s="84"/>
      <c r="D17" s="48">
        <f t="shared" si="1"/>
        <v>0</v>
      </c>
      <c r="F17" s="56"/>
      <c r="G17" s="66" t="s">
        <v>45</v>
      </c>
      <c r="H17" s="197"/>
      <c r="I17" s="197"/>
      <c r="J17" s="19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97"/>
      <c r="I19" s="197"/>
      <c r="J19" s="197"/>
      <c r="L19" s="6">
        <v>1102</v>
      </c>
      <c r="Q19" s="4"/>
      <c r="R19" s="5">
        <f t="shared" si="0"/>
        <v>0</v>
      </c>
    </row>
    <row r="20" spans="1:18" ht="15.75" x14ac:dyDescent="0.25">
      <c r="A20" s="175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127</v>
      </c>
      <c r="C22" s="84"/>
      <c r="D22" s="48">
        <f t="shared" si="1"/>
        <v>0</v>
      </c>
      <c r="F22" s="77"/>
      <c r="G22" s="73"/>
      <c r="H22" s="202"/>
      <c r="I22" s="202"/>
      <c r="J22" s="20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101</v>
      </c>
      <c r="C23" s="84"/>
      <c r="D23" s="48">
        <f t="shared" si="1"/>
        <v>0</v>
      </c>
      <c r="F23" s="77"/>
      <c r="G23" s="79"/>
      <c r="H23" s="262"/>
      <c r="I23" s="263"/>
      <c r="J23" s="26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121</v>
      </c>
      <c r="C24" s="84"/>
      <c r="D24" s="48">
        <f t="shared" si="1"/>
        <v>0</v>
      </c>
      <c r="F24" s="77"/>
      <c r="G24" s="79"/>
      <c r="H24" s="262"/>
      <c r="I24" s="263"/>
      <c r="J24" s="26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204" t="s">
        <v>13</v>
      </c>
      <c r="I25" s="205"/>
      <c r="J25" s="20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137</v>
      </c>
      <c r="C26" s="84"/>
      <c r="D26" s="48">
        <f t="shared" si="1"/>
        <v>0</v>
      </c>
      <c r="F26" s="75"/>
      <c r="G26" s="65"/>
      <c r="H26" s="172"/>
      <c r="I26" s="172"/>
      <c r="J26" s="172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110</v>
      </c>
      <c r="C27" s="84"/>
      <c r="D27" s="44">
        <f t="shared" si="1"/>
        <v>0</v>
      </c>
      <c r="F27" s="71"/>
      <c r="G27" s="114"/>
      <c r="H27" s="264"/>
      <c r="I27" s="265"/>
      <c r="J27" s="26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84"/>
      <c r="D28" s="48">
        <f t="shared" si="1"/>
        <v>0</v>
      </c>
      <c r="F28" s="117"/>
      <c r="G28" s="61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1280597</v>
      </c>
      <c r="F29" s="133" t="s">
        <v>55</v>
      </c>
      <c r="G29" s="195"/>
      <c r="H29" s="155">
        <f>H15-H16-H17-H18-H19-H20-H22-H23-H24+H26+H27+H28</f>
        <v>1127884.25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29</v>
      </c>
      <c r="H34" s="177">
        <f t="shared" ref="H34:H39" si="2">F34*G34</f>
        <v>29000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8">
        <v>500</v>
      </c>
      <c r="G35" s="41">
        <v>15</v>
      </c>
      <c r="H35" s="177">
        <f t="shared" si="2"/>
        <v>7500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/>
      <c r="H36" s="177">
        <f t="shared" si="2"/>
        <v>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>
        <v>1268</v>
      </c>
      <c r="D37" s="12">
        <f>C37*111</f>
        <v>140748</v>
      </c>
      <c r="F37" s="12">
        <v>100</v>
      </c>
      <c r="G37" s="39">
        <v>6</v>
      </c>
      <c r="H37" s="177">
        <f t="shared" si="2"/>
        <v>600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>
        <v>9</v>
      </c>
      <c r="D38" s="12">
        <f>C38*84</f>
        <v>756</v>
      </c>
      <c r="F38" s="30">
        <v>50</v>
      </c>
      <c r="G38" s="39">
        <v>5</v>
      </c>
      <c r="H38" s="177">
        <f t="shared" si="2"/>
        <v>250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77">
        <f t="shared" si="2"/>
        <v>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>
        <v>5</v>
      </c>
      <c r="D42" s="12">
        <f>C42*2.25</f>
        <v>11.25</v>
      </c>
      <c r="F42" s="39" t="s">
        <v>79</v>
      </c>
      <c r="G42" s="177">
        <v>326</v>
      </c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59" t="s">
        <v>82</v>
      </c>
      <c r="G43" s="114" t="s">
        <v>83</v>
      </c>
      <c r="H43" s="169" t="s">
        <v>13</v>
      </c>
      <c r="I43" s="170"/>
      <c r="J43" s="17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8"/>
      <c r="B44" s="27" t="s">
        <v>66</v>
      </c>
      <c r="C44" s="10">
        <v>4</v>
      </c>
      <c r="D44" s="12">
        <f>C44*120</f>
        <v>480</v>
      </c>
      <c r="F44" s="37" t="s">
        <v>150</v>
      </c>
      <c r="G44" s="62" t="s">
        <v>227</v>
      </c>
      <c r="H44" s="172">
        <v>557723</v>
      </c>
      <c r="I44" s="172"/>
      <c r="J44" s="17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48"/>
      <c r="B45" s="27" t="s">
        <v>68</v>
      </c>
      <c r="C45" s="33">
        <v>2</v>
      </c>
      <c r="D45" s="12">
        <f>C45*84</f>
        <v>168</v>
      </c>
      <c r="F45" s="37" t="s">
        <v>150</v>
      </c>
      <c r="G45" s="62" t="s">
        <v>228</v>
      </c>
      <c r="H45" s="172">
        <v>529238</v>
      </c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1">
        <v>14</v>
      </c>
      <c r="D46" s="12">
        <f>C46*1.5</f>
        <v>21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59"/>
      <c r="G47" s="59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>
        <v>1</v>
      </c>
      <c r="D49" s="12">
        <f>C49*42</f>
        <v>42</v>
      </c>
      <c r="F49" s="153" t="s">
        <v>86</v>
      </c>
      <c r="G49" s="155">
        <f>H34+H35+H36+H37+H38+H39+H40+H41+G42+H44+H45+H46</f>
        <v>1124637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>
        <v>18</v>
      </c>
      <c r="D50" s="12">
        <f>C50*1.5</f>
        <v>27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131</v>
      </c>
      <c r="G51" s="266">
        <f>G49-H29</f>
        <v>-3247.25</v>
      </c>
      <c r="H51" s="267"/>
      <c r="I51" s="267"/>
      <c r="J51" s="26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269"/>
      <c r="H52" s="270"/>
      <c r="I52" s="270"/>
      <c r="J52" s="27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142872.75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5896A-B7FF-4BB4-A46D-F0B5BC5888C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2</v>
      </c>
      <c r="H4" s="234" t="s">
        <v>9</v>
      </c>
      <c r="I4" s="236">
        <v>46017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10">
        <f>978-64</f>
        <v>914</v>
      </c>
      <c r="D6" s="13">
        <f t="shared" ref="D6:D28" si="1">C6*L6</f>
        <v>673618</v>
      </c>
      <c r="F6" s="240" t="s">
        <v>16</v>
      </c>
      <c r="G6" s="242" t="s">
        <v>141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10">
        <v>10</v>
      </c>
      <c r="D7" s="13">
        <f t="shared" si="1"/>
        <v>7250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10"/>
      <c r="D8" s="13">
        <f t="shared" si="1"/>
        <v>0</v>
      </c>
      <c r="F8" s="248" t="s">
        <v>21</v>
      </c>
      <c r="G8" s="249" t="s">
        <v>114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10">
        <v>134</v>
      </c>
      <c r="D9" s="13">
        <f t="shared" si="1"/>
        <v>94738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10"/>
      <c r="D10" s="13">
        <f t="shared" si="1"/>
        <v>0</v>
      </c>
      <c r="F10" s="240" t="s">
        <v>26</v>
      </c>
      <c r="G10" s="255" t="s">
        <v>115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10">
        <v>2</v>
      </c>
      <c r="D12" s="48">
        <f t="shared" si="1"/>
        <v>1904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10">
        <v>25</v>
      </c>
      <c r="D13" s="48">
        <f t="shared" si="1"/>
        <v>7675</v>
      </c>
      <c r="F13" s="261" t="s">
        <v>36</v>
      </c>
      <c r="G13" s="225"/>
      <c r="H13" s="216">
        <f>D29</f>
        <v>812293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10">
        <v>12</v>
      </c>
      <c r="D14" s="31">
        <f t="shared" si="1"/>
        <v>132</v>
      </c>
      <c r="F14" s="219" t="s">
        <v>39</v>
      </c>
      <c r="G14" s="220"/>
      <c r="H14" s="221">
        <f>D54</f>
        <v>102987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10"/>
      <c r="D15" s="31">
        <f t="shared" si="1"/>
        <v>0</v>
      </c>
      <c r="F15" s="224" t="s">
        <v>40</v>
      </c>
      <c r="G15" s="225"/>
      <c r="H15" s="226">
        <f>H13-H14</f>
        <v>709306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6">
        <f>1296+3300</f>
        <v>4596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93</v>
      </c>
      <c r="C17" s="10"/>
      <c r="D17" s="48">
        <f t="shared" si="1"/>
        <v>0</v>
      </c>
      <c r="F17" s="56"/>
      <c r="G17" s="66" t="s">
        <v>45</v>
      </c>
      <c r="H17" s="197"/>
      <c r="I17" s="197"/>
      <c r="J17" s="19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161</v>
      </c>
      <c r="C19" s="10">
        <v>3</v>
      </c>
      <c r="D19" s="48">
        <f t="shared" si="1"/>
        <v>3306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7"/>
      <c r="I20" s="197"/>
      <c r="J20" s="19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126</v>
      </c>
      <c r="C21" s="10">
        <f>14+20</f>
        <v>34</v>
      </c>
      <c r="D21" s="48">
        <f t="shared" si="1"/>
        <v>22100</v>
      </c>
      <c r="F21" s="69" t="s">
        <v>99</v>
      </c>
      <c r="G21" s="82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104</v>
      </c>
      <c r="C22" s="10"/>
      <c r="D22" s="48">
        <f t="shared" si="1"/>
        <v>0</v>
      </c>
      <c r="F22" s="72"/>
      <c r="G22" s="73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107</v>
      </c>
      <c r="C23" s="10"/>
      <c r="D23" s="48">
        <f t="shared" si="1"/>
        <v>0</v>
      </c>
      <c r="F23" s="25"/>
      <c r="G23" s="37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123</v>
      </c>
      <c r="C24" s="10"/>
      <c r="D24" s="48">
        <f t="shared" si="1"/>
        <v>0</v>
      </c>
      <c r="F24" s="38"/>
      <c r="G24" s="37"/>
      <c r="H24" s="203"/>
      <c r="I24" s="172"/>
      <c r="J24" s="17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4" t="s">
        <v>13</v>
      </c>
      <c r="I25" s="205"/>
      <c r="J25" s="20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105</v>
      </c>
      <c r="C26" s="10"/>
      <c r="D26" s="48">
        <f t="shared" si="1"/>
        <v>0</v>
      </c>
      <c r="F26" s="64"/>
      <c r="G26" s="10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109</v>
      </c>
      <c r="C27" s="10"/>
      <c r="D27" s="44">
        <f t="shared" si="1"/>
        <v>0</v>
      </c>
      <c r="F27" s="14"/>
      <c r="G27" s="14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10">
        <v>2</v>
      </c>
      <c r="D28" s="48">
        <f t="shared" si="1"/>
        <v>1570</v>
      </c>
      <c r="F28" s="117"/>
      <c r="G28" s="61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812293</v>
      </c>
      <c r="F29" s="133" t="s">
        <v>55</v>
      </c>
      <c r="G29" s="195"/>
      <c r="H29" s="155">
        <f>H15-H16-H17-H18-H19-H20-H22-H23-H24+H26+H27</f>
        <v>704710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278</v>
      </c>
      <c r="H34" s="177">
        <f>F34*G34</f>
        <v>278000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8">
        <v>500</v>
      </c>
      <c r="G35" s="41">
        <v>160</v>
      </c>
      <c r="H35" s="177">
        <f t="shared" ref="H35:H39" si="2">F35*G35</f>
        <v>80000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177">
        <f>F36*G36</f>
        <v>600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>
        <v>891</v>
      </c>
      <c r="D37" s="12">
        <f>C37*111</f>
        <v>98901</v>
      </c>
      <c r="F37" s="12">
        <v>100</v>
      </c>
      <c r="G37" s="39">
        <v>20</v>
      </c>
      <c r="H37" s="177">
        <f t="shared" si="2"/>
        <v>2000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>
        <v>18</v>
      </c>
      <c r="D38" s="12">
        <f>C38*84</f>
        <v>1512</v>
      </c>
      <c r="F38" s="30">
        <v>50</v>
      </c>
      <c r="G38" s="39">
        <v>1</v>
      </c>
      <c r="H38" s="177">
        <f t="shared" si="2"/>
        <v>50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77">
        <f t="shared" si="2"/>
        <v>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/>
      <c r="D42" s="12">
        <f>C42*2.25</f>
        <v>0</v>
      </c>
      <c r="F42" s="39" t="s">
        <v>79</v>
      </c>
      <c r="G42" s="177">
        <v>96</v>
      </c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59" t="s">
        <v>82</v>
      </c>
      <c r="G43" s="114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>
        <v>2</v>
      </c>
      <c r="D44" s="12">
        <f>C44*120</f>
        <v>240</v>
      </c>
      <c r="F44" s="37" t="s">
        <v>150</v>
      </c>
      <c r="G44" s="62" t="s">
        <v>229</v>
      </c>
      <c r="H44" s="172">
        <v>341873</v>
      </c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/>
      <c r="G45" s="62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1"/>
      <c r="D46" s="12">
        <f>C46*1.5</f>
        <v>0</v>
      </c>
      <c r="F46" s="37"/>
      <c r="G46" s="115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59"/>
      <c r="G47" s="59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>
        <v>24</v>
      </c>
      <c r="D49" s="12">
        <f>C49*42</f>
        <v>1008</v>
      </c>
      <c r="F49" s="153" t="s">
        <v>86</v>
      </c>
      <c r="G49" s="155">
        <f>H34+H35+H36+H37+H38+H39+H40+H41+G42+H44+H45+H46</f>
        <v>702619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>
        <v>18</v>
      </c>
      <c r="D50" s="12">
        <f>C50*1.5</f>
        <v>27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132</v>
      </c>
      <c r="G51" s="266">
        <f>G49-H29</f>
        <v>-2091</v>
      </c>
      <c r="H51" s="267"/>
      <c r="I51" s="267"/>
      <c r="J51" s="26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269"/>
      <c r="H52" s="270"/>
      <c r="I52" s="270"/>
      <c r="J52" s="27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102987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804CE-970E-46CC-9CF1-31CE5E3B409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3</v>
      </c>
      <c r="H4" s="234" t="s">
        <v>9</v>
      </c>
      <c r="I4" s="236">
        <v>46017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10">
        <v>719</v>
      </c>
      <c r="D6" s="13">
        <f t="shared" ref="D6:D28" si="1">C6*L6</f>
        <v>529903</v>
      </c>
      <c r="F6" s="240" t="s">
        <v>16</v>
      </c>
      <c r="G6" s="242" t="s">
        <v>111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10">
        <v>30</v>
      </c>
      <c r="D7" s="13">
        <f t="shared" si="1"/>
        <v>21750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10"/>
      <c r="D8" s="13">
        <f t="shared" si="1"/>
        <v>0</v>
      </c>
      <c r="F8" s="248" t="s">
        <v>21</v>
      </c>
      <c r="G8" s="249" t="s">
        <v>119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10">
        <v>188</v>
      </c>
      <c r="D9" s="13">
        <f t="shared" si="1"/>
        <v>132916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10">
        <v>3</v>
      </c>
      <c r="D10" s="13">
        <f t="shared" si="1"/>
        <v>2916</v>
      </c>
      <c r="F10" s="240" t="s">
        <v>26</v>
      </c>
      <c r="G10" s="255" t="s">
        <v>135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10">
        <v>6</v>
      </c>
      <c r="D12" s="48">
        <f t="shared" si="1"/>
        <v>5712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10">
        <v>21</v>
      </c>
      <c r="D13" s="48">
        <f t="shared" si="1"/>
        <v>6447</v>
      </c>
      <c r="F13" s="261" t="s">
        <v>36</v>
      </c>
      <c r="G13" s="225"/>
      <c r="H13" s="216">
        <f>D29</f>
        <v>707494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10"/>
      <c r="D14" s="31">
        <f t="shared" si="1"/>
        <v>0</v>
      </c>
      <c r="F14" s="219" t="s">
        <v>39</v>
      </c>
      <c r="G14" s="220"/>
      <c r="H14" s="221">
        <f>D54</f>
        <v>101940.75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10"/>
      <c r="D15" s="31">
        <f t="shared" si="1"/>
        <v>0</v>
      </c>
      <c r="F15" s="224" t="s">
        <v>40</v>
      </c>
      <c r="G15" s="225"/>
      <c r="H15" s="226">
        <f>H13-H14</f>
        <v>605553.25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6">
        <f>300+1920+2238+954</f>
        <v>5412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113</v>
      </c>
      <c r="C17" s="10"/>
      <c r="D17" s="48">
        <f t="shared" si="1"/>
        <v>0</v>
      </c>
      <c r="F17" s="56"/>
      <c r="G17" s="66" t="s">
        <v>45</v>
      </c>
      <c r="H17" s="197"/>
      <c r="I17" s="197"/>
      <c r="J17" s="19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2"/>
      <c r="I19" s="272"/>
      <c r="J19" s="27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104</v>
      </c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107</v>
      </c>
      <c r="C23" s="10"/>
      <c r="D23" s="48">
        <f t="shared" si="1"/>
        <v>0</v>
      </c>
      <c r="F23" s="78"/>
      <c r="G23" s="79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101</v>
      </c>
      <c r="C24" s="10"/>
      <c r="D24" s="48">
        <f t="shared" si="1"/>
        <v>0</v>
      </c>
      <c r="F24" s="38"/>
      <c r="G24" s="37"/>
      <c r="H24" s="203"/>
      <c r="I24" s="172"/>
      <c r="J24" s="17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4" t="s">
        <v>13</v>
      </c>
      <c r="I25" s="205"/>
      <c r="J25" s="20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105</v>
      </c>
      <c r="C26" s="10"/>
      <c r="D26" s="48">
        <f t="shared" si="1"/>
        <v>0</v>
      </c>
      <c r="F26" s="64"/>
      <c r="G26" s="59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109</v>
      </c>
      <c r="C27" s="10"/>
      <c r="D27" s="44">
        <f t="shared" si="1"/>
        <v>0</v>
      </c>
      <c r="F27" s="25"/>
      <c r="G27" s="80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10">
        <v>10</v>
      </c>
      <c r="D28" s="48">
        <f t="shared" si="1"/>
        <v>7850</v>
      </c>
      <c r="F28" s="117"/>
      <c r="G28" s="61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707494</v>
      </c>
      <c r="F29" s="133" t="s">
        <v>55</v>
      </c>
      <c r="G29" s="195"/>
      <c r="H29" s="155">
        <f>H15-H16-H17-H18-H19-H20-H22-H23-H24+H26+H27+H28</f>
        <v>600141.25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55</v>
      </c>
      <c r="H34" s="177">
        <f>F34*G34</f>
        <v>55000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>
        <v>5</v>
      </c>
      <c r="D35" s="30">
        <f>C35*84</f>
        <v>420</v>
      </c>
      <c r="F35" s="58">
        <v>500</v>
      </c>
      <c r="G35" s="41"/>
      <c r="H35" s="177">
        <f>F35*G35</f>
        <v>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177">
        <f t="shared" ref="H36:H39" si="2">F36*G36</f>
        <v>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>
        <v>703</v>
      </c>
      <c r="D37" s="12">
        <f>C37*111</f>
        <v>78033</v>
      </c>
      <c r="F37" s="12">
        <v>100</v>
      </c>
      <c r="G37" s="39">
        <v>9</v>
      </c>
      <c r="H37" s="177">
        <f t="shared" si="2"/>
        <v>900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>
        <v>176</v>
      </c>
      <c r="D38" s="12">
        <f>C38*84</f>
        <v>14784</v>
      </c>
      <c r="F38" s="30">
        <v>50</v>
      </c>
      <c r="G38" s="39">
        <v>3</v>
      </c>
      <c r="H38" s="177">
        <f t="shared" si="2"/>
        <v>150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/>
      <c r="D39" s="31">
        <f>C39*4.5</f>
        <v>0</v>
      </c>
      <c r="F39" s="12">
        <v>20</v>
      </c>
      <c r="G39" s="37"/>
      <c r="H39" s="177">
        <f t="shared" si="2"/>
        <v>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3">
        <v>18</v>
      </c>
      <c r="D40" s="12">
        <f>C40*111</f>
        <v>1998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>
        <v>17</v>
      </c>
      <c r="D41" s="12">
        <f>C41*84</f>
        <v>1428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>
        <v>7</v>
      </c>
      <c r="D42" s="12">
        <f>C42*2.25</f>
        <v>15.75</v>
      </c>
      <c r="F42" s="39" t="s">
        <v>79</v>
      </c>
      <c r="G42" s="177">
        <v>12</v>
      </c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59" t="s">
        <v>82</v>
      </c>
      <c r="G43" s="114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>
        <v>6</v>
      </c>
      <c r="D44" s="12">
        <f>C44*120</f>
        <v>720</v>
      </c>
      <c r="F44" s="37" t="s">
        <v>150</v>
      </c>
      <c r="G44" s="76" t="s">
        <v>230</v>
      </c>
      <c r="H44" s="172">
        <v>230236</v>
      </c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>
        <v>45</v>
      </c>
      <c r="D45" s="12">
        <f>C45*84</f>
        <v>3780</v>
      </c>
      <c r="F45" s="37" t="s">
        <v>152</v>
      </c>
      <c r="G45" s="76" t="s">
        <v>231</v>
      </c>
      <c r="H45" s="172">
        <v>235564</v>
      </c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1"/>
      <c r="D46" s="12">
        <f>C46*1.5</f>
        <v>0</v>
      </c>
      <c r="F46" s="37" t="s">
        <v>163</v>
      </c>
      <c r="G46" s="62" t="s">
        <v>232</v>
      </c>
      <c r="H46" s="172">
        <v>99714</v>
      </c>
      <c r="I46" s="172"/>
      <c r="J46" s="172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59"/>
      <c r="G47" s="59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/>
      <c r="D49" s="12">
        <f>C49*42</f>
        <v>0</v>
      </c>
      <c r="F49" s="153" t="s">
        <v>86</v>
      </c>
      <c r="G49" s="155">
        <f>H34+H35+H36+H37+H38+H39+H40+H41+G42+H44+H45+H46</f>
        <v>621576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>
        <v>10</v>
      </c>
      <c r="D50" s="12">
        <f>C50*1.5</f>
        <v>15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148</v>
      </c>
      <c r="G51" s="163">
        <f>G49-H29</f>
        <v>21434.75</v>
      </c>
      <c r="H51" s="164"/>
      <c r="I51" s="164"/>
      <c r="J51" s="1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166"/>
      <c r="H52" s="167"/>
      <c r="I52" s="167"/>
      <c r="J52" s="1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101940.75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C7C17-8198-4B10-B47B-6EEC47028F6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9" t="s">
        <v>1</v>
      </c>
      <c r="O1" s="229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0" t="s">
        <v>7</v>
      </c>
      <c r="B4" s="181"/>
      <c r="C4" s="181"/>
      <c r="D4" s="182"/>
      <c r="F4" s="230" t="s">
        <v>8</v>
      </c>
      <c r="G4" s="232"/>
      <c r="H4" s="234" t="s">
        <v>9</v>
      </c>
      <c r="I4" s="236"/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5"/>
      <c r="B6" s="16"/>
      <c r="C6" s="10"/>
      <c r="D6" s="13">
        <f t="shared" ref="D6:D28" si="1">C6*L6</f>
        <v>0</v>
      </c>
      <c r="F6" s="240" t="s">
        <v>16</v>
      </c>
      <c r="G6" s="242"/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5"/>
      <c r="B7" s="16"/>
      <c r="C7" s="10"/>
      <c r="D7" s="13">
        <f t="shared" si="1"/>
        <v>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5"/>
      <c r="B8" s="16"/>
      <c r="C8" s="10"/>
      <c r="D8" s="13">
        <f t="shared" si="1"/>
        <v>0</v>
      </c>
      <c r="F8" s="248" t="s">
        <v>21</v>
      </c>
      <c r="G8" s="249"/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5"/>
      <c r="B9" s="16"/>
      <c r="C9" s="10"/>
      <c r="D9" s="13">
        <f t="shared" si="1"/>
        <v>0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5"/>
      <c r="C10" s="10"/>
      <c r="D10" s="13">
        <f t="shared" si="1"/>
        <v>0</v>
      </c>
      <c r="F10" s="240" t="s">
        <v>26</v>
      </c>
      <c r="G10" s="255"/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9" ht="15.75" x14ac:dyDescent="0.25">
      <c r="A11" s="175"/>
      <c r="B11" s="17"/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5"/>
      <c r="B12" s="17"/>
      <c r="C12" s="10"/>
      <c r="D12" s="48">
        <f t="shared" si="1"/>
        <v>0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5"/>
      <c r="B13" s="17"/>
      <c r="C13" s="10"/>
      <c r="D13" s="48">
        <f t="shared" si="1"/>
        <v>0</v>
      </c>
      <c r="F13" s="261" t="s">
        <v>36</v>
      </c>
      <c r="G13" s="225"/>
      <c r="H13" s="216">
        <f>D29</f>
        <v>0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5"/>
      <c r="B14" s="14"/>
      <c r="C14" s="10"/>
      <c r="D14" s="31">
        <f t="shared" si="1"/>
        <v>0</v>
      </c>
      <c r="F14" s="219" t="s">
        <v>39</v>
      </c>
      <c r="G14" s="220"/>
      <c r="H14" s="221">
        <f>D54</f>
        <v>0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5"/>
      <c r="B15" s="14"/>
      <c r="C15" s="10"/>
      <c r="D15" s="31">
        <f t="shared" si="1"/>
        <v>0</v>
      </c>
      <c r="F15" s="224" t="s">
        <v>40</v>
      </c>
      <c r="G15" s="225"/>
      <c r="H15" s="226">
        <f>H13-H14</f>
        <v>0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C17" s="10"/>
      <c r="D17" s="48">
        <f t="shared" si="1"/>
        <v>0</v>
      </c>
      <c r="F17" s="56"/>
      <c r="G17" s="66" t="s">
        <v>45</v>
      </c>
      <c r="H17" s="197"/>
      <c r="I17" s="197"/>
      <c r="J17" s="19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/>
      <c r="C18" s="10"/>
      <c r="D18" s="48">
        <f t="shared" si="1"/>
        <v>0</v>
      </c>
      <c r="F18" s="56"/>
      <c r="G18" s="66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/>
      <c r="C19" s="10"/>
      <c r="D19" s="48">
        <f t="shared" si="1"/>
        <v>0</v>
      </c>
      <c r="F19" s="56"/>
      <c r="G19" s="68" t="s">
        <v>50</v>
      </c>
      <c r="H19" s="198"/>
      <c r="I19" s="198"/>
      <c r="J19" s="19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/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/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/>
      <c r="C23" s="10"/>
      <c r="D23" s="48">
        <f t="shared" si="1"/>
        <v>0</v>
      </c>
      <c r="F23" s="78"/>
      <c r="G23" s="79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/>
      <c r="C24" s="10"/>
      <c r="D24" s="48">
        <f t="shared" si="1"/>
        <v>0</v>
      </c>
      <c r="F24" s="38"/>
      <c r="G24" s="37"/>
      <c r="H24" s="203"/>
      <c r="I24" s="172"/>
      <c r="J24" s="17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4" t="s">
        <v>13</v>
      </c>
      <c r="I25" s="205"/>
      <c r="J25" s="20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/>
      <c r="C26" s="10"/>
      <c r="D26" s="48">
        <f t="shared" si="1"/>
        <v>0</v>
      </c>
      <c r="F26" s="64"/>
      <c r="G26" s="59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/>
      <c r="C27" s="10"/>
      <c r="D27" s="44">
        <f t="shared" si="1"/>
        <v>0</v>
      </c>
      <c r="F27" s="25"/>
      <c r="G27" s="80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/>
      <c r="C28" s="10"/>
      <c r="D28" s="48">
        <f t="shared" si="1"/>
        <v>0</v>
      </c>
      <c r="F28" s="117"/>
      <c r="G28" s="61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0</v>
      </c>
      <c r="F29" s="133" t="s">
        <v>55</v>
      </c>
      <c r="G29" s="195"/>
      <c r="H29" s="155">
        <f>H15-H16-H17-H18-H19-H20-H22-H23-H24+H26+H27</f>
        <v>0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7"/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8">
        <v>500</v>
      </c>
      <c r="G35" s="41"/>
      <c r="H35" s="177"/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/>
      <c r="H36" s="177"/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7"/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/>
      <c r="D38" s="12">
        <f>C38*84</f>
        <v>0</v>
      </c>
      <c r="F38" s="30">
        <v>50</v>
      </c>
      <c r="G38" s="39"/>
      <c r="H38" s="177"/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/>
      <c r="D39" s="31">
        <f>C39*4.5</f>
        <v>0</v>
      </c>
      <c r="F39" s="12">
        <v>20</v>
      </c>
      <c r="G39" s="37"/>
      <c r="H39" s="177"/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/>
      <c r="D42" s="12">
        <f>C42*2.25</f>
        <v>0</v>
      </c>
      <c r="F42" s="39" t="s">
        <v>79</v>
      </c>
      <c r="G42" s="177"/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59" t="s">
        <v>82</v>
      </c>
      <c r="G43" s="114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/>
      <c r="D44" s="12">
        <f>C44*120</f>
        <v>0</v>
      </c>
      <c r="F44" s="37"/>
      <c r="G44" s="76"/>
      <c r="H44" s="172"/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/>
      <c r="G45" s="76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1"/>
      <c r="D46" s="12">
        <f>C46*1.5</f>
        <v>0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59"/>
      <c r="G47" s="59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/>
      <c r="D48" s="12">
        <f>C48*78</f>
        <v>0</v>
      </c>
      <c r="F48" s="59"/>
      <c r="G48" s="59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/>
      <c r="D49" s="12">
        <f>C49*42</f>
        <v>0</v>
      </c>
      <c r="F49" s="153" t="s">
        <v>86</v>
      </c>
      <c r="G49" s="155">
        <f>H34+H35+H36+H37+H38+H39+H40+H41+G42+H44+H45+H46</f>
        <v>0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/>
      <c r="D50" s="12">
        <f>C50*1.5</f>
        <v>0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128</v>
      </c>
      <c r="G51" s="163">
        <f>G49-H29</f>
        <v>0</v>
      </c>
      <c r="H51" s="164"/>
      <c r="I51" s="164"/>
      <c r="J51" s="1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166"/>
      <c r="H52" s="167"/>
      <c r="I52" s="167"/>
      <c r="J52" s="1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0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F63098-ADE1-4A96-85BE-32B0464DCA2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 t="s">
        <v>233</v>
      </c>
      <c r="H4" s="234" t="s">
        <v>9</v>
      </c>
      <c r="I4" s="236">
        <v>46018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84">
        <v>976</v>
      </c>
      <c r="D6" s="13">
        <f t="shared" ref="D6:D28" si="1">C6*L6</f>
        <v>719312</v>
      </c>
      <c r="F6" s="240" t="s">
        <v>16</v>
      </c>
      <c r="G6" s="242" t="s">
        <v>129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84"/>
      <c r="D7" s="13">
        <f t="shared" si="1"/>
        <v>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84">
        <v>61</v>
      </c>
      <c r="D8" s="13">
        <f t="shared" si="1"/>
        <v>63013</v>
      </c>
      <c r="F8" s="248" t="s">
        <v>21</v>
      </c>
      <c r="G8" s="249" t="s">
        <v>112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84"/>
      <c r="D9" s="13">
        <f t="shared" si="1"/>
        <v>0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84">
        <v>2</v>
      </c>
      <c r="D10" s="13">
        <f t="shared" si="1"/>
        <v>1944</v>
      </c>
      <c r="F10" s="240" t="s">
        <v>26</v>
      </c>
      <c r="G10" s="255" t="s">
        <v>130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84">
        <v>3</v>
      </c>
      <c r="D11" s="13">
        <f t="shared" si="1"/>
        <v>3375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84">
        <f>1+3+2+1</f>
        <v>7</v>
      </c>
      <c r="D12" s="48">
        <f t="shared" si="1"/>
        <v>6664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84">
        <v>19</v>
      </c>
      <c r="D13" s="48">
        <f t="shared" si="1"/>
        <v>5833</v>
      </c>
      <c r="F13" s="261" t="s">
        <v>36</v>
      </c>
      <c r="G13" s="225"/>
      <c r="H13" s="216">
        <f>D29</f>
        <v>801634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84">
        <v>23</v>
      </c>
      <c r="D14" s="31">
        <f t="shared" si="1"/>
        <v>253</v>
      </c>
      <c r="F14" s="219" t="s">
        <v>39</v>
      </c>
      <c r="G14" s="220"/>
      <c r="H14" s="221">
        <f>D54</f>
        <v>103441.5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84"/>
      <c r="D15" s="31">
        <f t="shared" si="1"/>
        <v>0</v>
      </c>
      <c r="F15" s="224" t="s">
        <v>40</v>
      </c>
      <c r="G15" s="225"/>
      <c r="H15" s="226">
        <f>H13-H14</f>
        <v>698192.5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6">
        <f>3258+1944</f>
        <v>5202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138</v>
      </c>
      <c r="C17" s="84"/>
      <c r="D17" s="48">
        <f t="shared" si="1"/>
        <v>0</v>
      </c>
      <c r="F17" s="56"/>
      <c r="G17" s="66" t="s">
        <v>45</v>
      </c>
      <c r="H17" s="197"/>
      <c r="I17" s="197"/>
      <c r="J17" s="19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97"/>
      <c r="I19" s="197"/>
      <c r="J19" s="197"/>
      <c r="L19" s="6">
        <v>1102</v>
      </c>
      <c r="Q19" s="4"/>
      <c r="R19" s="5">
        <f t="shared" si="0"/>
        <v>0</v>
      </c>
    </row>
    <row r="20" spans="1:18" ht="15.75" x14ac:dyDescent="0.25">
      <c r="A20" s="175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127</v>
      </c>
      <c r="C22" s="84"/>
      <c r="D22" s="48">
        <f t="shared" si="1"/>
        <v>0</v>
      </c>
      <c r="F22" s="77"/>
      <c r="G22" s="73"/>
      <c r="H22" s="202"/>
      <c r="I22" s="202"/>
      <c r="J22" s="20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101</v>
      </c>
      <c r="C23" s="84"/>
      <c r="D23" s="48">
        <f t="shared" si="1"/>
        <v>0</v>
      </c>
      <c r="F23" s="77"/>
      <c r="G23" s="79"/>
      <c r="H23" s="262"/>
      <c r="I23" s="263"/>
      <c r="J23" s="26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121</v>
      </c>
      <c r="C24" s="84"/>
      <c r="D24" s="48">
        <f t="shared" si="1"/>
        <v>0</v>
      </c>
      <c r="F24" s="77"/>
      <c r="G24" s="79"/>
      <c r="H24" s="262"/>
      <c r="I24" s="263"/>
      <c r="J24" s="26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204" t="s">
        <v>13</v>
      </c>
      <c r="I25" s="205"/>
      <c r="J25" s="20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137</v>
      </c>
      <c r="C26" s="84"/>
      <c r="D26" s="48">
        <f t="shared" si="1"/>
        <v>0</v>
      </c>
      <c r="F26" s="75"/>
      <c r="G26" s="65"/>
      <c r="H26" s="172"/>
      <c r="I26" s="172"/>
      <c r="J26" s="172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110</v>
      </c>
      <c r="C27" s="84"/>
      <c r="D27" s="44">
        <f t="shared" si="1"/>
        <v>0</v>
      </c>
      <c r="F27" s="71"/>
      <c r="G27" s="114"/>
      <c r="H27" s="264"/>
      <c r="I27" s="265"/>
      <c r="J27" s="26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84"/>
      <c r="D28" s="48">
        <f t="shared" si="1"/>
        <v>0</v>
      </c>
      <c r="F28" s="117"/>
      <c r="G28" s="61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801634</v>
      </c>
      <c r="F29" s="133" t="s">
        <v>55</v>
      </c>
      <c r="G29" s="195"/>
      <c r="H29" s="155">
        <f>H15-H16-H17-H18-H19-H20-H22-H23-H24+H26+H27+H28</f>
        <v>692990.5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>
        <v>11</v>
      </c>
      <c r="D34" s="30">
        <f>C34*120</f>
        <v>1320</v>
      </c>
      <c r="F34" s="12">
        <v>1000</v>
      </c>
      <c r="G34" s="40">
        <v>368</v>
      </c>
      <c r="H34" s="177">
        <f t="shared" ref="H34:H39" si="2">F34*G34</f>
        <v>368000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8">
        <v>500</v>
      </c>
      <c r="G35" s="41">
        <v>584</v>
      </c>
      <c r="H35" s="177">
        <f t="shared" si="2"/>
        <v>292000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/>
      <c r="H36" s="177">
        <f t="shared" si="2"/>
        <v>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>
        <v>827</v>
      </c>
      <c r="D37" s="12">
        <f>C37*111</f>
        <v>91797</v>
      </c>
      <c r="F37" s="12">
        <v>100</v>
      </c>
      <c r="G37" s="39">
        <v>112</v>
      </c>
      <c r="H37" s="177">
        <f t="shared" si="2"/>
        <v>11200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>
        <v>3</v>
      </c>
      <c r="D38" s="12">
        <f>C38*84</f>
        <v>252</v>
      </c>
      <c r="F38" s="30">
        <v>50</v>
      </c>
      <c r="G38" s="39"/>
      <c r="H38" s="177">
        <f t="shared" si="2"/>
        <v>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77">
        <f t="shared" si="2"/>
        <v>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/>
      <c r="D42" s="12">
        <f>C42*2.25</f>
        <v>0</v>
      </c>
      <c r="F42" s="39" t="s">
        <v>79</v>
      </c>
      <c r="G42" s="177">
        <v>46</v>
      </c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59" t="s">
        <v>82</v>
      </c>
      <c r="G43" s="114" t="s">
        <v>83</v>
      </c>
      <c r="H43" s="169" t="s">
        <v>13</v>
      </c>
      <c r="I43" s="170"/>
      <c r="J43" s="17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8"/>
      <c r="B44" s="27" t="s">
        <v>66</v>
      </c>
      <c r="C44" s="10">
        <v>70</v>
      </c>
      <c r="D44" s="12">
        <f>C44*120</f>
        <v>8400</v>
      </c>
      <c r="F44" s="37" t="s">
        <v>167</v>
      </c>
      <c r="G44" s="125" t="s">
        <v>237</v>
      </c>
      <c r="H44" s="172">
        <v>67211</v>
      </c>
      <c r="I44" s="172"/>
      <c r="J44" s="17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/>
      <c r="G45" s="62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1">
        <v>3</v>
      </c>
      <c r="D46" s="12">
        <f>C46*1.5</f>
        <v>4.5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59"/>
      <c r="G47" s="59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>
        <v>16</v>
      </c>
      <c r="D49" s="12">
        <f>C49*42</f>
        <v>672</v>
      </c>
      <c r="F49" s="153" t="s">
        <v>86</v>
      </c>
      <c r="G49" s="155">
        <f>H34+H35+H36+H37+H38+H39+H40+H41+G42+H44+H45+H46</f>
        <v>738457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/>
      <c r="D50" s="12">
        <f>C50*1.5</f>
        <v>0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148</v>
      </c>
      <c r="G51" s="163">
        <f>G49-H29</f>
        <v>45466.5</v>
      </c>
      <c r="H51" s="164"/>
      <c r="I51" s="164"/>
      <c r="J51" s="1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166"/>
      <c r="H52" s="167"/>
      <c r="I52" s="167"/>
      <c r="J52" s="1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103441.5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D70DF-8A4C-4132-85ED-5C27D466715E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121" t="s">
        <v>2</v>
      </c>
      <c r="Q1" s="12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 t="s">
        <v>234</v>
      </c>
      <c r="H4" s="234" t="s">
        <v>9</v>
      </c>
      <c r="I4" s="236">
        <v>46018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84">
        <v>326</v>
      </c>
      <c r="D6" s="13">
        <f t="shared" ref="D6:D28" si="1">C6*L6</f>
        <v>240262</v>
      </c>
      <c r="F6" s="240" t="s">
        <v>16</v>
      </c>
      <c r="G6" s="242" t="s">
        <v>235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84">
        <v>10</v>
      </c>
      <c r="D7" s="13">
        <f t="shared" si="1"/>
        <v>7250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84"/>
      <c r="D8" s="13">
        <f t="shared" si="1"/>
        <v>0</v>
      </c>
      <c r="F8" s="248" t="s">
        <v>21</v>
      </c>
      <c r="G8" s="249"/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84">
        <v>59</v>
      </c>
      <c r="D9" s="13">
        <f t="shared" si="1"/>
        <v>41713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84">
        <v>4</v>
      </c>
      <c r="D10" s="13">
        <f t="shared" si="1"/>
        <v>3888</v>
      </c>
      <c r="F10" s="240" t="s">
        <v>26</v>
      </c>
      <c r="G10" s="255" t="s">
        <v>236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84">
        <v>2</v>
      </c>
      <c r="D11" s="13">
        <f t="shared" si="1"/>
        <v>2250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84">
        <f>3+2</f>
        <v>5</v>
      </c>
      <c r="D12" s="48">
        <f t="shared" si="1"/>
        <v>4760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84">
        <v>10</v>
      </c>
      <c r="D13" s="48">
        <f t="shared" si="1"/>
        <v>3070</v>
      </c>
      <c r="F13" s="261" t="s">
        <v>36</v>
      </c>
      <c r="G13" s="225"/>
      <c r="H13" s="216">
        <f>D29</f>
        <v>305053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84"/>
      <c r="D14" s="31">
        <f t="shared" si="1"/>
        <v>0</v>
      </c>
      <c r="F14" s="219" t="s">
        <v>39</v>
      </c>
      <c r="G14" s="220"/>
      <c r="H14" s="221">
        <f>D54</f>
        <v>39101.25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84">
        <v>3</v>
      </c>
      <c r="D15" s="31">
        <f t="shared" si="1"/>
        <v>1860</v>
      </c>
      <c r="F15" s="224" t="s">
        <v>40</v>
      </c>
      <c r="G15" s="225"/>
      <c r="H15" s="226">
        <f>H13-H14</f>
        <v>265951.75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138</v>
      </c>
      <c r="C17" s="84"/>
      <c r="D17" s="48">
        <f t="shared" si="1"/>
        <v>0</v>
      </c>
      <c r="F17" s="56"/>
      <c r="G17" s="66" t="s">
        <v>45</v>
      </c>
      <c r="H17" s="197"/>
      <c r="I17" s="197"/>
      <c r="J17" s="19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97"/>
      <c r="I19" s="197"/>
      <c r="J19" s="197"/>
      <c r="L19" s="6">
        <v>1102</v>
      </c>
      <c r="Q19" s="4"/>
      <c r="R19" s="5">
        <f t="shared" si="0"/>
        <v>0</v>
      </c>
    </row>
    <row r="20" spans="1:18" ht="15.75" x14ac:dyDescent="0.25">
      <c r="A20" s="175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127</v>
      </c>
      <c r="C22" s="84"/>
      <c r="D22" s="48">
        <f t="shared" si="1"/>
        <v>0</v>
      </c>
      <c r="F22" s="77"/>
      <c r="G22" s="73"/>
      <c r="H22" s="202"/>
      <c r="I22" s="202"/>
      <c r="J22" s="20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101</v>
      </c>
      <c r="C23" s="84"/>
      <c r="D23" s="48">
        <f t="shared" si="1"/>
        <v>0</v>
      </c>
      <c r="F23" s="77"/>
      <c r="G23" s="79"/>
      <c r="H23" s="262"/>
      <c r="I23" s="263"/>
      <c r="J23" s="26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121</v>
      </c>
      <c r="C24" s="84"/>
      <c r="D24" s="48">
        <f t="shared" si="1"/>
        <v>0</v>
      </c>
      <c r="F24" s="77"/>
      <c r="G24" s="79"/>
      <c r="H24" s="262"/>
      <c r="I24" s="263"/>
      <c r="J24" s="26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204" t="s">
        <v>13</v>
      </c>
      <c r="I25" s="205"/>
      <c r="J25" s="20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137</v>
      </c>
      <c r="C26" s="84"/>
      <c r="D26" s="48">
        <f t="shared" si="1"/>
        <v>0</v>
      </c>
      <c r="F26" s="75"/>
      <c r="G26" s="65"/>
      <c r="H26" s="172"/>
      <c r="I26" s="172"/>
      <c r="J26" s="172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110</v>
      </c>
      <c r="C27" s="84"/>
      <c r="D27" s="44">
        <f t="shared" si="1"/>
        <v>0</v>
      </c>
      <c r="F27" s="71"/>
      <c r="G27" s="124"/>
      <c r="H27" s="264"/>
      <c r="I27" s="265"/>
      <c r="J27" s="26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84"/>
      <c r="D28" s="48">
        <f t="shared" si="1"/>
        <v>0</v>
      </c>
      <c r="F28" s="122"/>
      <c r="G28" s="61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305053</v>
      </c>
      <c r="F29" s="133" t="s">
        <v>55</v>
      </c>
      <c r="G29" s="195"/>
      <c r="H29" s="155">
        <f>H15-H16-H17-H18-H19-H20-H22-H23-H24+H26+H27+H28</f>
        <v>265951.75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3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>
        <v>4</v>
      </c>
      <c r="D34" s="30">
        <f>C34*120</f>
        <v>480</v>
      </c>
      <c r="F34" s="12">
        <v>1000</v>
      </c>
      <c r="G34" s="40">
        <v>243</v>
      </c>
      <c r="H34" s="177">
        <f t="shared" ref="H34:H39" si="2">F34*G34</f>
        <v>243000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8">
        <v>500</v>
      </c>
      <c r="G35" s="41"/>
      <c r="H35" s="177">
        <f t="shared" si="2"/>
        <v>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77">
        <f t="shared" si="2"/>
        <v>200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>
        <v>332</v>
      </c>
      <c r="D37" s="12">
        <f>C37*111</f>
        <v>36852</v>
      </c>
      <c r="F37" s="12">
        <v>100</v>
      </c>
      <c r="G37" s="39">
        <v>23</v>
      </c>
      <c r="H37" s="177">
        <f t="shared" si="2"/>
        <v>2300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16</v>
      </c>
      <c r="H38" s="177">
        <f t="shared" si="2"/>
        <v>800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177">
        <f t="shared" si="2"/>
        <v>20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>
        <v>7</v>
      </c>
      <c r="D42" s="12">
        <f>C42*2.25</f>
        <v>15.75</v>
      </c>
      <c r="F42" s="39" t="s">
        <v>79</v>
      </c>
      <c r="G42" s="177"/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59" t="s">
        <v>82</v>
      </c>
      <c r="G43" s="124" t="s">
        <v>83</v>
      </c>
      <c r="H43" s="169" t="s">
        <v>13</v>
      </c>
      <c r="I43" s="170"/>
      <c r="J43" s="17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8"/>
      <c r="B44" s="27" t="s">
        <v>66</v>
      </c>
      <c r="C44" s="10"/>
      <c r="D44" s="12">
        <f>C44*120</f>
        <v>0</v>
      </c>
      <c r="F44" s="37" t="s">
        <v>145</v>
      </c>
      <c r="G44" s="62"/>
      <c r="H44" s="172">
        <v>20000</v>
      </c>
      <c r="I44" s="172"/>
      <c r="J44" s="17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48"/>
      <c r="B45" s="27" t="s">
        <v>68</v>
      </c>
      <c r="C45" s="33">
        <v>1</v>
      </c>
      <c r="D45" s="12">
        <f>C45*84</f>
        <v>84</v>
      </c>
      <c r="F45" s="37"/>
      <c r="G45" s="62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1">
        <v>7</v>
      </c>
      <c r="D46" s="12">
        <f>C46*1.5</f>
        <v>10.5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59"/>
      <c r="G47" s="59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>
        <v>1</v>
      </c>
      <c r="D49" s="12">
        <f>C49*42</f>
        <v>42</v>
      </c>
      <c r="F49" s="153" t="s">
        <v>86</v>
      </c>
      <c r="G49" s="155">
        <f>H34+H35+H36+H37+H38+H39+H40+H41+G42+H44+H45+H46</f>
        <v>266320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>
        <v>19</v>
      </c>
      <c r="D50" s="12">
        <f>C50*1.5</f>
        <v>28.5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148</v>
      </c>
      <c r="G51" s="163">
        <f>G49-H29</f>
        <v>368.25</v>
      </c>
      <c r="H51" s="164"/>
      <c r="I51" s="164"/>
      <c r="J51" s="1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166"/>
      <c r="H52" s="167"/>
      <c r="I52" s="167"/>
      <c r="J52" s="1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39101.25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40A5AF-67D4-44CB-8772-D0B97DAC42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2</v>
      </c>
      <c r="H4" s="234" t="s">
        <v>9</v>
      </c>
      <c r="I4" s="236">
        <v>46018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10">
        <v>420</v>
      </c>
      <c r="D6" s="13">
        <f t="shared" ref="D6:D28" si="1">C6*L6</f>
        <v>309540</v>
      </c>
      <c r="F6" s="240" t="s">
        <v>16</v>
      </c>
      <c r="G6" s="242" t="s">
        <v>141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10">
        <v>8</v>
      </c>
      <c r="D7" s="13">
        <f t="shared" si="1"/>
        <v>5800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10">
        <v>1</v>
      </c>
      <c r="D8" s="13">
        <f t="shared" si="1"/>
        <v>1033</v>
      </c>
      <c r="F8" s="248" t="s">
        <v>21</v>
      </c>
      <c r="G8" s="249" t="s">
        <v>114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10">
        <v>75</v>
      </c>
      <c r="D9" s="13">
        <f t="shared" si="1"/>
        <v>53025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10">
        <v>2</v>
      </c>
      <c r="D10" s="13">
        <f t="shared" si="1"/>
        <v>1944</v>
      </c>
      <c r="F10" s="240" t="s">
        <v>26</v>
      </c>
      <c r="G10" s="255" t="s">
        <v>115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10">
        <v>3</v>
      </c>
      <c r="D12" s="48">
        <f t="shared" si="1"/>
        <v>2856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10">
        <v>16</v>
      </c>
      <c r="D13" s="48">
        <f t="shared" si="1"/>
        <v>4912</v>
      </c>
      <c r="F13" s="261" t="s">
        <v>36</v>
      </c>
      <c r="G13" s="225"/>
      <c r="H13" s="216">
        <f>D29</f>
        <v>379110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10"/>
      <c r="D14" s="31">
        <f t="shared" si="1"/>
        <v>0</v>
      </c>
      <c r="F14" s="219" t="s">
        <v>39</v>
      </c>
      <c r="G14" s="220"/>
      <c r="H14" s="221">
        <f>D54</f>
        <v>55657.5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10"/>
      <c r="D15" s="31">
        <f t="shared" si="1"/>
        <v>0</v>
      </c>
      <c r="F15" s="224" t="s">
        <v>40</v>
      </c>
      <c r="G15" s="225"/>
      <c r="H15" s="226">
        <f>H13-H14</f>
        <v>323452.5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6">
        <f>2118</f>
        <v>2118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93</v>
      </c>
      <c r="C17" s="10"/>
      <c r="D17" s="48">
        <f t="shared" si="1"/>
        <v>0</v>
      </c>
      <c r="F17" s="56"/>
      <c r="G17" s="66" t="s">
        <v>45</v>
      </c>
      <c r="H17" s="197"/>
      <c r="I17" s="197"/>
      <c r="J17" s="19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7"/>
      <c r="I20" s="197"/>
      <c r="J20" s="19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104</v>
      </c>
      <c r="C22" s="10"/>
      <c r="D22" s="48">
        <f t="shared" si="1"/>
        <v>0</v>
      </c>
      <c r="F22" s="72"/>
      <c r="G22" s="73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107</v>
      </c>
      <c r="C23" s="10"/>
      <c r="D23" s="48">
        <f t="shared" si="1"/>
        <v>0</v>
      </c>
      <c r="F23" s="25"/>
      <c r="G23" s="37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123</v>
      </c>
      <c r="C24" s="10"/>
      <c r="D24" s="48">
        <f t="shared" si="1"/>
        <v>0</v>
      </c>
      <c r="F24" s="38"/>
      <c r="G24" s="37"/>
      <c r="H24" s="203"/>
      <c r="I24" s="172"/>
      <c r="J24" s="17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4" t="s">
        <v>13</v>
      </c>
      <c r="I25" s="205"/>
      <c r="J25" s="20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105</v>
      </c>
      <c r="C26" s="10"/>
      <c r="D26" s="48">
        <f t="shared" si="1"/>
        <v>0</v>
      </c>
      <c r="F26" s="64"/>
      <c r="G26" s="10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109</v>
      </c>
      <c r="C27" s="10"/>
      <c r="D27" s="44">
        <f t="shared" si="1"/>
        <v>0</v>
      </c>
      <c r="F27" s="14"/>
      <c r="G27" s="14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10"/>
      <c r="D28" s="48">
        <f t="shared" si="1"/>
        <v>0</v>
      </c>
      <c r="F28" s="117"/>
      <c r="G28" s="61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379110</v>
      </c>
      <c r="F29" s="133" t="s">
        <v>55</v>
      </c>
      <c r="G29" s="195"/>
      <c r="H29" s="155">
        <f>H15-H16-H17-H18-H19-H20-H22-H23-H24+H26+H27</f>
        <v>321334.5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93</v>
      </c>
      <c r="H34" s="177">
        <f>F34*G34</f>
        <v>93000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8">
        <v>500</v>
      </c>
      <c r="G35" s="41">
        <v>35</v>
      </c>
      <c r="H35" s="177">
        <f t="shared" ref="H35:H39" si="2">F35*G35</f>
        <v>17500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/>
      <c r="H36" s="177">
        <f>F36*G36</f>
        <v>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>
        <v>495</v>
      </c>
      <c r="D37" s="12">
        <f>C37*111</f>
        <v>54945</v>
      </c>
      <c r="F37" s="12">
        <v>100</v>
      </c>
      <c r="G37" s="39">
        <v>4</v>
      </c>
      <c r="H37" s="177">
        <f t="shared" si="2"/>
        <v>400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/>
      <c r="D38" s="12">
        <f>C38*84</f>
        <v>0</v>
      </c>
      <c r="F38" s="30">
        <v>50</v>
      </c>
      <c r="G38" s="39"/>
      <c r="H38" s="177">
        <f t="shared" si="2"/>
        <v>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/>
      <c r="D39" s="31">
        <f>C39*4.5</f>
        <v>0</v>
      </c>
      <c r="F39" s="12">
        <v>20</v>
      </c>
      <c r="G39" s="37"/>
      <c r="H39" s="177">
        <f t="shared" si="2"/>
        <v>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/>
      <c r="D42" s="12">
        <f>C42*2.25</f>
        <v>0</v>
      </c>
      <c r="F42" s="39" t="s">
        <v>79</v>
      </c>
      <c r="G42" s="177">
        <v>4</v>
      </c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59" t="s">
        <v>82</v>
      </c>
      <c r="G43" s="114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/>
      <c r="D44" s="12">
        <f>C44*120</f>
        <v>0</v>
      </c>
      <c r="F44" s="37" t="s">
        <v>150</v>
      </c>
      <c r="G44" s="62" t="s">
        <v>238</v>
      </c>
      <c r="H44" s="172">
        <v>211974</v>
      </c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/>
      <c r="G45" s="62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1"/>
      <c r="D46" s="12">
        <f>C46*1.5</f>
        <v>0</v>
      </c>
      <c r="F46" s="37"/>
      <c r="G46" s="115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59"/>
      <c r="G47" s="59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/>
      <c r="D49" s="12">
        <f>C49*42</f>
        <v>0</v>
      </c>
      <c r="F49" s="153" t="s">
        <v>86</v>
      </c>
      <c r="G49" s="155">
        <f>H34+H35+H36+H37+H38+H39+H40+H41+G42+H44+H45+H46</f>
        <v>322878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>
        <v>7</v>
      </c>
      <c r="D50" s="12">
        <f>C50*1.5</f>
        <v>10.5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155</v>
      </c>
      <c r="G51" s="163">
        <f>G49-H29</f>
        <v>1543.5</v>
      </c>
      <c r="H51" s="164"/>
      <c r="I51" s="164"/>
      <c r="J51" s="1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166"/>
      <c r="H52" s="167"/>
      <c r="I52" s="167"/>
      <c r="J52" s="1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55657.5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CCF1D-E280-4043-B2D7-C70613111BA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3</v>
      </c>
      <c r="H4" s="234" t="s">
        <v>9</v>
      </c>
      <c r="I4" s="236">
        <v>46018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10">
        <v>1409</v>
      </c>
      <c r="D6" s="13">
        <f t="shared" ref="D6:D28" si="1">C6*L6</f>
        <v>1038433</v>
      </c>
      <c r="F6" s="240" t="s">
        <v>16</v>
      </c>
      <c r="G6" s="242" t="s">
        <v>111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10">
        <v>25</v>
      </c>
      <c r="D7" s="13">
        <f t="shared" si="1"/>
        <v>18125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10">
        <v>2</v>
      </c>
      <c r="D8" s="13">
        <f t="shared" si="1"/>
        <v>2066</v>
      </c>
      <c r="F8" s="248" t="s">
        <v>21</v>
      </c>
      <c r="G8" s="249" t="s">
        <v>119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10">
        <v>388</v>
      </c>
      <c r="D9" s="13">
        <f t="shared" si="1"/>
        <v>274316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10">
        <v>3</v>
      </c>
      <c r="D10" s="13">
        <f t="shared" si="1"/>
        <v>2916</v>
      </c>
      <c r="F10" s="240" t="s">
        <v>26</v>
      </c>
      <c r="G10" s="255" t="s">
        <v>135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10">
        <v>6</v>
      </c>
      <c r="D11" s="13">
        <f t="shared" si="1"/>
        <v>6750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10">
        <f>13+1</f>
        <v>14</v>
      </c>
      <c r="D12" s="48">
        <f t="shared" si="1"/>
        <v>13328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10">
        <v>39</v>
      </c>
      <c r="D13" s="48">
        <f t="shared" si="1"/>
        <v>11973</v>
      </c>
      <c r="F13" s="261" t="s">
        <v>36</v>
      </c>
      <c r="G13" s="225"/>
      <c r="H13" s="216">
        <f>D29</f>
        <v>1368758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10">
        <v>6</v>
      </c>
      <c r="D14" s="31">
        <f t="shared" si="1"/>
        <v>66</v>
      </c>
      <c r="F14" s="219" t="s">
        <v>39</v>
      </c>
      <c r="G14" s="220"/>
      <c r="H14" s="221">
        <f>D54</f>
        <v>194930.25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10"/>
      <c r="D15" s="31">
        <f t="shared" si="1"/>
        <v>0</v>
      </c>
      <c r="F15" s="224" t="s">
        <v>40</v>
      </c>
      <c r="G15" s="225"/>
      <c r="H15" s="226">
        <f>H13-H14</f>
        <v>1173827.75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6">
        <f>336*6+900+313*6+250*6+279*6</f>
        <v>7968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113</v>
      </c>
      <c r="C17" s="10"/>
      <c r="D17" s="48">
        <f t="shared" si="1"/>
        <v>0</v>
      </c>
      <c r="F17" s="56"/>
      <c r="G17" s="66" t="s">
        <v>45</v>
      </c>
      <c r="H17" s="197"/>
      <c r="I17" s="197"/>
      <c r="J17" s="19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2"/>
      <c r="I19" s="272"/>
      <c r="J19" s="27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104</v>
      </c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107</v>
      </c>
      <c r="C23" s="10"/>
      <c r="D23" s="48">
        <f t="shared" si="1"/>
        <v>0</v>
      </c>
      <c r="F23" s="78"/>
      <c r="G23" s="79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101</v>
      </c>
      <c r="C24" s="10"/>
      <c r="D24" s="48">
        <f t="shared" si="1"/>
        <v>0</v>
      </c>
      <c r="F24" s="38"/>
      <c r="G24" s="37"/>
      <c r="H24" s="203"/>
      <c r="I24" s="172"/>
      <c r="J24" s="17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4" t="s">
        <v>13</v>
      </c>
      <c r="I25" s="205"/>
      <c r="J25" s="20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105</v>
      </c>
      <c r="C26" s="10"/>
      <c r="D26" s="48">
        <f t="shared" si="1"/>
        <v>0</v>
      </c>
      <c r="F26" s="64"/>
      <c r="G26" s="59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109</v>
      </c>
      <c r="C27" s="10"/>
      <c r="D27" s="44">
        <f t="shared" si="1"/>
        <v>0</v>
      </c>
      <c r="F27" s="25"/>
      <c r="G27" s="80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10">
        <v>1</v>
      </c>
      <c r="D28" s="48">
        <f t="shared" si="1"/>
        <v>785</v>
      </c>
      <c r="F28" s="117"/>
      <c r="G28" s="61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1368758</v>
      </c>
      <c r="F29" s="133" t="s">
        <v>55</v>
      </c>
      <c r="G29" s="195"/>
      <c r="H29" s="155">
        <f>H15-H16-H17-H18-H19-H20-H22-H23-H24+H26+H27</f>
        <v>1165859.75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330</v>
      </c>
      <c r="H34" s="177">
        <f>F34*G34</f>
        <v>330000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8">
        <v>500</v>
      </c>
      <c r="G35" s="41">
        <v>196</v>
      </c>
      <c r="H35" s="177">
        <f>F35*G35</f>
        <v>98000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>
        <v>3</v>
      </c>
      <c r="D36" s="12">
        <f>C36*1.5</f>
        <v>4.5</v>
      </c>
      <c r="F36" s="12">
        <v>200</v>
      </c>
      <c r="G36" s="37"/>
      <c r="H36" s="177">
        <f t="shared" ref="H36:H39" si="2">F36*G36</f>
        <v>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>
        <v>1664</v>
      </c>
      <c r="D37" s="12">
        <f>C37*111</f>
        <v>184704</v>
      </c>
      <c r="F37" s="12">
        <v>100</v>
      </c>
      <c r="G37" s="39">
        <v>22</v>
      </c>
      <c r="H37" s="177">
        <f t="shared" si="2"/>
        <v>2200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>
        <v>44</v>
      </c>
      <c r="D38" s="12">
        <f>C38*84</f>
        <v>3696</v>
      </c>
      <c r="F38" s="30">
        <v>50</v>
      </c>
      <c r="G38" s="39">
        <v>18</v>
      </c>
      <c r="H38" s="177">
        <f t="shared" si="2"/>
        <v>900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77">
        <f t="shared" si="2"/>
        <v>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3">
        <v>26</v>
      </c>
      <c r="D40" s="12">
        <f>C40*111</f>
        <v>2886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>
        <v>7</v>
      </c>
      <c r="D42" s="12">
        <f>C42*2.25</f>
        <v>15.75</v>
      </c>
      <c r="F42" s="39" t="s">
        <v>79</v>
      </c>
      <c r="G42" s="177">
        <v>606</v>
      </c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59" t="s">
        <v>82</v>
      </c>
      <c r="G43" s="114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>
        <v>11</v>
      </c>
      <c r="D44" s="12">
        <f>C44*120</f>
        <v>1320</v>
      </c>
      <c r="F44" s="37" t="s">
        <v>163</v>
      </c>
      <c r="G44" s="125" t="s">
        <v>241</v>
      </c>
      <c r="H44" s="172">
        <v>171725</v>
      </c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>
        <v>1</v>
      </c>
      <c r="D45" s="12">
        <f>C45*84</f>
        <v>84</v>
      </c>
      <c r="F45" s="37" t="s">
        <v>163</v>
      </c>
      <c r="G45" s="76" t="s">
        <v>240</v>
      </c>
      <c r="H45" s="172">
        <v>154050</v>
      </c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1">
        <v>14</v>
      </c>
      <c r="D46" s="12">
        <f>C46*1.5</f>
        <v>21</v>
      </c>
      <c r="F46" s="37" t="s">
        <v>239</v>
      </c>
      <c r="G46" s="62" t="s">
        <v>242</v>
      </c>
      <c r="H46" s="172">
        <v>206527</v>
      </c>
      <c r="I46" s="172"/>
      <c r="J46" s="172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37" t="s">
        <v>163</v>
      </c>
      <c r="G47" s="126">
        <v>2000005683</v>
      </c>
      <c r="H47" s="172">
        <v>202199</v>
      </c>
      <c r="I47" s="172"/>
      <c r="J47" s="17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>
        <v>19</v>
      </c>
      <c r="D48" s="12">
        <f>C48*78</f>
        <v>1482</v>
      </c>
      <c r="F48" s="59"/>
      <c r="G48" s="59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>
        <v>13</v>
      </c>
      <c r="D49" s="12">
        <f>C49*42</f>
        <v>546</v>
      </c>
      <c r="F49" s="153" t="s">
        <v>86</v>
      </c>
      <c r="G49" s="155">
        <f>H34+H35+H36+H37+H38+H39+H40+H41+G42+H44+H45+H46+H47</f>
        <v>1166207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>
        <v>25</v>
      </c>
      <c r="D50" s="12">
        <f>C50*1.5</f>
        <v>37.5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148</v>
      </c>
      <c r="G51" s="163">
        <f>G49-H29</f>
        <v>347.25</v>
      </c>
      <c r="H51" s="164"/>
      <c r="I51" s="164"/>
      <c r="J51" s="1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166"/>
      <c r="H52" s="167"/>
      <c r="I52" s="167"/>
      <c r="J52" s="1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194930.25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435B5B-37A0-468E-B6CF-C45307061437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9" t="s">
        <v>1</v>
      </c>
      <c r="O1" s="229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0" t="s">
        <v>7</v>
      </c>
      <c r="B4" s="181"/>
      <c r="C4" s="181"/>
      <c r="D4" s="182"/>
      <c r="F4" s="230" t="s">
        <v>8</v>
      </c>
      <c r="G4" s="232"/>
      <c r="H4" s="234" t="s">
        <v>9</v>
      </c>
      <c r="I4" s="236"/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5"/>
      <c r="B6" s="16"/>
      <c r="C6" s="10"/>
      <c r="D6" s="13">
        <f t="shared" ref="D6:D28" si="1">C6*L6</f>
        <v>0</v>
      </c>
      <c r="F6" s="240" t="s">
        <v>16</v>
      </c>
      <c r="G6" s="242"/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5"/>
      <c r="B7" s="16"/>
      <c r="C7" s="10"/>
      <c r="D7" s="13">
        <f t="shared" si="1"/>
        <v>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5"/>
      <c r="B8" s="16"/>
      <c r="C8" s="10"/>
      <c r="D8" s="13">
        <f t="shared" si="1"/>
        <v>0</v>
      </c>
      <c r="F8" s="248" t="s">
        <v>21</v>
      </c>
      <c r="G8" s="249"/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5"/>
      <c r="B9" s="16"/>
      <c r="C9" s="10"/>
      <c r="D9" s="13">
        <f t="shared" si="1"/>
        <v>0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5"/>
      <c r="C10" s="10"/>
      <c r="D10" s="13">
        <f t="shared" si="1"/>
        <v>0</v>
      </c>
      <c r="F10" s="240" t="s">
        <v>26</v>
      </c>
      <c r="G10" s="255"/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9" ht="15.75" x14ac:dyDescent="0.25">
      <c r="A11" s="175"/>
      <c r="B11" s="17"/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5"/>
      <c r="B12" s="17"/>
      <c r="C12" s="10"/>
      <c r="D12" s="48">
        <f t="shared" si="1"/>
        <v>0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5"/>
      <c r="B13" s="17"/>
      <c r="C13" s="10"/>
      <c r="D13" s="48">
        <f t="shared" si="1"/>
        <v>0</v>
      </c>
      <c r="F13" s="261" t="s">
        <v>36</v>
      </c>
      <c r="G13" s="225"/>
      <c r="H13" s="216">
        <f>D29</f>
        <v>0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5"/>
      <c r="B14" s="14"/>
      <c r="C14" s="10"/>
      <c r="D14" s="31">
        <f t="shared" si="1"/>
        <v>0</v>
      </c>
      <c r="F14" s="219" t="s">
        <v>39</v>
      </c>
      <c r="G14" s="220"/>
      <c r="H14" s="221">
        <f>D54</f>
        <v>0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5"/>
      <c r="B15" s="14"/>
      <c r="C15" s="10"/>
      <c r="D15" s="31">
        <f t="shared" si="1"/>
        <v>0</v>
      </c>
      <c r="F15" s="224" t="s">
        <v>40</v>
      </c>
      <c r="G15" s="225"/>
      <c r="H15" s="226">
        <f>H13-H14</f>
        <v>0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C17" s="10"/>
      <c r="D17" s="48">
        <f t="shared" si="1"/>
        <v>0</v>
      </c>
      <c r="F17" s="56"/>
      <c r="G17" s="66" t="s">
        <v>45</v>
      </c>
      <c r="H17" s="197"/>
      <c r="I17" s="197"/>
      <c r="J17" s="19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/>
      <c r="C18" s="10"/>
      <c r="D18" s="48">
        <f t="shared" si="1"/>
        <v>0</v>
      </c>
      <c r="F18" s="56"/>
      <c r="G18" s="66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/>
      <c r="C19" s="10"/>
      <c r="D19" s="48">
        <f t="shared" si="1"/>
        <v>0</v>
      </c>
      <c r="F19" s="56"/>
      <c r="G19" s="68" t="s">
        <v>50</v>
      </c>
      <c r="H19" s="198"/>
      <c r="I19" s="198"/>
      <c r="J19" s="19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/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/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/>
      <c r="C23" s="10"/>
      <c r="D23" s="48">
        <f t="shared" si="1"/>
        <v>0</v>
      </c>
      <c r="F23" s="78"/>
      <c r="G23" s="79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/>
      <c r="C24" s="10"/>
      <c r="D24" s="48">
        <f t="shared" si="1"/>
        <v>0</v>
      </c>
      <c r="F24" s="38"/>
      <c r="G24" s="37"/>
      <c r="H24" s="203"/>
      <c r="I24" s="172"/>
      <c r="J24" s="17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4" t="s">
        <v>13</v>
      </c>
      <c r="I25" s="205"/>
      <c r="J25" s="20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/>
      <c r="C26" s="10"/>
      <c r="D26" s="48">
        <f t="shared" si="1"/>
        <v>0</v>
      </c>
      <c r="F26" s="64"/>
      <c r="G26" s="59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/>
      <c r="C27" s="10"/>
      <c r="D27" s="44">
        <f t="shared" si="1"/>
        <v>0</v>
      </c>
      <c r="F27" s="25"/>
      <c r="G27" s="80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/>
      <c r="C28" s="10"/>
      <c r="D28" s="48">
        <f t="shared" si="1"/>
        <v>0</v>
      </c>
      <c r="F28" s="117"/>
      <c r="G28" s="61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0</v>
      </c>
      <c r="F29" s="133" t="s">
        <v>55</v>
      </c>
      <c r="G29" s="195"/>
      <c r="H29" s="155">
        <f>H15-H16-H17-H18-H19-H20-H22-H23-H24+H26+H27</f>
        <v>0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7"/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8">
        <v>500</v>
      </c>
      <c r="G35" s="41"/>
      <c r="H35" s="177"/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/>
      <c r="H36" s="177"/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7"/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/>
      <c r="D38" s="12">
        <f>C38*84</f>
        <v>0</v>
      </c>
      <c r="F38" s="30">
        <v>50</v>
      </c>
      <c r="G38" s="39"/>
      <c r="H38" s="177"/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/>
      <c r="D39" s="31">
        <f>C39*4.5</f>
        <v>0</v>
      </c>
      <c r="F39" s="12">
        <v>20</v>
      </c>
      <c r="G39" s="37"/>
      <c r="H39" s="177"/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/>
      <c r="D42" s="12">
        <f>C42*2.25</f>
        <v>0</v>
      </c>
      <c r="F42" s="39" t="s">
        <v>79</v>
      </c>
      <c r="G42" s="177"/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59" t="s">
        <v>82</v>
      </c>
      <c r="G43" s="114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/>
      <c r="D44" s="12">
        <f>C44*120</f>
        <v>0</v>
      </c>
      <c r="F44" s="37"/>
      <c r="G44" s="76"/>
      <c r="H44" s="172"/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/>
      <c r="G45" s="76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1"/>
      <c r="D46" s="12">
        <f>C46*1.5</f>
        <v>0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59"/>
      <c r="G47" s="59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/>
      <c r="D48" s="12">
        <f>C48*78</f>
        <v>0</v>
      </c>
      <c r="F48" s="59"/>
      <c r="G48" s="59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/>
      <c r="D49" s="12">
        <f>C49*42</f>
        <v>0</v>
      </c>
      <c r="F49" s="153" t="s">
        <v>86</v>
      </c>
      <c r="G49" s="155">
        <f>H34+H35+H36+H37+H38+H39+H40+H41+G42+H44+H45+H46</f>
        <v>0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/>
      <c r="D50" s="12">
        <f>C50*1.5</f>
        <v>0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128</v>
      </c>
      <c r="G51" s="163">
        <f>G49-H29</f>
        <v>0</v>
      </c>
      <c r="H51" s="164"/>
      <c r="I51" s="164"/>
      <c r="J51" s="1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166"/>
      <c r="H52" s="167"/>
      <c r="I52" s="167"/>
      <c r="J52" s="1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0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2BDBC-5255-4DA7-92FF-10A98EC14FC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1</v>
      </c>
      <c r="H4" s="234" t="s">
        <v>9</v>
      </c>
      <c r="I4" s="236">
        <v>46020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84"/>
      <c r="D6" s="13">
        <f t="shared" ref="D6:D28" si="1">C6*L6</f>
        <v>0</v>
      </c>
      <c r="F6" s="240" t="s">
        <v>16</v>
      </c>
      <c r="G6" s="242" t="s">
        <v>129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84"/>
      <c r="D7" s="13">
        <f t="shared" si="1"/>
        <v>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84"/>
      <c r="D8" s="13">
        <f t="shared" si="1"/>
        <v>0</v>
      </c>
      <c r="F8" s="248" t="s">
        <v>21</v>
      </c>
      <c r="G8" s="249" t="s">
        <v>112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84"/>
      <c r="D9" s="13">
        <f t="shared" si="1"/>
        <v>0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84"/>
      <c r="D10" s="13">
        <f t="shared" si="1"/>
        <v>0</v>
      </c>
      <c r="F10" s="240" t="s">
        <v>26</v>
      </c>
      <c r="G10" s="255" t="s">
        <v>130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84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84"/>
      <c r="D12" s="48">
        <f t="shared" si="1"/>
        <v>0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84"/>
      <c r="D13" s="48">
        <f t="shared" si="1"/>
        <v>0</v>
      </c>
      <c r="F13" s="261" t="s">
        <v>36</v>
      </c>
      <c r="G13" s="225"/>
      <c r="H13" s="216">
        <f>D29</f>
        <v>0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84"/>
      <c r="D14" s="31">
        <f t="shared" si="1"/>
        <v>0</v>
      </c>
      <c r="F14" s="219" t="s">
        <v>39</v>
      </c>
      <c r="G14" s="220"/>
      <c r="H14" s="221">
        <f>D54</f>
        <v>0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84"/>
      <c r="D15" s="31">
        <f t="shared" si="1"/>
        <v>0</v>
      </c>
      <c r="F15" s="224" t="s">
        <v>40</v>
      </c>
      <c r="G15" s="225"/>
      <c r="H15" s="226">
        <f>H13-H14</f>
        <v>0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138</v>
      </c>
      <c r="C17" s="84"/>
      <c r="D17" s="48">
        <f t="shared" si="1"/>
        <v>0</v>
      </c>
      <c r="F17" s="56"/>
      <c r="G17" s="66" t="s">
        <v>45</v>
      </c>
      <c r="H17" s="197"/>
      <c r="I17" s="197"/>
      <c r="J17" s="19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97"/>
      <c r="I19" s="197"/>
      <c r="J19" s="197"/>
      <c r="L19" s="6">
        <v>1102</v>
      </c>
      <c r="Q19" s="4"/>
      <c r="R19" s="5">
        <f t="shared" si="0"/>
        <v>0</v>
      </c>
    </row>
    <row r="20" spans="1:18" ht="15.75" x14ac:dyDescent="0.25">
      <c r="A20" s="175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127</v>
      </c>
      <c r="C22" s="84"/>
      <c r="D22" s="48">
        <f t="shared" si="1"/>
        <v>0</v>
      </c>
      <c r="F22" s="77"/>
      <c r="G22" s="73"/>
      <c r="H22" s="202"/>
      <c r="I22" s="202"/>
      <c r="J22" s="20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101</v>
      </c>
      <c r="C23" s="84"/>
      <c r="D23" s="48">
        <f t="shared" si="1"/>
        <v>0</v>
      </c>
      <c r="F23" s="77"/>
      <c r="G23" s="79"/>
      <c r="H23" s="262"/>
      <c r="I23" s="263"/>
      <c r="J23" s="26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121</v>
      </c>
      <c r="C24" s="84"/>
      <c r="D24" s="48">
        <f t="shared" si="1"/>
        <v>0</v>
      </c>
      <c r="F24" s="77"/>
      <c r="G24" s="79"/>
      <c r="H24" s="262"/>
      <c r="I24" s="263"/>
      <c r="J24" s="26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204" t="s">
        <v>13</v>
      </c>
      <c r="I25" s="205"/>
      <c r="J25" s="20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137</v>
      </c>
      <c r="C26" s="84"/>
      <c r="D26" s="48">
        <f t="shared" si="1"/>
        <v>0</v>
      </c>
      <c r="F26" s="75"/>
      <c r="G26" s="65"/>
      <c r="H26" s="172"/>
      <c r="I26" s="172"/>
      <c r="J26" s="172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110</v>
      </c>
      <c r="C27" s="84"/>
      <c r="D27" s="44">
        <f t="shared" si="1"/>
        <v>0</v>
      </c>
      <c r="F27" s="71"/>
      <c r="G27" s="114"/>
      <c r="H27" s="264"/>
      <c r="I27" s="265"/>
      <c r="J27" s="26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84"/>
      <c r="D28" s="48">
        <f t="shared" si="1"/>
        <v>0</v>
      </c>
      <c r="F28" s="117"/>
      <c r="G28" s="61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0</v>
      </c>
      <c r="F29" s="133" t="s">
        <v>55</v>
      </c>
      <c r="G29" s="195"/>
      <c r="H29" s="155">
        <f>H15-H16-H17-H18-H19-H20-H22-H23-H24+H26+H27+H28</f>
        <v>0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77">
        <f t="shared" ref="H34:H39" si="2">F34*G34</f>
        <v>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8">
        <v>500</v>
      </c>
      <c r="G35" s="41"/>
      <c r="H35" s="177">
        <f t="shared" si="2"/>
        <v>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/>
      <c r="H36" s="177">
        <f t="shared" si="2"/>
        <v>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7">
        <f t="shared" si="2"/>
        <v>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/>
      <c r="D38" s="12">
        <f>C38*84</f>
        <v>0</v>
      </c>
      <c r="F38" s="30">
        <v>50</v>
      </c>
      <c r="G38" s="39"/>
      <c r="H38" s="177">
        <f t="shared" si="2"/>
        <v>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/>
      <c r="D39" s="31">
        <f>C39*4.5</f>
        <v>0</v>
      </c>
      <c r="F39" s="12">
        <v>20</v>
      </c>
      <c r="G39" s="37"/>
      <c r="H39" s="177">
        <f t="shared" si="2"/>
        <v>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/>
      <c r="D42" s="12">
        <f>C42*2.25</f>
        <v>0</v>
      </c>
      <c r="F42" s="39" t="s">
        <v>79</v>
      </c>
      <c r="G42" s="177"/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59" t="s">
        <v>82</v>
      </c>
      <c r="G43" s="114" t="s">
        <v>83</v>
      </c>
      <c r="H43" s="169" t="s">
        <v>13</v>
      </c>
      <c r="I43" s="170"/>
      <c r="J43" s="17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8"/>
      <c r="B44" s="27" t="s">
        <v>66</v>
      </c>
      <c r="C44" s="10"/>
      <c r="D44" s="12">
        <f>C44*120</f>
        <v>0</v>
      </c>
      <c r="F44" s="37"/>
      <c r="G44" s="62"/>
      <c r="H44" s="172"/>
      <c r="I44" s="172"/>
      <c r="J44" s="17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/>
      <c r="G45" s="62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1"/>
      <c r="D46" s="12">
        <f>C46*1.5</f>
        <v>0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59"/>
      <c r="G47" s="59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/>
      <c r="D48" s="12">
        <f>C48*78</f>
        <v>0</v>
      </c>
      <c r="F48" s="59"/>
      <c r="G48" s="59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/>
      <c r="D49" s="12">
        <f>C49*42</f>
        <v>0</v>
      </c>
      <c r="F49" s="153" t="s">
        <v>86</v>
      </c>
      <c r="G49" s="155">
        <f>H34+H35+H36+H37+H38+H39+H40+H41+G42+H44+H45+H46</f>
        <v>0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/>
      <c r="D50" s="12">
        <f>C50*1.5</f>
        <v>0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131</v>
      </c>
      <c r="G51" s="266">
        <f>G49-H29</f>
        <v>0</v>
      </c>
      <c r="H51" s="267"/>
      <c r="I51" s="267"/>
      <c r="J51" s="26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269"/>
      <c r="H52" s="270"/>
      <c r="I52" s="270"/>
      <c r="J52" s="27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0037F-6A64-4ACD-B9AF-591BFAF87C6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2</v>
      </c>
      <c r="H4" s="234" t="s">
        <v>9</v>
      </c>
      <c r="I4" s="236">
        <v>46020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10"/>
      <c r="D6" s="13">
        <f t="shared" ref="D6:D28" si="1">C6*L6</f>
        <v>0</v>
      </c>
      <c r="F6" s="240" t="s">
        <v>16</v>
      </c>
      <c r="G6" s="242" t="s">
        <v>141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10"/>
      <c r="D7" s="13">
        <f t="shared" si="1"/>
        <v>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10"/>
      <c r="D8" s="13">
        <f t="shared" si="1"/>
        <v>0</v>
      </c>
      <c r="F8" s="248" t="s">
        <v>21</v>
      </c>
      <c r="G8" s="249" t="s">
        <v>114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10"/>
      <c r="D9" s="13">
        <f t="shared" si="1"/>
        <v>0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10"/>
      <c r="D10" s="13">
        <f t="shared" si="1"/>
        <v>0</v>
      </c>
      <c r="F10" s="240" t="s">
        <v>26</v>
      </c>
      <c r="G10" s="255" t="s">
        <v>115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10"/>
      <c r="D12" s="48">
        <f t="shared" si="1"/>
        <v>0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10"/>
      <c r="D13" s="48">
        <f t="shared" si="1"/>
        <v>0</v>
      </c>
      <c r="F13" s="261" t="s">
        <v>36</v>
      </c>
      <c r="G13" s="225"/>
      <c r="H13" s="216">
        <f>D29</f>
        <v>0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10"/>
      <c r="D14" s="31">
        <f t="shared" si="1"/>
        <v>0</v>
      </c>
      <c r="F14" s="219" t="s">
        <v>39</v>
      </c>
      <c r="G14" s="220"/>
      <c r="H14" s="221">
        <f>D54</f>
        <v>0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10"/>
      <c r="D15" s="31">
        <f t="shared" si="1"/>
        <v>0</v>
      </c>
      <c r="F15" s="224" t="s">
        <v>40</v>
      </c>
      <c r="G15" s="225"/>
      <c r="H15" s="226">
        <f>H13-H14</f>
        <v>0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93</v>
      </c>
      <c r="C17" s="10"/>
      <c r="D17" s="48">
        <f t="shared" si="1"/>
        <v>0</v>
      </c>
      <c r="F17" s="56"/>
      <c r="G17" s="66" t="s">
        <v>45</v>
      </c>
      <c r="H17" s="197"/>
      <c r="I17" s="197"/>
      <c r="J17" s="19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7"/>
      <c r="I20" s="197"/>
      <c r="J20" s="19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104</v>
      </c>
      <c r="C22" s="10"/>
      <c r="D22" s="48">
        <f t="shared" si="1"/>
        <v>0</v>
      </c>
      <c r="F22" s="72"/>
      <c r="G22" s="73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107</v>
      </c>
      <c r="C23" s="10"/>
      <c r="D23" s="48">
        <f t="shared" si="1"/>
        <v>0</v>
      </c>
      <c r="F23" s="25"/>
      <c r="G23" s="37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123</v>
      </c>
      <c r="C24" s="10"/>
      <c r="D24" s="48">
        <f t="shared" si="1"/>
        <v>0</v>
      </c>
      <c r="F24" s="38"/>
      <c r="G24" s="37"/>
      <c r="H24" s="203"/>
      <c r="I24" s="172"/>
      <c r="J24" s="17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4" t="s">
        <v>13</v>
      </c>
      <c r="I25" s="205"/>
      <c r="J25" s="20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105</v>
      </c>
      <c r="C26" s="10"/>
      <c r="D26" s="48">
        <f t="shared" si="1"/>
        <v>0</v>
      </c>
      <c r="F26" s="64"/>
      <c r="G26" s="10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109</v>
      </c>
      <c r="C27" s="10"/>
      <c r="D27" s="44">
        <f t="shared" si="1"/>
        <v>0</v>
      </c>
      <c r="F27" s="14"/>
      <c r="G27" s="14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10"/>
      <c r="D28" s="48">
        <f t="shared" si="1"/>
        <v>0</v>
      </c>
      <c r="F28" s="117"/>
      <c r="G28" s="61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0</v>
      </c>
      <c r="F29" s="133" t="s">
        <v>55</v>
      </c>
      <c r="G29" s="195"/>
      <c r="H29" s="155">
        <f>H15-H16-H17-H18-H19-H20-H22-H23-H24+H26+H27</f>
        <v>0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7">
        <f>F34*G34</f>
        <v>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8">
        <v>500</v>
      </c>
      <c r="G35" s="41"/>
      <c r="H35" s="177">
        <f t="shared" ref="H35:H39" si="2">F35*G35</f>
        <v>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/>
      <c r="H36" s="177">
        <f>F36*G36</f>
        <v>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7">
        <f t="shared" si="2"/>
        <v>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/>
      <c r="D38" s="12">
        <f>C38*84</f>
        <v>0</v>
      </c>
      <c r="F38" s="30">
        <v>50</v>
      </c>
      <c r="G38" s="39"/>
      <c r="H38" s="177">
        <f t="shared" si="2"/>
        <v>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/>
      <c r="D39" s="31">
        <f>C39*4.5</f>
        <v>0</v>
      </c>
      <c r="F39" s="12">
        <v>20</v>
      </c>
      <c r="G39" s="37"/>
      <c r="H39" s="177">
        <f t="shared" si="2"/>
        <v>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/>
      <c r="D42" s="12">
        <f>C42*2.25</f>
        <v>0</v>
      </c>
      <c r="F42" s="39" t="s">
        <v>79</v>
      </c>
      <c r="G42" s="177"/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59" t="s">
        <v>82</v>
      </c>
      <c r="G43" s="114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/>
      <c r="D44" s="12">
        <f>C44*120</f>
        <v>0</v>
      </c>
      <c r="F44" s="37"/>
      <c r="G44" s="62"/>
      <c r="H44" s="172"/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/>
      <c r="G45" s="62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1"/>
      <c r="D46" s="12">
        <f>C46*1.5</f>
        <v>0</v>
      </c>
      <c r="F46" s="37"/>
      <c r="G46" s="115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59"/>
      <c r="G47" s="59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/>
      <c r="D48" s="12">
        <f>C48*78</f>
        <v>0</v>
      </c>
      <c r="F48" s="59"/>
      <c r="G48" s="59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/>
      <c r="D49" s="12">
        <f>C49*42</f>
        <v>0</v>
      </c>
      <c r="F49" s="153" t="s">
        <v>86</v>
      </c>
      <c r="G49" s="155">
        <f>H34+H35+H36+H37+H38+H39+H40+H41+G42+H44+H45+H46</f>
        <v>0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/>
      <c r="D50" s="12">
        <f>C50*1.5</f>
        <v>0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132</v>
      </c>
      <c r="G51" s="266">
        <f>G49-H29</f>
        <v>0</v>
      </c>
      <c r="H51" s="267"/>
      <c r="I51" s="267"/>
      <c r="J51" s="26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269"/>
      <c r="H52" s="270"/>
      <c r="I52" s="270"/>
      <c r="J52" s="27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0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2958E-3A8B-4E5A-AEE6-E95143AC1FB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3</v>
      </c>
      <c r="H4" s="234" t="s">
        <v>9</v>
      </c>
      <c r="I4" s="236">
        <v>46020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10"/>
      <c r="D6" s="13">
        <f t="shared" ref="D6:D28" si="1">C6*L6</f>
        <v>0</v>
      </c>
      <c r="F6" s="240" t="s">
        <v>16</v>
      </c>
      <c r="G6" s="242" t="s">
        <v>111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10"/>
      <c r="D7" s="13">
        <f t="shared" si="1"/>
        <v>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10"/>
      <c r="D8" s="13">
        <f t="shared" si="1"/>
        <v>0</v>
      </c>
      <c r="F8" s="248" t="s">
        <v>21</v>
      </c>
      <c r="G8" s="249" t="s">
        <v>119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10"/>
      <c r="D9" s="13">
        <f t="shared" si="1"/>
        <v>0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10"/>
      <c r="D10" s="13">
        <f t="shared" si="1"/>
        <v>0</v>
      </c>
      <c r="F10" s="240" t="s">
        <v>26</v>
      </c>
      <c r="G10" s="255" t="s">
        <v>135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10"/>
      <c r="D12" s="48">
        <f t="shared" si="1"/>
        <v>0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10"/>
      <c r="D13" s="48">
        <f t="shared" si="1"/>
        <v>0</v>
      </c>
      <c r="F13" s="261" t="s">
        <v>36</v>
      </c>
      <c r="G13" s="225"/>
      <c r="H13" s="216">
        <f>D29</f>
        <v>0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10"/>
      <c r="D14" s="31">
        <f t="shared" si="1"/>
        <v>0</v>
      </c>
      <c r="F14" s="219" t="s">
        <v>39</v>
      </c>
      <c r="G14" s="220"/>
      <c r="H14" s="221">
        <f>D54</f>
        <v>0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10"/>
      <c r="D15" s="31">
        <f t="shared" si="1"/>
        <v>0</v>
      </c>
      <c r="F15" s="224" t="s">
        <v>40</v>
      </c>
      <c r="G15" s="225"/>
      <c r="H15" s="226">
        <f>H13-H14</f>
        <v>0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113</v>
      </c>
      <c r="C17" s="10"/>
      <c r="D17" s="48">
        <f t="shared" si="1"/>
        <v>0</v>
      </c>
      <c r="F17" s="56"/>
      <c r="G17" s="66" t="s">
        <v>45</v>
      </c>
      <c r="H17" s="197"/>
      <c r="I17" s="197"/>
      <c r="J17" s="19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2"/>
      <c r="I19" s="272"/>
      <c r="J19" s="27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104</v>
      </c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107</v>
      </c>
      <c r="C23" s="10"/>
      <c r="D23" s="48">
        <f t="shared" si="1"/>
        <v>0</v>
      </c>
      <c r="F23" s="78"/>
      <c r="G23" s="79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101</v>
      </c>
      <c r="C24" s="10"/>
      <c r="D24" s="48">
        <f t="shared" si="1"/>
        <v>0</v>
      </c>
      <c r="F24" s="38"/>
      <c r="G24" s="37"/>
      <c r="H24" s="203"/>
      <c r="I24" s="172"/>
      <c r="J24" s="17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4" t="s">
        <v>13</v>
      </c>
      <c r="I25" s="205"/>
      <c r="J25" s="20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105</v>
      </c>
      <c r="C26" s="10"/>
      <c r="D26" s="48">
        <f t="shared" si="1"/>
        <v>0</v>
      </c>
      <c r="F26" s="64"/>
      <c r="G26" s="59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109</v>
      </c>
      <c r="C27" s="10"/>
      <c r="D27" s="44">
        <f t="shared" si="1"/>
        <v>0</v>
      </c>
      <c r="F27" s="25"/>
      <c r="G27" s="80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10"/>
      <c r="D28" s="48">
        <f t="shared" si="1"/>
        <v>0</v>
      </c>
      <c r="F28" s="117"/>
      <c r="G28" s="61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0</v>
      </c>
      <c r="F29" s="133" t="s">
        <v>55</v>
      </c>
      <c r="G29" s="195"/>
      <c r="H29" s="155">
        <f>H15-H16-H17-H18-H19-H20-H22-H23-H24+H26+H27</f>
        <v>0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7">
        <f>F34*G34</f>
        <v>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8">
        <v>500</v>
      </c>
      <c r="G35" s="41"/>
      <c r="H35" s="177">
        <f>F35*G35</f>
        <v>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/>
      <c r="H36" s="177">
        <f t="shared" ref="H36:H39" si="2">F36*G36</f>
        <v>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7">
        <f t="shared" si="2"/>
        <v>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/>
      <c r="D38" s="12">
        <f>C38*84</f>
        <v>0</v>
      </c>
      <c r="F38" s="30">
        <v>50</v>
      </c>
      <c r="G38" s="39"/>
      <c r="H38" s="177">
        <f t="shared" si="2"/>
        <v>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/>
      <c r="D39" s="31">
        <f>C39*4.5</f>
        <v>0</v>
      </c>
      <c r="F39" s="12">
        <v>20</v>
      </c>
      <c r="G39" s="37"/>
      <c r="H39" s="177">
        <f t="shared" si="2"/>
        <v>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/>
      <c r="D42" s="12">
        <f>C42*2.25</f>
        <v>0</v>
      </c>
      <c r="F42" s="39" t="s">
        <v>79</v>
      </c>
      <c r="G42" s="177"/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59" t="s">
        <v>82</v>
      </c>
      <c r="G43" s="114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/>
      <c r="D44" s="12">
        <f>C44*120</f>
        <v>0</v>
      </c>
      <c r="F44" s="37"/>
      <c r="G44" s="76"/>
      <c r="H44" s="172"/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/>
      <c r="G45" s="76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1"/>
      <c r="D46" s="12">
        <f>C46*1.5</f>
        <v>0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59"/>
      <c r="G47" s="59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/>
      <c r="D48" s="12">
        <f>C48*78</f>
        <v>0</v>
      </c>
      <c r="F48" s="59"/>
      <c r="G48" s="59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/>
      <c r="D49" s="12">
        <f>C49*42</f>
        <v>0</v>
      </c>
      <c r="F49" s="153" t="s">
        <v>86</v>
      </c>
      <c r="G49" s="155">
        <f>H34+H35+H36+H37+H38+H39+H40+H41+G42+H44+H45+H46</f>
        <v>0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/>
      <c r="D50" s="12">
        <f>C50*1.5</f>
        <v>0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140</v>
      </c>
      <c r="G51" s="266">
        <f>G49-H29</f>
        <v>0</v>
      </c>
      <c r="H51" s="267"/>
      <c r="I51" s="267"/>
      <c r="J51" s="26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269"/>
      <c r="H52" s="270"/>
      <c r="I52" s="270"/>
      <c r="J52" s="27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0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4FF82-091C-415A-B79E-E7B3026E64F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9" t="s">
        <v>1</v>
      </c>
      <c r="O1" s="229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0" t="s">
        <v>7</v>
      </c>
      <c r="B4" s="181"/>
      <c r="C4" s="181"/>
      <c r="D4" s="182"/>
      <c r="F4" s="230" t="s">
        <v>8</v>
      </c>
      <c r="G4" s="232"/>
      <c r="H4" s="234" t="s">
        <v>9</v>
      </c>
      <c r="I4" s="236"/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5"/>
      <c r="B6" s="16"/>
      <c r="C6" s="10"/>
      <c r="D6" s="13">
        <f t="shared" ref="D6:D28" si="1">C6*L6</f>
        <v>0</v>
      </c>
      <c r="F6" s="240" t="s">
        <v>16</v>
      </c>
      <c r="G6" s="242"/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5"/>
      <c r="B7" s="16"/>
      <c r="C7" s="10"/>
      <c r="D7" s="13">
        <f t="shared" si="1"/>
        <v>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5"/>
      <c r="B8" s="16"/>
      <c r="C8" s="10"/>
      <c r="D8" s="13">
        <f t="shared" si="1"/>
        <v>0</v>
      </c>
      <c r="F8" s="248" t="s">
        <v>21</v>
      </c>
      <c r="G8" s="249"/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5"/>
      <c r="B9" s="16"/>
      <c r="C9" s="10"/>
      <c r="D9" s="13">
        <f t="shared" si="1"/>
        <v>0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5"/>
      <c r="C10" s="10"/>
      <c r="D10" s="13">
        <f t="shared" si="1"/>
        <v>0</v>
      </c>
      <c r="F10" s="240" t="s">
        <v>26</v>
      </c>
      <c r="G10" s="255"/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9" ht="15.75" x14ac:dyDescent="0.25">
      <c r="A11" s="175"/>
      <c r="B11" s="17"/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5"/>
      <c r="B12" s="17"/>
      <c r="C12" s="10"/>
      <c r="D12" s="48">
        <f t="shared" si="1"/>
        <v>0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5"/>
      <c r="B13" s="17"/>
      <c r="C13" s="10"/>
      <c r="D13" s="48">
        <f t="shared" si="1"/>
        <v>0</v>
      </c>
      <c r="F13" s="261" t="s">
        <v>36</v>
      </c>
      <c r="G13" s="225"/>
      <c r="H13" s="216">
        <f>D29</f>
        <v>0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5"/>
      <c r="B14" s="14"/>
      <c r="C14" s="10"/>
      <c r="D14" s="31">
        <f t="shared" si="1"/>
        <v>0</v>
      </c>
      <c r="F14" s="219" t="s">
        <v>39</v>
      </c>
      <c r="G14" s="220"/>
      <c r="H14" s="221">
        <f>D54</f>
        <v>0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5"/>
      <c r="B15" s="14"/>
      <c r="C15" s="10"/>
      <c r="D15" s="31">
        <f t="shared" si="1"/>
        <v>0</v>
      </c>
      <c r="F15" s="224" t="s">
        <v>40</v>
      </c>
      <c r="G15" s="225"/>
      <c r="H15" s="226">
        <f>H13-H14</f>
        <v>0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C17" s="10"/>
      <c r="D17" s="48">
        <f t="shared" si="1"/>
        <v>0</v>
      </c>
      <c r="F17" s="56"/>
      <c r="G17" s="66" t="s">
        <v>45</v>
      </c>
      <c r="H17" s="197"/>
      <c r="I17" s="197"/>
      <c r="J17" s="19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/>
      <c r="C18" s="10"/>
      <c r="D18" s="48">
        <f t="shared" si="1"/>
        <v>0</v>
      </c>
      <c r="F18" s="56"/>
      <c r="G18" s="66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/>
      <c r="C19" s="10"/>
      <c r="D19" s="48">
        <f t="shared" si="1"/>
        <v>0</v>
      </c>
      <c r="F19" s="56"/>
      <c r="G19" s="68" t="s">
        <v>50</v>
      </c>
      <c r="H19" s="198"/>
      <c r="I19" s="198"/>
      <c r="J19" s="19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/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/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/>
      <c r="C23" s="10"/>
      <c r="D23" s="48">
        <f t="shared" si="1"/>
        <v>0</v>
      </c>
      <c r="F23" s="78"/>
      <c r="G23" s="79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/>
      <c r="C24" s="10"/>
      <c r="D24" s="48">
        <f t="shared" si="1"/>
        <v>0</v>
      </c>
      <c r="F24" s="38"/>
      <c r="G24" s="37"/>
      <c r="H24" s="203"/>
      <c r="I24" s="172"/>
      <c r="J24" s="17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4" t="s">
        <v>13</v>
      </c>
      <c r="I25" s="205"/>
      <c r="J25" s="20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/>
      <c r="C26" s="10"/>
      <c r="D26" s="48">
        <f t="shared" si="1"/>
        <v>0</v>
      </c>
      <c r="F26" s="64"/>
      <c r="G26" s="59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/>
      <c r="C27" s="10"/>
      <c r="D27" s="44">
        <f t="shared" si="1"/>
        <v>0</v>
      </c>
      <c r="F27" s="25"/>
      <c r="G27" s="80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/>
      <c r="C28" s="10"/>
      <c r="D28" s="48">
        <f t="shared" si="1"/>
        <v>0</v>
      </c>
      <c r="F28" s="117"/>
      <c r="G28" s="61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0</v>
      </c>
      <c r="F29" s="133" t="s">
        <v>55</v>
      </c>
      <c r="G29" s="195"/>
      <c r="H29" s="155">
        <f>H15-H16-H17-H18-H19-H20-H22-H23-H24+H26+H27</f>
        <v>0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7"/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8">
        <v>500</v>
      </c>
      <c r="G35" s="41"/>
      <c r="H35" s="177"/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/>
      <c r="H36" s="177"/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7"/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/>
      <c r="D38" s="12">
        <f>C38*84</f>
        <v>0</v>
      </c>
      <c r="F38" s="30">
        <v>50</v>
      </c>
      <c r="G38" s="39"/>
      <c r="H38" s="177"/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/>
      <c r="D39" s="31">
        <f>C39*4.5</f>
        <v>0</v>
      </c>
      <c r="F39" s="12">
        <v>20</v>
      </c>
      <c r="G39" s="37"/>
      <c r="H39" s="177"/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/>
      <c r="D42" s="12">
        <f>C42*2.25</f>
        <v>0</v>
      </c>
      <c r="F42" s="39" t="s">
        <v>79</v>
      </c>
      <c r="G42" s="177"/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59" t="s">
        <v>82</v>
      </c>
      <c r="G43" s="114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/>
      <c r="D44" s="12">
        <f>C44*120</f>
        <v>0</v>
      </c>
      <c r="F44" s="37"/>
      <c r="G44" s="76"/>
      <c r="H44" s="172"/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/>
      <c r="G45" s="76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1"/>
      <c r="D46" s="12">
        <f>C46*1.5</f>
        <v>0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59"/>
      <c r="G47" s="59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/>
      <c r="D48" s="12">
        <f>C48*78</f>
        <v>0</v>
      </c>
      <c r="F48" s="59"/>
      <c r="G48" s="59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/>
      <c r="D49" s="12">
        <f>C49*42</f>
        <v>0</v>
      </c>
      <c r="F49" s="153" t="s">
        <v>86</v>
      </c>
      <c r="G49" s="155">
        <f>H34+H35+H36+H37+H38+H39+H40+H41+G42+H44+H45+H46</f>
        <v>0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/>
      <c r="D50" s="12">
        <f>C50*1.5</f>
        <v>0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128</v>
      </c>
      <c r="G51" s="163">
        <f>G49-H29</f>
        <v>0</v>
      </c>
      <c r="H51" s="164"/>
      <c r="I51" s="164"/>
      <c r="J51" s="1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166"/>
      <c r="H52" s="167"/>
      <c r="I52" s="167"/>
      <c r="J52" s="1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0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4D2D3-84DB-4920-B32F-2149DD857CB2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1</v>
      </c>
      <c r="H4" s="234" t="s">
        <v>9</v>
      </c>
      <c r="I4" s="236">
        <v>46021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84">
        <v>323</v>
      </c>
      <c r="D6" s="13">
        <f t="shared" ref="D6:D28" si="1">C6*L6</f>
        <v>238051</v>
      </c>
      <c r="F6" s="240" t="s">
        <v>16</v>
      </c>
      <c r="G6" s="242" t="s">
        <v>129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84">
        <v>85</v>
      </c>
      <c r="D7" s="13">
        <f t="shared" si="1"/>
        <v>61625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84"/>
      <c r="D8" s="13">
        <f t="shared" si="1"/>
        <v>0</v>
      </c>
      <c r="F8" s="248" t="s">
        <v>21</v>
      </c>
      <c r="G8" s="249" t="s">
        <v>112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84">
        <v>216</v>
      </c>
      <c r="D9" s="13">
        <f t="shared" si="1"/>
        <v>152712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84">
        <v>1</v>
      </c>
      <c r="D10" s="13">
        <f t="shared" si="1"/>
        <v>972</v>
      </c>
      <c r="F10" s="240" t="s">
        <v>26</v>
      </c>
      <c r="G10" s="255" t="s">
        <v>130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84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84">
        <f>4+1+1</f>
        <v>6</v>
      </c>
      <c r="D12" s="48">
        <f t="shared" si="1"/>
        <v>5712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84">
        <v>12</v>
      </c>
      <c r="D13" s="48">
        <f t="shared" si="1"/>
        <v>3684</v>
      </c>
      <c r="F13" s="261" t="s">
        <v>36</v>
      </c>
      <c r="G13" s="225"/>
      <c r="H13" s="216">
        <f>D29</f>
        <v>467042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84">
        <v>16</v>
      </c>
      <c r="D14" s="31">
        <f t="shared" si="1"/>
        <v>176</v>
      </c>
      <c r="F14" s="219" t="s">
        <v>39</v>
      </c>
      <c r="G14" s="220"/>
      <c r="H14" s="221">
        <f>D54</f>
        <v>68778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84"/>
      <c r="D15" s="31">
        <f t="shared" si="1"/>
        <v>0</v>
      </c>
      <c r="F15" s="224" t="s">
        <v>40</v>
      </c>
      <c r="G15" s="225"/>
      <c r="H15" s="226">
        <f>H13-H14</f>
        <v>398264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6">
        <v>2076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138</v>
      </c>
      <c r="C17" s="84"/>
      <c r="D17" s="48">
        <f t="shared" si="1"/>
        <v>0</v>
      </c>
      <c r="F17" s="56"/>
      <c r="G17" s="66" t="s">
        <v>45</v>
      </c>
      <c r="H17" s="197"/>
      <c r="I17" s="197"/>
      <c r="J17" s="19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97"/>
      <c r="I19" s="197"/>
      <c r="J19" s="197"/>
      <c r="L19" s="6">
        <v>1102</v>
      </c>
      <c r="Q19" s="4"/>
      <c r="R19" s="5">
        <f t="shared" si="0"/>
        <v>0</v>
      </c>
    </row>
    <row r="20" spans="1:18" ht="15.75" x14ac:dyDescent="0.25">
      <c r="A20" s="175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136</v>
      </c>
      <c r="C21" s="84">
        <v>2</v>
      </c>
      <c r="D21" s="48">
        <f t="shared" si="1"/>
        <v>1300</v>
      </c>
      <c r="F21" s="69" t="s">
        <v>99</v>
      </c>
      <c r="G21" s="82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127</v>
      </c>
      <c r="C22" s="84"/>
      <c r="D22" s="48">
        <f t="shared" si="1"/>
        <v>0</v>
      </c>
      <c r="F22" s="77"/>
      <c r="G22" s="73"/>
      <c r="H22" s="202"/>
      <c r="I22" s="202"/>
      <c r="J22" s="20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101</v>
      </c>
      <c r="C23" s="84"/>
      <c r="D23" s="48">
        <f t="shared" si="1"/>
        <v>0</v>
      </c>
      <c r="F23" s="77"/>
      <c r="G23" s="79"/>
      <c r="H23" s="262"/>
      <c r="I23" s="263"/>
      <c r="J23" s="26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121</v>
      </c>
      <c r="C24" s="84"/>
      <c r="D24" s="48">
        <f t="shared" si="1"/>
        <v>0</v>
      </c>
      <c r="F24" s="77"/>
      <c r="G24" s="79"/>
      <c r="H24" s="262"/>
      <c r="I24" s="263"/>
      <c r="J24" s="26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204" t="s">
        <v>13</v>
      </c>
      <c r="I25" s="205"/>
      <c r="J25" s="20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137</v>
      </c>
      <c r="C26" s="84"/>
      <c r="D26" s="48">
        <f t="shared" si="1"/>
        <v>0</v>
      </c>
      <c r="F26" s="75"/>
      <c r="G26" s="65"/>
      <c r="H26" s="172"/>
      <c r="I26" s="172"/>
      <c r="J26" s="172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110</v>
      </c>
      <c r="C27" s="84"/>
      <c r="D27" s="44">
        <f t="shared" si="1"/>
        <v>0</v>
      </c>
      <c r="F27" s="71"/>
      <c r="G27" s="114"/>
      <c r="H27" s="264"/>
      <c r="I27" s="265"/>
      <c r="J27" s="26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84">
        <v>2</v>
      </c>
      <c r="D28" s="48">
        <f t="shared" si="1"/>
        <v>1570</v>
      </c>
      <c r="F28" s="117"/>
      <c r="G28" s="61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467042</v>
      </c>
      <c r="F29" s="133" t="s">
        <v>55</v>
      </c>
      <c r="G29" s="195"/>
      <c r="H29" s="155">
        <f>H15-H16-H17-H18-H19-H20-H22-H23-H24+H26+H27+H28</f>
        <v>396188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219</v>
      </c>
      <c r="H34" s="177">
        <f t="shared" ref="H34:H39" si="2">F34*G34</f>
        <v>219000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158</v>
      </c>
      <c r="H35" s="177">
        <f t="shared" si="2"/>
        <v>79000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>
        <v>4</v>
      </c>
      <c r="D36" s="12">
        <f>C36*1.5</f>
        <v>6</v>
      </c>
      <c r="F36" s="12">
        <v>200</v>
      </c>
      <c r="G36" s="37">
        <v>2</v>
      </c>
      <c r="H36" s="177">
        <f t="shared" si="2"/>
        <v>400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>
        <v>589</v>
      </c>
      <c r="D37" s="12">
        <f>C37*111</f>
        <v>65379</v>
      </c>
      <c r="F37" s="12">
        <v>100</v>
      </c>
      <c r="G37" s="39">
        <v>85</v>
      </c>
      <c r="H37" s="177">
        <f t="shared" si="2"/>
        <v>8500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16</v>
      </c>
      <c r="H38" s="177">
        <f t="shared" si="2"/>
        <v>800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/>
      <c r="D39" s="31">
        <f>C39*4.5</f>
        <v>0</v>
      </c>
      <c r="F39" s="12">
        <v>20</v>
      </c>
      <c r="G39" s="37">
        <v>1</v>
      </c>
      <c r="H39" s="177">
        <f t="shared" si="2"/>
        <v>20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>
        <v>2</v>
      </c>
      <c r="D42" s="12">
        <f>C42*2.25</f>
        <v>4.5</v>
      </c>
      <c r="F42" s="39" t="s">
        <v>79</v>
      </c>
      <c r="G42" s="177">
        <v>38</v>
      </c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59" t="s">
        <v>82</v>
      </c>
      <c r="G43" s="114" t="s">
        <v>83</v>
      </c>
      <c r="H43" s="169" t="s">
        <v>13</v>
      </c>
      <c r="I43" s="170"/>
      <c r="J43" s="17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8"/>
      <c r="B44" s="27" t="s">
        <v>66</v>
      </c>
      <c r="C44" s="10">
        <v>4</v>
      </c>
      <c r="D44" s="12">
        <f>C44*120</f>
        <v>480</v>
      </c>
      <c r="F44" s="37" t="s">
        <v>167</v>
      </c>
      <c r="G44" s="125" t="s">
        <v>245</v>
      </c>
      <c r="H44" s="172">
        <v>59544</v>
      </c>
      <c r="I44" s="172"/>
      <c r="J44" s="17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48"/>
      <c r="B45" s="27" t="s">
        <v>68</v>
      </c>
      <c r="C45" s="33">
        <v>5</v>
      </c>
      <c r="D45" s="12">
        <f>C45*84</f>
        <v>420</v>
      </c>
      <c r="F45" s="37" t="s">
        <v>163</v>
      </c>
      <c r="G45" s="105" t="s">
        <v>158</v>
      </c>
      <c r="H45" s="172">
        <v>29086</v>
      </c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1">
        <v>20</v>
      </c>
      <c r="D46" s="12">
        <f>C46*1.5</f>
        <v>30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59"/>
      <c r="G47" s="59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>
        <v>10</v>
      </c>
      <c r="D49" s="12">
        <f>C49*42</f>
        <v>420</v>
      </c>
      <c r="F49" s="153" t="s">
        <v>86</v>
      </c>
      <c r="G49" s="155">
        <f>H34+H35+H36+H37+H38+H39+H40+H41+G42+H44+H45+H46</f>
        <v>396388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>
        <v>17</v>
      </c>
      <c r="D50" s="12">
        <f>C50*1.5</f>
        <v>25.5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148</v>
      </c>
      <c r="G51" s="163">
        <f>G49-H29</f>
        <v>200</v>
      </c>
      <c r="H51" s="164"/>
      <c r="I51" s="164"/>
      <c r="J51" s="1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166"/>
      <c r="H52" s="167"/>
      <c r="I52" s="167"/>
      <c r="J52" s="1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68778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E9B918-F2DA-4A5F-A0FA-269179CDD90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 t="s">
        <v>243</v>
      </c>
      <c r="H4" s="234" t="s">
        <v>9</v>
      </c>
      <c r="I4" s="236">
        <v>46021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84">
        <v>887</v>
      </c>
      <c r="D6" s="13">
        <f t="shared" ref="D6:D28" si="1">C6*L6</f>
        <v>653719</v>
      </c>
      <c r="F6" s="240" t="s">
        <v>16</v>
      </c>
      <c r="G6" s="242" t="s">
        <v>235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84">
        <v>17</v>
      </c>
      <c r="D7" s="13">
        <f t="shared" si="1"/>
        <v>12325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84"/>
      <c r="D8" s="13">
        <f t="shared" si="1"/>
        <v>0</v>
      </c>
      <c r="F8" s="248" t="s">
        <v>21</v>
      </c>
      <c r="G8" s="249"/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84">
        <v>299</v>
      </c>
      <c r="D9" s="13">
        <f t="shared" si="1"/>
        <v>211393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84"/>
      <c r="D10" s="13">
        <f t="shared" si="1"/>
        <v>0</v>
      </c>
      <c r="F10" s="240" t="s">
        <v>26</v>
      </c>
      <c r="G10" s="255" t="s">
        <v>236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84">
        <v>20</v>
      </c>
      <c r="D11" s="13">
        <f t="shared" si="1"/>
        <v>22500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84">
        <f>15+1+3</f>
        <v>19</v>
      </c>
      <c r="D12" s="48">
        <f t="shared" si="1"/>
        <v>18088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84">
        <v>53</v>
      </c>
      <c r="D13" s="48">
        <f t="shared" si="1"/>
        <v>16271</v>
      </c>
      <c r="F13" s="261" t="s">
        <v>36</v>
      </c>
      <c r="G13" s="225"/>
      <c r="H13" s="216">
        <f>D29</f>
        <v>940956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84"/>
      <c r="D14" s="31">
        <f t="shared" si="1"/>
        <v>0</v>
      </c>
      <c r="F14" s="219" t="s">
        <v>39</v>
      </c>
      <c r="G14" s="220"/>
      <c r="H14" s="221">
        <f>D54</f>
        <v>100144.5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84"/>
      <c r="D15" s="31">
        <f t="shared" si="1"/>
        <v>0</v>
      </c>
      <c r="F15" s="224" t="s">
        <v>40</v>
      </c>
      <c r="G15" s="225"/>
      <c r="H15" s="226">
        <f>H13-H14</f>
        <v>840811.5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6">
        <f>2010+1800+1200</f>
        <v>5010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138</v>
      </c>
      <c r="C17" s="84"/>
      <c r="D17" s="48">
        <f t="shared" si="1"/>
        <v>0</v>
      </c>
      <c r="F17" s="56"/>
      <c r="G17" s="66" t="s">
        <v>45</v>
      </c>
      <c r="H17" s="197"/>
      <c r="I17" s="197"/>
      <c r="J17" s="19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97"/>
      <c r="I19" s="197"/>
      <c r="J19" s="197"/>
      <c r="L19" s="6">
        <v>1102</v>
      </c>
      <c r="Q19" s="4"/>
      <c r="R19" s="5">
        <f t="shared" si="0"/>
        <v>0</v>
      </c>
    </row>
    <row r="20" spans="1:18" ht="15.75" x14ac:dyDescent="0.25">
      <c r="A20" s="175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136</v>
      </c>
      <c r="C21" s="84">
        <f>1+1</f>
        <v>2</v>
      </c>
      <c r="D21" s="48">
        <f t="shared" si="1"/>
        <v>1300</v>
      </c>
      <c r="F21" s="69" t="s">
        <v>99</v>
      </c>
      <c r="G21" s="82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127</v>
      </c>
      <c r="C22" s="84"/>
      <c r="D22" s="48">
        <f t="shared" si="1"/>
        <v>0</v>
      </c>
      <c r="F22" s="77" t="s">
        <v>248</v>
      </c>
      <c r="G22" s="73">
        <v>8269</v>
      </c>
      <c r="H22" s="202">
        <v>7281</v>
      </c>
      <c r="I22" s="202"/>
      <c r="J22" s="20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101</v>
      </c>
      <c r="C23" s="84"/>
      <c r="D23" s="48">
        <f t="shared" si="1"/>
        <v>0</v>
      </c>
      <c r="F23" s="77" t="s">
        <v>249</v>
      </c>
      <c r="G23" s="79">
        <v>8271</v>
      </c>
      <c r="H23" s="262">
        <v>1710</v>
      </c>
      <c r="I23" s="263"/>
      <c r="J23" s="26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121</v>
      </c>
      <c r="C24" s="84"/>
      <c r="D24" s="48">
        <f t="shared" si="1"/>
        <v>0</v>
      </c>
      <c r="F24" s="77" t="s">
        <v>250</v>
      </c>
      <c r="G24" s="79">
        <v>8272</v>
      </c>
      <c r="H24" s="262">
        <v>3130</v>
      </c>
      <c r="I24" s="263"/>
      <c r="J24" s="26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204" t="s">
        <v>13</v>
      </c>
      <c r="I25" s="205"/>
      <c r="J25" s="20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244</v>
      </c>
      <c r="C26" s="84">
        <v>8</v>
      </c>
      <c r="D26" s="48">
        <f t="shared" si="1"/>
        <v>5360</v>
      </c>
      <c r="F26" s="75"/>
      <c r="G26" s="65"/>
      <c r="H26" s="172"/>
      <c r="I26" s="172"/>
      <c r="J26" s="172"/>
      <c r="L26" s="7">
        <f>559+111</f>
        <v>670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110</v>
      </c>
      <c r="C27" s="84"/>
      <c r="D27" s="44">
        <f t="shared" si="1"/>
        <v>0</v>
      </c>
      <c r="F27" s="71"/>
      <c r="G27" s="127"/>
      <c r="H27" s="264"/>
      <c r="I27" s="265"/>
      <c r="J27" s="26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84"/>
      <c r="D28" s="48">
        <f t="shared" si="1"/>
        <v>0</v>
      </c>
      <c r="F28" s="129"/>
      <c r="G28" s="61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940956</v>
      </c>
      <c r="F29" s="133" t="s">
        <v>55</v>
      </c>
      <c r="G29" s="195"/>
      <c r="H29" s="155">
        <f>H15-H16-H17-H18-H19-H20-H22-H23-H24+H26+H27+H28</f>
        <v>823680.5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40">
        <v>168</v>
      </c>
      <c r="H34" s="177">
        <f t="shared" ref="H34:H39" si="2">F34*G34</f>
        <v>168000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8">
        <v>500</v>
      </c>
      <c r="G35" s="41">
        <v>418</v>
      </c>
      <c r="H35" s="177">
        <f t="shared" si="2"/>
        <v>209000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77">
        <f t="shared" si="2"/>
        <v>200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>
        <v>861</v>
      </c>
      <c r="D37" s="12">
        <f>C37*111</f>
        <v>95571</v>
      </c>
      <c r="F37" s="12">
        <v>100</v>
      </c>
      <c r="G37" s="39">
        <v>76</v>
      </c>
      <c r="H37" s="177">
        <f t="shared" si="2"/>
        <v>7600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247</v>
      </c>
      <c r="H38" s="177">
        <f t="shared" si="2"/>
        <v>12350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2</v>
      </c>
      <c r="H39" s="177">
        <f t="shared" si="2"/>
        <v>40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>
        <v>10</v>
      </c>
      <c r="D42" s="12">
        <f>C42*2.25</f>
        <v>22.5</v>
      </c>
      <c r="F42" s="39" t="s">
        <v>79</v>
      </c>
      <c r="G42" s="177"/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59" t="s">
        <v>82</v>
      </c>
      <c r="G43" s="127" t="s">
        <v>83</v>
      </c>
      <c r="H43" s="169" t="s">
        <v>13</v>
      </c>
      <c r="I43" s="170"/>
      <c r="J43" s="17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8"/>
      <c r="B44" s="27" t="s">
        <v>66</v>
      </c>
      <c r="C44" s="10">
        <v>6</v>
      </c>
      <c r="D44" s="12">
        <f>C44*120</f>
        <v>720</v>
      </c>
      <c r="F44" s="37" t="s">
        <v>150</v>
      </c>
      <c r="G44" s="62" t="s">
        <v>246</v>
      </c>
      <c r="H44" s="172">
        <v>218571</v>
      </c>
      <c r="I44" s="172"/>
      <c r="J44" s="17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 t="s">
        <v>150</v>
      </c>
      <c r="G45" s="62" t="s">
        <v>247</v>
      </c>
      <c r="H45" s="172">
        <v>205944</v>
      </c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1"/>
      <c r="D46" s="12">
        <f>C46*1.5</f>
        <v>0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59"/>
      <c r="G47" s="59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>
        <v>20</v>
      </c>
      <c r="D48" s="12">
        <f>C48*78</f>
        <v>1560</v>
      </c>
      <c r="F48" s="59"/>
      <c r="G48" s="59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>
        <v>14</v>
      </c>
      <c r="D49" s="12">
        <f>C49*42</f>
        <v>588</v>
      </c>
      <c r="F49" s="153" t="s">
        <v>86</v>
      </c>
      <c r="G49" s="155">
        <f>H34+H35+H36+H37+H38+H39+H40+H41+G42+H44+H45+H46</f>
        <v>821705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>
        <v>13</v>
      </c>
      <c r="D50" s="12">
        <f>C50*1.5</f>
        <v>19.5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131</v>
      </c>
      <c r="G51" s="266">
        <f>G49-H29</f>
        <v>-1975.5</v>
      </c>
      <c r="H51" s="267"/>
      <c r="I51" s="267"/>
      <c r="J51" s="26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269"/>
      <c r="H52" s="270"/>
      <c r="I52" s="270"/>
      <c r="J52" s="27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100144.5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297733-3243-44A4-B387-FEB3C0D3B70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2</v>
      </c>
      <c r="H4" s="234" t="s">
        <v>9</v>
      </c>
      <c r="I4" s="236">
        <v>46021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10"/>
      <c r="D6" s="13">
        <f t="shared" ref="D6:D28" si="1">C6*L6</f>
        <v>0</v>
      </c>
      <c r="F6" s="240" t="s">
        <v>16</v>
      </c>
      <c r="G6" s="242" t="s">
        <v>141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10"/>
      <c r="D7" s="13">
        <f t="shared" si="1"/>
        <v>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10"/>
      <c r="D8" s="13">
        <f t="shared" si="1"/>
        <v>0</v>
      </c>
      <c r="F8" s="248" t="s">
        <v>21</v>
      </c>
      <c r="G8" s="249" t="s">
        <v>114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10"/>
      <c r="D9" s="13">
        <f t="shared" si="1"/>
        <v>0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10"/>
      <c r="D10" s="13">
        <f t="shared" si="1"/>
        <v>0</v>
      </c>
      <c r="F10" s="240" t="s">
        <v>26</v>
      </c>
      <c r="G10" s="255" t="s">
        <v>115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10"/>
      <c r="D12" s="48">
        <f t="shared" si="1"/>
        <v>0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10"/>
      <c r="D13" s="48">
        <f t="shared" si="1"/>
        <v>0</v>
      </c>
      <c r="F13" s="261" t="s">
        <v>36</v>
      </c>
      <c r="G13" s="225"/>
      <c r="H13" s="216">
        <f>D29</f>
        <v>0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10"/>
      <c r="D14" s="31">
        <f t="shared" si="1"/>
        <v>0</v>
      </c>
      <c r="F14" s="219" t="s">
        <v>39</v>
      </c>
      <c r="G14" s="220"/>
      <c r="H14" s="221">
        <f>D54</f>
        <v>0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10"/>
      <c r="D15" s="31">
        <f t="shared" si="1"/>
        <v>0</v>
      </c>
      <c r="F15" s="224" t="s">
        <v>40</v>
      </c>
      <c r="G15" s="225"/>
      <c r="H15" s="226">
        <f>H13-H14</f>
        <v>0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93</v>
      </c>
      <c r="C17" s="10"/>
      <c r="D17" s="48">
        <f t="shared" si="1"/>
        <v>0</v>
      </c>
      <c r="F17" s="56"/>
      <c r="G17" s="66" t="s">
        <v>45</v>
      </c>
      <c r="H17" s="197"/>
      <c r="I17" s="197"/>
      <c r="J17" s="19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7"/>
      <c r="I20" s="197"/>
      <c r="J20" s="19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104</v>
      </c>
      <c r="C22" s="10"/>
      <c r="D22" s="48">
        <f t="shared" si="1"/>
        <v>0</v>
      </c>
      <c r="F22" s="72"/>
      <c r="G22" s="73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107</v>
      </c>
      <c r="C23" s="10"/>
      <c r="D23" s="48">
        <f t="shared" si="1"/>
        <v>0</v>
      </c>
      <c r="F23" s="25"/>
      <c r="G23" s="37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123</v>
      </c>
      <c r="C24" s="10"/>
      <c r="D24" s="48">
        <f t="shared" si="1"/>
        <v>0</v>
      </c>
      <c r="F24" s="38"/>
      <c r="G24" s="37"/>
      <c r="H24" s="203"/>
      <c r="I24" s="172"/>
      <c r="J24" s="17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4" t="s">
        <v>13</v>
      </c>
      <c r="I25" s="205"/>
      <c r="J25" s="20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105</v>
      </c>
      <c r="C26" s="10"/>
      <c r="D26" s="48">
        <f t="shared" si="1"/>
        <v>0</v>
      </c>
      <c r="F26" s="64"/>
      <c r="G26" s="10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109</v>
      </c>
      <c r="C27" s="10"/>
      <c r="D27" s="44">
        <f t="shared" si="1"/>
        <v>0</v>
      </c>
      <c r="F27" s="14"/>
      <c r="G27" s="14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10"/>
      <c r="D28" s="48">
        <f t="shared" si="1"/>
        <v>0</v>
      </c>
      <c r="F28" s="117"/>
      <c r="G28" s="61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0</v>
      </c>
      <c r="F29" s="133" t="s">
        <v>55</v>
      </c>
      <c r="G29" s="195"/>
      <c r="H29" s="155">
        <f>H15-H16-H17-H18-H19-H20-H22-H23-H24+H26+H27</f>
        <v>0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7">
        <f>F34*G34</f>
        <v>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8">
        <v>500</v>
      </c>
      <c r="G35" s="41"/>
      <c r="H35" s="177">
        <f t="shared" ref="H35:H39" si="2">F35*G35</f>
        <v>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/>
      <c r="H36" s="177">
        <f>F36*G36</f>
        <v>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7">
        <f t="shared" si="2"/>
        <v>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/>
      <c r="D38" s="12">
        <f>C38*84</f>
        <v>0</v>
      </c>
      <c r="F38" s="30">
        <v>50</v>
      </c>
      <c r="G38" s="39"/>
      <c r="H38" s="177">
        <f t="shared" si="2"/>
        <v>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/>
      <c r="D39" s="31">
        <f>C39*4.5</f>
        <v>0</v>
      </c>
      <c r="F39" s="12">
        <v>20</v>
      </c>
      <c r="G39" s="37"/>
      <c r="H39" s="177">
        <f t="shared" si="2"/>
        <v>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/>
      <c r="D42" s="12">
        <f>C42*2.25</f>
        <v>0</v>
      </c>
      <c r="F42" s="39" t="s">
        <v>79</v>
      </c>
      <c r="G42" s="177"/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59" t="s">
        <v>82</v>
      </c>
      <c r="G43" s="114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/>
      <c r="D44" s="12">
        <f>C44*120</f>
        <v>0</v>
      </c>
      <c r="F44" s="37"/>
      <c r="G44" s="62"/>
      <c r="H44" s="172"/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/>
      <c r="G45" s="62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1"/>
      <c r="D46" s="12">
        <f>C46*1.5</f>
        <v>0</v>
      </c>
      <c r="F46" s="37"/>
      <c r="G46" s="115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59"/>
      <c r="G47" s="59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/>
      <c r="D48" s="12">
        <f>C48*78</f>
        <v>0</v>
      </c>
      <c r="F48" s="59"/>
      <c r="G48" s="59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/>
      <c r="D49" s="12">
        <f>C49*42</f>
        <v>0</v>
      </c>
      <c r="F49" s="153" t="s">
        <v>86</v>
      </c>
      <c r="G49" s="155">
        <f>H34+H35+H36+H37+H38+H39+H40+H41+G42+H44+H45+H46</f>
        <v>0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/>
      <c r="D50" s="12">
        <f>C50*1.5</f>
        <v>0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132</v>
      </c>
      <c r="G51" s="266">
        <f>G49-H29</f>
        <v>0</v>
      </c>
      <c r="H51" s="267"/>
      <c r="I51" s="267"/>
      <c r="J51" s="26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269"/>
      <c r="H52" s="270"/>
      <c r="I52" s="270"/>
      <c r="J52" s="27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0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C0B271-7FF0-4279-84CF-CDA1F8945BBC}">
  <sheetPr>
    <pageSetUpPr fitToPage="1"/>
  </sheetPr>
  <dimension ref="A1:R62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3</v>
      </c>
      <c r="H4" s="234" t="s">
        <v>9</v>
      </c>
      <c r="I4" s="236">
        <v>46021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5" si="0">P5+Q5</f>
        <v>620</v>
      </c>
    </row>
    <row r="6" spans="1:18" ht="14.45" customHeight="1" x14ac:dyDescent="0.25">
      <c r="A6" s="175"/>
      <c r="B6" s="16" t="s">
        <v>15</v>
      </c>
      <c r="C6" s="10">
        <v>2885</v>
      </c>
      <c r="D6" s="13">
        <f t="shared" ref="D6:D28" si="1">C6*L6</f>
        <v>2126245</v>
      </c>
      <c r="F6" s="240" t="s">
        <v>16</v>
      </c>
      <c r="G6" s="242" t="s">
        <v>111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10">
        <v>272</v>
      </c>
      <c r="D7" s="13">
        <f t="shared" si="1"/>
        <v>197200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10">
        <v>2</v>
      </c>
      <c r="D8" s="13">
        <f t="shared" si="1"/>
        <v>2066</v>
      </c>
      <c r="F8" s="248" t="s">
        <v>21</v>
      </c>
      <c r="G8" s="249" t="s">
        <v>119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10">
        <v>1242</v>
      </c>
      <c r="D9" s="13">
        <f t="shared" si="1"/>
        <v>878094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10">
        <v>23</v>
      </c>
      <c r="D10" s="13">
        <f t="shared" si="1"/>
        <v>22356</v>
      </c>
      <c r="F10" s="240" t="s">
        <v>26</v>
      </c>
      <c r="G10" s="255" t="s">
        <v>135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10">
        <v>15</v>
      </c>
      <c r="D11" s="13">
        <f t="shared" si="1"/>
        <v>16875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10">
        <f>36+10+4</f>
        <v>50</v>
      </c>
      <c r="D12" s="48">
        <f t="shared" si="1"/>
        <v>47600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10">
        <v>160</v>
      </c>
      <c r="D13" s="48">
        <f t="shared" si="1"/>
        <v>49120</v>
      </c>
      <c r="F13" s="261" t="s">
        <v>36</v>
      </c>
      <c r="G13" s="225"/>
      <c r="H13" s="216">
        <f>D29</f>
        <v>3367034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10">
        <v>4</v>
      </c>
      <c r="D14" s="31">
        <f t="shared" si="1"/>
        <v>44</v>
      </c>
      <c r="F14" s="219" t="s">
        <v>39</v>
      </c>
      <c r="G14" s="220"/>
      <c r="H14" s="221">
        <f>D57</f>
        <v>313673.25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10"/>
      <c r="D15" s="31">
        <f t="shared" si="1"/>
        <v>0</v>
      </c>
      <c r="F15" s="224" t="s">
        <v>40</v>
      </c>
      <c r="G15" s="225"/>
      <c r="H15" s="226">
        <f>H13-H14</f>
        <v>3053360.75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6">
        <f>1980+5268+5148+7608+600+4476+330</f>
        <v>25410</v>
      </c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113</v>
      </c>
      <c r="C17" s="10"/>
      <c r="D17" s="48">
        <f t="shared" si="1"/>
        <v>0</v>
      </c>
      <c r="F17" s="56"/>
      <c r="G17" s="66" t="s">
        <v>45</v>
      </c>
      <c r="H17" s="197"/>
      <c r="I17" s="197"/>
      <c r="J17" s="19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161</v>
      </c>
      <c r="C19" s="10">
        <f>2</f>
        <v>2</v>
      </c>
      <c r="D19" s="48">
        <f t="shared" si="1"/>
        <v>2204</v>
      </c>
      <c r="F19" s="56"/>
      <c r="G19" s="68" t="s">
        <v>50</v>
      </c>
      <c r="H19" s="272"/>
      <c r="I19" s="272"/>
      <c r="J19" s="27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126</v>
      </c>
      <c r="C21" s="10">
        <v>5</v>
      </c>
      <c r="D21" s="48">
        <f t="shared" si="1"/>
        <v>3250</v>
      </c>
      <c r="F21" s="69" t="s">
        <v>99</v>
      </c>
      <c r="G21" s="82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104</v>
      </c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107</v>
      </c>
      <c r="C23" s="10"/>
      <c r="D23" s="48">
        <f t="shared" si="1"/>
        <v>0</v>
      </c>
      <c r="F23" s="78"/>
      <c r="G23" s="79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101</v>
      </c>
      <c r="C24" s="10"/>
      <c r="D24" s="48">
        <f t="shared" si="1"/>
        <v>0</v>
      </c>
      <c r="F24" s="38"/>
      <c r="G24" s="37"/>
      <c r="H24" s="203"/>
      <c r="I24" s="172"/>
      <c r="J24" s="17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4" t="s">
        <v>13</v>
      </c>
      <c r="I25" s="205"/>
      <c r="J25" s="20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105</v>
      </c>
      <c r="C26" s="10"/>
      <c r="D26" s="48">
        <f t="shared" si="1"/>
        <v>0</v>
      </c>
      <c r="F26" s="64"/>
      <c r="G26" s="59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109</v>
      </c>
      <c r="C27" s="10"/>
      <c r="D27" s="44">
        <f t="shared" si="1"/>
        <v>0</v>
      </c>
      <c r="F27" s="25"/>
      <c r="G27" s="80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10">
        <v>28</v>
      </c>
      <c r="D28" s="48">
        <f t="shared" si="1"/>
        <v>21980</v>
      </c>
      <c r="F28" s="117"/>
      <c r="G28" s="61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3367034</v>
      </c>
      <c r="F29" s="133" t="s">
        <v>55</v>
      </c>
      <c r="G29" s="195"/>
      <c r="H29" s="155">
        <f>H15-H16-H17-H18-H19-H20-H22-H23-H24+H26+H27</f>
        <v>3027950.75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>
        <v>7</v>
      </c>
      <c r="D34" s="30">
        <f>C34*120</f>
        <v>840</v>
      </c>
      <c r="F34" s="12">
        <v>1000</v>
      </c>
      <c r="G34" s="74">
        <v>184</v>
      </c>
      <c r="H34" s="177">
        <f>F34*G34</f>
        <v>184000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f>48+1</f>
        <v>49</v>
      </c>
      <c r="H35" s="177">
        <f>F35*G35</f>
        <v>24500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>
        <v>16</v>
      </c>
      <c r="D36" s="12">
        <f>C36*1.5</f>
        <v>24</v>
      </c>
      <c r="F36" s="12">
        <v>200</v>
      </c>
      <c r="G36" s="37"/>
      <c r="H36" s="177">
        <f t="shared" ref="H36:H39" si="2">F36*G36</f>
        <v>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>
        <v>2683</v>
      </c>
      <c r="D37" s="12">
        <f>C37*111</f>
        <v>297813</v>
      </c>
      <c r="F37" s="12">
        <v>100</v>
      </c>
      <c r="G37" s="39">
        <f>5+7</f>
        <v>12</v>
      </c>
      <c r="H37" s="177">
        <f t="shared" si="2"/>
        <v>1200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>
        <v>44</v>
      </c>
      <c r="D38" s="12">
        <f>C38*84</f>
        <v>3696</v>
      </c>
      <c r="F38" s="30">
        <v>50</v>
      </c>
      <c r="G38" s="39">
        <f>2+3</f>
        <v>5</v>
      </c>
      <c r="H38" s="177">
        <f t="shared" si="2"/>
        <v>250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>
        <v>10</v>
      </c>
      <c r="D39" s="31">
        <f>C39*4.5</f>
        <v>45</v>
      </c>
      <c r="F39" s="12">
        <v>20</v>
      </c>
      <c r="G39" s="37"/>
      <c r="H39" s="177">
        <f t="shared" si="2"/>
        <v>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3">
        <v>28</v>
      </c>
      <c r="D40" s="12">
        <f>C40*111</f>
        <v>3108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>
        <v>35</v>
      </c>
      <c r="D42" s="12">
        <f>C42*2.25</f>
        <v>78.75</v>
      </c>
      <c r="F42" s="39" t="s">
        <v>79</v>
      </c>
      <c r="G42" s="177">
        <v>38</v>
      </c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59" t="s">
        <v>82</v>
      </c>
      <c r="G43" s="114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>
        <v>42</v>
      </c>
      <c r="D44" s="12">
        <f>C44*120</f>
        <v>5040</v>
      </c>
      <c r="F44" s="37" t="s">
        <v>163</v>
      </c>
      <c r="G44" s="76" t="s">
        <v>251</v>
      </c>
      <c r="H44" s="172">
        <v>103296</v>
      </c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>
        <v>13</v>
      </c>
      <c r="D45" s="12">
        <f>C45*84</f>
        <v>1092</v>
      </c>
      <c r="F45" s="37" t="s">
        <v>163</v>
      </c>
      <c r="G45" s="76" t="s">
        <v>253</v>
      </c>
      <c r="H45" s="172">
        <v>168907</v>
      </c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1">
        <v>18</v>
      </c>
      <c r="D46" s="12">
        <f>C46*1.5</f>
        <v>27</v>
      </c>
      <c r="F46" s="37" t="s">
        <v>163</v>
      </c>
      <c r="G46" s="125" t="s">
        <v>252</v>
      </c>
      <c r="H46" s="172">
        <v>483357</v>
      </c>
      <c r="I46" s="172"/>
      <c r="J46" s="172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37" t="s">
        <v>163</v>
      </c>
      <c r="G47" s="132">
        <v>2000005688</v>
      </c>
      <c r="H47" s="172">
        <v>808915</v>
      </c>
      <c r="I47" s="172"/>
      <c r="J47" s="172"/>
      <c r="K47" s="21"/>
      <c r="P47" s="4"/>
      <c r="Q47" s="4"/>
      <c r="R47" s="5"/>
    </row>
    <row r="48" spans="1:18" ht="15.75" x14ac:dyDescent="0.25">
      <c r="A48" s="131"/>
      <c r="B48" s="27"/>
      <c r="C48" s="11"/>
      <c r="D48" s="12"/>
      <c r="F48" s="37" t="s">
        <v>152</v>
      </c>
      <c r="G48" s="37">
        <v>4820793</v>
      </c>
      <c r="H48" s="172">
        <v>203563</v>
      </c>
      <c r="I48" s="172"/>
      <c r="J48" s="172"/>
      <c r="K48" s="21"/>
      <c r="P48" s="4"/>
      <c r="Q48" s="4"/>
      <c r="R48" s="5"/>
    </row>
    <row r="49" spans="1:18" ht="15.75" x14ac:dyDescent="0.25">
      <c r="A49" s="131"/>
      <c r="B49" s="27"/>
      <c r="C49" s="11"/>
      <c r="D49" s="12"/>
      <c r="F49" s="37" t="s">
        <v>150</v>
      </c>
      <c r="G49" s="37">
        <v>42936</v>
      </c>
      <c r="H49" s="172">
        <v>464240</v>
      </c>
      <c r="I49" s="172"/>
      <c r="J49" s="172"/>
      <c r="K49" s="21"/>
      <c r="P49" s="4"/>
      <c r="Q49" s="4"/>
      <c r="R49" s="5"/>
    </row>
    <row r="50" spans="1:18" ht="15.75" x14ac:dyDescent="0.25">
      <c r="A50" s="131"/>
      <c r="B50" s="27"/>
      <c r="C50" s="11"/>
      <c r="D50" s="12"/>
      <c r="F50" s="37" t="s">
        <v>163</v>
      </c>
      <c r="G50" s="132">
        <v>2000002695</v>
      </c>
      <c r="H50" s="172">
        <v>580175</v>
      </c>
      <c r="I50" s="172"/>
      <c r="J50" s="172"/>
      <c r="K50" s="21"/>
      <c r="P50" s="4"/>
      <c r="Q50" s="4"/>
      <c r="R50" s="5"/>
    </row>
    <row r="51" spans="1:18" ht="15" customHeight="1" x14ac:dyDescent="0.25">
      <c r="A51" s="147" t="s">
        <v>32</v>
      </c>
      <c r="B51" s="27" t="s">
        <v>66</v>
      </c>
      <c r="C51" s="10">
        <v>14</v>
      </c>
      <c r="D51" s="12">
        <f>C51*78</f>
        <v>1092</v>
      </c>
      <c r="F51" s="37" t="s">
        <v>145</v>
      </c>
      <c r="G51" s="59"/>
      <c r="H51" s="172">
        <v>1785</v>
      </c>
      <c r="I51" s="172"/>
      <c r="J51" s="172"/>
      <c r="K51" s="35"/>
      <c r="O51" t="s">
        <v>84</v>
      </c>
      <c r="P51" s="4">
        <v>1175</v>
      </c>
      <c r="Q51" s="4"/>
      <c r="R51" s="5">
        <f t="shared" si="0"/>
        <v>1175</v>
      </c>
    </row>
    <row r="52" spans="1:18" ht="15.75" x14ac:dyDescent="0.25">
      <c r="A52" s="148"/>
      <c r="B52" s="29" t="s">
        <v>68</v>
      </c>
      <c r="C52" s="33">
        <v>15</v>
      </c>
      <c r="D52" s="12">
        <f>C52*42</f>
        <v>630</v>
      </c>
      <c r="F52" s="153" t="s">
        <v>86</v>
      </c>
      <c r="G52" s="155">
        <f>H34+H35+H36+H37+H38+H39+H40+H41+G42+H44+H45+H46+H47+H48+H49+H51+H50</f>
        <v>3024226</v>
      </c>
      <c r="H52" s="156"/>
      <c r="I52" s="156"/>
      <c r="J52" s="157"/>
      <c r="O52" t="s">
        <v>85</v>
      </c>
      <c r="P52" s="4">
        <v>851</v>
      </c>
      <c r="Q52" s="4">
        <v>120</v>
      </c>
      <c r="R52" s="5">
        <f t="shared" si="0"/>
        <v>971</v>
      </c>
    </row>
    <row r="53" spans="1:18" ht="15.75" x14ac:dyDescent="0.25">
      <c r="A53" s="148"/>
      <c r="B53" s="32" t="s">
        <v>70</v>
      </c>
      <c r="C53" s="11">
        <v>13</v>
      </c>
      <c r="D53" s="12">
        <f>C53*1.5</f>
        <v>19.5</v>
      </c>
      <c r="F53" s="154"/>
      <c r="G53" s="158"/>
      <c r="H53" s="159"/>
      <c r="I53" s="159"/>
      <c r="J53" s="160"/>
      <c r="P53" s="4"/>
      <c r="Q53" s="4"/>
      <c r="R53" s="5"/>
    </row>
    <row r="54" spans="1:18" ht="15" customHeight="1" x14ac:dyDescent="0.25">
      <c r="A54" s="148"/>
      <c r="B54" s="27"/>
      <c r="C54" s="10"/>
      <c r="D54" s="31"/>
      <c r="F54" s="161" t="s">
        <v>140</v>
      </c>
      <c r="G54" s="266">
        <f>G52-H29</f>
        <v>-3724.75</v>
      </c>
      <c r="H54" s="267"/>
      <c r="I54" s="267"/>
      <c r="J54" s="268"/>
      <c r="K54" s="21"/>
      <c r="O54" t="s">
        <v>87</v>
      </c>
      <c r="P54" s="4">
        <v>703</v>
      </c>
      <c r="Q54" s="4">
        <v>120</v>
      </c>
      <c r="R54" s="5">
        <f t="shared" si="0"/>
        <v>823</v>
      </c>
    </row>
    <row r="55" spans="1:18" ht="15.75" x14ac:dyDescent="0.25">
      <c r="A55" s="148"/>
      <c r="B55" s="29"/>
      <c r="C55" s="33"/>
      <c r="D55" s="45"/>
      <c r="F55" s="162"/>
      <c r="G55" s="269"/>
      <c r="H55" s="270"/>
      <c r="I55" s="270"/>
      <c r="J55" s="271"/>
      <c r="K55" s="21"/>
      <c r="O55" t="s">
        <v>88</v>
      </c>
      <c r="P55" s="4">
        <v>559</v>
      </c>
      <c r="Q55" s="4">
        <v>111</v>
      </c>
      <c r="R55" s="5">
        <f t="shared" si="0"/>
        <v>670</v>
      </c>
    </row>
    <row r="56" spans="1:18" ht="15.75" x14ac:dyDescent="0.25">
      <c r="A56" s="149"/>
      <c r="B56" s="32"/>
      <c r="C56" s="11"/>
      <c r="D56" s="12"/>
      <c r="F56" s="35"/>
      <c r="G56" s="24"/>
      <c r="H56" s="24"/>
      <c r="I56" s="24"/>
      <c r="J56" s="17"/>
      <c r="N56" s="1"/>
      <c r="O56" t="s">
        <v>89</v>
      </c>
      <c r="P56" s="4">
        <v>1142</v>
      </c>
    </row>
    <row r="57" spans="1:18" x14ac:dyDescent="0.25">
      <c r="A57" s="133" t="s">
        <v>90</v>
      </c>
      <c r="B57" s="134"/>
      <c r="C57" s="135"/>
      <c r="D57" s="139">
        <f>SUM(D34:D56)</f>
        <v>313673.25</v>
      </c>
      <c r="F57" s="21"/>
      <c r="J57" s="34"/>
    </row>
    <row r="58" spans="1:18" x14ac:dyDescent="0.25">
      <c r="A58" s="136"/>
      <c r="B58" s="137"/>
      <c r="C58" s="138"/>
      <c r="D58" s="140"/>
      <c r="F58" s="21"/>
      <c r="J58" s="34"/>
    </row>
    <row r="59" spans="1:18" x14ac:dyDescent="0.25">
      <c r="A59" s="35"/>
      <c r="D59" s="34"/>
      <c r="F59" s="21"/>
      <c r="J59" s="34"/>
    </row>
    <row r="60" spans="1:18" x14ac:dyDescent="0.25">
      <c r="A60" s="21"/>
      <c r="B60" t="s">
        <v>118</v>
      </c>
      <c r="D60" s="34"/>
      <c r="F60" s="36"/>
      <c r="G60" s="50"/>
      <c r="H60" s="50"/>
      <c r="I60" s="50"/>
      <c r="J60" s="43"/>
    </row>
    <row r="61" spans="1:18" x14ac:dyDescent="0.25">
      <c r="A61" s="141" t="s">
        <v>91</v>
      </c>
      <c r="B61" s="142"/>
      <c r="C61" s="142"/>
      <c r="D61" s="143"/>
      <c r="F61" s="141" t="s">
        <v>92</v>
      </c>
      <c r="G61" s="142"/>
      <c r="H61" s="142"/>
      <c r="I61" s="142"/>
      <c r="J61" s="143"/>
    </row>
    <row r="62" spans="1:18" x14ac:dyDescent="0.25">
      <c r="A62" s="144"/>
      <c r="B62" s="145"/>
      <c r="C62" s="145"/>
      <c r="D62" s="146"/>
      <c r="F62" s="144"/>
      <c r="G62" s="145"/>
      <c r="H62" s="145"/>
      <c r="I62" s="145"/>
      <c r="J62" s="146"/>
    </row>
  </sheetData>
  <mergeCells count="71">
    <mergeCell ref="H48:J48"/>
    <mergeCell ref="H49:J49"/>
    <mergeCell ref="H50:J50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7:C58"/>
    <mergeCell ref="D57:D58"/>
    <mergeCell ref="A61:D62"/>
    <mergeCell ref="F61:J62"/>
    <mergeCell ref="A51:A56"/>
    <mergeCell ref="H51:J51"/>
    <mergeCell ref="F52:F53"/>
    <mergeCell ref="G52:J53"/>
    <mergeCell ref="F54:F55"/>
    <mergeCell ref="G54:J55"/>
  </mergeCells>
  <printOptions horizontalCentered="1"/>
  <pageMargins left="0.19685039370078741" right="0.19685039370078741" top="0.39370078740157483" bottom="0.39370078740157483" header="0" footer="0"/>
  <pageSetup paperSize="9" scale="82" orientation="portrait" horizontalDpi="0" verticalDpi="0" r:id="rId1"/>
  <drawing r:id="rId2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865DA-0A81-4BAA-A64D-352ABC64877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9" t="s">
        <v>1</v>
      </c>
      <c r="O1" s="229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0" t="s">
        <v>7</v>
      </c>
      <c r="B4" s="181"/>
      <c r="C4" s="181"/>
      <c r="D4" s="182"/>
      <c r="F4" s="230" t="s">
        <v>8</v>
      </c>
      <c r="G4" s="232"/>
      <c r="H4" s="234" t="s">
        <v>9</v>
      </c>
      <c r="I4" s="236"/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5"/>
      <c r="B6" s="16"/>
      <c r="C6" s="10"/>
      <c r="D6" s="13">
        <f t="shared" ref="D6:D28" si="1">C6*L6</f>
        <v>0</v>
      </c>
      <c r="F6" s="240" t="s">
        <v>16</v>
      </c>
      <c r="G6" s="242"/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5"/>
      <c r="B7" s="16"/>
      <c r="C7" s="10"/>
      <c r="D7" s="13">
        <f t="shared" si="1"/>
        <v>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5"/>
      <c r="B8" s="16"/>
      <c r="C8" s="10"/>
      <c r="D8" s="13">
        <f t="shared" si="1"/>
        <v>0</v>
      </c>
      <c r="F8" s="248" t="s">
        <v>21</v>
      </c>
      <c r="G8" s="249"/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5"/>
      <c r="B9" s="16"/>
      <c r="C9" s="10"/>
      <c r="D9" s="13">
        <f t="shared" si="1"/>
        <v>0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5"/>
      <c r="C10" s="10"/>
      <c r="D10" s="13">
        <f t="shared" si="1"/>
        <v>0</v>
      </c>
      <c r="F10" s="240" t="s">
        <v>26</v>
      </c>
      <c r="G10" s="255"/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9" ht="15.75" x14ac:dyDescent="0.25">
      <c r="A11" s="175"/>
      <c r="B11" s="17"/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5"/>
      <c r="B12" s="17"/>
      <c r="C12" s="10"/>
      <c r="D12" s="48">
        <f t="shared" si="1"/>
        <v>0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5"/>
      <c r="B13" s="17"/>
      <c r="C13" s="10"/>
      <c r="D13" s="48">
        <f t="shared" si="1"/>
        <v>0</v>
      </c>
      <c r="F13" s="261" t="s">
        <v>36</v>
      </c>
      <c r="G13" s="225"/>
      <c r="H13" s="216">
        <f>D29</f>
        <v>0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5"/>
      <c r="B14" s="14"/>
      <c r="C14" s="10"/>
      <c r="D14" s="31">
        <f t="shared" si="1"/>
        <v>0</v>
      </c>
      <c r="F14" s="219" t="s">
        <v>39</v>
      </c>
      <c r="G14" s="220"/>
      <c r="H14" s="221">
        <f>D54</f>
        <v>0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5"/>
      <c r="B15" s="14"/>
      <c r="C15" s="10"/>
      <c r="D15" s="31">
        <f t="shared" si="1"/>
        <v>0</v>
      </c>
      <c r="F15" s="224" t="s">
        <v>40</v>
      </c>
      <c r="G15" s="225"/>
      <c r="H15" s="226">
        <f>H13-H14</f>
        <v>0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C17" s="10"/>
      <c r="D17" s="48">
        <f t="shared" si="1"/>
        <v>0</v>
      </c>
      <c r="F17" s="56"/>
      <c r="G17" s="66" t="s">
        <v>45</v>
      </c>
      <c r="H17" s="197"/>
      <c r="I17" s="197"/>
      <c r="J17" s="19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/>
      <c r="C18" s="10"/>
      <c r="D18" s="48">
        <f t="shared" si="1"/>
        <v>0</v>
      </c>
      <c r="F18" s="56"/>
      <c r="G18" s="66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/>
      <c r="C19" s="10"/>
      <c r="D19" s="48">
        <f t="shared" si="1"/>
        <v>0</v>
      </c>
      <c r="F19" s="56"/>
      <c r="G19" s="68" t="s">
        <v>50</v>
      </c>
      <c r="H19" s="198"/>
      <c r="I19" s="198"/>
      <c r="J19" s="19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/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/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/>
      <c r="C23" s="10"/>
      <c r="D23" s="48">
        <f t="shared" si="1"/>
        <v>0</v>
      </c>
      <c r="F23" s="78"/>
      <c r="G23" s="79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/>
      <c r="C24" s="10"/>
      <c r="D24" s="48">
        <f t="shared" si="1"/>
        <v>0</v>
      </c>
      <c r="F24" s="38"/>
      <c r="G24" s="37"/>
      <c r="H24" s="203"/>
      <c r="I24" s="172"/>
      <c r="J24" s="17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4" t="s">
        <v>13</v>
      </c>
      <c r="I25" s="205"/>
      <c r="J25" s="20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/>
      <c r="C26" s="10"/>
      <c r="D26" s="48">
        <f t="shared" si="1"/>
        <v>0</v>
      </c>
      <c r="F26" s="64"/>
      <c r="G26" s="59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/>
      <c r="C27" s="10"/>
      <c r="D27" s="44">
        <f t="shared" si="1"/>
        <v>0</v>
      </c>
      <c r="F27" s="25"/>
      <c r="G27" s="80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/>
      <c r="C28" s="10"/>
      <c r="D28" s="48">
        <f t="shared" si="1"/>
        <v>0</v>
      </c>
      <c r="F28" s="117"/>
      <c r="G28" s="61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0</v>
      </c>
      <c r="F29" s="133" t="s">
        <v>55</v>
      </c>
      <c r="G29" s="195"/>
      <c r="H29" s="155">
        <f>H15-H16-H17-H18-H19-H20-H22-H23-H24+H26+H27</f>
        <v>0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7"/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8">
        <v>500</v>
      </c>
      <c r="G35" s="41"/>
      <c r="H35" s="177"/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/>
      <c r="H36" s="177"/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7"/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/>
      <c r="D38" s="12">
        <f>C38*84</f>
        <v>0</v>
      </c>
      <c r="F38" s="30">
        <v>50</v>
      </c>
      <c r="G38" s="39"/>
      <c r="H38" s="177"/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/>
      <c r="D39" s="31">
        <f>C39*4.5</f>
        <v>0</v>
      </c>
      <c r="F39" s="12">
        <v>20</v>
      </c>
      <c r="G39" s="37"/>
      <c r="H39" s="177"/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/>
      <c r="D42" s="12">
        <f>C42*2.25</f>
        <v>0</v>
      </c>
      <c r="F42" s="39" t="s">
        <v>79</v>
      </c>
      <c r="G42" s="177"/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59" t="s">
        <v>82</v>
      </c>
      <c r="G43" s="114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/>
      <c r="D44" s="12">
        <f>C44*120</f>
        <v>0</v>
      </c>
      <c r="F44" s="37"/>
      <c r="G44" s="76"/>
      <c r="H44" s="172"/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/>
      <c r="G45" s="76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1"/>
      <c r="D46" s="12">
        <f>C46*1.5</f>
        <v>0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59"/>
      <c r="G47" s="59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/>
      <c r="D48" s="12">
        <f>C48*78</f>
        <v>0</v>
      </c>
      <c r="F48" s="59"/>
      <c r="G48" s="59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/>
      <c r="D49" s="12">
        <f>C49*42</f>
        <v>0</v>
      </c>
      <c r="F49" s="153" t="s">
        <v>86</v>
      </c>
      <c r="G49" s="155">
        <f>H34+H35+H36+H37+H38+H39+H40+H41+G42+H44+H45+H46</f>
        <v>0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/>
      <c r="D50" s="12">
        <f>C50*1.5</f>
        <v>0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128</v>
      </c>
      <c r="G51" s="163">
        <f>G49-H29</f>
        <v>0</v>
      </c>
      <c r="H51" s="164"/>
      <c r="I51" s="164"/>
      <c r="J51" s="1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166"/>
      <c r="H52" s="167"/>
      <c r="I52" s="167"/>
      <c r="J52" s="1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0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5AFFA-929A-4554-8B18-36753DB51CBB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1</v>
      </c>
      <c r="H4" s="234" t="s">
        <v>9</v>
      </c>
      <c r="I4" s="236">
        <v>46022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84">
        <v>54</v>
      </c>
      <c r="D6" s="13">
        <f t="shared" ref="D6:D28" si="1">C6*L6</f>
        <v>39798</v>
      </c>
      <c r="F6" s="240" t="s">
        <v>16</v>
      </c>
      <c r="G6" s="242" t="s">
        <v>129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84">
        <v>53</v>
      </c>
      <c r="D7" s="13">
        <f t="shared" si="1"/>
        <v>38425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84"/>
      <c r="D8" s="13">
        <f t="shared" si="1"/>
        <v>0</v>
      </c>
      <c r="F8" s="248" t="s">
        <v>21</v>
      </c>
      <c r="G8" s="249" t="s">
        <v>112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84">
        <v>55</v>
      </c>
      <c r="D9" s="13">
        <f t="shared" si="1"/>
        <v>38885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84"/>
      <c r="D10" s="13">
        <f t="shared" si="1"/>
        <v>0</v>
      </c>
      <c r="F10" s="240" t="s">
        <v>26</v>
      </c>
      <c r="G10" s="255" t="s">
        <v>130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84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84"/>
      <c r="D12" s="48">
        <f t="shared" si="1"/>
        <v>0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84"/>
      <c r="D13" s="48">
        <f t="shared" si="1"/>
        <v>0</v>
      </c>
      <c r="F13" s="261" t="s">
        <v>36</v>
      </c>
      <c r="G13" s="225"/>
      <c r="H13" s="216">
        <f>D29</f>
        <v>117108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84"/>
      <c r="D14" s="31">
        <f t="shared" si="1"/>
        <v>0</v>
      </c>
      <c r="F14" s="219" t="s">
        <v>39</v>
      </c>
      <c r="G14" s="220"/>
      <c r="H14" s="221">
        <f>D54</f>
        <v>11877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84"/>
      <c r="D15" s="31">
        <f t="shared" si="1"/>
        <v>0</v>
      </c>
      <c r="F15" s="224" t="s">
        <v>40</v>
      </c>
      <c r="G15" s="225"/>
      <c r="H15" s="226">
        <f>H13-H14</f>
        <v>105231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138</v>
      </c>
      <c r="C17" s="84"/>
      <c r="D17" s="48">
        <f t="shared" si="1"/>
        <v>0</v>
      </c>
      <c r="F17" s="56"/>
      <c r="G17" s="66" t="s">
        <v>45</v>
      </c>
      <c r="H17" s="197"/>
      <c r="I17" s="197"/>
      <c r="J17" s="19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97"/>
      <c r="I19" s="197"/>
      <c r="J19" s="197"/>
      <c r="L19" s="6">
        <v>1102</v>
      </c>
      <c r="Q19" s="4"/>
      <c r="R19" s="5">
        <f t="shared" si="0"/>
        <v>0</v>
      </c>
    </row>
    <row r="20" spans="1:18" ht="15.75" x14ac:dyDescent="0.25">
      <c r="A20" s="175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127</v>
      </c>
      <c r="C22" s="84"/>
      <c r="D22" s="48">
        <f t="shared" si="1"/>
        <v>0</v>
      </c>
      <c r="F22" s="77"/>
      <c r="G22" s="73"/>
      <c r="H22" s="202"/>
      <c r="I22" s="202"/>
      <c r="J22" s="20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101</v>
      </c>
      <c r="C23" s="84"/>
      <c r="D23" s="48">
        <f t="shared" si="1"/>
        <v>0</v>
      </c>
      <c r="F23" s="77"/>
      <c r="G23" s="79"/>
      <c r="H23" s="262"/>
      <c r="I23" s="263"/>
      <c r="J23" s="26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121</v>
      </c>
      <c r="C24" s="84"/>
      <c r="D24" s="48">
        <f t="shared" si="1"/>
        <v>0</v>
      </c>
      <c r="F24" s="77"/>
      <c r="G24" s="79"/>
      <c r="H24" s="262"/>
      <c r="I24" s="263"/>
      <c r="J24" s="26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204" t="s">
        <v>13</v>
      </c>
      <c r="I25" s="205"/>
      <c r="J25" s="20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137</v>
      </c>
      <c r="C26" s="84"/>
      <c r="D26" s="48">
        <f t="shared" si="1"/>
        <v>0</v>
      </c>
      <c r="F26" s="75"/>
      <c r="G26" s="65"/>
      <c r="H26" s="172"/>
      <c r="I26" s="172"/>
      <c r="J26" s="172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110</v>
      </c>
      <c r="C27" s="84"/>
      <c r="D27" s="44">
        <f t="shared" si="1"/>
        <v>0</v>
      </c>
      <c r="F27" s="71"/>
      <c r="G27" s="114"/>
      <c r="H27" s="264"/>
      <c r="I27" s="265"/>
      <c r="J27" s="26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84"/>
      <c r="D28" s="48">
        <f t="shared" si="1"/>
        <v>0</v>
      </c>
      <c r="F28" s="117"/>
      <c r="G28" s="61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117108</v>
      </c>
      <c r="F29" s="133" t="s">
        <v>55</v>
      </c>
      <c r="G29" s="195"/>
      <c r="H29" s="155">
        <f>H15-H16-H17-H18-H19-H20-H22-H23-H24+H26+H27+H28</f>
        <v>105231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27</v>
      </c>
      <c r="H34" s="177">
        <f t="shared" ref="H34:H39" si="2">F34*G34</f>
        <v>27000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8">
        <v>500</v>
      </c>
      <c r="G35" s="41">
        <v>27</v>
      </c>
      <c r="H35" s="177">
        <f t="shared" si="2"/>
        <v>13500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/>
      <c r="H36" s="177">
        <f t="shared" si="2"/>
        <v>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>
        <v>95</v>
      </c>
      <c r="D37" s="12">
        <f>C37*111</f>
        <v>10545</v>
      </c>
      <c r="F37" s="12">
        <v>100</v>
      </c>
      <c r="G37" s="39">
        <v>10</v>
      </c>
      <c r="H37" s="177">
        <f t="shared" si="2"/>
        <v>1000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/>
      <c r="D38" s="12">
        <f>C38*84</f>
        <v>0</v>
      </c>
      <c r="F38" s="30">
        <v>50</v>
      </c>
      <c r="G38" s="39">
        <v>9</v>
      </c>
      <c r="H38" s="177">
        <f t="shared" si="2"/>
        <v>450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77">
        <f t="shared" si="2"/>
        <v>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>
        <v>10</v>
      </c>
      <c r="D42" s="12">
        <f>C42*2.25</f>
        <v>22.5</v>
      </c>
      <c r="F42" s="39" t="s">
        <v>79</v>
      </c>
      <c r="G42" s="177"/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59" t="s">
        <v>82</v>
      </c>
      <c r="G43" s="114" t="s">
        <v>83</v>
      </c>
      <c r="H43" s="169" t="s">
        <v>13</v>
      </c>
      <c r="I43" s="170"/>
      <c r="J43" s="17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8"/>
      <c r="B44" s="27" t="s">
        <v>66</v>
      </c>
      <c r="C44" s="10"/>
      <c r="D44" s="12">
        <f>C44*120</f>
        <v>0</v>
      </c>
      <c r="F44" s="37" t="s">
        <v>163</v>
      </c>
      <c r="G44" s="105" t="s">
        <v>158</v>
      </c>
      <c r="H44" s="172">
        <v>10081</v>
      </c>
      <c r="I44" s="172"/>
      <c r="J44" s="17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 t="s">
        <v>163</v>
      </c>
      <c r="G45" s="105" t="s">
        <v>158</v>
      </c>
      <c r="H45" s="172">
        <v>50000</v>
      </c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1"/>
      <c r="D46" s="12">
        <f>C46*1.5</f>
        <v>0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59"/>
      <c r="G47" s="59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/>
      <c r="D48" s="12">
        <f>C48*78</f>
        <v>0</v>
      </c>
      <c r="F48" s="59"/>
      <c r="G48" s="59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/>
      <c r="D49" s="12">
        <f>C49*42</f>
        <v>0</v>
      </c>
      <c r="F49" s="153" t="s">
        <v>86</v>
      </c>
      <c r="G49" s="155">
        <f>H34+H35+H36+H37+H38+H39+H40+H41+G42+H44+H45+H46</f>
        <v>102031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/>
      <c r="D50" s="12">
        <f>C50*1.5</f>
        <v>0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131</v>
      </c>
      <c r="G51" s="266">
        <f>G49-H29</f>
        <v>-3200</v>
      </c>
      <c r="H51" s="267"/>
      <c r="I51" s="267"/>
      <c r="J51" s="26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269"/>
      <c r="H52" s="270"/>
      <c r="I52" s="270"/>
      <c r="J52" s="27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11877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7F78B2-CE47-48E3-8841-6FAEE2CD994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2</v>
      </c>
      <c r="H4" s="234" t="s">
        <v>9</v>
      </c>
      <c r="I4" s="236">
        <v>46022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10"/>
      <c r="D6" s="13">
        <f t="shared" ref="D6:D28" si="1">C6*L6</f>
        <v>0</v>
      </c>
      <c r="F6" s="240" t="s">
        <v>16</v>
      </c>
      <c r="G6" s="242" t="s">
        <v>141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10"/>
      <c r="D7" s="13">
        <f t="shared" si="1"/>
        <v>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10"/>
      <c r="D8" s="13">
        <f t="shared" si="1"/>
        <v>0</v>
      </c>
      <c r="F8" s="248" t="s">
        <v>21</v>
      </c>
      <c r="G8" s="249" t="s">
        <v>114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10"/>
      <c r="D9" s="13">
        <f t="shared" si="1"/>
        <v>0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10"/>
      <c r="D10" s="13">
        <f t="shared" si="1"/>
        <v>0</v>
      </c>
      <c r="F10" s="240" t="s">
        <v>26</v>
      </c>
      <c r="G10" s="255" t="s">
        <v>115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10"/>
      <c r="D12" s="48">
        <f t="shared" si="1"/>
        <v>0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10"/>
      <c r="D13" s="48">
        <f t="shared" si="1"/>
        <v>0</v>
      </c>
      <c r="F13" s="261" t="s">
        <v>36</v>
      </c>
      <c r="G13" s="225"/>
      <c r="H13" s="216">
        <f>D29</f>
        <v>0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10"/>
      <c r="D14" s="31">
        <f t="shared" si="1"/>
        <v>0</v>
      </c>
      <c r="F14" s="219" t="s">
        <v>39</v>
      </c>
      <c r="G14" s="220"/>
      <c r="H14" s="221">
        <f>D54</f>
        <v>0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10"/>
      <c r="D15" s="31">
        <f t="shared" si="1"/>
        <v>0</v>
      </c>
      <c r="F15" s="224" t="s">
        <v>40</v>
      </c>
      <c r="G15" s="225"/>
      <c r="H15" s="226">
        <f>H13-H14</f>
        <v>0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93</v>
      </c>
      <c r="C17" s="10"/>
      <c r="D17" s="48">
        <f t="shared" si="1"/>
        <v>0</v>
      </c>
      <c r="F17" s="56"/>
      <c r="G17" s="66" t="s">
        <v>45</v>
      </c>
      <c r="H17" s="197"/>
      <c r="I17" s="197"/>
      <c r="J17" s="19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7"/>
      <c r="I20" s="197"/>
      <c r="J20" s="19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104</v>
      </c>
      <c r="C22" s="10"/>
      <c r="D22" s="48">
        <f t="shared" si="1"/>
        <v>0</v>
      </c>
      <c r="F22" s="72"/>
      <c r="G22" s="73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107</v>
      </c>
      <c r="C23" s="10"/>
      <c r="D23" s="48">
        <f t="shared" si="1"/>
        <v>0</v>
      </c>
      <c r="F23" s="25"/>
      <c r="G23" s="37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123</v>
      </c>
      <c r="C24" s="10"/>
      <c r="D24" s="48">
        <f t="shared" si="1"/>
        <v>0</v>
      </c>
      <c r="F24" s="38"/>
      <c r="G24" s="37"/>
      <c r="H24" s="203"/>
      <c r="I24" s="172"/>
      <c r="J24" s="17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4" t="s">
        <v>13</v>
      </c>
      <c r="I25" s="205"/>
      <c r="J25" s="20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105</v>
      </c>
      <c r="C26" s="10"/>
      <c r="D26" s="48">
        <f t="shared" si="1"/>
        <v>0</v>
      </c>
      <c r="F26" s="64"/>
      <c r="G26" s="10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109</v>
      </c>
      <c r="C27" s="10"/>
      <c r="D27" s="44">
        <f t="shared" si="1"/>
        <v>0</v>
      </c>
      <c r="F27" s="14"/>
      <c r="G27" s="14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10"/>
      <c r="D28" s="48">
        <f t="shared" si="1"/>
        <v>0</v>
      </c>
      <c r="F28" s="117"/>
      <c r="G28" s="61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0</v>
      </c>
      <c r="F29" s="133" t="s">
        <v>55</v>
      </c>
      <c r="G29" s="195"/>
      <c r="H29" s="155">
        <f>H15-H16-H17-H18-H19-H20-H22-H23-H24+H26+H27</f>
        <v>0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7">
        <f>F34*G34</f>
        <v>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8">
        <v>500</v>
      </c>
      <c r="G35" s="41"/>
      <c r="H35" s="177">
        <f t="shared" ref="H35:H39" si="2">F35*G35</f>
        <v>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/>
      <c r="H36" s="177">
        <f>F36*G36</f>
        <v>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7">
        <f t="shared" si="2"/>
        <v>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/>
      <c r="D38" s="12">
        <f>C38*84</f>
        <v>0</v>
      </c>
      <c r="F38" s="30">
        <v>50</v>
      </c>
      <c r="G38" s="39"/>
      <c r="H38" s="177">
        <f t="shared" si="2"/>
        <v>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/>
      <c r="D39" s="31">
        <f>C39*4.5</f>
        <v>0</v>
      </c>
      <c r="F39" s="12">
        <v>20</v>
      </c>
      <c r="G39" s="37"/>
      <c r="H39" s="177">
        <f t="shared" si="2"/>
        <v>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/>
      <c r="D42" s="12">
        <f>C42*2.25</f>
        <v>0</v>
      </c>
      <c r="F42" s="39" t="s">
        <v>79</v>
      </c>
      <c r="G42" s="177"/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59" t="s">
        <v>82</v>
      </c>
      <c r="G43" s="114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/>
      <c r="D44" s="12">
        <f>C44*120</f>
        <v>0</v>
      </c>
      <c r="F44" s="37"/>
      <c r="G44" s="62"/>
      <c r="H44" s="172"/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/>
      <c r="G45" s="62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1"/>
      <c r="D46" s="12">
        <f>C46*1.5</f>
        <v>0</v>
      </c>
      <c r="F46" s="37"/>
      <c r="G46" s="115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59"/>
      <c r="G47" s="59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/>
      <c r="D48" s="12">
        <f>C48*78</f>
        <v>0</v>
      </c>
      <c r="F48" s="59"/>
      <c r="G48" s="59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/>
      <c r="D49" s="12">
        <f>C49*42</f>
        <v>0</v>
      </c>
      <c r="F49" s="153" t="s">
        <v>86</v>
      </c>
      <c r="G49" s="155">
        <f>H34+H35+H36+H37+H38+H39+H40+H41+G42+H44+H45+H46</f>
        <v>0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/>
      <c r="D50" s="12">
        <f>C50*1.5</f>
        <v>0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132</v>
      </c>
      <c r="G51" s="266">
        <f>G49-H29</f>
        <v>0</v>
      </c>
      <c r="H51" s="267"/>
      <c r="I51" s="267"/>
      <c r="J51" s="26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269"/>
      <c r="H52" s="270"/>
      <c r="I52" s="270"/>
      <c r="J52" s="27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0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3CBB3A-FED1-4366-B738-3A065F0651E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9" t="s">
        <v>1</v>
      </c>
      <c r="O1" s="229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0" t="s">
        <v>7</v>
      </c>
      <c r="B4" s="181"/>
      <c r="C4" s="181"/>
      <c r="D4" s="182"/>
      <c r="F4" s="230" t="s">
        <v>8</v>
      </c>
      <c r="G4" s="232">
        <v>3</v>
      </c>
      <c r="H4" s="234" t="s">
        <v>9</v>
      </c>
      <c r="I4" s="236">
        <v>46022</v>
      </c>
      <c r="J4" s="2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4" t="s">
        <v>7</v>
      </c>
      <c r="B5" s="15" t="s">
        <v>11</v>
      </c>
      <c r="C5" s="9" t="s">
        <v>12</v>
      </c>
      <c r="D5" s="25" t="s">
        <v>13</v>
      </c>
      <c r="F5" s="231"/>
      <c r="G5" s="233"/>
      <c r="H5" s="235"/>
      <c r="I5" s="238"/>
      <c r="J5" s="2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5"/>
      <c r="B6" s="16" t="s">
        <v>15</v>
      </c>
      <c r="C6" s="10"/>
      <c r="D6" s="13">
        <f t="shared" ref="D6:D28" si="1">C6*L6</f>
        <v>0</v>
      </c>
      <c r="F6" s="240" t="s">
        <v>16</v>
      </c>
      <c r="G6" s="242" t="s">
        <v>111</v>
      </c>
      <c r="H6" s="243"/>
      <c r="I6" s="243"/>
      <c r="J6" s="2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5"/>
      <c r="B7" s="16" t="s">
        <v>18</v>
      </c>
      <c r="C7" s="10"/>
      <c r="D7" s="13">
        <f t="shared" si="1"/>
        <v>0</v>
      </c>
      <c r="F7" s="241"/>
      <c r="G7" s="245"/>
      <c r="H7" s="246"/>
      <c r="I7" s="246"/>
      <c r="J7" s="24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75"/>
      <c r="B8" s="16" t="s">
        <v>20</v>
      </c>
      <c r="C8" s="10"/>
      <c r="D8" s="13">
        <f t="shared" si="1"/>
        <v>0</v>
      </c>
      <c r="F8" s="248" t="s">
        <v>21</v>
      </c>
      <c r="G8" s="249" t="s">
        <v>119</v>
      </c>
      <c r="H8" s="250"/>
      <c r="I8" s="250"/>
      <c r="J8" s="2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75"/>
      <c r="B9" s="16" t="s">
        <v>23</v>
      </c>
      <c r="C9" s="10"/>
      <c r="D9" s="13">
        <f t="shared" si="1"/>
        <v>0</v>
      </c>
      <c r="F9" s="241"/>
      <c r="G9" s="252"/>
      <c r="H9" s="253"/>
      <c r="I9" s="253"/>
      <c r="J9" s="2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75"/>
      <c r="B10" t="s">
        <v>25</v>
      </c>
      <c r="C10" s="10"/>
      <c r="D10" s="13">
        <f t="shared" si="1"/>
        <v>0</v>
      </c>
      <c r="F10" s="240" t="s">
        <v>26</v>
      </c>
      <c r="G10" s="255" t="s">
        <v>135</v>
      </c>
      <c r="H10" s="256"/>
      <c r="I10" s="256"/>
      <c r="J10" s="257"/>
      <c r="K10" s="8"/>
      <c r="L10" s="6">
        <f>R36</f>
        <v>972</v>
      </c>
      <c r="P10" s="4"/>
      <c r="Q10" s="4"/>
      <c r="R10" s="5"/>
    </row>
    <row r="11" spans="1:18" ht="15.75" x14ac:dyDescent="0.25">
      <c r="A11" s="175"/>
      <c r="B11" s="17" t="s">
        <v>28</v>
      </c>
      <c r="C11" s="10"/>
      <c r="D11" s="13">
        <f t="shared" si="1"/>
        <v>0</v>
      </c>
      <c r="F11" s="241"/>
      <c r="G11" s="252"/>
      <c r="H11" s="253"/>
      <c r="I11" s="253"/>
      <c r="J11" s="2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5"/>
      <c r="B12" s="17" t="s">
        <v>30</v>
      </c>
      <c r="C12" s="10"/>
      <c r="D12" s="48">
        <f t="shared" si="1"/>
        <v>0</v>
      </c>
      <c r="F12" s="258" t="s">
        <v>33</v>
      </c>
      <c r="G12" s="259"/>
      <c r="H12" s="259"/>
      <c r="I12" s="259"/>
      <c r="J12" s="2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5"/>
      <c r="B13" s="17" t="s">
        <v>32</v>
      </c>
      <c r="C13" s="10"/>
      <c r="D13" s="48">
        <f t="shared" si="1"/>
        <v>0</v>
      </c>
      <c r="F13" s="261" t="s">
        <v>36</v>
      </c>
      <c r="G13" s="225"/>
      <c r="H13" s="216">
        <f>D29</f>
        <v>0</v>
      </c>
      <c r="I13" s="217"/>
      <c r="J13" s="21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5"/>
      <c r="B14" s="14" t="s">
        <v>35</v>
      </c>
      <c r="C14" s="10"/>
      <c r="D14" s="31">
        <f t="shared" si="1"/>
        <v>0</v>
      </c>
      <c r="F14" s="219" t="s">
        <v>39</v>
      </c>
      <c r="G14" s="220"/>
      <c r="H14" s="221">
        <f>D54</f>
        <v>0</v>
      </c>
      <c r="I14" s="222"/>
      <c r="J14" s="22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5"/>
      <c r="B15" s="14" t="s">
        <v>38</v>
      </c>
      <c r="C15" s="10"/>
      <c r="D15" s="31">
        <f t="shared" si="1"/>
        <v>0</v>
      </c>
      <c r="F15" s="224" t="s">
        <v>40</v>
      </c>
      <c r="G15" s="225"/>
      <c r="H15" s="226">
        <f>H13-H14</f>
        <v>0</v>
      </c>
      <c r="I15" s="227"/>
      <c r="J15" s="22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6"/>
      <c r="I16" s="186"/>
      <c r="J16" s="18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5"/>
      <c r="B17" t="s">
        <v>113</v>
      </c>
      <c r="C17" s="10"/>
      <c r="D17" s="48">
        <f t="shared" si="1"/>
        <v>0</v>
      </c>
      <c r="F17" s="56"/>
      <c r="G17" s="66" t="s">
        <v>45</v>
      </c>
      <c r="H17" s="197"/>
      <c r="I17" s="197"/>
      <c r="J17" s="19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7"/>
      <c r="I18" s="197"/>
      <c r="J18" s="19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2"/>
      <c r="I19" s="272"/>
      <c r="J19" s="27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9" t="s">
        <v>13</v>
      </c>
      <c r="I21" s="200"/>
      <c r="J21" s="20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5"/>
      <c r="B22" s="46" t="s">
        <v>104</v>
      </c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5"/>
      <c r="B23" s="14" t="s">
        <v>107</v>
      </c>
      <c r="C23" s="10"/>
      <c r="D23" s="48">
        <f t="shared" si="1"/>
        <v>0</v>
      </c>
      <c r="F23" s="78"/>
      <c r="G23" s="79"/>
      <c r="H23" s="203"/>
      <c r="I23" s="172"/>
      <c r="J23" s="17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5"/>
      <c r="B24" s="14" t="s">
        <v>101</v>
      </c>
      <c r="C24" s="10"/>
      <c r="D24" s="48">
        <f t="shared" si="1"/>
        <v>0</v>
      </c>
      <c r="F24" s="38"/>
      <c r="G24" s="37"/>
      <c r="H24" s="203"/>
      <c r="I24" s="172"/>
      <c r="J24" s="17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4" t="s">
        <v>13</v>
      </c>
      <c r="I25" s="205"/>
      <c r="J25" s="20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5"/>
      <c r="B26" s="14" t="s">
        <v>105</v>
      </c>
      <c r="C26" s="10"/>
      <c r="D26" s="48">
        <f t="shared" si="1"/>
        <v>0</v>
      </c>
      <c r="F26" s="64"/>
      <c r="G26" s="59"/>
      <c r="H26" s="207"/>
      <c r="I26" s="208"/>
      <c r="J26" s="20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5"/>
      <c r="B27" s="14" t="s">
        <v>109</v>
      </c>
      <c r="C27" s="10"/>
      <c r="D27" s="44">
        <f t="shared" si="1"/>
        <v>0</v>
      </c>
      <c r="F27" s="25"/>
      <c r="G27" s="80"/>
      <c r="H27" s="210"/>
      <c r="I27" s="211"/>
      <c r="J27" s="21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6"/>
      <c r="B28" s="46" t="s">
        <v>97</v>
      </c>
      <c r="C28" s="10"/>
      <c r="D28" s="48">
        <f t="shared" si="1"/>
        <v>0</v>
      </c>
      <c r="F28" s="117"/>
      <c r="G28" s="61"/>
      <c r="H28" s="213"/>
      <c r="I28" s="214"/>
      <c r="J28" s="21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7" t="s">
        <v>36</v>
      </c>
      <c r="B29" s="188"/>
      <c r="C29" s="189"/>
      <c r="D29" s="193">
        <f>SUM(D6:D28)</f>
        <v>0</v>
      </c>
      <c r="F29" s="133" t="s">
        <v>55</v>
      </c>
      <c r="G29" s="195"/>
      <c r="H29" s="155">
        <f>H15-H16-H17-H18-H19-H20-H22-H23-H24+H26+H27</f>
        <v>0</v>
      </c>
      <c r="I29" s="156"/>
      <c r="J29" s="15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0"/>
      <c r="B30" s="191"/>
      <c r="C30" s="192"/>
      <c r="D30" s="194"/>
      <c r="F30" s="136"/>
      <c r="G30" s="196"/>
      <c r="H30" s="158"/>
      <c r="I30" s="159"/>
      <c r="J30" s="16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0" t="s">
        <v>58</v>
      </c>
      <c r="B32" s="181"/>
      <c r="C32" s="181"/>
      <c r="D32" s="182"/>
      <c r="F32" s="183" t="s">
        <v>59</v>
      </c>
      <c r="G32" s="184"/>
      <c r="H32" s="184"/>
      <c r="I32" s="184"/>
      <c r="J32" s="18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3" t="s">
        <v>13</v>
      </c>
      <c r="I33" s="184"/>
      <c r="J33" s="18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7">
        <f>F34*G34</f>
        <v>0</v>
      </c>
      <c r="I34" s="178"/>
      <c r="J34" s="17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5"/>
      <c r="B35" s="27" t="s">
        <v>68</v>
      </c>
      <c r="C35" s="52"/>
      <c r="D35" s="30">
        <f>C35*84</f>
        <v>0</v>
      </c>
      <c r="F35" s="58">
        <v>500</v>
      </c>
      <c r="G35" s="41"/>
      <c r="H35" s="177">
        <f>F35*G35</f>
        <v>0</v>
      </c>
      <c r="I35" s="178"/>
      <c r="J35" s="17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6"/>
      <c r="B36" s="26" t="s">
        <v>70</v>
      </c>
      <c r="C36" s="10"/>
      <c r="D36" s="12">
        <f>C36*1.5</f>
        <v>0</v>
      </c>
      <c r="F36" s="12">
        <v>200</v>
      </c>
      <c r="G36" s="37"/>
      <c r="H36" s="177">
        <f t="shared" ref="H36:H39" si="2">F36*G36</f>
        <v>0</v>
      </c>
      <c r="I36" s="178"/>
      <c r="J36" s="17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7">
        <f t="shared" si="2"/>
        <v>0</v>
      </c>
      <c r="I37" s="178"/>
      <c r="J37" s="17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5"/>
      <c r="B38" s="29" t="s">
        <v>68</v>
      </c>
      <c r="C38" s="54"/>
      <c r="D38" s="12">
        <f>C38*84</f>
        <v>0</v>
      </c>
      <c r="F38" s="30">
        <v>50</v>
      </c>
      <c r="G38" s="39"/>
      <c r="H38" s="177">
        <f t="shared" si="2"/>
        <v>0</v>
      </c>
      <c r="I38" s="178"/>
      <c r="J38" s="17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6"/>
      <c r="B39" s="29" t="s">
        <v>70</v>
      </c>
      <c r="C39" s="52"/>
      <c r="D39" s="31">
        <f>C39*4.5</f>
        <v>0</v>
      </c>
      <c r="F39" s="12">
        <v>20</v>
      </c>
      <c r="G39" s="37"/>
      <c r="H39" s="177">
        <f t="shared" si="2"/>
        <v>0</v>
      </c>
      <c r="I39" s="178"/>
      <c r="J39" s="17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7"/>
      <c r="I40" s="178"/>
      <c r="J40" s="17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5"/>
      <c r="B41" s="27" t="s">
        <v>68</v>
      </c>
      <c r="C41" s="10"/>
      <c r="D41" s="12">
        <f>C41*84</f>
        <v>0</v>
      </c>
      <c r="F41" s="12">
        <v>5</v>
      </c>
      <c r="G41" s="42"/>
      <c r="H41" s="177"/>
      <c r="I41" s="178"/>
      <c r="J41" s="17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6"/>
      <c r="B42" s="27" t="s">
        <v>70</v>
      </c>
      <c r="C42" s="11"/>
      <c r="D42" s="12">
        <f>C42*2.25</f>
        <v>0</v>
      </c>
      <c r="F42" s="39" t="s">
        <v>79</v>
      </c>
      <c r="G42" s="177"/>
      <c r="H42" s="178"/>
      <c r="I42" s="178"/>
      <c r="J42" s="17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7" t="s">
        <v>81</v>
      </c>
      <c r="C43" s="11"/>
      <c r="D43" s="12"/>
      <c r="F43" s="59" t="s">
        <v>82</v>
      </c>
      <c r="G43" s="114" t="s">
        <v>83</v>
      </c>
      <c r="H43" s="169" t="s">
        <v>13</v>
      </c>
      <c r="I43" s="170"/>
      <c r="J43" s="171"/>
      <c r="K43" s="21"/>
      <c r="P43" s="4"/>
      <c r="Q43" s="4"/>
      <c r="R43" s="5"/>
    </row>
    <row r="44" spans="1:18" ht="15.75" x14ac:dyDescent="0.25">
      <c r="A44" s="148"/>
      <c r="B44" s="27" t="s">
        <v>66</v>
      </c>
      <c r="C44" s="10"/>
      <c r="D44" s="12">
        <f>C44*120</f>
        <v>0</v>
      </c>
      <c r="F44" s="37"/>
      <c r="G44" s="76"/>
      <c r="H44" s="172"/>
      <c r="I44" s="172"/>
      <c r="J44" s="172"/>
      <c r="K44" s="21"/>
      <c r="P44" s="4"/>
      <c r="Q44" s="4"/>
      <c r="R44" s="5"/>
    </row>
    <row r="45" spans="1:18" ht="15.75" x14ac:dyDescent="0.25">
      <c r="A45" s="148"/>
      <c r="B45" s="27" t="s">
        <v>68</v>
      </c>
      <c r="C45" s="33"/>
      <c r="D45" s="12">
        <f>C45*84</f>
        <v>0</v>
      </c>
      <c r="F45" s="37"/>
      <c r="G45" s="76"/>
      <c r="H45" s="172"/>
      <c r="I45" s="172"/>
      <c r="J45" s="172"/>
      <c r="K45" s="21"/>
      <c r="P45" s="4"/>
      <c r="Q45" s="4"/>
      <c r="R45" s="5"/>
    </row>
    <row r="46" spans="1:18" ht="15.75" x14ac:dyDescent="0.25">
      <c r="A46" s="148"/>
      <c r="B46" s="49" t="s">
        <v>70</v>
      </c>
      <c r="C46" s="81"/>
      <c r="D46" s="12">
        <f>C46*1.5</f>
        <v>0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49"/>
      <c r="B47" s="27"/>
      <c r="C47" s="11"/>
      <c r="D47" s="12"/>
      <c r="F47" s="59"/>
      <c r="G47" s="59"/>
      <c r="H47" s="150"/>
      <c r="I47" s="151"/>
      <c r="J47" s="152"/>
      <c r="K47" s="21"/>
      <c r="P47" s="4"/>
      <c r="Q47" s="4"/>
      <c r="R47" s="5"/>
    </row>
    <row r="48" spans="1:18" ht="15" customHeight="1" x14ac:dyDescent="0.25">
      <c r="A48" s="147" t="s">
        <v>32</v>
      </c>
      <c r="B48" s="27" t="s">
        <v>66</v>
      </c>
      <c r="C48" s="10"/>
      <c r="D48" s="12">
        <f>C48*78</f>
        <v>0</v>
      </c>
      <c r="F48" s="59"/>
      <c r="G48" s="59"/>
      <c r="H48" s="150"/>
      <c r="I48" s="151"/>
      <c r="J48" s="15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8"/>
      <c r="B49" s="29" t="s">
        <v>68</v>
      </c>
      <c r="C49" s="33"/>
      <c r="D49" s="12">
        <f>C49*42</f>
        <v>0</v>
      </c>
      <c r="F49" s="153" t="s">
        <v>86</v>
      </c>
      <c r="G49" s="155">
        <f>H34+H35+H36+H37+H38+H39+H40+H41+G42+H44+H45+H46</f>
        <v>0</v>
      </c>
      <c r="H49" s="156"/>
      <c r="I49" s="156"/>
      <c r="J49" s="15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8"/>
      <c r="B50" s="32" t="s">
        <v>70</v>
      </c>
      <c r="C50" s="11"/>
      <c r="D50" s="12">
        <f>C50*1.5</f>
        <v>0</v>
      </c>
      <c r="F50" s="154"/>
      <c r="G50" s="158"/>
      <c r="H50" s="159"/>
      <c r="I50" s="159"/>
      <c r="J50" s="160"/>
      <c r="P50" s="4"/>
      <c r="Q50" s="4"/>
      <c r="R50" s="5"/>
    </row>
    <row r="51" spans="1:18" ht="15" customHeight="1" x14ac:dyDescent="0.25">
      <c r="A51" s="148"/>
      <c r="B51" s="27"/>
      <c r="C51" s="10"/>
      <c r="D51" s="31"/>
      <c r="F51" s="161" t="s">
        <v>140</v>
      </c>
      <c r="G51" s="266">
        <f>G49-H29</f>
        <v>0</v>
      </c>
      <c r="H51" s="267"/>
      <c r="I51" s="267"/>
      <c r="J51" s="26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8"/>
      <c r="B52" s="29"/>
      <c r="C52" s="33"/>
      <c r="D52" s="45"/>
      <c r="F52" s="162"/>
      <c r="G52" s="269"/>
      <c r="H52" s="270"/>
      <c r="I52" s="270"/>
      <c r="J52" s="27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3" t="s">
        <v>90</v>
      </c>
      <c r="B54" s="134"/>
      <c r="C54" s="135"/>
      <c r="D54" s="139">
        <f>SUM(D34:D53)</f>
        <v>0</v>
      </c>
      <c r="F54" s="21"/>
      <c r="J54" s="34"/>
    </row>
    <row r="55" spans="1:18" x14ac:dyDescent="0.25">
      <c r="A55" s="136"/>
      <c r="B55" s="137"/>
      <c r="C55" s="138"/>
      <c r="D55" s="14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1" t="s">
        <v>91</v>
      </c>
      <c r="B58" s="142"/>
      <c r="C58" s="142"/>
      <c r="D58" s="143"/>
      <c r="F58" s="141" t="s">
        <v>92</v>
      </c>
      <c r="G58" s="142"/>
      <c r="H58" s="142"/>
      <c r="I58" s="142"/>
      <c r="J58" s="143"/>
    </row>
    <row r="59" spans="1:18" x14ac:dyDescent="0.25">
      <c r="A59" s="144"/>
      <c r="B59" s="145"/>
      <c r="C59" s="145"/>
      <c r="D59" s="146"/>
      <c r="F59" s="144"/>
      <c r="G59" s="145"/>
      <c r="H59" s="145"/>
      <c r="I59" s="145"/>
      <c r="J59" s="14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111</vt:i4>
      </vt:variant>
      <vt:variant>
        <vt:lpstr>Named Ranges</vt:lpstr>
      </vt:variant>
      <vt:variant>
        <vt:i4>110</vt:i4>
      </vt:variant>
    </vt:vector>
  </HeadingPairs>
  <TitlesOfParts>
    <vt:vector size="221" baseType="lpstr">
      <vt:lpstr>(December 2025)</vt:lpstr>
      <vt:lpstr>(01)</vt:lpstr>
      <vt:lpstr>01,12 R1</vt:lpstr>
      <vt:lpstr>01,12 R2</vt:lpstr>
      <vt:lpstr>01,12 R3</vt:lpstr>
      <vt:lpstr>(2)</vt:lpstr>
      <vt:lpstr>02,12 R1</vt:lpstr>
      <vt:lpstr>02,12 R2</vt:lpstr>
      <vt:lpstr>02,12 R3</vt:lpstr>
      <vt:lpstr>(3)</vt:lpstr>
      <vt:lpstr>03,12 R1</vt:lpstr>
      <vt:lpstr>03,12 R2</vt:lpstr>
      <vt:lpstr>03,12 R3</vt:lpstr>
      <vt:lpstr>(4)</vt:lpstr>
      <vt:lpstr>04,12 R1</vt:lpstr>
      <vt:lpstr>04,12 R2</vt:lpstr>
      <vt:lpstr>04,12 R3</vt:lpstr>
      <vt:lpstr>(5)</vt:lpstr>
      <vt:lpstr>05,12 R1</vt:lpstr>
      <vt:lpstr>05,12 R2</vt:lpstr>
      <vt:lpstr>05,12 R3</vt:lpstr>
      <vt:lpstr>(6)</vt:lpstr>
      <vt:lpstr>06,12 R1</vt:lpstr>
      <vt:lpstr>06,12 R2</vt:lpstr>
      <vt:lpstr>06,12 R3</vt:lpstr>
      <vt:lpstr>(8)</vt:lpstr>
      <vt:lpstr>08,12 R1</vt:lpstr>
      <vt:lpstr>08,12 R2</vt:lpstr>
      <vt:lpstr>08,12 R3</vt:lpstr>
      <vt:lpstr>(9)</vt:lpstr>
      <vt:lpstr>09,12 R1</vt:lpstr>
      <vt:lpstr>09,12 R2</vt:lpstr>
      <vt:lpstr>09,12 R3</vt:lpstr>
      <vt:lpstr>(10)</vt:lpstr>
      <vt:lpstr>10,12 R1 No Trip</vt:lpstr>
      <vt:lpstr>10,12 R2</vt:lpstr>
      <vt:lpstr>10,12 R3</vt:lpstr>
      <vt:lpstr>(11)</vt:lpstr>
      <vt:lpstr>11,12 R1</vt:lpstr>
      <vt:lpstr>11,12 R2</vt:lpstr>
      <vt:lpstr>11,12 R3</vt:lpstr>
      <vt:lpstr>(12)</vt:lpstr>
      <vt:lpstr>12,12 R1</vt:lpstr>
      <vt:lpstr>12,12 R2</vt:lpstr>
      <vt:lpstr>12,12 R3</vt:lpstr>
      <vt:lpstr>(13)</vt:lpstr>
      <vt:lpstr>13,12 R1</vt:lpstr>
      <vt:lpstr>13,12 R2</vt:lpstr>
      <vt:lpstr>13,12 R3</vt:lpstr>
      <vt:lpstr>(15)</vt:lpstr>
      <vt:lpstr>15,12 R1</vt:lpstr>
      <vt:lpstr>15,12 R2</vt:lpstr>
      <vt:lpstr>15,12 R3</vt:lpstr>
      <vt:lpstr>(16)</vt:lpstr>
      <vt:lpstr>16,12 R1</vt:lpstr>
      <vt:lpstr>16,12 R2</vt:lpstr>
      <vt:lpstr>16,12 R3</vt:lpstr>
      <vt:lpstr>(17)</vt:lpstr>
      <vt:lpstr>17,12 R1</vt:lpstr>
      <vt:lpstr>17,12 R2</vt:lpstr>
      <vt:lpstr>17,12 R3</vt:lpstr>
      <vt:lpstr>(18)</vt:lpstr>
      <vt:lpstr>18,12 R1</vt:lpstr>
      <vt:lpstr>18,12 R2</vt:lpstr>
      <vt:lpstr>18,12 R3</vt:lpstr>
      <vt:lpstr>(19)</vt:lpstr>
      <vt:lpstr>19,12 R1</vt:lpstr>
      <vt:lpstr>19,12 R2</vt:lpstr>
      <vt:lpstr>19,12 R3</vt:lpstr>
      <vt:lpstr>(20)</vt:lpstr>
      <vt:lpstr>20,12 R1</vt:lpstr>
      <vt:lpstr>20,12 R2</vt:lpstr>
      <vt:lpstr>20,12 R3</vt:lpstr>
      <vt:lpstr>(22)</vt:lpstr>
      <vt:lpstr>22,12 R1</vt:lpstr>
      <vt:lpstr>22,12 R2</vt:lpstr>
      <vt:lpstr>22,12 R3</vt:lpstr>
      <vt:lpstr>(23)</vt:lpstr>
      <vt:lpstr>23,12 R1</vt:lpstr>
      <vt:lpstr>23,12 R2</vt:lpstr>
      <vt:lpstr>23,12 R3</vt:lpstr>
      <vt:lpstr>(24)</vt:lpstr>
      <vt:lpstr>24,12 R1</vt:lpstr>
      <vt:lpstr>24,12 R2</vt:lpstr>
      <vt:lpstr>24,12 R3</vt:lpstr>
      <vt:lpstr>(25 No Trip)</vt:lpstr>
      <vt:lpstr>25,12 R1 No Trip</vt:lpstr>
      <vt:lpstr>25,12 R2 No Trip</vt:lpstr>
      <vt:lpstr>25,12 R3 No Trip</vt:lpstr>
      <vt:lpstr>(26)</vt:lpstr>
      <vt:lpstr>26,12 R1</vt:lpstr>
      <vt:lpstr>26,12 R2</vt:lpstr>
      <vt:lpstr>26,12 R3</vt:lpstr>
      <vt:lpstr>(27)</vt:lpstr>
      <vt:lpstr>27,12 R1-A</vt:lpstr>
      <vt:lpstr>27,12 R1-B</vt:lpstr>
      <vt:lpstr>27,12 R2</vt:lpstr>
      <vt:lpstr>27,12 R3</vt:lpstr>
      <vt:lpstr>(29) No Trip</vt:lpstr>
      <vt:lpstr>29,12 R1 No Trip</vt:lpstr>
      <vt:lpstr>29,12 R2 No Trip</vt:lpstr>
      <vt:lpstr>29,12 R3 No Trip</vt:lpstr>
      <vt:lpstr>(30)</vt:lpstr>
      <vt:lpstr>30,12 R1</vt:lpstr>
      <vt:lpstr>30,12 R1-B</vt:lpstr>
      <vt:lpstr>30,12 R2 NO TRIP</vt:lpstr>
      <vt:lpstr>30,12 R3</vt:lpstr>
      <vt:lpstr>(31)</vt:lpstr>
      <vt:lpstr>31,12 R1</vt:lpstr>
      <vt:lpstr>31,12 R2 NO TRIP</vt:lpstr>
      <vt:lpstr>31,12 R3 NO TRIP</vt:lpstr>
      <vt:lpstr>'(01)'!Print_Area</vt:lpstr>
      <vt:lpstr>'(10)'!Print_Area</vt:lpstr>
      <vt:lpstr>'(11)'!Print_Area</vt:lpstr>
      <vt:lpstr>'(12)'!Print_Area</vt:lpstr>
      <vt:lpstr>'(13)'!Print_Area</vt:lpstr>
      <vt:lpstr>'(15)'!Print_Area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'(22)'!Print_Area</vt:lpstr>
      <vt:lpstr>'(23)'!Print_Area</vt:lpstr>
      <vt:lpstr>'(24)'!Print_Area</vt:lpstr>
      <vt:lpstr>'(25 No Trip)'!Print_Area</vt:lpstr>
      <vt:lpstr>'(26)'!Print_Area</vt:lpstr>
      <vt:lpstr>'(27)'!Print_Area</vt:lpstr>
      <vt:lpstr>'(29) No Trip'!Print_Area</vt:lpstr>
      <vt:lpstr>'(3)'!Print_Area</vt:lpstr>
      <vt:lpstr>'(30)'!Print_Area</vt:lpstr>
      <vt:lpstr>'(31)'!Print_Area</vt:lpstr>
      <vt:lpstr>'(4)'!Print_Area</vt:lpstr>
      <vt:lpstr>'(5)'!Print_Area</vt:lpstr>
      <vt:lpstr>'(6)'!Print_Area</vt:lpstr>
      <vt:lpstr>'(8)'!Print_Area</vt:lpstr>
      <vt:lpstr>'(9)'!Print_Area</vt:lpstr>
      <vt:lpstr>'01,12 R1'!Print_Area</vt:lpstr>
      <vt:lpstr>'01,12 R2'!Print_Area</vt:lpstr>
      <vt:lpstr>'01,12 R3'!Print_Area</vt:lpstr>
      <vt:lpstr>'02,12 R1'!Print_Area</vt:lpstr>
      <vt:lpstr>'02,12 R2'!Print_Area</vt:lpstr>
      <vt:lpstr>'02,12 R3'!Print_Area</vt:lpstr>
      <vt:lpstr>'03,12 R1'!Print_Area</vt:lpstr>
      <vt:lpstr>'03,12 R2'!Print_Area</vt:lpstr>
      <vt:lpstr>'03,12 R3'!Print_Area</vt:lpstr>
      <vt:lpstr>'04,12 R1'!Print_Area</vt:lpstr>
      <vt:lpstr>'04,12 R2'!Print_Area</vt:lpstr>
      <vt:lpstr>'04,12 R3'!Print_Area</vt:lpstr>
      <vt:lpstr>'05,12 R1'!Print_Area</vt:lpstr>
      <vt:lpstr>'05,12 R2'!Print_Area</vt:lpstr>
      <vt:lpstr>'05,12 R3'!Print_Area</vt:lpstr>
      <vt:lpstr>'06,12 R1'!Print_Area</vt:lpstr>
      <vt:lpstr>'06,12 R2'!Print_Area</vt:lpstr>
      <vt:lpstr>'06,12 R3'!Print_Area</vt:lpstr>
      <vt:lpstr>'08,12 R1'!Print_Area</vt:lpstr>
      <vt:lpstr>'08,12 R2'!Print_Area</vt:lpstr>
      <vt:lpstr>'08,12 R3'!Print_Area</vt:lpstr>
      <vt:lpstr>'09,12 R1'!Print_Area</vt:lpstr>
      <vt:lpstr>'09,12 R2'!Print_Area</vt:lpstr>
      <vt:lpstr>'09,12 R3'!Print_Area</vt:lpstr>
      <vt:lpstr>'10,12 R1 No Trip'!Print_Area</vt:lpstr>
      <vt:lpstr>'10,12 R2'!Print_Area</vt:lpstr>
      <vt:lpstr>'10,12 R3'!Print_Area</vt:lpstr>
      <vt:lpstr>'11,12 R1'!Print_Area</vt:lpstr>
      <vt:lpstr>'11,12 R2'!Print_Area</vt:lpstr>
      <vt:lpstr>'11,12 R3'!Print_Area</vt:lpstr>
      <vt:lpstr>'12,12 R1'!Print_Area</vt:lpstr>
      <vt:lpstr>'12,12 R2'!Print_Area</vt:lpstr>
      <vt:lpstr>'12,12 R3'!Print_Area</vt:lpstr>
      <vt:lpstr>'13,12 R1'!Print_Area</vt:lpstr>
      <vt:lpstr>'13,12 R2'!Print_Area</vt:lpstr>
      <vt:lpstr>'13,12 R3'!Print_Area</vt:lpstr>
      <vt:lpstr>'15,12 R1'!Print_Area</vt:lpstr>
      <vt:lpstr>'15,12 R2'!Print_Area</vt:lpstr>
      <vt:lpstr>'15,12 R3'!Print_Area</vt:lpstr>
      <vt:lpstr>'16,12 R1'!Print_Area</vt:lpstr>
      <vt:lpstr>'16,12 R2'!Print_Area</vt:lpstr>
      <vt:lpstr>'16,12 R3'!Print_Area</vt:lpstr>
      <vt:lpstr>'17,12 R1'!Print_Area</vt:lpstr>
      <vt:lpstr>'17,12 R2'!Print_Area</vt:lpstr>
      <vt:lpstr>'17,12 R3'!Print_Area</vt:lpstr>
      <vt:lpstr>'18,12 R1'!Print_Area</vt:lpstr>
      <vt:lpstr>'18,12 R2'!Print_Area</vt:lpstr>
      <vt:lpstr>'18,12 R3'!Print_Area</vt:lpstr>
      <vt:lpstr>'19,12 R1'!Print_Area</vt:lpstr>
      <vt:lpstr>'19,12 R2'!Print_Area</vt:lpstr>
      <vt:lpstr>'19,12 R3'!Print_Area</vt:lpstr>
      <vt:lpstr>'20,12 R1'!Print_Area</vt:lpstr>
      <vt:lpstr>'20,12 R2'!Print_Area</vt:lpstr>
      <vt:lpstr>'20,12 R3'!Print_Area</vt:lpstr>
      <vt:lpstr>'22,12 R1'!Print_Area</vt:lpstr>
      <vt:lpstr>'22,12 R2'!Print_Area</vt:lpstr>
      <vt:lpstr>'22,12 R3'!Print_Area</vt:lpstr>
      <vt:lpstr>'23,12 R1'!Print_Area</vt:lpstr>
      <vt:lpstr>'23,12 R2'!Print_Area</vt:lpstr>
      <vt:lpstr>'23,12 R3'!Print_Area</vt:lpstr>
      <vt:lpstr>'24,12 R1'!Print_Area</vt:lpstr>
      <vt:lpstr>'24,12 R2'!Print_Area</vt:lpstr>
      <vt:lpstr>'24,12 R3'!Print_Area</vt:lpstr>
      <vt:lpstr>'25,12 R1 No Trip'!Print_Area</vt:lpstr>
      <vt:lpstr>'25,12 R2 No Trip'!Print_Area</vt:lpstr>
      <vt:lpstr>'25,12 R3 No Trip'!Print_Area</vt:lpstr>
      <vt:lpstr>'26,12 R1'!Print_Area</vt:lpstr>
      <vt:lpstr>'26,12 R2'!Print_Area</vt:lpstr>
      <vt:lpstr>'26,12 R3'!Print_Area</vt:lpstr>
      <vt:lpstr>'27,12 R1-A'!Print_Area</vt:lpstr>
      <vt:lpstr>'27,12 R1-B'!Print_Area</vt:lpstr>
      <vt:lpstr>'27,12 R2'!Print_Area</vt:lpstr>
      <vt:lpstr>'27,12 R3'!Print_Area</vt:lpstr>
      <vt:lpstr>'29,12 R1 No Trip'!Print_Area</vt:lpstr>
      <vt:lpstr>'29,12 R2 No Trip'!Print_Area</vt:lpstr>
      <vt:lpstr>'29,12 R3 No Trip'!Print_Area</vt:lpstr>
      <vt:lpstr>'30,12 R1'!Print_Area</vt:lpstr>
      <vt:lpstr>'30,12 R1-B'!Print_Area</vt:lpstr>
      <vt:lpstr>'30,12 R2 NO TRIP'!Print_Area</vt:lpstr>
      <vt:lpstr>'30,12 R3'!Print_Area</vt:lpstr>
      <vt:lpstr>'31,12 R1'!Print_Area</vt:lpstr>
      <vt:lpstr>'31,12 R2 NO TRIP'!Print_Area</vt:lpstr>
      <vt:lpstr>'31,12 R3 NO TRIP'!Print_Area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2026-01-02T07:27:44Z</cp:lastPrinted>
  <dcterms:created xsi:type="dcterms:W3CDTF">2024-09-01T23:36:50Z</dcterms:created>
  <dcterms:modified xsi:type="dcterms:W3CDTF">2026-01-02T07:28:24Z</dcterms:modified>
</cp:coreProperties>
</file>