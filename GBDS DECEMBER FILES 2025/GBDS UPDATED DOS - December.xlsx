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6B866A8-108B-4E59-BE1D-F1CFCAFEE230}" xr6:coauthVersionLast="45" xr6:coauthVersionMax="47" xr10:uidLastSave="{00000000-0000-0000-0000-000000000000}"/>
  <bookViews>
    <workbookView xWindow="-120" yWindow="-120" windowWidth="29040" windowHeight="15840" firstSheet="7" activeTab="16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164" l="1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7" i="164" l="1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<sst xmlns="http://schemas.openxmlformats.org/spreadsheetml/2006/main" count="2397" uniqueCount="134">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</sst>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202464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178488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-202464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174816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129780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-174816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191808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179820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167832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-179820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283705.95999999996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f>19040+35379</f>
        <v>54419</v>
      </c>
      <c r="Q77" s="262"/>
      <c r="R77" s="152"/>
      <c r="S77" s="159" t="s">
        <v>108</v>
      </c>
      <c r="T77" s="248">
        <f>IF(SUM(X12:X68)*0.15&gt;P77,P77,SUM(X12:X68)*0.15)</f>
        <v>54419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f>754956</f>
        <v>754956</v>
      </c>
      <c r="Q79" s="262"/>
      <c r="R79" s="152"/>
      <c r="S79" s="159" t="s">
        <v>112</v>
      </c>
      <c r="T79" s="248">
        <f>T77+T73+T75</f>
        <v>110674.04000000001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2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2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1093080.96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3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3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201132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177156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-201132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3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3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1418790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185004</v>
      </c>
      <c r="P73" s="244"/>
      <c r="Q73" s="245"/>
      <c r="R73" s="152"/>
      <c r="S73" s="159" t="s">
        <v>104</v>
      </c>
      <c r="T73" s="248">
        <f>SUM(Y12:Y68)</f>
        <v>54592.880000000005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1418790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5292</v>
      </c>
      <c r="P75" s="244"/>
      <c r="Q75" s="245"/>
      <c r="R75" s="152"/>
      <c r="S75" s="159" t="s">
        <v>129</v>
      </c>
      <c r="T75" s="248">
        <f>SUM(Z12:Z70)</f>
        <v>3820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974241.12000000011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f>212364-11232</f>
        <v>201132</v>
      </c>
      <c r="Q79" s="262"/>
      <c r="R79" s="152"/>
      <c r="S79" s="159" t="s">
        <v>112</v>
      </c>
      <c r="T79" s="248">
        <f>T77+T73+T75</f>
        <v>58412.880000000005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4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4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1317381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49501.83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1317381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3426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1060657.17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52927.83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119880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1176996.96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1296876.96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155844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155844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1141032.96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1251992.46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44884.5</v>
      </c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1353132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90072</v>
      </c>
      <c r="P73" s="244"/>
      <c r="Q73" s="245"/>
      <c r="R73" s="152"/>
      <c r="S73" s="159" t="s">
        <v>104</v>
      </c>
      <c r="T73" s="248">
        <f>SUM(Y12:Y68)</f>
        <v>52583.040000000001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1353132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59940</v>
      </c>
      <c r="P75" s="244"/>
      <c r="Q75" s="245"/>
      <c r="R75" s="152"/>
      <c r="S75" s="159" t="s">
        <v>129</v>
      </c>
      <c r="T75" s="248">
        <f>SUM(Z12:Z70)</f>
        <v>3672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1206804.96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56255.040000000001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1363925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160668</v>
      </c>
      <c r="P73" s="244"/>
      <c r="Q73" s="245"/>
      <c r="R73" s="152"/>
      <c r="S73" s="159" t="s">
        <v>104</v>
      </c>
      <c r="T73" s="248">
        <f>SUM(Y12:Y68)</f>
        <v>51940.560000000012</v>
      </c>
      <c r="U73" s="24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1223957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118548</v>
      </c>
      <c r="P75" s="244"/>
      <c r="Q75" s="245"/>
      <c r="R75" s="152"/>
      <c r="S75" s="159" t="s">
        <v>129</v>
      </c>
      <c r="T75" s="248">
        <f>SUM(Z12:Z70)</f>
        <v>3614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1147702.44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55554.560000000012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133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132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2025-12-22T04:13:49Z</dcterms:modified>
</cp:coreProperties>
</file>