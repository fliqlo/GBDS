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2AC31314-5A3F-45A6-B5A3-7BFA53404BE0}" xr6:coauthVersionLast="45" xr6:coauthVersionMax="47" xr10:uidLastSave="{00000000-0000-0000-0000-000000000000}"/>
  <bookViews>
    <workbookView xWindow="-120" yWindow="-120" windowWidth="29040" windowHeight="15840" firstSheet="3" activeTab="12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60" l="1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T79" i="160" l="1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<sst xmlns="http://schemas.openxmlformats.org/spreadsheetml/2006/main" count="1833" uniqueCount="134">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</sst>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5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5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202464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178488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-202464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6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6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174816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129780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-174816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7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7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191808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-203796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8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8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179820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167832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-179820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9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9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1353132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1353132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179820</v>
      </c>
      <c r="P75" s="248"/>
      <c r="Q75" s="249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283705.95999999996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>
        <f>19040+35379</f>
        <v>54419</v>
      </c>
      <c r="Q77" s="252"/>
      <c r="R77" s="152"/>
      <c r="S77" s="159" t="s">
        <v>108</v>
      </c>
      <c r="T77" s="253">
        <f>IF(SUM(X12:X68)*0.15&gt;P77,P77,SUM(X12:X68)*0.15)</f>
        <v>54419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>
        <f>754956</f>
        <v>754956</v>
      </c>
      <c r="Q79" s="252"/>
      <c r="R79" s="152"/>
      <c r="S79" s="159" t="s">
        <v>112</v>
      </c>
      <c r="T79" s="253">
        <f>T77+T73+T75</f>
        <v>110674.04000000001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0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0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1353132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1353132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179820</v>
      </c>
      <c r="P75" s="248"/>
      <c r="Q75" s="249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1093080.96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56255.040000000001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1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1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1353132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1353132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179820</v>
      </c>
      <c r="P75" s="248"/>
      <c r="Q75" s="249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1093080.96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56255.040000000001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2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2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1353132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1353132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179820</v>
      </c>
      <c r="P75" s="248"/>
      <c r="Q75" s="249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1093080.96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56255.040000000001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3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3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201132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177156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-201132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3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3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1418790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185004</v>
      </c>
      <c r="P73" s="248"/>
      <c r="Q73" s="249"/>
      <c r="R73" s="152"/>
      <c r="S73" s="159" t="s">
        <v>104</v>
      </c>
      <c r="T73" s="253">
        <f>SUM(Y12:Y68)</f>
        <v>54592.880000000005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1418790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5292</v>
      </c>
      <c r="P75" s="248"/>
      <c r="Q75" s="249"/>
      <c r="R75" s="152"/>
      <c r="S75" s="159" t="s">
        <v>129</v>
      </c>
      <c r="T75" s="253">
        <f>SUM(Z12:Z70)</f>
        <v>3820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974241.12000000011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>
        <f>212364-11232</f>
        <v>201132</v>
      </c>
      <c r="Q79" s="252"/>
      <c r="R79" s="152"/>
      <c r="S79" s="159" t="s">
        <v>112</v>
      </c>
      <c r="T79" s="253">
        <f>T77+T73+T75</f>
        <v>58412.880000000005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4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4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1317381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49501.83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1317381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0</v>
      </c>
      <c r="P75" s="248"/>
      <c r="Q75" s="249"/>
      <c r="R75" s="152"/>
      <c r="S75" s="159" t="s">
        <v>129</v>
      </c>
      <c r="T75" s="253">
        <f>SUM(Z12:Z70)</f>
        <v>3426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1060657.17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52927.83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5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5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1353132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119880</v>
      </c>
      <c r="P73" s="248"/>
      <c r="Q73" s="249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1353132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0</v>
      </c>
      <c r="P75" s="248"/>
      <c r="Q75" s="249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1176996.96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56255.040000000001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abSelected="1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6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6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1353132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0</v>
      </c>
      <c r="P73" s="248"/>
      <c r="Q73" s="249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1353132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0</v>
      </c>
      <c r="P75" s="248"/>
      <c r="Q75" s="249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1296876.96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56255.040000000001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133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132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2025-12-17T04:54:19Z</dcterms:modified>
</cp:coreProperties>
</file>