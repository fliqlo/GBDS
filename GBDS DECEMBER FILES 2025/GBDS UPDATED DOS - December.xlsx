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13E52AA-7EEB-426E-9A1B-349273992B6A}" xr6:coauthVersionLast="45" xr6:coauthVersionMax="47" xr10:uidLastSave="{00000000-0000-0000-0000-000000000000}"/>
  <bookViews>
    <workbookView xWindow="-120" yWindow="-120" windowWidth="29040" windowHeight="15840" firstSheet="5" activeTab="14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2" l="1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O73" i="162" l="1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<sst xmlns="http://schemas.openxmlformats.org/spreadsheetml/2006/main" count="2115" uniqueCount="134">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</sst>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5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5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202464</v>
      </c>
      <c r="P73" s="250"/>
      <c r="Q73" s="251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178488</v>
      </c>
      <c r="P75" s="250"/>
      <c r="Q75" s="251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-202464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0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6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6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174816</v>
      </c>
      <c r="P73" s="250"/>
      <c r="Q73" s="251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129780</v>
      </c>
      <c r="P75" s="250"/>
      <c r="Q75" s="251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-174816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0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7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7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191808</v>
      </c>
      <c r="P75" s="250"/>
      <c r="Q75" s="251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-203796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0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8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8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179820</v>
      </c>
      <c r="P73" s="250"/>
      <c r="Q73" s="251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167832</v>
      </c>
      <c r="P75" s="250"/>
      <c r="Q75" s="251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-179820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0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199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199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179820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283705.95999999996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>
        <f>19040+35379</f>
        <v>54419</v>
      </c>
      <c r="Q77" s="254"/>
      <c r="R77" s="152"/>
      <c r="S77" s="159" t="s">
        <v>108</v>
      </c>
      <c r="T77" s="255">
        <f>IF(SUM(X12:X68)*0.15&gt;P77,P77,SUM(X12:X68)*0.15)</f>
        <v>54419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>
        <f>754956</f>
        <v>754956</v>
      </c>
      <c r="Q79" s="254"/>
      <c r="R79" s="152"/>
      <c r="S79" s="159" t="s">
        <v>112</v>
      </c>
      <c r="T79" s="255">
        <f>T77+T73+T75</f>
        <v>110674.04000000001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0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0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179820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1093080.96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56255.040000000001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1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1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179820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1093080.96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56255.040000000001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2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2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179820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1093080.96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56255.040000000001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3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3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0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201132</v>
      </c>
      <c r="P73" s="250"/>
      <c r="Q73" s="251"/>
      <c r="R73" s="152"/>
      <c r="S73" s="159" t="s">
        <v>104</v>
      </c>
      <c r="T73" s="255">
        <f>SUM(Y12:Y68)</f>
        <v>0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0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177156</v>
      </c>
      <c r="P75" s="250"/>
      <c r="Q75" s="251"/>
      <c r="R75" s="152"/>
      <c r="S75" s="159" t="s">
        <v>129</v>
      </c>
      <c r="T75" s="255">
        <f>SUM(Z12:Z70)</f>
        <v>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-201132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0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3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3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1418790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185004</v>
      </c>
      <c r="P73" s="250"/>
      <c r="Q73" s="251"/>
      <c r="R73" s="152"/>
      <c r="S73" s="159" t="s">
        <v>104</v>
      </c>
      <c r="T73" s="255">
        <f>SUM(Y12:Y68)</f>
        <v>54592.880000000005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1418790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5292</v>
      </c>
      <c r="P75" s="250"/>
      <c r="Q75" s="251"/>
      <c r="R75" s="152"/>
      <c r="S75" s="159" t="s">
        <v>129</v>
      </c>
      <c r="T75" s="255">
        <f>SUM(Z12:Z70)</f>
        <v>3820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974241.12000000011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>
        <f>212364-11232</f>
        <v>201132</v>
      </c>
      <c r="Q79" s="254"/>
      <c r="R79" s="152"/>
      <c r="S79" s="159" t="s">
        <v>112</v>
      </c>
      <c r="T79" s="255">
        <f>T77+T73+T75</f>
        <v>58412.880000000005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4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4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1317381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203796</v>
      </c>
      <c r="P73" s="250"/>
      <c r="Q73" s="251"/>
      <c r="R73" s="152"/>
      <c r="S73" s="159" t="s">
        <v>104</v>
      </c>
      <c r="T73" s="255">
        <f>SUM(Y12:Y68)</f>
        <v>49501.83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1317381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0</v>
      </c>
      <c r="P75" s="250"/>
      <c r="Q75" s="251"/>
      <c r="R75" s="152"/>
      <c r="S75" s="159" t="s">
        <v>129</v>
      </c>
      <c r="T75" s="255">
        <f>SUM(Z12:Z70)</f>
        <v>3426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1060657.17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52927.83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5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5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119880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0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1176996.96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56255.040000000001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6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6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0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0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1296876.96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56255.040000000001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7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7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155844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155844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1141032.96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/>
      <c r="Q79" s="254"/>
      <c r="R79" s="152"/>
      <c r="S79" s="159" t="s">
        <v>112</v>
      </c>
      <c r="T79" s="255">
        <f>T77+T73+T75</f>
        <v>56255.040000000001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9" t="s">
        <v>130</v>
      </c>
      <c r="G2" s="299"/>
      <c r="H2" s="299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6" t="s">
        <v>1</v>
      </c>
      <c r="U2" s="7"/>
      <c r="W2" s="25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0"/>
      <c r="G4" s="300"/>
      <c r="H4" s="300"/>
      <c r="I4" s="300"/>
      <c r="J4" s="300"/>
      <c r="K4" s="300"/>
      <c r="L4" s="300"/>
      <c r="M4" s="300"/>
      <c r="S4" s="2" t="s">
        <v>4</v>
      </c>
      <c r="T4" s="301"/>
      <c r="U4" s="301"/>
      <c r="W4" s="25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2"/>
      <c r="G6" s="302"/>
      <c r="H6" s="302"/>
      <c r="I6" s="302"/>
      <c r="J6" s="302"/>
      <c r="K6" s="302"/>
      <c r="L6" s="302"/>
      <c r="M6" s="302"/>
      <c r="S6" s="11" t="s">
        <v>6</v>
      </c>
      <c r="T6" s="208" t="s">
        <v>7</v>
      </c>
      <c r="U6" s="12" t="s">
        <v>131</v>
      </c>
      <c r="W6" s="25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2"/>
      <c r="G7" s="302"/>
      <c r="H7" s="302"/>
      <c r="I7" s="302"/>
      <c r="J7" s="302"/>
      <c r="K7" s="302"/>
      <c r="L7" s="302"/>
      <c r="M7" s="302"/>
      <c r="N7" s="14"/>
      <c r="O7" s="14"/>
      <c r="P7" s="14"/>
      <c r="Q7" s="15"/>
      <c r="S7" s="14"/>
      <c r="T7" s="208" t="s">
        <v>11</v>
      </c>
      <c r="U7" s="12"/>
      <c r="W7" s="25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1" t="s">
        <v>14</v>
      </c>
      <c r="C9" s="274" t="s">
        <v>15</v>
      </c>
      <c r="D9" s="274" t="s">
        <v>16</v>
      </c>
      <c r="E9" s="274" t="s">
        <v>17</v>
      </c>
      <c r="F9" s="277" t="s">
        <v>18</v>
      </c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9"/>
      <c r="S9" s="277" t="s">
        <v>19</v>
      </c>
      <c r="T9" s="278"/>
      <c r="U9" s="279"/>
      <c r="X9" s="284" t="s">
        <v>20</v>
      </c>
      <c r="Y9" s="287" t="s">
        <v>21</v>
      </c>
      <c r="Z9" s="287" t="s">
        <v>128</v>
      </c>
      <c r="AA9" s="17"/>
      <c r="AB9" s="264" t="s">
        <v>22</v>
      </c>
      <c r="AC9" s="290" t="s">
        <v>23</v>
      </c>
      <c r="AD9" s="293" t="s">
        <v>24</v>
      </c>
      <c r="AE9" s="264" t="s">
        <v>25</v>
      </c>
      <c r="AG9" s="264" t="s">
        <v>26</v>
      </c>
      <c r="AH9" s="17"/>
      <c r="AI9" s="264" t="s">
        <v>27</v>
      </c>
    </row>
    <row r="10" spans="2:35" s="16" customFormat="1" ht="20.25" customHeight="1" x14ac:dyDescent="0.25">
      <c r="B10" s="272"/>
      <c r="C10" s="275"/>
      <c r="D10" s="275"/>
      <c r="E10" s="275"/>
      <c r="F10" s="281" t="s">
        <v>28</v>
      </c>
      <c r="G10" s="281" t="s">
        <v>29</v>
      </c>
      <c r="H10" s="281" t="s">
        <v>30</v>
      </c>
      <c r="I10" s="282" t="s">
        <v>31</v>
      </c>
      <c r="J10" s="282" t="s">
        <v>32</v>
      </c>
      <c r="K10" s="282" t="s">
        <v>33</v>
      </c>
      <c r="L10" s="282" t="s">
        <v>34</v>
      </c>
      <c r="M10" s="296" t="s">
        <v>35</v>
      </c>
      <c r="N10" s="297"/>
      <c r="O10" s="297"/>
      <c r="P10" s="297"/>
      <c r="Q10" s="298"/>
      <c r="S10" s="267" t="s">
        <v>36</v>
      </c>
      <c r="T10" s="268"/>
      <c r="U10" s="269"/>
      <c r="X10" s="285"/>
      <c r="Y10" s="288"/>
      <c r="Z10" s="288"/>
      <c r="AA10" s="17"/>
      <c r="AB10" s="265"/>
      <c r="AC10" s="291"/>
      <c r="AD10" s="294"/>
      <c r="AE10" s="265"/>
      <c r="AG10" s="265"/>
      <c r="AH10" s="17"/>
      <c r="AI10" s="265"/>
    </row>
    <row r="11" spans="2:35" s="21" customFormat="1" ht="12.75" customHeight="1" thickBot="1" x14ac:dyDescent="0.3">
      <c r="B11" s="273"/>
      <c r="C11" s="276"/>
      <c r="D11" s="276"/>
      <c r="E11" s="276"/>
      <c r="F11" s="276"/>
      <c r="G11" s="276"/>
      <c r="H11" s="276"/>
      <c r="I11" s="283"/>
      <c r="J11" s="283"/>
      <c r="K11" s="283"/>
      <c r="L11" s="28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6"/>
      <c r="Y11" s="289"/>
      <c r="Z11" s="289"/>
      <c r="AA11" s="17"/>
      <c r="AB11" s="266"/>
      <c r="AC11" s="292"/>
      <c r="AD11" s="295"/>
      <c r="AE11" s="266"/>
      <c r="AG11" s="280"/>
      <c r="AH11" s="17"/>
      <c r="AI11" s="26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0" t="s">
        <v>101</v>
      </c>
      <c r="C71" s="270"/>
      <c r="D71" s="270"/>
      <c r="E71" s="270"/>
      <c r="F71" s="270"/>
      <c r="G71" s="27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0">
        <f>SUM(I12:I70)</f>
        <v>1353132</v>
      </c>
      <c r="G73" s="250"/>
      <c r="H73" s="250"/>
      <c r="I73" s="251"/>
      <c r="J73" s="158"/>
      <c r="K73" s="158"/>
      <c r="L73" s="158"/>
      <c r="M73" s="262" t="s">
        <v>103</v>
      </c>
      <c r="N73" s="263"/>
      <c r="O73" s="250">
        <f>SUM(Q12:Q70)</f>
        <v>0</v>
      </c>
      <c r="P73" s="250"/>
      <c r="Q73" s="251"/>
      <c r="R73" s="152"/>
      <c r="S73" s="159" t="s">
        <v>104</v>
      </c>
      <c r="T73" s="255">
        <f>SUM(Y12:Y68)</f>
        <v>52583.040000000001</v>
      </c>
      <c r="U73" s="25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0">
        <f>SUM(I14:I72)</f>
        <v>1353132</v>
      </c>
      <c r="G75" s="250"/>
      <c r="H75" s="250"/>
      <c r="I75" s="251"/>
      <c r="J75" s="158"/>
      <c r="K75" s="158"/>
      <c r="L75" s="158"/>
      <c r="M75" s="262" t="s">
        <v>103</v>
      </c>
      <c r="N75" s="263"/>
      <c r="O75" s="250">
        <f>SUM(Q14:Q72)</f>
        <v>0</v>
      </c>
      <c r="P75" s="250"/>
      <c r="Q75" s="251"/>
      <c r="R75" s="152"/>
      <c r="S75" s="159" t="s">
        <v>129</v>
      </c>
      <c r="T75" s="255">
        <f>SUM(Z12:Z70)</f>
        <v>3672</v>
      </c>
      <c r="U75" s="25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0">
        <f>IF(U7&gt;0,"",(F73-O73-T79-P79))</f>
        <v>1251992.46</v>
      </c>
      <c r="G77" s="250"/>
      <c r="H77" s="250"/>
      <c r="I77" s="251"/>
      <c r="J77" s="164"/>
      <c r="K77" s="164"/>
      <c r="L77" s="164"/>
      <c r="M77" s="252" t="s">
        <v>106</v>
      </c>
      <c r="N77" s="252"/>
      <c r="O77" s="168" t="s">
        <v>107</v>
      </c>
      <c r="P77" s="253"/>
      <c r="Q77" s="254"/>
      <c r="R77" s="152"/>
      <c r="S77" s="159" t="s">
        <v>108</v>
      </c>
      <c r="T77" s="255">
        <f>IF(SUM(X12:X68)*0.15&gt;P77,P77,SUM(X12:X68)*0.15)</f>
        <v>0</v>
      </c>
      <c r="U77" s="256"/>
      <c r="V77" s="160"/>
      <c r="W77" s="25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0"/>
      <c r="G79" s="250"/>
      <c r="H79" s="250"/>
      <c r="I79" s="251"/>
      <c r="J79" s="164"/>
      <c r="K79" s="164"/>
      <c r="L79" s="164"/>
      <c r="M79" s="260" t="str">
        <f>IF(U6&gt;0,"",T4+30)</f>
        <v/>
      </c>
      <c r="N79" s="261"/>
      <c r="O79" s="168" t="s">
        <v>111</v>
      </c>
      <c r="P79" s="253">
        <v>44884.5</v>
      </c>
      <c r="Q79" s="254"/>
      <c r="R79" s="152"/>
      <c r="S79" s="159" t="s">
        <v>112</v>
      </c>
      <c r="T79" s="255">
        <f>T77+T73+T75</f>
        <v>56255.040000000001</v>
      </c>
      <c r="U79" s="256"/>
      <c r="V79" s="160"/>
      <c r="W79" s="25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7" t="s">
        <v>113</v>
      </c>
      <c r="C81" s="228"/>
      <c r="D81" s="228"/>
      <c r="E81" s="228"/>
      <c r="F81" s="228"/>
      <c r="G81" s="228"/>
      <c r="H81" s="229"/>
      <c r="I81" s="236" t="s">
        <v>114</v>
      </c>
      <c r="J81" s="171"/>
      <c r="K81" s="171"/>
      <c r="L81" s="171"/>
      <c r="M81" s="238"/>
      <c r="N81" s="241" t="s">
        <v>115</v>
      </c>
      <c r="O81" s="244"/>
      <c r="P81" s="238"/>
      <c r="Q81" s="221" t="s">
        <v>116</v>
      </c>
      <c r="R81" s="247"/>
      <c r="S81" s="218"/>
      <c r="T81" s="221" t="s">
        <v>117</v>
      </c>
      <c r="U81" s="224"/>
    </row>
    <row r="82" spans="2:21" ht="15" customHeight="1" x14ac:dyDescent="0.25">
      <c r="B82" s="230"/>
      <c r="C82" s="231"/>
      <c r="D82" s="231"/>
      <c r="E82" s="231"/>
      <c r="F82" s="231"/>
      <c r="G82" s="231"/>
      <c r="H82" s="232"/>
      <c r="I82" s="215"/>
      <c r="J82" s="2"/>
      <c r="K82" s="2"/>
      <c r="L82" s="2"/>
      <c r="M82" s="239"/>
      <c r="N82" s="242"/>
      <c r="O82" s="245"/>
      <c r="P82" s="239"/>
      <c r="Q82" s="222"/>
      <c r="R82" s="248"/>
      <c r="S82" s="219"/>
      <c r="T82" s="222"/>
      <c r="U82" s="225"/>
    </row>
    <row r="83" spans="2:21" ht="15.75" customHeight="1" thickBot="1" x14ac:dyDescent="0.3">
      <c r="B83" s="233"/>
      <c r="C83" s="234"/>
      <c r="D83" s="234"/>
      <c r="E83" s="234"/>
      <c r="F83" s="234"/>
      <c r="G83" s="234"/>
      <c r="H83" s="235"/>
      <c r="I83" s="237"/>
      <c r="J83" s="172"/>
      <c r="K83" s="172"/>
      <c r="L83" s="172"/>
      <c r="M83" s="240"/>
      <c r="N83" s="243"/>
      <c r="O83" s="246"/>
      <c r="P83" s="240"/>
      <c r="Q83" s="223"/>
      <c r="R83" s="249"/>
      <c r="S83" s="220"/>
      <c r="T83" s="223"/>
      <c r="U83" s="22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9" t="s">
        <v>133</v>
      </c>
      <c r="C88" s="210"/>
      <c r="D88" s="210"/>
      <c r="E88" s="210"/>
      <c r="F88" s="210"/>
      <c r="G88" s="210"/>
      <c r="H88" s="210"/>
      <c r="I88" s="211"/>
      <c r="J88" s="185"/>
      <c r="K88" s="185"/>
      <c r="L88" s="185"/>
      <c r="M88" s="209"/>
      <c r="N88" s="210"/>
      <c r="O88" s="210"/>
      <c r="P88" s="210"/>
      <c r="Q88" s="211"/>
      <c r="R88" s="187"/>
      <c r="S88" s="188"/>
      <c r="T88" s="188"/>
      <c r="U88" s="189"/>
    </row>
    <row r="89" spans="2:21" ht="18" x14ac:dyDescent="0.25">
      <c r="B89" s="212" t="s">
        <v>122</v>
      </c>
      <c r="C89" s="213"/>
      <c r="D89" s="213"/>
      <c r="E89" s="213"/>
      <c r="F89" s="213"/>
      <c r="G89" s="213"/>
      <c r="H89" s="213"/>
      <c r="I89" s="214"/>
      <c r="M89" s="212" t="s">
        <v>122</v>
      </c>
      <c r="N89" s="213"/>
      <c r="O89" s="213"/>
      <c r="P89" s="213"/>
      <c r="Q89" s="214"/>
      <c r="R89" s="215" t="s">
        <v>123</v>
      </c>
      <c r="S89" s="216"/>
      <c r="T89" s="216"/>
      <c r="U89" s="21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9" t="s">
        <v>132</v>
      </c>
      <c r="C93" s="210"/>
      <c r="D93" s="210"/>
      <c r="E93" s="210"/>
      <c r="F93" s="210"/>
      <c r="G93" s="210"/>
      <c r="H93" s="210"/>
      <c r="I93" s="21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2" t="s">
        <v>126</v>
      </c>
      <c r="C94" s="213"/>
      <c r="D94" s="213"/>
      <c r="E94" s="213"/>
      <c r="F94" s="213"/>
      <c r="G94" s="213"/>
      <c r="H94" s="213"/>
      <c r="I94" s="214"/>
      <c r="M94" s="179"/>
      <c r="Q94" s="180"/>
      <c r="R94" s="215" t="s">
        <v>127</v>
      </c>
      <c r="S94" s="216"/>
      <c r="T94" s="216"/>
      <c r="U94" s="21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2025-12-19T00:22:56Z</dcterms:modified>
</cp:coreProperties>
</file>