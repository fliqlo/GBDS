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F57AAA54-D95E-4F50-BA60-E863B8A941DC}" xr6:coauthVersionLast="45" xr6:coauthVersionMax="47" xr10:uidLastSave="{00000000-0000-0000-0000-000000000000}"/>
  <bookViews>
    <workbookView xWindow="-120" yWindow="-120" windowWidth="29040" windowHeight="15840" firstSheet="9" activeTab="18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  <sheet name="12-17-2025-B" sheetId="160" r:id="rId13"/>
    <sheet name="12-18-2025" sheetId="161" r:id="rId14"/>
    <sheet name="12-19-2025" sheetId="162" r:id="rId15"/>
    <sheet name="12-19-2025 (2)" sheetId="163" r:id="rId16"/>
    <sheet name="12-22-2025" sheetId="164" r:id="rId17"/>
    <sheet name="12-23-2025" sheetId="165" r:id="rId18"/>
    <sheet name="12-24-2025" sheetId="166" r:id="rId19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  <definedName name="_xlnm.Print_Area" localSheetId="12">'12-17-2025-B'!$A$1:$V$97</definedName>
    <definedName name="_xlnm.Print_Area" localSheetId="13">'12-18-2025'!$A$1:$V$97</definedName>
    <definedName name="_xlnm.Print_Area" localSheetId="14">'12-19-2025'!$A$1:$V$97</definedName>
    <definedName name="_xlnm.Print_Area" localSheetId="15">'12-19-2025 (2)'!$A$1:$V$97</definedName>
    <definedName name="_xlnm.Print_Area" localSheetId="16">'12-22-2025'!$A$1:$V$97</definedName>
    <definedName name="_xlnm.Print_Area" localSheetId="17">'12-23-2025'!$A$1:$V$97</definedName>
    <definedName name="_xlnm.Print_Area" localSheetId="18">'12-24-2025'!$A$1:$V$97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66" l="1"/>
  <c r="W73" i="166"/>
  <c r="P71" i="166"/>
  <c r="Q70" i="166"/>
  <c r="P70" i="166"/>
  <c r="H70" i="166"/>
  <c r="E70" i="166"/>
  <c r="I70" i="166" s="1"/>
  <c r="Q69" i="166"/>
  <c r="P69" i="166"/>
  <c r="I69" i="166"/>
  <c r="H69" i="166"/>
  <c r="E69" i="166"/>
  <c r="AD68" i="166"/>
  <c r="AC68" i="166"/>
  <c r="AB68" i="166"/>
  <c r="AE68" i="166" s="1"/>
  <c r="AI68" i="166" s="1"/>
  <c r="Y68" i="166" s="1"/>
  <c r="Z68" i="166"/>
  <c r="X68" i="166"/>
  <c r="W68" i="166"/>
  <c r="Q68" i="166"/>
  <c r="P68" i="166"/>
  <c r="H68" i="166"/>
  <c r="E68" i="166"/>
  <c r="I68" i="166" s="1"/>
  <c r="AI67" i="166"/>
  <c r="Y67" i="166" s="1"/>
  <c r="AE67" i="166"/>
  <c r="AD67" i="166"/>
  <c r="AC67" i="166"/>
  <c r="AB67" i="166"/>
  <c r="Z67" i="166"/>
  <c r="X67" i="166"/>
  <c r="Q67" i="166"/>
  <c r="P67" i="166"/>
  <c r="H67" i="166"/>
  <c r="E67" i="166"/>
  <c r="I67" i="166" s="1"/>
  <c r="AD66" i="166"/>
  <c r="AC66" i="166"/>
  <c r="AB66" i="166"/>
  <c r="AE66" i="166" s="1"/>
  <c r="AI66" i="166" s="1"/>
  <c r="Y66" i="166" s="1"/>
  <c r="Z66" i="166"/>
  <c r="X66" i="166"/>
  <c r="Q66" i="166"/>
  <c r="P66" i="166"/>
  <c r="H66" i="166"/>
  <c r="E66" i="166"/>
  <c r="I66" i="166" s="1"/>
  <c r="AD65" i="166"/>
  <c r="AC65" i="166"/>
  <c r="AB65" i="166"/>
  <c r="AE65" i="166" s="1"/>
  <c r="AI65" i="166" s="1"/>
  <c r="Y65" i="166" s="1"/>
  <c r="Z65" i="166"/>
  <c r="X65" i="166"/>
  <c r="Q65" i="166"/>
  <c r="P65" i="166"/>
  <c r="H65" i="166"/>
  <c r="E65" i="166"/>
  <c r="I65" i="166" s="1"/>
  <c r="AD64" i="166"/>
  <c r="AC64" i="166"/>
  <c r="AE64" i="166" s="1"/>
  <c r="AI64" i="166" s="1"/>
  <c r="Y64" i="166" s="1"/>
  <c r="AB64" i="166"/>
  <c r="Z64" i="166"/>
  <c r="X64" i="166"/>
  <c r="Q64" i="166"/>
  <c r="P64" i="166"/>
  <c r="I64" i="166"/>
  <c r="H64" i="166"/>
  <c r="E64" i="166"/>
  <c r="AD63" i="166"/>
  <c r="AC63" i="166"/>
  <c r="AB63" i="166"/>
  <c r="AE63" i="166" s="1"/>
  <c r="AI63" i="166" s="1"/>
  <c r="Y63" i="166" s="1"/>
  <c r="Z63" i="166"/>
  <c r="X63" i="166"/>
  <c r="Q63" i="166"/>
  <c r="P63" i="166"/>
  <c r="H63" i="166"/>
  <c r="E63" i="166"/>
  <c r="I63" i="166" s="1"/>
  <c r="AI62" i="166"/>
  <c r="Y62" i="166" s="1"/>
  <c r="AE62" i="166"/>
  <c r="AD62" i="166"/>
  <c r="AC62" i="166"/>
  <c r="AB62" i="166"/>
  <c r="Z62" i="166"/>
  <c r="X62" i="166"/>
  <c r="Q62" i="166"/>
  <c r="P62" i="166"/>
  <c r="I62" i="166"/>
  <c r="H62" i="166"/>
  <c r="E62" i="166"/>
  <c r="AC61" i="166"/>
  <c r="AE61" i="166" s="1"/>
  <c r="AI61" i="166" s="1"/>
  <c r="Y61" i="166" s="1"/>
  <c r="AB61" i="166"/>
  <c r="X61" i="166"/>
  <c r="Q61" i="166"/>
  <c r="P61" i="166"/>
  <c r="I61" i="166"/>
  <c r="H61" i="166"/>
  <c r="E61" i="166"/>
  <c r="AE60" i="166"/>
  <c r="AI60" i="166" s="1"/>
  <c r="Y60" i="166" s="1"/>
  <c r="X60" i="166"/>
  <c r="Q60" i="166"/>
  <c r="P60" i="166"/>
  <c r="I60" i="166"/>
  <c r="H60" i="166"/>
  <c r="E60" i="166"/>
  <c r="AC59" i="166"/>
  <c r="AB59" i="166"/>
  <c r="AE59" i="166" s="1"/>
  <c r="AI59" i="166" s="1"/>
  <c r="Y59" i="166" s="1"/>
  <c r="X59" i="166"/>
  <c r="Q59" i="166"/>
  <c r="P59" i="166"/>
  <c r="H59" i="166"/>
  <c r="E59" i="166"/>
  <c r="I59" i="166" s="1"/>
  <c r="AC58" i="166"/>
  <c r="AB58" i="166"/>
  <c r="AE58" i="166" s="1"/>
  <c r="AI58" i="166" s="1"/>
  <c r="Y58" i="166" s="1"/>
  <c r="X58" i="166"/>
  <c r="Q58" i="166"/>
  <c r="P58" i="166"/>
  <c r="E58" i="166"/>
  <c r="I58" i="166" s="1"/>
  <c r="AC57" i="166"/>
  <c r="AB57" i="166"/>
  <c r="AE57" i="166" s="1"/>
  <c r="AI57" i="166" s="1"/>
  <c r="Y57" i="166" s="1"/>
  <c r="X57" i="166"/>
  <c r="Q57" i="166"/>
  <c r="P57" i="166"/>
  <c r="I57" i="166"/>
  <c r="H57" i="166"/>
  <c r="E57" i="166"/>
  <c r="AD56" i="166"/>
  <c r="AC56" i="166"/>
  <c r="AB56" i="166"/>
  <c r="AE56" i="166" s="1"/>
  <c r="AI56" i="166" s="1"/>
  <c r="Y56" i="166" s="1"/>
  <c r="Z56" i="166"/>
  <c r="X56" i="166"/>
  <c r="Q56" i="166"/>
  <c r="P56" i="166"/>
  <c r="H56" i="166"/>
  <c r="E56" i="166"/>
  <c r="I56" i="166" s="1"/>
  <c r="AE55" i="166"/>
  <c r="AI55" i="166" s="1"/>
  <c r="Y55" i="166" s="1"/>
  <c r="AD55" i="166"/>
  <c r="AC55" i="166"/>
  <c r="AB55" i="166"/>
  <c r="Z55" i="166"/>
  <c r="X55" i="166"/>
  <c r="Q55" i="166"/>
  <c r="P55" i="166"/>
  <c r="H55" i="166"/>
  <c r="E55" i="166"/>
  <c r="I55" i="166" s="1"/>
  <c r="AD54" i="166"/>
  <c r="AC54" i="166"/>
  <c r="AB54" i="166"/>
  <c r="AE54" i="166" s="1"/>
  <c r="AI54" i="166" s="1"/>
  <c r="Y54" i="166" s="1"/>
  <c r="Z54" i="166"/>
  <c r="X54" i="166"/>
  <c r="Q54" i="166"/>
  <c r="P54" i="166"/>
  <c r="I54" i="166"/>
  <c r="H54" i="166"/>
  <c r="E54" i="166"/>
  <c r="AD53" i="166"/>
  <c r="AC53" i="166"/>
  <c r="AE53" i="166" s="1"/>
  <c r="AI53" i="166" s="1"/>
  <c r="Y53" i="166" s="1"/>
  <c r="AB53" i="166"/>
  <c r="Z53" i="166"/>
  <c r="X53" i="166"/>
  <c r="Q53" i="166"/>
  <c r="P53" i="166"/>
  <c r="H53" i="166"/>
  <c r="E53" i="166"/>
  <c r="I53" i="166" s="1"/>
  <c r="AI52" i="166"/>
  <c r="Y52" i="166" s="1"/>
  <c r="AE52" i="166"/>
  <c r="Z52" i="166"/>
  <c r="X52" i="166"/>
  <c r="Q52" i="166"/>
  <c r="P52" i="166"/>
  <c r="H52" i="166"/>
  <c r="E52" i="166"/>
  <c r="I52" i="166" s="1"/>
  <c r="AI51" i="166"/>
  <c r="Y51" i="166" s="1"/>
  <c r="AE51" i="166"/>
  <c r="AD51" i="166"/>
  <c r="AC51" i="166"/>
  <c r="AB51" i="166"/>
  <c r="Z51" i="166"/>
  <c r="X51" i="166"/>
  <c r="Q51" i="166"/>
  <c r="P51" i="166"/>
  <c r="H51" i="166"/>
  <c r="E51" i="166"/>
  <c r="I51" i="166" s="1"/>
  <c r="AD50" i="166"/>
  <c r="AC50" i="166"/>
  <c r="AB50" i="166"/>
  <c r="AE50" i="166" s="1"/>
  <c r="AI50" i="166" s="1"/>
  <c r="Y50" i="166" s="1"/>
  <c r="Z50" i="166"/>
  <c r="X50" i="166"/>
  <c r="Q50" i="166"/>
  <c r="P50" i="166"/>
  <c r="H50" i="166"/>
  <c r="E50" i="166"/>
  <c r="I50" i="166" s="1"/>
  <c r="AI49" i="166"/>
  <c r="Y49" i="166" s="1"/>
  <c r="AE49" i="166"/>
  <c r="Z49" i="166"/>
  <c r="X49" i="166"/>
  <c r="Q49" i="166"/>
  <c r="P49" i="166"/>
  <c r="I49" i="166"/>
  <c r="H49" i="166"/>
  <c r="E49" i="166"/>
  <c r="AI48" i="166"/>
  <c r="Y48" i="166" s="1"/>
  <c r="AE48" i="166"/>
  <c r="Z48" i="166"/>
  <c r="X48" i="166"/>
  <c r="Q48" i="166"/>
  <c r="P48" i="166"/>
  <c r="I48" i="166"/>
  <c r="H48" i="166"/>
  <c r="E48" i="166"/>
  <c r="AE47" i="166"/>
  <c r="AI47" i="166" s="1"/>
  <c r="Y47" i="166" s="1"/>
  <c r="Z47" i="166"/>
  <c r="X47" i="166"/>
  <c r="Q47" i="166"/>
  <c r="P47" i="166"/>
  <c r="I47" i="166"/>
  <c r="H47" i="166"/>
  <c r="E47" i="166"/>
  <c r="AD46" i="166"/>
  <c r="AC46" i="166"/>
  <c r="AB46" i="166"/>
  <c r="AE46" i="166" s="1"/>
  <c r="AI46" i="166" s="1"/>
  <c r="Y46" i="166" s="1"/>
  <c r="Z46" i="166"/>
  <c r="X46" i="166"/>
  <c r="Q46" i="166"/>
  <c r="P46" i="166"/>
  <c r="I46" i="166"/>
  <c r="H46" i="166"/>
  <c r="E46" i="166"/>
  <c r="AE45" i="166"/>
  <c r="AI45" i="166" s="1"/>
  <c r="Y45" i="166" s="1"/>
  <c r="AD45" i="166"/>
  <c r="AC45" i="166"/>
  <c r="AB45" i="166"/>
  <c r="Z45" i="166"/>
  <c r="X45" i="166"/>
  <c r="Q45" i="166"/>
  <c r="P45" i="166"/>
  <c r="I45" i="166"/>
  <c r="H45" i="166"/>
  <c r="E45" i="166"/>
  <c r="AD44" i="166"/>
  <c r="AC44" i="166"/>
  <c r="AB44" i="166"/>
  <c r="AE44" i="166" s="1"/>
  <c r="AI44" i="166" s="1"/>
  <c r="Y44" i="166" s="1"/>
  <c r="Z44" i="166"/>
  <c r="X44" i="166"/>
  <c r="Q44" i="166"/>
  <c r="P44" i="166"/>
  <c r="H44" i="166"/>
  <c r="E44" i="166"/>
  <c r="I44" i="166" s="1"/>
  <c r="AE43" i="166"/>
  <c r="AI43" i="166" s="1"/>
  <c r="Y43" i="166" s="1"/>
  <c r="AD43" i="166"/>
  <c r="AC43" i="166"/>
  <c r="AB43" i="166"/>
  <c r="Z43" i="166"/>
  <c r="X43" i="166"/>
  <c r="Q43" i="166"/>
  <c r="P43" i="166"/>
  <c r="H43" i="166"/>
  <c r="E43" i="166"/>
  <c r="I43" i="166" s="1"/>
  <c r="AD42" i="166"/>
  <c r="AC42" i="166"/>
  <c r="AB42" i="166"/>
  <c r="AE42" i="166" s="1"/>
  <c r="AI42" i="166" s="1"/>
  <c r="Y42" i="166" s="1"/>
  <c r="Z42" i="166"/>
  <c r="X42" i="166"/>
  <c r="Q42" i="166"/>
  <c r="P42" i="166"/>
  <c r="I42" i="166"/>
  <c r="H42" i="166"/>
  <c r="E42" i="166"/>
  <c r="AD41" i="166"/>
  <c r="AC41" i="166"/>
  <c r="AE41" i="166" s="1"/>
  <c r="AI41" i="166" s="1"/>
  <c r="Y41" i="166" s="1"/>
  <c r="AB41" i="166"/>
  <c r="Z41" i="166"/>
  <c r="X41" i="166"/>
  <c r="Q41" i="166"/>
  <c r="P41" i="166"/>
  <c r="H41" i="166"/>
  <c r="E41" i="166"/>
  <c r="I41" i="166" s="1"/>
  <c r="AD40" i="166"/>
  <c r="AC40" i="166"/>
  <c r="AB40" i="166"/>
  <c r="AE40" i="166" s="1"/>
  <c r="AI40" i="166" s="1"/>
  <c r="Y40" i="166" s="1"/>
  <c r="Z40" i="166"/>
  <c r="X40" i="166"/>
  <c r="Q40" i="166"/>
  <c r="P40" i="166"/>
  <c r="I40" i="166"/>
  <c r="H40" i="166"/>
  <c r="E40" i="166"/>
  <c r="AD39" i="166"/>
  <c r="AC39" i="166"/>
  <c r="AE39" i="166" s="1"/>
  <c r="AI39" i="166" s="1"/>
  <c r="Y39" i="166" s="1"/>
  <c r="AB39" i="166"/>
  <c r="Z39" i="166"/>
  <c r="X39" i="166"/>
  <c r="Q39" i="166"/>
  <c r="P39" i="166"/>
  <c r="H39" i="166"/>
  <c r="E39" i="166"/>
  <c r="I39" i="166" s="1"/>
  <c r="AI38" i="166"/>
  <c r="Y38" i="166" s="1"/>
  <c r="AE38" i="166"/>
  <c r="AD38" i="166"/>
  <c r="AC38" i="166"/>
  <c r="AB38" i="166"/>
  <c r="Z38" i="166"/>
  <c r="X38" i="166"/>
  <c r="Q38" i="166"/>
  <c r="P38" i="166"/>
  <c r="H38" i="166"/>
  <c r="E38" i="166"/>
  <c r="I38" i="166" s="1"/>
  <c r="AD37" i="166"/>
  <c r="AC37" i="166"/>
  <c r="AB37" i="166"/>
  <c r="AE37" i="166" s="1"/>
  <c r="AI37" i="166" s="1"/>
  <c r="Y37" i="166" s="1"/>
  <c r="Z37" i="166"/>
  <c r="X37" i="166"/>
  <c r="Q37" i="166"/>
  <c r="P37" i="166"/>
  <c r="H37" i="166"/>
  <c r="E37" i="166"/>
  <c r="I37" i="166" s="1"/>
  <c r="AD36" i="166"/>
  <c r="AC36" i="166"/>
  <c r="AB36" i="166"/>
  <c r="AE36" i="166" s="1"/>
  <c r="AI36" i="166" s="1"/>
  <c r="Y36" i="166" s="1"/>
  <c r="Z36" i="166"/>
  <c r="X36" i="166"/>
  <c r="Q36" i="166"/>
  <c r="P36" i="166"/>
  <c r="H36" i="166"/>
  <c r="E36" i="166"/>
  <c r="I36" i="166" s="1"/>
  <c r="AD35" i="166"/>
  <c r="AC35" i="166"/>
  <c r="AE35" i="166" s="1"/>
  <c r="AI35" i="166" s="1"/>
  <c r="Y35" i="166" s="1"/>
  <c r="AB35" i="166"/>
  <c r="Z35" i="166"/>
  <c r="X35" i="166"/>
  <c r="Q35" i="166"/>
  <c r="P35" i="166"/>
  <c r="I35" i="166"/>
  <c r="H35" i="166"/>
  <c r="E35" i="166"/>
  <c r="AD34" i="166"/>
  <c r="AC34" i="166"/>
  <c r="AB34" i="166"/>
  <c r="AE34" i="166" s="1"/>
  <c r="AI34" i="166" s="1"/>
  <c r="Y34" i="166" s="1"/>
  <c r="Z34" i="166"/>
  <c r="X34" i="166"/>
  <c r="Q34" i="166"/>
  <c r="P34" i="166"/>
  <c r="H34" i="166"/>
  <c r="E34" i="166"/>
  <c r="I34" i="166" s="1"/>
  <c r="AI33" i="166"/>
  <c r="Y33" i="166" s="1"/>
  <c r="AE33" i="166"/>
  <c r="AD33" i="166"/>
  <c r="AC33" i="166"/>
  <c r="AB33" i="166"/>
  <c r="Z33" i="166"/>
  <c r="X33" i="166"/>
  <c r="Q33" i="166"/>
  <c r="P33" i="166"/>
  <c r="I33" i="166"/>
  <c r="H33" i="166"/>
  <c r="E33" i="166"/>
  <c r="AD32" i="166"/>
  <c r="AE32" i="166" s="1"/>
  <c r="AI32" i="166" s="1"/>
  <c r="Y32" i="166" s="1"/>
  <c r="AC32" i="166"/>
  <c r="AB32" i="166"/>
  <c r="Z32" i="166"/>
  <c r="X32" i="166"/>
  <c r="Q32" i="166"/>
  <c r="P32" i="166"/>
  <c r="H32" i="166"/>
  <c r="E32" i="166"/>
  <c r="I32" i="166" s="1"/>
  <c r="AE31" i="166"/>
  <c r="AI31" i="166" s="1"/>
  <c r="Y31" i="166" s="1"/>
  <c r="Z31" i="166"/>
  <c r="X31" i="166"/>
  <c r="Q31" i="166"/>
  <c r="P31" i="166"/>
  <c r="I31" i="166"/>
  <c r="H31" i="166"/>
  <c r="E31" i="166"/>
  <c r="AE30" i="166"/>
  <c r="AI30" i="166" s="1"/>
  <c r="Y30" i="166" s="1"/>
  <c r="AD30" i="166"/>
  <c r="AC30" i="166"/>
  <c r="AB30" i="166"/>
  <c r="Z30" i="166"/>
  <c r="X30" i="166"/>
  <c r="Q30" i="166"/>
  <c r="P30" i="166"/>
  <c r="I30" i="166"/>
  <c r="H30" i="166"/>
  <c r="E30" i="166"/>
  <c r="AD29" i="166"/>
  <c r="AC29" i="166"/>
  <c r="AB29" i="166"/>
  <c r="AE29" i="166" s="1"/>
  <c r="AI29" i="166" s="1"/>
  <c r="Y29" i="166" s="1"/>
  <c r="Z29" i="166"/>
  <c r="X29" i="166"/>
  <c r="Q29" i="166"/>
  <c r="P29" i="166"/>
  <c r="H29" i="166"/>
  <c r="E29" i="166"/>
  <c r="I29" i="166" s="1"/>
  <c r="AE28" i="166"/>
  <c r="AI28" i="166" s="1"/>
  <c r="Y28" i="166" s="1"/>
  <c r="AD28" i="166"/>
  <c r="AC28" i="166"/>
  <c r="AB28" i="166"/>
  <c r="Z28" i="166"/>
  <c r="X28" i="166"/>
  <c r="Q28" i="166"/>
  <c r="P28" i="166"/>
  <c r="H28" i="166"/>
  <c r="E28" i="166"/>
  <c r="I28" i="166" s="1"/>
  <c r="AD27" i="166"/>
  <c r="AC27" i="166"/>
  <c r="AB27" i="166"/>
  <c r="AE27" i="166" s="1"/>
  <c r="AI27" i="166" s="1"/>
  <c r="Y27" i="166" s="1"/>
  <c r="Z27" i="166"/>
  <c r="X27" i="166"/>
  <c r="Q27" i="166"/>
  <c r="P27" i="166"/>
  <c r="I27" i="166"/>
  <c r="H27" i="166"/>
  <c r="E27" i="166"/>
  <c r="AD26" i="166"/>
  <c r="AC26" i="166"/>
  <c r="AE26" i="166" s="1"/>
  <c r="AI26" i="166" s="1"/>
  <c r="Y26" i="166" s="1"/>
  <c r="AB26" i="166"/>
  <c r="Z26" i="166"/>
  <c r="X26" i="166"/>
  <c r="Q26" i="166"/>
  <c r="P26" i="166"/>
  <c r="H26" i="166"/>
  <c r="E26" i="166"/>
  <c r="I26" i="166" s="1"/>
  <c r="AD25" i="166"/>
  <c r="AC25" i="166"/>
  <c r="AB25" i="166"/>
  <c r="AE25" i="166" s="1"/>
  <c r="AI25" i="166" s="1"/>
  <c r="Y25" i="166" s="1"/>
  <c r="Z25" i="166"/>
  <c r="X25" i="166"/>
  <c r="Q25" i="166"/>
  <c r="P25" i="166"/>
  <c r="I25" i="166"/>
  <c r="H25" i="166"/>
  <c r="E25" i="166"/>
  <c r="AD24" i="166"/>
  <c r="AC24" i="166"/>
  <c r="AE24" i="166" s="1"/>
  <c r="AI24" i="166" s="1"/>
  <c r="Y24" i="166" s="1"/>
  <c r="AB24" i="166"/>
  <c r="Z24" i="166"/>
  <c r="X24" i="166"/>
  <c r="Q24" i="166"/>
  <c r="P24" i="166"/>
  <c r="H24" i="166"/>
  <c r="E24" i="166"/>
  <c r="I24" i="166" s="1"/>
  <c r="AI23" i="166"/>
  <c r="Y23" i="166" s="1"/>
  <c r="AE23" i="166"/>
  <c r="AD23" i="166"/>
  <c r="AC23" i="166"/>
  <c r="AB23" i="166"/>
  <c r="Z23" i="166"/>
  <c r="X23" i="166"/>
  <c r="Q23" i="166"/>
  <c r="P23" i="166"/>
  <c r="H23" i="166"/>
  <c r="E23" i="166"/>
  <c r="I23" i="166" s="1"/>
  <c r="AD22" i="166"/>
  <c r="AC22" i="166"/>
  <c r="AB22" i="166"/>
  <c r="AE22" i="166" s="1"/>
  <c r="AI22" i="166" s="1"/>
  <c r="Y22" i="166" s="1"/>
  <c r="Z22" i="166"/>
  <c r="X22" i="166"/>
  <c r="Q22" i="166"/>
  <c r="P22" i="166"/>
  <c r="H22" i="166"/>
  <c r="E22" i="166"/>
  <c r="I22" i="166" s="1"/>
  <c r="AD21" i="166"/>
  <c r="AC21" i="166"/>
  <c r="AB21" i="166"/>
  <c r="AE21" i="166" s="1"/>
  <c r="AI21" i="166" s="1"/>
  <c r="Y21" i="166" s="1"/>
  <c r="Z21" i="166"/>
  <c r="X21" i="166"/>
  <c r="Q21" i="166"/>
  <c r="P21" i="166"/>
  <c r="H21" i="166"/>
  <c r="E21" i="166"/>
  <c r="I21" i="166" s="1"/>
  <c r="AD20" i="166"/>
  <c r="AC20" i="166"/>
  <c r="AE20" i="166" s="1"/>
  <c r="AI20" i="166" s="1"/>
  <c r="AB20" i="166"/>
  <c r="Z20" i="166"/>
  <c r="X20" i="166"/>
  <c r="Q20" i="166"/>
  <c r="P20" i="166"/>
  <c r="I20" i="166"/>
  <c r="H20" i="166"/>
  <c r="Y20" i="166"/>
  <c r="E20" i="166"/>
  <c r="AE19" i="166"/>
  <c r="AI19" i="166" s="1"/>
  <c r="Y19" i="166" s="1"/>
  <c r="AD19" i="166"/>
  <c r="AC19" i="166"/>
  <c r="AB19" i="166"/>
  <c r="Z19" i="166"/>
  <c r="X19" i="166"/>
  <c r="Q19" i="166"/>
  <c r="P19" i="166"/>
  <c r="H19" i="166"/>
  <c r="E19" i="166"/>
  <c r="I19" i="166" s="1"/>
  <c r="AD18" i="166"/>
  <c r="AC18" i="166"/>
  <c r="AB18" i="166"/>
  <c r="AE18" i="166" s="1"/>
  <c r="AI18" i="166" s="1"/>
  <c r="Y18" i="166" s="1"/>
  <c r="Z18" i="166"/>
  <c r="X18" i="166"/>
  <c r="Q18" i="166"/>
  <c r="P18" i="166"/>
  <c r="H18" i="166"/>
  <c r="E18" i="166"/>
  <c r="I18" i="166" s="1"/>
  <c r="AE17" i="166"/>
  <c r="AI17" i="166" s="1"/>
  <c r="Y17" i="166" s="1"/>
  <c r="AD17" i="166"/>
  <c r="AC17" i="166"/>
  <c r="AB17" i="166"/>
  <c r="Z17" i="166"/>
  <c r="X17" i="166"/>
  <c r="Q17" i="166"/>
  <c r="P17" i="166"/>
  <c r="H17" i="166"/>
  <c r="E17" i="166"/>
  <c r="I17" i="166" s="1"/>
  <c r="AD16" i="166"/>
  <c r="AC16" i="166"/>
  <c r="AB16" i="166"/>
  <c r="AE16" i="166" s="1"/>
  <c r="AI16" i="166" s="1"/>
  <c r="Y16" i="166" s="1"/>
  <c r="Z16" i="166"/>
  <c r="X16" i="166"/>
  <c r="Q16" i="166"/>
  <c r="P16" i="166"/>
  <c r="I16" i="166"/>
  <c r="E16" i="166"/>
  <c r="AD15" i="166"/>
  <c r="AC15" i="166"/>
  <c r="AB15" i="166"/>
  <c r="AE15" i="166" s="1"/>
  <c r="AI15" i="166" s="1"/>
  <c r="Y15" i="166" s="1"/>
  <c r="Z15" i="166"/>
  <c r="X15" i="166"/>
  <c r="Q15" i="166"/>
  <c r="O75" i="166" s="1"/>
  <c r="P15" i="166"/>
  <c r="I15" i="166"/>
  <c r="E15" i="166"/>
  <c r="AD14" i="166"/>
  <c r="AC14" i="166"/>
  <c r="AB14" i="166"/>
  <c r="AE14" i="166" s="1"/>
  <c r="AI14" i="166" s="1"/>
  <c r="Y14" i="166" s="1"/>
  <c r="Z14" i="166"/>
  <c r="X14" i="166"/>
  <c r="Q14" i="166"/>
  <c r="P14" i="166"/>
  <c r="H14" i="166"/>
  <c r="E14" i="166"/>
  <c r="I14" i="166" s="1"/>
  <c r="AI13" i="166"/>
  <c r="Y13" i="166" s="1"/>
  <c r="AE13" i="166"/>
  <c r="AD13" i="166"/>
  <c r="AC13" i="166"/>
  <c r="AB13" i="166"/>
  <c r="Z13" i="166"/>
  <c r="X13" i="166"/>
  <c r="Q13" i="166"/>
  <c r="P13" i="166"/>
  <c r="H13" i="166"/>
  <c r="E13" i="166"/>
  <c r="I13" i="166" s="1"/>
  <c r="AD12" i="166"/>
  <c r="AC12" i="166"/>
  <c r="AE12" i="166" s="1"/>
  <c r="AI12" i="166" s="1"/>
  <c r="Y12" i="166" s="1"/>
  <c r="AB12" i="166"/>
  <c r="Z12" i="166"/>
  <c r="X12" i="166"/>
  <c r="Q12" i="166"/>
  <c r="P12" i="166"/>
  <c r="H12" i="166"/>
  <c r="E12" i="166"/>
  <c r="I12" i="166" s="1"/>
  <c r="T75" i="166" l="1"/>
  <c r="O73" i="166"/>
  <c r="F73" i="166"/>
  <c r="T77" i="166"/>
  <c r="F75" i="166"/>
  <c r="T73" i="166"/>
  <c r="T79" i="166" s="1"/>
  <c r="H71" i="166"/>
  <c r="F20" i="165"/>
  <c r="H20" i="165" s="1"/>
  <c r="M79" i="165"/>
  <c r="W73" i="165"/>
  <c r="P71" i="165"/>
  <c r="Q70" i="165"/>
  <c r="P70" i="165"/>
  <c r="H70" i="165"/>
  <c r="E70" i="165"/>
  <c r="I70" i="165" s="1"/>
  <c r="Q69" i="165"/>
  <c r="P69" i="165"/>
  <c r="I69" i="165"/>
  <c r="H69" i="165"/>
  <c r="E69" i="165"/>
  <c r="AD68" i="165"/>
  <c r="AC68" i="165"/>
  <c r="AB68" i="165"/>
  <c r="AE68" i="165" s="1"/>
  <c r="AI68" i="165" s="1"/>
  <c r="Y68" i="165" s="1"/>
  <c r="Z68" i="165"/>
  <c r="X68" i="165"/>
  <c r="W68" i="165"/>
  <c r="Q68" i="165"/>
  <c r="P68" i="165"/>
  <c r="H68" i="165"/>
  <c r="E68" i="165"/>
  <c r="I68" i="165" s="1"/>
  <c r="AE67" i="165"/>
  <c r="AI67" i="165" s="1"/>
  <c r="Y67" i="165" s="1"/>
  <c r="AD67" i="165"/>
  <c r="AC67" i="165"/>
  <c r="AB67" i="165"/>
  <c r="Z67" i="165"/>
  <c r="X67" i="165"/>
  <c r="Q67" i="165"/>
  <c r="P67" i="165"/>
  <c r="H67" i="165"/>
  <c r="E67" i="165"/>
  <c r="I67" i="165" s="1"/>
  <c r="AD66" i="165"/>
  <c r="AC66" i="165"/>
  <c r="AB66" i="165"/>
  <c r="AE66" i="165" s="1"/>
  <c r="AI66" i="165" s="1"/>
  <c r="Y66" i="165" s="1"/>
  <c r="Z66" i="165"/>
  <c r="X66" i="165"/>
  <c r="Q66" i="165"/>
  <c r="P66" i="165"/>
  <c r="H66" i="165"/>
  <c r="E66" i="165"/>
  <c r="I66" i="165" s="1"/>
  <c r="AD65" i="165"/>
  <c r="AC65" i="165"/>
  <c r="AB65" i="165"/>
  <c r="AE65" i="165" s="1"/>
  <c r="AI65" i="165" s="1"/>
  <c r="Y65" i="165" s="1"/>
  <c r="Z65" i="165"/>
  <c r="X65" i="165"/>
  <c r="Q65" i="165"/>
  <c r="P65" i="165"/>
  <c r="H65" i="165"/>
  <c r="E65" i="165"/>
  <c r="I65" i="165" s="1"/>
  <c r="AD64" i="165"/>
  <c r="AC64" i="165"/>
  <c r="AB64" i="165"/>
  <c r="AE64" i="165" s="1"/>
  <c r="AI64" i="165" s="1"/>
  <c r="Y64" i="165" s="1"/>
  <c r="Z64" i="165"/>
  <c r="X64" i="165"/>
  <c r="Q64" i="165"/>
  <c r="P64" i="165"/>
  <c r="I64" i="165"/>
  <c r="H64" i="165"/>
  <c r="E64" i="165"/>
  <c r="AD63" i="165"/>
  <c r="AE63" i="165" s="1"/>
  <c r="AI63" i="165" s="1"/>
  <c r="Y63" i="165" s="1"/>
  <c r="AC63" i="165"/>
  <c r="AB63" i="165"/>
  <c r="Z63" i="165"/>
  <c r="X63" i="165"/>
  <c r="Q63" i="165"/>
  <c r="P63" i="165"/>
  <c r="I63" i="165"/>
  <c r="H63" i="165"/>
  <c r="E63" i="165"/>
  <c r="AD62" i="165"/>
  <c r="AC62" i="165"/>
  <c r="AB62" i="165"/>
  <c r="AE62" i="165" s="1"/>
  <c r="AI62" i="165" s="1"/>
  <c r="Y62" i="165" s="1"/>
  <c r="Z62" i="165"/>
  <c r="X62" i="165"/>
  <c r="Q62" i="165"/>
  <c r="P62" i="165"/>
  <c r="H62" i="165"/>
  <c r="E62" i="165"/>
  <c r="I62" i="165" s="1"/>
  <c r="AE61" i="165"/>
  <c r="AI61" i="165" s="1"/>
  <c r="Y61" i="165" s="1"/>
  <c r="AC61" i="165"/>
  <c r="AB61" i="165"/>
  <c r="X61" i="165"/>
  <c r="Q61" i="165"/>
  <c r="P61" i="165"/>
  <c r="I61" i="165"/>
  <c r="H61" i="165"/>
  <c r="E61" i="165"/>
  <c r="AE60" i="165"/>
  <c r="AI60" i="165" s="1"/>
  <c r="Y60" i="165" s="1"/>
  <c r="X60" i="165"/>
  <c r="Q60" i="165"/>
  <c r="P60" i="165"/>
  <c r="I60" i="165"/>
  <c r="H60" i="165"/>
  <c r="E60" i="165"/>
  <c r="AC59" i="165"/>
  <c r="AB59" i="165"/>
  <c r="AE59" i="165" s="1"/>
  <c r="AI59" i="165" s="1"/>
  <c r="Y59" i="165" s="1"/>
  <c r="X59" i="165"/>
  <c r="Q59" i="165"/>
  <c r="P59" i="165"/>
  <c r="H59" i="165"/>
  <c r="E59" i="165"/>
  <c r="I59" i="165" s="1"/>
  <c r="AC58" i="165"/>
  <c r="AE58" i="165" s="1"/>
  <c r="AI58" i="165" s="1"/>
  <c r="Y58" i="165" s="1"/>
  <c r="AB58" i="165"/>
  <c r="X58" i="165"/>
  <c r="Q58" i="165"/>
  <c r="P58" i="165"/>
  <c r="E58" i="165"/>
  <c r="I58" i="165" s="1"/>
  <c r="AC57" i="165"/>
  <c r="AB57" i="165"/>
  <c r="AE57" i="165" s="1"/>
  <c r="AI57" i="165" s="1"/>
  <c r="Y57" i="165" s="1"/>
  <c r="X57" i="165"/>
  <c r="Q57" i="165"/>
  <c r="P57" i="165"/>
  <c r="I57" i="165"/>
  <c r="H57" i="165"/>
  <c r="E57" i="165"/>
  <c r="AD56" i="165"/>
  <c r="AC56" i="165"/>
  <c r="AB56" i="165"/>
  <c r="AE56" i="165" s="1"/>
  <c r="AI56" i="165" s="1"/>
  <c r="Y56" i="165" s="1"/>
  <c r="Z56" i="165"/>
  <c r="X56" i="165"/>
  <c r="Q56" i="165"/>
  <c r="P56" i="165"/>
  <c r="H56" i="165"/>
  <c r="E56" i="165"/>
  <c r="I56" i="165" s="1"/>
  <c r="AD55" i="165"/>
  <c r="AE55" i="165" s="1"/>
  <c r="AI55" i="165" s="1"/>
  <c r="Y55" i="165" s="1"/>
  <c r="AC55" i="165"/>
  <c r="AB55" i="165"/>
  <c r="Z55" i="165"/>
  <c r="X55" i="165"/>
  <c r="Q55" i="165"/>
  <c r="P55" i="165"/>
  <c r="H55" i="165"/>
  <c r="E55" i="165"/>
  <c r="I55" i="165" s="1"/>
  <c r="AD54" i="165"/>
  <c r="AC54" i="165"/>
  <c r="AE54" i="165" s="1"/>
  <c r="AI54" i="165" s="1"/>
  <c r="Y54" i="165" s="1"/>
  <c r="AB54" i="165"/>
  <c r="Z54" i="165"/>
  <c r="X54" i="165"/>
  <c r="Q54" i="165"/>
  <c r="P54" i="165"/>
  <c r="I54" i="165"/>
  <c r="H54" i="165"/>
  <c r="E54" i="165"/>
  <c r="AD53" i="165"/>
  <c r="AC53" i="165"/>
  <c r="AB53" i="165"/>
  <c r="AE53" i="165" s="1"/>
  <c r="AI53" i="165" s="1"/>
  <c r="Y53" i="165" s="1"/>
  <c r="Z53" i="165"/>
  <c r="X53" i="165"/>
  <c r="Q53" i="165"/>
  <c r="P53" i="165"/>
  <c r="H53" i="165"/>
  <c r="E53" i="165"/>
  <c r="I53" i="165" s="1"/>
  <c r="AI52" i="165"/>
  <c r="Y52" i="165" s="1"/>
  <c r="AE52" i="165"/>
  <c r="Z52" i="165"/>
  <c r="X52" i="165"/>
  <c r="Q52" i="165"/>
  <c r="P52" i="165"/>
  <c r="H52" i="165"/>
  <c r="E52" i="165"/>
  <c r="I52" i="165" s="1"/>
  <c r="AE51" i="165"/>
  <c r="AI51" i="165" s="1"/>
  <c r="Y51" i="165" s="1"/>
  <c r="AD51" i="165"/>
  <c r="AC51" i="165"/>
  <c r="AB51" i="165"/>
  <c r="Z51" i="165"/>
  <c r="X51" i="165"/>
  <c r="Q51" i="165"/>
  <c r="P51" i="165"/>
  <c r="H51" i="165"/>
  <c r="E51" i="165"/>
  <c r="I51" i="165" s="1"/>
  <c r="AD50" i="165"/>
  <c r="AC50" i="165"/>
  <c r="AB50" i="165"/>
  <c r="AE50" i="165" s="1"/>
  <c r="AI50" i="165" s="1"/>
  <c r="Y50" i="165" s="1"/>
  <c r="Z50" i="165"/>
  <c r="X50" i="165"/>
  <c r="Q50" i="165"/>
  <c r="P50" i="165"/>
  <c r="H50" i="165"/>
  <c r="E50" i="165"/>
  <c r="I50" i="165" s="1"/>
  <c r="AI49" i="165"/>
  <c r="AE49" i="165"/>
  <c r="Z49" i="165"/>
  <c r="Y49" i="165"/>
  <c r="X49" i="165"/>
  <c r="Q49" i="165"/>
  <c r="P49" i="165"/>
  <c r="I49" i="165"/>
  <c r="H49" i="165"/>
  <c r="E49" i="165"/>
  <c r="AE48" i="165"/>
  <c r="AI48" i="165" s="1"/>
  <c r="Y48" i="165" s="1"/>
  <c r="Z48" i="165"/>
  <c r="X48" i="165"/>
  <c r="Q48" i="165"/>
  <c r="P48" i="165"/>
  <c r="H48" i="165"/>
  <c r="E48" i="165"/>
  <c r="I48" i="165" s="1"/>
  <c r="AE47" i="165"/>
  <c r="AI47" i="165" s="1"/>
  <c r="Y47" i="165" s="1"/>
  <c r="Z47" i="165"/>
  <c r="X47" i="165"/>
  <c r="Q47" i="165"/>
  <c r="P47" i="165"/>
  <c r="I47" i="165"/>
  <c r="H47" i="165"/>
  <c r="E47" i="165"/>
  <c r="AD46" i="165"/>
  <c r="AC46" i="165"/>
  <c r="AB46" i="165"/>
  <c r="AE46" i="165" s="1"/>
  <c r="AI46" i="165" s="1"/>
  <c r="Y46" i="165" s="1"/>
  <c r="Z46" i="165"/>
  <c r="X46" i="165"/>
  <c r="Q46" i="165"/>
  <c r="P46" i="165"/>
  <c r="H46" i="165"/>
  <c r="E46" i="165"/>
  <c r="I46" i="165" s="1"/>
  <c r="AE45" i="165"/>
  <c r="AI45" i="165" s="1"/>
  <c r="Y45" i="165" s="1"/>
  <c r="AD45" i="165"/>
  <c r="AC45" i="165"/>
  <c r="AB45" i="165"/>
  <c r="Z45" i="165"/>
  <c r="X45" i="165"/>
  <c r="Q45" i="165"/>
  <c r="P45" i="165"/>
  <c r="I45" i="165"/>
  <c r="H45" i="165"/>
  <c r="E45" i="165"/>
  <c r="AD44" i="165"/>
  <c r="AC44" i="165"/>
  <c r="AB44" i="165"/>
  <c r="AE44" i="165" s="1"/>
  <c r="AI44" i="165" s="1"/>
  <c r="Y44" i="165" s="1"/>
  <c r="Z44" i="165"/>
  <c r="X44" i="165"/>
  <c r="Q44" i="165"/>
  <c r="P44" i="165"/>
  <c r="H44" i="165"/>
  <c r="E44" i="165"/>
  <c r="I44" i="165" s="1"/>
  <c r="AD43" i="165"/>
  <c r="AE43" i="165" s="1"/>
  <c r="AI43" i="165" s="1"/>
  <c r="Y43" i="165" s="1"/>
  <c r="AC43" i="165"/>
  <c r="AB43" i="165"/>
  <c r="Z43" i="165"/>
  <c r="X43" i="165"/>
  <c r="Q43" i="165"/>
  <c r="P43" i="165"/>
  <c r="H43" i="165"/>
  <c r="E43" i="165"/>
  <c r="I43" i="165" s="1"/>
  <c r="AD42" i="165"/>
  <c r="AC42" i="165"/>
  <c r="AE42" i="165" s="1"/>
  <c r="AI42" i="165" s="1"/>
  <c r="Y42" i="165" s="1"/>
  <c r="AB42" i="165"/>
  <c r="Z42" i="165"/>
  <c r="X42" i="165"/>
  <c r="Q42" i="165"/>
  <c r="P42" i="165"/>
  <c r="I42" i="165"/>
  <c r="H42" i="165"/>
  <c r="E42" i="165"/>
  <c r="AD41" i="165"/>
  <c r="AC41" i="165"/>
  <c r="AB41" i="165"/>
  <c r="AE41" i="165" s="1"/>
  <c r="AI41" i="165" s="1"/>
  <c r="Y41" i="165" s="1"/>
  <c r="Z41" i="165"/>
  <c r="X41" i="165"/>
  <c r="Q41" i="165"/>
  <c r="P41" i="165"/>
  <c r="H41" i="165"/>
  <c r="E41" i="165"/>
  <c r="I41" i="165" s="1"/>
  <c r="AD40" i="165"/>
  <c r="AC40" i="165"/>
  <c r="AB40" i="165"/>
  <c r="AE40" i="165" s="1"/>
  <c r="AI40" i="165" s="1"/>
  <c r="Y40" i="165" s="1"/>
  <c r="Z40" i="165"/>
  <c r="X40" i="165"/>
  <c r="Q40" i="165"/>
  <c r="P40" i="165"/>
  <c r="I40" i="165"/>
  <c r="H40" i="165"/>
  <c r="E40" i="165"/>
  <c r="AD39" i="165"/>
  <c r="AC39" i="165"/>
  <c r="AE39" i="165" s="1"/>
  <c r="AI39" i="165" s="1"/>
  <c r="AB39" i="165"/>
  <c r="Q39" i="165"/>
  <c r="P39" i="165"/>
  <c r="H39" i="165"/>
  <c r="E39" i="165"/>
  <c r="AD38" i="165"/>
  <c r="AC38" i="165"/>
  <c r="AB38" i="165"/>
  <c r="AE38" i="165" s="1"/>
  <c r="AI38" i="165" s="1"/>
  <c r="Y38" i="165" s="1"/>
  <c r="Z38" i="165"/>
  <c r="X38" i="165"/>
  <c r="Q38" i="165"/>
  <c r="P38" i="165"/>
  <c r="H38" i="165"/>
  <c r="E38" i="165"/>
  <c r="I38" i="165" s="1"/>
  <c r="AD37" i="165"/>
  <c r="AC37" i="165"/>
  <c r="AE37" i="165" s="1"/>
  <c r="AI37" i="165" s="1"/>
  <c r="Y37" i="165" s="1"/>
  <c r="AB37" i="165"/>
  <c r="Z37" i="165"/>
  <c r="X37" i="165"/>
  <c r="Q37" i="165"/>
  <c r="P37" i="165"/>
  <c r="H37" i="165"/>
  <c r="E37" i="165"/>
  <c r="I37" i="165" s="1"/>
  <c r="AD36" i="165"/>
  <c r="AC36" i="165"/>
  <c r="AB36" i="165"/>
  <c r="AE36" i="165" s="1"/>
  <c r="AI36" i="165" s="1"/>
  <c r="Y36" i="165" s="1"/>
  <c r="Z36" i="165"/>
  <c r="X36" i="165"/>
  <c r="Q36" i="165"/>
  <c r="P36" i="165"/>
  <c r="I36" i="165"/>
  <c r="H36" i="165"/>
  <c r="E36" i="165"/>
  <c r="AD35" i="165"/>
  <c r="AC35" i="165"/>
  <c r="AB35" i="165"/>
  <c r="AE35" i="165" s="1"/>
  <c r="AI35" i="165" s="1"/>
  <c r="Y35" i="165" s="1"/>
  <c r="Z35" i="165"/>
  <c r="X35" i="165"/>
  <c r="Q35" i="165"/>
  <c r="P35" i="165"/>
  <c r="H35" i="165"/>
  <c r="E35" i="165"/>
  <c r="I35" i="165" s="1"/>
  <c r="AE34" i="165"/>
  <c r="AI34" i="165" s="1"/>
  <c r="Y34" i="165" s="1"/>
  <c r="AD34" i="165"/>
  <c r="AC34" i="165"/>
  <c r="AB34" i="165"/>
  <c r="Z34" i="165"/>
  <c r="X34" i="165"/>
  <c r="Q34" i="165"/>
  <c r="P34" i="165"/>
  <c r="H34" i="165"/>
  <c r="E34" i="165"/>
  <c r="I34" i="165" s="1"/>
  <c r="AD33" i="165"/>
  <c r="AC33" i="165"/>
  <c r="AB33" i="165"/>
  <c r="AE33" i="165" s="1"/>
  <c r="AI33" i="165" s="1"/>
  <c r="Y33" i="165" s="1"/>
  <c r="Z33" i="165"/>
  <c r="X33" i="165"/>
  <c r="Q33" i="165"/>
  <c r="P33" i="165"/>
  <c r="H33" i="165"/>
  <c r="E33" i="165"/>
  <c r="I33" i="165" s="1"/>
  <c r="AD32" i="165"/>
  <c r="AE32" i="165" s="1"/>
  <c r="AI32" i="165" s="1"/>
  <c r="Y32" i="165" s="1"/>
  <c r="AC32" i="165"/>
  <c r="AB32" i="165"/>
  <c r="Z32" i="165"/>
  <c r="X32" i="165"/>
  <c r="Q32" i="165"/>
  <c r="P32" i="165"/>
  <c r="H32" i="165"/>
  <c r="E32" i="165"/>
  <c r="I32" i="165" s="1"/>
  <c r="AE31" i="165"/>
  <c r="AI31" i="165" s="1"/>
  <c r="Y31" i="165" s="1"/>
  <c r="Z31" i="165"/>
  <c r="X31" i="165"/>
  <c r="Q31" i="165"/>
  <c r="P31" i="165"/>
  <c r="H31" i="165"/>
  <c r="E31" i="165"/>
  <c r="I31" i="165" s="1"/>
  <c r="AD30" i="165"/>
  <c r="AC30" i="165"/>
  <c r="AB30" i="165"/>
  <c r="AE30" i="165" s="1"/>
  <c r="AI30" i="165" s="1"/>
  <c r="Y30" i="165" s="1"/>
  <c r="Z30" i="165"/>
  <c r="X30" i="165"/>
  <c r="Q30" i="165"/>
  <c r="P30" i="165"/>
  <c r="I30" i="165"/>
  <c r="H30" i="165"/>
  <c r="E30" i="165"/>
  <c r="AD29" i="165"/>
  <c r="AC29" i="165"/>
  <c r="AE29" i="165" s="1"/>
  <c r="AI29" i="165" s="1"/>
  <c r="Y29" i="165" s="1"/>
  <c r="AB29" i="165"/>
  <c r="Z29" i="165"/>
  <c r="X29" i="165"/>
  <c r="Q29" i="165"/>
  <c r="P29" i="165"/>
  <c r="H29" i="165"/>
  <c r="E29" i="165"/>
  <c r="I29" i="165" s="1"/>
  <c r="AE28" i="165"/>
  <c r="AI28" i="165" s="1"/>
  <c r="Y28" i="165" s="1"/>
  <c r="AD28" i="165"/>
  <c r="AC28" i="165"/>
  <c r="AB28" i="165"/>
  <c r="Z28" i="165"/>
  <c r="X28" i="165"/>
  <c r="Q28" i="165"/>
  <c r="P28" i="165"/>
  <c r="H28" i="165"/>
  <c r="E28" i="165"/>
  <c r="I28" i="165" s="1"/>
  <c r="AD27" i="165"/>
  <c r="AC27" i="165"/>
  <c r="AB27" i="165"/>
  <c r="AE27" i="165" s="1"/>
  <c r="AI27" i="165" s="1"/>
  <c r="Y27" i="165" s="1"/>
  <c r="Z27" i="165"/>
  <c r="X27" i="165"/>
  <c r="Q27" i="165"/>
  <c r="P27" i="165"/>
  <c r="H27" i="165"/>
  <c r="E27" i="165"/>
  <c r="I27" i="165" s="1"/>
  <c r="AD26" i="165"/>
  <c r="AC26" i="165"/>
  <c r="AB26" i="165"/>
  <c r="AE26" i="165" s="1"/>
  <c r="AI26" i="165" s="1"/>
  <c r="Y26" i="165" s="1"/>
  <c r="Z26" i="165"/>
  <c r="X26" i="165"/>
  <c r="Q26" i="165"/>
  <c r="P26" i="165"/>
  <c r="H26" i="165"/>
  <c r="E26" i="165"/>
  <c r="I26" i="165" s="1"/>
  <c r="AD25" i="165"/>
  <c r="AC25" i="165"/>
  <c r="AB25" i="165"/>
  <c r="AE25" i="165" s="1"/>
  <c r="AI25" i="165" s="1"/>
  <c r="Y25" i="165" s="1"/>
  <c r="Z25" i="165"/>
  <c r="X25" i="165"/>
  <c r="Q25" i="165"/>
  <c r="P25" i="165"/>
  <c r="I25" i="165"/>
  <c r="H25" i="165"/>
  <c r="E25" i="165"/>
  <c r="AD24" i="165"/>
  <c r="AE24" i="165" s="1"/>
  <c r="AI24" i="165" s="1"/>
  <c r="Y24" i="165" s="1"/>
  <c r="AC24" i="165"/>
  <c r="AB24" i="165"/>
  <c r="Z24" i="165"/>
  <c r="X24" i="165"/>
  <c r="Q24" i="165"/>
  <c r="P24" i="165"/>
  <c r="H24" i="165"/>
  <c r="E24" i="165"/>
  <c r="I24" i="165" s="1"/>
  <c r="AD23" i="165"/>
  <c r="AC23" i="165"/>
  <c r="AB23" i="165"/>
  <c r="AE23" i="165" s="1"/>
  <c r="AI23" i="165" s="1"/>
  <c r="Y23" i="165" s="1"/>
  <c r="Z23" i="165"/>
  <c r="X23" i="165"/>
  <c r="Q23" i="165"/>
  <c r="P23" i="165"/>
  <c r="H23" i="165"/>
  <c r="E23" i="165"/>
  <c r="I23" i="165" s="1"/>
  <c r="AD22" i="165"/>
  <c r="AC22" i="165"/>
  <c r="AE22" i="165" s="1"/>
  <c r="AI22" i="165" s="1"/>
  <c r="Y22" i="165" s="1"/>
  <c r="AB22" i="165"/>
  <c r="Z22" i="165"/>
  <c r="X22" i="165"/>
  <c r="Q22" i="165"/>
  <c r="P22" i="165"/>
  <c r="H22" i="165"/>
  <c r="E22" i="165"/>
  <c r="I22" i="165" s="1"/>
  <c r="AD21" i="165"/>
  <c r="AC21" i="165"/>
  <c r="AB21" i="165"/>
  <c r="AE21" i="165" s="1"/>
  <c r="AI21" i="165" s="1"/>
  <c r="Y21" i="165" s="1"/>
  <c r="Z21" i="165"/>
  <c r="X21" i="165"/>
  <c r="Q21" i="165"/>
  <c r="P21" i="165"/>
  <c r="I21" i="165"/>
  <c r="H21" i="165"/>
  <c r="E21" i="165"/>
  <c r="AD20" i="165"/>
  <c r="AC20" i="165"/>
  <c r="AB20" i="165"/>
  <c r="AE20" i="165" s="1"/>
  <c r="AI20" i="165" s="1"/>
  <c r="Z20" i="165"/>
  <c r="X20" i="165"/>
  <c r="Q20" i="165"/>
  <c r="P20" i="165"/>
  <c r="E20" i="165"/>
  <c r="AE19" i="165"/>
  <c r="AI19" i="165" s="1"/>
  <c r="Y19" i="165" s="1"/>
  <c r="AD19" i="165"/>
  <c r="AC19" i="165"/>
  <c r="AB19" i="165"/>
  <c r="Z19" i="165"/>
  <c r="X19" i="165"/>
  <c r="Q19" i="165"/>
  <c r="P19" i="165"/>
  <c r="H19" i="165"/>
  <c r="E19" i="165"/>
  <c r="I19" i="165" s="1"/>
  <c r="AD18" i="165"/>
  <c r="AC18" i="165"/>
  <c r="AB18" i="165"/>
  <c r="AE18" i="165" s="1"/>
  <c r="AI18" i="165" s="1"/>
  <c r="Y18" i="165" s="1"/>
  <c r="Z18" i="165"/>
  <c r="X18" i="165"/>
  <c r="Q18" i="165"/>
  <c r="P18" i="165"/>
  <c r="H18" i="165"/>
  <c r="E18" i="165"/>
  <c r="I18" i="165" s="1"/>
  <c r="AD17" i="165"/>
  <c r="AE17" i="165" s="1"/>
  <c r="AI17" i="165" s="1"/>
  <c r="Y17" i="165" s="1"/>
  <c r="AC17" i="165"/>
  <c r="AB17" i="165"/>
  <c r="Z17" i="165"/>
  <c r="X17" i="165"/>
  <c r="Q17" i="165"/>
  <c r="P17" i="165"/>
  <c r="H17" i="165"/>
  <c r="E17" i="165"/>
  <c r="I17" i="165" s="1"/>
  <c r="AD16" i="165"/>
  <c r="AC16" i="165"/>
  <c r="AE16" i="165" s="1"/>
  <c r="AI16" i="165" s="1"/>
  <c r="Y16" i="165" s="1"/>
  <c r="AB16" i="165"/>
  <c r="Z16" i="165"/>
  <c r="X16" i="165"/>
  <c r="Q16" i="165"/>
  <c r="P16" i="165"/>
  <c r="I16" i="165"/>
  <c r="E16" i="165"/>
  <c r="AD15" i="165"/>
  <c r="AC15" i="165"/>
  <c r="AB15" i="165"/>
  <c r="AE15" i="165" s="1"/>
  <c r="AI15" i="165" s="1"/>
  <c r="Y15" i="165" s="1"/>
  <c r="Z15" i="165"/>
  <c r="X15" i="165"/>
  <c r="Q15" i="165"/>
  <c r="P15" i="165"/>
  <c r="E15" i="165"/>
  <c r="I15" i="165" s="1"/>
  <c r="AD14" i="165"/>
  <c r="AE14" i="165" s="1"/>
  <c r="AI14" i="165" s="1"/>
  <c r="Y14" i="165" s="1"/>
  <c r="AC14" i="165"/>
  <c r="AB14" i="165"/>
  <c r="Z14" i="165"/>
  <c r="X14" i="165"/>
  <c r="Q14" i="165"/>
  <c r="P14" i="165"/>
  <c r="I14" i="165"/>
  <c r="H14" i="165"/>
  <c r="E14" i="165"/>
  <c r="AD13" i="165"/>
  <c r="AC13" i="165"/>
  <c r="AB13" i="165"/>
  <c r="AE13" i="165" s="1"/>
  <c r="AI13" i="165" s="1"/>
  <c r="Y13" i="165" s="1"/>
  <c r="Z13" i="165"/>
  <c r="X13" i="165"/>
  <c r="Q13" i="165"/>
  <c r="P13" i="165"/>
  <c r="H13" i="165"/>
  <c r="E13" i="165"/>
  <c r="I13" i="165" s="1"/>
  <c r="AD12" i="165"/>
  <c r="AC12" i="165"/>
  <c r="AE12" i="165" s="1"/>
  <c r="AI12" i="165" s="1"/>
  <c r="Y12" i="165" s="1"/>
  <c r="AB12" i="165"/>
  <c r="Z12" i="165"/>
  <c r="X12" i="165"/>
  <c r="Q12" i="165"/>
  <c r="P12" i="165"/>
  <c r="H12" i="165"/>
  <c r="E12" i="165"/>
  <c r="I12" i="165" s="1"/>
  <c r="F77" i="166" l="1"/>
  <c r="Y20" i="165"/>
  <c r="I20" i="165"/>
  <c r="O73" i="165"/>
  <c r="O75" i="165"/>
  <c r="T77" i="165"/>
  <c r="I39" i="165"/>
  <c r="F75" i="165" s="1"/>
  <c r="Y39" i="165"/>
  <c r="T73" i="165" s="1"/>
  <c r="X39" i="165"/>
  <c r="Z39" i="165"/>
  <c r="T75" i="165" s="1"/>
  <c r="H71" i="165"/>
  <c r="F39" i="164"/>
  <c r="Z39" i="164" s="1"/>
  <c r="M79" i="164"/>
  <c r="W73" i="164"/>
  <c r="P71" i="164"/>
  <c r="H71" i="164"/>
  <c r="Q70" i="164"/>
  <c r="P70" i="164"/>
  <c r="I70" i="164"/>
  <c r="H70" i="164"/>
  <c r="E70" i="164"/>
  <c r="Q69" i="164"/>
  <c r="P69" i="164"/>
  <c r="I69" i="164"/>
  <c r="H69" i="164"/>
  <c r="E69" i="164"/>
  <c r="AD68" i="164"/>
  <c r="AC68" i="164"/>
  <c r="AB68" i="164"/>
  <c r="AE68" i="164" s="1"/>
  <c r="AI68" i="164" s="1"/>
  <c r="Y68" i="164" s="1"/>
  <c r="Z68" i="164"/>
  <c r="X68" i="164"/>
  <c r="W68" i="164"/>
  <c r="Q68" i="164"/>
  <c r="P68" i="164"/>
  <c r="H68" i="164"/>
  <c r="E68" i="164"/>
  <c r="I68" i="164" s="1"/>
  <c r="AD67" i="164"/>
  <c r="AC67" i="164"/>
  <c r="AE67" i="164" s="1"/>
  <c r="AI67" i="164" s="1"/>
  <c r="Y67" i="164" s="1"/>
  <c r="AB67" i="164"/>
  <c r="Z67" i="164"/>
  <c r="X67" i="164"/>
  <c r="Q67" i="164"/>
  <c r="P67" i="164"/>
  <c r="I67" i="164"/>
  <c r="H67" i="164"/>
  <c r="E67" i="164"/>
  <c r="AE66" i="164"/>
  <c r="AI66" i="164" s="1"/>
  <c r="Y66" i="164" s="1"/>
  <c r="AD66" i="164"/>
  <c r="AC66" i="164"/>
  <c r="AB66" i="164"/>
  <c r="Z66" i="164"/>
  <c r="X66" i="164"/>
  <c r="Q66" i="164"/>
  <c r="P66" i="164"/>
  <c r="H66" i="164"/>
  <c r="E66" i="164"/>
  <c r="I66" i="164" s="1"/>
  <c r="AE65" i="164"/>
  <c r="AI65" i="164" s="1"/>
  <c r="Y65" i="164" s="1"/>
  <c r="AD65" i="164"/>
  <c r="AC65" i="164"/>
  <c r="AB65" i="164"/>
  <c r="Z65" i="164"/>
  <c r="X65" i="164"/>
  <c r="Q65" i="164"/>
  <c r="P65" i="164"/>
  <c r="H65" i="164"/>
  <c r="E65" i="164"/>
  <c r="I65" i="164" s="1"/>
  <c r="AD64" i="164"/>
  <c r="AC64" i="164"/>
  <c r="AB64" i="164"/>
  <c r="AE64" i="164" s="1"/>
  <c r="AI64" i="164" s="1"/>
  <c r="Y64" i="164" s="1"/>
  <c r="Z64" i="164"/>
  <c r="X64" i="164"/>
  <c r="Q64" i="164"/>
  <c r="P64" i="164"/>
  <c r="H64" i="164"/>
  <c r="E64" i="164"/>
  <c r="I64" i="164" s="1"/>
  <c r="AD63" i="164"/>
  <c r="AC63" i="164"/>
  <c r="AB63" i="164"/>
  <c r="AE63" i="164" s="1"/>
  <c r="AI63" i="164" s="1"/>
  <c r="Y63" i="164" s="1"/>
  <c r="Z63" i="164"/>
  <c r="X63" i="164"/>
  <c r="Q63" i="164"/>
  <c r="P63" i="164"/>
  <c r="I63" i="164"/>
  <c r="H63" i="164"/>
  <c r="E63" i="164"/>
  <c r="AD62" i="164"/>
  <c r="AC62" i="164"/>
  <c r="AB62" i="164"/>
  <c r="AE62" i="164" s="1"/>
  <c r="AI62" i="164" s="1"/>
  <c r="Y62" i="164" s="1"/>
  <c r="Z62" i="164"/>
  <c r="X62" i="164"/>
  <c r="Q62" i="164"/>
  <c r="P62" i="164"/>
  <c r="I62" i="164"/>
  <c r="H62" i="164"/>
  <c r="E62" i="164"/>
  <c r="AC61" i="164"/>
  <c r="AE61" i="164" s="1"/>
  <c r="AI61" i="164" s="1"/>
  <c r="Y61" i="164" s="1"/>
  <c r="AB61" i="164"/>
  <c r="X61" i="164"/>
  <c r="Q61" i="164"/>
  <c r="P61" i="164"/>
  <c r="I61" i="164"/>
  <c r="H61" i="164"/>
  <c r="E61" i="164"/>
  <c r="AI60" i="164"/>
  <c r="AE60" i="164"/>
  <c r="Y60" i="164"/>
  <c r="X60" i="164"/>
  <c r="Q60" i="164"/>
  <c r="P60" i="164"/>
  <c r="I60" i="164"/>
  <c r="H60" i="164"/>
  <c r="E60" i="164"/>
  <c r="AE59" i="164"/>
  <c r="AI59" i="164" s="1"/>
  <c r="Y59" i="164" s="1"/>
  <c r="AC59" i="164"/>
  <c r="AB59" i="164"/>
  <c r="X59" i="164"/>
  <c r="Q59" i="164"/>
  <c r="P59" i="164"/>
  <c r="I59" i="164"/>
  <c r="H59" i="164"/>
  <c r="E59" i="164"/>
  <c r="AE58" i="164"/>
  <c r="AI58" i="164" s="1"/>
  <c r="Y58" i="164" s="1"/>
  <c r="AC58" i="164"/>
  <c r="AB58" i="164"/>
  <c r="X58" i="164"/>
  <c r="Q58" i="164"/>
  <c r="P58" i="164"/>
  <c r="E58" i="164"/>
  <c r="I58" i="164" s="1"/>
  <c r="AC57" i="164"/>
  <c r="AB57" i="164"/>
  <c r="AE57" i="164" s="1"/>
  <c r="AI57" i="164" s="1"/>
  <c r="Y57" i="164" s="1"/>
  <c r="X57" i="164"/>
  <c r="Q57" i="164"/>
  <c r="P57" i="164"/>
  <c r="I57" i="164"/>
  <c r="H57" i="164"/>
  <c r="E57" i="164"/>
  <c r="AD56" i="164"/>
  <c r="AC56" i="164"/>
  <c r="AB56" i="164"/>
  <c r="AE56" i="164" s="1"/>
  <c r="AI56" i="164" s="1"/>
  <c r="Y56" i="164" s="1"/>
  <c r="Z56" i="164"/>
  <c r="X56" i="164"/>
  <c r="Q56" i="164"/>
  <c r="P56" i="164"/>
  <c r="H56" i="164"/>
  <c r="E56" i="164"/>
  <c r="I56" i="164" s="1"/>
  <c r="AE55" i="164"/>
  <c r="AI55" i="164" s="1"/>
  <c r="Y55" i="164" s="1"/>
  <c r="AD55" i="164"/>
  <c r="AC55" i="164"/>
  <c r="AB55" i="164"/>
  <c r="Z55" i="164"/>
  <c r="X55" i="164"/>
  <c r="Q55" i="164"/>
  <c r="P55" i="164"/>
  <c r="H55" i="164"/>
  <c r="E55" i="164"/>
  <c r="I55" i="164" s="1"/>
  <c r="AD54" i="164"/>
  <c r="AC54" i="164"/>
  <c r="AB54" i="164"/>
  <c r="AE54" i="164" s="1"/>
  <c r="AI54" i="164" s="1"/>
  <c r="Y54" i="164" s="1"/>
  <c r="Z54" i="164"/>
  <c r="X54" i="164"/>
  <c r="Q54" i="164"/>
  <c r="P54" i="164"/>
  <c r="I54" i="164"/>
  <c r="H54" i="164"/>
  <c r="E54" i="164"/>
  <c r="AD53" i="164"/>
  <c r="AE53" i="164" s="1"/>
  <c r="AI53" i="164" s="1"/>
  <c r="Y53" i="164" s="1"/>
  <c r="AC53" i="164"/>
  <c r="AB53" i="164"/>
  <c r="Z53" i="164"/>
  <c r="X53" i="164"/>
  <c r="Q53" i="164"/>
  <c r="P53" i="164"/>
  <c r="I53" i="164"/>
  <c r="H53" i="164"/>
  <c r="E53" i="164"/>
  <c r="AI52" i="164"/>
  <c r="AE52" i="164"/>
  <c r="Z52" i="164"/>
  <c r="Y52" i="164"/>
  <c r="X52" i="164"/>
  <c r="Q52" i="164"/>
  <c r="P52" i="164"/>
  <c r="H52" i="164"/>
  <c r="E52" i="164"/>
  <c r="I52" i="164" s="1"/>
  <c r="AD51" i="164"/>
  <c r="AC51" i="164"/>
  <c r="AB51" i="164"/>
  <c r="AE51" i="164" s="1"/>
  <c r="AI51" i="164" s="1"/>
  <c r="Y51" i="164" s="1"/>
  <c r="Z51" i="164"/>
  <c r="X51" i="164"/>
  <c r="Q51" i="164"/>
  <c r="P51" i="164"/>
  <c r="I51" i="164"/>
  <c r="H51" i="164"/>
  <c r="E51" i="164"/>
  <c r="AE50" i="164"/>
  <c r="AI50" i="164" s="1"/>
  <c r="Y50" i="164" s="1"/>
  <c r="AD50" i="164"/>
  <c r="AC50" i="164"/>
  <c r="AB50" i="164"/>
  <c r="Z50" i="164"/>
  <c r="X50" i="164"/>
  <c r="Q50" i="164"/>
  <c r="P50" i="164"/>
  <c r="H50" i="164"/>
  <c r="E50" i="164"/>
  <c r="I50" i="164" s="1"/>
  <c r="AE49" i="164"/>
  <c r="AI49" i="164" s="1"/>
  <c r="Y49" i="164" s="1"/>
  <c r="Z49" i="164"/>
  <c r="X49" i="164"/>
  <c r="Q49" i="164"/>
  <c r="P49" i="164"/>
  <c r="H49" i="164"/>
  <c r="E49" i="164"/>
  <c r="I49" i="164" s="1"/>
  <c r="AE48" i="164"/>
  <c r="AI48" i="164" s="1"/>
  <c r="Y48" i="164" s="1"/>
  <c r="Z48" i="164"/>
  <c r="X48" i="164"/>
  <c r="Q48" i="164"/>
  <c r="P48" i="164"/>
  <c r="I48" i="164"/>
  <c r="H48" i="164"/>
  <c r="E48" i="164"/>
  <c r="AI47" i="164"/>
  <c r="Y47" i="164" s="1"/>
  <c r="AE47" i="164"/>
  <c r="Z47" i="164"/>
  <c r="X47" i="164"/>
  <c r="Q47" i="164"/>
  <c r="P47" i="164"/>
  <c r="H47" i="164"/>
  <c r="E47" i="164"/>
  <c r="I47" i="164" s="1"/>
  <c r="AD46" i="164"/>
  <c r="AC46" i="164"/>
  <c r="AE46" i="164" s="1"/>
  <c r="AI46" i="164" s="1"/>
  <c r="Y46" i="164" s="1"/>
  <c r="AB46" i="164"/>
  <c r="Z46" i="164"/>
  <c r="X46" i="164"/>
  <c r="Q46" i="164"/>
  <c r="P46" i="164"/>
  <c r="H46" i="164"/>
  <c r="E46" i="164"/>
  <c r="I46" i="164" s="1"/>
  <c r="AD45" i="164"/>
  <c r="AC45" i="164"/>
  <c r="AB45" i="164"/>
  <c r="AE45" i="164" s="1"/>
  <c r="AI45" i="164" s="1"/>
  <c r="Y45" i="164" s="1"/>
  <c r="Z45" i="164"/>
  <c r="X45" i="164"/>
  <c r="Q45" i="164"/>
  <c r="P45" i="164"/>
  <c r="I45" i="164"/>
  <c r="H45" i="164"/>
  <c r="E45" i="164"/>
  <c r="AD44" i="164"/>
  <c r="AC44" i="164"/>
  <c r="AB44" i="164"/>
  <c r="AE44" i="164" s="1"/>
  <c r="AI44" i="164" s="1"/>
  <c r="Y44" i="164" s="1"/>
  <c r="Z44" i="164"/>
  <c r="X44" i="164"/>
  <c r="Q44" i="164"/>
  <c r="P44" i="164"/>
  <c r="H44" i="164"/>
  <c r="E44" i="164"/>
  <c r="I44" i="164" s="1"/>
  <c r="AE43" i="164"/>
  <c r="AI43" i="164" s="1"/>
  <c r="Y43" i="164" s="1"/>
  <c r="AD43" i="164"/>
  <c r="AC43" i="164"/>
  <c r="AB43" i="164"/>
  <c r="Z43" i="164"/>
  <c r="X43" i="164"/>
  <c r="Q43" i="164"/>
  <c r="P43" i="164"/>
  <c r="H43" i="164"/>
  <c r="E43" i="164"/>
  <c r="I43" i="164" s="1"/>
  <c r="AD42" i="164"/>
  <c r="AC42" i="164"/>
  <c r="AB42" i="164"/>
  <c r="AE42" i="164" s="1"/>
  <c r="AI42" i="164" s="1"/>
  <c r="Y42" i="164" s="1"/>
  <c r="Z42" i="164"/>
  <c r="X42" i="164"/>
  <c r="Q42" i="164"/>
  <c r="P42" i="164"/>
  <c r="I42" i="164"/>
  <c r="H42" i="164"/>
  <c r="E42" i="164"/>
  <c r="AD41" i="164"/>
  <c r="AE41" i="164" s="1"/>
  <c r="AI41" i="164" s="1"/>
  <c r="Y41" i="164" s="1"/>
  <c r="AC41" i="164"/>
  <c r="AB41" i="164"/>
  <c r="Z41" i="164"/>
  <c r="X41" i="164"/>
  <c r="Q41" i="164"/>
  <c r="P41" i="164"/>
  <c r="I41" i="164"/>
  <c r="H41" i="164"/>
  <c r="E41" i="164"/>
  <c r="AD40" i="164"/>
  <c r="AC40" i="164"/>
  <c r="AB40" i="164"/>
  <c r="AE40" i="164" s="1"/>
  <c r="AI40" i="164" s="1"/>
  <c r="Y40" i="164" s="1"/>
  <c r="Z40" i="164"/>
  <c r="X40" i="164"/>
  <c r="Q40" i="164"/>
  <c r="P40" i="164"/>
  <c r="I40" i="164"/>
  <c r="H40" i="164"/>
  <c r="E40" i="164"/>
  <c r="AD39" i="164"/>
  <c r="AC39" i="164"/>
  <c r="AB39" i="164"/>
  <c r="AE39" i="164" s="1"/>
  <c r="AI39" i="164" s="1"/>
  <c r="Y39" i="164" s="1"/>
  <c r="X39" i="164"/>
  <c r="Q39" i="164"/>
  <c r="P39" i="164"/>
  <c r="H39" i="164"/>
  <c r="E39" i="164"/>
  <c r="I39" i="164" s="1"/>
  <c r="AD38" i="164"/>
  <c r="AC38" i="164"/>
  <c r="AB38" i="164"/>
  <c r="AE38" i="164" s="1"/>
  <c r="AI38" i="164" s="1"/>
  <c r="Y38" i="164" s="1"/>
  <c r="Z38" i="164"/>
  <c r="X38" i="164"/>
  <c r="Q38" i="164"/>
  <c r="P38" i="164"/>
  <c r="I38" i="164"/>
  <c r="H38" i="164"/>
  <c r="E38" i="164"/>
  <c r="AE37" i="164"/>
  <c r="AI37" i="164" s="1"/>
  <c r="Y37" i="164" s="1"/>
  <c r="AD37" i="164"/>
  <c r="AC37" i="164"/>
  <c r="AB37" i="164"/>
  <c r="Z37" i="164"/>
  <c r="X37" i="164"/>
  <c r="Q37" i="164"/>
  <c r="P37" i="164"/>
  <c r="H37" i="164"/>
  <c r="E37" i="164"/>
  <c r="I37" i="164" s="1"/>
  <c r="AE36" i="164"/>
  <c r="AI36" i="164" s="1"/>
  <c r="Y36" i="164" s="1"/>
  <c r="AD36" i="164"/>
  <c r="AC36" i="164"/>
  <c r="AB36" i="164"/>
  <c r="Z36" i="164"/>
  <c r="X36" i="164"/>
  <c r="Q36" i="164"/>
  <c r="P36" i="164"/>
  <c r="H36" i="164"/>
  <c r="E36" i="164"/>
  <c r="I36" i="164" s="1"/>
  <c r="AD35" i="164"/>
  <c r="AC35" i="164"/>
  <c r="AB35" i="164"/>
  <c r="AE35" i="164" s="1"/>
  <c r="AI35" i="164" s="1"/>
  <c r="Y35" i="164" s="1"/>
  <c r="Z35" i="164"/>
  <c r="X35" i="164"/>
  <c r="Q35" i="164"/>
  <c r="P35" i="164"/>
  <c r="H35" i="164"/>
  <c r="E35" i="164"/>
  <c r="I35" i="164" s="1"/>
  <c r="AD34" i="164"/>
  <c r="AC34" i="164"/>
  <c r="AB34" i="164"/>
  <c r="AE34" i="164" s="1"/>
  <c r="AI34" i="164" s="1"/>
  <c r="Y34" i="164" s="1"/>
  <c r="Z34" i="164"/>
  <c r="X34" i="164"/>
  <c r="Q34" i="164"/>
  <c r="P34" i="164"/>
  <c r="I34" i="164"/>
  <c r="H34" i="164"/>
  <c r="E34" i="164"/>
  <c r="AE33" i="164"/>
  <c r="AI33" i="164" s="1"/>
  <c r="Y33" i="164" s="1"/>
  <c r="AD33" i="164"/>
  <c r="AC33" i="164"/>
  <c r="AB33" i="164"/>
  <c r="Z33" i="164"/>
  <c r="X33" i="164"/>
  <c r="Q33" i="164"/>
  <c r="P33" i="164"/>
  <c r="I33" i="164"/>
  <c r="H33" i="164"/>
  <c r="E33" i="164"/>
  <c r="AD32" i="164"/>
  <c r="AE32" i="164" s="1"/>
  <c r="AI32" i="164" s="1"/>
  <c r="Y32" i="164" s="1"/>
  <c r="AC32" i="164"/>
  <c r="AB32" i="164"/>
  <c r="Z32" i="164"/>
  <c r="X32" i="164"/>
  <c r="Q32" i="164"/>
  <c r="P32" i="164"/>
  <c r="H32" i="164"/>
  <c r="E32" i="164"/>
  <c r="I32" i="164" s="1"/>
  <c r="AI31" i="164"/>
  <c r="Y31" i="164" s="1"/>
  <c r="AE31" i="164"/>
  <c r="Z31" i="164"/>
  <c r="X31" i="164"/>
  <c r="Q31" i="164"/>
  <c r="P31" i="164"/>
  <c r="I31" i="164"/>
  <c r="H31" i="164"/>
  <c r="E31" i="164"/>
  <c r="AD30" i="164"/>
  <c r="AC30" i="164"/>
  <c r="AB30" i="164"/>
  <c r="AE30" i="164" s="1"/>
  <c r="AI30" i="164" s="1"/>
  <c r="Y30" i="164" s="1"/>
  <c r="Z30" i="164"/>
  <c r="X30" i="164"/>
  <c r="Q30" i="164"/>
  <c r="P30" i="164"/>
  <c r="I30" i="164"/>
  <c r="H30" i="164"/>
  <c r="E30" i="164"/>
  <c r="AD29" i="164"/>
  <c r="AC29" i="164"/>
  <c r="AB29" i="164"/>
  <c r="AE29" i="164" s="1"/>
  <c r="AI29" i="164" s="1"/>
  <c r="Y29" i="164" s="1"/>
  <c r="Z29" i="164"/>
  <c r="X29" i="164"/>
  <c r="Q29" i="164"/>
  <c r="P29" i="164"/>
  <c r="H29" i="164"/>
  <c r="E29" i="164"/>
  <c r="I29" i="164" s="1"/>
  <c r="AE28" i="164"/>
  <c r="AI28" i="164" s="1"/>
  <c r="Y28" i="164" s="1"/>
  <c r="AD28" i="164"/>
  <c r="AC28" i="164"/>
  <c r="AB28" i="164"/>
  <c r="Z28" i="164"/>
  <c r="X28" i="164"/>
  <c r="Q28" i="164"/>
  <c r="P28" i="164"/>
  <c r="H28" i="164"/>
  <c r="E28" i="164"/>
  <c r="I28" i="164" s="1"/>
  <c r="AD27" i="164"/>
  <c r="AC27" i="164"/>
  <c r="AB27" i="164"/>
  <c r="AE27" i="164" s="1"/>
  <c r="AI27" i="164" s="1"/>
  <c r="Y27" i="164" s="1"/>
  <c r="Z27" i="164"/>
  <c r="X27" i="164"/>
  <c r="Q27" i="164"/>
  <c r="P27" i="164"/>
  <c r="I27" i="164"/>
  <c r="H27" i="164"/>
  <c r="E27" i="164"/>
  <c r="AD26" i="164"/>
  <c r="AE26" i="164" s="1"/>
  <c r="AI26" i="164" s="1"/>
  <c r="Y26" i="164" s="1"/>
  <c r="AC26" i="164"/>
  <c r="AB26" i="164"/>
  <c r="Z26" i="164"/>
  <c r="X26" i="164"/>
  <c r="Q26" i="164"/>
  <c r="P26" i="164"/>
  <c r="I26" i="164"/>
  <c r="H26" i="164"/>
  <c r="E26" i="164"/>
  <c r="AD25" i="164"/>
  <c r="AC25" i="164"/>
  <c r="AB25" i="164"/>
  <c r="AE25" i="164" s="1"/>
  <c r="AI25" i="164" s="1"/>
  <c r="Y25" i="164" s="1"/>
  <c r="Z25" i="164"/>
  <c r="X25" i="164"/>
  <c r="Q25" i="164"/>
  <c r="P25" i="164"/>
  <c r="H25" i="164"/>
  <c r="E25" i="164"/>
  <c r="I25" i="164" s="1"/>
  <c r="AD24" i="164"/>
  <c r="AC24" i="164"/>
  <c r="AB24" i="164"/>
  <c r="AE24" i="164" s="1"/>
  <c r="AI24" i="164" s="1"/>
  <c r="Y24" i="164" s="1"/>
  <c r="Z24" i="164"/>
  <c r="X24" i="164"/>
  <c r="Q24" i="164"/>
  <c r="P24" i="164"/>
  <c r="H24" i="164"/>
  <c r="E24" i="164"/>
  <c r="I24" i="164" s="1"/>
  <c r="AD23" i="164"/>
  <c r="AE23" i="164" s="1"/>
  <c r="AI23" i="164" s="1"/>
  <c r="Y23" i="164" s="1"/>
  <c r="AC23" i="164"/>
  <c r="AB23" i="164"/>
  <c r="Z23" i="164"/>
  <c r="X23" i="164"/>
  <c r="Q23" i="164"/>
  <c r="P23" i="164"/>
  <c r="H23" i="164"/>
  <c r="E23" i="164"/>
  <c r="I23" i="164" s="1"/>
  <c r="AE22" i="164"/>
  <c r="AI22" i="164" s="1"/>
  <c r="Y22" i="164" s="1"/>
  <c r="AD22" i="164"/>
  <c r="AC22" i="164"/>
  <c r="AB22" i="164"/>
  <c r="Z22" i="164"/>
  <c r="X22" i="164"/>
  <c r="Q22" i="164"/>
  <c r="P22" i="164"/>
  <c r="H22" i="164"/>
  <c r="E22" i="164"/>
  <c r="I22" i="164" s="1"/>
  <c r="AE21" i="164"/>
  <c r="AI21" i="164" s="1"/>
  <c r="Y21" i="164" s="1"/>
  <c r="AD21" i="164"/>
  <c r="AC21" i="164"/>
  <c r="AB21" i="164"/>
  <c r="Z21" i="164"/>
  <c r="X21" i="164"/>
  <c r="Q21" i="164"/>
  <c r="P21" i="164"/>
  <c r="H21" i="164"/>
  <c r="E21" i="164"/>
  <c r="I21" i="164" s="1"/>
  <c r="AD20" i="164"/>
  <c r="AC20" i="164"/>
  <c r="AB20" i="164"/>
  <c r="AE20" i="164" s="1"/>
  <c r="AI20" i="164" s="1"/>
  <c r="Y20" i="164" s="1"/>
  <c r="Z20" i="164"/>
  <c r="X20" i="164"/>
  <c r="Q20" i="164"/>
  <c r="P20" i="164"/>
  <c r="H20" i="164"/>
  <c r="E20" i="164"/>
  <c r="I20" i="164" s="1"/>
  <c r="AD19" i="164"/>
  <c r="AC19" i="164"/>
  <c r="AB19" i="164"/>
  <c r="AE19" i="164" s="1"/>
  <c r="AI19" i="164" s="1"/>
  <c r="Y19" i="164" s="1"/>
  <c r="Z19" i="164"/>
  <c r="X19" i="164"/>
  <c r="Q19" i="164"/>
  <c r="P19" i="164"/>
  <c r="H19" i="164"/>
  <c r="E19" i="164"/>
  <c r="I19" i="164" s="1"/>
  <c r="AE18" i="164"/>
  <c r="AI18" i="164" s="1"/>
  <c r="Y18" i="164" s="1"/>
  <c r="AD18" i="164"/>
  <c r="AC18" i="164"/>
  <c r="AB18" i="164"/>
  <c r="Z18" i="164"/>
  <c r="X18" i="164"/>
  <c r="Q18" i="164"/>
  <c r="P18" i="164"/>
  <c r="I18" i="164"/>
  <c r="H18" i="164"/>
  <c r="E18" i="164"/>
  <c r="AD17" i="164"/>
  <c r="AE17" i="164" s="1"/>
  <c r="AI17" i="164" s="1"/>
  <c r="Y17" i="164" s="1"/>
  <c r="AC17" i="164"/>
  <c r="AB17" i="164"/>
  <c r="Z17" i="164"/>
  <c r="X17" i="164"/>
  <c r="Q17" i="164"/>
  <c r="P17" i="164"/>
  <c r="H17" i="164"/>
  <c r="E17" i="164"/>
  <c r="I17" i="164" s="1"/>
  <c r="AD16" i="164"/>
  <c r="AC16" i="164"/>
  <c r="AE16" i="164" s="1"/>
  <c r="AI16" i="164" s="1"/>
  <c r="Y16" i="164" s="1"/>
  <c r="AB16" i="164"/>
  <c r="Z16" i="164"/>
  <c r="X16" i="164"/>
  <c r="Q16" i="164"/>
  <c r="P16" i="164"/>
  <c r="E16" i="164"/>
  <c r="I16" i="164" s="1"/>
  <c r="AD15" i="164"/>
  <c r="AC15" i="164"/>
  <c r="AB15" i="164"/>
  <c r="AE15" i="164" s="1"/>
  <c r="AI15" i="164" s="1"/>
  <c r="Y15" i="164" s="1"/>
  <c r="Z15" i="164"/>
  <c r="X15" i="164"/>
  <c r="Q15" i="164"/>
  <c r="P15" i="164"/>
  <c r="E15" i="164"/>
  <c r="I15" i="164" s="1"/>
  <c r="AD14" i="164"/>
  <c r="AC14" i="164"/>
  <c r="AB14" i="164"/>
  <c r="AE14" i="164" s="1"/>
  <c r="AI14" i="164" s="1"/>
  <c r="Y14" i="164" s="1"/>
  <c r="Z14" i="164"/>
  <c r="X14" i="164"/>
  <c r="Q14" i="164"/>
  <c r="P14" i="164"/>
  <c r="H14" i="164"/>
  <c r="E14" i="164"/>
  <c r="I14" i="164" s="1"/>
  <c r="AD13" i="164"/>
  <c r="AC13" i="164"/>
  <c r="AB13" i="164"/>
  <c r="AE13" i="164" s="1"/>
  <c r="AI13" i="164" s="1"/>
  <c r="Y13" i="164" s="1"/>
  <c r="Z13" i="164"/>
  <c r="X13" i="164"/>
  <c r="Q13" i="164"/>
  <c r="P13" i="164"/>
  <c r="I13" i="164"/>
  <c r="H13" i="164"/>
  <c r="E13" i="164"/>
  <c r="AE12" i="164"/>
  <c r="AI12" i="164" s="1"/>
  <c r="Y12" i="164" s="1"/>
  <c r="AD12" i="164"/>
  <c r="AC12" i="164"/>
  <c r="AB12" i="164"/>
  <c r="Z12" i="164"/>
  <c r="X12" i="164"/>
  <c r="Q12" i="164"/>
  <c r="P12" i="164"/>
  <c r="H12" i="164"/>
  <c r="E12" i="164"/>
  <c r="I12" i="164" s="1"/>
  <c r="T79" i="165" l="1"/>
  <c r="F73" i="165"/>
  <c r="F77" i="165" s="1"/>
  <c r="T77" i="164"/>
  <c r="T75" i="164"/>
  <c r="O73" i="164"/>
  <c r="O75" i="164"/>
  <c r="T73" i="164"/>
  <c r="F73" i="164"/>
  <c r="F75" i="164"/>
  <c r="M79" i="163"/>
  <c r="W73" i="163"/>
  <c r="P71" i="163"/>
  <c r="H71" i="163"/>
  <c r="Q70" i="163"/>
  <c r="P70" i="163"/>
  <c r="I70" i="163"/>
  <c r="H70" i="163"/>
  <c r="E70" i="163"/>
  <c r="Q69" i="163"/>
  <c r="P69" i="163"/>
  <c r="I69" i="163"/>
  <c r="H69" i="163"/>
  <c r="E69" i="163"/>
  <c r="AD68" i="163"/>
  <c r="AC68" i="163"/>
  <c r="AB68" i="163"/>
  <c r="AE68" i="163" s="1"/>
  <c r="AI68" i="163" s="1"/>
  <c r="Y68" i="163" s="1"/>
  <c r="Z68" i="163"/>
  <c r="X68" i="163"/>
  <c r="W68" i="163"/>
  <c r="Q68" i="163"/>
  <c r="P68" i="163"/>
  <c r="I68" i="163"/>
  <c r="H68" i="163"/>
  <c r="E68" i="163"/>
  <c r="AD67" i="163"/>
  <c r="AC67" i="163"/>
  <c r="AB67" i="163"/>
  <c r="AE67" i="163" s="1"/>
  <c r="AI67" i="163" s="1"/>
  <c r="Y67" i="163" s="1"/>
  <c r="Z67" i="163"/>
  <c r="X67" i="163"/>
  <c r="Q67" i="163"/>
  <c r="P67" i="163"/>
  <c r="H67" i="163"/>
  <c r="E67" i="163"/>
  <c r="I67" i="163" s="1"/>
  <c r="AD66" i="163"/>
  <c r="AE66" i="163" s="1"/>
  <c r="AI66" i="163" s="1"/>
  <c r="Y66" i="163" s="1"/>
  <c r="AC66" i="163"/>
  <c r="AB66" i="163"/>
  <c r="Z66" i="163"/>
  <c r="X66" i="163"/>
  <c r="Q66" i="163"/>
  <c r="P66" i="163"/>
  <c r="H66" i="163"/>
  <c r="E66" i="163"/>
  <c r="I66" i="163" s="1"/>
  <c r="AD65" i="163"/>
  <c r="AC65" i="163"/>
  <c r="AB65" i="163"/>
  <c r="AE65" i="163" s="1"/>
  <c r="AI65" i="163" s="1"/>
  <c r="Y65" i="163" s="1"/>
  <c r="Z65" i="163"/>
  <c r="X65" i="163"/>
  <c r="Q65" i="163"/>
  <c r="P65" i="163"/>
  <c r="H65" i="163"/>
  <c r="E65" i="163"/>
  <c r="I65" i="163" s="1"/>
  <c r="AD64" i="163"/>
  <c r="AC64" i="163"/>
  <c r="AB64" i="163"/>
  <c r="AE64" i="163" s="1"/>
  <c r="AI64" i="163" s="1"/>
  <c r="Y64" i="163" s="1"/>
  <c r="Z64" i="163"/>
  <c r="X64" i="163"/>
  <c r="Q64" i="163"/>
  <c r="P64" i="163"/>
  <c r="H64" i="163"/>
  <c r="E64" i="163"/>
  <c r="I64" i="163" s="1"/>
  <c r="AD63" i="163"/>
  <c r="AE63" i="163" s="1"/>
  <c r="AI63" i="163" s="1"/>
  <c r="Y63" i="163" s="1"/>
  <c r="AC63" i="163"/>
  <c r="AB63" i="163"/>
  <c r="Z63" i="163"/>
  <c r="X63" i="163"/>
  <c r="Q63" i="163"/>
  <c r="P63" i="163"/>
  <c r="I63" i="163"/>
  <c r="H63" i="163"/>
  <c r="E63" i="163"/>
  <c r="AD62" i="163"/>
  <c r="AC62" i="163"/>
  <c r="AB62" i="163"/>
  <c r="AE62" i="163" s="1"/>
  <c r="AI62" i="163" s="1"/>
  <c r="Y62" i="163" s="1"/>
  <c r="Z62" i="163"/>
  <c r="X62" i="163"/>
  <c r="Q62" i="163"/>
  <c r="P62" i="163"/>
  <c r="H62" i="163"/>
  <c r="E62" i="163"/>
  <c r="I62" i="163" s="1"/>
  <c r="AE61" i="163"/>
  <c r="AI61" i="163" s="1"/>
  <c r="Y61" i="163" s="1"/>
  <c r="AC61" i="163"/>
  <c r="AB61" i="163"/>
  <c r="X61" i="163"/>
  <c r="Q61" i="163"/>
  <c r="P61" i="163"/>
  <c r="I61" i="163"/>
  <c r="H61" i="163"/>
  <c r="E61" i="163"/>
  <c r="AE60" i="163"/>
  <c r="AI60" i="163" s="1"/>
  <c r="Y60" i="163" s="1"/>
  <c r="X60" i="163"/>
  <c r="Q60" i="163"/>
  <c r="P60" i="163"/>
  <c r="I60" i="163"/>
  <c r="H60" i="163"/>
  <c r="E60" i="163"/>
  <c r="AC59" i="163"/>
  <c r="AE59" i="163" s="1"/>
  <c r="AI59" i="163" s="1"/>
  <c r="Y59" i="163" s="1"/>
  <c r="AB59" i="163"/>
  <c r="X59" i="163"/>
  <c r="Q59" i="163"/>
  <c r="P59" i="163"/>
  <c r="H59" i="163"/>
  <c r="E59" i="163"/>
  <c r="I59" i="163" s="1"/>
  <c r="AC58" i="163"/>
  <c r="AE58" i="163" s="1"/>
  <c r="AI58" i="163" s="1"/>
  <c r="Y58" i="163" s="1"/>
  <c r="AB58" i="163"/>
  <c r="X58" i="163"/>
  <c r="Q58" i="163"/>
  <c r="P58" i="163"/>
  <c r="E58" i="163"/>
  <c r="I58" i="163" s="1"/>
  <c r="AC57" i="163"/>
  <c r="AB57" i="163"/>
  <c r="AE57" i="163" s="1"/>
  <c r="AI57" i="163" s="1"/>
  <c r="Y57" i="163" s="1"/>
  <c r="X57" i="163"/>
  <c r="Q57" i="163"/>
  <c r="P57" i="163"/>
  <c r="I57" i="163"/>
  <c r="H57" i="163"/>
  <c r="E57" i="163"/>
  <c r="AD56" i="163"/>
  <c r="AC56" i="163"/>
  <c r="AB56" i="163"/>
  <c r="AE56" i="163" s="1"/>
  <c r="AI56" i="163" s="1"/>
  <c r="Y56" i="163" s="1"/>
  <c r="Z56" i="163"/>
  <c r="X56" i="163"/>
  <c r="Q56" i="163"/>
  <c r="P56" i="163"/>
  <c r="I56" i="163"/>
  <c r="H56" i="163"/>
  <c r="E56" i="163"/>
  <c r="AI55" i="163"/>
  <c r="Y55" i="163" s="1"/>
  <c r="AE55" i="163"/>
  <c r="AD55" i="163"/>
  <c r="AC55" i="163"/>
  <c r="AB55" i="163"/>
  <c r="Z55" i="163"/>
  <c r="X55" i="163"/>
  <c r="Q55" i="163"/>
  <c r="P55" i="163"/>
  <c r="I55" i="163"/>
  <c r="H55" i="163"/>
  <c r="E55" i="163"/>
  <c r="AE54" i="163"/>
  <c r="AI54" i="163" s="1"/>
  <c r="Y54" i="163" s="1"/>
  <c r="AD54" i="163"/>
  <c r="AC54" i="163"/>
  <c r="AB54" i="163"/>
  <c r="Z54" i="163"/>
  <c r="X54" i="163"/>
  <c r="Q54" i="163"/>
  <c r="P54" i="163"/>
  <c r="I54" i="163"/>
  <c r="H54" i="163"/>
  <c r="E54" i="163"/>
  <c r="AD53" i="163"/>
  <c r="AC53" i="163"/>
  <c r="AB53" i="163"/>
  <c r="AE53" i="163" s="1"/>
  <c r="AI53" i="163" s="1"/>
  <c r="Y53" i="163" s="1"/>
  <c r="Z53" i="163"/>
  <c r="X53" i="163"/>
  <c r="Q53" i="163"/>
  <c r="P53" i="163"/>
  <c r="I53" i="163"/>
  <c r="H53" i="163"/>
  <c r="E53" i="163"/>
  <c r="AI52" i="163"/>
  <c r="Y52" i="163" s="1"/>
  <c r="AE52" i="163"/>
  <c r="Z52" i="163"/>
  <c r="X52" i="163"/>
  <c r="Q52" i="163"/>
  <c r="P52" i="163"/>
  <c r="I52" i="163"/>
  <c r="H52" i="163"/>
  <c r="E52" i="163"/>
  <c r="AD51" i="163"/>
  <c r="AC51" i="163"/>
  <c r="AB51" i="163"/>
  <c r="AE51" i="163" s="1"/>
  <c r="AI51" i="163" s="1"/>
  <c r="Y51" i="163" s="1"/>
  <c r="Z51" i="163"/>
  <c r="X51" i="163"/>
  <c r="Q51" i="163"/>
  <c r="P51" i="163"/>
  <c r="H51" i="163"/>
  <c r="E51" i="163"/>
  <c r="I51" i="163" s="1"/>
  <c r="AD50" i="163"/>
  <c r="AE50" i="163" s="1"/>
  <c r="AI50" i="163" s="1"/>
  <c r="Y50" i="163" s="1"/>
  <c r="AC50" i="163"/>
  <c r="AB50" i="163"/>
  <c r="Z50" i="163"/>
  <c r="X50" i="163"/>
  <c r="Q50" i="163"/>
  <c r="P50" i="163"/>
  <c r="H50" i="163"/>
  <c r="E50" i="163"/>
  <c r="I50" i="163" s="1"/>
  <c r="AI49" i="163"/>
  <c r="AE49" i="163"/>
  <c r="Z49" i="163"/>
  <c r="Y49" i="163"/>
  <c r="X49" i="163"/>
  <c r="Q49" i="163"/>
  <c r="P49" i="163"/>
  <c r="H49" i="163"/>
  <c r="E49" i="163"/>
  <c r="I49" i="163" s="1"/>
  <c r="AI48" i="163"/>
  <c r="Y48" i="163" s="1"/>
  <c r="AE48" i="163"/>
  <c r="Z48" i="163"/>
  <c r="X48" i="163"/>
  <c r="Q48" i="163"/>
  <c r="P48" i="163"/>
  <c r="H48" i="163"/>
  <c r="E48" i="163"/>
  <c r="I48" i="163" s="1"/>
  <c r="AE47" i="163"/>
  <c r="AI47" i="163" s="1"/>
  <c r="Y47" i="163" s="1"/>
  <c r="Z47" i="163"/>
  <c r="X47" i="163"/>
  <c r="Q47" i="163"/>
  <c r="P47" i="163"/>
  <c r="I47" i="163"/>
  <c r="H47" i="163"/>
  <c r="E47" i="163"/>
  <c r="AD46" i="163"/>
  <c r="AC46" i="163"/>
  <c r="AB46" i="163"/>
  <c r="AE46" i="163" s="1"/>
  <c r="AI46" i="163" s="1"/>
  <c r="Y46" i="163" s="1"/>
  <c r="Z46" i="163"/>
  <c r="X46" i="163"/>
  <c r="Q46" i="163"/>
  <c r="P46" i="163"/>
  <c r="H46" i="163"/>
  <c r="E46" i="163"/>
  <c r="I46" i="163" s="1"/>
  <c r="AE45" i="163"/>
  <c r="AI45" i="163" s="1"/>
  <c r="Y45" i="163" s="1"/>
  <c r="AD45" i="163"/>
  <c r="AC45" i="163"/>
  <c r="AB45" i="163"/>
  <c r="Z45" i="163"/>
  <c r="X45" i="163"/>
  <c r="Q45" i="163"/>
  <c r="P45" i="163"/>
  <c r="I45" i="163"/>
  <c r="H45" i="163"/>
  <c r="E45" i="163"/>
  <c r="AD44" i="163"/>
  <c r="AC44" i="163"/>
  <c r="AB44" i="163"/>
  <c r="AE44" i="163" s="1"/>
  <c r="AI44" i="163" s="1"/>
  <c r="Y44" i="163" s="1"/>
  <c r="Z44" i="163"/>
  <c r="X44" i="163"/>
  <c r="Q44" i="163"/>
  <c r="P44" i="163"/>
  <c r="I44" i="163"/>
  <c r="H44" i="163"/>
  <c r="E44" i="163"/>
  <c r="AI43" i="163"/>
  <c r="Y43" i="163" s="1"/>
  <c r="AE43" i="163"/>
  <c r="AD43" i="163"/>
  <c r="AC43" i="163"/>
  <c r="AB43" i="163"/>
  <c r="Z43" i="163"/>
  <c r="X43" i="163"/>
  <c r="Q43" i="163"/>
  <c r="P43" i="163"/>
  <c r="I43" i="163"/>
  <c r="H43" i="163"/>
  <c r="E43" i="163"/>
  <c r="AE42" i="163"/>
  <c r="AI42" i="163" s="1"/>
  <c r="Y42" i="163" s="1"/>
  <c r="AD42" i="163"/>
  <c r="AC42" i="163"/>
  <c r="AB42" i="163"/>
  <c r="Z42" i="163"/>
  <c r="X42" i="163"/>
  <c r="Q42" i="163"/>
  <c r="P42" i="163"/>
  <c r="I42" i="163"/>
  <c r="H42" i="163"/>
  <c r="E42" i="163"/>
  <c r="AD41" i="163"/>
  <c r="AC41" i="163"/>
  <c r="AB41" i="163"/>
  <c r="AE41" i="163" s="1"/>
  <c r="AI41" i="163" s="1"/>
  <c r="Y41" i="163" s="1"/>
  <c r="Z41" i="163"/>
  <c r="X41" i="163"/>
  <c r="Q41" i="163"/>
  <c r="P41" i="163"/>
  <c r="H41" i="163"/>
  <c r="E41" i="163"/>
  <c r="I41" i="163" s="1"/>
  <c r="AD40" i="163"/>
  <c r="AC40" i="163"/>
  <c r="AB40" i="163"/>
  <c r="AE40" i="163" s="1"/>
  <c r="AI40" i="163" s="1"/>
  <c r="Y40" i="163" s="1"/>
  <c r="Z40" i="163"/>
  <c r="X40" i="163"/>
  <c r="Q40" i="163"/>
  <c r="P40" i="163"/>
  <c r="I40" i="163"/>
  <c r="H40" i="163"/>
  <c r="E40" i="163"/>
  <c r="AD39" i="163"/>
  <c r="AC39" i="163"/>
  <c r="AE39" i="163" s="1"/>
  <c r="AI39" i="163" s="1"/>
  <c r="Y39" i="163" s="1"/>
  <c r="AB39" i="163"/>
  <c r="Z39" i="163"/>
  <c r="X39" i="163"/>
  <c r="Q39" i="163"/>
  <c r="P39" i="163"/>
  <c r="I39" i="163"/>
  <c r="H39" i="163"/>
  <c r="E39" i="163"/>
  <c r="AD38" i="163"/>
  <c r="AC38" i="163"/>
  <c r="AB38" i="163"/>
  <c r="AE38" i="163" s="1"/>
  <c r="AI38" i="163" s="1"/>
  <c r="Y38" i="163" s="1"/>
  <c r="Z38" i="163"/>
  <c r="X38" i="163"/>
  <c r="Q38" i="163"/>
  <c r="P38" i="163"/>
  <c r="H38" i="163"/>
  <c r="E38" i="163"/>
  <c r="I38" i="163" s="1"/>
  <c r="AD37" i="163"/>
  <c r="AE37" i="163" s="1"/>
  <c r="AI37" i="163" s="1"/>
  <c r="Y37" i="163" s="1"/>
  <c r="AC37" i="163"/>
  <c r="AB37" i="163"/>
  <c r="Z37" i="163"/>
  <c r="X37" i="163"/>
  <c r="Q37" i="163"/>
  <c r="P37" i="163"/>
  <c r="H37" i="163"/>
  <c r="E37" i="163"/>
  <c r="I37" i="163" s="1"/>
  <c r="AD36" i="163"/>
  <c r="AC36" i="163"/>
  <c r="AB36" i="163"/>
  <c r="AE36" i="163" s="1"/>
  <c r="AI36" i="163" s="1"/>
  <c r="Y36" i="163" s="1"/>
  <c r="Z36" i="163"/>
  <c r="X36" i="163"/>
  <c r="Q36" i="163"/>
  <c r="P36" i="163"/>
  <c r="H36" i="163"/>
  <c r="E36" i="163"/>
  <c r="I36" i="163" s="1"/>
  <c r="AD35" i="163"/>
  <c r="AC35" i="163"/>
  <c r="AB35" i="163"/>
  <c r="AE35" i="163" s="1"/>
  <c r="AI35" i="163" s="1"/>
  <c r="Y35" i="163" s="1"/>
  <c r="Z35" i="163"/>
  <c r="X35" i="163"/>
  <c r="Q35" i="163"/>
  <c r="P35" i="163"/>
  <c r="H35" i="163"/>
  <c r="E35" i="163"/>
  <c r="I35" i="163" s="1"/>
  <c r="AD34" i="163"/>
  <c r="AE34" i="163" s="1"/>
  <c r="AI34" i="163" s="1"/>
  <c r="Y34" i="163" s="1"/>
  <c r="AC34" i="163"/>
  <c r="AB34" i="163"/>
  <c r="Z34" i="163"/>
  <c r="X34" i="163"/>
  <c r="Q34" i="163"/>
  <c r="P34" i="163"/>
  <c r="I34" i="163"/>
  <c r="H34" i="163"/>
  <c r="E34" i="163"/>
  <c r="AD33" i="163"/>
  <c r="AC33" i="163"/>
  <c r="AB33" i="163"/>
  <c r="AE33" i="163" s="1"/>
  <c r="AI33" i="163" s="1"/>
  <c r="Y33" i="163" s="1"/>
  <c r="Z33" i="163"/>
  <c r="X33" i="163"/>
  <c r="Q33" i="163"/>
  <c r="P33" i="163"/>
  <c r="H33" i="163"/>
  <c r="E33" i="163"/>
  <c r="I33" i="163" s="1"/>
  <c r="AE32" i="163"/>
  <c r="AI32" i="163" s="1"/>
  <c r="Y32" i="163" s="1"/>
  <c r="AD32" i="163"/>
  <c r="AC32" i="163"/>
  <c r="AB32" i="163"/>
  <c r="Z32" i="163"/>
  <c r="X32" i="163"/>
  <c r="Q32" i="163"/>
  <c r="P32" i="163"/>
  <c r="H32" i="163"/>
  <c r="E32" i="163"/>
  <c r="I32" i="163" s="1"/>
  <c r="AE31" i="163"/>
  <c r="AI31" i="163" s="1"/>
  <c r="Y31" i="163" s="1"/>
  <c r="Z31" i="163"/>
  <c r="X31" i="163"/>
  <c r="Q31" i="163"/>
  <c r="P31" i="163"/>
  <c r="H31" i="163"/>
  <c r="E31" i="163"/>
  <c r="I31" i="163" s="1"/>
  <c r="AE30" i="163"/>
  <c r="AI30" i="163" s="1"/>
  <c r="Y30" i="163" s="1"/>
  <c r="AD30" i="163"/>
  <c r="AC30" i="163"/>
  <c r="AB30" i="163"/>
  <c r="Z30" i="163"/>
  <c r="X30" i="163"/>
  <c r="Q30" i="163"/>
  <c r="P30" i="163"/>
  <c r="I30" i="163"/>
  <c r="H30" i="163"/>
  <c r="E30" i="163"/>
  <c r="AD29" i="163"/>
  <c r="AC29" i="163"/>
  <c r="AB29" i="163"/>
  <c r="AE29" i="163" s="1"/>
  <c r="AI29" i="163" s="1"/>
  <c r="Y29" i="163" s="1"/>
  <c r="Z29" i="163"/>
  <c r="X29" i="163"/>
  <c r="Q29" i="163"/>
  <c r="P29" i="163"/>
  <c r="I29" i="163"/>
  <c r="H29" i="163"/>
  <c r="E29" i="163"/>
  <c r="AI28" i="163"/>
  <c r="Y28" i="163" s="1"/>
  <c r="AE28" i="163"/>
  <c r="AD28" i="163"/>
  <c r="AC28" i="163"/>
  <c r="AB28" i="163"/>
  <c r="Z28" i="163"/>
  <c r="X28" i="163"/>
  <c r="Q28" i="163"/>
  <c r="P28" i="163"/>
  <c r="H28" i="163"/>
  <c r="E28" i="163"/>
  <c r="I28" i="163" s="1"/>
  <c r="AE27" i="163"/>
  <c r="AI27" i="163" s="1"/>
  <c r="Y27" i="163" s="1"/>
  <c r="AD27" i="163"/>
  <c r="AC27" i="163"/>
  <c r="AB27" i="163"/>
  <c r="Z27" i="163"/>
  <c r="X27" i="163"/>
  <c r="Q27" i="163"/>
  <c r="P27" i="163"/>
  <c r="I27" i="163"/>
  <c r="H27" i="163"/>
  <c r="E27" i="163"/>
  <c r="AD26" i="163"/>
  <c r="AC26" i="163"/>
  <c r="AB26" i="163"/>
  <c r="AE26" i="163" s="1"/>
  <c r="AI26" i="163" s="1"/>
  <c r="Y26" i="163" s="1"/>
  <c r="Z26" i="163"/>
  <c r="X26" i="163"/>
  <c r="Q26" i="163"/>
  <c r="P26" i="163"/>
  <c r="H26" i="163"/>
  <c r="E26" i="163"/>
  <c r="I26" i="163" s="1"/>
  <c r="AD25" i="163"/>
  <c r="AC25" i="163"/>
  <c r="AB25" i="163"/>
  <c r="AE25" i="163" s="1"/>
  <c r="AI25" i="163" s="1"/>
  <c r="Y25" i="163" s="1"/>
  <c r="Z25" i="163"/>
  <c r="X25" i="163"/>
  <c r="Q25" i="163"/>
  <c r="P25" i="163"/>
  <c r="I25" i="163"/>
  <c r="H25" i="163"/>
  <c r="E25" i="163"/>
  <c r="AD24" i="163"/>
  <c r="AC24" i="163"/>
  <c r="AE24" i="163" s="1"/>
  <c r="AI24" i="163" s="1"/>
  <c r="Y24" i="163" s="1"/>
  <c r="AB24" i="163"/>
  <c r="Z24" i="163"/>
  <c r="X24" i="163"/>
  <c r="Q24" i="163"/>
  <c r="P24" i="163"/>
  <c r="I24" i="163"/>
  <c r="H24" i="163"/>
  <c r="E24" i="163"/>
  <c r="AD23" i="163"/>
  <c r="AC23" i="163"/>
  <c r="AB23" i="163"/>
  <c r="AE23" i="163" s="1"/>
  <c r="AI23" i="163" s="1"/>
  <c r="Y23" i="163" s="1"/>
  <c r="Z23" i="163"/>
  <c r="X23" i="163"/>
  <c r="Q23" i="163"/>
  <c r="P23" i="163"/>
  <c r="H23" i="163"/>
  <c r="E23" i="163"/>
  <c r="I23" i="163" s="1"/>
  <c r="AD22" i="163"/>
  <c r="AE22" i="163" s="1"/>
  <c r="AI22" i="163" s="1"/>
  <c r="Y22" i="163" s="1"/>
  <c r="AC22" i="163"/>
  <c r="AB22" i="163"/>
  <c r="Z22" i="163"/>
  <c r="X22" i="163"/>
  <c r="Q22" i="163"/>
  <c r="P22" i="163"/>
  <c r="H22" i="163"/>
  <c r="E22" i="163"/>
  <c r="I22" i="163" s="1"/>
  <c r="AD21" i="163"/>
  <c r="AC21" i="163"/>
  <c r="AB21" i="163"/>
  <c r="AE21" i="163" s="1"/>
  <c r="AI21" i="163" s="1"/>
  <c r="Y21" i="163" s="1"/>
  <c r="Z21" i="163"/>
  <c r="X21" i="163"/>
  <c r="Q21" i="163"/>
  <c r="P21" i="163"/>
  <c r="H21" i="163"/>
  <c r="E21" i="163"/>
  <c r="I21" i="163" s="1"/>
  <c r="AD20" i="163"/>
  <c r="AC20" i="163"/>
  <c r="AB20" i="163"/>
  <c r="AE20" i="163" s="1"/>
  <c r="AI20" i="163" s="1"/>
  <c r="Y20" i="163" s="1"/>
  <c r="Z20" i="163"/>
  <c r="X20" i="163"/>
  <c r="Q20" i="163"/>
  <c r="P20" i="163"/>
  <c r="H20" i="163"/>
  <c r="E20" i="163"/>
  <c r="I20" i="163" s="1"/>
  <c r="AD19" i="163"/>
  <c r="AE19" i="163" s="1"/>
  <c r="AI19" i="163" s="1"/>
  <c r="Y19" i="163" s="1"/>
  <c r="AC19" i="163"/>
  <c r="AB19" i="163"/>
  <c r="Z19" i="163"/>
  <c r="X19" i="163"/>
  <c r="Q19" i="163"/>
  <c r="P19" i="163"/>
  <c r="I19" i="163"/>
  <c r="H19" i="163"/>
  <c r="E19" i="163"/>
  <c r="AD18" i="163"/>
  <c r="AC18" i="163"/>
  <c r="AB18" i="163"/>
  <c r="AE18" i="163" s="1"/>
  <c r="AI18" i="163" s="1"/>
  <c r="Y18" i="163" s="1"/>
  <c r="Z18" i="163"/>
  <c r="X18" i="163"/>
  <c r="Q18" i="163"/>
  <c r="P18" i="163"/>
  <c r="H18" i="163"/>
  <c r="E18" i="163"/>
  <c r="I18" i="163" s="1"/>
  <c r="AE17" i="163"/>
  <c r="AI17" i="163" s="1"/>
  <c r="Y17" i="163" s="1"/>
  <c r="AD17" i="163"/>
  <c r="AC17" i="163"/>
  <c r="AB17" i="163"/>
  <c r="Z17" i="163"/>
  <c r="X17" i="163"/>
  <c r="Q17" i="163"/>
  <c r="P17" i="163"/>
  <c r="H17" i="163"/>
  <c r="E17" i="163"/>
  <c r="I17" i="163" s="1"/>
  <c r="AD16" i="163"/>
  <c r="AC16" i="163"/>
  <c r="AB16" i="163"/>
  <c r="AE16" i="163" s="1"/>
  <c r="AI16" i="163" s="1"/>
  <c r="Y16" i="163" s="1"/>
  <c r="Z16" i="163"/>
  <c r="X16" i="163"/>
  <c r="T77" i="163" s="1"/>
  <c r="Q16" i="163"/>
  <c r="P16" i="163"/>
  <c r="E16" i="163"/>
  <c r="I16" i="163" s="1"/>
  <c r="AD15" i="163"/>
  <c r="AC15" i="163"/>
  <c r="AB15" i="163"/>
  <c r="AE15" i="163" s="1"/>
  <c r="AI15" i="163" s="1"/>
  <c r="Y15" i="163" s="1"/>
  <c r="Z15" i="163"/>
  <c r="T75" i="163" s="1"/>
  <c r="X15" i="163"/>
  <c r="Q15" i="163"/>
  <c r="P15" i="163"/>
  <c r="E15" i="163"/>
  <c r="I15" i="163" s="1"/>
  <c r="AD14" i="163"/>
  <c r="AC14" i="163"/>
  <c r="AE14" i="163" s="1"/>
  <c r="AI14" i="163" s="1"/>
  <c r="Y14" i="163" s="1"/>
  <c r="AB14" i="163"/>
  <c r="Z14" i="163"/>
  <c r="X14" i="163"/>
  <c r="Q14" i="163"/>
  <c r="O75" i="163" s="1"/>
  <c r="P14" i="163"/>
  <c r="I14" i="163"/>
  <c r="H14" i="163"/>
  <c r="E14" i="163"/>
  <c r="AD13" i="163"/>
  <c r="AC13" i="163"/>
  <c r="AB13" i="163"/>
  <c r="AE13" i="163" s="1"/>
  <c r="AI13" i="163" s="1"/>
  <c r="Y13" i="163" s="1"/>
  <c r="Z13" i="163"/>
  <c r="X13" i="163"/>
  <c r="Q13" i="163"/>
  <c r="O73" i="163" s="1"/>
  <c r="P13" i="163"/>
  <c r="H13" i="163"/>
  <c r="E13" i="163"/>
  <c r="I13" i="163" s="1"/>
  <c r="AD12" i="163"/>
  <c r="AE12" i="163" s="1"/>
  <c r="AI12" i="163" s="1"/>
  <c r="Y12" i="163" s="1"/>
  <c r="AC12" i="163"/>
  <c r="AB12" i="163"/>
  <c r="Z12" i="163"/>
  <c r="X12" i="163"/>
  <c r="Q12" i="163"/>
  <c r="P12" i="163"/>
  <c r="H12" i="163"/>
  <c r="E12" i="163"/>
  <c r="I12" i="163" s="1"/>
  <c r="T79" i="164" l="1"/>
  <c r="F77" i="164" s="1"/>
  <c r="T73" i="163"/>
  <c r="F73" i="163"/>
  <c r="F75" i="163"/>
  <c r="T79" i="163"/>
  <c r="M79" i="162"/>
  <c r="W73" i="162"/>
  <c r="P71" i="162"/>
  <c r="H71" i="162"/>
  <c r="Q70" i="162"/>
  <c r="P70" i="162"/>
  <c r="I70" i="162"/>
  <c r="H70" i="162"/>
  <c r="E70" i="162"/>
  <c r="Q69" i="162"/>
  <c r="P69" i="162"/>
  <c r="I69" i="162"/>
  <c r="H69" i="162"/>
  <c r="E69" i="162"/>
  <c r="AD68" i="162"/>
  <c r="AC68" i="162"/>
  <c r="AE68" i="162" s="1"/>
  <c r="AI68" i="162" s="1"/>
  <c r="Y68" i="162" s="1"/>
  <c r="AB68" i="162"/>
  <c r="Z68" i="162"/>
  <c r="X68" i="162"/>
  <c r="W68" i="162"/>
  <c r="Q68" i="162"/>
  <c r="P68" i="162"/>
  <c r="I68" i="162"/>
  <c r="H68" i="162"/>
  <c r="E68" i="162"/>
  <c r="AD67" i="162"/>
  <c r="AC67" i="162"/>
  <c r="AB67" i="162"/>
  <c r="AE67" i="162" s="1"/>
  <c r="AI67" i="162" s="1"/>
  <c r="Y67" i="162" s="1"/>
  <c r="Z67" i="162"/>
  <c r="X67" i="162"/>
  <c r="Q67" i="162"/>
  <c r="P67" i="162"/>
  <c r="I67" i="162"/>
  <c r="H67" i="162"/>
  <c r="E67" i="162"/>
  <c r="AE66" i="162"/>
  <c r="AI66" i="162" s="1"/>
  <c r="Y66" i="162" s="1"/>
  <c r="AD66" i="162"/>
  <c r="AC66" i="162"/>
  <c r="AB66" i="162"/>
  <c r="Z66" i="162"/>
  <c r="X66" i="162"/>
  <c r="Q66" i="162"/>
  <c r="P66" i="162"/>
  <c r="H66" i="162"/>
  <c r="E66" i="162"/>
  <c r="I66" i="162" s="1"/>
  <c r="AE65" i="162"/>
  <c r="AI65" i="162" s="1"/>
  <c r="Y65" i="162" s="1"/>
  <c r="AD65" i="162"/>
  <c r="AC65" i="162"/>
  <c r="AB65" i="162"/>
  <c r="Z65" i="162"/>
  <c r="X65" i="162"/>
  <c r="Q65" i="162"/>
  <c r="P65" i="162"/>
  <c r="H65" i="162"/>
  <c r="E65" i="162"/>
  <c r="I65" i="162" s="1"/>
  <c r="AD64" i="162"/>
  <c r="AC64" i="162"/>
  <c r="AB64" i="162"/>
  <c r="AE64" i="162" s="1"/>
  <c r="AI64" i="162" s="1"/>
  <c r="Y64" i="162" s="1"/>
  <c r="Z64" i="162"/>
  <c r="X64" i="162"/>
  <c r="Q64" i="162"/>
  <c r="P64" i="162"/>
  <c r="H64" i="162"/>
  <c r="E64" i="162"/>
  <c r="I64" i="162" s="1"/>
  <c r="AE63" i="162"/>
  <c r="AI63" i="162" s="1"/>
  <c r="Y63" i="162" s="1"/>
  <c r="AD63" i="162"/>
  <c r="AC63" i="162"/>
  <c r="AB63" i="162"/>
  <c r="Z63" i="162"/>
  <c r="X63" i="162"/>
  <c r="Q63" i="162"/>
  <c r="P63" i="162"/>
  <c r="I63" i="162"/>
  <c r="H63" i="162"/>
  <c r="E63" i="162"/>
  <c r="AD62" i="162"/>
  <c r="AC62" i="162"/>
  <c r="AB62" i="162"/>
  <c r="AE62" i="162" s="1"/>
  <c r="AI62" i="162" s="1"/>
  <c r="Y62" i="162" s="1"/>
  <c r="Z62" i="162"/>
  <c r="X62" i="162"/>
  <c r="Q62" i="162"/>
  <c r="P62" i="162"/>
  <c r="I62" i="162"/>
  <c r="H62" i="162"/>
  <c r="E62" i="162"/>
  <c r="AC61" i="162"/>
  <c r="AE61" i="162" s="1"/>
  <c r="AI61" i="162" s="1"/>
  <c r="Y61" i="162" s="1"/>
  <c r="AB61" i="162"/>
  <c r="X61" i="162"/>
  <c r="Q61" i="162"/>
  <c r="P61" i="162"/>
  <c r="H61" i="162"/>
  <c r="E61" i="162"/>
  <c r="I61" i="162" s="1"/>
  <c r="AE60" i="162"/>
  <c r="AI60" i="162" s="1"/>
  <c r="Y60" i="162" s="1"/>
  <c r="X60" i="162"/>
  <c r="Q60" i="162"/>
  <c r="P60" i="162"/>
  <c r="I60" i="162"/>
  <c r="H60" i="162"/>
  <c r="E60" i="162"/>
  <c r="AC59" i="162"/>
  <c r="AB59" i="162"/>
  <c r="AE59" i="162" s="1"/>
  <c r="AI59" i="162" s="1"/>
  <c r="Y59" i="162" s="1"/>
  <c r="X59" i="162"/>
  <c r="Q59" i="162"/>
  <c r="P59" i="162"/>
  <c r="I59" i="162"/>
  <c r="H59" i="162"/>
  <c r="E59" i="162"/>
  <c r="AE58" i="162"/>
  <c r="AI58" i="162" s="1"/>
  <c r="Y58" i="162" s="1"/>
  <c r="AC58" i="162"/>
  <c r="AB58" i="162"/>
  <c r="X58" i="162"/>
  <c r="Q58" i="162"/>
  <c r="P58" i="162"/>
  <c r="I58" i="162"/>
  <c r="E58" i="162"/>
  <c r="AC57" i="162"/>
  <c r="AB57" i="162"/>
  <c r="AE57" i="162" s="1"/>
  <c r="AI57" i="162" s="1"/>
  <c r="Y57" i="162" s="1"/>
  <c r="X57" i="162"/>
  <c r="Q57" i="162"/>
  <c r="P57" i="162"/>
  <c r="I57" i="162"/>
  <c r="H57" i="162"/>
  <c r="E57" i="162"/>
  <c r="AD56" i="162"/>
  <c r="AC56" i="162"/>
  <c r="AE56" i="162" s="1"/>
  <c r="AI56" i="162" s="1"/>
  <c r="Y56" i="162" s="1"/>
  <c r="AB56" i="162"/>
  <c r="Z56" i="162"/>
  <c r="X56" i="162"/>
  <c r="Q56" i="162"/>
  <c r="P56" i="162"/>
  <c r="H56" i="162"/>
  <c r="E56" i="162"/>
  <c r="I56" i="162" s="1"/>
  <c r="AE55" i="162"/>
  <c r="AI55" i="162" s="1"/>
  <c r="Y55" i="162" s="1"/>
  <c r="AD55" i="162"/>
  <c r="AC55" i="162"/>
  <c r="AB55" i="162"/>
  <c r="Z55" i="162"/>
  <c r="X55" i="162"/>
  <c r="Q55" i="162"/>
  <c r="P55" i="162"/>
  <c r="H55" i="162"/>
  <c r="E55" i="162"/>
  <c r="I55" i="162" s="1"/>
  <c r="AD54" i="162"/>
  <c r="AC54" i="162"/>
  <c r="AB54" i="162"/>
  <c r="AE54" i="162" s="1"/>
  <c r="AI54" i="162" s="1"/>
  <c r="Y54" i="162" s="1"/>
  <c r="Z54" i="162"/>
  <c r="X54" i="162"/>
  <c r="Q54" i="162"/>
  <c r="P54" i="162"/>
  <c r="H54" i="162"/>
  <c r="E54" i="162"/>
  <c r="I54" i="162" s="1"/>
  <c r="AD53" i="162"/>
  <c r="AE53" i="162" s="1"/>
  <c r="AI53" i="162" s="1"/>
  <c r="Y53" i="162" s="1"/>
  <c r="AC53" i="162"/>
  <c r="AB53" i="162"/>
  <c r="Z53" i="162"/>
  <c r="X53" i="162"/>
  <c r="Q53" i="162"/>
  <c r="P53" i="162"/>
  <c r="H53" i="162"/>
  <c r="E53" i="162"/>
  <c r="I53" i="162" s="1"/>
  <c r="AE52" i="162"/>
  <c r="AI52" i="162" s="1"/>
  <c r="Y52" i="162" s="1"/>
  <c r="Z52" i="162"/>
  <c r="X52" i="162"/>
  <c r="Q52" i="162"/>
  <c r="P52" i="162"/>
  <c r="I52" i="162"/>
  <c r="H52" i="162"/>
  <c r="E52" i="162"/>
  <c r="AD51" i="162"/>
  <c r="AC51" i="162"/>
  <c r="AB51" i="162"/>
  <c r="AE51" i="162" s="1"/>
  <c r="AI51" i="162" s="1"/>
  <c r="Y51" i="162" s="1"/>
  <c r="Z51" i="162"/>
  <c r="X51" i="162"/>
  <c r="Q51" i="162"/>
  <c r="P51" i="162"/>
  <c r="I51" i="162"/>
  <c r="H51" i="162"/>
  <c r="E51" i="162"/>
  <c r="AE50" i="162"/>
  <c r="AI50" i="162" s="1"/>
  <c r="Y50" i="162" s="1"/>
  <c r="AD50" i="162"/>
  <c r="AC50" i="162"/>
  <c r="AB50" i="162"/>
  <c r="Z50" i="162"/>
  <c r="X50" i="162"/>
  <c r="Q50" i="162"/>
  <c r="P50" i="162"/>
  <c r="H50" i="162"/>
  <c r="E50" i="162"/>
  <c r="I50" i="162" s="1"/>
  <c r="AE49" i="162"/>
  <c r="AI49" i="162" s="1"/>
  <c r="Y49" i="162" s="1"/>
  <c r="Z49" i="162"/>
  <c r="X49" i="162"/>
  <c r="Q49" i="162"/>
  <c r="P49" i="162"/>
  <c r="H49" i="162"/>
  <c r="E49" i="162"/>
  <c r="I49" i="162" s="1"/>
  <c r="AE48" i="162"/>
  <c r="AI48" i="162" s="1"/>
  <c r="Y48" i="162" s="1"/>
  <c r="Z48" i="162"/>
  <c r="X48" i="162"/>
  <c r="Q48" i="162"/>
  <c r="P48" i="162"/>
  <c r="I48" i="162"/>
  <c r="H48" i="162"/>
  <c r="E48" i="162"/>
  <c r="AI47" i="162"/>
  <c r="Y47" i="162" s="1"/>
  <c r="AE47" i="162"/>
  <c r="Z47" i="162"/>
  <c r="X47" i="162"/>
  <c r="Q47" i="162"/>
  <c r="P47" i="162"/>
  <c r="I47" i="162"/>
  <c r="H47" i="162"/>
  <c r="E47" i="162"/>
  <c r="AD46" i="162"/>
  <c r="AC46" i="162"/>
  <c r="AE46" i="162" s="1"/>
  <c r="AI46" i="162" s="1"/>
  <c r="Y46" i="162" s="1"/>
  <c r="AB46" i="162"/>
  <c r="Z46" i="162"/>
  <c r="X46" i="162"/>
  <c r="Q46" i="162"/>
  <c r="P46" i="162"/>
  <c r="I46" i="162"/>
  <c r="H46" i="162"/>
  <c r="E46" i="162"/>
  <c r="AD45" i="162"/>
  <c r="AC45" i="162"/>
  <c r="AB45" i="162"/>
  <c r="AE45" i="162" s="1"/>
  <c r="AI45" i="162" s="1"/>
  <c r="Y45" i="162" s="1"/>
  <c r="Z45" i="162"/>
  <c r="X45" i="162"/>
  <c r="Q45" i="162"/>
  <c r="P45" i="162"/>
  <c r="I45" i="162"/>
  <c r="H45" i="162"/>
  <c r="E45" i="162"/>
  <c r="AD44" i="162"/>
  <c r="AC44" i="162"/>
  <c r="AE44" i="162" s="1"/>
  <c r="AI44" i="162" s="1"/>
  <c r="Y44" i="162" s="1"/>
  <c r="AB44" i="162"/>
  <c r="Z44" i="162"/>
  <c r="X44" i="162"/>
  <c r="Q44" i="162"/>
  <c r="P44" i="162"/>
  <c r="H44" i="162"/>
  <c r="E44" i="162"/>
  <c r="I44" i="162" s="1"/>
  <c r="AE43" i="162"/>
  <c r="AI43" i="162" s="1"/>
  <c r="Y43" i="162" s="1"/>
  <c r="AD43" i="162"/>
  <c r="AC43" i="162"/>
  <c r="AB43" i="162"/>
  <c r="Z43" i="162"/>
  <c r="X43" i="162"/>
  <c r="Q43" i="162"/>
  <c r="P43" i="162"/>
  <c r="H43" i="162"/>
  <c r="E43" i="162"/>
  <c r="I43" i="162" s="1"/>
  <c r="AD42" i="162"/>
  <c r="AC42" i="162"/>
  <c r="AB42" i="162"/>
  <c r="AE42" i="162" s="1"/>
  <c r="AI42" i="162" s="1"/>
  <c r="Y42" i="162" s="1"/>
  <c r="Z42" i="162"/>
  <c r="X42" i="162"/>
  <c r="Q42" i="162"/>
  <c r="P42" i="162"/>
  <c r="H42" i="162"/>
  <c r="E42" i="162"/>
  <c r="I42" i="162" s="1"/>
  <c r="AD41" i="162"/>
  <c r="AE41" i="162" s="1"/>
  <c r="AI41" i="162" s="1"/>
  <c r="Y41" i="162" s="1"/>
  <c r="AC41" i="162"/>
  <c r="AB41" i="162"/>
  <c r="Z41" i="162"/>
  <c r="X41" i="162"/>
  <c r="Q41" i="162"/>
  <c r="P41" i="162"/>
  <c r="H41" i="162"/>
  <c r="E41" i="162"/>
  <c r="I41" i="162" s="1"/>
  <c r="AD40" i="162"/>
  <c r="AC40" i="162"/>
  <c r="AB40" i="162"/>
  <c r="AE40" i="162" s="1"/>
  <c r="AI40" i="162" s="1"/>
  <c r="Y40" i="162" s="1"/>
  <c r="Z40" i="162"/>
  <c r="X40" i="162"/>
  <c r="Q40" i="162"/>
  <c r="P40" i="162"/>
  <c r="I40" i="162"/>
  <c r="H40" i="162"/>
  <c r="E40" i="162"/>
  <c r="AD39" i="162"/>
  <c r="AC39" i="162"/>
  <c r="AB39" i="162"/>
  <c r="AE39" i="162" s="1"/>
  <c r="AI39" i="162" s="1"/>
  <c r="Y39" i="162" s="1"/>
  <c r="Z39" i="162"/>
  <c r="X39" i="162"/>
  <c r="Q39" i="162"/>
  <c r="P39" i="162"/>
  <c r="I39" i="162"/>
  <c r="H39" i="162"/>
  <c r="E39" i="162"/>
  <c r="AD38" i="162"/>
  <c r="AC38" i="162"/>
  <c r="AB38" i="162"/>
  <c r="AE38" i="162" s="1"/>
  <c r="AI38" i="162" s="1"/>
  <c r="Y38" i="162" s="1"/>
  <c r="Z38" i="162"/>
  <c r="X38" i="162"/>
  <c r="Q38" i="162"/>
  <c r="P38" i="162"/>
  <c r="I38" i="162"/>
  <c r="H38" i="162"/>
  <c r="E38" i="162"/>
  <c r="AE37" i="162"/>
  <c r="AI37" i="162" s="1"/>
  <c r="Y37" i="162" s="1"/>
  <c r="AD37" i="162"/>
  <c r="AC37" i="162"/>
  <c r="AB37" i="162"/>
  <c r="Z37" i="162"/>
  <c r="X37" i="162"/>
  <c r="Q37" i="162"/>
  <c r="P37" i="162"/>
  <c r="H37" i="162"/>
  <c r="E37" i="162"/>
  <c r="I37" i="162" s="1"/>
  <c r="AE36" i="162"/>
  <c r="AI36" i="162" s="1"/>
  <c r="Y36" i="162" s="1"/>
  <c r="AD36" i="162"/>
  <c r="AC36" i="162"/>
  <c r="AB36" i="162"/>
  <c r="Z36" i="162"/>
  <c r="X36" i="162"/>
  <c r="Q36" i="162"/>
  <c r="P36" i="162"/>
  <c r="H36" i="162"/>
  <c r="E36" i="162"/>
  <c r="I36" i="162" s="1"/>
  <c r="AD35" i="162"/>
  <c r="AC35" i="162"/>
  <c r="AB35" i="162"/>
  <c r="AE35" i="162" s="1"/>
  <c r="AI35" i="162" s="1"/>
  <c r="Y35" i="162" s="1"/>
  <c r="Z35" i="162"/>
  <c r="X35" i="162"/>
  <c r="Q35" i="162"/>
  <c r="P35" i="162"/>
  <c r="H35" i="162"/>
  <c r="E35" i="162"/>
  <c r="I35" i="162" s="1"/>
  <c r="AE34" i="162"/>
  <c r="AI34" i="162" s="1"/>
  <c r="Y34" i="162" s="1"/>
  <c r="AD34" i="162"/>
  <c r="AC34" i="162"/>
  <c r="AB34" i="162"/>
  <c r="Z34" i="162"/>
  <c r="X34" i="162"/>
  <c r="Q34" i="162"/>
  <c r="P34" i="162"/>
  <c r="I34" i="162"/>
  <c r="H34" i="162"/>
  <c r="E34" i="162"/>
  <c r="AD33" i="162"/>
  <c r="AC33" i="162"/>
  <c r="AB33" i="162"/>
  <c r="AE33" i="162" s="1"/>
  <c r="AI33" i="162" s="1"/>
  <c r="Y33" i="162" s="1"/>
  <c r="Z33" i="162"/>
  <c r="X33" i="162"/>
  <c r="Q33" i="162"/>
  <c r="P33" i="162"/>
  <c r="I33" i="162"/>
  <c r="H33" i="162"/>
  <c r="E33" i="162"/>
  <c r="AD32" i="162"/>
  <c r="AC32" i="162"/>
  <c r="AB32" i="162"/>
  <c r="AE32" i="162" s="1"/>
  <c r="AI32" i="162" s="1"/>
  <c r="Y32" i="162" s="1"/>
  <c r="Z32" i="162"/>
  <c r="X32" i="162"/>
  <c r="Q32" i="162"/>
  <c r="P32" i="162"/>
  <c r="H32" i="162"/>
  <c r="E32" i="162"/>
  <c r="I32" i="162" s="1"/>
  <c r="AI31" i="162"/>
  <c r="Y31" i="162" s="1"/>
  <c r="AE31" i="162"/>
  <c r="Z31" i="162"/>
  <c r="X31" i="162"/>
  <c r="Q31" i="162"/>
  <c r="P31" i="162"/>
  <c r="I31" i="162"/>
  <c r="H31" i="162"/>
  <c r="E31" i="162"/>
  <c r="AD30" i="162"/>
  <c r="AC30" i="162"/>
  <c r="AB30" i="162"/>
  <c r="AE30" i="162" s="1"/>
  <c r="AI30" i="162" s="1"/>
  <c r="Y30" i="162" s="1"/>
  <c r="Z30" i="162"/>
  <c r="X30" i="162"/>
  <c r="Q30" i="162"/>
  <c r="P30" i="162"/>
  <c r="I30" i="162"/>
  <c r="H30" i="162"/>
  <c r="E30" i="162"/>
  <c r="AD29" i="162"/>
  <c r="AC29" i="162"/>
  <c r="AE29" i="162" s="1"/>
  <c r="AI29" i="162" s="1"/>
  <c r="Y29" i="162" s="1"/>
  <c r="AB29" i="162"/>
  <c r="Z29" i="162"/>
  <c r="X29" i="162"/>
  <c r="Q29" i="162"/>
  <c r="P29" i="162"/>
  <c r="H29" i="162"/>
  <c r="E29" i="162"/>
  <c r="I29" i="162" s="1"/>
  <c r="AE28" i="162"/>
  <c r="AI28" i="162" s="1"/>
  <c r="Y28" i="162" s="1"/>
  <c r="AD28" i="162"/>
  <c r="AC28" i="162"/>
  <c r="AB28" i="162"/>
  <c r="Z28" i="162"/>
  <c r="X28" i="162"/>
  <c r="Q28" i="162"/>
  <c r="P28" i="162"/>
  <c r="H28" i="162"/>
  <c r="E28" i="162"/>
  <c r="I28" i="162" s="1"/>
  <c r="AD27" i="162"/>
  <c r="AC27" i="162"/>
  <c r="AB27" i="162"/>
  <c r="AE27" i="162" s="1"/>
  <c r="AI27" i="162" s="1"/>
  <c r="Y27" i="162" s="1"/>
  <c r="Z27" i="162"/>
  <c r="X27" i="162"/>
  <c r="Q27" i="162"/>
  <c r="P27" i="162"/>
  <c r="H27" i="162"/>
  <c r="E27" i="162"/>
  <c r="I27" i="162" s="1"/>
  <c r="AD26" i="162"/>
  <c r="AE26" i="162" s="1"/>
  <c r="AI26" i="162" s="1"/>
  <c r="Y26" i="162" s="1"/>
  <c r="AC26" i="162"/>
  <c r="AB26" i="162"/>
  <c r="Z26" i="162"/>
  <c r="X26" i="162"/>
  <c r="Q26" i="162"/>
  <c r="P26" i="162"/>
  <c r="H26" i="162"/>
  <c r="E26" i="162"/>
  <c r="I26" i="162" s="1"/>
  <c r="AD25" i="162"/>
  <c r="AC25" i="162"/>
  <c r="AB25" i="162"/>
  <c r="AE25" i="162" s="1"/>
  <c r="AI25" i="162" s="1"/>
  <c r="Y25" i="162" s="1"/>
  <c r="Z25" i="162"/>
  <c r="X25" i="162"/>
  <c r="Q25" i="162"/>
  <c r="P25" i="162"/>
  <c r="I25" i="162"/>
  <c r="H25" i="162"/>
  <c r="E25" i="162"/>
  <c r="AD24" i="162"/>
  <c r="AE24" i="162" s="1"/>
  <c r="AI24" i="162" s="1"/>
  <c r="Y24" i="162" s="1"/>
  <c r="AC24" i="162"/>
  <c r="AB24" i="162"/>
  <c r="Z24" i="162"/>
  <c r="X24" i="162"/>
  <c r="Q24" i="162"/>
  <c r="P24" i="162"/>
  <c r="I24" i="162"/>
  <c r="H24" i="162"/>
  <c r="E24" i="162"/>
  <c r="AD23" i="162"/>
  <c r="AC23" i="162"/>
  <c r="AB23" i="162"/>
  <c r="AE23" i="162" s="1"/>
  <c r="AI23" i="162" s="1"/>
  <c r="Y23" i="162" s="1"/>
  <c r="Z23" i="162"/>
  <c r="X23" i="162"/>
  <c r="Q23" i="162"/>
  <c r="P23" i="162"/>
  <c r="I23" i="162"/>
  <c r="H23" i="162"/>
  <c r="E23" i="162"/>
  <c r="AE22" i="162"/>
  <c r="AI22" i="162" s="1"/>
  <c r="Y22" i="162" s="1"/>
  <c r="AD22" i="162"/>
  <c r="AC22" i="162"/>
  <c r="AB22" i="162"/>
  <c r="Z22" i="162"/>
  <c r="X22" i="162"/>
  <c r="Q22" i="162"/>
  <c r="P22" i="162"/>
  <c r="H22" i="162"/>
  <c r="E22" i="162"/>
  <c r="I22" i="162" s="1"/>
  <c r="AE21" i="162"/>
  <c r="AI21" i="162" s="1"/>
  <c r="Y21" i="162" s="1"/>
  <c r="AD21" i="162"/>
  <c r="AC21" i="162"/>
  <c r="AB21" i="162"/>
  <c r="Z21" i="162"/>
  <c r="X21" i="162"/>
  <c r="Q21" i="162"/>
  <c r="P21" i="162"/>
  <c r="H21" i="162"/>
  <c r="E21" i="162"/>
  <c r="I21" i="162" s="1"/>
  <c r="AD20" i="162"/>
  <c r="AC20" i="162"/>
  <c r="AB20" i="162"/>
  <c r="AE20" i="162" s="1"/>
  <c r="AI20" i="162" s="1"/>
  <c r="Y20" i="162" s="1"/>
  <c r="Z20" i="162"/>
  <c r="X20" i="162"/>
  <c r="Q20" i="162"/>
  <c r="P20" i="162"/>
  <c r="H20" i="162"/>
  <c r="E20" i="162"/>
  <c r="I20" i="162" s="1"/>
  <c r="AE19" i="162"/>
  <c r="AI19" i="162" s="1"/>
  <c r="Y19" i="162" s="1"/>
  <c r="AD19" i="162"/>
  <c r="AC19" i="162"/>
  <c r="AB19" i="162"/>
  <c r="Z19" i="162"/>
  <c r="X19" i="162"/>
  <c r="Q19" i="162"/>
  <c r="P19" i="162"/>
  <c r="I19" i="162"/>
  <c r="H19" i="162"/>
  <c r="E19" i="162"/>
  <c r="AD18" i="162"/>
  <c r="AC18" i="162"/>
  <c r="AB18" i="162"/>
  <c r="AE18" i="162" s="1"/>
  <c r="AI18" i="162" s="1"/>
  <c r="Y18" i="162" s="1"/>
  <c r="Z18" i="162"/>
  <c r="X18" i="162"/>
  <c r="Q18" i="162"/>
  <c r="P18" i="162"/>
  <c r="I18" i="162"/>
  <c r="H18" i="162"/>
  <c r="E18" i="162"/>
  <c r="AD17" i="162"/>
  <c r="AC17" i="162"/>
  <c r="AB17" i="162"/>
  <c r="AE17" i="162" s="1"/>
  <c r="AI17" i="162" s="1"/>
  <c r="Y17" i="162" s="1"/>
  <c r="Z17" i="162"/>
  <c r="X17" i="162"/>
  <c r="Q17" i="162"/>
  <c r="P17" i="162"/>
  <c r="H17" i="162"/>
  <c r="E17" i="162"/>
  <c r="I17" i="162" s="1"/>
  <c r="AD16" i="162"/>
  <c r="AC16" i="162"/>
  <c r="AE16" i="162" s="1"/>
  <c r="AI16" i="162" s="1"/>
  <c r="Y16" i="162" s="1"/>
  <c r="AB16" i="162"/>
  <c r="Z16" i="162"/>
  <c r="X16" i="162"/>
  <c r="Q16" i="162"/>
  <c r="P16" i="162"/>
  <c r="I16" i="162"/>
  <c r="E16" i="162"/>
  <c r="AD15" i="162"/>
  <c r="AC15" i="162"/>
  <c r="AB15" i="162"/>
  <c r="AE15" i="162" s="1"/>
  <c r="AI15" i="162" s="1"/>
  <c r="Y15" i="162" s="1"/>
  <c r="Z15" i="162"/>
  <c r="X15" i="162"/>
  <c r="Q15" i="162"/>
  <c r="P15" i="162"/>
  <c r="E15" i="162"/>
  <c r="I15" i="162" s="1"/>
  <c r="AD14" i="162"/>
  <c r="AE14" i="162" s="1"/>
  <c r="AI14" i="162" s="1"/>
  <c r="Y14" i="162" s="1"/>
  <c r="AC14" i="162"/>
  <c r="AB14" i="162"/>
  <c r="Z14" i="162"/>
  <c r="X14" i="162"/>
  <c r="Q14" i="162"/>
  <c r="O75" i="162" s="1"/>
  <c r="P14" i="162"/>
  <c r="I14" i="162"/>
  <c r="H14" i="162"/>
  <c r="E14" i="162"/>
  <c r="AD13" i="162"/>
  <c r="AC13" i="162"/>
  <c r="AB13" i="162"/>
  <c r="AE13" i="162" s="1"/>
  <c r="AI13" i="162" s="1"/>
  <c r="Y13" i="162" s="1"/>
  <c r="Z13" i="162"/>
  <c r="X13" i="162"/>
  <c r="Q13" i="162"/>
  <c r="P13" i="162"/>
  <c r="I13" i="162"/>
  <c r="H13" i="162"/>
  <c r="E13" i="162"/>
  <c r="AE12" i="162"/>
  <c r="AI12" i="162" s="1"/>
  <c r="Y12" i="162" s="1"/>
  <c r="AD12" i="162"/>
  <c r="AC12" i="162"/>
  <c r="AB12" i="162"/>
  <c r="Z12" i="162"/>
  <c r="T75" i="162" s="1"/>
  <c r="X12" i="162"/>
  <c r="T77" i="162" s="1"/>
  <c r="Q12" i="162"/>
  <c r="P12" i="162"/>
  <c r="H12" i="162"/>
  <c r="E12" i="162"/>
  <c r="I12" i="162" s="1"/>
  <c r="F77" i="163" l="1"/>
  <c r="O73" i="162"/>
  <c r="F75" i="162"/>
  <c r="F73" i="162"/>
  <c r="T73" i="162"/>
  <c r="T79" i="162" s="1"/>
  <c r="M79" i="161"/>
  <c r="W73" i="161"/>
  <c r="P71" i="161"/>
  <c r="H71" i="161"/>
  <c r="Q70" i="161"/>
  <c r="P70" i="161"/>
  <c r="H70" i="161"/>
  <c r="E70" i="161"/>
  <c r="I70" i="161" s="1"/>
  <c r="Q69" i="161"/>
  <c r="P69" i="161"/>
  <c r="H69" i="161"/>
  <c r="E69" i="161"/>
  <c r="I69" i="161" s="1"/>
  <c r="AD68" i="161"/>
  <c r="AC68" i="161"/>
  <c r="AB68" i="161"/>
  <c r="AE68" i="161" s="1"/>
  <c r="AI68" i="161" s="1"/>
  <c r="Y68" i="161" s="1"/>
  <c r="Z68" i="161"/>
  <c r="X68" i="161"/>
  <c r="W68" i="161"/>
  <c r="Q68" i="161"/>
  <c r="P68" i="161"/>
  <c r="H68" i="161"/>
  <c r="E68" i="161"/>
  <c r="I68" i="161" s="1"/>
  <c r="AI67" i="161"/>
  <c r="Y67" i="161" s="1"/>
  <c r="AE67" i="161"/>
  <c r="AD67" i="161"/>
  <c r="AC67" i="161"/>
  <c r="AB67" i="161"/>
  <c r="Z67" i="161"/>
  <c r="X67" i="161"/>
  <c r="Q67" i="161"/>
  <c r="P67" i="161"/>
  <c r="H67" i="161"/>
  <c r="E67" i="161"/>
  <c r="I67" i="161" s="1"/>
  <c r="AE66" i="161"/>
  <c r="AI66" i="161" s="1"/>
  <c r="Y66" i="161" s="1"/>
  <c r="AD66" i="161"/>
  <c r="AC66" i="161"/>
  <c r="AB66" i="161"/>
  <c r="Z66" i="161"/>
  <c r="X66" i="161"/>
  <c r="Q66" i="161"/>
  <c r="P66" i="161"/>
  <c r="H66" i="161"/>
  <c r="E66" i="161"/>
  <c r="I66" i="161" s="1"/>
  <c r="AD65" i="161"/>
  <c r="AC65" i="161"/>
  <c r="AB65" i="161"/>
  <c r="AE65" i="161" s="1"/>
  <c r="AI65" i="161" s="1"/>
  <c r="Y65" i="161" s="1"/>
  <c r="Z65" i="161"/>
  <c r="X65" i="161"/>
  <c r="Q65" i="161"/>
  <c r="P65" i="161"/>
  <c r="H65" i="161"/>
  <c r="E65" i="161"/>
  <c r="I65" i="161" s="1"/>
  <c r="AD64" i="161"/>
  <c r="AC64" i="161"/>
  <c r="AB64" i="161"/>
  <c r="AE64" i="161" s="1"/>
  <c r="AI64" i="161" s="1"/>
  <c r="Y64" i="161" s="1"/>
  <c r="Z64" i="161"/>
  <c r="X64" i="161"/>
  <c r="Q64" i="161"/>
  <c r="P64" i="161"/>
  <c r="H64" i="161"/>
  <c r="E64" i="161"/>
  <c r="I64" i="161" s="1"/>
  <c r="AD63" i="161"/>
  <c r="AC63" i="161"/>
  <c r="AB63" i="161"/>
  <c r="AE63" i="161" s="1"/>
  <c r="AI63" i="161" s="1"/>
  <c r="Y63" i="161" s="1"/>
  <c r="Z63" i="161"/>
  <c r="X63" i="161"/>
  <c r="Q63" i="161"/>
  <c r="P63" i="161"/>
  <c r="H63" i="161"/>
  <c r="E63" i="161"/>
  <c r="I63" i="161" s="1"/>
  <c r="AE62" i="161"/>
  <c r="AI62" i="161" s="1"/>
  <c r="Y62" i="161" s="1"/>
  <c r="AD62" i="161"/>
  <c r="AC62" i="161"/>
  <c r="AB62" i="161"/>
  <c r="Z62" i="161"/>
  <c r="X62" i="161"/>
  <c r="Q62" i="161"/>
  <c r="P62" i="161"/>
  <c r="I62" i="161"/>
  <c r="H62" i="161"/>
  <c r="E62" i="161"/>
  <c r="AC61" i="161"/>
  <c r="AE61" i="161" s="1"/>
  <c r="AI61" i="161" s="1"/>
  <c r="Y61" i="161" s="1"/>
  <c r="AB61" i="161"/>
  <c r="X61" i="161"/>
  <c r="Q61" i="161"/>
  <c r="P61" i="161"/>
  <c r="I61" i="161"/>
  <c r="H61" i="161"/>
  <c r="E61" i="161"/>
  <c r="AI60" i="161"/>
  <c r="Y60" i="161" s="1"/>
  <c r="AE60" i="161"/>
  <c r="X60" i="161"/>
  <c r="Q60" i="161"/>
  <c r="P60" i="161"/>
  <c r="I60" i="161"/>
  <c r="H60" i="161"/>
  <c r="E60" i="161"/>
  <c r="AI59" i="161"/>
  <c r="Y59" i="161" s="1"/>
  <c r="AE59" i="161"/>
  <c r="AC59" i="161"/>
  <c r="AB59" i="161"/>
  <c r="X59" i="161"/>
  <c r="Q59" i="161"/>
  <c r="P59" i="161"/>
  <c r="H59" i="161"/>
  <c r="E59" i="161"/>
  <c r="I59" i="161" s="1"/>
  <c r="AC58" i="161"/>
  <c r="AB58" i="161"/>
  <c r="AE58" i="161" s="1"/>
  <c r="AI58" i="161" s="1"/>
  <c r="Y58" i="161" s="1"/>
  <c r="X58" i="161"/>
  <c r="Q58" i="161"/>
  <c r="P58" i="161"/>
  <c r="E58" i="161"/>
  <c r="I58" i="161" s="1"/>
  <c r="AC57" i="161"/>
  <c r="AB57" i="161"/>
  <c r="AE57" i="161" s="1"/>
  <c r="AI57" i="161" s="1"/>
  <c r="Y57" i="161" s="1"/>
  <c r="X57" i="161"/>
  <c r="Q57" i="161"/>
  <c r="P57" i="161"/>
  <c r="I57" i="161"/>
  <c r="H57" i="161"/>
  <c r="E57" i="161"/>
  <c r="AD56" i="161"/>
  <c r="AC56" i="161"/>
  <c r="AB56" i="161"/>
  <c r="AE56" i="161" s="1"/>
  <c r="AI56" i="161" s="1"/>
  <c r="Y56" i="161" s="1"/>
  <c r="Z56" i="161"/>
  <c r="X56" i="161"/>
  <c r="Q56" i="161"/>
  <c r="P56" i="161"/>
  <c r="H56" i="161"/>
  <c r="E56" i="161"/>
  <c r="I56" i="161" s="1"/>
  <c r="AE55" i="161"/>
  <c r="AI55" i="161" s="1"/>
  <c r="Y55" i="161" s="1"/>
  <c r="AD55" i="161"/>
  <c r="AC55" i="161"/>
  <c r="AB55" i="161"/>
  <c r="Z55" i="161"/>
  <c r="X55" i="161"/>
  <c r="Q55" i="161"/>
  <c r="P55" i="161"/>
  <c r="I55" i="161"/>
  <c r="H55" i="161"/>
  <c r="E55" i="161"/>
  <c r="AD54" i="161"/>
  <c r="AC54" i="161"/>
  <c r="AB54" i="161"/>
  <c r="AE54" i="161" s="1"/>
  <c r="AI54" i="161" s="1"/>
  <c r="Y54" i="161" s="1"/>
  <c r="Z54" i="161"/>
  <c r="X54" i="161"/>
  <c r="Q54" i="161"/>
  <c r="P54" i="161"/>
  <c r="H54" i="161"/>
  <c r="E54" i="161"/>
  <c r="I54" i="161" s="1"/>
  <c r="AD53" i="161"/>
  <c r="AC53" i="161"/>
  <c r="AE53" i="161" s="1"/>
  <c r="AI53" i="161" s="1"/>
  <c r="Y53" i="161" s="1"/>
  <c r="AB53" i="161"/>
  <c r="Z53" i="161"/>
  <c r="X53" i="161"/>
  <c r="Q53" i="161"/>
  <c r="P53" i="161"/>
  <c r="I53" i="161"/>
  <c r="H53" i="161"/>
  <c r="E53" i="161"/>
  <c r="AE52" i="161"/>
  <c r="AI52" i="161" s="1"/>
  <c r="Y52" i="161" s="1"/>
  <c r="Z52" i="161"/>
  <c r="X52" i="161"/>
  <c r="Q52" i="161"/>
  <c r="P52" i="161"/>
  <c r="I52" i="161"/>
  <c r="H52" i="161"/>
  <c r="E52" i="161"/>
  <c r="AD51" i="161"/>
  <c r="AC51" i="161"/>
  <c r="AB51" i="161"/>
  <c r="AE51" i="161" s="1"/>
  <c r="AI51" i="161" s="1"/>
  <c r="Y51" i="161" s="1"/>
  <c r="Z51" i="161"/>
  <c r="X51" i="161"/>
  <c r="Q51" i="161"/>
  <c r="P51" i="161"/>
  <c r="H51" i="161"/>
  <c r="E51" i="161"/>
  <c r="I51" i="161" s="1"/>
  <c r="AE50" i="161"/>
  <c r="AI50" i="161" s="1"/>
  <c r="Y50" i="161" s="1"/>
  <c r="AD50" i="161"/>
  <c r="AC50" i="161"/>
  <c r="AB50" i="161"/>
  <c r="Z50" i="161"/>
  <c r="X50" i="161"/>
  <c r="Q50" i="161"/>
  <c r="P50" i="161"/>
  <c r="H50" i="161"/>
  <c r="E50" i="161"/>
  <c r="I50" i="161" s="1"/>
  <c r="AI49" i="161"/>
  <c r="Y49" i="161" s="1"/>
  <c r="AE49" i="161"/>
  <c r="Z49" i="161"/>
  <c r="X49" i="161"/>
  <c r="Q49" i="161"/>
  <c r="P49" i="161"/>
  <c r="H49" i="161"/>
  <c r="E49" i="161"/>
  <c r="I49" i="161" s="1"/>
  <c r="AE48" i="161"/>
  <c r="AI48" i="161" s="1"/>
  <c r="Y48" i="161" s="1"/>
  <c r="Z48" i="161"/>
  <c r="X48" i="161"/>
  <c r="Q48" i="161"/>
  <c r="P48" i="161"/>
  <c r="I48" i="161"/>
  <c r="H48" i="161"/>
  <c r="E48" i="161"/>
  <c r="AI47" i="161"/>
  <c r="Y47" i="161" s="1"/>
  <c r="AE47" i="161"/>
  <c r="Z47" i="161"/>
  <c r="X47" i="161"/>
  <c r="Q47" i="161"/>
  <c r="P47" i="161"/>
  <c r="H47" i="161"/>
  <c r="E47" i="161"/>
  <c r="I47" i="161" s="1"/>
  <c r="AE46" i="161"/>
  <c r="AI46" i="161" s="1"/>
  <c r="Y46" i="161" s="1"/>
  <c r="AD46" i="161"/>
  <c r="AC46" i="161"/>
  <c r="AB46" i="161"/>
  <c r="Z46" i="161"/>
  <c r="X46" i="161"/>
  <c r="Q46" i="161"/>
  <c r="P46" i="161"/>
  <c r="I46" i="161"/>
  <c r="H46" i="161"/>
  <c r="E46" i="161"/>
  <c r="AD45" i="161"/>
  <c r="AC45" i="161"/>
  <c r="AB45" i="161"/>
  <c r="AE45" i="161" s="1"/>
  <c r="AI45" i="161" s="1"/>
  <c r="Y45" i="161" s="1"/>
  <c r="Z45" i="161"/>
  <c r="X45" i="161"/>
  <c r="Q45" i="161"/>
  <c r="P45" i="161"/>
  <c r="I45" i="161"/>
  <c r="H45" i="161"/>
  <c r="E45" i="161"/>
  <c r="AD44" i="161"/>
  <c r="AC44" i="161"/>
  <c r="AB44" i="161"/>
  <c r="AE44" i="161" s="1"/>
  <c r="AI44" i="161" s="1"/>
  <c r="Y44" i="161" s="1"/>
  <c r="Z44" i="161"/>
  <c r="X44" i="161"/>
  <c r="Q44" i="161"/>
  <c r="P44" i="161"/>
  <c r="H44" i="161"/>
  <c r="E44" i="161"/>
  <c r="I44" i="161" s="1"/>
  <c r="AE43" i="161"/>
  <c r="AI43" i="161" s="1"/>
  <c r="Y43" i="161" s="1"/>
  <c r="AD43" i="161"/>
  <c r="AC43" i="161"/>
  <c r="AB43" i="161"/>
  <c r="Z43" i="161"/>
  <c r="X43" i="161"/>
  <c r="Q43" i="161"/>
  <c r="P43" i="161"/>
  <c r="I43" i="161"/>
  <c r="H43" i="161"/>
  <c r="E43" i="161"/>
  <c r="AD42" i="161"/>
  <c r="AC42" i="161"/>
  <c r="AB42" i="161"/>
  <c r="AE42" i="161" s="1"/>
  <c r="AI42" i="161" s="1"/>
  <c r="Y42" i="161" s="1"/>
  <c r="Z42" i="161"/>
  <c r="X42" i="161"/>
  <c r="Q42" i="161"/>
  <c r="P42" i="161"/>
  <c r="H42" i="161"/>
  <c r="E42" i="161"/>
  <c r="I42" i="161" s="1"/>
  <c r="AD41" i="161"/>
  <c r="AC41" i="161"/>
  <c r="AE41" i="161" s="1"/>
  <c r="AI41" i="161" s="1"/>
  <c r="Y41" i="161" s="1"/>
  <c r="AB41" i="161"/>
  <c r="Z41" i="161"/>
  <c r="X41" i="161"/>
  <c r="Q41" i="161"/>
  <c r="P41" i="161"/>
  <c r="I41" i="161"/>
  <c r="H41" i="161"/>
  <c r="E41" i="161"/>
  <c r="AD40" i="161"/>
  <c r="AC40" i="161"/>
  <c r="AE40" i="161" s="1"/>
  <c r="AI40" i="161" s="1"/>
  <c r="Y40" i="161" s="1"/>
  <c r="AB40" i="161"/>
  <c r="Z40" i="161"/>
  <c r="X40" i="161"/>
  <c r="Q40" i="161"/>
  <c r="P40" i="161"/>
  <c r="I40" i="161"/>
  <c r="H40" i="161"/>
  <c r="E40" i="161"/>
  <c r="AD39" i="161"/>
  <c r="AC39" i="161"/>
  <c r="AB39" i="161"/>
  <c r="AE39" i="161" s="1"/>
  <c r="AI39" i="161" s="1"/>
  <c r="Y39" i="161" s="1"/>
  <c r="Z39" i="161"/>
  <c r="X39" i="161"/>
  <c r="Q39" i="161"/>
  <c r="P39" i="161"/>
  <c r="I39" i="161"/>
  <c r="H39" i="161"/>
  <c r="E39" i="161"/>
  <c r="AD38" i="161"/>
  <c r="AC38" i="161"/>
  <c r="AB38" i="161"/>
  <c r="AE38" i="161" s="1"/>
  <c r="AI38" i="161" s="1"/>
  <c r="Y38" i="161" s="1"/>
  <c r="Z38" i="161"/>
  <c r="X38" i="161"/>
  <c r="Q38" i="161"/>
  <c r="P38" i="161"/>
  <c r="H38" i="161"/>
  <c r="E38" i="161"/>
  <c r="I38" i="161" s="1"/>
  <c r="AE37" i="161"/>
  <c r="AI37" i="161" s="1"/>
  <c r="Y37" i="161" s="1"/>
  <c r="AD37" i="161"/>
  <c r="AC37" i="161"/>
  <c r="AB37" i="161"/>
  <c r="Z37" i="161"/>
  <c r="X37" i="161"/>
  <c r="Q37" i="161"/>
  <c r="P37" i="161"/>
  <c r="H37" i="161"/>
  <c r="E37" i="161"/>
  <c r="I37" i="161" s="1"/>
  <c r="AD36" i="161"/>
  <c r="AC36" i="161"/>
  <c r="AB36" i="161"/>
  <c r="AE36" i="161" s="1"/>
  <c r="AI36" i="161" s="1"/>
  <c r="Y36" i="161" s="1"/>
  <c r="Z36" i="161"/>
  <c r="X36" i="161"/>
  <c r="Q36" i="161"/>
  <c r="P36" i="161"/>
  <c r="H36" i="161"/>
  <c r="E36" i="161"/>
  <c r="I36" i="161" s="1"/>
  <c r="AD35" i="161"/>
  <c r="AC35" i="161"/>
  <c r="AB35" i="161"/>
  <c r="AE35" i="161" s="1"/>
  <c r="AI35" i="161" s="1"/>
  <c r="Y35" i="161" s="1"/>
  <c r="Z35" i="161"/>
  <c r="X35" i="161"/>
  <c r="Q35" i="161"/>
  <c r="P35" i="161"/>
  <c r="H35" i="161"/>
  <c r="E35" i="161"/>
  <c r="I35" i="161" s="1"/>
  <c r="AD34" i="161"/>
  <c r="AC34" i="161"/>
  <c r="AB34" i="161"/>
  <c r="AE34" i="161" s="1"/>
  <c r="AI34" i="161" s="1"/>
  <c r="Y34" i="161" s="1"/>
  <c r="Z34" i="161"/>
  <c r="X34" i="161"/>
  <c r="Q34" i="161"/>
  <c r="P34" i="161"/>
  <c r="I34" i="161"/>
  <c r="H34" i="161"/>
  <c r="E34" i="161"/>
  <c r="AE33" i="161"/>
  <c r="AI33" i="161" s="1"/>
  <c r="Y33" i="161" s="1"/>
  <c r="AD33" i="161"/>
  <c r="AC33" i="161"/>
  <c r="AB33" i="161"/>
  <c r="Z33" i="161"/>
  <c r="X33" i="161"/>
  <c r="Q33" i="161"/>
  <c r="P33" i="161"/>
  <c r="I33" i="161"/>
  <c r="H33" i="161"/>
  <c r="E33" i="161"/>
  <c r="AD32" i="161"/>
  <c r="AC32" i="161"/>
  <c r="AB32" i="161"/>
  <c r="AE32" i="161" s="1"/>
  <c r="AI32" i="161" s="1"/>
  <c r="Y32" i="161" s="1"/>
  <c r="Z32" i="161"/>
  <c r="X32" i="161"/>
  <c r="Q32" i="161"/>
  <c r="P32" i="161"/>
  <c r="H32" i="161"/>
  <c r="E32" i="161"/>
  <c r="I32" i="161" s="1"/>
  <c r="AE31" i="161"/>
  <c r="AI31" i="161" s="1"/>
  <c r="Y31" i="161" s="1"/>
  <c r="Z31" i="161"/>
  <c r="X31" i="161"/>
  <c r="Q31" i="161"/>
  <c r="P31" i="161"/>
  <c r="I31" i="161"/>
  <c r="H31" i="161"/>
  <c r="E31" i="161"/>
  <c r="AD30" i="161"/>
  <c r="AC30" i="161"/>
  <c r="AB30" i="161"/>
  <c r="AE30" i="161" s="1"/>
  <c r="AI30" i="161" s="1"/>
  <c r="Y30" i="161" s="1"/>
  <c r="Z30" i="161"/>
  <c r="X30" i="161"/>
  <c r="Q30" i="161"/>
  <c r="P30" i="161"/>
  <c r="I30" i="161"/>
  <c r="H30" i="161"/>
  <c r="E30" i="161"/>
  <c r="AD29" i="161"/>
  <c r="AC29" i="161"/>
  <c r="AB29" i="161"/>
  <c r="AE29" i="161" s="1"/>
  <c r="AI29" i="161" s="1"/>
  <c r="Y29" i="161" s="1"/>
  <c r="Z29" i="161"/>
  <c r="X29" i="161"/>
  <c r="Q29" i="161"/>
  <c r="P29" i="161"/>
  <c r="H29" i="161"/>
  <c r="E29" i="161"/>
  <c r="I29" i="161" s="1"/>
  <c r="AE28" i="161"/>
  <c r="AI28" i="161" s="1"/>
  <c r="Y28" i="161" s="1"/>
  <c r="AD28" i="161"/>
  <c r="AC28" i="161"/>
  <c r="AB28" i="161"/>
  <c r="Z28" i="161"/>
  <c r="X28" i="161"/>
  <c r="Q28" i="161"/>
  <c r="P28" i="161"/>
  <c r="I28" i="161"/>
  <c r="H28" i="161"/>
  <c r="E28" i="161"/>
  <c r="AD27" i="161"/>
  <c r="AC27" i="161"/>
  <c r="AB27" i="161"/>
  <c r="AE27" i="161" s="1"/>
  <c r="AI27" i="161" s="1"/>
  <c r="Y27" i="161" s="1"/>
  <c r="Z27" i="161"/>
  <c r="X27" i="161"/>
  <c r="Q27" i="161"/>
  <c r="P27" i="161"/>
  <c r="H27" i="161"/>
  <c r="E27" i="161"/>
  <c r="I27" i="161" s="1"/>
  <c r="AD26" i="161"/>
  <c r="AC26" i="161"/>
  <c r="AE26" i="161" s="1"/>
  <c r="AI26" i="161" s="1"/>
  <c r="Y26" i="161" s="1"/>
  <c r="AB26" i="161"/>
  <c r="Z26" i="161"/>
  <c r="X26" i="161"/>
  <c r="Q26" i="161"/>
  <c r="P26" i="161"/>
  <c r="I26" i="161"/>
  <c r="H26" i="161"/>
  <c r="E26" i="161"/>
  <c r="AD25" i="161"/>
  <c r="AC25" i="161"/>
  <c r="AE25" i="161" s="1"/>
  <c r="AI25" i="161" s="1"/>
  <c r="Y25" i="161" s="1"/>
  <c r="AB25" i="161"/>
  <c r="Z25" i="161"/>
  <c r="X25" i="161"/>
  <c r="Q25" i="161"/>
  <c r="P25" i="161"/>
  <c r="I25" i="161"/>
  <c r="H25" i="161"/>
  <c r="E25" i="161"/>
  <c r="AD24" i="161"/>
  <c r="AC24" i="161"/>
  <c r="AB24" i="161"/>
  <c r="AE24" i="161" s="1"/>
  <c r="AI24" i="161" s="1"/>
  <c r="Y24" i="161" s="1"/>
  <c r="Z24" i="161"/>
  <c r="X24" i="161"/>
  <c r="Q24" i="161"/>
  <c r="P24" i="161"/>
  <c r="I24" i="161"/>
  <c r="H24" i="161"/>
  <c r="E24" i="161"/>
  <c r="AD23" i="161"/>
  <c r="AC23" i="161"/>
  <c r="AB23" i="161"/>
  <c r="AE23" i="161" s="1"/>
  <c r="AI23" i="161" s="1"/>
  <c r="Y23" i="161" s="1"/>
  <c r="Z23" i="161"/>
  <c r="X23" i="161"/>
  <c r="Q23" i="161"/>
  <c r="P23" i="161"/>
  <c r="H23" i="161"/>
  <c r="E23" i="161"/>
  <c r="I23" i="161" s="1"/>
  <c r="AE22" i="161"/>
  <c r="AI22" i="161" s="1"/>
  <c r="Y22" i="161" s="1"/>
  <c r="AD22" i="161"/>
  <c r="AC22" i="161"/>
  <c r="AB22" i="161"/>
  <c r="Z22" i="161"/>
  <c r="X22" i="161"/>
  <c r="Q22" i="161"/>
  <c r="P22" i="161"/>
  <c r="H22" i="161"/>
  <c r="E22" i="161"/>
  <c r="I22" i="161" s="1"/>
  <c r="AD21" i="161"/>
  <c r="AC21" i="161"/>
  <c r="AB21" i="161"/>
  <c r="AE21" i="161" s="1"/>
  <c r="AI21" i="161" s="1"/>
  <c r="Y21" i="161" s="1"/>
  <c r="Z21" i="161"/>
  <c r="X21" i="161"/>
  <c r="Q21" i="161"/>
  <c r="P21" i="161"/>
  <c r="H21" i="161"/>
  <c r="E21" i="161"/>
  <c r="I21" i="161" s="1"/>
  <c r="AD20" i="161"/>
  <c r="AC20" i="161"/>
  <c r="AB20" i="161"/>
  <c r="AE20" i="161" s="1"/>
  <c r="AI20" i="161" s="1"/>
  <c r="Y20" i="161" s="1"/>
  <c r="Z20" i="161"/>
  <c r="X20" i="161"/>
  <c r="Q20" i="161"/>
  <c r="P20" i="161"/>
  <c r="H20" i="161"/>
  <c r="E20" i="161"/>
  <c r="I20" i="161" s="1"/>
  <c r="AD19" i="161"/>
  <c r="AC19" i="161"/>
  <c r="AB19" i="161"/>
  <c r="AE19" i="161" s="1"/>
  <c r="AI19" i="161" s="1"/>
  <c r="Y19" i="161" s="1"/>
  <c r="Z19" i="161"/>
  <c r="X19" i="161"/>
  <c r="Q19" i="161"/>
  <c r="P19" i="161"/>
  <c r="I19" i="161"/>
  <c r="H19" i="161"/>
  <c r="E19" i="161"/>
  <c r="AE18" i="161"/>
  <c r="AI18" i="161" s="1"/>
  <c r="Y18" i="161" s="1"/>
  <c r="AD18" i="161"/>
  <c r="AC18" i="161"/>
  <c r="AB18" i="161"/>
  <c r="Z18" i="161"/>
  <c r="X18" i="161"/>
  <c r="Q18" i="161"/>
  <c r="P18" i="161"/>
  <c r="I18" i="161"/>
  <c r="H18" i="161"/>
  <c r="E18" i="161"/>
  <c r="AD17" i="161"/>
  <c r="AC17" i="161"/>
  <c r="AB17" i="161"/>
  <c r="AE17" i="161" s="1"/>
  <c r="AI17" i="161" s="1"/>
  <c r="Y17" i="161" s="1"/>
  <c r="Z17" i="161"/>
  <c r="X17" i="161"/>
  <c r="Q17" i="161"/>
  <c r="P17" i="161"/>
  <c r="H17" i="161"/>
  <c r="E17" i="161"/>
  <c r="I17" i="161" s="1"/>
  <c r="AD16" i="161"/>
  <c r="AC16" i="161"/>
  <c r="AE16" i="161" s="1"/>
  <c r="AI16" i="161" s="1"/>
  <c r="Y16" i="161" s="1"/>
  <c r="AB16" i="161"/>
  <c r="Z16" i="161"/>
  <c r="X16" i="161"/>
  <c r="Q16" i="161"/>
  <c r="P16" i="161"/>
  <c r="E16" i="161"/>
  <c r="I16" i="161" s="1"/>
  <c r="AD15" i="161"/>
  <c r="AC15" i="161"/>
  <c r="AB15" i="161"/>
  <c r="AE15" i="161" s="1"/>
  <c r="AI15" i="161" s="1"/>
  <c r="Y15" i="161" s="1"/>
  <c r="Z15" i="161"/>
  <c r="X15" i="161"/>
  <c r="Q15" i="161"/>
  <c r="P15" i="161"/>
  <c r="E15" i="161"/>
  <c r="I15" i="161" s="1"/>
  <c r="AD14" i="161"/>
  <c r="AC14" i="161"/>
  <c r="AB14" i="161"/>
  <c r="AE14" i="161" s="1"/>
  <c r="AI14" i="161" s="1"/>
  <c r="Y14" i="161" s="1"/>
  <c r="Z14" i="161"/>
  <c r="X14" i="161"/>
  <c r="Q14" i="161"/>
  <c r="O75" i="161" s="1"/>
  <c r="P14" i="161"/>
  <c r="I14" i="161"/>
  <c r="H14" i="161"/>
  <c r="E14" i="161"/>
  <c r="AD13" i="161"/>
  <c r="AC13" i="161"/>
  <c r="AB13" i="161"/>
  <c r="AE13" i="161" s="1"/>
  <c r="AI13" i="161" s="1"/>
  <c r="Y13" i="161" s="1"/>
  <c r="Z13" i="161"/>
  <c r="X13" i="161"/>
  <c r="Q13" i="161"/>
  <c r="P13" i="161"/>
  <c r="H13" i="161"/>
  <c r="E13" i="161"/>
  <c r="I13" i="161" s="1"/>
  <c r="AE12" i="161"/>
  <c r="AI12" i="161" s="1"/>
  <c r="Y12" i="161" s="1"/>
  <c r="AD12" i="161"/>
  <c r="AC12" i="161"/>
  <c r="AB12" i="161"/>
  <c r="Z12" i="161"/>
  <c r="T75" i="161" s="1"/>
  <c r="X12" i="161"/>
  <c r="T77" i="161" s="1"/>
  <c r="Q12" i="161"/>
  <c r="O73" i="161" s="1"/>
  <c r="P12" i="161"/>
  <c r="H12" i="161"/>
  <c r="E12" i="161"/>
  <c r="I12" i="161" s="1"/>
  <c r="F77" i="162" l="1"/>
  <c r="F75" i="161"/>
  <c r="T73" i="161"/>
  <c r="T79" i="161" s="1"/>
  <c r="F73" i="161"/>
  <c r="M79" i="160"/>
  <c r="W73" i="160"/>
  <c r="P71" i="160"/>
  <c r="H71" i="160"/>
  <c r="Q70" i="160"/>
  <c r="P70" i="160"/>
  <c r="I70" i="160"/>
  <c r="H70" i="160"/>
  <c r="E70" i="160"/>
  <c r="Q69" i="160"/>
  <c r="P69" i="160"/>
  <c r="I69" i="160"/>
  <c r="H69" i="160"/>
  <c r="E69" i="160"/>
  <c r="AD68" i="160"/>
  <c r="AC68" i="160"/>
  <c r="AB68" i="160"/>
  <c r="AE68" i="160" s="1"/>
  <c r="AI68" i="160" s="1"/>
  <c r="Y68" i="160" s="1"/>
  <c r="Z68" i="160"/>
  <c r="X68" i="160"/>
  <c r="W68" i="160"/>
  <c r="Q68" i="160"/>
  <c r="P68" i="160"/>
  <c r="H68" i="160"/>
  <c r="E68" i="160"/>
  <c r="I68" i="160" s="1"/>
  <c r="AD67" i="160"/>
  <c r="AE67" i="160" s="1"/>
  <c r="AI67" i="160" s="1"/>
  <c r="Y67" i="160" s="1"/>
  <c r="AC67" i="160"/>
  <c r="AB67" i="160"/>
  <c r="Z67" i="160"/>
  <c r="X67" i="160"/>
  <c r="Q67" i="160"/>
  <c r="P67" i="160"/>
  <c r="I67" i="160"/>
  <c r="H67" i="160"/>
  <c r="E67" i="160"/>
  <c r="AE66" i="160"/>
  <c r="AI66" i="160" s="1"/>
  <c r="Y66" i="160" s="1"/>
  <c r="AD66" i="160"/>
  <c r="AC66" i="160"/>
  <c r="AB66" i="160"/>
  <c r="Z66" i="160"/>
  <c r="X66" i="160"/>
  <c r="Q66" i="160"/>
  <c r="P66" i="160"/>
  <c r="H66" i="160"/>
  <c r="E66" i="160"/>
  <c r="I66" i="160" s="1"/>
  <c r="AE65" i="160"/>
  <c r="AI65" i="160" s="1"/>
  <c r="Y65" i="160" s="1"/>
  <c r="AD65" i="160"/>
  <c r="AC65" i="160"/>
  <c r="AB65" i="160"/>
  <c r="Z65" i="160"/>
  <c r="X65" i="160"/>
  <c r="Q65" i="160"/>
  <c r="P65" i="160"/>
  <c r="H65" i="160"/>
  <c r="E65" i="160"/>
  <c r="I65" i="160" s="1"/>
  <c r="AD64" i="160"/>
  <c r="AC64" i="160"/>
  <c r="AB64" i="160"/>
  <c r="AE64" i="160" s="1"/>
  <c r="AI64" i="160" s="1"/>
  <c r="Y64" i="160" s="1"/>
  <c r="Z64" i="160"/>
  <c r="X64" i="160"/>
  <c r="Q64" i="160"/>
  <c r="P64" i="160"/>
  <c r="I64" i="160"/>
  <c r="H64" i="160"/>
  <c r="E64" i="160"/>
  <c r="AE63" i="160"/>
  <c r="AI63" i="160" s="1"/>
  <c r="Y63" i="160" s="1"/>
  <c r="AD63" i="160"/>
  <c r="AC63" i="160"/>
  <c r="AB63" i="160"/>
  <c r="Z63" i="160"/>
  <c r="X63" i="160"/>
  <c r="Q63" i="160"/>
  <c r="P63" i="160"/>
  <c r="I63" i="160"/>
  <c r="H63" i="160"/>
  <c r="E63" i="160"/>
  <c r="AE62" i="160"/>
  <c r="AI62" i="160" s="1"/>
  <c r="Y62" i="160" s="1"/>
  <c r="AD62" i="160"/>
  <c r="AC62" i="160"/>
  <c r="AB62" i="160"/>
  <c r="Z62" i="160"/>
  <c r="X62" i="160"/>
  <c r="Q62" i="160"/>
  <c r="P62" i="160"/>
  <c r="I62" i="160"/>
  <c r="H62" i="160"/>
  <c r="E62" i="160"/>
  <c r="AC61" i="160"/>
  <c r="AE61" i="160" s="1"/>
  <c r="AI61" i="160" s="1"/>
  <c r="Y61" i="160" s="1"/>
  <c r="AB61" i="160"/>
  <c r="X61" i="160"/>
  <c r="Q61" i="160"/>
  <c r="P61" i="160"/>
  <c r="I61" i="160"/>
  <c r="H61" i="160"/>
  <c r="E61" i="160"/>
  <c r="AE60" i="160"/>
  <c r="AI60" i="160" s="1"/>
  <c r="Y60" i="160" s="1"/>
  <c r="X60" i="160"/>
  <c r="Q60" i="160"/>
  <c r="P60" i="160"/>
  <c r="I60" i="160"/>
  <c r="H60" i="160"/>
  <c r="E60" i="160"/>
  <c r="AC59" i="160"/>
  <c r="AB59" i="160"/>
  <c r="AE59" i="160" s="1"/>
  <c r="AI59" i="160" s="1"/>
  <c r="Y59" i="160" s="1"/>
  <c r="X59" i="160"/>
  <c r="Q59" i="160"/>
  <c r="P59" i="160"/>
  <c r="I59" i="160"/>
  <c r="H59" i="160"/>
  <c r="E59" i="160"/>
  <c r="AE58" i="160"/>
  <c r="AI58" i="160" s="1"/>
  <c r="Y58" i="160" s="1"/>
  <c r="AC58" i="160"/>
  <c r="AB58" i="160"/>
  <c r="X58" i="160"/>
  <c r="Q58" i="160"/>
  <c r="P58" i="160"/>
  <c r="I58" i="160"/>
  <c r="E58" i="160"/>
  <c r="AC57" i="160"/>
  <c r="AB57" i="160"/>
  <c r="AE57" i="160" s="1"/>
  <c r="AI57" i="160" s="1"/>
  <c r="Y57" i="160" s="1"/>
  <c r="X57" i="160"/>
  <c r="Q57" i="160"/>
  <c r="P57" i="160"/>
  <c r="I57" i="160"/>
  <c r="H57" i="160"/>
  <c r="E57" i="160"/>
  <c r="AD56" i="160"/>
  <c r="AC56" i="160"/>
  <c r="AB56" i="160"/>
  <c r="AE56" i="160" s="1"/>
  <c r="AI56" i="160" s="1"/>
  <c r="Y56" i="160" s="1"/>
  <c r="Z56" i="160"/>
  <c r="X56" i="160"/>
  <c r="Q56" i="160"/>
  <c r="P56" i="160"/>
  <c r="H56" i="160"/>
  <c r="E56" i="160"/>
  <c r="I56" i="160" s="1"/>
  <c r="AD55" i="160"/>
  <c r="AC55" i="160"/>
  <c r="AE55" i="160" s="1"/>
  <c r="AI55" i="160" s="1"/>
  <c r="Y55" i="160" s="1"/>
  <c r="AB55" i="160"/>
  <c r="Z55" i="160"/>
  <c r="X55" i="160"/>
  <c r="Q55" i="160"/>
  <c r="P55" i="160"/>
  <c r="H55" i="160"/>
  <c r="E55" i="160"/>
  <c r="I55" i="160" s="1"/>
  <c r="AD54" i="160"/>
  <c r="AC54" i="160"/>
  <c r="AB54" i="160"/>
  <c r="AE54" i="160" s="1"/>
  <c r="AI54" i="160" s="1"/>
  <c r="Y54" i="160" s="1"/>
  <c r="Z54" i="160"/>
  <c r="X54" i="160"/>
  <c r="Q54" i="160"/>
  <c r="P54" i="160"/>
  <c r="I54" i="160"/>
  <c r="H54" i="160"/>
  <c r="E54" i="160"/>
  <c r="AD53" i="160"/>
  <c r="AE53" i="160" s="1"/>
  <c r="AI53" i="160" s="1"/>
  <c r="Y53" i="160" s="1"/>
  <c r="AC53" i="160"/>
  <c r="AB53" i="160"/>
  <c r="Z53" i="160"/>
  <c r="X53" i="160"/>
  <c r="Q53" i="160"/>
  <c r="P53" i="160"/>
  <c r="H53" i="160"/>
  <c r="E53" i="160"/>
  <c r="I53" i="160" s="1"/>
  <c r="AE52" i="160"/>
  <c r="AI52" i="160" s="1"/>
  <c r="Y52" i="160" s="1"/>
  <c r="Z52" i="160"/>
  <c r="X52" i="160"/>
  <c r="Q52" i="160"/>
  <c r="P52" i="160"/>
  <c r="H52" i="160"/>
  <c r="E52" i="160"/>
  <c r="I52" i="160" s="1"/>
  <c r="AD51" i="160"/>
  <c r="AE51" i="160" s="1"/>
  <c r="AI51" i="160" s="1"/>
  <c r="Y51" i="160" s="1"/>
  <c r="AC51" i="160"/>
  <c r="AB51" i="160"/>
  <c r="Z51" i="160"/>
  <c r="X51" i="160"/>
  <c r="Q51" i="160"/>
  <c r="P51" i="160"/>
  <c r="I51" i="160"/>
  <c r="H51" i="160"/>
  <c r="E51" i="160"/>
  <c r="AE50" i="160"/>
  <c r="AI50" i="160" s="1"/>
  <c r="Y50" i="160" s="1"/>
  <c r="AD50" i="160"/>
  <c r="AC50" i="160"/>
  <c r="AB50" i="160"/>
  <c r="Z50" i="160"/>
  <c r="X50" i="160"/>
  <c r="Q50" i="160"/>
  <c r="P50" i="160"/>
  <c r="H50" i="160"/>
  <c r="E50" i="160"/>
  <c r="I50" i="160" s="1"/>
  <c r="AE49" i="160"/>
  <c r="AI49" i="160" s="1"/>
  <c r="Y49" i="160" s="1"/>
  <c r="Z49" i="160"/>
  <c r="X49" i="160"/>
  <c r="Q49" i="160"/>
  <c r="P49" i="160"/>
  <c r="I49" i="160"/>
  <c r="H49" i="160"/>
  <c r="E49" i="160"/>
  <c r="AE48" i="160"/>
  <c r="AI48" i="160" s="1"/>
  <c r="Y48" i="160" s="1"/>
  <c r="Z48" i="160"/>
  <c r="X48" i="160"/>
  <c r="Q48" i="160"/>
  <c r="P48" i="160"/>
  <c r="I48" i="160"/>
  <c r="H48" i="160"/>
  <c r="E48" i="160"/>
  <c r="AI47" i="160"/>
  <c r="Y47" i="160" s="1"/>
  <c r="AE47" i="160"/>
  <c r="Z47" i="160"/>
  <c r="X47" i="160"/>
  <c r="Q47" i="160"/>
  <c r="P47" i="160"/>
  <c r="I47" i="160"/>
  <c r="H47" i="160"/>
  <c r="E47" i="160"/>
  <c r="AD46" i="160"/>
  <c r="AC46" i="160"/>
  <c r="AB46" i="160"/>
  <c r="AE46" i="160" s="1"/>
  <c r="AI46" i="160" s="1"/>
  <c r="Y46" i="160" s="1"/>
  <c r="Z46" i="160"/>
  <c r="X46" i="160"/>
  <c r="Q46" i="160"/>
  <c r="P46" i="160"/>
  <c r="I46" i="160"/>
  <c r="H46" i="160"/>
  <c r="E46" i="160"/>
  <c r="AD45" i="160"/>
  <c r="AC45" i="160"/>
  <c r="AB45" i="160"/>
  <c r="AE45" i="160" s="1"/>
  <c r="AI45" i="160" s="1"/>
  <c r="Y45" i="160" s="1"/>
  <c r="Z45" i="160"/>
  <c r="X45" i="160"/>
  <c r="Q45" i="160"/>
  <c r="P45" i="160"/>
  <c r="H45" i="160"/>
  <c r="E45" i="160"/>
  <c r="I45" i="160" s="1"/>
  <c r="AD44" i="160"/>
  <c r="AC44" i="160"/>
  <c r="AB44" i="160"/>
  <c r="AE44" i="160" s="1"/>
  <c r="AI44" i="160" s="1"/>
  <c r="Y44" i="160" s="1"/>
  <c r="Z44" i="160"/>
  <c r="X44" i="160"/>
  <c r="Q44" i="160"/>
  <c r="P44" i="160"/>
  <c r="H44" i="160"/>
  <c r="E44" i="160"/>
  <c r="I44" i="160" s="1"/>
  <c r="AD43" i="160"/>
  <c r="AC43" i="160"/>
  <c r="AE43" i="160" s="1"/>
  <c r="AI43" i="160" s="1"/>
  <c r="Y43" i="160" s="1"/>
  <c r="AB43" i="160"/>
  <c r="Z43" i="160"/>
  <c r="X43" i="160"/>
  <c r="Q43" i="160"/>
  <c r="P43" i="160"/>
  <c r="H43" i="160"/>
  <c r="E43" i="160"/>
  <c r="I43" i="160" s="1"/>
  <c r="AD42" i="160"/>
  <c r="AC42" i="160"/>
  <c r="AB42" i="160"/>
  <c r="AE42" i="160" s="1"/>
  <c r="AI42" i="160" s="1"/>
  <c r="Y42" i="160" s="1"/>
  <c r="Z42" i="160"/>
  <c r="X42" i="160"/>
  <c r="Q42" i="160"/>
  <c r="P42" i="160"/>
  <c r="I42" i="160"/>
  <c r="H42" i="160"/>
  <c r="E42" i="160"/>
  <c r="AD41" i="160"/>
  <c r="AE41" i="160" s="1"/>
  <c r="AI41" i="160" s="1"/>
  <c r="Y41" i="160" s="1"/>
  <c r="AC41" i="160"/>
  <c r="AB41" i="160"/>
  <c r="Z41" i="160"/>
  <c r="X41" i="160"/>
  <c r="Q41" i="160"/>
  <c r="P41" i="160"/>
  <c r="H41" i="160"/>
  <c r="E41" i="160"/>
  <c r="I41" i="160" s="1"/>
  <c r="AD40" i="160"/>
  <c r="AC40" i="160"/>
  <c r="AB40" i="160"/>
  <c r="AE40" i="160" s="1"/>
  <c r="AI40" i="160" s="1"/>
  <c r="Y40" i="160" s="1"/>
  <c r="Z40" i="160"/>
  <c r="X40" i="160"/>
  <c r="Q40" i="160"/>
  <c r="P40" i="160"/>
  <c r="H40" i="160"/>
  <c r="E40" i="160"/>
  <c r="I40" i="160" s="1"/>
  <c r="AD39" i="160"/>
  <c r="AC39" i="160"/>
  <c r="AB39" i="160"/>
  <c r="AE39" i="160" s="1"/>
  <c r="AI39" i="160" s="1"/>
  <c r="Y39" i="160" s="1"/>
  <c r="Z39" i="160"/>
  <c r="X39" i="160"/>
  <c r="Q39" i="160"/>
  <c r="P39" i="160"/>
  <c r="H39" i="160"/>
  <c r="E39" i="160"/>
  <c r="I39" i="160" s="1"/>
  <c r="AD38" i="160"/>
  <c r="AE38" i="160" s="1"/>
  <c r="AI38" i="160" s="1"/>
  <c r="Y38" i="160" s="1"/>
  <c r="AC38" i="160"/>
  <c r="AB38" i="160"/>
  <c r="Z38" i="160"/>
  <c r="X38" i="160"/>
  <c r="Q38" i="160"/>
  <c r="P38" i="160"/>
  <c r="I38" i="160"/>
  <c r="H38" i="160"/>
  <c r="E38" i="160"/>
  <c r="AE37" i="160"/>
  <c r="AI37" i="160" s="1"/>
  <c r="Y37" i="160" s="1"/>
  <c r="AD37" i="160"/>
  <c r="AC37" i="160"/>
  <c r="AB37" i="160"/>
  <c r="Z37" i="160"/>
  <c r="X37" i="160"/>
  <c r="Q37" i="160"/>
  <c r="P37" i="160"/>
  <c r="H37" i="160"/>
  <c r="E37" i="160"/>
  <c r="I37" i="160" s="1"/>
  <c r="AD36" i="160"/>
  <c r="AC36" i="160"/>
  <c r="AB36" i="160"/>
  <c r="AE36" i="160" s="1"/>
  <c r="AI36" i="160" s="1"/>
  <c r="Y36" i="160" s="1"/>
  <c r="Z36" i="160"/>
  <c r="X36" i="160"/>
  <c r="Q36" i="160"/>
  <c r="P36" i="160"/>
  <c r="H36" i="160"/>
  <c r="E36" i="160"/>
  <c r="I36" i="160" s="1"/>
  <c r="AD35" i="160"/>
  <c r="AC35" i="160"/>
  <c r="AB35" i="160"/>
  <c r="AE35" i="160" s="1"/>
  <c r="AI35" i="160" s="1"/>
  <c r="Y35" i="160" s="1"/>
  <c r="Z35" i="160"/>
  <c r="X35" i="160"/>
  <c r="Q35" i="160"/>
  <c r="P35" i="160"/>
  <c r="I35" i="160"/>
  <c r="H35" i="160"/>
  <c r="E35" i="160"/>
  <c r="AE34" i="160"/>
  <c r="AI34" i="160" s="1"/>
  <c r="Y34" i="160" s="1"/>
  <c r="AD34" i="160"/>
  <c r="AC34" i="160"/>
  <c r="AB34" i="160"/>
  <c r="Z34" i="160"/>
  <c r="X34" i="160"/>
  <c r="Q34" i="160"/>
  <c r="P34" i="160"/>
  <c r="I34" i="160"/>
  <c r="H34" i="160"/>
  <c r="E34" i="160"/>
  <c r="AE33" i="160"/>
  <c r="AI33" i="160" s="1"/>
  <c r="Y33" i="160" s="1"/>
  <c r="AD33" i="160"/>
  <c r="AC33" i="160"/>
  <c r="AB33" i="160"/>
  <c r="Z33" i="160"/>
  <c r="X33" i="160"/>
  <c r="Q33" i="160"/>
  <c r="P33" i="160"/>
  <c r="I33" i="160"/>
  <c r="H33" i="160"/>
  <c r="E33" i="160"/>
  <c r="AD32" i="160"/>
  <c r="AC32" i="160"/>
  <c r="AB32" i="160"/>
  <c r="AE32" i="160" s="1"/>
  <c r="AI32" i="160" s="1"/>
  <c r="Y32" i="160" s="1"/>
  <c r="Z32" i="160"/>
  <c r="X32" i="160"/>
  <c r="Q32" i="160"/>
  <c r="P32" i="160"/>
  <c r="H32" i="160"/>
  <c r="E32" i="160"/>
  <c r="I32" i="160" s="1"/>
  <c r="AI31" i="160"/>
  <c r="AE31" i="160"/>
  <c r="Z31" i="160"/>
  <c r="Y31" i="160"/>
  <c r="X31" i="160"/>
  <c r="Q31" i="160"/>
  <c r="P31" i="160"/>
  <c r="I31" i="160"/>
  <c r="H31" i="160"/>
  <c r="E31" i="160"/>
  <c r="AD30" i="160"/>
  <c r="AC30" i="160"/>
  <c r="AB30" i="160"/>
  <c r="AE30" i="160" s="1"/>
  <c r="AI30" i="160" s="1"/>
  <c r="Y30" i="160" s="1"/>
  <c r="Z30" i="160"/>
  <c r="X30" i="160"/>
  <c r="Q30" i="160"/>
  <c r="P30" i="160"/>
  <c r="H30" i="160"/>
  <c r="E30" i="160"/>
  <c r="I30" i="160" s="1"/>
  <c r="AD29" i="160"/>
  <c r="AC29" i="160"/>
  <c r="AB29" i="160"/>
  <c r="AE29" i="160" s="1"/>
  <c r="AI29" i="160" s="1"/>
  <c r="Y29" i="160" s="1"/>
  <c r="Z29" i="160"/>
  <c r="X29" i="160"/>
  <c r="Q29" i="160"/>
  <c r="P29" i="160"/>
  <c r="H29" i="160"/>
  <c r="E29" i="160"/>
  <c r="I29" i="160" s="1"/>
  <c r="AD28" i="160"/>
  <c r="AC28" i="160"/>
  <c r="AE28" i="160" s="1"/>
  <c r="AI28" i="160" s="1"/>
  <c r="Y28" i="160" s="1"/>
  <c r="AB28" i="160"/>
  <c r="Z28" i="160"/>
  <c r="X28" i="160"/>
  <c r="Q28" i="160"/>
  <c r="P28" i="160"/>
  <c r="H28" i="160"/>
  <c r="E28" i="160"/>
  <c r="I28" i="160" s="1"/>
  <c r="AD27" i="160"/>
  <c r="AC27" i="160"/>
  <c r="AB27" i="160"/>
  <c r="AE27" i="160" s="1"/>
  <c r="AI27" i="160" s="1"/>
  <c r="Y27" i="160" s="1"/>
  <c r="Z27" i="160"/>
  <c r="X27" i="160"/>
  <c r="Q27" i="160"/>
  <c r="P27" i="160"/>
  <c r="I27" i="160"/>
  <c r="H27" i="160"/>
  <c r="E27" i="160"/>
  <c r="AD26" i="160"/>
  <c r="AE26" i="160" s="1"/>
  <c r="AI26" i="160" s="1"/>
  <c r="Y26" i="160" s="1"/>
  <c r="AC26" i="160"/>
  <c r="AB26" i="160"/>
  <c r="Z26" i="160"/>
  <c r="X26" i="160"/>
  <c r="Q26" i="160"/>
  <c r="P26" i="160"/>
  <c r="H26" i="160"/>
  <c r="E26" i="160"/>
  <c r="I26" i="160" s="1"/>
  <c r="AD25" i="160"/>
  <c r="AC25" i="160"/>
  <c r="AB25" i="160"/>
  <c r="AE25" i="160" s="1"/>
  <c r="AI25" i="160" s="1"/>
  <c r="Y25" i="160" s="1"/>
  <c r="Z25" i="160"/>
  <c r="X25" i="160"/>
  <c r="Q25" i="160"/>
  <c r="P25" i="160"/>
  <c r="H25" i="160"/>
  <c r="E25" i="160"/>
  <c r="I25" i="160" s="1"/>
  <c r="AD24" i="160"/>
  <c r="AC24" i="160"/>
  <c r="AB24" i="160"/>
  <c r="AE24" i="160" s="1"/>
  <c r="AI24" i="160" s="1"/>
  <c r="Y24" i="160" s="1"/>
  <c r="Z24" i="160"/>
  <c r="X24" i="160"/>
  <c r="Q24" i="160"/>
  <c r="P24" i="160"/>
  <c r="H24" i="160"/>
  <c r="E24" i="160"/>
  <c r="I24" i="160" s="1"/>
  <c r="AD23" i="160"/>
  <c r="AE23" i="160" s="1"/>
  <c r="AI23" i="160" s="1"/>
  <c r="Y23" i="160" s="1"/>
  <c r="AC23" i="160"/>
  <c r="AB23" i="160"/>
  <c r="Z23" i="160"/>
  <c r="X23" i="160"/>
  <c r="Q23" i="160"/>
  <c r="P23" i="160"/>
  <c r="I23" i="160"/>
  <c r="H23" i="160"/>
  <c r="E23" i="160"/>
  <c r="AE22" i="160"/>
  <c r="AI22" i="160" s="1"/>
  <c r="Y22" i="160" s="1"/>
  <c r="AD22" i="160"/>
  <c r="AC22" i="160"/>
  <c r="AB22" i="160"/>
  <c r="Z22" i="160"/>
  <c r="X22" i="160"/>
  <c r="Q22" i="160"/>
  <c r="P22" i="160"/>
  <c r="H22" i="160"/>
  <c r="E22" i="160"/>
  <c r="I22" i="160" s="1"/>
  <c r="AD21" i="160"/>
  <c r="AC21" i="160"/>
  <c r="AB21" i="160"/>
  <c r="AE21" i="160" s="1"/>
  <c r="AI21" i="160" s="1"/>
  <c r="Y21" i="160" s="1"/>
  <c r="Z21" i="160"/>
  <c r="X21" i="160"/>
  <c r="Q21" i="160"/>
  <c r="P21" i="160"/>
  <c r="H21" i="160"/>
  <c r="E21" i="160"/>
  <c r="I21" i="160" s="1"/>
  <c r="AD20" i="160"/>
  <c r="AC20" i="160"/>
  <c r="AB20" i="160"/>
  <c r="AE20" i="160" s="1"/>
  <c r="AI20" i="160" s="1"/>
  <c r="Y20" i="160" s="1"/>
  <c r="Z20" i="160"/>
  <c r="X20" i="160"/>
  <c r="Q20" i="160"/>
  <c r="P20" i="160"/>
  <c r="I20" i="160"/>
  <c r="H20" i="160"/>
  <c r="E20" i="160"/>
  <c r="AE19" i="160"/>
  <c r="AI19" i="160" s="1"/>
  <c r="Y19" i="160" s="1"/>
  <c r="AD19" i="160"/>
  <c r="AC19" i="160"/>
  <c r="AB19" i="160"/>
  <c r="Z19" i="160"/>
  <c r="X19" i="160"/>
  <c r="Q19" i="160"/>
  <c r="P19" i="160"/>
  <c r="I19" i="160"/>
  <c r="H19" i="160"/>
  <c r="E19" i="160"/>
  <c r="AE18" i="160"/>
  <c r="AI18" i="160" s="1"/>
  <c r="Y18" i="160" s="1"/>
  <c r="AD18" i="160"/>
  <c r="AC18" i="160"/>
  <c r="AB18" i="160"/>
  <c r="Z18" i="160"/>
  <c r="X18" i="160"/>
  <c r="Q18" i="160"/>
  <c r="P18" i="160"/>
  <c r="I18" i="160"/>
  <c r="H18" i="160"/>
  <c r="E18" i="160"/>
  <c r="AD17" i="160"/>
  <c r="AC17" i="160"/>
  <c r="AB17" i="160"/>
  <c r="AE17" i="160" s="1"/>
  <c r="AI17" i="160" s="1"/>
  <c r="Y17" i="160" s="1"/>
  <c r="Z17" i="160"/>
  <c r="X17" i="160"/>
  <c r="Q17" i="160"/>
  <c r="P17" i="160"/>
  <c r="H17" i="160"/>
  <c r="E17" i="160"/>
  <c r="I17" i="160" s="1"/>
  <c r="AD16" i="160"/>
  <c r="AC16" i="160"/>
  <c r="AE16" i="160" s="1"/>
  <c r="AI16" i="160" s="1"/>
  <c r="Y16" i="160" s="1"/>
  <c r="AB16" i="160"/>
  <c r="Z16" i="160"/>
  <c r="X16" i="160"/>
  <c r="Q16" i="160"/>
  <c r="P16" i="160"/>
  <c r="I16" i="160"/>
  <c r="E16" i="160"/>
  <c r="AD15" i="160"/>
  <c r="AC15" i="160"/>
  <c r="AB15" i="160"/>
  <c r="AE15" i="160" s="1"/>
  <c r="AI15" i="160" s="1"/>
  <c r="Y15" i="160" s="1"/>
  <c r="Z15" i="160"/>
  <c r="X15" i="160"/>
  <c r="Q15" i="160"/>
  <c r="P15" i="160"/>
  <c r="E15" i="160"/>
  <c r="I15" i="160" s="1"/>
  <c r="AD14" i="160"/>
  <c r="AC14" i="160"/>
  <c r="AB14" i="160"/>
  <c r="AE14" i="160" s="1"/>
  <c r="AI14" i="160" s="1"/>
  <c r="Y14" i="160" s="1"/>
  <c r="Z14" i="160"/>
  <c r="X14" i="160"/>
  <c r="Q14" i="160"/>
  <c r="O75" i="160" s="1"/>
  <c r="P14" i="160"/>
  <c r="H14" i="160"/>
  <c r="E14" i="160"/>
  <c r="I14" i="160" s="1"/>
  <c r="AD13" i="160"/>
  <c r="AE13" i="160" s="1"/>
  <c r="AI13" i="160" s="1"/>
  <c r="Y13" i="160" s="1"/>
  <c r="AC13" i="160"/>
  <c r="AB13" i="160"/>
  <c r="Z13" i="160"/>
  <c r="X13" i="160"/>
  <c r="Q13" i="160"/>
  <c r="P13" i="160"/>
  <c r="H13" i="160"/>
  <c r="E13" i="160"/>
  <c r="I13" i="160" s="1"/>
  <c r="AE12" i="160"/>
  <c r="AI12" i="160" s="1"/>
  <c r="Y12" i="160" s="1"/>
  <c r="AD12" i="160"/>
  <c r="AC12" i="160"/>
  <c r="AB12" i="160"/>
  <c r="Z12" i="160"/>
  <c r="T75" i="160" s="1"/>
  <c r="X12" i="160"/>
  <c r="T77" i="160" s="1"/>
  <c r="Q12" i="160"/>
  <c r="O73" i="160" s="1"/>
  <c r="P12" i="160"/>
  <c r="H12" i="160"/>
  <c r="E12" i="160"/>
  <c r="I12" i="160" s="1"/>
  <c r="F77" i="161" l="1"/>
  <c r="T79" i="160"/>
  <c r="F75" i="160"/>
  <c r="T73" i="160"/>
  <c r="F73" i="160"/>
  <c r="M79" i="159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F77" i="160" l="1"/>
  <c r="T77" i="159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<sst xmlns="http://schemas.openxmlformats.org/spreadsheetml/2006/main" count="2679" uniqueCount="135">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</sst>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195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195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202464</v>
      </c>
      <c r="P73" s="246"/>
      <c r="Q73" s="247"/>
      <c r="R73" s="152"/>
      <c r="S73" s="159" t="s">
        <v>104</v>
      </c>
      <c r="T73" s="250">
        <f>SUM(Y12:Y68)</f>
        <v>0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178488</v>
      </c>
      <c r="P75" s="246"/>
      <c r="Q75" s="247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-202464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0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132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196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196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174816</v>
      </c>
      <c r="P73" s="246"/>
      <c r="Q73" s="247"/>
      <c r="R73" s="152"/>
      <c r="S73" s="159" t="s">
        <v>104</v>
      </c>
      <c r="T73" s="250">
        <f>SUM(Y12:Y68)</f>
        <v>0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129780</v>
      </c>
      <c r="P75" s="246"/>
      <c r="Q75" s="247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-174816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0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132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197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197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203796</v>
      </c>
      <c r="P73" s="246"/>
      <c r="Q73" s="247"/>
      <c r="R73" s="152"/>
      <c r="S73" s="159" t="s">
        <v>104</v>
      </c>
      <c r="T73" s="250">
        <f>SUM(Y12:Y68)</f>
        <v>0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191808</v>
      </c>
      <c r="P75" s="246"/>
      <c r="Q75" s="247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-203796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0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132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198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198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179820</v>
      </c>
      <c r="P73" s="246"/>
      <c r="Q73" s="247"/>
      <c r="R73" s="152"/>
      <c r="S73" s="159" t="s">
        <v>104</v>
      </c>
      <c r="T73" s="250">
        <f>SUM(Y12:Y68)</f>
        <v>0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167832</v>
      </c>
      <c r="P75" s="246"/>
      <c r="Q75" s="247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-179820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0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132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199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199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1353132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203796</v>
      </c>
      <c r="P73" s="246"/>
      <c r="Q73" s="247"/>
      <c r="R73" s="152"/>
      <c r="S73" s="159" t="s">
        <v>104</v>
      </c>
      <c r="T73" s="250">
        <f>SUM(Y12:Y68)</f>
        <v>52583.040000000001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1353132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179820</v>
      </c>
      <c r="P75" s="246"/>
      <c r="Q75" s="247"/>
      <c r="R75" s="152"/>
      <c r="S75" s="159" t="s">
        <v>129</v>
      </c>
      <c r="T75" s="250">
        <f>SUM(Z12:Z70)</f>
        <v>3672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283705.95999999996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>
        <f>19040+35379</f>
        <v>54419</v>
      </c>
      <c r="Q77" s="264"/>
      <c r="R77" s="152"/>
      <c r="S77" s="159" t="s">
        <v>108</v>
      </c>
      <c r="T77" s="250">
        <f>IF(SUM(X12:X68)*0.15&gt;P77,P77,SUM(X12:X68)*0.15)</f>
        <v>54419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>
        <f>754956</f>
        <v>754956</v>
      </c>
      <c r="Q79" s="264"/>
      <c r="R79" s="152"/>
      <c r="S79" s="159" t="s">
        <v>112</v>
      </c>
      <c r="T79" s="250">
        <f>T77+T73+T75</f>
        <v>110674.04000000001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132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0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0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1353132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203796</v>
      </c>
      <c r="P73" s="246"/>
      <c r="Q73" s="247"/>
      <c r="R73" s="152"/>
      <c r="S73" s="159" t="s">
        <v>104</v>
      </c>
      <c r="T73" s="250">
        <f>SUM(Y12:Y68)</f>
        <v>52583.040000000001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1353132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179820</v>
      </c>
      <c r="P75" s="246"/>
      <c r="Q75" s="247"/>
      <c r="R75" s="152"/>
      <c r="S75" s="159" t="s">
        <v>129</v>
      </c>
      <c r="T75" s="250">
        <f>SUM(Z12:Z70)</f>
        <v>3672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1093080.96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56255.040000000001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132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1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1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1353132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203796</v>
      </c>
      <c r="P73" s="246"/>
      <c r="Q73" s="247"/>
      <c r="R73" s="152"/>
      <c r="S73" s="159" t="s">
        <v>104</v>
      </c>
      <c r="T73" s="250">
        <f>SUM(Y12:Y68)</f>
        <v>52583.040000000001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1353132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179820</v>
      </c>
      <c r="P75" s="246"/>
      <c r="Q75" s="247"/>
      <c r="R75" s="152"/>
      <c r="S75" s="159" t="s">
        <v>129</v>
      </c>
      <c r="T75" s="250">
        <f>SUM(Z12:Z70)</f>
        <v>3672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1093080.96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56255.040000000001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132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2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2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1353132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203796</v>
      </c>
      <c r="P73" s="246"/>
      <c r="Q73" s="247"/>
      <c r="R73" s="152"/>
      <c r="S73" s="159" t="s">
        <v>104</v>
      </c>
      <c r="T73" s="250">
        <f>SUM(Y12:Y68)</f>
        <v>52583.040000000001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1353132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179820</v>
      </c>
      <c r="P75" s="246"/>
      <c r="Q75" s="247"/>
      <c r="R75" s="152"/>
      <c r="S75" s="159" t="s">
        <v>129</v>
      </c>
      <c r="T75" s="250">
        <f>SUM(Z12:Z70)</f>
        <v>3672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1093080.96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56255.040000000001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132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3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3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201132</v>
      </c>
      <c r="P73" s="246"/>
      <c r="Q73" s="247"/>
      <c r="R73" s="152"/>
      <c r="S73" s="159" t="s">
        <v>104</v>
      </c>
      <c r="T73" s="250">
        <f>SUM(Y12:Y68)</f>
        <v>0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177156</v>
      </c>
      <c r="P75" s="246"/>
      <c r="Q75" s="247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-201132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0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132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3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3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1418790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185004</v>
      </c>
      <c r="P73" s="246"/>
      <c r="Q73" s="247"/>
      <c r="R73" s="152"/>
      <c r="S73" s="159" t="s">
        <v>104</v>
      </c>
      <c r="T73" s="250">
        <f>SUM(Y12:Y68)</f>
        <v>54592.880000000005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1418790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5292</v>
      </c>
      <c r="P75" s="246"/>
      <c r="Q75" s="247"/>
      <c r="R75" s="152"/>
      <c r="S75" s="159" t="s">
        <v>129</v>
      </c>
      <c r="T75" s="250">
        <f>SUM(Z12:Z70)</f>
        <v>3820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974241.12000000011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>
        <f>212364-11232</f>
        <v>201132</v>
      </c>
      <c r="Q79" s="264"/>
      <c r="R79" s="152"/>
      <c r="S79" s="159" t="s">
        <v>112</v>
      </c>
      <c r="T79" s="250">
        <f>T77+T73+T75</f>
        <v>58412.880000000005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132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4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4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1317381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203796</v>
      </c>
      <c r="P73" s="246"/>
      <c r="Q73" s="247"/>
      <c r="R73" s="152"/>
      <c r="S73" s="159" t="s">
        <v>104</v>
      </c>
      <c r="T73" s="250">
        <f>SUM(Y12:Y68)</f>
        <v>49501.83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1317381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0</v>
      </c>
      <c r="P75" s="246"/>
      <c r="Q75" s="247"/>
      <c r="R75" s="152"/>
      <c r="S75" s="159" t="s">
        <v>129</v>
      </c>
      <c r="T75" s="250">
        <f>SUM(Z12:Z70)</f>
        <v>3426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1060657.17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52927.83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132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5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5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1353132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119880</v>
      </c>
      <c r="P73" s="246"/>
      <c r="Q73" s="247"/>
      <c r="R73" s="152"/>
      <c r="S73" s="159" t="s">
        <v>104</v>
      </c>
      <c r="T73" s="250">
        <f>SUM(Y12:Y68)</f>
        <v>52583.040000000001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1353132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0</v>
      </c>
      <c r="P75" s="246"/>
      <c r="Q75" s="247"/>
      <c r="R75" s="152"/>
      <c r="S75" s="159" t="s">
        <v>129</v>
      </c>
      <c r="T75" s="250">
        <f>SUM(Z12:Z70)</f>
        <v>3672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1176996.96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56255.040000000001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132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08E-ADD4-4C5E-AFB8-82DB108FA7CE}">
  <sheetPr>
    <tabColor rgb="FF00B050"/>
    <pageSetUpPr fitToPage="1"/>
  </sheetPr>
  <dimension ref="A1:AJ100"/>
  <sheetViews>
    <sheetView showGridLines="0" topLeftCell="A9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6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6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1353132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0</v>
      </c>
      <c r="P73" s="246"/>
      <c r="Q73" s="247"/>
      <c r="R73" s="152"/>
      <c r="S73" s="159" t="s">
        <v>104</v>
      </c>
      <c r="T73" s="250">
        <f>SUM(Y12:Y68)</f>
        <v>52583.040000000001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1353132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0</v>
      </c>
      <c r="P75" s="246"/>
      <c r="Q75" s="247"/>
      <c r="R75" s="152"/>
      <c r="S75" s="159" t="s">
        <v>129</v>
      </c>
      <c r="T75" s="250">
        <f>SUM(Z12:Z70)</f>
        <v>3672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1296876.96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56255.040000000001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132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81151-CBD6-4771-94FB-A00A7D56295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7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7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1353132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155844</v>
      </c>
      <c r="P73" s="246"/>
      <c r="Q73" s="247"/>
      <c r="R73" s="152"/>
      <c r="S73" s="159" t="s">
        <v>104</v>
      </c>
      <c r="T73" s="250">
        <f>SUM(Y12:Y68)</f>
        <v>52583.040000000001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1353132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155844</v>
      </c>
      <c r="P75" s="246"/>
      <c r="Q75" s="247"/>
      <c r="R75" s="152"/>
      <c r="S75" s="159" t="s">
        <v>129</v>
      </c>
      <c r="T75" s="250">
        <f>SUM(Z12:Z70)</f>
        <v>3672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1141032.96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56255.040000000001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132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E8C39-FF93-4314-843F-3306576CE7E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8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8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1353132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0</v>
      </c>
      <c r="P73" s="246"/>
      <c r="Q73" s="247"/>
      <c r="R73" s="152"/>
      <c r="S73" s="159" t="s">
        <v>104</v>
      </c>
      <c r="T73" s="250">
        <f>SUM(Y12:Y68)</f>
        <v>52583.040000000001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1353132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0</v>
      </c>
      <c r="P75" s="246"/>
      <c r="Q75" s="247"/>
      <c r="R75" s="152"/>
      <c r="S75" s="159" t="s">
        <v>129</v>
      </c>
      <c r="T75" s="250">
        <f>SUM(Z12:Z70)</f>
        <v>3672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1251992.46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>
        <v>44884.5</v>
      </c>
      <c r="Q79" s="264"/>
      <c r="R79" s="152"/>
      <c r="S79" s="159" t="s">
        <v>112</v>
      </c>
      <c r="T79" s="250">
        <f>T77+T73+T75</f>
        <v>56255.040000000001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132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FE4C0-D9F6-402B-8F03-D986BC3F626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9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9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1353132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90072</v>
      </c>
      <c r="P73" s="246"/>
      <c r="Q73" s="247"/>
      <c r="R73" s="152"/>
      <c r="S73" s="159" t="s">
        <v>104</v>
      </c>
      <c r="T73" s="250">
        <f>SUM(Y12:Y68)</f>
        <v>52583.040000000001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1353132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59940</v>
      </c>
      <c r="P75" s="246"/>
      <c r="Q75" s="247"/>
      <c r="R75" s="152"/>
      <c r="S75" s="159" t="s">
        <v>129</v>
      </c>
      <c r="T75" s="250">
        <f>SUM(Z12:Z70)</f>
        <v>3672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1206804.96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56255.040000000001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132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7D629-8972-4D42-A489-48442FE9B921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9" sqref="B9:B1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10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10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hidden="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hidden="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hidden="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hidden="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hidden="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hidden="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hidden="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hidden="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hidden="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hidden="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hidden="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hidden="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27.16</v>
      </c>
      <c r="Z34" s="57">
        <f t="shared" si="8"/>
        <v>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</v>
      </c>
      <c r="G35" s="47">
        <v>100</v>
      </c>
      <c r="H35" s="64" t="str">
        <f t="shared" si="11"/>
        <v>0 pallets</v>
      </c>
      <c r="I35" s="49">
        <f t="shared" si="4"/>
        <v>1175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</v>
      </c>
      <c r="Y35" s="57">
        <f t="shared" si="0"/>
        <v>27.16</v>
      </c>
      <c r="Z35" s="57">
        <f t="shared" si="8"/>
        <v>2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20+20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17.4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1363925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160668</v>
      </c>
      <c r="P73" s="246"/>
      <c r="Q73" s="247"/>
      <c r="R73" s="152"/>
      <c r="S73" s="159" t="s">
        <v>104</v>
      </c>
      <c r="T73" s="250">
        <f>SUM(Y12:Y68)</f>
        <v>51940.560000000012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1223957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118548</v>
      </c>
      <c r="P75" s="246"/>
      <c r="Q75" s="247"/>
      <c r="R75" s="152"/>
      <c r="S75" s="159" t="s">
        <v>129</v>
      </c>
      <c r="T75" s="250">
        <f>SUM(Z12:Z70)</f>
        <v>3614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1147702.44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55554.560000000012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132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1CC27-9530-475E-A728-2E9F6E8C7E26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23" sqref="F23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11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11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46</v>
      </c>
      <c r="G14" s="47">
        <v>63</v>
      </c>
      <c r="H14" s="64" t="str">
        <f>IF(F14="","",(ROUND((F14/G14),1)&amp;" pallets"))</f>
        <v>0.7 pallets</v>
      </c>
      <c r="I14" s="49">
        <f t="shared" si="4"/>
        <v>47518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41998</v>
      </c>
      <c r="Y14" s="57">
        <f t="shared" si="0"/>
        <v>1429.22</v>
      </c>
      <c r="Z14" s="57">
        <f t="shared" si="8"/>
        <v>92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192</v>
      </c>
      <c r="G15" s="47">
        <v>96</v>
      </c>
      <c r="H15" s="64"/>
      <c r="I15" s="49">
        <f t="shared" si="4"/>
        <v>139200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117888</v>
      </c>
      <c r="Y15" s="57">
        <f>F15*AI15</f>
        <v>5587.2000000000007</v>
      </c>
      <c r="Z15" s="57">
        <f t="shared" si="8"/>
        <v>384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f>41+15+62</f>
        <v>118</v>
      </c>
      <c r="G20" s="47">
        <v>63</v>
      </c>
      <c r="H20" s="64" t="str">
        <f t="shared" si="11"/>
        <v>1.9 pallets</v>
      </c>
      <c r="I20" s="49">
        <f t="shared" si="4"/>
        <v>112336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98176</v>
      </c>
      <c r="Y20" s="57">
        <f t="shared" si="0"/>
        <v>3666.26</v>
      </c>
      <c r="Z20" s="57">
        <f t="shared" si="8"/>
        <v>236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16.6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1215326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185436</v>
      </c>
      <c r="P73" s="246"/>
      <c r="Q73" s="247"/>
      <c r="R73" s="152"/>
      <c r="S73" s="159" t="s">
        <v>104</v>
      </c>
      <c r="T73" s="250">
        <f>SUM(Y12:Y68)</f>
        <v>47800.12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299054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137160</v>
      </c>
      <c r="P75" s="246"/>
      <c r="Q75" s="247"/>
      <c r="R75" s="152"/>
      <c r="S75" s="159" t="s">
        <v>129</v>
      </c>
      <c r="T75" s="250">
        <f>SUM(Z12:Z70)</f>
        <v>3304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978785.88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51104.12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134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556B4-C0C8-428A-9FE7-99723AE5FAE9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12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12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648</v>
      </c>
      <c r="N16" s="193"/>
      <c r="O16" s="51"/>
      <c r="P16" s="52" t="str">
        <f t="shared" si="5"/>
        <v>6 pallets</v>
      </c>
      <c r="Q16" s="53">
        <f t="shared" si="6"/>
        <v>71928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1353132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117000</v>
      </c>
      <c r="P73" s="246"/>
      <c r="Q73" s="247"/>
      <c r="R73" s="152"/>
      <c r="S73" s="159" t="s">
        <v>104</v>
      </c>
      <c r="T73" s="250">
        <f>SUM(Y12:Y68)</f>
        <v>52583.040000000001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1353132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95940</v>
      </c>
      <c r="P75" s="246"/>
      <c r="Q75" s="247"/>
      <c r="R75" s="152"/>
      <c r="S75" s="159" t="s">
        <v>129</v>
      </c>
      <c r="T75" s="250">
        <f>SUM(Z12:Z70)</f>
        <v>3672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1179876.96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56255.040000000001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133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134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19</vt:i4>
      </vt:variant>
    </vt:vector>
  </HeadingPairs>
  <TitlesOfParts>
    <vt:vector size="38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12-17-2025-B</vt:lpstr>
      <vt:lpstr>12-18-2025</vt:lpstr>
      <vt:lpstr>12-19-2025</vt:lpstr>
      <vt:lpstr>12-19-2025 (2)</vt:lpstr>
      <vt:lpstr>12-22-2025</vt:lpstr>
      <vt:lpstr>12-23-2025</vt:lpstr>
      <vt:lpstr>12-24-2025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  <vt:lpstr>'12-17-2025-B'!Print_Area</vt:lpstr>
      <vt:lpstr>'12-18-2025'!Print_Area</vt:lpstr>
      <vt:lpstr>'12-19-2025'!Print_Area</vt:lpstr>
      <vt:lpstr>'12-19-2025 (2)'!Print_Area</vt:lpstr>
      <vt:lpstr>'12-22-2025'!Print_Area</vt:lpstr>
      <vt:lpstr>'12-23-2025'!Print_Area</vt:lpstr>
      <vt:lpstr>'12-24-2025'!Print_Area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2025-12-24T01:33:37Z</dcterms:modified>
</cp:coreProperties>
</file>