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0238733-4B5A-4932-B51E-6F6A50A53DCA}" xr6:coauthVersionLast="45" xr6:coauthVersionMax="47" xr10:uidLastSave="{00000000-0000-0000-0000-000000000000}"/>
  <bookViews>
    <workbookView xWindow="-120" yWindow="-120" windowWidth="29040" windowHeight="15840" firstSheet="11" activeTab="20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7" i="168" l="1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<sst xmlns="http://schemas.openxmlformats.org/spreadsheetml/2006/main" count="2961" uniqueCount="135">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</sst>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5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5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202464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178488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-202464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6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6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174816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129780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-174816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7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7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191808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-203796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8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8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179820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167832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-179820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9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9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179820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283705.95999999996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f>19040+35379</f>
        <v>54419</v>
      </c>
      <c r="Q77" s="259"/>
      <c r="R77" s="152"/>
      <c r="S77" s="159" t="s">
        <v>108</v>
      </c>
      <c r="T77" s="260">
        <f>IF(SUM(X12:X68)*0.15&gt;P77,P77,SUM(X12:X68)*0.15)</f>
        <v>54419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f>754956</f>
        <v>754956</v>
      </c>
      <c r="Q79" s="259"/>
      <c r="R79" s="152"/>
      <c r="S79" s="159" t="s">
        <v>112</v>
      </c>
      <c r="T79" s="260">
        <f>T77+T73+T75</f>
        <v>110674.04000000001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0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0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179820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1093080.96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1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1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179820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1093080.96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2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2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179820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1093080.96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201132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177156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-201132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1418790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185004</v>
      </c>
      <c r="P73" s="255"/>
      <c r="Q73" s="256"/>
      <c r="R73" s="152"/>
      <c r="S73" s="159" t="s">
        <v>104</v>
      </c>
      <c r="T73" s="260">
        <f>SUM(Y12:Y68)</f>
        <v>54592.880000000005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1418790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5292</v>
      </c>
      <c r="P75" s="255"/>
      <c r="Q75" s="256"/>
      <c r="R75" s="152"/>
      <c r="S75" s="159" t="s">
        <v>129</v>
      </c>
      <c r="T75" s="260">
        <f>SUM(Z12:Z70)</f>
        <v>3820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974241.12000000011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f>212364-11232</f>
        <v>201132</v>
      </c>
      <c r="Q79" s="259"/>
      <c r="R79" s="152"/>
      <c r="S79" s="159" t="s">
        <v>112</v>
      </c>
      <c r="T79" s="260">
        <f>T77+T73+T75</f>
        <v>58412.880000000005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4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4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1317381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49501.83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1317381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3426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1060657.17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52927.83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5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5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119880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1176996.96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6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6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1296876.96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7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7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155844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155844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1141032.96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8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8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1251992.46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v>44884.5</v>
      </c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9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9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90072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59940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1206804.96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0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0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1363925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160668</v>
      </c>
      <c r="P73" s="255"/>
      <c r="Q73" s="256"/>
      <c r="R73" s="152"/>
      <c r="S73" s="159" t="s">
        <v>104</v>
      </c>
      <c r="T73" s="260">
        <f>SUM(Y12:Y68)</f>
        <v>51940.560000000012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1223957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118548</v>
      </c>
      <c r="P75" s="255"/>
      <c r="Q75" s="256"/>
      <c r="R75" s="152"/>
      <c r="S75" s="159" t="s">
        <v>129</v>
      </c>
      <c r="T75" s="260">
        <f>SUM(Z12:Z70)</f>
        <v>3614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1147702.44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55554.560000000012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132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1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1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1215326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185436</v>
      </c>
      <c r="P73" s="255"/>
      <c r="Q73" s="256"/>
      <c r="R73" s="152"/>
      <c r="S73" s="159" t="s">
        <v>104</v>
      </c>
      <c r="T73" s="260">
        <f>SUM(Y12:Y68)</f>
        <v>47800.12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299054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137160</v>
      </c>
      <c r="P75" s="255"/>
      <c r="Q75" s="256"/>
      <c r="R75" s="152"/>
      <c r="S75" s="159" t="s">
        <v>129</v>
      </c>
      <c r="T75" s="260">
        <f>SUM(Z12:Z70)</f>
        <v>3304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978785.88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51104.12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134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2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2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1353132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117000</v>
      </c>
      <c r="P73" s="255"/>
      <c r="Q73" s="256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1353132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95940</v>
      </c>
      <c r="P75" s="255"/>
      <c r="Q75" s="256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1179876.96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56255.040000000001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134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0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134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1270313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47648.090000000004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1206161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3288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1219376.9099999999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50936.090000000004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133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134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2025-12-26T01:09:40Z</dcterms:modified>
</cp:coreProperties>
</file>