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A98F645-1474-4001-AD16-9EB6AFDED01E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1" l="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O73" i="151" l="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<sst xmlns="http://schemas.openxmlformats.org/spreadsheetml/2006/main" count="564" uniqueCount="134">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</sst>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42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5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5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202464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178488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-202464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133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132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6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6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174816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129780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-174816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133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132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7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7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203796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191808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-203796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133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132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7"/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/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1" t="s">
        <v>6</v>
      </c>
      <c r="T6" s="198" t="s">
        <v>7</v>
      </c>
      <c r="U6" s="12" t="s">
        <v>131</v>
      </c>
      <c r="W6" s="20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8"/>
      <c r="G7" s="208"/>
      <c r="H7" s="208"/>
      <c r="I7" s="208"/>
      <c r="J7" s="208"/>
      <c r="K7" s="208"/>
      <c r="L7" s="208"/>
      <c r="M7" s="208"/>
      <c r="N7" s="14"/>
      <c r="O7" s="14"/>
      <c r="P7" s="14"/>
      <c r="Q7" s="15"/>
      <c r="S7" s="14"/>
      <c r="T7" s="198" t="s">
        <v>11</v>
      </c>
      <c r="U7" s="12"/>
      <c r="W7" s="20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7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7"/>
      <c r="AI9" s="209" t="s">
        <v>27</v>
      </c>
    </row>
    <row r="10" spans="2:35" s="16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7"/>
      <c r="AB10" s="210"/>
      <c r="AC10" s="224"/>
      <c r="AD10" s="227"/>
      <c r="AE10" s="210"/>
      <c r="AG10" s="210"/>
      <c r="AH10" s="17"/>
      <c r="AI10" s="210"/>
    </row>
    <row r="11" spans="2:35" s="21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9"/>
      <c r="Y11" s="222"/>
      <c r="Z11" s="222"/>
      <c r="AA11" s="17"/>
      <c r="AB11" s="212"/>
      <c r="AC11" s="225"/>
      <c r="AD11" s="228"/>
      <c r="AE11" s="212"/>
      <c r="AG11" s="211"/>
      <c r="AH11" s="17"/>
      <c r="AI11" s="21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1" t="s">
        <v>101</v>
      </c>
      <c r="C71" s="241"/>
      <c r="D71" s="241"/>
      <c r="E71" s="241"/>
      <c r="F71" s="241"/>
      <c r="G71" s="24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2">
        <f>SUM(I12:I70)</f>
        <v>0</v>
      </c>
      <c r="G73" s="232"/>
      <c r="H73" s="232"/>
      <c r="I73" s="233"/>
      <c r="J73" s="158"/>
      <c r="K73" s="158"/>
      <c r="L73" s="158"/>
      <c r="M73" s="234" t="s">
        <v>103</v>
      </c>
      <c r="N73" s="235"/>
      <c r="O73" s="232">
        <f>SUM(Q12:Q70)</f>
        <v>179820</v>
      </c>
      <c r="P73" s="232"/>
      <c r="Q73" s="233"/>
      <c r="R73" s="152"/>
      <c r="S73" s="159" t="s">
        <v>104</v>
      </c>
      <c r="T73" s="236">
        <f>SUM(Y12:Y68)</f>
        <v>0</v>
      </c>
      <c r="U73" s="23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2">
        <f>SUM(I14:I72)</f>
        <v>0</v>
      </c>
      <c r="G75" s="232"/>
      <c r="H75" s="232"/>
      <c r="I75" s="233"/>
      <c r="J75" s="158"/>
      <c r="K75" s="158"/>
      <c r="L75" s="158"/>
      <c r="M75" s="234" t="s">
        <v>103</v>
      </c>
      <c r="N75" s="235"/>
      <c r="O75" s="232">
        <f>SUM(Q14:Q72)</f>
        <v>167832</v>
      </c>
      <c r="P75" s="232"/>
      <c r="Q75" s="233"/>
      <c r="R75" s="152"/>
      <c r="S75" s="159" t="s">
        <v>129</v>
      </c>
      <c r="T75" s="236">
        <f>SUM(Z12:Z70)</f>
        <v>0</v>
      </c>
      <c r="U75" s="23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2">
        <f>IF(U7&gt;0,"",(F73-O73-T79-P79))</f>
        <v>-179820</v>
      </c>
      <c r="G77" s="232"/>
      <c r="H77" s="232"/>
      <c r="I77" s="233"/>
      <c r="J77" s="164"/>
      <c r="K77" s="164"/>
      <c r="L77" s="164"/>
      <c r="M77" s="257" t="s">
        <v>106</v>
      </c>
      <c r="N77" s="257"/>
      <c r="O77" s="168" t="s">
        <v>107</v>
      </c>
      <c r="P77" s="249"/>
      <c r="Q77" s="250"/>
      <c r="R77" s="152"/>
      <c r="S77" s="159" t="s">
        <v>108</v>
      </c>
      <c r="T77" s="236">
        <f>IF(SUM(X12:X68)*0.15&gt;P77,P77,SUM(X12:X68)*0.15)</f>
        <v>0</v>
      </c>
      <c r="U77" s="237"/>
      <c r="V77" s="160"/>
      <c r="W77" s="20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2"/>
      <c r="G79" s="232"/>
      <c r="H79" s="232"/>
      <c r="I79" s="233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9"/>
      <c r="Q79" s="250"/>
      <c r="R79" s="152"/>
      <c r="S79" s="159" t="s">
        <v>112</v>
      </c>
      <c r="T79" s="236">
        <f>T77+T73+T75</f>
        <v>0</v>
      </c>
      <c r="U79" s="237"/>
      <c r="V79" s="160"/>
      <c r="W79" s="20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3" t="s">
        <v>113</v>
      </c>
      <c r="C81" s="274"/>
      <c r="D81" s="274"/>
      <c r="E81" s="274"/>
      <c r="F81" s="274"/>
      <c r="G81" s="274"/>
      <c r="H81" s="275"/>
      <c r="I81" s="282" t="s">
        <v>114</v>
      </c>
      <c r="J81" s="171"/>
      <c r="K81" s="171"/>
      <c r="L81" s="171"/>
      <c r="M81" s="284"/>
      <c r="N81" s="287" t="s">
        <v>115</v>
      </c>
      <c r="O81" s="290"/>
      <c r="P81" s="284"/>
      <c r="Q81" s="251" t="s">
        <v>116</v>
      </c>
      <c r="R81" s="252"/>
      <c r="S81" s="267"/>
      <c r="T81" s="251" t="s">
        <v>117</v>
      </c>
      <c r="U81" s="270"/>
    </row>
    <row r="82" spans="2:21" ht="15" customHeight="1" x14ac:dyDescent="0.25">
      <c r="B82" s="276"/>
      <c r="C82" s="277"/>
      <c r="D82" s="277"/>
      <c r="E82" s="277"/>
      <c r="F82" s="277"/>
      <c r="G82" s="277"/>
      <c r="H82" s="278"/>
      <c r="I82" s="264"/>
      <c r="J82" s="2"/>
      <c r="K82" s="2"/>
      <c r="L82" s="2"/>
      <c r="M82" s="285"/>
      <c r="N82" s="288"/>
      <c r="O82" s="291"/>
      <c r="P82" s="285"/>
      <c r="Q82" s="253"/>
      <c r="R82" s="254"/>
      <c r="S82" s="268"/>
      <c r="T82" s="253"/>
      <c r="U82" s="271"/>
    </row>
    <row r="83" spans="2:21" ht="15.75" customHeight="1" thickBot="1" x14ac:dyDescent="0.3">
      <c r="B83" s="279"/>
      <c r="C83" s="280"/>
      <c r="D83" s="280"/>
      <c r="E83" s="280"/>
      <c r="F83" s="280"/>
      <c r="G83" s="280"/>
      <c r="H83" s="281"/>
      <c r="I83" s="283"/>
      <c r="J83" s="172"/>
      <c r="K83" s="172"/>
      <c r="L83" s="172"/>
      <c r="M83" s="286"/>
      <c r="N83" s="289"/>
      <c r="O83" s="292"/>
      <c r="P83" s="286"/>
      <c r="Q83" s="255"/>
      <c r="R83" s="256"/>
      <c r="S83" s="269"/>
      <c r="T83" s="255"/>
      <c r="U83" s="27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8" t="s">
        <v>133</v>
      </c>
      <c r="C88" s="259"/>
      <c r="D88" s="259"/>
      <c r="E88" s="259"/>
      <c r="F88" s="259"/>
      <c r="G88" s="259"/>
      <c r="H88" s="259"/>
      <c r="I88" s="260"/>
      <c r="J88" s="185"/>
      <c r="K88" s="185"/>
      <c r="L88" s="185"/>
      <c r="M88" s="258"/>
      <c r="N88" s="259"/>
      <c r="O88" s="259"/>
      <c r="P88" s="259"/>
      <c r="Q88" s="260"/>
      <c r="R88" s="187"/>
      <c r="S88" s="188"/>
      <c r="T88" s="188"/>
      <c r="U88" s="189"/>
    </row>
    <row r="89" spans="2:21" ht="18" x14ac:dyDescent="0.25">
      <c r="B89" s="261" t="s">
        <v>122</v>
      </c>
      <c r="C89" s="262"/>
      <c r="D89" s="262"/>
      <c r="E89" s="262"/>
      <c r="F89" s="262"/>
      <c r="G89" s="262"/>
      <c r="H89" s="262"/>
      <c r="I89" s="263"/>
      <c r="M89" s="261" t="s">
        <v>122</v>
      </c>
      <c r="N89" s="262"/>
      <c r="O89" s="262"/>
      <c r="P89" s="262"/>
      <c r="Q89" s="263"/>
      <c r="R89" s="264" t="s">
        <v>123</v>
      </c>
      <c r="S89" s="265"/>
      <c r="T89" s="265"/>
      <c r="U89" s="26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8" t="s">
        <v>132</v>
      </c>
      <c r="C93" s="259"/>
      <c r="D93" s="259"/>
      <c r="E93" s="259"/>
      <c r="F93" s="259"/>
      <c r="G93" s="259"/>
      <c r="H93" s="259"/>
      <c r="I93" s="26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1" t="s">
        <v>126</v>
      </c>
      <c r="C94" s="262"/>
      <c r="D94" s="262"/>
      <c r="E94" s="262"/>
      <c r="F94" s="262"/>
      <c r="G94" s="262"/>
      <c r="H94" s="262"/>
      <c r="I94" s="263"/>
      <c r="M94" s="179"/>
      <c r="Q94" s="180"/>
      <c r="R94" s="264" t="s">
        <v>127</v>
      </c>
      <c r="S94" s="265"/>
      <c r="T94" s="265"/>
      <c r="U94" s="26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12-03-2025</vt:lpstr>
      <vt:lpstr>12-04-2025</vt:lpstr>
      <vt:lpstr>12-05-2025</vt:lpstr>
      <vt:lpstr>12-06-2025</vt:lpstr>
      <vt:lpstr>'12-03-2025'!Print_Area</vt:lpstr>
      <vt:lpstr>'12-04-2025'!Print_Area</vt:lpstr>
      <vt:lpstr>'12-05-2025'!Print_Area</vt:lpstr>
      <vt:lpstr>'12-06-2025'!Print_Area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2025-12-06T02:12:03Z</dcterms:modified>
</cp:coreProperties>
</file>