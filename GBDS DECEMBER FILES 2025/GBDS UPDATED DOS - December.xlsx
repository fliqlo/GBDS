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F3A7842C-71C5-4861-9DEB-D389F9572B3D}" xr6:coauthVersionLast="45" xr6:coauthVersionMax="47" xr10:uidLastSave="{00000000-0000-0000-0000-000000000000}"/>
  <bookViews>
    <workbookView xWindow="-120" yWindow="-120" windowWidth="29040" windowHeight="15840" firstSheet="2" activeTab="11" xr2:uid="{EAA847CC-C244-4239-B005-CBB8C204AC80}"/>
  </bookViews>
  <sheets>
    <sheet name="12-03-2025" sheetId="148" r:id="rId1"/>
    <sheet name="12-04-2025" sheetId="149" r:id="rId2"/>
    <sheet name="12-05-2025" sheetId="150" r:id="rId3"/>
    <sheet name="12-06-2025" sheetId="151" r:id="rId4"/>
    <sheet name="12-11-2025" sheetId="152" r:id="rId5"/>
    <sheet name="12-12-2025" sheetId="153" r:id="rId6"/>
    <sheet name="12-12-2025 (2)" sheetId="154" r:id="rId7"/>
    <sheet name="12-13-2025" sheetId="155" r:id="rId8"/>
    <sheet name="12-15-2025-A" sheetId="156" r:id="rId9"/>
    <sheet name="12-15-2025-B" sheetId="157" r:id="rId10"/>
    <sheet name="12-16-2025" sheetId="158" r:id="rId11"/>
    <sheet name="12-17-2025" sheetId="159" r:id="rId12"/>
  </sheets>
  <definedNames>
    <definedName name="_xlnm.Print_Area" localSheetId="0">'12-03-2025'!$A$1:$V$97</definedName>
    <definedName name="_xlnm.Print_Area" localSheetId="1">'12-04-2025'!$A$1:$V$97</definedName>
    <definedName name="_xlnm.Print_Area" localSheetId="2">'12-05-2025'!$A$1:$V$97</definedName>
    <definedName name="_xlnm.Print_Area" localSheetId="3">'12-06-2025'!$A$1:$V$97</definedName>
    <definedName name="_xlnm.Print_Area" localSheetId="4">'12-11-2025'!$A$1:$V$97</definedName>
    <definedName name="_xlnm.Print_Area" localSheetId="5">'12-12-2025'!$A$1:$V$97</definedName>
    <definedName name="_xlnm.Print_Area" localSheetId="6">'12-12-2025 (2)'!$A$1:$V$97</definedName>
    <definedName name="_xlnm.Print_Area" localSheetId="7">'12-13-2025'!$A$1:$V$97</definedName>
    <definedName name="_xlnm.Print_Area" localSheetId="8">'12-15-2025-A'!$A$1:$V$97</definedName>
    <definedName name="_xlnm.Print_Area" localSheetId="9">'12-15-2025-B'!$A$1:$V$97</definedName>
    <definedName name="_xlnm.Print_Area" localSheetId="10">'12-16-2025'!$A$1:$V$97</definedName>
    <definedName name="_xlnm.Print_Area" localSheetId="11">'12-17-2025'!$A$1:$V$97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59" l="1"/>
  <c r="W73" i="159"/>
  <c r="P71" i="159"/>
  <c r="H71" i="159"/>
  <c r="Q70" i="159"/>
  <c r="P70" i="159"/>
  <c r="H70" i="159"/>
  <c r="E70" i="159"/>
  <c r="I70" i="159" s="1"/>
  <c r="Q69" i="159"/>
  <c r="P69" i="159"/>
  <c r="I69" i="159"/>
  <c r="H69" i="159"/>
  <c r="E69" i="159"/>
  <c r="AD68" i="159"/>
  <c r="AC68" i="159"/>
  <c r="AB68" i="159"/>
  <c r="AE68" i="159" s="1"/>
  <c r="AI68" i="159" s="1"/>
  <c r="Y68" i="159" s="1"/>
  <c r="Z68" i="159"/>
  <c r="X68" i="159"/>
  <c r="W68" i="159"/>
  <c r="Q68" i="159"/>
  <c r="P68" i="159"/>
  <c r="H68" i="159"/>
  <c r="E68" i="159"/>
  <c r="I68" i="159" s="1"/>
  <c r="AD67" i="159"/>
  <c r="AC67" i="159"/>
  <c r="AB67" i="159"/>
  <c r="AE67" i="159" s="1"/>
  <c r="AI67" i="159" s="1"/>
  <c r="Y67" i="159" s="1"/>
  <c r="Z67" i="159"/>
  <c r="X67" i="159"/>
  <c r="Q67" i="159"/>
  <c r="P67" i="159"/>
  <c r="H67" i="159"/>
  <c r="E67" i="159"/>
  <c r="I67" i="159" s="1"/>
  <c r="AD66" i="159"/>
  <c r="AE66" i="159" s="1"/>
  <c r="AI66" i="159" s="1"/>
  <c r="Y66" i="159" s="1"/>
  <c r="AC66" i="159"/>
  <c r="AB66" i="159"/>
  <c r="Z66" i="159"/>
  <c r="X66" i="159"/>
  <c r="Q66" i="159"/>
  <c r="P66" i="159"/>
  <c r="I66" i="159"/>
  <c r="H66" i="159"/>
  <c r="E66" i="159"/>
  <c r="AD65" i="159"/>
  <c r="AC65" i="159"/>
  <c r="AB65" i="159"/>
  <c r="AE65" i="159" s="1"/>
  <c r="AI65" i="159" s="1"/>
  <c r="Y65" i="159" s="1"/>
  <c r="Z65" i="159"/>
  <c r="X65" i="159"/>
  <c r="Q65" i="159"/>
  <c r="P65" i="159"/>
  <c r="I65" i="159"/>
  <c r="H65" i="159"/>
  <c r="E65" i="159"/>
  <c r="AD64" i="159"/>
  <c r="AC64" i="159"/>
  <c r="AB64" i="159"/>
  <c r="AE64" i="159" s="1"/>
  <c r="AI64" i="159" s="1"/>
  <c r="Y64" i="159" s="1"/>
  <c r="Z64" i="159"/>
  <c r="X64" i="159"/>
  <c r="Q64" i="159"/>
  <c r="P64" i="159"/>
  <c r="H64" i="159"/>
  <c r="E64" i="159"/>
  <c r="I64" i="159" s="1"/>
  <c r="AD63" i="159"/>
  <c r="AC63" i="159"/>
  <c r="AB63" i="159"/>
  <c r="AE63" i="159" s="1"/>
  <c r="AI63" i="159" s="1"/>
  <c r="Y63" i="159" s="1"/>
  <c r="Z63" i="159"/>
  <c r="X63" i="159"/>
  <c r="Q63" i="159"/>
  <c r="P63" i="159"/>
  <c r="I63" i="159"/>
  <c r="H63" i="159"/>
  <c r="E63" i="159"/>
  <c r="AD62" i="159"/>
  <c r="AC62" i="159"/>
  <c r="AE62" i="159" s="1"/>
  <c r="AI62" i="159" s="1"/>
  <c r="Y62" i="159" s="1"/>
  <c r="AB62" i="159"/>
  <c r="Z62" i="159"/>
  <c r="X62" i="159"/>
  <c r="Q62" i="159"/>
  <c r="P62" i="159"/>
  <c r="H62" i="159"/>
  <c r="E62" i="159"/>
  <c r="I62" i="159" s="1"/>
  <c r="AE61" i="159"/>
  <c r="AI61" i="159" s="1"/>
  <c r="Y61" i="159" s="1"/>
  <c r="AC61" i="159"/>
  <c r="AB61" i="159"/>
  <c r="X61" i="159"/>
  <c r="Q61" i="159"/>
  <c r="P61" i="159"/>
  <c r="H61" i="159"/>
  <c r="E61" i="159"/>
  <c r="I61" i="159" s="1"/>
  <c r="AI60" i="159"/>
  <c r="AE60" i="159"/>
  <c r="Y60" i="159"/>
  <c r="X60" i="159"/>
  <c r="Q60" i="159"/>
  <c r="P60" i="159"/>
  <c r="I60" i="159"/>
  <c r="H60" i="159"/>
  <c r="E60" i="159"/>
  <c r="AC59" i="159"/>
  <c r="AB59" i="159"/>
  <c r="AE59" i="159" s="1"/>
  <c r="AI59" i="159" s="1"/>
  <c r="Y59" i="159" s="1"/>
  <c r="X59" i="159"/>
  <c r="Q59" i="159"/>
  <c r="P59" i="159"/>
  <c r="H59" i="159"/>
  <c r="E59" i="159"/>
  <c r="I59" i="159" s="1"/>
  <c r="AC58" i="159"/>
  <c r="AE58" i="159" s="1"/>
  <c r="AI58" i="159" s="1"/>
  <c r="Y58" i="159" s="1"/>
  <c r="AB58" i="159"/>
  <c r="X58" i="159"/>
  <c r="Q58" i="159"/>
  <c r="P58" i="159"/>
  <c r="E58" i="159"/>
  <c r="I58" i="159" s="1"/>
  <c r="AC57" i="159"/>
  <c r="AE57" i="159" s="1"/>
  <c r="AI57" i="159" s="1"/>
  <c r="Y57" i="159" s="1"/>
  <c r="AB57" i="159"/>
  <c r="X57" i="159"/>
  <c r="Q57" i="159"/>
  <c r="P57" i="159"/>
  <c r="I57" i="159"/>
  <c r="H57" i="159"/>
  <c r="E57" i="159"/>
  <c r="AD56" i="159"/>
  <c r="AC56" i="159"/>
  <c r="AB56" i="159"/>
  <c r="AE56" i="159" s="1"/>
  <c r="AI56" i="159" s="1"/>
  <c r="Y56" i="159" s="1"/>
  <c r="Z56" i="159"/>
  <c r="X56" i="159"/>
  <c r="Q56" i="159"/>
  <c r="P56" i="159"/>
  <c r="I56" i="159"/>
  <c r="H56" i="159"/>
  <c r="E56" i="159"/>
  <c r="AD55" i="159"/>
  <c r="AC55" i="159"/>
  <c r="AE55" i="159" s="1"/>
  <c r="AI55" i="159" s="1"/>
  <c r="Y55" i="159" s="1"/>
  <c r="AB55" i="159"/>
  <c r="Z55" i="159"/>
  <c r="X55" i="159"/>
  <c r="Q55" i="159"/>
  <c r="P55" i="159"/>
  <c r="H55" i="159"/>
  <c r="E55" i="159"/>
  <c r="I55" i="159" s="1"/>
  <c r="AD54" i="159"/>
  <c r="AC54" i="159"/>
  <c r="AE54" i="159" s="1"/>
  <c r="AI54" i="159" s="1"/>
  <c r="Y54" i="159" s="1"/>
  <c r="AB54" i="159"/>
  <c r="Z54" i="159"/>
  <c r="X54" i="159"/>
  <c r="Q54" i="159"/>
  <c r="P54" i="159"/>
  <c r="H54" i="159"/>
  <c r="E54" i="159"/>
  <c r="I54" i="159" s="1"/>
  <c r="AD53" i="159"/>
  <c r="AC53" i="159"/>
  <c r="AB53" i="159"/>
  <c r="AE53" i="159" s="1"/>
  <c r="AI53" i="159" s="1"/>
  <c r="Y53" i="159" s="1"/>
  <c r="Z53" i="159"/>
  <c r="X53" i="159"/>
  <c r="Q53" i="159"/>
  <c r="P53" i="159"/>
  <c r="H53" i="159"/>
  <c r="E53" i="159"/>
  <c r="I53" i="159" s="1"/>
  <c r="AE52" i="159"/>
  <c r="AI52" i="159" s="1"/>
  <c r="Y52" i="159" s="1"/>
  <c r="Z52" i="159"/>
  <c r="X52" i="159"/>
  <c r="Q52" i="159"/>
  <c r="P52" i="159"/>
  <c r="H52" i="159"/>
  <c r="E52" i="159"/>
  <c r="I52" i="159" s="1"/>
  <c r="AD51" i="159"/>
  <c r="AC51" i="159"/>
  <c r="AB51" i="159"/>
  <c r="AE51" i="159" s="1"/>
  <c r="AI51" i="159" s="1"/>
  <c r="Y51" i="159" s="1"/>
  <c r="Z51" i="159"/>
  <c r="X51" i="159"/>
  <c r="Q51" i="159"/>
  <c r="P51" i="159"/>
  <c r="H51" i="159"/>
  <c r="E51" i="159"/>
  <c r="I51" i="159" s="1"/>
  <c r="AD50" i="159"/>
  <c r="AE50" i="159" s="1"/>
  <c r="AI50" i="159" s="1"/>
  <c r="Y50" i="159" s="1"/>
  <c r="AC50" i="159"/>
  <c r="AB50" i="159"/>
  <c r="Z50" i="159"/>
  <c r="X50" i="159"/>
  <c r="Q50" i="159"/>
  <c r="P50" i="159"/>
  <c r="I50" i="159"/>
  <c r="H50" i="159"/>
  <c r="E50" i="159"/>
  <c r="AE49" i="159"/>
  <c r="AI49" i="159" s="1"/>
  <c r="Y49" i="159" s="1"/>
  <c r="Z49" i="159"/>
  <c r="X49" i="159"/>
  <c r="Q49" i="159"/>
  <c r="P49" i="159"/>
  <c r="H49" i="159"/>
  <c r="E49" i="159"/>
  <c r="I49" i="159" s="1"/>
  <c r="AI48" i="159"/>
  <c r="Y48" i="159" s="1"/>
  <c r="AE48" i="159"/>
  <c r="Z48" i="159"/>
  <c r="X48" i="159"/>
  <c r="Q48" i="159"/>
  <c r="P48" i="159"/>
  <c r="H48" i="159"/>
  <c r="E48" i="159"/>
  <c r="I48" i="159" s="1"/>
  <c r="AE47" i="159"/>
  <c r="AI47" i="159" s="1"/>
  <c r="Y47" i="159" s="1"/>
  <c r="Z47" i="159"/>
  <c r="X47" i="159"/>
  <c r="Q47" i="159"/>
  <c r="P47" i="159"/>
  <c r="H47" i="159"/>
  <c r="E47" i="159"/>
  <c r="I47" i="159" s="1"/>
  <c r="AD46" i="159"/>
  <c r="AC46" i="159"/>
  <c r="AB46" i="159"/>
  <c r="AE46" i="159" s="1"/>
  <c r="AI46" i="159" s="1"/>
  <c r="Y46" i="159" s="1"/>
  <c r="Z46" i="159"/>
  <c r="X46" i="159"/>
  <c r="Q46" i="159"/>
  <c r="P46" i="159"/>
  <c r="H46" i="159"/>
  <c r="E46" i="159"/>
  <c r="I46" i="159" s="1"/>
  <c r="AD45" i="159"/>
  <c r="AC45" i="159"/>
  <c r="AB45" i="159"/>
  <c r="AE45" i="159" s="1"/>
  <c r="AI45" i="159" s="1"/>
  <c r="Y45" i="159" s="1"/>
  <c r="Z45" i="159"/>
  <c r="X45" i="159"/>
  <c r="Q45" i="159"/>
  <c r="P45" i="159"/>
  <c r="I45" i="159"/>
  <c r="H45" i="159"/>
  <c r="E45" i="159"/>
  <c r="AD44" i="159"/>
  <c r="AC44" i="159"/>
  <c r="AB44" i="159"/>
  <c r="AE44" i="159" s="1"/>
  <c r="AI44" i="159" s="1"/>
  <c r="Y44" i="159" s="1"/>
  <c r="Z44" i="159"/>
  <c r="X44" i="159"/>
  <c r="Q44" i="159"/>
  <c r="P44" i="159"/>
  <c r="I44" i="159"/>
  <c r="H44" i="159"/>
  <c r="E44" i="159"/>
  <c r="AD43" i="159"/>
  <c r="AC43" i="159"/>
  <c r="AE43" i="159" s="1"/>
  <c r="AI43" i="159" s="1"/>
  <c r="Y43" i="159" s="1"/>
  <c r="AB43" i="159"/>
  <c r="Z43" i="159"/>
  <c r="X43" i="159"/>
  <c r="Q43" i="159"/>
  <c r="P43" i="159"/>
  <c r="H43" i="159"/>
  <c r="E43" i="159"/>
  <c r="I43" i="159" s="1"/>
  <c r="AD42" i="159"/>
  <c r="AC42" i="159"/>
  <c r="AE42" i="159" s="1"/>
  <c r="AI42" i="159" s="1"/>
  <c r="Y42" i="159" s="1"/>
  <c r="AB42" i="159"/>
  <c r="Z42" i="159"/>
  <c r="X42" i="159"/>
  <c r="Q42" i="159"/>
  <c r="P42" i="159"/>
  <c r="H42" i="159"/>
  <c r="E42" i="159"/>
  <c r="I42" i="159" s="1"/>
  <c r="AD41" i="159"/>
  <c r="AC41" i="159"/>
  <c r="AB41" i="159"/>
  <c r="AE41" i="159" s="1"/>
  <c r="AI41" i="159" s="1"/>
  <c r="Y41" i="159" s="1"/>
  <c r="Z41" i="159"/>
  <c r="X41" i="159"/>
  <c r="Q41" i="159"/>
  <c r="P41" i="159"/>
  <c r="H41" i="159"/>
  <c r="E41" i="159"/>
  <c r="I41" i="159" s="1"/>
  <c r="AE40" i="159"/>
  <c r="AI40" i="159" s="1"/>
  <c r="Y40" i="159" s="1"/>
  <c r="AD40" i="159"/>
  <c r="AC40" i="159"/>
  <c r="AB40" i="159"/>
  <c r="Z40" i="159"/>
  <c r="X40" i="159"/>
  <c r="Q40" i="159"/>
  <c r="P40" i="159"/>
  <c r="H40" i="159"/>
  <c r="E40" i="159"/>
  <c r="I40" i="159" s="1"/>
  <c r="AE39" i="159"/>
  <c r="AI39" i="159" s="1"/>
  <c r="Y39" i="159" s="1"/>
  <c r="AD39" i="159"/>
  <c r="AC39" i="159"/>
  <c r="AB39" i="159"/>
  <c r="Z39" i="159"/>
  <c r="X39" i="159"/>
  <c r="Q39" i="159"/>
  <c r="P39" i="159"/>
  <c r="H39" i="159"/>
  <c r="E39" i="159"/>
  <c r="I39" i="159" s="1"/>
  <c r="AD38" i="159"/>
  <c r="AC38" i="159"/>
  <c r="AB38" i="159"/>
  <c r="AE38" i="159" s="1"/>
  <c r="AI38" i="159" s="1"/>
  <c r="Y38" i="159" s="1"/>
  <c r="Z38" i="159"/>
  <c r="X38" i="159"/>
  <c r="Q38" i="159"/>
  <c r="P38" i="159"/>
  <c r="H38" i="159"/>
  <c r="E38" i="159"/>
  <c r="I38" i="159" s="1"/>
  <c r="AD37" i="159"/>
  <c r="AE37" i="159" s="1"/>
  <c r="AI37" i="159" s="1"/>
  <c r="Y37" i="159" s="1"/>
  <c r="AC37" i="159"/>
  <c r="AB37" i="159"/>
  <c r="Z37" i="159"/>
  <c r="X37" i="159"/>
  <c r="Q37" i="159"/>
  <c r="P37" i="159"/>
  <c r="I37" i="159"/>
  <c r="H37" i="159"/>
  <c r="E37" i="159"/>
  <c r="AD36" i="159"/>
  <c r="AC36" i="159"/>
  <c r="AB36" i="159"/>
  <c r="AE36" i="159" s="1"/>
  <c r="AI36" i="159" s="1"/>
  <c r="Y36" i="159" s="1"/>
  <c r="Z36" i="159"/>
  <c r="X36" i="159"/>
  <c r="Q36" i="159"/>
  <c r="P36" i="159"/>
  <c r="I36" i="159"/>
  <c r="H36" i="159"/>
  <c r="E36" i="159"/>
  <c r="AD35" i="159"/>
  <c r="AC35" i="159"/>
  <c r="AB35" i="159"/>
  <c r="AE35" i="159" s="1"/>
  <c r="AI35" i="159" s="1"/>
  <c r="Y35" i="159" s="1"/>
  <c r="Z35" i="159"/>
  <c r="X35" i="159"/>
  <c r="Q35" i="159"/>
  <c r="P35" i="159"/>
  <c r="H35" i="159"/>
  <c r="E35" i="159"/>
  <c r="I35" i="159" s="1"/>
  <c r="AD34" i="159"/>
  <c r="AC34" i="159"/>
  <c r="AB34" i="159"/>
  <c r="AE34" i="159" s="1"/>
  <c r="AI34" i="159" s="1"/>
  <c r="Y34" i="159" s="1"/>
  <c r="Z34" i="159"/>
  <c r="X34" i="159"/>
  <c r="Q34" i="159"/>
  <c r="P34" i="159"/>
  <c r="I34" i="159"/>
  <c r="H34" i="159"/>
  <c r="E34" i="159"/>
  <c r="AD33" i="159"/>
  <c r="AC33" i="159"/>
  <c r="AE33" i="159" s="1"/>
  <c r="AI33" i="159" s="1"/>
  <c r="Y33" i="159" s="1"/>
  <c r="AB33" i="159"/>
  <c r="Z33" i="159"/>
  <c r="X33" i="159"/>
  <c r="Q33" i="159"/>
  <c r="P33" i="159"/>
  <c r="H33" i="159"/>
  <c r="E33" i="159"/>
  <c r="I33" i="159" s="1"/>
  <c r="AE32" i="159"/>
  <c r="AI32" i="159" s="1"/>
  <c r="Y32" i="159" s="1"/>
  <c r="AD32" i="159"/>
  <c r="AC32" i="159"/>
  <c r="AB32" i="159"/>
  <c r="Z32" i="159"/>
  <c r="X32" i="159"/>
  <c r="Q32" i="159"/>
  <c r="P32" i="159"/>
  <c r="I32" i="159"/>
  <c r="H32" i="159"/>
  <c r="E32" i="159"/>
  <c r="AE31" i="159"/>
  <c r="AI31" i="159" s="1"/>
  <c r="Y31" i="159" s="1"/>
  <c r="Z31" i="159"/>
  <c r="X31" i="159"/>
  <c r="Q31" i="159"/>
  <c r="P31" i="159"/>
  <c r="H31" i="159"/>
  <c r="E31" i="159"/>
  <c r="I31" i="159" s="1"/>
  <c r="AD30" i="159"/>
  <c r="AC30" i="159"/>
  <c r="AB30" i="159"/>
  <c r="AE30" i="159" s="1"/>
  <c r="AI30" i="159" s="1"/>
  <c r="Y30" i="159" s="1"/>
  <c r="Z30" i="159"/>
  <c r="X30" i="159"/>
  <c r="Q30" i="159"/>
  <c r="P30" i="159"/>
  <c r="I30" i="159"/>
  <c r="H30" i="159"/>
  <c r="E30" i="159"/>
  <c r="AD29" i="159"/>
  <c r="AC29" i="159"/>
  <c r="AB29" i="159"/>
  <c r="AE29" i="159" s="1"/>
  <c r="AI29" i="159" s="1"/>
  <c r="Y29" i="159" s="1"/>
  <c r="Z29" i="159"/>
  <c r="X29" i="159"/>
  <c r="Q29" i="159"/>
  <c r="P29" i="159"/>
  <c r="H29" i="159"/>
  <c r="E29" i="159"/>
  <c r="I29" i="159" s="1"/>
  <c r="AD28" i="159"/>
  <c r="AC28" i="159"/>
  <c r="AE28" i="159" s="1"/>
  <c r="AI28" i="159" s="1"/>
  <c r="Y28" i="159" s="1"/>
  <c r="AB28" i="159"/>
  <c r="Z28" i="159"/>
  <c r="X28" i="159"/>
  <c r="Q28" i="159"/>
  <c r="P28" i="159"/>
  <c r="H28" i="159"/>
  <c r="E28" i="159"/>
  <c r="I28" i="159" s="1"/>
  <c r="AD27" i="159"/>
  <c r="AC27" i="159"/>
  <c r="AE27" i="159" s="1"/>
  <c r="AI27" i="159" s="1"/>
  <c r="Y27" i="159" s="1"/>
  <c r="AB27" i="159"/>
  <c r="Z27" i="159"/>
  <c r="X27" i="159"/>
  <c r="Q27" i="159"/>
  <c r="P27" i="159"/>
  <c r="H27" i="159"/>
  <c r="E27" i="159"/>
  <c r="I27" i="159" s="1"/>
  <c r="AD26" i="159"/>
  <c r="AC26" i="159"/>
  <c r="AB26" i="159"/>
  <c r="AE26" i="159" s="1"/>
  <c r="AI26" i="159" s="1"/>
  <c r="Y26" i="159" s="1"/>
  <c r="Z26" i="159"/>
  <c r="X26" i="159"/>
  <c r="Q26" i="159"/>
  <c r="P26" i="159"/>
  <c r="I26" i="159"/>
  <c r="H26" i="159"/>
  <c r="E26" i="159"/>
  <c r="AE25" i="159"/>
  <c r="AI25" i="159" s="1"/>
  <c r="Y25" i="159" s="1"/>
  <c r="AD25" i="159"/>
  <c r="AC25" i="159"/>
  <c r="AB25" i="159"/>
  <c r="Z25" i="159"/>
  <c r="X25" i="159"/>
  <c r="Q25" i="159"/>
  <c r="P25" i="159"/>
  <c r="H25" i="159"/>
  <c r="E25" i="159"/>
  <c r="I25" i="159" s="1"/>
  <c r="AE24" i="159"/>
  <c r="AI24" i="159" s="1"/>
  <c r="Y24" i="159" s="1"/>
  <c r="AD24" i="159"/>
  <c r="AC24" i="159"/>
  <c r="AB24" i="159"/>
  <c r="Z24" i="159"/>
  <c r="X24" i="159"/>
  <c r="Q24" i="159"/>
  <c r="P24" i="159"/>
  <c r="H24" i="159"/>
  <c r="E24" i="159"/>
  <c r="I24" i="159" s="1"/>
  <c r="AD23" i="159"/>
  <c r="AC23" i="159"/>
  <c r="AB23" i="159"/>
  <c r="AE23" i="159" s="1"/>
  <c r="AI23" i="159" s="1"/>
  <c r="Y23" i="159" s="1"/>
  <c r="Z23" i="159"/>
  <c r="X23" i="159"/>
  <c r="Q23" i="159"/>
  <c r="P23" i="159"/>
  <c r="H23" i="159"/>
  <c r="E23" i="159"/>
  <c r="I23" i="159" s="1"/>
  <c r="AD22" i="159"/>
  <c r="AE22" i="159" s="1"/>
  <c r="AI22" i="159" s="1"/>
  <c r="Y22" i="159" s="1"/>
  <c r="AC22" i="159"/>
  <c r="AB22" i="159"/>
  <c r="Z22" i="159"/>
  <c r="X22" i="159"/>
  <c r="Q22" i="159"/>
  <c r="P22" i="159"/>
  <c r="I22" i="159"/>
  <c r="H22" i="159"/>
  <c r="E22" i="159"/>
  <c r="AD21" i="159"/>
  <c r="AC21" i="159"/>
  <c r="AB21" i="159"/>
  <c r="AE21" i="159" s="1"/>
  <c r="AI21" i="159" s="1"/>
  <c r="Y21" i="159" s="1"/>
  <c r="Z21" i="159"/>
  <c r="X21" i="159"/>
  <c r="Q21" i="159"/>
  <c r="P21" i="159"/>
  <c r="I21" i="159"/>
  <c r="H21" i="159"/>
  <c r="E21" i="159"/>
  <c r="AD20" i="159"/>
  <c r="AC20" i="159"/>
  <c r="AB20" i="159"/>
  <c r="AE20" i="159" s="1"/>
  <c r="AI20" i="159" s="1"/>
  <c r="Y20" i="159" s="1"/>
  <c r="Z20" i="159"/>
  <c r="X20" i="159"/>
  <c r="Q20" i="159"/>
  <c r="P20" i="159"/>
  <c r="H20" i="159"/>
  <c r="E20" i="159"/>
  <c r="I20" i="159" s="1"/>
  <c r="AD19" i="159"/>
  <c r="AC19" i="159"/>
  <c r="AB19" i="159"/>
  <c r="AE19" i="159" s="1"/>
  <c r="AI19" i="159" s="1"/>
  <c r="Y19" i="159" s="1"/>
  <c r="Z19" i="159"/>
  <c r="X19" i="159"/>
  <c r="Q19" i="159"/>
  <c r="P19" i="159"/>
  <c r="I19" i="159"/>
  <c r="H19" i="159"/>
  <c r="E19" i="159"/>
  <c r="AD18" i="159"/>
  <c r="AC18" i="159"/>
  <c r="AE18" i="159" s="1"/>
  <c r="AI18" i="159" s="1"/>
  <c r="Y18" i="159" s="1"/>
  <c r="AB18" i="159"/>
  <c r="Z18" i="159"/>
  <c r="X18" i="159"/>
  <c r="Q18" i="159"/>
  <c r="P18" i="159"/>
  <c r="H18" i="159"/>
  <c r="E18" i="159"/>
  <c r="I18" i="159" s="1"/>
  <c r="AE17" i="159"/>
  <c r="AI17" i="159" s="1"/>
  <c r="Y17" i="159" s="1"/>
  <c r="AD17" i="159"/>
  <c r="AC17" i="159"/>
  <c r="AB17" i="159"/>
  <c r="Z17" i="159"/>
  <c r="X17" i="159"/>
  <c r="Q17" i="159"/>
  <c r="P17" i="159"/>
  <c r="I17" i="159"/>
  <c r="H17" i="159"/>
  <c r="E17" i="159"/>
  <c r="AD16" i="159"/>
  <c r="AC16" i="159"/>
  <c r="AB16" i="159"/>
  <c r="AE16" i="159" s="1"/>
  <c r="AI16" i="159" s="1"/>
  <c r="Y16" i="159" s="1"/>
  <c r="Z16" i="159"/>
  <c r="X16" i="159"/>
  <c r="Q16" i="159"/>
  <c r="P16" i="159"/>
  <c r="E16" i="159"/>
  <c r="I16" i="159" s="1"/>
  <c r="AD15" i="159"/>
  <c r="AC15" i="159"/>
  <c r="AB15" i="159"/>
  <c r="AE15" i="159" s="1"/>
  <c r="AI15" i="159" s="1"/>
  <c r="Y15" i="159" s="1"/>
  <c r="Z15" i="159"/>
  <c r="X15" i="159"/>
  <c r="Q15" i="159"/>
  <c r="P15" i="159"/>
  <c r="E15" i="159"/>
  <c r="I15" i="159" s="1"/>
  <c r="AE14" i="159"/>
  <c r="AI14" i="159" s="1"/>
  <c r="Y14" i="159" s="1"/>
  <c r="AD14" i="159"/>
  <c r="AC14" i="159"/>
  <c r="AB14" i="159"/>
  <c r="Z14" i="159"/>
  <c r="X14" i="159"/>
  <c r="Q14" i="159"/>
  <c r="O75" i="159" s="1"/>
  <c r="P14" i="159"/>
  <c r="H14" i="159"/>
  <c r="E14" i="159"/>
  <c r="I14" i="159" s="1"/>
  <c r="AD13" i="159"/>
  <c r="AC13" i="159"/>
  <c r="AB13" i="159"/>
  <c r="AE13" i="159" s="1"/>
  <c r="AI13" i="159" s="1"/>
  <c r="Y13" i="159" s="1"/>
  <c r="Z13" i="159"/>
  <c r="X13" i="159"/>
  <c r="Q13" i="159"/>
  <c r="P13" i="159"/>
  <c r="H13" i="159"/>
  <c r="E13" i="159"/>
  <c r="I13" i="159" s="1"/>
  <c r="AD12" i="159"/>
  <c r="AE12" i="159" s="1"/>
  <c r="AI12" i="159" s="1"/>
  <c r="Y12" i="159" s="1"/>
  <c r="AC12" i="159"/>
  <c r="AB12" i="159"/>
  <c r="Z12" i="159"/>
  <c r="X12" i="159"/>
  <c r="Q12" i="159"/>
  <c r="P12" i="159"/>
  <c r="I12" i="159"/>
  <c r="H12" i="159"/>
  <c r="E12" i="159"/>
  <c r="T77" i="159" l="1"/>
  <c r="T75" i="159"/>
  <c r="T73" i="159"/>
  <c r="F73" i="159"/>
  <c r="F75" i="159"/>
  <c r="O73" i="159"/>
  <c r="M79" i="158"/>
  <c r="W73" i="158"/>
  <c r="P71" i="158"/>
  <c r="H71" i="158"/>
  <c r="Q70" i="158"/>
  <c r="P70" i="158"/>
  <c r="I70" i="158"/>
  <c r="H70" i="158"/>
  <c r="E70" i="158"/>
  <c r="Q69" i="158"/>
  <c r="P69" i="158"/>
  <c r="I69" i="158"/>
  <c r="H69" i="158"/>
  <c r="E69" i="158"/>
  <c r="AD68" i="158"/>
  <c r="AC68" i="158"/>
  <c r="AB68" i="158"/>
  <c r="AE68" i="158" s="1"/>
  <c r="AI68" i="158" s="1"/>
  <c r="Y68" i="158" s="1"/>
  <c r="Z68" i="158"/>
  <c r="X68" i="158"/>
  <c r="W68" i="158"/>
  <c r="Q68" i="158"/>
  <c r="P68" i="158"/>
  <c r="H68" i="158"/>
  <c r="E68" i="158"/>
  <c r="I68" i="158" s="1"/>
  <c r="AD67" i="158"/>
  <c r="AC67" i="158"/>
  <c r="AE67" i="158" s="1"/>
  <c r="AI67" i="158" s="1"/>
  <c r="Y67" i="158" s="1"/>
  <c r="AB67" i="158"/>
  <c r="Z67" i="158"/>
  <c r="X67" i="158"/>
  <c r="Q67" i="158"/>
  <c r="P67" i="158"/>
  <c r="I67" i="158"/>
  <c r="H67" i="158"/>
  <c r="E67" i="158"/>
  <c r="AD66" i="158"/>
  <c r="AE66" i="158" s="1"/>
  <c r="AI66" i="158" s="1"/>
  <c r="Y66" i="158" s="1"/>
  <c r="AC66" i="158"/>
  <c r="AB66" i="158"/>
  <c r="Z66" i="158"/>
  <c r="X66" i="158"/>
  <c r="Q66" i="158"/>
  <c r="P66" i="158"/>
  <c r="I66" i="158"/>
  <c r="H66" i="158"/>
  <c r="E66" i="158"/>
  <c r="AE65" i="158"/>
  <c r="AI65" i="158" s="1"/>
  <c r="Y65" i="158" s="1"/>
  <c r="AD65" i="158"/>
  <c r="AC65" i="158"/>
  <c r="AB65" i="158"/>
  <c r="Z65" i="158"/>
  <c r="X65" i="158"/>
  <c r="Q65" i="158"/>
  <c r="P65" i="158"/>
  <c r="H65" i="158"/>
  <c r="E65" i="158"/>
  <c r="I65" i="158" s="1"/>
  <c r="AD64" i="158"/>
  <c r="AC64" i="158"/>
  <c r="AB64" i="158"/>
  <c r="AE64" i="158" s="1"/>
  <c r="AI64" i="158" s="1"/>
  <c r="Y64" i="158" s="1"/>
  <c r="Z64" i="158"/>
  <c r="X64" i="158"/>
  <c r="Q64" i="158"/>
  <c r="P64" i="158"/>
  <c r="H64" i="158"/>
  <c r="E64" i="158"/>
  <c r="I64" i="158" s="1"/>
  <c r="AD63" i="158"/>
  <c r="AC63" i="158"/>
  <c r="AE63" i="158" s="1"/>
  <c r="AI63" i="158" s="1"/>
  <c r="Y63" i="158" s="1"/>
  <c r="AB63" i="158"/>
  <c r="Z63" i="158"/>
  <c r="X63" i="158"/>
  <c r="Q63" i="158"/>
  <c r="P63" i="158"/>
  <c r="I63" i="158"/>
  <c r="H63" i="158"/>
  <c r="E63" i="158"/>
  <c r="AD62" i="158"/>
  <c r="AC62" i="158"/>
  <c r="AB62" i="158"/>
  <c r="AE62" i="158" s="1"/>
  <c r="AI62" i="158" s="1"/>
  <c r="Y62" i="158" s="1"/>
  <c r="Z62" i="158"/>
  <c r="X62" i="158"/>
  <c r="Q62" i="158"/>
  <c r="P62" i="158"/>
  <c r="I62" i="158"/>
  <c r="H62" i="158"/>
  <c r="E62" i="158"/>
  <c r="AE61" i="158"/>
  <c r="AI61" i="158" s="1"/>
  <c r="Y61" i="158" s="1"/>
  <c r="AC61" i="158"/>
  <c r="AB61" i="158"/>
  <c r="X61" i="158"/>
  <c r="Q61" i="158"/>
  <c r="P61" i="158"/>
  <c r="I61" i="158"/>
  <c r="H61" i="158"/>
  <c r="E61" i="158"/>
  <c r="AE60" i="158"/>
  <c r="AI60" i="158" s="1"/>
  <c r="Y60" i="158" s="1"/>
  <c r="X60" i="158"/>
  <c r="Q60" i="158"/>
  <c r="P60" i="158"/>
  <c r="I60" i="158"/>
  <c r="H60" i="158"/>
  <c r="E60" i="158"/>
  <c r="AC59" i="158"/>
  <c r="AB59" i="158"/>
  <c r="AE59" i="158" s="1"/>
  <c r="AI59" i="158" s="1"/>
  <c r="Y59" i="158" s="1"/>
  <c r="X59" i="158"/>
  <c r="Q59" i="158"/>
  <c r="P59" i="158"/>
  <c r="I59" i="158"/>
  <c r="H59" i="158"/>
  <c r="E59" i="158"/>
  <c r="AC58" i="158"/>
  <c r="AE58" i="158" s="1"/>
  <c r="AI58" i="158" s="1"/>
  <c r="Y58" i="158" s="1"/>
  <c r="AB58" i="158"/>
  <c r="X58" i="158"/>
  <c r="Q58" i="158"/>
  <c r="P58" i="158"/>
  <c r="E58" i="158"/>
  <c r="I58" i="158" s="1"/>
  <c r="AC57" i="158"/>
  <c r="AB57" i="158"/>
  <c r="AE57" i="158" s="1"/>
  <c r="AI57" i="158" s="1"/>
  <c r="Y57" i="158" s="1"/>
  <c r="X57" i="158"/>
  <c r="Q57" i="158"/>
  <c r="P57" i="158"/>
  <c r="I57" i="158"/>
  <c r="H57" i="158"/>
  <c r="E57" i="158"/>
  <c r="AD56" i="158"/>
  <c r="AC56" i="158"/>
  <c r="AB56" i="158"/>
  <c r="AE56" i="158" s="1"/>
  <c r="AI56" i="158" s="1"/>
  <c r="Y56" i="158" s="1"/>
  <c r="Z56" i="158"/>
  <c r="X56" i="158"/>
  <c r="Q56" i="158"/>
  <c r="P56" i="158"/>
  <c r="H56" i="158"/>
  <c r="E56" i="158"/>
  <c r="I56" i="158" s="1"/>
  <c r="AD55" i="158"/>
  <c r="AC55" i="158"/>
  <c r="AB55" i="158"/>
  <c r="AE55" i="158" s="1"/>
  <c r="AI55" i="158" s="1"/>
  <c r="Y55" i="158" s="1"/>
  <c r="Z55" i="158"/>
  <c r="X55" i="158"/>
  <c r="Q55" i="158"/>
  <c r="P55" i="158"/>
  <c r="H55" i="158"/>
  <c r="E55" i="158"/>
  <c r="I55" i="158" s="1"/>
  <c r="AD54" i="158"/>
  <c r="AC54" i="158"/>
  <c r="AE54" i="158" s="1"/>
  <c r="AI54" i="158" s="1"/>
  <c r="Y54" i="158" s="1"/>
  <c r="AB54" i="158"/>
  <c r="Z54" i="158"/>
  <c r="X54" i="158"/>
  <c r="Q54" i="158"/>
  <c r="P54" i="158"/>
  <c r="I54" i="158"/>
  <c r="H54" i="158"/>
  <c r="E54" i="158"/>
  <c r="AD53" i="158"/>
  <c r="AE53" i="158" s="1"/>
  <c r="AI53" i="158" s="1"/>
  <c r="Y53" i="158" s="1"/>
  <c r="AC53" i="158"/>
  <c r="AB53" i="158"/>
  <c r="Z53" i="158"/>
  <c r="X53" i="158"/>
  <c r="Q53" i="158"/>
  <c r="P53" i="158"/>
  <c r="H53" i="158"/>
  <c r="E53" i="158"/>
  <c r="I53" i="158" s="1"/>
  <c r="AE52" i="158"/>
  <c r="AI52" i="158" s="1"/>
  <c r="Y52" i="158" s="1"/>
  <c r="Z52" i="158"/>
  <c r="X52" i="158"/>
  <c r="Q52" i="158"/>
  <c r="P52" i="158"/>
  <c r="H52" i="158"/>
  <c r="E52" i="158"/>
  <c r="I52" i="158" s="1"/>
  <c r="AD51" i="158"/>
  <c r="AC51" i="158"/>
  <c r="AE51" i="158" s="1"/>
  <c r="AI51" i="158" s="1"/>
  <c r="Y51" i="158" s="1"/>
  <c r="AB51" i="158"/>
  <c r="Z51" i="158"/>
  <c r="X51" i="158"/>
  <c r="Q51" i="158"/>
  <c r="P51" i="158"/>
  <c r="I51" i="158"/>
  <c r="H51" i="158"/>
  <c r="E51" i="158"/>
  <c r="AD50" i="158"/>
  <c r="AE50" i="158" s="1"/>
  <c r="AI50" i="158" s="1"/>
  <c r="Y50" i="158" s="1"/>
  <c r="AC50" i="158"/>
  <c r="AB50" i="158"/>
  <c r="Z50" i="158"/>
  <c r="X50" i="158"/>
  <c r="Q50" i="158"/>
  <c r="P50" i="158"/>
  <c r="I50" i="158"/>
  <c r="H50" i="158"/>
  <c r="E50" i="158"/>
  <c r="AE49" i="158"/>
  <c r="AI49" i="158" s="1"/>
  <c r="Y49" i="158" s="1"/>
  <c r="Z49" i="158"/>
  <c r="X49" i="158"/>
  <c r="Q49" i="158"/>
  <c r="P49" i="158"/>
  <c r="H49" i="158"/>
  <c r="E49" i="158"/>
  <c r="I49" i="158" s="1"/>
  <c r="AE48" i="158"/>
  <c r="AI48" i="158" s="1"/>
  <c r="Y48" i="158" s="1"/>
  <c r="Z48" i="158"/>
  <c r="X48" i="158"/>
  <c r="Q48" i="158"/>
  <c r="P48" i="158"/>
  <c r="I48" i="158"/>
  <c r="H48" i="158"/>
  <c r="E48" i="158"/>
  <c r="AE47" i="158"/>
  <c r="AI47" i="158" s="1"/>
  <c r="Y47" i="158" s="1"/>
  <c r="Z47" i="158"/>
  <c r="X47" i="158"/>
  <c r="Q47" i="158"/>
  <c r="P47" i="158"/>
  <c r="H47" i="158"/>
  <c r="E47" i="158"/>
  <c r="I47" i="158" s="1"/>
  <c r="AD46" i="158"/>
  <c r="AC46" i="158"/>
  <c r="AB46" i="158"/>
  <c r="AE46" i="158" s="1"/>
  <c r="AI46" i="158" s="1"/>
  <c r="Y46" i="158" s="1"/>
  <c r="Z46" i="158"/>
  <c r="X46" i="158"/>
  <c r="Q46" i="158"/>
  <c r="P46" i="158"/>
  <c r="I46" i="158"/>
  <c r="H46" i="158"/>
  <c r="E46" i="158"/>
  <c r="AD45" i="158"/>
  <c r="AE45" i="158" s="1"/>
  <c r="AI45" i="158" s="1"/>
  <c r="Y45" i="158" s="1"/>
  <c r="AC45" i="158"/>
  <c r="AB45" i="158"/>
  <c r="Z45" i="158"/>
  <c r="X45" i="158"/>
  <c r="Q45" i="158"/>
  <c r="P45" i="158"/>
  <c r="I45" i="158"/>
  <c r="H45" i="158"/>
  <c r="E45" i="158"/>
  <c r="AD44" i="158"/>
  <c r="AC44" i="158"/>
  <c r="AB44" i="158"/>
  <c r="AE44" i="158" s="1"/>
  <c r="AI44" i="158" s="1"/>
  <c r="Y44" i="158" s="1"/>
  <c r="Z44" i="158"/>
  <c r="X44" i="158"/>
  <c r="Q44" i="158"/>
  <c r="P44" i="158"/>
  <c r="H44" i="158"/>
  <c r="E44" i="158"/>
  <c r="I44" i="158" s="1"/>
  <c r="AD43" i="158"/>
  <c r="AC43" i="158"/>
  <c r="AB43" i="158"/>
  <c r="AE43" i="158" s="1"/>
  <c r="AI43" i="158" s="1"/>
  <c r="Y43" i="158" s="1"/>
  <c r="Z43" i="158"/>
  <c r="X43" i="158"/>
  <c r="Q43" i="158"/>
  <c r="P43" i="158"/>
  <c r="H43" i="158"/>
  <c r="E43" i="158"/>
  <c r="I43" i="158" s="1"/>
  <c r="AD42" i="158"/>
  <c r="AC42" i="158"/>
  <c r="AE42" i="158" s="1"/>
  <c r="AI42" i="158" s="1"/>
  <c r="AB42" i="158"/>
  <c r="X42" i="158"/>
  <c r="Q42" i="158"/>
  <c r="P42" i="158"/>
  <c r="I42" i="158"/>
  <c r="H42" i="158"/>
  <c r="Z42" i="158"/>
  <c r="E42" i="158"/>
  <c r="AE41" i="158"/>
  <c r="AI41" i="158" s="1"/>
  <c r="Y41" i="158" s="1"/>
  <c r="AD41" i="158"/>
  <c r="AC41" i="158"/>
  <c r="AB41" i="158"/>
  <c r="Z41" i="158"/>
  <c r="X41" i="158"/>
  <c r="Q41" i="158"/>
  <c r="P41" i="158"/>
  <c r="H41" i="158"/>
  <c r="E41" i="158"/>
  <c r="I41" i="158" s="1"/>
  <c r="AD40" i="158"/>
  <c r="AC40" i="158"/>
  <c r="AB40" i="158"/>
  <c r="AE40" i="158" s="1"/>
  <c r="AI40" i="158" s="1"/>
  <c r="Y40" i="158" s="1"/>
  <c r="Z40" i="158"/>
  <c r="X40" i="158"/>
  <c r="Q40" i="158"/>
  <c r="P40" i="158"/>
  <c r="H40" i="158"/>
  <c r="E40" i="158"/>
  <c r="I40" i="158" s="1"/>
  <c r="AD39" i="158"/>
  <c r="AC39" i="158"/>
  <c r="AE39" i="158" s="1"/>
  <c r="AI39" i="158" s="1"/>
  <c r="Y39" i="158" s="1"/>
  <c r="AB39" i="158"/>
  <c r="X39" i="158"/>
  <c r="Q39" i="158"/>
  <c r="P39" i="158"/>
  <c r="I39" i="158"/>
  <c r="H39" i="158"/>
  <c r="Z39" i="158"/>
  <c r="E39" i="158"/>
  <c r="AD38" i="158"/>
  <c r="AC38" i="158"/>
  <c r="AB38" i="158"/>
  <c r="AE38" i="158" s="1"/>
  <c r="AI38" i="158" s="1"/>
  <c r="Y38" i="158" s="1"/>
  <c r="Z38" i="158"/>
  <c r="X38" i="158"/>
  <c r="Q38" i="158"/>
  <c r="P38" i="158"/>
  <c r="H38" i="158"/>
  <c r="E38" i="158"/>
  <c r="I38" i="158" s="1"/>
  <c r="AD37" i="158"/>
  <c r="AC37" i="158"/>
  <c r="AB37" i="158"/>
  <c r="AE37" i="158" s="1"/>
  <c r="AI37" i="158" s="1"/>
  <c r="Y37" i="158" s="1"/>
  <c r="Z37" i="158"/>
  <c r="X37" i="158"/>
  <c r="Q37" i="158"/>
  <c r="P37" i="158"/>
  <c r="H37" i="158"/>
  <c r="E37" i="158"/>
  <c r="I37" i="158" s="1"/>
  <c r="AD36" i="158"/>
  <c r="AC36" i="158"/>
  <c r="AE36" i="158" s="1"/>
  <c r="AI36" i="158" s="1"/>
  <c r="Y36" i="158" s="1"/>
  <c r="AB36" i="158"/>
  <c r="Z36" i="158"/>
  <c r="X36" i="158"/>
  <c r="Q36" i="158"/>
  <c r="P36" i="158"/>
  <c r="I36" i="158"/>
  <c r="H36" i="158"/>
  <c r="E36" i="158"/>
  <c r="AD35" i="158"/>
  <c r="AE35" i="158" s="1"/>
  <c r="AI35" i="158" s="1"/>
  <c r="Y35" i="158" s="1"/>
  <c r="AC35" i="158"/>
  <c r="AB35" i="158"/>
  <c r="Z35" i="158"/>
  <c r="X35" i="158"/>
  <c r="Q35" i="158"/>
  <c r="P35" i="158"/>
  <c r="H35" i="158"/>
  <c r="E35" i="158"/>
  <c r="I35" i="158" s="1"/>
  <c r="AE34" i="158"/>
  <c r="AI34" i="158" s="1"/>
  <c r="Y34" i="158" s="1"/>
  <c r="AD34" i="158"/>
  <c r="AC34" i="158"/>
  <c r="AB34" i="158"/>
  <c r="Z34" i="158"/>
  <c r="X34" i="158"/>
  <c r="Q34" i="158"/>
  <c r="P34" i="158"/>
  <c r="H34" i="158"/>
  <c r="E34" i="158"/>
  <c r="I34" i="158" s="1"/>
  <c r="AD33" i="158"/>
  <c r="AC33" i="158"/>
  <c r="AB33" i="158"/>
  <c r="AE33" i="158" s="1"/>
  <c r="AI33" i="158" s="1"/>
  <c r="Y33" i="158" s="1"/>
  <c r="Z33" i="158"/>
  <c r="X33" i="158"/>
  <c r="Q33" i="158"/>
  <c r="P33" i="158"/>
  <c r="H33" i="158"/>
  <c r="E33" i="158"/>
  <c r="I33" i="158" s="1"/>
  <c r="AD32" i="158"/>
  <c r="AC32" i="158"/>
  <c r="AE32" i="158" s="1"/>
  <c r="AI32" i="158" s="1"/>
  <c r="Y32" i="158" s="1"/>
  <c r="AB32" i="158"/>
  <c r="Z32" i="158"/>
  <c r="X32" i="158"/>
  <c r="Q32" i="158"/>
  <c r="P32" i="158"/>
  <c r="I32" i="158"/>
  <c r="H32" i="158"/>
  <c r="E32" i="158"/>
  <c r="AE31" i="158"/>
  <c r="AI31" i="158" s="1"/>
  <c r="Y31" i="158" s="1"/>
  <c r="Z31" i="158"/>
  <c r="X31" i="158"/>
  <c r="Q31" i="158"/>
  <c r="P31" i="158"/>
  <c r="H31" i="158"/>
  <c r="E31" i="158"/>
  <c r="I31" i="158" s="1"/>
  <c r="AD30" i="158"/>
  <c r="AC30" i="158"/>
  <c r="AB30" i="158"/>
  <c r="AE30" i="158" s="1"/>
  <c r="AI30" i="158" s="1"/>
  <c r="Y30" i="158" s="1"/>
  <c r="Z30" i="158"/>
  <c r="X30" i="158"/>
  <c r="Q30" i="158"/>
  <c r="P30" i="158"/>
  <c r="H30" i="158"/>
  <c r="E30" i="158"/>
  <c r="I30" i="158" s="1"/>
  <c r="AD29" i="158"/>
  <c r="AC29" i="158"/>
  <c r="AE29" i="158" s="1"/>
  <c r="AI29" i="158" s="1"/>
  <c r="Y29" i="158" s="1"/>
  <c r="AB29" i="158"/>
  <c r="Z29" i="158"/>
  <c r="X29" i="158"/>
  <c r="Q29" i="158"/>
  <c r="P29" i="158"/>
  <c r="I29" i="158"/>
  <c r="H29" i="158"/>
  <c r="E29" i="158"/>
  <c r="AD28" i="158"/>
  <c r="AC28" i="158"/>
  <c r="AB28" i="158"/>
  <c r="AE28" i="158" s="1"/>
  <c r="AI28" i="158" s="1"/>
  <c r="Y28" i="158" s="1"/>
  <c r="Z28" i="158"/>
  <c r="X28" i="158"/>
  <c r="Q28" i="158"/>
  <c r="P28" i="158"/>
  <c r="I28" i="158"/>
  <c r="H28" i="158"/>
  <c r="E28" i="158"/>
  <c r="AE27" i="158"/>
  <c r="AI27" i="158" s="1"/>
  <c r="Y27" i="158" s="1"/>
  <c r="AD27" i="158"/>
  <c r="AC27" i="158"/>
  <c r="AB27" i="158"/>
  <c r="Z27" i="158"/>
  <c r="X27" i="158"/>
  <c r="Q27" i="158"/>
  <c r="P27" i="158"/>
  <c r="H27" i="158"/>
  <c r="E27" i="158"/>
  <c r="I27" i="158" s="1"/>
  <c r="AD26" i="158"/>
  <c r="AC26" i="158"/>
  <c r="AB26" i="158"/>
  <c r="AE26" i="158" s="1"/>
  <c r="AI26" i="158" s="1"/>
  <c r="Y26" i="158" s="1"/>
  <c r="Z26" i="158"/>
  <c r="X26" i="158"/>
  <c r="Q26" i="158"/>
  <c r="P26" i="158"/>
  <c r="H26" i="158"/>
  <c r="E26" i="158"/>
  <c r="I26" i="158" s="1"/>
  <c r="AD25" i="158"/>
  <c r="AC25" i="158"/>
  <c r="AB25" i="158"/>
  <c r="AE25" i="158" s="1"/>
  <c r="AI25" i="158" s="1"/>
  <c r="Y25" i="158" s="1"/>
  <c r="Z25" i="158"/>
  <c r="X25" i="158"/>
  <c r="Q25" i="158"/>
  <c r="P25" i="158"/>
  <c r="H25" i="158"/>
  <c r="E25" i="158"/>
  <c r="I25" i="158" s="1"/>
  <c r="AD24" i="158"/>
  <c r="AE24" i="158" s="1"/>
  <c r="AI24" i="158" s="1"/>
  <c r="Y24" i="158" s="1"/>
  <c r="AC24" i="158"/>
  <c r="AB24" i="158"/>
  <c r="Z24" i="158"/>
  <c r="X24" i="158"/>
  <c r="Q24" i="158"/>
  <c r="P24" i="158"/>
  <c r="I24" i="158"/>
  <c r="H24" i="158"/>
  <c r="E24" i="158"/>
  <c r="AD23" i="158"/>
  <c r="AC23" i="158"/>
  <c r="AB23" i="158"/>
  <c r="AE23" i="158" s="1"/>
  <c r="AI23" i="158" s="1"/>
  <c r="Y23" i="158" s="1"/>
  <c r="Z23" i="158"/>
  <c r="X23" i="158"/>
  <c r="Q23" i="158"/>
  <c r="P23" i="158"/>
  <c r="H23" i="158"/>
  <c r="E23" i="158"/>
  <c r="I23" i="158" s="1"/>
  <c r="AD22" i="158"/>
  <c r="AC22" i="158"/>
  <c r="AB22" i="158"/>
  <c r="AE22" i="158" s="1"/>
  <c r="AI22" i="158" s="1"/>
  <c r="Y22" i="158" s="1"/>
  <c r="Z22" i="158"/>
  <c r="X22" i="158"/>
  <c r="Q22" i="158"/>
  <c r="P22" i="158"/>
  <c r="H22" i="158"/>
  <c r="E22" i="158"/>
  <c r="I22" i="158" s="1"/>
  <c r="AD21" i="158"/>
  <c r="AC21" i="158"/>
  <c r="AE21" i="158" s="1"/>
  <c r="AI21" i="158" s="1"/>
  <c r="Y21" i="158" s="1"/>
  <c r="AB21" i="158"/>
  <c r="Z21" i="158"/>
  <c r="X21" i="158"/>
  <c r="Q21" i="158"/>
  <c r="P21" i="158"/>
  <c r="I21" i="158"/>
  <c r="H21" i="158"/>
  <c r="E21" i="158"/>
  <c r="AD20" i="158"/>
  <c r="AE20" i="158" s="1"/>
  <c r="AI20" i="158" s="1"/>
  <c r="Y20" i="158" s="1"/>
  <c r="AC20" i="158"/>
  <c r="AB20" i="158"/>
  <c r="Z20" i="158"/>
  <c r="X20" i="158"/>
  <c r="Q20" i="158"/>
  <c r="P20" i="158"/>
  <c r="H20" i="158"/>
  <c r="E20" i="158"/>
  <c r="I20" i="158" s="1"/>
  <c r="AE19" i="158"/>
  <c r="AI19" i="158" s="1"/>
  <c r="Y19" i="158" s="1"/>
  <c r="AD19" i="158"/>
  <c r="AC19" i="158"/>
  <c r="AB19" i="158"/>
  <c r="Z19" i="158"/>
  <c r="X19" i="158"/>
  <c r="Q19" i="158"/>
  <c r="P19" i="158"/>
  <c r="H19" i="158"/>
  <c r="E19" i="158"/>
  <c r="I19" i="158" s="1"/>
  <c r="AD18" i="158"/>
  <c r="AC18" i="158"/>
  <c r="AB18" i="158"/>
  <c r="AE18" i="158" s="1"/>
  <c r="AI18" i="158" s="1"/>
  <c r="Y18" i="158" s="1"/>
  <c r="Z18" i="158"/>
  <c r="X18" i="158"/>
  <c r="Q18" i="158"/>
  <c r="P18" i="158"/>
  <c r="H18" i="158"/>
  <c r="E18" i="158"/>
  <c r="I18" i="158" s="1"/>
  <c r="AD17" i="158"/>
  <c r="AC17" i="158"/>
  <c r="AE17" i="158" s="1"/>
  <c r="AI17" i="158" s="1"/>
  <c r="Y17" i="158" s="1"/>
  <c r="AB17" i="158"/>
  <c r="Z17" i="158"/>
  <c r="X17" i="158"/>
  <c r="Q17" i="158"/>
  <c r="P17" i="158"/>
  <c r="I17" i="158"/>
  <c r="H17" i="158"/>
  <c r="E17" i="158"/>
  <c r="AD16" i="158"/>
  <c r="AE16" i="158" s="1"/>
  <c r="AI16" i="158" s="1"/>
  <c r="Y16" i="158" s="1"/>
  <c r="AC16" i="158"/>
  <c r="AB16" i="158"/>
  <c r="Z16" i="158"/>
  <c r="X16" i="158"/>
  <c r="Q16" i="158"/>
  <c r="P16" i="158"/>
  <c r="I16" i="158"/>
  <c r="E16" i="158"/>
  <c r="AD15" i="158"/>
  <c r="AE15" i="158" s="1"/>
  <c r="AI15" i="158" s="1"/>
  <c r="Y15" i="158" s="1"/>
  <c r="AC15" i="158"/>
  <c r="AB15" i="158"/>
  <c r="Z15" i="158"/>
  <c r="X15" i="158"/>
  <c r="Q15" i="158"/>
  <c r="P15" i="158"/>
  <c r="I15" i="158"/>
  <c r="E15" i="158"/>
  <c r="AD14" i="158"/>
  <c r="AE14" i="158" s="1"/>
  <c r="AI14" i="158" s="1"/>
  <c r="Y14" i="158" s="1"/>
  <c r="AC14" i="158"/>
  <c r="AB14" i="158"/>
  <c r="Z14" i="158"/>
  <c r="X14" i="158"/>
  <c r="Q14" i="158"/>
  <c r="O75" i="158" s="1"/>
  <c r="P14" i="158"/>
  <c r="I14" i="158"/>
  <c r="H14" i="158"/>
  <c r="E14" i="158"/>
  <c r="AD13" i="158"/>
  <c r="AC13" i="158"/>
  <c r="AB13" i="158"/>
  <c r="AE13" i="158" s="1"/>
  <c r="AI13" i="158" s="1"/>
  <c r="Y13" i="158" s="1"/>
  <c r="Z13" i="158"/>
  <c r="X13" i="158"/>
  <c r="Q13" i="158"/>
  <c r="P13" i="158"/>
  <c r="H13" i="158"/>
  <c r="E13" i="158"/>
  <c r="I13" i="158" s="1"/>
  <c r="AD12" i="158"/>
  <c r="AC12" i="158"/>
  <c r="AB12" i="158"/>
  <c r="AE12" i="158" s="1"/>
  <c r="AI12" i="158" s="1"/>
  <c r="Y12" i="158" s="1"/>
  <c r="Z12" i="158"/>
  <c r="X12" i="158"/>
  <c r="Q12" i="158"/>
  <c r="P12" i="158"/>
  <c r="H12" i="158"/>
  <c r="E12" i="158"/>
  <c r="I12" i="158" s="1"/>
  <c r="T79" i="159" l="1"/>
  <c r="F77" i="159"/>
  <c r="O73" i="158"/>
  <c r="F73" i="158"/>
  <c r="T77" i="158"/>
  <c r="T73" i="158"/>
  <c r="F75" i="158"/>
  <c r="T75" i="158"/>
  <c r="Y42" i="158"/>
  <c r="P79" i="157"/>
  <c r="T79" i="158" l="1"/>
  <c r="F77" i="158" s="1"/>
  <c r="F42" i="157"/>
  <c r="F39" i="157"/>
  <c r="Z39" i="157" s="1"/>
  <c r="M79" i="157"/>
  <c r="W73" i="157"/>
  <c r="P71" i="157"/>
  <c r="H71" i="157"/>
  <c r="Q70" i="157"/>
  <c r="P70" i="157"/>
  <c r="I70" i="157"/>
  <c r="H70" i="157"/>
  <c r="E70" i="157"/>
  <c r="Q69" i="157"/>
  <c r="P69" i="157"/>
  <c r="I69" i="157"/>
  <c r="H69" i="157"/>
  <c r="E69" i="157"/>
  <c r="AD68" i="157"/>
  <c r="AC68" i="157"/>
  <c r="AB68" i="157"/>
  <c r="AE68" i="157" s="1"/>
  <c r="AI68" i="157" s="1"/>
  <c r="Y68" i="157" s="1"/>
  <c r="Z68" i="157"/>
  <c r="X68" i="157"/>
  <c r="W68" i="157"/>
  <c r="Q68" i="157"/>
  <c r="P68" i="157"/>
  <c r="H68" i="157"/>
  <c r="E68" i="157"/>
  <c r="I68" i="157" s="1"/>
  <c r="AD67" i="157"/>
  <c r="AC67" i="157"/>
  <c r="AB67" i="157"/>
  <c r="AE67" i="157" s="1"/>
  <c r="AI67" i="157" s="1"/>
  <c r="Y67" i="157" s="1"/>
  <c r="Z67" i="157"/>
  <c r="X67" i="157"/>
  <c r="Q67" i="157"/>
  <c r="P67" i="157"/>
  <c r="I67" i="157"/>
  <c r="H67" i="157"/>
  <c r="E67" i="157"/>
  <c r="AD66" i="157"/>
  <c r="AC66" i="157"/>
  <c r="AE66" i="157" s="1"/>
  <c r="AI66" i="157" s="1"/>
  <c r="Y66" i="157" s="1"/>
  <c r="AB66" i="157"/>
  <c r="Z66" i="157"/>
  <c r="X66" i="157"/>
  <c r="Q66" i="157"/>
  <c r="P66" i="157"/>
  <c r="H66" i="157"/>
  <c r="E66" i="157"/>
  <c r="I66" i="157" s="1"/>
  <c r="AD65" i="157"/>
  <c r="AC65" i="157"/>
  <c r="AE65" i="157" s="1"/>
  <c r="AI65" i="157" s="1"/>
  <c r="Y65" i="157" s="1"/>
  <c r="AB65" i="157"/>
  <c r="Z65" i="157"/>
  <c r="X65" i="157"/>
  <c r="Q65" i="157"/>
  <c r="P65" i="157"/>
  <c r="H65" i="157"/>
  <c r="E65" i="157"/>
  <c r="I65" i="157" s="1"/>
  <c r="AD64" i="157"/>
  <c r="AC64" i="157"/>
  <c r="AE64" i="157" s="1"/>
  <c r="AI64" i="157" s="1"/>
  <c r="Y64" i="157" s="1"/>
  <c r="AB64" i="157"/>
  <c r="Z64" i="157"/>
  <c r="X64" i="157"/>
  <c r="Q64" i="157"/>
  <c r="P64" i="157"/>
  <c r="H64" i="157"/>
  <c r="E64" i="157"/>
  <c r="I64" i="157" s="1"/>
  <c r="AD63" i="157"/>
  <c r="AE63" i="157" s="1"/>
  <c r="AI63" i="157" s="1"/>
  <c r="Y63" i="157" s="1"/>
  <c r="AC63" i="157"/>
  <c r="AB63" i="157"/>
  <c r="Z63" i="157"/>
  <c r="X63" i="157"/>
  <c r="Q63" i="157"/>
  <c r="P63" i="157"/>
  <c r="H63" i="157"/>
  <c r="E63" i="157"/>
  <c r="I63" i="157" s="1"/>
  <c r="AD62" i="157"/>
  <c r="AC62" i="157"/>
  <c r="AB62" i="157"/>
  <c r="AE62" i="157" s="1"/>
  <c r="AI62" i="157" s="1"/>
  <c r="Y62" i="157" s="1"/>
  <c r="Z62" i="157"/>
  <c r="X62" i="157"/>
  <c r="Q62" i="157"/>
  <c r="P62" i="157"/>
  <c r="H62" i="157"/>
  <c r="E62" i="157"/>
  <c r="I62" i="157" s="1"/>
  <c r="AC61" i="157"/>
  <c r="AE61" i="157" s="1"/>
  <c r="AI61" i="157" s="1"/>
  <c r="Y61" i="157" s="1"/>
  <c r="AB61" i="157"/>
  <c r="X61" i="157"/>
  <c r="Q61" i="157"/>
  <c r="P61" i="157"/>
  <c r="I61" i="157"/>
  <c r="H61" i="157"/>
  <c r="E61" i="157"/>
  <c r="AE60" i="157"/>
  <c r="AI60" i="157" s="1"/>
  <c r="Y60" i="157" s="1"/>
  <c r="X60" i="157"/>
  <c r="Q60" i="157"/>
  <c r="P60" i="157"/>
  <c r="I60" i="157"/>
  <c r="H60" i="157"/>
  <c r="E60" i="157"/>
  <c r="AC59" i="157"/>
  <c r="AB59" i="157"/>
  <c r="AE59" i="157" s="1"/>
  <c r="AI59" i="157" s="1"/>
  <c r="Y59" i="157" s="1"/>
  <c r="X59" i="157"/>
  <c r="Q59" i="157"/>
  <c r="P59" i="157"/>
  <c r="I59" i="157"/>
  <c r="H59" i="157"/>
  <c r="E59" i="157"/>
  <c r="AC58" i="157"/>
  <c r="AB58" i="157"/>
  <c r="AE58" i="157" s="1"/>
  <c r="AI58" i="157" s="1"/>
  <c r="Y58" i="157" s="1"/>
  <c r="X58" i="157"/>
  <c r="Q58" i="157"/>
  <c r="P58" i="157"/>
  <c r="E58" i="157"/>
  <c r="I58" i="157" s="1"/>
  <c r="AC57" i="157"/>
  <c r="AB57" i="157"/>
  <c r="AE57" i="157" s="1"/>
  <c r="AI57" i="157" s="1"/>
  <c r="Y57" i="157" s="1"/>
  <c r="X57" i="157"/>
  <c r="Q57" i="157"/>
  <c r="P57" i="157"/>
  <c r="I57" i="157"/>
  <c r="H57" i="157"/>
  <c r="E57" i="157"/>
  <c r="AD56" i="157"/>
  <c r="AC56" i="157"/>
  <c r="AB56" i="157"/>
  <c r="AE56" i="157" s="1"/>
  <c r="AI56" i="157" s="1"/>
  <c r="Y56" i="157" s="1"/>
  <c r="Z56" i="157"/>
  <c r="X56" i="157"/>
  <c r="Q56" i="157"/>
  <c r="P56" i="157"/>
  <c r="I56" i="157"/>
  <c r="H56" i="157"/>
  <c r="E56" i="157"/>
  <c r="AE55" i="157"/>
  <c r="AI55" i="157" s="1"/>
  <c r="Y55" i="157" s="1"/>
  <c r="AD55" i="157"/>
  <c r="AC55" i="157"/>
  <c r="AB55" i="157"/>
  <c r="Z55" i="157"/>
  <c r="X55" i="157"/>
  <c r="Q55" i="157"/>
  <c r="P55" i="157"/>
  <c r="I55" i="157"/>
  <c r="H55" i="157"/>
  <c r="E55" i="157"/>
  <c r="AD54" i="157"/>
  <c r="AC54" i="157"/>
  <c r="AB54" i="157"/>
  <c r="AE54" i="157" s="1"/>
  <c r="AI54" i="157" s="1"/>
  <c r="Y54" i="157" s="1"/>
  <c r="Z54" i="157"/>
  <c r="X54" i="157"/>
  <c r="Q54" i="157"/>
  <c r="P54" i="157"/>
  <c r="I54" i="157"/>
  <c r="H54" i="157"/>
  <c r="E54" i="157"/>
  <c r="AE53" i="157"/>
  <c r="AI53" i="157" s="1"/>
  <c r="Y53" i="157" s="1"/>
  <c r="AD53" i="157"/>
  <c r="AC53" i="157"/>
  <c r="AB53" i="157"/>
  <c r="Z53" i="157"/>
  <c r="X53" i="157"/>
  <c r="Q53" i="157"/>
  <c r="P53" i="157"/>
  <c r="H53" i="157"/>
  <c r="E53" i="157"/>
  <c r="I53" i="157" s="1"/>
  <c r="AI52" i="157"/>
  <c r="Y52" i="157" s="1"/>
  <c r="AE52" i="157"/>
  <c r="Z52" i="157"/>
  <c r="X52" i="157"/>
  <c r="Q52" i="157"/>
  <c r="P52" i="157"/>
  <c r="H52" i="157"/>
  <c r="E52" i="157"/>
  <c r="I52" i="157" s="1"/>
  <c r="AD51" i="157"/>
  <c r="AC51" i="157"/>
  <c r="AB51" i="157"/>
  <c r="AE51" i="157" s="1"/>
  <c r="AI51" i="157" s="1"/>
  <c r="Y51" i="157" s="1"/>
  <c r="Z51" i="157"/>
  <c r="X51" i="157"/>
  <c r="Q51" i="157"/>
  <c r="P51" i="157"/>
  <c r="I51" i="157"/>
  <c r="H51" i="157"/>
  <c r="E51" i="157"/>
  <c r="AD50" i="157"/>
  <c r="AC50" i="157"/>
  <c r="AB50" i="157"/>
  <c r="AE50" i="157" s="1"/>
  <c r="AI50" i="157" s="1"/>
  <c r="Y50" i="157" s="1"/>
  <c r="Z50" i="157"/>
  <c r="X50" i="157"/>
  <c r="Q50" i="157"/>
  <c r="P50" i="157"/>
  <c r="H50" i="157"/>
  <c r="E50" i="157"/>
  <c r="I50" i="157" s="1"/>
  <c r="AI49" i="157"/>
  <c r="Y49" i="157" s="1"/>
  <c r="AE49" i="157"/>
  <c r="Z49" i="157"/>
  <c r="X49" i="157"/>
  <c r="Q49" i="157"/>
  <c r="P49" i="157"/>
  <c r="H49" i="157"/>
  <c r="E49" i="157"/>
  <c r="I49" i="157" s="1"/>
  <c r="AE48" i="157"/>
  <c r="AI48" i="157" s="1"/>
  <c r="Y48" i="157" s="1"/>
  <c r="Z48" i="157"/>
  <c r="X48" i="157"/>
  <c r="Q48" i="157"/>
  <c r="P48" i="157"/>
  <c r="H48" i="157"/>
  <c r="E48" i="157"/>
  <c r="I48" i="157" s="1"/>
  <c r="AE47" i="157"/>
  <c r="AI47" i="157" s="1"/>
  <c r="Y47" i="157" s="1"/>
  <c r="Z47" i="157"/>
  <c r="X47" i="157"/>
  <c r="Q47" i="157"/>
  <c r="P47" i="157"/>
  <c r="I47" i="157"/>
  <c r="H47" i="157"/>
  <c r="E47" i="157"/>
  <c r="AD46" i="157"/>
  <c r="AC46" i="157"/>
  <c r="AB46" i="157"/>
  <c r="AE46" i="157" s="1"/>
  <c r="AI46" i="157" s="1"/>
  <c r="Y46" i="157" s="1"/>
  <c r="Z46" i="157"/>
  <c r="X46" i="157"/>
  <c r="Q46" i="157"/>
  <c r="P46" i="157"/>
  <c r="I46" i="157"/>
  <c r="H46" i="157"/>
  <c r="E46" i="157"/>
  <c r="AE45" i="157"/>
  <c r="AI45" i="157" s="1"/>
  <c r="Y45" i="157" s="1"/>
  <c r="AD45" i="157"/>
  <c r="AC45" i="157"/>
  <c r="AB45" i="157"/>
  <c r="Z45" i="157"/>
  <c r="X45" i="157"/>
  <c r="Q45" i="157"/>
  <c r="P45" i="157"/>
  <c r="I45" i="157"/>
  <c r="H45" i="157"/>
  <c r="E45" i="157"/>
  <c r="AD44" i="157"/>
  <c r="AC44" i="157"/>
  <c r="AB44" i="157"/>
  <c r="AE44" i="157" s="1"/>
  <c r="AI44" i="157" s="1"/>
  <c r="Y44" i="157" s="1"/>
  <c r="Z44" i="157"/>
  <c r="X44" i="157"/>
  <c r="Q44" i="157"/>
  <c r="P44" i="157"/>
  <c r="I44" i="157"/>
  <c r="H44" i="157"/>
  <c r="E44" i="157"/>
  <c r="AE43" i="157"/>
  <c r="AI43" i="157" s="1"/>
  <c r="Y43" i="157" s="1"/>
  <c r="AD43" i="157"/>
  <c r="AC43" i="157"/>
  <c r="AB43" i="157"/>
  <c r="Z43" i="157"/>
  <c r="X43" i="157"/>
  <c r="Q43" i="157"/>
  <c r="P43" i="157"/>
  <c r="I43" i="157"/>
  <c r="H43" i="157"/>
  <c r="E43" i="157"/>
  <c r="AD42" i="157"/>
  <c r="AC42" i="157"/>
  <c r="AB42" i="157"/>
  <c r="AE42" i="157" s="1"/>
  <c r="AI42" i="157" s="1"/>
  <c r="Y42" i="157" s="1"/>
  <c r="Z42" i="157"/>
  <c r="X42" i="157"/>
  <c r="Q42" i="157"/>
  <c r="P42" i="157"/>
  <c r="I42" i="157"/>
  <c r="H42" i="157"/>
  <c r="E42" i="157"/>
  <c r="AE41" i="157"/>
  <c r="AI41" i="157" s="1"/>
  <c r="Y41" i="157" s="1"/>
  <c r="AD41" i="157"/>
  <c r="AC41" i="157"/>
  <c r="AB41" i="157"/>
  <c r="Z41" i="157"/>
  <c r="X41" i="157"/>
  <c r="Q41" i="157"/>
  <c r="P41" i="157"/>
  <c r="H41" i="157"/>
  <c r="E41" i="157"/>
  <c r="I41" i="157" s="1"/>
  <c r="AD40" i="157"/>
  <c r="AC40" i="157"/>
  <c r="AB40" i="157"/>
  <c r="AE40" i="157" s="1"/>
  <c r="AI40" i="157" s="1"/>
  <c r="Y40" i="157" s="1"/>
  <c r="Z40" i="157"/>
  <c r="X40" i="157"/>
  <c r="Q40" i="157"/>
  <c r="P40" i="157"/>
  <c r="I40" i="157"/>
  <c r="H40" i="157"/>
  <c r="E40" i="157"/>
  <c r="AD39" i="157"/>
  <c r="AC39" i="157"/>
  <c r="AB39" i="157"/>
  <c r="AE39" i="157" s="1"/>
  <c r="AI39" i="157" s="1"/>
  <c r="Y39" i="157" s="1"/>
  <c r="Q39" i="157"/>
  <c r="P39" i="157"/>
  <c r="E39" i="157"/>
  <c r="I39" i="157" s="1"/>
  <c r="AD38" i="157"/>
  <c r="AC38" i="157"/>
  <c r="AB38" i="157"/>
  <c r="AE38" i="157" s="1"/>
  <c r="AI38" i="157" s="1"/>
  <c r="Y38" i="157" s="1"/>
  <c r="Z38" i="157"/>
  <c r="X38" i="157"/>
  <c r="Q38" i="157"/>
  <c r="P38" i="157"/>
  <c r="I38" i="157"/>
  <c r="H38" i="157"/>
  <c r="E38" i="157"/>
  <c r="AD37" i="157"/>
  <c r="AC37" i="157"/>
  <c r="AB37" i="157"/>
  <c r="AE37" i="157" s="1"/>
  <c r="AI37" i="157" s="1"/>
  <c r="Y37" i="157" s="1"/>
  <c r="Z37" i="157"/>
  <c r="X37" i="157"/>
  <c r="Q37" i="157"/>
  <c r="P37" i="157"/>
  <c r="H37" i="157"/>
  <c r="E37" i="157"/>
  <c r="I37" i="157" s="1"/>
  <c r="AD36" i="157"/>
  <c r="AC36" i="157"/>
  <c r="AE36" i="157" s="1"/>
  <c r="AI36" i="157" s="1"/>
  <c r="Y36" i="157" s="1"/>
  <c r="AB36" i="157"/>
  <c r="Z36" i="157"/>
  <c r="X36" i="157"/>
  <c r="Q36" i="157"/>
  <c r="P36" i="157"/>
  <c r="H36" i="157"/>
  <c r="E36" i="157"/>
  <c r="I36" i="157" s="1"/>
  <c r="AD35" i="157"/>
  <c r="AC35" i="157"/>
  <c r="AB35" i="157"/>
  <c r="AE35" i="157" s="1"/>
  <c r="AI35" i="157" s="1"/>
  <c r="Y35" i="157" s="1"/>
  <c r="Z35" i="157"/>
  <c r="X35" i="157"/>
  <c r="Q35" i="157"/>
  <c r="P35" i="157"/>
  <c r="H35" i="157"/>
  <c r="E35" i="157"/>
  <c r="I35" i="157" s="1"/>
  <c r="AD34" i="157"/>
  <c r="AE34" i="157" s="1"/>
  <c r="AI34" i="157" s="1"/>
  <c r="Y34" i="157" s="1"/>
  <c r="AC34" i="157"/>
  <c r="AB34" i="157"/>
  <c r="Z34" i="157"/>
  <c r="X34" i="157"/>
  <c r="Q34" i="157"/>
  <c r="P34" i="157"/>
  <c r="H34" i="157"/>
  <c r="E34" i="157"/>
  <c r="I34" i="157" s="1"/>
  <c r="AD33" i="157"/>
  <c r="AC33" i="157"/>
  <c r="AB33" i="157"/>
  <c r="AE33" i="157" s="1"/>
  <c r="AI33" i="157" s="1"/>
  <c r="Y33" i="157" s="1"/>
  <c r="Z33" i="157"/>
  <c r="X33" i="157"/>
  <c r="Q33" i="157"/>
  <c r="P33" i="157"/>
  <c r="H33" i="157"/>
  <c r="E33" i="157"/>
  <c r="I33" i="157" s="1"/>
  <c r="AD32" i="157"/>
  <c r="AE32" i="157" s="1"/>
  <c r="AI32" i="157" s="1"/>
  <c r="Y32" i="157" s="1"/>
  <c r="AC32" i="157"/>
  <c r="AB32" i="157"/>
  <c r="Z32" i="157"/>
  <c r="X32" i="157"/>
  <c r="Q32" i="157"/>
  <c r="P32" i="157"/>
  <c r="H32" i="157"/>
  <c r="E32" i="157"/>
  <c r="I32" i="157" s="1"/>
  <c r="AE31" i="157"/>
  <c r="AI31" i="157" s="1"/>
  <c r="Y31" i="157" s="1"/>
  <c r="Z31" i="157"/>
  <c r="X31" i="157"/>
  <c r="Q31" i="157"/>
  <c r="P31" i="157"/>
  <c r="I31" i="157"/>
  <c r="H31" i="157"/>
  <c r="E31" i="157"/>
  <c r="AE30" i="157"/>
  <c r="AI30" i="157" s="1"/>
  <c r="Y30" i="157" s="1"/>
  <c r="AD30" i="157"/>
  <c r="AC30" i="157"/>
  <c r="AB30" i="157"/>
  <c r="Z30" i="157"/>
  <c r="X30" i="157"/>
  <c r="Q30" i="157"/>
  <c r="P30" i="157"/>
  <c r="I30" i="157"/>
  <c r="H30" i="157"/>
  <c r="E30" i="157"/>
  <c r="AD29" i="157"/>
  <c r="AC29" i="157"/>
  <c r="AB29" i="157"/>
  <c r="AE29" i="157" s="1"/>
  <c r="AI29" i="157" s="1"/>
  <c r="Y29" i="157" s="1"/>
  <c r="Z29" i="157"/>
  <c r="X29" i="157"/>
  <c r="Q29" i="157"/>
  <c r="P29" i="157"/>
  <c r="I29" i="157"/>
  <c r="H29" i="157"/>
  <c r="E29" i="157"/>
  <c r="AE28" i="157"/>
  <c r="AI28" i="157" s="1"/>
  <c r="Y28" i="157" s="1"/>
  <c r="AD28" i="157"/>
  <c r="AC28" i="157"/>
  <c r="AB28" i="157"/>
  <c r="Z28" i="157"/>
  <c r="X28" i="157"/>
  <c r="Q28" i="157"/>
  <c r="P28" i="157"/>
  <c r="I28" i="157"/>
  <c r="H28" i="157"/>
  <c r="E28" i="157"/>
  <c r="AD27" i="157"/>
  <c r="AC27" i="157"/>
  <c r="AB27" i="157"/>
  <c r="AE27" i="157" s="1"/>
  <c r="AI27" i="157" s="1"/>
  <c r="Y27" i="157" s="1"/>
  <c r="Z27" i="157"/>
  <c r="X27" i="157"/>
  <c r="Q27" i="157"/>
  <c r="P27" i="157"/>
  <c r="I27" i="157"/>
  <c r="H27" i="157"/>
  <c r="E27" i="157"/>
  <c r="AE26" i="157"/>
  <c r="AI26" i="157" s="1"/>
  <c r="Y26" i="157" s="1"/>
  <c r="AD26" i="157"/>
  <c r="AC26" i="157"/>
  <c r="AB26" i="157"/>
  <c r="Z26" i="157"/>
  <c r="X26" i="157"/>
  <c r="Q26" i="157"/>
  <c r="P26" i="157"/>
  <c r="H26" i="157"/>
  <c r="E26" i="157"/>
  <c r="I26" i="157" s="1"/>
  <c r="AD25" i="157"/>
  <c r="AC25" i="157"/>
  <c r="AB25" i="157"/>
  <c r="AE25" i="157" s="1"/>
  <c r="AI25" i="157" s="1"/>
  <c r="Y25" i="157" s="1"/>
  <c r="Z25" i="157"/>
  <c r="X25" i="157"/>
  <c r="Q25" i="157"/>
  <c r="P25" i="157"/>
  <c r="I25" i="157"/>
  <c r="H25" i="157"/>
  <c r="E25" i="157"/>
  <c r="AD24" i="157"/>
  <c r="AC24" i="157"/>
  <c r="AB24" i="157"/>
  <c r="AE24" i="157" s="1"/>
  <c r="AI24" i="157" s="1"/>
  <c r="Y24" i="157" s="1"/>
  <c r="Z24" i="157"/>
  <c r="X24" i="157"/>
  <c r="Q24" i="157"/>
  <c r="P24" i="157"/>
  <c r="H24" i="157"/>
  <c r="E24" i="157"/>
  <c r="I24" i="157" s="1"/>
  <c r="AD23" i="157"/>
  <c r="AC23" i="157"/>
  <c r="AB23" i="157"/>
  <c r="AE23" i="157" s="1"/>
  <c r="AI23" i="157" s="1"/>
  <c r="Y23" i="157" s="1"/>
  <c r="Z23" i="157"/>
  <c r="X23" i="157"/>
  <c r="Q23" i="157"/>
  <c r="P23" i="157"/>
  <c r="I23" i="157"/>
  <c r="H23" i="157"/>
  <c r="E23" i="157"/>
  <c r="AD22" i="157"/>
  <c r="AC22" i="157"/>
  <c r="AB22" i="157"/>
  <c r="AE22" i="157" s="1"/>
  <c r="AI22" i="157" s="1"/>
  <c r="Y22" i="157" s="1"/>
  <c r="Z22" i="157"/>
  <c r="X22" i="157"/>
  <c r="Q22" i="157"/>
  <c r="P22" i="157"/>
  <c r="H22" i="157"/>
  <c r="E22" i="157"/>
  <c r="I22" i="157" s="1"/>
  <c r="AD21" i="157"/>
  <c r="AC21" i="157"/>
  <c r="AE21" i="157" s="1"/>
  <c r="AI21" i="157" s="1"/>
  <c r="Y21" i="157" s="1"/>
  <c r="AB21" i="157"/>
  <c r="Z21" i="157"/>
  <c r="X21" i="157"/>
  <c r="Q21" i="157"/>
  <c r="P21" i="157"/>
  <c r="H21" i="157"/>
  <c r="E21" i="157"/>
  <c r="I21" i="157" s="1"/>
  <c r="AD20" i="157"/>
  <c r="AC20" i="157"/>
  <c r="AB20" i="157"/>
  <c r="AE20" i="157" s="1"/>
  <c r="AI20" i="157" s="1"/>
  <c r="Y20" i="157" s="1"/>
  <c r="Z20" i="157"/>
  <c r="X20" i="157"/>
  <c r="Q20" i="157"/>
  <c r="P20" i="157"/>
  <c r="H20" i="157"/>
  <c r="E20" i="157"/>
  <c r="I20" i="157" s="1"/>
  <c r="AD19" i="157"/>
  <c r="AE19" i="157" s="1"/>
  <c r="AI19" i="157" s="1"/>
  <c r="Y19" i="157" s="1"/>
  <c r="AC19" i="157"/>
  <c r="AB19" i="157"/>
  <c r="Z19" i="157"/>
  <c r="X19" i="157"/>
  <c r="Q19" i="157"/>
  <c r="P19" i="157"/>
  <c r="H19" i="157"/>
  <c r="E19" i="157"/>
  <c r="I19" i="157" s="1"/>
  <c r="AD18" i="157"/>
  <c r="AC18" i="157"/>
  <c r="AB18" i="157"/>
  <c r="AE18" i="157" s="1"/>
  <c r="AI18" i="157" s="1"/>
  <c r="Y18" i="157" s="1"/>
  <c r="Z18" i="157"/>
  <c r="X18" i="157"/>
  <c r="Q18" i="157"/>
  <c r="P18" i="157"/>
  <c r="H18" i="157"/>
  <c r="E18" i="157"/>
  <c r="I18" i="157" s="1"/>
  <c r="AD17" i="157"/>
  <c r="AE17" i="157" s="1"/>
  <c r="AI17" i="157" s="1"/>
  <c r="Y17" i="157" s="1"/>
  <c r="AC17" i="157"/>
  <c r="AB17" i="157"/>
  <c r="Z17" i="157"/>
  <c r="X17" i="157"/>
  <c r="Q17" i="157"/>
  <c r="P17" i="157"/>
  <c r="H17" i="157"/>
  <c r="E17" i="157"/>
  <c r="I17" i="157" s="1"/>
  <c r="AE16" i="157"/>
  <c r="AI16" i="157" s="1"/>
  <c r="Y16" i="157" s="1"/>
  <c r="AD16" i="157"/>
  <c r="AC16" i="157"/>
  <c r="AB16" i="157"/>
  <c r="Z16" i="157"/>
  <c r="X16" i="157"/>
  <c r="Q16" i="157"/>
  <c r="P16" i="157"/>
  <c r="E16" i="157"/>
  <c r="I16" i="157" s="1"/>
  <c r="AD15" i="157"/>
  <c r="AC15" i="157"/>
  <c r="AB15" i="157"/>
  <c r="AE15" i="157" s="1"/>
  <c r="AI15" i="157" s="1"/>
  <c r="Y15" i="157" s="1"/>
  <c r="Z15" i="157"/>
  <c r="X15" i="157"/>
  <c r="Q15" i="157"/>
  <c r="P15" i="157"/>
  <c r="E15" i="157"/>
  <c r="I15" i="157" s="1"/>
  <c r="AD14" i="157"/>
  <c r="AC14" i="157"/>
  <c r="AB14" i="157"/>
  <c r="AE14" i="157" s="1"/>
  <c r="AI14" i="157" s="1"/>
  <c r="Y14" i="157" s="1"/>
  <c r="Z14" i="157"/>
  <c r="X14" i="157"/>
  <c r="Q14" i="157"/>
  <c r="O75" i="157" s="1"/>
  <c r="P14" i="157"/>
  <c r="H14" i="157"/>
  <c r="E14" i="157"/>
  <c r="I14" i="157" s="1"/>
  <c r="AD13" i="157"/>
  <c r="AC13" i="157"/>
  <c r="AB13" i="157"/>
  <c r="AE13" i="157" s="1"/>
  <c r="AI13" i="157" s="1"/>
  <c r="Y13" i="157" s="1"/>
  <c r="Z13" i="157"/>
  <c r="X13" i="157"/>
  <c r="Q13" i="157"/>
  <c r="P13" i="157"/>
  <c r="I13" i="157"/>
  <c r="H13" i="157"/>
  <c r="E13" i="157"/>
  <c r="AD12" i="157"/>
  <c r="AC12" i="157"/>
  <c r="AE12" i="157" s="1"/>
  <c r="AI12" i="157" s="1"/>
  <c r="Y12" i="157" s="1"/>
  <c r="AB12" i="157"/>
  <c r="Z12" i="157"/>
  <c r="X12" i="157"/>
  <c r="Q12" i="157"/>
  <c r="P12" i="157"/>
  <c r="H12" i="157"/>
  <c r="E12" i="157"/>
  <c r="I12" i="157" s="1"/>
  <c r="M79" i="156"/>
  <c r="W73" i="156"/>
  <c r="P71" i="156"/>
  <c r="H71" i="156"/>
  <c r="Q70" i="156"/>
  <c r="P70" i="156"/>
  <c r="H70" i="156"/>
  <c r="E70" i="156"/>
  <c r="I70" i="156" s="1"/>
  <c r="Q69" i="156"/>
  <c r="P69" i="156"/>
  <c r="H69" i="156"/>
  <c r="E69" i="156"/>
  <c r="I69" i="156" s="1"/>
  <c r="AD68" i="156"/>
  <c r="AC68" i="156"/>
  <c r="AB68" i="156"/>
  <c r="AE68" i="156" s="1"/>
  <c r="AI68" i="156" s="1"/>
  <c r="Y68" i="156" s="1"/>
  <c r="Z68" i="156"/>
  <c r="X68" i="156"/>
  <c r="W68" i="156"/>
  <c r="Q68" i="156"/>
  <c r="P68" i="156"/>
  <c r="I68" i="156"/>
  <c r="H68" i="156"/>
  <c r="E68" i="156"/>
  <c r="AI67" i="156"/>
  <c r="Y67" i="156" s="1"/>
  <c r="AE67" i="156"/>
  <c r="AD67" i="156"/>
  <c r="AC67" i="156"/>
  <c r="AB67" i="156"/>
  <c r="Z67" i="156"/>
  <c r="X67" i="156"/>
  <c r="Q67" i="156"/>
  <c r="P67" i="156"/>
  <c r="H67" i="156"/>
  <c r="E67" i="156"/>
  <c r="I67" i="156" s="1"/>
  <c r="AD66" i="156"/>
  <c r="AC66" i="156"/>
  <c r="AE66" i="156" s="1"/>
  <c r="AI66" i="156" s="1"/>
  <c r="Y66" i="156" s="1"/>
  <c r="AB66" i="156"/>
  <c r="Z66" i="156"/>
  <c r="X66" i="156"/>
  <c r="Q66" i="156"/>
  <c r="P66" i="156"/>
  <c r="I66" i="156"/>
  <c r="H66" i="156"/>
  <c r="E66" i="156"/>
  <c r="AE65" i="156"/>
  <c r="AI65" i="156" s="1"/>
  <c r="Y65" i="156" s="1"/>
  <c r="AD65" i="156"/>
  <c r="AC65" i="156"/>
  <c r="AB65" i="156"/>
  <c r="Z65" i="156"/>
  <c r="X65" i="156"/>
  <c r="Q65" i="156"/>
  <c r="P65" i="156"/>
  <c r="H65" i="156"/>
  <c r="E65" i="156"/>
  <c r="I65" i="156" s="1"/>
  <c r="AD64" i="156"/>
  <c r="AC64" i="156"/>
  <c r="AB64" i="156"/>
  <c r="AE64" i="156" s="1"/>
  <c r="AI64" i="156" s="1"/>
  <c r="Y64" i="156" s="1"/>
  <c r="Z64" i="156"/>
  <c r="X64" i="156"/>
  <c r="Q64" i="156"/>
  <c r="P64" i="156"/>
  <c r="H64" i="156"/>
  <c r="E64" i="156"/>
  <c r="I64" i="156" s="1"/>
  <c r="AD63" i="156"/>
  <c r="AC63" i="156"/>
  <c r="AE63" i="156" s="1"/>
  <c r="AI63" i="156" s="1"/>
  <c r="Y63" i="156" s="1"/>
  <c r="AB63" i="156"/>
  <c r="Z63" i="156"/>
  <c r="X63" i="156"/>
  <c r="Q63" i="156"/>
  <c r="P63" i="156"/>
  <c r="H63" i="156"/>
  <c r="E63" i="156"/>
  <c r="I63" i="156" s="1"/>
  <c r="AE62" i="156"/>
  <c r="AI62" i="156" s="1"/>
  <c r="Y62" i="156" s="1"/>
  <c r="AD62" i="156"/>
  <c r="AC62" i="156"/>
  <c r="AB62" i="156"/>
  <c r="Z62" i="156"/>
  <c r="X62" i="156"/>
  <c r="Q62" i="156"/>
  <c r="P62" i="156"/>
  <c r="H62" i="156"/>
  <c r="E62" i="156"/>
  <c r="I62" i="156" s="1"/>
  <c r="AC61" i="156"/>
  <c r="AE61" i="156" s="1"/>
  <c r="AI61" i="156" s="1"/>
  <c r="Y61" i="156" s="1"/>
  <c r="AB61" i="156"/>
  <c r="X61" i="156"/>
  <c r="Q61" i="156"/>
  <c r="P61" i="156"/>
  <c r="I61" i="156"/>
  <c r="H61" i="156"/>
  <c r="E61" i="156"/>
  <c r="AI60" i="156"/>
  <c r="AE60" i="156"/>
  <c r="Y60" i="156"/>
  <c r="X60" i="156"/>
  <c r="Q60" i="156"/>
  <c r="P60" i="156"/>
  <c r="I60" i="156"/>
  <c r="H60" i="156"/>
  <c r="E60" i="156"/>
  <c r="AC59" i="156"/>
  <c r="AB59" i="156"/>
  <c r="AE59" i="156" s="1"/>
  <c r="AI59" i="156" s="1"/>
  <c r="Y59" i="156" s="1"/>
  <c r="X59" i="156"/>
  <c r="Q59" i="156"/>
  <c r="P59" i="156"/>
  <c r="H59" i="156"/>
  <c r="E59" i="156"/>
  <c r="I59" i="156" s="1"/>
  <c r="AC58" i="156"/>
  <c r="AB58" i="156"/>
  <c r="AE58" i="156" s="1"/>
  <c r="AI58" i="156" s="1"/>
  <c r="Y58" i="156" s="1"/>
  <c r="X58" i="156"/>
  <c r="Q58" i="156"/>
  <c r="P58" i="156"/>
  <c r="I58" i="156"/>
  <c r="E58" i="156"/>
  <c r="AC57" i="156"/>
  <c r="AB57" i="156"/>
  <c r="AE57" i="156" s="1"/>
  <c r="AI57" i="156" s="1"/>
  <c r="Y57" i="156" s="1"/>
  <c r="X57" i="156"/>
  <c r="Q57" i="156"/>
  <c r="P57" i="156"/>
  <c r="I57" i="156"/>
  <c r="H57" i="156"/>
  <c r="E57" i="156"/>
  <c r="AD56" i="156"/>
  <c r="AC56" i="156"/>
  <c r="AE56" i="156" s="1"/>
  <c r="AI56" i="156" s="1"/>
  <c r="Y56" i="156" s="1"/>
  <c r="AB56" i="156"/>
  <c r="Z56" i="156"/>
  <c r="X56" i="156"/>
  <c r="Q56" i="156"/>
  <c r="P56" i="156"/>
  <c r="H56" i="156"/>
  <c r="E56" i="156"/>
  <c r="I56" i="156" s="1"/>
  <c r="AE55" i="156"/>
  <c r="AI55" i="156" s="1"/>
  <c r="Y55" i="156" s="1"/>
  <c r="AD55" i="156"/>
  <c r="AC55" i="156"/>
  <c r="AB55" i="156"/>
  <c r="Z55" i="156"/>
  <c r="X55" i="156"/>
  <c r="Q55" i="156"/>
  <c r="P55" i="156"/>
  <c r="H55" i="156"/>
  <c r="E55" i="156"/>
  <c r="I55" i="156" s="1"/>
  <c r="AE54" i="156"/>
  <c r="AI54" i="156" s="1"/>
  <c r="Y54" i="156" s="1"/>
  <c r="AD54" i="156"/>
  <c r="AC54" i="156"/>
  <c r="AB54" i="156"/>
  <c r="Z54" i="156"/>
  <c r="X54" i="156"/>
  <c r="Q54" i="156"/>
  <c r="P54" i="156"/>
  <c r="I54" i="156"/>
  <c r="H54" i="156"/>
  <c r="E54" i="156"/>
  <c r="AD53" i="156"/>
  <c r="AC53" i="156"/>
  <c r="AB53" i="156"/>
  <c r="AE53" i="156" s="1"/>
  <c r="AI53" i="156" s="1"/>
  <c r="Y53" i="156" s="1"/>
  <c r="Z53" i="156"/>
  <c r="X53" i="156"/>
  <c r="Q53" i="156"/>
  <c r="P53" i="156"/>
  <c r="H53" i="156"/>
  <c r="E53" i="156"/>
  <c r="I53" i="156" s="1"/>
  <c r="AE52" i="156"/>
  <c r="AI52" i="156" s="1"/>
  <c r="Y52" i="156" s="1"/>
  <c r="Z52" i="156"/>
  <c r="X52" i="156"/>
  <c r="Q52" i="156"/>
  <c r="P52" i="156"/>
  <c r="I52" i="156"/>
  <c r="H52" i="156"/>
  <c r="E52" i="156"/>
  <c r="AD51" i="156"/>
  <c r="AC51" i="156"/>
  <c r="AB51" i="156"/>
  <c r="AE51" i="156" s="1"/>
  <c r="AI51" i="156" s="1"/>
  <c r="Y51" i="156" s="1"/>
  <c r="Z51" i="156"/>
  <c r="X51" i="156"/>
  <c r="Q51" i="156"/>
  <c r="P51" i="156"/>
  <c r="H51" i="156"/>
  <c r="E51" i="156"/>
  <c r="I51" i="156" s="1"/>
  <c r="AD50" i="156"/>
  <c r="AC50" i="156"/>
  <c r="AE50" i="156" s="1"/>
  <c r="AI50" i="156" s="1"/>
  <c r="Y50" i="156" s="1"/>
  <c r="AB50" i="156"/>
  <c r="Z50" i="156"/>
  <c r="X50" i="156"/>
  <c r="Q50" i="156"/>
  <c r="P50" i="156"/>
  <c r="H50" i="156"/>
  <c r="E50" i="156"/>
  <c r="I50" i="156" s="1"/>
  <c r="AE49" i="156"/>
  <c r="AI49" i="156" s="1"/>
  <c r="Y49" i="156" s="1"/>
  <c r="Z49" i="156"/>
  <c r="X49" i="156"/>
  <c r="Q49" i="156"/>
  <c r="P49" i="156"/>
  <c r="H49" i="156"/>
  <c r="E49" i="156"/>
  <c r="I49" i="156" s="1"/>
  <c r="AE48" i="156"/>
  <c r="AI48" i="156" s="1"/>
  <c r="Y48" i="156" s="1"/>
  <c r="Z48" i="156"/>
  <c r="X48" i="156"/>
  <c r="Q48" i="156"/>
  <c r="P48" i="156"/>
  <c r="H48" i="156"/>
  <c r="E48" i="156"/>
  <c r="I48" i="156" s="1"/>
  <c r="AI47" i="156"/>
  <c r="Y47" i="156" s="1"/>
  <c r="AE47" i="156"/>
  <c r="Z47" i="156"/>
  <c r="X47" i="156"/>
  <c r="Q47" i="156"/>
  <c r="P47" i="156"/>
  <c r="H47" i="156"/>
  <c r="E47" i="156"/>
  <c r="I47" i="156" s="1"/>
  <c r="AD46" i="156"/>
  <c r="AC46" i="156"/>
  <c r="AB46" i="156"/>
  <c r="AE46" i="156" s="1"/>
  <c r="AI46" i="156" s="1"/>
  <c r="Y46" i="156" s="1"/>
  <c r="Z46" i="156"/>
  <c r="X46" i="156"/>
  <c r="Q46" i="156"/>
  <c r="P46" i="156"/>
  <c r="I46" i="156"/>
  <c r="H46" i="156"/>
  <c r="E46" i="156"/>
  <c r="AE45" i="156"/>
  <c r="AI45" i="156" s="1"/>
  <c r="Y45" i="156" s="1"/>
  <c r="AD45" i="156"/>
  <c r="AC45" i="156"/>
  <c r="AB45" i="156"/>
  <c r="Z45" i="156"/>
  <c r="X45" i="156"/>
  <c r="Q45" i="156"/>
  <c r="P45" i="156"/>
  <c r="I45" i="156"/>
  <c r="H45" i="156"/>
  <c r="E45" i="156"/>
  <c r="AD44" i="156"/>
  <c r="AC44" i="156"/>
  <c r="AB44" i="156"/>
  <c r="AE44" i="156" s="1"/>
  <c r="AI44" i="156" s="1"/>
  <c r="Y44" i="156" s="1"/>
  <c r="Z44" i="156"/>
  <c r="X44" i="156"/>
  <c r="Q44" i="156"/>
  <c r="P44" i="156"/>
  <c r="H44" i="156"/>
  <c r="E44" i="156"/>
  <c r="I44" i="156" s="1"/>
  <c r="AE43" i="156"/>
  <c r="AI43" i="156" s="1"/>
  <c r="Y43" i="156" s="1"/>
  <c r="AD43" i="156"/>
  <c r="AC43" i="156"/>
  <c r="AB43" i="156"/>
  <c r="Z43" i="156"/>
  <c r="X43" i="156"/>
  <c r="Q43" i="156"/>
  <c r="P43" i="156"/>
  <c r="H43" i="156"/>
  <c r="E43" i="156"/>
  <c r="I43" i="156" s="1"/>
  <c r="AE42" i="156"/>
  <c r="AI42" i="156" s="1"/>
  <c r="Y42" i="156" s="1"/>
  <c r="AD42" i="156"/>
  <c r="AC42" i="156"/>
  <c r="AB42" i="156"/>
  <c r="Z42" i="156"/>
  <c r="X42" i="156"/>
  <c r="Q42" i="156"/>
  <c r="P42" i="156"/>
  <c r="I42" i="156"/>
  <c r="H42" i="156"/>
  <c r="E42" i="156"/>
  <c r="AD41" i="156"/>
  <c r="AC41" i="156"/>
  <c r="AB41" i="156"/>
  <c r="AE41" i="156" s="1"/>
  <c r="AI41" i="156" s="1"/>
  <c r="Y41" i="156" s="1"/>
  <c r="Z41" i="156"/>
  <c r="X41" i="156"/>
  <c r="Q41" i="156"/>
  <c r="P41" i="156"/>
  <c r="H41" i="156"/>
  <c r="E41" i="156"/>
  <c r="I41" i="156" s="1"/>
  <c r="AE40" i="156"/>
  <c r="AI40" i="156" s="1"/>
  <c r="Y40" i="156" s="1"/>
  <c r="AD40" i="156"/>
  <c r="AC40" i="156"/>
  <c r="AB40" i="156"/>
  <c r="Z40" i="156"/>
  <c r="X40" i="156"/>
  <c r="Q40" i="156"/>
  <c r="P40" i="156"/>
  <c r="I40" i="156"/>
  <c r="H40" i="156"/>
  <c r="E40" i="156"/>
  <c r="AD39" i="156"/>
  <c r="AC39" i="156"/>
  <c r="AB39" i="156"/>
  <c r="AE39" i="156" s="1"/>
  <c r="AI39" i="156" s="1"/>
  <c r="Y39" i="156" s="1"/>
  <c r="Z39" i="156"/>
  <c r="X39" i="156"/>
  <c r="Q39" i="156"/>
  <c r="P39" i="156"/>
  <c r="I39" i="156"/>
  <c r="H39" i="156"/>
  <c r="E39" i="156"/>
  <c r="AD38" i="156"/>
  <c r="AC38" i="156"/>
  <c r="AB38" i="156"/>
  <c r="AE38" i="156" s="1"/>
  <c r="AI38" i="156" s="1"/>
  <c r="Y38" i="156" s="1"/>
  <c r="Z38" i="156"/>
  <c r="X38" i="156"/>
  <c r="Q38" i="156"/>
  <c r="P38" i="156"/>
  <c r="H38" i="156"/>
  <c r="E38" i="156"/>
  <c r="I38" i="156" s="1"/>
  <c r="AD37" i="156"/>
  <c r="AC37" i="156"/>
  <c r="AE37" i="156" s="1"/>
  <c r="AI37" i="156" s="1"/>
  <c r="Y37" i="156" s="1"/>
  <c r="AB37" i="156"/>
  <c r="Z37" i="156"/>
  <c r="X37" i="156"/>
  <c r="Q37" i="156"/>
  <c r="P37" i="156"/>
  <c r="I37" i="156"/>
  <c r="H37" i="156"/>
  <c r="E37" i="156"/>
  <c r="AD36" i="156"/>
  <c r="AC36" i="156"/>
  <c r="AE36" i="156" s="1"/>
  <c r="AI36" i="156" s="1"/>
  <c r="Y36" i="156" s="1"/>
  <c r="AB36" i="156"/>
  <c r="Z36" i="156"/>
  <c r="X36" i="156"/>
  <c r="Q36" i="156"/>
  <c r="P36" i="156"/>
  <c r="H36" i="156"/>
  <c r="E36" i="156"/>
  <c r="I36" i="156" s="1"/>
  <c r="AD35" i="156"/>
  <c r="AC35" i="156"/>
  <c r="AB35" i="156"/>
  <c r="AE35" i="156" s="1"/>
  <c r="AI35" i="156" s="1"/>
  <c r="Y35" i="156" s="1"/>
  <c r="Z35" i="156"/>
  <c r="X35" i="156"/>
  <c r="Q35" i="156"/>
  <c r="P35" i="156"/>
  <c r="H35" i="156"/>
  <c r="E35" i="156"/>
  <c r="I35" i="156" s="1"/>
  <c r="AE34" i="156"/>
  <c r="AI34" i="156" s="1"/>
  <c r="Y34" i="156" s="1"/>
  <c r="AD34" i="156"/>
  <c r="AC34" i="156"/>
  <c r="AB34" i="156"/>
  <c r="Z34" i="156"/>
  <c r="X34" i="156"/>
  <c r="Q34" i="156"/>
  <c r="P34" i="156"/>
  <c r="H34" i="156"/>
  <c r="E34" i="156"/>
  <c r="I34" i="156" s="1"/>
  <c r="AE33" i="156"/>
  <c r="AI33" i="156" s="1"/>
  <c r="Y33" i="156" s="1"/>
  <c r="AD33" i="156"/>
  <c r="AC33" i="156"/>
  <c r="AB33" i="156"/>
  <c r="Z33" i="156"/>
  <c r="X33" i="156"/>
  <c r="Q33" i="156"/>
  <c r="P33" i="156"/>
  <c r="H33" i="156"/>
  <c r="E33" i="156"/>
  <c r="I33" i="156" s="1"/>
  <c r="AD32" i="156"/>
  <c r="AC32" i="156"/>
  <c r="AB32" i="156"/>
  <c r="AE32" i="156" s="1"/>
  <c r="AI32" i="156" s="1"/>
  <c r="Y32" i="156" s="1"/>
  <c r="Z32" i="156"/>
  <c r="X32" i="156"/>
  <c r="Q32" i="156"/>
  <c r="P32" i="156"/>
  <c r="H32" i="156"/>
  <c r="E32" i="156"/>
  <c r="I32" i="156" s="1"/>
  <c r="AE31" i="156"/>
  <c r="AI31" i="156" s="1"/>
  <c r="Y31" i="156" s="1"/>
  <c r="Z31" i="156"/>
  <c r="X31" i="156"/>
  <c r="Q31" i="156"/>
  <c r="P31" i="156"/>
  <c r="I31" i="156"/>
  <c r="H31" i="156"/>
  <c r="E31" i="156"/>
  <c r="AD30" i="156"/>
  <c r="AE30" i="156" s="1"/>
  <c r="AI30" i="156" s="1"/>
  <c r="Y30" i="156" s="1"/>
  <c r="AC30" i="156"/>
  <c r="AB30" i="156"/>
  <c r="Z30" i="156"/>
  <c r="X30" i="156"/>
  <c r="Q30" i="156"/>
  <c r="P30" i="156"/>
  <c r="I30" i="156"/>
  <c r="H30" i="156"/>
  <c r="E30" i="156"/>
  <c r="AD29" i="156"/>
  <c r="AC29" i="156"/>
  <c r="AB29" i="156"/>
  <c r="AE29" i="156" s="1"/>
  <c r="AI29" i="156" s="1"/>
  <c r="Y29" i="156" s="1"/>
  <c r="Z29" i="156"/>
  <c r="X29" i="156"/>
  <c r="Q29" i="156"/>
  <c r="P29" i="156"/>
  <c r="I29" i="156"/>
  <c r="H29" i="156"/>
  <c r="E29" i="156"/>
  <c r="AE28" i="156"/>
  <c r="AI28" i="156" s="1"/>
  <c r="Y28" i="156" s="1"/>
  <c r="AD28" i="156"/>
  <c r="AC28" i="156"/>
  <c r="AB28" i="156"/>
  <c r="Z28" i="156"/>
  <c r="X28" i="156"/>
  <c r="Q28" i="156"/>
  <c r="P28" i="156"/>
  <c r="H28" i="156"/>
  <c r="E28" i="156"/>
  <c r="I28" i="156" s="1"/>
  <c r="AE27" i="156"/>
  <c r="AI27" i="156" s="1"/>
  <c r="Y27" i="156" s="1"/>
  <c r="AD27" i="156"/>
  <c r="AC27" i="156"/>
  <c r="AB27" i="156"/>
  <c r="Z27" i="156"/>
  <c r="X27" i="156"/>
  <c r="Q27" i="156"/>
  <c r="P27" i="156"/>
  <c r="I27" i="156"/>
  <c r="H27" i="156"/>
  <c r="E27" i="156"/>
  <c r="AD26" i="156"/>
  <c r="AC26" i="156"/>
  <c r="AB26" i="156"/>
  <c r="AE26" i="156" s="1"/>
  <c r="AI26" i="156" s="1"/>
  <c r="Y26" i="156" s="1"/>
  <c r="Z26" i="156"/>
  <c r="X26" i="156"/>
  <c r="Q26" i="156"/>
  <c r="P26" i="156"/>
  <c r="H26" i="156"/>
  <c r="E26" i="156"/>
  <c r="I26" i="156" s="1"/>
  <c r="AE25" i="156"/>
  <c r="AI25" i="156" s="1"/>
  <c r="Y25" i="156" s="1"/>
  <c r="AD25" i="156"/>
  <c r="AC25" i="156"/>
  <c r="AB25" i="156"/>
  <c r="Z25" i="156"/>
  <c r="X25" i="156"/>
  <c r="Q25" i="156"/>
  <c r="P25" i="156"/>
  <c r="I25" i="156"/>
  <c r="H25" i="156"/>
  <c r="E25" i="156"/>
  <c r="AD24" i="156"/>
  <c r="AC24" i="156"/>
  <c r="AB24" i="156"/>
  <c r="AE24" i="156" s="1"/>
  <c r="AI24" i="156" s="1"/>
  <c r="Y24" i="156" s="1"/>
  <c r="Z24" i="156"/>
  <c r="X24" i="156"/>
  <c r="Q24" i="156"/>
  <c r="P24" i="156"/>
  <c r="I24" i="156"/>
  <c r="H24" i="156"/>
  <c r="E24" i="156"/>
  <c r="AD23" i="156"/>
  <c r="AC23" i="156"/>
  <c r="AB23" i="156"/>
  <c r="AE23" i="156" s="1"/>
  <c r="AI23" i="156" s="1"/>
  <c r="Y23" i="156" s="1"/>
  <c r="Z23" i="156"/>
  <c r="X23" i="156"/>
  <c r="Q23" i="156"/>
  <c r="P23" i="156"/>
  <c r="H23" i="156"/>
  <c r="E23" i="156"/>
  <c r="I23" i="156" s="1"/>
  <c r="AD22" i="156"/>
  <c r="AC22" i="156"/>
  <c r="AE22" i="156" s="1"/>
  <c r="AI22" i="156" s="1"/>
  <c r="Y22" i="156" s="1"/>
  <c r="AB22" i="156"/>
  <c r="Z22" i="156"/>
  <c r="X22" i="156"/>
  <c r="Q22" i="156"/>
  <c r="P22" i="156"/>
  <c r="I22" i="156"/>
  <c r="H22" i="156"/>
  <c r="E22" i="156"/>
  <c r="AD21" i="156"/>
  <c r="AC21" i="156"/>
  <c r="AB21" i="156"/>
  <c r="AE21" i="156" s="1"/>
  <c r="AI21" i="156" s="1"/>
  <c r="Y21" i="156" s="1"/>
  <c r="Z21" i="156"/>
  <c r="X21" i="156"/>
  <c r="Q21" i="156"/>
  <c r="P21" i="156"/>
  <c r="H21" i="156"/>
  <c r="E21" i="156"/>
  <c r="I21" i="156" s="1"/>
  <c r="AD20" i="156"/>
  <c r="AC20" i="156"/>
  <c r="AB20" i="156"/>
  <c r="AE20" i="156" s="1"/>
  <c r="AI20" i="156" s="1"/>
  <c r="Y20" i="156" s="1"/>
  <c r="Z20" i="156"/>
  <c r="X20" i="156"/>
  <c r="Q20" i="156"/>
  <c r="P20" i="156"/>
  <c r="H20" i="156"/>
  <c r="E20" i="156"/>
  <c r="I20" i="156" s="1"/>
  <c r="AD19" i="156"/>
  <c r="AC19" i="156"/>
  <c r="AE19" i="156" s="1"/>
  <c r="AI19" i="156" s="1"/>
  <c r="Y19" i="156" s="1"/>
  <c r="AB19" i="156"/>
  <c r="Z19" i="156"/>
  <c r="X19" i="156"/>
  <c r="Q19" i="156"/>
  <c r="P19" i="156"/>
  <c r="H19" i="156"/>
  <c r="E19" i="156"/>
  <c r="I19" i="156" s="1"/>
  <c r="AD18" i="156"/>
  <c r="AC18" i="156"/>
  <c r="AB18" i="156"/>
  <c r="AE18" i="156" s="1"/>
  <c r="AI18" i="156" s="1"/>
  <c r="Y18" i="156" s="1"/>
  <c r="Z18" i="156"/>
  <c r="X18" i="156"/>
  <c r="Q18" i="156"/>
  <c r="P18" i="156"/>
  <c r="H18" i="156"/>
  <c r="E18" i="156"/>
  <c r="I18" i="156" s="1"/>
  <c r="AD17" i="156"/>
  <c r="AE17" i="156" s="1"/>
  <c r="AI17" i="156" s="1"/>
  <c r="Y17" i="156" s="1"/>
  <c r="AC17" i="156"/>
  <c r="AB17" i="156"/>
  <c r="Z17" i="156"/>
  <c r="X17" i="156"/>
  <c r="Q17" i="156"/>
  <c r="P17" i="156"/>
  <c r="H17" i="156"/>
  <c r="E17" i="156"/>
  <c r="I17" i="156" s="1"/>
  <c r="AD16" i="156"/>
  <c r="AE16" i="156" s="1"/>
  <c r="AI16" i="156" s="1"/>
  <c r="Y16" i="156" s="1"/>
  <c r="AC16" i="156"/>
  <c r="AB16" i="156"/>
  <c r="Z16" i="156"/>
  <c r="X16" i="156"/>
  <c r="Q16" i="156"/>
  <c r="P16" i="156"/>
  <c r="E16" i="156"/>
  <c r="I16" i="156" s="1"/>
  <c r="AD15" i="156"/>
  <c r="AC15" i="156"/>
  <c r="AB15" i="156"/>
  <c r="AE15" i="156" s="1"/>
  <c r="AI15" i="156" s="1"/>
  <c r="Y15" i="156" s="1"/>
  <c r="Z15" i="156"/>
  <c r="X15" i="156"/>
  <c r="Q15" i="156"/>
  <c r="P15" i="156"/>
  <c r="E15" i="156"/>
  <c r="I15" i="156" s="1"/>
  <c r="AD14" i="156"/>
  <c r="AC14" i="156"/>
  <c r="AB14" i="156"/>
  <c r="AE14" i="156" s="1"/>
  <c r="AI14" i="156" s="1"/>
  <c r="Y14" i="156" s="1"/>
  <c r="Z14" i="156"/>
  <c r="X14" i="156"/>
  <c r="Q14" i="156"/>
  <c r="P14" i="156"/>
  <c r="I14" i="156"/>
  <c r="H14" i="156"/>
  <c r="E14" i="156"/>
  <c r="AD13" i="156"/>
  <c r="AC13" i="156"/>
  <c r="AB13" i="156"/>
  <c r="AE13" i="156" s="1"/>
  <c r="AI13" i="156" s="1"/>
  <c r="Y13" i="156" s="1"/>
  <c r="Z13" i="156"/>
  <c r="X13" i="156"/>
  <c r="Q13" i="156"/>
  <c r="P13" i="156"/>
  <c r="H13" i="156"/>
  <c r="E13" i="156"/>
  <c r="I13" i="156" s="1"/>
  <c r="AD12" i="156"/>
  <c r="AC12" i="156"/>
  <c r="AE12" i="156" s="1"/>
  <c r="AI12" i="156" s="1"/>
  <c r="Y12" i="156" s="1"/>
  <c r="AB12" i="156"/>
  <c r="Z12" i="156"/>
  <c r="T75" i="156" s="1"/>
  <c r="X12" i="156"/>
  <c r="T77" i="156" s="1"/>
  <c r="Q12" i="156"/>
  <c r="P12" i="156"/>
  <c r="I12" i="156"/>
  <c r="H12" i="156"/>
  <c r="E12" i="156"/>
  <c r="H39" i="157" l="1"/>
  <c r="X39" i="157"/>
  <c r="T77" i="157"/>
  <c r="T75" i="157"/>
  <c r="O73" i="157"/>
  <c r="F73" i="157"/>
  <c r="F75" i="157"/>
  <c r="T73" i="157"/>
  <c r="O73" i="156"/>
  <c r="O75" i="156"/>
  <c r="F73" i="156"/>
  <c r="F75" i="156"/>
  <c r="T73" i="156"/>
  <c r="T79" i="156" s="1"/>
  <c r="M79" i="155"/>
  <c r="W73" i="155"/>
  <c r="P71" i="155"/>
  <c r="H71" i="155"/>
  <c r="Q70" i="155"/>
  <c r="P70" i="155"/>
  <c r="H70" i="155"/>
  <c r="E70" i="155"/>
  <c r="I70" i="155" s="1"/>
  <c r="Q69" i="155"/>
  <c r="P69" i="155"/>
  <c r="I69" i="155"/>
  <c r="H69" i="155"/>
  <c r="E69" i="155"/>
  <c r="AD68" i="155"/>
  <c r="AC68" i="155"/>
  <c r="AB68" i="155"/>
  <c r="AE68" i="155" s="1"/>
  <c r="AI68" i="155" s="1"/>
  <c r="Y68" i="155" s="1"/>
  <c r="Z68" i="155"/>
  <c r="X68" i="155"/>
  <c r="W68" i="155"/>
  <c r="Q68" i="155"/>
  <c r="P68" i="155"/>
  <c r="H68" i="155"/>
  <c r="E68" i="155"/>
  <c r="I68" i="155" s="1"/>
  <c r="AD67" i="155"/>
  <c r="AC67" i="155"/>
  <c r="AB67" i="155"/>
  <c r="AE67" i="155" s="1"/>
  <c r="AI67" i="155" s="1"/>
  <c r="Y67" i="155" s="1"/>
  <c r="Z67" i="155"/>
  <c r="X67" i="155"/>
  <c r="Q67" i="155"/>
  <c r="P67" i="155"/>
  <c r="H67" i="155"/>
  <c r="E67" i="155"/>
  <c r="I67" i="155" s="1"/>
  <c r="AE66" i="155"/>
  <c r="AI66" i="155" s="1"/>
  <c r="Y66" i="155" s="1"/>
  <c r="AD66" i="155"/>
  <c r="AC66" i="155"/>
  <c r="AB66" i="155"/>
  <c r="Z66" i="155"/>
  <c r="X66" i="155"/>
  <c r="Q66" i="155"/>
  <c r="P66" i="155"/>
  <c r="H66" i="155"/>
  <c r="E66" i="155"/>
  <c r="I66" i="155" s="1"/>
  <c r="AD65" i="155"/>
  <c r="AC65" i="155"/>
  <c r="AB65" i="155"/>
  <c r="AE65" i="155" s="1"/>
  <c r="AI65" i="155" s="1"/>
  <c r="Y65" i="155" s="1"/>
  <c r="Z65" i="155"/>
  <c r="X65" i="155"/>
  <c r="Q65" i="155"/>
  <c r="P65" i="155"/>
  <c r="H65" i="155"/>
  <c r="E65" i="155"/>
  <c r="I65" i="155" s="1"/>
  <c r="AD64" i="155"/>
  <c r="AC64" i="155"/>
  <c r="AB64" i="155"/>
  <c r="AE64" i="155" s="1"/>
  <c r="AI64" i="155" s="1"/>
  <c r="Y64" i="155" s="1"/>
  <c r="Z64" i="155"/>
  <c r="X64" i="155"/>
  <c r="Q64" i="155"/>
  <c r="P64" i="155"/>
  <c r="H64" i="155"/>
  <c r="E64" i="155"/>
  <c r="I64" i="155" s="1"/>
  <c r="AD63" i="155"/>
  <c r="AC63" i="155"/>
  <c r="AE63" i="155" s="1"/>
  <c r="AI63" i="155" s="1"/>
  <c r="Y63" i="155" s="1"/>
  <c r="AB63" i="155"/>
  <c r="Z63" i="155"/>
  <c r="X63" i="155"/>
  <c r="Q63" i="155"/>
  <c r="P63" i="155"/>
  <c r="H63" i="155"/>
  <c r="E63" i="155"/>
  <c r="I63" i="155" s="1"/>
  <c r="AE62" i="155"/>
  <c r="AI62" i="155" s="1"/>
  <c r="Y62" i="155" s="1"/>
  <c r="AD62" i="155"/>
  <c r="AC62" i="155"/>
  <c r="AB62" i="155"/>
  <c r="Z62" i="155"/>
  <c r="X62" i="155"/>
  <c r="Q62" i="155"/>
  <c r="P62" i="155"/>
  <c r="H62" i="155"/>
  <c r="E62" i="155"/>
  <c r="I62" i="155" s="1"/>
  <c r="AC61" i="155"/>
  <c r="AE61" i="155" s="1"/>
  <c r="AI61" i="155" s="1"/>
  <c r="Y61" i="155" s="1"/>
  <c r="AB61" i="155"/>
  <c r="X61" i="155"/>
  <c r="Q61" i="155"/>
  <c r="P61" i="155"/>
  <c r="I61" i="155"/>
  <c r="H61" i="155"/>
  <c r="E61" i="155"/>
  <c r="AE60" i="155"/>
  <c r="AI60" i="155" s="1"/>
  <c r="Y60" i="155" s="1"/>
  <c r="X60" i="155"/>
  <c r="Q60" i="155"/>
  <c r="P60" i="155"/>
  <c r="I60" i="155"/>
  <c r="H60" i="155"/>
  <c r="E60" i="155"/>
  <c r="AC59" i="155"/>
  <c r="AB59" i="155"/>
  <c r="AE59" i="155" s="1"/>
  <c r="AI59" i="155" s="1"/>
  <c r="Y59" i="155" s="1"/>
  <c r="X59" i="155"/>
  <c r="Q59" i="155"/>
  <c r="P59" i="155"/>
  <c r="I59" i="155"/>
  <c r="H59" i="155"/>
  <c r="E59" i="155"/>
  <c r="AC58" i="155"/>
  <c r="AB58" i="155"/>
  <c r="AE58" i="155" s="1"/>
  <c r="AI58" i="155" s="1"/>
  <c r="Y58" i="155" s="1"/>
  <c r="X58" i="155"/>
  <c r="Q58" i="155"/>
  <c r="P58" i="155"/>
  <c r="E58" i="155"/>
  <c r="I58" i="155" s="1"/>
  <c r="AC57" i="155"/>
  <c r="AB57" i="155"/>
  <c r="AE57" i="155" s="1"/>
  <c r="AI57" i="155" s="1"/>
  <c r="Y57" i="155" s="1"/>
  <c r="X57" i="155"/>
  <c r="Q57" i="155"/>
  <c r="P57" i="155"/>
  <c r="I57" i="155"/>
  <c r="H57" i="155"/>
  <c r="E57" i="155"/>
  <c r="AD56" i="155"/>
  <c r="AC56" i="155"/>
  <c r="AB56" i="155"/>
  <c r="AE56" i="155" s="1"/>
  <c r="AI56" i="155" s="1"/>
  <c r="Y56" i="155" s="1"/>
  <c r="Z56" i="155"/>
  <c r="X56" i="155"/>
  <c r="Q56" i="155"/>
  <c r="P56" i="155"/>
  <c r="H56" i="155"/>
  <c r="E56" i="155"/>
  <c r="I56" i="155" s="1"/>
  <c r="AE55" i="155"/>
  <c r="AI55" i="155" s="1"/>
  <c r="Y55" i="155" s="1"/>
  <c r="AD55" i="155"/>
  <c r="AC55" i="155"/>
  <c r="AB55" i="155"/>
  <c r="Z55" i="155"/>
  <c r="X55" i="155"/>
  <c r="Q55" i="155"/>
  <c r="P55" i="155"/>
  <c r="I55" i="155"/>
  <c r="H55" i="155"/>
  <c r="E55" i="155"/>
  <c r="AD54" i="155"/>
  <c r="AC54" i="155"/>
  <c r="AB54" i="155"/>
  <c r="AE54" i="155" s="1"/>
  <c r="AI54" i="155" s="1"/>
  <c r="Y54" i="155" s="1"/>
  <c r="Z54" i="155"/>
  <c r="X54" i="155"/>
  <c r="Q54" i="155"/>
  <c r="P54" i="155"/>
  <c r="I54" i="155"/>
  <c r="H54" i="155"/>
  <c r="E54" i="155"/>
  <c r="AE53" i="155"/>
  <c r="AI53" i="155" s="1"/>
  <c r="Y53" i="155" s="1"/>
  <c r="AD53" i="155"/>
  <c r="AC53" i="155"/>
  <c r="AB53" i="155"/>
  <c r="Z53" i="155"/>
  <c r="X53" i="155"/>
  <c r="Q53" i="155"/>
  <c r="P53" i="155"/>
  <c r="H53" i="155"/>
  <c r="E53" i="155"/>
  <c r="I53" i="155" s="1"/>
  <c r="AI52" i="155"/>
  <c r="Y52" i="155" s="1"/>
  <c r="AE52" i="155"/>
  <c r="Z52" i="155"/>
  <c r="X52" i="155"/>
  <c r="Q52" i="155"/>
  <c r="P52" i="155"/>
  <c r="I52" i="155"/>
  <c r="H52" i="155"/>
  <c r="E52" i="155"/>
  <c r="AD51" i="155"/>
  <c r="AC51" i="155"/>
  <c r="AB51" i="155"/>
  <c r="AE51" i="155" s="1"/>
  <c r="AI51" i="155" s="1"/>
  <c r="Y51" i="155" s="1"/>
  <c r="Z51" i="155"/>
  <c r="X51" i="155"/>
  <c r="Q51" i="155"/>
  <c r="P51" i="155"/>
  <c r="I51" i="155"/>
  <c r="H51" i="155"/>
  <c r="E51" i="155"/>
  <c r="AE50" i="155"/>
  <c r="AI50" i="155" s="1"/>
  <c r="Y50" i="155" s="1"/>
  <c r="AD50" i="155"/>
  <c r="AC50" i="155"/>
  <c r="AB50" i="155"/>
  <c r="Z50" i="155"/>
  <c r="X50" i="155"/>
  <c r="Q50" i="155"/>
  <c r="P50" i="155"/>
  <c r="H50" i="155"/>
  <c r="E50" i="155"/>
  <c r="I50" i="155" s="1"/>
  <c r="AI49" i="155"/>
  <c r="Y49" i="155" s="1"/>
  <c r="AE49" i="155"/>
  <c r="Z49" i="155"/>
  <c r="X49" i="155"/>
  <c r="Q49" i="155"/>
  <c r="P49" i="155"/>
  <c r="H49" i="155"/>
  <c r="E49" i="155"/>
  <c r="I49" i="155" s="1"/>
  <c r="AE48" i="155"/>
  <c r="AI48" i="155" s="1"/>
  <c r="Y48" i="155" s="1"/>
  <c r="Z48" i="155"/>
  <c r="X48" i="155"/>
  <c r="Q48" i="155"/>
  <c r="P48" i="155"/>
  <c r="H48" i="155"/>
  <c r="E48" i="155"/>
  <c r="I48" i="155" s="1"/>
  <c r="AI47" i="155"/>
  <c r="Y47" i="155" s="1"/>
  <c r="AE47" i="155"/>
  <c r="Z47" i="155"/>
  <c r="X47" i="155"/>
  <c r="Q47" i="155"/>
  <c r="P47" i="155"/>
  <c r="I47" i="155"/>
  <c r="H47" i="155"/>
  <c r="E47" i="155"/>
  <c r="AD46" i="155"/>
  <c r="AC46" i="155"/>
  <c r="AB46" i="155"/>
  <c r="AE46" i="155" s="1"/>
  <c r="AI46" i="155" s="1"/>
  <c r="Y46" i="155" s="1"/>
  <c r="Z46" i="155"/>
  <c r="X46" i="155"/>
  <c r="Q46" i="155"/>
  <c r="P46" i="155"/>
  <c r="I46" i="155"/>
  <c r="H46" i="155"/>
  <c r="E46" i="155"/>
  <c r="AE45" i="155"/>
  <c r="AI45" i="155" s="1"/>
  <c r="Y45" i="155" s="1"/>
  <c r="AD45" i="155"/>
  <c r="AC45" i="155"/>
  <c r="AB45" i="155"/>
  <c r="Z45" i="155"/>
  <c r="X45" i="155"/>
  <c r="Q45" i="155"/>
  <c r="P45" i="155"/>
  <c r="I45" i="155"/>
  <c r="H45" i="155"/>
  <c r="E45" i="155"/>
  <c r="AD44" i="155"/>
  <c r="AC44" i="155"/>
  <c r="AB44" i="155"/>
  <c r="AE44" i="155" s="1"/>
  <c r="AI44" i="155" s="1"/>
  <c r="Y44" i="155" s="1"/>
  <c r="Z44" i="155"/>
  <c r="X44" i="155"/>
  <c r="Q44" i="155"/>
  <c r="P44" i="155"/>
  <c r="H44" i="155"/>
  <c r="E44" i="155"/>
  <c r="I44" i="155" s="1"/>
  <c r="AD43" i="155"/>
  <c r="AC43" i="155"/>
  <c r="AE43" i="155" s="1"/>
  <c r="AI43" i="155" s="1"/>
  <c r="Y43" i="155" s="1"/>
  <c r="AB43" i="155"/>
  <c r="Z43" i="155"/>
  <c r="X43" i="155"/>
  <c r="Q43" i="155"/>
  <c r="P43" i="155"/>
  <c r="I43" i="155"/>
  <c r="H43" i="155"/>
  <c r="E43" i="155"/>
  <c r="AD42" i="155"/>
  <c r="AC42" i="155"/>
  <c r="AB42" i="155"/>
  <c r="AE42" i="155" s="1"/>
  <c r="AI42" i="155" s="1"/>
  <c r="Y42" i="155" s="1"/>
  <c r="Z42" i="155"/>
  <c r="X42" i="155"/>
  <c r="Q42" i="155"/>
  <c r="P42" i="155"/>
  <c r="I42" i="155"/>
  <c r="H42" i="155"/>
  <c r="E42" i="155"/>
  <c r="AE41" i="155"/>
  <c r="AI41" i="155" s="1"/>
  <c r="Y41" i="155" s="1"/>
  <c r="AD41" i="155"/>
  <c r="AC41" i="155"/>
  <c r="AB41" i="155"/>
  <c r="Z41" i="155"/>
  <c r="X41" i="155"/>
  <c r="Q41" i="155"/>
  <c r="P41" i="155"/>
  <c r="H41" i="155"/>
  <c r="E41" i="155"/>
  <c r="I41" i="155" s="1"/>
  <c r="AD40" i="155"/>
  <c r="AC40" i="155"/>
  <c r="AB40" i="155"/>
  <c r="AE40" i="155" s="1"/>
  <c r="AI40" i="155" s="1"/>
  <c r="Y40" i="155" s="1"/>
  <c r="Z40" i="155"/>
  <c r="X40" i="155"/>
  <c r="Q40" i="155"/>
  <c r="P40" i="155"/>
  <c r="H40" i="155"/>
  <c r="E40" i="155"/>
  <c r="I40" i="155" s="1"/>
  <c r="AE39" i="155"/>
  <c r="AI39" i="155" s="1"/>
  <c r="Y39" i="155" s="1"/>
  <c r="AD39" i="155"/>
  <c r="AC39" i="155"/>
  <c r="AB39" i="155"/>
  <c r="Z39" i="155"/>
  <c r="X39" i="155"/>
  <c r="Q39" i="155"/>
  <c r="P39" i="155"/>
  <c r="I39" i="155"/>
  <c r="H39" i="155"/>
  <c r="E39" i="155"/>
  <c r="AD38" i="155"/>
  <c r="AC38" i="155"/>
  <c r="AB38" i="155"/>
  <c r="AE38" i="155" s="1"/>
  <c r="AI38" i="155" s="1"/>
  <c r="Y38" i="155" s="1"/>
  <c r="Z38" i="155"/>
  <c r="X38" i="155"/>
  <c r="Q38" i="155"/>
  <c r="P38" i="155"/>
  <c r="I38" i="155"/>
  <c r="H38" i="155"/>
  <c r="E38" i="155"/>
  <c r="AE37" i="155"/>
  <c r="AI37" i="155" s="1"/>
  <c r="Y37" i="155" s="1"/>
  <c r="AD37" i="155"/>
  <c r="AC37" i="155"/>
  <c r="AB37" i="155"/>
  <c r="Z37" i="155"/>
  <c r="X37" i="155"/>
  <c r="Q37" i="155"/>
  <c r="P37" i="155"/>
  <c r="H37" i="155"/>
  <c r="E37" i="155"/>
  <c r="I37" i="155" s="1"/>
  <c r="AD36" i="155"/>
  <c r="AC36" i="155"/>
  <c r="AB36" i="155"/>
  <c r="AE36" i="155" s="1"/>
  <c r="AI36" i="155" s="1"/>
  <c r="Y36" i="155" s="1"/>
  <c r="Z36" i="155"/>
  <c r="X36" i="155"/>
  <c r="Q36" i="155"/>
  <c r="P36" i="155"/>
  <c r="H36" i="155"/>
  <c r="E36" i="155"/>
  <c r="I36" i="155" s="1"/>
  <c r="AD35" i="155"/>
  <c r="AC35" i="155"/>
  <c r="AB35" i="155"/>
  <c r="AE35" i="155" s="1"/>
  <c r="AI35" i="155" s="1"/>
  <c r="Y35" i="155" s="1"/>
  <c r="Z35" i="155"/>
  <c r="X35" i="155"/>
  <c r="Q35" i="155"/>
  <c r="P35" i="155"/>
  <c r="H35" i="155"/>
  <c r="E35" i="155"/>
  <c r="I35" i="155" s="1"/>
  <c r="AD34" i="155"/>
  <c r="AE34" i="155" s="1"/>
  <c r="AI34" i="155" s="1"/>
  <c r="Y34" i="155" s="1"/>
  <c r="AC34" i="155"/>
  <c r="AB34" i="155"/>
  <c r="Z34" i="155"/>
  <c r="X34" i="155"/>
  <c r="Q34" i="155"/>
  <c r="P34" i="155"/>
  <c r="I34" i="155"/>
  <c r="H34" i="155"/>
  <c r="E34" i="155"/>
  <c r="AE33" i="155"/>
  <c r="AI33" i="155" s="1"/>
  <c r="Y33" i="155" s="1"/>
  <c r="AD33" i="155"/>
  <c r="AC33" i="155"/>
  <c r="AB33" i="155"/>
  <c r="Z33" i="155"/>
  <c r="X33" i="155"/>
  <c r="Q33" i="155"/>
  <c r="P33" i="155"/>
  <c r="H33" i="155"/>
  <c r="E33" i="155"/>
  <c r="I33" i="155" s="1"/>
  <c r="AD32" i="155"/>
  <c r="AC32" i="155"/>
  <c r="AB32" i="155"/>
  <c r="AE32" i="155" s="1"/>
  <c r="AI32" i="155" s="1"/>
  <c r="Y32" i="155" s="1"/>
  <c r="Z32" i="155"/>
  <c r="X32" i="155"/>
  <c r="Q32" i="155"/>
  <c r="P32" i="155"/>
  <c r="H32" i="155"/>
  <c r="E32" i="155"/>
  <c r="I32" i="155" s="1"/>
  <c r="AE31" i="155"/>
  <c r="AI31" i="155" s="1"/>
  <c r="Y31" i="155" s="1"/>
  <c r="Z31" i="155"/>
  <c r="X31" i="155"/>
  <c r="Q31" i="155"/>
  <c r="P31" i="155"/>
  <c r="I31" i="155"/>
  <c r="H31" i="155"/>
  <c r="E31" i="155"/>
  <c r="AD30" i="155"/>
  <c r="AC30" i="155"/>
  <c r="AB30" i="155"/>
  <c r="AE30" i="155" s="1"/>
  <c r="AI30" i="155" s="1"/>
  <c r="Y30" i="155" s="1"/>
  <c r="Z30" i="155"/>
  <c r="X30" i="155"/>
  <c r="Q30" i="155"/>
  <c r="P30" i="155"/>
  <c r="I30" i="155"/>
  <c r="H30" i="155"/>
  <c r="E30" i="155"/>
  <c r="AD29" i="155"/>
  <c r="AC29" i="155"/>
  <c r="AB29" i="155"/>
  <c r="AE29" i="155" s="1"/>
  <c r="AI29" i="155" s="1"/>
  <c r="Y29" i="155" s="1"/>
  <c r="Z29" i="155"/>
  <c r="X29" i="155"/>
  <c r="Q29" i="155"/>
  <c r="P29" i="155"/>
  <c r="H29" i="155"/>
  <c r="E29" i="155"/>
  <c r="I29" i="155" s="1"/>
  <c r="AD28" i="155"/>
  <c r="AC28" i="155"/>
  <c r="AE28" i="155" s="1"/>
  <c r="AI28" i="155" s="1"/>
  <c r="Y28" i="155" s="1"/>
  <c r="AB28" i="155"/>
  <c r="Z28" i="155"/>
  <c r="X28" i="155"/>
  <c r="Q28" i="155"/>
  <c r="P28" i="155"/>
  <c r="I28" i="155"/>
  <c r="H28" i="155"/>
  <c r="E28" i="155"/>
  <c r="AD27" i="155"/>
  <c r="AC27" i="155"/>
  <c r="AB27" i="155"/>
  <c r="AE27" i="155" s="1"/>
  <c r="AI27" i="155" s="1"/>
  <c r="Y27" i="155" s="1"/>
  <c r="Z27" i="155"/>
  <c r="X27" i="155"/>
  <c r="Q27" i="155"/>
  <c r="P27" i="155"/>
  <c r="I27" i="155"/>
  <c r="H27" i="155"/>
  <c r="E27" i="155"/>
  <c r="AE26" i="155"/>
  <c r="AI26" i="155" s="1"/>
  <c r="Y26" i="155" s="1"/>
  <c r="AD26" i="155"/>
  <c r="AC26" i="155"/>
  <c r="AB26" i="155"/>
  <c r="Z26" i="155"/>
  <c r="X26" i="155"/>
  <c r="Q26" i="155"/>
  <c r="P26" i="155"/>
  <c r="H26" i="155"/>
  <c r="E26" i="155"/>
  <c r="I26" i="155" s="1"/>
  <c r="AD25" i="155"/>
  <c r="AC25" i="155"/>
  <c r="AB25" i="155"/>
  <c r="AE25" i="155" s="1"/>
  <c r="AI25" i="155" s="1"/>
  <c r="Y25" i="155" s="1"/>
  <c r="Z25" i="155"/>
  <c r="X25" i="155"/>
  <c r="Q25" i="155"/>
  <c r="P25" i="155"/>
  <c r="H25" i="155"/>
  <c r="E25" i="155"/>
  <c r="I25" i="155" s="1"/>
  <c r="AD24" i="155"/>
  <c r="AC24" i="155"/>
  <c r="AE24" i="155" s="1"/>
  <c r="AI24" i="155" s="1"/>
  <c r="Y24" i="155" s="1"/>
  <c r="AB24" i="155"/>
  <c r="Z24" i="155"/>
  <c r="X24" i="155"/>
  <c r="Q24" i="155"/>
  <c r="P24" i="155"/>
  <c r="I24" i="155"/>
  <c r="H24" i="155"/>
  <c r="E24" i="155"/>
  <c r="AD23" i="155"/>
  <c r="AC23" i="155"/>
  <c r="AB23" i="155"/>
  <c r="AE23" i="155" s="1"/>
  <c r="AI23" i="155" s="1"/>
  <c r="Y23" i="155" s="1"/>
  <c r="Z23" i="155"/>
  <c r="X23" i="155"/>
  <c r="Q23" i="155"/>
  <c r="P23" i="155"/>
  <c r="I23" i="155"/>
  <c r="H23" i="155"/>
  <c r="E23" i="155"/>
  <c r="AE22" i="155"/>
  <c r="AI22" i="155" s="1"/>
  <c r="Y22" i="155" s="1"/>
  <c r="AD22" i="155"/>
  <c r="AC22" i="155"/>
  <c r="AB22" i="155"/>
  <c r="Z22" i="155"/>
  <c r="X22" i="155"/>
  <c r="Q22" i="155"/>
  <c r="P22" i="155"/>
  <c r="H22" i="155"/>
  <c r="E22" i="155"/>
  <c r="I22" i="155" s="1"/>
  <c r="AD21" i="155"/>
  <c r="AC21" i="155"/>
  <c r="AB21" i="155"/>
  <c r="AE21" i="155" s="1"/>
  <c r="AI21" i="155" s="1"/>
  <c r="Y21" i="155" s="1"/>
  <c r="Z21" i="155"/>
  <c r="X21" i="155"/>
  <c r="Q21" i="155"/>
  <c r="P21" i="155"/>
  <c r="H21" i="155"/>
  <c r="E21" i="155"/>
  <c r="I21" i="155" s="1"/>
  <c r="AD20" i="155"/>
  <c r="AC20" i="155"/>
  <c r="AE20" i="155" s="1"/>
  <c r="AI20" i="155" s="1"/>
  <c r="Y20" i="155" s="1"/>
  <c r="AB20" i="155"/>
  <c r="Z20" i="155"/>
  <c r="X20" i="155"/>
  <c r="Q20" i="155"/>
  <c r="P20" i="155"/>
  <c r="H20" i="155"/>
  <c r="E20" i="155"/>
  <c r="I20" i="155" s="1"/>
  <c r="AD19" i="155"/>
  <c r="AE19" i="155" s="1"/>
  <c r="AI19" i="155" s="1"/>
  <c r="Y19" i="155" s="1"/>
  <c r="AC19" i="155"/>
  <c r="AB19" i="155"/>
  <c r="Z19" i="155"/>
  <c r="X19" i="155"/>
  <c r="Q19" i="155"/>
  <c r="P19" i="155"/>
  <c r="I19" i="155"/>
  <c r="H19" i="155"/>
  <c r="E19" i="155"/>
  <c r="AE18" i="155"/>
  <c r="AI18" i="155" s="1"/>
  <c r="Y18" i="155" s="1"/>
  <c r="AD18" i="155"/>
  <c r="AC18" i="155"/>
  <c r="AB18" i="155"/>
  <c r="Z18" i="155"/>
  <c r="X18" i="155"/>
  <c r="Q18" i="155"/>
  <c r="P18" i="155"/>
  <c r="H18" i="155"/>
  <c r="E18" i="155"/>
  <c r="I18" i="155" s="1"/>
  <c r="AD17" i="155"/>
  <c r="AC17" i="155"/>
  <c r="AB17" i="155"/>
  <c r="AE17" i="155" s="1"/>
  <c r="AI17" i="155" s="1"/>
  <c r="Y17" i="155" s="1"/>
  <c r="Z17" i="155"/>
  <c r="X17" i="155"/>
  <c r="Q17" i="155"/>
  <c r="P17" i="155"/>
  <c r="H17" i="155"/>
  <c r="E17" i="155"/>
  <c r="I17" i="155" s="1"/>
  <c r="AD16" i="155"/>
  <c r="AC16" i="155"/>
  <c r="AE16" i="155" s="1"/>
  <c r="AI16" i="155" s="1"/>
  <c r="Y16" i="155" s="1"/>
  <c r="AB16" i="155"/>
  <c r="Z16" i="155"/>
  <c r="X16" i="155"/>
  <c r="Q16" i="155"/>
  <c r="P16" i="155"/>
  <c r="E16" i="155"/>
  <c r="I16" i="155" s="1"/>
  <c r="AD15" i="155"/>
  <c r="AC15" i="155"/>
  <c r="AE15" i="155" s="1"/>
  <c r="AI15" i="155" s="1"/>
  <c r="Y15" i="155" s="1"/>
  <c r="AB15" i="155"/>
  <c r="Z15" i="155"/>
  <c r="X15" i="155"/>
  <c r="Q15" i="155"/>
  <c r="P15" i="155"/>
  <c r="E15" i="155"/>
  <c r="I15" i="155" s="1"/>
  <c r="AD14" i="155"/>
  <c r="AC14" i="155"/>
  <c r="AE14" i="155" s="1"/>
  <c r="AI14" i="155" s="1"/>
  <c r="Y14" i="155" s="1"/>
  <c r="AB14" i="155"/>
  <c r="Z14" i="155"/>
  <c r="X14" i="155"/>
  <c r="Q14" i="155"/>
  <c r="O75" i="155" s="1"/>
  <c r="P14" i="155"/>
  <c r="I14" i="155"/>
  <c r="H14" i="155"/>
  <c r="E14" i="155"/>
  <c r="AD13" i="155"/>
  <c r="AC13" i="155"/>
  <c r="AB13" i="155"/>
  <c r="AE13" i="155" s="1"/>
  <c r="AI13" i="155" s="1"/>
  <c r="Y13" i="155" s="1"/>
  <c r="Z13" i="155"/>
  <c r="X13" i="155"/>
  <c r="Q13" i="155"/>
  <c r="P13" i="155"/>
  <c r="I13" i="155"/>
  <c r="H13" i="155"/>
  <c r="E13" i="155"/>
  <c r="AE12" i="155"/>
  <c r="AI12" i="155" s="1"/>
  <c r="Y12" i="155" s="1"/>
  <c r="AD12" i="155"/>
  <c r="AC12" i="155"/>
  <c r="AB12" i="155"/>
  <c r="Z12" i="155"/>
  <c r="T75" i="155" s="1"/>
  <c r="X12" i="155"/>
  <c r="T77" i="155" s="1"/>
  <c r="Q12" i="155"/>
  <c r="O73" i="155" s="1"/>
  <c r="P12" i="155"/>
  <c r="H12" i="155"/>
  <c r="E12" i="155"/>
  <c r="I12" i="155" s="1"/>
  <c r="T79" i="157" l="1"/>
  <c r="F77" i="157" s="1"/>
  <c r="F77" i="156"/>
  <c r="F73" i="155"/>
  <c r="F75" i="155"/>
  <c r="T73" i="155"/>
  <c r="T79" i="155" s="1"/>
  <c r="M79" i="154"/>
  <c r="W73" i="154"/>
  <c r="P71" i="154"/>
  <c r="H71" i="154"/>
  <c r="Q70" i="154"/>
  <c r="P70" i="154"/>
  <c r="H70" i="154"/>
  <c r="E70" i="154"/>
  <c r="I70" i="154" s="1"/>
  <c r="Q69" i="154"/>
  <c r="P69" i="154"/>
  <c r="I69" i="154"/>
  <c r="H69" i="154"/>
  <c r="E69" i="154"/>
  <c r="AE68" i="154"/>
  <c r="AI68" i="154" s="1"/>
  <c r="Y68" i="154" s="1"/>
  <c r="AD68" i="154"/>
  <c r="AC68" i="154"/>
  <c r="AB68" i="154"/>
  <c r="Z68" i="154"/>
  <c r="X68" i="154"/>
  <c r="W68" i="154"/>
  <c r="Q68" i="154"/>
  <c r="P68" i="154"/>
  <c r="I68" i="154"/>
  <c r="H68" i="154"/>
  <c r="E68" i="154"/>
  <c r="AD67" i="154"/>
  <c r="AC67" i="154"/>
  <c r="AE67" i="154" s="1"/>
  <c r="AI67" i="154" s="1"/>
  <c r="Y67" i="154" s="1"/>
  <c r="AB67" i="154"/>
  <c r="Z67" i="154"/>
  <c r="X67" i="154"/>
  <c r="Q67" i="154"/>
  <c r="P67" i="154"/>
  <c r="H67" i="154"/>
  <c r="E67" i="154"/>
  <c r="I67" i="154" s="1"/>
  <c r="AE66" i="154"/>
  <c r="AI66" i="154" s="1"/>
  <c r="Y66" i="154" s="1"/>
  <c r="AD66" i="154"/>
  <c r="AC66" i="154"/>
  <c r="AB66" i="154"/>
  <c r="Z66" i="154"/>
  <c r="X66" i="154"/>
  <c r="Q66" i="154"/>
  <c r="P66" i="154"/>
  <c r="I66" i="154"/>
  <c r="H66" i="154"/>
  <c r="E66" i="154"/>
  <c r="AD65" i="154"/>
  <c r="AC65" i="154"/>
  <c r="AB65" i="154"/>
  <c r="AE65" i="154" s="1"/>
  <c r="AI65" i="154" s="1"/>
  <c r="Y65" i="154" s="1"/>
  <c r="Z65" i="154"/>
  <c r="X65" i="154"/>
  <c r="Q65" i="154"/>
  <c r="P65" i="154"/>
  <c r="H65" i="154"/>
  <c r="E65" i="154"/>
  <c r="I65" i="154" s="1"/>
  <c r="AE64" i="154"/>
  <c r="AI64" i="154" s="1"/>
  <c r="Y64" i="154" s="1"/>
  <c r="AD64" i="154"/>
  <c r="AC64" i="154"/>
  <c r="AB64" i="154"/>
  <c r="Z64" i="154"/>
  <c r="X64" i="154"/>
  <c r="Q64" i="154"/>
  <c r="P64" i="154"/>
  <c r="H64" i="154"/>
  <c r="E64" i="154"/>
  <c r="I64" i="154" s="1"/>
  <c r="AE63" i="154"/>
  <c r="AI63" i="154" s="1"/>
  <c r="Y63" i="154" s="1"/>
  <c r="AD63" i="154"/>
  <c r="AC63" i="154"/>
  <c r="AB63" i="154"/>
  <c r="Z63" i="154"/>
  <c r="X63" i="154"/>
  <c r="Q63" i="154"/>
  <c r="P63" i="154"/>
  <c r="I63" i="154"/>
  <c r="H63" i="154"/>
  <c r="E63" i="154"/>
  <c r="AD62" i="154"/>
  <c r="AC62" i="154"/>
  <c r="AB62" i="154"/>
  <c r="AE62" i="154" s="1"/>
  <c r="AI62" i="154" s="1"/>
  <c r="Y62" i="154" s="1"/>
  <c r="Z62" i="154"/>
  <c r="X62" i="154"/>
  <c r="Q62" i="154"/>
  <c r="P62" i="154"/>
  <c r="H62" i="154"/>
  <c r="E62" i="154"/>
  <c r="I62" i="154" s="1"/>
  <c r="AC61" i="154"/>
  <c r="AE61" i="154" s="1"/>
  <c r="AI61" i="154" s="1"/>
  <c r="Y61" i="154" s="1"/>
  <c r="AB61" i="154"/>
  <c r="X61" i="154"/>
  <c r="Q61" i="154"/>
  <c r="P61" i="154"/>
  <c r="H61" i="154"/>
  <c r="E61" i="154"/>
  <c r="I61" i="154" s="1"/>
  <c r="AI60" i="154"/>
  <c r="Y60" i="154" s="1"/>
  <c r="AE60" i="154"/>
  <c r="X60" i="154"/>
  <c r="Q60" i="154"/>
  <c r="P60" i="154"/>
  <c r="I60" i="154"/>
  <c r="H60" i="154"/>
  <c r="E60" i="154"/>
  <c r="AE59" i="154"/>
  <c r="AI59" i="154" s="1"/>
  <c r="Y59" i="154" s="1"/>
  <c r="AC59" i="154"/>
  <c r="AB59" i="154"/>
  <c r="X59" i="154"/>
  <c r="Q59" i="154"/>
  <c r="P59" i="154"/>
  <c r="H59" i="154"/>
  <c r="E59" i="154"/>
  <c r="I59" i="154" s="1"/>
  <c r="AE58" i="154"/>
  <c r="AI58" i="154" s="1"/>
  <c r="Y58" i="154" s="1"/>
  <c r="AC58" i="154"/>
  <c r="AB58" i="154"/>
  <c r="X58" i="154"/>
  <c r="Q58" i="154"/>
  <c r="P58" i="154"/>
  <c r="I58" i="154"/>
  <c r="E58" i="154"/>
  <c r="AE57" i="154"/>
  <c r="AI57" i="154" s="1"/>
  <c r="Y57" i="154" s="1"/>
  <c r="AC57" i="154"/>
  <c r="AB57" i="154"/>
  <c r="X57" i="154"/>
  <c r="Q57" i="154"/>
  <c r="P57" i="154"/>
  <c r="I57" i="154"/>
  <c r="H57" i="154"/>
  <c r="E57" i="154"/>
  <c r="AE56" i="154"/>
  <c r="AI56" i="154" s="1"/>
  <c r="Y56" i="154" s="1"/>
  <c r="AD56" i="154"/>
  <c r="AC56" i="154"/>
  <c r="AB56" i="154"/>
  <c r="Z56" i="154"/>
  <c r="X56" i="154"/>
  <c r="Q56" i="154"/>
  <c r="P56" i="154"/>
  <c r="H56" i="154"/>
  <c r="E56" i="154"/>
  <c r="I56" i="154" s="1"/>
  <c r="AD55" i="154"/>
  <c r="AC55" i="154"/>
  <c r="AB55" i="154"/>
  <c r="AE55" i="154" s="1"/>
  <c r="AI55" i="154" s="1"/>
  <c r="Y55" i="154" s="1"/>
  <c r="Z55" i="154"/>
  <c r="X55" i="154"/>
  <c r="Q55" i="154"/>
  <c r="P55" i="154"/>
  <c r="H55" i="154"/>
  <c r="E55" i="154"/>
  <c r="I55" i="154" s="1"/>
  <c r="AD54" i="154"/>
  <c r="AE54" i="154" s="1"/>
  <c r="AI54" i="154" s="1"/>
  <c r="Y54" i="154" s="1"/>
  <c r="AC54" i="154"/>
  <c r="AB54" i="154"/>
  <c r="Z54" i="154"/>
  <c r="X54" i="154"/>
  <c r="Q54" i="154"/>
  <c r="P54" i="154"/>
  <c r="H54" i="154"/>
  <c r="E54" i="154"/>
  <c r="I54" i="154" s="1"/>
  <c r="AD53" i="154"/>
  <c r="AC53" i="154"/>
  <c r="AB53" i="154"/>
  <c r="AE53" i="154" s="1"/>
  <c r="AI53" i="154" s="1"/>
  <c r="Y53" i="154" s="1"/>
  <c r="Z53" i="154"/>
  <c r="X53" i="154"/>
  <c r="Q53" i="154"/>
  <c r="P53" i="154"/>
  <c r="I53" i="154"/>
  <c r="H53" i="154"/>
  <c r="E53" i="154"/>
  <c r="AE52" i="154"/>
  <c r="AI52" i="154" s="1"/>
  <c r="Y52" i="154" s="1"/>
  <c r="Z52" i="154"/>
  <c r="X52" i="154"/>
  <c r="Q52" i="154"/>
  <c r="P52" i="154"/>
  <c r="I52" i="154"/>
  <c r="H52" i="154"/>
  <c r="E52" i="154"/>
  <c r="AD51" i="154"/>
  <c r="AC51" i="154"/>
  <c r="AB51" i="154"/>
  <c r="AE51" i="154" s="1"/>
  <c r="AI51" i="154" s="1"/>
  <c r="Y51" i="154" s="1"/>
  <c r="Z51" i="154"/>
  <c r="X51" i="154"/>
  <c r="Q51" i="154"/>
  <c r="P51" i="154"/>
  <c r="H51" i="154"/>
  <c r="E51" i="154"/>
  <c r="I51" i="154" s="1"/>
  <c r="AE50" i="154"/>
  <c r="AI50" i="154" s="1"/>
  <c r="Y50" i="154" s="1"/>
  <c r="AD50" i="154"/>
  <c r="AC50" i="154"/>
  <c r="AB50" i="154"/>
  <c r="Z50" i="154"/>
  <c r="X50" i="154"/>
  <c r="Q50" i="154"/>
  <c r="P50" i="154"/>
  <c r="I50" i="154"/>
  <c r="H50" i="154"/>
  <c r="E50" i="154"/>
  <c r="AE49" i="154"/>
  <c r="AI49" i="154" s="1"/>
  <c r="Y49" i="154" s="1"/>
  <c r="Z49" i="154"/>
  <c r="X49" i="154"/>
  <c r="Q49" i="154"/>
  <c r="P49" i="154"/>
  <c r="H49" i="154"/>
  <c r="E49" i="154"/>
  <c r="I49" i="154" s="1"/>
  <c r="AE48" i="154"/>
  <c r="AI48" i="154" s="1"/>
  <c r="Y48" i="154" s="1"/>
  <c r="Z48" i="154"/>
  <c r="X48" i="154"/>
  <c r="Q48" i="154"/>
  <c r="P48" i="154"/>
  <c r="H48" i="154"/>
  <c r="E48" i="154"/>
  <c r="I48" i="154" s="1"/>
  <c r="AI47" i="154"/>
  <c r="Y47" i="154" s="1"/>
  <c r="AE47" i="154"/>
  <c r="Z47" i="154"/>
  <c r="X47" i="154"/>
  <c r="Q47" i="154"/>
  <c r="P47" i="154"/>
  <c r="I47" i="154"/>
  <c r="H47" i="154"/>
  <c r="E47" i="154"/>
  <c r="AD46" i="154"/>
  <c r="AC46" i="154"/>
  <c r="AB46" i="154"/>
  <c r="AE46" i="154" s="1"/>
  <c r="AI46" i="154" s="1"/>
  <c r="Y46" i="154" s="1"/>
  <c r="Z46" i="154"/>
  <c r="X46" i="154"/>
  <c r="Q46" i="154"/>
  <c r="P46" i="154"/>
  <c r="I46" i="154"/>
  <c r="H46" i="154"/>
  <c r="E46" i="154"/>
  <c r="AD45" i="154"/>
  <c r="AC45" i="154"/>
  <c r="AE45" i="154" s="1"/>
  <c r="AI45" i="154" s="1"/>
  <c r="Y45" i="154" s="1"/>
  <c r="AB45" i="154"/>
  <c r="Z45" i="154"/>
  <c r="X45" i="154"/>
  <c r="Q45" i="154"/>
  <c r="P45" i="154"/>
  <c r="I45" i="154"/>
  <c r="H45" i="154"/>
  <c r="E45" i="154"/>
  <c r="AE44" i="154"/>
  <c r="AI44" i="154" s="1"/>
  <c r="Y44" i="154" s="1"/>
  <c r="AD44" i="154"/>
  <c r="AC44" i="154"/>
  <c r="AB44" i="154"/>
  <c r="Z44" i="154"/>
  <c r="X44" i="154"/>
  <c r="Q44" i="154"/>
  <c r="P44" i="154"/>
  <c r="H44" i="154"/>
  <c r="E44" i="154"/>
  <c r="I44" i="154" s="1"/>
  <c r="AD43" i="154"/>
  <c r="AC43" i="154"/>
  <c r="AB43" i="154"/>
  <c r="AE43" i="154" s="1"/>
  <c r="AI43" i="154" s="1"/>
  <c r="Y43" i="154" s="1"/>
  <c r="Z43" i="154"/>
  <c r="X43" i="154"/>
  <c r="Q43" i="154"/>
  <c r="P43" i="154"/>
  <c r="H43" i="154"/>
  <c r="E43" i="154"/>
  <c r="I43" i="154" s="1"/>
  <c r="AD42" i="154"/>
  <c r="AE42" i="154" s="1"/>
  <c r="AI42" i="154" s="1"/>
  <c r="Y42" i="154" s="1"/>
  <c r="AC42" i="154"/>
  <c r="AB42" i="154"/>
  <c r="Z42" i="154"/>
  <c r="X42" i="154"/>
  <c r="Q42" i="154"/>
  <c r="P42" i="154"/>
  <c r="H42" i="154"/>
  <c r="E42" i="154"/>
  <c r="I42" i="154" s="1"/>
  <c r="AD41" i="154"/>
  <c r="AC41" i="154"/>
  <c r="AB41" i="154"/>
  <c r="AE41" i="154" s="1"/>
  <c r="AI41" i="154" s="1"/>
  <c r="Y41" i="154" s="1"/>
  <c r="Z41" i="154"/>
  <c r="X41" i="154"/>
  <c r="Q41" i="154"/>
  <c r="P41" i="154"/>
  <c r="I41" i="154"/>
  <c r="H41" i="154"/>
  <c r="E41" i="154"/>
  <c r="AD40" i="154"/>
  <c r="AC40" i="154"/>
  <c r="AB40" i="154"/>
  <c r="AE40" i="154" s="1"/>
  <c r="AI40" i="154" s="1"/>
  <c r="Y40" i="154" s="1"/>
  <c r="Z40" i="154"/>
  <c r="X40" i="154"/>
  <c r="Q40" i="154"/>
  <c r="P40" i="154"/>
  <c r="I40" i="154"/>
  <c r="H40" i="154"/>
  <c r="E40" i="154"/>
  <c r="AD39" i="154"/>
  <c r="AC39" i="154"/>
  <c r="AB39" i="154"/>
  <c r="AE39" i="154" s="1"/>
  <c r="AI39" i="154" s="1"/>
  <c r="Y39" i="154" s="1"/>
  <c r="Z39" i="154"/>
  <c r="X39" i="154"/>
  <c r="Q39" i="154"/>
  <c r="P39" i="154"/>
  <c r="I39" i="154"/>
  <c r="H39" i="154"/>
  <c r="E39" i="154"/>
  <c r="AD38" i="154"/>
  <c r="AC38" i="154"/>
  <c r="AB38" i="154"/>
  <c r="AE38" i="154" s="1"/>
  <c r="AI38" i="154" s="1"/>
  <c r="Y38" i="154" s="1"/>
  <c r="Z38" i="154"/>
  <c r="X38" i="154"/>
  <c r="Q38" i="154"/>
  <c r="P38" i="154"/>
  <c r="H38" i="154"/>
  <c r="E38" i="154"/>
  <c r="I38" i="154" s="1"/>
  <c r="AE37" i="154"/>
  <c r="AI37" i="154" s="1"/>
  <c r="Y37" i="154" s="1"/>
  <c r="AD37" i="154"/>
  <c r="AC37" i="154"/>
  <c r="AB37" i="154"/>
  <c r="Z37" i="154"/>
  <c r="X37" i="154"/>
  <c r="Q37" i="154"/>
  <c r="P37" i="154"/>
  <c r="H37" i="154"/>
  <c r="E37" i="154"/>
  <c r="I37" i="154" s="1"/>
  <c r="AD36" i="154"/>
  <c r="AC36" i="154"/>
  <c r="AB36" i="154"/>
  <c r="AE36" i="154" s="1"/>
  <c r="AI36" i="154" s="1"/>
  <c r="Y36" i="154" s="1"/>
  <c r="Z36" i="154"/>
  <c r="X36" i="154"/>
  <c r="Q36" i="154"/>
  <c r="P36" i="154"/>
  <c r="H36" i="154"/>
  <c r="E36" i="154"/>
  <c r="I36" i="154" s="1"/>
  <c r="AE35" i="154"/>
  <c r="AI35" i="154" s="1"/>
  <c r="Y35" i="154" s="1"/>
  <c r="AD35" i="154"/>
  <c r="AC35" i="154"/>
  <c r="AB35" i="154"/>
  <c r="Z35" i="154"/>
  <c r="X35" i="154"/>
  <c r="Q35" i="154"/>
  <c r="P35" i="154"/>
  <c r="H35" i="154"/>
  <c r="E35" i="154"/>
  <c r="I35" i="154" s="1"/>
  <c r="AE34" i="154"/>
  <c r="AI34" i="154" s="1"/>
  <c r="Y34" i="154" s="1"/>
  <c r="AD34" i="154"/>
  <c r="AC34" i="154"/>
  <c r="AB34" i="154"/>
  <c r="Z34" i="154"/>
  <c r="X34" i="154"/>
  <c r="Q34" i="154"/>
  <c r="P34" i="154"/>
  <c r="I34" i="154"/>
  <c r="H34" i="154"/>
  <c r="E34" i="154"/>
  <c r="AD33" i="154"/>
  <c r="AC33" i="154"/>
  <c r="AB33" i="154"/>
  <c r="AE33" i="154" s="1"/>
  <c r="AI33" i="154" s="1"/>
  <c r="Y33" i="154" s="1"/>
  <c r="Z33" i="154"/>
  <c r="X33" i="154"/>
  <c r="Q33" i="154"/>
  <c r="P33" i="154"/>
  <c r="H33" i="154"/>
  <c r="E33" i="154"/>
  <c r="I33" i="154" s="1"/>
  <c r="AD32" i="154"/>
  <c r="AC32" i="154"/>
  <c r="AB32" i="154"/>
  <c r="AE32" i="154" s="1"/>
  <c r="AI32" i="154" s="1"/>
  <c r="Y32" i="154" s="1"/>
  <c r="Z32" i="154"/>
  <c r="X32" i="154"/>
  <c r="Q32" i="154"/>
  <c r="P32" i="154"/>
  <c r="I32" i="154"/>
  <c r="H32" i="154"/>
  <c r="E32" i="154"/>
  <c r="AE31" i="154"/>
  <c r="AI31" i="154" s="1"/>
  <c r="Y31" i="154" s="1"/>
  <c r="Z31" i="154"/>
  <c r="X31" i="154"/>
  <c r="Q31" i="154"/>
  <c r="P31" i="154"/>
  <c r="I31" i="154"/>
  <c r="H31" i="154"/>
  <c r="E31" i="154"/>
  <c r="AD30" i="154"/>
  <c r="AC30" i="154"/>
  <c r="AE30" i="154" s="1"/>
  <c r="AI30" i="154" s="1"/>
  <c r="Y30" i="154" s="1"/>
  <c r="AB30" i="154"/>
  <c r="Z30" i="154"/>
  <c r="X30" i="154"/>
  <c r="Q30" i="154"/>
  <c r="P30" i="154"/>
  <c r="I30" i="154"/>
  <c r="H30" i="154"/>
  <c r="E30" i="154"/>
  <c r="AE29" i="154"/>
  <c r="AI29" i="154" s="1"/>
  <c r="Y29" i="154" s="1"/>
  <c r="AD29" i="154"/>
  <c r="AC29" i="154"/>
  <c r="AB29" i="154"/>
  <c r="Z29" i="154"/>
  <c r="X29" i="154"/>
  <c r="Q29" i="154"/>
  <c r="P29" i="154"/>
  <c r="H29" i="154"/>
  <c r="E29" i="154"/>
  <c r="I29" i="154" s="1"/>
  <c r="AD28" i="154"/>
  <c r="AC28" i="154"/>
  <c r="AB28" i="154"/>
  <c r="AE28" i="154" s="1"/>
  <c r="AI28" i="154" s="1"/>
  <c r="Y28" i="154" s="1"/>
  <c r="Z28" i="154"/>
  <c r="X28" i="154"/>
  <c r="Q28" i="154"/>
  <c r="P28" i="154"/>
  <c r="H28" i="154"/>
  <c r="E28" i="154"/>
  <c r="I28" i="154" s="1"/>
  <c r="AD27" i="154"/>
  <c r="AE27" i="154" s="1"/>
  <c r="AI27" i="154" s="1"/>
  <c r="Y27" i="154" s="1"/>
  <c r="AC27" i="154"/>
  <c r="AB27" i="154"/>
  <c r="Z27" i="154"/>
  <c r="X27" i="154"/>
  <c r="Q27" i="154"/>
  <c r="P27" i="154"/>
  <c r="H27" i="154"/>
  <c r="E27" i="154"/>
  <c r="I27" i="154" s="1"/>
  <c r="AD26" i="154"/>
  <c r="AC26" i="154"/>
  <c r="AB26" i="154"/>
  <c r="AE26" i="154" s="1"/>
  <c r="AI26" i="154" s="1"/>
  <c r="Y26" i="154" s="1"/>
  <c r="Z26" i="154"/>
  <c r="X26" i="154"/>
  <c r="Q26" i="154"/>
  <c r="P26" i="154"/>
  <c r="I26" i="154"/>
  <c r="H26" i="154"/>
  <c r="E26" i="154"/>
  <c r="AD25" i="154"/>
  <c r="AC25" i="154"/>
  <c r="AB25" i="154"/>
  <c r="AE25" i="154" s="1"/>
  <c r="AI25" i="154" s="1"/>
  <c r="Y25" i="154" s="1"/>
  <c r="Z25" i="154"/>
  <c r="X25" i="154"/>
  <c r="Q25" i="154"/>
  <c r="P25" i="154"/>
  <c r="I25" i="154"/>
  <c r="H25" i="154"/>
  <c r="E25" i="154"/>
  <c r="AD24" i="154"/>
  <c r="AC24" i="154"/>
  <c r="AB24" i="154"/>
  <c r="AE24" i="154" s="1"/>
  <c r="AI24" i="154" s="1"/>
  <c r="Y24" i="154" s="1"/>
  <c r="Z24" i="154"/>
  <c r="X24" i="154"/>
  <c r="Q24" i="154"/>
  <c r="P24" i="154"/>
  <c r="I24" i="154"/>
  <c r="H24" i="154"/>
  <c r="E24" i="154"/>
  <c r="AD23" i="154"/>
  <c r="AC23" i="154"/>
  <c r="AE23" i="154" s="1"/>
  <c r="AI23" i="154" s="1"/>
  <c r="Y23" i="154" s="1"/>
  <c r="AB23" i="154"/>
  <c r="Z23" i="154"/>
  <c r="X23" i="154"/>
  <c r="Q23" i="154"/>
  <c r="P23" i="154"/>
  <c r="H23" i="154"/>
  <c r="E23" i="154"/>
  <c r="I23" i="154" s="1"/>
  <c r="AE22" i="154"/>
  <c r="AI22" i="154" s="1"/>
  <c r="Y22" i="154" s="1"/>
  <c r="AD22" i="154"/>
  <c r="AC22" i="154"/>
  <c r="AB22" i="154"/>
  <c r="Z22" i="154"/>
  <c r="X22" i="154"/>
  <c r="Q22" i="154"/>
  <c r="P22" i="154"/>
  <c r="H22" i="154"/>
  <c r="E22" i="154"/>
  <c r="I22" i="154" s="1"/>
  <c r="AD21" i="154"/>
  <c r="AC21" i="154"/>
  <c r="AB21" i="154"/>
  <c r="AE21" i="154" s="1"/>
  <c r="AI21" i="154" s="1"/>
  <c r="Y21" i="154" s="1"/>
  <c r="Z21" i="154"/>
  <c r="X21" i="154"/>
  <c r="Q21" i="154"/>
  <c r="P21" i="154"/>
  <c r="H21" i="154"/>
  <c r="E21" i="154"/>
  <c r="I21" i="154" s="1"/>
  <c r="AE20" i="154"/>
  <c r="AI20" i="154" s="1"/>
  <c r="Y20" i="154" s="1"/>
  <c r="AD20" i="154"/>
  <c r="AC20" i="154"/>
  <c r="AB20" i="154"/>
  <c r="Z20" i="154"/>
  <c r="X20" i="154"/>
  <c r="Q20" i="154"/>
  <c r="P20" i="154"/>
  <c r="H20" i="154"/>
  <c r="E20" i="154"/>
  <c r="I20" i="154" s="1"/>
  <c r="AE19" i="154"/>
  <c r="AI19" i="154" s="1"/>
  <c r="Y19" i="154" s="1"/>
  <c r="AD19" i="154"/>
  <c r="AC19" i="154"/>
  <c r="AB19" i="154"/>
  <c r="Z19" i="154"/>
  <c r="X19" i="154"/>
  <c r="Q19" i="154"/>
  <c r="P19" i="154"/>
  <c r="I19" i="154"/>
  <c r="H19" i="154"/>
  <c r="E19" i="154"/>
  <c r="AD18" i="154"/>
  <c r="AC18" i="154"/>
  <c r="AB18" i="154"/>
  <c r="AE18" i="154" s="1"/>
  <c r="AI18" i="154" s="1"/>
  <c r="Y18" i="154" s="1"/>
  <c r="Z18" i="154"/>
  <c r="X18" i="154"/>
  <c r="Q18" i="154"/>
  <c r="P18" i="154"/>
  <c r="H18" i="154"/>
  <c r="E18" i="154"/>
  <c r="I18" i="154" s="1"/>
  <c r="AD17" i="154"/>
  <c r="AE17" i="154" s="1"/>
  <c r="AI17" i="154" s="1"/>
  <c r="Y17" i="154" s="1"/>
  <c r="AC17" i="154"/>
  <c r="AB17" i="154"/>
  <c r="Z17" i="154"/>
  <c r="X17" i="154"/>
  <c r="Q17" i="154"/>
  <c r="P17" i="154"/>
  <c r="I17" i="154"/>
  <c r="H17" i="154"/>
  <c r="E17" i="154"/>
  <c r="AD16" i="154"/>
  <c r="AC16" i="154"/>
  <c r="AE16" i="154" s="1"/>
  <c r="AI16" i="154" s="1"/>
  <c r="Y16" i="154" s="1"/>
  <c r="AB16" i="154"/>
  <c r="Z16" i="154"/>
  <c r="X16" i="154"/>
  <c r="Q16" i="154"/>
  <c r="P16" i="154"/>
  <c r="I16" i="154"/>
  <c r="E16" i="154"/>
  <c r="AE15" i="154"/>
  <c r="AI15" i="154" s="1"/>
  <c r="Y15" i="154" s="1"/>
  <c r="AD15" i="154"/>
  <c r="AC15" i="154"/>
  <c r="AB15" i="154"/>
  <c r="Z15" i="154"/>
  <c r="X15" i="154"/>
  <c r="T77" i="154" s="1"/>
  <c r="Q15" i="154"/>
  <c r="P15" i="154"/>
  <c r="E15" i="154"/>
  <c r="I15" i="154" s="1"/>
  <c r="AD14" i="154"/>
  <c r="AC14" i="154"/>
  <c r="AE14" i="154" s="1"/>
  <c r="AI14" i="154" s="1"/>
  <c r="Y14" i="154" s="1"/>
  <c r="AB14" i="154"/>
  <c r="Z14" i="154"/>
  <c r="X14" i="154"/>
  <c r="Q14" i="154"/>
  <c r="O75" i="154" s="1"/>
  <c r="P14" i="154"/>
  <c r="I14" i="154"/>
  <c r="H14" i="154"/>
  <c r="E14" i="154"/>
  <c r="AD13" i="154"/>
  <c r="AC13" i="154"/>
  <c r="AB13" i="154"/>
  <c r="AE13" i="154" s="1"/>
  <c r="AI13" i="154" s="1"/>
  <c r="Y13" i="154" s="1"/>
  <c r="Z13" i="154"/>
  <c r="X13" i="154"/>
  <c r="Q13" i="154"/>
  <c r="P13" i="154"/>
  <c r="H13" i="154"/>
  <c r="E13" i="154"/>
  <c r="I13" i="154" s="1"/>
  <c r="AE12" i="154"/>
  <c r="AI12" i="154" s="1"/>
  <c r="Y12" i="154" s="1"/>
  <c r="AD12" i="154"/>
  <c r="AC12" i="154"/>
  <c r="AB12" i="154"/>
  <c r="Z12" i="154"/>
  <c r="T75" i="154" s="1"/>
  <c r="X12" i="154"/>
  <c r="Q12" i="154"/>
  <c r="O73" i="154" s="1"/>
  <c r="P12" i="154"/>
  <c r="H12" i="154"/>
  <c r="E12" i="154"/>
  <c r="I12" i="154" s="1"/>
  <c r="F77" i="155" l="1"/>
  <c r="F75" i="154"/>
  <c r="F73" i="154"/>
  <c r="T73" i="154"/>
  <c r="T79" i="154" s="1"/>
  <c r="M79" i="153"/>
  <c r="W73" i="153"/>
  <c r="P71" i="153"/>
  <c r="H71" i="153"/>
  <c r="Q70" i="153"/>
  <c r="P70" i="153"/>
  <c r="H70" i="153"/>
  <c r="E70" i="153"/>
  <c r="I70" i="153" s="1"/>
  <c r="Q69" i="153"/>
  <c r="P69" i="153"/>
  <c r="H69" i="153"/>
  <c r="E69" i="153"/>
  <c r="I69" i="153" s="1"/>
  <c r="AD68" i="153"/>
  <c r="AC68" i="153"/>
  <c r="AB68" i="153"/>
  <c r="AE68" i="153" s="1"/>
  <c r="AI68" i="153" s="1"/>
  <c r="Y68" i="153" s="1"/>
  <c r="Z68" i="153"/>
  <c r="X68" i="153"/>
  <c r="W68" i="153"/>
  <c r="Q68" i="153"/>
  <c r="P68" i="153"/>
  <c r="H68" i="153"/>
  <c r="E68" i="153"/>
  <c r="I68" i="153" s="1"/>
  <c r="AE67" i="153"/>
  <c r="AI67" i="153" s="1"/>
  <c r="Y67" i="153" s="1"/>
  <c r="AD67" i="153"/>
  <c r="AC67" i="153"/>
  <c r="AB67" i="153"/>
  <c r="Z67" i="153"/>
  <c r="X67" i="153"/>
  <c r="Q67" i="153"/>
  <c r="P67" i="153"/>
  <c r="H67" i="153"/>
  <c r="E67" i="153"/>
  <c r="I67" i="153" s="1"/>
  <c r="AE66" i="153"/>
  <c r="AI66" i="153" s="1"/>
  <c r="Y66" i="153" s="1"/>
  <c r="AD66" i="153"/>
  <c r="AC66" i="153"/>
  <c r="AB66" i="153"/>
  <c r="Z66" i="153"/>
  <c r="X66" i="153"/>
  <c r="Q66" i="153"/>
  <c r="P66" i="153"/>
  <c r="H66" i="153"/>
  <c r="E66" i="153"/>
  <c r="I66" i="153" s="1"/>
  <c r="AD65" i="153"/>
  <c r="AC65" i="153"/>
  <c r="AB65" i="153"/>
  <c r="AE65" i="153" s="1"/>
  <c r="AI65" i="153" s="1"/>
  <c r="Y65" i="153" s="1"/>
  <c r="Z65" i="153"/>
  <c r="X65" i="153"/>
  <c r="Q65" i="153"/>
  <c r="P65" i="153"/>
  <c r="H65" i="153"/>
  <c r="E65" i="153"/>
  <c r="I65" i="153" s="1"/>
  <c r="AD64" i="153"/>
  <c r="AC64" i="153"/>
  <c r="AB64" i="153"/>
  <c r="AE64" i="153" s="1"/>
  <c r="AI64" i="153" s="1"/>
  <c r="Y64" i="153" s="1"/>
  <c r="Z64" i="153"/>
  <c r="X64" i="153"/>
  <c r="Q64" i="153"/>
  <c r="P64" i="153"/>
  <c r="H64" i="153"/>
  <c r="E64" i="153"/>
  <c r="I64" i="153" s="1"/>
  <c r="AE63" i="153"/>
  <c r="AI63" i="153" s="1"/>
  <c r="Y63" i="153" s="1"/>
  <c r="AD63" i="153"/>
  <c r="AC63" i="153"/>
  <c r="AB63" i="153"/>
  <c r="Z63" i="153"/>
  <c r="X63" i="153"/>
  <c r="Q63" i="153"/>
  <c r="P63" i="153"/>
  <c r="I63" i="153"/>
  <c r="H63" i="153"/>
  <c r="E63" i="153"/>
  <c r="AD62" i="153"/>
  <c r="AC62" i="153"/>
  <c r="AB62" i="153"/>
  <c r="AE62" i="153" s="1"/>
  <c r="AI62" i="153" s="1"/>
  <c r="Y62" i="153" s="1"/>
  <c r="Z62" i="153"/>
  <c r="X62" i="153"/>
  <c r="Q62" i="153"/>
  <c r="P62" i="153"/>
  <c r="H62" i="153"/>
  <c r="E62" i="153"/>
  <c r="I62" i="153" s="1"/>
  <c r="AI61" i="153"/>
  <c r="Y61" i="153" s="1"/>
  <c r="AE61" i="153"/>
  <c r="AC61" i="153"/>
  <c r="AB61" i="153"/>
  <c r="X61" i="153"/>
  <c r="Q61" i="153"/>
  <c r="P61" i="153"/>
  <c r="I61" i="153"/>
  <c r="H61" i="153"/>
  <c r="E61" i="153"/>
  <c r="AI60" i="153"/>
  <c r="AE60" i="153"/>
  <c r="Y60" i="153"/>
  <c r="X60" i="153"/>
  <c r="Q60" i="153"/>
  <c r="P60" i="153"/>
  <c r="I60" i="153"/>
  <c r="H60" i="153"/>
  <c r="E60" i="153"/>
  <c r="AC59" i="153"/>
  <c r="AB59" i="153"/>
  <c r="AE59" i="153" s="1"/>
  <c r="AI59" i="153" s="1"/>
  <c r="Y59" i="153" s="1"/>
  <c r="X59" i="153"/>
  <c r="Q59" i="153"/>
  <c r="P59" i="153"/>
  <c r="H59" i="153"/>
  <c r="E59" i="153"/>
  <c r="I59" i="153" s="1"/>
  <c r="AI58" i="153"/>
  <c r="Y58" i="153" s="1"/>
  <c r="AE58" i="153"/>
  <c r="AC58" i="153"/>
  <c r="AB58" i="153"/>
  <c r="X58" i="153"/>
  <c r="Q58" i="153"/>
  <c r="P58" i="153"/>
  <c r="I58" i="153"/>
  <c r="E58" i="153"/>
  <c r="AC57" i="153"/>
  <c r="AB57" i="153"/>
  <c r="AE57" i="153" s="1"/>
  <c r="AI57" i="153" s="1"/>
  <c r="Y57" i="153" s="1"/>
  <c r="X57" i="153"/>
  <c r="Q57" i="153"/>
  <c r="P57" i="153"/>
  <c r="I57" i="153"/>
  <c r="H57" i="153"/>
  <c r="E57" i="153"/>
  <c r="AD56" i="153"/>
  <c r="AC56" i="153"/>
  <c r="AE56" i="153" s="1"/>
  <c r="AI56" i="153" s="1"/>
  <c r="Y56" i="153" s="1"/>
  <c r="AB56" i="153"/>
  <c r="Z56" i="153"/>
  <c r="X56" i="153"/>
  <c r="Q56" i="153"/>
  <c r="P56" i="153"/>
  <c r="H56" i="153"/>
  <c r="E56" i="153"/>
  <c r="I56" i="153" s="1"/>
  <c r="AD55" i="153"/>
  <c r="AC55" i="153"/>
  <c r="AB55" i="153"/>
  <c r="AE55" i="153" s="1"/>
  <c r="AI55" i="153" s="1"/>
  <c r="Y55" i="153" s="1"/>
  <c r="Z55" i="153"/>
  <c r="X55" i="153"/>
  <c r="Q55" i="153"/>
  <c r="P55" i="153"/>
  <c r="H55" i="153"/>
  <c r="E55" i="153"/>
  <c r="I55" i="153" s="1"/>
  <c r="AE54" i="153"/>
  <c r="AI54" i="153" s="1"/>
  <c r="Y54" i="153" s="1"/>
  <c r="AD54" i="153"/>
  <c r="AC54" i="153"/>
  <c r="AB54" i="153"/>
  <c r="Z54" i="153"/>
  <c r="X54" i="153"/>
  <c r="Q54" i="153"/>
  <c r="P54" i="153"/>
  <c r="H54" i="153"/>
  <c r="E54" i="153"/>
  <c r="I54" i="153" s="1"/>
  <c r="AD53" i="153"/>
  <c r="AC53" i="153"/>
  <c r="AB53" i="153"/>
  <c r="AE53" i="153" s="1"/>
  <c r="AI53" i="153" s="1"/>
  <c r="Y53" i="153" s="1"/>
  <c r="Z53" i="153"/>
  <c r="X53" i="153"/>
  <c r="Q53" i="153"/>
  <c r="P53" i="153"/>
  <c r="H53" i="153"/>
  <c r="E53" i="153"/>
  <c r="I53" i="153" s="1"/>
  <c r="AE52" i="153"/>
  <c r="AI52" i="153" s="1"/>
  <c r="Y52" i="153" s="1"/>
  <c r="Z52" i="153"/>
  <c r="X52" i="153"/>
  <c r="Q52" i="153"/>
  <c r="P52" i="153"/>
  <c r="I52" i="153"/>
  <c r="H52" i="153"/>
  <c r="E52" i="153"/>
  <c r="AD51" i="153"/>
  <c r="AC51" i="153"/>
  <c r="AB51" i="153"/>
  <c r="AE51" i="153" s="1"/>
  <c r="AI51" i="153" s="1"/>
  <c r="Y51" i="153" s="1"/>
  <c r="Z51" i="153"/>
  <c r="X51" i="153"/>
  <c r="Q51" i="153"/>
  <c r="P51" i="153"/>
  <c r="H51" i="153"/>
  <c r="E51" i="153"/>
  <c r="I51" i="153" s="1"/>
  <c r="AI50" i="153"/>
  <c r="Y50" i="153" s="1"/>
  <c r="AE50" i="153"/>
  <c r="AD50" i="153"/>
  <c r="AC50" i="153"/>
  <c r="AB50" i="153"/>
  <c r="Z50" i="153"/>
  <c r="X50" i="153"/>
  <c r="Q50" i="153"/>
  <c r="P50" i="153"/>
  <c r="H50" i="153"/>
  <c r="E50" i="153"/>
  <c r="I50" i="153" s="1"/>
  <c r="AE49" i="153"/>
  <c r="AI49" i="153" s="1"/>
  <c r="Y49" i="153" s="1"/>
  <c r="Z49" i="153"/>
  <c r="X49" i="153"/>
  <c r="Q49" i="153"/>
  <c r="P49" i="153"/>
  <c r="H49" i="153"/>
  <c r="E49" i="153"/>
  <c r="I49" i="153" s="1"/>
  <c r="AE48" i="153"/>
  <c r="AI48" i="153" s="1"/>
  <c r="Y48" i="153" s="1"/>
  <c r="Z48" i="153"/>
  <c r="X48" i="153"/>
  <c r="Q48" i="153"/>
  <c r="P48" i="153"/>
  <c r="H48" i="153"/>
  <c r="E48" i="153"/>
  <c r="I48" i="153" s="1"/>
  <c r="AI47" i="153"/>
  <c r="Y47" i="153" s="1"/>
  <c r="AE47" i="153"/>
  <c r="Z47" i="153"/>
  <c r="X47" i="153"/>
  <c r="Q47" i="153"/>
  <c r="P47" i="153"/>
  <c r="I47" i="153"/>
  <c r="H47" i="153"/>
  <c r="E47" i="153"/>
  <c r="AD46" i="153"/>
  <c r="AC46" i="153"/>
  <c r="AB46" i="153"/>
  <c r="AE46" i="153" s="1"/>
  <c r="AI46" i="153" s="1"/>
  <c r="Y46" i="153" s="1"/>
  <c r="Z46" i="153"/>
  <c r="X46" i="153"/>
  <c r="Q46" i="153"/>
  <c r="P46" i="153"/>
  <c r="I46" i="153"/>
  <c r="H46" i="153"/>
  <c r="E46" i="153"/>
  <c r="AD45" i="153"/>
  <c r="AC45" i="153"/>
  <c r="AB45" i="153"/>
  <c r="AE45" i="153" s="1"/>
  <c r="AI45" i="153" s="1"/>
  <c r="Y45" i="153" s="1"/>
  <c r="Z45" i="153"/>
  <c r="X45" i="153"/>
  <c r="Q45" i="153"/>
  <c r="P45" i="153"/>
  <c r="I45" i="153"/>
  <c r="H45" i="153"/>
  <c r="E45" i="153"/>
  <c r="AD44" i="153"/>
  <c r="AC44" i="153"/>
  <c r="AE44" i="153" s="1"/>
  <c r="AI44" i="153" s="1"/>
  <c r="Y44" i="153" s="1"/>
  <c r="AB44" i="153"/>
  <c r="Z44" i="153"/>
  <c r="X44" i="153"/>
  <c r="Q44" i="153"/>
  <c r="P44" i="153"/>
  <c r="H44" i="153"/>
  <c r="E44" i="153"/>
  <c r="I44" i="153" s="1"/>
  <c r="AE43" i="153"/>
  <c r="AI43" i="153" s="1"/>
  <c r="Y43" i="153" s="1"/>
  <c r="AD43" i="153"/>
  <c r="AC43" i="153"/>
  <c r="AB43" i="153"/>
  <c r="Z43" i="153"/>
  <c r="X43" i="153"/>
  <c r="Q43" i="153"/>
  <c r="P43" i="153"/>
  <c r="H43" i="153"/>
  <c r="E43" i="153"/>
  <c r="I43" i="153" s="1"/>
  <c r="AE42" i="153"/>
  <c r="AI42" i="153" s="1"/>
  <c r="Y42" i="153" s="1"/>
  <c r="AD42" i="153"/>
  <c r="AC42" i="153"/>
  <c r="AB42" i="153"/>
  <c r="Z42" i="153"/>
  <c r="X42" i="153"/>
  <c r="Q42" i="153"/>
  <c r="P42" i="153"/>
  <c r="H42" i="153"/>
  <c r="E42" i="153"/>
  <c r="I42" i="153" s="1"/>
  <c r="AD41" i="153"/>
  <c r="AC41" i="153"/>
  <c r="AB41" i="153"/>
  <c r="AE41" i="153" s="1"/>
  <c r="AI41" i="153" s="1"/>
  <c r="Y41" i="153" s="1"/>
  <c r="Z41" i="153"/>
  <c r="X41" i="153"/>
  <c r="Q41" i="153"/>
  <c r="P41" i="153"/>
  <c r="H41" i="153"/>
  <c r="E41" i="153"/>
  <c r="I41" i="153" s="1"/>
  <c r="AD40" i="153"/>
  <c r="AC40" i="153"/>
  <c r="AB40" i="153"/>
  <c r="AE40" i="153" s="1"/>
  <c r="AI40" i="153" s="1"/>
  <c r="Y40" i="153" s="1"/>
  <c r="Z40" i="153"/>
  <c r="X40" i="153"/>
  <c r="Q40" i="153"/>
  <c r="P40" i="153"/>
  <c r="I40" i="153"/>
  <c r="H40" i="153"/>
  <c r="E40" i="153"/>
  <c r="AD39" i="153"/>
  <c r="AE39" i="153" s="1"/>
  <c r="AI39" i="153" s="1"/>
  <c r="Y39" i="153" s="1"/>
  <c r="AC39" i="153"/>
  <c r="AB39" i="153"/>
  <c r="Z39" i="153"/>
  <c r="X39" i="153"/>
  <c r="Q39" i="153"/>
  <c r="P39" i="153"/>
  <c r="I39" i="153"/>
  <c r="H39" i="153"/>
  <c r="E39" i="153"/>
  <c r="AD38" i="153"/>
  <c r="AC38" i="153"/>
  <c r="AB38" i="153"/>
  <c r="AE38" i="153" s="1"/>
  <c r="AI38" i="153" s="1"/>
  <c r="Y38" i="153" s="1"/>
  <c r="Z38" i="153"/>
  <c r="X38" i="153"/>
  <c r="Q38" i="153"/>
  <c r="P38" i="153"/>
  <c r="H38" i="153"/>
  <c r="E38" i="153"/>
  <c r="I38" i="153" s="1"/>
  <c r="AI37" i="153"/>
  <c r="Y37" i="153" s="1"/>
  <c r="AE37" i="153"/>
  <c r="AD37" i="153"/>
  <c r="AC37" i="153"/>
  <c r="AB37" i="153"/>
  <c r="Z37" i="153"/>
  <c r="X37" i="153"/>
  <c r="Q37" i="153"/>
  <c r="P37" i="153"/>
  <c r="H37" i="153"/>
  <c r="E37" i="153"/>
  <c r="I37" i="153" s="1"/>
  <c r="AD36" i="153"/>
  <c r="AC36" i="153"/>
  <c r="AE36" i="153" s="1"/>
  <c r="AI36" i="153" s="1"/>
  <c r="Y36" i="153" s="1"/>
  <c r="AB36" i="153"/>
  <c r="Z36" i="153"/>
  <c r="X36" i="153"/>
  <c r="Q36" i="153"/>
  <c r="P36" i="153"/>
  <c r="I36" i="153"/>
  <c r="H36" i="153"/>
  <c r="E36" i="153"/>
  <c r="AD35" i="153"/>
  <c r="AC35" i="153"/>
  <c r="AB35" i="153"/>
  <c r="AE35" i="153" s="1"/>
  <c r="AI35" i="153" s="1"/>
  <c r="Y35" i="153" s="1"/>
  <c r="Z35" i="153"/>
  <c r="X35" i="153"/>
  <c r="Q35" i="153"/>
  <c r="P35" i="153"/>
  <c r="H35" i="153"/>
  <c r="E35" i="153"/>
  <c r="I35" i="153" s="1"/>
  <c r="AE34" i="153"/>
  <c r="AI34" i="153" s="1"/>
  <c r="Y34" i="153" s="1"/>
  <c r="AD34" i="153"/>
  <c r="AC34" i="153"/>
  <c r="AB34" i="153"/>
  <c r="Z34" i="153"/>
  <c r="X34" i="153"/>
  <c r="Q34" i="153"/>
  <c r="P34" i="153"/>
  <c r="I34" i="153"/>
  <c r="H34" i="153"/>
  <c r="E34" i="153"/>
  <c r="AD33" i="153"/>
  <c r="AC33" i="153"/>
  <c r="AB33" i="153"/>
  <c r="AE33" i="153" s="1"/>
  <c r="AI33" i="153" s="1"/>
  <c r="Y33" i="153" s="1"/>
  <c r="Z33" i="153"/>
  <c r="X33" i="153"/>
  <c r="Q33" i="153"/>
  <c r="P33" i="153"/>
  <c r="H33" i="153"/>
  <c r="E33" i="153"/>
  <c r="I33" i="153" s="1"/>
  <c r="AD32" i="153"/>
  <c r="AE32" i="153" s="1"/>
  <c r="AI32" i="153" s="1"/>
  <c r="Y32" i="153" s="1"/>
  <c r="AC32" i="153"/>
  <c r="AB32" i="153"/>
  <c r="Z32" i="153"/>
  <c r="X32" i="153"/>
  <c r="Q32" i="153"/>
  <c r="P32" i="153"/>
  <c r="H32" i="153"/>
  <c r="E32" i="153"/>
  <c r="I32" i="153" s="1"/>
  <c r="AI31" i="153"/>
  <c r="Y31" i="153" s="1"/>
  <c r="AE31" i="153"/>
  <c r="Z31" i="153"/>
  <c r="X31" i="153"/>
  <c r="Q31" i="153"/>
  <c r="P31" i="153"/>
  <c r="I31" i="153"/>
  <c r="H31" i="153"/>
  <c r="E31" i="153"/>
  <c r="AD30" i="153"/>
  <c r="AC30" i="153"/>
  <c r="AB30" i="153"/>
  <c r="AE30" i="153" s="1"/>
  <c r="AI30" i="153" s="1"/>
  <c r="Y30" i="153" s="1"/>
  <c r="Z30" i="153"/>
  <c r="X30" i="153"/>
  <c r="Q30" i="153"/>
  <c r="P30" i="153"/>
  <c r="I30" i="153"/>
  <c r="H30" i="153"/>
  <c r="E30" i="153"/>
  <c r="AD29" i="153"/>
  <c r="AC29" i="153"/>
  <c r="AE29" i="153" s="1"/>
  <c r="AI29" i="153" s="1"/>
  <c r="Y29" i="153" s="1"/>
  <c r="AB29" i="153"/>
  <c r="Z29" i="153"/>
  <c r="X29" i="153"/>
  <c r="Q29" i="153"/>
  <c r="P29" i="153"/>
  <c r="H29" i="153"/>
  <c r="E29" i="153"/>
  <c r="I29" i="153" s="1"/>
  <c r="AE28" i="153"/>
  <c r="AI28" i="153" s="1"/>
  <c r="Y28" i="153" s="1"/>
  <c r="AD28" i="153"/>
  <c r="AC28" i="153"/>
  <c r="AB28" i="153"/>
  <c r="Z28" i="153"/>
  <c r="X28" i="153"/>
  <c r="Q28" i="153"/>
  <c r="P28" i="153"/>
  <c r="H28" i="153"/>
  <c r="E28" i="153"/>
  <c r="I28" i="153" s="1"/>
  <c r="AE27" i="153"/>
  <c r="AI27" i="153" s="1"/>
  <c r="Y27" i="153" s="1"/>
  <c r="AD27" i="153"/>
  <c r="AC27" i="153"/>
  <c r="AB27" i="153"/>
  <c r="Z27" i="153"/>
  <c r="X27" i="153"/>
  <c r="Q27" i="153"/>
  <c r="P27" i="153"/>
  <c r="H27" i="153"/>
  <c r="E27" i="153"/>
  <c r="I27" i="153" s="1"/>
  <c r="AD26" i="153"/>
  <c r="AC26" i="153"/>
  <c r="AB26" i="153"/>
  <c r="AE26" i="153" s="1"/>
  <c r="AI26" i="153" s="1"/>
  <c r="Y26" i="153" s="1"/>
  <c r="Z26" i="153"/>
  <c r="X26" i="153"/>
  <c r="Q26" i="153"/>
  <c r="P26" i="153"/>
  <c r="H26" i="153"/>
  <c r="E26" i="153"/>
  <c r="I26" i="153" s="1"/>
  <c r="AD25" i="153"/>
  <c r="AC25" i="153"/>
  <c r="AB25" i="153"/>
  <c r="AE25" i="153" s="1"/>
  <c r="AI25" i="153" s="1"/>
  <c r="Y25" i="153" s="1"/>
  <c r="Z25" i="153"/>
  <c r="X25" i="153"/>
  <c r="Q25" i="153"/>
  <c r="P25" i="153"/>
  <c r="I25" i="153"/>
  <c r="H25" i="153"/>
  <c r="E25" i="153"/>
  <c r="AD24" i="153"/>
  <c r="AE24" i="153" s="1"/>
  <c r="AI24" i="153" s="1"/>
  <c r="Y24" i="153" s="1"/>
  <c r="AC24" i="153"/>
  <c r="AB24" i="153"/>
  <c r="Z24" i="153"/>
  <c r="X24" i="153"/>
  <c r="Q24" i="153"/>
  <c r="P24" i="153"/>
  <c r="I24" i="153"/>
  <c r="H24" i="153"/>
  <c r="E24" i="153"/>
  <c r="AD23" i="153"/>
  <c r="AC23" i="153"/>
  <c r="AB23" i="153"/>
  <c r="AE23" i="153" s="1"/>
  <c r="AI23" i="153" s="1"/>
  <c r="Y23" i="153" s="1"/>
  <c r="Z23" i="153"/>
  <c r="X23" i="153"/>
  <c r="Q23" i="153"/>
  <c r="P23" i="153"/>
  <c r="H23" i="153"/>
  <c r="E23" i="153"/>
  <c r="I23" i="153" s="1"/>
  <c r="AI22" i="153"/>
  <c r="Y22" i="153" s="1"/>
  <c r="AE22" i="153"/>
  <c r="AD22" i="153"/>
  <c r="AC22" i="153"/>
  <c r="AB22" i="153"/>
  <c r="Z22" i="153"/>
  <c r="X22" i="153"/>
  <c r="Q22" i="153"/>
  <c r="P22" i="153"/>
  <c r="H22" i="153"/>
  <c r="E22" i="153"/>
  <c r="I22" i="153" s="1"/>
  <c r="AD21" i="153"/>
  <c r="AC21" i="153"/>
  <c r="AB21" i="153"/>
  <c r="AE21" i="153" s="1"/>
  <c r="AI21" i="153" s="1"/>
  <c r="Y21" i="153" s="1"/>
  <c r="Z21" i="153"/>
  <c r="X21" i="153"/>
  <c r="Q21" i="153"/>
  <c r="P21" i="153"/>
  <c r="I21" i="153"/>
  <c r="H21" i="153"/>
  <c r="E21" i="153"/>
  <c r="AD20" i="153"/>
  <c r="AC20" i="153"/>
  <c r="AB20" i="153"/>
  <c r="AE20" i="153" s="1"/>
  <c r="AI20" i="153" s="1"/>
  <c r="Y20" i="153" s="1"/>
  <c r="Z20" i="153"/>
  <c r="X20" i="153"/>
  <c r="Q20" i="153"/>
  <c r="P20" i="153"/>
  <c r="H20" i="153"/>
  <c r="E20" i="153"/>
  <c r="I20" i="153" s="1"/>
  <c r="AE19" i="153"/>
  <c r="AI19" i="153" s="1"/>
  <c r="Y19" i="153" s="1"/>
  <c r="AD19" i="153"/>
  <c r="AC19" i="153"/>
  <c r="AB19" i="153"/>
  <c r="Z19" i="153"/>
  <c r="X19" i="153"/>
  <c r="Q19" i="153"/>
  <c r="P19" i="153"/>
  <c r="I19" i="153"/>
  <c r="H19" i="153"/>
  <c r="E19" i="153"/>
  <c r="AD18" i="153"/>
  <c r="AC18" i="153"/>
  <c r="AB18" i="153"/>
  <c r="AE18" i="153" s="1"/>
  <c r="AI18" i="153" s="1"/>
  <c r="Y18" i="153" s="1"/>
  <c r="Z18" i="153"/>
  <c r="X18" i="153"/>
  <c r="Q18" i="153"/>
  <c r="P18" i="153"/>
  <c r="H18" i="153"/>
  <c r="E18" i="153"/>
  <c r="I18" i="153" s="1"/>
  <c r="AI17" i="153"/>
  <c r="Y17" i="153" s="1"/>
  <c r="AE17" i="153"/>
  <c r="AD17" i="153"/>
  <c r="AC17" i="153"/>
  <c r="AB17" i="153"/>
  <c r="Z17" i="153"/>
  <c r="X17" i="153"/>
  <c r="Q17" i="153"/>
  <c r="P17" i="153"/>
  <c r="H17" i="153"/>
  <c r="E17" i="153"/>
  <c r="I17" i="153" s="1"/>
  <c r="AD16" i="153"/>
  <c r="AC16" i="153"/>
  <c r="AB16" i="153"/>
  <c r="AE16" i="153" s="1"/>
  <c r="AI16" i="153" s="1"/>
  <c r="Y16" i="153" s="1"/>
  <c r="Z16" i="153"/>
  <c r="X16" i="153"/>
  <c r="Q16" i="153"/>
  <c r="P16" i="153"/>
  <c r="I16" i="153"/>
  <c r="E16" i="153"/>
  <c r="AD15" i="153"/>
  <c r="AC15" i="153"/>
  <c r="AB15" i="153"/>
  <c r="AE15" i="153" s="1"/>
  <c r="AI15" i="153" s="1"/>
  <c r="Y15" i="153" s="1"/>
  <c r="Z15" i="153"/>
  <c r="X15" i="153"/>
  <c r="Q15" i="153"/>
  <c r="P15" i="153"/>
  <c r="E15" i="153"/>
  <c r="I15" i="153" s="1"/>
  <c r="AD14" i="153"/>
  <c r="AE14" i="153" s="1"/>
  <c r="AI14" i="153" s="1"/>
  <c r="Y14" i="153" s="1"/>
  <c r="AC14" i="153"/>
  <c r="AB14" i="153"/>
  <c r="Z14" i="153"/>
  <c r="X14" i="153"/>
  <c r="Q14" i="153"/>
  <c r="O75" i="153" s="1"/>
  <c r="P14" i="153"/>
  <c r="I14" i="153"/>
  <c r="H14" i="153"/>
  <c r="E14" i="153"/>
  <c r="AD13" i="153"/>
  <c r="AC13" i="153"/>
  <c r="AB13" i="153"/>
  <c r="AE13" i="153" s="1"/>
  <c r="AI13" i="153" s="1"/>
  <c r="Y13" i="153" s="1"/>
  <c r="Z13" i="153"/>
  <c r="X13" i="153"/>
  <c r="Q13" i="153"/>
  <c r="P13" i="153"/>
  <c r="H13" i="153"/>
  <c r="E13" i="153"/>
  <c r="I13" i="153" s="1"/>
  <c r="AI12" i="153"/>
  <c r="Y12" i="153" s="1"/>
  <c r="AE12" i="153"/>
  <c r="AD12" i="153"/>
  <c r="AC12" i="153"/>
  <c r="AB12" i="153"/>
  <c r="Z12" i="153"/>
  <c r="X12" i="153"/>
  <c r="T77" i="153" s="1"/>
  <c r="Q12" i="153"/>
  <c r="P12" i="153"/>
  <c r="H12" i="153"/>
  <c r="E12" i="153"/>
  <c r="I12" i="153" s="1"/>
  <c r="F77" i="154" l="1"/>
  <c r="T75" i="153"/>
  <c r="F73" i="153"/>
  <c r="O73" i="153"/>
  <c r="T73" i="153"/>
  <c r="F75" i="153"/>
  <c r="P77" i="152"/>
  <c r="P79" i="152"/>
  <c r="T79" i="153" l="1"/>
  <c r="F77" i="153"/>
  <c r="M79" i="152"/>
  <c r="W73" i="152"/>
  <c r="P71" i="152"/>
  <c r="H71" i="152"/>
  <c r="Q70" i="152"/>
  <c r="P70" i="152"/>
  <c r="H70" i="152"/>
  <c r="E70" i="152"/>
  <c r="I70" i="152" s="1"/>
  <c r="Q69" i="152"/>
  <c r="P69" i="152"/>
  <c r="H69" i="152"/>
  <c r="E69" i="152"/>
  <c r="I69" i="152" s="1"/>
  <c r="AD68" i="152"/>
  <c r="AC68" i="152"/>
  <c r="AB68" i="152"/>
  <c r="AE68" i="152" s="1"/>
  <c r="AI68" i="152" s="1"/>
  <c r="Y68" i="152" s="1"/>
  <c r="Z68" i="152"/>
  <c r="X68" i="152"/>
  <c r="W68" i="152"/>
  <c r="Q68" i="152"/>
  <c r="P68" i="152"/>
  <c r="I68" i="152"/>
  <c r="H68" i="152"/>
  <c r="E68" i="152"/>
  <c r="AE67" i="152"/>
  <c r="AI67" i="152" s="1"/>
  <c r="Y67" i="152" s="1"/>
  <c r="AD67" i="152"/>
  <c r="AC67" i="152"/>
  <c r="AB67" i="152"/>
  <c r="Z67" i="152"/>
  <c r="X67" i="152"/>
  <c r="Q67" i="152"/>
  <c r="P67" i="152"/>
  <c r="H67" i="152"/>
  <c r="E67" i="152"/>
  <c r="I67" i="152" s="1"/>
  <c r="AD66" i="152"/>
  <c r="AC66" i="152"/>
  <c r="AB66" i="152"/>
  <c r="AE66" i="152" s="1"/>
  <c r="AI66" i="152" s="1"/>
  <c r="Y66" i="152" s="1"/>
  <c r="Z66" i="152"/>
  <c r="X66" i="152"/>
  <c r="Q66" i="152"/>
  <c r="P66" i="152"/>
  <c r="H66" i="152"/>
  <c r="E66" i="152"/>
  <c r="I66" i="152" s="1"/>
  <c r="AD65" i="152"/>
  <c r="AC65" i="152"/>
  <c r="AE65" i="152" s="1"/>
  <c r="AI65" i="152" s="1"/>
  <c r="Y65" i="152" s="1"/>
  <c r="AB65" i="152"/>
  <c r="Z65" i="152"/>
  <c r="X65" i="152"/>
  <c r="Q65" i="152"/>
  <c r="P65" i="152"/>
  <c r="H65" i="152"/>
  <c r="E65" i="152"/>
  <c r="I65" i="152" s="1"/>
  <c r="AD64" i="152"/>
  <c r="AC64" i="152"/>
  <c r="AB64" i="152"/>
  <c r="AE64" i="152" s="1"/>
  <c r="AI64" i="152" s="1"/>
  <c r="Y64" i="152" s="1"/>
  <c r="Z64" i="152"/>
  <c r="X64" i="152"/>
  <c r="Q64" i="152"/>
  <c r="P64" i="152"/>
  <c r="I64" i="152"/>
  <c r="H64" i="152"/>
  <c r="E64" i="152"/>
  <c r="AD63" i="152"/>
  <c r="AC63" i="152"/>
  <c r="AB63" i="152"/>
  <c r="AE63" i="152" s="1"/>
  <c r="AI63" i="152" s="1"/>
  <c r="Y63" i="152" s="1"/>
  <c r="Z63" i="152"/>
  <c r="X63" i="152"/>
  <c r="Q63" i="152"/>
  <c r="P63" i="152"/>
  <c r="H63" i="152"/>
  <c r="E63" i="152"/>
  <c r="I63" i="152" s="1"/>
  <c r="AD62" i="152"/>
  <c r="AC62" i="152"/>
  <c r="AB62" i="152"/>
  <c r="AE62" i="152" s="1"/>
  <c r="AI62" i="152" s="1"/>
  <c r="Y62" i="152" s="1"/>
  <c r="Z62" i="152"/>
  <c r="X62" i="152"/>
  <c r="Q62" i="152"/>
  <c r="P62" i="152"/>
  <c r="H62" i="152"/>
  <c r="E62" i="152"/>
  <c r="I62" i="152" s="1"/>
  <c r="AE61" i="152"/>
  <c r="AI61" i="152" s="1"/>
  <c r="Y61" i="152" s="1"/>
  <c r="AC61" i="152"/>
  <c r="AB61" i="152"/>
  <c r="X61" i="152"/>
  <c r="Q61" i="152"/>
  <c r="P61" i="152"/>
  <c r="I61" i="152"/>
  <c r="H61" i="152"/>
  <c r="E61" i="152"/>
  <c r="AI60" i="152"/>
  <c r="AE60" i="152"/>
  <c r="Y60" i="152"/>
  <c r="X60" i="152"/>
  <c r="Q60" i="152"/>
  <c r="P60" i="152"/>
  <c r="I60" i="152"/>
  <c r="H60" i="152"/>
  <c r="E60" i="152"/>
  <c r="AC59" i="152"/>
  <c r="AB59" i="152"/>
  <c r="AE59" i="152" s="1"/>
  <c r="AI59" i="152" s="1"/>
  <c r="Y59" i="152" s="1"/>
  <c r="X59" i="152"/>
  <c r="Q59" i="152"/>
  <c r="P59" i="152"/>
  <c r="H59" i="152"/>
  <c r="E59" i="152"/>
  <c r="I59" i="152" s="1"/>
  <c r="AC58" i="152"/>
  <c r="AB58" i="152"/>
  <c r="AE58" i="152" s="1"/>
  <c r="AI58" i="152" s="1"/>
  <c r="Y58" i="152" s="1"/>
  <c r="X58" i="152"/>
  <c r="Q58" i="152"/>
  <c r="P58" i="152"/>
  <c r="E58" i="152"/>
  <c r="I58" i="152" s="1"/>
  <c r="AE57" i="152"/>
  <c r="AI57" i="152" s="1"/>
  <c r="Y57" i="152" s="1"/>
  <c r="AC57" i="152"/>
  <c r="AB57" i="152"/>
  <c r="X57" i="152"/>
  <c r="Q57" i="152"/>
  <c r="P57" i="152"/>
  <c r="I57" i="152"/>
  <c r="H57" i="152"/>
  <c r="E57" i="152"/>
  <c r="AD56" i="152"/>
  <c r="AC56" i="152"/>
  <c r="AB56" i="152"/>
  <c r="AE56" i="152" s="1"/>
  <c r="AI56" i="152" s="1"/>
  <c r="Y56" i="152" s="1"/>
  <c r="Z56" i="152"/>
  <c r="X56" i="152"/>
  <c r="Q56" i="152"/>
  <c r="P56" i="152"/>
  <c r="I56" i="152"/>
  <c r="H56" i="152"/>
  <c r="E56" i="152"/>
  <c r="AD55" i="152"/>
  <c r="AC55" i="152"/>
  <c r="AB55" i="152"/>
  <c r="AE55" i="152" s="1"/>
  <c r="AI55" i="152" s="1"/>
  <c r="Y55" i="152" s="1"/>
  <c r="Z55" i="152"/>
  <c r="X55" i="152"/>
  <c r="Q55" i="152"/>
  <c r="P55" i="152"/>
  <c r="H55" i="152"/>
  <c r="E55" i="152"/>
  <c r="I55" i="152" s="1"/>
  <c r="AE54" i="152"/>
  <c r="AI54" i="152" s="1"/>
  <c r="Y54" i="152" s="1"/>
  <c r="AD54" i="152"/>
  <c r="AC54" i="152"/>
  <c r="AB54" i="152"/>
  <c r="Z54" i="152"/>
  <c r="X54" i="152"/>
  <c r="Q54" i="152"/>
  <c r="P54" i="152"/>
  <c r="I54" i="152"/>
  <c r="H54" i="152"/>
  <c r="E54" i="152"/>
  <c r="AD53" i="152"/>
  <c r="AC53" i="152"/>
  <c r="AB53" i="152"/>
  <c r="AE53" i="152" s="1"/>
  <c r="AI53" i="152" s="1"/>
  <c r="Y53" i="152" s="1"/>
  <c r="Z53" i="152"/>
  <c r="X53" i="152"/>
  <c r="Q53" i="152"/>
  <c r="P53" i="152"/>
  <c r="H53" i="152"/>
  <c r="E53" i="152"/>
  <c r="I53" i="152" s="1"/>
  <c r="AI52" i="152"/>
  <c r="Y52" i="152" s="1"/>
  <c r="AE52" i="152"/>
  <c r="Z52" i="152"/>
  <c r="X52" i="152"/>
  <c r="Q52" i="152"/>
  <c r="P52" i="152"/>
  <c r="I52" i="152"/>
  <c r="H52" i="152"/>
  <c r="E52" i="152"/>
  <c r="AE51" i="152"/>
  <c r="AI51" i="152" s="1"/>
  <c r="Y51" i="152" s="1"/>
  <c r="AD51" i="152"/>
  <c r="AC51" i="152"/>
  <c r="AB51" i="152"/>
  <c r="Z51" i="152"/>
  <c r="X51" i="152"/>
  <c r="Q51" i="152"/>
  <c r="P51" i="152"/>
  <c r="H51" i="152"/>
  <c r="E51" i="152"/>
  <c r="I51" i="152" s="1"/>
  <c r="AD50" i="152"/>
  <c r="AC50" i="152"/>
  <c r="AB50" i="152"/>
  <c r="AE50" i="152" s="1"/>
  <c r="AI50" i="152" s="1"/>
  <c r="Y50" i="152" s="1"/>
  <c r="Z50" i="152"/>
  <c r="X50" i="152"/>
  <c r="Q50" i="152"/>
  <c r="P50" i="152"/>
  <c r="H50" i="152"/>
  <c r="E50" i="152"/>
  <c r="I50" i="152" s="1"/>
  <c r="AE49" i="152"/>
  <c r="AI49" i="152" s="1"/>
  <c r="Y49" i="152" s="1"/>
  <c r="Z49" i="152"/>
  <c r="X49" i="152"/>
  <c r="Q49" i="152"/>
  <c r="P49" i="152"/>
  <c r="I49" i="152"/>
  <c r="H49" i="152"/>
  <c r="E49" i="152"/>
  <c r="AE48" i="152"/>
  <c r="AI48" i="152" s="1"/>
  <c r="Y48" i="152" s="1"/>
  <c r="Z48" i="152"/>
  <c r="X48" i="152"/>
  <c r="Q48" i="152"/>
  <c r="P48" i="152"/>
  <c r="H48" i="152"/>
  <c r="E48" i="152"/>
  <c r="I48" i="152" s="1"/>
  <c r="AE47" i="152"/>
  <c r="AI47" i="152" s="1"/>
  <c r="Y47" i="152" s="1"/>
  <c r="Z47" i="152"/>
  <c r="X47" i="152"/>
  <c r="Q47" i="152"/>
  <c r="P47" i="152"/>
  <c r="I47" i="152"/>
  <c r="H47" i="152"/>
  <c r="E47" i="152"/>
  <c r="AD46" i="152"/>
  <c r="AC46" i="152"/>
  <c r="AB46" i="152"/>
  <c r="AE46" i="152" s="1"/>
  <c r="AI46" i="152" s="1"/>
  <c r="Y46" i="152" s="1"/>
  <c r="Z46" i="152"/>
  <c r="X46" i="152"/>
  <c r="Q46" i="152"/>
  <c r="P46" i="152"/>
  <c r="I46" i="152"/>
  <c r="H46" i="152"/>
  <c r="E46" i="152"/>
  <c r="AE45" i="152"/>
  <c r="AI45" i="152" s="1"/>
  <c r="Y45" i="152" s="1"/>
  <c r="AD45" i="152"/>
  <c r="AC45" i="152"/>
  <c r="AB45" i="152"/>
  <c r="Z45" i="152"/>
  <c r="X45" i="152"/>
  <c r="Q45" i="152"/>
  <c r="P45" i="152"/>
  <c r="H45" i="152"/>
  <c r="E45" i="152"/>
  <c r="I45" i="152" s="1"/>
  <c r="AD44" i="152"/>
  <c r="AC44" i="152"/>
  <c r="AB44" i="152"/>
  <c r="AE44" i="152" s="1"/>
  <c r="AI44" i="152" s="1"/>
  <c r="Y44" i="152" s="1"/>
  <c r="Z44" i="152"/>
  <c r="X44" i="152"/>
  <c r="Q44" i="152"/>
  <c r="P44" i="152"/>
  <c r="I44" i="152"/>
  <c r="H44" i="152"/>
  <c r="E44" i="152"/>
  <c r="AD43" i="152"/>
  <c r="AE43" i="152" s="1"/>
  <c r="AI43" i="152" s="1"/>
  <c r="Y43" i="152" s="1"/>
  <c r="AC43" i="152"/>
  <c r="AB43" i="152"/>
  <c r="Z43" i="152"/>
  <c r="X43" i="152"/>
  <c r="Q43" i="152"/>
  <c r="P43" i="152"/>
  <c r="H43" i="152"/>
  <c r="E43" i="152"/>
  <c r="I43" i="152" s="1"/>
  <c r="AE42" i="152"/>
  <c r="AI42" i="152" s="1"/>
  <c r="Y42" i="152" s="1"/>
  <c r="AD42" i="152"/>
  <c r="AC42" i="152"/>
  <c r="AB42" i="152"/>
  <c r="Z42" i="152"/>
  <c r="X42" i="152"/>
  <c r="Q42" i="152"/>
  <c r="P42" i="152"/>
  <c r="I42" i="152"/>
  <c r="H42" i="152"/>
  <c r="E42" i="152"/>
  <c r="AD41" i="152"/>
  <c r="AC41" i="152"/>
  <c r="AB41" i="152"/>
  <c r="AE41" i="152" s="1"/>
  <c r="AI41" i="152" s="1"/>
  <c r="Y41" i="152" s="1"/>
  <c r="Z41" i="152"/>
  <c r="X41" i="152"/>
  <c r="Q41" i="152"/>
  <c r="P41" i="152"/>
  <c r="H41" i="152"/>
  <c r="E41" i="152"/>
  <c r="I41" i="152" s="1"/>
  <c r="AD40" i="152"/>
  <c r="AC40" i="152"/>
  <c r="AE40" i="152" s="1"/>
  <c r="AI40" i="152" s="1"/>
  <c r="Y40" i="152" s="1"/>
  <c r="AB40" i="152"/>
  <c r="Z40" i="152"/>
  <c r="X40" i="152"/>
  <c r="Q40" i="152"/>
  <c r="P40" i="152"/>
  <c r="I40" i="152"/>
  <c r="H40" i="152"/>
  <c r="E40" i="152"/>
  <c r="AD39" i="152"/>
  <c r="AC39" i="152"/>
  <c r="AB39" i="152"/>
  <c r="AE39" i="152" s="1"/>
  <c r="AI39" i="152" s="1"/>
  <c r="Y39" i="152" s="1"/>
  <c r="Z39" i="152"/>
  <c r="X39" i="152"/>
  <c r="Q39" i="152"/>
  <c r="P39" i="152"/>
  <c r="I39" i="152"/>
  <c r="H39" i="152"/>
  <c r="E39" i="152"/>
  <c r="AE38" i="152"/>
  <c r="AI38" i="152" s="1"/>
  <c r="Y38" i="152" s="1"/>
  <c r="AD38" i="152"/>
  <c r="AC38" i="152"/>
  <c r="AB38" i="152"/>
  <c r="Z38" i="152"/>
  <c r="X38" i="152"/>
  <c r="Q38" i="152"/>
  <c r="P38" i="152"/>
  <c r="H38" i="152"/>
  <c r="E38" i="152"/>
  <c r="I38" i="152" s="1"/>
  <c r="AD37" i="152"/>
  <c r="AC37" i="152"/>
  <c r="AB37" i="152"/>
  <c r="AE37" i="152" s="1"/>
  <c r="AI37" i="152" s="1"/>
  <c r="Y37" i="152" s="1"/>
  <c r="Z37" i="152"/>
  <c r="X37" i="152"/>
  <c r="Q37" i="152"/>
  <c r="P37" i="152"/>
  <c r="H37" i="152"/>
  <c r="E37" i="152"/>
  <c r="I37" i="152" s="1"/>
  <c r="AD36" i="152"/>
  <c r="AC36" i="152"/>
  <c r="AE36" i="152" s="1"/>
  <c r="AI36" i="152" s="1"/>
  <c r="Y36" i="152" s="1"/>
  <c r="AB36" i="152"/>
  <c r="Z36" i="152"/>
  <c r="X36" i="152"/>
  <c r="Q36" i="152"/>
  <c r="P36" i="152"/>
  <c r="H36" i="152"/>
  <c r="E36" i="152"/>
  <c r="I36" i="152" s="1"/>
  <c r="AD35" i="152"/>
  <c r="AC35" i="152"/>
  <c r="AB35" i="152"/>
  <c r="AE35" i="152" s="1"/>
  <c r="AI35" i="152" s="1"/>
  <c r="Y35" i="152" s="1"/>
  <c r="Z35" i="152"/>
  <c r="X35" i="152"/>
  <c r="Q35" i="152"/>
  <c r="P35" i="152"/>
  <c r="I35" i="152"/>
  <c r="H35" i="152"/>
  <c r="E35" i="152"/>
  <c r="AD34" i="152"/>
  <c r="AC34" i="152"/>
  <c r="AB34" i="152"/>
  <c r="AE34" i="152" s="1"/>
  <c r="AI34" i="152" s="1"/>
  <c r="Y34" i="152" s="1"/>
  <c r="Z34" i="152"/>
  <c r="X34" i="152"/>
  <c r="Q34" i="152"/>
  <c r="P34" i="152"/>
  <c r="I34" i="152"/>
  <c r="H34" i="152"/>
  <c r="E34" i="152"/>
  <c r="AD33" i="152"/>
  <c r="AC33" i="152"/>
  <c r="AB33" i="152"/>
  <c r="AE33" i="152" s="1"/>
  <c r="AI33" i="152" s="1"/>
  <c r="Y33" i="152" s="1"/>
  <c r="Z33" i="152"/>
  <c r="X33" i="152"/>
  <c r="Q33" i="152"/>
  <c r="P33" i="152"/>
  <c r="H33" i="152"/>
  <c r="E33" i="152"/>
  <c r="I33" i="152" s="1"/>
  <c r="AD32" i="152"/>
  <c r="AC32" i="152"/>
  <c r="AE32" i="152" s="1"/>
  <c r="AI32" i="152" s="1"/>
  <c r="Y32" i="152" s="1"/>
  <c r="AB32" i="152"/>
  <c r="Z32" i="152"/>
  <c r="X32" i="152"/>
  <c r="Q32" i="152"/>
  <c r="P32" i="152"/>
  <c r="I32" i="152"/>
  <c r="H32" i="152"/>
  <c r="E32" i="152"/>
  <c r="AE31" i="152"/>
  <c r="AI31" i="152" s="1"/>
  <c r="Y31" i="152" s="1"/>
  <c r="Z31" i="152"/>
  <c r="X31" i="152"/>
  <c r="Q31" i="152"/>
  <c r="P31" i="152"/>
  <c r="I31" i="152"/>
  <c r="H31" i="152"/>
  <c r="E31" i="152"/>
  <c r="AE30" i="152"/>
  <c r="AI30" i="152" s="1"/>
  <c r="Y30" i="152" s="1"/>
  <c r="AD30" i="152"/>
  <c r="AC30" i="152"/>
  <c r="AB30" i="152"/>
  <c r="Z30" i="152"/>
  <c r="X30" i="152"/>
  <c r="Q30" i="152"/>
  <c r="P30" i="152"/>
  <c r="H30" i="152"/>
  <c r="E30" i="152"/>
  <c r="I30" i="152" s="1"/>
  <c r="AD29" i="152"/>
  <c r="AC29" i="152"/>
  <c r="AB29" i="152"/>
  <c r="AE29" i="152" s="1"/>
  <c r="AI29" i="152" s="1"/>
  <c r="Y29" i="152" s="1"/>
  <c r="Z29" i="152"/>
  <c r="X29" i="152"/>
  <c r="Q29" i="152"/>
  <c r="P29" i="152"/>
  <c r="I29" i="152"/>
  <c r="H29" i="152"/>
  <c r="E29" i="152"/>
  <c r="AD28" i="152"/>
  <c r="AE28" i="152" s="1"/>
  <c r="AI28" i="152" s="1"/>
  <c r="Y28" i="152" s="1"/>
  <c r="AC28" i="152"/>
  <c r="AB28" i="152"/>
  <c r="Z28" i="152"/>
  <c r="X28" i="152"/>
  <c r="Q28" i="152"/>
  <c r="P28" i="152"/>
  <c r="H28" i="152"/>
  <c r="E28" i="152"/>
  <c r="I28" i="152" s="1"/>
  <c r="AE27" i="152"/>
  <c r="AI27" i="152" s="1"/>
  <c r="Y27" i="152" s="1"/>
  <c r="AD27" i="152"/>
  <c r="AC27" i="152"/>
  <c r="AB27" i="152"/>
  <c r="Z27" i="152"/>
  <c r="X27" i="152"/>
  <c r="Q27" i="152"/>
  <c r="P27" i="152"/>
  <c r="I27" i="152"/>
  <c r="H27" i="152"/>
  <c r="E27" i="152"/>
  <c r="AD26" i="152"/>
  <c r="AC26" i="152"/>
  <c r="AB26" i="152"/>
  <c r="AE26" i="152" s="1"/>
  <c r="AI26" i="152" s="1"/>
  <c r="Y26" i="152" s="1"/>
  <c r="Z26" i="152"/>
  <c r="X26" i="152"/>
  <c r="Q26" i="152"/>
  <c r="P26" i="152"/>
  <c r="H26" i="152"/>
  <c r="E26" i="152"/>
  <c r="I26" i="152" s="1"/>
  <c r="AD25" i="152"/>
  <c r="AC25" i="152"/>
  <c r="AE25" i="152" s="1"/>
  <c r="AI25" i="152" s="1"/>
  <c r="Y25" i="152" s="1"/>
  <c r="AB25" i="152"/>
  <c r="Z25" i="152"/>
  <c r="X25" i="152"/>
  <c r="Q25" i="152"/>
  <c r="P25" i="152"/>
  <c r="I25" i="152"/>
  <c r="H25" i="152"/>
  <c r="E25" i="152"/>
  <c r="AD24" i="152"/>
  <c r="AC24" i="152"/>
  <c r="AB24" i="152"/>
  <c r="AE24" i="152" s="1"/>
  <c r="AI24" i="152" s="1"/>
  <c r="Y24" i="152" s="1"/>
  <c r="Z24" i="152"/>
  <c r="X24" i="152"/>
  <c r="Q24" i="152"/>
  <c r="P24" i="152"/>
  <c r="I24" i="152"/>
  <c r="H24" i="152"/>
  <c r="E24" i="152"/>
  <c r="AE23" i="152"/>
  <c r="AI23" i="152" s="1"/>
  <c r="Y23" i="152" s="1"/>
  <c r="AD23" i="152"/>
  <c r="AC23" i="152"/>
  <c r="AB23" i="152"/>
  <c r="Z23" i="152"/>
  <c r="X23" i="152"/>
  <c r="Q23" i="152"/>
  <c r="P23" i="152"/>
  <c r="H23" i="152"/>
  <c r="E23" i="152"/>
  <c r="I23" i="152" s="1"/>
  <c r="AD22" i="152"/>
  <c r="AC22" i="152"/>
  <c r="AB22" i="152"/>
  <c r="AE22" i="152" s="1"/>
  <c r="AI22" i="152" s="1"/>
  <c r="Y22" i="152" s="1"/>
  <c r="Z22" i="152"/>
  <c r="X22" i="152"/>
  <c r="Q22" i="152"/>
  <c r="P22" i="152"/>
  <c r="H22" i="152"/>
  <c r="E22" i="152"/>
  <c r="I22" i="152" s="1"/>
  <c r="AD21" i="152"/>
  <c r="AC21" i="152"/>
  <c r="AE21" i="152" s="1"/>
  <c r="AI21" i="152" s="1"/>
  <c r="Y21" i="152" s="1"/>
  <c r="AB21" i="152"/>
  <c r="Z21" i="152"/>
  <c r="X21" i="152"/>
  <c r="Q21" i="152"/>
  <c r="P21" i="152"/>
  <c r="H21" i="152"/>
  <c r="E21" i="152"/>
  <c r="I21" i="152" s="1"/>
  <c r="AD20" i="152"/>
  <c r="AC20" i="152"/>
  <c r="AB20" i="152"/>
  <c r="AE20" i="152" s="1"/>
  <c r="AI20" i="152" s="1"/>
  <c r="Y20" i="152" s="1"/>
  <c r="Z20" i="152"/>
  <c r="X20" i="152"/>
  <c r="Q20" i="152"/>
  <c r="P20" i="152"/>
  <c r="I20" i="152"/>
  <c r="H20" i="152"/>
  <c r="E20" i="152"/>
  <c r="AD19" i="152"/>
  <c r="AC19" i="152"/>
  <c r="AB19" i="152"/>
  <c r="AE19" i="152" s="1"/>
  <c r="AI19" i="152" s="1"/>
  <c r="Y19" i="152" s="1"/>
  <c r="Z19" i="152"/>
  <c r="X19" i="152"/>
  <c r="Q19" i="152"/>
  <c r="P19" i="152"/>
  <c r="I19" i="152"/>
  <c r="H19" i="152"/>
  <c r="E19" i="152"/>
  <c r="AD18" i="152"/>
  <c r="AC18" i="152"/>
  <c r="AB18" i="152"/>
  <c r="AE18" i="152" s="1"/>
  <c r="AI18" i="152" s="1"/>
  <c r="Y18" i="152" s="1"/>
  <c r="Z18" i="152"/>
  <c r="X18" i="152"/>
  <c r="Q18" i="152"/>
  <c r="P18" i="152"/>
  <c r="H18" i="152"/>
  <c r="E18" i="152"/>
  <c r="I18" i="152" s="1"/>
  <c r="AD17" i="152"/>
  <c r="AC17" i="152"/>
  <c r="AE17" i="152" s="1"/>
  <c r="AI17" i="152" s="1"/>
  <c r="Y17" i="152" s="1"/>
  <c r="AB17" i="152"/>
  <c r="Z17" i="152"/>
  <c r="X17" i="152"/>
  <c r="Q17" i="152"/>
  <c r="P17" i="152"/>
  <c r="I17" i="152"/>
  <c r="H17" i="152"/>
  <c r="E17" i="152"/>
  <c r="AD16" i="152"/>
  <c r="AE16" i="152" s="1"/>
  <c r="AI16" i="152" s="1"/>
  <c r="Y16" i="152" s="1"/>
  <c r="AC16" i="152"/>
  <c r="AB16" i="152"/>
  <c r="Z16" i="152"/>
  <c r="T75" i="152" s="1"/>
  <c r="X16" i="152"/>
  <c r="T77" i="152" s="1"/>
  <c r="Q16" i="152"/>
  <c r="P16" i="152"/>
  <c r="E16" i="152"/>
  <c r="I16" i="152" s="1"/>
  <c r="AD15" i="152"/>
  <c r="AC15" i="152"/>
  <c r="AB15" i="152"/>
  <c r="AE15" i="152" s="1"/>
  <c r="AI15" i="152" s="1"/>
  <c r="Y15" i="152" s="1"/>
  <c r="Z15" i="152"/>
  <c r="X15" i="152"/>
  <c r="Q15" i="152"/>
  <c r="P15" i="152"/>
  <c r="I15" i="152"/>
  <c r="E15" i="152"/>
  <c r="AD14" i="152"/>
  <c r="AC14" i="152"/>
  <c r="AB14" i="152"/>
  <c r="AE14" i="152" s="1"/>
  <c r="AI14" i="152" s="1"/>
  <c r="Y14" i="152" s="1"/>
  <c r="Z14" i="152"/>
  <c r="X14" i="152"/>
  <c r="Q14" i="152"/>
  <c r="P14" i="152"/>
  <c r="I14" i="152"/>
  <c r="H14" i="152"/>
  <c r="E14" i="152"/>
  <c r="AE13" i="152"/>
  <c r="AI13" i="152" s="1"/>
  <c r="Y13" i="152" s="1"/>
  <c r="AD13" i="152"/>
  <c r="AC13" i="152"/>
  <c r="AB13" i="152"/>
  <c r="Z13" i="152"/>
  <c r="X13" i="152"/>
  <c r="Q13" i="152"/>
  <c r="P13" i="152"/>
  <c r="H13" i="152"/>
  <c r="E13" i="152"/>
  <c r="I13" i="152" s="1"/>
  <c r="AD12" i="152"/>
  <c r="AC12" i="152"/>
  <c r="AB12" i="152"/>
  <c r="AE12" i="152" s="1"/>
  <c r="AI12" i="152" s="1"/>
  <c r="Y12" i="152" s="1"/>
  <c r="Z12" i="152"/>
  <c r="X12" i="152"/>
  <c r="Q12" i="152"/>
  <c r="P12" i="152"/>
  <c r="H12" i="152"/>
  <c r="E12" i="152"/>
  <c r="I12" i="152" s="1"/>
  <c r="O73" i="152" l="1"/>
  <c r="O75" i="152"/>
  <c r="T79" i="152"/>
  <c r="T73" i="152"/>
  <c r="F75" i="152"/>
  <c r="F73" i="152"/>
  <c r="M79" i="151"/>
  <c r="W73" i="151"/>
  <c r="P71" i="151"/>
  <c r="H71" i="151"/>
  <c r="Q70" i="151"/>
  <c r="P70" i="151"/>
  <c r="H70" i="151"/>
  <c r="E70" i="151"/>
  <c r="I70" i="151" s="1"/>
  <c r="Q69" i="151"/>
  <c r="P69" i="151"/>
  <c r="H69" i="151"/>
  <c r="E69" i="151"/>
  <c r="I69" i="151" s="1"/>
  <c r="AD68" i="151"/>
  <c r="AC68" i="151"/>
  <c r="AB68" i="151"/>
  <c r="AE68" i="151" s="1"/>
  <c r="AI68" i="151" s="1"/>
  <c r="Y68" i="151" s="1"/>
  <c r="Z68" i="151"/>
  <c r="X68" i="151"/>
  <c r="W68" i="151"/>
  <c r="Q68" i="151"/>
  <c r="P68" i="151"/>
  <c r="I68" i="151"/>
  <c r="H68" i="151"/>
  <c r="E68" i="151"/>
  <c r="AE67" i="151"/>
  <c r="AI67" i="151" s="1"/>
  <c r="Y67" i="151" s="1"/>
  <c r="AD67" i="151"/>
  <c r="AC67" i="151"/>
  <c r="AB67" i="151"/>
  <c r="Z67" i="151"/>
  <c r="X67" i="151"/>
  <c r="Q67" i="151"/>
  <c r="P67" i="151"/>
  <c r="H67" i="151"/>
  <c r="E67" i="151"/>
  <c r="I67" i="151" s="1"/>
  <c r="AD66" i="151"/>
  <c r="AC66" i="151"/>
  <c r="AB66" i="151"/>
  <c r="AE66" i="151" s="1"/>
  <c r="AI66" i="151" s="1"/>
  <c r="Y66" i="151" s="1"/>
  <c r="Z66" i="151"/>
  <c r="X66" i="151"/>
  <c r="Q66" i="151"/>
  <c r="P66" i="151"/>
  <c r="H66" i="151"/>
  <c r="E66" i="151"/>
  <c r="I66" i="151" s="1"/>
  <c r="AD65" i="151"/>
  <c r="AE65" i="151" s="1"/>
  <c r="AI65" i="151" s="1"/>
  <c r="Y65" i="151" s="1"/>
  <c r="AC65" i="151"/>
  <c r="AB65" i="151"/>
  <c r="Z65" i="151"/>
  <c r="X65" i="151"/>
  <c r="Q65" i="151"/>
  <c r="P65" i="151"/>
  <c r="H65" i="151"/>
  <c r="E65" i="151"/>
  <c r="I65" i="151" s="1"/>
  <c r="AE64" i="151"/>
  <c r="AI64" i="151" s="1"/>
  <c r="Y64" i="151" s="1"/>
  <c r="AD64" i="151"/>
  <c r="AC64" i="151"/>
  <c r="AB64" i="151"/>
  <c r="Z64" i="151"/>
  <c r="X64" i="151"/>
  <c r="Q64" i="151"/>
  <c r="P64" i="151"/>
  <c r="I64" i="151"/>
  <c r="H64" i="151"/>
  <c r="E64" i="151"/>
  <c r="AD63" i="151"/>
  <c r="AE63" i="151" s="1"/>
  <c r="AI63" i="151" s="1"/>
  <c r="Y63" i="151" s="1"/>
  <c r="AC63" i="151"/>
  <c r="AB63" i="151"/>
  <c r="Z63" i="151"/>
  <c r="X63" i="151"/>
  <c r="Q63" i="151"/>
  <c r="P63" i="151"/>
  <c r="H63" i="151"/>
  <c r="E63" i="151"/>
  <c r="I63" i="151" s="1"/>
  <c r="AD62" i="151"/>
  <c r="AC62" i="151"/>
  <c r="AB62" i="151"/>
  <c r="AE62" i="151" s="1"/>
  <c r="AI62" i="151" s="1"/>
  <c r="Y62" i="151" s="1"/>
  <c r="Z62" i="151"/>
  <c r="X62" i="151"/>
  <c r="Q62" i="151"/>
  <c r="P62" i="151"/>
  <c r="I62" i="151"/>
  <c r="H62" i="151"/>
  <c r="E62" i="151"/>
  <c r="AC61" i="151"/>
  <c r="AB61" i="151"/>
  <c r="AE61" i="151" s="1"/>
  <c r="AI61" i="151" s="1"/>
  <c r="Y61" i="151" s="1"/>
  <c r="X61" i="151"/>
  <c r="Q61" i="151"/>
  <c r="P61" i="151"/>
  <c r="I61" i="151"/>
  <c r="H61" i="151"/>
  <c r="E61" i="151"/>
  <c r="AI60" i="151"/>
  <c r="Y60" i="151" s="1"/>
  <c r="AE60" i="151"/>
  <c r="X60" i="151"/>
  <c r="Q60" i="151"/>
  <c r="P60" i="151"/>
  <c r="H60" i="151"/>
  <c r="E60" i="151"/>
  <c r="I60" i="151" s="1"/>
  <c r="AC59" i="151"/>
  <c r="AB59" i="151"/>
  <c r="AE59" i="151" s="1"/>
  <c r="AI59" i="151" s="1"/>
  <c r="Y59" i="151" s="1"/>
  <c r="X59" i="151"/>
  <c r="Q59" i="151"/>
  <c r="P59" i="151"/>
  <c r="H59" i="151"/>
  <c r="E59" i="151"/>
  <c r="I59" i="151" s="1"/>
  <c r="AC58" i="151"/>
  <c r="AB58" i="151"/>
  <c r="AE58" i="151" s="1"/>
  <c r="AI58" i="151" s="1"/>
  <c r="Y58" i="151" s="1"/>
  <c r="X58" i="151"/>
  <c r="Q58" i="151"/>
  <c r="P58" i="151"/>
  <c r="E58" i="151"/>
  <c r="I58" i="151" s="1"/>
  <c r="AE57" i="151"/>
  <c r="AI57" i="151" s="1"/>
  <c r="Y57" i="151" s="1"/>
  <c r="AC57" i="151"/>
  <c r="AB57" i="151"/>
  <c r="X57" i="151"/>
  <c r="Q57" i="151"/>
  <c r="P57" i="151"/>
  <c r="H57" i="151"/>
  <c r="E57" i="151"/>
  <c r="I57" i="151" s="1"/>
  <c r="AD56" i="151"/>
  <c r="AC56" i="151"/>
  <c r="AB56" i="151"/>
  <c r="AE56" i="151" s="1"/>
  <c r="AI56" i="151" s="1"/>
  <c r="Y56" i="151" s="1"/>
  <c r="Z56" i="151"/>
  <c r="X56" i="151"/>
  <c r="Q56" i="151"/>
  <c r="P56" i="151"/>
  <c r="I56" i="151"/>
  <c r="H56" i="151"/>
  <c r="E56" i="151"/>
  <c r="AD55" i="151"/>
  <c r="AC55" i="151"/>
  <c r="AE55" i="151" s="1"/>
  <c r="AI55" i="151" s="1"/>
  <c r="Y55" i="151" s="1"/>
  <c r="AB55" i="151"/>
  <c r="Z55" i="151"/>
  <c r="X55" i="151"/>
  <c r="Q55" i="151"/>
  <c r="P55" i="151"/>
  <c r="I55" i="151"/>
  <c r="H55" i="151"/>
  <c r="E55" i="151"/>
  <c r="AD54" i="151"/>
  <c r="AC54" i="151"/>
  <c r="AB54" i="151"/>
  <c r="AE54" i="151" s="1"/>
  <c r="AI54" i="151" s="1"/>
  <c r="Y54" i="151" s="1"/>
  <c r="Z54" i="151"/>
  <c r="X54" i="151"/>
  <c r="Q54" i="151"/>
  <c r="P54" i="151"/>
  <c r="I54" i="151"/>
  <c r="H54" i="151"/>
  <c r="E54" i="151"/>
  <c r="AD53" i="151"/>
  <c r="AC53" i="151"/>
  <c r="AB53" i="151"/>
  <c r="AE53" i="151" s="1"/>
  <c r="AI53" i="151" s="1"/>
  <c r="Y53" i="151" s="1"/>
  <c r="Z53" i="151"/>
  <c r="X53" i="151"/>
  <c r="Q53" i="151"/>
  <c r="P53" i="151"/>
  <c r="H53" i="151"/>
  <c r="E53" i="151"/>
  <c r="I53" i="151" s="1"/>
  <c r="AI52" i="151"/>
  <c r="Y52" i="151" s="1"/>
  <c r="AE52" i="151"/>
  <c r="Z52" i="151"/>
  <c r="X52" i="151"/>
  <c r="Q52" i="151"/>
  <c r="P52" i="151"/>
  <c r="I52" i="151"/>
  <c r="H52" i="151"/>
  <c r="E52" i="151"/>
  <c r="AD51" i="151"/>
  <c r="AE51" i="151" s="1"/>
  <c r="AI51" i="151" s="1"/>
  <c r="Y51" i="151" s="1"/>
  <c r="AC51" i="151"/>
  <c r="AB51" i="151"/>
  <c r="Z51" i="151"/>
  <c r="X51" i="151"/>
  <c r="Q51" i="151"/>
  <c r="P51" i="151"/>
  <c r="H51" i="151"/>
  <c r="E51" i="151"/>
  <c r="I51" i="151" s="1"/>
  <c r="AD50" i="151"/>
  <c r="AC50" i="151"/>
  <c r="AB50" i="151"/>
  <c r="AE50" i="151" s="1"/>
  <c r="AI50" i="151" s="1"/>
  <c r="Y50" i="151" s="1"/>
  <c r="Z50" i="151"/>
  <c r="X50" i="151"/>
  <c r="Q50" i="151"/>
  <c r="P50" i="151"/>
  <c r="H50" i="151"/>
  <c r="E50" i="151"/>
  <c r="I50" i="151" s="1"/>
  <c r="AI49" i="151"/>
  <c r="AE49" i="151"/>
  <c r="Z49" i="151"/>
  <c r="Y49" i="151"/>
  <c r="X49" i="151"/>
  <c r="Q49" i="151"/>
  <c r="P49" i="151"/>
  <c r="I49" i="151"/>
  <c r="H49" i="151"/>
  <c r="E49" i="151"/>
  <c r="AE48" i="151"/>
  <c r="AI48" i="151" s="1"/>
  <c r="Y48" i="151" s="1"/>
  <c r="Z48" i="151"/>
  <c r="X48" i="151"/>
  <c r="Q48" i="151"/>
  <c r="P48" i="151"/>
  <c r="H48" i="151"/>
  <c r="E48" i="151"/>
  <c r="I48" i="151" s="1"/>
  <c r="AI47" i="151"/>
  <c r="AE47" i="151"/>
  <c r="Z47" i="151"/>
  <c r="Y47" i="151"/>
  <c r="X47" i="151"/>
  <c r="Q47" i="151"/>
  <c r="P47" i="151"/>
  <c r="I47" i="151"/>
  <c r="H47" i="151"/>
  <c r="E47" i="151"/>
  <c r="AI46" i="151"/>
  <c r="Y46" i="151" s="1"/>
  <c r="AE46" i="151"/>
  <c r="AD46" i="151"/>
  <c r="AC46" i="151"/>
  <c r="AB46" i="151"/>
  <c r="Z46" i="151"/>
  <c r="X46" i="151"/>
  <c r="Q46" i="151"/>
  <c r="P46" i="151"/>
  <c r="I46" i="151"/>
  <c r="H46" i="151"/>
  <c r="E46" i="151"/>
  <c r="AE45" i="151"/>
  <c r="AI45" i="151" s="1"/>
  <c r="Y45" i="151" s="1"/>
  <c r="AD45" i="151"/>
  <c r="AC45" i="151"/>
  <c r="AB45" i="151"/>
  <c r="Z45" i="151"/>
  <c r="X45" i="151"/>
  <c r="Q45" i="151"/>
  <c r="P45" i="151"/>
  <c r="H45" i="151"/>
  <c r="E45" i="151"/>
  <c r="I45" i="151" s="1"/>
  <c r="AD44" i="151"/>
  <c r="AC44" i="151"/>
  <c r="AB44" i="151"/>
  <c r="AE44" i="151" s="1"/>
  <c r="AI44" i="151" s="1"/>
  <c r="Y44" i="151" s="1"/>
  <c r="Z44" i="151"/>
  <c r="X44" i="151"/>
  <c r="Q44" i="151"/>
  <c r="P44" i="151"/>
  <c r="I44" i="151"/>
  <c r="H44" i="151"/>
  <c r="E44" i="151"/>
  <c r="AD43" i="151"/>
  <c r="AC43" i="151"/>
  <c r="AE43" i="151" s="1"/>
  <c r="AI43" i="151" s="1"/>
  <c r="Y43" i="151" s="1"/>
  <c r="AB43" i="151"/>
  <c r="Z43" i="151"/>
  <c r="X43" i="151"/>
  <c r="Q43" i="151"/>
  <c r="P43" i="151"/>
  <c r="I43" i="151"/>
  <c r="H43" i="151"/>
  <c r="E43" i="151"/>
  <c r="AD42" i="151"/>
  <c r="AC42" i="151"/>
  <c r="AB42" i="151"/>
  <c r="AE42" i="151" s="1"/>
  <c r="AI42" i="151" s="1"/>
  <c r="Y42" i="151" s="1"/>
  <c r="Z42" i="151"/>
  <c r="X42" i="151"/>
  <c r="Q42" i="151"/>
  <c r="P42" i="151"/>
  <c r="I42" i="151"/>
  <c r="H42" i="151"/>
  <c r="E42" i="151"/>
  <c r="AD41" i="151"/>
  <c r="AC41" i="151"/>
  <c r="AB41" i="151"/>
  <c r="AE41" i="151" s="1"/>
  <c r="AI41" i="151" s="1"/>
  <c r="Y41" i="151" s="1"/>
  <c r="Z41" i="151"/>
  <c r="X41" i="151"/>
  <c r="Q41" i="151"/>
  <c r="P41" i="151"/>
  <c r="H41" i="151"/>
  <c r="E41" i="151"/>
  <c r="I41" i="151" s="1"/>
  <c r="AD40" i="151"/>
  <c r="AC40" i="151"/>
  <c r="AE40" i="151" s="1"/>
  <c r="AI40" i="151" s="1"/>
  <c r="Y40" i="151" s="1"/>
  <c r="AB40" i="151"/>
  <c r="Z40" i="151"/>
  <c r="X40" i="151"/>
  <c r="Q40" i="151"/>
  <c r="P40" i="151"/>
  <c r="H40" i="151"/>
  <c r="E40" i="151"/>
  <c r="I40" i="151" s="1"/>
  <c r="AD39" i="151"/>
  <c r="AC39" i="151"/>
  <c r="AE39" i="151" s="1"/>
  <c r="AI39" i="151" s="1"/>
  <c r="Y39" i="151" s="1"/>
  <c r="AB39" i="151"/>
  <c r="Z39" i="151"/>
  <c r="X39" i="151"/>
  <c r="Q39" i="151"/>
  <c r="P39" i="151"/>
  <c r="I39" i="151"/>
  <c r="H39" i="151"/>
  <c r="E39" i="151"/>
  <c r="AD38" i="151"/>
  <c r="AE38" i="151" s="1"/>
  <c r="AI38" i="151" s="1"/>
  <c r="Y38" i="151" s="1"/>
  <c r="AC38" i="151"/>
  <c r="AB38" i="151"/>
  <c r="Z38" i="151"/>
  <c r="X38" i="151"/>
  <c r="Q38" i="151"/>
  <c r="P38" i="151"/>
  <c r="H38" i="151"/>
  <c r="E38" i="151"/>
  <c r="I38" i="151" s="1"/>
  <c r="AD37" i="151"/>
  <c r="AC37" i="151"/>
  <c r="AB37" i="151"/>
  <c r="AE37" i="151" s="1"/>
  <c r="AI37" i="151" s="1"/>
  <c r="Y37" i="151" s="1"/>
  <c r="Z37" i="151"/>
  <c r="X37" i="151"/>
  <c r="Q37" i="151"/>
  <c r="P37" i="151"/>
  <c r="H37" i="151"/>
  <c r="E37" i="151"/>
  <c r="I37" i="151" s="1"/>
  <c r="AE36" i="151"/>
  <c r="AI36" i="151" s="1"/>
  <c r="Y36" i="151" s="1"/>
  <c r="AD36" i="151"/>
  <c r="AC36" i="151"/>
  <c r="AB36" i="151"/>
  <c r="Z36" i="151"/>
  <c r="X36" i="151"/>
  <c r="Q36" i="151"/>
  <c r="P36" i="151"/>
  <c r="H36" i="151"/>
  <c r="E36" i="151"/>
  <c r="I36" i="151" s="1"/>
  <c r="AE35" i="151"/>
  <c r="AI35" i="151" s="1"/>
  <c r="Y35" i="151" s="1"/>
  <c r="AD35" i="151"/>
  <c r="AC35" i="151"/>
  <c r="AB35" i="151"/>
  <c r="Z35" i="151"/>
  <c r="X35" i="151"/>
  <c r="Q35" i="151"/>
  <c r="P35" i="151"/>
  <c r="I35" i="151"/>
  <c r="H35" i="151"/>
  <c r="E35" i="151"/>
  <c r="AD34" i="151"/>
  <c r="AE34" i="151" s="1"/>
  <c r="AI34" i="151" s="1"/>
  <c r="Y34" i="151" s="1"/>
  <c r="AC34" i="151"/>
  <c r="AB34" i="151"/>
  <c r="Z34" i="151"/>
  <c r="X34" i="151"/>
  <c r="Q34" i="151"/>
  <c r="P34" i="151"/>
  <c r="H34" i="151"/>
  <c r="E34" i="151"/>
  <c r="I34" i="151" s="1"/>
  <c r="AD33" i="151"/>
  <c r="AC33" i="151"/>
  <c r="AB33" i="151"/>
  <c r="AE33" i="151" s="1"/>
  <c r="AI33" i="151" s="1"/>
  <c r="Y33" i="151" s="1"/>
  <c r="Z33" i="151"/>
  <c r="X33" i="151"/>
  <c r="Q33" i="151"/>
  <c r="P33" i="151"/>
  <c r="I33" i="151"/>
  <c r="H33" i="151"/>
  <c r="E33" i="151"/>
  <c r="AD32" i="151"/>
  <c r="AC32" i="151"/>
  <c r="AB32" i="151"/>
  <c r="AE32" i="151" s="1"/>
  <c r="AI32" i="151" s="1"/>
  <c r="Y32" i="151" s="1"/>
  <c r="Z32" i="151"/>
  <c r="X32" i="151"/>
  <c r="Q32" i="151"/>
  <c r="P32" i="151"/>
  <c r="I32" i="151"/>
  <c r="H32" i="151"/>
  <c r="E32" i="151"/>
  <c r="AI31" i="151"/>
  <c r="Y31" i="151" s="1"/>
  <c r="AE31" i="151"/>
  <c r="Z31" i="151"/>
  <c r="X31" i="151"/>
  <c r="Q31" i="151"/>
  <c r="P31" i="151"/>
  <c r="I31" i="151"/>
  <c r="H31" i="151"/>
  <c r="E31" i="151"/>
  <c r="AE30" i="151"/>
  <c r="AI30" i="151" s="1"/>
  <c r="Y30" i="151" s="1"/>
  <c r="AD30" i="151"/>
  <c r="AC30" i="151"/>
  <c r="AB30" i="151"/>
  <c r="Z30" i="151"/>
  <c r="X30" i="151"/>
  <c r="Q30" i="151"/>
  <c r="P30" i="151"/>
  <c r="H30" i="151"/>
  <c r="E30" i="151"/>
  <c r="I30" i="151" s="1"/>
  <c r="AD29" i="151"/>
  <c r="AC29" i="151"/>
  <c r="AB29" i="151"/>
  <c r="AE29" i="151" s="1"/>
  <c r="AI29" i="151" s="1"/>
  <c r="Y29" i="151" s="1"/>
  <c r="Z29" i="151"/>
  <c r="X29" i="151"/>
  <c r="Q29" i="151"/>
  <c r="P29" i="151"/>
  <c r="I29" i="151"/>
  <c r="H29" i="151"/>
  <c r="E29" i="151"/>
  <c r="AD28" i="151"/>
  <c r="AC28" i="151"/>
  <c r="AE28" i="151" s="1"/>
  <c r="AI28" i="151" s="1"/>
  <c r="Y28" i="151" s="1"/>
  <c r="AB28" i="151"/>
  <c r="Z28" i="151"/>
  <c r="X28" i="151"/>
  <c r="Q28" i="151"/>
  <c r="P28" i="151"/>
  <c r="I28" i="151"/>
  <c r="H28" i="151"/>
  <c r="E28" i="151"/>
  <c r="AD27" i="151"/>
  <c r="AC27" i="151"/>
  <c r="AB27" i="151"/>
  <c r="AE27" i="151" s="1"/>
  <c r="AI27" i="151" s="1"/>
  <c r="Y27" i="151" s="1"/>
  <c r="Z27" i="151"/>
  <c r="X27" i="151"/>
  <c r="Q27" i="151"/>
  <c r="P27" i="151"/>
  <c r="I27" i="151"/>
  <c r="H27" i="151"/>
  <c r="E27" i="151"/>
  <c r="AD26" i="151"/>
  <c r="AC26" i="151"/>
  <c r="AB26" i="151"/>
  <c r="AE26" i="151" s="1"/>
  <c r="AI26" i="151" s="1"/>
  <c r="Y26" i="151" s="1"/>
  <c r="Z26" i="151"/>
  <c r="X26" i="151"/>
  <c r="Q26" i="151"/>
  <c r="P26" i="151"/>
  <c r="H26" i="151"/>
  <c r="E26" i="151"/>
  <c r="I26" i="151" s="1"/>
  <c r="AD25" i="151"/>
  <c r="AC25" i="151"/>
  <c r="AE25" i="151" s="1"/>
  <c r="AI25" i="151" s="1"/>
  <c r="Y25" i="151" s="1"/>
  <c r="AB25" i="151"/>
  <c r="Z25" i="151"/>
  <c r="X25" i="151"/>
  <c r="Q25" i="151"/>
  <c r="P25" i="151"/>
  <c r="H25" i="151"/>
  <c r="E25" i="151"/>
  <c r="I25" i="151" s="1"/>
  <c r="AD24" i="151"/>
  <c r="AC24" i="151"/>
  <c r="AE24" i="151" s="1"/>
  <c r="AI24" i="151" s="1"/>
  <c r="Y24" i="151" s="1"/>
  <c r="AB24" i="151"/>
  <c r="Z24" i="151"/>
  <c r="X24" i="151"/>
  <c r="Q24" i="151"/>
  <c r="P24" i="151"/>
  <c r="I24" i="151"/>
  <c r="H24" i="151"/>
  <c r="E24" i="151"/>
  <c r="AD23" i="151"/>
  <c r="AE23" i="151" s="1"/>
  <c r="AI23" i="151" s="1"/>
  <c r="Y23" i="151" s="1"/>
  <c r="AC23" i="151"/>
  <c r="AB23" i="151"/>
  <c r="Z23" i="151"/>
  <c r="X23" i="151"/>
  <c r="Q23" i="151"/>
  <c r="P23" i="151"/>
  <c r="H23" i="151"/>
  <c r="E23" i="151"/>
  <c r="I23" i="151" s="1"/>
  <c r="AD22" i="151"/>
  <c r="AC22" i="151"/>
  <c r="AB22" i="151"/>
  <c r="AE22" i="151" s="1"/>
  <c r="AI22" i="151" s="1"/>
  <c r="Y22" i="151" s="1"/>
  <c r="Z22" i="151"/>
  <c r="X22" i="151"/>
  <c r="Q22" i="151"/>
  <c r="P22" i="151"/>
  <c r="H22" i="151"/>
  <c r="E22" i="151"/>
  <c r="I22" i="151" s="1"/>
  <c r="AE21" i="151"/>
  <c r="AI21" i="151" s="1"/>
  <c r="Y21" i="151" s="1"/>
  <c r="AD21" i="151"/>
  <c r="AC21" i="151"/>
  <c r="AB21" i="151"/>
  <c r="Z21" i="151"/>
  <c r="X21" i="151"/>
  <c r="Q21" i="151"/>
  <c r="P21" i="151"/>
  <c r="H21" i="151"/>
  <c r="E21" i="151"/>
  <c r="I21" i="151" s="1"/>
  <c r="AE20" i="151"/>
  <c r="AI20" i="151" s="1"/>
  <c r="Y20" i="151" s="1"/>
  <c r="AD20" i="151"/>
  <c r="AC20" i="151"/>
  <c r="AB20" i="151"/>
  <c r="Z20" i="151"/>
  <c r="X20" i="151"/>
  <c r="Q20" i="151"/>
  <c r="P20" i="151"/>
  <c r="I20" i="151"/>
  <c r="H20" i="151"/>
  <c r="E20" i="151"/>
  <c r="AD19" i="151"/>
  <c r="AC19" i="151"/>
  <c r="AB19" i="151"/>
  <c r="AE19" i="151" s="1"/>
  <c r="AI19" i="151" s="1"/>
  <c r="Y19" i="151" s="1"/>
  <c r="Z19" i="151"/>
  <c r="X19" i="151"/>
  <c r="Q19" i="151"/>
  <c r="P19" i="151"/>
  <c r="H19" i="151"/>
  <c r="E19" i="151"/>
  <c r="I19" i="151" s="1"/>
  <c r="AD18" i="151"/>
  <c r="AC18" i="151"/>
  <c r="AB18" i="151"/>
  <c r="AE18" i="151" s="1"/>
  <c r="AI18" i="151" s="1"/>
  <c r="Y18" i="151" s="1"/>
  <c r="Z18" i="151"/>
  <c r="X18" i="151"/>
  <c r="Q18" i="151"/>
  <c r="P18" i="151"/>
  <c r="I18" i="151"/>
  <c r="H18" i="151"/>
  <c r="E18" i="151"/>
  <c r="AD17" i="151"/>
  <c r="AC17" i="151"/>
  <c r="AB17" i="151"/>
  <c r="AE17" i="151" s="1"/>
  <c r="AI17" i="151" s="1"/>
  <c r="Y17" i="151" s="1"/>
  <c r="Z17" i="151"/>
  <c r="X17" i="151"/>
  <c r="Q17" i="151"/>
  <c r="O75" i="151" s="1"/>
  <c r="P17" i="151"/>
  <c r="I17" i="151"/>
  <c r="H17" i="151"/>
  <c r="E17" i="151"/>
  <c r="AE16" i="151"/>
  <c r="AI16" i="151" s="1"/>
  <c r="Y16" i="151" s="1"/>
  <c r="AD16" i="151"/>
  <c r="AC16" i="151"/>
  <c r="AB16" i="151"/>
  <c r="Z16" i="151"/>
  <c r="X16" i="151"/>
  <c r="Q16" i="151"/>
  <c r="P16" i="151"/>
  <c r="E16" i="151"/>
  <c r="I16" i="151" s="1"/>
  <c r="AE15" i="151"/>
  <c r="AI15" i="151" s="1"/>
  <c r="Y15" i="151" s="1"/>
  <c r="AD15" i="151"/>
  <c r="AC15" i="151"/>
  <c r="AB15" i="151"/>
  <c r="Z15" i="151"/>
  <c r="X15" i="151"/>
  <c r="Q15" i="151"/>
  <c r="P15" i="151"/>
  <c r="E15" i="151"/>
  <c r="I15" i="151" s="1"/>
  <c r="AD14" i="151"/>
  <c r="AC14" i="151"/>
  <c r="AE14" i="151" s="1"/>
  <c r="AI14" i="151" s="1"/>
  <c r="Y14" i="151" s="1"/>
  <c r="AB14" i="151"/>
  <c r="Z14" i="151"/>
  <c r="X14" i="151"/>
  <c r="Q14" i="151"/>
  <c r="P14" i="151"/>
  <c r="I14" i="151"/>
  <c r="H14" i="151"/>
  <c r="E14" i="151"/>
  <c r="AD13" i="151"/>
  <c r="AE13" i="151" s="1"/>
  <c r="AI13" i="151" s="1"/>
  <c r="Y13" i="151" s="1"/>
  <c r="AC13" i="151"/>
  <c r="AB13" i="151"/>
  <c r="Z13" i="151"/>
  <c r="X13" i="151"/>
  <c r="Q13" i="151"/>
  <c r="P13" i="151"/>
  <c r="H13" i="151"/>
  <c r="E13" i="151"/>
  <c r="I13" i="151" s="1"/>
  <c r="AD12" i="151"/>
  <c r="AC12" i="151"/>
  <c r="AB12" i="151"/>
  <c r="AE12" i="151" s="1"/>
  <c r="AI12" i="151" s="1"/>
  <c r="Y12" i="151" s="1"/>
  <c r="Z12" i="151"/>
  <c r="T75" i="151" s="1"/>
  <c r="X12" i="151"/>
  <c r="T77" i="151" s="1"/>
  <c r="Q12" i="151"/>
  <c r="P12" i="151"/>
  <c r="H12" i="151"/>
  <c r="E12" i="151"/>
  <c r="I12" i="151" s="1"/>
  <c r="F77" i="152" l="1"/>
  <c r="O73" i="151"/>
  <c r="F75" i="151"/>
  <c r="F73" i="151"/>
  <c r="T73" i="151"/>
  <c r="T79" i="151" s="1"/>
  <c r="M79" i="150"/>
  <c r="T77" i="150"/>
  <c r="W73" i="150"/>
  <c r="P71" i="150"/>
  <c r="H71" i="150"/>
  <c r="Q70" i="150"/>
  <c r="P70" i="150"/>
  <c r="I70" i="150"/>
  <c r="H70" i="150"/>
  <c r="E70" i="150"/>
  <c r="Q69" i="150"/>
  <c r="P69" i="150"/>
  <c r="H69" i="150"/>
  <c r="E69" i="150"/>
  <c r="I69" i="150" s="1"/>
  <c r="AD68" i="150"/>
  <c r="AC68" i="150"/>
  <c r="AB68" i="150"/>
  <c r="AE68" i="150" s="1"/>
  <c r="AI68" i="150" s="1"/>
  <c r="Y68" i="150" s="1"/>
  <c r="Z68" i="150"/>
  <c r="X68" i="150"/>
  <c r="W68" i="150"/>
  <c r="Q68" i="150"/>
  <c r="P68" i="150"/>
  <c r="I68" i="150"/>
  <c r="H68" i="150"/>
  <c r="E68" i="150"/>
  <c r="AD67" i="150"/>
  <c r="AE67" i="150" s="1"/>
  <c r="AI67" i="150" s="1"/>
  <c r="Y67" i="150" s="1"/>
  <c r="AC67" i="150"/>
  <c r="AB67" i="150"/>
  <c r="Z67" i="150"/>
  <c r="X67" i="150"/>
  <c r="Q67" i="150"/>
  <c r="P67" i="150"/>
  <c r="H67" i="150"/>
  <c r="E67" i="150"/>
  <c r="I67" i="150" s="1"/>
  <c r="AD66" i="150"/>
  <c r="AC66" i="150"/>
  <c r="AB66" i="150"/>
  <c r="AE66" i="150" s="1"/>
  <c r="AI66" i="150" s="1"/>
  <c r="Y66" i="150" s="1"/>
  <c r="Z66" i="150"/>
  <c r="X66" i="150"/>
  <c r="Q66" i="150"/>
  <c r="P66" i="150"/>
  <c r="H66" i="150"/>
  <c r="E66" i="150"/>
  <c r="I66" i="150" s="1"/>
  <c r="AD65" i="150"/>
  <c r="AC65" i="150"/>
  <c r="AE65" i="150" s="1"/>
  <c r="AI65" i="150" s="1"/>
  <c r="Y65" i="150" s="1"/>
  <c r="AB65" i="150"/>
  <c r="Z65" i="150"/>
  <c r="X65" i="150"/>
  <c r="Q65" i="150"/>
  <c r="P65" i="150"/>
  <c r="H65" i="150"/>
  <c r="E65" i="150"/>
  <c r="I65" i="150" s="1"/>
  <c r="AD64" i="150"/>
  <c r="AC64" i="150"/>
  <c r="AB64" i="150"/>
  <c r="AE64" i="150" s="1"/>
  <c r="AI64" i="150" s="1"/>
  <c r="Y64" i="150" s="1"/>
  <c r="Z64" i="150"/>
  <c r="X64" i="150"/>
  <c r="Q64" i="150"/>
  <c r="P64" i="150"/>
  <c r="I64" i="150"/>
  <c r="H64" i="150"/>
  <c r="E64" i="150"/>
  <c r="AD63" i="150"/>
  <c r="AC63" i="150"/>
  <c r="AB63" i="150"/>
  <c r="AE63" i="150" s="1"/>
  <c r="AI63" i="150" s="1"/>
  <c r="Y63" i="150" s="1"/>
  <c r="Z63" i="150"/>
  <c r="X63" i="150"/>
  <c r="Q63" i="150"/>
  <c r="P63" i="150"/>
  <c r="H63" i="150"/>
  <c r="E63" i="150"/>
  <c r="I63" i="150" s="1"/>
  <c r="AE62" i="150"/>
  <c r="AI62" i="150" s="1"/>
  <c r="Y62" i="150" s="1"/>
  <c r="AD62" i="150"/>
  <c r="AC62" i="150"/>
  <c r="AB62" i="150"/>
  <c r="Z62" i="150"/>
  <c r="X62" i="150"/>
  <c r="Q62" i="150"/>
  <c r="P62" i="150"/>
  <c r="H62" i="150"/>
  <c r="E62" i="150"/>
  <c r="I62" i="150" s="1"/>
  <c r="AC61" i="150"/>
  <c r="AB61" i="150"/>
  <c r="AE61" i="150" s="1"/>
  <c r="AI61" i="150" s="1"/>
  <c r="Y61" i="150" s="1"/>
  <c r="X61" i="150"/>
  <c r="Q61" i="150"/>
  <c r="P61" i="150"/>
  <c r="H61" i="150"/>
  <c r="E61" i="150"/>
  <c r="I61" i="150" s="1"/>
  <c r="AE60" i="150"/>
  <c r="AI60" i="150" s="1"/>
  <c r="Y60" i="150" s="1"/>
  <c r="X60" i="150"/>
  <c r="Q60" i="150"/>
  <c r="P60" i="150"/>
  <c r="H60" i="150"/>
  <c r="E60" i="150"/>
  <c r="I60" i="150" s="1"/>
  <c r="AC59" i="150"/>
  <c r="AB59" i="150"/>
  <c r="AE59" i="150" s="1"/>
  <c r="AI59" i="150" s="1"/>
  <c r="Y59" i="150" s="1"/>
  <c r="X59" i="150"/>
  <c r="Q59" i="150"/>
  <c r="P59" i="150"/>
  <c r="H59" i="150"/>
  <c r="E59" i="150"/>
  <c r="I59" i="150" s="1"/>
  <c r="AC58" i="150"/>
  <c r="AB58" i="150"/>
  <c r="AE58" i="150" s="1"/>
  <c r="AI58" i="150" s="1"/>
  <c r="Y58" i="150" s="1"/>
  <c r="X58" i="150"/>
  <c r="Q58" i="150"/>
  <c r="P58" i="150"/>
  <c r="E58" i="150"/>
  <c r="I58" i="150" s="1"/>
  <c r="AC57" i="150"/>
  <c r="AB57" i="150"/>
  <c r="AE57" i="150" s="1"/>
  <c r="AI57" i="150" s="1"/>
  <c r="Y57" i="150" s="1"/>
  <c r="X57" i="150"/>
  <c r="Q57" i="150"/>
  <c r="P57" i="150"/>
  <c r="H57" i="150"/>
  <c r="E57" i="150"/>
  <c r="I57" i="150" s="1"/>
  <c r="AD56" i="150"/>
  <c r="AC56" i="150"/>
  <c r="AB56" i="150"/>
  <c r="AE56" i="150" s="1"/>
  <c r="AI56" i="150" s="1"/>
  <c r="Y56" i="150" s="1"/>
  <c r="Z56" i="150"/>
  <c r="X56" i="150"/>
  <c r="Q56" i="150"/>
  <c r="P56" i="150"/>
  <c r="I56" i="150"/>
  <c r="H56" i="150"/>
  <c r="E56" i="150"/>
  <c r="AD55" i="150"/>
  <c r="AC55" i="150"/>
  <c r="AE55" i="150" s="1"/>
  <c r="AI55" i="150" s="1"/>
  <c r="Y55" i="150" s="1"/>
  <c r="AB55" i="150"/>
  <c r="Z55" i="150"/>
  <c r="X55" i="150"/>
  <c r="Q55" i="150"/>
  <c r="P55" i="150"/>
  <c r="H55" i="150"/>
  <c r="E55" i="150"/>
  <c r="I55" i="150" s="1"/>
  <c r="AE54" i="150"/>
  <c r="AI54" i="150" s="1"/>
  <c r="Y54" i="150" s="1"/>
  <c r="AD54" i="150"/>
  <c r="AC54" i="150"/>
  <c r="AB54" i="150"/>
  <c r="Z54" i="150"/>
  <c r="X54" i="150"/>
  <c r="Q54" i="150"/>
  <c r="P54" i="150"/>
  <c r="H54" i="150"/>
  <c r="E54" i="150"/>
  <c r="I54" i="150" s="1"/>
  <c r="AD53" i="150"/>
  <c r="AC53" i="150"/>
  <c r="AB53" i="150"/>
  <c r="AE53" i="150" s="1"/>
  <c r="AI53" i="150" s="1"/>
  <c r="Y53" i="150" s="1"/>
  <c r="Z53" i="150"/>
  <c r="X53" i="150"/>
  <c r="Q53" i="150"/>
  <c r="P53" i="150"/>
  <c r="H53" i="150"/>
  <c r="E53" i="150"/>
  <c r="I53" i="150" s="1"/>
  <c r="AE52" i="150"/>
  <c r="AI52" i="150" s="1"/>
  <c r="Y52" i="150" s="1"/>
  <c r="Z52" i="150"/>
  <c r="X52" i="150"/>
  <c r="Q52" i="150"/>
  <c r="P52" i="150"/>
  <c r="I52" i="150"/>
  <c r="H52" i="150"/>
  <c r="E52" i="150"/>
  <c r="AD51" i="150"/>
  <c r="AE51" i="150" s="1"/>
  <c r="AI51" i="150" s="1"/>
  <c r="Y51" i="150" s="1"/>
  <c r="AC51" i="150"/>
  <c r="AB51" i="150"/>
  <c r="Z51" i="150"/>
  <c r="X51" i="150"/>
  <c r="Q51" i="150"/>
  <c r="P51" i="150"/>
  <c r="H51" i="150"/>
  <c r="E51" i="150"/>
  <c r="I51" i="150" s="1"/>
  <c r="AD50" i="150"/>
  <c r="AC50" i="150"/>
  <c r="AB50" i="150"/>
  <c r="AE50" i="150" s="1"/>
  <c r="AI50" i="150" s="1"/>
  <c r="Y50" i="150" s="1"/>
  <c r="Z50" i="150"/>
  <c r="X50" i="150"/>
  <c r="Q50" i="150"/>
  <c r="P50" i="150"/>
  <c r="H50" i="150"/>
  <c r="E50" i="150"/>
  <c r="I50" i="150" s="1"/>
  <c r="AE49" i="150"/>
  <c r="AI49" i="150" s="1"/>
  <c r="Y49" i="150" s="1"/>
  <c r="Z49" i="150"/>
  <c r="X49" i="150"/>
  <c r="Q49" i="150"/>
  <c r="P49" i="150"/>
  <c r="I49" i="150"/>
  <c r="H49" i="150"/>
  <c r="E49" i="150"/>
  <c r="AE48" i="150"/>
  <c r="AI48" i="150" s="1"/>
  <c r="Y48" i="150" s="1"/>
  <c r="Z48" i="150"/>
  <c r="X48" i="150"/>
  <c r="Q48" i="150"/>
  <c r="P48" i="150"/>
  <c r="H48" i="150"/>
  <c r="E48" i="150"/>
  <c r="I48" i="150" s="1"/>
  <c r="AI47" i="150"/>
  <c r="AE47" i="150"/>
  <c r="Z47" i="150"/>
  <c r="Y47" i="150"/>
  <c r="X47" i="150"/>
  <c r="Q47" i="150"/>
  <c r="P47" i="150"/>
  <c r="H47" i="150"/>
  <c r="E47" i="150"/>
  <c r="I47" i="150" s="1"/>
  <c r="AD46" i="150"/>
  <c r="AC46" i="150"/>
  <c r="AB46" i="150"/>
  <c r="AE46" i="150" s="1"/>
  <c r="AI46" i="150" s="1"/>
  <c r="Y46" i="150" s="1"/>
  <c r="Z46" i="150"/>
  <c r="X46" i="150"/>
  <c r="Q46" i="150"/>
  <c r="P46" i="150"/>
  <c r="I46" i="150"/>
  <c r="H46" i="150"/>
  <c r="E46" i="150"/>
  <c r="AD45" i="150"/>
  <c r="AC45" i="150"/>
  <c r="AB45" i="150"/>
  <c r="AE45" i="150" s="1"/>
  <c r="AI45" i="150" s="1"/>
  <c r="Y45" i="150" s="1"/>
  <c r="Z45" i="150"/>
  <c r="X45" i="150"/>
  <c r="Q45" i="150"/>
  <c r="P45" i="150"/>
  <c r="H45" i="150"/>
  <c r="E45" i="150"/>
  <c r="I45" i="150" s="1"/>
  <c r="AD44" i="150"/>
  <c r="AC44" i="150"/>
  <c r="AB44" i="150"/>
  <c r="AE44" i="150" s="1"/>
  <c r="AI44" i="150" s="1"/>
  <c r="Y44" i="150" s="1"/>
  <c r="Z44" i="150"/>
  <c r="X44" i="150"/>
  <c r="Q44" i="150"/>
  <c r="P44" i="150"/>
  <c r="I44" i="150"/>
  <c r="H44" i="150"/>
  <c r="E44" i="150"/>
  <c r="AD43" i="150"/>
  <c r="AC43" i="150"/>
  <c r="AE43" i="150" s="1"/>
  <c r="AI43" i="150" s="1"/>
  <c r="Y43" i="150" s="1"/>
  <c r="AB43" i="150"/>
  <c r="Z43" i="150"/>
  <c r="X43" i="150"/>
  <c r="Q43" i="150"/>
  <c r="P43" i="150"/>
  <c r="H43" i="150"/>
  <c r="E43" i="150"/>
  <c r="I43" i="150" s="1"/>
  <c r="AE42" i="150"/>
  <c r="AI42" i="150" s="1"/>
  <c r="Y42" i="150" s="1"/>
  <c r="AD42" i="150"/>
  <c r="AC42" i="150"/>
  <c r="AB42" i="150"/>
  <c r="Z42" i="150"/>
  <c r="X42" i="150"/>
  <c r="Q42" i="150"/>
  <c r="P42" i="150"/>
  <c r="H42" i="150"/>
  <c r="E42" i="150"/>
  <c r="I42" i="150" s="1"/>
  <c r="AD41" i="150"/>
  <c r="AC41" i="150"/>
  <c r="AB41" i="150"/>
  <c r="AE41" i="150" s="1"/>
  <c r="AI41" i="150" s="1"/>
  <c r="Y41" i="150" s="1"/>
  <c r="Z41" i="150"/>
  <c r="X41" i="150"/>
  <c r="Q41" i="150"/>
  <c r="P41" i="150"/>
  <c r="H41" i="150"/>
  <c r="E41" i="150"/>
  <c r="I41" i="150" s="1"/>
  <c r="AD40" i="150"/>
  <c r="AC40" i="150"/>
  <c r="AB40" i="150"/>
  <c r="AE40" i="150" s="1"/>
  <c r="AI40" i="150" s="1"/>
  <c r="Y40" i="150" s="1"/>
  <c r="Z40" i="150"/>
  <c r="X40" i="150"/>
  <c r="Q40" i="150"/>
  <c r="P40" i="150"/>
  <c r="H40" i="150"/>
  <c r="E40" i="150"/>
  <c r="I40" i="150" s="1"/>
  <c r="AD39" i="150"/>
  <c r="AC39" i="150"/>
  <c r="AB39" i="150"/>
  <c r="AE39" i="150" s="1"/>
  <c r="AI39" i="150" s="1"/>
  <c r="Y39" i="150" s="1"/>
  <c r="Z39" i="150"/>
  <c r="X39" i="150"/>
  <c r="Q39" i="150"/>
  <c r="P39" i="150"/>
  <c r="I39" i="150"/>
  <c r="H39" i="150"/>
  <c r="E39" i="150"/>
  <c r="AD38" i="150"/>
  <c r="AE38" i="150" s="1"/>
  <c r="AI38" i="150" s="1"/>
  <c r="Y38" i="150" s="1"/>
  <c r="AC38" i="150"/>
  <c r="AB38" i="150"/>
  <c r="Z38" i="150"/>
  <c r="X38" i="150"/>
  <c r="Q38" i="150"/>
  <c r="P38" i="150"/>
  <c r="H38" i="150"/>
  <c r="E38" i="150"/>
  <c r="I38" i="150" s="1"/>
  <c r="AD37" i="150"/>
  <c r="AC37" i="150"/>
  <c r="AB37" i="150"/>
  <c r="AE37" i="150" s="1"/>
  <c r="AI37" i="150" s="1"/>
  <c r="Y37" i="150" s="1"/>
  <c r="Z37" i="150"/>
  <c r="X37" i="150"/>
  <c r="Q37" i="150"/>
  <c r="P37" i="150"/>
  <c r="H37" i="150"/>
  <c r="E37" i="150"/>
  <c r="I37" i="150" s="1"/>
  <c r="AD36" i="150"/>
  <c r="AC36" i="150"/>
  <c r="AE36" i="150" s="1"/>
  <c r="AI36" i="150" s="1"/>
  <c r="Y36" i="150" s="1"/>
  <c r="AB36" i="150"/>
  <c r="Z36" i="150"/>
  <c r="X36" i="150"/>
  <c r="Q36" i="150"/>
  <c r="P36" i="150"/>
  <c r="H36" i="150"/>
  <c r="E36" i="150"/>
  <c r="I36" i="150" s="1"/>
  <c r="AD35" i="150"/>
  <c r="AC35" i="150"/>
  <c r="AB35" i="150"/>
  <c r="AE35" i="150" s="1"/>
  <c r="AI35" i="150" s="1"/>
  <c r="Y35" i="150" s="1"/>
  <c r="Z35" i="150"/>
  <c r="X35" i="150"/>
  <c r="Q35" i="150"/>
  <c r="P35" i="150"/>
  <c r="I35" i="150"/>
  <c r="H35" i="150"/>
  <c r="E35" i="150"/>
  <c r="AD34" i="150"/>
  <c r="AC34" i="150"/>
  <c r="AB34" i="150"/>
  <c r="AE34" i="150" s="1"/>
  <c r="AI34" i="150" s="1"/>
  <c r="Y34" i="150" s="1"/>
  <c r="Z34" i="150"/>
  <c r="X34" i="150"/>
  <c r="Q34" i="150"/>
  <c r="P34" i="150"/>
  <c r="H34" i="150"/>
  <c r="E34" i="150"/>
  <c r="I34" i="150" s="1"/>
  <c r="AE33" i="150"/>
  <c r="AI33" i="150" s="1"/>
  <c r="Y33" i="150" s="1"/>
  <c r="AD33" i="150"/>
  <c r="AC33" i="150"/>
  <c r="AB33" i="150"/>
  <c r="Z33" i="150"/>
  <c r="X33" i="150"/>
  <c r="Q33" i="150"/>
  <c r="P33" i="150"/>
  <c r="H33" i="150"/>
  <c r="E33" i="150"/>
  <c r="I33" i="150" s="1"/>
  <c r="AD32" i="150"/>
  <c r="AC32" i="150"/>
  <c r="AB32" i="150"/>
  <c r="AE32" i="150" s="1"/>
  <c r="AI32" i="150" s="1"/>
  <c r="Y32" i="150" s="1"/>
  <c r="Z32" i="150"/>
  <c r="X32" i="150"/>
  <c r="Q32" i="150"/>
  <c r="P32" i="150"/>
  <c r="H32" i="150"/>
  <c r="E32" i="150"/>
  <c r="I32" i="150" s="1"/>
  <c r="AE31" i="150"/>
  <c r="AI31" i="150" s="1"/>
  <c r="Y31" i="150" s="1"/>
  <c r="Z31" i="150"/>
  <c r="X31" i="150"/>
  <c r="Q31" i="150"/>
  <c r="P31" i="150"/>
  <c r="I31" i="150"/>
  <c r="H31" i="150"/>
  <c r="E31" i="150"/>
  <c r="AD30" i="150"/>
  <c r="AC30" i="150"/>
  <c r="AB30" i="150"/>
  <c r="AE30" i="150" s="1"/>
  <c r="AI30" i="150" s="1"/>
  <c r="Y30" i="150" s="1"/>
  <c r="Z30" i="150"/>
  <c r="X30" i="150"/>
  <c r="Q30" i="150"/>
  <c r="P30" i="150"/>
  <c r="H30" i="150"/>
  <c r="E30" i="150"/>
  <c r="I30" i="150" s="1"/>
  <c r="AD29" i="150"/>
  <c r="AC29" i="150"/>
  <c r="AB29" i="150"/>
  <c r="AE29" i="150" s="1"/>
  <c r="AI29" i="150" s="1"/>
  <c r="Y29" i="150" s="1"/>
  <c r="Z29" i="150"/>
  <c r="X29" i="150"/>
  <c r="Q29" i="150"/>
  <c r="P29" i="150"/>
  <c r="I29" i="150"/>
  <c r="H29" i="150"/>
  <c r="E29" i="150"/>
  <c r="AD28" i="150"/>
  <c r="AC28" i="150"/>
  <c r="AE28" i="150" s="1"/>
  <c r="AI28" i="150" s="1"/>
  <c r="Y28" i="150" s="1"/>
  <c r="AB28" i="150"/>
  <c r="Z28" i="150"/>
  <c r="X28" i="150"/>
  <c r="Q28" i="150"/>
  <c r="P28" i="150"/>
  <c r="H28" i="150"/>
  <c r="E28" i="150"/>
  <c r="I28" i="150" s="1"/>
  <c r="AE27" i="150"/>
  <c r="AI27" i="150" s="1"/>
  <c r="Y27" i="150" s="1"/>
  <c r="AD27" i="150"/>
  <c r="AC27" i="150"/>
  <c r="AB27" i="150"/>
  <c r="Z27" i="150"/>
  <c r="X27" i="150"/>
  <c r="Q27" i="150"/>
  <c r="P27" i="150"/>
  <c r="H27" i="150"/>
  <c r="E27" i="150"/>
  <c r="I27" i="150" s="1"/>
  <c r="AD26" i="150"/>
  <c r="AC26" i="150"/>
  <c r="AB26" i="150"/>
  <c r="AE26" i="150" s="1"/>
  <c r="AI26" i="150" s="1"/>
  <c r="Y26" i="150" s="1"/>
  <c r="Z26" i="150"/>
  <c r="X26" i="150"/>
  <c r="Q26" i="150"/>
  <c r="P26" i="150"/>
  <c r="H26" i="150"/>
  <c r="E26" i="150"/>
  <c r="I26" i="150" s="1"/>
  <c r="AD25" i="150"/>
  <c r="AC25" i="150"/>
  <c r="AB25" i="150"/>
  <c r="AE25" i="150" s="1"/>
  <c r="AI25" i="150" s="1"/>
  <c r="Y25" i="150" s="1"/>
  <c r="Z25" i="150"/>
  <c r="X25" i="150"/>
  <c r="Q25" i="150"/>
  <c r="P25" i="150"/>
  <c r="H25" i="150"/>
  <c r="E25" i="150"/>
  <c r="I25" i="150" s="1"/>
  <c r="AD24" i="150"/>
  <c r="AC24" i="150"/>
  <c r="AB24" i="150"/>
  <c r="AE24" i="150" s="1"/>
  <c r="AI24" i="150" s="1"/>
  <c r="Y24" i="150" s="1"/>
  <c r="Z24" i="150"/>
  <c r="X24" i="150"/>
  <c r="Q24" i="150"/>
  <c r="P24" i="150"/>
  <c r="I24" i="150"/>
  <c r="H24" i="150"/>
  <c r="E24" i="150"/>
  <c r="AD23" i="150"/>
  <c r="AE23" i="150" s="1"/>
  <c r="AI23" i="150" s="1"/>
  <c r="Y23" i="150" s="1"/>
  <c r="AC23" i="150"/>
  <c r="AB23" i="150"/>
  <c r="Z23" i="150"/>
  <c r="X23" i="150"/>
  <c r="Q23" i="150"/>
  <c r="P23" i="150"/>
  <c r="H23" i="150"/>
  <c r="E23" i="150"/>
  <c r="I23" i="150" s="1"/>
  <c r="AD22" i="150"/>
  <c r="AC22" i="150"/>
  <c r="AB22" i="150"/>
  <c r="AE22" i="150" s="1"/>
  <c r="AI22" i="150" s="1"/>
  <c r="Y22" i="150" s="1"/>
  <c r="Z22" i="150"/>
  <c r="X22" i="150"/>
  <c r="Q22" i="150"/>
  <c r="P22" i="150"/>
  <c r="H22" i="150"/>
  <c r="E22" i="150"/>
  <c r="I22" i="150" s="1"/>
  <c r="AD21" i="150"/>
  <c r="AC21" i="150"/>
  <c r="AE21" i="150" s="1"/>
  <c r="AI21" i="150" s="1"/>
  <c r="Y21" i="150" s="1"/>
  <c r="AB21" i="150"/>
  <c r="Z21" i="150"/>
  <c r="X21" i="150"/>
  <c r="Q21" i="150"/>
  <c r="P21" i="150"/>
  <c r="H21" i="150"/>
  <c r="E21" i="150"/>
  <c r="I21" i="150" s="1"/>
  <c r="AD20" i="150"/>
  <c r="AC20" i="150"/>
  <c r="AB20" i="150"/>
  <c r="AE20" i="150" s="1"/>
  <c r="AI20" i="150" s="1"/>
  <c r="Y20" i="150" s="1"/>
  <c r="Z20" i="150"/>
  <c r="X20" i="150"/>
  <c r="Q20" i="150"/>
  <c r="P20" i="150"/>
  <c r="I20" i="150"/>
  <c r="H20" i="150"/>
  <c r="E20" i="150"/>
  <c r="AD19" i="150"/>
  <c r="AC19" i="150"/>
  <c r="AB19" i="150"/>
  <c r="AE19" i="150" s="1"/>
  <c r="AI19" i="150" s="1"/>
  <c r="Y19" i="150" s="1"/>
  <c r="Z19" i="150"/>
  <c r="X19" i="150"/>
  <c r="Q19" i="150"/>
  <c r="P19" i="150"/>
  <c r="H19" i="150"/>
  <c r="E19" i="150"/>
  <c r="I19" i="150" s="1"/>
  <c r="AD18" i="150"/>
  <c r="AC18" i="150"/>
  <c r="AB18" i="150"/>
  <c r="AE18" i="150" s="1"/>
  <c r="AI18" i="150" s="1"/>
  <c r="Y18" i="150" s="1"/>
  <c r="Z18" i="150"/>
  <c r="X18" i="150"/>
  <c r="Q18" i="150"/>
  <c r="P18" i="150"/>
  <c r="H18" i="150"/>
  <c r="E18" i="150"/>
  <c r="I18" i="150" s="1"/>
  <c r="AD17" i="150"/>
  <c r="AC17" i="150"/>
  <c r="AB17" i="150"/>
  <c r="AE17" i="150" s="1"/>
  <c r="AI17" i="150" s="1"/>
  <c r="Y17" i="150" s="1"/>
  <c r="Z17" i="150"/>
  <c r="X17" i="150"/>
  <c r="Q17" i="150"/>
  <c r="P17" i="150"/>
  <c r="H17" i="150"/>
  <c r="E17" i="150"/>
  <c r="I17" i="150" s="1"/>
  <c r="AD16" i="150"/>
  <c r="AE16" i="150" s="1"/>
  <c r="AI16" i="150" s="1"/>
  <c r="Y16" i="150" s="1"/>
  <c r="AC16" i="150"/>
  <c r="AB16" i="150"/>
  <c r="Z16" i="150"/>
  <c r="X16" i="150"/>
  <c r="Q16" i="150"/>
  <c r="O73" i="150" s="1"/>
  <c r="P16" i="150"/>
  <c r="E16" i="150"/>
  <c r="I16" i="150" s="1"/>
  <c r="AD15" i="150"/>
  <c r="AC15" i="150"/>
  <c r="AB15" i="150"/>
  <c r="AE15" i="150" s="1"/>
  <c r="AI15" i="150" s="1"/>
  <c r="Y15" i="150" s="1"/>
  <c r="Z15" i="150"/>
  <c r="X15" i="150"/>
  <c r="Q15" i="150"/>
  <c r="P15" i="150"/>
  <c r="E15" i="150"/>
  <c r="I15" i="150" s="1"/>
  <c r="AD14" i="150"/>
  <c r="AC14" i="150"/>
  <c r="AB14" i="150"/>
  <c r="AE14" i="150" s="1"/>
  <c r="AI14" i="150" s="1"/>
  <c r="Y14" i="150" s="1"/>
  <c r="Z14" i="150"/>
  <c r="X14" i="150"/>
  <c r="Q14" i="150"/>
  <c r="P14" i="150"/>
  <c r="I14" i="150"/>
  <c r="H14" i="150"/>
  <c r="E14" i="150"/>
  <c r="AD13" i="150"/>
  <c r="AE13" i="150" s="1"/>
  <c r="AI13" i="150" s="1"/>
  <c r="Y13" i="150" s="1"/>
  <c r="AC13" i="150"/>
  <c r="AB13" i="150"/>
  <c r="Z13" i="150"/>
  <c r="X13" i="150"/>
  <c r="Q13" i="150"/>
  <c r="P13" i="150"/>
  <c r="H13" i="150"/>
  <c r="E13" i="150"/>
  <c r="I13" i="150" s="1"/>
  <c r="AD12" i="150"/>
  <c r="AC12" i="150"/>
  <c r="AB12" i="150"/>
  <c r="AE12" i="150" s="1"/>
  <c r="AI12" i="150" s="1"/>
  <c r="Y12" i="150" s="1"/>
  <c r="Z12" i="150"/>
  <c r="T75" i="150" s="1"/>
  <c r="X12" i="150"/>
  <c r="Q12" i="150"/>
  <c r="P12" i="150"/>
  <c r="H12" i="150"/>
  <c r="E12" i="150"/>
  <c r="I12" i="150" s="1"/>
  <c r="F73" i="150" s="1"/>
  <c r="F77" i="151" l="1"/>
  <c r="O75" i="150"/>
  <c r="T73" i="150"/>
  <c r="F75" i="150"/>
  <c r="T79" i="150"/>
  <c r="F77" i="150" s="1"/>
  <c r="M79" i="149"/>
  <c r="T77" i="149"/>
  <c r="W73" i="149"/>
  <c r="P71" i="149"/>
  <c r="H71" i="149"/>
  <c r="Q70" i="149"/>
  <c r="P70" i="149"/>
  <c r="I70" i="149"/>
  <c r="H70" i="149"/>
  <c r="E70" i="149"/>
  <c r="Q69" i="149"/>
  <c r="P69" i="149"/>
  <c r="I69" i="149"/>
  <c r="H69" i="149"/>
  <c r="E69" i="149"/>
  <c r="AD68" i="149"/>
  <c r="AC68" i="149"/>
  <c r="AB68" i="149"/>
  <c r="AE68" i="149" s="1"/>
  <c r="AI68" i="149" s="1"/>
  <c r="Y68" i="149" s="1"/>
  <c r="Z68" i="149"/>
  <c r="X68" i="149"/>
  <c r="W68" i="149"/>
  <c r="Q68" i="149"/>
  <c r="P68" i="149"/>
  <c r="H68" i="149"/>
  <c r="E68" i="149"/>
  <c r="I68" i="149" s="1"/>
  <c r="AD67" i="149"/>
  <c r="AC67" i="149"/>
  <c r="AB67" i="149"/>
  <c r="AE67" i="149" s="1"/>
  <c r="AI67" i="149" s="1"/>
  <c r="Y67" i="149" s="1"/>
  <c r="Z67" i="149"/>
  <c r="X67" i="149"/>
  <c r="Q67" i="149"/>
  <c r="P67" i="149"/>
  <c r="I67" i="149"/>
  <c r="H67" i="149"/>
  <c r="E67" i="149"/>
  <c r="AD66" i="149"/>
  <c r="AE66" i="149" s="1"/>
  <c r="AI66" i="149" s="1"/>
  <c r="Y66" i="149" s="1"/>
  <c r="AC66" i="149"/>
  <c r="AB66" i="149"/>
  <c r="Z66" i="149"/>
  <c r="X66" i="149"/>
  <c r="Q66" i="149"/>
  <c r="P66" i="149"/>
  <c r="H66" i="149"/>
  <c r="E66" i="149"/>
  <c r="I66" i="149" s="1"/>
  <c r="AD65" i="149"/>
  <c r="AC65" i="149"/>
  <c r="AB65" i="149"/>
  <c r="AE65" i="149" s="1"/>
  <c r="AI65" i="149" s="1"/>
  <c r="Y65" i="149" s="1"/>
  <c r="Z65" i="149"/>
  <c r="X65" i="149"/>
  <c r="Q65" i="149"/>
  <c r="P65" i="149"/>
  <c r="H65" i="149"/>
  <c r="E65" i="149"/>
  <c r="I65" i="149" s="1"/>
  <c r="AD64" i="149"/>
  <c r="AC64" i="149"/>
  <c r="AE64" i="149" s="1"/>
  <c r="AI64" i="149" s="1"/>
  <c r="Y64" i="149" s="1"/>
  <c r="AB64" i="149"/>
  <c r="Z64" i="149"/>
  <c r="X64" i="149"/>
  <c r="Q64" i="149"/>
  <c r="P64" i="149"/>
  <c r="H64" i="149"/>
  <c r="E64" i="149"/>
  <c r="I64" i="149" s="1"/>
  <c r="AD63" i="149"/>
  <c r="AE63" i="149" s="1"/>
  <c r="AI63" i="149" s="1"/>
  <c r="Y63" i="149" s="1"/>
  <c r="AC63" i="149"/>
  <c r="AB63" i="149"/>
  <c r="Z63" i="149"/>
  <c r="X63" i="149"/>
  <c r="Q63" i="149"/>
  <c r="P63" i="149"/>
  <c r="I63" i="149"/>
  <c r="H63" i="149"/>
  <c r="E63" i="149"/>
  <c r="AD62" i="149"/>
  <c r="AC62" i="149"/>
  <c r="AB62" i="149"/>
  <c r="AE62" i="149" s="1"/>
  <c r="AI62" i="149" s="1"/>
  <c r="Y62" i="149" s="1"/>
  <c r="Z62" i="149"/>
  <c r="X62" i="149"/>
  <c r="Q62" i="149"/>
  <c r="P62" i="149"/>
  <c r="H62" i="149"/>
  <c r="E62" i="149"/>
  <c r="I62" i="149" s="1"/>
  <c r="AE61" i="149"/>
  <c r="AI61" i="149" s="1"/>
  <c r="Y61" i="149" s="1"/>
  <c r="AC61" i="149"/>
  <c r="AB61" i="149"/>
  <c r="X61" i="149"/>
  <c r="Q61" i="149"/>
  <c r="P61" i="149"/>
  <c r="I61" i="149"/>
  <c r="H61" i="149"/>
  <c r="E61" i="149"/>
  <c r="AE60" i="149"/>
  <c r="AI60" i="149" s="1"/>
  <c r="Y60" i="149" s="1"/>
  <c r="X60" i="149"/>
  <c r="Q60" i="149"/>
  <c r="P60" i="149"/>
  <c r="I60" i="149"/>
  <c r="H60" i="149"/>
  <c r="E60" i="149"/>
  <c r="AC59" i="149"/>
  <c r="AB59" i="149"/>
  <c r="AE59" i="149" s="1"/>
  <c r="AI59" i="149" s="1"/>
  <c r="Y59" i="149" s="1"/>
  <c r="X59" i="149"/>
  <c r="Q59" i="149"/>
  <c r="P59" i="149"/>
  <c r="I59" i="149"/>
  <c r="H59" i="149"/>
  <c r="E59" i="149"/>
  <c r="AC58" i="149"/>
  <c r="AE58" i="149" s="1"/>
  <c r="AI58" i="149" s="1"/>
  <c r="Y58" i="149" s="1"/>
  <c r="AB58" i="149"/>
  <c r="X58" i="149"/>
  <c r="Q58" i="149"/>
  <c r="P58" i="149"/>
  <c r="E58" i="149"/>
  <c r="I58" i="149" s="1"/>
  <c r="AC57" i="149"/>
  <c r="AB57" i="149"/>
  <c r="AE57" i="149" s="1"/>
  <c r="AI57" i="149" s="1"/>
  <c r="Y57" i="149" s="1"/>
  <c r="X57" i="149"/>
  <c r="Q57" i="149"/>
  <c r="P57" i="149"/>
  <c r="I57" i="149"/>
  <c r="H57" i="149"/>
  <c r="E57" i="149"/>
  <c r="AD56" i="149"/>
  <c r="AC56" i="149"/>
  <c r="AB56" i="149"/>
  <c r="AE56" i="149" s="1"/>
  <c r="AI56" i="149" s="1"/>
  <c r="Y56" i="149" s="1"/>
  <c r="Z56" i="149"/>
  <c r="X56" i="149"/>
  <c r="Q56" i="149"/>
  <c r="P56" i="149"/>
  <c r="H56" i="149"/>
  <c r="E56" i="149"/>
  <c r="I56" i="149" s="1"/>
  <c r="AD55" i="149"/>
  <c r="AC55" i="149"/>
  <c r="AE55" i="149" s="1"/>
  <c r="AI55" i="149" s="1"/>
  <c r="Y55" i="149" s="1"/>
  <c r="AB55" i="149"/>
  <c r="Z55" i="149"/>
  <c r="X55" i="149"/>
  <c r="Q55" i="149"/>
  <c r="P55" i="149"/>
  <c r="I55" i="149"/>
  <c r="H55" i="149"/>
  <c r="E55" i="149"/>
  <c r="AD54" i="149"/>
  <c r="AC54" i="149"/>
  <c r="AE54" i="149" s="1"/>
  <c r="AI54" i="149" s="1"/>
  <c r="Y54" i="149" s="1"/>
  <c r="AB54" i="149"/>
  <c r="Z54" i="149"/>
  <c r="X54" i="149"/>
  <c r="Q54" i="149"/>
  <c r="P54" i="149"/>
  <c r="I54" i="149"/>
  <c r="H54" i="149"/>
  <c r="E54" i="149"/>
  <c r="AD53" i="149"/>
  <c r="AC53" i="149"/>
  <c r="AB53" i="149"/>
  <c r="AE53" i="149" s="1"/>
  <c r="AI53" i="149" s="1"/>
  <c r="Y53" i="149" s="1"/>
  <c r="Z53" i="149"/>
  <c r="X53" i="149"/>
  <c r="Q53" i="149"/>
  <c r="P53" i="149"/>
  <c r="H53" i="149"/>
  <c r="E53" i="149"/>
  <c r="I53" i="149" s="1"/>
  <c r="AI52" i="149"/>
  <c r="Y52" i="149" s="1"/>
  <c r="AE52" i="149"/>
  <c r="Z52" i="149"/>
  <c r="X52" i="149"/>
  <c r="Q52" i="149"/>
  <c r="P52" i="149"/>
  <c r="H52" i="149"/>
  <c r="E52" i="149"/>
  <c r="I52" i="149" s="1"/>
  <c r="AD51" i="149"/>
  <c r="AC51" i="149"/>
  <c r="AB51" i="149"/>
  <c r="AE51" i="149" s="1"/>
  <c r="AI51" i="149" s="1"/>
  <c r="Y51" i="149" s="1"/>
  <c r="Z51" i="149"/>
  <c r="X51" i="149"/>
  <c r="Q51" i="149"/>
  <c r="P51" i="149"/>
  <c r="H51" i="149"/>
  <c r="E51" i="149"/>
  <c r="I51" i="149" s="1"/>
  <c r="AD50" i="149"/>
  <c r="AE50" i="149" s="1"/>
  <c r="AI50" i="149" s="1"/>
  <c r="Y50" i="149" s="1"/>
  <c r="AC50" i="149"/>
  <c r="AB50" i="149"/>
  <c r="Z50" i="149"/>
  <c r="X50" i="149"/>
  <c r="Q50" i="149"/>
  <c r="P50" i="149"/>
  <c r="H50" i="149"/>
  <c r="E50" i="149"/>
  <c r="I50" i="149" s="1"/>
  <c r="AI49" i="149"/>
  <c r="AE49" i="149"/>
  <c r="Z49" i="149"/>
  <c r="Y49" i="149"/>
  <c r="X49" i="149"/>
  <c r="Q49" i="149"/>
  <c r="P49" i="149"/>
  <c r="H49" i="149"/>
  <c r="E49" i="149"/>
  <c r="I49" i="149" s="1"/>
  <c r="AE48" i="149"/>
  <c r="AI48" i="149" s="1"/>
  <c r="Y48" i="149" s="1"/>
  <c r="Z48" i="149"/>
  <c r="X48" i="149"/>
  <c r="Q48" i="149"/>
  <c r="P48" i="149"/>
  <c r="H48" i="149"/>
  <c r="E48" i="149"/>
  <c r="I48" i="149" s="1"/>
  <c r="AE47" i="149"/>
  <c r="AI47" i="149" s="1"/>
  <c r="Y47" i="149" s="1"/>
  <c r="Z47" i="149"/>
  <c r="X47" i="149"/>
  <c r="Q47" i="149"/>
  <c r="P47" i="149"/>
  <c r="I47" i="149"/>
  <c r="H47" i="149"/>
  <c r="E47" i="149"/>
  <c r="AD46" i="149"/>
  <c r="AC46" i="149"/>
  <c r="AB46" i="149"/>
  <c r="AE46" i="149" s="1"/>
  <c r="AI46" i="149" s="1"/>
  <c r="Y46" i="149" s="1"/>
  <c r="Z46" i="149"/>
  <c r="X46" i="149"/>
  <c r="Q46" i="149"/>
  <c r="P46" i="149"/>
  <c r="I46" i="149"/>
  <c r="H46" i="149"/>
  <c r="E46" i="149"/>
  <c r="AE45" i="149"/>
  <c r="AI45" i="149" s="1"/>
  <c r="Y45" i="149" s="1"/>
  <c r="AD45" i="149"/>
  <c r="AC45" i="149"/>
  <c r="AB45" i="149"/>
  <c r="Z45" i="149"/>
  <c r="X45" i="149"/>
  <c r="Q45" i="149"/>
  <c r="P45" i="149"/>
  <c r="I45" i="149"/>
  <c r="H45" i="149"/>
  <c r="E45" i="149"/>
  <c r="AD44" i="149"/>
  <c r="AC44" i="149"/>
  <c r="AB44" i="149"/>
  <c r="AE44" i="149" s="1"/>
  <c r="AI44" i="149" s="1"/>
  <c r="Y44" i="149" s="1"/>
  <c r="Z44" i="149"/>
  <c r="X44" i="149"/>
  <c r="Q44" i="149"/>
  <c r="P44" i="149"/>
  <c r="H44" i="149"/>
  <c r="E44" i="149"/>
  <c r="I44" i="149" s="1"/>
  <c r="AD43" i="149"/>
  <c r="AC43" i="149"/>
  <c r="AE43" i="149" s="1"/>
  <c r="AI43" i="149" s="1"/>
  <c r="Y43" i="149" s="1"/>
  <c r="AB43" i="149"/>
  <c r="Z43" i="149"/>
  <c r="X43" i="149"/>
  <c r="Q43" i="149"/>
  <c r="P43" i="149"/>
  <c r="H43" i="149"/>
  <c r="E43" i="149"/>
  <c r="I43" i="149" s="1"/>
  <c r="AD42" i="149"/>
  <c r="AC42" i="149"/>
  <c r="AE42" i="149" s="1"/>
  <c r="AI42" i="149" s="1"/>
  <c r="Y42" i="149" s="1"/>
  <c r="AB42" i="149"/>
  <c r="Z42" i="149"/>
  <c r="X42" i="149"/>
  <c r="Q42" i="149"/>
  <c r="P42" i="149"/>
  <c r="I42" i="149"/>
  <c r="H42" i="149"/>
  <c r="E42" i="149"/>
  <c r="AD41" i="149"/>
  <c r="AC41" i="149"/>
  <c r="AB41" i="149"/>
  <c r="AE41" i="149" s="1"/>
  <c r="AI41" i="149" s="1"/>
  <c r="Y41" i="149" s="1"/>
  <c r="Z41" i="149"/>
  <c r="X41" i="149"/>
  <c r="Q41" i="149"/>
  <c r="P41" i="149"/>
  <c r="H41" i="149"/>
  <c r="E41" i="149"/>
  <c r="I41" i="149" s="1"/>
  <c r="AD40" i="149"/>
  <c r="AC40" i="149"/>
  <c r="AB40" i="149"/>
  <c r="AE40" i="149" s="1"/>
  <c r="AI40" i="149" s="1"/>
  <c r="Y40" i="149" s="1"/>
  <c r="Z40" i="149"/>
  <c r="X40" i="149"/>
  <c r="Q40" i="149"/>
  <c r="P40" i="149"/>
  <c r="H40" i="149"/>
  <c r="E40" i="149"/>
  <c r="I40" i="149" s="1"/>
  <c r="AD39" i="149"/>
  <c r="AC39" i="149"/>
  <c r="AB39" i="149"/>
  <c r="AE39" i="149" s="1"/>
  <c r="AI39" i="149" s="1"/>
  <c r="Y39" i="149" s="1"/>
  <c r="Z39" i="149"/>
  <c r="X39" i="149"/>
  <c r="Q39" i="149"/>
  <c r="P39" i="149"/>
  <c r="H39" i="149"/>
  <c r="E39" i="149"/>
  <c r="I39" i="149" s="1"/>
  <c r="AD38" i="149"/>
  <c r="AC38" i="149"/>
  <c r="AE38" i="149" s="1"/>
  <c r="AI38" i="149" s="1"/>
  <c r="Y38" i="149" s="1"/>
  <c r="AB38" i="149"/>
  <c r="Z38" i="149"/>
  <c r="X38" i="149"/>
  <c r="Q38" i="149"/>
  <c r="P38" i="149"/>
  <c r="H38" i="149"/>
  <c r="E38" i="149"/>
  <c r="I38" i="149" s="1"/>
  <c r="AD37" i="149"/>
  <c r="AE37" i="149" s="1"/>
  <c r="AI37" i="149" s="1"/>
  <c r="Y37" i="149" s="1"/>
  <c r="AC37" i="149"/>
  <c r="AB37" i="149"/>
  <c r="Z37" i="149"/>
  <c r="X37" i="149"/>
  <c r="Q37" i="149"/>
  <c r="P37" i="149"/>
  <c r="H37" i="149"/>
  <c r="E37" i="149"/>
  <c r="I37" i="149" s="1"/>
  <c r="AD36" i="149"/>
  <c r="AC36" i="149"/>
  <c r="AB36" i="149"/>
  <c r="AE36" i="149" s="1"/>
  <c r="AI36" i="149" s="1"/>
  <c r="Y36" i="149" s="1"/>
  <c r="Z36" i="149"/>
  <c r="X36" i="149"/>
  <c r="Q36" i="149"/>
  <c r="P36" i="149"/>
  <c r="H36" i="149"/>
  <c r="E36" i="149"/>
  <c r="I36" i="149" s="1"/>
  <c r="AD35" i="149"/>
  <c r="AC35" i="149"/>
  <c r="AE35" i="149" s="1"/>
  <c r="AI35" i="149" s="1"/>
  <c r="Y35" i="149" s="1"/>
  <c r="AB35" i="149"/>
  <c r="Z35" i="149"/>
  <c r="X35" i="149"/>
  <c r="Q35" i="149"/>
  <c r="P35" i="149"/>
  <c r="H35" i="149"/>
  <c r="E35" i="149"/>
  <c r="I35" i="149" s="1"/>
  <c r="AD34" i="149"/>
  <c r="AE34" i="149" s="1"/>
  <c r="AI34" i="149" s="1"/>
  <c r="Y34" i="149" s="1"/>
  <c r="AC34" i="149"/>
  <c r="AB34" i="149"/>
  <c r="Z34" i="149"/>
  <c r="X34" i="149"/>
  <c r="Q34" i="149"/>
  <c r="P34" i="149"/>
  <c r="I34" i="149"/>
  <c r="H34" i="149"/>
  <c r="E34" i="149"/>
  <c r="AD33" i="149"/>
  <c r="AC33" i="149"/>
  <c r="AB33" i="149"/>
  <c r="AE33" i="149" s="1"/>
  <c r="AI33" i="149" s="1"/>
  <c r="Y33" i="149" s="1"/>
  <c r="Z33" i="149"/>
  <c r="X33" i="149"/>
  <c r="Q33" i="149"/>
  <c r="P33" i="149"/>
  <c r="H33" i="149"/>
  <c r="E33" i="149"/>
  <c r="I33" i="149" s="1"/>
  <c r="AE32" i="149"/>
  <c r="AI32" i="149" s="1"/>
  <c r="Y32" i="149" s="1"/>
  <c r="AD32" i="149"/>
  <c r="AC32" i="149"/>
  <c r="AB32" i="149"/>
  <c r="Z32" i="149"/>
  <c r="X32" i="149"/>
  <c r="Q32" i="149"/>
  <c r="P32" i="149"/>
  <c r="H32" i="149"/>
  <c r="E32" i="149"/>
  <c r="I32" i="149" s="1"/>
  <c r="AE31" i="149"/>
  <c r="AI31" i="149" s="1"/>
  <c r="Y31" i="149" s="1"/>
  <c r="Z31" i="149"/>
  <c r="X31" i="149"/>
  <c r="Q31" i="149"/>
  <c r="P31" i="149"/>
  <c r="I31" i="149"/>
  <c r="H31" i="149"/>
  <c r="E31" i="149"/>
  <c r="AE30" i="149"/>
  <c r="AI30" i="149" s="1"/>
  <c r="Y30" i="149" s="1"/>
  <c r="AD30" i="149"/>
  <c r="AC30" i="149"/>
  <c r="AB30" i="149"/>
  <c r="Z30" i="149"/>
  <c r="X30" i="149"/>
  <c r="Q30" i="149"/>
  <c r="P30" i="149"/>
  <c r="I30" i="149"/>
  <c r="H30" i="149"/>
  <c r="E30" i="149"/>
  <c r="AD29" i="149"/>
  <c r="AC29" i="149"/>
  <c r="AB29" i="149"/>
  <c r="AE29" i="149" s="1"/>
  <c r="AI29" i="149" s="1"/>
  <c r="Y29" i="149" s="1"/>
  <c r="Z29" i="149"/>
  <c r="X29" i="149"/>
  <c r="Q29" i="149"/>
  <c r="P29" i="149"/>
  <c r="H29" i="149"/>
  <c r="E29" i="149"/>
  <c r="I29" i="149" s="1"/>
  <c r="AD28" i="149"/>
  <c r="AC28" i="149"/>
  <c r="AE28" i="149" s="1"/>
  <c r="AI28" i="149" s="1"/>
  <c r="Y28" i="149" s="1"/>
  <c r="AB28" i="149"/>
  <c r="Z28" i="149"/>
  <c r="X28" i="149"/>
  <c r="Q28" i="149"/>
  <c r="P28" i="149"/>
  <c r="H28" i="149"/>
  <c r="E28" i="149"/>
  <c r="I28" i="149" s="1"/>
  <c r="AD27" i="149"/>
  <c r="AC27" i="149"/>
  <c r="AE27" i="149" s="1"/>
  <c r="AI27" i="149" s="1"/>
  <c r="Y27" i="149" s="1"/>
  <c r="AB27" i="149"/>
  <c r="Z27" i="149"/>
  <c r="X27" i="149"/>
  <c r="Q27" i="149"/>
  <c r="P27" i="149"/>
  <c r="I27" i="149"/>
  <c r="H27" i="149"/>
  <c r="E27" i="149"/>
  <c r="AD26" i="149"/>
  <c r="AC26" i="149"/>
  <c r="AB26" i="149"/>
  <c r="AE26" i="149" s="1"/>
  <c r="AI26" i="149" s="1"/>
  <c r="Y26" i="149" s="1"/>
  <c r="Z26" i="149"/>
  <c r="X26" i="149"/>
  <c r="Q26" i="149"/>
  <c r="P26" i="149"/>
  <c r="H26" i="149"/>
  <c r="E26" i="149"/>
  <c r="I26" i="149" s="1"/>
  <c r="AD25" i="149"/>
  <c r="AC25" i="149"/>
  <c r="AB25" i="149"/>
  <c r="AE25" i="149" s="1"/>
  <c r="AI25" i="149" s="1"/>
  <c r="Y25" i="149" s="1"/>
  <c r="Z25" i="149"/>
  <c r="X25" i="149"/>
  <c r="Q25" i="149"/>
  <c r="P25" i="149"/>
  <c r="H25" i="149"/>
  <c r="E25" i="149"/>
  <c r="I25" i="149" s="1"/>
  <c r="AD24" i="149"/>
  <c r="AC24" i="149"/>
  <c r="AB24" i="149"/>
  <c r="AE24" i="149" s="1"/>
  <c r="AI24" i="149" s="1"/>
  <c r="Y24" i="149" s="1"/>
  <c r="Z24" i="149"/>
  <c r="X24" i="149"/>
  <c r="Q24" i="149"/>
  <c r="P24" i="149"/>
  <c r="H24" i="149"/>
  <c r="E24" i="149"/>
  <c r="I24" i="149" s="1"/>
  <c r="AD23" i="149"/>
  <c r="AC23" i="149"/>
  <c r="AB23" i="149"/>
  <c r="AE23" i="149" s="1"/>
  <c r="AI23" i="149" s="1"/>
  <c r="Y23" i="149" s="1"/>
  <c r="Z23" i="149"/>
  <c r="X23" i="149"/>
  <c r="Q23" i="149"/>
  <c r="P23" i="149"/>
  <c r="H23" i="149"/>
  <c r="E23" i="149"/>
  <c r="I23" i="149" s="1"/>
  <c r="AD22" i="149"/>
  <c r="AE22" i="149" s="1"/>
  <c r="AI22" i="149" s="1"/>
  <c r="Y22" i="149" s="1"/>
  <c r="AC22" i="149"/>
  <c r="AB22" i="149"/>
  <c r="Z22" i="149"/>
  <c r="X22" i="149"/>
  <c r="Q22" i="149"/>
  <c r="P22" i="149"/>
  <c r="H22" i="149"/>
  <c r="E22" i="149"/>
  <c r="I22" i="149" s="1"/>
  <c r="AD21" i="149"/>
  <c r="AC21" i="149"/>
  <c r="AB21" i="149"/>
  <c r="AE21" i="149" s="1"/>
  <c r="AI21" i="149" s="1"/>
  <c r="Y21" i="149" s="1"/>
  <c r="Z21" i="149"/>
  <c r="T75" i="149" s="1"/>
  <c r="X21" i="149"/>
  <c r="Q21" i="149"/>
  <c r="P21" i="149"/>
  <c r="H21" i="149"/>
  <c r="E21" i="149"/>
  <c r="I21" i="149" s="1"/>
  <c r="AD20" i="149"/>
  <c r="AC20" i="149"/>
  <c r="AE20" i="149" s="1"/>
  <c r="AI20" i="149" s="1"/>
  <c r="Y20" i="149" s="1"/>
  <c r="AB20" i="149"/>
  <c r="Z20" i="149"/>
  <c r="X20" i="149"/>
  <c r="Q20" i="149"/>
  <c r="P20" i="149"/>
  <c r="H20" i="149"/>
  <c r="E20" i="149"/>
  <c r="I20" i="149" s="1"/>
  <c r="AD19" i="149"/>
  <c r="AE19" i="149" s="1"/>
  <c r="AI19" i="149" s="1"/>
  <c r="Y19" i="149" s="1"/>
  <c r="AC19" i="149"/>
  <c r="AB19" i="149"/>
  <c r="Z19" i="149"/>
  <c r="X19" i="149"/>
  <c r="Q19" i="149"/>
  <c r="P19" i="149"/>
  <c r="I19" i="149"/>
  <c r="H19" i="149"/>
  <c r="E19" i="149"/>
  <c r="AD18" i="149"/>
  <c r="AC18" i="149"/>
  <c r="AB18" i="149"/>
  <c r="AE18" i="149" s="1"/>
  <c r="AI18" i="149" s="1"/>
  <c r="Y18" i="149" s="1"/>
  <c r="Z18" i="149"/>
  <c r="X18" i="149"/>
  <c r="Q18" i="149"/>
  <c r="P18" i="149"/>
  <c r="H18" i="149"/>
  <c r="E18" i="149"/>
  <c r="I18" i="149" s="1"/>
  <c r="AE17" i="149"/>
  <c r="AI17" i="149" s="1"/>
  <c r="Y17" i="149" s="1"/>
  <c r="AD17" i="149"/>
  <c r="AC17" i="149"/>
  <c r="AB17" i="149"/>
  <c r="Z17" i="149"/>
  <c r="X17" i="149"/>
  <c r="Q17" i="149"/>
  <c r="P17" i="149"/>
  <c r="H17" i="149"/>
  <c r="E17" i="149"/>
  <c r="I17" i="149" s="1"/>
  <c r="AD16" i="149"/>
  <c r="AC16" i="149"/>
  <c r="AB16" i="149"/>
  <c r="AE16" i="149" s="1"/>
  <c r="AI16" i="149" s="1"/>
  <c r="Y16" i="149" s="1"/>
  <c r="Z16" i="149"/>
  <c r="X16" i="149"/>
  <c r="Q16" i="149"/>
  <c r="P16" i="149"/>
  <c r="E16" i="149"/>
  <c r="I16" i="149" s="1"/>
  <c r="AD15" i="149"/>
  <c r="AC15" i="149"/>
  <c r="AE15" i="149" s="1"/>
  <c r="AI15" i="149" s="1"/>
  <c r="Y15" i="149" s="1"/>
  <c r="AB15" i="149"/>
  <c r="Z15" i="149"/>
  <c r="X15" i="149"/>
  <c r="Q15" i="149"/>
  <c r="P15" i="149"/>
  <c r="E15" i="149"/>
  <c r="I15" i="149" s="1"/>
  <c r="AD14" i="149"/>
  <c r="AC14" i="149"/>
  <c r="AE14" i="149" s="1"/>
  <c r="AI14" i="149" s="1"/>
  <c r="Y14" i="149" s="1"/>
  <c r="AB14" i="149"/>
  <c r="Z14" i="149"/>
  <c r="X14" i="149"/>
  <c r="Q14" i="149"/>
  <c r="P14" i="149"/>
  <c r="H14" i="149"/>
  <c r="E14" i="149"/>
  <c r="I14" i="149" s="1"/>
  <c r="AD13" i="149"/>
  <c r="AC13" i="149"/>
  <c r="AB13" i="149"/>
  <c r="AE13" i="149" s="1"/>
  <c r="AI13" i="149" s="1"/>
  <c r="Y13" i="149" s="1"/>
  <c r="Z13" i="149"/>
  <c r="X13" i="149"/>
  <c r="Q13" i="149"/>
  <c r="P13" i="149"/>
  <c r="H13" i="149"/>
  <c r="E13" i="149"/>
  <c r="I13" i="149" s="1"/>
  <c r="AD12" i="149"/>
  <c r="AE12" i="149" s="1"/>
  <c r="AI12" i="149" s="1"/>
  <c r="Y12" i="149" s="1"/>
  <c r="AC12" i="149"/>
  <c r="AB12" i="149"/>
  <c r="Z12" i="149"/>
  <c r="X12" i="149"/>
  <c r="Q12" i="149"/>
  <c r="P12" i="149"/>
  <c r="H12" i="149"/>
  <c r="E12" i="149"/>
  <c r="I12" i="149" s="1"/>
  <c r="O75" i="149" l="1"/>
  <c r="O73" i="149"/>
  <c r="F75" i="149"/>
  <c r="F73" i="149"/>
  <c r="T73" i="149"/>
  <c r="T79" i="149"/>
  <c r="M79" i="148"/>
  <c r="W73" i="148"/>
  <c r="P71" i="148"/>
  <c r="Q70" i="148"/>
  <c r="P70" i="148"/>
  <c r="H70" i="148"/>
  <c r="E70" i="148"/>
  <c r="I70" i="148" s="1"/>
  <c r="Q69" i="148"/>
  <c r="P69" i="148"/>
  <c r="I69" i="148"/>
  <c r="H69" i="148"/>
  <c r="E69" i="148"/>
  <c r="AD68" i="148"/>
  <c r="AC68" i="148"/>
  <c r="AB68" i="148"/>
  <c r="AE68" i="148" s="1"/>
  <c r="AI68" i="148" s="1"/>
  <c r="Y68" i="148" s="1"/>
  <c r="Z68" i="148"/>
  <c r="X68" i="148"/>
  <c r="W68" i="148"/>
  <c r="Q68" i="148"/>
  <c r="P68" i="148"/>
  <c r="I68" i="148"/>
  <c r="H68" i="148"/>
  <c r="E68" i="148"/>
  <c r="AD67" i="148"/>
  <c r="AC67" i="148"/>
  <c r="AB67" i="148"/>
  <c r="AE67" i="148" s="1"/>
  <c r="AI67" i="148" s="1"/>
  <c r="Y67" i="148" s="1"/>
  <c r="Z67" i="148"/>
  <c r="X67" i="148"/>
  <c r="Q67" i="148"/>
  <c r="P67" i="148"/>
  <c r="H67" i="148"/>
  <c r="E67" i="148"/>
  <c r="I67" i="148" s="1"/>
  <c r="AD66" i="148"/>
  <c r="AC66" i="148"/>
  <c r="AE66" i="148" s="1"/>
  <c r="AI66" i="148" s="1"/>
  <c r="Y66" i="148" s="1"/>
  <c r="AB66" i="148"/>
  <c r="Z66" i="148"/>
  <c r="X66" i="148"/>
  <c r="Q66" i="148"/>
  <c r="P66" i="148"/>
  <c r="I66" i="148"/>
  <c r="H66" i="148"/>
  <c r="E66" i="148"/>
  <c r="AD65" i="148"/>
  <c r="AC65" i="148"/>
  <c r="AB65" i="148"/>
  <c r="AE65" i="148" s="1"/>
  <c r="AI65" i="148" s="1"/>
  <c r="Y65" i="148" s="1"/>
  <c r="Z65" i="148"/>
  <c r="X65" i="148"/>
  <c r="Q65" i="148"/>
  <c r="P65" i="148"/>
  <c r="I65" i="148"/>
  <c r="H65" i="148"/>
  <c r="E65" i="148"/>
  <c r="AD64" i="148"/>
  <c r="AC64" i="148"/>
  <c r="AB64" i="148"/>
  <c r="AE64" i="148" s="1"/>
  <c r="AI64" i="148" s="1"/>
  <c r="Y64" i="148" s="1"/>
  <c r="Z64" i="148"/>
  <c r="X64" i="148"/>
  <c r="Q64" i="148"/>
  <c r="P64" i="148"/>
  <c r="H64" i="148"/>
  <c r="E64" i="148"/>
  <c r="I64" i="148" s="1"/>
  <c r="AD63" i="148"/>
  <c r="AC63" i="148"/>
  <c r="AE63" i="148" s="1"/>
  <c r="AI63" i="148" s="1"/>
  <c r="Y63" i="148" s="1"/>
  <c r="AB63" i="148"/>
  <c r="Z63" i="148"/>
  <c r="X63" i="148"/>
  <c r="Q63" i="148"/>
  <c r="P63" i="148"/>
  <c r="H63" i="148"/>
  <c r="E63" i="148"/>
  <c r="I63" i="148" s="1"/>
  <c r="AD62" i="148"/>
  <c r="AC62" i="148"/>
  <c r="AB62" i="148"/>
  <c r="AE62" i="148" s="1"/>
  <c r="AI62" i="148" s="1"/>
  <c r="Y62" i="148" s="1"/>
  <c r="Z62" i="148"/>
  <c r="X62" i="148"/>
  <c r="Q62" i="148"/>
  <c r="P62" i="148"/>
  <c r="H62" i="148"/>
  <c r="E62" i="148"/>
  <c r="I62" i="148" s="1"/>
  <c r="AC61" i="148"/>
  <c r="AE61" i="148" s="1"/>
  <c r="AI61" i="148" s="1"/>
  <c r="Y61" i="148" s="1"/>
  <c r="AB61" i="148"/>
  <c r="X61" i="148"/>
  <c r="Q61" i="148"/>
  <c r="P61" i="148"/>
  <c r="I61" i="148"/>
  <c r="H61" i="148"/>
  <c r="E61" i="148"/>
  <c r="AI60" i="148"/>
  <c r="Y60" i="148" s="1"/>
  <c r="AE60" i="148"/>
  <c r="X60" i="148"/>
  <c r="Q60" i="148"/>
  <c r="P60" i="148"/>
  <c r="I60" i="148"/>
  <c r="H60" i="148"/>
  <c r="E60" i="148"/>
  <c r="AC59" i="148"/>
  <c r="AE59" i="148" s="1"/>
  <c r="AI59" i="148" s="1"/>
  <c r="Y59" i="148" s="1"/>
  <c r="AB59" i="148"/>
  <c r="X59" i="148"/>
  <c r="Q59" i="148"/>
  <c r="P59" i="148"/>
  <c r="H59" i="148"/>
  <c r="E59" i="148"/>
  <c r="I59" i="148" s="1"/>
  <c r="AE58" i="148"/>
  <c r="AI58" i="148" s="1"/>
  <c r="Y58" i="148" s="1"/>
  <c r="AC58" i="148"/>
  <c r="AB58" i="148"/>
  <c r="X58" i="148"/>
  <c r="Q58" i="148"/>
  <c r="P58" i="148"/>
  <c r="E58" i="148"/>
  <c r="I58" i="148" s="1"/>
  <c r="AC57" i="148"/>
  <c r="AE57" i="148" s="1"/>
  <c r="AI57" i="148" s="1"/>
  <c r="Y57" i="148" s="1"/>
  <c r="AB57" i="148"/>
  <c r="X57" i="148"/>
  <c r="Q57" i="148"/>
  <c r="P57" i="148"/>
  <c r="I57" i="148"/>
  <c r="H57" i="148"/>
  <c r="E57" i="148"/>
  <c r="AD56" i="148"/>
  <c r="AC56" i="148"/>
  <c r="AB56" i="148"/>
  <c r="AE56" i="148" s="1"/>
  <c r="AI56" i="148" s="1"/>
  <c r="Y56" i="148" s="1"/>
  <c r="Z56" i="148"/>
  <c r="X56" i="148"/>
  <c r="Q56" i="148"/>
  <c r="P56" i="148"/>
  <c r="I56" i="148"/>
  <c r="H56" i="148"/>
  <c r="E56" i="148"/>
  <c r="AE55" i="148"/>
  <c r="AI55" i="148" s="1"/>
  <c r="Y55" i="148" s="1"/>
  <c r="AD55" i="148"/>
  <c r="AC55" i="148"/>
  <c r="AB55" i="148"/>
  <c r="Z55" i="148"/>
  <c r="X55" i="148"/>
  <c r="Q55" i="148"/>
  <c r="P55" i="148"/>
  <c r="I55" i="148"/>
  <c r="H55" i="148"/>
  <c r="E55" i="148"/>
  <c r="AD54" i="148"/>
  <c r="AC54" i="148"/>
  <c r="AB54" i="148"/>
  <c r="AE54" i="148" s="1"/>
  <c r="AI54" i="148" s="1"/>
  <c r="Y54" i="148" s="1"/>
  <c r="Z54" i="148"/>
  <c r="X54" i="148"/>
  <c r="Q54" i="148"/>
  <c r="P54" i="148"/>
  <c r="I54" i="148"/>
  <c r="H54" i="148"/>
  <c r="E54" i="148"/>
  <c r="AD53" i="148"/>
  <c r="AC53" i="148"/>
  <c r="AB53" i="148"/>
  <c r="AE53" i="148" s="1"/>
  <c r="AI53" i="148" s="1"/>
  <c r="Y53" i="148" s="1"/>
  <c r="Z53" i="148"/>
  <c r="X53" i="148"/>
  <c r="Q53" i="148"/>
  <c r="P53" i="148"/>
  <c r="I53" i="148"/>
  <c r="H53" i="148"/>
  <c r="E53" i="148"/>
  <c r="AI52" i="148"/>
  <c r="Y52" i="148" s="1"/>
  <c r="AE52" i="148"/>
  <c r="Z52" i="148"/>
  <c r="X52" i="148"/>
  <c r="Q52" i="148"/>
  <c r="P52" i="148"/>
  <c r="I52" i="148"/>
  <c r="H52" i="148"/>
  <c r="E52" i="148"/>
  <c r="AD51" i="148"/>
  <c r="AC51" i="148"/>
  <c r="AB51" i="148"/>
  <c r="AE51" i="148" s="1"/>
  <c r="AI51" i="148" s="1"/>
  <c r="Y51" i="148" s="1"/>
  <c r="Z51" i="148"/>
  <c r="X51" i="148"/>
  <c r="Q51" i="148"/>
  <c r="P51" i="148"/>
  <c r="H51" i="148"/>
  <c r="E51" i="148"/>
  <c r="I51" i="148" s="1"/>
  <c r="AD50" i="148"/>
  <c r="AC50" i="148"/>
  <c r="AE50" i="148" s="1"/>
  <c r="AI50" i="148" s="1"/>
  <c r="Y50" i="148" s="1"/>
  <c r="AB50" i="148"/>
  <c r="Z50" i="148"/>
  <c r="X50" i="148"/>
  <c r="Q50" i="148"/>
  <c r="P50" i="148"/>
  <c r="I50" i="148"/>
  <c r="H50" i="148"/>
  <c r="E50" i="148"/>
  <c r="AE49" i="148"/>
  <c r="AI49" i="148" s="1"/>
  <c r="Y49" i="148" s="1"/>
  <c r="Z49" i="148"/>
  <c r="X49" i="148"/>
  <c r="Q49" i="148"/>
  <c r="P49" i="148"/>
  <c r="H49" i="148"/>
  <c r="E49" i="148"/>
  <c r="I49" i="148" s="1"/>
  <c r="AI48" i="148"/>
  <c r="Y48" i="148" s="1"/>
  <c r="AE48" i="148"/>
  <c r="Z48" i="148"/>
  <c r="X48" i="148"/>
  <c r="Q48" i="148"/>
  <c r="P48" i="148"/>
  <c r="H48" i="148"/>
  <c r="E48" i="148"/>
  <c r="I48" i="148" s="1"/>
  <c r="AI47" i="148"/>
  <c r="Y47" i="148" s="1"/>
  <c r="AE47" i="148"/>
  <c r="Z47" i="148"/>
  <c r="X47" i="148"/>
  <c r="Q47" i="148"/>
  <c r="P47" i="148"/>
  <c r="H47" i="148"/>
  <c r="E47" i="148"/>
  <c r="I47" i="148" s="1"/>
  <c r="AD46" i="148"/>
  <c r="AC46" i="148"/>
  <c r="AB46" i="148"/>
  <c r="AE46" i="148" s="1"/>
  <c r="AI46" i="148" s="1"/>
  <c r="Y46" i="148" s="1"/>
  <c r="Z46" i="148"/>
  <c r="X46" i="148"/>
  <c r="Q46" i="148"/>
  <c r="P46" i="148"/>
  <c r="H46" i="148"/>
  <c r="E46" i="148"/>
  <c r="I46" i="148" s="1"/>
  <c r="AE45" i="148"/>
  <c r="AI45" i="148" s="1"/>
  <c r="Y45" i="148" s="1"/>
  <c r="AD45" i="148"/>
  <c r="AC45" i="148"/>
  <c r="AB45" i="148"/>
  <c r="Z45" i="148"/>
  <c r="X45" i="148"/>
  <c r="Q45" i="148"/>
  <c r="P45" i="148"/>
  <c r="I45" i="148"/>
  <c r="H45" i="148"/>
  <c r="E45" i="148"/>
  <c r="AD44" i="148"/>
  <c r="AC44" i="148"/>
  <c r="AB44" i="148"/>
  <c r="AE44" i="148" s="1"/>
  <c r="AI44" i="148" s="1"/>
  <c r="Y44" i="148" s="1"/>
  <c r="Z44" i="148"/>
  <c r="X44" i="148"/>
  <c r="Q44" i="148"/>
  <c r="P44" i="148"/>
  <c r="I44" i="148"/>
  <c r="H44" i="148"/>
  <c r="E44" i="148"/>
  <c r="AE43" i="148"/>
  <c r="AI43" i="148" s="1"/>
  <c r="Y43" i="148" s="1"/>
  <c r="AD43" i="148"/>
  <c r="AC43" i="148"/>
  <c r="AB43" i="148"/>
  <c r="Z43" i="148"/>
  <c r="X43" i="148"/>
  <c r="Q43" i="148"/>
  <c r="P43" i="148"/>
  <c r="I43" i="148"/>
  <c r="H43" i="148"/>
  <c r="E43" i="148"/>
  <c r="AD42" i="148"/>
  <c r="AC42" i="148"/>
  <c r="AB42" i="148"/>
  <c r="AE42" i="148" s="1"/>
  <c r="AI42" i="148" s="1"/>
  <c r="X42" i="148"/>
  <c r="Q42" i="148"/>
  <c r="P42" i="148"/>
  <c r="I42" i="148"/>
  <c r="H42" i="148"/>
  <c r="Z42" i="148"/>
  <c r="E42" i="148"/>
  <c r="AD41" i="148"/>
  <c r="AC41" i="148"/>
  <c r="AB41" i="148"/>
  <c r="AE41" i="148" s="1"/>
  <c r="AI41" i="148" s="1"/>
  <c r="Y41" i="148" s="1"/>
  <c r="Z41" i="148"/>
  <c r="X41" i="148"/>
  <c r="Q41" i="148"/>
  <c r="P41" i="148"/>
  <c r="I41" i="148"/>
  <c r="H41" i="148"/>
  <c r="E41" i="148"/>
  <c r="AD40" i="148"/>
  <c r="AE40" i="148" s="1"/>
  <c r="AI40" i="148" s="1"/>
  <c r="Y40" i="148" s="1"/>
  <c r="AC40" i="148"/>
  <c r="AB40" i="148"/>
  <c r="Z40" i="148"/>
  <c r="X40" i="148"/>
  <c r="Q40" i="148"/>
  <c r="P40" i="148"/>
  <c r="H40" i="148"/>
  <c r="E40" i="148"/>
  <c r="I40" i="148" s="1"/>
  <c r="AD39" i="148"/>
  <c r="AC39" i="148"/>
  <c r="AE39" i="148" s="1"/>
  <c r="AI39" i="148" s="1"/>
  <c r="AB39" i="148"/>
  <c r="Q39" i="148"/>
  <c r="P39" i="148"/>
  <c r="X39" i="148"/>
  <c r="E39" i="148"/>
  <c r="AD38" i="148"/>
  <c r="AC38" i="148"/>
  <c r="AB38" i="148"/>
  <c r="AE38" i="148" s="1"/>
  <c r="AI38" i="148" s="1"/>
  <c r="Y38" i="148" s="1"/>
  <c r="Z38" i="148"/>
  <c r="X38" i="148"/>
  <c r="Q38" i="148"/>
  <c r="P38" i="148"/>
  <c r="I38" i="148"/>
  <c r="H38" i="148"/>
  <c r="E38" i="148"/>
  <c r="AE37" i="148"/>
  <c r="AI37" i="148" s="1"/>
  <c r="Y37" i="148" s="1"/>
  <c r="AD37" i="148"/>
  <c r="AC37" i="148"/>
  <c r="AB37" i="148"/>
  <c r="Z37" i="148"/>
  <c r="X37" i="148"/>
  <c r="Q37" i="148"/>
  <c r="P37" i="148"/>
  <c r="I37" i="148"/>
  <c r="H37" i="148"/>
  <c r="E37" i="148"/>
  <c r="AD36" i="148"/>
  <c r="AC36" i="148"/>
  <c r="AB36" i="148"/>
  <c r="AE36" i="148" s="1"/>
  <c r="AI36" i="148" s="1"/>
  <c r="Y36" i="148" s="1"/>
  <c r="Z36" i="148"/>
  <c r="X36" i="148"/>
  <c r="Q36" i="148"/>
  <c r="P36" i="148"/>
  <c r="I36" i="148"/>
  <c r="H36" i="148"/>
  <c r="E36" i="148"/>
  <c r="AD35" i="148"/>
  <c r="AC35" i="148"/>
  <c r="AB35" i="148"/>
  <c r="AE35" i="148" s="1"/>
  <c r="AI35" i="148" s="1"/>
  <c r="Y35" i="148" s="1"/>
  <c r="Z35" i="148"/>
  <c r="X35" i="148"/>
  <c r="Q35" i="148"/>
  <c r="P35" i="148"/>
  <c r="I35" i="148"/>
  <c r="H35" i="148"/>
  <c r="E35" i="148"/>
  <c r="AI34" i="148"/>
  <c r="Y34" i="148" s="1"/>
  <c r="AE34" i="148"/>
  <c r="AD34" i="148"/>
  <c r="AC34" i="148"/>
  <c r="AB34" i="148"/>
  <c r="Z34" i="148"/>
  <c r="X34" i="148"/>
  <c r="Q34" i="148"/>
  <c r="P34" i="148"/>
  <c r="I34" i="148"/>
  <c r="H34" i="148"/>
  <c r="E34" i="148"/>
  <c r="AE33" i="148"/>
  <c r="AI33" i="148" s="1"/>
  <c r="Y33" i="148" s="1"/>
  <c r="AD33" i="148"/>
  <c r="AC33" i="148"/>
  <c r="AB33" i="148"/>
  <c r="Z33" i="148"/>
  <c r="X33" i="148"/>
  <c r="Q33" i="148"/>
  <c r="P33" i="148"/>
  <c r="I33" i="148"/>
  <c r="H33" i="148"/>
  <c r="E33" i="148"/>
  <c r="AD32" i="148"/>
  <c r="AC32" i="148"/>
  <c r="AB32" i="148"/>
  <c r="AE32" i="148" s="1"/>
  <c r="AI32" i="148" s="1"/>
  <c r="Y32" i="148" s="1"/>
  <c r="Z32" i="148"/>
  <c r="X32" i="148"/>
  <c r="Q32" i="148"/>
  <c r="P32" i="148"/>
  <c r="H32" i="148"/>
  <c r="E32" i="148"/>
  <c r="I32" i="148" s="1"/>
  <c r="AE31" i="148"/>
  <c r="AI31" i="148" s="1"/>
  <c r="Y31" i="148" s="1"/>
  <c r="Z31" i="148"/>
  <c r="X31" i="148"/>
  <c r="Q31" i="148"/>
  <c r="P31" i="148"/>
  <c r="I31" i="148"/>
  <c r="H31" i="148"/>
  <c r="E31" i="148"/>
  <c r="AD30" i="148"/>
  <c r="AC30" i="148"/>
  <c r="AB30" i="148"/>
  <c r="AE30" i="148" s="1"/>
  <c r="AI30" i="148" s="1"/>
  <c r="Y30" i="148" s="1"/>
  <c r="Z30" i="148"/>
  <c r="X30" i="148"/>
  <c r="Q30" i="148"/>
  <c r="P30" i="148"/>
  <c r="H30" i="148"/>
  <c r="E30" i="148"/>
  <c r="I30" i="148" s="1"/>
  <c r="AD29" i="148"/>
  <c r="AC29" i="148"/>
  <c r="AE29" i="148" s="1"/>
  <c r="AI29" i="148" s="1"/>
  <c r="Y29" i="148" s="1"/>
  <c r="AB29" i="148"/>
  <c r="Z29" i="148"/>
  <c r="X29" i="148"/>
  <c r="Q29" i="148"/>
  <c r="P29" i="148"/>
  <c r="H29" i="148"/>
  <c r="E29" i="148"/>
  <c r="I29" i="148" s="1"/>
  <c r="AD28" i="148"/>
  <c r="AC28" i="148"/>
  <c r="AB28" i="148"/>
  <c r="AE28" i="148" s="1"/>
  <c r="AI28" i="148" s="1"/>
  <c r="Y28" i="148" s="1"/>
  <c r="Z28" i="148"/>
  <c r="X28" i="148"/>
  <c r="Q28" i="148"/>
  <c r="P28" i="148"/>
  <c r="H28" i="148"/>
  <c r="E28" i="148"/>
  <c r="I28" i="148" s="1"/>
  <c r="AD27" i="148"/>
  <c r="AC27" i="148"/>
  <c r="AB27" i="148"/>
  <c r="AE27" i="148" s="1"/>
  <c r="AI27" i="148" s="1"/>
  <c r="Y27" i="148" s="1"/>
  <c r="Z27" i="148"/>
  <c r="X27" i="148"/>
  <c r="Q27" i="148"/>
  <c r="P27" i="148"/>
  <c r="H27" i="148"/>
  <c r="E27" i="148"/>
  <c r="I27" i="148" s="1"/>
  <c r="AD26" i="148"/>
  <c r="AC26" i="148"/>
  <c r="AE26" i="148" s="1"/>
  <c r="AI26" i="148" s="1"/>
  <c r="Y26" i="148" s="1"/>
  <c r="AB26" i="148"/>
  <c r="Z26" i="148"/>
  <c r="X26" i="148"/>
  <c r="Q26" i="148"/>
  <c r="P26" i="148"/>
  <c r="H26" i="148"/>
  <c r="E26" i="148"/>
  <c r="I26" i="148" s="1"/>
  <c r="AD25" i="148"/>
  <c r="AC25" i="148"/>
  <c r="AB25" i="148"/>
  <c r="AE25" i="148" s="1"/>
  <c r="AI25" i="148" s="1"/>
  <c r="Y25" i="148" s="1"/>
  <c r="Z25" i="148"/>
  <c r="X25" i="148"/>
  <c r="Q25" i="148"/>
  <c r="P25" i="148"/>
  <c r="H25" i="148"/>
  <c r="E25" i="148"/>
  <c r="I25" i="148" s="1"/>
  <c r="AE24" i="148"/>
  <c r="AI24" i="148" s="1"/>
  <c r="Y24" i="148" s="1"/>
  <c r="AD24" i="148"/>
  <c r="AC24" i="148"/>
  <c r="AB24" i="148"/>
  <c r="Z24" i="148"/>
  <c r="X24" i="148"/>
  <c r="Q24" i="148"/>
  <c r="P24" i="148"/>
  <c r="H24" i="148"/>
  <c r="E24" i="148"/>
  <c r="I24" i="148" s="1"/>
  <c r="AD23" i="148"/>
  <c r="AC23" i="148"/>
  <c r="AB23" i="148"/>
  <c r="AE23" i="148" s="1"/>
  <c r="AI23" i="148" s="1"/>
  <c r="Y23" i="148" s="1"/>
  <c r="Z23" i="148"/>
  <c r="X23" i="148"/>
  <c r="Q23" i="148"/>
  <c r="P23" i="148"/>
  <c r="H23" i="148"/>
  <c r="E23" i="148"/>
  <c r="I23" i="148" s="1"/>
  <c r="AE22" i="148"/>
  <c r="AI22" i="148" s="1"/>
  <c r="Y22" i="148" s="1"/>
  <c r="AD22" i="148"/>
  <c r="AC22" i="148"/>
  <c r="AB22" i="148"/>
  <c r="Z22" i="148"/>
  <c r="X22" i="148"/>
  <c r="Q22" i="148"/>
  <c r="P22" i="148"/>
  <c r="I22" i="148"/>
  <c r="H22" i="148"/>
  <c r="E22" i="148"/>
  <c r="AD21" i="148"/>
  <c r="AC21" i="148"/>
  <c r="AB21" i="148"/>
  <c r="AE21" i="148" s="1"/>
  <c r="AI21" i="148" s="1"/>
  <c r="Y21" i="148" s="1"/>
  <c r="Z21" i="148"/>
  <c r="X21" i="148"/>
  <c r="Q21" i="148"/>
  <c r="P21" i="148"/>
  <c r="I21" i="148"/>
  <c r="H21" i="148"/>
  <c r="E21" i="148"/>
  <c r="AD20" i="148"/>
  <c r="AC20" i="148"/>
  <c r="AB20" i="148"/>
  <c r="AE20" i="148" s="1"/>
  <c r="AI20" i="148" s="1"/>
  <c r="Y20" i="148" s="1"/>
  <c r="Z20" i="148"/>
  <c r="X20" i="148"/>
  <c r="Q20" i="148"/>
  <c r="P20" i="148"/>
  <c r="I20" i="148"/>
  <c r="H20" i="148"/>
  <c r="E20" i="148"/>
  <c r="AI19" i="148"/>
  <c r="Y19" i="148" s="1"/>
  <c r="AE19" i="148"/>
  <c r="AD19" i="148"/>
  <c r="AC19" i="148"/>
  <c r="AB19" i="148"/>
  <c r="Z19" i="148"/>
  <c r="X19" i="148"/>
  <c r="Q19" i="148"/>
  <c r="P19" i="148"/>
  <c r="I19" i="148"/>
  <c r="H19" i="148"/>
  <c r="E19" i="148"/>
  <c r="AD18" i="148"/>
  <c r="AC18" i="148"/>
  <c r="AE18" i="148" s="1"/>
  <c r="AI18" i="148" s="1"/>
  <c r="Y18" i="148" s="1"/>
  <c r="AB18" i="148"/>
  <c r="Z18" i="148"/>
  <c r="X18" i="148"/>
  <c r="Q18" i="148"/>
  <c r="P18" i="148"/>
  <c r="I18" i="148"/>
  <c r="H18" i="148"/>
  <c r="E18" i="148"/>
  <c r="AD17" i="148"/>
  <c r="AC17" i="148"/>
  <c r="AB17" i="148"/>
  <c r="AE17" i="148" s="1"/>
  <c r="AI17" i="148" s="1"/>
  <c r="Y17" i="148" s="1"/>
  <c r="Z17" i="148"/>
  <c r="X17" i="148"/>
  <c r="Q17" i="148"/>
  <c r="P17" i="148"/>
  <c r="H17" i="148"/>
  <c r="E17" i="148"/>
  <c r="I17" i="148" s="1"/>
  <c r="AD16" i="148"/>
  <c r="AC16" i="148"/>
  <c r="AE16" i="148" s="1"/>
  <c r="AI16" i="148" s="1"/>
  <c r="Y16" i="148" s="1"/>
  <c r="AB16" i="148"/>
  <c r="Z16" i="148"/>
  <c r="X16" i="148"/>
  <c r="Q16" i="148"/>
  <c r="P16" i="148"/>
  <c r="I16" i="148"/>
  <c r="E16" i="148"/>
  <c r="AD15" i="148"/>
  <c r="AC15" i="148"/>
  <c r="AB15" i="148"/>
  <c r="AE15" i="148" s="1"/>
  <c r="AI15" i="148" s="1"/>
  <c r="Y15" i="148" s="1"/>
  <c r="Z15" i="148"/>
  <c r="X15" i="148"/>
  <c r="Q15" i="148"/>
  <c r="P15" i="148"/>
  <c r="E15" i="148"/>
  <c r="I15" i="148" s="1"/>
  <c r="AE14" i="148"/>
  <c r="AI14" i="148" s="1"/>
  <c r="Y14" i="148" s="1"/>
  <c r="AD14" i="148"/>
  <c r="AC14" i="148"/>
  <c r="AB14" i="148"/>
  <c r="Z14" i="148"/>
  <c r="X14" i="148"/>
  <c r="Q14" i="148"/>
  <c r="P14" i="148"/>
  <c r="H14" i="148"/>
  <c r="E14" i="148"/>
  <c r="I14" i="148" s="1"/>
  <c r="AD13" i="148"/>
  <c r="AC13" i="148"/>
  <c r="AB13" i="148"/>
  <c r="AE13" i="148" s="1"/>
  <c r="AI13" i="148" s="1"/>
  <c r="Y13" i="148" s="1"/>
  <c r="Z13" i="148"/>
  <c r="X13" i="148"/>
  <c r="Q13" i="148"/>
  <c r="P13" i="148"/>
  <c r="H13" i="148"/>
  <c r="E13" i="148"/>
  <c r="I13" i="148" s="1"/>
  <c r="AE12" i="148"/>
  <c r="AI12" i="148" s="1"/>
  <c r="Y12" i="148" s="1"/>
  <c r="AD12" i="148"/>
  <c r="AC12" i="148"/>
  <c r="AB12" i="148"/>
  <c r="Z12" i="148"/>
  <c r="X12" i="148"/>
  <c r="Q12" i="148"/>
  <c r="P12" i="148"/>
  <c r="H12" i="148"/>
  <c r="E12" i="148"/>
  <c r="I12" i="148" s="1"/>
  <c r="F77" i="149" l="1"/>
  <c r="T77" i="148"/>
  <c r="O73" i="148"/>
  <c r="O75" i="148"/>
  <c r="Y39" i="148"/>
  <c r="Z39" i="148"/>
  <c r="T75" i="148" s="1"/>
  <c r="H71" i="148"/>
  <c r="Y42" i="148"/>
  <c r="H39" i="148"/>
  <c r="I39" i="148"/>
  <c r="F75" i="148" s="1"/>
  <c r="T73" i="148" l="1"/>
  <c r="T79" i="148"/>
  <c r="F73" i="148"/>
  <c r="F77" i="148" s="1"/>
</calcChain>
</file>

<file path=xl/sharedStrings.xml><?xml version="1.0" encoding="utf-8"?>
<sst xmlns="http://schemas.openxmlformats.org/spreadsheetml/2006/main" count="1692" uniqueCount="134">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</sst>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0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426C6-FC2E-4890-8A3F-7210CF77D9C7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195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195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202464</v>
      </c>
      <c r="P73" s="239"/>
      <c r="Q73" s="240"/>
      <c r="R73" s="152"/>
      <c r="S73" s="159" t="s">
        <v>104</v>
      </c>
      <c r="T73" s="243">
        <f>SUM(Y12:Y68)</f>
        <v>0</v>
      </c>
      <c r="U73" s="24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178488</v>
      </c>
      <c r="P75" s="239"/>
      <c r="Q75" s="240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-202464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0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133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132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26F0D-7AA0-49A3-B5FA-822F48D173A9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196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196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108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45036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>
        <v>63</v>
      </c>
      <c r="O19" s="76"/>
      <c r="P19" s="52" t="str">
        <f t="shared" si="5"/>
        <v>1 pallets</v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/>
      <c r="O57" s="51"/>
      <c r="P57" s="52" t="str">
        <f t="shared" si="5"/>
        <v>2 pallets</v>
      </c>
      <c r="Q57" s="53">
        <f>(J57*M57)+(K57*N57)+(O57*L57)</f>
        <v>11232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174816</v>
      </c>
      <c r="P73" s="239"/>
      <c r="Q73" s="240"/>
      <c r="R73" s="152"/>
      <c r="S73" s="159" t="s">
        <v>104</v>
      </c>
      <c r="T73" s="243">
        <f>SUM(Y12:Y68)</f>
        <v>0</v>
      </c>
      <c r="U73" s="24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129780</v>
      </c>
      <c r="P75" s="239"/>
      <c r="Q75" s="240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-174816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0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133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132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E024E-5C3D-46EB-B407-A904B746F4FD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23" sqref="F23"/>
      <selection pane="topRight" activeCell="M66" sqref="M6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197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197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203796</v>
      </c>
      <c r="P73" s="239"/>
      <c r="Q73" s="240"/>
      <c r="R73" s="152"/>
      <c r="S73" s="159" t="s">
        <v>104</v>
      </c>
      <c r="T73" s="243">
        <f>SUM(Y12:Y68)</f>
        <v>0</v>
      </c>
      <c r="U73" s="24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191808</v>
      </c>
      <c r="P75" s="239"/>
      <c r="Q75" s="240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-203796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0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133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132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C17F-1496-4624-9C20-FD01B5B6B49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198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198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179820</v>
      </c>
      <c r="P73" s="239"/>
      <c r="Q73" s="240"/>
      <c r="R73" s="152"/>
      <c r="S73" s="159" t="s">
        <v>104</v>
      </c>
      <c r="T73" s="243">
        <f>SUM(Y12:Y68)</f>
        <v>0</v>
      </c>
      <c r="U73" s="24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167832</v>
      </c>
      <c r="P75" s="239"/>
      <c r="Q75" s="240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-179820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0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133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132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A6DCE-BABB-4F47-BC79-E75C1F9EA6E1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199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199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1353132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203796</v>
      </c>
      <c r="P73" s="239"/>
      <c r="Q73" s="240"/>
      <c r="R73" s="152"/>
      <c r="S73" s="159" t="s">
        <v>104</v>
      </c>
      <c r="T73" s="243">
        <f>SUM(Y12:Y68)</f>
        <v>52583.040000000001</v>
      </c>
      <c r="U73" s="24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1353132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179820</v>
      </c>
      <c r="P75" s="239"/>
      <c r="Q75" s="240"/>
      <c r="R75" s="152"/>
      <c r="S75" s="159" t="s">
        <v>129</v>
      </c>
      <c r="T75" s="243">
        <f>SUM(Z12:Z70)</f>
        <v>3672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283705.95999999996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>
        <f>19040+35379</f>
        <v>54419</v>
      </c>
      <c r="Q77" s="257"/>
      <c r="R77" s="152"/>
      <c r="S77" s="159" t="s">
        <v>108</v>
      </c>
      <c r="T77" s="243">
        <f>IF(SUM(X12:X68)*0.15&gt;P77,P77,SUM(X12:X68)*0.15)</f>
        <v>54419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>
        <f>754956</f>
        <v>754956</v>
      </c>
      <c r="Q79" s="257"/>
      <c r="R79" s="152"/>
      <c r="S79" s="159" t="s">
        <v>112</v>
      </c>
      <c r="T79" s="243">
        <f>T77+T73+T75</f>
        <v>110674.04000000001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133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132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8C4A3-A040-40E4-BF99-FD8E551D235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200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200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1353132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203796</v>
      </c>
      <c r="P73" s="239"/>
      <c r="Q73" s="240"/>
      <c r="R73" s="152"/>
      <c r="S73" s="159" t="s">
        <v>104</v>
      </c>
      <c r="T73" s="243">
        <f>SUM(Y12:Y68)</f>
        <v>52583.040000000001</v>
      </c>
      <c r="U73" s="24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1353132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179820</v>
      </c>
      <c r="P75" s="239"/>
      <c r="Q75" s="240"/>
      <c r="R75" s="152"/>
      <c r="S75" s="159" t="s">
        <v>129</v>
      </c>
      <c r="T75" s="243">
        <f>SUM(Z12:Z70)</f>
        <v>3672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1093080.96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56255.040000000001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133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132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66256-7F42-4D87-B0A2-828BDB6D7FF4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201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201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1353132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203796</v>
      </c>
      <c r="P73" s="239"/>
      <c r="Q73" s="240"/>
      <c r="R73" s="152"/>
      <c r="S73" s="159" t="s">
        <v>104</v>
      </c>
      <c r="T73" s="243">
        <f>SUM(Y12:Y68)</f>
        <v>52583.040000000001</v>
      </c>
      <c r="U73" s="24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1353132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179820</v>
      </c>
      <c r="P75" s="239"/>
      <c r="Q75" s="240"/>
      <c r="R75" s="152"/>
      <c r="S75" s="159" t="s">
        <v>129</v>
      </c>
      <c r="T75" s="243">
        <f>SUM(Z12:Z70)</f>
        <v>3672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1093080.96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56255.040000000001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133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132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F3CBA-3A43-4F69-BBA0-E6A031E9E28A}">
  <sheetPr>
    <tabColor rgb="FF00B050"/>
    <pageSetUpPr fitToPage="1"/>
  </sheetPr>
  <dimension ref="A1:AJ100"/>
  <sheetViews>
    <sheetView showGridLines="0" topLeftCell="A6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202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202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1353132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203796</v>
      </c>
      <c r="P73" s="239"/>
      <c r="Q73" s="240"/>
      <c r="R73" s="152"/>
      <c r="S73" s="159" t="s">
        <v>104</v>
      </c>
      <c r="T73" s="243">
        <f>SUM(Y12:Y68)</f>
        <v>52583.040000000001</v>
      </c>
      <c r="U73" s="24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1353132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179820</v>
      </c>
      <c r="P75" s="239"/>
      <c r="Q75" s="240"/>
      <c r="R75" s="152"/>
      <c r="S75" s="159" t="s">
        <v>129</v>
      </c>
      <c r="T75" s="243">
        <f>SUM(Z12:Z70)</f>
        <v>3672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1093080.96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56255.040000000001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133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132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7E23F-23F4-4BE3-BAA0-65EB03CEE6DF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203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203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201132</v>
      </c>
      <c r="P73" s="239"/>
      <c r="Q73" s="240"/>
      <c r="R73" s="152"/>
      <c r="S73" s="159" t="s">
        <v>104</v>
      </c>
      <c r="T73" s="243">
        <f>SUM(Y12:Y68)</f>
        <v>0</v>
      </c>
      <c r="U73" s="24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177156</v>
      </c>
      <c r="P75" s="239"/>
      <c r="Q75" s="240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-201132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0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133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132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FC76F-6303-47C3-9227-B03CFE1D8D87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203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203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/>
      <c r="O12" s="30"/>
      <c r="P12" s="31" t="str">
        <f>IF(M12&amp;N12="","",ROUND(((M12+N12)/G12),1)&amp;" pallets")</f>
        <v>1 pallets</v>
      </c>
      <c r="Q12" s="32">
        <f>(J12*M12)+(K12*N12)+(O12*L12)</f>
        <v>8640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1296</v>
      </c>
      <c r="N13" s="51">
        <v>324</v>
      </c>
      <c r="O13" s="51"/>
      <c r="P13" s="52" t="str">
        <f t="shared" ref="P13:P68" si="5">IF(M13&amp;N13="","",ROUND(((M13+N13)/G13),1)&amp;" pallets")</f>
        <v>15 pallets</v>
      </c>
      <c r="Q13" s="53">
        <f t="shared" ref="Q13:Q70" si="6">(J13*M13)+(K13*N13)+(O13*L13)</f>
        <v>171072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5</v>
      </c>
      <c r="G34" s="47">
        <v>100</v>
      </c>
      <c r="H34" s="64" t="str">
        <f t="shared" si="11"/>
        <v>0.1 pallets</v>
      </c>
      <c r="I34" s="49">
        <f t="shared" si="4"/>
        <v>5875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5875</v>
      </c>
      <c r="Y34" s="57">
        <f t="shared" si="0"/>
        <v>135.80000000000001</v>
      </c>
      <c r="Z34" s="57">
        <f t="shared" si="8"/>
        <v>10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15</v>
      </c>
      <c r="G35" s="47">
        <v>100</v>
      </c>
      <c r="H35" s="64" t="str">
        <f t="shared" si="11"/>
        <v>0.2 pallets</v>
      </c>
      <c r="I35" s="49">
        <f t="shared" si="4"/>
        <v>17625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17625</v>
      </c>
      <c r="Y35" s="57">
        <f t="shared" si="0"/>
        <v>407.4</v>
      </c>
      <c r="Z35" s="57">
        <f t="shared" si="8"/>
        <v>30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>
        <v>10</v>
      </c>
      <c r="G36" s="47">
        <v>100</v>
      </c>
      <c r="H36" s="64" t="str">
        <f t="shared" si="11"/>
        <v>0.1 pallets</v>
      </c>
      <c r="I36" s="49">
        <f t="shared" si="4"/>
        <v>11750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11750</v>
      </c>
      <c r="Y36" s="57">
        <f t="shared" si="0"/>
        <v>271.60000000000002</v>
      </c>
      <c r="Z36" s="57">
        <f t="shared" si="8"/>
        <v>20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15+25</f>
        <v>40</v>
      </c>
      <c r="G39" s="87">
        <v>100</v>
      </c>
      <c r="H39" s="88" t="str">
        <f t="shared" si="11"/>
        <v>0.4 pallets</v>
      </c>
      <c r="I39" s="89">
        <f t="shared" si="4"/>
        <v>26000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26000</v>
      </c>
      <c r="Y39" s="57">
        <f t="shared" si="0"/>
        <v>1086.4000000000001</v>
      </c>
      <c r="Z39" s="57">
        <f t="shared" si="8"/>
        <v>80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f>3+1</f>
        <v>4</v>
      </c>
      <c r="G42" s="87">
        <v>100</v>
      </c>
      <c r="H42" s="88" t="str">
        <f t="shared" si="11"/>
        <v>0 pallets</v>
      </c>
      <c r="I42" s="89">
        <f t="shared" si="4"/>
        <v>4408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4408</v>
      </c>
      <c r="Y42" s="57">
        <f t="shared" si="0"/>
        <v>108.64</v>
      </c>
      <c r="Z42" s="57">
        <f t="shared" si="8"/>
        <v>8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17.7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1418790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185004</v>
      </c>
      <c r="P73" s="239"/>
      <c r="Q73" s="240"/>
      <c r="R73" s="152"/>
      <c r="S73" s="159" t="s">
        <v>104</v>
      </c>
      <c r="T73" s="243">
        <f>SUM(Y12:Y68)</f>
        <v>54592.880000000005</v>
      </c>
      <c r="U73" s="24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1418790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5292</v>
      </c>
      <c r="P75" s="239"/>
      <c r="Q75" s="240"/>
      <c r="R75" s="152"/>
      <c r="S75" s="159" t="s">
        <v>129</v>
      </c>
      <c r="T75" s="243">
        <f>SUM(Z12:Z70)</f>
        <v>3820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974241.12000000011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>
        <f>212364-11232</f>
        <v>201132</v>
      </c>
      <c r="Q79" s="257"/>
      <c r="R79" s="152"/>
      <c r="S79" s="159" t="s">
        <v>112</v>
      </c>
      <c r="T79" s="243">
        <f>T77+T73+T75</f>
        <v>58412.880000000005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133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132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3BBB3-7489-4805-AFA7-31B22FC8B64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40" sqref="F4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204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204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189</v>
      </c>
      <c r="G14" s="47">
        <v>63</v>
      </c>
      <c r="H14" s="64" t="str">
        <f>IF(F14="","",(ROUND((F14/G14),1)&amp;" pallets"))</f>
        <v>3 pallets</v>
      </c>
      <c r="I14" s="49">
        <f t="shared" si="4"/>
        <v>195237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172557</v>
      </c>
      <c r="Y14" s="57">
        <f t="shared" si="0"/>
        <v>5872.2300000000005</v>
      </c>
      <c r="Z14" s="57">
        <f t="shared" si="8"/>
        <v>378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1512</v>
      </c>
      <c r="G16" s="47">
        <v>108</v>
      </c>
      <c r="H16" s="64"/>
      <c r="I16" s="49">
        <f t="shared" si="4"/>
        <v>1114344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946512</v>
      </c>
      <c r="Y16" s="57">
        <f>F16*AI16</f>
        <v>43303.68</v>
      </c>
      <c r="Z16" s="57">
        <f>IF($U$6="x",(F16*2),"")</f>
        <v>3024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12</v>
      </c>
      <c r="G39" s="87">
        <v>100</v>
      </c>
      <c r="H39" s="88" t="str">
        <f t="shared" si="11"/>
        <v>0.1 pallets</v>
      </c>
      <c r="I39" s="89">
        <f t="shared" si="4"/>
        <v>7800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7800</v>
      </c>
      <c r="Y39" s="57">
        <f t="shared" si="0"/>
        <v>325.92</v>
      </c>
      <c r="Z39" s="57">
        <f t="shared" si="8"/>
        <v>24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1317381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203796</v>
      </c>
      <c r="P73" s="239"/>
      <c r="Q73" s="240"/>
      <c r="R73" s="152"/>
      <c r="S73" s="159" t="s">
        <v>104</v>
      </c>
      <c r="T73" s="243">
        <f>SUM(Y12:Y68)</f>
        <v>49501.83</v>
      </c>
      <c r="U73" s="24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1317381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0</v>
      </c>
      <c r="P75" s="239"/>
      <c r="Q75" s="240"/>
      <c r="R75" s="152"/>
      <c r="S75" s="159" t="s">
        <v>129</v>
      </c>
      <c r="T75" s="243">
        <f>SUM(Z12:Z70)</f>
        <v>3426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1060657.17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52927.83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133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132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F8BF2-216F-4B73-9BC7-C24AA1B99179}">
  <sheetPr>
    <tabColor rgb="FF00B050"/>
    <pageSetUpPr fitToPage="1"/>
  </sheetPr>
  <dimension ref="A1:AJ100"/>
  <sheetViews>
    <sheetView showGridLines="0" tabSelected="1" topLeftCell="A59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205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205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1080</v>
      </c>
      <c r="N13" s="51"/>
      <c r="O13" s="51"/>
      <c r="P13" s="52" t="str">
        <f t="shared" ref="P13:P68" si="5">IF(M13&amp;N13="","",ROUND(((M13+N13)/G13),1)&amp;" pallets")</f>
        <v>10 pallets</v>
      </c>
      <c r="Q13" s="53">
        <f t="shared" ref="Q13:Q70" si="6">(J13*M13)+(K13*N13)+(O13*L13)</f>
        <v>119880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1353132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119880</v>
      </c>
      <c r="P73" s="239"/>
      <c r="Q73" s="240"/>
      <c r="R73" s="152"/>
      <c r="S73" s="159" t="s">
        <v>104</v>
      </c>
      <c r="T73" s="243">
        <f>SUM(Y12:Y68)</f>
        <v>52583.040000000001</v>
      </c>
      <c r="U73" s="24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1353132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0</v>
      </c>
      <c r="P75" s="239"/>
      <c r="Q75" s="240"/>
      <c r="R75" s="152"/>
      <c r="S75" s="159" t="s">
        <v>129</v>
      </c>
      <c r="T75" s="243">
        <f>SUM(Z12:Z70)</f>
        <v>3672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1176996.96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56255.040000000001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133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132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12</vt:i4>
      </vt:variant>
    </vt:vector>
  </HeadingPairs>
  <TitlesOfParts>
    <vt:vector size="24" baseType="lpstr">
      <vt:lpstr>12-03-2025</vt:lpstr>
      <vt:lpstr>12-04-2025</vt:lpstr>
      <vt:lpstr>12-05-2025</vt:lpstr>
      <vt:lpstr>12-06-2025</vt:lpstr>
      <vt:lpstr>12-11-2025</vt:lpstr>
      <vt:lpstr>12-12-2025</vt:lpstr>
      <vt:lpstr>12-12-2025 (2)</vt:lpstr>
      <vt:lpstr>12-13-2025</vt:lpstr>
      <vt:lpstr>12-15-2025-A</vt:lpstr>
      <vt:lpstr>12-15-2025-B</vt:lpstr>
      <vt:lpstr>12-16-2025</vt:lpstr>
      <vt:lpstr>12-17-2025</vt:lpstr>
      <vt:lpstr>'12-03-2025'!Print_Area</vt:lpstr>
      <vt:lpstr>'12-04-2025'!Print_Area</vt:lpstr>
      <vt:lpstr>'12-05-2025'!Print_Area</vt:lpstr>
      <vt:lpstr>'12-06-2025'!Print_Area</vt:lpstr>
      <vt:lpstr>'12-11-2025'!Print_Area</vt:lpstr>
      <vt:lpstr>'12-12-2025'!Print_Area</vt:lpstr>
      <vt:lpstr>'12-12-2025 (2)'!Print_Area</vt:lpstr>
      <vt:lpstr>'12-13-2025'!Print_Area</vt:lpstr>
      <vt:lpstr>'12-15-2025-A'!Print_Area</vt:lpstr>
      <vt:lpstr>'12-15-2025-B'!Print_Area</vt:lpstr>
      <vt:lpstr>'12-16-2025'!Print_Area</vt:lpstr>
      <vt:lpstr>'12-17-2025'!Print_Area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2025-12-17T00:48:27Z</dcterms:modified>
</cp:coreProperties>
</file>