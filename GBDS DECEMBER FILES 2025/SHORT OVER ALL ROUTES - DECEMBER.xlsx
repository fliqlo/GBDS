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DD4086D6-8636-4C8F-B3A2-6AFBE1F2CAA7}" xr6:coauthVersionLast="45" xr6:coauthVersionMax="47" xr10:uidLastSave="{00000000-0000-0000-0000-000000000000}"/>
  <bookViews>
    <workbookView xWindow="-120" yWindow="-120" windowWidth="29040" windowHeight="15840" xr2:uid="{B997F013-12E6-4AA2-8A9D-EFCC32EA76C2}"/>
  </bookViews>
  <sheets>
    <sheet name="DECEMBER. SRS R1" sheetId="6" r:id="rId1"/>
    <sheet name="DECEMBER, SRS R2" sheetId="12" r:id="rId2"/>
    <sheet name="DECEMBER, SRS R3" sheetId="13" r:id="rId3"/>
    <sheet name="," sheetId="14" r:id="rId4"/>
  </sheets>
  <definedNames>
    <definedName name="_xlnm.Print_Area" localSheetId="1">'DECEMBER, SRS R2'!$A$1:$F$44</definedName>
    <definedName name="_xlnm.Print_Area" localSheetId="2">'DECEMBER, SRS R3'!$A$1:$F$44</definedName>
    <definedName name="_xlnm.Print_Area" localSheetId="0">'DECEMBER. SRS R1'!$A$1:$F$44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13" l="1"/>
  <c r="E43" i="13"/>
  <c r="D43" i="13"/>
  <c r="C43" i="13"/>
  <c r="F43" i="12"/>
  <c r="E43" i="12"/>
  <c r="D43" i="12"/>
  <c r="C43" i="12"/>
  <c r="C43" i="6" l="1"/>
  <c r="D43" i="6"/>
  <c r="E43" i="6"/>
  <c r="F43" i="6"/>
</calcChain>
</file>

<file path=xl/sharedStrings.xml><?xml version="1.0" encoding="utf-8"?>
<sst xmlns="http://schemas.openxmlformats.org/spreadsheetml/2006/main" count="59" uniqueCount="17">
  <si>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</si>
  <si>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</si>
  <si>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</si>
  <si>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</si>
  <si>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</si>
  <si>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</si>
  <si>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</si>
  <si>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</si>
  <si>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</si>
  <si>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</si>
  <si>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</si>
  <si>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</si>
  <si>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</si>
  <si>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ESTEMARK, PORMENTO</t>
    </r>
  </si>
  <si>
    <t>DECEMBER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</si>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</sst>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Q279"/>
  <sheetViews>
    <sheetView tabSelected="1" zoomScaleNormal="100" zoomScaleSheetLayoutView="100" workbookViewId="0">
      <selection activeCell="D32" sqref="D32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45992</v>
      </c>
      <c r="C10" s="12"/>
      <c r="D10" s="12"/>
      <c r="E10" s="12">
        <v>174.5</v>
      </c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45993</v>
      </c>
      <c r="C11" s="12"/>
      <c r="D11" s="15">
        <v>438.5</v>
      </c>
      <c r="E11" s="12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45994</v>
      </c>
      <c r="C12" s="12"/>
      <c r="D12" s="13"/>
      <c r="E12" s="12">
        <v>713.25</v>
      </c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45995</v>
      </c>
      <c r="C13" s="12"/>
      <c r="D13" s="38" t="s">
        <v>16</v>
      </c>
      <c r="E13" s="4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45996</v>
      </c>
      <c r="C14" s="12"/>
      <c r="D14" s="13">
        <v>437.5</v>
      </c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45997</v>
      </c>
      <c r="C15" s="27"/>
      <c r="D15" s="15">
        <v>268</v>
      </c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8" t="s">
        <v>1</v>
      </c>
      <c r="D16" s="39"/>
      <c r="E16" s="39"/>
      <c r="F16" s="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45999</v>
      </c>
      <c r="C17" s="12"/>
      <c r="D17" s="13">
        <v>41.75</v>
      </c>
      <c r="E17" s="12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46000</v>
      </c>
      <c r="C18" s="12"/>
      <c r="D18" s="15">
        <v>256.75</v>
      </c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46001</v>
      </c>
      <c r="C19" s="12"/>
      <c r="D19" s="38" t="s">
        <v>16</v>
      </c>
      <c r="E19" s="40"/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46002</v>
      </c>
      <c r="C20" s="12"/>
      <c r="D20" s="36">
        <v>1378.25</v>
      </c>
      <c r="E20" s="36"/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46003</v>
      </c>
      <c r="C21" s="12"/>
      <c r="D21" s="12"/>
      <c r="E21" s="12">
        <v>330</v>
      </c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46004</v>
      </c>
      <c r="C22" s="27"/>
      <c r="D22" s="15">
        <v>18</v>
      </c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8" t="s">
        <v>1</v>
      </c>
      <c r="D23" s="39"/>
      <c r="E23" s="39"/>
      <c r="F23" s="40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46006</v>
      </c>
      <c r="C24" s="12"/>
      <c r="D24" s="13">
        <v>7.5</v>
      </c>
      <c r="E24" s="12"/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46007</v>
      </c>
      <c r="C25" s="12"/>
      <c r="D25" s="15"/>
      <c r="E25" s="12">
        <v>262.5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46008</v>
      </c>
      <c r="C26" s="12"/>
      <c r="D26" s="12"/>
      <c r="E26" s="12">
        <v>577.5</v>
      </c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46009</v>
      </c>
      <c r="C27" s="12"/>
      <c r="D27" s="13">
        <v>18</v>
      </c>
      <c r="E27" s="12"/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46010</v>
      </c>
      <c r="C28" s="12"/>
      <c r="D28" s="13">
        <v>6</v>
      </c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46011</v>
      </c>
      <c r="C29" s="27"/>
      <c r="D29" s="15"/>
      <c r="E29" s="12">
        <v>305.5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8" t="s">
        <v>1</v>
      </c>
      <c r="D30" s="39"/>
      <c r="E30" s="39"/>
      <c r="F30" s="40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46013</v>
      </c>
      <c r="C31" s="12"/>
      <c r="D31" s="12"/>
      <c r="E31" s="12">
        <v>968.25</v>
      </c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46014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46015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46016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46017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46018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8" t="s">
        <v>1</v>
      </c>
      <c r="D37" s="39"/>
      <c r="E37" s="39"/>
      <c r="F37" s="40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46020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46021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46022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46023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>
        <v>46024</v>
      </c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2870.25</v>
      </c>
      <c r="E43" s="18">
        <f>SUM(E10:E42)</f>
        <v>3331.5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33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6">
    <mergeCell ref="C37:F37"/>
    <mergeCell ref="C16:F16"/>
    <mergeCell ref="C23:F23"/>
    <mergeCell ref="C30:F30"/>
    <mergeCell ref="D13:E13"/>
    <mergeCell ref="D19:E19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Q279"/>
  <sheetViews>
    <sheetView zoomScaleNormal="100" zoomScaleSheetLayoutView="100" workbookViewId="0">
      <selection activeCell="D32" sqref="D32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15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45992</v>
      </c>
      <c r="C10" s="12"/>
      <c r="D10" s="13">
        <v>669</v>
      </c>
      <c r="E10" s="12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45993</v>
      </c>
      <c r="C11" s="12"/>
      <c r="D11" s="15">
        <v>187.67</v>
      </c>
      <c r="E11" s="12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45994</v>
      </c>
      <c r="C12" s="12"/>
      <c r="D12" s="13"/>
      <c r="E12" s="12">
        <v>54.25</v>
      </c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45995</v>
      </c>
      <c r="C13" s="12"/>
      <c r="D13" s="13">
        <v>507.08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45996</v>
      </c>
      <c r="C14" s="12"/>
      <c r="D14" s="13"/>
      <c r="E14" s="12">
        <v>507.58</v>
      </c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45997</v>
      </c>
      <c r="C15" s="27"/>
      <c r="D15" s="15"/>
      <c r="E15" s="12">
        <v>187.67</v>
      </c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8" t="s">
        <v>1</v>
      </c>
      <c r="D16" s="39"/>
      <c r="E16" s="39"/>
      <c r="F16" s="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45999</v>
      </c>
      <c r="C17" s="12"/>
      <c r="D17" s="12"/>
      <c r="E17" s="12">
        <v>838.17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46000</v>
      </c>
      <c r="C18" s="12"/>
      <c r="D18" s="15">
        <v>1022.25</v>
      </c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46001</v>
      </c>
      <c r="C19" s="12"/>
      <c r="D19" s="12"/>
      <c r="E19" s="12">
        <v>767</v>
      </c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46002</v>
      </c>
      <c r="C20" s="12"/>
      <c r="D20" s="36"/>
      <c r="E20" s="37">
        <v>295.42</v>
      </c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46003</v>
      </c>
      <c r="C21" s="12"/>
      <c r="D21" s="13">
        <v>1312.67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46004</v>
      </c>
      <c r="C22" s="27"/>
      <c r="D22" s="15">
        <v>71907.5</v>
      </c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8" t="s">
        <v>1</v>
      </c>
      <c r="D23" s="39"/>
      <c r="E23" s="39"/>
      <c r="F23" s="40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46006</v>
      </c>
      <c r="C24" s="12"/>
      <c r="D24" s="13"/>
      <c r="E24" s="12">
        <v>71769.5</v>
      </c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46007</v>
      </c>
      <c r="C25" s="12"/>
      <c r="D25" s="15"/>
      <c r="E25" s="12">
        <v>206</v>
      </c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46008</v>
      </c>
      <c r="C26" s="12"/>
      <c r="D26" s="12"/>
      <c r="E26" s="12">
        <v>85</v>
      </c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46009</v>
      </c>
      <c r="C27" s="12"/>
      <c r="D27" s="12"/>
      <c r="E27" s="12">
        <v>113.42</v>
      </c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46010</v>
      </c>
      <c r="C28" s="12"/>
      <c r="D28" s="13">
        <v>1807.17</v>
      </c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46011</v>
      </c>
      <c r="C29" s="27"/>
      <c r="D29" s="15"/>
      <c r="E29" s="12">
        <v>3966.67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8" t="s">
        <v>1</v>
      </c>
      <c r="D30" s="39"/>
      <c r="E30" s="39"/>
      <c r="F30" s="40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46013</v>
      </c>
      <c r="C31" s="12"/>
      <c r="D31" s="13">
        <v>968.25</v>
      </c>
      <c r="E31" s="12"/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46014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46015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46016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46017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46018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8" t="s">
        <v>1</v>
      </c>
      <c r="D37" s="39"/>
      <c r="E37" s="39"/>
      <c r="F37" s="40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46020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46021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46022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46023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>
        <v>46024</v>
      </c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78381.59</v>
      </c>
      <c r="E43" s="18">
        <f>SUM(E10:E42)</f>
        <v>78790.679999999993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4">
    <mergeCell ref="C37:F37"/>
    <mergeCell ref="C16:F16"/>
    <mergeCell ref="C23:F23"/>
    <mergeCell ref="C30:F30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Q279"/>
  <sheetViews>
    <sheetView zoomScaleNormal="100" zoomScaleSheetLayoutView="100" workbookViewId="0">
      <selection activeCell="D32" sqref="D32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4.75" customWidth="1"/>
    <col min="9" max="9" width="13.125" bestFit="1" customWidth="1"/>
    <col min="12" max="12" width="13.25" bestFit="1" customWidth="1"/>
  </cols>
  <sheetData>
    <row r="1" spans="1:17">
      <c r="E1"/>
    </row>
    <row r="2" spans="1:17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>
      <c r="A4" s="3"/>
      <c r="B4" s="3" t="s">
        <v>14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>
      <c r="A5" s="5"/>
      <c r="B5" s="20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>
      <c r="A9" s="14" t="s">
        <v>3</v>
      </c>
      <c r="B9" s="10" t="s">
        <v>12</v>
      </c>
      <c r="C9" s="25" t="s">
        <v>0</v>
      </c>
      <c r="D9" s="26" t="s">
        <v>6</v>
      </c>
      <c r="E9" s="16" t="s">
        <v>4</v>
      </c>
      <c r="F9" s="16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>
      <c r="A10" s="11">
        <v>1</v>
      </c>
      <c r="B10" s="31">
        <v>45992</v>
      </c>
      <c r="C10" s="12"/>
      <c r="D10" s="13">
        <v>40.75</v>
      </c>
      <c r="E10" s="12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>
      <c r="A11" s="11">
        <v>2</v>
      </c>
      <c r="B11" s="31">
        <v>45993</v>
      </c>
      <c r="C11" s="12"/>
      <c r="D11" s="15"/>
      <c r="E11" s="12">
        <v>10137.75</v>
      </c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>
      <c r="A12" s="11">
        <v>3</v>
      </c>
      <c r="B12" s="31">
        <v>45994</v>
      </c>
      <c r="C12" s="12"/>
      <c r="D12" s="13">
        <v>12381.75</v>
      </c>
      <c r="E12" s="12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>
      <c r="A13" s="11">
        <v>4</v>
      </c>
      <c r="B13" s="31">
        <v>45995</v>
      </c>
      <c r="C13" s="12"/>
      <c r="D13" s="13">
        <v>398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>
      <c r="A14" s="11">
        <v>5</v>
      </c>
      <c r="B14" s="31">
        <v>45996</v>
      </c>
      <c r="C14" s="12"/>
      <c r="D14" s="13">
        <v>19</v>
      </c>
      <c r="E14" s="12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>
      <c r="A15" s="11">
        <v>6</v>
      </c>
      <c r="B15" s="31">
        <v>45997</v>
      </c>
      <c r="C15" s="27"/>
      <c r="D15" s="15">
        <v>654.5</v>
      </c>
      <c r="E15" s="12"/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>
      <c r="A16" s="11">
        <v>7</v>
      </c>
      <c r="B16" s="30" t="s">
        <v>1</v>
      </c>
      <c r="C16" s="38" t="s">
        <v>1</v>
      </c>
      <c r="D16" s="39"/>
      <c r="E16" s="39"/>
      <c r="F16" s="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1">
        <v>8</v>
      </c>
      <c r="B17" s="31">
        <v>45999</v>
      </c>
      <c r="C17" s="12"/>
      <c r="D17" s="12"/>
      <c r="E17" s="12">
        <v>709.75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>
      <c r="A18" s="11">
        <v>9</v>
      </c>
      <c r="B18" s="31">
        <v>46000</v>
      </c>
      <c r="C18" s="12"/>
      <c r="D18" s="15">
        <v>426.5</v>
      </c>
      <c r="E18" s="12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>
      <c r="A19" s="11">
        <v>10</v>
      </c>
      <c r="B19" s="31">
        <v>46001</v>
      </c>
      <c r="C19" s="12"/>
      <c r="D19" s="12"/>
      <c r="E19" s="12">
        <v>86.25</v>
      </c>
      <c r="F19" s="1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>
      <c r="A20" s="11">
        <v>11</v>
      </c>
      <c r="B20" s="31">
        <v>46002</v>
      </c>
      <c r="C20" s="12"/>
      <c r="D20" s="36"/>
      <c r="E20" s="37">
        <v>534.5</v>
      </c>
      <c r="F20" s="1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>
      <c r="A21" s="11">
        <v>12</v>
      </c>
      <c r="B21" s="31">
        <v>46003</v>
      </c>
      <c r="C21" s="12"/>
      <c r="D21" s="13">
        <v>1089.5</v>
      </c>
      <c r="E21" s="12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>
      <c r="A22" s="11">
        <v>13</v>
      </c>
      <c r="B22" s="31">
        <v>46004</v>
      </c>
      <c r="C22" s="27"/>
      <c r="D22" s="15">
        <v>3958.25</v>
      </c>
      <c r="E22" s="12"/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>
      <c r="A23" s="11">
        <v>14</v>
      </c>
      <c r="B23" s="30" t="s">
        <v>1</v>
      </c>
      <c r="C23" s="38" t="s">
        <v>1</v>
      </c>
      <c r="D23" s="39"/>
      <c r="E23" s="39"/>
      <c r="F23" s="40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</row>
    <row r="24" spans="1:17" ht="15">
      <c r="A24" s="11">
        <v>15</v>
      </c>
      <c r="B24" s="31">
        <v>46006</v>
      </c>
      <c r="C24" s="12"/>
      <c r="D24" s="13"/>
      <c r="E24" s="12">
        <v>3377.5</v>
      </c>
      <c r="F24" s="1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</row>
    <row r="25" spans="1:17" ht="15">
      <c r="A25" s="11">
        <v>16</v>
      </c>
      <c r="B25" s="31">
        <v>46007</v>
      </c>
      <c r="C25" s="12"/>
      <c r="D25" s="15">
        <v>1235.25</v>
      </c>
      <c r="E25" s="12"/>
      <c r="F25" s="1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</row>
    <row r="26" spans="1:17" ht="15">
      <c r="A26" s="11">
        <v>17</v>
      </c>
      <c r="B26" s="31">
        <v>46008</v>
      </c>
      <c r="C26" s="12"/>
      <c r="D26" s="13">
        <v>2766</v>
      </c>
      <c r="E26" s="12"/>
      <c r="F26" s="11"/>
      <c r="G26" s="1"/>
      <c r="H26" s="1"/>
      <c r="I26" s="19"/>
      <c r="J26" s="1"/>
      <c r="K26" s="1"/>
      <c r="L26" s="1"/>
      <c r="M26" s="1"/>
      <c r="N26" s="1"/>
      <c r="O26" s="1"/>
      <c r="P26" s="1"/>
      <c r="Q26" s="1"/>
    </row>
    <row r="27" spans="1:17" ht="15">
      <c r="A27" s="11">
        <v>18</v>
      </c>
      <c r="B27" s="31">
        <v>46009</v>
      </c>
      <c r="C27" s="12"/>
      <c r="D27" s="12"/>
      <c r="E27" s="12">
        <v>1488.75</v>
      </c>
      <c r="F27" s="1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</row>
    <row r="28" spans="1:17" ht="15">
      <c r="A28" s="11">
        <v>19</v>
      </c>
      <c r="B28" s="31">
        <v>46010</v>
      </c>
      <c r="C28" s="12"/>
      <c r="D28" s="13">
        <v>421.25</v>
      </c>
      <c r="E28" s="12"/>
      <c r="F28" s="35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</row>
    <row r="29" spans="1:17" ht="15">
      <c r="A29" s="11">
        <v>20</v>
      </c>
      <c r="B29" s="31">
        <v>46011</v>
      </c>
      <c r="C29" s="27"/>
      <c r="D29" s="15"/>
      <c r="E29" s="12">
        <v>599.25</v>
      </c>
      <c r="F29" s="34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</row>
    <row r="30" spans="1:17" ht="15">
      <c r="A30" s="11">
        <v>21</v>
      </c>
      <c r="B30" s="30" t="s">
        <v>1</v>
      </c>
      <c r="C30" s="38" t="s">
        <v>1</v>
      </c>
      <c r="D30" s="39"/>
      <c r="E30" s="39"/>
      <c r="F30" s="40"/>
      <c r="G30" s="1"/>
      <c r="H30" s="1"/>
      <c r="I30" s="7"/>
      <c r="J30" s="1"/>
      <c r="K30" s="1"/>
      <c r="L30" s="1"/>
      <c r="M30" s="1"/>
      <c r="N30" s="1"/>
      <c r="O30" s="1"/>
      <c r="P30" s="1"/>
      <c r="Q30" s="1"/>
    </row>
    <row r="31" spans="1:17" ht="15">
      <c r="A31" s="11">
        <v>22</v>
      </c>
      <c r="B31" s="31">
        <v>46013</v>
      </c>
      <c r="C31" s="12"/>
      <c r="D31" s="12"/>
      <c r="E31" s="12">
        <v>69.25</v>
      </c>
      <c r="F31" s="1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</row>
    <row r="32" spans="1:17" ht="15">
      <c r="A32" s="11">
        <v>23</v>
      </c>
      <c r="B32" s="31">
        <v>46014</v>
      </c>
      <c r="C32" s="12"/>
      <c r="D32" s="15"/>
      <c r="E32" s="12"/>
      <c r="F32" s="1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</row>
    <row r="33" spans="1:17" ht="15">
      <c r="A33" s="11">
        <v>24</v>
      </c>
      <c r="B33" s="31">
        <v>46015</v>
      </c>
      <c r="C33" s="12"/>
      <c r="D33" s="12"/>
      <c r="E33" s="12"/>
      <c r="F33" s="11"/>
      <c r="G33" s="1"/>
      <c r="H33" s="1"/>
      <c r="I33" s="7"/>
      <c r="J33" s="1"/>
      <c r="K33" s="1"/>
      <c r="L33" s="7"/>
      <c r="M33" s="1"/>
      <c r="N33" s="1"/>
      <c r="O33" s="1"/>
      <c r="P33" s="1"/>
      <c r="Q33" s="1"/>
    </row>
    <row r="34" spans="1:17" ht="15">
      <c r="A34" s="11">
        <v>25</v>
      </c>
      <c r="B34" s="31">
        <v>46016</v>
      </c>
      <c r="C34" s="12"/>
      <c r="D34" s="12"/>
      <c r="E34" s="12"/>
      <c r="F34" s="11"/>
      <c r="G34" s="1"/>
      <c r="H34" s="1"/>
      <c r="I34" s="7"/>
      <c r="J34" s="1"/>
      <c r="K34" s="1"/>
      <c r="L34" s="7"/>
      <c r="M34" s="1"/>
      <c r="N34" s="1"/>
      <c r="O34" s="1"/>
      <c r="P34" s="1"/>
      <c r="Q34" s="1"/>
    </row>
    <row r="35" spans="1:17" ht="15">
      <c r="A35" s="11">
        <v>26</v>
      </c>
      <c r="B35" s="31">
        <v>46017</v>
      </c>
      <c r="C35" s="12"/>
      <c r="D35" s="12"/>
      <c r="E35" s="12"/>
      <c r="F35" s="35"/>
      <c r="G35" s="1"/>
      <c r="H35" s="1"/>
      <c r="I35" s="7"/>
      <c r="J35" s="1"/>
      <c r="K35" s="1"/>
      <c r="L35" s="7"/>
      <c r="M35" s="1"/>
      <c r="N35" s="1"/>
      <c r="O35" s="1"/>
      <c r="P35" s="1"/>
      <c r="Q35" s="1"/>
    </row>
    <row r="36" spans="1:17" ht="15">
      <c r="A36" s="11">
        <v>27</v>
      </c>
      <c r="B36" s="31">
        <v>46018</v>
      </c>
      <c r="C36" s="27"/>
      <c r="D36" s="15"/>
      <c r="E36" s="12"/>
      <c r="F36" s="34"/>
      <c r="G36" s="1"/>
      <c r="H36" s="1"/>
      <c r="I36" s="7"/>
      <c r="J36" s="1"/>
      <c r="K36" s="1"/>
      <c r="L36" s="7"/>
      <c r="M36" s="1"/>
      <c r="N36" s="1"/>
      <c r="O36" s="1"/>
      <c r="P36" s="1"/>
      <c r="Q36" s="1"/>
    </row>
    <row r="37" spans="1:17" ht="15">
      <c r="A37" s="11">
        <v>28</v>
      </c>
      <c r="B37" s="30" t="s">
        <v>1</v>
      </c>
      <c r="C37" s="38" t="s">
        <v>1</v>
      </c>
      <c r="D37" s="39"/>
      <c r="E37" s="39"/>
      <c r="F37" s="40"/>
      <c r="G37" s="1"/>
      <c r="H37" s="1"/>
      <c r="I37" s="8"/>
      <c r="J37" s="1"/>
      <c r="K37" s="1"/>
      <c r="L37" s="7"/>
      <c r="M37" s="1"/>
      <c r="N37" s="1"/>
      <c r="O37" s="1"/>
      <c r="P37" s="1"/>
      <c r="Q37" s="1"/>
    </row>
    <row r="38" spans="1:17" ht="15">
      <c r="A38" s="11">
        <v>29</v>
      </c>
      <c r="B38" s="31">
        <v>46020</v>
      </c>
      <c r="C38" s="12"/>
      <c r="D38" s="15"/>
      <c r="E38" s="12"/>
      <c r="F38" s="1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</row>
    <row r="39" spans="1:17" ht="15">
      <c r="A39" s="11">
        <v>30</v>
      </c>
      <c r="B39" s="31">
        <v>46021</v>
      </c>
      <c r="C39" s="12"/>
      <c r="D39" s="15"/>
      <c r="E39" s="12"/>
      <c r="F39" s="11"/>
      <c r="G39" s="1"/>
      <c r="H39" s="1"/>
      <c r="I39" s="7"/>
      <c r="J39" s="1"/>
      <c r="K39" s="1"/>
      <c r="L39" s="1"/>
      <c r="M39" s="1"/>
      <c r="N39" s="1"/>
      <c r="O39" s="1"/>
      <c r="P39" s="1"/>
      <c r="Q39" s="1"/>
    </row>
    <row r="40" spans="1:17" ht="15">
      <c r="A40" s="11">
        <v>29</v>
      </c>
      <c r="B40" s="31">
        <v>46022</v>
      </c>
      <c r="C40" s="12"/>
      <c r="D40" s="15"/>
      <c r="E40" s="12"/>
      <c r="F40" s="11"/>
      <c r="G40" s="1"/>
      <c r="H40" s="1"/>
      <c r="I40" s="7"/>
      <c r="J40" s="1"/>
      <c r="K40" s="1"/>
      <c r="L40" s="1"/>
      <c r="M40" s="1"/>
      <c r="N40" s="1"/>
      <c r="O40" s="1"/>
      <c r="P40" s="1"/>
      <c r="Q40" s="1"/>
    </row>
    <row r="41" spans="1:17" ht="15">
      <c r="A41" s="11">
        <v>30</v>
      </c>
      <c r="B41" s="31">
        <v>46023</v>
      </c>
      <c r="C41" s="12"/>
      <c r="D41" s="15"/>
      <c r="E41" s="12"/>
      <c r="F41" s="1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</row>
    <row r="42" spans="1:17" ht="15">
      <c r="A42" s="24">
        <v>31</v>
      </c>
      <c r="B42" s="31">
        <v>46024</v>
      </c>
      <c r="C42" s="12"/>
      <c r="D42" s="13"/>
      <c r="E42" s="12"/>
      <c r="F42" s="1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</row>
    <row r="43" spans="1:17" ht="15">
      <c r="A43" s="29" t="s">
        <v>2</v>
      </c>
      <c r="B43" s="31"/>
      <c r="C43" s="18">
        <f>SUM(C10:C42)</f>
        <v>0</v>
      </c>
      <c r="D43" s="32">
        <f>SUM(D10:D42)</f>
        <v>23390.75</v>
      </c>
      <c r="E43" s="18">
        <f>SUM(E10:E42)</f>
        <v>17003</v>
      </c>
      <c r="F43" s="18">
        <f>SUM(F10:F42)</f>
        <v>0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</row>
    <row r="44" spans="1:17" ht="15">
      <c r="A44" s="22"/>
      <c r="B44" s="22"/>
      <c r="C44" s="23"/>
      <c r="D44" s="28"/>
      <c r="E44" s="9"/>
      <c r="F44" s="22"/>
      <c r="G44" s="1"/>
      <c r="H44" s="1"/>
      <c r="I44" s="19"/>
      <c r="J44" s="1"/>
      <c r="K44" s="1"/>
      <c r="L44" s="1"/>
      <c r="M44" s="1"/>
      <c r="N44" s="1"/>
      <c r="O44" s="1"/>
      <c r="P44" s="1"/>
      <c r="Q44" s="1"/>
    </row>
    <row r="45" spans="1:17" ht="15">
      <c r="A45" s="1"/>
      <c r="B45" s="1"/>
      <c r="C45" s="1"/>
      <c r="D45" s="1"/>
      <c r="E45" s="1"/>
      <c r="F45" s="1"/>
      <c r="G45" s="1"/>
      <c r="H45" s="1"/>
      <c r="I45" s="7"/>
      <c r="J45" s="1"/>
      <c r="K45" s="1"/>
      <c r="L45" s="1"/>
      <c r="M45" s="1"/>
      <c r="N45" s="1"/>
      <c r="O45" s="1"/>
      <c r="P45" s="1"/>
      <c r="Q45" s="1"/>
    </row>
    <row r="46" spans="1:17" ht="15">
      <c r="A46" s="1"/>
      <c r="B46" s="1"/>
      <c r="C46" s="1"/>
      <c r="D46" s="1"/>
      <c r="E46" s="1"/>
      <c r="F46" s="1"/>
      <c r="G46" s="1"/>
      <c r="H46" s="1"/>
      <c r="I46" s="7"/>
      <c r="J46" s="1"/>
      <c r="K46" s="1"/>
      <c r="L46" s="1"/>
      <c r="M46" s="1"/>
      <c r="N46" s="1"/>
      <c r="O46" s="1"/>
      <c r="P46" s="1"/>
      <c r="Q46" s="1"/>
    </row>
    <row r="47" spans="1:17" ht="15">
      <c r="A47" s="1"/>
      <c r="B47" s="1"/>
      <c r="C47" s="1"/>
      <c r="D47" s="1"/>
      <c r="E47" s="1"/>
      <c r="F47" s="1"/>
      <c r="G47" s="1"/>
      <c r="H47" s="1"/>
      <c r="I47" s="7"/>
      <c r="J47" s="1"/>
      <c r="K47" s="1"/>
      <c r="L47" s="1"/>
      <c r="M47" s="1"/>
      <c r="N47" s="1"/>
      <c r="O47" s="1"/>
      <c r="P47" s="1"/>
      <c r="Q47" s="1"/>
    </row>
    <row r="48" spans="1:17" ht="15">
      <c r="A48" s="1"/>
      <c r="B48" s="1"/>
      <c r="C48" s="1"/>
      <c r="D48" s="1"/>
      <c r="E48" s="1"/>
      <c r="F48" s="1"/>
      <c r="G48" s="1"/>
      <c r="H48" s="1"/>
      <c r="I48" s="7"/>
      <c r="J48" s="1"/>
      <c r="K48" s="1"/>
      <c r="L48" s="1"/>
      <c r="M48" s="1"/>
      <c r="N48" s="1"/>
      <c r="O48" s="1"/>
      <c r="P48" s="1"/>
      <c r="Q48" s="1"/>
    </row>
    <row r="49" spans="1:17" ht="15">
      <c r="A49" s="1"/>
      <c r="B49" s="1"/>
      <c r="C49" s="1"/>
      <c r="D49" s="1"/>
      <c r="E49" s="1"/>
      <c r="F49" s="1"/>
      <c r="G49" s="1"/>
      <c r="H49" s="1"/>
      <c r="I49" s="7"/>
      <c r="J49" s="1"/>
      <c r="K49" s="1"/>
      <c r="L49" s="1"/>
      <c r="M49" s="1"/>
      <c r="N49" s="1"/>
      <c r="O49" s="1"/>
      <c r="P49" s="1"/>
      <c r="Q49" s="1"/>
    </row>
    <row r="50" spans="1:1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E196"/>
    </row>
    <row r="197" spans="1:17">
      <c r="E197"/>
    </row>
    <row r="198" spans="1:17">
      <c r="E198"/>
    </row>
    <row r="199" spans="1:17">
      <c r="E199"/>
    </row>
    <row r="200" spans="1:17">
      <c r="E200"/>
    </row>
    <row r="201" spans="1:17">
      <c r="E201"/>
    </row>
    <row r="202" spans="1:17">
      <c r="E202"/>
    </row>
    <row r="203" spans="1:17">
      <c r="E203"/>
    </row>
    <row r="204" spans="1:17">
      <c r="E204"/>
    </row>
    <row r="205" spans="1:17">
      <c r="E205"/>
    </row>
    <row r="206" spans="1:17">
      <c r="E206"/>
    </row>
    <row r="207" spans="1:17">
      <c r="E207"/>
    </row>
    <row r="208" spans="1:17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4">
    <mergeCell ref="C37:F37"/>
    <mergeCell ref="C16:F16"/>
    <mergeCell ref="C23:F23"/>
    <mergeCell ref="C30:F30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DECEMBER. SRS R1</vt:lpstr>
      <vt:lpstr>DECEMBER, SRS R2</vt:lpstr>
      <vt:lpstr>DECEMBER, SRS R3</vt:lpstr>
      <vt:lpstr>,</vt:lpstr>
      <vt:lpstr>'DECEMBER, SRS R2'!Print_Area</vt:lpstr>
      <vt:lpstr>'DECEMBER, SRS R3'!Print_Area</vt:lpstr>
      <vt:lpstr>'DECEMBER. SRS 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2025-12-23T01:39:07Z</dcterms:modified>
</cp:coreProperties>
</file>