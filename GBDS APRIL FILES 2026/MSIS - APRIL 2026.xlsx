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5959E887-2716-4848-9E9D-6255FEA4FA5E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402" i="2" l="1"/>
  <c r="AB401" i="2"/>
  <c r="AC400" i="2"/>
  <c r="AB400" i="2"/>
  <c r="AB399" i="2"/>
  <c r="AB398" i="2"/>
  <c r="AC398" i="2"/>
  <c r="AE398" i="2"/>
  <c r="AI398" i="2" s="1"/>
  <c r="AC397" i="2"/>
  <c r="AE397" i="2" s="1"/>
  <c r="AB397" i="2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I431" i="2"/>
  <c r="AE431" i="2"/>
  <c r="AI430" i="2"/>
  <c r="AE430" i="2"/>
  <c r="AE429" i="2"/>
  <c r="AI429" i="2" s="1"/>
  <c r="AE428" i="2"/>
  <c r="AI428" i="2" s="1"/>
  <c r="AE427" i="2"/>
  <c r="AI427" i="2" s="1"/>
  <c r="AI426" i="2"/>
  <c r="AE426" i="2"/>
  <c r="AI425" i="2"/>
  <c r="AE425" i="2"/>
  <c r="AE424" i="2"/>
  <c r="AI424" i="2" s="1"/>
  <c r="AI423" i="2"/>
  <c r="AE423" i="2"/>
  <c r="AI422" i="2"/>
  <c r="AE422" i="2"/>
  <c r="AE421" i="2"/>
  <c r="AI421" i="2" s="1"/>
  <c r="AE420" i="2"/>
  <c r="AI420" i="2" s="1"/>
  <c r="AE419" i="2"/>
  <c r="AI419" i="2" s="1"/>
  <c r="AI418" i="2"/>
  <c r="AE418" i="2"/>
  <c r="AI417" i="2"/>
  <c r="AE417" i="2"/>
  <c r="AE416" i="2"/>
  <c r="AI416" i="2" s="1"/>
  <c r="AI415" i="2"/>
  <c r="AE415" i="2"/>
  <c r="AI414" i="2"/>
  <c r="AE414" i="2"/>
  <c r="AE413" i="2"/>
  <c r="AI413" i="2" s="1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E405" i="2"/>
  <c r="AI405" i="2" s="1"/>
  <c r="AE404" i="2"/>
  <c r="AI404" i="2" s="1"/>
  <c r="AH440" i="2"/>
  <c r="AE403" i="2"/>
  <c r="AI403" i="2" s="1"/>
  <c r="AE402" i="2"/>
  <c r="AI402" i="2" s="1"/>
  <c r="AE401" i="2"/>
  <c r="AI401" i="2" s="1"/>
  <c r="AE400" i="2"/>
  <c r="AI400" i="2" s="1"/>
  <c r="AE399" i="2"/>
  <c r="AI399" i="2" s="1"/>
  <c r="AG440" i="2"/>
  <c r="AA398" i="2"/>
  <c r="AA399" i="2" s="1"/>
  <c r="AA400" i="2" s="1"/>
  <c r="AA401" i="2" s="1"/>
  <c r="AA402" i="2" s="1"/>
  <c r="P401" i="2"/>
  <c r="P400" i="2"/>
  <c r="P399" i="2"/>
  <c r="S399" i="2" s="1"/>
  <c r="W399" i="2" s="1"/>
  <c r="Q398" i="2"/>
  <c r="P398" i="2"/>
  <c r="S398" i="2" s="1"/>
  <c r="W398" i="2" s="1"/>
  <c r="P397" i="2"/>
  <c r="S397" i="2"/>
  <c r="W397" i="2"/>
  <c r="O398" i="2"/>
  <c r="O399" i="2" s="1"/>
  <c r="O400" i="2" s="1"/>
  <c r="O401" i="2" s="1"/>
  <c r="S400" i="2"/>
  <c r="W400" i="2" s="1"/>
  <c r="S401" i="2"/>
  <c r="S402" i="2"/>
  <c r="W402" i="2" s="1"/>
  <c r="S403" i="2"/>
  <c r="W403" i="2" s="1"/>
  <c r="S404" i="2"/>
  <c r="W404" i="2" s="1"/>
  <c r="S405" i="2"/>
  <c r="W405" i="2"/>
  <c r="S406" i="2"/>
  <c r="V440" i="2"/>
  <c r="W406" i="2"/>
  <c r="S407" i="2"/>
  <c r="W407" i="2"/>
  <c r="S408" i="2"/>
  <c r="W408" i="2" s="1"/>
  <c r="S409" i="2"/>
  <c r="W409" i="2" s="1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 s="1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J405" i="2"/>
  <c r="J440" i="2" s="1"/>
  <c r="E405" i="2"/>
  <c r="E440" i="2" s="1"/>
  <c r="D405" i="2"/>
  <c r="G405" i="2" s="1"/>
  <c r="D404" i="2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D397" i="2"/>
  <c r="C402" i="2"/>
  <c r="C403" i="2" s="1"/>
  <c r="C404" i="2" s="1"/>
  <c r="C405" i="2" s="1"/>
  <c r="G397" i="2"/>
  <c r="C398" i="2"/>
  <c r="C399" i="2" s="1"/>
  <c r="C400" i="2" s="1"/>
  <c r="C401" i="2" s="1"/>
  <c r="I440" i="2"/>
  <c r="G402" i="2"/>
  <c r="K402" i="2" s="1"/>
  <c r="G404" i="2"/>
  <c r="K404" i="2" s="1"/>
  <c r="G406" i="2"/>
  <c r="K406" i="2" s="1"/>
  <c r="G407" i="2"/>
  <c r="K407" i="2" s="1"/>
  <c r="G408" i="2"/>
  <c r="K408" i="2"/>
  <c r="G409" i="2"/>
  <c r="K409" i="2" s="1"/>
  <c r="G410" i="2"/>
  <c r="K410" i="2" s="1"/>
  <c r="G411" i="2"/>
  <c r="K411" i="2"/>
  <c r="G412" i="2"/>
  <c r="K412" i="2" s="1"/>
  <c r="G413" i="2"/>
  <c r="K413" i="2" s="1"/>
  <c r="G414" i="2"/>
  <c r="K414" i="2" s="1"/>
  <c r="G415" i="2"/>
  <c r="K415" i="2" s="1"/>
  <c r="G416" i="2"/>
  <c r="K416" i="2"/>
  <c r="G417" i="2"/>
  <c r="K417" i="2"/>
  <c r="G418" i="2"/>
  <c r="K418" i="2" s="1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 s="1"/>
  <c r="G426" i="2"/>
  <c r="K426" i="2" s="1"/>
  <c r="G427" i="2"/>
  <c r="K427" i="2"/>
  <c r="G428" i="2"/>
  <c r="K428" i="2"/>
  <c r="G429" i="2"/>
  <c r="K429" i="2" s="1"/>
  <c r="G430" i="2"/>
  <c r="K430" i="2"/>
  <c r="G437" i="2"/>
  <c r="K437" i="2" s="1"/>
  <c r="F440" i="2"/>
  <c r="AC440" i="2" l="1"/>
  <c r="AE440" i="2"/>
  <c r="AI397" i="2"/>
  <c r="AI440" i="2" s="1"/>
  <c r="AB440" i="2"/>
  <c r="P440" i="2"/>
  <c r="W401" i="2"/>
  <c r="W440" i="2" s="1"/>
  <c r="S440" i="2"/>
  <c r="K405" i="2"/>
  <c r="D440" i="2"/>
  <c r="K397" i="2"/>
  <c r="G398" i="2"/>
  <c r="K398" i="2" s="1"/>
  <c r="V351" i="2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G440" i="2" l="1"/>
  <c r="K440" i="2"/>
  <c r="U385" i="2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D27" i="1" s="1"/>
  <c r="J29" i="1"/>
  <c r="D29" i="1" s="1"/>
  <c r="J22" i="1"/>
  <c r="D22" i="1" s="1"/>
  <c r="D36" i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A6B97C47-6C3E-42AD-8382-499E18579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397" authorId="0" shapeId="0" xr:uid="{CB481FF1-A50C-4CC7-B633-DE01137F8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
DISUD, SINDANGAN</t>
        </r>
      </text>
    </comment>
    <comment ref="O397" authorId="0" shapeId="0" xr:uid="{A0616023-2281-47B5-BE80-55DE42FF2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397" authorId="0" shapeId="0" xr:uid="{F08A5870-1405-4F61-A3B2-8D2D02824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398" authorId="0" shapeId="0" xr:uid="{1646A2CF-6037-48F2-AD46-6471A8F76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398" authorId="0" shapeId="0" xr:uid="{81826C34-8EA7-4FEC-A0F6-DDBC988E1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SINDANGAN</t>
        </r>
      </text>
    </comment>
    <comment ref="AA398" authorId="0" shapeId="0" xr:uid="{F428E60C-CBF5-4345-9B4C-995ED755F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399" authorId="0" shapeId="0" xr:uid="{D6F90C0F-EA92-40AA-B4F4-1784B193C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99" authorId="0" shapeId="0" xr:uid="{0C8A44F6-7918-49AF-855D-EEE701DBB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399" authorId="0" shapeId="0" xr:uid="{0526C0B4-5E97-45F9-B697-112AB97809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400" authorId="0" shapeId="0" xr:uid="{97BD9D42-61A3-4612-B309-8A75B9177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ESTONG STORE
PIAO, SINDANGAN</t>
        </r>
      </text>
    </comment>
    <comment ref="O400" authorId="0" shapeId="0" xr:uid="{610153AE-4D2F-45CC-9B20-927B5727A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0" authorId="0" shapeId="0" xr:uid="{A0BE2387-E3FF-4DFF-BC50-5F5002746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EMOTIN
POB, SALUG</t>
        </r>
      </text>
    </comment>
    <comment ref="C401" authorId="0" shapeId="0" xr:uid="{3C875103-DBC5-4E81-9967-311AD0645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
POB, SINDANGAN</t>
        </r>
      </text>
    </comment>
    <comment ref="O401" authorId="0" shapeId="0" xr:uid="{D43FB79D-E4CD-4DC8-AB24-48964C2AD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401" authorId="0" shapeId="0" xr:uid="{8F9A4B15-DD50-42DC-BA19-D90E98439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STORE
POB, SALUG</t>
        </r>
      </text>
    </comment>
    <comment ref="C402" authorId="0" shapeId="0" xr:uid="{EA389FF0-7B9A-4998-B661-0A8B82777A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BEER
DAPAON, SINDANGAN</t>
        </r>
      </text>
    </comment>
    <comment ref="AA402" authorId="0" shapeId="0" xr:uid="{267905C8-7D37-43DF-95A3-3EBED5905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C403" authorId="0" shapeId="0" xr:uid="{1246131F-92BD-4CDA-9A2D-109FA4F2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C404" authorId="0" shapeId="0" xr:uid="{9E1FF282-EFC1-476F-91B2-681044D5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C405" authorId="0" shapeId="0" xr:uid="{A50233BA-6433-4DB1-A847-5B36010A8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</commentList>
</comments>
</file>

<file path=xl/sharedStrings.xml><?xml version="1.0" encoding="utf-8"?>
<sst xmlns="http://schemas.openxmlformats.org/spreadsheetml/2006/main" count="544" uniqueCount="62">
  <si>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</si>
  <si>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</si>
  <si>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</si>
  <si>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</si>
  <si>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</si>
  <si>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</si>
  <si>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</si>
  <si>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</si>
  <si>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</si>
  <si>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</si>
  <si>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</si>
  <si>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</si>
  <si>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</si>
  <si>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</si>
  <si>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</si>
  <si>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</si>
  <si>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</si>
  <si>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</si>
  <si>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</si>
  <si>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</si>
  <si>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</si>
  <si>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</si>
  <si>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</si>
  <si>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</si>
  <si>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</si>
  <si>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</si>
  <si>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</si>
  <si>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</si>
  <si>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</si>
  <si>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</si>
  <si>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</si>
  <si>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</si>
  <si>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</si>
  <si>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</si>
  <si>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</si>
  <si>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</si>
  <si>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</si>
  <si>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</si>
  <si>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</si>
  <si>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</si>
  <si>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</si>
  <si>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</si>
  <si>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</si>
  <si>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</si>
  <si>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</si>
  <si>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</si>
  <si>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</si>
  <si>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</si>
  <si>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</si>
  <si>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</si>
  <si>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</si>
  <si>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</si>
  <si>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</si>
  <si>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</si>
  <si>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</si>
  <si>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</si>
  <si>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</si>
  <si>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</si>
  <si>
    <t>APRIL 13, 2026</t>
  </si>
  <si>
    <t>04/13/2026</t>
  </si>
  <si>
    <t>DAY OFF</t>
  </si>
  <si>
    <t>9918-9926/10091-10095/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</si>
</sst>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F23" sqref="F2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9" t="s">
        <v>38</v>
      </c>
      <c r="B6" s="99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7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44" t="s">
        <v>60</v>
      </c>
      <c r="D20" s="55" t="s">
        <v>60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61</v>
      </c>
      <c r="D22" s="16">
        <f t="shared" si="0"/>
        <v>739476.5</v>
      </c>
      <c r="F22" s="14">
        <v>204208.5</v>
      </c>
      <c r="G22" s="14">
        <v>256980</v>
      </c>
      <c r="H22" s="14">
        <v>278288</v>
      </c>
      <c r="I22" s="14"/>
      <c r="J22" s="17">
        <f t="shared" si="1"/>
        <v>739476.5</v>
      </c>
    </row>
    <row r="23" spans="1:10" x14ac:dyDescent="0.25">
      <c r="A23" s="10">
        <f t="shared" si="2"/>
        <v>14</v>
      </c>
      <c r="B23" s="43" t="s">
        <v>8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4" si="3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0" t="s">
        <v>10</v>
      </c>
      <c r="B42" s="101"/>
      <c r="C42" s="102"/>
      <c r="D42" s="48">
        <f>SUM(D2:D41)</f>
        <v>8412094.7899999991</v>
      </c>
      <c r="J42" s="49">
        <f>SUM(J10:J41)</f>
        <v>8412094.7899999991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412" zoomScaleNormal="100" workbookViewId="0">
      <selection activeCell="AE440" sqref="AE44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7" t="s">
        <v>17</v>
      </c>
      <c r="E10" s="107"/>
      <c r="F10" s="75"/>
      <c r="G10" s="27"/>
      <c r="I10" s="105" t="s">
        <v>18</v>
      </c>
      <c r="J10" s="106"/>
      <c r="K10" s="103" t="s">
        <v>19</v>
      </c>
      <c r="N10" s="25"/>
      <c r="O10" s="26"/>
      <c r="P10" s="107" t="s">
        <v>17</v>
      </c>
      <c r="Q10" s="107"/>
      <c r="R10" s="75"/>
      <c r="S10" s="27"/>
      <c r="U10" s="105" t="s">
        <v>18</v>
      </c>
      <c r="V10" s="106"/>
      <c r="W10" s="103" t="s">
        <v>19</v>
      </c>
      <c r="Z10" s="25"/>
      <c r="AA10" s="26"/>
      <c r="AB10" s="107" t="s">
        <v>17</v>
      </c>
      <c r="AC10" s="107"/>
      <c r="AD10" s="75"/>
      <c r="AE10" s="27"/>
      <c r="AG10" s="105" t="s">
        <v>18</v>
      </c>
      <c r="AH10" s="106"/>
      <c r="AI10" s="103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4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4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4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7" t="s">
        <v>17</v>
      </c>
      <c r="E65" s="107"/>
      <c r="F65" s="92"/>
      <c r="G65" s="27"/>
      <c r="I65" s="105" t="s">
        <v>18</v>
      </c>
      <c r="J65" s="106"/>
      <c r="K65" s="103" t="s">
        <v>19</v>
      </c>
      <c r="N65" s="25"/>
      <c r="O65" s="26"/>
      <c r="P65" s="107" t="s">
        <v>17</v>
      </c>
      <c r="Q65" s="107"/>
      <c r="R65" s="93"/>
      <c r="S65" s="27"/>
      <c r="U65" s="105" t="s">
        <v>18</v>
      </c>
      <c r="V65" s="106"/>
      <c r="W65" s="103" t="s">
        <v>19</v>
      </c>
      <c r="Z65" s="25"/>
      <c r="AA65" s="26"/>
      <c r="AB65" s="107" t="s">
        <v>17</v>
      </c>
      <c r="AC65" s="107"/>
      <c r="AD65" s="93"/>
      <c r="AE65" s="27"/>
      <c r="AG65" s="105" t="s">
        <v>18</v>
      </c>
      <c r="AH65" s="106"/>
      <c r="AI65" s="103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4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4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4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09"/>
      <c r="AO67" s="109"/>
      <c r="AP67" s="86"/>
      <c r="AQ67" s="62"/>
      <c r="AR67" s="109"/>
      <c r="AS67" s="109"/>
      <c r="AT67" s="108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8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7" t="s">
        <v>17</v>
      </c>
      <c r="E120" s="107"/>
      <c r="F120" s="93"/>
      <c r="G120" s="27"/>
      <c r="I120" s="105" t="s">
        <v>18</v>
      </c>
      <c r="J120" s="106"/>
      <c r="K120" s="103" t="s">
        <v>19</v>
      </c>
      <c r="N120" s="25"/>
      <c r="O120" s="26"/>
      <c r="P120" s="107" t="s">
        <v>17</v>
      </c>
      <c r="Q120" s="107"/>
      <c r="R120" s="93"/>
      <c r="S120" s="27"/>
      <c r="U120" s="105" t="s">
        <v>18</v>
      </c>
      <c r="V120" s="106"/>
      <c r="W120" s="103" t="s">
        <v>19</v>
      </c>
      <c r="Z120" s="25"/>
      <c r="AA120" s="26"/>
      <c r="AB120" s="107" t="s">
        <v>17</v>
      </c>
      <c r="AC120" s="107"/>
      <c r="AD120" s="93"/>
      <c r="AE120" s="27"/>
      <c r="AG120" s="105" t="s">
        <v>18</v>
      </c>
      <c r="AH120" s="106"/>
      <c r="AI120" s="103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4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4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4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7" t="s">
        <v>17</v>
      </c>
      <c r="E175" s="107"/>
      <c r="F175" s="94"/>
      <c r="G175" s="27"/>
      <c r="I175" s="105" t="s">
        <v>18</v>
      </c>
      <c r="J175" s="106"/>
      <c r="K175" s="103" t="s">
        <v>19</v>
      </c>
      <c r="N175" s="25"/>
      <c r="O175" s="26"/>
      <c r="P175" s="107" t="s">
        <v>17</v>
      </c>
      <c r="Q175" s="107"/>
      <c r="R175" s="94"/>
      <c r="S175" s="27"/>
      <c r="U175" s="105" t="s">
        <v>18</v>
      </c>
      <c r="V175" s="106"/>
      <c r="W175" s="103" t="s">
        <v>19</v>
      </c>
      <c r="Z175" s="25"/>
      <c r="AA175" s="26"/>
      <c r="AB175" s="107" t="s">
        <v>17</v>
      </c>
      <c r="AC175" s="107"/>
      <c r="AD175" s="94"/>
      <c r="AE175" s="27"/>
      <c r="AG175" s="105" t="s">
        <v>18</v>
      </c>
      <c r="AH175" s="106"/>
      <c r="AI175" s="103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4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4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4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09"/>
      <c r="AO181" s="109"/>
      <c r="AP181" s="86"/>
      <c r="AQ181" s="62"/>
      <c r="AR181" s="109"/>
      <c r="AS181" s="109"/>
      <c r="AT181" s="108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8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7" t="s">
        <v>17</v>
      </c>
      <c r="E230" s="107"/>
      <c r="F230" s="95"/>
      <c r="G230" s="27"/>
      <c r="I230" s="105" t="s">
        <v>18</v>
      </c>
      <c r="J230" s="106"/>
      <c r="K230" s="103" t="s">
        <v>19</v>
      </c>
      <c r="N230" s="25"/>
      <c r="O230" s="26"/>
      <c r="P230" s="107" t="s">
        <v>17</v>
      </c>
      <c r="Q230" s="107"/>
      <c r="R230" s="95"/>
      <c r="S230" s="27"/>
      <c r="U230" s="105" t="s">
        <v>18</v>
      </c>
      <c r="V230" s="106"/>
      <c r="W230" s="103" t="s">
        <v>19</v>
      </c>
      <c r="Z230" s="25"/>
      <c r="AA230" s="26"/>
      <c r="AB230" s="107" t="s">
        <v>17</v>
      </c>
      <c r="AC230" s="107"/>
      <c r="AD230" s="95"/>
      <c r="AE230" s="27"/>
      <c r="AG230" s="105" t="s">
        <v>18</v>
      </c>
      <c r="AH230" s="106"/>
      <c r="AI230" s="103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4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4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4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7" t="s">
        <v>17</v>
      </c>
      <c r="E285" s="107"/>
      <c r="F285" s="96"/>
      <c r="G285" s="27"/>
      <c r="I285" s="105" t="s">
        <v>18</v>
      </c>
      <c r="J285" s="106"/>
      <c r="K285" s="103" t="s">
        <v>19</v>
      </c>
      <c r="N285" s="25"/>
      <c r="O285" s="26"/>
      <c r="P285" s="107" t="s">
        <v>17</v>
      </c>
      <c r="Q285" s="107"/>
      <c r="R285" s="96"/>
      <c r="S285" s="27"/>
      <c r="U285" s="105" t="s">
        <v>18</v>
      </c>
      <c r="V285" s="106"/>
      <c r="W285" s="103" t="s">
        <v>19</v>
      </c>
      <c r="Z285" s="25"/>
      <c r="AA285" s="26"/>
      <c r="AB285" s="107" t="s">
        <v>17</v>
      </c>
      <c r="AC285" s="107"/>
      <c r="AD285" s="96"/>
      <c r="AE285" s="27"/>
      <c r="AG285" s="105" t="s">
        <v>18</v>
      </c>
      <c r="AH285" s="106"/>
      <c r="AI285" s="103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4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4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4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7" t="s">
        <v>17</v>
      </c>
      <c r="E340" s="107"/>
      <c r="F340" s="97"/>
      <c r="G340" s="27"/>
      <c r="I340" s="105" t="s">
        <v>18</v>
      </c>
      <c r="J340" s="106"/>
      <c r="K340" s="103" t="s">
        <v>19</v>
      </c>
      <c r="N340" s="25"/>
      <c r="O340" s="26"/>
      <c r="P340" s="107" t="s">
        <v>17</v>
      </c>
      <c r="Q340" s="107"/>
      <c r="R340" s="97"/>
      <c r="S340" s="27"/>
      <c r="U340" s="105" t="s">
        <v>18</v>
      </c>
      <c r="V340" s="106"/>
      <c r="W340" s="103" t="s">
        <v>19</v>
      </c>
      <c r="Y340" s="62"/>
      <c r="Z340" s="65"/>
      <c r="AA340" s="91"/>
      <c r="AB340" s="109"/>
      <c r="AC340" s="109"/>
      <c r="AD340" s="91"/>
      <c r="AE340" s="91"/>
      <c r="AF340" s="62"/>
      <c r="AG340" s="109"/>
      <c r="AH340" s="109"/>
      <c r="AI340" s="108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4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4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08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07" t="s">
        <v>17</v>
      </c>
      <c r="E395" s="107"/>
      <c r="F395" s="98"/>
      <c r="G395" s="27"/>
      <c r="I395" s="105" t="s">
        <v>18</v>
      </c>
      <c r="J395" s="106"/>
      <c r="K395" s="103" t="s">
        <v>19</v>
      </c>
      <c r="N395" s="25"/>
      <c r="O395" s="26"/>
      <c r="P395" s="107" t="s">
        <v>17</v>
      </c>
      <c r="Q395" s="107"/>
      <c r="R395" s="98"/>
      <c r="S395" s="27"/>
      <c r="U395" s="105" t="s">
        <v>18</v>
      </c>
      <c r="V395" s="106"/>
      <c r="W395" s="103" t="s">
        <v>19</v>
      </c>
      <c r="Z395" s="25"/>
      <c r="AA395" s="26"/>
      <c r="AB395" s="107" t="s">
        <v>17</v>
      </c>
      <c r="AC395" s="107"/>
      <c r="AD395" s="98"/>
      <c r="AE395" s="27"/>
      <c r="AG395" s="105" t="s">
        <v>18</v>
      </c>
      <c r="AH395" s="106"/>
      <c r="AI395" s="103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4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4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4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 t="s">
        <v>59</v>
      </c>
      <c r="C397" s="83">
        <v>9918</v>
      </c>
      <c r="D397" s="32">
        <f>650*5</f>
        <v>3250</v>
      </c>
      <c r="E397" s="32"/>
      <c r="F397" s="32"/>
      <c r="G397" s="32">
        <f t="shared" ref="G397:G441" si="121">SUM(D397:E397)</f>
        <v>3250</v>
      </c>
      <c r="H397" s="12"/>
      <c r="I397" s="12"/>
      <c r="J397" s="12"/>
      <c r="K397" s="12">
        <f t="shared" ref="K397:K441" si="122">SUM(G397:J397)</f>
        <v>3250</v>
      </c>
      <c r="M397" s="10">
        <v>1</v>
      </c>
      <c r="N397" s="30" t="s">
        <v>59</v>
      </c>
      <c r="O397" s="31">
        <v>10091</v>
      </c>
      <c r="P397" s="32">
        <f>650*10+622*2+9.5*10</f>
        <v>7839</v>
      </c>
      <c r="Q397" s="32"/>
      <c r="R397" s="32"/>
      <c r="S397" s="32">
        <f>SUM(P397:Q397)</f>
        <v>7839</v>
      </c>
      <c r="T397" s="12"/>
      <c r="U397" s="12"/>
      <c r="V397" s="12"/>
      <c r="W397" s="12">
        <f>SUM(S397:V397)</f>
        <v>7839</v>
      </c>
      <c r="Y397" s="10">
        <v>1</v>
      </c>
      <c r="Z397" s="30" t="s">
        <v>59</v>
      </c>
      <c r="AA397" s="31">
        <v>10101</v>
      </c>
      <c r="AB397" s="32">
        <f>650*25+622*5</f>
        <v>19360</v>
      </c>
      <c r="AC397" s="32">
        <f>-30*6</f>
        <v>-180</v>
      </c>
      <c r="AD397" s="32"/>
      <c r="AE397" s="32">
        <f>SUM(AB397:AC397)</f>
        <v>19180</v>
      </c>
      <c r="AF397" s="12"/>
      <c r="AG397" s="12"/>
      <c r="AH397" s="12"/>
      <c r="AI397" s="12">
        <f>SUM(AE397:AH397)</f>
        <v>19180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 t="s">
        <v>59</v>
      </c>
      <c r="C398" s="83">
        <f>C397+1</f>
        <v>9919</v>
      </c>
      <c r="D398" s="32">
        <f>650*6+9.5*6</f>
        <v>3957</v>
      </c>
      <c r="E398" s="32"/>
      <c r="F398" s="32"/>
      <c r="G398" s="32">
        <f t="shared" si="121"/>
        <v>3957</v>
      </c>
      <c r="H398" s="12"/>
      <c r="I398" s="12"/>
      <c r="J398" s="12"/>
      <c r="K398" s="12">
        <f t="shared" si="122"/>
        <v>3957</v>
      </c>
      <c r="M398" s="10">
        <v>2</v>
      </c>
      <c r="N398" s="30" t="s">
        <v>59</v>
      </c>
      <c r="O398" s="31">
        <f>O397+1</f>
        <v>10092</v>
      </c>
      <c r="P398" s="32">
        <f>650*324+229*15</f>
        <v>214035</v>
      </c>
      <c r="Q398" s="32">
        <f>-324*6</f>
        <v>-1944</v>
      </c>
      <c r="R398" s="32"/>
      <c r="S398" s="32">
        <f t="shared" ref="S398:S441" si="123">SUM(P398:Q398)</f>
        <v>212091</v>
      </c>
      <c r="T398" s="12"/>
      <c r="U398" s="12">
        <v>936</v>
      </c>
      <c r="V398" s="12">
        <v>-504</v>
      </c>
      <c r="W398" s="12">
        <f t="shared" ref="W398:W441" si="124">SUM(S398:V398)</f>
        <v>212523</v>
      </c>
      <c r="Y398" s="10">
        <v>2</v>
      </c>
      <c r="Z398" s="30" t="s">
        <v>59</v>
      </c>
      <c r="AA398" s="31">
        <f>AA397+1</f>
        <v>10102</v>
      </c>
      <c r="AB398" s="32">
        <f>650*132+670*5+622*44+229*3</f>
        <v>117205</v>
      </c>
      <c r="AC398" s="32">
        <f>-186*6</f>
        <v>-1116</v>
      </c>
      <c r="AD398" s="32"/>
      <c r="AE398" s="32">
        <f t="shared" ref="AE398:AE400" si="125">SUM(AB398:AC398)</f>
        <v>116089</v>
      </c>
      <c r="AF398" s="12"/>
      <c r="AG398" s="12">
        <v>234</v>
      </c>
      <c r="AH398" s="12">
        <v>-252</v>
      </c>
      <c r="AI398" s="12">
        <f t="shared" ref="AI398:AI429" si="126">SUM(AE398:AH398)</f>
        <v>116071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 t="s">
        <v>59</v>
      </c>
      <c r="C399" s="83">
        <f t="shared" ref="C399:C418" si="127">C398+1</f>
        <v>9920</v>
      </c>
      <c r="D399" s="33">
        <f>650*15</f>
        <v>9750</v>
      </c>
      <c r="E399" s="32"/>
      <c r="F399" s="33"/>
      <c r="G399" s="33">
        <f t="shared" si="121"/>
        <v>9750</v>
      </c>
      <c r="H399" s="34"/>
      <c r="I399" s="34"/>
      <c r="J399" s="34"/>
      <c r="K399" s="34">
        <f t="shared" si="122"/>
        <v>9750</v>
      </c>
      <c r="M399" s="10">
        <v>3</v>
      </c>
      <c r="N399" s="30" t="s">
        <v>59</v>
      </c>
      <c r="O399" s="31">
        <f t="shared" ref="O399:O406" si="128">O398+1</f>
        <v>10093</v>
      </c>
      <c r="P399" s="32">
        <f>650*14</f>
        <v>9100</v>
      </c>
      <c r="Q399" s="32"/>
      <c r="R399" s="32"/>
      <c r="S399" s="32">
        <f t="shared" si="123"/>
        <v>9100</v>
      </c>
      <c r="T399" s="12"/>
      <c r="U399" s="12">
        <v>27</v>
      </c>
      <c r="V399" s="12"/>
      <c r="W399" s="12">
        <f t="shared" si="124"/>
        <v>9127</v>
      </c>
      <c r="Y399" s="10">
        <v>3</v>
      </c>
      <c r="Z399" s="30" t="s">
        <v>59</v>
      </c>
      <c r="AA399" s="31">
        <f t="shared" ref="AA399:AA407" si="129">AA398+1</f>
        <v>10103</v>
      </c>
      <c r="AB399" s="33">
        <f>650*70+622*8+872</f>
        <v>51348</v>
      </c>
      <c r="AC399" s="33"/>
      <c r="AD399" s="32"/>
      <c r="AE399" s="32">
        <f t="shared" si="125"/>
        <v>51348</v>
      </c>
      <c r="AF399" s="12"/>
      <c r="AG399" s="12"/>
      <c r="AH399" s="12"/>
      <c r="AI399" s="12">
        <f t="shared" si="126"/>
        <v>51348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 t="s">
        <v>59</v>
      </c>
      <c r="C400" s="83">
        <f t="shared" si="127"/>
        <v>9921</v>
      </c>
      <c r="D400" s="32">
        <f>650*11</f>
        <v>7150</v>
      </c>
      <c r="E400" s="32"/>
      <c r="F400" s="32"/>
      <c r="G400" s="32">
        <f t="shared" si="121"/>
        <v>7150</v>
      </c>
      <c r="H400" s="12"/>
      <c r="I400" s="12"/>
      <c r="J400" s="12"/>
      <c r="K400" s="12">
        <f t="shared" si="122"/>
        <v>7150</v>
      </c>
      <c r="M400" s="10">
        <v>4</v>
      </c>
      <c r="N400" s="30" t="s">
        <v>59</v>
      </c>
      <c r="O400" s="31">
        <f t="shared" si="128"/>
        <v>10094</v>
      </c>
      <c r="P400" s="32">
        <f>650*19+622*10+872</f>
        <v>19442</v>
      </c>
      <c r="Q400" s="32"/>
      <c r="R400" s="32"/>
      <c r="S400" s="32">
        <f t="shared" si="123"/>
        <v>19442</v>
      </c>
      <c r="T400" s="12"/>
      <c r="U400" s="12">
        <v>36</v>
      </c>
      <c r="V400" s="12"/>
      <c r="W400" s="12">
        <f t="shared" si="124"/>
        <v>19478</v>
      </c>
      <c r="Y400" s="10">
        <v>4</v>
      </c>
      <c r="Z400" s="30" t="s">
        <v>59</v>
      </c>
      <c r="AA400" s="31">
        <f t="shared" si="129"/>
        <v>10104</v>
      </c>
      <c r="AB400" s="32">
        <f>650*100+670*9+229*4</f>
        <v>71946</v>
      </c>
      <c r="AC400" s="32">
        <f>-109*6</f>
        <v>-654</v>
      </c>
      <c r="AD400" s="32"/>
      <c r="AE400" s="32">
        <f t="shared" si="125"/>
        <v>71292</v>
      </c>
      <c r="AF400" s="12"/>
      <c r="AH400" s="12"/>
      <c r="AI400" s="12">
        <f t="shared" si="126"/>
        <v>71292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 t="s">
        <v>59</v>
      </c>
      <c r="C401" s="83">
        <f t="shared" si="127"/>
        <v>9922</v>
      </c>
      <c r="D401" s="32">
        <f>650*23</f>
        <v>14950</v>
      </c>
      <c r="E401" s="32"/>
      <c r="F401" s="32"/>
      <c r="G401" s="32">
        <f t="shared" si="121"/>
        <v>14950</v>
      </c>
      <c r="H401" s="12"/>
      <c r="I401" s="12"/>
      <c r="J401" s="12"/>
      <c r="K401" s="12">
        <f t="shared" si="122"/>
        <v>14950</v>
      </c>
      <c r="M401" s="10">
        <v>5</v>
      </c>
      <c r="N401" s="30" t="s">
        <v>59</v>
      </c>
      <c r="O401" s="31">
        <f t="shared" si="128"/>
        <v>10095</v>
      </c>
      <c r="P401" s="32">
        <f>650*8+622+872*3+9.5*2</f>
        <v>8457</v>
      </c>
      <c r="Q401" s="32"/>
      <c r="R401" s="32"/>
      <c r="S401" s="32">
        <f t="shared" si="123"/>
        <v>8457</v>
      </c>
      <c r="T401" s="12"/>
      <c r="U401" s="12"/>
      <c r="V401" s="12">
        <v>-444</v>
      </c>
      <c r="W401" s="12">
        <f t="shared" si="124"/>
        <v>8013</v>
      </c>
      <c r="Y401" s="10">
        <v>5</v>
      </c>
      <c r="Z401" s="30" t="s">
        <v>59</v>
      </c>
      <c r="AA401" s="31">
        <f t="shared" si="129"/>
        <v>10105</v>
      </c>
      <c r="AB401" s="32">
        <f>650*10</f>
        <v>6500</v>
      </c>
      <c r="AC401" s="32"/>
      <c r="AD401" s="32"/>
      <c r="AE401" s="32">
        <f t="shared" ref="AE401:AE402" si="130">SUM(AB401:AC401)</f>
        <v>6500</v>
      </c>
      <c r="AF401" s="12"/>
      <c r="AG401" s="12"/>
      <c r="AH401" s="12"/>
      <c r="AI401" s="12">
        <f t="shared" si="126"/>
        <v>6500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 t="s">
        <v>59</v>
      </c>
      <c r="C402" s="83">
        <f t="shared" si="127"/>
        <v>9923</v>
      </c>
      <c r="D402" s="32">
        <f>650*5+9.5*5</f>
        <v>3297.5</v>
      </c>
      <c r="E402" s="32"/>
      <c r="F402" s="32"/>
      <c r="G402" s="32">
        <f t="shared" si="121"/>
        <v>3297.5</v>
      </c>
      <c r="H402" s="12"/>
      <c r="I402" s="12"/>
      <c r="J402" s="12"/>
      <c r="K402" s="12">
        <f t="shared" si="122"/>
        <v>3297.5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3"/>
        <v>0</v>
      </c>
      <c r="T402" s="12"/>
      <c r="U402" s="12"/>
      <c r="V402" s="10"/>
      <c r="W402" s="12">
        <f t="shared" si="124"/>
        <v>0</v>
      </c>
      <c r="Y402" s="10">
        <v>6</v>
      </c>
      <c r="Z402" s="30" t="s">
        <v>59</v>
      </c>
      <c r="AA402" s="31">
        <f t="shared" si="129"/>
        <v>10106</v>
      </c>
      <c r="AB402" s="32">
        <f>650*21+229</f>
        <v>13879</v>
      </c>
      <c r="AC402" s="32"/>
      <c r="AD402" s="32"/>
      <c r="AE402" s="32">
        <f t="shared" si="130"/>
        <v>13879</v>
      </c>
      <c r="AF402" s="12"/>
      <c r="AG402" s="12"/>
      <c r="AH402" s="10"/>
      <c r="AI402" s="12">
        <f t="shared" si="126"/>
        <v>13879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 t="s">
        <v>59</v>
      </c>
      <c r="C403" s="83">
        <f t="shared" si="127"/>
        <v>9924</v>
      </c>
      <c r="D403" s="32">
        <f>650*30</f>
        <v>19500</v>
      </c>
      <c r="E403" s="32"/>
      <c r="F403" s="32"/>
      <c r="G403" s="32">
        <f t="shared" si="121"/>
        <v>19500</v>
      </c>
      <c r="H403" s="12"/>
      <c r="I403" s="12"/>
      <c r="J403" s="12"/>
      <c r="K403" s="12">
        <f t="shared" si="122"/>
        <v>19500</v>
      </c>
      <c r="M403" s="10">
        <v>7</v>
      </c>
      <c r="N403" s="30"/>
      <c r="O403" s="31"/>
      <c r="P403" s="32"/>
      <c r="Q403" s="32"/>
      <c r="R403" s="32"/>
      <c r="S403" s="32">
        <f t="shared" si="123"/>
        <v>0</v>
      </c>
      <c r="T403" s="12"/>
      <c r="U403" s="12"/>
      <c r="V403" s="12"/>
      <c r="W403" s="12">
        <f t="shared" si="124"/>
        <v>0</v>
      </c>
      <c r="Y403" s="10">
        <v>7</v>
      </c>
      <c r="Z403" s="30"/>
      <c r="AA403" s="11" t="s">
        <v>27</v>
      </c>
      <c r="AB403" s="32"/>
      <c r="AC403" s="32"/>
      <c r="AD403" s="32"/>
      <c r="AE403" s="32">
        <f>SUM(AB403:AC403)</f>
        <v>0</v>
      </c>
      <c r="AF403" s="12"/>
      <c r="AG403" s="58"/>
      <c r="AH403" s="12"/>
      <c r="AI403" s="12">
        <f t="shared" si="126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 t="s">
        <v>59</v>
      </c>
      <c r="C404" s="83">
        <f t="shared" si="127"/>
        <v>9925</v>
      </c>
      <c r="D404" s="32">
        <f>650*5</f>
        <v>3250</v>
      </c>
      <c r="E404" s="32"/>
      <c r="F404" s="32"/>
      <c r="G404" s="32">
        <f t="shared" si="121"/>
        <v>3250</v>
      </c>
      <c r="H404" s="12"/>
      <c r="I404" s="12"/>
      <c r="J404" s="12"/>
      <c r="K404" s="12">
        <f t="shared" si="122"/>
        <v>3250</v>
      </c>
      <c r="M404" s="10">
        <v>8</v>
      </c>
      <c r="N404" s="30"/>
      <c r="O404" s="31"/>
      <c r="P404" s="32"/>
      <c r="Q404" s="32"/>
      <c r="R404" s="32"/>
      <c r="S404" s="32">
        <f t="shared" si="123"/>
        <v>0</v>
      </c>
      <c r="T404" s="12"/>
      <c r="U404" s="12"/>
      <c r="V404" s="12"/>
      <c r="W404" s="12">
        <f t="shared" si="124"/>
        <v>0</v>
      </c>
      <c r="Y404" s="10">
        <v>8</v>
      </c>
      <c r="Z404" s="30"/>
      <c r="AA404" s="31"/>
      <c r="AB404" s="32"/>
      <c r="AC404" s="32"/>
      <c r="AE404" s="32">
        <f t="shared" ref="AE404:AE435" si="131">SUM(AB404:AC404)</f>
        <v>0</v>
      </c>
      <c r="AF404" s="12"/>
      <c r="AG404" s="12"/>
      <c r="AH404" s="12"/>
      <c r="AI404" s="12">
        <f t="shared" si="126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 t="s">
        <v>59</v>
      </c>
      <c r="C405" s="83">
        <f t="shared" si="127"/>
        <v>9926</v>
      </c>
      <c r="D405" s="32">
        <f>650*216</f>
        <v>140400</v>
      </c>
      <c r="E405" s="32">
        <f>-216*6</f>
        <v>-1296</v>
      </c>
      <c r="F405" s="32"/>
      <c r="G405" s="32">
        <f t="shared" si="121"/>
        <v>139104</v>
      </c>
      <c r="H405" s="12"/>
      <c r="I405" s="12"/>
      <c r="J405" s="12">
        <f>-120*9+-132*111+-84*3+-4.5*2+-1.5*5</f>
        <v>-16000.5</v>
      </c>
      <c r="K405" s="12">
        <f t="shared" si="122"/>
        <v>123103.5</v>
      </c>
      <c r="M405" s="10">
        <v>9</v>
      </c>
      <c r="N405" s="30"/>
      <c r="O405" s="31"/>
      <c r="P405" s="32"/>
      <c r="Q405" s="32"/>
      <c r="R405" s="32"/>
      <c r="S405" s="32">
        <f t="shared" si="123"/>
        <v>0</v>
      </c>
      <c r="T405" s="12"/>
      <c r="U405" s="12"/>
      <c r="V405" s="12"/>
      <c r="W405" s="12">
        <f t="shared" si="124"/>
        <v>0</v>
      </c>
      <c r="Y405" s="10">
        <v>9</v>
      </c>
      <c r="Z405" s="30"/>
      <c r="AA405" s="31"/>
      <c r="AB405" s="32"/>
      <c r="AC405" s="32"/>
      <c r="AD405" s="32"/>
      <c r="AE405" s="32">
        <f t="shared" si="131"/>
        <v>0</v>
      </c>
      <c r="AF405" s="12"/>
      <c r="AH405" s="12"/>
      <c r="AI405" s="12">
        <f t="shared" si="126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11" t="s">
        <v>27</v>
      </c>
      <c r="D406" s="32"/>
      <c r="E406" s="32"/>
      <c r="F406" s="32"/>
      <c r="G406" s="32">
        <f t="shared" si="121"/>
        <v>0</v>
      </c>
      <c r="H406" s="12"/>
      <c r="I406" s="12"/>
      <c r="J406" s="12"/>
      <c r="K406" s="12">
        <f t="shared" si="122"/>
        <v>0</v>
      </c>
      <c r="M406" s="10">
        <v>10</v>
      </c>
      <c r="N406" s="30"/>
      <c r="O406" s="31"/>
      <c r="P406" s="32"/>
      <c r="Q406" s="32"/>
      <c r="R406" s="32"/>
      <c r="S406" s="32">
        <f t="shared" si="123"/>
        <v>0</v>
      </c>
      <c r="T406" s="12"/>
      <c r="U406" s="12"/>
      <c r="V406" s="12"/>
      <c r="W406" s="12">
        <f t="shared" si="124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31"/>
        <v>0</v>
      </c>
      <c r="AF406" s="12"/>
      <c r="AG406" s="12"/>
      <c r="AH406" s="12"/>
      <c r="AI406" s="12">
        <f t="shared" si="126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21"/>
        <v>0</v>
      </c>
      <c r="H407" s="12"/>
      <c r="I407" s="12"/>
      <c r="J407" s="12"/>
      <c r="K407" s="12">
        <f t="shared" si="122"/>
        <v>0</v>
      </c>
      <c r="M407" s="10">
        <v>11</v>
      </c>
      <c r="N407" s="30"/>
      <c r="O407" s="11"/>
      <c r="P407" s="32"/>
      <c r="Q407" s="32"/>
      <c r="R407" s="32"/>
      <c r="S407" s="32">
        <f t="shared" si="123"/>
        <v>0</v>
      </c>
      <c r="T407" s="12"/>
      <c r="U407" s="12"/>
      <c r="V407" s="12"/>
      <c r="W407" s="12">
        <f t="shared" si="124"/>
        <v>0</v>
      </c>
      <c r="Y407" s="10">
        <v>11</v>
      </c>
      <c r="Z407" s="30"/>
      <c r="AA407" s="31"/>
      <c r="AB407" s="32"/>
      <c r="AC407" s="32"/>
      <c r="AD407" s="32"/>
      <c r="AE407" s="32">
        <f t="shared" si="131"/>
        <v>0</v>
      </c>
      <c r="AF407" s="12"/>
      <c r="AG407" s="12"/>
      <c r="AH407" s="12"/>
      <c r="AI407" s="12">
        <f t="shared" si="126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1"/>
        <v>0</v>
      </c>
      <c r="H408" s="12"/>
      <c r="I408" s="12"/>
      <c r="J408" s="10"/>
      <c r="K408" s="12">
        <f t="shared" si="122"/>
        <v>0</v>
      </c>
      <c r="M408" s="10">
        <v>12</v>
      </c>
      <c r="N408" s="30"/>
      <c r="O408" s="31"/>
      <c r="P408" s="32"/>
      <c r="Q408" s="32"/>
      <c r="R408" s="32"/>
      <c r="S408" s="32">
        <f t="shared" si="123"/>
        <v>0</v>
      </c>
      <c r="T408" s="12"/>
      <c r="U408" s="12"/>
      <c r="V408" s="12"/>
      <c r="W408" s="12">
        <f t="shared" si="124"/>
        <v>0</v>
      </c>
      <c r="Y408" s="10">
        <v>12</v>
      </c>
      <c r="Z408" s="30"/>
      <c r="AA408" s="11"/>
      <c r="AB408" s="32"/>
      <c r="AC408" s="32"/>
      <c r="AD408" s="32"/>
      <c r="AE408" s="32">
        <f t="shared" si="131"/>
        <v>0</v>
      </c>
      <c r="AF408" s="12"/>
      <c r="AG408" s="12"/>
      <c r="AH408" s="12"/>
      <c r="AI408" s="12">
        <f t="shared" si="126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1"/>
        <v>0</v>
      </c>
      <c r="H409" s="12"/>
      <c r="I409" s="12"/>
      <c r="J409" s="12"/>
      <c r="K409" s="12">
        <f t="shared" si="122"/>
        <v>0</v>
      </c>
      <c r="M409" s="10">
        <v>13</v>
      </c>
      <c r="N409" s="30"/>
      <c r="O409" s="31"/>
      <c r="P409" s="32"/>
      <c r="Q409" s="32"/>
      <c r="R409" s="32"/>
      <c r="S409" s="32">
        <f t="shared" si="123"/>
        <v>0</v>
      </c>
      <c r="T409" s="12"/>
      <c r="U409" s="12"/>
      <c r="V409" s="12"/>
      <c r="W409" s="12">
        <f t="shared" si="124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31"/>
        <v>0</v>
      </c>
      <c r="AF409" s="12"/>
      <c r="AG409" s="12"/>
      <c r="AH409" s="12"/>
      <c r="AI409" s="12">
        <f t="shared" si="126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1"/>
        <v>0</v>
      </c>
      <c r="H410" s="12"/>
      <c r="I410" s="12"/>
      <c r="J410" s="12"/>
      <c r="K410" s="12">
        <f t="shared" si="122"/>
        <v>0</v>
      </c>
      <c r="M410" s="10">
        <v>14</v>
      </c>
      <c r="N410" s="30"/>
      <c r="O410" s="31"/>
      <c r="P410" s="32"/>
      <c r="Q410" s="32"/>
      <c r="R410" s="32"/>
      <c r="S410" s="32">
        <f t="shared" si="123"/>
        <v>0</v>
      </c>
      <c r="T410" s="12"/>
      <c r="U410" s="12"/>
      <c r="V410" s="12"/>
      <c r="W410" s="12">
        <f t="shared" si="124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1"/>
        <v>0</v>
      </c>
      <c r="AF410" s="12"/>
      <c r="AG410" s="12"/>
      <c r="AH410" s="12"/>
      <c r="AI410" s="12">
        <f t="shared" si="126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1"/>
        <v>0</v>
      </c>
      <c r="H411" s="12"/>
      <c r="I411" s="12"/>
      <c r="J411" s="12"/>
      <c r="K411" s="12">
        <f t="shared" si="122"/>
        <v>0</v>
      </c>
      <c r="M411" s="10">
        <v>15</v>
      </c>
      <c r="N411" s="30"/>
      <c r="O411" s="31"/>
      <c r="P411" s="32"/>
      <c r="Q411" s="32"/>
      <c r="R411" s="32"/>
      <c r="S411" s="32">
        <f t="shared" si="123"/>
        <v>0</v>
      </c>
      <c r="T411" s="12"/>
      <c r="U411" s="12"/>
      <c r="V411" s="12"/>
      <c r="W411" s="12">
        <f t="shared" si="124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1"/>
        <v>0</v>
      </c>
      <c r="AF411" s="12"/>
      <c r="AG411" s="12"/>
      <c r="AH411" s="12"/>
      <c r="AI411" s="12">
        <f t="shared" si="126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21"/>
        <v>0</v>
      </c>
      <c r="H412" s="12"/>
      <c r="I412" s="12"/>
      <c r="J412" s="12"/>
      <c r="K412" s="12">
        <f t="shared" si="122"/>
        <v>0</v>
      </c>
      <c r="M412" s="10">
        <v>16</v>
      </c>
      <c r="N412" s="30"/>
      <c r="O412" s="11"/>
      <c r="P412" s="32"/>
      <c r="Q412" s="32"/>
      <c r="R412" s="32"/>
      <c r="S412" s="32">
        <f t="shared" si="123"/>
        <v>0</v>
      </c>
      <c r="T412" s="12"/>
      <c r="U412" s="12"/>
      <c r="V412" s="12"/>
      <c r="W412" s="12">
        <f t="shared" si="124"/>
        <v>0</v>
      </c>
      <c r="Y412" s="10">
        <v>16</v>
      </c>
      <c r="AA412" s="11"/>
      <c r="AB412" s="32"/>
      <c r="AC412" s="32"/>
      <c r="AD412" s="32"/>
      <c r="AE412" s="32">
        <f t="shared" si="131"/>
        <v>0</v>
      </c>
      <c r="AF412" s="12"/>
      <c r="AG412" s="12"/>
      <c r="AH412" s="12"/>
      <c r="AI412" s="12">
        <f t="shared" si="126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1"/>
        <v>0</v>
      </c>
      <c r="H413" s="12"/>
      <c r="I413" s="12"/>
      <c r="J413" s="12"/>
      <c r="K413" s="12">
        <f t="shared" si="122"/>
        <v>0</v>
      </c>
      <c r="M413" s="10">
        <v>17</v>
      </c>
      <c r="N413" s="30"/>
      <c r="O413" s="31"/>
      <c r="P413" s="35"/>
      <c r="Q413" s="32"/>
      <c r="R413" s="32"/>
      <c r="S413" s="32">
        <f t="shared" si="123"/>
        <v>0</v>
      </c>
      <c r="T413" s="12"/>
      <c r="U413" s="12"/>
      <c r="V413" s="12"/>
      <c r="W413" s="12">
        <f t="shared" si="124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1"/>
        <v>0</v>
      </c>
      <c r="AF413" s="12"/>
      <c r="AG413" s="12"/>
      <c r="AH413" s="12"/>
      <c r="AI413" s="12">
        <f t="shared" si="126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1"/>
        <v>0</v>
      </c>
      <c r="H414" s="12"/>
      <c r="I414" s="12"/>
      <c r="J414" s="12"/>
      <c r="K414" s="12">
        <f t="shared" si="122"/>
        <v>0</v>
      </c>
      <c r="M414" s="10">
        <v>18</v>
      </c>
      <c r="N414" s="30"/>
      <c r="O414" s="31"/>
      <c r="P414" s="32"/>
      <c r="Q414" s="32"/>
      <c r="R414" s="32"/>
      <c r="S414" s="32">
        <f t="shared" si="123"/>
        <v>0</v>
      </c>
      <c r="T414" s="12"/>
      <c r="U414" s="12"/>
      <c r="V414" s="12"/>
      <c r="W414" s="12">
        <f t="shared" si="124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1"/>
        <v>0</v>
      </c>
      <c r="AF414" s="12"/>
      <c r="AG414" s="12"/>
      <c r="AH414" s="12"/>
      <c r="AI414" s="12">
        <f t="shared" si="126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1"/>
        <v>0</v>
      </c>
      <c r="H415" s="12"/>
      <c r="I415" s="12"/>
      <c r="J415" s="12"/>
      <c r="K415" s="12">
        <f t="shared" si="122"/>
        <v>0</v>
      </c>
      <c r="M415" s="10">
        <v>19</v>
      </c>
      <c r="N415" s="30"/>
      <c r="O415" s="31"/>
      <c r="P415" s="32"/>
      <c r="Q415" s="32"/>
      <c r="R415" s="32"/>
      <c r="S415" s="32">
        <f t="shared" si="123"/>
        <v>0</v>
      </c>
      <c r="T415" s="12"/>
      <c r="U415" s="12"/>
      <c r="V415" s="12"/>
      <c r="W415" s="12">
        <f t="shared" si="124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1"/>
        <v>0</v>
      </c>
      <c r="AF415" s="12"/>
      <c r="AG415" s="12"/>
      <c r="AH415" s="12"/>
      <c r="AI415" s="12">
        <f t="shared" si="126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1"/>
        <v>0</v>
      </c>
      <c r="H416" s="12"/>
      <c r="I416" s="12"/>
      <c r="J416" s="12"/>
      <c r="K416" s="12">
        <f t="shared" si="122"/>
        <v>0</v>
      </c>
      <c r="M416" s="10">
        <v>20</v>
      </c>
      <c r="N416" s="30"/>
      <c r="O416" s="31"/>
      <c r="P416" s="32"/>
      <c r="Q416" s="32"/>
      <c r="R416" s="32"/>
      <c r="S416" s="32">
        <f t="shared" si="123"/>
        <v>0</v>
      </c>
      <c r="T416" s="12"/>
      <c r="U416" s="12"/>
      <c r="V416" s="12"/>
      <c r="W416" s="12">
        <f t="shared" si="124"/>
        <v>0</v>
      </c>
      <c r="Y416" s="10">
        <v>20</v>
      </c>
      <c r="Z416" s="30"/>
      <c r="AB416" s="32"/>
      <c r="AC416" s="32"/>
      <c r="AD416" s="32"/>
      <c r="AE416" s="32">
        <f t="shared" si="131"/>
        <v>0</v>
      </c>
      <c r="AF416" s="12"/>
      <c r="AG416" s="12"/>
      <c r="AH416" s="12"/>
      <c r="AI416" s="12">
        <f t="shared" si="126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21"/>
        <v>0</v>
      </c>
      <c r="H417" s="10"/>
      <c r="I417" s="10"/>
      <c r="J417" s="10"/>
      <c r="K417" s="12">
        <f t="shared" si="122"/>
        <v>0</v>
      </c>
      <c r="M417" s="10">
        <v>21</v>
      </c>
      <c r="N417" s="30"/>
      <c r="O417" s="11"/>
      <c r="P417" s="46"/>
      <c r="Q417" s="31"/>
      <c r="R417" s="31"/>
      <c r="S417" s="32">
        <f t="shared" si="123"/>
        <v>0</v>
      </c>
      <c r="T417" s="10"/>
      <c r="U417" s="10"/>
      <c r="V417" s="10"/>
      <c r="W417" s="12">
        <f t="shared" si="124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1"/>
        <v>0</v>
      </c>
      <c r="AF417" s="10"/>
      <c r="AG417" s="10"/>
      <c r="AH417" s="10"/>
      <c r="AI417" s="12">
        <f t="shared" si="126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1"/>
        <v>0</v>
      </c>
      <c r="H418" s="10"/>
      <c r="I418" s="10"/>
      <c r="J418" s="10"/>
      <c r="K418" s="12">
        <f t="shared" si="122"/>
        <v>0</v>
      </c>
      <c r="M418" s="10">
        <v>22</v>
      </c>
      <c r="N418" s="30"/>
      <c r="O418" s="31"/>
      <c r="P418" s="45"/>
      <c r="Q418" s="31"/>
      <c r="R418" s="31"/>
      <c r="S418" s="32">
        <f t="shared" si="123"/>
        <v>0</v>
      </c>
      <c r="T418" s="10"/>
      <c r="U418" s="10"/>
      <c r="V418" s="10"/>
      <c r="W418" s="12">
        <f t="shared" si="124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1"/>
        <v>0</v>
      </c>
      <c r="AF418" s="10"/>
      <c r="AG418" s="10"/>
      <c r="AH418" s="10"/>
      <c r="AI418" s="12">
        <f t="shared" si="126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/>
      <c r="D419" s="32"/>
      <c r="E419" s="32"/>
      <c r="F419" s="32"/>
      <c r="G419" s="32">
        <f t="shared" si="121"/>
        <v>0</v>
      </c>
      <c r="H419" s="10"/>
      <c r="I419" s="10"/>
      <c r="J419" s="12"/>
      <c r="K419" s="12">
        <f t="shared" si="122"/>
        <v>0</v>
      </c>
      <c r="M419" s="10">
        <v>23</v>
      </c>
      <c r="N419" s="30"/>
      <c r="O419" s="31"/>
      <c r="P419" s="47"/>
      <c r="S419" s="32">
        <f t="shared" si="123"/>
        <v>0</v>
      </c>
      <c r="T419" s="10"/>
      <c r="U419" s="10"/>
      <c r="V419" s="10"/>
      <c r="W419" s="12">
        <f t="shared" si="124"/>
        <v>0</v>
      </c>
      <c r="Y419" s="10">
        <v>23</v>
      </c>
      <c r="Z419" s="30"/>
      <c r="AA419" s="31"/>
      <c r="AB419" s="47"/>
      <c r="AE419" s="32">
        <f t="shared" si="131"/>
        <v>0</v>
      </c>
      <c r="AF419" s="10"/>
      <c r="AG419" s="10"/>
      <c r="AH419" s="10"/>
      <c r="AI419" s="12">
        <f t="shared" si="126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1"/>
        <v>0</v>
      </c>
      <c r="H420" s="10"/>
      <c r="I420" s="10"/>
      <c r="J420" s="10"/>
      <c r="K420" s="12">
        <f t="shared" si="122"/>
        <v>0</v>
      </c>
      <c r="M420" s="10">
        <v>24</v>
      </c>
      <c r="N420" s="30"/>
      <c r="O420" s="31"/>
      <c r="P420" s="47"/>
      <c r="Q420" s="31"/>
      <c r="R420" s="31"/>
      <c r="S420" s="32">
        <f t="shared" si="123"/>
        <v>0</v>
      </c>
      <c r="T420" s="10"/>
      <c r="U420" s="10"/>
      <c r="V420" s="10"/>
      <c r="W420" s="12">
        <f t="shared" si="124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1"/>
        <v>0</v>
      </c>
      <c r="AF420" s="10"/>
      <c r="AG420" s="10"/>
      <c r="AH420" s="10"/>
      <c r="AI420" s="12">
        <f t="shared" si="126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1"/>
        <v>0</v>
      </c>
      <c r="H421" s="10"/>
      <c r="I421" s="10"/>
      <c r="J421" s="10"/>
      <c r="K421" s="12">
        <f t="shared" si="122"/>
        <v>0</v>
      </c>
      <c r="M421" s="10">
        <v>25</v>
      </c>
      <c r="N421" s="30"/>
      <c r="O421" s="31"/>
      <c r="P421" s="47"/>
      <c r="Q421" s="31"/>
      <c r="R421" s="31"/>
      <c r="S421" s="32">
        <f t="shared" si="123"/>
        <v>0</v>
      </c>
      <c r="T421" s="10"/>
      <c r="U421" s="10"/>
      <c r="V421" s="10"/>
      <c r="W421" s="12">
        <f t="shared" si="124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1"/>
        <v>0</v>
      </c>
      <c r="AF421" s="10"/>
      <c r="AG421" s="10"/>
      <c r="AH421" s="10"/>
      <c r="AI421" s="12">
        <f t="shared" si="126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1"/>
        <v>0</v>
      </c>
      <c r="H422" s="10"/>
      <c r="I422" s="10"/>
      <c r="J422" s="10"/>
      <c r="K422" s="12">
        <f t="shared" si="122"/>
        <v>0</v>
      </c>
      <c r="M422" s="10">
        <v>26</v>
      </c>
      <c r="N422" s="30"/>
      <c r="O422" s="31"/>
      <c r="P422" s="47"/>
      <c r="Q422" s="31"/>
      <c r="R422" s="31"/>
      <c r="S422" s="32">
        <f t="shared" si="123"/>
        <v>0</v>
      </c>
      <c r="T422" s="10"/>
      <c r="U422" s="10"/>
      <c r="V422" s="10"/>
      <c r="W422" s="12">
        <f t="shared" si="124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1"/>
        <v>0</v>
      </c>
      <c r="AF422" s="10"/>
      <c r="AG422" s="10"/>
      <c r="AH422" s="10"/>
      <c r="AI422" s="12">
        <f t="shared" si="126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1"/>
        <v>0</v>
      </c>
      <c r="H423" s="10"/>
      <c r="I423" s="10"/>
      <c r="J423" s="10"/>
      <c r="K423" s="12">
        <f t="shared" si="122"/>
        <v>0</v>
      </c>
      <c r="M423" s="10">
        <v>27</v>
      </c>
      <c r="N423" s="30"/>
      <c r="O423" s="31"/>
      <c r="P423" s="47"/>
      <c r="Q423" s="31"/>
      <c r="R423" s="31"/>
      <c r="S423" s="32">
        <f t="shared" si="123"/>
        <v>0</v>
      </c>
      <c r="T423" s="10"/>
      <c r="U423" s="10"/>
      <c r="V423" s="10"/>
      <c r="W423" s="12">
        <f t="shared" si="124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1"/>
        <v>0</v>
      </c>
      <c r="AF423" s="10"/>
      <c r="AG423" s="10"/>
      <c r="AH423" s="10"/>
      <c r="AI423" s="12">
        <f t="shared" si="126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1"/>
        <v>0</v>
      </c>
      <c r="H424" s="10"/>
      <c r="I424" s="10"/>
      <c r="J424" s="10"/>
      <c r="K424" s="12">
        <f t="shared" si="122"/>
        <v>0</v>
      </c>
      <c r="M424" s="10">
        <v>28</v>
      </c>
      <c r="N424" s="30"/>
      <c r="O424" s="31"/>
      <c r="P424" s="47"/>
      <c r="Q424" s="31"/>
      <c r="R424" s="31"/>
      <c r="S424" s="32">
        <f t="shared" si="123"/>
        <v>0</v>
      </c>
      <c r="T424" s="10"/>
      <c r="U424" s="10"/>
      <c r="V424" s="10"/>
      <c r="W424" s="12">
        <f t="shared" si="124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1"/>
        <v>0</v>
      </c>
      <c r="AF424" s="10"/>
      <c r="AG424" s="10"/>
      <c r="AH424" s="10"/>
      <c r="AI424" s="12">
        <f t="shared" si="126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21"/>
        <v>0</v>
      </c>
      <c r="H425" s="10"/>
      <c r="I425" s="10"/>
      <c r="J425" s="10"/>
      <c r="K425" s="12">
        <f t="shared" si="122"/>
        <v>0</v>
      </c>
      <c r="M425" s="10">
        <v>29</v>
      </c>
      <c r="N425" s="30"/>
      <c r="O425" s="31"/>
      <c r="P425" s="47"/>
      <c r="Q425" s="31"/>
      <c r="R425" s="31"/>
      <c r="S425" s="32">
        <f t="shared" si="123"/>
        <v>0</v>
      </c>
      <c r="T425" s="10"/>
      <c r="U425" s="10"/>
      <c r="V425" s="10"/>
      <c r="W425" s="12">
        <f t="shared" si="124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1"/>
        <v>0</v>
      </c>
      <c r="AF425" s="10"/>
      <c r="AG425" s="10"/>
      <c r="AH425" s="10"/>
      <c r="AI425" s="12">
        <f t="shared" si="126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1"/>
        <v>0</v>
      </c>
      <c r="H426" s="10"/>
      <c r="I426" s="10"/>
      <c r="J426" s="10"/>
      <c r="K426" s="12">
        <f t="shared" si="122"/>
        <v>0</v>
      </c>
      <c r="M426" s="10">
        <v>30</v>
      </c>
      <c r="N426" s="30"/>
      <c r="O426" s="31"/>
      <c r="P426" s="47"/>
      <c r="Q426" s="31"/>
      <c r="R426" s="31"/>
      <c r="S426" s="32">
        <f t="shared" si="123"/>
        <v>0</v>
      </c>
      <c r="T426" s="10"/>
      <c r="U426" s="10"/>
      <c r="V426" s="10"/>
      <c r="W426" s="12">
        <f t="shared" si="124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1"/>
        <v>0</v>
      </c>
      <c r="AF426" s="10"/>
      <c r="AG426" s="10"/>
      <c r="AH426" s="10"/>
      <c r="AI426" s="12">
        <f t="shared" si="126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11"/>
      <c r="D427" s="32"/>
      <c r="E427" s="32"/>
      <c r="F427" s="32"/>
      <c r="G427" s="32">
        <f t="shared" si="121"/>
        <v>0</v>
      </c>
      <c r="H427" s="10"/>
      <c r="I427" s="10"/>
      <c r="J427" s="10"/>
      <c r="K427" s="12">
        <f t="shared" si="122"/>
        <v>0</v>
      </c>
      <c r="M427" s="10">
        <v>31</v>
      </c>
      <c r="N427" s="30"/>
      <c r="O427" s="31"/>
      <c r="P427" s="47"/>
      <c r="Q427" s="31"/>
      <c r="R427" s="31"/>
      <c r="S427" s="32">
        <f t="shared" si="123"/>
        <v>0</v>
      </c>
      <c r="T427" s="10"/>
      <c r="U427" s="10"/>
      <c r="V427" s="10"/>
      <c r="W427" s="12">
        <f t="shared" si="124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1"/>
        <v>0</v>
      </c>
      <c r="AF427" s="10"/>
      <c r="AG427" s="10"/>
      <c r="AH427" s="10"/>
      <c r="AI427" s="12">
        <f t="shared" si="126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1"/>
        <v>0</v>
      </c>
      <c r="H428" s="10"/>
      <c r="I428" s="10"/>
      <c r="J428" s="10"/>
      <c r="K428" s="12">
        <f t="shared" si="122"/>
        <v>0</v>
      </c>
      <c r="M428" s="10">
        <v>32</v>
      </c>
      <c r="N428" s="30"/>
      <c r="O428" s="31"/>
      <c r="P428" s="47"/>
      <c r="Q428" s="31"/>
      <c r="R428" s="31"/>
      <c r="S428" s="32">
        <f t="shared" si="123"/>
        <v>0</v>
      </c>
      <c r="T428" s="10"/>
      <c r="U428" s="10"/>
      <c r="V428" s="10"/>
      <c r="W428" s="12">
        <f t="shared" si="124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1"/>
        <v>0</v>
      </c>
      <c r="AF428" s="10"/>
      <c r="AG428" s="10"/>
      <c r="AH428" s="10"/>
      <c r="AI428" s="12">
        <f t="shared" si="126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1"/>
        <v>0</v>
      </c>
      <c r="H429" s="10"/>
      <c r="I429" s="10"/>
      <c r="J429" s="10"/>
      <c r="K429" s="12">
        <f t="shared" si="122"/>
        <v>0</v>
      </c>
      <c r="M429" s="10">
        <v>33</v>
      </c>
      <c r="N429" s="30"/>
      <c r="O429" s="31"/>
      <c r="P429" s="47"/>
      <c r="Q429" s="31"/>
      <c r="R429" s="31"/>
      <c r="S429" s="32">
        <f t="shared" si="123"/>
        <v>0</v>
      </c>
      <c r="T429" s="10"/>
      <c r="U429" s="10"/>
      <c r="V429" s="10"/>
      <c r="W429" s="12">
        <f t="shared" si="124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1"/>
        <v>0</v>
      </c>
      <c r="AF429" s="10"/>
      <c r="AG429" s="10"/>
      <c r="AH429" s="10"/>
      <c r="AI429" s="12">
        <f t="shared" si="126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1"/>
        <v>0</v>
      </c>
      <c r="H430" s="10"/>
      <c r="I430" s="10"/>
      <c r="J430" s="10"/>
      <c r="K430" s="12">
        <f t="shared" si="122"/>
        <v>0</v>
      </c>
      <c r="M430" s="10">
        <v>34</v>
      </c>
      <c r="N430" s="30"/>
      <c r="O430" s="31"/>
      <c r="P430" s="47"/>
      <c r="Q430" s="31"/>
      <c r="R430" s="31"/>
      <c r="S430" s="32">
        <f t="shared" si="123"/>
        <v>0</v>
      </c>
      <c r="T430" s="10"/>
      <c r="U430" s="10"/>
      <c r="V430" s="10"/>
      <c r="W430" s="12">
        <f t="shared" si="124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1"/>
        <v>0</v>
      </c>
      <c r="AF430" s="10"/>
      <c r="AG430" s="10"/>
      <c r="AH430" s="10"/>
      <c r="AI430" s="12">
        <f t="shared" ref="AI430:AI438" si="132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3"/>
        <v>0</v>
      </c>
      <c r="T431" s="10"/>
      <c r="U431" s="10"/>
      <c r="V431" s="10"/>
      <c r="W431" s="12">
        <f t="shared" si="124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1"/>
        <v>0</v>
      </c>
      <c r="AF431" s="10"/>
      <c r="AG431" s="10"/>
      <c r="AH431" s="10"/>
      <c r="AI431" s="12">
        <f t="shared" si="13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3"/>
        <v>0</v>
      </c>
      <c r="T432" s="10"/>
      <c r="U432" s="10"/>
      <c r="V432" s="10"/>
      <c r="W432" s="12">
        <f t="shared" si="124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1"/>
        <v>0</v>
      </c>
      <c r="AF432" s="10"/>
      <c r="AG432" s="10"/>
      <c r="AH432" s="10"/>
      <c r="AI432" s="12">
        <f t="shared" si="13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3"/>
        <v>0</v>
      </c>
      <c r="T433" s="10"/>
      <c r="U433" s="10"/>
      <c r="V433" s="10"/>
      <c r="W433" s="12">
        <f t="shared" si="124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1"/>
        <v>0</v>
      </c>
      <c r="AF433" s="10"/>
      <c r="AG433" s="10"/>
      <c r="AH433" s="10"/>
      <c r="AI433" s="12">
        <f t="shared" si="13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3"/>
        <v>0</v>
      </c>
      <c r="T434" s="10"/>
      <c r="U434" s="10"/>
      <c r="V434" s="10"/>
      <c r="W434" s="12">
        <f t="shared" si="124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1"/>
        <v>0</v>
      </c>
      <c r="AF434" s="10"/>
      <c r="AG434" s="10"/>
      <c r="AH434" s="10"/>
      <c r="AI434" s="12">
        <f t="shared" si="13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3"/>
        <v>0</v>
      </c>
      <c r="T435" s="10"/>
      <c r="U435" s="10"/>
      <c r="V435" s="10"/>
      <c r="W435" s="12">
        <f t="shared" si="124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1"/>
        <v>0</v>
      </c>
      <c r="AF435" s="10"/>
      <c r="AG435" s="10"/>
      <c r="AH435" s="10"/>
      <c r="AI435" s="12">
        <f t="shared" si="13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4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3">SUM(D437:E437)</f>
        <v>0</v>
      </c>
      <c r="H437" s="10"/>
      <c r="I437" s="10"/>
      <c r="J437" s="10"/>
      <c r="K437" s="12">
        <f t="shared" ref="K437" si="134">SUM(G437:J437)</f>
        <v>0</v>
      </c>
      <c r="M437" s="10"/>
      <c r="N437" s="30"/>
      <c r="O437" s="31"/>
      <c r="P437" s="47"/>
      <c r="Q437" s="31"/>
      <c r="R437" s="31"/>
      <c r="S437" s="32">
        <f t="shared" ref="S437" si="135">SUM(P437:Q437)</f>
        <v>0</v>
      </c>
      <c r="T437" s="10"/>
      <c r="U437" s="10"/>
      <c r="V437" s="10"/>
      <c r="W437" s="12">
        <f t="shared" si="124"/>
        <v>0</v>
      </c>
      <c r="Y437" s="10"/>
      <c r="Z437" s="30"/>
      <c r="AA437" s="31"/>
      <c r="AB437" s="47"/>
      <c r="AC437" s="31"/>
      <c r="AD437" s="31"/>
      <c r="AE437" s="32">
        <f t="shared" ref="AE437" si="136">SUM(AB437:AC437)</f>
        <v>0</v>
      </c>
      <c r="AF437" s="10"/>
      <c r="AG437" s="10"/>
      <c r="AH437" s="10"/>
      <c r="AI437" s="12">
        <f t="shared" si="13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4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205504.5</v>
      </c>
      <c r="E440" s="38">
        <f t="shared" ref="E440:G440" si="137">SUM(E397:E437)</f>
        <v>-1296</v>
      </c>
      <c r="F440" s="38">
        <f t="shared" si="137"/>
        <v>0</v>
      </c>
      <c r="G440" s="38">
        <f>SUM(G397:G439)</f>
        <v>204208.5</v>
      </c>
      <c r="H440" s="4"/>
      <c r="I440" s="39">
        <f>SUM(I397:I439)</f>
        <v>0</v>
      </c>
      <c r="J440" s="39">
        <f>SUM(J397:J439)</f>
        <v>-16000.5</v>
      </c>
      <c r="K440" s="40">
        <f>SUM(K397:K439)</f>
        <v>188208</v>
      </c>
      <c r="N440" s="57"/>
      <c r="O440" s="57"/>
      <c r="P440" s="38">
        <f>SUM(P397:P439)</f>
        <v>258873</v>
      </c>
      <c r="Q440" s="38">
        <f>SUM(Q397:Q421)</f>
        <v>-1944</v>
      </c>
      <c r="R440" s="38">
        <f>SUM(R397:R421)</f>
        <v>0</v>
      </c>
      <c r="S440" s="38">
        <f>SUM(S397:S439)</f>
        <v>256929</v>
      </c>
      <c r="T440" s="4"/>
      <c r="U440" s="41">
        <f>SUM(U397:U439)</f>
        <v>999</v>
      </c>
      <c r="V440" s="41">
        <f>SUM(V397:V421)</f>
        <v>-948</v>
      </c>
      <c r="W440" s="42">
        <f>SUM(W397:W439)</f>
        <v>256980</v>
      </c>
      <c r="Z440" s="57"/>
      <c r="AA440" s="57"/>
      <c r="AB440" s="38">
        <f>SUM(AB397:AB439)</f>
        <v>280238</v>
      </c>
      <c r="AC440" s="38">
        <f>SUM(AC397:AC421)</f>
        <v>-1950</v>
      </c>
      <c r="AD440" s="38">
        <f>SUM(AD397:AD421)</f>
        <v>0</v>
      </c>
      <c r="AE440" s="38">
        <f>SUM(AE397:AE439)</f>
        <v>278288</v>
      </c>
      <c r="AF440" s="4"/>
      <c r="AG440" s="41">
        <f>SUM(AG397:AG439)</f>
        <v>234</v>
      </c>
      <c r="AH440" s="41">
        <f>SUM(AH397:AH421)</f>
        <v>-252</v>
      </c>
      <c r="AI440" s="42">
        <f>SUM(AI397:AI439)</f>
        <v>278270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1"/>
      <c r="C442" s="91"/>
      <c r="D442" s="91"/>
      <c r="E442" s="91"/>
      <c r="F442" s="91"/>
      <c r="G442" s="91"/>
      <c r="H442" s="62"/>
      <c r="I442" s="62"/>
      <c r="J442" s="62"/>
      <c r="K442" s="62"/>
      <c r="L442" s="62"/>
      <c r="M442" s="62"/>
      <c r="N442" s="91"/>
      <c r="O442" s="91"/>
      <c r="P442" s="91"/>
      <c r="Q442" s="91"/>
      <c r="R442" s="91"/>
      <c r="S442" s="91"/>
      <c r="T442" s="62"/>
      <c r="U442" s="62"/>
      <c r="V442" s="62"/>
      <c r="W442" s="62"/>
      <c r="X442" s="62"/>
      <c r="Y442" s="62"/>
      <c r="Z442" s="91"/>
      <c r="AA442" s="91"/>
      <c r="AB442" s="91"/>
      <c r="AC442" s="91"/>
      <c r="AD442" s="91"/>
      <c r="AE442" s="91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1"/>
      <c r="C443" s="91"/>
      <c r="D443" s="91"/>
      <c r="E443" s="91"/>
      <c r="F443" s="91"/>
      <c r="G443" s="91"/>
      <c r="H443" s="62"/>
      <c r="I443" s="62"/>
      <c r="J443" s="62"/>
      <c r="K443" s="62"/>
      <c r="L443" s="62"/>
      <c r="M443" s="62"/>
      <c r="N443" s="91"/>
      <c r="O443" s="91"/>
      <c r="P443" s="91"/>
      <c r="Q443" s="91"/>
      <c r="R443" s="91"/>
      <c r="S443" s="91"/>
      <c r="T443" s="62"/>
      <c r="U443" s="62"/>
      <c r="V443" s="62"/>
      <c r="W443" s="62"/>
      <c r="X443" s="62"/>
      <c r="Y443" s="62"/>
      <c r="Z443" s="91"/>
      <c r="AA443" s="91"/>
      <c r="AB443" s="91"/>
      <c r="AC443" s="91"/>
      <c r="AD443" s="91"/>
      <c r="AE443" s="91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1"/>
      <c r="C444" s="91"/>
      <c r="D444" s="91"/>
      <c r="E444" s="91"/>
      <c r="F444" s="91"/>
      <c r="G444" s="91"/>
      <c r="H444" s="62"/>
      <c r="I444" s="62"/>
      <c r="J444" s="62"/>
      <c r="K444" s="62"/>
      <c r="L444" s="62"/>
      <c r="M444" s="62"/>
      <c r="N444" s="91"/>
      <c r="O444" s="91"/>
      <c r="P444" s="91"/>
      <c r="Q444" s="91"/>
      <c r="R444" s="91"/>
      <c r="S444" s="91"/>
      <c r="T444" s="62"/>
      <c r="U444" s="62"/>
      <c r="V444" s="62"/>
      <c r="W444" s="62"/>
      <c r="X444" s="62"/>
      <c r="Y444" s="62"/>
      <c r="Z444" s="91"/>
      <c r="AA444" s="91"/>
      <c r="AB444" s="91"/>
      <c r="AC444" s="91"/>
      <c r="AD444" s="91"/>
      <c r="AE444" s="91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1"/>
      <c r="C445" s="91"/>
      <c r="D445" s="91"/>
      <c r="E445" s="91"/>
      <c r="F445" s="91"/>
      <c r="G445" s="91"/>
      <c r="H445" s="62"/>
      <c r="I445" s="62"/>
      <c r="J445" s="62"/>
      <c r="K445" s="62"/>
      <c r="L445" s="62"/>
      <c r="M445" s="63"/>
      <c r="N445" s="91"/>
      <c r="O445" s="91"/>
      <c r="P445" s="91"/>
      <c r="Q445" s="91"/>
      <c r="R445" s="91"/>
      <c r="S445" s="91"/>
      <c r="T445" s="62"/>
      <c r="U445" s="62"/>
      <c r="V445" s="62"/>
      <c r="W445" s="62"/>
      <c r="X445" s="62"/>
      <c r="Y445" s="63"/>
      <c r="Z445" s="91"/>
      <c r="AA445" s="91"/>
      <c r="AB445" s="91"/>
      <c r="AC445" s="91"/>
      <c r="AD445" s="91"/>
      <c r="AE445" s="91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1"/>
      <c r="C446" s="91"/>
      <c r="D446" s="91"/>
      <c r="E446" s="91"/>
      <c r="F446" s="91"/>
      <c r="G446" s="91"/>
      <c r="H446" s="62"/>
      <c r="I446" s="62"/>
      <c r="J446" s="62"/>
      <c r="K446" s="62"/>
      <c r="L446" s="62"/>
      <c r="M446" s="62"/>
      <c r="N446" s="91"/>
      <c r="O446" s="91"/>
      <c r="P446" s="91"/>
      <c r="Q446" s="91"/>
      <c r="R446" s="91"/>
      <c r="S446" s="91"/>
      <c r="T446" s="62"/>
      <c r="U446" s="62"/>
      <c r="V446" s="62"/>
      <c r="W446" s="62"/>
      <c r="X446" s="62"/>
      <c r="Y446" s="62"/>
      <c r="Z446" s="91"/>
      <c r="AA446" s="91"/>
      <c r="AB446" s="91"/>
      <c r="AC446" s="91"/>
      <c r="AD446" s="91"/>
      <c r="AE446" s="91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1"/>
      <c r="C447" s="91"/>
      <c r="D447" s="91"/>
      <c r="E447" s="91"/>
      <c r="F447" s="91"/>
      <c r="G447" s="91"/>
      <c r="H447" s="62"/>
      <c r="I447" s="91"/>
      <c r="J447" s="73"/>
      <c r="K447" s="62"/>
      <c r="L447" s="62"/>
      <c r="M447" s="62"/>
      <c r="N447" s="91"/>
      <c r="O447" s="91"/>
      <c r="P447" s="91"/>
      <c r="Q447" s="91"/>
      <c r="R447" s="91"/>
      <c r="S447" s="91"/>
      <c r="T447" s="62"/>
      <c r="U447" s="91"/>
      <c r="V447" s="73"/>
      <c r="W447" s="62"/>
      <c r="X447" s="62"/>
      <c r="Y447" s="62"/>
      <c r="Z447" s="91"/>
      <c r="AA447" s="91"/>
      <c r="AB447" s="91"/>
      <c r="AC447" s="91"/>
      <c r="AD447" s="91"/>
      <c r="AE447" s="91"/>
      <c r="AF447" s="62"/>
      <c r="AG447" s="91"/>
      <c r="AH447" s="91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1"/>
      <c r="C448" s="91"/>
      <c r="D448" s="91"/>
      <c r="E448" s="91"/>
      <c r="F448" s="91"/>
      <c r="G448" s="91"/>
      <c r="H448" s="62"/>
      <c r="I448" s="65"/>
      <c r="J448" s="65"/>
      <c r="K448" s="62"/>
      <c r="L448" s="62"/>
      <c r="M448" s="64"/>
      <c r="N448" s="91"/>
      <c r="O448" s="91"/>
      <c r="P448" s="91"/>
      <c r="Q448" s="91"/>
      <c r="R448" s="91"/>
      <c r="S448" s="91"/>
      <c r="T448" s="62"/>
      <c r="U448" s="65"/>
      <c r="V448" s="65"/>
      <c r="W448" s="62"/>
      <c r="X448" s="62"/>
      <c r="Y448" s="64"/>
      <c r="Z448" s="91"/>
      <c r="AA448" s="91"/>
      <c r="AB448" s="91"/>
      <c r="AC448" s="91"/>
      <c r="AD448" s="91"/>
      <c r="AE448" s="91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1"/>
      <c r="C449" s="91"/>
      <c r="D449" s="91"/>
      <c r="E449" s="91"/>
      <c r="F449" s="91"/>
      <c r="G449" s="91"/>
      <c r="H449" s="62"/>
      <c r="I449" s="62"/>
      <c r="J449" s="62"/>
      <c r="K449" s="62"/>
      <c r="L449" s="62"/>
      <c r="M449" s="62"/>
      <c r="N449" s="91"/>
      <c r="O449" s="91"/>
      <c r="P449" s="91"/>
      <c r="Q449" s="91"/>
      <c r="R449" s="91"/>
      <c r="S449" s="91"/>
      <c r="T449" s="62"/>
      <c r="U449" s="62"/>
      <c r="V449" s="62"/>
      <c r="W449" s="62"/>
      <c r="X449" s="62"/>
      <c r="Y449" s="62"/>
      <c r="Z449" s="91"/>
      <c r="AA449" s="91"/>
      <c r="AB449" s="91"/>
      <c r="AC449" s="91"/>
      <c r="AD449" s="91"/>
      <c r="AE449" s="91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1"/>
      <c r="D450" s="109"/>
      <c r="E450" s="109"/>
      <c r="F450" s="91"/>
      <c r="G450" s="91"/>
      <c r="H450" s="62"/>
      <c r="I450" s="109"/>
      <c r="J450" s="109"/>
      <c r="K450" s="108"/>
      <c r="L450" s="62"/>
      <c r="M450" s="62"/>
      <c r="N450" s="65"/>
      <c r="O450" s="91"/>
      <c r="P450" s="109"/>
      <c r="Q450" s="109"/>
      <c r="R450" s="91"/>
      <c r="S450" s="91"/>
      <c r="T450" s="62"/>
      <c r="U450" s="109"/>
      <c r="V450" s="109"/>
      <c r="W450" s="108"/>
      <c r="X450" s="62"/>
      <c r="Y450" s="62"/>
      <c r="Z450" s="65"/>
      <c r="AA450" s="91"/>
      <c r="AB450" s="109"/>
      <c r="AC450" s="109"/>
      <c r="AD450" s="91"/>
      <c r="AE450" s="91"/>
      <c r="AF450" s="62"/>
      <c r="AG450" s="109"/>
      <c r="AH450" s="109"/>
      <c r="AI450" s="108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1"/>
      <c r="C451" s="91"/>
      <c r="D451" s="79"/>
      <c r="E451" s="80"/>
      <c r="F451" s="81"/>
      <c r="G451" s="81"/>
      <c r="H451" s="62"/>
      <c r="I451" s="90"/>
      <c r="J451" s="90"/>
      <c r="K451" s="108"/>
      <c r="L451" s="62"/>
      <c r="M451" s="62"/>
      <c r="N451" s="91"/>
      <c r="O451" s="91"/>
      <c r="P451" s="79"/>
      <c r="Q451" s="81"/>
      <c r="R451" s="81"/>
      <c r="S451" s="81"/>
      <c r="T451" s="62"/>
      <c r="U451" s="90"/>
      <c r="V451" s="90"/>
      <c r="W451" s="108"/>
      <c r="X451" s="62"/>
      <c r="Y451" s="62"/>
      <c r="Z451" s="91"/>
      <c r="AA451" s="91"/>
      <c r="AB451" s="79"/>
      <c r="AC451" s="81"/>
      <c r="AD451" s="81"/>
      <c r="AE451" s="81"/>
      <c r="AF451" s="62"/>
      <c r="AG451" s="90"/>
      <c r="AH451" s="90"/>
      <c r="AI451" s="108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1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1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1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1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1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1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1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1"/>
      <c r="AB455" s="60"/>
      <c r="AC455" s="60"/>
      <c r="AD455" s="60"/>
      <c r="AE455" s="60"/>
      <c r="AF455" s="61"/>
      <c r="AG455" s="61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65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65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91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91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5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1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1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1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1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1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1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1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1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1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1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1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1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1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91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1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1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1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1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1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1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1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1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1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1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1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1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1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1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1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1"/>
      <c r="P472" s="67"/>
      <c r="Q472" s="91"/>
      <c r="R472" s="91"/>
      <c r="S472" s="60"/>
      <c r="T472" s="62"/>
      <c r="U472" s="62"/>
      <c r="V472" s="62"/>
      <c r="W472" s="61"/>
      <c r="X472" s="62"/>
      <c r="Y472" s="62"/>
      <c r="Z472" s="66"/>
      <c r="AA472" s="91"/>
      <c r="AB472" s="67"/>
      <c r="AC472" s="91"/>
      <c r="AD472" s="91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1"/>
      <c r="P473" s="68"/>
      <c r="Q473" s="91"/>
      <c r="R473" s="91"/>
      <c r="S473" s="60"/>
      <c r="T473" s="62"/>
      <c r="U473" s="62"/>
      <c r="V473" s="62"/>
      <c r="W473" s="61"/>
      <c r="X473" s="62"/>
      <c r="Y473" s="62"/>
      <c r="Z473" s="66"/>
      <c r="AA473" s="91"/>
      <c r="AB473" s="68"/>
      <c r="AC473" s="91"/>
      <c r="AD473" s="91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1"/>
      <c r="P474" s="69"/>
      <c r="Q474" s="91"/>
      <c r="R474" s="62"/>
      <c r="S474" s="60"/>
      <c r="T474" s="62"/>
      <c r="U474" s="62"/>
      <c r="V474" s="62"/>
      <c r="W474" s="61"/>
      <c r="X474" s="62"/>
      <c r="Y474" s="62"/>
      <c r="Z474" s="66"/>
      <c r="AA474" s="91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1"/>
      <c r="P475" s="69"/>
      <c r="Q475" s="91"/>
      <c r="R475" s="91"/>
      <c r="S475" s="60"/>
      <c r="T475" s="62"/>
      <c r="U475" s="62"/>
      <c r="V475" s="62"/>
      <c r="W475" s="61"/>
      <c r="X475" s="62"/>
      <c r="Y475" s="62"/>
      <c r="Z475" s="66"/>
      <c r="AA475" s="91"/>
      <c r="AB475" s="69"/>
      <c r="AC475" s="91"/>
      <c r="AD475" s="91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1"/>
      <c r="P476" s="69"/>
      <c r="Q476" s="91"/>
      <c r="R476" s="91"/>
      <c r="S476" s="60"/>
      <c r="T476" s="62"/>
      <c r="U476" s="62"/>
      <c r="V476" s="62"/>
      <c r="W476" s="61"/>
      <c r="X476" s="62"/>
      <c r="Y476" s="62"/>
      <c r="Z476" s="66"/>
      <c r="AA476" s="91"/>
      <c r="AB476" s="69"/>
      <c r="AC476" s="91"/>
      <c r="AD476" s="91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1"/>
      <c r="P477" s="69"/>
      <c r="Q477" s="91"/>
      <c r="R477" s="91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1"/>
      <c r="AD477" s="91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1"/>
      <c r="P478" s="69"/>
      <c r="Q478" s="91"/>
      <c r="R478" s="91"/>
      <c r="S478" s="60"/>
      <c r="T478" s="62"/>
      <c r="U478" s="62"/>
      <c r="V478" s="62"/>
      <c r="W478" s="61"/>
      <c r="X478" s="62"/>
      <c r="Y478" s="62"/>
      <c r="Z478" s="66"/>
      <c r="AA478" s="91"/>
      <c r="AB478" s="69"/>
      <c r="AC478" s="91"/>
      <c r="AD478" s="91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1"/>
      <c r="P479" s="69"/>
      <c r="Q479" s="91"/>
      <c r="R479" s="91"/>
      <c r="S479" s="60"/>
      <c r="T479" s="62"/>
      <c r="U479" s="62"/>
      <c r="V479" s="62"/>
      <c r="W479" s="61"/>
      <c r="X479" s="62"/>
      <c r="Y479" s="62"/>
      <c r="Z479" s="66"/>
      <c r="AA479" s="91"/>
      <c r="AB479" s="69"/>
      <c r="AC479" s="91"/>
      <c r="AD479" s="91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1"/>
      <c r="P480" s="69"/>
      <c r="Q480" s="91"/>
      <c r="R480" s="91"/>
      <c r="S480" s="60"/>
      <c r="T480" s="62"/>
      <c r="U480" s="62"/>
      <c r="V480" s="62"/>
      <c r="W480" s="61"/>
      <c r="X480" s="62"/>
      <c r="Y480" s="62"/>
      <c r="Z480" s="66"/>
      <c r="AA480" s="91"/>
      <c r="AB480" s="69"/>
      <c r="AC480" s="91"/>
      <c r="AD480" s="91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1"/>
      <c r="P481" s="69"/>
      <c r="Q481" s="91"/>
      <c r="R481" s="91"/>
      <c r="S481" s="60"/>
      <c r="T481" s="62"/>
      <c r="U481" s="62"/>
      <c r="V481" s="62"/>
      <c r="W481" s="61"/>
      <c r="X481" s="62"/>
      <c r="Y481" s="62"/>
      <c r="Z481" s="66"/>
      <c r="AA481" s="91"/>
      <c r="AB481" s="69"/>
      <c r="AC481" s="91"/>
      <c r="AD481" s="91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1"/>
      <c r="P482" s="69"/>
      <c r="Q482" s="91"/>
      <c r="R482" s="91"/>
      <c r="S482" s="60"/>
      <c r="T482" s="62"/>
      <c r="U482" s="62"/>
      <c r="V482" s="62"/>
      <c r="W482" s="61"/>
      <c r="X482" s="62"/>
      <c r="Y482" s="62"/>
      <c r="Z482" s="66"/>
      <c r="AA482" s="91"/>
      <c r="AB482" s="69"/>
      <c r="AC482" s="91"/>
      <c r="AD482" s="91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1"/>
      <c r="P483" s="69"/>
      <c r="Q483" s="91"/>
      <c r="R483" s="91"/>
      <c r="S483" s="60"/>
      <c r="T483" s="62"/>
      <c r="U483" s="62"/>
      <c r="V483" s="62"/>
      <c r="W483" s="61"/>
      <c r="X483" s="62"/>
      <c r="Y483" s="62"/>
      <c r="Z483" s="66"/>
      <c r="AA483" s="91"/>
      <c r="AB483" s="69"/>
      <c r="AC483" s="91"/>
      <c r="AD483" s="91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1"/>
      <c r="P484" s="69"/>
      <c r="Q484" s="91"/>
      <c r="R484" s="91"/>
      <c r="S484" s="60"/>
      <c r="T484" s="62"/>
      <c r="U484" s="62"/>
      <c r="V484" s="62"/>
      <c r="W484" s="61"/>
      <c r="X484" s="62"/>
      <c r="Y484" s="62"/>
      <c r="Z484" s="66"/>
      <c r="AA484" s="91"/>
      <c r="AB484" s="69"/>
      <c r="AC484" s="91"/>
      <c r="AD484" s="91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1"/>
      <c r="P485" s="69"/>
      <c r="Q485" s="91"/>
      <c r="R485" s="91"/>
      <c r="S485" s="60"/>
      <c r="T485" s="62"/>
      <c r="U485" s="62"/>
      <c r="V485" s="62"/>
      <c r="W485" s="61"/>
      <c r="X485" s="62"/>
      <c r="Y485" s="62"/>
      <c r="Z485" s="66"/>
      <c r="AA485" s="91"/>
      <c r="AB485" s="69"/>
      <c r="AC485" s="91"/>
      <c r="AD485" s="91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62"/>
      <c r="P486" s="69"/>
      <c r="Q486" s="91"/>
      <c r="R486" s="91"/>
      <c r="S486" s="60"/>
      <c r="T486" s="62"/>
      <c r="U486" s="62"/>
      <c r="V486" s="62"/>
      <c r="W486" s="61"/>
      <c r="X486" s="62"/>
      <c r="Y486" s="62"/>
      <c r="Z486" s="66"/>
      <c r="AA486" s="91"/>
      <c r="AB486" s="69"/>
      <c r="AC486" s="91"/>
      <c r="AD486" s="91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1"/>
      <c r="P487" s="69"/>
      <c r="Q487" s="91"/>
      <c r="R487" s="91"/>
      <c r="S487" s="60"/>
      <c r="T487" s="62"/>
      <c r="U487" s="62"/>
      <c r="V487" s="62"/>
      <c r="W487" s="61"/>
      <c r="X487" s="62"/>
      <c r="Y487" s="62"/>
      <c r="Z487" s="66"/>
      <c r="AA487" s="91"/>
      <c r="AB487" s="69"/>
      <c r="AC487" s="91"/>
      <c r="AD487" s="91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1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91"/>
      <c r="P488" s="69"/>
      <c r="Q488" s="91"/>
      <c r="R488" s="91"/>
      <c r="S488" s="60"/>
      <c r="T488" s="62"/>
      <c r="U488" s="62"/>
      <c r="V488" s="62"/>
      <c r="W488" s="61"/>
      <c r="X488" s="62"/>
      <c r="Y488" s="62"/>
      <c r="Z488" s="66"/>
      <c r="AA488" s="91"/>
      <c r="AB488" s="69"/>
      <c r="AC488" s="91"/>
      <c r="AD488" s="91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1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1"/>
      <c r="P489" s="69"/>
      <c r="Q489" s="91"/>
      <c r="R489" s="91"/>
      <c r="S489" s="60"/>
      <c r="T489" s="62"/>
      <c r="U489" s="62"/>
      <c r="V489" s="62"/>
      <c r="W489" s="61"/>
      <c r="X489" s="62"/>
      <c r="Y489" s="62"/>
      <c r="Z489" s="66"/>
      <c r="AA489" s="91"/>
      <c r="AB489" s="69"/>
      <c r="AC489" s="91"/>
      <c r="AD489" s="91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1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1"/>
      <c r="P490" s="69"/>
      <c r="Q490" s="91"/>
      <c r="R490" s="91"/>
      <c r="S490" s="60"/>
      <c r="T490" s="62"/>
      <c r="U490" s="62"/>
      <c r="V490" s="62"/>
      <c r="W490" s="61"/>
      <c r="X490" s="62"/>
      <c r="Y490" s="62"/>
      <c r="Z490" s="66"/>
      <c r="AA490" s="91"/>
      <c r="AB490" s="69"/>
      <c r="AC490" s="91"/>
      <c r="AD490" s="91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1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1"/>
      <c r="R491" s="91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1"/>
      <c r="AD491" s="91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1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1"/>
      <c r="P492" s="69"/>
      <c r="Q492" s="91"/>
      <c r="R492" s="91"/>
      <c r="S492" s="60"/>
      <c r="T492" s="62"/>
      <c r="U492" s="62"/>
      <c r="V492" s="62"/>
      <c r="W492" s="61"/>
      <c r="X492" s="62"/>
      <c r="Y492" s="62"/>
      <c r="Z492" s="66"/>
      <c r="AA492" s="91"/>
      <c r="AB492" s="69"/>
      <c r="AC492" s="91"/>
      <c r="AD492" s="91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1"/>
      <c r="O493" s="91"/>
      <c r="P493" s="91"/>
      <c r="Q493" s="91"/>
      <c r="R493" s="91"/>
      <c r="S493" s="91"/>
      <c r="T493" s="62"/>
      <c r="U493" s="62"/>
      <c r="V493" s="62"/>
      <c r="W493" s="61"/>
      <c r="X493" s="62"/>
      <c r="Y493" s="62"/>
      <c r="Z493" s="91"/>
      <c r="AA493" s="91"/>
      <c r="AB493" s="91"/>
      <c r="AC493" s="91"/>
      <c r="AD493" s="91"/>
      <c r="AE493" s="91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1"/>
      <c r="C494" s="91"/>
      <c r="D494" s="91"/>
      <c r="E494" s="91"/>
      <c r="F494" s="91"/>
      <c r="G494" s="91"/>
      <c r="H494" s="62"/>
      <c r="I494" s="62"/>
      <c r="J494" s="62"/>
      <c r="K494" s="62"/>
      <c r="L494" s="62"/>
      <c r="M494" s="62"/>
      <c r="N494" s="91"/>
      <c r="O494" s="91"/>
      <c r="P494" s="91"/>
      <c r="Q494" s="91"/>
      <c r="R494" s="91"/>
      <c r="S494" s="91"/>
      <c r="T494" s="62"/>
      <c r="U494" s="62"/>
      <c r="V494" s="62"/>
      <c r="W494" s="62"/>
      <c r="X494" s="62"/>
      <c r="Y494" s="62"/>
      <c r="Z494" s="91"/>
      <c r="AA494" s="91"/>
      <c r="AB494" s="91"/>
      <c r="AC494" s="91"/>
      <c r="AD494" s="91"/>
      <c r="AE494" s="91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1"/>
      <c r="C495" s="91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1"/>
      <c r="O495" s="91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1"/>
      <c r="AA495" s="91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1"/>
      <c r="C497" s="91"/>
      <c r="D497" s="91"/>
      <c r="E497" s="91"/>
      <c r="F497" s="91"/>
      <c r="G497" s="91"/>
      <c r="H497" s="62"/>
      <c r="I497" s="62"/>
      <c r="J497" s="62"/>
      <c r="K497" s="62"/>
      <c r="L497" s="62"/>
      <c r="M497" s="62"/>
      <c r="N497" s="91"/>
      <c r="O497" s="91"/>
      <c r="P497" s="91"/>
      <c r="Q497" s="91"/>
      <c r="R497" s="91"/>
      <c r="S497" s="91"/>
      <c r="T497" s="62"/>
      <c r="U497" s="62"/>
      <c r="V497" s="62"/>
      <c r="W497" s="62"/>
      <c r="X497" s="62"/>
      <c r="Y497" s="62"/>
      <c r="Z497" s="91"/>
      <c r="AA497" s="91"/>
      <c r="AB497" s="91"/>
      <c r="AC497" s="91"/>
      <c r="AD497" s="91"/>
      <c r="AE497" s="91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1"/>
      <c r="C498" s="91"/>
      <c r="D498" s="91"/>
      <c r="E498" s="91"/>
      <c r="F498" s="91"/>
      <c r="G498" s="91"/>
      <c r="H498" s="62"/>
      <c r="I498" s="62"/>
      <c r="J498" s="62"/>
      <c r="K498" s="62"/>
      <c r="L498" s="62"/>
      <c r="M498" s="62"/>
      <c r="N498" s="91"/>
      <c r="O498" s="91"/>
      <c r="P498" s="91"/>
      <c r="Q498" s="91"/>
      <c r="R498" s="91"/>
      <c r="S498" s="91"/>
      <c r="T498" s="62"/>
      <c r="U498" s="62"/>
      <c r="V498" s="62"/>
      <c r="W498" s="62"/>
      <c r="X498" s="62"/>
      <c r="Y498" s="62"/>
      <c r="Z498" s="91"/>
      <c r="AA498" s="91"/>
      <c r="AB498" s="91"/>
      <c r="AC498" s="91"/>
      <c r="AD498" s="91"/>
      <c r="AE498" s="91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1"/>
      <c r="C499" s="91"/>
      <c r="D499" s="91"/>
      <c r="E499" s="91"/>
      <c r="F499" s="91"/>
      <c r="G499" s="91"/>
      <c r="H499" s="62"/>
      <c r="I499" s="62"/>
      <c r="J499" s="62"/>
      <c r="K499" s="62"/>
      <c r="L499" s="62"/>
      <c r="M499" s="62"/>
      <c r="N499" s="91"/>
      <c r="O499" s="91"/>
      <c r="P499" s="91"/>
      <c r="Q499" s="91"/>
      <c r="R499" s="91"/>
      <c r="S499" s="91"/>
      <c r="T499" s="62"/>
      <c r="U499" s="62"/>
      <c r="V499" s="62"/>
      <c r="W499" s="62"/>
      <c r="X499" s="62"/>
      <c r="Y499" s="62"/>
      <c r="Z499" s="91"/>
      <c r="AA499" s="91"/>
      <c r="AB499" s="91"/>
      <c r="AC499" s="91"/>
      <c r="AD499" s="91"/>
      <c r="AE499" s="91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1"/>
      <c r="C500" s="91"/>
      <c r="D500" s="91"/>
      <c r="E500" s="91"/>
      <c r="F500" s="91"/>
      <c r="G500" s="91"/>
      <c r="H500" s="62"/>
      <c r="I500" s="62"/>
      <c r="J500" s="62"/>
      <c r="K500" s="62"/>
      <c r="L500" s="62"/>
      <c r="M500" s="63"/>
      <c r="N500" s="91"/>
      <c r="O500" s="91"/>
      <c r="P500" s="91"/>
      <c r="Q500" s="91"/>
      <c r="R500" s="91"/>
      <c r="S500" s="91"/>
      <c r="T500" s="62"/>
      <c r="U500" s="62"/>
      <c r="V500" s="62"/>
      <c r="W500" s="62"/>
      <c r="X500" s="62"/>
      <c r="Y500" s="63"/>
      <c r="Z500" s="91"/>
      <c r="AA500" s="91"/>
      <c r="AB500" s="91"/>
      <c r="AC500" s="91"/>
      <c r="AD500" s="91"/>
      <c r="AE500" s="91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1"/>
      <c r="C501" s="91"/>
      <c r="D501" s="91"/>
      <c r="E501" s="91"/>
      <c r="F501" s="91"/>
      <c r="G501" s="91"/>
      <c r="H501" s="62"/>
      <c r="I501" s="62"/>
      <c r="J501" s="62"/>
      <c r="K501" s="62"/>
      <c r="L501" s="62"/>
      <c r="M501" s="62"/>
      <c r="N501" s="91"/>
      <c r="O501" s="91"/>
      <c r="P501" s="91"/>
      <c r="Q501" s="91"/>
      <c r="R501" s="91"/>
      <c r="S501" s="91"/>
      <c r="T501" s="62"/>
      <c r="U501" s="62"/>
      <c r="V501" s="62"/>
      <c r="W501" s="62"/>
      <c r="X501" s="62"/>
      <c r="Y501" s="62"/>
      <c r="Z501" s="91"/>
      <c r="AA501" s="91"/>
      <c r="AB501" s="91"/>
      <c r="AC501" s="91"/>
      <c r="AD501" s="91"/>
      <c r="AE501" s="91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1"/>
      <c r="C502" s="91"/>
      <c r="D502" s="91"/>
      <c r="E502" s="91"/>
      <c r="F502" s="91"/>
      <c r="G502" s="91"/>
      <c r="H502" s="62"/>
      <c r="I502" s="91"/>
      <c r="J502" s="73"/>
      <c r="K502" s="62"/>
      <c r="L502" s="62"/>
      <c r="M502" s="62"/>
      <c r="N502" s="91"/>
      <c r="O502" s="91"/>
      <c r="P502" s="91"/>
      <c r="Q502" s="91"/>
      <c r="R502" s="91"/>
      <c r="S502" s="91"/>
      <c r="T502" s="62"/>
      <c r="U502" s="91"/>
      <c r="V502" s="73"/>
      <c r="W502" s="62"/>
      <c r="X502" s="62"/>
      <c r="Y502" s="62"/>
      <c r="Z502" s="91"/>
      <c r="AA502" s="91"/>
      <c r="AB502" s="91"/>
      <c r="AC502" s="91"/>
      <c r="AD502" s="91"/>
      <c r="AE502" s="91"/>
      <c r="AF502" s="62"/>
      <c r="AG502" s="91"/>
      <c r="AH502" s="91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1"/>
      <c r="C503" s="91"/>
      <c r="D503" s="91"/>
      <c r="E503" s="91"/>
      <c r="F503" s="91"/>
      <c r="G503" s="91"/>
      <c r="H503" s="62"/>
      <c r="I503" s="65"/>
      <c r="J503" s="65"/>
      <c r="K503" s="62"/>
      <c r="L503" s="62"/>
      <c r="M503" s="64"/>
      <c r="N503" s="91"/>
      <c r="O503" s="91"/>
      <c r="P503" s="91"/>
      <c r="Q503" s="91"/>
      <c r="R503" s="91"/>
      <c r="S503" s="91"/>
      <c r="T503" s="62"/>
      <c r="U503" s="65"/>
      <c r="V503" s="65"/>
      <c r="W503" s="62"/>
      <c r="X503" s="62"/>
      <c r="Y503" s="64"/>
      <c r="Z503" s="91"/>
      <c r="AA503" s="91"/>
      <c r="AB503" s="91"/>
      <c r="AC503" s="91"/>
      <c r="AD503" s="91"/>
      <c r="AE503" s="91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1"/>
      <c r="C504" s="91"/>
      <c r="D504" s="91"/>
      <c r="E504" s="91"/>
      <c r="F504" s="91"/>
      <c r="G504" s="91"/>
      <c r="H504" s="62"/>
      <c r="I504" s="62"/>
      <c r="J504" s="62"/>
      <c r="K504" s="62"/>
      <c r="L504" s="62"/>
      <c r="M504" s="62"/>
      <c r="N504" s="91"/>
      <c r="O504" s="91"/>
      <c r="P504" s="91"/>
      <c r="Q504" s="91"/>
      <c r="R504" s="91"/>
      <c r="S504" s="91"/>
      <c r="T504" s="62"/>
      <c r="U504" s="62"/>
      <c r="V504" s="62"/>
      <c r="W504" s="62"/>
      <c r="X504" s="62"/>
      <c r="Y504" s="62"/>
      <c r="Z504" s="91"/>
      <c r="AA504" s="91"/>
      <c r="AB504" s="91"/>
      <c r="AC504" s="91"/>
      <c r="AD504" s="91"/>
      <c r="AE504" s="91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1"/>
      <c r="D505" s="109"/>
      <c r="E505" s="109"/>
      <c r="F505" s="91"/>
      <c r="G505" s="91"/>
      <c r="H505" s="62"/>
      <c r="I505" s="109"/>
      <c r="J505" s="109"/>
      <c r="K505" s="108"/>
      <c r="L505" s="62"/>
      <c r="M505" s="62"/>
      <c r="N505" s="65"/>
      <c r="O505" s="91"/>
      <c r="P505" s="109"/>
      <c r="Q505" s="109"/>
      <c r="R505" s="91"/>
      <c r="S505" s="91"/>
      <c r="T505" s="62"/>
      <c r="U505" s="109"/>
      <c r="V505" s="109"/>
      <c r="W505" s="108"/>
      <c r="X505" s="62"/>
      <c r="Y505" s="62"/>
      <c r="Z505" s="65"/>
      <c r="AA505" s="91"/>
      <c r="AB505" s="109"/>
      <c r="AC505" s="109"/>
      <c r="AD505" s="91"/>
      <c r="AE505" s="91"/>
      <c r="AF505" s="62"/>
      <c r="AG505" s="109"/>
      <c r="AH505" s="109"/>
      <c r="AI505" s="108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1"/>
      <c r="C506" s="91"/>
      <c r="D506" s="79"/>
      <c r="E506" s="80"/>
      <c r="F506" s="81"/>
      <c r="G506" s="81"/>
      <c r="H506" s="62"/>
      <c r="I506" s="90"/>
      <c r="J506" s="90"/>
      <c r="K506" s="108"/>
      <c r="L506" s="62"/>
      <c r="M506" s="62"/>
      <c r="N506" s="91"/>
      <c r="O506" s="91"/>
      <c r="P506" s="79"/>
      <c r="Q506" s="81"/>
      <c r="R506" s="81"/>
      <c r="S506" s="81"/>
      <c r="T506" s="62"/>
      <c r="U506" s="90"/>
      <c r="V506" s="90"/>
      <c r="W506" s="108"/>
      <c r="X506" s="62"/>
      <c r="Y506" s="62"/>
      <c r="Z506" s="91"/>
      <c r="AA506" s="91"/>
      <c r="AB506" s="79"/>
      <c r="AC506" s="81"/>
      <c r="AD506" s="81"/>
      <c r="AE506" s="81"/>
      <c r="AF506" s="62"/>
      <c r="AG506" s="90"/>
      <c r="AH506" s="90"/>
      <c r="AI506" s="108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1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1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1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1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1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1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1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1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1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1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1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1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1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1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1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1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1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65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1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1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1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1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1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1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1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1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1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1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1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1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1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1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1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1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1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1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1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1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1"/>
      <c r="R527" s="91"/>
      <c r="S527" s="60"/>
      <c r="T527" s="62"/>
      <c r="U527" s="62"/>
      <c r="V527" s="62"/>
      <c r="W527" s="61"/>
      <c r="X527" s="62"/>
      <c r="Y527" s="62"/>
      <c r="Z527" s="66"/>
      <c r="AA527" s="91"/>
      <c r="AB527" s="67"/>
      <c r="AC527" s="91"/>
      <c r="AD527" s="91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1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1"/>
      <c r="P528" s="68"/>
      <c r="Q528" s="91"/>
      <c r="R528" s="91"/>
      <c r="S528" s="60"/>
      <c r="T528" s="62"/>
      <c r="U528" s="62"/>
      <c r="V528" s="62"/>
      <c r="W528" s="61"/>
      <c r="X528" s="62"/>
      <c r="Y528" s="62"/>
      <c r="Z528" s="66"/>
      <c r="AA528" s="91"/>
      <c r="AB528" s="68"/>
      <c r="AC528" s="91"/>
      <c r="AD528" s="91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1"/>
      <c r="P529" s="69"/>
      <c r="Q529" s="91"/>
      <c r="R529" s="62"/>
      <c r="S529" s="60"/>
      <c r="T529" s="62"/>
      <c r="U529" s="62"/>
      <c r="V529" s="62"/>
      <c r="W529" s="61"/>
      <c r="X529" s="62"/>
      <c r="Y529" s="62"/>
      <c r="Z529" s="66"/>
      <c r="AA529" s="91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1"/>
      <c r="P530" s="69"/>
      <c r="Q530" s="91"/>
      <c r="R530" s="91"/>
      <c r="S530" s="60"/>
      <c r="T530" s="62"/>
      <c r="U530" s="62"/>
      <c r="V530" s="62"/>
      <c r="W530" s="61"/>
      <c r="X530" s="62"/>
      <c r="Y530" s="62"/>
      <c r="Z530" s="66"/>
      <c r="AA530" s="91"/>
      <c r="AB530" s="69"/>
      <c r="AC530" s="91"/>
      <c r="AD530" s="91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1"/>
      <c r="P531" s="69"/>
      <c r="Q531" s="91"/>
      <c r="R531" s="91"/>
      <c r="S531" s="60"/>
      <c r="T531" s="62"/>
      <c r="U531" s="62"/>
      <c r="V531" s="62"/>
      <c r="W531" s="61"/>
      <c r="X531" s="62"/>
      <c r="Y531" s="62"/>
      <c r="Z531" s="66"/>
      <c r="AA531" s="91"/>
      <c r="AB531" s="69"/>
      <c r="AC531" s="91"/>
      <c r="AD531" s="91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1"/>
      <c r="P532" s="69"/>
      <c r="Q532" s="91"/>
      <c r="R532" s="91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1"/>
      <c r="AD532" s="91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1"/>
      <c r="P533" s="69"/>
      <c r="Q533" s="91"/>
      <c r="R533" s="91"/>
      <c r="S533" s="60"/>
      <c r="T533" s="62"/>
      <c r="U533" s="62"/>
      <c r="V533" s="62"/>
      <c r="W533" s="61"/>
      <c r="X533" s="62"/>
      <c r="Y533" s="62"/>
      <c r="Z533" s="66"/>
      <c r="AA533" s="91"/>
      <c r="AB533" s="69"/>
      <c r="AC533" s="91"/>
      <c r="AD533" s="91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1"/>
      <c r="P534" s="69"/>
      <c r="Q534" s="91"/>
      <c r="R534" s="91"/>
      <c r="S534" s="60"/>
      <c r="T534" s="62"/>
      <c r="U534" s="62"/>
      <c r="V534" s="62"/>
      <c r="W534" s="61"/>
      <c r="X534" s="62"/>
      <c r="Y534" s="62"/>
      <c r="Z534" s="66"/>
      <c r="AA534" s="91"/>
      <c r="AB534" s="69"/>
      <c r="AC534" s="91"/>
      <c r="AD534" s="91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1"/>
      <c r="P535" s="69"/>
      <c r="Q535" s="91"/>
      <c r="R535" s="91"/>
      <c r="S535" s="60"/>
      <c r="T535" s="62"/>
      <c r="U535" s="62"/>
      <c r="V535" s="62"/>
      <c r="W535" s="61"/>
      <c r="X535" s="62"/>
      <c r="Y535" s="62"/>
      <c r="Z535" s="66"/>
      <c r="AA535" s="91"/>
      <c r="AB535" s="69"/>
      <c r="AC535" s="91"/>
      <c r="AD535" s="91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1"/>
      <c r="P536" s="69"/>
      <c r="Q536" s="91"/>
      <c r="R536" s="91"/>
      <c r="S536" s="60"/>
      <c r="T536" s="62"/>
      <c r="U536" s="62"/>
      <c r="V536" s="62"/>
      <c r="W536" s="61"/>
      <c r="X536" s="62"/>
      <c r="Y536" s="62"/>
      <c r="Z536" s="66"/>
      <c r="AA536" s="91"/>
      <c r="AB536" s="69"/>
      <c r="AC536" s="91"/>
      <c r="AD536" s="91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1"/>
      <c r="P537" s="69"/>
      <c r="Q537" s="91"/>
      <c r="R537" s="91"/>
      <c r="S537" s="60"/>
      <c r="T537" s="62"/>
      <c r="U537" s="62"/>
      <c r="V537" s="62"/>
      <c r="W537" s="61"/>
      <c r="X537" s="62"/>
      <c r="Y537" s="62"/>
      <c r="Z537" s="66"/>
      <c r="AA537" s="91"/>
      <c r="AB537" s="69"/>
      <c r="AC537" s="91"/>
      <c r="AD537" s="91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1"/>
      <c r="P538" s="69"/>
      <c r="Q538" s="91"/>
      <c r="R538" s="91"/>
      <c r="S538" s="60"/>
      <c r="T538" s="62"/>
      <c r="U538" s="62"/>
      <c r="V538" s="62"/>
      <c r="W538" s="61"/>
      <c r="X538" s="62"/>
      <c r="Y538" s="62"/>
      <c r="Z538" s="66"/>
      <c r="AA538" s="91"/>
      <c r="AB538" s="69"/>
      <c r="AC538" s="91"/>
      <c r="AD538" s="91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1"/>
      <c r="P539" s="69"/>
      <c r="Q539" s="91"/>
      <c r="R539" s="91"/>
      <c r="S539" s="60"/>
      <c r="T539" s="62"/>
      <c r="U539" s="62"/>
      <c r="V539" s="62"/>
      <c r="W539" s="61"/>
      <c r="X539" s="62"/>
      <c r="Y539" s="62"/>
      <c r="Z539" s="66"/>
      <c r="AA539" s="91"/>
      <c r="AB539" s="69"/>
      <c r="AC539" s="91"/>
      <c r="AD539" s="91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1"/>
      <c r="P540" s="69"/>
      <c r="Q540" s="91"/>
      <c r="R540" s="91"/>
      <c r="S540" s="60"/>
      <c r="T540" s="62"/>
      <c r="U540" s="62"/>
      <c r="V540" s="62"/>
      <c r="W540" s="61"/>
      <c r="X540" s="62"/>
      <c r="Y540" s="62"/>
      <c r="Z540" s="66"/>
      <c r="AA540" s="91"/>
      <c r="AB540" s="69"/>
      <c r="AC540" s="91"/>
      <c r="AD540" s="91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62"/>
      <c r="P541" s="69"/>
      <c r="Q541" s="91"/>
      <c r="R541" s="91"/>
      <c r="S541" s="60"/>
      <c r="T541" s="62"/>
      <c r="U541" s="62"/>
      <c r="V541" s="62"/>
      <c r="W541" s="61"/>
      <c r="X541" s="62"/>
      <c r="Y541" s="62"/>
      <c r="Z541" s="66"/>
      <c r="AA541" s="91"/>
      <c r="AB541" s="69"/>
      <c r="AC541" s="91"/>
      <c r="AD541" s="91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1"/>
      <c r="P542" s="69"/>
      <c r="Q542" s="91"/>
      <c r="R542" s="91"/>
      <c r="S542" s="60"/>
      <c r="T542" s="62"/>
      <c r="U542" s="62"/>
      <c r="V542" s="62"/>
      <c r="W542" s="61"/>
      <c r="X542" s="62"/>
      <c r="Y542" s="62"/>
      <c r="Z542" s="66"/>
      <c r="AA542" s="91"/>
      <c r="AB542" s="69"/>
      <c r="AC542" s="91"/>
      <c r="AD542" s="91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1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91"/>
      <c r="P543" s="69"/>
      <c r="Q543" s="91"/>
      <c r="R543" s="91"/>
      <c r="S543" s="60"/>
      <c r="T543" s="62"/>
      <c r="U543" s="62"/>
      <c r="V543" s="62"/>
      <c r="W543" s="61"/>
      <c r="X543" s="62"/>
      <c r="Y543" s="62"/>
      <c r="Z543" s="66"/>
      <c r="AA543" s="91"/>
      <c r="AB543" s="69"/>
      <c r="AC543" s="91"/>
      <c r="AD543" s="91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1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1"/>
      <c r="P544" s="69"/>
      <c r="Q544" s="91"/>
      <c r="R544" s="91"/>
      <c r="S544" s="60"/>
      <c r="T544" s="62"/>
      <c r="U544" s="62"/>
      <c r="V544" s="62"/>
      <c r="W544" s="61"/>
      <c r="X544" s="62"/>
      <c r="Y544" s="62"/>
      <c r="Z544" s="66"/>
      <c r="AA544" s="91"/>
      <c r="AB544" s="69"/>
      <c r="AC544" s="91"/>
      <c r="AD544" s="91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1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1"/>
      <c r="P545" s="69"/>
      <c r="Q545" s="91"/>
      <c r="R545" s="91"/>
      <c r="S545" s="60"/>
      <c r="T545" s="62"/>
      <c r="U545" s="62"/>
      <c r="V545" s="62"/>
      <c r="W545" s="61"/>
      <c r="X545" s="62"/>
      <c r="Y545" s="62"/>
      <c r="Z545" s="66"/>
      <c r="AA545" s="91"/>
      <c r="AB545" s="69"/>
      <c r="AC545" s="91"/>
      <c r="AD545" s="91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1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1"/>
      <c r="R546" s="91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1"/>
      <c r="AD546" s="91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1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1"/>
      <c r="P547" s="69"/>
      <c r="Q547" s="91"/>
      <c r="R547" s="91"/>
      <c r="S547" s="60"/>
      <c r="T547" s="62"/>
      <c r="U547" s="62"/>
      <c r="V547" s="62"/>
      <c r="W547" s="61"/>
      <c r="X547" s="62"/>
      <c r="Y547" s="62"/>
      <c r="Z547" s="66"/>
      <c r="AA547" s="91"/>
      <c r="AB547" s="69"/>
      <c r="AC547" s="91"/>
      <c r="AD547" s="91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1"/>
      <c r="O548" s="91"/>
      <c r="P548" s="91"/>
      <c r="Q548" s="91"/>
      <c r="R548" s="91"/>
      <c r="S548" s="91"/>
      <c r="T548" s="62"/>
      <c r="U548" s="62"/>
      <c r="V548" s="62"/>
      <c r="W548" s="61"/>
      <c r="X548" s="62"/>
      <c r="Y548" s="62"/>
      <c r="Z548" s="91"/>
      <c r="AA548" s="91"/>
      <c r="AB548" s="91"/>
      <c r="AC548" s="91"/>
      <c r="AD548" s="91"/>
      <c r="AE548" s="91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1"/>
      <c r="C549" s="91"/>
      <c r="D549" s="91"/>
      <c r="E549" s="91"/>
      <c r="F549" s="91"/>
      <c r="G549" s="91"/>
      <c r="H549" s="62"/>
      <c r="I549" s="62"/>
      <c r="J549" s="62"/>
      <c r="K549" s="62"/>
      <c r="L549" s="62"/>
      <c r="M549" s="62"/>
      <c r="N549" s="91"/>
      <c r="O549" s="91"/>
      <c r="P549" s="91"/>
      <c r="Q549" s="91"/>
      <c r="R549" s="91"/>
      <c r="S549" s="91"/>
      <c r="T549" s="62"/>
      <c r="U549" s="62"/>
      <c r="V549" s="62"/>
      <c r="W549" s="62"/>
      <c r="X549" s="62"/>
      <c r="Y549" s="62"/>
      <c r="Z549" s="91"/>
      <c r="AA549" s="91"/>
      <c r="AB549" s="91"/>
      <c r="AC549" s="91"/>
      <c r="AD549" s="91"/>
      <c r="AE549" s="91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1"/>
      <c r="C550" s="91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1"/>
      <c r="O550" s="91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1"/>
      <c r="AA550" s="91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1"/>
      <c r="C552" s="91"/>
      <c r="D552" s="91"/>
      <c r="E552" s="91"/>
      <c r="F552" s="91"/>
      <c r="G552" s="91"/>
      <c r="H552" s="62"/>
      <c r="I552" s="62"/>
      <c r="J552" s="62"/>
      <c r="K552" s="62"/>
      <c r="L552" s="62"/>
      <c r="M552" s="62"/>
      <c r="N552" s="91"/>
      <c r="O552" s="91"/>
      <c r="P552" s="91"/>
      <c r="Q552" s="91"/>
      <c r="R552" s="91"/>
      <c r="S552" s="91"/>
      <c r="T552" s="62"/>
      <c r="U552" s="62"/>
      <c r="V552" s="62"/>
      <c r="W552" s="62"/>
      <c r="X552" s="62"/>
      <c r="Y552" s="62"/>
      <c r="Z552" s="91"/>
      <c r="AA552" s="91"/>
      <c r="AB552" s="91"/>
      <c r="AC552" s="91"/>
      <c r="AD552" s="91"/>
      <c r="AE552" s="91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1"/>
      <c r="C553" s="91"/>
      <c r="D553" s="91"/>
      <c r="E553" s="91"/>
      <c r="F553" s="91"/>
      <c r="G553" s="91"/>
      <c r="H553" s="62"/>
      <c r="I553" s="62"/>
      <c r="J553" s="62"/>
      <c r="K553" s="62"/>
      <c r="L553" s="62"/>
      <c r="M553" s="62"/>
      <c r="N553" s="91"/>
      <c r="O553" s="91"/>
      <c r="P553" s="91"/>
      <c r="Q553" s="91"/>
      <c r="R553" s="91"/>
      <c r="S553" s="91"/>
      <c r="T553" s="62"/>
      <c r="U553" s="62"/>
      <c r="V553" s="62"/>
      <c r="W553" s="62"/>
      <c r="X553" s="62"/>
      <c r="Y553" s="62"/>
      <c r="Z553" s="91"/>
      <c r="AA553" s="91"/>
      <c r="AB553" s="91"/>
      <c r="AC553" s="91"/>
      <c r="AD553" s="91"/>
      <c r="AE553" s="91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1"/>
      <c r="C554" s="91"/>
      <c r="D554" s="91"/>
      <c r="E554" s="91"/>
      <c r="F554" s="91"/>
      <c r="G554" s="91"/>
      <c r="H554" s="62"/>
      <c r="I554" s="62"/>
      <c r="J554" s="62"/>
      <c r="K554" s="62"/>
      <c r="L554" s="62"/>
      <c r="M554" s="62"/>
      <c r="N554" s="91"/>
      <c r="O554" s="91"/>
      <c r="P554" s="91"/>
      <c r="Q554" s="91"/>
      <c r="R554" s="91"/>
      <c r="S554" s="91"/>
      <c r="T554" s="62"/>
      <c r="U554" s="62"/>
      <c r="V554" s="62"/>
      <c r="W554" s="62"/>
      <c r="X554" s="62"/>
      <c r="Y554" s="62"/>
      <c r="Z554" s="91"/>
      <c r="AA554" s="91"/>
      <c r="AB554" s="91"/>
      <c r="AC554" s="91"/>
      <c r="AD554" s="91"/>
      <c r="AE554" s="91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1"/>
      <c r="C555" s="91"/>
      <c r="D555" s="91"/>
      <c r="E555" s="91"/>
      <c r="F555" s="91"/>
      <c r="G555" s="91"/>
      <c r="H555" s="62"/>
      <c r="I555" s="62"/>
      <c r="J555" s="62"/>
      <c r="K555" s="62"/>
      <c r="L555" s="62"/>
      <c r="M555" s="63"/>
      <c r="N555" s="91"/>
      <c r="O555" s="91"/>
      <c r="P555" s="91"/>
      <c r="Q555" s="91"/>
      <c r="R555" s="91"/>
      <c r="S555" s="91"/>
      <c r="T555" s="62"/>
      <c r="U555" s="62"/>
      <c r="V555" s="62"/>
      <c r="W555" s="62"/>
      <c r="X555" s="62"/>
      <c r="Y555" s="63"/>
      <c r="Z555" s="91"/>
      <c r="AA555" s="91"/>
      <c r="AB555" s="91"/>
      <c r="AC555" s="91"/>
      <c r="AD555" s="91"/>
      <c r="AE555" s="91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1"/>
      <c r="C556" s="91"/>
      <c r="D556" s="91"/>
      <c r="E556" s="91"/>
      <c r="F556" s="91"/>
      <c r="G556" s="91"/>
      <c r="H556" s="62"/>
      <c r="I556" s="62"/>
      <c r="J556" s="62"/>
      <c r="K556" s="62"/>
      <c r="L556" s="62"/>
      <c r="M556" s="62"/>
      <c r="N556" s="91"/>
      <c r="O556" s="91"/>
      <c r="P556" s="91"/>
      <c r="Q556" s="91"/>
      <c r="R556" s="91"/>
      <c r="S556" s="91"/>
      <c r="T556" s="62"/>
      <c r="U556" s="62"/>
      <c r="V556" s="62"/>
      <c r="W556" s="62"/>
      <c r="X556" s="62"/>
      <c r="Y556" s="62"/>
      <c r="Z556" s="91"/>
      <c r="AA556" s="91"/>
      <c r="AB556" s="91"/>
      <c r="AC556" s="91"/>
      <c r="AD556" s="91"/>
      <c r="AE556" s="91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1"/>
      <c r="C557" s="91"/>
      <c r="D557" s="91"/>
      <c r="E557" s="91"/>
      <c r="F557" s="91"/>
      <c r="G557" s="91"/>
      <c r="H557" s="62"/>
      <c r="I557" s="91"/>
      <c r="J557" s="73"/>
      <c r="K557" s="62"/>
      <c r="L557" s="62"/>
      <c r="M557" s="62"/>
      <c r="N557" s="91"/>
      <c r="O557" s="91"/>
      <c r="P557" s="91"/>
      <c r="Q557" s="91"/>
      <c r="R557" s="91"/>
      <c r="S557" s="91"/>
      <c r="T557" s="62"/>
      <c r="U557" s="91"/>
      <c r="V557" s="73"/>
      <c r="W557" s="62"/>
      <c r="X557" s="62"/>
      <c r="Y557" s="62"/>
      <c r="Z557" s="91"/>
      <c r="AA557" s="91"/>
      <c r="AB557" s="91"/>
      <c r="AC557" s="91"/>
      <c r="AD557" s="91"/>
      <c r="AE557" s="91"/>
      <c r="AF557" s="62"/>
      <c r="AG557" s="91"/>
      <c r="AH557" s="91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1"/>
      <c r="C558" s="91"/>
      <c r="D558" s="91"/>
      <c r="E558" s="91"/>
      <c r="F558" s="91"/>
      <c r="G558" s="91"/>
      <c r="H558" s="62"/>
      <c r="I558" s="65"/>
      <c r="J558" s="65"/>
      <c r="K558" s="62"/>
      <c r="L558" s="62"/>
      <c r="M558" s="64"/>
      <c r="N558" s="91"/>
      <c r="O558" s="91"/>
      <c r="P558" s="91"/>
      <c r="Q558" s="91"/>
      <c r="R558" s="91"/>
      <c r="S558" s="91"/>
      <c r="T558" s="62"/>
      <c r="U558" s="65"/>
      <c r="V558" s="65"/>
      <c r="W558" s="62"/>
      <c r="X558" s="62"/>
      <c r="Y558" s="64"/>
      <c r="Z558" s="91"/>
      <c r="AA558" s="91"/>
      <c r="AB558" s="91"/>
      <c r="AC558" s="91"/>
      <c r="AD558" s="91"/>
      <c r="AE558" s="91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1"/>
      <c r="C559" s="91"/>
      <c r="D559" s="91"/>
      <c r="E559" s="91"/>
      <c r="F559" s="91"/>
      <c r="G559" s="91"/>
      <c r="H559" s="62"/>
      <c r="I559" s="62"/>
      <c r="J559" s="62"/>
      <c r="K559" s="62"/>
      <c r="L559" s="62"/>
      <c r="M559" s="62"/>
      <c r="N559" s="91"/>
      <c r="O559" s="91"/>
      <c r="P559" s="91"/>
      <c r="Q559" s="91"/>
      <c r="R559" s="91"/>
      <c r="S559" s="91"/>
      <c r="T559" s="62"/>
      <c r="U559" s="62"/>
      <c r="V559" s="62"/>
      <c r="W559" s="62"/>
      <c r="X559" s="62"/>
      <c r="Y559" s="62"/>
      <c r="Z559" s="91"/>
      <c r="AA559" s="91"/>
      <c r="AB559" s="91"/>
      <c r="AC559" s="91"/>
      <c r="AD559" s="91"/>
      <c r="AE559" s="91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1"/>
      <c r="D560" s="109"/>
      <c r="E560" s="109"/>
      <c r="F560" s="91"/>
      <c r="G560" s="91"/>
      <c r="H560" s="62"/>
      <c r="I560" s="109"/>
      <c r="J560" s="109"/>
      <c r="K560" s="108"/>
      <c r="L560" s="62"/>
      <c r="M560" s="62"/>
      <c r="N560" s="65"/>
      <c r="O560" s="91"/>
      <c r="P560" s="109"/>
      <c r="Q560" s="109"/>
      <c r="R560" s="91"/>
      <c r="S560" s="91"/>
      <c r="T560" s="62"/>
      <c r="U560" s="109"/>
      <c r="V560" s="109"/>
      <c r="W560" s="108"/>
      <c r="X560" s="62"/>
      <c r="Y560" s="62"/>
      <c r="Z560" s="65"/>
      <c r="AA560" s="91"/>
      <c r="AB560" s="109"/>
      <c r="AC560" s="109"/>
      <c r="AD560" s="91"/>
      <c r="AE560" s="91"/>
      <c r="AF560" s="62"/>
      <c r="AG560" s="109"/>
      <c r="AH560" s="109"/>
      <c r="AI560" s="108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1"/>
      <c r="C561" s="91"/>
      <c r="D561" s="79"/>
      <c r="E561" s="80"/>
      <c r="F561" s="81"/>
      <c r="G561" s="81"/>
      <c r="H561" s="62"/>
      <c r="I561" s="90"/>
      <c r="J561" s="90"/>
      <c r="K561" s="108"/>
      <c r="L561" s="62"/>
      <c r="M561" s="62"/>
      <c r="N561" s="91"/>
      <c r="O561" s="91"/>
      <c r="P561" s="79"/>
      <c r="Q561" s="81"/>
      <c r="R561" s="81"/>
      <c r="S561" s="81"/>
      <c r="T561" s="62"/>
      <c r="U561" s="90"/>
      <c r="V561" s="90"/>
      <c r="W561" s="108"/>
      <c r="X561" s="62"/>
      <c r="Y561" s="62"/>
      <c r="Z561" s="91"/>
      <c r="AA561" s="91"/>
      <c r="AB561" s="79"/>
      <c r="AC561" s="81"/>
      <c r="AD561" s="81"/>
      <c r="AE561" s="81"/>
      <c r="AF561" s="62"/>
      <c r="AG561" s="90"/>
      <c r="AH561" s="90"/>
      <c r="AI561" s="108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1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1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1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1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1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1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1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1"/>
      <c r="AB565" s="60"/>
      <c r="AC565" s="60"/>
      <c r="AD565" s="60"/>
      <c r="AE565" s="60"/>
      <c r="AF565" s="61"/>
      <c r="AG565" s="61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1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1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1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1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1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1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65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1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1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1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1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1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1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1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1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1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1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5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1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1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1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1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1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2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1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1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1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5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1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1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1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1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1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65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2"/>
      <c r="P582" s="67"/>
      <c r="Q582" s="91"/>
      <c r="R582" s="91"/>
      <c r="S582" s="60"/>
      <c r="T582" s="62"/>
      <c r="U582" s="62"/>
      <c r="V582" s="62"/>
      <c r="W582" s="61"/>
      <c r="X582" s="62"/>
      <c r="Y582" s="62"/>
      <c r="Z582" s="66"/>
      <c r="AA582" s="91"/>
      <c r="AB582" s="67"/>
      <c r="AC582" s="91"/>
      <c r="AD582" s="91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1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1"/>
      <c r="P583" s="68"/>
      <c r="Q583" s="91"/>
      <c r="R583" s="91"/>
      <c r="S583" s="60"/>
      <c r="T583" s="62"/>
      <c r="U583" s="62"/>
      <c r="V583" s="62"/>
      <c r="W583" s="61"/>
      <c r="X583" s="62"/>
      <c r="Y583" s="62"/>
      <c r="Z583" s="66"/>
      <c r="AA583" s="91"/>
      <c r="AB583" s="68"/>
      <c r="AC583" s="91"/>
      <c r="AD583" s="91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1"/>
      <c r="P584" s="69"/>
      <c r="Q584" s="91"/>
      <c r="R584" s="62"/>
      <c r="S584" s="60"/>
      <c r="T584" s="62"/>
      <c r="U584" s="62"/>
      <c r="V584" s="62"/>
      <c r="W584" s="61"/>
      <c r="X584" s="62"/>
      <c r="Y584" s="62"/>
      <c r="Z584" s="66"/>
      <c r="AA584" s="91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1"/>
      <c r="P585" s="69"/>
      <c r="Q585" s="91"/>
      <c r="R585" s="91"/>
      <c r="S585" s="60"/>
      <c r="T585" s="62"/>
      <c r="U585" s="62"/>
      <c r="V585" s="62"/>
      <c r="W585" s="61"/>
      <c r="X585" s="62"/>
      <c r="Y585" s="62"/>
      <c r="Z585" s="66"/>
      <c r="AA585" s="91"/>
      <c r="AB585" s="69"/>
      <c r="AC585" s="91"/>
      <c r="AD585" s="91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1"/>
      <c r="P586" s="69"/>
      <c r="Q586" s="91"/>
      <c r="R586" s="91"/>
      <c r="S586" s="60"/>
      <c r="T586" s="62"/>
      <c r="U586" s="62"/>
      <c r="V586" s="62"/>
      <c r="W586" s="61"/>
      <c r="X586" s="62"/>
      <c r="Y586" s="62"/>
      <c r="Z586" s="66"/>
      <c r="AA586" s="91"/>
      <c r="AB586" s="69"/>
      <c r="AC586" s="91"/>
      <c r="AD586" s="91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1"/>
      <c r="P587" s="69"/>
      <c r="Q587" s="91"/>
      <c r="R587" s="91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1"/>
      <c r="AD587" s="91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1"/>
      <c r="P588" s="69"/>
      <c r="Q588" s="91"/>
      <c r="R588" s="91"/>
      <c r="S588" s="60"/>
      <c r="T588" s="62"/>
      <c r="U588" s="62"/>
      <c r="V588" s="62"/>
      <c r="W588" s="61"/>
      <c r="X588" s="62"/>
      <c r="Y588" s="62"/>
      <c r="Z588" s="66"/>
      <c r="AA588" s="91"/>
      <c r="AB588" s="69"/>
      <c r="AC588" s="91"/>
      <c r="AD588" s="91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1"/>
      <c r="P589" s="69"/>
      <c r="Q589" s="91"/>
      <c r="R589" s="91"/>
      <c r="S589" s="60"/>
      <c r="T589" s="62"/>
      <c r="U589" s="62"/>
      <c r="V589" s="62"/>
      <c r="W589" s="61"/>
      <c r="X589" s="62"/>
      <c r="Y589" s="62"/>
      <c r="Z589" s="66"/>
      <c r="AA589" s="91"/>
      <c r="AB589" s="69"/>
      <c r="AC589" s="91"/>
      <c r="AD589" s="91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1"/>
      <c r="P590" s="69"/>
      <c r="Q590" s="91"/>
      <c r="R590" s="91"/>
      <c r="S590" s="60"/>
      <c r="T590" s="62"/>
      <c r="U590" s="62"/>
      <c r="V590" s="62"/>
      <c r="W590" s="61"/>
      <c r="X590" s="62"/>
      <c r="Y590" s="62"/>
      <c r="Z590" s="66"/>
      <c r="AA590" s="91"/>
      <c r="AB590" s="69"/>
      <c r="AC590" s="91"/>
      <c r="AD590" s="91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1"/>
      <c r="P591" s="69"/>
      <c r="Q591" s="91"/>
      <c r="R591" s="91"/>
      <c r="S591" s="60"/>
      <c r="T591" s="62"/>
      <c r="U591" s="62"/>
      <c r="V591" s="62"/>
      <c r="W591" s="61"/>
      <c r="X591" s="62"/>
      <c r="Y591" s="62"/>
      <c r="Z591" s="66"/>
      <c r="AA591" s="91"/>
      <c r="AB591" s="69"/>
      <c r="AC591" s="91"/>
      <c r="AD591" s="91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1"/>
      <c r="P592" s="69"/>
      <c r="Q592" s="91"/>
      <c r="R592" s="91"/>
      <c r="S592" s="60"/>
      <c r="T592" s="62"/>
      <c r="U592" s="62"/>
      <c r="V592" s="62"/>
      <c r="W592" s="61"/>
      <c r="X592" s="62"/>
      <c r="Y592" s="62"/>
      <c r="Z592" s="66"/>
      <c r="AA592" s="91"/>
      <c r="AB592" s="69"/>
      <c r="AC592" s="91"/>
      <c r="AD592" s="91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1"/>
      <c r="P593" s="69"/>
      <c r="Q593" s="91"/>
      <c r="R593" s="91"/>
      <c r="S593" s="60"/>
      <c r="T593" s="62"/>
      <c r="U593" s="62"/>
      <c r="V593" s="62"/>
      <c r="W593" s="61"/>
      <c r="X593" s="62"/>
      <c r="Y593" s="62"/>
      <c r="Z593" s="66"/>
      <c r="AA593" s="91"/>
      <c r="AB593" s="69"/>
      <c r="AC593" s="91"/>
      <c r="AD593" s="91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1"/>
      <c r="P594" s="69"/>
      <c r="Q594" s="91"/>
      <c r="R594" s="91"/>
      <c r="S594" s="60"/>
      <c r="T594" s="62"/>
      <c r="U594" s="62"/>
      <c r="V594" s="62"/>
      <c r="W594" s="61"/>
      <c r="X594" s="62"/>
      <c r="Y594" s="62"/>
      <c r="Z594" s="66"/>
      <c r="AA594" s="91"/>
      <c r="AB594" s="69"/>
      <c r="AC594" s="91"/>
      <c r="AD594" s="91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1"/>
      <c r="P595" s="69"/>
      <c r="Q595" s="91"/>
      <c r="R595" s="91"/>
      <c r="S595" s="60"/>
      <c r="T595" s="62"/>
      <c r="U595" s="62"/>
      <c r="V595" s="62"/>
      <c r="W595" s="61"/>
      <c r="X595" s="62"/>
      <c r="Y595" s="62"/>
      <c r="Z595" s="66"/>
      <c r="AA595" s="91"/>
      <c r="AB595" s="69"/>
      <c r="AC595" s="91"/>
      <c r="AD595" s="91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62"/>
      <c r="P596" s="69"/>
      <c r="Q596" s="91"/>
      <c r="R596" s="91"/>
      <c r="S596" s="60"/>
      <c r="T596" s="62"/>
      <c r="U596" s="62"/>
      <c r="V596" s="62"/>
      <c r="W596" s="61"/>
      <c r="X596" s="62"/>
      <c r="Y596" s="62"/>
      <c r="Z596" s="66"/>
      <c r="AA596" s="91"/>
      <c r="AB596" s="69"/>
      <c r="AC596" s="91"/>
      <c r="AD596" s="91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1"/>
      <c r="P597" s="69"/>
      <c r="Q597" s="91"/>
      <c r="R597" s="91"/>
      <c r="S597" s="60"/>
      <c r="T597" s="62"/>
      <c r="U597" s="62"/>
      <c r="V597" s="62"/>
      <c r="W597" s="61"/>
      <c r="X597" s="62"/>
      <c r="Y597" s="62"/>
      <c r="Z597" s="66"/>
      <c r="AA597" s="91"/>
      <c r="AB597" s="69"/>
      <c r="AC597" s="91"/>
      <c r="AD597" s="91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1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91"/>
      <c r="P598" s="69"/>
      <c r="Q598" s="91"/>
      <c r="R598" s="91"/>
      <c r="S598" s="60"/>
      <c r="T598" s="62"/>
      <c r="U598" s="62"/>
      <c r="V598" s="62"/>
      <c r="W598" s="61"/>
      <c r="X598" s="62"/>
      <c r="Y598" s="62"/>
      <c r="Z598" s="66"/>
      <c r="AA598" s="91"/>
      <c r="AB598" s="69"/>
      <c r="AC598" s="91"/>
      <c r="AD598" s="91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1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1"/>
      <c r="P599" s="69"/>
      <c r="Q599" s="91"/>
      <c r="R599" s="91"/>
      <c r="S599" s="60"/>
      <c r="T599" s="62"/>
      <c r="U599" s="62"/>
      <c r="V599" s="62"/>
      <c r="W599" s="61"/>
      <c r="X599" s="62"/>
      <c r="Y599" s="62"/>
      <c r="Z599" s="66"/>
      <c r="AA599" s="91"/>
      <c r="AB599" s="69"/>
      <c r="AC599" s="91"/>
      <c r="AD599" s="91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1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1"/>
      <c r="P600" s="69"/>
      <c r="Q600" s="91"/>
      <c r="R600" s="91"/>
      <c r="S600" s="60"/>
      <c r="T600" s="62"/>
      <c r="U600" s="62"/>
      <c r="V600" s="62"/>
      <c r="W600" s="61"/>
      <c r="X600" s="62"/>
      <c r="Y600" s="62"/>
      <c r="Z600" s="66"/>
      <c r="AA600" s="91"/>
      <c r="AB600" s="69"/>
      <c r="AC600" s="91"/>
      <c r="AD600" s="91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1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1"/>
      <c r="R601" s="91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1"/>
      <c r="AD601" s="91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1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1"/>
      <c r="P602" s="69"/>
      <c r="Q602" s="91"/>
      <c r="R602" s="91"/>
      <c r="S602" s="60"/>
      <c r="T602" s="62"/>
      <c r="U602" s="62"/>
      <c r="V602" s="62"/>
      <c r="W602" s="61"/>
      <c r="X602" s="62"/>
      <c r="Y602" s="62"/>
      <c r="Z602" s="66"/>
      <c r="AA602" s="91"/>
      <c r="AB602" s="69"/>
      <c r="AC602" s="91"/>
      <c r="AD602" s="91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1"/>
      <c r="O603" s="91"/>
      <c r="P603" s="91"/>
      <c r="Q603" s="91"/>
      <c r="R603" s="91"/>
      <c r="S603" s="91"/>
      <c r="T603" s="62"/>
      <c r="U603" s="62"/>
      <c r="V603" s="62"/>
      <c r="W603" s="61"/>
      <c r="X603" s="62"/>
      <c r="Y603" s="62"/>
      <c r="Z603" s="91"/>
      <c r="AA603" s="91"/>
      <c r="AB603" s="91"/>
      <c r="AC603" s="91"/>
      <c r="AD603" s="91"/>
      <c r="AE603" s="91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1"/>
      <c r="C604" s="91"/>
      <c r="D604" s="91"/>
      <c r="E604" s="91"/>
      <c r="F604" s="91"/>
      <c r="G604" s="91"/>
      <c r="H604" s="62"/>
      <c r="I604" s="62"/>
      <c r="J604" s="62"/>
      <c r="K604" s="62"/>
      <c r="L604" s="62"/>
      <c r="M604" s="62"/>
      <c r="N604" s="91"/>
      <c r="O604" s="91"/>
      <c r="P604" s="91"/>
      <c r="Q604" s="91"/>
      <c r="R604" s="91"/>
      <c r="S604" s="91"/>
      <c r="T604" s="62"/>
      <c r="U604" s="62"/>
      <c r="V604" s="62"/>
      <c r="W604" s="62"/>
      <c r="X604" s="62"/>
      <c r="Y604" s="62"/>
      <c r="Z604" s="91"/>
      <c r="AA604" s="91"/>
      <c r="AB604" s="91"/>
      <c r="AC604" s="91"/>
      <c r="AD604" s="91"/>
      <c r="AE604" s="91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1"/>
      <c r="C605" s="91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1"/>
      <c r="O605" s="91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1"/>
      <c r="AA605" s="91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L607" s="62"/>
      <c r="M607" s="62"/>
      <c r="N607" s="91"/>
      <c r="O607" s="91"/>
      <c r="P607" s="91"/>
      <c r="Q607" s="91"/>
      <c r="R607" s="91"/>
      <c r="S607" s="91"/>
      <c r="T607" s="62"/>
      <c r="U607" s="62"/>
      <c r="V607" s="62"/>
      <c r="W607" s="62"/>
      <c r="X607" s="62"/>
      <c r="Y607" s="62"/>
      <c r="Z607" s="91"/>
      <c r="AA607" s="91"/>
      <c r="AB607" s="91"/>
      <c r="AC607" s="91"/>
      <c r="AD607" s="91"/>
      <c r="AE607" s="91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L608" s="62"/>
      <c r="M608" s="62"/>
      <c r="N608" s="91"/>
      <c r="O608" s="91"/>
      <c r="P608" s="91"/>
      <c r="Q608" s="91"/>
      <c r="R608" s="91"/>
      <c r="S608" s="91"/>
      <c r="T608" s="62"/>
      <c r="U608" s="62"/>
      <c r="V608" s="62"/>
      <c r="W608" s="62"/>
      <c r="X608" s="62"/>
      <c r="Y608" s="62"/>
      <c r="Z608" s="91"/>
      <c r="AA608" s="91"/>
      <c r="AB608" s="91"/>
      <c r="AC608" s="91"/>
      <c r="AD608" s="91"/>
      <c r="AE608" s="91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L609" s="62"/>
      <c r="M609" s="62"/>
      <c r="N609" s="91"/>
      <c r="O609" s="91"/>
      <c r="P609" s="91"/>
      <c r="Q609" s="91"/>
      <c r="R609" s="91"/>
      <c r="S609" s="91"/>
      <c r="T609" s="62"/>
      <c r="U609" s="62"/>
      <c r="V609" s="62"/>
      <c r="W609" s="62"/>
      <c r="X609" s="62"/>
      <c r="Y609" s="62"/>
      <c r="Z609" s="91"/>
      <c r="AA609" s="91"/>
      <c r="AB609" s="91"/>
      <c r="AC609" s="91"/>
      <c r="AD609" s="91"/>
      <c r="AE609" s="91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L610" s="62"/>
      <c r="M610" s="63"/>
      <c r="N610" s="91"/>
      <c r="O610" s="91"/>
      <c r="P610" s="91"/>
      <c r="Q610" s="91"/>
      <c r="R610" s="91"/>
      <c r="S610" s="91"/>
      <c r="T610" s="62"/>
      <c r="U610" s="62"/>
      <c r="V610" s="62"/>
      <c r="W610" s="62"/>
      <c r="X610" s="62"/>
      <c r="Y610" s="63"/>
      <c r="Z610" s="91"/>
      <c r="AA610" s="91"/>
      <c r="AB610" s="91"/>
      <c r="AC610" s="91"/>
      <c r="AD610" s="91"/>
      <c r="AE610" s="91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L611" s="62"/>
      <c r="M611" s="62"/>
      <c r="N611" s="91"/>
      <c r="O611" s="91"/>
      <c r="P611" s="91"/>
      <c r="Q611" s="91"/>
      <c r="R611" s="91"/>
      <c r="S611" s="91"/>
      <c r="T611" s="62"/>
      <c r="U611" s="62"/>
      <c r="V611" s="62"/>
      <c r="W611" s="62"/>
      <c r="X611" s="62"/>
      <c r="Y611" s="62"/>
      <c r="Z611" s="91"/>
      <c r="AA611" s="91"/>
      <c r="AB611" s="91"/>
      <c r="AC611" s="91"/>
      <c r="AD611" s="91"/>
      <c r="AE611" s="91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L612" s="62"/>
      <c r="M612" s="62"/>
      <c r="N612" s="91"/>
      <c r="O612" s="91"/>
      <c r="P612" s="91"/>
      <c r="Q612" s="91"/>
      <c r="R612" s="91"/>
      <c r="S612" s="91"/>
      <c r="T612" s="62"/>
      <c r="U612" s="91"/>
      <c r="V612" s="73"/>
      <c r="W612" s="62"/>
      <c r="X612" s="62"/>
      <c r="Y612" s="62"/>
      <c r="Z612" s="91"/>
      <c r="AA612" s="91"/>
      <c r="AB612" s="91"/>
      <c r="AC612" s="91"/>
      <c r="AD612" s="91"/>
      <c r="AE612" s="91"/>
      <c r="AF612" s="62"/>
      <c r="AG612" s="91"/>
      <c r="AH612" s="91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L613" s="62"/>
      <c r="M613" s="64"/>
      <c r="N613" s="91"/>
      <c r="O613" s="91"/>
      <c r="P613" s="91"/>
      <c r="Q613" s="91"/>
      <c r="R613" s="91"/>
      <c r="S613" s="91"/>
      <c r="T613" s="62"/>
      <c r="U613" s="65"/>
      <c r="V613" s="65"/>
      <c r="W613" s="62"/>
      <c r="X613" s="62"/>
      <c r="Y613" s="64"/>
      <c r="Z613" s="91"/>
      <c r="AA613" s="91"/>
      <c r="AB613" s="91"/>
      <c r="AC613" s="91"/>
      <c r="AD613" s="91"/>
      <c r="AE613" s="91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L614" s="62"/>
      <c r="M614" s="62"/>
      <c r="N614" s="91"/>
      <c r="O614" s="91"/>
      <c r="P614" s="91"/>
      <c r="Q614" s="91"/>
      <c r="R614" s="91"/>
      <c r="S614" s="91"/>
      <c r="T614" s="62"/>
      <c r="U614" s="62"/>
      <c r="V614" s="62"/>
      <c r="W614" s="62"/>
      <c r="X614" s="62"/>
      <c r="Y614" s="62"/>
      <c r="Z614" s="91"/>
      <c r="AA614" s="91"/>
      <c r="AB614" s="91"/>
      <c r="AC614" s="91"/>
      <c r="AD614" s="91"/>
      <c r="AE614" s="91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09"/>
      <c r="E615" s="109"/>
      <c r="F615" s="91"/>
      <c r="G615" s="91"/>
      <c r="H615" s="62"/>
      <c r="I615" s="109"/>
      <c r="J615" s="109"/>
      <c r="K615" s="108"/>
      <c r="L615" s="62"/>
      <c r="M615" s="62"/>
      <c r="N615" s="65"/>
      <c r="O615" s="91"/>
      <c r="P615" s="109"/>
      <c r="Q615" s="109"/>
      <c r="R615" s="91"/>
      <c r="S615" s="91"/>
      <c r="T615" s="62"/>
      <c r="U615" s="109"/>
      <c r="V615" s="109"/>
      <c r="W615" s="108"/>
      <c r="X615" s="62"/>
      <c r="Y615" s="62"/>
      <c r="Z615" s="65"/>
      <c r="AA615" s="91"/>
      <c r="AB615" s="109"/>
      <c r="AC615" s="109"/>
      <c r="AD615" s="91"/>
      <c r="AE615" s="91"/>
      <c r="AF615" s="62"/>
      <c r="AG615" s="109"/>
      <c r="AH615" s="109"/>
      <c r="AI615" s="108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08"/>
      <c r="L616" s="62"/>
      <c r="M616" s="62"/>
      <c r="N616" s="91"/>
      <c r="O616" s="91"/>
      <c r="P616" s="79"/>
      <c r="Q616" s="81"/>
      <c r="R616" s="81"/>
      <c r="S616" s="81"/>
      <c r="T616" s="62"/>
      <c r="U616" s="90"/>
      <c r="V616" s="90"/>
      <c r="W616" s="108"/>
      <c r="X616" s="62"/>
      <c r="Y616" s="62"/>
      <c r="Z616" s="91"/>
      <c r="AA616" s="91"/>
      <c r="AB616" s="79"/>
      <c r="AC616" s="81"/>
      <c r="AD616" s="81"/>
      <c r="AE616" s="81"/>
      <c r="AF616" s="62"/>
      <c r="AG616" s="90"/>
      <c r="AH616" s="90"/>
      <c r="AI616" s="108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1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1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1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1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1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1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1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1"/>
      <c r="AB620" s="60"/>
      <c r="AC620" s="60"/>
      <c r="AD620" s="60"/>
      <c r="AE620" s="60"/>
      <c r="AF620" s="61"/>
      <c r="AG620" s="61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1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1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1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65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1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1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65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1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62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1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1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1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1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91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1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1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1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1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1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1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1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1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1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1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1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1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1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1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1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1"/>
      <c r="P637" s="67"/>
      <c r="Q637" s="91"/>
      <c r="R637" s="91"/>
      <c r="S637" s="60"/>
      <c r="T637" s="62"/>
      <c r="U637" s="62"/>
      <c r="V637" s="62"/>
      <c r="W637" s="61"/>
      <c r="X637" s="62"/>
      <c r="Y637" s="62"/>
      <c r="Z637" s="66"/>
      <c r="AA637" s="91"/>
      <c r="AB637" s="67"/>
      <c r="AC637" s="91"/>
      <c r="AD637" s="91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1"/>
      <c r="P638" s="68"/>
      <c r="Q638" s="91"/>
      <c r="R638" s="91"/>
      <c r="S638" s="60"/>
      <c r="T638" s="62"/>
      <c r="U638" s="62"/>
      <c r="V638" s="62"/>
      <c r="W638" s="61"/>
      <c r="X638" s="62"/>
      <c r="Y638" s="62"/>
      <c r="Z638" s="66"/>
      <c r="AA638" s="91"/>
      <c r="AB638" s="68"/>
      <c r="AC638" s="91"/>
      <c r="AD638" s="91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1"/>
      <c r="P639" s="69"/>
      <c r="Q639" s="91"/>
      <c r="R639" s="62"/>
      <c r="S639" s="60"/>
      <c r="T639" s="62"/>
      <c r="U639" s="62"/>
      <c r="V639" s="62"/>
      <c r="W639" s="61"/>
      <c r="X639" s="62"/>
      <c r="Y639" s="62"/>
      <c r="Z639" s="66"/>
      <c r="AA639" s="91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1"/>
      <c r="P640" s="69"/>
      <c r="Q640" s="91"/>
      <c r="R640" s="91"/>
      <c r="S640" s="60"/>
      <c r="T640" s="62"/>
      <c r="U640" s="62"/>
      <c r="V640" s="62"/>
      <c r="W640" s="61"/>
      <c r="X640" s="62"/>
      <c r="Y640" s="62"/>
      <c r="Z640" s="66"/>
      <c r="AA640" s="91"/>
      <c r="AB640" s="69"/>
      <c r="AC640" s="91"/>
      <c r="AD640" s="91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1"/>
      <c r="P641" s="69"/>
      <c r="Q641" s="91"/>
      <c r="R641" s="91"/>
      <c r="S641" s="60"/>
      <c r="T641" s="62"/>
      <c r="U641" s="62"/>
      <c r="V641" s="62"/>
      <c r="W641" s="61"/>
      <c r="X641" s="62"/>
      <c r="Y641" s="62"/>
      <c r="Z641" s="66"/>
      <c r="AA641" s="91"/>
      <c r="AB641" s="69"/>
      <c r="AC641" s="91"/>
      <c r="AD641" s="91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1"/>
      <c r="P642" s="69"/>
      <c r="Q642" s="91"/>
      <c r="R642" s="91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1"/>
      <c r="AD642" s="91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1"/>
      <c r="P643" s="69"/>
      <c r="Q643" s="91"/>
      <c r="R643" s="91"/>
      <c r="S643" s="60"/>
      <c r="T643" s="62"/>
      <c r="U643" s="62"/>
      <c r="V643" s="62"/>
      <c r="W643" s="61"/>
      <c r="X643" s="62"/>
      <c r="Y643" s="62"/>
      <c r="Z643" s="66"/>
      <c r="AA643" s="91"/>
      <c r="AB643" s="69"/>
      <c r="AC643" s="91"/>
      <c r="AD643" s="91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1"/>
      <c r="P644" s="69"/>
      <c r="Q644" s="91"/>
      <c r="R644" s="91"/>
      <c r="S644" s="60"/>
      <c r="T644" s="62"/>
      <c r="U644" s="62"/>
      <c r="V644" s="62"/>
      <c r="W644" s="61"/>
      <c r="X644" s="62"/>
      <c r="Y644" s="62"/>
      <c r="Z644" s="66"/>
      <c r="AA644" s="91"/>
      <c r="AB644" s="69"/>
      <c r="AC644" s="91"/>
      <c r="AD644" s="91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1"/>
      <c r="P645" s="69"/>
      <c r="Q645" s="91"/>
      <c r="R645" s="91"/>
      <c r="S645" s="60"/>
      <c r="T645" s="62"/>
      <c r="U645" s="62"/>
      <c r="V645" s="62"/>
      <c r="W645" s="61"/>
      <c r="X645" s="62"/>
      <c r="Y645" s="62"/>
      <c r="Z645" s="66"/>
      <c r="AA645" s="91"/>
      <c r="AB645" s="69"/>
      <c r="AC645" s="91"/>
      <c r="AD645" s="91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1"/>
      <c r="P646" s="69"/>
      <c r="Q646" s="91"/>
      <c r="R646" s="91"/>
      <c r="S646" s="60"/>
      <c r="T646" s="62"/>
      <c r="U646" s="62"/>
      <c r="V646" s="62"/>
      <c r="W646" s="61"/>
      <c r="X646" s="62"/>
      <c r="Y646" s="62"/>
      <c r="Z646" s="66"/>
      <c r="AA646" s="91"/>
      <c r="AB646" s="69"/>
      <c r="AC646" s="91"/>
      <c r="AD646" s="91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1"/>
      <c r="P647" s="69"/>
      <c r="Q647" s="91"/>
      <c r="R647" s="91"/>
      <c r="S647" s="60"/>
      <c r="T647" s="62"/>
      <c r="U647" s="62"/>
      <c r="V647" s="62"/>
      <c r="W647" s="61"/>
      <c r="X647" s="62"/>
      <c r="Y647" s="62"/>
      <c r="Z647" s="66"/>
      <c r="AA647" s="91"/>
      <c r="AB647" s="69"/>
      <c r="AC647" s="91"/>
      <c r="AD647" s="91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1"/>
      <c r="P648" s="69"/>
      <c r="Q648" s="91"/>
      <c r="R648" s="91"/>
      <c r="S648" s="60"/>
      <c r="T648" s="62"/>
      <c r="U648" s="62"/>
      <c r="V648" s="62"/>
      <c r="W648" s="61"/>
      <c r="X648" s="62"/>
      <c r="Y648" s="62"/>
      <c r="Z648" s="66"/>
      <c r="AA648" s="91"/>
      <c r="AB648" s="69"/>
      <c r="AC648" s="91"/>
      <c r="AD648" s="91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1"/>
      <c r="P649" s="69"/>
      <c r="Q649" s="91"/>
      <c r="R649" s="91"/>
      <c r="S649" s="60"/>
      <c r="T649" s="62"/>
      <c r="U649" s="62"/>
      <c r="V649" s="62"/>
      <c r="W649" s="61"/>
      <c r="X649" s="62"/>
      <c r="Y649" s="62"/>
      <c r="Z649" s="66"/>
      <c r="AA649" s="91"/>
      <c r="AB649" s="69"/>
      <c r="AC649" s="91"/>
      <c r="AD649" s="91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1"/>
      <c r="P650" s="69"/>
      <c r="Q650" s="91"/>
      <c r="R650" s="91"/>
      <c r="S650" s="60"/>
      <c r="T650" s="62"/>
      <c r="U650" s="62"/>
      <c r="V650" s="62"/>
      <c r="W650" s="61"/>
      <c r="X650" s="62"/>
      <c r="Y650" s="62"/>
      <c r="Z650" s="66"/>
      <c r="AA650" s="91"/>
      <c r="AB650" s="69"/>
      <c r="AC650" s="91"/>
      <c r="AD650" s="91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62"/>
      <c r="P651" s="69"/>
      <c r="Q651" s="91"/>
      <c r="R651" s="91"/>
      <c r="S651" s="60"/>
      <c r="T651" s="62"/>
      <c r="U651" s="62"/>
      <c r="V651" s="62"/>
      <c r="W651" s="61"/>
      <c r="X651" s="62"/>
      <c r="Y651" s="62"/>
      <c r="Z651" s="66"/>
      <c r="AA651" s="91"/>
      <c r="AB651" s="69"/>
      <c r="AC651" s="91"/>
      <c r="AD651" s="91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1"/>
      <c r="P652" s="69"/>
      <c r="Q652" s="91"/>
      <c r="R652" s="91"/>
      <c r="S652" s="60"/>
      <c r="T652" s="62"/>
      <c r="U652" s="62"/>
      <c r="V652" s="62"/>
      <c r="W652" s="61"/>
      <c r="X652" s="62"/>
      <c r="Y652" s="62"/>
      <c r="Z652" s="66"/>
      <c r="AA652" s="91"/>
      <c r="AB652" s="69"/>
      <c r="AC652" s="91"/>
      <c r="AD652" s="91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91"/>
      <c r="P653" s="69"/>
      <c r="Q653" s="91"/>
      <c r="R653" s="91"/>
      <c r="S653" s="60"/>
      <c r="T653" s="62"/>
      <c r="U653" s="62"/>
      <c r="V653" s="62"/>
      <c r="W653" s="61"/>
      <c r="X653" s="62"/>
      <c r="Y653" s="62"/>
      <c r="Z653" s="66"/>
      <c r="AA653" s="91"/>
      <c r="AB653" s="69"/>
      <c r="AC653" s="91"/>
      <c r="AD653" s="91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1"/>
      <c r="P654" s="69"/>
      <c r="Q654" s="91"/>
      <c r="R654" s="91"/>
      <c r="S654" s="60"/>
      <c r="T654" s="62"/>
      <c r="U654" s="62"/>
      <c r="V654" s="62"/>
      <c r="W654" s="61"/>
      <c r="X654" s="62"/>
      <c r="Y654" s="62"/>
      <c r="Z654" s="66"/>
      <c r="AA654" s="91"/>
      <c r="AB654" s="69"/>
      <c r="AC654" s="91"/>
      <c r="AD654" s="91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1"/>
      <c r="P655" s="69"/>
      <c r="Q655" s="91"/>
      <c r="R655" s="91"/>
      <c r="S655" s="60"/>
      <c r="T655" s="62"/>
      <c r="U655" s="62"/>
      <c r="V655" s="62"/>
      <c r="W655" s="61"/>
      <c r="X655" s="62"/>
      <c r="Y655" s="62"/>
      <c r="Z655" s="66"/>
      <c r="AA655" s="91"/>
      <c r="AB655" s="69"/>
      <c r="AC655" s="91"/>
      <c r="AD655" s="91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1"/>
      <c r="R656" s="91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1"/>
      <c r="AD656" s="91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1"/>
      <c r="P657" s="69"/>
      <c r="Q657" s="91"/>
      <c r="R657" s="91"/>
      <c r="S657" s="60"/>
      <c r="T657" s="62"/>
      <c r="U657" s="62"/>
      <c r="V657" s="62"/>
      <c r="W657" s="61"/>
      <c r="X657" s="62"/>
      <c r="Y657" s="62"/>
      <c r="Z657" s="66"/>
      <c r="AA657" s="91"/>
      <c r="AB657" s="69"/>
      <c r="AC657" s="91"/>
      <c r="AD657" s="91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1"/>
      <c r="O658" s="91"/>
      <c r="P658" s="91"/>
      <c r="Q658" s="91"/>
      <c r="R658" s="91"/>
      <c r="S658" s="91"/>
      <c r="T658" s="62"/>
      <c r="U658" s="62"/>
      <c r="V658" s="62"/>
      <c r="W658" s="61"/>
      <c r="X658" s="62"/>
      <c r="Y658" s="62"/>
      <c r="Z658" s="91"/>
      <c r="AA658" s="91"/>
      <c r="AB658" s="91"/>
      <c r="AC658" s="91"/>
      <c r="AD658" s="91"/>
      <c r="AE658" s="91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L659" s="62"/>
      <c r="M659" s="62"/>
      <c r="N659" s="91"/>
      <c r="O659" s="91"/>
      <c r="P659" s="91"/>
      <c r="Q659" s="91"/>
      <c r="R659" s="91"/>
      <c r="S659" s="91"/>
      <c r="T659" s="62"/>
      <c r="U659" s="62"/>
      <c r="V659" s="62"/>
      <c r="W659" s="62"/>
      <c r="X659" s="62"/>
      <c r="Y659" s="62"/>
      <c r="Z659" s="91"/>
      <c r="AA659" s="91"/>
      <c r="AB659" s="91"/>
      <c r="AC659" s="91"/>
      <c r="AD659" s="91"/>
      <c r="AE659" s="91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1"/>
      <c r="O660" s="91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1"/>
      <c r="AA660" s="91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1"/>
      <c r="C662" s="91"/>
      <c r="D662" s="91"/>
      <c r="E662" s="91"/>
      <c r="F662" s="91"/>
      <c r="G662" s="91"/>
      <c r="H662" s="62"/>
      <c r="I662" s="62"/>
      <c r="J662" s="62"/>
      <c r="K662" s="62"/>
      <c r="L662" s="62"/>
      <c r="M662" s="62"/>
      <c r="N662" s="91"/>
      <c r="O662" s="91"/>
      <c r="P662" s="91"/>
      <c r="Q662" s="91"/>
      <c r="R662" s="91"/>
      <c r="S662" s="91"/>
      <c r="T662" s="62"/>
      <c r="U662" s="62"/>
      <c r="V662" s="62"/>
      <c r="W662" s="62"/>
      <c r="X662" s="62"/>
      <c r="Y662" s="62"/>
      <c r="Z662" s="91"/>
      <c r="AA662" s="91"/>
      <c r="AB662" s="91"/>
      <c r="AC662" s="91"/>
      <c r="AD662" s="91"/>
      <c r="AE662" s="91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1"/>
      <c r="C663" s="91"/>
      <c r="D663" s="91"/>
      <c r="E663" s="91"/>
      <c r="F663" s="91"/>
      <c r="G663" s="91"/>
      <c r="H663" s="62"/>
      <c r="I663" s="62"/>
      <c r="J663" s="62"/>
      <c r="K663" s="62"/>
      <c r="L663" s="62"/>
      <c r="M663" s="62"/>
      <c r="N663" s="91"/>
      <c r="O663" s="91"/>
      <c r="P663" s="91"/>
      <c r="Q663" s="91"/>
      <c r="R663" s="91"/>
      <c r="S663" s="91"/>
      <c r="T663" s="62"/>
      <c r="U663" s="62"/>
      <c r="V663" s="62"/>
      <c r="W663" s="62"/>
      <c r="X663" s="62"/>
      <c r="Y663" s="62"/>
      <c r="Z663" s="91"/>
      <c r="AA663" s="91"/>
      <c r="AB663" s="91"/>
      <c r="AC663" s="91"/>
      <c r="AD663" s="91"/>
      <c r="AE663" s="91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1"/>
      <c r="C664" s="91"/>
      <c r="D664" s="91"/>
      <c r="E664" s="91"/>
      <c r="F664" s="91"/>
      <c r="G664" s="91"/>
      <c r="H664" s="62"/>
      <c r="I664" s="62"/>
      <c r="J664" s="62"/>
      <c r="K664" s="62"/>
      <c r="L664" s="62"/>
      <c r="M664" s="62"/>
      <c r="N664" s="91"/>
      <c r="O664" s="91"/>
      <c r="P664" s="91"/>
      <c r="Q664" s="91"/>
      <c r="R664" s="91"/>
      <c r="S664" s="91"/>
      <c r="T664" s="62"/>
      <c r="U664" s="62"/>
      <c r="V664" s="62"/>
      <c r="W664" s="62"/>
      <c r="X664" s="62"/>
      <c r="Y664" s="62"/>
      <c r="Z664" s="91"/>
      <c r="AA664" s="91"/>
      <c r="AB664" s="91"/>
      <c r="AC664" s="91"/>
      <c r="AD664" s="91"/>
      <c r="AE664" s="91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1"/>
      <c r="C665" s="91"/>
      <c r="D665" s="91"/>
      <c r="E665" s="91"/>
      <c r="F665" s="91"/>
      <c r="G665" s="91"/>
      <c r="H665" s="62"/>
      <c r="I665" s="62"/>
      <c r="J665" s="62"/>
      <c r="K665" s="62"/>
      <c r="L665" s="62"/>
      <c r="M665" s="63"/>
      <c r="N665" s="91"/>
      <c r="O665" s="91"/>
      <c r="P665" s="91"/>
      <c r="Q665" s="91"/>
      <c r="R665" s="91"/>
      <c r="S665" s="91"/>
      <c r="T665" s="62"/>
      <c r="U665" s="62"/>
      <c r="V665" s="62"/>
      <c r="W665" s="62"/>
      <c r="X665" s="62"/>
      <c r="Y665" s="63"/>
      <c r="Z665" s="91"/>
      <c r="AA665" s="91"/>
      <c r="AB665" s="91"/>
      <c r="AC665" s="91"/>
      <c r="AD665" s="91"/>
      <c r="AE665" s="91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1"/>
      <c r="C666" s="91"/>
      <c r="D666" s="91"/>
      <c r="E666" s="91"/>
      <c r="F666" s="91"/>
      <c r="G666" s="91"/>
      <c r="H666" s="62"/>
      <c r="I666" s="62"/>
      <c r="J666" s="62"/>
      <c r="K666" s="62"/>
      <c r="L666" s="62"/>
      <c r="M666" s="62"/>
      <c r="N666" s="91"/>
      <c r="O666" s="91"/>
      <c r="P666" s="91"/>
      <c r="Q666" s="91"/>
      <c r="R666" s="91"/>
      <c r="S666" s="91"/>
      <c r="T666" s="62"/>
      <c r="U666" s="62"/>
      <c r="V666" s="62"/>
      <c r="W666" s="62"/>
      <c r="X666" s="62"/>
      <c r="Y666" s="62"/>
      <c r="Z666" s="91"/>
      <c r="AA666" s="91"/>
      <c r="AB666" s="91"/>
      <c r="AC666" s="91"/>
      <c r="AD666" s="91"/>
      <c r="AE666" s="91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1"/>
      <c r="C667" s="91"/>
      <c r="D667" s="91"/>
      <c r="E667" s="91"/>
      <c r="F667" s="91"/>
      <c r="G667" s="91"/>
      <c r="H667" s="62"/>
      <c r="I667" s="91"/>
      <c r="J667" s="73"/>
      <c r="K667" s="62"/>
      <c r="L667" s="62"/>
      <c r="M667" s="62"/>
      <c r="N667" s="91"/>
      <c r="O667" s="91"/>
      <c r="P667" s="91"/>
      <c r="Q667" s="91"/>
      <c r="R667" s="91"/>
      <c r="S667" s="91"/>
      <c r="T667" s="62"/>
      <c r="U667" s="91"/>
      <c r="V667" s="73"/>
      <c r="W667" s="62"/>
      <c r="X667" s="62"/>
      <c r="Y667" s="62"/>
      <c r="Z667" s="91"/>
      <c r="AA667" s="91"/>
      <c r="AB667" s="91"/>
      <c r="AC667" s="91"/>
      <c r="AD667" s="91"/>
      <c r="AE667" s="91"/>
      <c r="AF667" s="62"/>
      <c r="AG667" s="91"/>
      <c r="AH667" s="91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1"/>
      <c r="C668" s="91"/>
      <c r="D668" s="91"/>
      <c r="E668" s="91"/>
      <c r="F668" s="91"/>
      <c r="G668" s="91"/>
      <c r="H668" s="62"/>
      <c r="I668" s="65"/>
      <c r="J668" s="65"/>
      <c r="K668" s="62"/>
      <c r="L668" s="62"/>
      <c r="M668" s="64"/>
      <c r="N668" s="91"/>
      <c r="O668" s="91"/>
      <c r="P668" s="91"/>
      <c r="Q668" s="91"/>
      <c r="R668" s="91"/>
      <c r="S668" s="91"/>
      <c r="T668" s="62"/>
      <c r="U668" s="65"/>
      <c r="V668" s="65"/>
      <c r="W668" s="62"/>
      <c r="X668" s="62"/>
      <c r="Y668" s="64"/>
      <c r="Z668" s="91"/>
      <c r="AA668" s="91"/>
      <c r="AB668" s="91"/>
      <c r="AC668" s="91"/>
      <c r="AD668" s="91"/>
      <c r="AE668" s="91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1"/>
      <c r="C669" s="91"/>
      <c r="D669" s="91"/>
      <c r="E669" s="91"/>
      <c r="F669" s="91"/>
      <c r="G669" s="91"/>
      <c r="H669" s="62"/>
      <c r="I669" s="62"/>
      <c r="J669" s="62"/>
      <c r="K669" s="62"/>
      <c r="L669" s="62"/>
      <c r="M669" s="62"/>
      <c r="N669" s="91"/>
      <c r="O669" s="91"/>
      <c r="P669" s="91"/>
      <c r="Q669" s="91"/>
      <c r="R669" s="91"/>
      <c r="S669" s="91"/>
      <c r="T669" s="62"/>
      <c r="U669" s="62"/>
      <c r="V669" s="62"/>
      <c r="W669" s="62"/>
      <c r="X669" s="62"/>
      <c r="Y669" s="62"/>
      <c r="Z669" s="91"/>
      <c r="AA669" s="91"/>
      <c r="AB669" s="91"/>
      <c r="AC669" s="91"/>
      <c r="AD669" s="91"/>
      <c r="AE669" s="91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1"/>
      <c r="D670" s="109"/>
      <c r="E670" s="109"/>
      <c r="F670" s="91"/>
      <c r="G670" s="91"/>
      <c r="H670" s="62"/>
      <c r="I670" s="109"/>
      <c r="J670" s="109"/>
      <c r="K670" s="108"/>
      <c r="L670" s="62"/>
      <c r="M670" s="62"/>
      <c r="N670" s="65"/>
      <c r="O670" s="91"/>
      <c r="P670" s="109"/>
      <c r="Q670" s="109"/>
      <c r="R670" s="91"/>
      <c r="S670" s="91"/>
      <c r="T670" s="62"/>
      <c r="U670" s="109"/>
      <c r="V670" s="109"/>
      <c r="W670" s="108"/>
      <c r="X670" s="62"/>
      <c r="Y670" s="62"/>
      <c r="Z670" s="65"/>
      <c r="AA670" s="91"/>
      <c r="AB670" s="109"/>
      <c r="AC670" s="109"/>
      <c r="AD670" s="91"/>
      <c r="AE670" s="91"/>
      <c r="AF670" s="62"/>
      <c r="AG670" s="109"/>
      <c r="AH670" s="109"/>
      <c r="AI670" s="108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1"/>
      <c r="C671" s="91"/>
      <c r="D671" s="79"/>
      <c r="E671" s="80"/>
      <c r="F671" s="81"/>
      <c r="G671" s="81"/>
      <c r="H671" s="62"/>
      <c r="I671" s="90"/>
      <c r="J671" s="90"/>
      <c r="K671" s="108"/>
      <c r="L671" s="62"/>
      <c r="M671" s="62"/>
      <c r="N671" s="91"/>
      <c r="O671" s="91"/>
      <c r="P671" s="79"/>
      <c r="Q671" s="81"/>
      <c r="R671" s="81"/>
      <c r="S671" s="81"/>
      <c r="T671" s="62"/>
      <c r="U671" s="90"/>
      <c r="V671" s="90"/>
      <c r="W671" s="108"/>
      <c r="X671" s="62"/>
      <c r="Y671" s="62"/>
      <c r="Z671" s="91"/>
      <c r="AA671" s="91"/>
      <c r="AB671" s="79"/>
      <c r="AC671" s="81"/>
      <c r="AD671" s="81"/>
      <c r="AE671" s="81"/>
      <c r="AF671" s="62"/>
      <c r="AG671" s="90"/>
      <c r="AH671" s="90"/>
      <c r="AI671" s="108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1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1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1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1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1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1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1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1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1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1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2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1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1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1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65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1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62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1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1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1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1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1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1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1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62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1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1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1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1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1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1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1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1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1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1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1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1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1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1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65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1"/>
      <c r="P692" s="67"/>
      <c r="Q692" s="91"/>
      <c r="R692" s="91"/>
      <c r="S692" s="60"/>
      <c r="T692" s="62"/>
      <c r="U692" s="62"/>
      <c r="V692" s="62"/>
      <c r="W692" s="61"/>
      <c r="X692" s="62"/>
      <c r="Y692" s="62"/>
      <c r="Z692" s="66"/>
      <c r="AA692" s="91"/>
      <c r="AB692" s="67"/>
      <c r="AC692" s="91"/>
      <c r="AD692" s="91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1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1"/>
      <c r="P693" s="68"/>
      <c r="Q693" s="91"/>
      <c r="R693" s="91"/>
      <c r="S693" s="60"/>
      <c r="T693" s="62"/>
      <c r="U693" s="62"/>
      <c r="V693" s="62"/>
      <c r="W693" s="61"/>
      <c r="X693" s="62"/>
      <c r="Y693" s="62"/>
      <c r="Z693" s="66"/>
      <c r="AA693" s="91"/>
      <c r="AB693" s="68"/>
      <c r="AC693" s="91"/>
      <c r="AD693" s="91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1"/>
      <c r="P694" s="69"/>
      <c r="Q694" s="91"/>
      <c r="R694" s="62"/>
      <c r="S694" s="60"/>
      <c r="T694" s="62"/>
      <c r="U694" s="62"/>
      <c r="V694" s="62"/>
      <c r="W694" s="61"/>
      <c r="X694" s="62"/>
      <c r="Y694" s="62"/>
      <c r="Z694" s="66"/>
      <c r="AA694" s="91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1"/>
      <c r="P695" s="69"/>
      <c r="Q695" s="91"/>
      <c r="R695" s="91"/>
      <c r="S695" s="60"/>
      <c r="T695" s="62"/>
      <c r="U695" s="62"/>
      <c r="V695" s="62"/>
      <c r="W695" s="61"/>
      <c r="X695" s="62"/>
      <c r="Y695" s="62"/>
      <c r="Z695" s="66"/>
      <c r="AA695" s="91"/>
      <c r="AB695" s="69"/>
      <c r="AC695" s="91"/>
      <c r="AD695" s="91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1"/>
      <c r="P696" s="69"/>
      <c r="Q696" s="91"/>
      <c r="R696" s="91"/>
      <c r="S696" s="60"/>
      <c r="T696" s="62"/>
      <c r="U696" s="62"/>
      <c r="V696" s="62"/>
      <c r="W696" s="61"/>
      <c r="X696" s="62"/>
      <c r="Y696" s="62"/>
      <c r="Z696" s="66"/>
      <c r="AA696" s="91"/>
      <c r="AB696" s="69"/>
      <c r="AC696" s="91"/>
      <c r="AD696" s="91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1"/>
      <c r="P697" s="69"/>
      <c r="Q697" s="91"/>
      <c r="R697" s="91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1"/>
      <c r="AD697" s="91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1"/>
      <c r="P698" s="69"/>
      <c r="Q698" s="91"/>
      <c r="R698" s="91"/>
      <c r="S698" s="60"/>
      <c r="T698" s="62"/>
      <c r="U698" s="62"/>
      <c r="V698" s="62"/>
      <c r="W698" s="61"/>
      <c r="X698" s="62"/>
      <c r="Y698" s="62"/>
      <c r="Z698" s="66"/>
      <c r="AA698" s="91"/>
      <c r="AB698" s="69"/>
      <c r="AC698" s="91"/>
      <c r="AD698" s="91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1"/>
      <c r="P699" s="69"/>
      <c r="Q699" s="91"/>
      <c r="R699" s="91"/>
      <c r="S699" s="60"/>
      <c r="T699" s="62"/>
      <c r="U699" s="62"/>
      <c r="V699" s="62"/>
      <c r="W699" s="61"/>
      <c r="X699" s="62"/>
      <c r="Y699" s="62"/>
      <c r="Z699" s="66"/>
      <c r="AA699" s="91"/>
      <c r="AB699" s="69"/>
      <c r="AC699" s="91"/>
      <c r="AD699" s="91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1"/>
      <c r="P700" s="69"/>
      <c r="Q700" s="91"/>
      <c r="R700" s="91"/>
      <c r="S700" s="60"/>
      <c r="T700" s="62"/>
      <c r="U700" s="62"/>
      <c r="V700" s="62"/>
      <c r="W700" s="61"/>
      <c r="X700" s="62"/>
      <c r="Y700" s="62"/>
      <c r="Z700" s="66"/>
      <c r="AA700" s="91"/>
      <c r="AB700" s="69"/>
      <c r="AC700" s="91"/>
      <c r="AD700" s="91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1"/>
      <c r="P701" s="69"/>
      <c r="Q701" s="91"/>
      <c r="R701" s="91"/>
      <c r="S701" s="60"/>
      <c r="T701" s="62"/>
      <c r="U701" s="62"/>
      <c r="V701" s="62"/>
      <c r="W701" s="61"/>
      <c r="X701" s="62"/>
      <c r="Y701" s="62"/>
      <c r="Z701" s="66"/>
      <c r="AA701" s="91"/>
      <c r="AB701" s="69"/>
      <c r="AC701" s="91"/>
      <c r="AD701" s="91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1"/>
      <c r="P702" s="69"/>
      <c r="Q702" s="91"/>
      <c r="R702" s="91"/>
      <c r="S702" s="60"/>
      <c r="T702" s="62"/>
      <c r="U702" s="62"/>
      <c r="V702" s="62"/>
      <c r="W702" s="61"/>
      <c r="X702" s="62"/>
      <c r="Y702" s="62"/>
      <c r="Z702" s="66"/>
      <c r="AA702" s="91"/>
      <c r="AB702" s="69"/>
      <c r="AC702" s="91"/>
      <c r="AD702" s="91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1"/>
      <c r="P703" s="69"/>
      <c r="Q703" s="91"/>
      <c r="R703" s="91"/>
      <c r="S703" s="60"/>
      <c r="T703" s="62"/>
      <c r="U703" s="62"/>
      <c r="V703" s="62"/>
      <c r="W703" s="61"/>
      <c r="X703" s="62"/>
      <c r="Y703" s="62"/>
      <c r="Z703" s="66"/>
      <c r="AA703" s="91"/>
      <c r="AB703" s="69"/>
      <c r="AC703" s="91"/>
      <c r="AD703" s="91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1"/>
      <c r="P704" s="69"/>
      <c r="Q704" s="91"/>
      <c r="R704" s="91"/>
      <c r="S704" s="60"/>
      <c r="T704" s="62"/>
      <c r="U704" s="62"/>
      <c r="V704" s="62"/>
      <c r="W704" s="61"/>
      <c r="X704" s="62"/>
      <c r="Y704" s="62"/>
      <c r="Z704" s="66"/>
      <c r="AA704" s="91"/>
      <c r="AB704" s="69"/>
      <c r="AC704" s="91"/>
      <c r="AD704" s="91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1"/>
      <c r="P705" s="69"/>
      <c r="Q705" s="91"/>
      <c r="R705" s="91"/>
      <c r="S705" s="60"/>
      <c r="T705" s="62"/>
      <c r="U705" s="62"/>
      <c r="V705" s="62"/>
      <c r="W705" s="61"/>
      <c r="X705" s="62"/>
      <c r="Y705" s="62"/>
      <c r="Z705" s="66"/>
      <c r="AA705" s="91"/>
      <c r="AB705" s="69"/>
      <c r="AC705" s="91"/>
      <c r="AD705" s="91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62"/>
      <c r="P706" s="69"/>
      <c r="Q706" s="91"/>
      <c r="R706" s="91"/>
      <c r="S706" s="60"/>
      <c r="T706" s="62"/>
      <c r="U706" s="62"/>
      <c r="V706" s="62"/>
      <c r="W706" s="61"/>
      <c r="X706" s="62"/>
      <c r="Y706" s="62"/>
      <c r="Z706" s="66"/>
      <c r="AA706" s="91"/>
      <c r="AB706" s="69"/>
      <c r="AC706" s="91"/>
      <c r="AD706" s="91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1"/>
      <c r="P707" s="69"/>
      <c r="Q707" s="91"/>
      <c r="R707" s="91"/>
      <c r="S707" s="60"/>
      <c r="T707" s="62"/>
      <c r="U707" s="62"/>
      <c r="V707" s="62"/>
      <c r="W707" s="61"/>
      <c r="X707" s="62"/>
      <c r="Y707" s="62"/>
      <c r="Z707" s="66"/>
      <c r="AA707" s="91"/>
      <c r="AB707" s="69"/>
      <c r="AC707" s="91"/>
      <c r="AD707" s="91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1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91"/>
      <c r="P708" s="69"/>
      <c r="Q708" s="91"/>
      <c r="R708" s="91"/>
      <c r="S708" s="60"/>
      <c r="T708" s="62"/>
      <c r="U708" s="62"/>
      <c r="V708" s="62"/>
      <c r="W708" s="61"/>
      <c r="X708" s="62"/>
      <c r="Y708" s="62"/>
      <c r="Z708" s="66"/>
      <c r="AA708" s="91"/>
      <c r="AB708" s="69"/>
      <c r="AC708" s="91"/>
      <c r="AD708" s="91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1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1"/>
      <c r="P709" s="69"/>
      <c r="Q709" s="91"/>
      <c r="R709" s="91"/>
      <c r="S709" s="60"/>
      <c r="T709" s="62"/>
      <c r="U709" s="62"/>
      <c r="V709" s="62"/>
      <c r="W709" s="61"/>
      <c r="X709" s="62"/>
      <c r="Y709" s="62"/>
      <c r="Z709" s="66"/>
      <c r="AA709" s="91"/>
      <c r="AB709" s="69"/>
      <c r="AC709" s="91"/>
      <c r="AD709" s="91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1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1"/>
      <c r="P710" s="69"/>
      <c r="Q710" s="91"/>
      <c r="R710" s="91"/>
      <c r="S710" s="60"/>
      <c r="T710" s="62"/>
      <c r="U710" s="62"/>
      <c r="V710" s="62"/>
      <c r="W710" s="61"/>
      <c r="X710" s="62"/>
      <c r="Y710" s="62"/>
      <c r="Z710" s="66"/>
      <c r="AA710" s="91"/>
      <c r="AB710" s="69"/>
      <c r="AC710" s="91"/>
      <c r="AD710" s="91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1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1"/>
      <c r="R711" s="91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1"/>
      <c r="AD711" s="91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1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1"/>
      <c r="P712" s="69"/>
      <c r="Q712" s="91"/>
      <c r="R712" s="91"/>
      <c r="S712" s="60"/>
      <c r="T712" s="62"/>
      <c r="U712" s="62"/>
      <c r="V712" s="62"/>
      <c r="W712" s="61"/>
      <c r="X712" s="62"/>
      <c r="Y712" s="62"/>
      <c r="Z712" s="66"/>
      <c r="AA712" s="91"/>
      <c r="AB712" s="69"/>
      <c r="AC712" s="91"/>
      <c r="AD712" s="91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1"/>
      <c r="O713" s="91"/>
      <c r="P713" s="91"/>
      <c r="Q713" s="91"/>
      <c r="R713" s="91"/>
      <c r="S713" s="91"/>
      <c r="T713" s="62"/>
      <c r="U713" s="62"/>
      <c r="V713" s="62"/>
      <c r="W713" s="61"/>
      <c r="X713" s="62"/>
      <c r="Y713" s="62"/>
      <c r="Z713" s="91"/>
      <c r="AA713" s="91"/>
      <c r="AB713" s="91"/>
      <c r="AC713" s="91"/>
      <c r="AD713" s="91"/>
      <c r="AE713" s="91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1"/>
      <c r="C714" s="91"/>
      <c r="D714" s="91"/>
      <c r="E714" s="91"/>
      <c r="F714" s="91"/>
      <c r="G714" s="91"/>
      <c r="H714" s="62"/>
      <c r="I714" s="62"/>
      <c r="J714" s="62"/>
      <c r="K714" s="62"/>
      <c r="L714" s="62"/>
      <c r="M714" s="62"/>
      <c r="N714" s="91"/>
      <c r="O714" s="91"/>
      <c r="P714" s="91"/>
      <c r="Q714" s="91"/>
      <c r="R714" s="91"/>
      <c r="S714" s="91"/>
      <c r="T714" s="62"/>
      <c r="U714" s="62"/>
      <c r="V714" s="62"/>
      <c r="W714" s="62"/>
      <c r="X714" s="62"/>
      <c r="Y714" s="62"/>
      <c r="Z714" s="91"/>
      <c r="AA714" s="91"/>
      <c r="AB714" s="91"/>
      <c r="AC714" s="91"/>
      <c r="AD714" s="91"/>
      <c r="AE714" s="91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1"/>
      <c r="C715" s="91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1"/>
      <c r="O715" s="91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1"/>
      <c r="AA715" s="91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1"/>
      <c r="C717" s="91"/>
      <c r="D717" s="91"/>
      <c r="E717" s="91"/>
      <c r="F717" s="91"/>
      <c r="G717" s="91"/>
      <c r="H717" s="62"/>
      <c r="I717" s="62"/>
      <c r="J717" s="62"/>
      <c r="K717" s="62"/>
      <c r="L717" s="62"/>
      <c r="M717" s="62"/>
      <c r="N717" s="91"/>
      <c r="O717" s="91"/>
      <c r="P717" s="91"/>
      <c r="Q717" s="91"/>
      <c r="R717" s="91"/>
      <c r="S717" s="91"/>
      <c r="T717" s="62"/>
      <c r="U717" s="62"/>
      <c r="V717" s="62"/>
      <c r="W717" s="62"/>
      <c r="X717" s="62"/>
      <c r="Y717" s="62"/>
      <c r="Z717" s="91"/>
      <c r="AA717" s="91"/>
      <c r="AB717" s="91"/>
      <c r="AC717" s="91"/>
      <c r="AD717" s="91"/>
      <c r="AE717" s="91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1"/>
      <c r="C718" s="91"/>
      <c r="D718" s="91"/>
      <c r="E718" s="91"/>
      <c r="F718" s="91"/>
      <c r="G718" s="91"/>
      <c r="H718" s="62"/>
      <c r="I718" s="62"/>
      <c r="J718" s="62"/>
      <c r="K718" s="62"/>
      <c r="L718" s="62"/>
      <c r="M718" s="62"/>
      <c r="N718" s="91"/>
      <c r="O718" s="91"/>
      <c r="P718" s="91"/>
      <c r="Q718" s="91"/>
      <c r="R718" s="91"/>
      <c r="S718" s="91"/>
      <c r="T718" s="62"/>
      <c r="U718" s="62"/>
      <c r="V718" s="62"/>
      <c r="W718" s="62"/>
      <c r="X718" s="62"/>
      <c r="Y718" s="62"/>
      <c r="Z718" s="91"/>
      <c r="AA718" s="91"/>
      <c r="AB718" s="91"/>
      <c r="AC718" s="91"/>
      <c r="AD718" s="91"/>
      <c r="AE718" s="91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1"/>
      <c r="C719" s="91"/>
      <c r="D719" s="91"/>
      <c r="E719" s="91"/>
      <c r="F719" s="91"/>
      <c r="G719" s="91"/>
      <c r="H719" s="62"/>
      <c r="I719" s="62"/>
      <c r="J719" s="62"/>
      <c r="K719" s="62"/>
      <c r="L719" s="62"/>
      <c r="M719" s="62"/>
      <c r="N719" s="91"/>
      <c r="O719" s="91"/>
      <c r="P719" s="91"/>
      <c r="Q719" s="91"/>
      <c r="R719" s="91"/>
      <c r="S719" s="91"/>
      <c r="T719" s="62"/>
      <c r="U719" s="62"/>
      <c r="V719" s="62"/>
      <c r="W719" s="62"/>
      <c r="X719" s="62"/>
      <c r="Y719" s="62"/>
      <c r="Z719" s="91"/>
      <c r="AA719" s="91"/>
      <c r="AB719" s="91"/>
      <c r="AC719" s="91"/>
      <c r="AD719" s="91"/>
      <c r="AE719" s="91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1"/>
      <c r="C720" s="91"/>
      <c r="D720" s="91"/>
      <c r="E720" s="91"/>
      <c r="F720" s="91"/>
      <c r="G720" s="91"/>
      <c r="H720" s="62"/>
      <c r="I720" s="62"/>
      <c r="J720" s="62"/>
      <c r="K720" s="62"/>
      <c r="L720" s="62"/>
      <c r="M720" s="63"/>
      <c r="N720" s="91"/>
      <c r="O720" s="91"/>
      <c r="P720" s="91"/>
      <c r="Q720" s="91"/>
      <c r="R720" s="91"/>
      <c r="S720" s="91"/>
      <c r="T720" s="62"/>
      <c r="U720" s="62"/>
      <c r="V720" s="62"/>
      <c r="W720" s="62"/>
      <c r="X720" s="62"/>
      <c r="Y720" s="63"/>
      <c r="Z720" s="91"/>
      <c r="AA720" s="91"/>
      <c r="AB720" s="91"/>
      <c r="AC720" s="91"/>
      <c r="AD720" s="91"/>
      <c r="AE720" s="91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1"/>
      <c r="C721" s="91"/>
      <c r="D721" s="91"/>
      <c r="E721" s="91"/>
      <c r="F721" s="91"/>
      <c r="G721" s="91"/>
      <c r="H721" s="62"/>
      <c r="I721" s="62"/>
      <c r="J721" s="62"/>
      <c r="K721" s="62"/>
      <c r="L721" s="62"/>
      <c r="M721" s="62"/>
      <c r="N721" s="91"/>
      <c r="O721" s="91"/>
      <c r="P721" s="91"/>
      <c r="Q721" s="91"/>
      <c r="R721" s="91"/>
      <c r="S721" s="91"/>
      <c r="T721" s="62"/>
      <c r="U721" s="62"/>
      <c r="V721" s="62"/>
      <c r="W721" s="62"/>
      <c r="X721" s="62"/>
      <c r="Y721" s="62"/>
      <c r="Z721" s="91"/>
      <c r="AA721" s="91"/>
      <c r="AB721" s="91"/>
      <c r="AC721" s="91"/>
      <c r="AD721" s="91"/>
      <c r="AE721" s="91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1"/>
      <c r="C722" s="91"/>
      <c r="D722" s="91"/>
      <c r="E722" s="91"/>
      <c r="F722" s="91"/>
      <c r="G722" s="91"/>
      <c r="H722" s="62"/>
      <c r="I722" s="91"/>
      <c r="J722" s="73"/>
      <c r="K722" s="62"/>
      <c r="L722" s="62"/>
      <c r="M722" s="62"/>
      <c r="N722" s="91"/>
      <c r="O722" s="91"/>
      <c r="P722" s="91"/>
      <c r="Q722" s="91"/>
      <c r="R722" s="91"/>
      <c r="S722" s="91"/>
      <c r="T722" s="62"/>
      <c r="U722" s="91"/>
      <c r="V722" s="73"/>
      <c r="W722" s="62"/>
      <c r="X722" s="62"/>
      <c r="Y722" s="62"/>
      <c r="Z722" s="91"/>
      <c r="AA722" s="91"/>
      <c r="AB722" s="91"/>
      <c r="AC722" s="91"/>
      <c r="AD722" s="91"/>
      <c r="AE722" s="91"/>
      <c r="AF722" s="62"/>
      <c r="AG722" s="91"/>
      <c r="AH722" s="91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1"/>
      <c r="C723" s="91"/>
      <c r="D723" s="91"/>
      <c r="E723" s="91"/>
      <c r="F723" s="91"/>
      <c r="G723" s="91"/>
      <c r="H723" s="62"/>
      <c r="I723" s="65"/>
      <c r="J723" s="65"/>
      <c r="K723" s="62"/>
      <c r="L723" s="62"/>
      <c r="M723" s="64"/>
      <c r="N723" s="91"/>
      <c r="O723" s="91"/>
      <c r="P723" s="91"/>
      <c r="Q723" s="91"/>
      <c r="R723" s="91"/>
      <c r="S723" s="91"/>
      <c r="T723" s="62"/>
      <c r="U723" s="65"/>
      <c r="V723" s="65"/>
      <c r="W723" s="62"/>
      <c r="X723" s="62"/>
      <c r="Y723" s="64"/>
      <c r="Z723" s="91"/>
      <c r="AA723" s="91"/>
      <c r="AB723" s="91"/>
      <c r="AC723" s="91"/>
      <c r="AD723" s="91"/>
      <c r="AE723" s="91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1"/>
      <c r="C724" s="91"/>
      <c r="D724" s="91"/>
      <c r="E724" s="91"/>
      <c r="F724" s="91"/>
      <c r="G724" s="91"/>
      <c r="H724" s="62"/>
      <c r="I724" s="62"/>
      <c r="J724" s="62"/>
      <c r="K724" s="62"/>
      <c r="L724" s="62"/>
      <c r="M724" s="62"/>
      <c r="N724" s="91"/>
      <c r="O724" s="91"/>
      <c r="P724" s="91"/>
      <c r="Q724" s="91"/>
      <c r="R724" s="91"/>
      <c r="S724" s="91"/>
      <c r="T724" s="62"/>
      <c r="U724" s="62"/>
      <c r="V724" s="62"/>
      <c r="W724" s="62"/>
      <c r="X724" s="62"/>
      <c r="Y724" s="62"/>
      <c r="Z724" s="91"/>
      <c r="AA724" s="91"/>
      <c r="AB724" s="91"/>
      <c r="AC724" s="91"/>
      <c r="AD724" s="91"/>
      <c r="AE724" s="91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1"/>
      <c r="D725" s="109"/>
      <c r="E725" s="109"/>
      <c r="F725" s="91"/>
      <c r="G725" s="91"/>
      <c r="H725" s="62"/>
      <c r="I725" s="109"/>
      <c r="J725" s="109"/>
      <c r="K725" s="108"/>
      <c r="L725" s="62"/>
      <c r="M725" s="62"/>
      <c r="N725" s="65"/>
      <c r="O725" s="91"/>
      <c r="P725" s="109"/>
      <c r="Q725" s="109"/>
      <c r="R725" s="91"/>
      <c r="S725" s="91"/>
      <c r="T725" s="62"/>
      <c r="U725" s="109"/>
      <c r="V725" s="109"/>
      <c r="W725" s="108"/>
      <c r="X725" s="62"/>
      <c r="Y725" s="62"/>
      <c r="Z725" s="65"/>
      <c r="AA725" s="91"/>
      <c r="AB725" s="109"/>
      <c r="AC725" s="109"/>
      <c r="AD725" s="91"/>
      <c r="AE725" s="91"/>
      <c r="AF725" s="62"/>
      <c r="AG725" s="109"/>
      <c r="AH725" s="109"/>
      <c r="AI725" s="108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1"/>
      <c r="C726" s="91"/>
      <c r="D726" s="79"/>
      <c r="E726" s="80"/>
      <c r="F726" s="81"/>
      <c r="G726" s="81"/>
      <c r="H726" s="62"/>
      <c r="I726" s="90"/>
      <c r="J726" s="90"/>
      <c r="K726" s="108"/>
      <c r="L726" s="62"/>
      <c r="M726" s="62"/>
      <c r="N726" s="91"/>
      <c r="O726" s="91"/>
      <c r="P726" s="79"/>
      <c r="Q726" s="81"/>
      <c r="R726" s="81"/>
      <c r="S726" s="81"/>
      <c r="T726" s="62"/>
      <c r="U726" s="90"/>
      <c r="V726" s="90"/>
      <c r="W726" s="108"/>
      <c r="X726" s="62"/>
      <c r="Y726" s="62"/>
      <c r="Z726" s="91"/>
      <c r="AA726" s="91"/>
      <c r="AB726" s="79"/>
      <c r="AC726" s="81"/>
      <c r="AD726" s="81"/>
      <c r="AE726" s="81"/>
      <c r="AF726" s="62"/>
      <c r="AG726" s="90"/>
      <c r="AH726" s="90"/>
      <c r="AI726" s="108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1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1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1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1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1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1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65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1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1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1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1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65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1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1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1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1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1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1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1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1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1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1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1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1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1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1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1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1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1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1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1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1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1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1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1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1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5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1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1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1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1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65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1"/>
      <c r="P747" s="67"/>
      <c r="Q747" s="91"/>
      <c r="R747" s="91"/>
      <c r="S747" s="60"/>
      <c r="T747" s="62"/>
      <c r="U747" s="62"/>
      <c r="V747" s="62"/>
      <c r="W747" s="61"/>
      <c r="X747" s="62"/>
      <c r="Y747" s="62"/>
      <c r="Z747" s="66"/>
      <c r="AA747" s="91"/>
      <c r="AB747" s="67"/>
      <c r="AC747" s="91"/>
      <c r="AD747" s="91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1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1"/>
      <c r="P748" s="68"/>
      <c r="Q748" s="91"/>
      <c r="R748" s="91"/>
      <c r="S748" s="60"/>
      <c r="T748" s="62"/>
      <c r="U748" s="62"/>
      <c r="V748" s="62"/>
      <c r="W748" s="61"/>
      <c r="X748" s="62"/>
      <c r="Y748" s="62"/>
      <c r="Z748" s="66"/>
      <c r="AA748" s="91"/>
      <c r="AB748" s="68"/>
      <c r="AC748" s="91"/>
      <c r="AD748" s="91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1"/>
      <c r="P749" s="69"/>
      <c r="Q749" s="91"/>
      <c r="R749" s="62"/>
      <c r="S749" s="60"/>
      <c r="T749" s="62"/>
      <c r="U749" s="62"/>
      <c r="V749" s="62"/>
      <c r="W749" s="61"/>
      <c r="X749" s="62"/>
      <c r="Y749" s="62"/>
      <c r="Z749" s="66"/>
      <c r="AA749" s="91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1"/>
      <c r="P750" s="69"/>
      <c r="Q750" s="91"/>
      <c r="R750" s="91"/>
      <c r="S750" s="60"/>
      <c r="T750" s="62"/>
      <c r="U750" s="62"/>
      <c r="V750" s="62"/>
      <c r="W750" s="61"/>
      <c r="X750" s="62"/>
      <c r="Y750" s="62"/>
      <c r="Z750" s="66"/>
      <c r="AA750" s="91"/>
      <c r="AB750" s="69"/>
      <c r="AC750" s="91"/>
      <c r="AD750" s="91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1"/>
      <c r="P751" s="69"/>
      <c r="Q751" s="91"/>
      <c r="R751" s="91"/>
      <c r="S751" s="60"/>
      <c r="T751" s="62"/>
      <c r="U751" s="62"/>
      <c r="V751" s="62"/>
      <c r="W751" s="61"/>
      <c r="X751" s="62"/>
      <c r="Y751" s="62"/>
      <c r="Z751" s="66"/>
      <c r="AA751" s="91"/>
      <c r="AB751" s="69"/>
      <c r="AC751" s="91"/>
      <c r="AD751" s="91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1"/>
      <c r="P752" s="69"/>
      <c r="Q752" s="91"/>
      <c r="R752" s="91"/>
      <c r="S752" s="60"/>
      <c r="T752" s="62"/>
      <c r="U752" s="62"/>
      <c r="V752" s="62"/>
      <c r="W752" s="61"/>
      <c r="X752" s="62"/>
      <c r="Y752" s="62"/>
      <c r="Z752" s="66"/>
      <c r="AA752" s="91"/>
      <c r="AB752" s="69"/>
      <c r="AC752" s="91"/>
      <c r="AD752" s="91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1"/>
      <c r="P753" s="69"/>
      <c r="Q753" s="91"/>
      <c r="R753" s="91"/>
      <c r="S753" s="60"/>
      <c r="T753" s="62"/>
      <c r="U753" s="62"/>
      <c r="V753" s="62"/>
      <c r="W753" s="61"/>
      <c r="X753" s="62"/>
      <c r="Y753" s="62"/>
      <c r="Z753" s="66"/>
      <c r="AA753" s="91"/>
      <c r="AB753" s="69"/>
      <c r="AC753" s="91"/>
      <c r="AD753" s="91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1"/>
      <c r="P754" s="69"/>
      <c r="Q754" s="91"/>
      <c r="R754" s="91"/>
      <c r="S754" s="60"/>
      <c r="T754" s="62"/>
      <c r="U754" s="62"/>
      <c r="V754" s="62"/>
      <c r="W754" s="61"/>
      <c r="X754" s="62"/>
      <c r="Y754" s="62"/>
      <c r="Z754" s="66"/>
      <c r="AA754" s="91"/>
      <c r="AB754" s="69"/>
      <c r="AC754" s="91"/>
      <c r="AD754" s="91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1"/>
      <c r="P755" s="69"/>
      <c r="Q755" s="91"/>
      <c r="R755" s="91"/>
      <c r="S755" s="60"/>
      <c r="T755" s="62"/>
      <c r="U755" s="62"/>
      <c r="V755" s="62"/>
      <c r="W755" s="61"/>
      <c r="X755" s="62"/>
      <c r="Y755" s="62"/>
      <c r="Z755" s="66"/>
      <c r="AA755" s="91"/>
      <c r="AB755" s="69"/>
      <c r="AC755" s="91"/>
      <c r="AD755" s="91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1"/>
      <c r="P756" s="69"/>
      <c r="Q756" s="91"/>
      <c r="R756" s="91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1"/>
      <c r="AD756" s="91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1"/>
      <c r="P757" s="69"/>
      <c r="Q757" s="91"/>
      <c r="R757" s="91"/>
      <c r="S757" s="60"/>
      <c r="T757" s="62"/>
      <c r="U757" s="62"/>
      <c r="V757" s="62"/>
      <c r="W757" s="61"/>
      <c r="X757" s="62"/>
      <c r="Y757" s="62"/>
      <c r="Z757" s="66"/>
      <c r="AA757" s="91"/>
      <c r="AB757" s="69"/>
      <c r="AC757" s="91"/>
      <c r="AD757" s="91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1"/>
      <c r="P758" s="69"/>
      <c r="Q758" s="91"/>
      <c r="R758" s="91"/>
      <c r="S758" s="60"/>
      <c r="T758" s="62"/>
      <c r="U758" s="62"/>
      <c r="V758" s="62"/>
      <c r="W758" s="61"/>
      <c r="X758" s="62"/>
      <c r="Y758" s="62"/>
      <c r="Z758" s="66"/>
      <c r="AA758" s="91"/>
      <c r="AB758" s="69"/>
      <c r="AC758" s="91"/>
      <c r="AD758" s="91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1"/>
      <c r="P759" s="69"/>
      <c r="Q759" s="91"/>
      <c r="R759" s="91"/>
      <c r="S759" s="60"/>
      <c r="T759" s="62"/>
      <c r="U759" s="62"/>
      <c r="V759" s="62"/>
      <c r="W759" s="61"/>
      <c r="X759" s="62"/>
      <c r="Y759" s="62"/>
      <c r="Z759" s="66"/>
      <c r="AA759" s="91"/>
      <c r="AB759" s="69"/>
      <c r="AC759" s="91"/>
      <c r="AD759" s="91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1"/>
      <c r="P760" s="69"/>
      <c r="Q760" s="91"/>
      <c r="R760" s="91"/>
      <c r="S760" s="60"/>
      <c r="T760" s="62"/>
      <c r="U760" s="62"/>
      <c r="V760" s="62"/>
      <c r="W760" s="61"/>
      <c r="X760" s="62"/>
      <c r="Y760" s="62"/>
      <c r="Z760" s="66"/>
      <c r="AA760" s="91"/>
      <c r="AB760" s="69"/>
      <c r="AC760" s="91"/>
      <c r="AD760" s="91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62"/>
      <c r="P761" s="69"/>
      <c r="Q761" s="91"/>
      <c r="R761" s="91"/>
      <c r="S761" s="60"/>
      <c r="T761" s="62"/>
      <c r="U761" s="62"/>
      <c r="V761" s="62"/>
      <c r="W761" s="61"/>
      <c r="X761" s="62"/>
      <c r="Y761" s="62"/>
      <c r="Z761" s="66"/>
      <c r="AA761" s="91"/>
      <c r="AB761" s="69"/>
      <c r="AC761" s="91"/>
      <c r="AD761" s="91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1"/>
      <c r="P762" s="69"/>
      <c r="Q762" s="91"/>
      <c r="R762" s="91"/>
      <c r="S762" s="60"/>
      <c r="T762" s="62"/>
      <c r="U762" s="62"/>
      <c r="V762" s="62"/>
      <c r="W762" s="61"/>
      <c r="X762" s="62"/>
      <c r="Y762" s="62"/>
      <c r="Z762" s="66"/>
      <c r="AA762" s="91"/>
      <c r="AB762" s="69"/>
      <c r="AC762" s="91"/>
      <c r="AD762" s="91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1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1"/>
      <c r="P763" s="69"/>
      <c r="Q763" s="91"/>
      <c r="R763" s="91"/>
      <c r="S763" s="60"/>
      <c r="T763" s="62"/>
      <c r="U763" s="62"/>
      <c r="V763" s="62"/>
      <c r="W763" s="61"/>
      <c r="X763" s="62"/>
      <c r="Y763" s="62"/>
      <c r="Z763" s="66"/>
      <c r="AA763" s="91"/>
      <c r="AB763" s="69"/>
      <c r="AC763" s="91"/>
      <c r="AD763" s="91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1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1"/>
      <c r="P764" s="69"/>
      <c r="Q764" s="91"/>
      <c r="R764" s="91"/>
      <c r="S764" s="60"/>
      <c r="T764" s="62"/>
      <c r="U764" s="62"/>
      <c r="V764" s="62"/>
      <c r="W764" s="61"/>
      <c r="X764" s="62"/>
      <c r="Y764" s="62"/>
      <c r="Z764" s="66"/>
      <c r="AA764" s="91"/>
      <c r="AB764" s="69"/>
      <c r="AC764" s="91"/>
      <c r="AD764" s="91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1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1"/>
      <c r="P765" s="69"/>
      <c r="Q765" s="91"/>
      <c r="R765" s="91"/>
      <c r="S765" s="60"/>
      <c r="T765" s="62"/>
      <c r="U765" s="62"/>
      <c r="V765" s="62"/>
      <c r="W765" s="61"/>
      <c r="X765" s="62"/>
      <c r="Y765" s="62"/>
      <c r="Z765" s="66"/>
      <c r="AA765" s="91"/>
      <c r="AB765" s="69"/>
      <c r="AC765" s="91"/>
      <c r="AD765" s="91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1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1"/>
      <c r="R766" s="91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1"/>
      <c r="AD766" s="91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1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1"/>
      <c r="P767" s="69"/>
      <c r="Q767" s="91"/>
      <c r="R767" s="91"/>
      <c r="S767" s="60"/>
      <c r="T767" s="62"/>
      <c r="U767" s="62"/>
      <c r="V767" s="62"/>
      <c r="W767" s="61"/>
      <c r="X767" s="62"/>
      <c r="Y767" s="62"/>
      <c r="Z767" s="66"/>
      <c r="AA767" s="91"/>
      <c r="AB767" s="69"/>
      <c r="AC767" s="91"/>
      <c r="AD767" s="91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1"/>
      <c r="O768" s="91"/>
      <c r="P768" s="91"/>
      <c r="Q768" s="91"/>
      <c r="R768" s="91"/>
      <c r="S768" s="91"/>
      <c r="T768" s="62"/>
      <c r="U768" s="62"/>
      <c r="V768" s="62"/>
      <c r="W768" s="61"/>
      <c r="X768" s="62"/>
      <c r="Y768" s="62"/>
      <c r="Z768" s="91"/>
      <c r="AA768" s="91"/>
      <c r="AB768" s="91"/>
      <c r="AC768" s="91"/>
      <c r="AD768" s="91"/>
      <c r="AE768" s="91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1"/>
      <c r="C769" s="91"/>
      <c r="D769" s="91"/>
      <c r="E769" s="91"/>
      <c r="F769" s="91"/>
      <c r="G769" s="91"/>
      <c r="H769" s="62"/>
      <c r="I769" s="62"/>
      <c r="J769" s="62"/>
      <c r="K769" s="62"/>
      <c r="L769" s="62"/>
      <c r="M769" s="62"/>
      <c r="N769" s="91"/>
      <c r="O769" s="91"/>
      <c r="P769" s="91"/>
      <c r="Q769" s="91"/>
      <c r="R769" s="91"/>
      <c r="S769" s="91"/>
      <c r="T769" s="62"/>
      <c r="U769" s="62"/>
      <c r="V769" s="62"/>
      <c r="W769" s="62"/>
      <c r="X769" s="62"/>
      <c r="Y769" s="62"/>
      <c r="Z769" s="91"/>
      <c r="AA769" s="91"/>
      <c r="AB769" s="91"/>
      <c r="AC769" s="91"/>
      <c r="AD769" s="91"/>
      <c r="AE769" s="91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1"/>
      <c r="C770" s="91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1"/>
      <c r="O770" s="91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1"/>
      <c r="AA770" s="91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1"/>
      <c r="C772" s="91"/>
      <c r="D772" s="91"/>
      <c r="E772" s="91"/>
      <c r="F772" s="91"/>
      <c r="G772" s="91"/>
      <c r="H772" s="62"/>
      <c r="I772" s="62"/>
      <c r="J772" s="62"/>
      <c r="K772" s="62"/>
      <c r="L772" s="62"/>
      <c r="M772" s="62"/>
      <c r="N772" s="91"/>
      <c r="O772" s="91"/>
      <c r="P772" s="91"/>
      <c r="Q772" s="91"/>
      <c r="R772" s="91"/>
      <c r="S772" s="91"/>
      <c r="T772" s="62"/>
      <c r="U772" s="62"/>
      <c r="V772" s="62"/>
      <c r="W772" s="62"/>
      <c r="X772" s="62"/>
      <c r="Y772" s="62"/>
      <c r="Z772" s="91"/>
      <c r="AA772" s="91"/>
      <c r="AB772" s="91"/>
      <c r="AC772" s="91"/>
      <c r="AD772" s="91"/>
      <c r="AE772" s="91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1"/>
      <c r="C773" s="91"/>
      <c r="D773" s="91"/>
      <c r="E773" s="91"/>
      <c r="F773" s="91"/>
      <c r="G773" s="91"/>
      <c r="H773" s="62"/>
      <c r="I773" s="62"/>
      <c r="J773" s="62"/>
      <c r="K773" s="62"/>
      <c r="L773" s="62"/>
      <c r="M773" s="62"/>
      <c r="N773" s="91"/>
      <c r="O773" s="91"/>
      <c r="P773" s="91"/>
      <c r="Q773" s="91"/>
      <c r="R773" s="91"/>
      <c r="S773" s="91"/>
      <c r="T773" s="62"/>
      <c r="U773" s="62"/>
      <c r="V773" s="62"/>
      <c r="W773" s="62"/>
      <c r="X773" s="62"/>
      <c r="Y773" s="62"/>
      <c r="Z773" s="91"/>
      <c r="AA773" s="91"/>
      <c r="AB773" s="91"/>
      <c r="AC773" s="91"/>
      <c r="AD773" s="91"/>
      <c r="AE773" s="91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1"/>
      <c r="C774" s="91"/>
      <c r="D774" s="91"/>
      <c r="E774" s="91"/>
      <c r="F774" s="91"/>
      <c r="G774" s="91"/>
      <c r="H774" s="62"/>
      <c r="I774" s="62"/>
      <c r="J774" s="62"/>
      <c r="K774" s="62"/>
      <c r="L774" s="62"/>
      <c r="M774" s="62"/>
      <c r="N774" s="91"/>
      <c r="O774" s="91"/>
      <c r="P774" s="91"/>
      <c r="Q774" s="91"/>
      <c r="R774" s="91"/>
      <c r="S774" s="91"/>
      <c r="T774" s="62"/>
      <c r="U774" s="62"/>
      <c r="V774" s="62"/>
      <c r="W774" s="62"/>
      <c r="X774" s="62"/>
      <c r="Y774" s="62"/>
      <c r="Z774" s="91"/>
      <c r="AA774" s="91"/>
      <c r="AB774" s="91"/>
      <c r="AC774" s="91"/>
      <c r="AD774" s="91"/>
      <c r="AE774" s="91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1"/>
      <c r="C775" s="91"/>
      <c r="D775" s="91"/>
      <c r="E775" s="91"/>
      <c r="F775" s="91"/>
      <c r="G775" s="91"/>
      <c r="H775" s="62"/>
      <c r="I775" s="62"/>
      <c r="J775" s="62"/>
      <c r="K775" s="62"/>
      <c r="L775" s="62"/>
      <c r="M775" s="63"/>
      <c r="N775" s="91"/>
      <c r="O775" s="91"/>
      <c r="P775" s="91"/>
      <c r="Q775" s="91"/>
      <c r="R775" s="91"/>
      <c r="S775" s="91"/>
      <c r="T775" s="62"/>
      <c r="U775" s="62"/>
      <c r="V775" s="62"/>
      <c r="W775" s="62"/>
      <c r="X775" s="62"/>
      <c r="Y775" s="63"/>
      <c r="Z775" s="91"/>
      <c r="AA775" s="91"/>
      <c r="AB775" s="91"/>
      <c r="AC775" s="91"/>
      <c r="AD775" s="91"/>
      <c r="AE775" s="91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1"/>
      <c r="C776" s="91"/>
      <c r="D776" s="91"/>
      <c r="E776" s="91"/>
      <c r="F776" s="91"/>
      <c r="G776" s="91"/>
      <c r="H776" s="62"/>
      <c r="I776" s="62"/>
      <c r="J776" s="62"/>
      <c r="K776" s="62"/>
      <c r="L776" s="62"/>
      <c r="M776" s="62"/>
      <c r="N776" s="91"/>
      <c r="O776" s="91"/>
      <c r="P776" s="91"/>
      <c r="Q776" s="91"/>
      <c r="R776" s="91"/>
      <c r="S776" s="91"/>
      <c r="T776" s="62"/>
      <c r="U776" s="62"/>
      <c r="V776" s="62"/>
      <c r="W776" s="62"/>
      <c r="X776" s="62"/>
      <c r="Y776" s="62"/>
      <c r="Z776" s="91"/>
      <c r="AA776" s="91"/>
      <c r="AB776" s="91"/>
      <c r="AC776" s="91"/>
      <c r="AD776" s="91"/>
      <c r="AE776" s="91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1"/>
      <c r="C777" s="91"/>
      <c r="D777" s="91"/>
      <c r="E777" s="91"/>
      <c r="F777" s="91"/>
      <c r="G777" s="91"/>
      <c r="H777" s="62"/>
      <c r="I777" s="91"/>
      <c r="J777" s="73"/>
      <c r="K777" s="62"/>
      <c r="L777" s="62"/>
      <c r="M777" s="62"/>
      <c r="N777" s="91"/>
      <c r="O777" s="91"/>
      <c r="P777" s="91"/>
      <c r="Q777" s="91"/>
      <c r="R777" s="91"/>
      <c r="S777" s="91"/>
      <c r="T777" s="62"/>
      <c r="U777" s="91"/>
      <c r="V777" s="73"/>
      <c r="W777" s="62"/>
      <c r="X777" s="62"/>
      <c r="Y777" s="62"/>
      <c r="Z777" s="91"/>
      <c r="AA777" s="91"/>
      <c r="AB777" s="91"/>
      <c r="AC777" s="91"/>
      <c r="AD777" s="91"/>
      <c r="AE777" s="91"/>
      <c r="AF777" s="62"/>
      <c r="AG777" s="91"/>
      <c r="AH777" s="91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1"/>
      <c r="C778" s="91"/>
      <c r="D778" s="91"/>
      <c r="E778" s="91"/>
      <c r="F778" s="91"/>
      <c r="G778" s="91"/>
      <c r="H778" s="62"/>
      <c r="I778" s="65"/>
      <c r="J778" s="65"/>
      <c r="K778" s="62"/>
      <c r="L778" s="62"/>
      <c r="M778" s="64"/>
      <c r="N778" s="91"/>
      <c r="O778" s="91"/>
      <c r="P778" s="91"/>
      <c r="Q778" s="91"/>
      <c r="R778" s="91"/>
      <c r="S778" s="91"/>
      <c r="T778" s="62"/>
      <c r="U778" s="65"/>
      <c r="V778" s="65"/>
      <c r="W778" s="62"/>
      <c r="X778" s="62"/>
      <c r="Y778" s="64"/>
      <c r="Z778" s="91"/>
      <c r="AA778" s="91"/>
      <c r="AB778" s="91"/>
      <c r="AC778" s="91"/>
      <c r="AD778" s="91"/>
      <c r="AE778" s="91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1"/>
      <c r="C779" s="91"/>
      <c r="D779" s="91"/>
      <c r="E779" s="91"/>
      <c r="F779" s="91"/>
      <c r="G779" s="91"/>
      <c r="H779" s="62"/>
      <c r="I779" s="62"/>
      <c r="J779" s="62"/>
      <c r="K779" s="62"/>
      <c r="L779" s="62"/>
      <c r="M779" s="62"/>
      <c r="N779" s="91"/>
      <c r="O779" s="91"/>
      <c r="P779" s="91"/>
      <c r="Q779" s="91"/>
      <c r="R779" s="91"/>
      <c r="S779" s="91"/>
      <c r="T779" s="62"/>
      <c r="U779" s="62"/>
      <c r="V779" s="62"/>
      <c r="W779" s="62"/>
      <c r="X779" s="62"/>
      <c r="Y779" s="62"/>
      <c r="Z779" s="91"/>
      <c r="AA779" s="91"/>
      <c r="AB779" s="91"/>
      <c r="AC779" s="91"/>
      <c r="AD779" s="91"/>
      <c r="AE779" s="91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1"/>
      <c r="D780" s="109"/>
      <c r="E780" s="109"/>
      <c r="F780" s="91"/>
      <c r="G780" s="91"/>
      <c r="H780" s="62"/>
      <c r="I780" s="109"/>
      <c r="J780" s="109"/>
      <c r="K780" s="108"/>
      <c r="L780" s="62"/>
      <c r="M780" s="62"/>
      <c r="N780" s="65"/>
      <c r="O780" s="91"/>
      <c r="P780" s="109"/>
      <c r="Q780" s="109"/>
      <c r="R780" s="91"/>
      <c r="S780" s="91"/>
      <c r="T780" s="62"/>
      <c r="U780" s="109"/>
      <c r="V780" s="109"/>
      <c r="W780" s="108"/>
      <c r="X780" s="62"/>
      <c r="Y780" s="62"/>
      <c r="Z780" s="65"/>
      <c r="AA780" s="91"/>
      <c r="AB780" s="109"/>
      <c r="AC780" s="109"/>
      <c r="AD780" s="91"/>
      <c r="AE780" s="91"/>
      <c r="AF780" s="62"/>
      <c r="AG780" s="109"/>
      <c r="AH780" s="109"/>
      <c r="AI780" s="108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1"/>
      <c r="C781" s="91"/>
      <c r="D781" s="79"/>
      <c r="E781" s="80"/>
      <c r="F781" s="81"/>
      <c r="G781" s="81"/>
      <c r="H781" s="62"/>
      <c r="I781" s="90"/>
      <c r="J781" s="90"/>
      <c r="K781" s="108"/>
      <c r="L781" s="62"/>
      <c r="M781" s="62"/>
      <c r="N781" s="91"/>
      <c r="O781" s="91"/>
      <c r="P781" s="79"/>
      <c r="Q781" s="81"/>
      <c r="R781" s="81"/>
      <c r="S781" s="81"/>
      <c r="T781" s="62"/>
      <c r="U781" s="90"/>
      <c r="V781" s="90"/>
      <c r="W781" s="108"/>
      <c r="X781" s="62"/>
      <c r="Y781" s="62"/>
      <c r="Z781" s="91"/>
      <c r="AA781" s="91"/>
      <c r="AB781" s="79"/>
      <c r="AC781" s="81"/>
      <c r="AD781" s="81"/>
      <c r="AE781" s="81"/>
      <c r="AF781" s="62"/>
      <c r="AG781" s="90"/>
      <c r="AH781" s="90"/>
      <c r="AI781" s="108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1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1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1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1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1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1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1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1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1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1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1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1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1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1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1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1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1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6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1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1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5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1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1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1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1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1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1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1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1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1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1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1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1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1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1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1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1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1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1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1"/>
      <c r="P802" s="67"/>
      <c r="Q802" s="91"/>
      <c r="R802" s="91"/>
      <c r="S802" s="60"/>
      <c r="T802" s="62"/>
      <c r="U802" s="62"/>
      <c r="V802" s="62"/>
      <c r="W802" s="61"/>
      <c r="X802" s="62"/>
      <c r="Y802" s="62"/>
      <c r="Z802" s="66"/>
      <c r="AA802" s="91"/>
      <c r="AB802" s="67"/>
      <c r="AC802" s="91"/>
      <c r="AD802" s="91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1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1"/>
      <c r="P803" s="68"/>
      <c r="Q803" s="91"/>
      <c r="R803" s="91"/>
      <c r="S803" s="60"/>
      <c r="T803" s="62"/>
      <c r="U803" s="62"/>
      <c r="V803" s="62"/>
      <c r="W803" s="61"/>
      <c r="X803" s="62"/>
      <c r="Y803" s="62"/>
      <c r="Z803" s="66"/>
      <c r="AA803" s="91"/>
      <c r="AB803" s="68"/>
      <c r="AC803" s="91"/>
      <c r="AD803" s="91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1"/>
      <c r="P804" s="69"/>
      <c r="Q804" s="91"/>
      <c r="R804" s="62"/>
      <c r="S804" s="60"/>
      <c r="T804" s="62"/>
      <c r="U804" s="62"/>
      <c r="V804" s="62"/>
      <c r="W804" s="61"/>
      <c r="X804" s="62"/>
      <c r="Y804" s="62"/>
      <c r="Z804" s="66"/>
      <c r="AA804" s="91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1"/>
      <c r="P805" s="69"/>
      <c r="Q805" s="91"/>
      <c r="R805" s="91"/>
      <c r="S805" s="60"/>
      <c r="T805" s="62"/>
      <c r="U805" s="62"/>
      <c r="V805" s="62"/>
      <c r="W805" s="61"/>
      <c r="X805" s="62"/>
      <c r="Y805" s="62"/>
      <c r="Z805" s="66"/>
      <c r="AA805" s="91"/>
      <c r="AB805" s="69"/>
      <c r="AC805" s="91"/>
      <c r="AD805" s="91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1"/>
      <c r="P806" s="69"/>
      <c r="Q806" s="91"/>
      <c r="R806" s="91"/>
      <c r="S806" s="60"/>
      <c r="T806" s="62"/>
      <c r="U806" s="62"/>
      <c r="V806" s="62"/>
      <c r="W806" s="61"/>
      <c r="X806" s="62"/>
      <c r="Y806" s="62"/>
      <c r="Z806" s="66"/>
      <c r="AA806" s="91"/>
      <c r="AB806" s="69"/>
      <c r="AC806" s="91"/>
      <c r="AD806" s="91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1"/>
      <c r="P807" s="69"/>
      <c r="Q807" s="91"/>
      <c r="R807" s="91"/>
      <c r="S807" s="60"/>
      <c r="T807" s="62"/>
      <c r="U807" s="62"/>
      <c r="V807" s="62"/>
      <c r="W807" s="61"/>
      <c r="X807" s="62"/>
      <c r="Y807" s="62"/>
      <c r="Z807" s="66"/>
      <c r="AA807" s="91"/>
      <c r="AB807" s="69"/>
      <c r="AC807" s="91"/>
      <c r="AD807" s="91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1"/>
      <c r="P808" s="69"/>
      <c r="Q808" s="91"/>
      <c r="R808" s="91"/>
      <c r="S808" s="60"/>
      <c r="T808" s="62"/>
      <c r="U808" s="62"/>
      <c r="V808" s="62"/>
      <c r="W808" s="61"/>
      <c r="X808" s="62"/>
      <c r="Y808" s="62"/>
      <c r="Z808" s="66"/>
      <c r="AA808" s="91"/>
      <c r="AB808" s="69"/>
      <c r="AC808" s="91"/>
      <c r="AD808" s="91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1"/>
      <c r="P809" s="69"/>
      <c r="Q809" s="91"/>
      <c r="R809" s="91"/>
      <c r="S809" s="60"/>
      <c r="T809" s="62"/>
      <c r="U809" s="62"/>
      <c r="V809" s="62"/>
      <c r="W809" s="61"/>
      <c r="X809" s="62"/>
      <c r="Y809" s="62"/>
      <c r="Z809" s="66"/>
      <c r="AA809" s="91"/>
      <c r="AB809" s="69"/>
      <c r="AC809" s="91"/>
      <c r="AD809" s="91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1"/>
      <c r="P810" s="69"/>
      <c r="Q810" s="91"/>
      <c r="R810" s="91"/>
      <c r="S810" s="60"/>
      <c r="T810" s="62"/>
      <c r="U810" s="62"/>
      <c r="V810" s="62"/>
      <c r="W810" s="61"/>
      <c r="X810" s="62"/>
      <c r="Y810" s="62"/>
      <c r="Z810" s="66"/>
      <c r="AA810" s="91"/>
      <c r="AB810" s="69"/>
      <c r="AC810" s="91"/>
      <c r="AD810" s="91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1"/>
      <c r="P811" s="69"/>
      <c r="Q811" s="91"/>
      <c r="R811" s="91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1"/>
      <c r="AD811" s="91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1"/>
      <c r="P812" s="69"/>
      <c r="Q812" s="91"/>
      <c r="R812" s="91"/>
      <c r="S812" s="60"/>
      <c r="T812" s="62"/>
      <c r="U812" s="62"/>
      <c r="V812" s="62"/>
      <c r="W812" s="61"/>
      <c r="X812" s="62"/>
      <c r="Y812" s="62"/>
      <c r="Z812" s="66"/>
      <c r="AA812" s="91"/>
      <c r="AB812" s="69"/>
      <c r="AC812" s="91"/>
      <c r="AD812" s="91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1"/>
      <c r="P813" s="69"/>
      <c r="Q813" s="91"/>
      <c r="R813" s="91"/>
      <c r="S813" s="60"/>
      <c r="T813" s="62"/>
      <c r="U813" s="62"/>
      <c r="V813" s="62"/>
      <c r="W813" s="61"/>
      <c r="X813" s="62"/>
      <c r="Y813" s="62"/>
      <c r="Z813" s="66"/>
      <c r="AA813" s="91"/>
      <c r="AB813" s="69"/>
      <c r="AC813" s="91"/>
      <c r="AD813" s="91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1"/>
      <c r="P814" s="69"/>
      <c r="Q814" s="91"/>
      <c r="R814" s="91"/>
      <c r="S814" s="60"/>
      <c r="T814" s="62"/>
      <c r="U814" s="62"/>
      <c r="V814" s="62"/>
      <c r="W814" s="61"/>
      <c r="X814" s="62"/>
      <c r="Y814" s="62"/>
      <c r="Z814" s="66"/>
      <c r="AA814" s="91"/>
      <c r="AB814" s="69"/>
      <c r="AC814" s="91"/>
      <c r="AD814" s="91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1"/>
      <c r="P815" s="69"/>
      <c r="Q815" s="91"/>
      <c r="R815" s="91"/>
      <c r="S815" s="60"/>
      <c r="T815" s="62"/>
      <c r="U815" s="62"/>
      <c r="V815" s="62"/>
      <c r="W815" s="61"/>
      <c r="X815" s="62"/>
      <c r="Y815" s="62"/>
      <c r="Z815" s="66"/>
      <c r="AA815" s="91"/>
      <c r="AB815" s="69"/>
      <c r="AC815" s="91"/>
      <c r="AD815" s="91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62"/>
      <c r="P816" s="69"/>
      <c r="Q816" s="91"/>
      <c r="R816" s="91"/>
      <c r="S816" s="60"/>
      <c r="T816" s="62"/>
      <c r="U816" s="62"/>
      <c r="V816" s="62"/>
      <c r="W816" s="61"/>
      <c r="X816" s="62"/>
      <c r="Y816" s="62"/>
      <c r="Z816" s="66"/>
      <c r="AA816" s="91"/>
      <c r="AB816" s="69"/>
      <c r="AC816" s="91"/>
      <c r="AD816" s="91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1"/>
      <c r="P817" s="69"/>
      <c r="Q817" s="91"/>
      <c r="R817" s="91"/>
      <c r="S817" s="60"/>
      <c r="T817" s="62"/>
      <c r="U817" s="62"/>
      <c r="V817" s="62"/>
      <c r="W817" s="61"/>
      <c r="X817" s="62"/>
      <c r="Y817" s="62"/>
      <c r="Z817" s="66"/>
      <c r="AA817" s="91"/>
      <c r="AB817" s="69"/>
      <c r="AC817" s="91"/>
      <c r="AD817" s="91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1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1"/>
      <c r="P818" s="69"/>
      <c r="Q818" s="91"/>
      <c r="R818" s="91"/>
      <c r="S818" s="60"/>
      <c r="T818" s="62"/>
      <c r="U818" s="62"/>
      <c r="V818" s="62"/>
      <c r="W818" s="61"/>
      <c r="X818" s="62"/>
      <c r="Y818" s="62"/>
      <c r="Z818" s="66"/>
      <c r="AA818" s="91"/>
      <c r="AB818" s="69"/>
      <c r="AC818" s="91"/>
      <c r="AD818" s="91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1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1"/>
      <c r="P819" s="69"/>
      <c r="Q819" s="91"/>
      <c r="R819" s="91"/>
      <c r="S819" s="60"/>
      <c r="T819" s="62"/>
      <c r="U819" s="62"/>
      <c r="V819" s="62"/>
      <c r="W819" s="61"/>
      <c r="X819" s="62"/>
      <c r="Y819" s="62"/>
      <c r="Z819" s="66"/>
      <c r="AA819" s="91"/>
      <c r="AB819" s="69"/>
      <c r="AC819" s="91"/>
      <c r="AD819" s="91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1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1"/>
      <c r="P820" s="69"/>
      <c r="Q820" s="91"/>
      <c r="R820" s="91"/>
      <c r="S820" s="60"/>
      <c r="T820" s="62"/>
      <c r="U820" s="62"/>
      <c r="V820" s="62"/>
      <c r="W820" s="61"/>
      <c r="X820" s="62"/>
      <c r="Y820" s="62"/>
      <c r="Z820" s="66"/>
      <c r="AA820" s="91"/>
      <c r="AB820" s="69"/>
      <c r="AC820" s="91"/>
      <c r="AD820" s="91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1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1"/>
      <c r="R821" s="91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1"/>
      <c r="AD821" s="91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1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1"/>
      <c r="P822" s="69"/>
      <c r="Q822" s="91"/>
      <c r="R822" s="91"/>
      <c r="S822" s="60"/>
      <c r="T822" s="62"/>
      <c r="U822" s="62"/>
      <c r="V822" s="62"/>
      <c r="W822" s="61"/>
      <c r="X822" s="62"/>
      <c r="Y822" s="62"/>
      <c r="Z822" s="66"/>
      <c r="AA822" s="91"/>
      <c r="AB822" s="69"/>
      <c r="AC822" s="91"/>
      <c r="AD822" s="91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1"/>
      <c r="O823" s="91"/>
      <c r="P823" s="91"/>
      <c r="Q823" s="91"/>
      <c r="R823" s="91"/>
      <c r="S823" s="91"/>
      <c r="T823" s="62"/>
      <c r="U823" s="62"/>
      <c r="V823" s="62"/>
      <c r="W823" s="61"/>
      <c r="X823" s="62"/>
      <c r="Y823" s="62"/>
      <c r="Z823" s="91"/>
      <c r="AA823" s="91"/>
      <c r="AB823" s="91"/>
      <c r="AC823" s="91"/>
      <c r="AD823" s="91"/>
      <c r="AE823" s="91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1"/>
      <c r="C824" s="91"/>
      <c r="D824" s="91"/>
      <c r="E824" s="91"/>
      <c r="F824" s="91"/>
      <c r="G824" s="91"/>
      <c r="H824" s="62"/>
      <c r="I824" s="62"/>
      <c r="J824" s="62"/>
      <c r="K824" s="62"/>
      <c r="L824" s="62"/>
      <c r="M824" s="62"/>
      <c r="N824" s="91"/>
      <c r="O824" s="91"/>
      <c r="P824" s="91"/>
      <c r="Q824" s="91"/>
      <c r="R824" s="91"/>
      <c r="S824" s="91"/>
      <c r="T824" s="62"/>
      <c r="U824" s="62"/>
      <c r="V824" s="62"/>
      <c r="W824" s="62"/>
      <c r="X824" s="62"/>
      <c r="Y824" s="62"/>
      <c r="Z824" s="91"/>
      <c r="AA824" s="91"/>
      <c r="AB824" s="91"/>
      <c r="AC824" s="91"/>
      <c r="AD824" s="91"/>
      <c r="AE824" s="91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1"/>
      <c r="C825" s="91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1"/>
      <c r="O825" s="91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1"/>
      <c r="AA825" s="91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109"/>
      <c r="E835" s="109"/>
      <c r="F835" s="91"/>
      <c r="G835" s="91"/>
      <c r="H835" s="62"/>
      <c r="I835" s="109"/>
      <c r="J835" s="109"/>
      <c r="K835" s="108"/>
      <c r="L835" s="62"/>
      <c r="M835" s="62"/>
      <c r="N835" s="65"/>
      <c r="O835" s="91"/>
      <c r="P835" s="109"/>
      <c r="Q835" s="109"/>
      <c r="R835" s="91"/>
      <c r="S835" s="91"/>
      <c r="T835" s="62"/>
      <c r="U835" s="109"/>
      <c r="V835" s="109"/>
      <c r="W835" s="108"/>
      <c r="X835" s="62"/>
      <c r="Y835" s="62"/>
      <c r="Z835" s="65"/>
      <c r="AA835" s="91"/>
      <c r="AB835" s="109"/>
      <c r="AC835" s="109"/>
      <c r="AD835" s="91"/>
      <c r="AE835" s="91"/>
      <c r="AF835" s="62"/>
      <c r="AG835" s="109"/>
      <c r="AH835" s="109"/>
      <c r="AI835" s="108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108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108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108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09"/>
      <c r="E890" s="109"/>
      <c r="F890" s="91"/>
      <c r="G890" s="91"/>
      <c r="H890" s="62"/>
      <c r="I890" s="109"/>
      <c r="J890" s="109"/>
      <c r="K890" s="108"/>
      <c r="L890" s="62"/>
      <c r="M890" s="62"/>
      <c r="N890" s="65"/>
      <c r="O890" s="91"/>
      <c r="P890" s="109"/>
      <c r="Q890" s="109"/>
      <c r="R890" s="91"/>
      <c r="S890" s="91"/>
      <c r="T890" s="62"/>
      <c r="U890" s="109"/>
      <c r="V890" s="109"/>
      <c r="W890" s="108"/>
      <c r="X890" s="62"/>
      <c r="Y890" s="62"/>
      <c r="Z890" s="65"/>
      <c r="AA890" s="91"/>
      <c r="AB890" s="109"/>
      <c r="AC890" s="109"/>
      <c r="AD890" s="91"/>
      <c r="AE890" s="91"/>
      <c r="AF890" s="62"/>
      <c r="AG890" s="109"/>
      <c r="AH890" s="109"/>
      <c r="AI890" s="108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08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108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108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09"/>
      <c r="E945" s="109"/>
      <c r="F945" s="88"/>
      <c r="G945" s="88"/>
      <c r="H945" s="62"/>
      <c r="I945" s="109"/>
      <c r="J945" s="109"/>
      <c r="K945" s="108"/>
      <c r="L945" s="62"/>
      <c r="M945" s="62"/>
      <c r="N945" s="65"/>
      <c r="O945" s="88"/>
      <c r="P945" s="109"/>
      <c r="Q945" s="109"/>
      <c r="R945" s="88"/>
      <c r="S945" s="88"/>
      <c r="T945" s="62"/>
      <c r="U945" s="109"/>
      <c r="V945" s="109"/>
      <c r="W945" s="108"/>
      <c r="X945" s="62"/>
      <c r="Y945" s="62"/>
      <c r="Z945" s="65"/>
      <c r="AA945" s="88"/>
      <c r="AB945" s="109"/>
      <c r="AC945" s="109"/>
      <c r="AD945" s="88"/>
      <c r="AE945" s="88"/>
      <c r="AF945" s="62"/>
      <c r="AG945" s="109"/>
      <c r="AH945" s="109"/>
      <c r="AI945" s="108"/>
      <c r="AJ945" s="62"/>
      <c r="AK945" s="62"/>
      <c r="AL945" s="65"/>
      <c r="AM945" s="86"/>
      <c r="AN945" s="109"/>
      <c r="AO945" s="109"/>
      <c r="AP945" s="86"/>
      <c r="AQ945" s="86"/>
      <c r="AR945" s="62"/>
      <c r="AS945" s="109"/>
      <c r="AT945" s="109"/>
      <c r="AU945" s="108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08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08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08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8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9"/>
      <c r="E1000" s="109"/>
      <c r="F1000" s="86"/>
      <c r="G1000" s="86"/>
      <c r="H1000" s="62"/>
      <c r="I1000" s="109"/>
      <c r="J1000" s="109"/>
      <c r="K1000" s="108"/>
      <c r="L1000" s="62"/>
      <c r="M1000" s="62"/>
      <c r="N1000" s="65"/>
      <c r="O1000" s="86"/>
      <c r="P1000" s="109"/>
      <c r="Q1000" s="109"/>
      <c r="R1000" s="86"/>
      <c r="S1000" s="86"/>
      <c r="T1000" s="62"/>
      <c r="U1000" s="109"/>
      <c r="V1000" s="109"/>
      <c r="W1000" s="108"/>
      <c r="X1000" s="62"/>
      <c r="Y1000" s="62"/>
      <c r="Z1000" s="65"/>
      <c r="AA1000" s="86"/>
      <c r="AB1000" s="109"/>
      <c r="AC1000" s="109"/>
      <c r="AD1000" s="86"/>
      <c r="AE1000" s="86"/>
      <c r="AF1000" s="62"/>
      <c r="AG1000" s="109"/>
      <c r="AH1000" s="109"/>
      <c r="AI1000" s="108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8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8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8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9"/>
      <c r="E1055" s="109"/>
      <c r="F1055" s="86"/>
      <c r="G1055" s="86"/>
      <c r="H1055" s="62"/>
      <c r="I1055" s="109"/>
      <c r="J1055" s="109"/>
      <c r="K1055" s="108"/>
      <c r="L1055" s="62"/>
      <c r="M1055" s="62"/>
      <c r="N1055" s="65"/>
      <c r="O1055" s="86"/>
      <c r="P1055" s="109"/>
      <c r="Q1055" s="109"/>
      <c r="R1055" s="86"/>
      <c r="S1055" s="86"/>
      <c r="T1055" s="62"/>
      <c r="U1055" s="109"/>
      <c r="V1055" s="109"/>
      <c r="W1055" s="108"/>
      <c r="X1055" s="62"/>
      <c r="Y1055" s="62"/>
      <c r="Z1055" s="65"/>
      <c r="AA1055" s="86"/>
      <c r="AB1055" s="109"/>
      <c r="AC1055" s="109"/>
      <c r="AD1055" s="86"/>
      <c r="AE1055" s="86"/>
      <c r="AF1055" s="62"/>
      <c r="AG1055" s="109"/>
      <c r="AH1055" s="109"/>
      <c r="AI1055" s="108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8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8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8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9"/>
      <c r="E1110" s="109"/>
      <c r="F1110" s="86"/>
      <c r="G1110" s="86"/>
      <c r="H1110" s="62"/>
      <c r="I1110" s="109"/>
      <c r="J1110" s="109"/>
      <c r="K1110" s="108"/>
      <c r="L1110" s="62"/>
      <c r="M1110" s="62"/>
      <c r="N1110" s="65"/>
      <c r="O1110" s="86"/>
      <c r="P1110" s="109"/>
      <c r="Q1110" s="109"/>
      <c r="R1110" s="86"/>
      <c r="S1110" s="86"/>
      <c r="T1110" s="62"/>
      <c r="U1110" s="109"/>
      <c r="V1110" s="109"/>
      <c r="W1110" s="108"/>
      <c r="X1110" s="62"/>
      <c r="Y1110" s="62"/>
      <c r="Z1110" s="65"/>
      <c r="AA1110" s="86"/>
      <c r="AB1110" s="109"/>
      <c r="AC1110" s="109"/>
      <c r="AD1110" s="86"/>
      <c r="AE1110" s="86"/>
      <c r="AF1110" s="62"/>
      <c r="AG1110" s="109"/>
      <c r="AH1110" s="109"/>
      <c r="AI1110" s="108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8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8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8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9"/>
      <c r="E1165" s="109"/>
      <c r="F1165" s="86"/>
      <c r="G1165" s="86"/>
      <c r="H1165" s="62"/>
      <c r="I1165" s="109"/>
      <c r="J1165" s="109"/>
      <c r="K1165" s="108"/>
      <c r="L1165" s="62"/>
      <c r="M1165" s="62"/>
      <c r="N1165" s="65"/>
      <c r="O1165" s="86"/>
      <c r="P1165" s="109"/>
      <c r="Q1165" s="109"/>
      <c r="R1165" s="86"/>
      <c r="S1165" s="86"/>
      <c r="T1165" s="62"/>
      <c r="U1165" s="109"/>
      <c r="V1165" s="109"/>
      <c r="W1165" s="108"/>
      <c r="X1165" s="62"/>
      <c r="Y1165" s="62"/>
      <c r="Z1165" s="65"/>
      <c r="AA1165" s="86"/>
      <c r="AB1165" s="109"/>
      <c r="AC1165" s="109"/>
      <c r="AD1165" s="86"/>
      <c r="AE1165" s="86"/>
      <c r="AF1165" s="62"/>
      <c r="AG1165" s="109"/>
      <c r="AH1165" s="109"/>
      <c r="AI1165" s="108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8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8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8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9"/>
      <c r="E1221" s="109"/>
      <c r="F1221" s="86"/>
      <c r="G1221" s="86"/>
      <c r="H1221" s="62"/>
      <c r="I1221" s="109"/>
      <c r="J1221" s="109"/>
      <c r="K1221" s="108"/>
      <c r="L1221" s="62"/>
      <c r="M1221" s="62"/>
      <c r="N1221" s="65"/>
      <c r="O1221" s="86"/>
      <c r="P1221" s="109"/>
      <c r="Q1221" s="109"/>
      <c r="R1221" s="86"/>
      <c r="S1221" s="86"/>
      <c r="T1221" s="62"/>
      <c r="U1221" s="109"/>
      <c r="V1221" s="109"/>
      <c r="W1221" s="108"/>
      <c r="X1221" s="62"/>
      <c r="Y1221" s="62"/>
      <c r="Z1221" s="65"/>
      <c r="AA1221" s="86"/>
      <c r="AB1221" s="109"/>
      <c r="AC1221" s="109"/>
      <c r="AD1221" s="86"/>
      <c r="AE1221" s="86"/>
      <c r="AF1221" s="62"/>
      <c r="AG1221" s="109"/>
      <c r="AH1221" s="109"/>
      <c r="AI1221" s="108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8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8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8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9"/>
      <c r="E1283" s="109"/>
      <c r="F1283" s="86"/>
      <c r="G1283" s="86"/>
      <c r="H1283" s="62"/>
      <c r="I1283" s="109"/>
      <c r="J1283" s="109"/>
      <c r="K1283" s="108"/>
      <c r="L1283" s="62"/>
      <c r="M1283" s="62"/>
      <c r="N1283" s="65"/>
      <c r="O1283" s="86"/>
      <c r="P1283" s="109"/>
      <c r="Q1283" s="109"/>
      <c r="R1283" s="86"/>
      <c r="S1283" s="86"/>
      <c r="T1283" s="62"/>
      <c r="U1283" s="109"/>
      <c r="V1283" s="109"/>
      <c r="W1283" s="108"/>
      <c r="X1283" s="62"/>
      <c r="Y1283" s="62"/>
      <c r="Z1283" s="65"/>
      <c r="AA1283" s="86"/>
      <c r="AB1283" s="109"/>
      <c r="AC1283" s="109"/>
      <c r="AD1283" s="86"/>
      <c r="AE1283" s="86"/>
      <c r="AF1283" s="62"/>
      <c r="AG1283" s="109"/>
      <c r="AH1283" s="109"/>
      <c r="AI1283" s="10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8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8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8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2026-04-14T01:06:03Z</dcterms:modified>
</cp:coreProperties>
</file>