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D3B07739-E35F-4B95-A2E7-8A92ED4AC2C8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679" i="2" l="1"/>
  <c r="AH678" i="2"/>
  <c r="AH715" i="2"/>
  <c r="AC678" i="2"/>
  <c r="AC715" i="2" s="1"/>
  <c r="AB678" i="2"/>
  <c r="AG677" i="2"/>
  <c r="AB677" i="2"/>
  <c r="AC676" i="2"/>
  <c r="AE676" i="2" s="1"/>
  <c r="AI676" i="2" s="1"/>
  <c r="AB676" i="2"/>
  <c r="AC675" i="2"/>
  <c r="AB675" i="2"/>
  <c r="AG674" i="2"/>
  <c r="AB674" i="2"/>
  <c r="AB673" i="2"/>
  <c r="AG672" i="2"/>
  <c r="AB672" i="2"/>
  <c r="AE672" i="2" s="1"/>
  <c r="AA673" i="2"/>
  <c r="AA674" i="2" s="1"/>
  <c r="AA675" i="2" s="1"/>
  <c r="AA676" i="2" s="1"/>
  <c r="AA677" i="2" s="1"/>
  <c r="AA678" i="2" s="1"/>
  <c r="AA679" i="2" s="1"/>
  <c r="AE673" i="2"/>
  <c r="AE674" i="2"/>
  <c r="AE677" i="2"/>
  <c r="AI677" i="2" s="1"/>
  <c r="AE679" i="2"/>
  <c r="AI679" i="2" s="1"/>
  <c r="AE680" i="2"/>
  <c r="AI680" i="2" s="1"/>
  <c r="AE681" i="2"/>
  <c r="AI681" i="2"/>
  <c r="AE682" i="2"/>
  <c r="AI682" i="2"/>
  <c r="AE683" i="2"/>
  <c r="AI683" i="2"/>
  <c r="AE684" i="2"/>
  <c r="AI684" i="2" s="1"/>
  <c r="AE685" i="2"/>
  <c r="AI685" i="2"/>
  <c r="AE686" i="2"/>
  <c r="AI686" i="2"/>
  <c r="AE687" i="2"/>
  <c r="AI687" i="2" s="1"/>
  <c r="AE688" i="2"/>
  <c r="AI688" i="2" s="1"/>
  <c r="AE689" i="2"/>
  <c r="AI689" i="2"/>
  <c r="AE690" i="2"/>
  <c r="AI690" i="2"/>
  <c r="AE691" i="2"/>
  <c r="AI691" i="2"/>
  <c r="AE692" i="2"/>
  <c r="AI692" i="2" s="1"/>
  <c r="AE693" i="2"/>
  <c r="AI693" i="2"/>
  <c r="AE694" i="2"/>
  <c r="AI694" i="2"/>
  <c r="AE695" i="2"/>
  <c r="AI695" i="2" s="1"/>
  <c r="AE696" i="2"/>
  <c r="AI696" i="2" s="1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 s="1"/>
  <c r="AE704" i="2"/>
  <c r="AI704" i="2" s="1"/>
  <c r="AE705" i="2"/>
  <c r="AI705" i="2"/>
  <c r="AE706" i="2"/>
  <c r="AI706" i="2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75" i="2"/>
  <c r="Q674" i="2"/>
  <c r="P674" i="2"/>
  <c r="S674" i="2" s="1"/>
  <c r="U673" i="2"/>
  <c r="U715" i="2" s="1"/>
  <c r="Q673" i="2"/>
  <c r="Q715" i="2" s="1"/>
  <c r="P673" i="2"/>
  <c r="S673" i="2" s="1"/>
  <c r="P672" i="2"/>
  <c r="S672" i="2" s="1"/>
  <c r="W672" i="2" s="1"/>
  <c r="O673" i="2"/>
  <c r="O674" i="2" s="1"/>
  <c r="O675" i="2" s="1"/>
  <c r="S675" i="2"/>
  <c r="W675" i="2" s="1"/>
  <c r="S676" i="2"/>
  <c r="W676" i="2" s="1"/>
  <c r="S677" i="2"/>
  <c r="W677" i="2" s="1"/>
  <c r="S678" i="2"/>
  <c r="W678" i="2"/>
  <c r="S679" i="2"/>
  <c r="W679" i="2"/>
  <c r="S680" i="2"/>
  <c r="W680" i="2" s="1"/>
  <c r="S681" i="2"/>
  <c r="W681" i="2"/>
  <c r="S682" i="2"/>
  <c r="W682" i="2" s="1"/>
  <c r="S683" i="2"/>
  <c r="W683" i="2" s="1"/>
  <c r="S684" i="2"/>
  <c r="W684" i="2" s="1"/>
  <c r="S685" i="2"/>
  <c r="W685" i="2"/>
  <c r="S686" i="2"/>
  <c r="W686" i="2" s="1"/>
  <c r="S687" i="2"/>
  <c r="W687" i="2"/>
  <c r="S688" i="2"/>
  <c r="W688" i="2" s="1"/>
  <c r="S689" i="2"/>
  <c r="W689" i="2" s="1"/>
  <c r="S690" i="2"/>
  <c r="W690" i="2"/>
  <c r="S691" i="2"/>
  <c r="W691" i="2"/>
  <c r="S692" i="2"/>
  <c r="W692" i="2"/>
  <c r="S693" i="2"/>
  <c r="W693" i="2" s="1"/>
  <c r="S694" i="2"/>
  <c r="W694" i="2"/>
  <c r="S695" i="2"/>
  <c r="W695" i="2"/>
  <c r="S696" i="2"/>
  <c r="W696" i="2"/>
  <c r="S697" i="2"/>
  <c r="W697" i="2" s="1"/>
  <c r="S698" i="2"/>
  <c r="W698" i="2"/>
  <c r="S699" i="2"/>
  <c r="W699" i="2"/>
  <c r="S700" i="2"/>
  <c r="W700" i="2"/>
  <c r="S701" i="2"/>
  <c r="W701" i="2" s="1"/>
  <c r="S702" i="2"/>
  <c r="W702" i="2"/>
  <c r="S703" i="2"/>
  <c r="W703" i="2"/>
  <c r="S704" i="2"/>
  <c r="W704" i="2"/>
  <c r="S705" i="2"/>
  <c r="W705" i="2" s="1"/>
  <c r="S706" i="2"/>
  <c r="W706" i="2"/>
  <c r="S707" i="2"/>
  <c r="W707" i="2"/>
  <c r="S708" i="2"/>
  <c r="W708" i="2"/>
  <c r="S709" i="2"/>
  <c r="W709" i="2" s="1"/>
  <c r="S710" i="2"/>
  <c r="W710" i="2"/>
  <c r="W711" i="2"/>
  <c r="S712" i="2"/>
  <c r="W712" i="2"/>
  <c r="W713" i="2"/>
  <c r="R715" i="2"/>
  <c r="V715" i="2"/>
  <c r="D681" i="2"/>
  <c r="G681" i="2" s="1"/>
  <c r="K681" i="2" s="1"/>
  <c r="E680" i="2"/>
  <c r="D680" i="2"/>
  <c r="E679" i="2"/>
  <c r="E715" i="2" s="1"/>
  <c r="D679" i="2"/>
  <c r="J678" i="2"/>
  <c r="D678" i="2"/>
  <c r="D677" i="2"/>
  <c r="G677" i="2" s="1"/>
  <c r="K677" i="2" s="1"/>
  <c r="D676" i="2"/>
  <c r="G676" i="2" s="1"/>
  <c r="K676" i="2" s="1"/>
  <c r="D675" i="2"/>
  <c r="D674" i="2"/>
  <c r="D673" i="2"/>
  <c r="D672" i="2"/>
  <c r="I715" i="2"/>
  <c r="F715" i="2"/>
  <c r="G712" i="2"/>
  <c r="K712" i="2" s="1"/>
  <c r="G705" i="2"/>
  <c r="K705" i="2" s="1"/>
  <c r="G704" i="2"/>
  <c r="K704" i="2" s="1"/>
  <c r="K703" i="2"/>
  <c r="G703" i="2"/>
  <c r="G702" i="2"/>
  <c r="K702" i="2" s="1"/>
  <c r="G701" i="2"/>
  <c r="K701" i="2" s="1"/>
  <c r="K700" i="2"/>
  <c r="G700" i="2"/>
  <c r="K699" i="2"/>
  <c r="G699" i="2"/>
  <c r="G698" i="2"/>
  <c r="K698" i="2" s="1"/>
  <c r="G697" i="2"/>
  <c r="K697" i="2" s="1"/>
  <c r="G696" i="2"/>
  <c r="K696" i="2" s="1"/>
  <c r="K695" i="2"/>
  <c r="G695" i="2"/>
  <c r="G694" i="2"/>
  <c r="K694" i="2" s="1"/>
  <c r="G693" i="2"/>
  <c r="K693" i="2" s="1"/>
  <c r="K692" i="2"/>
  <c r="G692" i="2"/>
  <c r="K691" i="2"/>
  <c r="G691" i="2"/>
  <c r="G690" i="2"/>
  <c r="K690" i="2" s="1"/>
  <c r="G689" i="2"/>
  <c r="K689" i="2" s="1"/>
  <c r="G688" i="2"/>
  <c r="K688" i="2" s="1"/>
  <c r="K687" i="2"/>
  <c r="G687" i="2"/>
  <c r="G686" i="2"/>
  <c r="K686" i="2" s="1"/>
  <c r="G685" i="2"/>
  <c r="K685" i="2" s="1"/>
  <c r="K684" i="2"/>
  <c r="G684" i="2"/>
  <c r="K683" i="2"/>
  <c r="G683" i="2"/>
  <c r="G682" i="2"/>
  <c r="K682" i="2" s="1"/>
  <c r="G680" i="2"/>
  <c r="K680" i="2" s="1"/>
  <c r="G678" i="2"/>
  <c r="K678" i="2" s="1"/>
  <c r="J715" i="2"/>
  <c r="G675" i="2"/>
  <c r="K675" i="2" s="1"/>
  <c r="G674" i="2"/>
  <c r="K674" i="2" s="1"/>
  <c r="G673" i="2"/>
  <c r="K673" i="2" s="1"/>
  <c r="C673" i="2"/>
  <c r="C674" i="2" s="1"/>
  <c r="C675" i="2" s="1"/>
  <c r="C676" i="2" s="1"/>
  <c r="C677" i="2" s="1"/>
  <c r="C678" i="2" s="1"/>
  <c r="C679" i="2" s="1"/>
  <c r="C680" i="2" s="1"/>
  <c r="C681" i="2" s="1"/>
  <c r="AE678" i="2" l="1"/>
  <c r="AI678" i="2" s="1"/>
  <c r="AE675" i="2"/>
  <c r="AI675" i="2" s="1"/>
  <c r="AI674" i="2"/>
  <c r="AG715" i="2"/>
  <c r="AI672" i="2"/>
  <c r="AB715" i="2"/>
  <c r="AE715" i="2"/>
  <c r="AI673" i="2"/>
  <c r="W673" i="2"/>
  <c r="P715" i="2"/>
  <c r="S715" i="2"/>
  <c r="W674" i="2"/>
  <c r="W715" i="2" s="1"/>
  <c r="G679" i="2"/>
  <c r="K679" i="2" s="1"/>
  <c r="D715" i="2"/>
  <c r="G672" i="2"/>
  <c r="AB625" i="2"/>
  <c r="AH624" i="2"/>
  <c r="AC624" i="2"/>
  <c r="AE624" i="2" s="1"/>
  <c r="AI624" i="2" s="1"/>
  <c r="AB624" i="2"/>
  <c r="AH622" i="2"/>
  <c r="AH660" i="2" s="1"/>
  <c r="AG622" i="2"/>
  <c r="AG660" i="2" s="1"/>
  <c r="AC622" i="2"/>
  <c r="AB622" i="2"/>
  <c r="AE622" i="2" s="1"/>
  <c r="AC621" i="2"/>
  <c r="AE621" i="2" s="1"/>
  <c r="AI621" i="2" s="1"/>
  <c r="AB621" i="2"/>
  <c r="AB620" i="2"/>
  <c r="AE620" i="2" s="1"/>
  <c r="AI620" i="2" s="1"/>
  <c r="AB619" i="2"/>
  <c r="AB618" i="2"/>
  <c r="AE618" i="2" s="1"/>
  <c r="AI618" i="2" s="1"/>
  <c r="AC617" i="2"/>
  <c r="AB617" i="2"/>
  <c r="AA624" i="2"/>
  <c r="AA625" i="2" s="1"/>
  <c r="AA618" i="2"/>
  <c r="AA619" i="2" s="1"/>
  <c r="AA620" i="2" s="1"/>
  <c r="AA621" i="2" s="1"/>
  <c r="AA622" i="2" s="1"/>
  <c r="AA623" i="2" s="1"/>
  <c r="AE619" i="2"/>
  <c r="AI619" i="2" s="1"/>
  <c r="AE623" i="2"/>
  <c r="AI623" i="2" s="1"/>
  <c r="AE625" i="2"/>
  <c r="AI625" i="2" s="1"/>
  <c r="AE626" i="2"/>
  <c r="AI626" i="2" s="1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P633" i="2"/>
  <c r="P632" i="2"/>
  <c r="O632" i="2"/>
  <c r="O633" i="2"/>
  <c r="P631" i="2"/>
  <c r="P630" i="2"/>
  <c r="S630" i="2" s="1"/>
  <c r="W630" i="2" s="1"/>
  <c r="P629" i="2"/>
  <c r="P628" i="2"/>
  <c r="P627" i="2"/>
  <c r="S627" i="2" s="1"/>
  <c r="W627" i="2" s="1"/>
  <c r="P626" i="2"/>
  <c r="S626" i="2" s="1"/>
  <c r="W626" i="2" s="1"/>
  <c r="P625" i="2"/>
  <c r="P624" i="2"/>
  <c r="V623" i="2"/>
  <c r="V660" i="2" s="1"/>
  <c r="P623" i="2"/>
  <c r="S623" i="2" s="1"/>
  <c r="P622" i="2"/>
  <c r="S622" i="2" s="1"/>
  <c r="W622" i="2" s="1"/>
  <c r="P621" i="2"/>
  <c r="P620" i="2"/>
  <c r="P619" i="2"/>
  <c r="S619" i="2" s="1"/>
  <c r="W619" i="2" s="1"/>
  <c r="V618" i="2"/>
  <c r="U618" i="2"/>
  <c r="Q618" i="2"/>
  <c r="S618" i="2" s="1"/>
  <c r="P618" i="2"/>
  <c r="P617" i="2"/>
  <c r="O622" i="2"/>
  <c r="O623" i="2" s="1"/>
  <c r="O624" i="2" s="1"/>
  <c r="O625" i="2" s="1"/>
  <c r="O626" i="2" s="1"/>
  <c r="O627" i="2" s="1"/>
  <c r="O628" i="2" s="1"/>
  <c r="O629" i="2" s="1"/>
  <c r="O630" i="2" s="1"/>
  <c r="O631" i="2" s="1"/>
  <c r="S617" i="2"/>
  <c r="O618" i="2"/>
  <c r="O619" i="2" s="1"/>
  <c r="O620" i="2" s="1"/>
  <c r="O621" i="2" s="1"/>
  <c r="S620" i="2"/>
  <c r="W620" i="2" s="1"/>
  <c r="S621" i="2"/>
  <c r="W621" i="2"/>
  <c r="S624" i="2"/>
  <c r="W624" i="2" s="1"/>
  <c r="S625" i="2"/>
  <c r="W625" i="2"/>
  <c r="S628" i="2"/>
  <c r="W628" i="2" s="1"/>
  <c r="S629" i="2"/>
  <c r="W629" i="2"/>
  <c r="S631" i="2"/>
  <c r="W631" i="2" s="1"/>
  <c r="S632" i="2"/>
  <c r="W632" i="2" s="1"/>
  <c r="S633" i="2"/>
  <c r="W633" i="2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R660" i="2"/>
  <c r="U660" i="2"/>
  <c r="AI715" i="2" l="1"/>
  <c r="G715" i="2"/>
  <c r="K672" i="2"/>
  <c r="K715" i="2" s="1"/>
  <c r="AI622" i="2"/>
  <c r="AC660" i="2"/>
  <c r="AB660" i="2"/>
  <c r="AE617" i="2"/>
  <c r="AI617" i="2" s="1"/>
  <c r="AI660" i="2"/>
  <c r="AE660" i="2"/>
  <c r="W623" i="2"/>
  <c r="P660" i="2"/>
  <c r="W618" i="2"/>
  <c r="Q660" i="2"/>
  <c r="S660" i="2"/>
  <c r="W617" i="2"/>
  <c r="W660" i="2"/>
  <c r="AB568" i="2"/>
  <c r="AE568" i="2" s="1"/>
  <c r="AI568" i="2" s="1"/>
  <c r="AB567" i="2"/>
  <c r="AC566" i="2"/>
  <c r="AE566" i="2" s="1"/>
  <c r="AI566" i="2" s="1"/>
  <c r="AB566" i="2"/>
  <c r="AB565" i="2"/>
  <c r="AE565" i="2" s="1"/>
  <c r="AI565" i="2" s="1"/>
  <c r="AG564" i="2"/>
  <c r="AG605" i="2" s="1"/>
  <c r="AB564" i="2"/>
  <c r="AE564" i="2" s="1"/>
  <c r="AC563" i="2"/>
  <c r="AB563" i="2"/>
  <c r="AE563" i="2" s="1"/>
  <c r="AH562" i="2"/>
  <c r="AC562" i="2"/>
  <c r="AB562" i="2"/>
  <c r="AA567" i="2"/>
  <c r="AA568" i="2"/>
  <c r="AA563" i="2"/>
  <c r="AA564" i="2" s="1"/>
  <c r="AA565" i="2" s="1"/>
  <c r="AA566" i="2" s="1"/>
  <c r="AE567" i="2"/>
  <c r="AI567" i="2" s="1"/>
  <c r="AE569" i="2"/>
  <c r="AI569" i="2"/>
  <c r="AE570" i="2"/>
  <c r="AI570" i="2"/>
  <c r="AE571" i="2"/>
  <c r="AI571" i="2"/>
  <c r="AE572" i="2"/>
  <c r="AI572" i="2" s="1"/>
  <c r="AE573" i="2"/>
  <c r="AI573" i="2"/>
  <c r="AE574" i="2"/>
  <c r="AI574" i="2"/>
  <c r="AE575" i="2"/>
  <c r="AI575" i="2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/>
  <c r="AE583" i="2"/>
  <c r="AI583" i="2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 s="1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H605" i="2"/>
  <c r="P566" i="2"/>
  <c r="P565" i="2"/>
  <c r="V565" i="2"/>
  <c r="S565" i="2"/>
  <c r="W565" i="2" s="1"/>
  <c r="P564" i="2"/>
  <c r="S564" i="2" s="1"/>
  <c r="W564" i="2" s="1"/>
  <c r="Q563" i="2"/>
  <c r="P563" i="2"/>
  <c r="S563" i="2" s="1"/>
  <c r="P562" i="2"/>
  <c r="O565" i="2"/>
  <c r="O566" i="2"/>
  <c r="S562" i="2"/>
  <c r="W562" i="2"/>
  <c r="O563" i="2"/>
  <c r="O564" i="2" s="1"/>
  <c r="S566" i="2"/>
  <c r="W566" i="2" s="1"/>
  <c r="S567" i="2"/>
  <c r="W567" i="2"/>
  <c r="S568" i="2"/>
  <c r="W568" i="2" s="1"/>
  <c r="S569" i="2"/>
  <c r="W569" i="2"/>
  <c r="S570" i="2"/>
  <c r="W570" i="2"/>
  <c r="S571" i="2"/>
  <c r="W571" i="2" s="1"/>
  <c r="S572" i="2"/>
  <c r="W572" i="2" s="1"/>
  <c r="S573" i="2"/>
  <c r="W573" i="2"/>
  <c r="S574" i="2"/>
  <c r="W574" i="2"/>
  <c r="S575" i="2"/>
  <c r="W575" i="2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/>
  <c r="S599" i="2"/>
  <c r="W599" i="2"/>
  <c r="S600" i="2"/>
  <c r="W600" i="2"/>
  <c r="W601" i="2"/>
  <c r="S602" i="2"/>
  <c r="W602" i="2"/>
  <c r="W603" i="2"/>
  <c r="Q605" i="2"/>
  <c r="R605" i="2"/>
  <c r="U605" i="2"/>
  <c r="V605" i="2"/>
  <c r="D571" i="2"/>
  <c r="G571" i="2" s="1"/>
  <c r="K571" i="2" s="1"/>
  <c r="D570" i="2"/>
  <c r="D569" i="2"/>
  <c r="D568" i="2"/>
  <c r="G568" i="2" s="1"/>
  <c r="K568" i="2" s="1"/>
  <c r="D567" i="2"/>
  <c r="G567" i="2" s="1"/>
  <c r="K567" i="2" s="1"/>
  <c r="D566" i="2"/>
  <c r="G566" i="2" s="1"/>
  <c r="K566" i="2" s="1"/>
  <c r="J565" i="2"/>
  <c r="J605" i="2" s="1"/>
  <c r="D565" i="2"/>
  <c r="G565" i="2" s="1"/>
  <c r="I564" i="2"/>
  <c r="D564" i="2"/>
  <c r="G564" i="2" s="1"/>
  <c r="K564" i="2" s="1"/>
  <c r="D563" i="2"/>
  <c r="I562" i="2"/>
  <c r="I605" i="2" s="1"/>
  <c r="D562" i="2"/>
  <c r="C565" i="2"/>
  <c r="C566" i="2" s="1"/>
  <c r="C567" i="2" s="1"/>
  <c r="C568" i="2" s="1"/>
  <c r="C569" i="2" s="1"/>
  <c r="C570" i="2" s="1"/>
  <c r="C571" i="2" s="1"/>
  <c r="C563" i="2"/>
  <c r="G563" i="2"/>
  <c r="K563" i="2" s="1"/>
  <c r="E605" i="2"/>
  <c r="C564" i="2"/>
  <c r="G569" i="2"/>
  <c r="K569" i="2"/>
  <c r="G570" i="2"/>
  <c r="K570" i="2"/>
  <c r="G572" i="2"/>
  <c r="K572" i="2" s="1"/>
  <c r="G573" i="2"/>
  <c r="K573" i="2"/>
  <c r="G574" i="2"/>
  <c r="K574" i="2"/>
  <c r="G575" i="2"/>
  <c r="K575" i="2"/>
  <c r="G576" i="2"/>
  <c r="K576" i="2"/>
  <c r="G577" i="2"/>
  <c r="K577" i="2" s="1"/>
  <c r="G578" i="2"/>
  <c r="K578" i="2"/>
  <c r="G579" i="2"/>
  <c r="K579" i="2"/>
  <c r="G580" i="2"/>
  <c r="K580" i="2" s="1"/>
  <c r="G581" i="2"/>
  <c r="K581" i="2"/>
  <c r="G582" i="2"/>
  <c r="K582" i="2"/>
  <c r="G583" i="2"/>
  <c r="K583" i="2"/>
  <c r="G584" i="2"/>
  <c r="K584" i="2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/>
  <c r="G592" i="2"/>
  <c r="K592" i="2"/>
  <c r="G593" i="2"/>
  <c r="K593" i="2"/>
  <c r="G594" i="2"/>
  <c r="K594" i="2"/>
  <c r="G595" i="2"/>
  <c r="K595" i="2"/>
  <c r="G602" i="2"/>
  <c r="K602" i="2" s="1"/>
  <c r="F605" i="2"/>
  <c r="AI564" i="2" l="1"/>
  <c r="AC605" i="2"/>
  <c r="AE562" i="2"/>
  <c r="AI562" i="2" s="1"/>
  <c r="AE605" i="2"/>
  <c r="AI563" i="2"/>
  <c r="AB605" i="2"/>
  <c r="P605" i="2"/>
  <c r="W563" i="2"/>
  <c r="W605" i="2" s="1"/>
  <c r="S605" i="2"/>
  <c r="K565" i="2"/>
  <c r="D605" i="2"/>
  <c r="G562" i="2"/>
  <c r="K562" i="2" s="1"/>
  <c r="G605" i="2"/>
  <c r="AB517" i="2"/>
  <c r="AB516" i="2"/>
  <c r="AB515" i="2"/>
  <c r="AE515" i="2" s="1"/>
  <c r="AI515" i="2" s="1"/>
  <c r="AG514" i="2"/>
  <c r="AB514" i="2"/>
  <c r="AE514" i="2" s="1"/>
  <c r="AB513" i="2"/>
  <c r="AE513" i="2"/>
  <c r="AA513" i="2"/>
  <c r="AA514" i="2" s="1"/>
  <c r="AA515" i="2" s="1"/>
  <c r="AA516" i="2" s="1"/>
  <c r="AA517" i="2" s="1"/>
  <c r="AG512" i="2"/>
  <c r="AB512" i="2"/>
  <c r="AE512" i="2" s="1"/>
  <c r="AI512" i="2" s="1"/>
  <c r="AC512" i="2"/>
  <c r="AC550" i="2" s="1"/>
  <c r="AG510" i="2"/>
  <c r="AB510" i="2"/>
  <c r="AG509" i="2"/>
  <c r="AB509" i="2"/>
  <c r="AE509" i="2" s="1"/>
  <c r="AI509" i="2" s="1"/>
  <c r="AC509" i="2"/>
  <c r="AG508" i="2"/>
  <c r="AB508" i="2"/>
  <c r="AB507" i="2"/>
  <c r="AA508" i="2"/>
  <c r="AA509" i="2" s="1"/>
  <c r="AA510" i="2" s="1"/>
  <c r="AA511" i="2" s="1"/>
  <c r="AA512" i="2" s="1"/>
  <c r="AE510" i="2"/>
  <c r="AI510" i="2" s="1"/>
  <c r="AE511" i="2"/>
  <c r="AI511" i="2" s="1"/>
  <c r="AE516" i="2"/>
  <c r="AI516" i="2" s="1"/>
  <c r="AE517" i="2"/>
  <c r="AI517" i="2" s="1"/>
  <c r="AE518" i="2"/>
  <c r="AI518" i="2" s="1"/>
  <c r="AE519" i="2"/>
  <c r="AI519" i="2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 s="1"/>
  <c r="AE527" i="2"/>
  <c r="AI527" i="2"/>
  <c r="AE528" i="2"/>
  <c r="AI528" i="2" s="1"/>
  <c r="AE529" i="2"/>
  <c r="AI529" i="2" s="1"/>
  <c r="AE530" i="2"/>
  <c r="AI530" i="2" s="1"/>
  <c r="AE531" i="2"/>
  <c r="AI531" i="2" s="1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/>
  <c r="AE538" i="2"/>
  <c r="AI538" i="2"/>
  <c r="AE539" i="2"/>
  <c r="AI539" i="2" s="1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/>
  <c r="AI546" i="2"/>
  <c r="AE547" i="2"/>
  <c r="AI547" i="2"/>
  <c r="AI548" i="2"/>
  <c r="AD550" i="2"/>
  <c r="AH550" i="2"/>
  <c r="P509" i="2"/>
  <c r="P508" i="2"/>
  <c r="V507" i="2"/>
  <c r="V550" i="2" s="1"/>
  <c r="U507" i="2"/>
  <c r="U550" i="2" s="1"/>
  <c r="Q507" i="2"/>
  <c r="P507" i="2"/>
  <c r="S507" i="2" s="1"/>
  <c r="O508" i="2"/>
  <c r="O509" i="2" s="1"/>
  <c r="S508" i="2"/>
  <c r="W508" i="2" s="1"/>
  <c r="S509" i="2"/>
  <c r="W509" i="2" s="1"/>
  <c r="S510" i="2"/>
  <c r="W510" i="2"/>
  <c r="S511" i="2"/>
  <c r="W511" i="2"/>
  <c r="S512" i="2"/>
  <c r="W512" i="2" s="1"/>
  <c r="S513" i="2"/>
  <c r="W513" i="2" s="1"/>
  <c r="S514" i="2"/>
  <c r="W514" i="2"/>
  <c r="S515" i="2"/>
  <c r="W515" i="2"/>
  <c r="S516" i="2"/>
  <c r="W516" i="2" s="1"/>
  <c r="S517" i="2"/>
  <c r="W517" i="2" s="1"/>
  <c r="S518" i="2"/>
  <c r="W518" i="2"/>
  <c r="S519" i="2"/>
  <c r="W519" i="2"/>
  <c r="S520" i="2"/>
  <c r="W520" i="2"/>
  <c r="S521" i="2"/>
  <c r="W521" i="2"/>
  <c r="S522" i="2"/>
  <c r="W522" i="2"/>
  <c r="S523" i="2"/>
  <c r="W523" i="2"/>
  <c r="S524" i="2"/>
  <c r="W524" i="2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 s="1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 s="1"/>
  <c r="S542" i="2"/>
  <c r="W542" i="2"/>
  <c r="S543" i="2"/>
  <c r="W543" i="2"/>
  <c r="S544" i="2"/>
  <c r="W544" i="2"/>
  <c r="S545" i="2"/>
  <c r="W545" i="2"/>
  <c r="W546" i="2"/>
  <c r="S547" i="2"/>
  <c r="W547" i="2" s="1"/>
  <c r="W548" i="2"/>
  <c r="Q550" i="2"/>
  <c r="R550" i="2"/>
  <c r="D509" i="2"/>
  <c r="J508" i="2"/>
  <c r="J550" i="2"/>
  <c r="I508" i="2"/>
  <c r="E508" i="2"/>
  <c r="E550" i="2" s="1"/>
  <c r="D508" i="2"/>
  <c r="I507" i="2"/>
  <c r="D507" i="2"/>
  <c r="G507" i="2"/>
  <c r="C508" i="2"/>
  <c r="C509" i="2" s="1"/>
  <c r="G508" i="2"/>
  <c r="G509" i="2"/>
  <c r="K509" i="2" s="1"/>
  <c r="D550" i="2"/>
  <c r="G511" i="2"/>
  <c r="K511" i="2"/>
  <c r="G512" i="2"/>
  <c r="K512" i="2" s="1"/>
  <c r="G513" i="2"/>
  <c r="K513" i="2"/>
  <c r="G514" i="2"/>
  <c r="K514" i="2" s="1"/>
  <c r="G515" i="2"/>
  <c r="K515" i="2"/>
  <c r="G516" i="2"/>
  <c r="K516" i="2" s="1"/>
  <c r="G517" i="2"/>
  <c r="K517" i="2" s="1"/>
  <c r="G518" i="2"/>
  <c r="K518" i="2" s="1"/>
  <c r="G519" i="2"/>
  <c r="K519" i="2"/>
  <c r="G520" i="2"/>
  <c r="K520" i="2" s="1"/>
  <c r="G521" i="2"/>
  <c r="K521" i="2" s="1"/>
  <c r="G522" i="2"/>
  <c r="K522" i="2"/>
  <c r="G523" i="2"/>
  <c r="K523" i="2"/>
  <c r="G524" i="2"/>
  <c r="K524" i="2" s="1"/>
  <c r="G525" i="2"/>
  <c r="K525" i="2" s="1"/>
  <c r="G526" i="2"/>
  <c r="K526" i="2" s="1"/>
  <c r="G527" i="2"/>
  <c r="K527" i="2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 s="1"/>
  <c r="G535" i="2"/>
  <c r="K535" i="2"/>
  <c r="G536" i="2"/>
  <c r="K536" i="2"/>
  <c r="G537" i="2"/>
  <c r="K537" i="2" s="1"/>
  <c r="G538" i="2"/>
  <c r="K538" i="2" s="1"/>
  <c r="G539" i="2"/>
  <c r="K539" i="2"/>
  <c r="G540" i="2"/>
  <c r="K540" i="2"/>
  <c r="G547" i="2"/>
  <c r="K547" i="2"/>
  <c r="F550" i="2"/>
  <c r="AI605" i="2" l="1"/>
  <c r="K605" i="2"/>
  <c r="AI514" i="2"/>
  <c r="AI513" i="2"/>
  <c r="AB550" i="2"/>
  <c r="AG550" i="2"/>
  <c r="AE507" i="2"/>
  <c r="AI507" i="2" s="1"/>
  <c r="AE508" i="2"/>
  <c r="W507" i="2"/>
  <c r="P550" i="2"/>
  <c r="W550" i="2"/>
  <c r="S550" i="2"/>
  <c r="K508" i="2"/>
  <c r="I550" i="2"/>
  <c r="G510" i="2"/>
  <c r="K510" i="2" s="1"/>
  <c r="K507" i="2"/>
  <c r="AC457" i="2"/>
  <c r="AB457" i="2"/>
  <c r="AC456" i="2"/>
  <c r="AC495" i="2" s="1"/>
  <c r="AB456" i="2"/>
  <c r="AE456" i="2" s="1"/>
  <c r="AI456" i="2" s="1"/>
  <c r="AG455" i="2"/>
  <c r="AG495" i="2"/>
  <c r="AB455" i="2"/>
  <c r="AB454" i="2"/>
  <c r="AG453" i="2"/>
  <c r="AB453" i="2"/>
  <c r="AE453" i="2" s="1"/>
  <c r="AB452" i="2"/>
  <c r="AE452" i="2"/>
  <c r="AI452" i="2" s="1"/>
  <c r="AA453" i="2"/>
  <c r="AA454" i="2" s="1"/>
  <c r="AA455" i="2" s="1"/>
  <c r="AA456" i="2" s="1"/>
  <c r="AA457" i="2" s="1"/>
  <c r="AE455" i="2"/>
  <c r="AI455" i="2" s="1"/>
  <c r="AE457" i="2"/>
  <c r="AI457" i="2" s="1"/>
  <c r="AE458" i="2"/>
  <c r="AI458" i="2"/>
  <c r="AE459" i="2"/>
  <c r="AI459" i="2" s="1"/>
  <c r="AE460" i="2"/>
  <c r="AI460" i="2"/>
  <c r="AE461" i="2"/>
  <c r="AI461" i="2" s="1"/>
  <c r="AE462" i="2"/>
  <c r="AI462" i="2" s="1"/>
  <c r="AE463" i="2"/>
  <c r="AI463" i="2" s="1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 s="1"/>
  <c r="AE470" i="2"/>
  <c r="AI470" i="2"/>
  <c r="AE471" i="2"/>
  <c r="AI471" i="2" s="1"/>
  <c r="AE472" i="2"/>
  <c r="AI472" i="2"/>
  <c r="AE473" i="2"/>
  <c r="AI473" i="2"/>
  <c r="AE474" i="2"/>
  <c r="AI474" i="2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/>
  <c r="AE481" i="2"/>
  <c r="AI481" i="2"/>
  <c r="AE482" i="2"/>
  <c r="AI482" i="2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/>
  <c r="AE489" i="2"/>
  <c r="AI489" i="2"/>
  <c r="AE490" i="2"/>
  <c r="AI490" i="2"/>
  <c r="AI491" i="2"/>
  <c r="AE492" i="2"/>
  <c r="AI492" i="2" s="1"/>
  <c r="AI493" i="2"/>
  <c r="AD495" i="2"/>
  <c r="AH495" i="2"/>
  <c r="P457" i="2"/>
  <c r="S457" i="2" s="1"/>
  <c r="W457" i="2" s="1"/>
  <c r="V456" i="2"/>
  <c r="P456" i="2"/>
  <c r="S456" i="2" s="1"/>
  <c r="W456" i="2" s="1"/>
  <c r="P455" i="2"/>
  <c r="P454" i="2"/>
  <c r="U453" i="2"/>
  <c r="Q453" i="2"/>
  <c r="Q495" i="2" s="1"/>
  <c r="P453" i="2"/>
  <c r="V452" i="2"/>
  <c r="V495" i="2" s="1"/>
  <c r="U452" i="2"/>
  <c r="U495" i="2" s="1"/>
  <c r="Q452" i="2"/>
  <c r="P452" i="2"/>
  <c r="S452" i="2" s="1"/>
  <c r="O453" i="2"/>
  <c r="O454" i="2" s="1"/>
  <c r="O455" i="2" s="1"/>
  <c r="O456" i="2" s="1"/>
  <c r="S454" i="2"/>
  <c r="W454" i="2" s="1"/>
  <c r="S458" i="2"/>
  <c r="W458" i="2"/>
  <c r="S459" i="2"/>
  <c r="W459" i="2" s="1"/>
  <c r="S460" i="2"/>
  <c r="W460" i="2"/>
  <c r="S461" i="2"/>
  <c r="W461" i="2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 s="1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/>
  <c r="S487" i="2"/>
  <c r="W487" i="2"/>
  <c r="S488" i="2"/>
  <c r="W488" i="2"/>
  <c r="S489" i="2"/>
  <c r="W489" i="2"/>
  <c r="S490" i="2"/>
  <c r="W490" i="2"/>
  <c r="W491" i="2"/>
  <c r="S492" i="2"/>
  <c r="W492" i="2"/>
  <c r="W493" i="2"/>
  <c r="R495" i="2"/>
  <c r="D472" i="2"/>
  <c r="C472" i="2"/>
  <c r="D471" i="2"/>
  <c r="G471" i="2" s="1"/>
  <c r="K471" i="2" s="1"/>
  <c r="D470" i="2"/>
  <c r="D469" i="2"/>
  <c r="G469" i="2" s="1"/>
  <c r="K469" i="2" s="1"/>
  <c r="D468" i="2"/>
  <c r="G468" i="2" s="1"/>
  <c r="K468" i="2" s="1"/>
  <c r="D467" i="2"/>
  <c r="G467" i="2" s="1"/>
  <c r="K467" i="2" s="1"/>
  <c r="D466" i="2"/>
  <c r="G466" i="2" s="1"/>
  <c r="K466" i="2" s="1"/>
  <c r="D465" i="2"/>
  <c r="D464" i="2"/>
  <c r="G464" i="2" s="1"/>
  <c r="K464" i="2" s="1"/>
  <c r="D463" i="2"/>
  <c r="D462" i="2"/>
  <c r="G462" i="2" s="1"/>
  <c r="K462" i="2" s="1"/>
  <c r="D461" i="2"/>
  <c r="G461" i="2" s="1"/>
  <c r="K461" i="2" s="1"/>
  <c r="D460" i="2"/>
  <c r="G460" i="2" s="1"/>
  <c r="K460" i="2" s="1"/>
  <c r="D459" i="2"/>
  <c r="G459" i="2" s="1"/>
  <c r="K459" i="2" s="1"/>
  <c r="D458" i="2"/>
  <c r="G458" i="2" s="1"/>
  <c r="K458" i="2" s="1"/>
  <c r="D457" i="2"/>
  <c r="D456" i="2"/>
  <c r="D455" i="2"/>
  <c r="G455" i="2" s="1"/>
  <c r="D454" i="2"/>
  <c r="D453" i="2"/>
  <c r="E452" i="2"/>
  <c r="E495" i="2" s="1"/>
  <c r="D452" i="2"/>
  <c r="C461" i="2"/>
  <c r="C462" i="2"/>
  <c r="C463" i="2" s="1"/>
  <c r="C464" i="2" s="1"/>
  <c r="C465" i="2" s="1"/>
  <c r="C466" i="2" s="1"/>
  <c r="C467" i="2" s="1"/>
  <c r="C468" i="2" s="1"/>
  <c r="C469" i="2" s="1"/>
  <c r="C470" i="2" s="1"/>
  <c r="C471" i="2" s="1"/>
  <c r="C453" i="2"/>
  <c r="C454" i="2" s="1"/>
  <c r="C455" i="2" s="1"/>
  <c r="C456" i="2" s="1"/>
  <c r="C457" i="2" s="1"/>
  <c r="C458" i="2" s="1"/>
  <c r="C459" i="2" s="1"/>
  <c r="C460" i="2" s="1"/>
  <c r="G453" i="2"/>
  <c r="K453" i="2"/>
  <c r="G454" i="2"/>
  <c r="K454" i="2" s="1"/>
  <c r="G456" i="2"/>
  <c r="K456" i="2"/>
  <c r="G457" i="2"/>
  <c r="K457" i="2" s="1"/>
  <c r="G463" i="2"/>
  <c r="K463" i="2" s="1"/>
  <c r="G465" i="2"/>
  <c r="K465" i="2" s="1"/>
  <c r="G470" i="2"/>
  <c r="K470" i="2" s="1"/>
  <c r="G472" i="2"/>
  <c r="K472" i="2"/>
  <c r="G473" i="2"/>
  <c r="K473" i="2" s="1"/>
  <c r="G474" i="2"/>
  <c r="K474" i="2" s="1"/>
  <c r="G475" i="2"/>
  <c r="K475" i="2" s="1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 s="1"/>
  <c r="G483" i="2"/>
  <c r="K483" i="2" s="1"/>
  <c r="G484" i="2"/>
  <c r="K484" i="2"/>
  <c r="G485" i="2"/>
  <c r="K485" i="2"/>
  <c r="G492" i="2"/>
  <c r="K492" i="2" s="1"/>
  <c r="F495" i="2"/>
  <c r="I495" i="2"/>
  <c r="J495" i="2"/>
  <c r="AE550" i="2" l="1"/>
  <c r="AI508" i="2"/>
  <c r="AI550" i="2" s="1"/>
  <c r="K550" i="2"/>
  <c r="G550" i="2"/>
  <c r="AI453" i="2"/>
  <c r="AB495" i="2"/>
  <c r="AE454" i="2"/>
  <c r="P495" i="2"/>
  <c r="S453" i="2"/>
  <c r="W453" i="2" s="1"/>
  <c r="W452" i="2"/>
  <c r="S455" i="2"/>
  <c r="W455" i="2" s="1"/>
  <c r="G452" i="2"/>
  <c r="K452" i="2" s="1"/>
  <c r="D495" i="2"/>
  <c r="G495" i="2"/>
  <c r="K455" i="2"/>
  <c r="K495" i="2" s="1"/>
  <c r="AC398" i="2"/>
  <c r="AE495" i="2" l="1"/>
  <c r="AI454" i="2"/>
  <c r="AI495" i="2" s="1"/>
  <c r="W495" i="2"/>
  <c r="S495" i="2"/>
  <c r="AB402" i="2"/>
  <c r="AB401" i="2"/>
  <c r="AC400" i="2"/>
  <c r="AB400" i="2"/>
  <c r="AB399" i="2"/>
  <c r="AB398" i="2"/>
  <c r="AE398" i="2"/>
  <c r="AI398" i="2" s="1"/>
  <c r="AC397" i="2"/>
  <c r="AE397" i="2" s="1"/>
  <c r="AB397" i="2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I431" i="2"/>
  <c r="AE431" i="2"/>
  <c r="AI430" i="2"/>
  <c r="AE430" i="2"/>
  <c r="AE429" i="2"/>
  <c r="AI429" i="2" s="1"/>
  <c r="AE428" i="2"/>
  <c r="AI428" i="2" s="1"/>
  <c r="AE427" i="2"/>
  <c r="AI427" i="2" s="1"/>
  <c r="AI426" i="2"/>
  <c r="AE426" i="2"/>
  <c r="AI425" i="2"/>
  <c r="AE425" i="2"/>
  <c r="AE424" i="2"/>
  <c r="AI424" i="2" s="1"/>
  <c r="AI423" i="2"/>
  <c r="AE423" i="2"/>
  <c r="AI422" i="2"/>
  <c r="AE422" i="2"/>
  <c r="AE421" i="2"/>
  <c r="AI421" i="2" s="1"/>
  <c r="AE420" i="2"/>
  <c r="AI420" i="2" s="1"/>
  <c r="AE419" i="2"/>
  <c r="AI419" i="2" s="1"/>
  <c r="AI418" i="2"/>
  <c r="AE418" i="2"/>
  <c r="AI417" i="2"/>
  <c r="AE417" i="2"/>
  <c r="AE416" i="2"/>
  <c r="AI416" i="2" s="1"/>
  <c r="AI415" i="2"/>
  <c r="AE415" i="2"/>
  <c r="AI414" i="2"/>
  <c r="AE414" i="2"/>
  <c r="AE413" i="2"/>
  <c r="AI413" i="2" s="1"/>
  <c r="AE412" i="2"/>
  <c r="AI412" i="2" s="1"/>
  <c r="AE411" i="2"/>
  <c r="AI411" i="2" s="1"/>
  <c r="AI410" i="2"/>
  <c r="AE410" i="2"/>
  <c r="AI409" i="2"/>
  <c r="AE409" i="2"/>
  <c r="AE408" i="2"/>
  <c r="AI408" i="2" s="1"/>
  <c r="AE407" i="2"/>
  <c r="AI407" i="2" s="1"/>
  <c r="AE406" i="2"/>
  <c r="AI406" i="2" s="1"/>
  <c r="AE405" i="2"/>
  <c r="AI405" i="2" s="1"/>
  <c r="AE404" i="2"/>
  <c r="AI404" i="2" s="1"/>
  <c r="AH440" i="2"/>
  <c r="AE403" i="2"/>
  <c r="AI403" i="2" s="1"/>
  <c r="AE402" i="2"/>
  <c r="AI402" i="2" s="1"/>
  <c r="AE401" i="2"/>
  <c r="AI401" i="2" s="1"/>
  <c r="AE400" i="2"/>
  <c r="AI400" i="2" s="1"/>
  <c r="AE399" i="2"/>
  <c r="AI399" i="2" s="1"/>
  <c r="AG440" i="2"/>
  <c r="AA398" i="2"/>
  <c r="AA399" i="2" s="1"/>
  <c r="AA400" i="2" s="1"/>
  <c r="AA401" i="2" s="1"/>
  <c r="AA402" i="2" s="1"/>
  <c r="P401" i="2"/>
  <c r="P400" i="2"/>
  <c r="P399" i="2"/>
  <c r="S399" i="2" s="1"/>
  <c r="W399" i="2" s="1"/>
  <c r="Q398" i="2"/>
  <c r="P398" i="2"/>
  <c r="S398" i="2" s="1"/>
  <c r="W398" i="2" s="1"/>
  <c r="P397" i="2"/>
  <c r="S397" i="2"/>
  <c r="W397" i="2"/>
  <c r="O398" i="2"/>
  <c r="O399" i="2" s="1"/>
  <c r="O400" i="2" s="1"/>
  <c r="O401" i="2" s="1"/>
  <c r="S400" i="2"/>
  <c r="W400" i="2" s="1"/>
  <c r="S401" i="2"/>
  <c r="S402" i="2"/>
  <c r="W402" i="2" s="1"/>
  <c r="S403" i="2"/>
  <c r="W403" i="2" s="1"/>
  <c r="S404" i="2"/>
  <c r="W404" i="2" s="1"/>
  <c r="S405" i="2"/>
  <c r="W405" i="2"/>
  <c r="S406" i="2"/>
  <c r="V440" i="2"/>
  <c r="W406" i="2"/>
  <c r="S407" i="2"/>
  <c r="W407" i="2"/>
  <c r="S408" i="2"/>
  <c r="W408" i="2" s="1"/>
  <c r="S409" i="2"/>
  <c r="W409" i="2" s="1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 s="1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J405" i="2"/>
  <c r="J440" i="2" s="1"/>
  <c r="E405" i="2"/>
  <c r="E440" i="2" s="1"/>
  <c r="D405" i="2"/>
  <c r="G405" i="2" s="1"/>
  <c r="D404" i="2"/>
  <c r="D403" i="2"/>
  <c r="G403" i="2" s="1"/>
  <c r="K403" i="2" s="1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D397" i="2"/>
  <c r="C402" i="2"/>
  <c r="C403" i="2" s="1"/>
  <c r="C404" i="2" s="1"/>
  <c r="C405" i="2" s="1"/>
  <c r="G397" i="2"/>
  <c r="C398" i="2"/>
  <c r="C399" i="2" s="1"/>
  <c r="C400" i="2" s="1"/>
  <c r="C401" i="2" s="1"/>
  <c r="I440" i="2"/>
  <c r="G402" i="2"/>
  <c r="K402" i="2" s="1"/>
  <c r="G404" i="2"/>
  <c r="K404" i="2" s="1"/>
  <c r="G406" i="2"/>
  <c r="K406" i="2" s="1"/>
  <c r="G407" i="2"/>
  <c r="K407" i="2" s="1"/>
  <c r="G408" i="2"/>
  <c r="K408" i="2"/>
  <c r="G409" i="2"/>
  <c r="K409" i="2" s="1"/>
  <c r="G410" i="2"/>
  <c r="K410" i="2" s="1"/>
  <c r="G411" i="2"/>
  <c r="K411" i="2"/>
  <c r="G412" i="2"/>
  <c r="K412" i="2" s="1"/>
  <c r="G413" i="2"/>
  <c r="K413" i="2" s="1"/>
  <c r="G414" i="2"/>
  <c r="K414" i="2" s="1"/>
  <c r="G415" i="2"/>
  <c r="K415" i="2" s="1"/>
  <c r="G416" i="2"/>
  <c r="K416" i="2"/>
  <c r="G417" i="2"/>
  <c r="K417" i="2"/>
  <c r="G418" i="2"/>
  <c r="K418" i="2" s="1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 s="1"/>
  <c r="G426" i="2"/>
  <c r="K426" i="2" s="1"/>
  <c r="G427" i="2"/>
  <c r="K427" i="2"/>
  <c r="G428" i="2"/>
  <c r="K428" i="2"/>
  <c r="G429" i="2"/>
  <c r="K429" i="2" s="1"/>
  <c r="G430" i="2"/>
  <c r="K430" i="2"/>
  <c r="G437" i="2"/>
  <c r="K437" i="2" s="1"/>
  <c r="F440" i="2"/>
  <c r="AC440" i="2" l="1"/>
  <c r="AE440" i="2"/>
  <c r="AI397" i="2"/>
  <c r="AI440" i="2" s="1"/>
  <c r="AB440" i="2"/>
  <c r="P440" i="2"/>
  <c r="W401" i="2"/>
  <c r="W440" i="2" s="1"/>
  <c r="S440" i="2"/>
  <c r="K405" i="2"/>
  <c r="D440" i="2"/>
  <c r="K397" i="2"/>
  <c r="G398" i="2"/>
  <c r="K398" i="2" s="1"/>
  <c r="V351" i="2"/>
  <c r="V385" i="2" s="1"/>
  <c r="U351" i="2"/>
  <c r="Q351" i="2"/>
  <c r="Q385" i="2" s="1"/>
  <c r="P351" i="2"/>
  <c r="U350" i="2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U346" i="2"/>
  <c r="P346" i="2"/>
  <c r="S346" i="2" s="1"/>
  <c r="W346" i="2" s="1"/>
  <c r="P345" i="2"/>
  <c r="S345" i="2" s="1"/>
  <c r="W345" i="2" s="1"/>
  <c r="P344" i="2"/>
  <c r="S344" i="2" s="1"/>
  <c r="W344" i="2" s="1"/>
  <c r="P343" i="2"/>
  <c r="S343" i="2" s="1"/>
  <c r="W343" i="2" s="1"/>
  <c r="U342" i="2"/>
  <c r="P342" i="2"/>
  <c r="O351" i="2"/>
  <c r="O343" i="2"/>
  <c r="O344" i="2" s="1"/>
  <c r="O345" i="2" s="1"/>
  <c r="O346" i="2" s="1"/>
  <c r="O347" i="2" s="1"/>
  <c r="O348" i="2" s="1"/>
  <c r="O349" i="2" s="1"/>
  <c r="O350" i="2" s="1"/>
  <c r="S352" i="2"/>
  <c r="W352" i="2"/>
  <c r="S353" i="2"/>
  <c r="W353" i="2"/>
  <c r="S354" i="2"/>
  <c r="W354" i="2"/>
  <c r="S355" i="2"/>
  <c r="W355" i="2"/>
  <c r="S356" i="2"/>
  <c r="W356" i="2" s="1"/>
  <c r="S357" i="2"/>
  <c r="W357" i="2"/>
  <c r="S358" i="2"/>
  <c r="W358" i="2" s="1"/>
  <c r="S359" i="2"/>
  <c r="W359" i="2"/>
  <c r="S360" i="2"/>
  <c r="W360" i="2"/>
  <c r="S361" i="2"/>
  <c r="W361" i="2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 s="1"/>
  <c r="W381" i="2"/>
  <c r="S382" i="2"/>
  <c r="W382" i="2" s="1"/>
  <c r="W383" i="2"/>
  <c r="R385" i="2"/>
  <c r="D363" i="2"/>
  <c r="D362" i="2"/>
  <c r="D361" i="2"/>
  <c r="D360" i="2"/>
  <c r="G360" i="2" s="1"/>
  <c r="K360" i="2" s="1"/>
  <c r="D359" i="2"/>
  <c r="G359" i="2" s="1"/>
  <c r="K359" i="2" s="1"/>
  <c r="D358" i="2"/>
  <c r="G358" i="2" s="1"/>
  <c r="K358" i="2" s="1"/>
  <c r="D357" i="2"/>
  <c r="G357" i="2" s="1"/>
  <c r="K357" i="2" s="1"/>
  <c r="D356" i="2"/>
  <c r="D355" i="2"/>
  <c r="G355" i="2" s="1"/>
  <c r="K355" i="2" s="1"/>
  <c r="D354" i="2"/>
  <c r="G354" i="2" s="1"/>
  <c r="K354" i="2" s="1"/>
  <c r="D353" i="2"/>
  <c r="D352" i="2"/>
  <c r="D351" i="2"/>
  <c r="D350" i="2"/>
  <c r="D349" i="2"/>
  <c r="D348" i="2"/>
  <c r="G348" i="2" s="1"/>
  <c r="K348" i="2" s="1"/>
  <c r="D347" i="2"/>
  <c r="I346" i="2"/>
  <c r="D346" i="2"/>
  <c r="D345" i="2"/>
  <c r="I344" i="2"/>
  <c r="D344" i="2"/>
  <c r="D343" i="2"/>
  <c r="G343" i="2" s="1"/>
  <c r="K343" i="2" s="1"/>
  <c r="D342" i="2"/>
  <c r="C343" i="2"/>
  <c r="C344" i="2" s="1"/>
  <c r="C345" i="2" s="1"/>
  <c r="C346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G344" i="2"/>
  <c r="G345" i="2"/>
  <c r="K345" i="2" s="1"/>
  <c r="G346" i="2"/>
  <c r="G347" i="2"/>
  <c r="K347" i="2" s="1"/>
  <c r="G349" i="2"/>
  <c r="K349" i="2" s="1"/>
  <c r="G350" i="2"/>
  <c r="K350" i="2" s="1"/>
  <c r="G351" i="2"/>
  <c r="K351" i="2" s="1"/>
  <c r="G352" i="2"/>
  <c r="K352" i="2"/>
  <c r="G353" i="2"/>
  <c r="K353" i="2" s="1"/>
  <c r="G356" i="2"/>
  <c r="K356" i="2"/>
  <c r="G361" i="2"/>
  <c r="K361" i="2" s="1"/>
  <c r="G362" i="2"/>
  <c r="K362" i="2" s="1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 s="1"/>
  <c r="G370" i="2"/>
  <c r="K370" i="2" s="1"/>
  <c r="G371" i="2"/>
  <c r="K371" i="2"/>
  <c r="G372" i="2"/>
  <c r="K372" i="2"/>
  <c r="G373" i="2"/>
  <c r="K373" i="2" s="1"/>
  <c r="G374" i="2"/>
  <c r="K374" i="2"/>
  <c r="G375" i="2"/>
  <c r="K375" i="2"/>
  <c r="G382" i="2"/>
  <c r="K382" i="2" s="1"/>
  <c r="E385" i="2"/>
  <c r="F385" i="2"/>
  <c r="J385" i="2"/>
  <c r="G440" i="2" l="1"/>
  <c r="K440" i="2"/>
  <c r="U385" i="2"/>
  <c r="S351" i="2"/>
  <c r="W351" i="2" s="1"/>
  <c r="P385" i="2"/>
  <c r="S342" i="2"/>
  <c r="W342" i="2" s="1"/>
  <c r="D385" i="2"/>
  <c r="I385" i="2"/>
  <c r="K346" i="2"/>
  <c r="K344" i="2"/>
  <c r="G342" i="2"/>
  <c r="K342" i="2" s="1"/>
  <c r="K385" i="2"/>
  <c r="G385" i="2"/>
  <c r="AB297" i="2"/>
  <c r="AE297" i="2" s="1"/>
  <c r="AI297" i="2" s="1"/>
  <c r="AB296" i="2"/>
  <c r="AE296" i="2" s="1"/>
  <c r="AI296" i="2" s="1"/>
  <c r="AB295" i="2"/>
  <c r="AE295" i="2" s="1"/>
  <c r="AI295" i="2" s="1"/>
  <c r="AG294" i="2"/>
  <c r="AG330" i="2" s="1"/>
  <c r="AB294" i="2"/>
  <c r="AH293" i="2"/>
  <c r="AB293" i="2"/>
  <c r="AB292" i="2"/>
  <c r="AB291" i="2"/>
  <c r="AG290" i="2"/>
  <c r="AB290" i="2"/>
  <c r="AB289" i="2"/>
  <c r="AG288" i="2"/>
  <c r="AB288" i="2"/>
  <c r="AH287" i="2"/>
  <c r="AH330" i="2"/>
  <c r="AC287" i="2"/>
  <c r="AE287" i="2" s="1"/>
  <c r="AB287" i="2"/>
  <c r="AA294" i="2"/>
  <c r="AA295" i="2" s="1"/>
  <c r="AA296" i="2" s="1"/>
  <c r="AA297" i="2" s="1"/>
  <c r="AA288" i="2"/>
  <c r="AA289" i="2" s="1"/>
  <c r="AA290" i="2" s="1"/>
  <c r="AA291" i="2" s="1"/>
  <c r="AA292" i="2" s="1"/>
  <c r="AA293" i="2" s="1"/>
  <c r="AE288" i="2"/>
  <c r="AI288" i="2" s="1"/>
  <c r="AE289" i="2"/>
  <c r="AI289" i="2" s="1"/>
  <c r="AE290" i="2"/>
  <c r="AI290" i="2" s="1"/>
  <c r="AE291" i="2"/>
  <c r="AI291" i="2" s="1"/>
  <c r="AE292" i="2"/>
  <c r="AI292" i="2" s="1"/>
  <c r="AE293" i="2"/>
  <c r="AI293" i="2" s="1"/>
  <c r="AE294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 s="1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 s="1"/>
  <c r="AE313" i="2"/>
  <c r="AI313" i="2" s="1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 s="1"/>
  <c r="AE321" i="2"/>
  <c r="AI321" i="2" s="1"/>
  <c r="AE322" i="2"/>
  <c r="AI322" i="2"/>
  <c r="AE323" i="2"/>
  <c r="AI323" i="2"/>
  <c r="AE324" i="2"/>
  <c r="AI324" i="2"/>
  <c r="AE325" i="2"/>
  <c r="AI325" i="2"/>
  <c r="AI326" i="2"/>
  <c r="AE327" i="2"/>
  <c r="AI327" i="2" s="1"/>
  <c r="AI328" i="2"/>
  <c r="AD330" i="2"/>
  <c r="P295" i="2"/>
  <c r="S295" i="2"/>
  <c r="W295" i="2" s="1"/>
  <c r="P294" i="2"/>
  <c r="S294" i="2" s="1"/>
  <c r="W294" i="2" s="1"/>
  <c r="P293" i="2"/>
  <c r="S293" i="2" s="1"/>
  <c r="W293" i="2" s="1"/>
  <c r="P292" i="2"/>
  <c r="P291" i="2"/>
  <c r="S291" i="2" s="1"/>
  <c r="W291" i="2" s="1"/>
  <c r="P290" i="2"/>
  <c r="S290" i="2" s="1"/>
  <c r="W290" i="2" s="1"/>
  <c r="P289" i="2"/>
  <c r="S289" i="2" s="1"/>
  <c r="W289" i="2" s="1"/>
  <c r="Q288" i="2"/>
  <c r="S288" i="2" s="1"/>
  <c r="W288" i="2" s="1"/>
  <c r="P288" i="2"/>
  <c r="P287" i="2"/>
  <c r="S287" i="2" s="1"/>
  <c r="W287" i="2" s="1"/>
  <c r="O294" i="2"/>
  <c r="O295" i="2" s="1"/>
  <c r="O288" i="2"/>
  <c r="O289" i="2" s="1"/>
  <c r="O290" i="2" s="1"/>
  <c r="O291" i="2" s="1"/>
  <c r="O292" i="2" s="1"/>
  <c r="O293" i="2" s="1"/>
  <c r="U330" i="2"/>
  <c r="S292" i="2"/>
  <c r="W292" i="2" s="1"/>
  <c r="V330" i="2"/>
  <c r="S296" i="2"/>
  <c r="W296" i="2" s="1"/>
  <c r="S297" i="2"/>
  <c r="W297" i="2" s="1"/>
  <c r="S298" i="2"/>
  <c r="W298" i="2"/>
  <c r="S299" i="2"/>
  <c r="W299" i="2"/>
  <c r="S300" i="2"/>
  <c r="W300" i="2"/>
  <c r="S301" i="2"/>
  <c r="W301" i="2"/>
  <c r="S302" i="2"/>
  <c r="W302" i="2"/>
  <c r="S303" i="2"/>
  <c r="W303" i="2"/>
  <c r="S304" i="2"/>
  <c r="W304" i="2"/>
  <c r="S305" i="2"/>
  <c r="W305" i="2" s="1"/>
  <c r="S306" i="2"/>
  <c r="W306" i="2"/>
  <c r="S307" i="2"/>
  <c r="W307" i="2"/>
  <c r="S308" i="2"/>
  <c r="W308" i="2"/>
  <c r="S309" i="2"/>
  <c r="W309" i="2" s="1"/>
  <c r="S310" i="2"/>
  <c r="W310" i="2" s="1"/>
  <c r="S311" i="2"/>
  <c r="W311" i="2"/>
  <c r="S312" i="2"/>
  <c r="W312" i="2"/>
  <c r="S313" i="2"/>
  <c r="W313" i="2" s="1"/>
  <c r="S314" i="2"/>
  <c r="W314" i="2"/>
  <c r="S315" i="2"/>
  <c r="W315" i="2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/>
  <c r="S324" i="2"/>
  <c r="W324" i="2"/>
  <c r="S325" i="2"/>
  <c r="W325" i="2"/>
  <c r="W326" i="2"/>
  <c r="S327" i="2"/>
  <c r="W327" i="2"/>
  <c r="W328" i="2"/>
  <c r="R330" i="2"/>
  <c r="D301" i="2"/>
  <c r="D300" i="2"/>
  <c r="G300" i="2" s="1"/>
  <c r="K300" i="2" s="1"/>
  <c r="D299" i="2"/>
  <c r="G299" i="2" s="1"/>
  <c r="K299" i="2" s="1"/>
  <c r="D298" i="2"/>
  <c r="D297" i="2"/>
  <c r="G297" i="2" s="1"/>
  <c r="K297" i="2" s="1"/>
  <c r="D296" i="2"/>
  <c r="G296" i="2"/>
  <c r="K296" i="2" s="1"/>
  <c r="D295" i="2"/>
  <c r="D294" i="2"/>
  <c r="G294" i="2" s="1"/>
  <c r="K294" i="2" s="1"/>
  <c r="D293" i="2"/>
  <c r="G293" i="2" s="1"/>
  <c r="K293" i="2" s="1"/>
  <c r="D292" i="2"/>
  <c r="G292" i="2" s="1"/>
  <c r="K292" i="2" s="1"/>
  <c r="J291" i="2"/>
  <c r="D291" i="2"/>
  <c r="D290" i="2"/>
  <c r="G290" i="2"/>
  <c r="K290" i="2" s="1"/>
  <c r="D289" i="2"/>
  <c r="D288" i="2"/>
  <c r="G288" i="2" s="1"/>
  <c r="K288" i="2" s="1"/>
  <c r="D287" i="2"/>
  <c r="G287" i="2" s="1"/>
  <c r="C290" i="2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E330" i="2"/>
  <c r="C288" i="2"/>
  <c r="C289" i="2"/>
  <c r="G289" i="2"/>
  <c r="K289" i="2" s="1"/>
  <c r="G291" i="2"/>
  <c r="K291" i="2" s="1"/>
  <c r="G295" i="2"/>
  <c r="K295" i="2"/>
  <c r="G298" i="2"/>
  <c r="K298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 s="1"/>
  <c r="G308" i="2"/>
  <c r="K308" i="2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 s="1"/>
  <c r="G316" i="2"/>
  <c r="K316" i="2"/>
  <c r="G317" i="2"/>
  <c r="K317" i="2" s="1"/>
  <c r="G318" i="2"/>
  <c r="K318" i="2"/>
  <c r="G319" i="2"/>
  <c r="K319" i="2"/>
  <c r="G320" i="2"/>
  <c r="K320" i="2"/>
  <c r="G327" i="2"/>
  <c r="K327" i="2"/>
  <c r="F330" i="2"/>
  <c r="I330" i="2"/>
  <c r="J330" i="2"/>
  <c r="W385" i="2" l="1"/>
  <c r="S385" i="2"/>
  <c r="AI294" i="2"/>
  <c r="AC330" i="2"/>
  <c r="AI287" i="2"/>
  <c r="AI330" i="2" s="1"/>
  <c r="AE330" i="2"/>
  <c r="AB330" i="2"/>
  <c r="Q330" i="2"/>
  <c r="S330" i="2"/>
  <c r="W330" i="2"/>
  <c r="P330" i="2"/>
  <c r="D330" i="2"/>
  <c r="G330" i="2"/>
  <c r="K287" i="2"/>
  <c r="K330" i="2" s="1"/>
  <c r="AB238" i="2"/>
  <c r="AB237" i="2"/>
  <c r="AB236" i="2"/>
  <c r="AH235" i="2"/>
  <c r="AC235" i="2"/>
  <c r="AB235" i="2"/>
  <c r="AC234" i="2"/>
  <c r="AB234" i="2"/>
  <c r="AB233" i="2"/>
  <c r="AE233" i="2" s="1"/>
  <c r="AI233" i="2" s="1"/>
  <c r="AC233" i="2"/>
  <c r="AC232" i="2"/>
  <c r="AB232" i="2"/>
  <c r="AE232" i="2" s="1"/>
  <c r="AA233" i="2"/>
  <c r="AC275" i="2"/>
  <c r="AA234" i="2"/>
  <c r="AE234" i="2"/>
  <c r="AI234" i="2" s="1"/>
  <c r="AA235" i="2"/>
  <c r="AA236" i="2" s="1"/>
  <c r="AA237" i="2" s="1"/>
  <c r="AA238" i="2" s="1"/>
  <c r="AE235" i="2"/>
  <c r="AI235" i="2" s="1"/>
  <c r="AE236" i="2"/>
  <c r="AI236" i="2" s="1"/>
  <c r="AE237" i="2"/>
  <c r="AI237" i="2" s="1"/>
  <c r="AE238" i="2"/>
  <c r="AI238" i="2" s="1"/>
  <c r="AH275" i="2"/>
  <c r="AE239" i="2"/>
  <c r="AI239" i="2" s="1"/>
  <c r="AE240" i="2"/>
  <c r="AI240" i="2"/>
  <c r="AE241" i="2"/>
  <c r="AI241" i="2" s="1"/>
  <c r="AE242" i="2"/>
  <c r="AI242" i="2" s="1"/>
  <c r="AE243" i="2"/>
  <c r="AI243" i="2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 s="1"/>
  <c r="AE250" i="2"/>
  <c r="AI250" i="2" s="1"/>
  <c r="AE251" i="2"/>
  <c r="AI251" i="2" s="1"/>
  <c r="AE252" i="2"/>
  <c r="AI252" i="2"/>
  <c r="AE253" i="2"/>
  <c r="AI253" i="2"/>
  <c r="AE254" i="2"/>
  <c r="AI254" i="2" s="1"/>
  <c r="AE255" i="2"/>
  <c r="AI255" i="2" s="1"/>
  <c r="AE256" i="2"/>
  <c r="AI256" i="2"/>
  <c r="AE257" i="2"/>
  <c r="AI257" i="2" s="1"/>
  <c r="AE258" i="2"/>
  <c r="AI258" i="2" s="1"/>
  <c r="AE259" i="2"/>
  <c r="AI259" i="2"/>
  <c r="AE260" i="2"/>
  <c r="AI260" i="2"/>
  <c r="AE261" i="2"/>
  <c r="AI261" i="2"/>
  <c r="AE262" i="2"/>
  <c r="AI262" i="2" s="1"/>
  <c r="AE263" i="2"/>
  <c r="AI263" i="2" s="1"/>
  <c r="AE264" i="2"/>
  <c r="AI264" i="2"/>
  <c r="AE265" i="2"/>
  <c r="AI265" i="2" s="1"/>
  <c r="AE266" i="2"/>
  <c r="AI266" i="2" s="1"/>
  <c r="AE267" i="2"/>
  <c r="AI267" i="2"/>
  <c r="AE268" i="2"/>
  <c r="AI268" i="2"/>
  <c r="AE269" i="2"/>
  <c r="AI269" i="2"/>
  <c r="AE270" i="2"/>
  <c r="AI270" i="2" s="1"/>
  <c r="AI271" i="2"/>
  <c r="AE272" i="2"/>
  <c r="AI272" i="2"/>
  <c r="AI273" i="2"/>
  <c r="AD275" i="2"/>
  <c r="AG275" i="2"/>
  <c r="V238" i="2"/>
  <c r="P238" i="2"/>
  <c r="S238" i="2" s="1"/>
  <c r="V237" i="2"/>
  <c r="P237" i="2"/>
  <c r="S237" i="2" s="1"/>
  <c r="Q236" i="2"/>
  <c r="P236" i="2"/>
  <c r="P235" i="2"/>
  <c r="U235" i="2"/>
  <c r="U275" i="2"/>
  <c r="Q234" i="2"/>
  <c r="P234" i="2"/>
  <c r="P233" i="2"/>
  <c r="P232" i="2"/>
  <c r="S232" i="2" s="1"/>
  <c r="W232" i="2" s="1"/>
  <c r="O233" i="2"/>
  <c r="O234" i="2" s="1"/>
  <c r="O235" i="2" s="1"/>
  <c r="O236" i="2" s="1"/>
  <c r="O237" i="2" s="1"/>
  <c r="O238" i="2" s="1"/>
  <c r="S233" i="2"/>
  <c r="S235" i="2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 s="1"/>
  <c r="S245" i="2"/>
  <c r="W245" i="2"/>
  <c r="S246" i="2"/>
  <c r="W246" i="2"/>
  <c r="S247" i="2"/>
  <c r="W247" i="2"/>
  <c r="S248" i="2"/>
  <c r="W248" i="2"/>
  <c r="S249" i="2"/>
  <c r="W249" i="2"/>
  <c r="S250" i="2"/>
  <c r="W250" i="2"/>
  <c r="S251" i="2"/>
  <c r="W251" i="2"/>
  <c r="S252" i="2"/>
  <c r="W252" i="2" s="1"/>
  <c r="S253" i="2"/>
  <c r="W253" i="2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 s="1"/>
  <c r="S262" i="2"/>
  <c r="W262" i="2"/>
  <c r="S263" i="2"/>
  <c r="W263" i="2"/>
  <c r="S264" i="2"/>
  <c r="W264" i="2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D234" i="2"/>
  <c r="G234" i="2" s="1"/>
  <c r="K234" i="2" s="1"/>
  <c r="D233" i="2"/>
  <c r="I232" i="2"/>
  <c r="I275" i="2"/>
  <c r="J275" i="2"/>
  <c r="E232" i="2"/>
  <c r="E275" i="2" s="1"/>
  <c r="D232" i="2"/>
  <c r="C233" i="2"/>
  <c r="C234" i="2" s="1"/>
  <c r="G235" i="2"/>
  <c r="K235" i="2" s="1"/>
  <c r="G236" i="2"/>
  <c r="K236" i="2"/>
  <c r="G237" i="2"/>
  <c r="K237" i="2"/>
  <c r="G238" i="2"/>
  <c r="K238" i="2"/>
  <c r="G239" i="2"/>
  <c r="K239" i="2" s="1"/>
  <c r="G240" i="2"/>
  <c r="K240" i="2"/>
  <c r="G241" i="2"/>
  <c r="K241" i="2" s="1"/>
  <c r="G242" i="2"/>
  <c r="K242" i="2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 s="1"/>
  <c r="G250" i="2"/>
  <c r="K250" i="2"/>
  <c r="G251" i="2"/>
  <c r="K251" i="2" s="1"/>
  <c r="G252" i="2"/>
  <c r="K252" i="2"/>
  <c r="G253" i="2"/>
  <c r="K253" i="2"/>
  <c r="G254" i="2"/>
  <c r="K254" i="2"/>
  <c r="G255" i="2"/>
  <c r="K255" i="2" s="1"/>
  <c r="G256" i="2"/>
  <c r="K256" i="2"/>
  <c r="G257" i="2"/>
  <c r="K257" i="2" s="1"/>
  <c r="G258" i="2"/>
  <c r="K258" i="2"/>
  <c r="G259" i="2"/>
  <c r="K259" i="2" s="1"/>
  <c r="G260" i="2"/>
  <c r="K260" i="2"/>
  <c r="G261" i="2"/>
  <c r="K261" i="2"/>
  <c r="G262" i="2"/>
  <c r="K262" i="2"/>
  <c r="G263" i="2"/>
  <c r="K263" i="2" s="1"/>
  <c r="G264" i="2"/>
  <c r="K264" i="2"/>
  <c r="G265" i="2"/>
  <c r="K265" i="2" s="1"/>
  <c r="G272" i="2"/>
  <c r="K272" i="2" s="1"/>
  <c r="F275" i="2"/>
  <c r="AI232" i="2" l="1"/>
  <c r="AI275" i="2" s="1"/>
  <c r="AE275" i="2"/>
  <c r="AB275" i="2"/>
  <c r="W238" i="2"/>
  <c r="V275" i="2"/>
  <c r="W237" i="2"/>
  <c r="Q275" i="2"/>
  <c r="S236" i="2"/>
  <c r="W236" i="2" s="1"/>
  <c r="W235" i="2"/>
  <c r="S234" i="2"/>
  <c r="W234" i="2" s="1"/>
  <c r="S275" i="2"/>
  <c r="W233" i="2"/>
  <c r="P275" i="2"/>
  <c r="D275" i="2"/>
  <c r="G233" i="2"/>
  <c r="K233" i="2" s="1"/>
  <c r="G232" i="2"/>
  <c r="AE183" i="2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W275" i="2" l="1"/>
  <c r="G275" i="2"/>
  <c r="K232" i="2"/>
  <c r="K275" i="2" s="1"/>
  <c r="AI183" i="2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J23" i="1"/>
  <c r="J24" i="1"/>
  <c r="D24" i="1" s="1"/>
  <c r="J25" i="1"/>
  <c r="D25" i="1" s="1"/>
  <c r="J26" i="1"/>
  <c r="D26" i="1" s="1"/>
  <c r="J37" i="1"/>
  <c r="J38" i="1"/>
  <c r="J39" i="1"/>
  <c r="J40" i="1"/>
  <c r="J30" i="1"/>
  <c r="D30" i="1" s="1"/>
  <c r="J31" i="1"/>
  <c r="D31" i="1" s="1"/>
  <c r="J32" i="1"/>
  <c r="D32" i="1" s="1"/>
  <c r="J33" i="1"/>
  <c r="J34" i="1"/>
  <c r="D37" i="1"/>
  <c r="D38" i="1"/>
  <c r="D39" i="1"/>
  <c r="D33" i="1"/>
  <c r="D34" i="1"/>
  <c r="A38" i="1" l="1"/>
  <c r="A39" i="1"/>
  <c r="AA13" i="2" l="1"/>
  <c r="J36" i="1" l="1"/>
  <c r="J27" i="1"/>
  <c r="J29" i="1"/>
  <c r="J22" i="1"/>
  <c r="D22" i="1" s="1"/>
  <c r="D36" i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9" authorId="0" shapeId="0" xr:uid="{C236C7E3-F864-42AD-8292-ABD3D4DFF7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A6B97C47-6C3E-42AD-8382-499E18579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  <comment ref="F26" authorId="0" shapeId="0" xr:uid="{8EB93DD1-3532-49CE-BB1F-31AB5203D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32" authorId="0" shapeId="0" xr:uid="{CD5BCB07-92F2-45A3-923D-B9985EDD1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232" authorId="0" shapeId="0" xr:uid="{1220CFC7-BC08-4962-A041-AB19A1AC8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MUÑOZ
DATU TANGKILAN, SINDANGAN</t>
        </r>
      </text>
    </comment>
    <comment ref="AA232" authorId="0" shapeId="0" xr:uid="{56DFC1FE-1A18-42D3-B241-05AE893CE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33" authorId="0" shapeId="0" xr:uid="{B5D163D5-8D0F-419B-BA13-C90702C901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233" authorId="0" shapeId="0" xr:uid="{2CD0A69C-FD59-4C4B-B3A1-205B618DB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AYA STORE
POB, BACUNGAN</t>
        </r>
      </text>
    </comment>
    <comment ref="AA233" authorId="0" shapeId="0" xr:uid="{907F79D8-0F0B-4401-9361-7EF2E80E0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0DFDDA6B-83D0-4373-8F67-23679512F5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4" authorId="0" shapeId="0" xr:uid="{7972FE6B-DCB1-4ADD-B4B6-7EF1CAC7F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4" authorId="0" shapeId="0" xr:uid="{45B1E4BF-4DD3-4325-86B1-CF4BC7471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235" authorId="0" shapeId="0" xr:uid="{8BC7C5F8-E2D2-4684-A41C-A2BF0E810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235" authorId="0" shapeId="0" xr:uid="{35677AC5-A923-446D-A2B1-D0A74D4A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236" authorId="0" shapeId="0" xr:uid="{4971F01C-771D-4528-BD2C-FF2AFE1AE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6" authorId="0" shapeId="0" xr:uid="{C286B4AE-AE86-4C0D-94F5-DEA45F0241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237" authorId="0" shapeId="0" xr:uid="{07968D18-1D13-4112-B2DD-C4ADC4066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AVILLES STORE
MANDIH, SINDANGAN</t>
        </r>
      </text>
    </comment>
    <comment ref="AA237" authorId="0" shapeId="0" xr:uid="{7F9B305A-3CA6-401A-BE44-CCA313161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238" authorId="0" shapeId="0" xr:uid="{B06C4B1E-9403-48D4-92F5-DD040E84D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8" authorId="0" shapeId="0" xr:uid="{449D54D2-DB0F-4206-9885-B8B9C901A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AMIT
BACONG, SALUG</t>
        </r>
      </text>
    </comment>
    <comment ref="C287" authorId="0" shapeId="0" xr:uid="{283762C8-769B-43CF-9625-EB8103A14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287" authorId="0" shapeId="0" xr:uid="{F100DC04-232F-4B88-97EA-5E7476FBB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87" authorId="0" shapeId="0" xr:uid="{57715E81-05D4-43C7-BD7B-A662EF900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288" authorId="0" shapeId="0" xr:uid="{4F82C9FB-5325-4FEA-89D0-EA40F5D21C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88" authorId="0" shapeId="0" xr:uid="{547EC162-031F-4F8A-8FF3-C372511905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88" authorId="0" shapeId="0" xr:uid="{326DD867-5050-48DF-B2C6-4731D81D1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89" authorId="0" shapeId="0" xr:uid="{3CA4D8E6-08B0-4D85-8B09-AA9343A07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289" authorId="0" shapeId="0" xr:uid="{A2220BEA-DDF0-4F88-A43F-65D1ED9F6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289" authorId="0" shapeId="0" xr:uid="{1278287F-E5DB-4898-B085-13D6CB59E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 EAST, SALUG</t>
        </r>
      </text>
    </comment>
    <comment ref="C290" authorId="0" shapeId="0" xr:uid="{7D2EB622-E1D8-4A46-8671-8483097EA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SINDANGAN</t>
        </r>
      </text>
    </comment>
    <comment ref="O290" authorId="0" shapeId="0" xr:uid="{3634266C-028C-4BD5-A6B0-D9FF931AF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FAYE BILLIONES
UPPER INUMAN, SINDANGAN</t>
        </r>
      </text>
    </comment>
    <comment ref="AA290" authorId="0" shapeId="0" xr:uid="{B177C325-39F1-4417-9A5E-B006C5A8A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91" authorId="0" shapeId="0" xr:uid="{BC00553B-0523-42AE-A49C-C5A219DF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91" authorId="0" shapeId="0" xr:uid="{5DBC0D46-B495-4C98-A772-D39A97760D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POB, SINDANGAN</t>
        </r>
      </text>
    </comment>
    <comment ref="AA291" authorId="0" shapeId="0" xr:uid="{06800AF1-BB30-471A-9A67-864375BD2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292" authorId="0" shapeId="0" xr:uid="{94210B65-4525-4462-960D-AD863B6A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JONATHAN
POB, SIAYAN</t>
        </r>
      </text>
    </comment>
    <comment ref="O292" authorId="0" shapeId="0" xr:uid="{0327AC23-71AB-492B-988C-CACAD2B1F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92" authorId="0" shapeId="0" xr:uid="{F545F6E3-F001-4BDB-B36F-0D250490B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293" authorId="0" shapeId="0" xr:uid="{49898010-D727-4413-9C5B-FC0673692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293" authorId="0" shapeId="0" xr:uid="{4679FA9B-B911-449C-844E-F79FCF01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293" authorId="0" shapeId="0" xr:uid="{6DB11E3C-0D29-4566-9DBE-40B02E15D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4" authorId="0" shapeId="0" xr:uid="{B2CEB217-8406-4675-ACA1-F68BDA695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POB, SIAYAN</t>
        </r>
      </text>
    </comment>
    <comment ref="O294" authorId="0" shapeId="0" xr:uid="{5B05C77A-C67D-46EA-8C97-B1AB53A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AA294" authorId="0" shapeId="0" xr:uid="{0E66B7FE-6DAA-48AE-A2DD-0A121AE60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BAYBAY, LILOY</t>
        </r>
      </text>
    </comment>
    <comment ref="C295" authorId="0" shapeId="0" xr:uid="{B26F50DF-D64A-40FE-BDB2-07BC55397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ABORTE
POB, SIAYAN</t>
        </r>
      </text>
    </comment>
    <comment ref="O295" authorId="0" shapeId="0" xr:uid="{01D8CFBF-1A5C-46AF-A5F1-A1C1B5F9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5" authorId="0" shapeId="0" xr:uid="{DCE7B191-6860-4FB6-9B36-D4A20F4360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296" authorId="0" shapeId="0" xr:uid="{2393C3B1-279F-477F-B938-3CF0C2069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POB, SIAYAN</t>
        </r>
      </text>
    </comment>
    <comment ref="AA296" authorId="0" shapeId="0" xr:uid="{D131A0CA-D2EE-4BAE-8272-59E684128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297" authorId="0" shapeId="0" xr:uid="{40678EFA-EED0-4F85-98D1-B2CEBEF6A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TANSO
POB, SIAYAN</t>
        </r>
      </text>
    </comment>
    <comment ref="AA297" authorId="0" shapeId="0" xr:uid="{9794EBDC-E9EC-49AA-BAF2-C73226B9CC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98" authorId="0" shapeId="0" xr:uid="{B8257BC8-ED94-453D-A763-D34388772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KYLA ALUMBRE
POB, SIAYAN</t>
        </r>
      </text>
    </comment>
    <comment ref="C299" authorId="0" shapeId="0" xr:uid="{1206ACB2-AC69-450A-9F07-DCD0B4BF8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ANGELINE DADAN
POB, SIAYAN</t>
        </r>
      </text>
    </comment>
    <comment ref="C300" authorId="0" shapeId="0" xr:uid="{EEE160F2-0B93-44AF-9CE2-12F7851A5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CARIÑO
POB, SIAYAN</t>
        </r>
      </text>
    </comment>
    <comment ref="C301" authorId="0" shapeId="0" xr:uid="{213C7ADB-A8C5-459B-9194-F17D1EA7A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C342" authorId="0" shapeId="0" xr:uid="{994788D6-BFC5-4B73-B63C-008263289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TEMPORADA
GOLEO, SINDANGAN</t>
        </r>
      </text>
    </comment>
    <comment ref="O342" authorId="0" shapeId="0" xr:uid="{A936E430-87EF-4FD4-A923-192E9006D6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343" authorId="0" shapeId="0" xr:uid="{AFED95A9-9A0C-4DF8-B1AE-7764F0499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56648696-3C2E-4E8C-A320-5200C49B2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C344" authorId="0" shapeId="0" xr:uid="{0DD17C84-059A-402F-83E1-9C4DA22C5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STORE
GOLEO, SINDANGAN</t>
        </r>
      </text>
    </comment>
    <comment ref="O344" authorId="0" shapeId="0" xr:uid="{65952231-108B-4F8F-9514-D2AEFC2DB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C345" authorId="0" shapeId="0" xr:uid="{40D22AE6-9FF4-42D2-9812-7480A7216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345" authorId="0" shapeId="0" xr:uid="{30CCA287-44DF-4E21-8F06-FB10057DDD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346" authorId="0" shapeId="0" xr:uid="{B7562414-FF36-4D4D-83D4-676BB9620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6" authorId="0" shapeId="0" xr:uid="{B41308FE-C843-4383-A2CD-C3EFF3A335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CHERYL
RM, SALUG</t>
        </r>
      </text>
    </comment>
    <comment ref="C347" authorId="0" shapeId="0" xr:uid="{DBD8A0EA-CB06-46F3-B4B0-79B03404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7" authorId="0" shapeId="0" xr:uid="{C2C6C323-0198-40DC-811D-02F12DE1A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348" authorId="0" shapeId="0" xr:uid="{E292BC47-0146-4FF6-A958-1633D975C5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DAPAON, SINDANGAN</t>
        </r>
      </text>
    </comment>
    <comment ref="O348" authorId="0" shapeId="0" xr:uid="{ECBFE8D8-30F6-4FB0-87B4-DB8D5BA98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349" authorId="0" shapeId="0" xr:uid="{EC191D9E-96D5-4E05-8190-9E7E8ED3C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49" authorId="0" shapeId="0" xr:uid="{9AB22BEC-5636-4CE4-AFF2-8BD98B3FAC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MARAS, SINDANGAN</t>
        </r>
      </text>
    </comment>
    <comment ref="C350" authorId="0" shapeId="0" xr:uid="{7E644374-CDA2-40B4-A34E-B9C6168FE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ESPARAGUERA, ARLYN
DISUD, SINDANGAN</t>
        </r>
      </text>
    </comment>
    <comment ref="O350" authorId="0" shapeId="0" xr:uid="{6464EECF-BB51-452B-B8D8-C8D1C3BF2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351" authorId="0" shapeId="0" xr:uid="{118837D1-759B-4C14-A4EC-8D90CCA1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51" authorId="0" shapeId="0" xr:uid="{DEF68B1A-D8D5-43BB-BEE2-653F4B30E4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352" authorId="0" shapeId="0" xr:uid="{06124DA5-936D-4C55-9A58-2C8CFDC654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C353" authorId="0" shapeId="0" xr:uid="{1FA6CC5D-E40A-4B87-A2D6-82FA9972B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C354" authorId="0" shapeId="0" xr:uid="{6E079E77-6B63-4C88-889A-8E8B37405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355" authorId="0" shapeId="0" xr:uid="{A71E9A49-58DF-409F-A720-5471ED446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356" authorId="0" shapeId="0" xr:uid="{192BA4DC-3D08-45FE-AB4D-F81B387FD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C357" authorId="0" shapeId="0" xr:uid="{C6972EDE-E8F7-4395-8419-91056965F4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DAGAO, SIAYAN</t>
        </r>
      </text>
    </comment>
    <comment ref="C358" authorId="0" shapeId="0" xr:uid="{8242B372-CB98-4058-8913-76715EBEE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VINA
PIAO, SINDANGAN</t>
        </r>
      </text>
    </comment>
    <comment ref="C359" authorId="0" shapeId="0" xr:uid="{A507D366-7E27-4979-BA7A-1109FA48F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 CSJ
LABAKID, SINDANGAN</t>
        </r>
      </text>
    </comment>
    <comment ref="C360" authorId="0" shapeId="0" xr:uid="{5200F2C7-5DC6-4F06-8715-3414E4F4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361" authorId="0" shapeId="0" xr:uid="{EE79F37D-D0BF-42AD-AD3D-387F7DC0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362" authorId="0" shapeId="0" xr:uid="{35C65B39-4144-4948-9243-7AFC69E36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GAÑOLON
DICOYONG, SINDANGAN</t>
        </r>
      </text>
    </comment>
    <comment ref="C363" authorId="0" shapeId="0" xr:uid="{21CC0E0C-71FA-409A-BF0A-8525D43F7D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397" authorId="0" shapeId="0" xr:uid="{CB481FF1-A50C-4CC7-B633-DE01137F8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
DISUD, SINDANGAN</t>
        </r>
      </text>
    </comment>
    <comment ref="O397" authorId="0" shapeId="0" xr:uid="{A0616023-2281-47B5-BE80-55DE42FF2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397" authorId="0" shapeId="0" xr:uid="{F08A5870-1405-4F61-A3B2-8D2D02824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398" authorId="0" shapeId="0" xr:uid="{1646A2CF-6037-48F2-AD46-6471A8F76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398" authorId="0" shapeId="0" xr:uid="{81826C34-8EA7-4FEC-A0F6-DDBC988E1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SINDANGAN</t>
        </r>
      </text>
    </comment>
    <comment ref="AA398" authorId="0" shapeId="0" xr:uid="{F428E60C-CBF5-4345-9B4C-995ED755FA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399" authorId="0" shapeId="0" xr:uid="{D6F90C0F-EA92-40AA-B4F4-1784B193C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99" authorId="0" shapeId="0" xr:uid="{0C8A44F6-7918-49AF-855D-EEE701DBB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399" authorId="0" shapeId="0" xr:uid="{0526C0B4-5E97-45F9-B697-112AB97809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400" authorId="0" shapeId="0" xr:uid="{97BD9D42-61A3-4612-B309-8A75B9177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ESTONG STORE
PIAO, SINDANGAN</t>
        </r>
      </text>
    </comment>
    <comment ref="O400" authorId="0" shapeId="0" xr:uid="{610153AE-4D2F-45CC-9B20-927B5727A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00" authorId="0" shapeId="0" xr:uid="{A0BE2387-E3FF-4DFF-BC50-5F5002746B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EMOTIN
POB, SALUG</t>
        </r>
      </text>
    </comment>
    <comment ref="C401" authorId="0" shapeId="0" xr:uid="{3C875103-DBC5-4E81-9967-311AD0645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
POB, SINDANGAN</t>
        </r>
      </text>
    </comment>
    <comment ref="O401" authorId="0" shapeId="0" xr:uid="{D43FB79D-E4CD-4DC8-AB24-48964C2AD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401" authorId="0" shapeId="0" xr:uid="{8F9A4B15-DD50-42DC-BA19-D90E98439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STORE
POB, SALUG</t>
        </r>
      </text>
    </comment>
    <comment ref="C402" authorId="0" shapeId="0" xr:uid="{EA389FF0-7B9A-4998-B661-0A8B82777A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BEER
DAPAON, SINDANGAN</t>
        </r>
      </text>
    </comment>
    <comment ref="AA402" authorId="0" shapeId="0" xr:uid="{267905C8-7D37-43DF-95A3-3EBED5905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POB, SALUG</t>
        </r>
      </text>
    </comment>
    <comment ref="C403" authorId="0" shapeId="0" xr:uid="{1246131F-92BD-4CDA-9A2D-109FA4F2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C404" authorId="0" shapeId="0" xr:uid="{9E1FF282-EFC1-476F-91B2-681044D5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C405" authorId="0" shapeId="0" xr:uid="{A50233BA-6433-4DB1-A847-5B36010A8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452" authorId="0" shapeId="0" xr:uid="{4764FF4B-A85B-4FDE-B1A1-D56EEE415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452" authorId="0" shapeId="0" xr:uid="{99A44F55-503E-41AB-ADB3-ADA457DB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2" authorId="0" shapeId="0" xr:uid="{382ADDC9-AD24-4B90-B6B3-FF16C1E5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53" authorId="0" shapeId="0" xr:uid="{F8A1F82E-87F7-43CD-B0B6-949AAAC1EC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453" authorId="0" shapeId="0" xr:uid="{8394488F-958D-4182-B4DF-9F1F6304C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429A68E5-0972-476B-8642-9AE1218DD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454" authorId="0" shapeId="0" xr:uid="{A3839DF1-C040-444E-A516-0213B31DE6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454" authorId="0" shapeId="0" xr:uid="{F06B5281-58DE-4082-A150-4DA8EB4ED8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454" authorId="0" shapeId="0" xr:uid="{A457251A-950C-440E-8C93-3C1A0A470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JANMARY
KAYOK, LILOY</t>
        </r>
      </text>
    </comment>
    <comment ref="C455" authorId="0" shapeId="0" xr:uid="{61C614AC-268C-4E51-9969-FE2D3FE14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55" authorId="0" shapeId="0" xr:uid="{80076182-B671-4591-98A7-5C3D73457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455" authorId="0" shapeId="0" xr:uid="{EFB5FA06-0B7F-488C-BA50-851DDC0B98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
KAYOK, LILOY</t>
        </r>
      </text>
    </comment>
    <comment ref="C456" authorId="0" shapeId="0" xr:uid="{472D54DF-57DF-42DE-B396-29AA7B4725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MOTORPARTS
PIAO, SINDANGAN</t>
        </r>
      </text>
    </comment>
    <comment ref="O456" authorId="0" shapeId="0" xr:uid="{E96D957B-FFDE-4B61-8437-4CD6A4377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C771D9FF-BCC5-47B2-A844-088945E5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7" authorId="0" shapeId="0" xr:uid="{08E0666F-2541-4D08-830E-B61E7C432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O457" authorId="0" shapeId="0" xr:uid="{2BD4EF91-6F0B-4EFD-9063-839CA5B991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7" authorId="0" shapeId="0" xr:uid="{F6C4624B-DF6A-43DB-9416-2923F8ABB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58" authorId="0" shapeId="0" xr:uid="{109FACB1-29A9-42EC-8CD6-46A5D5604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
LAGAG, SINDANGAN</t>
        </r>
      </text>
    </comment>
    <comment ref="C459" authorId="0" shapeId="0" xr:uid="{71BFADEF-7791-4157-A295-9DEDFA35A6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GUILLERMA
POLAYO, SIAYAN</t>
        </r>
      </text>
    </comment>
    <comment ref="C460" authorId="0" shapeId="0" xr:uid="{72CC7C75-F159-411C-BC71-4537FB28C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INOSENCIA DULAT
POLAYO, SINDANGAN</t>
        </r>
      </text>
    </comment>
    <comment ref="C461" authorId="0" shapeId="0" xr:uid="{1E83F7FD-EB54-4118-80C3-8B5C3C6ED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462" authorId="0" shapeId="0" xr:uid="{72A64BC2-EEED-4F5A-8960-618D5916DF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AGUSTINA ARIPAL
POLAYO, SIAYAN</t>
        </r>
      </text>
    </comment>
    <comment ref="C463" authorId="0" shapeId="0" xr:uid="{2AFF7E4B-F6BB-4F7F-997D-2683FE0885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464" authorId="0" shapeId="0" xr:uid="{B2240587-E858-4BA4-86CD-E7DFC437F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SAMMY SIBOCO
POB, SIAYAN</t>
        </r>
      </text>
    </comment>
    <comment ref="C465" authorId="0" shapeId="0" xr:uid="{2CA0FEFD-D87F-4E5C-A407-77855D97A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66" authorId="0" shapeId="0" xr:uid="{E14E613A-E1E4-4BB0-A55B-21D8A497E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467" authorId="0" shapeId="0" xr:uid="{323B4D55-A2D1-4CD3-B5BB-0BC6BF691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468" authorId="0" shapeId="0" xr:uid="{0C3EF886-13B7-483D-8E6B-C9D3786345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 PODIOTAN
POB, SIAYAN</t>
        </r>
      </text>
    </comment>
    <comment ref="C469" authorId="0" shapeId="0" xr:uid="{0D4B37D5-F9A9-4FB9-8150-BC1F0992B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AZUCINA
DAGAO, SIAYAN</t>
        </r>
      </text>
    </comment>
    <comment ref="C470" authorId="0" shapeId="0" xr:uid="{D9D158E1-13DD-4597-8AC9-6A8E6A6F82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471" authorId="0" shapeId="0" xr:uid="{86BF4BBE-14EA-45CC-A72E-943365062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FELY BANO
DENOYAN, SIAYAN</t>
        </r>
      </text>
    </comment>
    <comment ref="C472" authorId="0" shapeId="0" xr:uid="{87438250-57B8-4D18-92D2-68537CA49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KAMBINGAN SUTUKIL
DISUD, SINDANGAN</t>
        </r>
      </text>
    </comment>
    <comment ref="C507" authorId="0" shapeId="0" xr:uid="{EE420D0E-E04F-474C-86CA-D96CEF1C5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507" authorId="0" shapeId="0" xr:uid="{1BE74949-3CB0-4D57-8CCD-062DA805B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507" authorId="0" shapeId="0" xr:uid="{B3551B64-69D9-443A-9FB5-8C40495615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08" authorId="0" shapeId="0" xr:uid="{F155A28A-BA24-4894-A852-129C83E0F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SALUG</t>
        </r>
      </text>
    </comment>
    <comment ref="O508" authorId="0" shapeId="0" xr:uid="{06BB7D1E-CD17-442E-B2B3-FBCEF4768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508" authorId="0" shapeId="0" xr:uid="{E1CE885D-C083-4D25-B919-819AAB774A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C509" authorId="0" shapeId="0" xr:uid="{27BC052E-1F94-4524-B812-B41727F47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509" authorId="0" shapeId="0" xr:uid="{817F65AA-CB33-4318-A00E-48FC19076B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509" authorId="0" shapeId="0" xr:uid="{1533E046-213A-448B-B449-8FD605E108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510" authorId="0" shapeId="0" xr:uid="{EA797388-D6F8-43B9-84A5-7F7CBC67E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
POB EAST, SALUG</t>
        </r>
      </text>
    </comment>
    <comment ref="AA512" authorId="0" shapeId="0" xr:uid="{505DBE94-E0D9-4A9D-9D86-AD10C7863B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513" authorId="0" shapeId="0" xr:uid="{E66E4D79-0454-4AB3-885D-558D342EB3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514" authorId="0" shapeId="0" xr:uid="{DC17567D-3197-4A5F-A543-66C9C8A47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515" authorId="0" shapeId="0" xr:uid="{F3C511CA-7E90-43C5-9D15-570F23C48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516" authorId="0" shapeId="0" xr:uid="{B7E814A2-702D-47AF-B64F-CA6B33E8DE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
BACONG, SALUG</t>
        </r>
      </text>
    </comment>
    <comment ref="AA517" authorId="0" shapeId="0" xr:uid="{3D552165-EFC2-4AB2-8DE1-1A6C6C0EEB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 BAYANI
POB EAST, SALUG</t>
        </r>
      </text>
    </comment>
    <comment ref="C562" authorId="0" shapeId="0" xr:uid="{1DB9DF53-AD0B-42F2-A1AB-4D77F1A39E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562" authorId="0" shapeId="0" xr:uid="{3FF63A58-7A39-4D28-8D85-FFA336595E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562" authorId="0" shapeId="0" xr:uid="{1EE1BE5D-615F-40AA-9192-DA96FFF652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3" authorId="0" shapeId="0" xr:uid="{88A4ADBA-DCAE-4156-BDD3-B37DC4B8C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
DENOYAN, SIAYAN</t>
        </r>
      </text>
    </comment>
    <comment ref="O563" authorId="0" shapeId="0" xr:uid="{B5DE66E9-67D2-4641-B1E6-581B6695E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63" authorId="0" shapeId="0" xr:uid="{D46ADE2B-D377-473A-9C97-51CF66330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564" authorId="0" shapeId="0" xr:uid="{ABD9D330-FD0F-49FF-A1BD-2EA2FBA86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SABILLO
POB, SIAYAN</t>
        </r>
      </text>
    </comment>
    <comment ref="O564" authorId="0" shapeId="0" xr:uid="{B3E00FBB-D19A-4C89-82AA-1BA2EE24B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4" authorId="0" shapeId="0" xr:uid="{7F782ADF-79F7-4BC5-ADA1-0C8EDF90FA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5" authorId="0" shapeId="0" xr:uid="{7A875570-19AB-41CD-94E7-559F4A12B2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565" authorId="0" shapeId="0" xr:uid="{377B8594-F350-4CD7-A792-E348629FF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5" authorId="0" shapeId="0" xr:uid="{B068A11C-A41E-411C-909C-BEE7536143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566" authorId="0" shapeId="0" xr:uid="{9DC0DCF7-C472-41D9-BCA4-9007B1119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566" authorId="0" shapeId="0" xr:uid="{A42CA737-FDA9-428F-9B61-2ED966095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566" authorId="0" shapeId="0" xr:uid="{FF53FDEA-4988-455C-9A2E-0FE292D88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7" authorId="0" shapeId="0" xr:uid="{959958CE-97DE-4AA7-BCF2-5576F9CD1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
POB, SIAYAN</t>
        </r>
      </text>
    </comment>
    <comment ref="AA567" authorId="0" shapeId="0" xr:uid="{2C066240-F387-4032-B55F-6ACE8314C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
VILLA SUICIDAL, LILOY</t>
        </r>
      </text>
    </comment>
    <comment ref="C568" authorId="0" shapeId="0" xr:uid="{BF7CD519-613B-491E-8CE8-7D1F980CD9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POB, SIAYAN</t>
        </r>
      </text>
    </comment>
    <comment ref="AA568" authorId="0" shapeId="0" xr:uid="{FB7A60C5-963E-452F-BEE7-A0D48E6A40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569" authorId="0" shapeId="0" xr:uid="{BBB2BB6E-7510-497B-91A6-FD009A0866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POB, SIAYAN</t>
        </r>
      </text>
    </comment>
    <comment ref="C570" authorId="0" shapeId="0" xr:uid="{4347DB42-1B16-4CAE-A7AE-1B4F6A26FC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SIASICO
POB, SIAYAN</t>
        </r>
      </text>
    </comment>
    <comment ref="C571" authorId="0" shapeId="0" xr:uid="{59EE0497-1787-47F6-A840-EFFF0A5A2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MELITINA LADIAGONONG
POLAYO, SIAYAN</t>
        </r>
      </text>
    </comment>
    <comment ref="O617" authorId="0" shapeId="0" xr:uid="{054D4C5C-3FA4-4534-B09F-131C95A4B4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</t>
        </r>
      </text>
    </comment>
    <comment ref="AA617" authorId="0" shapeId="0" xr:uid="{2169ED7A-A85D-4D4D-830A-C36450750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18" authorId="0" shapeId="0" xr:uid="{078A8107-9381-4E90-9B51-64FC8E1728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18" authorId="0" shapeId="0" xr:uid="{A9CBAF43-EE2F-47CF-9397-698578BB18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619" authorId="0" shapeId="0" xr:uid="{0A5CB7F7-A7B7-48C6-9865-15547EC8E7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SINDANGAN</t>
        </r>
      </text>
    </comment>
    <comment ref="AA619" authorId="0" shapeId="0" xr:uid="{171D61F8-33FE-4B6F-8080-036EF1AB2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620" authorId="0" shapeId="0" xr:uid="{83AAA2D0-3588-4FAA-A816-943DA9962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620" authorId="0" shapeId="0" xr:uid="{4F30D705-231C-4A3F-B97E-15BD5A7834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O621" authorId="0" shapeId="0" xr:uid="{F1DEEEB7-F22D-4033-AC87-950192541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LIMPAG
TALINGA, BACUNGAN</t>
        </r>
      </text>
    </comment>
    <comment ref="AA621" authorId="0" shapeId="0" xr:uid="{A84CF4B8-8CF3-4E0D-8883-3107F2FE90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622" authorId="0" shapeId="0" xr:uid="{69BD0A29-6AB2-4EBA-A170-6259F96C13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622" authorId="0" shapeId="0" xr:uid="{D37D151A-5339-47E6-8D06-E4D394053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623" authorId="0" shapeId="0" xr:uid="{C9CE10BC-6B68-47C7-8B41-495925D44E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624" authorId="0" shapeId="0" xr:uid="{DC7F9120-42EB-4846-BE7C-C4FEFFC3B9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COSEF STORE
TALINGA, BACUNGAN</t>
        </r>
      </text>
    </comment>
    <comment ref="AA624" authorId="0" shapeId="0" xr:uid="{41F819FE-1191-44B4-8E7F-ECE91A2D4C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O625" authorId="0" shapeId="0" xr:uid="{26EAC8FB-609C-475D-8870-2C019D5ACA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APILAN STORE
MARAS, SINDANGAN</t>
        </r>
      </text>
    </comment>
    <comment ref="AA625" authorId="0" shapeId="0" xr:uid="{5837EC95-3807-4C5B-8AE6-16C4657FB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
POB EAST, SALUG</t>
        </r>
      </text>
    </comment>
    <comment ref="O626" authorId="0" shapeId="0" xr:uid="{C93C8AEA-2123-422E-BF82-1016036AAB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O627" authorId="0" shapeId="0" xr:uid="{0F8E7DC9-042F-4C2E-9DE7-8DE4D848C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O628" authorId="0" shapeId="0" xr:uid="{8E780F0F-4FEA-453C-AFBB-57A790E646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629" authorId="0" shapeId="0" xr:uid="{6739D788-6EC2-48D6-93BB-ED77DBD760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630" authorId="0" shapeId="0" xr:uid="{1CEDBF9A-8056-456D-94E2-4C1C15597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631" authorId="0" shapeId="0" xr:uid="{7F33E0BB-D3D4-4433-AAAA-7AAA3415CF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632" authorId="0" shapeId="0" xr:uid="{CC767089-8DD8-4483-8108-7646893314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633" authorId="0" shapeId="0" xr:uid="{6084D544-1036-4EE3-9509-BF1DABC4D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672" authorId="0" shapeId="0" xr:uid="{EE249137-0E5B-4255-B276-DADE6BFC13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672" authorId="0" shapeId="0" xr:uid="{E65259A8-D5F3-486D-B84A-3E1C1EA0BD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672" authorId="0" shapeId="0" xr:uid="{0CDDC1FE-D857-43ED-82CF-D0DAB3758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3" authorId="0" shapeId="0" xr:uid="{6EEDBF01-D24C-4652-BA3A-4728FEEFE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POB, SINDANGAN</t>
        </r>
      </text>
    </comment>
    <comment ref="O673" authorId="0" shapeId="0" xr:uid="{9CEAC565-DCB0-44FB-A74A-D3B6FBAA4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673" authorId="0" shapeId="0" xr:uid="{3649FAE0-04F3-4FB3-AB82-EF98BB42CD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GEMINI
POB EAST, SALUG</t>
        </r>
      </text>
    </comment>
    <comment ref="C674" authorId="0" shapeId="0" xr:uid="{5CA8902E-9BED-4CB7-946D-3B05B256D3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674" authorId="0" shapeId="0" xr:uid="{447ED8E5-B3CD-4431-B4E8-D3667A2AC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85682886-72AF-4C5A-815C-5E24F6275A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 STORE
POB EAST, SALUG</t>
        </r>
      </text>
    </comment>
    <comment ref="C675" authorId="0" shapeId="0" xr:uid="{8A0F0CC9-7831-4750-9F66-F573D1449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FRONTAL, ANGELICA
DAPAON, SINDANGAN</t>
        </r>
      </text>
    </comment>
    <comment ref="O675" authorId="0" shapeId="0" xr:uid="{617CC7CE-0EEE-42F1-B4C0-098B4CD1B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75" authorId="0" shapeId="0" xr:uid="{FEE9317B-04F8-4F68-97F9-B0F29645D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676" authorId="0" shapeId="0" xr:uid="{8BAA38C2-E694-4E1C-B1F5-DFE54C784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676" authorId="0" shapeId="0" xr:uid="{0010194C-1015-4582-AD2B-CACE34A242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7" authorId="0" shapeId="0" xr:uid="{F601ACBD-22A7-4AE0-920C-21EF68F1ED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AA677" authorId="0" shapeId="0" xr:uid="{416918FD-B8A1-4D21-8D06-D8BC9AD60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
CANAWAN, SALUG</t>
        </r>
      </text>
    </comment>
    <comment ref="C678" authorId="0" shapeId="0" xr:uid="{14E87277-79FB-4445-8CD2-CD24E9754A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JEFFREY LIM
DAPAON, SINDANGAN</t>
        </r>
      </text>
    </comment>
    <comment ref="AA678" authorId="0" shapeId="0" xr:uid="{23D68FB4-DECA-4AC9-9D70-DA23B4FEB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9" authorId="0" shapeId="0" xr:uid="{994D4FE2-C7A6-4EBF-8AC9-D923F459D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679" authorId="0" shapeId="0" xr:uid="{6E35A267-CE95-45A4-B5C4-50B1C83A0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</t>
        </r>
      </text>
    </comment>
    <comment ref="C680" authorId="0" shapeId="0" xr:uid="{1D059C99-8E0B-42F4-A75F-106293D365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681" authorId="0" shapeId="0" xr:uid="{07E8C04B-E1BA-4A83-A9BB-80ECB57CB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</commentList>
</comments>
</file>

<file path=xl/sharedStrings.xml><?xml version="1.0" encoding="utf-8"?>
<sst xmlns="http://schemas.openxmlformats.org/spreadsheetml/2006/main" count="951" uniqueCount="77">
  <si>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</si>
  <si>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</si>
  <si>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</si>
  <si>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</si>
  <si>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</si>
  <si>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</si>
  <si>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</si>
  <si>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</si>
  <si>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</si>
  <si>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</si>
  <si>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</si>
  <si>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</si>
  <si>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</si>
  <si>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</si>
  <si>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</si>
  <si>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</si>
  <si>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</si>
  <si>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</si>
  <si>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</si>
  <si>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</si>
  <si>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</si>
  <si>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</si>
  <si>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</si>
  <si>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</si>
  <si>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</si>
  <si>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</si>
  <si>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</si>
  <si>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</si>
  <si>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</si>
  <si>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</si>
  <si>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</si>
  <si>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</si>
  <si>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</si>
  <si>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</si>
  <si>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</si>
  <si>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</si>
  <si>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</si>
  <si>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</si>
  <si>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</si>
  <si>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</si>
  <si>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</si>
  <si>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</si>
  <si>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</si>
  <si>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</si>
  <si>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</si>
  <si>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</si>
  <si>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</si>
  <si>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</si>
  <si>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</si>
  <si>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</si>
  <si>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</si>
  <si>
    <t>APRIL 08, 2026</t>
  </si>
  <si>
    <t>9983-9985/10065-10071/10008-10014</t>
  </si>
  <si>
    <t>APRIL 09, 2026</t>
  </si>
  <si>
    <t>9986-10000/10072-10080/10015-10025</t>
  </si>
  <si>
    <t>FRIDAY</t>
  </si>
  <si>
    <t>APRIL 10, 2026</t>
  </si>
  <si>
    <t>9846-9850,9901-9917/10081-10090</t>
  </si>
  <si>
    <t>APRIL 13, 2026</t>
  </si>
  <si>
    <t>04/13/2026</t>
  </si>
  <si>
    <t>DAY OFF</t>
  </si>
  <si>
    <t>9918-9926/10091-10095/10101-10106</t>
  </si>
  <si>
    <t>APRIL 14, 2026</t>
  </si>
  <si>
    <t>04/14/2026</t>
  </si>
  <si>
    <t>9927-9947/10096-10151/10026-10031</t>
  </si>
  <si>
    <t>APRIL 15, 2026</t>
  </si>
  <si>
    <t>04/15/2026</t>
  </si>
  <si>
    <t>9948-9950/10152-10154/10032-10042</t>
  </si>
  <si>
    <t>APRIL 16, 2026</t>
  </si>
  <si>
    <t>04/16/2026</t>
  </si>
  <si>
    <t>10201-10210/10155-10159/10044-10050</t>
  </si>
  <si>
    <t>APRIL 17, 2026</t>
  </si>
  <si>
    <t>04/17/2026</t>
  </si>
  <si>
    <t>/10160-10176/10107-10115</t>
  </si>
  <si>
    <t>APRIL 20, 2026</t>
  </si>
  <si>
    <t>04/20/2026</t>
  </si>
  <si>
    <t>10211-10220/10177-10180/10116-10123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</si>
</sst>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4" zoomScaleNormal="100" workbookViewId="0">
      <selection activeCell="C30" sqref="C3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4" t="s">
        <v>38</v>
      </c>
      <c r="B6" s="10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7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 t="s">
        <v>52</v>
      </c>
      <c r="D17" s="16">
        <f t="shared" si="0"/>
        <v>1055430.5</v>
      </c>
      <c r="F17" s="14">
        <v>351843</v>
      </c>
      <c r="G17" s="14">
        <v>242543.5</v>
      </c>
      <c r="H17" s="14">
        <v>461044</v>
      </c>
      <c r="I17" s="14"/>
      <c r="J17" s="17">
        <f t="shared" si="1"/>
        <v>1055430.5</v>
      </c>
    </row>
    <row r="18" spans="1:10" x14ac:dyDescent="0.25">
      <c r="A18" s="10">
        <f t="shared" si="2"/>
        <v>9</v>
      </c>
      <c r="B18" s="11" t="s">
        <v>30</v>
      </c>
      <c r="C18" s="12" t="s">
        <v>54</v>
      </c>
      <c r="D18" s="16">
        <f t="shared" si="0"/>
        <v>964947.5</v>
      </c>
      <c r="F18" s="14">
        <v>364239.5</v>
      </c>
      <c r="G18" s="14">
        <v>217561</v>
      </c>
      <c r="H18" s="14">
        <v>383147</v>
      </c>
      <c r="I18" s="14"/>
      <c r="J18" s="17">
        <f t="shared" si="1"/>
        <v>964947.5</v>
      </c>
    </row>
    <row r="19" spans="1:10" x14ac:dyDescent="0.25">
      <c r="A19" s="10">
        <f t="shared" si="2"/>
        <v>10</v>
      </c>
      <c r="B19" s="43" t="s">
        <v>4</v>
      </c>
      <c r="C19" s="12" t="s">
        <v>57</v>
      </c>
      <c r="D19" s="16">
        <f t="shared" si="0"/>
        <v>535804.79</v>
      </c>
      <c r="F19" s="14">
        <v>250368.29</v>
      </c>
      <c r="G19" s="14">
        <v>285436.5</v>
      </c>
      <c r="H19" s="14"/>
      <c r="I19" s="14"/>
      <c r="J19" s="17">
        <f t="shared" si="1"/>
        <v>535804.79</v>
      </c>
    </row>
    <row r="20" spans="1:10" x14ac:dyDescent="0.25">
      <c r="A20" s="10">
        <f t="shared" si="2"/>
        <v>11</v>
      </c>
      <c r="B20" s="56" t="s">
        <v>5</v>
      </c>
      <c r="C20" s="44" t="s">
        <v>60</v>
      </c>
      <c r="D20" s="55" t="s">
        <v>60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61</v>
      </c>
      <c r="D22" s="16">
        <f t="shared" si="0"/>
        <v>739506.5</v>
      </c>
      <c r="F22" s="14">
        <v>204208.5</v>
      </c>
      <c r="G22" s="14">
        <v>256980</v>
      </c>
      <c r="H22" s="14">
        <v>278318</v>
      </c>
      <c r="I22" s="14"/>
      <c r="J22" s="17">
        <f t="shared" si="1"/>
        <v>739506.5</v>
      </c>
    </row>
    <row r="23" spans="1:10" x14ac:dyDescent="0.25">
      <c r="A23" s="10">
        <f t="shared" si="2"/>
        <v>14</v>
      </c>
      <c r="B23" s="43" t="s">
        <v>8</v>
      </c>
      <c r="C23" s="12" t="s">
        <v>64</v>
      </c>
      <c r="D23" s="16">
        <f t="shared" si="0"/>
        <v>888651</v>
      </c>
      <c r="F23" s="14">
        <v>231725</v>
      </c>
      <c r="G23" s="14">
        <v>276295</v>
      </c>
      <c r="H23" s="14">
        <v>380631</v>
      </c>
      <c r="I23" s="14"/>
      <c r="J23" s="17">
        <f t="shared" si="1"/>
        <v>888651</v>
      </c>
    </row>
    <row r="24" spans="1:10" x14ac:dyDescent="0.25">
      <c r="A24" s="10">
        <f t="shared" si="2"/>
        <v>15</v>
      </c>
      <c r="B24" s="56" t="s">
        <v>9</v>
      </c>
      <c r="C24" s="12" t="s">
        <v>67</v>
      </c>
      <c r="D24" s="16">
        <f t="shared" si="0"/>
        <v>1036866.5</v>
      </c>
      <c r="F24" s="14">
        <v>322983</v>
      </c>
      <c r="G24" s="14">
        <v>249756</v>
      </c>
      <c r="H24" s="14">
        <v>464127.5</v>
      </c>
      <c r="I24" s="14"/>
      <c r="J24" s="17">
        <f t="shared" si="1"/>
        <v>1036866.5</v>
      </c>
    </row>
    <row r="25" spans="1:10" x14ac:dyDescent="0.25">
      <c r="A25" s="10">
        <f t="shared" si="2"/>
        <v>16</v>
      </c>
      <c r="B25" s="11" t="s">
        <v>30</v>
      </c>
      <c r="C25" s="12" t="s">
        <v>70</v>
      </c>
      <c r="D25" s="16">
        <f t="shared" si="0"/>
        <v>836204</v>
      </c>
      <c r="F25" s="14">
        <v>246523.5</v>
      </c>
      <c r="G25" s="14">
        <v>248686.5</v>
      </c>
      <c r="H25" s="14">
        <v>340994</v>
      </c>
      <c r="I25" s="14"/>
      <c r="J25" s="17">
        <f t="shared" si="1"/>
        <v>836204</v>
      </c>
    </row>
    <row r="26" spans="1:10" x14ac:dyDescent="0.25">
      <c r="A26" s="10">
        <f t="shared" si="2"/>
        <v>17</v>
      </c>
      <c r="B26" s="43" t="s">
        <v>4</v>
      </c>
      <c r="C26" s="12" t="s">
        <v>73</v>
      </c>
      <c r="D26" s="16">
        <f t="shared" si="0"/>
        <v>618236</v>
      </c>
      <c r="F26" s="14"/>
      <c r="G26" s="14">
        <v>233017</v>
      </c>
      <c r="H26" s="14">
        <v>385219</v>
      </c>
      <c r="I26" s="14"/>
      <c r="J26" s="17">
        <f t="shared" si="1"/>
        <v>618236</v>
      </c>
    </row>
    <row r="27" spans="1:10" x14ac:dyDescent="0.25">
      <c r="A27" s="10">
        <f t="shared" si="2"/>
        <v>18</v>
      </c>
      <c r="B27" s="56" t="s">
        <v>5</v>
      </c>
      <c r="C27" s="44" t="s">
        <v>60</v>
      </c>
      <c r="D27" s="55" t="s">
        <v>60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76</v>
      </c>
      <c r="D29" s="16">
        <v>1127355.5</v>
      </c>
      <c r="F29" s="14">
        <v>464246.5</v>
      </c>
      <c r="G29" s="14">
        <v>327954</v>
      </c>
      <c r="H29" s="14">
        <v>335155</v>
      </c>
      <c r="I29" s="14"/>
      <c r="J29" s="17">
        <f t="shared" si="1"/>
        <v>1127355.5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ref="D29:D34" si="3">J30</f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3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3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3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si="3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/>
      <c r="D36" s="16">
        <f t="shared" ref="D36:D39" si="4">J36</f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8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5" t="s">
        <v>10</v>
      </c>
      <c r="B42" s="106"/>
      <c r="C42" s="107"/>
      <c r="D42" s="48">
        <f>SUM(D2:D41)</f>
        <v>12919437.789999999</v>
      </c>
      <c r="J42" s="49">
        <f>SUM(J10:J41)</f>
        <v>12919437.789999999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684" zoomScaleNormal="100" workbookViewId="0">
      <selection activeCell="A716" sqref="A71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2" t="s">
        <v>17</v>
      </c>
      <c r="E10" s="112"/>
      <c r="F10" s="75"/>
      <c r="G10" s="27"/>
      <c r="I10" s="110" t="s">
        <v>18</v>
      </c>
      <c r="J10" s="111"/>
      <c r="K10" s="108" t="s">
        <v>19</v>
      </c>
      <c r="N10" s="25"/>
      <c r="O10" s="26"/>
      <c r="P10" s="112" t="s">
        <v>17</v>
      </c>
      <c r="Q10" s="112"/>
      <c r="R10" s="75"/>
      <c r="S10" s="27"/>
      <c r="U10" s="110" t="s">
        <v>18</v>
      </c>
      <c r="V10" s="111"/>
      <c r="W10" s="108" t="s">
        <v>19</v>
      </c>
      <c r="Z10" s="25"/>
      <c r="AA10" s="26"/>
      <c r="AB10" s="112" t="s">
        <v>17</v>
      </c>
      <c r="AC10" s="112"/>
      <c r="AD10" s="75"/>
      <c r="AE10" s="27"/>
      <c r="AG10" s="110" t="s">
        <v>18</v>
      </c>
      <c r="AH10" s="111"/>
      <c r="AI10" s="108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9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9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9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2" t="s">
        <v>17</v>
      </c>
      <c r="E65" s="112"/>
      <c r="F65" s="92"/>
      <c r="G65" s="27"/>
      <c r="I65" s="110" t="s">
        <v>18</v>
      </c>
      <c r="J65" s="111"/>
      <c r="K65" s="108" t="s">
        <v>19</v>
      </c>
      <c r="N65" s="25"/>
      <c r="O65" s="26"/>
      <c r="P65" s="112" t="s">
        <v>17</v>
      </c>
      <c r="Q65" s="112"/>
      <c r="R65" s="93"/>
      <c r="S65" s="27"/>
      <c r="U65" s="110" t="s">
        <v>18</v>
      </c>
      <c r="V65" s="111"/>
      <c r="W65" s="108" t="s">
        <v>19</v>
      </c>
      <c r="Z65" s="25"/>
      <c r="AA65" s="26"/>
      <c r="AB65" s="112" t="s">
        <v>17</v>
      </c>
      <c r="AC65" s="112"/>
      <c r="AD65" s="93"/>
      <c r="AE65" s="27"/>
      <c r="AG65" s="110" t="s">
        <v>18</v>
      </c>
      <c r="AH65" s="111"/>
      <c r="AI65" s="108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9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9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9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14"/>
      <c r="AO67" s="114"/>
      <c r="AP67" s="86"/>
      <c r="AQ67" s="62"/>
      <c r="AR67" s="114"/>
      <c r="AS67" s="114"/>
      <c r="AT67" s="113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3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2" t="s">
        <v>17</v>
      </c>
      <c r="E120" s="112"/>
      <c r="F120" s="93"/>
      <c r="G120" s="27"/>
      <c r="I120" s="110" t="s">
        <v>18</v>
      </c>
      <c r="J120" s="111"/>
      <c r="K120" s="108" t="s">
        <v>19</v>
      </c>
      <c r="N120" s="25"/>
      <c r="O120" s="26"/>
      <c r="P120" s="112" t="s">
        <v>17</v>
      </c>
      <c r="Q120" s="112"/>
      <c r="R120" s="93"/>
      <c r="S120" s="27"/>
      <c r="U120" s="110" t="s">
        <v>18</v>
      </c>
      <c r="V120" s="111"/>
      <c r="W120" s="108" t="s">
        <v>19</v>
      </c>
      <c r="Z120" s="25"/>
      <c r="AA120" s="26"/>
      <c r="AB120" s="112" t="s">
        <v>17</v>
      </c>
      <c r="AC120" s="112"/>
      <c r="AD120" s="93"/>
      <c r="AE120" s="27"/>
      <c r="AG120" s="110" t="s">
        <v>18</v>
      </c>
      <c r="AH120" s="111"/>
      <c r="AI120" s="108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9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9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9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2" t="s">
        <v>17</v>
      </c>
      <c r="E175" s="112"/>
      <c r="F175" s="94"/>
      <c r="G175" s="27"/>
      <c r="I175" s="110" t="s">
        <v>18</v>
      </c>
      <c r="J175" s="111"/>
      <c r="K175" s="108" t="s">
        <v>19</v>
      </c>
      <c r="N175" s="25"/>
      <c r="O175" s="26"/>
      <c r="P175" s="112" t="s">
        <v>17</v>
      </c>
      <c r="Q175" s="112"/>
      <c r="R175" s="94"/>
      <c r="S175" s="27"/>
      <c r="U175" s="110" t="s">
        <v>18</v>
      </c>
      <c r="V175" s="111"/>
      <c r="W175" s="108" t="s">
        <v>19</v>
      </c>
      <c r="Z175" s="25"/>
      <c r="AA175" s="26"/>
      <c r="AB175" s="112" t="s">
        <v>17</v>
      </c>
      <c r="AC175" s="112"/>
      <c r="AD175" s="94"/>
      <c r="AE175" s="27"/>
      <c r="AG175" s="110" t="s">
        <v>18</v>
      </c>
      <c r="AH175" s="111"/>
      <c r="AI175" s="108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9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9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9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14"/>
      <c r="AO181" s="114"/>
      <c r="AP181" s="86"/>
      <c r="AQ181" s="62"/>
      <c r="AR181" s="114"/>
      <c r="AS181" s="114"/>
      <c r="AT181" s="113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3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37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37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37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2" t="s">
        <v>17</v>
      </c>
      <c r="E230" s="112"/>
      <c r="F230" s="95"/>
      <c r="G230" s="27"/>
      <c r="I230" s="110" t="s">
        <v>18</v>
      </c>
      <c r="J230" s="111"/>
      <c r="K230" s="108" t="s">
        <v>19</v>
      </c>
      <c r="N230" s="25"/>
      <c r="O230" s="26"/>
      <c r="P230" s="112" t="s">
        <v>17</v>
      </c>
      <c r="Q230" s="112"/>
      <c r="R230" s="95"/>
      <c r="S230" s="27"/>
      <c r="U230" s="110" t="s">
        <v>18</v>
      </c>
      <c r="V230" s="111"/>
      <c r="W230" s="108" t="s">
        <v>19</v>
      </c>
      <c r="Z230" s="25"/>
      <c r="AA230" s="26"/>
      <c r="AB230" s="112" t="s">
        <v>17</v>
      </c>
      <c r="AC230" s="112"/>
      <c r="AD230" s="95"/>
      <c r="AE230" s="27"/>
      <c r="AG230" s="110" t="s">
        <v>18</v>
      </c>
      <c r="AH230" s="111"/>
      <c r="AI230" s="108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9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9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9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46238</v>
      </c>
      <c r="C232" s="83">
        <v>9983</v>
      </c>
      <c r="D232" s="32">
        <f>650*432+229*15</f>
        <v>284235</v>
      </c>
      <c r="E232" s="32">
        <f>-432*6</f>
        <v>-2592</v>
      </c>
      <c r="F232" s="32"/>
      <c r="G232" s="32">
        <f t="shared" ref="G232:G265" si="75">SUM(D232:E232)</f>
        <v>281643</v>
      </c>
      <c r="H232" s="12"/>
      <c r="I232" s="12">
        <f>48*111+540+85.5</f>
        <v>5953.5</v>
      </c>
      <c r="J232" s="12"/>
      <c r="K232" s="12">
        <f t="shared" ref="K232:K265" si="76">SUM(G232:J232)</f>
        <v>287596.5</v>
      </c>
      <c r="M232" s="10">
        <v>1</v>
      </c>
      <c r="N232" s="30">
        <v>46238</v>
      </c>
      <c r="O232" s="31">
        <v>10065</v>
      </c>
      <c r="P232" s="32">
        <f>650*2+9.5*2</f>
        <v>1319</v>
      </c>
      <c r="Q232" s="32"/>
      <c r="R232" s="32"/>
      <c r="S232" s="32">
        <f>SUM(P232:Q232)</f>
        <v>1319</v>
      </c>
      <c r="T232" s="12"/>
      <c r="U232" s="12"/>
      <c r="V232" s="12">
        <v>-1110</v>
      </c>
      <c r="W232" s="12">
        <f>SUM(S232:V232)</f>
        <v>209</v>
      </c>
      <c r="Y232" s="10">
        <v>1</v>
      </c>
      <c r="Z232" s="30">
        <v>46238</v>
      </c>
      <c r="AA232" s="31">
        <v>10008</v>
      </c>
      <c r="AB232" s="32">
        <f>650*50+622*15+229</f>
        <v>42059</v>
      </c>
      <c r="AC232" s="32">
        <f>-65*6</f>
        <v>-390</v>
      </c>
      <c r="AD232" s="32"/>
      <c r="AE232" s="32">
        <f>SUM(AB232:AC232)</f>
        <v>41669</v>
      </c>
      <c r="AF232" s="12"/>
      <c r="AG232" s="12"/>
      <c r="AH232" s="12"/>
      <c r="AI232" s="12">
        <f>SUM(AE232:AH232)</f>
        <v>41669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46238</v>
      </c>
      <c r="C233" s="83">
        <f>C232+1</f>
        <v>9984</v>
      </c>
      <c r="D233" s="32">
        <f>650*107</f>
        <v>69550</v>
      </c>
      <c r="E233" s="32"/>
      <c r="F233" s="32"/>
      <c r="G233" s="32">
        <f t="shared" si="75"/>
        <v>69550</v>
      </c>
      <c r="H233" s="12"/>
      <c r="I233" s="12"/>
      <c r="J233" s="12">
        <v>-3219</v>
      </c>
      <c r="K233" s="12">
        <f t="shared" si="76"/>
        <v>66331</v>
      </c>
      <c r="M233" s="10">
        <v>2</v>
      </c>
      <c r="N233" s="30">
        <v>46238</v>
      </c>
      <c r="O233" s="31">
        <f>O232+1</f>
        <v>10066</v>
      </c>
      <c r="P233" s="32">
        <f>650*21+622*3+229</f>
        <v>15745</v>
      </c>
      <c r="Q233" s="32"/>
      <c r="R233" s="32"/>
      <c r="S233" s="32">
        <f t="shared" ref="S233:S270" si="77">SUM(P233:Q233)</f>
        <v>15745</v>
      </c>
      <c r="T233" s="12"/>
      <c r="U233" s="12">
        <v>36</v>
      </c>
      <c r="V233" s="12"/>
      <c r="W233" s="12">
        <f t="shared" ref="W233:W273" si="78">SUM(S233:V233)</f>
        <v>15781</v>
      </c>
      <c r="Y233" s="10">
        <v>2</v>
      </c>
      <c r="Z233" s="30">
        <v>46238</v>
      </c>
      <c r="AA233" s="31">
        <f>AA232+1</f>
        <v>10009</v>
      </c>
      <c r="AB233" s="32">
        <f>650*187+622*20+912*2+872*2+229*4+650*2</f>
        <v>139774</v>
      </c>
      <c r="AC233" s="32">
        <f>-211*6</f>
        <v>-1266</v>
      </c>
      <c r="AD233" s="32"/>
      <c r="AE233" s="32">
        <f t="shared" ref="AE233:AE235" si="79">SUM(AB233:AC233)</f>
        <v>138508</v>
      </c>
      <c r="AF233" s="12"/>
      <c r="AG233" s="12"/>
      <c r="AH233" s="12"/>
      <c r="AI233" s="12">
        <f t="shared" ref="AI233:AI264" si="80">SUM(AE233:AH233)</f>
        <v>138508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46238</v>
      </c>
      <c r="C234" s="83">
        <f t="shared" ref="C234" si="81">C233+1</f>
        <v>9985</v>
      </c>
      <c r="D234" s="33">
        <f>650</f>
        <v>650</v>
      </c>
      <c r="E234" s="32"/>
      <c r="F234" s="33"/>
      <c r="G234" s="33">
        <f t="shared" si="75"/>
        <v>650</v>
      </c>
      <c r="H234" s="34"/>
      <c r="I234" s="34"/>
      <c r="J234" s="34"/>
      <c r="K234" s="34">
        <f t="shared" si="76"/>
        <v>650</v>
      </c>
      <c r="M234" s="10">
        <v>3</v>
      </c>
      <c r="N234" s="30">
        <v>46238</v>
      </c>
      <c r="O234" s="31">
        <f t="shared" ref="O234:O238" si="82">O233+1</f>
        <v>10067</v>
      </c>
      <c r="P234" s="32">
        <f>650*112+229</f>
        <v>73029</v>
      </c>
      <c r="Q234" s="32">
        <f>-112*6</f>
        <v>-672</v>
      </c>
      <c r="R234" s="32"/>
      <c r="S234" s="32">
        <f t="shared" si="77"/>
        <v>72357</v>
      </c>
      <c r="T234" s="12"/>
      <c r="U234" s="12">
        <v>24</v>
      </c>
      <c r="V234" s="12"/>
      <c r="W234" s="12">
        <f t="shared" si="78"/>
        <v>72381</v>
      </c>
      <c r="Y234" s="10">
        <v>3</v>
      </c>
      <c r="Z234" s="30">
        <v>46238</v>
      </c>
      <c r="AA234" s="31">
        <f t="shared" ref="AA234:AA238" si="83">AA233+1</f>
        <v>10010</v>
      </c>
      <c r="AB234" s="33">
        <f>650*200+670*3+622*50+872*2+229*10</f>
        <v>167144</v>
      </c>
      <c r="AC234" s="33">
        <f>-255*6</f>
        <v>-1530</v>
      </c>
      <c r="AD234" s="32"/>
      <c r="AE234" s="32">
        <f t="shared" si="79"/>
        <v>165614</v>
      </c>
      <c r="AF234" s="12"/>
      <c r="AG234" s="12"/>
      <c r="AH234" s="12"/>
      <c r="AI234" s="12">
        <f t="shared" si="80"/>
        <v>165614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11" t="s">
        <v>27</v>
      </c>
      <c r="D235" s="32"/>
      <c r="E235" s="32"/>
      <c r="F235" s="32"/>
      <c r="G235" s="32">
        <f t="shared" si="75"/>
        <v>0</v>
      </c>
      <c r="H235" s="12"/>
      <c r="I235" s="12"/>
      <c r="J235" s="12"/>
      <c r="K235" s="12">
        <f t="shared" si="76"/>
        <v>0</v>
      </c>
      <c r="M235" s="10">
        <v>4</v>
      </c>
      <c r="N235" s="30">
        <v>46238</v>
      </c>
      <c r="O235" s="31">
        <f t="shared" si="82"/>
        <v>10068</v>
      </c>
      <c r="P235" s="32">
        <f>650*83+622*10+229*2</f>
        <v>60628</v>
      </c>
      <c r="Q235" s="32"/>
      <c r="R235" s="32"/>
      <c r="S235" s="32">
        <f t="shared" si="77"/>
        <v>60628</v>
      </c>
      <c r="T235" s="12"/>
      <c r="U235" s="12">
        <f>1.5*48+4.5*2</f>
        <v>81</v>
      </c>
      <c r="V235" s="12"/>
      <c r="W235" s="12">
        <f t="shared" si="78"/>
        <v>60709</v>
      </c>
      <c r="Y235" s="10">
        <v>4</v>
      </c>
      <c r="Z235" s="30">
        <v>46238</v>
      </c>
      <c r="AA235" s="31">
        <f t="shared" si="83"/>
        <v>10011</v>
      </c>
      <c r="AB235" s="32">
        <f>650*136+670*7+229*5</f>
        <v>94235</v>
      </c>
      <c r="AC235" s="32">
        <f>-143*6</f>
        <v>-858</v>
      </c>
      <c r="AD235" s="32"/>
      <c r="AE235" s="32">
        <f t="shared" si="79"/>
        <v>93377</v>
      </c>
      <c r="AF235" s="12"/>
      <c r="AH235" s="12">
        <f>-78*3</f>
        <v>-234</v>
      </c>
      <c r="AI235" s="12">
        <f t="shared" si="80"/>
        <v>93143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C236" s="83"/>
      <c r="D236" s="32"/>
      <c r="E236" s="32"/>
      <c r="F236" s="32"/>
      <c r="G236" s="32">
        <f t="shared" si="75"/>
        <v>0</v>
      </c>
      <c r="H236" s="12"/>
      <c r="I236" s="12"/>
      <c r="J236" s="12"/>
      <c r="K236" s="12">
        <f t="shared" si="76"/>
        <v>0</v>
      </c>
      <c r="M236" s="10">
        <v>5</v>
      </c>
      <c r="N236" s="30">
        <v>46238</v>
      </c>
      <c r="O236" s="31">
        <f t="shared" si="82"/>
        <v>10069</v>
      </c>
      <c r="P236" s="32">
        <f>650*108+622*29+229*3</f>
        <v>88925</v>
      </c>
      <c r="Q236" s="32">
        <f>-137*6</f>
        <v>-822</v>
      </c>
      <c r="R236" s="32"/>
      <c r="S236" s="32">
        <f t="shared" si="77"/>
        <v>88103</v>
      </c>
      <c r="T236" s="12"/>
      <c r="U236" s="12">
        <v>156</v>
      </c>
      <c r="V236" s="12">
        <v>-126</v>
      </c>
      <c r="W236" s="12">
        <f t="shared" si="78"/>
        <v>88133</v>
      </c>
      <c r="Y236" s="10">
        <v>5</v>
      </c>
      <c r="Z236" s="30">
        <v>46238</v>
      </c>
      <c r="AA236" s="31">
        <f t="shared" si="83"/>
        <v>10012</v>
      </c>
      <c r="AB236" s="32">
        <f>650*12+622*5</f>
        <v>10910</v>
      </c>
      <c r="AC236" s="32"/>
      <c r="AD236" s="32"/>
      <c r="AE236" s="32">
        <f t="shared" ref="AE236:AE237" si="84">SUM(AB236:AC236)</f>
        <v>10910</v>
      </c>
      <c r="AF236" s="12"/>
      <c r="AG236" s="12"/>
      <c r="AH236" s="12"/>
      <c r="AI236" s="12">
        <f t="shared" si="80"/>
        <v>10910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83"/>
      <c r="D237" s="32"/>
      <c r="E237" s="32"/>
      <c r="F237" s="32"/>
      <c r="G237" s="32">
        <f t="shared" si="75"/>
        <v>0</v>
      </c>
      <c r="H237" s="12"/>
      <c r="I237" s="12"/>
      <c r="J237" s="12"/>
      <c r="K237" s="12">
        <f t="shared" si="76"/>
        <v>0</v>
      </c>
      <c r="M237" s="10">
        <v>6</v>
      </c>
      <c r="N237" s="30">
        <v>46238</v>
      </c>
      <c r="O237" s="31">
        <f t="shared" si="82"/>
        <v>10070</v>
      </c>
      <c r="P237" s="32">
        <f>650+9.5</f>
        <v>659.5</v>
      </c>
      <c r="Q237" s="32"/>
      <c r="R237" s="32"/>
      <c r="S237" s="32">
        <f t="shared" si="77"/>
        <v>659.5</v>
      </c>
      <c r="T237" s="12"/>
      <c r="U237" s="12"/>
      <c r="V237" s="10">
        <f>-120+-111*3+-78*2</f>
        <v>-609</v>
      </c>
      <c r="W237" s="12">
        <f t="shared" si="78"/>
        <v>50.5</v>
      </c>
      <c r="Y237" s="10">
        <v>6</v>
      </c>
      <c r="Z237" s="30">
        <v>46238</v>
      </c>
      <c r="AA237" s="31">
        <f t="shared" si="83"/>
        <v>10013</v>
      </c>
      <c r="AB237" s="32">
        <f>650*12</f>
        <v>7800</v>
      </c>
      <c r="AC237" s="32"/>
      <c r="AD237" s="32"/>
      <c r="AE237" s="32">
        <f t="shared" si="84"/>
        <v>7800</v>
      </c>
      <c r="AF237" s="12"/>
      <c r="AG237" s="12"/>
      <c r="AH237" s="10"/>
      <c r="AI237" s="12">
        <f t="shared" si="80"/>
        <v>7800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75"/>
        <v>0</v>
      </c>
      <c r="H238" s="12"/>
      <c r="I238" s="12"/>
      <c r="J238" s="12"/>
      <c r="K238" s="12">
        <f t="shared" si="76"/>
        <v>0</v>
      </c>
      <c r="M238" s="10">
        <v>7</v>
      </c>
      <c r="N238" s="30">
        <v>46238</v>
      </c>
      <c r="O238" s="31">
        <f t="shared" si="82"/>
        <v>10071</v>
      </c>
      <c r="P238" s="32">
        <f>622*6</f>
        <v>3732</v>
      </c>
      <c r="Q238" s="32"/>
      <c r="R238" s="32"/>
      <c r="S238" s="32">
        <f t="shared" si="77"/>
        <v>3732</v>
      </c>
      <c r="T238" s="12"/>
      <c r="U238" s="12"/>
      <c r="V238" s="12">
        <f>-111*25</f>
        <v>-2775</v>
      </c>
      <c r="W238" s="12">
        <f t="shared" si="78"/>
        <v>957</v>
      </c>
      <c r="Y238" s="10">
        <v>7</v>
      </c>
      <c r="Z238" s="30">
        <v>46238</v>
      </c>
      <c r="AA238" s="31">
        <f t="shared" si="83"/>
        <v>10014</v>
      </c>
      <c r="AB238" s="32">
        <f>650*2+622*3</f>
        <v>3166</v>
      </c>
      <c r="AC238" s="32"/>
      <c r="AD238" s="32"/>
      <c r="AE238" s="32">
        <f>SUM(AB238:AC238)</f>
        <v>3166</v>
      </c>
      <c r="AF238" s="12"/>
      <c r="AG238" s="58"/>
      <c r="AH238" s="12">
        <v>-777</v>
      </c>
      <c r="AI238" s="12">
        <f t="shared" si="80"/>
        <v>2389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75"/>
        <v>0</v>
      </c>
      <c r="H239" s="12"/>
      <c r="I239" s="12"/>
      <c r="J239" s="12"/>
      <c r="K239" s="12">
        <f t="shared" si="76"/>
        <v>0</v>
      </c>
      <c r="M239" s="10">
        <v>8</v>
      </c>
      <c r="N239" s="30"/>
      <c r="O239" s="11" t="s">
        <v>27</v>
      </c>
      <c r="P239" s="32"/>
      <c r="Q239" s="32"/>
      <c r="R239" s="32"/>
      <c r="S239" s="32">
        <f t="shared" si="77"/>
        <v>0</v>
      </c>
      <c r="T239" s="12"/>
      <c r="U239" s="12"/>
      <c r="V239" s="12"/>
      <c r="W239" s="12">
        <f t="shared" si="78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ref="AE239:AE241" si="85">SUM(AB239:AC239)</f>
        <v>0</v>
      </c>
      <c r="AF239" s="12"/>
      <c r="AG239" s="12"/>
      <c r="AH239" s="12"/>
      <c r="AI239" s="12">
        <f t="shared" si="80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3"/>
      <c r="D240" s="32"/>
      <c r="E240" s="32"/>
      <c r="F240" s="32"/>
      <c r="G240" s="32">
        <f t="shared" si="75"/>
        <v>0</v>
      </c>
      <c r="H240" s="12"/>
      <c r="I240" s="12"/>
      <c r="J240" s="12"/>
      <c r="K240" s="12">
        <f t="shared" si="76"/>
        <v>0</v>
      </c>
      <c r="M240" s="10">
        <v>9</v>
      </c>
      <c r="N240" s="30"/>
      <c r="O240" s="31"/>
      <c r="P240" s="32"/>
      <c r="Q240" s="32"/>
      <c r="R240" s="32"/>
      <c r="S240" s="32">
        <f t="shared" si="77"/>
        <v>0</v>
      </c>
      <c r="T240" s="12"/>
      <c r="U240" s="12"/>
      <c r="V240" s="12"/>
      <c r="W240" s="12">
        <f t="shared" si="78"/>
        <v>0</v>
      </c>
      <c r="Y240" s="10">
        <v>9</v>
      </c>
      <c r="Z240" s="30"/>
      <c r="AA240" s="31"/>
      <c r="AC240" s="32"/>
      <c r="AD240" s="32"/>
      <c r="AE240" s="32">
        <f t="shared" si="85"/>
        <v>0</v>
      </c>
      <c r="AF240" s="12"/>
      <c r="AH240" s="12"/>
      <c r="AI240" s="12">
        <f t="shared" si="80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75"/>
        <v>0</v>
      </c>
      <c r="H241" s="12"/>
      <c r="I241" s="12"/>
      <c r="J241" s="12"/>
      <c r="K241" s="12">
        <f t="shared" si="76"/>
        <v>0</v>
      </c>
      <c r="M241" s="10">
        <v>10</v>
      </c>
      <c r="N241" s="30"/>
      <c r="O241" s="31"/>
      <c r="P241" s="32"/>
      <c r="Q241" s="32"/>
      <c r="R241" s="32"/>
      <c r="S241" s="32">
        <f t="shared" si="77"/>
        <v>0</v>
      </c>
      <c r="T241" s="12"/>
      <c r="U241" s="12"/>
      <c r="V241" s="12"/>
      <c r="W241" s="12">
        <f t="shared" si="78"/>
        <v>0</v>
      </c>
      <c r="Y241" s="10">
        <v>10</v>
      </c>
      <c r="Z241" s="30"/>
      <c r="AA241" s="31"/>
      <c r="AB241" s="32"/>
      <c r="AC241" s="32"/>
      <c r="AD241" s="32"/>
      <c r="AE241" s="32">
        <f t="shared" si="85"/>
        <v>0</v>
      </c>
      <c r="AF241" s="12"/>
      <c r="AG241" s="12"/>
      <c r="AH241" s="12"/>
      <c r="AI241" s="12">
        <f t="shared" si="80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/>
      <c r="D242" s="32"/>
      <c r="E242" s="32"/>
      <c r="F242" s="32"/>
      <c r="G242" s="32">
        <f t="shared" si="75"/>
        <v>0</v>
      </c>
      <c r="H242" s="12"/>
      <c r="I242" s="12"/>
      <c r="J242" s="12"/>
      <c r="K242" s="12">
        <f t="shared" si="76"/>
        <v>0</v>
      </c>
      <c r="M242" s="10">
        <v>11</v>
      </c>
      <c r="N242" s="30"/>
      <c r="O242" s="31"/>
      <c r="P242" s="32"/>
      <c r="Q242" s="32"/>
      <c r="R242" s="32"/>
      <c r="S242" s="32">
        <f t="shared" si="77"/>
        <v>0</v>
      </c>
      <c r="T242" s="12"/>
      <c r="U242" s="12"/>
      <c r="V242" s="12"/>
      <c r="W242" s="12">
        <f t="shared" si="78"/>
        <v>0</v>
      </c>
      <c r="Y242" s="10">
        <v>11</v>
      </c>
      <c r="Z242" s="30"/>
      <c r="AA242" s="11"/>
      <c r="AB242" s="32"/>
      <c r="AC242" s="32"/>
      <c r="AD242" s="32"/>
      <c r="AE242" s="32">
        <f t="shared" ref="AE242:AE264" si="86">SUM(AB242:AC242)</f>
        <v>0</v>
      </c>
      <c r="AF242" s="12"/>
      <c r="AG242" s="12"/>
      <c r="AH242" s="12"/>
      <c r="AI242" s="12">
        <f t="shared" si="80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75"/>
        <v>0</v>
      </c>
      <c r="H243" s="12"/>
      <c r="I243" s="12"/>
      <c r="J243" s="10"/>
      <c r="K243" s="12">
        <f t="shared" si="76"/>
        <v>0</v>
      </c>
      <c r="M243" s="10">
        <v>12</v>
      </c>
      <c r="N243" s="30"/>
      <c r="O243" s="31"/>
      <c r="P243" s="32"/>
      <c r="Q243" s="32"/>
      <c r="R243" s="32"/>
      <c r="S243" s="32">
        <f t="shared" si="77"/>
        <v>0</v>
      </c>
      <c r="T243" s="12"/>
      <c r="U243" s="12"/>
      <c r="V243" s="12"/>
      <c r="W243" s="12">
        <f t="shared" si="78"/>
        <v>0</v>
      </c>
      <c r="Y243" s="10">
        <v>12</v>
      </c>
      <c r="Z243" s="30"/>
      <c r="AA243" s="31"/>
      <c r="AB243" s="32"/>
      <c r="AC243" s="32"/>
      <c r="AD243" s="32"/>
      <c r="AE243" s="32">
        <f t="shared" si="86"/>
        <v>0</v>
      </c>
      <c r="AF243" s="12"/>
      <c r="AG243" s="12"/>
      <c r="AH243" s="12"/>
      <c r="AI243" s="12">
        <f t="shared" si="80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11"/>
      <c r="D244" s="32"/>
      <c r="E244" s="32"/>
      <c r="F244" s="32"/>
      <c r="G244" s="32">
        <f t="shared" si="75"/>
        <v>0</v>
      </c>
      <c r="H244" s="12"/>
      <c r="I244" s="12"/>
      <c r="J244" s="12"/>
      <c r="K244" s="12">
        <f t="shared" si="76"/>
        <v>0</v>
      </c>
      <c r="M244" s="10">
        <v>13</v>
      </c>
      <c r="N244" s="30"/>
      <c r="O244" s="31"/>
      <c r="P244" s="32"/>
      <c r="Q244" s="32"/>
      <c r="R244" s="32"/>
      <c r="S244" s="32">
        <f t="shared" si="77"/>
        <v>0</v>
      </c>
      <c r="T244" s="12"/>
      <c r="U244" s="12"/>
      <c r="V244" s="12"/>
      <c r="W244" s="12">
        <f t="shared" si="78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6"/>
        <v>0</v>
      </c>
      <c r="AF244" s="12"/>
      <c r="AG244" s="12"/>
      <c r="AH244" s="12"/>
      <c r="AI244" s="12">
        <f t="shared" si="80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5"/>
        <v>0</v>
      </c>
      <c r="H245" s="12"/>
      <c r="I245" s="12"/>
      <c r="J245" s="12"/>
      <c r="K245" s="12">
        <f t="shared" si="76"/>
        <v>0</v>
      </c>
      <c r="M245" s="10">
        <v>14</v>
      </c>
      <c r="N245" s="30"/>
      <c r="P245" s="32"/>
      <c r="Q245" s="32"/>
      <c r="R245" s="32"/>
      <c r="S245" s="32">
        <f t="shared" si="77"/>
        <v>0</v>
      </c>
      <c r="T245" s="12"/>
      <c r="U245" s="12"/>
      <c r="V245" s="12"/>
      <c r="W245" s="12">
        <f t="shared" si="78"/>
        <v>0</v>
      </c>
      <c r="Y245" s="10">
        <v>14</v>
      </c>
      <c r="Z245" s="30"/>
      <c r="AA245" s="11"/>
      <c r="AB245" s="32"/>
      <c r="AC245" s="32"/>
      <c r="AD245" s="32"/>
      <c r="AE245" s="32">
        <f t="shared" si="86"/>
        <v>0</v>
      </c>
      <c r="AF245" s="12"/>
      <c r="AG245" s="12"/>
      <c r="AH245" s="12"/>
      <c r="AI245" s="12">
        <f t="shared" si="80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5"/>
        <v>0</v>
      </c>
      <c r="H246" s="12"/>
      <c r="I246" s="12"/>
      <c r="J246" s="12"/>
      <c r="K246" s="12">
        <f t="shared" si="76"/>
        <v>0</v>
      </c>
      <c r="M246" s="10">
        <v>15</v>
      </c>
      <c r="N246" s="30"/>
      <c r="O246" s="31"/>
      <c r="P246" s="32"/>
      <c r="Q246" s="32"/>
      <c r="R246" s="32"/>
      <c r="S246" s="32">
        <f t="shared" si="77"/>
        <v>0</v>
      </c>
      <c r="T246" s="12"/>
      <c r="U246" s="12"/>
      <c r="V246" s="12"/>
      <c r="W246" s="12">
        <f t="shared" si="78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6"/>
        <v>0</v>
      </c>
      <c r="AF246" s="12"/>
      <c r="AG246" s="12"/>
      <c r="AH246" s="12"/>
      <c r="AI246" s="12">
        <f t="shared" si="80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3"/>
      <c r="D247" s="32"/>
      <c r="E247" s="32"/>
      <c r="F247" s="32"/>
      <c r="G247" s="32">
        <f t="shared" si="75"/>
        <v>0</v>
      </c>
      <c r="H247" s="12"/>
      <c r="I247" s="12"/>
      <c r="J247" s="12"/>
      <c r="K247" s="12">
        <f t="shared" si="76"/>
        <v>0</v>
      </c>
      <c r="M247" s="10">
        <v>16</v>
      </c>
      <c r="N247" s="30"/>
      <c r="O247" s="11"/>
      <c r="P247" s="32"/>
      <c r="Q247" s="32"/>
      <c r="R247" s="32"/>
      <c r="S247" s="32">
        <f t="shared" si="77"/>
        <v>0</v>
      </c>
      <c r="T247" s="12"/>
      <c r="U247" s="12"/>
      <c r="V247" s="12"/>
      <c r="W247" s="12">
        <f t="shared" si="78"/>
        <v>0</v>
      </c>
      <c r="Y247" s="10">
        <v>16</v>
      </c>
      <c r="Z247" s="30"/>
      <c r="AB247" s="32"/>
      <c r="AC247" s="32"/>
      <c r="AD247" s="32"/>
      <c r="AE247" s="32">
        <f t="shared" si="86"/>
        <v>0</v>
      </c>
      <c r="AF247" s="12"/>
      <c r="AG247" s="12"/>
      <c r="AH247" s="12"/>
      <c r="AI247" s="12">
        <f t="shared" si="80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57"/>
      <c r="D248" s="32"/>
      <c r="E248" s="32"/>
      <c r="F248" s="32"/>
      <c r="G248" s="32">
        <f t="shared" si="75"/>
        <v>0</v>
      </c>
      <c r="H248" s="12"/>
      <c r="I248" s="12"/>
      <c r="J248" s="12"/>
      <c r="K248" s="12">
        <f t="shared" si="76"/>
        <v>0</v>
      </c>
      <c r="M248" s="10">
        <v>17</v>
      </c>
      <c r="N248" s="30"/>
      <c r="O248" s="31"/>
      <c r="P248" s="35"/>
      <c r="Q248" s="32"/>
      <c r="R248" s="32"/>
      <c r="S248" s="32">
        <f t="shared" si="77"/>
        <v>0</v>
      </c>
      <c r="T248" s="12"/>
      <c r="U248" s="12"/>
      <c r="V248" s="12"/>
      <c r="W248" s="12">
        <f t="shared" si="78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6"/>
        <v>0</v>
      </c>
      <c r="AF248" s="12"/>
      <c r="AG248" s="12"/>
      <c r="AH248" s="12"/>
      <c r="AI248" s="12">
        <f t="shared" si="80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10">
        <v>18</v>
      </c>
      <c r="N249" s="30"/>
      <c r="O249" s="31"/>
      <c r="P249" s="32"/>
      <c r="Q249" s="32"/>
      <c r="R249" s="32"/>
      <c r="S249" s="32">
        <f t="shared" si="77"/>
        <v>0</v>
      </c>
      <c r="T249" s="12"/>
      <c r="U249" s="12"/>
      <c r="V249" s="12"/>
      <c r="W249" s="12">
        <f t="shared" si="78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6"/>
        <v>0</v>
      </c>
      <c r="AF249" s="12"/>
      <c r="AG249" s="12"/>
      <c r="AH249" s="12"/>
      <c r="AI249" s="12">
        <f t="shared" si="80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10">
        <v>19</v>
      </c>
      <c r="N250" s="30"/>
      <c r="O250" s="31"/>
      <c r="P250" s="32"/>
      <c r="Q250" s="32"/>
      <c r="R250" s="32"/>
      <c r="S250" s="32">
        <f t="shared" si="77"/>
        <v>0</v>
      </c>
      <c r="T250" s="12"/>
      <c r="U250" s="12"/>
      <c r="V250" s="12"/>
      <c r="W250" s="12">
        <f t="shared" si="78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6"/>
        <v>0</v>
      </c>
      <c r="AF250" s="12"/>
      <c r="AG250" s="12"/>
      <c r="AH250" s="12"/>
      <c r="AI250" s="12">
        <f t="shared" si="80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10">
        <v>20</v>
      </c>
      <c r="N251" s="30"/>
      <c r="O251" s="31"/>
      <c r="P251" s="32"/>
      <c r="Q251" s="32"/>
      <c r="R251" s="32"/>
      <c r="S251" s="32">
        <f t="shared" si="77"/>
        <v>0</v>
      </c>
      <c r="T251" s="12"/>
      <c r="U251" s="12"/>
      <c r="V251" s="12"/>
      <c r="W251" s="12">
        <f t="shared" si="78"/>
        <v>0</v>
      </c>
      <c r="Y251" s="10">
        <v>20</v>
      </c>
      <c r="Z251" s="30"/>
      <c r="AB251" s="32"/>
      <c r="AC251" s="32"/>
      <c r="AD251" s="32"/>
      <c r="AE251" s="32">
        <f t="shared" si="86"/>
        <v>0</v>
      </c>
      <c r="AF251" s="12"/>
      <c r="AG251" s="12"/>
      <c r="AH251" s="12"/>
      <c r="AI251" s="12">
        <f t="shared" si="80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10">
        <v>21</v>
      </c>
      <c r="N252" s="30"/>
      <c r="O252" s="31"/>
      <c r="P252" s="46"/>
      <c r="Q252" s="31"/>
      <c r="R252" s="31"/>
      <c r="S252" s="32">
        <f t="shared" si="77"/>
        <v>0</v>
      </c>
      <c r="T252" s="10"/>
      <c r="U252" s="10"/>
      <c r="V252" s="10"/>
      <c r="W252" s="12">
        <f t="shared" si="78"/>
        <v>0</v>
      </c>
      <c r="Y252" s="10">
        <v>21</v>
      </c>
      <c r="Z252" s="30"/>
      <c r="AA252" s="31"/>
      <c r="AB252" s="46"/>
      <c r="AC252" s="31"/>
      <c r="AD252" s="31"/>
      <c r="AE252" s="32">
        <f t="shared" si="86"/>
        <v>0</v>
      </c>
      <c r="AF252" s="10"/>
      <c r="AG252" s="10"/>
      <c r="AH252" s="10"/>
      <c r="AI252" s="12">
        <f t="shared" si="80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10">
        <v>22</v>
      </c>
      <c r="N253" s="30"/>
      <c r="O253" s="31"/>
      <c r="P253" s="45"/>
      <c r="Q253" s="31"/>
      <c r="R253" s="31"/>
      <c r="S253" s="32">
        <f t="shared" si="77"/>
        <v>0</v>
      </c>
      <c r="T253" s="10"/>
      <c r="U253" s="10"/>
      <c r="V253" s="10"/>
      <c r="W253" s="12">
        <f t="shared" si="78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6"/>
        <v>0</v>
      </c>
      <c r="AF253" s="10"/>
      <c r="AG253" s="10"/>
      <c r="AH253" s="10"/>
      <c r="AI253" s="12">
        <f t="shared" si="80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10">
        <v>23</v>
      </c>
      <c r="N254" s="30"/>
      <c r="O254" s="31"/>
      <c r="P254" s="47"/>
      <c r="S254" s="32">
        <f t="shared" si="77"/>
        <v>0</v>
      </c>
      <c r="T254" s="10"/>
      <c r="U254" s="10"/>
      <c r="V254" s="10"/>
      <c r="W254" s="12">
        <f t="shared" si="78"/>
        <v>0</v>
      </c>
      <c r="Y254" s="10">
        <v>23</v>
      </c>
      <c r="Z254" s="30"/>
      <c r="AA254" s="31"/>
      <c r="AB254" s="47"/>
      <c r="AE254" s="32">
        <f t="shared" si="86"/>
        <v>0</v>
      </c>
      <c r="AF254" s="10"/>
      <c r="AG254" s="10"/>
      <c r="AH254" s="10"/>
      <c r="AI254" s="12">
        <f t="shared" si="80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10">
        <v>24</v>
      </c>
      <c r="N255" s="30"/>
      <c r="O255" s="31"/>
      <c r="P255" s="47"/>
      <c r="Q255" s="31"/>
      <c r="R255" s="31"/>
      <c r="S255" s="32">
        <f t="shared" si="77"/>
        <v>0</v>
      </c>
      <c r="T255" s="10"/>
      <c r="U255" s="10"/>
      <c r="V255" s="10"/>
      <c r="W255" s="12">
        <f t="shared" si="78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6"/>
        <v>0</v>
      </c>
      <c r="AF255" s="10"/>
      <c r="AG255" s="10"/>
      <c r="AH255" s="10"/>
      <c r="AI255" s="12">
        <f t="shared" si="80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10">
        <v>25</v>
      </c>
      <c r="N256" s="30"/>
      <c r="O256" s="31"/>
      <c r="P256" s="47"/>
      <c r="Q256" s="31"/>
      <c r="R256" s="31"/>
      <c r="S256" s="32">
        <f t="shared" si="77"/>
        <v>0</v>
      </c>
      <c r="T256" s="10"/>
      <c r="U256" s="10"/>
      <c r="V256" s="10"/>
      <c r="W256" s="12">
        <f t="shared" si="78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6"/>
        <v>0</v>
      </c>
      <c r="AF256" s="10"/>
      <c r="AG256" s="10"/>
      <c r="AH256" s="10"/>
      <c r="AI256" s="12">
        <f t="shared" si="80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10">
        <v>26</v>
      </c>
      <c r="N257" s="30"/>
      <c r="O257" s="31"/>
      <c r="P257" s="47"/>
      <c r="Q257" s="31"/>
      <c r="R257" s="31"/>
      <c r="S257" s="32">
        <f t="shared" si="77"/>
        <v>0</v>
      </c>
      <c r="T257" s="10"/>
      <c r="U257" s="10"/>
      <c r="V257" s="10"/>
      <c r="W257" s="12">
        <f t="shared" si="78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6"/>
        <v>0</v>
      </c>
      <c r="AF257" s="10"/>
      <c r="AG257" s="10"/>
      <c r="AH257" s="10"/>
      <c r="AI257" s="12">
        <f t="shared" si="80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10">
        <v>27</v>
      </c>
      <c r="N258" s="30"/>
      <c r="O258" s="31"/>
      <c r="P258" s="47"/>
      <c r="Q258" s="31"/>
      <c r="R258" s="31"/>
      <c r="S258" s="32">
        <f t="shared" si="77"/>
        <v>0</v>
      </c>
      <c r="T258" s="10"/>
      <c r="U258" s="10"/>
      <c r="V258" s="10"/>
      <c r="W258" s="12">
        <f t="shared" si="78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6"/>
        <v>0</v>
      </c>
      <c r="AF258" s="10"/>
      <c r="AG258" s="10"/>
      <c r="AH258" s="10"/>
      <c r="AI258" s="12">
        <f t="shared" si="80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10">
        <v>28</v>
      </c>
      <c r="N259" s="30"/>
      <c r="O259" s="31"/>
      <c r="P259" s="47"/>
      <c r="Q259" s="31"/>
      <c r="R259" s="31"/>
      <c r="S259" s="32">
        <f t="shared" si="77"/>
        <v>0</v>
      </c>
      <c r="T259" s="10"/>
      <c r="U259" s="10"/>
      <c r="V259" s="10"/>
      <c r="W259" s="12">
        <f t="shared" si="78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6"/>
        <v>0</v>
      </c>
      <c r="AF259" s="10"/>
      <c r="AG259" s="10"/>
      <c r="AH259" s="10"/>
      <c r="AI259" s="12">
        <f t="shared" si="80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10">
        <v>29</v>
      </c>
      <c r="N260" s="30"/>
      <c r="O260" s="31"/>
      <c r="P260" s="47"/>
      <c r="Q260" s="31"/>
      <c r="R260" s="31"/>
      <c r="S260" s="32">
        <f t="shared" si="77"/>
        <v>0</v>
      </c>
      <c r="T260" s="10"/>
      <c r="U260" s="10"/>
      <c r="V260" s="10"/>
      <c r="W260" s="12">
        <f t="shared" si="78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6"/>
        <v>0</v>
      </c>
      <c r="AF260" s="10"/>
      <c r="AG260" s="10"/>
      <c r="AH260" s="10"/>
      <c r="AI260" s="12">
        <f t="shared" si="80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10">
        <v>30</v>
      </c>
      <c r="N261" s="30"/>
      <c r="O261" s="31"/>
      <c r="P261" s="47"/>
      <c r="Q261" s="31"/>
      <c r="R261" s="31"/>
      <c r="S261" s="32">
        <f t="shared" si="77"/>
        <v>0</v>
      </c>
      <c r="T261" s="10"/>
      <c r="U261" s="10"/>
      <c r="V261" s="10"/>
      <c r="W261" s="12">
        <f t="shared" si="78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6"/>
        <v>0</v>
      </c>
      <c r="AF261" s="10"/>
      <c r="AG261" s="10"/>
      <c r="AH261" s="10"/>
      <c r="AI261" s="12">
        <f t="shared" si="80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10">
        <v>31</v>
      </c>
      <c r="N262" s="30"/>
      <c r="O262" s="31"/>
      <c r="P262" s="47"/>
      <c r="Q262" s="31"/>
      <c r="R262" s="31"/>
      <c r="S262" s="32">
        <f t="shared" si="77"/>
        <v>0</v>
      </c>
      <c r="T262" s="10"/>
      <c r="U262" s="10"/>
      <c r="V262" s="10"/>
      <c r="W262" s="12">
        <f t="shared" si="78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6"/>
        <v>0</v>
      </c>
      <c r="AF262" s="10"/>
      <c r="AG262" s="10"/>
      <c r="AH262" s="10"/>
      <c r="AI262" s="12">
        <f t="shared" si="80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10">
        <v>32</v>
      </c>
      <c r="N263" s="30"/>
      <c r="O263" s="31"/>
      <c r="P263" s="47"/>
      <c r="Q263" s="31"/>
      <c r="R263" s="31"/>
      <c r="S263" s="32">
        <f t="shared" si="77"/>
        <v>0</v>
      </c>
      <c r="T263" s="10"/>
      <c r="U263" s="10"/>
      <c r="V263" s="10"/>
      <c r="W263" s="12">
        <f t="shared" si="78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6"/>
        <v>0</v>
      </c>
      <c r="AF263" s="10"/>
      <c r="AG263" s="10"/>
      <c r="AH263" s="10"/>
      <c r="AI263" s="12">
        <f t="shared" si="80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10">
        <v>33</v>
      </c>
      <c r="N264" s="30"/>
      <c r="O264" s="31"/>
      <c r="P264" s="47"/>
      <c r="Q264" s="31"/>
      <c r="R264" s="31"/>
      <c r="S264" s="32">
        <f t="shared" si="77"/>
        <v>0</v>
      </c>
      <c r="T264" s="10"/>
      <c r="U264" s="10"/>
      <c r="V264" s="10"/>
      <c r="W264" s="12">
        <f t="shared" si="78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6"/>
        <v>0</v>
      </c>
      <c r="AF264" s="10"/>
      <c r="AG264" s="10"/>
      <c r="AH264" s="10"/>
      <c r="AI264" s="12">
        <f t="shared" si="80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10">
        <v>34</v>
      </c>
      <c r="N265" s="30"/>
      <c r="O265" s="31"/>
      <c r="P265" s="47"/>
      <c r="Q265" s="31"/>
      <c r="R265" s="31"/>
      <c r="S265" s="32">
        <f t="shared" si="77"/>
        <v>0</v>
      </c>
      <c r="T265" s="10"/>
      <c r="U265" s="10"/>
      <c r="V265" s="10"/>
      <c r="W265" s="12">
        <f t="shared" si="78"/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7">SUM(AB265:AC265)</f>
        <v>0</v>
      </c>
      <c r="AF265" s="10"/>
      <c r="AG265" s="10"/>
      <c r="AH265" s="10"/>
      <c r="AI265" s="12">
        <f t="shared" ref="AI265:AI273" si="88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7"/>
        <v>0</v>
      </c>
      <c r="T266" s="10"/>
      <c r="U266" s="10"/>
      <c r="V266" s="10"/>
      <c r="W266" s="12">
        <f t="shared" si="78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7"/>
        <v>0</v>
      </c>
      <c r="AF266" s="10"/>
      <c r="AG266" s="10"/>
      <c r="AH266" s="10"/>
      <c r="AI266" s="12">
        <f t="shared" si="8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7"/>
        <v>0</v>
      </c>
      <c r="T267" s="10"/>
      <c r="U267" s="10"/>
      <c r="V267" s="10"/>
      <c r="W267" s="12">
        <f t="shared" si="78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7"/>
        <v>0</v>
      </c>
      <c r="AF267" s="10"/>
      <c r="AG267" s="10"/>
      <c r="AH267" s="10"/>
      <c r="AI267" s="12">
        <f t="shared" si="8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7"/>
        <v>0</v>
      </c>
      <c r="T268" s="10"/>
      <c r="U268" s="10"/>
      <c r="V268" s="10"/>
      <c r="W268" s="12">
        <f t="shared" si="78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7"/>
        <v>0</v>
      </c>
      <c r="AF268" s="10"/>
      <c r="AG268" s="10"/>
      <c r="AH268" s="10"/>
      <c r="AI268" s="12">
        <f t="shared" si="8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7"/>
        <v>0</v>
      </c>
      <c r="T269" s="10"/>
      <c r="U269" s="10"/>
      <c r="V269" s="10"/>
      <c r="W269" s="12">
        <f t="shared" si="78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7"/>
        <v>0</v>
      </c>
      <c r="AF269" s="10"/>
      <c r="AG269" s="10"/>
      <c r="AH269" s="10"/>
      <c r="AI269" s="12">
        <f t="shared" si="8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7"/>
        <v>0</v>
      </c>
      <c r="T270" s="10"/>
      <c r="U270" s="10"/>
      <c r="V270" s="10"/>
      <c r="W270" s="12">
        <f t="shared" si="78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7"/>
        <v>0</v>
      </c>
      <c r="AF270" s="10"/>
      <c r="AG270" s="10"/>
      <c r="AH270" s="10"/>
      <c r="AI270" s="12">
        <f t="shared" si="8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8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9">SUM(D272:E272)</f>
        <v>0</v>
      </c>
      <c r="H272" s="10"/>
      <c r="I272" s="10"/>
      <c r="J272" s="10"/>
      <c r="K272" s="12">
        <f t="shared" ref="K272" si="90">SUM(G272:J272)</f>
        <v>0</v>
      </c>
      <c r="M272" s="10"/>
      <c r="N272" s="30"/>
      <c r="O272" s="31"/>
      <c r="P272" s="47"/>
      <c r="Q272" s="31"/>
      <c r="R272" s="31"/>
      <c r="S272" s="32">
        <f t="shared" ref="S272" si="91">SUM(P272:Q272)</f>
        <v>0</v>
      </c>
      <c r="T272" s="10"/>
      <c r="U272" s="10"/>
      <c r="V272" s="10"/>
      <c r="W272" s="12">
        <f t="shared" si="78"/>
        <v>0</v>
      </c>
      <c r="Y272" s="10"/>
      <c r="Z272" s="30"/>
      <c r="AA272" s="31"/>
      <c r="AB272" s="47"/>
      <c r="AC272" s="31"/>
      <c r="AD272" s="31"/>
      <c r="AE272" s="32">
        <f t="shared" ref="AE272" si="92">SUM(AB272:AC272)</f>
        <v>0</v>
      </c>
      <c r="AF272" s="10"/>
      <c r="AG272" s="10"/>
      <c r="AH272" s="10"/>
      <c r="AI272" s="12">
        <f t="shared" si="8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8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354435</v>
      </c>
      <c r="E275" s="38">
        <f t="shared" ref="E275:F275" si="93">SUM(E232:E272)</f>
        <v>-2592</v>
      </c>
      <c r="F275" s="38">
        <f t="shared" si="93"/>
        <v>0</v>
      </c>
      <c r="G275" s="38">
        <f>SUM(G232:G274)</f>
        <v>351843</v>
      </c>
      <c r="H275" s="4"/>
      <c r="I275" s="39">
        <f>SUM(I232:I274)</f>
        <v>5953.5</v>
      </c>
      <c r="J275" s="39">
        <f>SUM(J232:J274)</f>
        <v>-3219</v>
      </c>
      <c r="K275" s="40">
        <f>SUM(K232:K274)</f>
        <v>354577.5</v>
      </c>
      <c r="N275" s="57"/>
      <c r="O275" s="57"/>
      <c r="P275" s="38">
        <f>SUM(P232:P274)</f>
        <v>244037.5</v>
      </c>
      <c r="Q275" s="38">
        <f>SUM(Q232:Q256)</f>
        <v>-1494</v>
      </c>
      <c r="R275" s="38">
        <f>SUM(R232:R256)</f>
        <v>0</v>
      </c>
      <c r="S275" s="38">
        <f>SUM(S232:S274)</f>
        <v>242543.5</v>
      </c>
      <c r="T275" s="4"/>
      <c r="U275" s="41">
        <f>SUM(U232:U274)</f>
        <v>297</v>
      </c>
      <c r="V275" s="41">
        <f>SUM(V232:V256)</f>
        <v>-4620</v>
      </c>
      <c r="W275" s="42">
        <f>SUM(W232:W274)</f>
        <v>238220.5</v>
      </c>
      <c r="Z275" s="57"/>
      <c r="AA275" s="57"/>
      <c r="AB275" s="38">
        <f>SUM(AB232:AB274)</f>
        <v>465088</v>
      </c>
      <c r="AC275" s="38">
        <f>SUM(AC232:AC256)</f>
        <v>-4044</v>
      </c>
      <c r="AD275" s="38">
        <f>SUM(AD232:AD256)</f>
        <v>0</v>
      </c>
      <c r="AE275" s="38">
        <f>SUM(AE232:AE274)</f>
        <v>461044</v>
      </c>
      <c r="AF275" s="4"/>
      <c r="AG275" s="41">
        <f>SUM(AG232:AG274)</f>
        <v>0</v>
      </c>
      <c r="AH275" s="41">
        <f>SUM(AH232:AH256)</f>
        <v>-1011</v>
      </c>
      <c r="AI275" s="42">
        <f>SUM(AI232:AI274)</f>
        <v>460033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41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41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41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53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53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53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2" t="s">
        <v>17</v>
      </c>
      <c r="E285" s="112"/>
      <c r="F285" s="96"/>
      <c r="G285" s="27"/>
      <c r="I285" s="110" t="s">
        <v>18</v>
      </c>
      <c r="J285" s="111"/>
      <c r="K285" s="108" t="s">
        <v>19</v>
      </c>
      <c r="N285" s="25"/>
      <c r="O285" s="26"/>
      <c r="P285" s="112" t="s">
        <v>17</v>
      </c>
      <c r="Q285" s="112"/>
      <c r="R285" s="96"/>
      <c r="S285" s="27"/>
      <c r="U285" s="110" t="s">
        <v>18</v>
      </c>
      <c r="V285" s="111"/>
      <c r="W285" s="108" t="s">
        <v>19</v>
      </c>
      <c r="Z285" s="25"/>
      <c r="AA285" s="26"/>
      <c r="AB285" s="112" t="s">
        <v>17</v>
      </c>
      <c r="AC285" s="112"/>
      <c r="AD285" s="96"/>
      <c r="AE285" s="27"/>
      <c r="AG285" s="110" t="s">
        <v>18</v>
      </c>
      <c r="AH285" s="111"/>
      <c r="AI285" s="108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9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9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9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46269</v>
      </c>
      <c r="C287" s="83">
        <v>9986</v>
      </c>
      <c r="D287" s="32">
        <f>650*22+670*2+622*3</f>
        <v>17506</v>
      </c>
      <c r="E287" s="32"/>
      <c r="F287" s="32"/>
      <c r="G287" s="32">
        <f t="shared" ref="G287:G320" si="94">SUM(D287:E287)</f>
        <v>17506</v>
      </c>
      <c r="H287" s="12"/>
      <c r="I287" s="12"/>
      <c r="J287" s="12"/>
      <c r="K287" s="12">
        <f t="shared" ref="K287:K320" si="95">SUM(G287:J287)</f>
        <v>17506</v>
      </c>
      <c r="M287" s="10">
        <v>1</v>
      </c>
      <c r="N287" s="30">
        <v>46269</v>
      </c>
      <c r="O287" s="31">
        <v>10072</v>
      </c>
      <c r="P287" s="32">
        <f>650*20</f>
        <v>13000</v>
      </c>
      <c r="Q287" s="32"/>
      <c r="R287" s="32"/>
      <c r="S287" s="32">
        <f>SUM(P287:Q287)</f>
        <v>13000</v>
      </c>
      <c r="T287" s="12"/>
      <c r="U287" s="12"/>
      <c r="V287" s="12"/>
      <c r="W287" s="12">
        <f>SUM(S287:V287)</f>
        <v>13000</v>
      </c>
      <c r="Y287" s="10">
        <v>1</v>
      </c>
      <c r="Z287" s="30">
        <v>46269</v>
      </c>
      <c r="AA287" s="31">
        <v>10015</v>
      </c>
      <c r="AB287" s="32">
        <f>650*108+229*5</f>
        <v>71345</v>
      </c>
      <c r="AC287" s="32">
        <f>-108*6</f>
        <v>-648</v>
      </c>
      <c r="AD287" s="32"/>
      <c r="AE287" s="32">
        <f>SUM(AB287:AC287)</f>
        <v>70697</v>
      </c>
      <c r="AF287" s="12"/>
      <c r="AG287" s="12"/>
      <c r="AH287" s="12">
        <f>-111*82</f>
        <v>-9102</v>
      </c>
      <c r="AI287" s="12">
        <f>SUM(AE287:AH287)</f>
        <v>61595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46269</v>
      </c>
      <c r="C288" s="83">
        <f>C287+1</f>
        <v>9987</v>
      </c>
      <c r="D288" s="32">
        <f>650*15+872</f>
        <v>10622</v>
      </c>
      <c r="E288" s="32"/>
      <c r="F288" s="32"/>
      <c r="G288" s="32">
        <f t="shared" si="94"/>
        <v>10622</v>
      </c>
      <c r="H288" s="12"/>
      <c r="I288" s="12">
        <v>94.5</v>
      </c>
      <c r="J288" s="12"/>
      <c r="K288" s="12">
        <f t="shared" si="95"/>
        <v>10716.5</v>
      </c>
      <c r="M288" s="10">
        <v>2</v>
      </c>
      <c r="N288" s="30">
        <v>46269</v>
      </c>
      <c r="O288" s="31">
        <f>O287+1</f>
        <v>10073</v>
      </c>
      <c r="P288" s="32">
        <f>650*216+229*10</f>
        <v>142690</v>
      </c>
      <c r="Q288" s="32">
        <f>-216*6</f>
        <v>-1296</v>
      </c>
      <c r="R288" s="32"/>
      <c r="S288" s="32">
        <f t="shared" ref="S288:S325" si="96">SUM(P288:Q288)</f>
        <v>141394</v>
      </c>
      <c r="T288" s="12"/>
      <c r="U288" s="12">
        <v>624</v>
      </c>
      <c r="V288" s="12">
        <v>-336</v>
      </c>
      <c r="W288" s="12">
        <f t="shared" ref="W288:W328" si="97">SUM(S288:V288)</f>
        <v>141682</v>
      </c>
      <c r="Y288" s="10">
        <v>2</v>
      </c>
      <c r="Z288" s="30">
        <v>46269</v>
      </c>
      <c r="AA288" s="31">
        <f>AA287+1</f>
        <v>10016</v>
      </c>
      <c r="AB288" s="32">
        <f>650*75+622*5+229*2</f>
        <v>52318</v>
      </c>
      <c r="AC288" s="32"/>
      <c r="AD288" s="32"/>
      <c r="AE288" s="32">
        <f t="shared" ref="AE288:AE290" si="98">SUM(AB288:AC288)</f>
        <v>52318</v>
      </c>
      <c r="AF288" s="12"/>
      <c r="AG288" s="12">
        <f>3108+162</f>
        <v>3270</v>
      </c>
      <c r="AH288" s="12"/>
      <c r="AI288" s="12">
        <f t="shared" ref="AI288:AI319" si="99">SUM(AE288:AH288)</f>
        <v>55588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46269</v>
      </c>
      <c r="C289" s="83">
        <f t="shared" ref="C289:C301" si="100">C288+1</f>
        <v>9988</v>
      </c>
      <c r="D289" s="33">
        <f>650*58+229</f>
        <v>37929</v>
      </c>
      <c r="E289" s="32"/>
      <c r="F289" s="33"/>
      <c r="G289" s="33">
        <f t="shared" si="94"/>
        <v>37929</v>
      </c>
      <c r="H289" s="34"/>
      <c r="I289" s="34"/>
      <c r="J289" s="34"/>
      <c r="K289" s="34">
        <f t="shared" si="95"/>
        <v>37929</v>
      </c>
      <c r="M289" s="10">
        <v>3</v>
      </c>
      <c r="N289" s="30">
        <v>46269</v>
      </c>
      <c r="O289" s="31">
        <f t="shared" ref="O289:O295" si="101">O288+1</f>
        <v>10074</v>
      </c>
      <c r="P289" s="32">
        <f>650*11+9.5*11</f>
        <v>7254.5</v>
      </c>
      <c r="Q289" s="32"/>
      <c r="R289" s="32"/>
      <c r="S289" s="32">
        <f t="shared" si="96"/>
        <v>7254.5</v>
      </c>
      <c r="T289" s="12"/>
      <c r="U289" s="12"/>
      <c r="V289" s="12">
        <v>-666</v>
      </c>
      <c r="W289" s="12">
        <f t="shared" si="97"/>
        <v>6588.5</v>
      </c>
      <c r="Y289" s="10">
        <v>3</v>
      </c>
      <c r="Z289" s="30">
        <v>46269</v>
      </c>
      <c r="AA289" s="31">
        <f t="shared" ref="AA289:AA297" si="102">AA288+1</f>
        <v>10017</v>
      </c>
      <c r="AB289" s="33">
        <f>650*52+622*10+229*2</f>
        <v>40478</v>
      </c>
      <c r="AC289" s="33"/>
      <c r="AD289" s="32"/>
      <c r="AE289" s="32">
        <f t="shared" si="98"/>
        <v>40478</v>
      </c>
      <c r="AF289" s="12"/>
      <c r="AG289" s="12"/>
      <c r="AH289" s="12"/>
      <c r="AI289" s="12">
        <f t="shared" si="99"/>
        <v>40478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46269</v>
      </c>
      <c r="C290" s="83">
        <f t="shared" si="100"/>
        <v>9989</v>
      </c>
      <c r="D290" s="32">
        <f>650*3+9.5*3</f>
        <v>1978.5</v>
      </c>
      <c r="E290" s="32"/>
      <c r="F290" s="32"/>
      <c r="G290" s="32">
        <f t="shared" si="94"/>
        <v>1978.5</v>
      </c>
      <c r="H290" s="12"/>
      <c r="I290" s="12"/>
      <c r="J290" s="12"/>
      <c r="K290" s="12">
        <f t="shared" si="95"/>
        <v>1978.5</v>
      </c>
      <c r="M290" s="10">
        <v>4</v>
      </c>
      <c r="N290" s="30">
        <v>46269</v>
      </c>
      <c r="O290" s="31">
        <f t="shared" si="101"/>
        <v>10075</v>
      </c>
      <c r="P290" s="32">
        <f>650*6+622+9.5*7</f>
        <v>4588.5</v>
      </c>
      <c r="Q290" s="32"/>
      <c r="R290" s="32"/>
      <c r="S290" s="32">
        <f t="shared" si="96"/>
        <v>4588.5</v>
      </c>
      <c r="T290" s="12"/>
      <c r="U290" s="12"/>
      <c r="V290" s="12"/>
      <c r="W290" s="12">
        <f t="shared" si="97"/>
        <v>4588.5</v>
      </c>
      <c r="Y290" s="10">
        <v>4</v>
      </c>
      <c r="Z290" s="30">
        <v>46269</v>
      </c>
      <c r="AA290" s="31">
        <f t="shared" si="102"/>
        <v>10018</v>
      </c>
      <c r="AB290" s="32">
        <f>650*15+622*5+1050+872*2+229+500</f>
        <v>16383</v>
      </c>
      <c r="AC290" s="32"/>
      <c r="AD290" s="32"/>
      <c r="AE290" s="32">
        <f t="shared" si="98"/>
        <v>16383</v>
      </c>
      <c r="AF290" s="12"/>
      <c r="AG290">
        <f>144+81</f>
        <v>225</v>
      </c>
      <c r="AH290" s="12"/>
      <c r="AI290" s="12">
        <f t="shared" si="99"/>
        <v>16608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46269</v>
      </c>
      <c r="C291" s="83">
        <f t="shared" si="100"/>
        <v>9990</v>
      </c>
      <c r="D291" s="32">
        <f>650*150+622*12</f>
        <v>104964</v>
      </c>
      <c r="E291" s="32"/>
      <c r="F291" s="32"/>
      <c r="G291" s="32">
        <f t="shared" si="94"/>
        <v>104964</v>
      </c>
      <c r="H291" s="12"/>
      <c r="I291" s="12"/>
      <c r="J291" s="12">
        <f>-360+-390</f>
        <v>-750</v>
      </c>
      <c r="K291" s="12">
        <f t="shared" si="95"/>
        <v>104214</v>
      </c>
      <c r="M291" s="10">
        <v>5</v>
      </c>
      <c r="N291" s="30">
        <v>46269</v>
      </c>
      <c r="O291" s="31">
        <f t="shared" si="101"/>
        <v>10076</v>
      </c>
      <c r="P291" s="32">
        <f>650*7+622*3</f>
        <v>6416</v>
      </c>
      <c r="Q291" s="32"/>
      <c r="R291" s="32"/>
      <c r="S291" s="32">
        <f t="shared" si="96"/>
        <v>6416</v>
      </c>
      <c r="T291" s="12"/>
      <c r="U291" s="12"/>
      <c r="V291" s="12"/>
      <c r="W291" s="12">
        <f t="shared" si="97"/>
        <v>6416</v>
      </c>
      <c r="Y291" s="10">
        <v>5</v>
      </c>
      <c r="Z291" s="30">
        <v>46269</v>
      </c>
      <c r="AA291" s="31">
        <f t="shared" si="102"/>
        <v>10019</v>
      </c>
      <c r="AB291" s="32">
        <f>650*21</f>
        <v>13650</v>
      </c>
      <c r="AC291" s="32"/>
      <c r="AD291" s="32"/>
      <c r="AE291" s="32">
        <f t="shared" ref="AE291:AE292" si="103">SUM(AB291:AC291)</f>
        <v>13650</v>
      </c>
      <c r="AF291" s="12"/>
      <c r="AG291" s="12"/>
      <c r="AH291" s="12"/>
      <c r="AI291" s="12">
        <f t="shared" si="99"/>
        <v>13650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46269</v>
      </c>
      <c r="C292" s="83">
        <f t="shared" si="100"/>
        <v>9991</v>
      </c>
      <c r="D292" s="32">
        <f>650*216+229*3</f>
        <v>141087</v>
      </c>
      <c r="E292" s="32"/>
      <c r="F292" s="32"/>
      <c r="G292" s="32">
        <f t="shared" si="94"/>
        <v>141087</v>
      </c>
      <c r="H292" s="12"/>
      <c r="I292" s="12">
        <v>2331</v>
      </c>
      <c r="J292" s="12"/>
      <c r="K292" s="12">
        <f t="shared" si="95"/>
        <v>143418</v>
      </c>
      <c r="M292" s="10">
        <v>6</v>
      </c>
      <c r="N292" s="30">
        <v>46269</v>
      </c>
      <c r="O292" s="31">
        <f t="shared" si="101"/>
        <v>10077</v>
      </c>
      <c r="P292" s="32">
        <f>650*30+622*5+872</f>
        <v>23482</v>
      </c>
      <c r="Q292" s="32"/>
      <c r="R292" s="32"/>
      <c r="S292" s="32">
        <f t="shared" si="96"/>
        <v>23482</v>
      </c>
      <c r="T292" s="12"/>
      <c r="U292" s="12"/>
      <c r="V292" s="10"/>
      <c r="W292" s="12">
        <f t="shared" si="97"/>
        <v>23482</v>
      </c>
      <c r="Y292" s="10">
        <v>6</v>
      </c>
      <c r="Z292" s="30">
        <v>46269</v>
      </c>
      <c r="AA292" s="31">
        <f t="shared" si="102"/>
        <v>10020</v>
      </c>
      <c r="AB292" s="32">
        <f>650*25</f>
        <v>16250</v>
      </c>
      <c r="AC292" s="32"/>
      <c r="AD292" s="32"/>
      <c r="AE292" s="32">
        <f t="shared" si="103"/>
        <v>16250</v>
      </c>
      <c r="AF292" s="12"/>
      <c r="AG292" s="12">
        <v>1110</v>
      </c>
      <c r="AH292" s="10"/>
      <c r="AI292" s="12">
        <f t="shared" si="99"/>
        <v>17360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46269</v>
      </c>
      <c r="C293" s="83">
        <f t="shared" si="100"/>
        <v>9992</v>
      </c>
      <c r="D293" s="32">
        <f>650*25+622*5</f>
        <v>19360</v>
      </c>
      <c r="E293" s="32"/>
      <c r="F293" s="32"/>
      <c r="G293" s="32">
        <f t="shared" si="94"/>
        <v>19360</v>
      </c>
      <c r="H293" s="12"/>
      <c r="I293" s="12">
        <v>432</v>
      </c>
      <c r="J293" s="12"/>
      <c r="K293" s="12">
        <f t="shared" si="95"/>
        <v>19792</v>
      </c>
      <c r="M293" s="10">
        <v>7</v>
      </c>
      <c r="N293" s="30">
        <v>46269</v>
      </c>
      <c r="O293" s="31">
        <f t="shared" si="101"/>
        <v>10078</v>
      </c>
      <c r="P293" s="32">
        <f>650*20+670*2</f>
        <v>14340</v>
      </c>
      <c r="Q293" s="32"/>
      <c r="R293" s="32"/>
      <c r="S293" s="32">
        <f t="shared" si="96"/>
        <v>14340</v>
      </c>
      <c r="T293" s="12"/>
      <c r="U293" s="12"/>
      <c r="V293" s="12"/>
      <c r="W293" s="12">
        <f t="shared" si="97"/>
        <v>14340</v>
      </c>
      <c r="Y293" s="10">
        <v>7</v>
      </c>
      <c r="Z293" s="30">
        <v>46269</v>
      </c>
      <c r="AA293" s="31">
        <f t="shared" si="102"/>
        <v>10021</v>
      </c>
      <c r="AB293" s="32">
        <f>650*108+229*4</f>
        <v>71116</v>
      </c>
      <c r="AC293" s="32">
        <v>-648</v>
      </c>
      <c r="AD293" s="32"/>
      <c r="AE293" s="32">
        <f>SUM(AB293:AC293)</f>
        <v>70468</v>
      </c>
      <c r="AF293" s="12"/>
      <c r="AG293" s="58">
        <v>78</v>
      </c>
      <c r="AH293" s="12">
        <f>-111*92+-120*6</f>
        <v>-10932</v>
      </c>
      <c r="AI293" s="12">
        <f t="shared" si="99"/>
        <v>59614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46269</v>
      </c>
      <c r="C294" s="83">
        <f t="shared" si="100"/>
        <v>9993</v>
      </c>
      <c r="D294" s="32">
        <f>650*5</f>
        <v>3250</v>
      </c>
      <c r="E294" s="32"/>
      <c r="F294" s="32"/>
      <c r="G294" s="32">
        <f t="shared" si="94"/>
        <v>3250</v>
      </c>
      <c r="H294" s="12"/>
      <c r="I294" s="12"/>
      <c r="J294" s="12"/>
      <c r="K294" s="12">
        <f t="shared" si="95"/>
        <v>3250</v>
      </c>
      <c r="M294" s="10">
        <v>8</v>
      </c>
      <c r="N294" s="30">
        <v>46269</v>
      </c>
      <c r="O294" s="31">
        <f t="shared" si="101"/>
        <v>10079</v>
      </c>
      <c r="P294" s="32">
        <f>650*5+622*2</f>
        <v>4494</v>
      </c>
      <c r="Q294" s="32"/>
      <c r="R294" s="32"/>
      <c r="S294" s="32">
        <f t="shared" si="96"/>
        <v>4494</v>
      </c>
      <c r="T294" s="12"/>
      <c r="U294" s="12"/>
      <c r="V294" s="12"/>
      <c r="W294" s="12">
        <f t="shared" si="97"/>
        <v>4494</v>
      </c>
      <c r="Y294" s="10">
        <v>8</v>
      </c>
      <c r="Z294" s="30">
        <v>46269</v>
      </c>
      <c r="AA294" s="31">
        <f t="shared" si="102"/>
        <v>10022</v>
      </c>
      <c r="AB294" s="32">
        <f>650*70+670*30+1175+229*2</f>
        <v>67233</v>
      </c>
      <c r="AC294" s="32"/>
      <c r="AE294" s="32">
        <f t="shared" ref="AE294:AE325" si="104">SUM(AB294:AC294)</f>
        <v>67233</v>
      </c>
      <c r="AF294" s="12"/>
      <c r="AG294" s="12">
        <f>777+135</f>
        <v>912</v>
      </c>
      <c r="AH294" s="12"/>
      <c r="AI294" s="12">
        <f t="shared" si="99"/>
        <v>68145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46269</v>
      </c>
      <c r="C295" s="83">
        <f t="shared" si="100"/>
        <v>9994</v>
      </c>
      <c r="D295" s="32">
        <f>650*10+9.5*10</f>
        <v>6595</v>
      </c>
      <c r="E295" s="32"/>
      <c r="F295" s="32"/>
      <c r="G295" s="32">
        <f t="shared" si="94"/>
        <v>6595</v>
      </c>
      <c r="H295" s="12"/>
      <c r="I295" s="12"/>
      <c r="J295" s="12"/>
      <c r="K295" s="12">
        <f t="shared" si="95"/>
        <v>6595</v>
      </c>
      <c r="M295" s="10">
        <v>9</v>
      </c>
      <c r="N295" s="30">
        <v>46269</v>
      </c>
      <c r="O295" s="31">
        <f t="shared" si="101"/>
        <v>10080</v>
      </c>
      <c r="P295" s="32">
        <f>650*2+670+622</f>
        <v>2592</v>
      </c>
      <c r="Q295" s="32"/>
      <c r="R295" s="32"/>
      <c r="S295" s="32">
        <f t="shared" si="96"/>
        <v>2592</v>
      </c>
      <c r="T295" s="12"/>
      <c r="U295" s="12"/>
      <c r="V295" s="12"/>
      <c r="W295" s="12">
        <f t="shared" si="97"/>
        <v>2592</v>
      </c>
      <c r="Y295" s="10">
        <v>9</v>
      </c>
      <c r="Z295" s="30">
        <v>46269</v>
      </c>
      <c r="AA295" s="31">
        <f t="shared" si="102"/>
        <v>10023</v>
      </c>
      <c r="AB295" s="32">
        <f>650*40+670*2+229*2+500</f>
        <v>28298</v>
      </c>
      <c r="AC295" s="32"/>
      <c r="AD295" s="32"/>
      <c r="AE295" s="32">
        <f t="shared" si="104"/>
        <v>28298</v>
      </c>
      <c r="AF295" s="12"/>
      <c r="AG295">
        <v>81</v>
      </c>
      <c r="AH295" s="12"/>
      <c r="AI295" s="12">
        <f t="shared" si="99"/>
        <v>28379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46269</v>
      </c>
      <c r="C296" s="83">
        <f t="shared" si="100"/>
        <v>9995</v>
      </c>
      <c r="D296" s="32">
        <f>650*10+9.5*10</f>
        <v>6595</v>
      </c>
      <c r="E296" s="32"/>
      <c r="F296" s="32"/>
      <c r="G296" s="32">
        <f t="shared" si="94"/>
        <v>6595</v>
      </c>
      <c r="H296" s="12"/>
      <c r="I296" s="12"/>
      <c r="J296" s="12"/>
      <c r="K296" s="12">
        <f t="shared" si="95"/>
        <v>6595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96"/>
        <v>0</v>
      </c>
      <c r="T296" s="12"/>
      <c r="U296" s="12"/>
      <c r="V296" s="12"/>
      <c r="W296" s="12">
        <f t="shared" si="97"/>
        <v>0</v>
      </c>
      <c r="Y296" s="10">
        <v>10</v>
      </c>
      <c r="Z296" s="30">
        <v>46269</v>
      </c>
      <c r="AA296" s="31">
        <f t="shared" si="102"/>
        <v>10024</v>
      </c>
      <c r="AB296" s="32">
        <f>650*10</f>
        <v>6500</v>
      </c>
      <c r="AC296" s="32"/>
      <c r="AD296" s="32"/>
      <c r="AE296" s="32">
        <f t="shared" si="104"/>
        <v>6500</v>
      </c>
      <c r="AF296" s="12"/>
      <c r="AG296" s="12"/>
      <c r="AH296" s="12">
        <v>-666</v>
      </c>
      <c r="AI296" s="12">
        <f t="shared" si="99"/>
        <v>5834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46269</v>
      </c>
      <c r="C297" s="83">
        <f t="shared" si="100"/>
        <v>9996</v>
      </c>
      <c r="D297" s="32">
        <f>650*4+9.5*4</f>
        <v>2638</v>
      </c>
      <c r="E297" s="32"/>
      <c r="F297" s="32"/>
      <c r="G297" s="32">
        <f t="shared" si="94"/>
        <v>2638</v>
      </c>
      <c r="H297" s="12"/>
      <c r="I297" s="12"/>
      <c r="J297" s="12"/>
      <c r="K297" s="12">
        <f t="shared" si="95"/>
        <v>2638</v>
      </c>
      <c r="M297" s="10">
        <v>11</v>
      </c>
      <c r="N297" s="30"/>
      <c r="O297" s="31"/>
      <c r="P297" s="32"/>
      <c r="Q297" s="32"/>
      <c r="R297" s="32"/>
      <c r="S297" s="32">
        <f t="shared" si="96"/>
        <v>0</v>
      </c>
      <c r="T297" s="12"/>
      <c r="U297" s="12"/>
      <c r="V297" s="12"/>
      <c r="W297" s="12">
        <f t="shared" si="97"/>
        <v>0</v>
      </c>
      <c r="Y297" s="10">
        <v>11</v>
      </c>
      <c r="Z297" s="30">
        <v>46269</v>
      </c>
      <c r="AA297" s="31">
        <f t="shared" si="102"/>
        <v>10025</v>
      </c>
      <c r="AB297" s="32">
        <f>872</f>
        <v>872</v>
      </c>
      <c r="AC297" s="32"/>
      <c r="AD297" s="32"/>
      <c r="AE297" s="32">
        <f t="shared" si="104"/>
        <v>872</v>
      </c>
      <c r="AF297" s="12"/>
      <c r="AG297" s="12"/>
      <c r="AH297" s="12"/>
      <c r="AI297" s="12">
        <f t="shared" si="99"/>
        <v>872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>
        <v>46269</v>
      </c>
      <c r="C298" s="83">
        <f t="shared" si="100"/>
        <v>9997</v>
      </c>
      <c r="D298" s="32">
        <f>650*6</f>
        <v>3900</v>
      </c>
      <c r="E298" s="32"/>
      <c r="F298" s="32"/>
      <c r="G298" s="32">
        <f t="shared" si="94"/>
        <v>3900</v>
      </c>
      <c r="H298" s="12"/>
      <c r="I298" s="12"/>
      <c r="J298" s="10"/>
      <c r="K298" s="12">
        <f t="shared" si="95"/>
        <v>3900</v>
      </c>
      <c r="M298" s="10">
        <v>12</v>
      </c>
      <c r="N298" s="30"/>
      <c r="O298" s="31"/>
      <c r="P298" s="32"/>
      <c r="Q298" s="32"/>
      <c r="R298" s="32"/>
      <c r="S298" s="32">
        <f t="shared" si="96"/>
        <v>0</v>
      </c>
      <c r="T298" s="12"/>
      <c r="U298" s="12"/>
      <c r="V298" s="12"/>
      <c r="W298" s="12">
        <f t="shared" si="97"/>
        <v>0</v>
      </c>
      <c r="Y298" s="10">
        <v>12</v>
      </c>
      <c r="Z298" s="30"/>
      <c r="AA298" s="11" t="s">
        <v>27</v>
      </c>
      <c r="AB298" s="32"/>
      <c r="AC298" s="32"/>
      <c r="AD298" s="32"/>
      <c r="AE298" s="32">
        <f t="shared" si="104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>
        <v>46269</v>
      </c>
      <c r="C299" s="83">
        <f t="shared" si="100"/>
        <v>9998</v>
      </c>
      <c r="D299" s="32">
        <f>650*5</f>
        <v>3250</v>
      </c>
      <c r="E299" s="32"/>
      <c r="F299" s="32"/>
      <c r="G299" s="32">
        <f t="shared" si="94"/>
        <v>3250</v>
      </c>
      <c r="H299" s="12"/>
      <c r="I299" s="12"/>
      <c r="J299" s="12"/>
      <c r="K299" s="12">
        <f t="shared" si="95"/>
        <v>3250</v>
      </c>
      <c r="M299" s="10">
        <v>13</v>
      </c>
      <c r="N299" s="30"/>
      <c r="O299" s="31"/>
      <c r="P299" s="32"/>
      <c r="Q299" s="32"/>
      <c r="R299" s="32"/>
      <c r="S299" s="32">
        <f t="shared" si="96"/>
        <v>0</v>
      </c>
      <c r="T299" s="12"/>
      <c r="U299" s="12"/>
      <c r="V299" s="12"/>
      <c r="W299" s="12">
        <f t="shared" si="97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4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>
        <v>46269</v>
      </c>
      <c r="C300" s="83">
        <f t="shared" si="100"/>
        <v>9999</v>
      </c>
      <c r="D300" s="32">
        <f>650*5</f>
        <v>3250</v>
      </c>
      <c r="E300" s="32"/>
      <c r="F300" s="32"/>
      <c r="G300" s="32">
        <f t="shared" si="94"/>
        <v>3250</v>
      </c>
      <c r="H300" s="12"/>
      <c r="I300" s="12"/>
      <c r="J300" s="12"/>
      <c r="K300" s="12">
        <f t="shared" si="95"/>
        <v>3250</v>
      </c>
      <c r="M300" s="10">
        <v>14</v>
      </c>
      <c r="N300" s="30"/>
      <c r="O300" s="31"/>
      <c r="P300" s="32"/>
      <c r="Q300" s="32"/>
      <c r="R300" s="32"/>
      <c r="S300" s="32">
        <f t="shared" si="96"/>
        <v>0</v>
      </c>
      <c r="T300" s="12"/>
      <c r="U300" s="12"/>
      <c r="V300" s="12"/>
      <c r="W300" s="12">
        <f t="shared" si="97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4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>
        <v>46269</v>
      </c>
      <c r="C301" s="83">
        <f t="shared" si="100"/>
        <v>10000</v>
      </c>
      <c r="D301" s="32">
        <f>650+872/2+229</f>
        <v>1315</v>
      </c>
      <c r="E301" s="32"/>
      <c r="F301" s="32"/>
      <c r="G301" s="32">
        <f t="shared" si="94"/>
        <v>1315</v>
      </c>
      <c r="H301" s="12"/>
      <c r="I301" s="12"/>
      <c r="J301" s="12"/>
      <c r="K301" s="12">
        <f t="shared" si="95"/>
        <v>1315</v>
      </c>
      <c r="M301" s="10">
        <v>15</v>
      </c>
      <c r="N301" s="30"/>
      <c r="O301" s="31"/>
      <c r="P301" s="32"/>
      <c r="Q301" s="32"/>
      <c r="R301" s="32"/>
      <c r="S301" s="32">
        <f t="shared" si="96"/>
        <v>0</v>
      </c>
      <c r="T301" s="12"/>
      <c r="U301" s="12"/>
      <c r="V301" s="12"/>
      <c r="W301" s="12">
        <f t="shared" si="97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4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 t="s">
        <v>27</v>
      </c>
      <c r="D302" s="32"/>
      <c r="E302" s="32"/>
      <c r="F302" s="32"/>
      <c r="G302" s="32">
        <f t="shared" si="94"/>
        <v>0</v>
      </c>
      <c r="H302" s="12"/>
      <c r="I302" s="12"/>
      <c r="J302" s="12"/>
      <c r="K302" s="12">
        <f t="shared" si="95"/>
        <v>0</v>
      </c>
      <c r="M302" s="10">
        <v>16</v>
      </c>
      <c r="N302" s="30"/>
      <c r="O302" s="31"/>
      <c r="P302" s="32"/>
      <c r="Q302" s="32"/>
      <c r="R302" s="32"/>
      <c r="S302" s="32">
        <f t="shared" si="96"/>
        <v>0</v>
      </c>
      <c r="T302" s="12"/>
      <c r="U302" s="12"/>
      <c r="V302" s="12"/>
      <c r="W302" s="12">
        <f t="shared" si="97"/>
        <v>0</v>
      </c>
      <c r="Y302" s="10">
        <v>16</v>
      </c>
      <c r="AA302" s="11"/>
      <c r="AB302" s="32"/>
      <c r="AC302" s="32"/>
      <c r="AD302" s="32"/>
      <c r="AE302" s="32">
        <f t="shared" si="104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4"/>
        <v>0</v>
      </c>
      <c r="H303" s="12"/>
      <c r="I303" s="12"/>
      <c r="J303" s="12"/>
      <c r="K303" s="12">
        <f t="shared" si="95"/>
        <v>0</v>
      </c>
      <c r="M303" s="10">
        <v>17</v>
      </c>
      <c r="N303" s="30"/>
      <c r="O303" s="31"/>
      <c r="P303" s="35"/>
      <c r="Q303" s="32"/>
      <c r="R303" s="32"/>
      <c r="S303" s="32">
        <f t="shared" si="96"/>
        <v>0</v>
      </c>
      <c r="T303" s="12"/>
      <c r="U303" s="12"/>
      <c r="V303" s="12"/>
      <c r="W303" s="12">
        <f t="shared" si="97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4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4"/>
        <v>0</v>
      </c>
      <c r="H304" s="12"/>
      <c r="I304" s="12"/>
      <c r="J304" s="12"/>
      <c r="K304" s="12">
        <f t="shared" si="95"/>
        <v>0</v>
      </c>
      <c r="M304" s="10">
        <v>18</v>
      </c>
      <c r="N304" s="30"/>
      <c r="O304" s="31"/>
      <c r="P304" s="32"/>
      <c r="Q304" s="32"/>
      <c r="R304" s="32"/>
      <c r="S304" s="32">
        <f t="shared" si="96"/>
        <v>0</v>
      </c>
      <c r="T304" s="12"/>
      <c r="U304" s="12"/>
      <c r="V304" s="12"/>
      <c r="W304" s="12">
        <f t="shared" si="97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4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4"/>
        <v>0</v>
      </c>
      <c r="H305" s="12"/>
      <c r="I305" s="12"/>
      <c r="J305" s="12"/>
      <c r="K305" s="12">
        <f t="shared" si="95"/>
        <v>0</v>
      </c>
      <c r="M305" s="10">
        <v>19</v>
      </c>
      <c r="N305" s="30"/>
      <c r="O305" s="31"/>
      <c r="P305" s="32"/>
      <c r="Q305" s="32"/>
      <c r="R305" s="32"/>
      <c r="S305" s="32">
        <f t="shared" si="96"/>
        <v>0</v>
      </c>
      <c r="T305" s="12"/>
      <c r="U305" s="12"/>
      <c r="V305" s="12"/>
      <c r="W305" s="12">
        <f t="shared" si="97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4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4"/>
        <v>0</v>
      </c>
      <c r="H306" s="12"/>
      <c r="I306" s="12"/>
      <c r="J306" s="12"/>
      <c r="K306" s="12">
        <f t="shared" si="95"/>
        <v>0</v>
      </c>
      <c r="M306" s="10">
        <v>20</v>
      </c>
      <c r="N306" s="30"/>
      <c r="O306" s="31"/>
      <c r="P306" s="32"/>
      <c r="Q306" s="32"/>
      <c r="R306" s="32"/>
      <c r="S306" s="32">
        <f t="shared" si="96"/>
        <v>0</v>
      </c>
      <c r="T306" s="12"/>
      <c r="U306" s="12"/>
      <c r="V306" s="12"/>
      <c r="W306" s="12">
        <f t="shared" si="97"/>
        <v>0</v>
      </c>
      <c r="Y306" s="10">
        <v>20</v>
      </c>
      <c r="Z306" s="30"/>
      <c r="AB306" s="32"/>
      <c r="AC306" s="32"/>
      <c r="AD306" s="32"/>
      <c r="AE306" s="32">
        <f t="shared" si="104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94"/>
        <v>0</v>
      </c>
      <c r="H307" s="10"/>
      <c r="I307" s="10"/>
      <c r="J307" s="10"/>
      <c r="K307" s="12">
        <f t="shared" si="95"/>
        <v>0</v>
      </c>
      <c r="M307" s="10">
        <v>21</v>
      </c>
      <c r="N307" s="30"/>
      <c r="O307" s="11"/>
      <c r="P307" s="46"/>
      <c r="Q307" s="31"/>
      <c r="R307" s="31"/>
      <c r="S307" s="32">
        <f t="shared" si="96"/>
        <v>0</v>
      </c>
      <c r="T307" s="10"/>
      <c r="U307" s="10"/>
      <c r="V307" s="10"/>
      <c r="W307" s="12">
        <f t="shared" si="97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4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4"/>
        <v>0</v>
      </c>
      <c r="H308" s="10"/>
      <c r="I308" s="10"/>
      <c r="J308" s="10"/>
      <c r="K308" s="12">
        <f t="shared" si="95"/>
        <v>0</v>
      </c>
      <c r="M308" s="10">
        <v>22</v>
      </c>
      <c r="N308" s="30"/>
      <c r="O308" s="31"/>
      <c r="P308" s="45"/>
      <c r="Q308" s="31"/>
      <c r="R308" s="31"/>
      <c r="S308" s="32">
        <f t="shared" si="96"/>
        <v>0</v>
      </c>
      <c r="T308" s="10"/>
      <c r="U308" s="10"/>
      <c r="V308" s="10"/>
      <c r="W308" s="12">
        <f t="shared" si="97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4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4"/>
        <v>0</v>
      </c>
      <c r="H309" s="10"/>
      <c r="I309" s="10"/>
      <c r="J309" s="12"/>
      <c r="K309" s="12">
        <f t="shared" si="95"/>
        <v>0</v>
      </c>
      <c r="M309" s="10">
        <v>23</v>
      </c>
      <c r="N309" s="30"/>
      <c r="O309" s="31"/>
      <c r="P309" s="47"/>
      <c r="S309" s="32">
        <f t="shared" si="96"/>
        <v>0</v>
      </c>
      <c r="T309" s="10"/>
      <c r="U309" s="10"/>
      <c r="V309" s="10"/>
      <c r="W309" s="12">
        <f t="shared" si="97"/>
        <v>0</v>
      </c>
      <c r="Y309" s="10">
        <v>23</v>
      </c>
      <c r="Z309" s="30"/>
      <c r="AA309" s="31"/>
      <c r="AB309" s="47"/>
      <c r="AE309" s="32">
        <f t="shared" si="104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4"/>
        <v>0</v>
      </c>
      <c r="H310" s="10"/>
      <c r="I310" s="10"/>
      <c r="J310" s="10"/>
      <c r="K310" s="12">
        <f t="shared" si="95"/>
        <v>0</v>
      </c>
      <c r="M310" s="10">
        <v>24</v>
      </c>
      <c r="N310" s="30"/>
      <c r="O310" s="31"/>
      <c r="P310" s="47"/>
      <c r="Q310" s="31"/>
      <c r="R310" s="31"/>
      <c r="S310" s="32">
        <f t="shared" si="96"/>
        <v>0</v>
      </c>
      <c r="T310" s="10"/>
      <c r="U310" s="10"/>
      <c r="V310" s="10"/>
      <c r="W310" s="12">
        <f t="shared" si="97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4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4"/>
        <v>0</v>
      </c>
      <c r="H311" s="10"/>
      <c r="I311" s="10"/>
      <c r="J311" s="10"/>
      <c r="K311" s="12">
        <f t="shared" si="95"/>
        <v>0</v>
      </c>
      <c r="M311" s="10">
        <v>25</v>
      </c>
      <c r="N311" s="30"/>
      <c r="O311" s="31"/>
      <c r="P311" s="47"/>
      <c r="Q311" s="31"/>
      <c r="R311" s="31"/>
      <c r="S311" s="32">
        <f t="shared" si="96"/>
        <v>0</v>
      </c>
      <c r="T311" s="10"/>
      <c r="U311" s="10"/>
      <c r="V311" s="10"/>
      <c r="W311" s="12">
        <f t="shared" si="97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4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4"/>
        <v>0</v>
      </c>
      <c r="H312" s="10"/>
      <c r="I312" s="10"/>
      <c r="J312" s="10"/>
      <c r="K312" s="12">
        <f t="shared" si="95"/>
        <v>0</v>
      </c>
      <c r="M312" s="10">
        <v>26</v>
      </c>
      <c r="N312" s="30"/>
      <c r="O312" s="31"/>
      <c r="P312" s="47"/>
      <c r="Q312" s="31"/>
      <c r="R312" s="31"/>
      <c r="S312" s="32">
        <f t="shared" si="96"/>
        <v>0</v>
      </c>
      <c r="T312" s="10"/>
      <c r="U312" s="10"/>
      <c r="V312" s="10"/>
      <c r="W312" s="12">
        <f t="shared" si="97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4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4"/>
        <v>0</v>
      </c>
      <c r="H313" s="10"/>
      <c r="I313" s="10"/>
      <c r="J313" s="10"/>
      <c r="K313" s="12">
        <f t="shared" si="95"/>
        <v>0</v>
      </c>
      <c r="M313" s="10">
        <v>27</v>
      </c>
      <c r="N313" s="30"/>
      <c r="O313" s="31"/>
      <c r="P313" s="47"/>
      <c r="Q313" s="31"/>
      <c r="R313" s="31"/>
      <c r="S313" s="32">
        <f t="shared" si="96"/>
        <v>0</v>
      </c>
      <c r="T313" s="10"/>
      <c r="U313" s="10"/>
      <c r="V313" s="10"/>
      <c r="W313" s="12">
        <f t="shared" si="97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4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4"/>
        <v>0</v>
      </c>
      <c r="H314" s="10"/>
      <c r="I314" s="10"/>
      <c r="J314" s="10"/>
      <c r="K314" s="12">
        <f t="shared" si="95"/>
        <v>0</v>
      </c>
      <c r="M314" s="10">
        <v>28</v>
      </c>
      <c r="N314" s="30"/>
      <c r="O314" s="31"/>
      <c r="P314" s="47"/>
      <c r="Q314" s="31"/>
      <c r="R314" s="31"/>
      <c r="S314" s="32">
        <f t="shared" si="96"/>
        <v>0</v>
      </c>
      <c r="T314" s="10"/>
      <c r="U314" s="10"/>
      <c r="V314" s="10"/>
      <c r="W314" s="12">
        <f t="shared" si="97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4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94"/>
        <v>0</v>
      </c>
      <c r="H315" s="10"/>
      <c r="I315" s="10"/>
      <c r="J315" s="10"/>
      <c r="K315" s="12">
        <f t="shared" si="95"/>
        <v>0</v>
      </c>
      <c r="M315" s="10">
        <v>29</v>
      </c>
      <c r="N315" s="30"/>
      <c r="O315" s="31"/>
      <c r="P315" s="47"/>
      <c r="Q315" s="31"/>
      <c r="R315" s="31"/>
      <c r="S315" s="32">
        <f t="shared" si="96"/>
        <v>0</v>
      </c>
      <c r="T315" s="10"/>
      <c r="U315" s="10"/>
      <c r="V315" s="10"/>
      <c r="W315" s="12">
        <f t="shared" si="97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4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4"/>
        <v>0</v>
      </c>
      <c r="H316" s="10"/>
      <c r="I316" s="10"/>
      <c r="J316" s="10"/>
      <c r="K316" s="12">
        <f t="shared" si="95"/>
        <v>0</v>
      </c>
      <c r="M316" s="10">
        <v>30</v>
      </c>
      <c r="N316" s="30"/>
      <c r="O316" s="31"/>
      <c r="P316" s="47"/>
      <c r="Q316" s="31"/>
      <c r="R316" s="31"/>
      <c r="S316" s="32">
        <f t="shared" si="96"/>
        <v>0</v>
      </c>
      <c r="T316" s="10"/>
      <c r="U316" s="10"/>
      <c r="V316" s="10"/>
      <c r="W316" s="12">
        <f t="shared" si="97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4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4"/>
        <v>0</v>
      </c>
      <c r="H317" s="10"/>
      <c r="I317" s="10"/>
      <c r="J317" s="10"/>
      <c r="K317" s="12">
        <f t="shared" si="95"/>
        <v>0</v>
      </c>
      <c r="M317" s="10">
        <v>31</v>
      </c>
      <c r="N317" s="30"/>
      <c r="O317" s="31"/>
      <c r="P317" s="47"/>
      <c r="Q317" s="31"/>
      <c r="R317" s="31"/>
      <c r="S317" s="32">
        <f t="shared" si="96"/>
        <v>0</v>
      </c>
      <c r="T317" s="10"/>
      <c r="U317" s="10"/>
      <c r="V317" s="10"/>
      <c r="W317" s="12">
        <f t="shared" si="97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4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4"/>
        <v>0</v>
      </c>
      <c r="H318" s="10"/>
      <c r="I318" s="10"/>
      <c r="J318" s="10"/>
      <c r="K318" s="12">
        <f t="shared" si="95"/>
        <v>0</v>
      </c>
      <c r="M318" s="10">
        <v>32</v>
      </c>
      <c r="N318" s="30"/>
      <c r="O318" s="31"/>
      <c r="P318" s="47"/>
      <c r="Q318" s="31"/>
      <c r="R318" s="31"/>
      <c r="S318" s="32">
        <f t="shared" si="96"/>
        <v>0</v>
      </c>
      <c r="T318" s="10"/>
      <c r="U318" s="10"/>
      <c r="V318" s="10"/>
      <c r="W318" s="12">
        <f t="shared" si="97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4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4"/>
        <v>0</v>
      </c>
      <c r="H319" s="10"/>
      <c r="I319" s="10"/>
      <c r="J319" s="10"/>
      <c r="K319" s="12">
        <f t="shared" si="95"/>
        <v>0</v>
      </c>
      <c r="M319" s="10">
        <v>33</v>
      </c>
      <c r="N319" s="30"/>
      <c r="O319" s="31"/>
      <c r="P319" s="47"/>
      <c r="Q319" s="31"/>
      <c r="R319" s="31"/>
      <c r="S319" s="32">
        <f t="shared" si="96"/>
        <v>0</v>
      </c>
      <c r="T319" s="10"/>
      <c r="U319" s="10"/>
      <c r="V319" s="10"/>
      <c r="W319" s="12">
        <f t="shared" si="97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4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4"/>
        <v>0</v>
      </c>
      <c r="H320" s="10"/>
      <c r="I320" s="10"/>
      <c r="J320" s="10"/>
      <c r="K320" s="12">
        <f t="shared" si="95"/>
        <v>0</v>
      </c>
      <c r="M320" s="10">
        <v>34</v>
      </c>
      <c r="N320" s="30"/>
      <c r="O320" s="31"/>
      <c r="P320" s="47"/>
      <c r="Q320" s="31"/>
      <c r="R320" s="31"/>
      <c r="S320" s="32">
        <f t="shared" si="96"/>
        <v>0</v>
      </c>
      <c r="T320" s="10"/>
      <c r="U320" s="10"/>
      <c r="V320" s="10"/>
      <c r="W320" s="12">
        <f t="shared" si="97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4"/>
        <v>0</v>
      </c>
      <c r="AF320" s="10"/>
      <c r="AG320" s="10"/>
      <c r="AH320" s="10"/>
      <c r="AI320" s="12">
        <f t="shared" ref="AI320:AI328" si="105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6"/>
        <v>0</v>
      </c>
      <c r="T321" s="10"/>
      <c r="U321" s="10"/>
      <c r="V321" s="10"/>
      <c r="W321" s="12">
        <f t="shared" si="97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4"/>
        <v>0</v>
      </c>
      <c r="AF321" s="10"/>
      <c r="AG321" s="10"/>
      <c r="AH321" s="10"/>
      <c r="AI321" s="12">
        <f t="shared" si="105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6"/>
        <v>0</v>
      </c>
      <c r="T322" s="10"/>
      <c r="U322" s="10"/>
      <c r="V322" s="10"/>
      <c r="W322" s="12">
        <f t="shared" si="97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4"/>
        <v>0</v>
      </c>
      <c r="AF322" s="10"/>
      <c r="AG322" s="10"/>
      <c r="AH322" s="10"/>
      <c r="AI322" s="12">
        <f t="shared" si="105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6"/>
        <v>0</v>
      </c>
      <c r="T323" s="10"/>
      <c r="U323" s="10"/>
      <c r="V323" s="10"/>
      <c r="W323" s="12">
        <f t="shared" si="97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4"/>
        <v>0</v>
      </c>
      <c r="AF323" s="10"/>
      <c r="AG323" s="10"/>
      <c r="AH323" s="10"/>
      <c r="AI323" s="12">
        <f t="shared" si="105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6"/>
        <v>0</v>
      </c>
      <c r="T324" s="10"/>
      <c r="U324" s="10"/>
      <c r="V324" s="10"/>
      <c r="W324" s="12">
        <f t="shared" si="97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4"/>
        <v>0</v>
      </c>
      <c r="AF324" s="10"/>
      <c r="AG324" s="10"/>
      <c r="AH324" s="10"/>
      <c r="AI324" s="12">
        <f t="shared" si="105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6"/>
        <v>0</v>
      </c>
      <c r="T325" s="10"/>
      <c r="U325" s="10"/>
      <c r="V325" s="10"/>
      <c r="W325" s="12">
        <f t="shared" si="97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4"/>
        <v>0</v>
      </c>
      <c r="AF325" s="10"/>
      <c r="AG325" s="10"/>
      <c r="AH325" s="10"/>
      <c r="AI325" s="12">
        <f t="shared" si="105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7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5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6">SUM(D327:E327)</f>
        <v>0</v>
      </c>
      <c r="H327" s="10"/>
      <c r="I327" s="10"/>
      <c r="J327" s="10"/>
      <c r="K327" s="12">
        <f t="shared" ref="K327" si="107">SUM(G327:J327)</f>
        <v>0</v>
      </c>
      <c r="M327" s="10"/>
      <c r="N327" s="30"/>
      <c r="O327" s="31"/>
      <c r="P327" s="47"/>
      <c r="Q327" s="31"/>
      <c r="R327" s="31"/>
      <c r="S327" s="32">
        <f t="shared" ref="S327" si="108">SUM(P327:Q327)</f>
        <v>0</v>
      </c>
      <c r="T327" s="10"/>
      <c r="U327" s="10"/>
      <c r="V327" s="10"/>
      <c r="W327" s="12">
        <f t="shared" si="97"/>
        <v>0</v>
      </c>
      <c r="Y327" s="10"/>
      <c r="Z327" s="30"/>
      <c r="AA327" s="31"/>
      <c r="AB327" s="47"/>
      <c r="AC327" s="31"/>
      <c r="AD327" s="31"/>
      <c r="AE327" s="32">
        <f t="shared" ref="AE327" si="109">SUM(AB327:AC327)</f>
        <v>0</v>
      </c>
      <c r="AF327" s="10"/>
      <c r="AG327" s="10"/>
      <c r="AH327" s="10"/>
      <c r="AI327" s="12">
        <f t="shared" si="105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7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5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364239.5</v>
      </c>
      <c r="E330" s="38">
        <f t="shared" ref="E330:F330" si="110">SUM(E287:E327)</f>
        <v>0</v>
      </c>
      <c r="F330" s="38">
        <f t="shared" si="110"/>
        <v>0</v>
      </c>
      <c r="G330" s="38">
        <f>SUM(G287:G329)</f>
        <v>364239.5</v>
      </c>
      <c r="H330" s="4"/>
      <c r="I330" s="39">
        <f>SUM(I287:I329)</f>
        <v>2857.5</v>
      </c>
      <c r="J330" s="39">
        <f>SUM(J287:J329)</f>
        <v>-750</v>
      </c>
      <c r="K330" s="40">
        <f>SUM(K287:K329)</f>
        <v>366347</v>
      </c>
      <c r="N330" s="57"/>
      <c r="O330" s="57"/>
      <c r="P330" s="38">
        <f>SUM(P287:P329)</f>
        <v>218857</v>
      </c>
      <c r="Q330" s="38">
        <f>SUM(Q287:Q311)</f>
        <v>-1296</v>
      </c>
      <c r="R330" s="38">
        <f>SUM(R287:R311)</f>
        <v>0</v>
      </c>
      <c r="S330" s="38">
        <f>SUM(S287:S329)</f>
        <v>217561</v>
      </c>
      <c r="T330" s="4"/>
      <c r="U330" s="41">
        <f>SUM(U287:U329)</f>
        <v>624</v>
      </c>
      <c r="V330" s="41">
        <f>SUM(V287:V311)</f>
        <v>-1002</v>
      </c>
      <c r="W330" s="42">
        <f>SUM(W287:W329)</f>
        <v>217183</v>
      </c>
      <c r="Z330" s="57"/>
      <c r="AA330" s="57"/>
      <c r="AB330" s="38">
        <f>SUM(AB287:AB329)</f>
        <v>384443</v>
      </c>
      <c r="AC330" s="38">
        <f>SUM(AC287:AC311)</f>
        <v>-1296</v>
      </c>
      <c r="AD330" s="38">
        <f>SUM(AD287:AD311)</f>
        <v>0</v>
      </c>
      <c r="AE330" s="38">
        <f>SUM(AE287:AE329)</f>
        <v>383147</v>
      </c>
      <c r="AF330" s="4"/>
      <c r="AG330" s="41">
        <f>SUM(AG287:AG329)</f>
        <v>5676</v>
      </c>
      <c r="AH330" s="41">
        <f>SUM(AH287:AH311)</f>
        <v>-20700</v>
      </c>
      <c r="AI330" s="42">
        <f>SUM(AI287:AI329)</f>
        <v>368123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55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55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2" t="s">
        <v>17</v>
      </c>
      <c r="E340" s="112"/>
      <c r="F340" s="97"/>
      <c r="G340" s="27"/>
      <c r="I340" s="110" t="s">
        <v>18</v>
      </c>
      <c r="J340" s="111"/>
      <c r="K340" s="108" t="s">
        <v>19</v>
      </c>
      <c r="N340" s="25"/>
      <c r="O340" s="26"/>
      <c r="P340" s="112" t="s">
        <v>17</v>
      </c>
      <c r="Q340" s="112"/>
      <c r="R340" s="97"/>
      <c r="S340" s="27"/>
      <c r="U340" s="110" t="s">
        <v>18</v>
      </c>
      <c r="V340" s="111"/>
      <c r="W340" s="108" t="s">
        <v>19</v>
      </c>
      <c r="Y340" s="62"/>
      <c r="Z340" s="65"/>
      <c r="AA340" s="91"/>
      <c r="AB340" s="114"/>
      <c r="AC340" s="114"/>
      <c r="AD340" s="91"/>
      <c r="AE340" s="91"/>
      <c r="AF340" s="62"/>
      <c r="AG340" s="114"/>
      <c r="AH340" s="114"/>
      <c r="AI340" s="113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9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9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13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46299</v>
      </c>
      <c r="C342" s="83">
        <v>9846</v>
      </c>
      <c r="D342" s="32">
        <f>650*4+229</f>
        <v>2829</v>
      </c>
      <c r="E342" s="32"/>
      <c r="F342" s="32"/>
      <c r="G342" s="32">
        <f t="shared" ref="G342:G375" si="111">SUM(D342:E342)</f>
        <v>2829</v>
      </c>
      <c r="H342" s="12"/>
      <c r="I342" s="12"/>
      <c r="J342" s="12"/>
      <c r="K342" s="12">
        <f t="shared" ref="K342:K375" si="112">SUM(G342:J342)</f>
        <v>2829</v>
      </c>
      <c r="M342" s="10">
        <v>1</v>
      </c>
      <c r="N342" s="30">
        <v>46299</v>
      </c>
      <c r="O342" s="31">
        <v>10081</v>
      </c>
      <c r="P342" s="32">
        <f>650*88+622*15+229*3</f>
        <v>67217</v>
      </c>
      <c r="Q342" s="32"/>
      <c r="R342" s="32"/>
      <c r="S342" s="32">
        <f>SUM(P342:Q342)</f>
        <v>67217</v>
      </c>
      <c r="T342" s="12"/>
      <c r="U342" s="12">
        <f>81+72</f>
        <v>153</v>
      </c>
      <c r="V342" s="12"/>
      <c r="W342" s="12">
        <f>SUM(S342:V342)</f>
        <v>67370</v>
      </c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46299</v>
      </c>
      <c r="C343" s="83">
        <f>C342+1</f>
        <v>9847</v>
      </c>
      <c r="D343" s="32">
        <f>650*2</f>
        <v>1300</v>
      </c>
      <c r="E343" s="32"/>
      <c r="F343" s="32"/>
      <c r="G343" s="32">
        <f t="shared" si="111"/>
        <v>1300</v>
      </c>
      <c r="H343" s="12"/>
      <c r="I343" s="12"/>
      <c r="J343" s="12"/>
      <c r="K343" s="12">
        <f t="shared" si="112"/>
        <v>1300</v>
      </c>
      <c r="M343" s="10">
        <v>2</v>
      </c>
      <c r="N343" s="30">
        <v>46299</v>
      </c>
      <c r="O343" s="31">
        <f>O342+1</f>
        <v>10082</v>
      </c>
      <c r="P343" s="32">
        <f>650*2+670+9.5*2</f>
        <v>1989</v>
      </c>
      <c r="Q343" s="32"/>
      <c r="R343" s="32"/>
      <c r="S343" s="32">
        <f t="shared" ref="S343:S380" si="113">SUM(P343:Q343)</f>
        <v>1989</v>
      </c>
      <c r="T343" s="12"/>
      <c r="U343" s="12"/>
      <c r="V343" s="12">
        <v>-240</v>
      </c>
      <c r="W343" s="12">
        <f t="shared" ref="W343:W383" si="114">SUM(S343:V343)</f>
        <v>1749</v>
      </c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46299</v>
      </c>
      <c r="C344" s="83">
        <f t="shared" ref="C344:C363" si="115">C343+1</f>
        <v>9848</v>
      </c>
      <c r="D344" s="33">
        <f>650*4+9.5*4</f>
        <v>2638</v>
      </c>
      <c r="E344" s="32"/>
      <c r="F344" s="33"/>
      <c r="G344" s="33">
        <f t="shared" si="111"/>
        <v>2638</v>
      </c>
      <c r="H344" s="34"/>
      <c r="I344" s="34">
        <f>9+3</f>
        <v>12</v>
      </c>
      <c r="J344" s="34"/>
      <c r="K344" s="34">
        <f t="shared" si="112"/>
        <v>2650</v>
      </c>
      <c r="M344" s="10">
        <v>3</v>
      </c>
      <c r="N344" s="30">
        <v>46299</v>
      </c>
      <c r="O344" s="31">
        <f t="shared" ref="O344:O351" si="116">O343+1</f>
        <v>10083</v>
      </c>
      <c r="P344" s="32">
        <f>650*7+622*2+912+9.5*9</f>
        <v>6791.5</v>
      </c>
      <c r="Q344" s="32"/>
      <c r="R344" s="32"/>
      <c r="S344" s="32">
        <f t="shared" si="113"/>
        <v>6791.5</v>
      </c>
      <c r="T344" s="12"/>
      <c r="U344" s="12"/>
      <c r="V344" s="12">
        <v>-1110</v>
      </c>
      <c r="W344" s="12">
        <f t="shared" si="114"/>
        <v>5681.5</v>
      </c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46299</v>
      </c>
      <c r="C345" s="83">
        <f t="shared" si="115"/>
        <v>9849</v>
      </c>
      <c r="D345" s="32">
        <f>650*40+670</f>
        <v>26670</v>
      </c>
      <c r="E345" s="32"/>
      <c r="F345" s="32"/>
      <c r="G345" s="32">
        <f t="shared" si="111"/>
        <v>26670</v>
      </c>
      <c r="H345" s="12"/>
      <c r="I345" s="12">
        <v>135</v>
      </c>
      <c r="J345" s="12"/>
      <c r="K345" s="12">
        <f t="shared" si="112"/>
        <v>26805</v>
      </c>
      <c r="M345" s="10">
        <v>4</v>
      </c>
      <c r="N345" s="30">
        <v>46299</v>
      </c>
      <c r="O345" s="31">
        <f t="shared" si="116"/>
        <v>10084</v>
      </c>
      <c r="P345" s="32">
        <f>650*2+622+9.5*3</f>
        <v>1950.5</v>
      </c>
      <c r="Q345" s="32"/>
      <c r="R345" s="32"/>
      <c r="S345" s="32">
        <f t="shared" si="113"/>
        <v>1950.5</v>
      </c>
      <c r="T345" s="12"/>
      <c r="U345" s="12"/>
      <c r="V345" s="12">
        <v>-168</v>
      </c>
      <c r="W345" s="12">
        <f t="shared" si="114"/>
        <v>1782.5</v>
      </c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46299</v>
      </c>
      <c r="C346" s="83">
        <f t="shared" si="115"/>
        <v>9850</v>
      </c>
      <c r="D346" s="32">
        <f>19343.32</f>
        <v>19343.32</v>
      </c>
      <c r="E346" s="32"/>
      <c r="F346" s="32"/>
      <c r="G346" s="32">
        <f t="shared" si="111"/>
        <v>19343.32</v>
      </c>
      <c r="H346" s="12"/>
      <c r="I346" s="12">
        <f>48+45</f>
        <v>93</v>
      </c>
      <c r="J346" s="12"/>
      <c r="K346" s="12">
        <f t="shared" si="112"/>
        <v>19436.32</v>
      </c>
      <c r="M346" s="10">
        <v>5</v>
      </c>
      <c r="N346" s="30">
        <v>46299</v>
      </c>
      <c r="O346" s="31">
        <f t="shared" si="116"/>
        <v>10085</v>
      </c>
      <c r="P346" s="32">
        <f>650*11+670+622*2+872</f>
        <v>9936</v>
      </c>
      <c r="Q346" s="32"/>
      <c r="R346" s="32"/>
      <c r="S346" s="32">
        <f t="shared" si="113"/>
        <v>9936</v>
      </c>
      <c r="T346" s="12"/>
      <c r="U346" s="12">
        <f>120+111</f>
        <v>231</v>
      </c>
      <c r="V346" s="12"/>
      <c r="W346" s="12">
        <f t="shared" si="114"/>
        <v>10167</v>
      </c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46299</v>
      </c>
      <c r="C347" s="83">
        <v>9901</v>
      </c>
      <c r="D347" s="32">
        <f>650*13+670*2+622*4+9.5*17</f>
        <v>12439.5</v>
      </c>
      <c r="E347" s="32"/>
      <c r="F347" s="32"/>
      <c r="G347" s="32">
        <f t="shared" si="111"/>
        <v>12439.5</v>
      </c>
      <c r="H347" s="12"/>
      <c r="I347" s="12">
        <v>9</v>
      </c>
      <c r="J347" s="12"/>
      <c r="K347" s="12">
        <f t="shared" si="112"/>
        <v>12448.5</v>
      </c>
      <c r="M347" s="10">
        <v>6</v>
      </c>
      <c r="N347" s="30">
        <v>46299</v>
      </c>
      <c r="O347" s="31">
        <f t="shared" si="116"/>
        <v>10086</v>
      </c>
      <c r="P347" s="32">
        <f>650*12+9.5*12</f>
        <v>7914</v>
      </c>
      <c r="Q347" s="32"/>
      <c r="R347" s="32"/>
      <c r="S347" s="32">
        <f t="shared" si="113"/>
        <v>7914</v>
      </c>
      <c r="T347" s="12"/>
      <c r="U347" s="12"/>
      <c r="V347" s="10"/>
      <c r="W347" s="12">
        <f t="shared" si="114"/>
        <v>7914</v>
      </c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46299</v>
      </c>
      <c r="C348" s="83">
        <f t="shared" si="115"/>
        <v>9902</v>
      </c>
      <c r="D348" s="32">
        <f>650*2+9.5*2</f>
        <v>1319</v>
      </c>
      <c r="E348" s="32"/>
      <c r="F348" s="32"/>
      <c r="G348" s="32">
        <f t="shared" si="111"/>
        <v>1319</v>
      </c>
      <c r="H348" s="12"/>
      <c r="I348" s="12"/>
      <c r="J348" s="12"/>
      <c r="K348" s="12">
        <f t="shared" si="112"/>
        <v>1319</v>
      </c>
      <c r="M348" s="10">
        <v>7</v>
      </c>
      <c r="N348" s="30">
        <v>46299</v>
      </c>
      <c r="O348" s="31">
        <f t="shared" si="116"/>
        <v>10087</v>
      </c>
      <c r="P348" s="32">
        <f>650*10+622+9.5*11</f>
        <v>7226.5</v>
      </c>
      <c r="Q348" s="32"/>
      <c r="R348" s="32"/>
      <c r="S348" s="32">
        <f t="shared" si="113"/>
        <v>7226.5</v>
      </c>
      <c r="T348" s="12"/>
      <c r="U348" s="12"/>
      <c r="V348" s="12">
        <v>-1110</v>
      </c>
      <c r="W348" s="12">
        <f t="shared" si="114"/>
        <v>6116.5</v>
      </c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46299</v>
      </c>
      <c r="C349" s="83">
        <f t="shared" si="115"/>
        <v>9903</v>
      </c>
      <c r="D349" s="32">
        <f>670</f>
        <v>670</v>
      </c>
      <c r="E349" s="32"/>
      <c r="F349" s="32"/>
      <c r="G349" s="32">
        <f t="shared" si="111"/>
        <v>670</v>
      </c>
      <c r="H349" s="12"/>
      <c r="I349" s="12"/>
      <c r="J349" s="12"/>
      <c r="K349" s="12">
        <f t="shared" si="112"/>
        <v>670</v>
      </c>
      <c r="M349" s="10">
        <v>8</v>
      </c>
      <c r="N349" s="30">
        <v>46299</v>
      </c>
      <c r="O349" s="31">
        <f t="shared" si="116"/>
        <v>10088</v>
      </c>
      <c r="P349" s="32">
        <f>650*8+622+700</f>
        <v>6522</v>
      </c>
      <c r="Q349" s="32"/>
      <c r="R349" s="32"/>
      <c r="S349" s="32">
        <f t="shared" si="113"/>
        <v>6522</v>
      </c>
      <c r="T349" s="12"/>
      <c r="U349" s="12"/>
      <c r="V349" s="12">
        <v>-1998</v>
      </c>
      <c r="W349" s="12">
        <f t="shared" si="114"/>
        <v>4524</v>
      </c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46299</v>
      </c>
      <c r="C350" s="83">
        <f t="shared" si="115"/>
        <v>9904</v>
      </c>
      <c r="D350" s="32">
        <f>55.83*9</f>
        <v>502.46999999999997</v>
      </c>
      <c r="E350" s="32"/>
      <c r="F350" s="32"/>
      <c r="G350" s="32">
        <f t="shared" si="111"/>
        <v>502.46999999999997</v>
      </c>
      <c r="H350" s="12"/>
      <c r="I350" s="12"/>
      <c r="J350" s="12"/>
      <c r="K350" s="12">
        <f t="shared" si="112"/>
        <v>502.46999999999997</v>
      </c>
      <c r="M350" s="10">
        <v>9</v>
      </c>
      <c r="N350" s="30">
        <v>46299</v>
      </c>
      <c r="O350" s="31">
        <f t="shared" si="116"/>
        <v>10089</v>
      </c>
      <c r="P350" s="32">
        <f>650*65+622*5+229*4</f>
        <v>46276</v>
      </c>
      <c r="Q350" s="32"/>
      <c r="R350" s="32"/>
      <c r="S350" s="32">
        <f t="shared" si="113"/>
        <v>46276</v>
      </c>
      <c r="T350" s="12"/>
      <c r="U350" s="12">
        <f>13*111+4.5*192</f>
        <v>2307</v>
      </c>
      <c r="V350" s="12"/>
      <c r="W350" s="12">
        <f t="shared" si="114"/>
        <v>48583</v>
      </c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46299</v>
      </c>
      <c r="C351" s="83">
        <f t="shared" si="115"/>
        <v>9905</v>
      </c>
      <c r="D351" s="32">
        <f>650*2+229</f>
        <v>1529</v>
      </c>
      <c r="E351" s="32"/>
      <c r="F351" s="32"/>
      <c r="G351" s="32">
        <f t="shared" si="111"/>
        <v>1529</v>
      </c>
      <c r="H351" s="12"/>
      <c r="I351" s="12"/>
      <c r="J351" s="12"/>
      <c r="K351" s="12">
        <f t="shared" si="112"/>
        <v>1529</v>
      </c>
      <c r="M351" s="10">
        <v>10</v>
      </c>
      <c r="N351" s="30">
        <v>46299</v>
      </c>
      <c r="O351" s="31">
        <f t="shared" si="116"/>
        <v>10090</v>
      </c>
      <c r="P351" s="32">
        <f>650*180+622*20+229*6</f>
        <v>130814</v>
      </c>
      <c r="Q351" s="32">
        <f>-200*6</f>
        <v>-1200</v>
      </c>
      <c r="R351" s="32"/>
      <c r="S351" s="32">
        <f t="shared" si="113"/>
        <v>129614</v>
      </c>
      <c r="T351" s="12"/>
      <c r="U351" s="12">
        <f>390+16650</f>
        <v>17040</v>
      </c>
      <c r="V351" s="12">
        <f>-360+-504</f>
        <v>-864</v>
      </c>
      <c r="W351" s="12">
        <f t="shared" si="114"/>
        <v>145790</v>
      </c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46299</v>
      </c>
      <c r="C352" s="83">
        <f t="shared" si="115"/>
        <v>9906</v>
      </c>
      <c r="D352" s="32">
        <f>650*4+9.5*4</f>
        <v>2638</v>
      </c>
      <c r="E352" s="32"/>
      <c r="F352" s="32"/>
      <c r="G352" s="32">
        <f t="shared" si="111"/>
        <v>2638</v>
      </c>
      <c r="H352" s="12"/>
      <c r="I352" s="12"/>
      <c r="J352" s="12"/>
      <c r="K352" s="12">
        <f t="shared" si="112"/>
        <v>2638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13"/>
        <v>0</v>
      </c>
      <c r="T352" s="12"/>
      <c r="U352" s="12"/>
      <c r="V352" s="12"/>
      <c r="W352" s="12">
        <f t="shared" si="114"/>
        <v>0</v>
      </c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46299</v>
      </c>
      <c r="C353" s="83">
        <f t="shared" si="115"/>
        <v>9907</v>
      </c>
      <c r="D353" s="32">
        <f>622*5</f>
        <v>3110</v>
      </c>
      <c r="E353" s="32"/>
      <c r="F353" s="32"/>
      <c r="G353" s="32">
        <f t="shared" si="111"/>
        <v>3110</v>
      </c>
      <c r="H353" s="12"/>
      <c r="I353" s="12"/>
      <c r="J353" s="10"/>
      <c r="K353" s="12">
        <f t="shared" si="112"/>
        <v>3110</v>
      </c>
      <c r="M353" s="10">
        <v>12</v>
      </c>
      <c r="N353" s="30"/>
      <c r="O353" s="31"/>
      <c r="P353" s="32"/>
      <c r="Q353" s="32"/>
      <c r="R353" s="32"/>
      <c r="S353" s="32">
        <f t="shared" si="113"/>
        <v>0</v>
      </c>
      <c r="T353" s="12"/>
      <c r="U353" s="12"/>
      <c r="V353" s="12"/>
      <c r="W353" s="12">
        <f t="shared" si="114"/>
        <v>0</v>
      </c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46299</v>
      </c>
      <c r="C354" s="83">
        <f t="shared" si="115"/>
        <v>9908</v>
      </c>
      <c r="D354" s="32">
        <f>650*8+912+1050+872+650+500</f>
        <v>9184</v>
      </c>
      <c r="E354" s="32"/>
      <c r="F354" s="32"/>
      <c r="G354" s="32">
        <f t="shared" si="111"/>
        <v>9184</v>
      </c>
      <c r="H354" s="12"/>
      <c r="I354" s="12"/>
      <c r="J354" s="12"/>
      <c r="K354" s="12">
        <f t="shared" si="112"/>
        <v>9184</v>
      </c>
      <c r="M354" s="10">
        <v>13</v>
      </c>
      <c r="N354" s="30"/>
      <c r="O354" s="31"/>
      <c r="P354" s="32"/>
      <c r="Q354" s="32"/>
      <c r="R354" s="32"/>
      <c r="S354" s="32">
        <f t="shared" si="113"/>
        <v>0</v>
      </c>
      <c r="T354" s="12"/>
      <c r="U354" s="12"/>
      <c r="V354" s="12"/>
      <c r="W354" s="12">
        <f t="shared" si="114"/>
        <v>0</v>
      </c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46299</v>
      </c>
      <c r="C355" s="83">
        <f t="shared" si="115"/>
        <v>9909</v>
      </c>
      <c r="D355" s="32">
        <f>650*17+1175+622*3+650</f>
        <v>14741</v>
      </c>
      <c r="E355" s="32"/>
      <c r="F355" s="32"/>
      <c r="G355" s="32">
        <f t="shared" si="111"/>
        <v>14741</v>
      </c>
      <c r="H355" s="12"/>
      <c r="I355" s="12">
        <v>45</v>
      </c>
      <c r="J355" s="12"/>
      <c r="K355" s="12">
        <f t="shared" si="112"/>
        <v>14786</v>
      </c>
      <c r="M355" s="10">
        <v>14</v>
      </c>
      <c r="N355" s="30"/>
      <c r="O355" s="31"/>
      <c r="P355" s="32"/>
      <c r="Q355" s="32"/>
      <c r="R355" s="32"/>
      <c r="S355" s="32">
        <f t="shared" si="113"/>
        <v>0</v>
      </c>
      <c r="T355" s="12"/>
      <c r="U355" s="12"/>
      <c r="V355" s="12"/>
      <c r="W355" s="12">
        <f t="shared" si="114"/>
        <v>0</v>
      </c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46299</v>
      </c>
      <c r="C356" s="83">
        <f t="shared" si="115"/>
        <v>9910</v>
      </c>
      <c r="D356" s="32">
        <f>650*100</f>
        <v>65000</v>
      </c>
      <c r="E356" s="32"/>
      <c r="F356" s="32"/>
      <c r="G356" s="32">
        <f t="shared" si="111"/>
        <v>65000</v>
      </c>
      <c r="H356" s="12"/>
      <c r="I356" s="12"/>
      <c r="J356" s="12"/>
      <c r="K356" s="12">
        <f t="shared" si="112"/>
        <v>65000</v>
      </c>
      <c r="M356" s="10">
        <v>15</v>
      </c>
      <c r="N356" s="30"/>
      <c r="O356" s="31"/>
      <c r="P356" s="32"/>
      <c r="Q356" s="32"/>
      <c r="R356" s="32"/>
      <c r="S356" s="32">
        <f t="shared" si="113"/>
        <v>0</v>
      </c>
      <c r="T356" s="12"/>
      <c r="U356" s="12"/>
      <c r="V356" s="12"/>
      <c r="W356" s="12">
        <f t="shared" si="114"/>
        <v>0</v>
      </c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46299</v>
      </c>
      <c r="C357" s="83">
        <f t="shared" si="115"/>
        <v>9911</v>
      </c>
      <c r="D357" s="32">
        <f>650*15+9.5*15</f>
        <v>9892.5</v>
      </c>
      <c r="E357" s="32"/>
      <c r="F357" s="32"/>
      <c r="G357" s="32">
        <f t="shared" si="111"/>
        <v>9892.5</v>
      </c>
      <c r="H357" s="12"/>
      <c r="I357" s="12"/>
      <c r="J357" s="12"/>
      <c r="K357" s="12">
        <f t="shared" si="112"/>
        <v>9892.5</v>
      </c>
      <c r="M357" s="10">
        <v>16</v>
      </c>
      <c r="N357" s="30"/>
      <c r="O357" s="11"/>
      <c r="P357" s="32"/>
      <c r="Q357" s="32"/>
      <c r="R357" s="32"/>
      <c r="S357" s="32">
        <f t="shared" si="113"/>
        <v>0</v>
      </c>
      <c r="T357" s="12"/>
      <c r="U357" s="12"/>
      <c r="V357" s="12"/>
      <c r="W357" s="12">
        <f t="shared" si="114"/>
        <v>0</v>
      </c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46299</v>
      </c>
      <c r="C358" s="83">
        <f t="shared" si="115"/>
        <v>9912</v>
      </c>
      <c r="D358" s="32">
        <f>650*11+9.5*11</f>
        <v>7254.5</v>
      </c>
      <c r="E358" s="32"/>
      <c r="F358" s="32"/>
      <c r="G358" s="32">
        <f t="shared" si="111"/>
        <v>7254.5</v>
      </c>
      <c r="H358" s="12"/>
      <c r="I358" s="12"/>
      <c r="J358" s="12"/>
      <c r="K358" s="12">
        <f t="shared" si="112"/>
        <v>7254.5</v>
      </c>
      <c r="M358" s="10">
        <v>17</v>
      </c>
      <c r="N358" s="30"/>
      <c r="O358" s="31"/>
      <c r="P358" s="35"/>
      <c r="Q358" s="32"/>
      <c r="R358" s="32"/>
      <c r="S358" s="32">
        <f t="shared" si="113"/>
        <v>0</v>
      </c>
      <c r="T358" s="12"/>
      <c r="U358" s="12"/>
      <c r="V358" s="12"/>
      <c r="W358" s="12">
        <f t="shared" si="114"/>
        <v>0</v>
      </c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>
        <v>46299</v>
      </c>
      <c r="C359" s="83">
        <f t="shared" si="115"/>
        <v>9913</v>
      </c>
      <c r="D359" s="32">
        <f>650*12+622*5+1050+1102*3+650</f>
        <v>15916</v>
      </c>
      <c r="E359" s="32"/>
      <c r="F359" s="32"/>
      <c r="G359" s="32">
        <f t="shared" si="111"/>
        <v>15916</v>
      </c>
      <c r="H359" s="12"/>
      <c r="I359" s="12">
        <v>144</v>
      </c>
      <c r="J359" s="12"/>
      <c r="K359" s="12">
        <f t="shared" si="112"/>
        <v>16060</v>
      </c>
      <c r="M359" s="10">
        <v>18</v>
      </c>
      <c r="N359" s="30"/>
      <c r="O359" s="31"/>
      <c r="P359" s="32"/>
      <c r="Q359" s="32"/>
      <c r="R359" s="32"/>
      <c r="S359" s="32">
        <f t="shared" si="113"/>
        <v>0</v>
      </c>
      <c r="T359" s="12"/>
      <c r="U359" s="12"/>
      <c r="V359" s="12"/>
      <c r="W359" s="12">
        <f t="shared" si="114"/>
        <v>0</v>
      </c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>
        <v>46299</v>
      </c>
      <c r="C360" s="83">
        <f t="shared" si="115"/>
        <v>9914</v>
      </c>
      <c r="D360" s="32">
        <f>650*40</f>
        <v>26000</v>
      </c>
      <c r="E360" s="32"/>
      <c r="F360" s="32"/>
      <c r="G360" s="32">
        <f t="shared" si="111"/>
        <v>26000</v>
      </c>
      <c r="H360" s="12"/>
      <c r="I360" s="12">
        <v>63</v>
      </c>
      <c r="J360" s="12"/>
      <c r="K360" s="12">
        <f t="shared" si="112"/>
        <v>26063</v>
      </c>
      <c r="M360" s="10">
        <v>19</v>
      </c>
      <c r="N360" s="30"/>
      <c r="O360" s="31"/>
      <c r="P360" s="32"/>
      <c r="Q360" s="32"/>
      <c r="R360" s="32"/>
      <c r="S360" s="32">
        <f t="shared" si="113"/>
        <v>0</v>
      </c>
      <c r="T360" s="12"/>
      <c r="U360" s="12"/>
      <c r="V360" s="12"/>
      <c r="W360" s="12">
        <f t="shared" si="114"/>
        <v>0</v>
      </c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>
        <v>46299</v>
      </c>
      <c r="C361" s="83">
        <f t="shared" si="115"/>
        <v>9915</v>
      </c>
      <c r="D361" s="32">
        <f>650*19+622*2</f>
        <v>13594</v>
      </c>
      <c r="E361" s="32"/>
      <c r="F361" s="32"/>
      <c r="G361" s="32">
        <f t="shared" si="111"/>
        <v>13594</v>
      </c>
      <c r="H361" s="12"/>
      <c r="I361" s="12"/>
      <c r="J361" s="12"/>
      <c r="K361" s="12">
        <f t="shared" si="112"/>
        <v>13594</v>
      </c>
      <c r="M361" s="10">
        <v>20</v>
      </c>
      <c r="N361" s="30"/>
      <c r="O361" s="31"/>
      <c r="P361" s="32"/>
      <c r="Q361" s="32"/>
      <c r="R361" s="32"/>
      <c r="S361" s="32">
        <f t="shared" si="113"/>
        <v>0</v>
      </c>
      <c r="T361" s="12"/>
      <c r="U361" s="12"/>
      <c r="V361" s="12"/>
      <c r="W361" s="12">
        <f t="shared" si="114"/>
        <v>0</v>
      </c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>
        <v>46299</v>
      </c>
      <c r="C362" s="83">
        <f t="shared" si="115"/>
        <v>9916</v>
      </c>
      <c r="D362" s="32">
        <f>650*14</f>
        <v>9100</v>
      </c>
      <c r="E362" s="32"/>
      <c r="F362" s="32"/>
      <c r="G362" s="32">
        <f t="shared" si="111"/>
        <v>9100</v>
      </c>
      <c r="H362" s="10"/>
      <c r="I362" s="10"/>
      <c r="J362" s="10"/>
      <c r="K362" s="12">
        <f t="shared" si="112"/>
        <v>9100</v>
      </c>
      <c r="M362" s="10">
        <v>21</v>
      </c>
      <c r="N362" s="30"/>
      <c r="O362" s="11"/>
      <c r="P362" s="46"/>
      <c r="Q362" s="31"/>
      <c r="R362" s="31"/>
      <c r="S362" s="32">
        <f t="shared" si="113"/>
        <v>0</v>
      </c>
      <c r="T362" s="10"/>
      <c r="U362" s="10"/>
      <c r="V362" s="10"/>
      <c r="W362" s="12">
        <f t="shared" si="114"/>
        <v>0</v>
      </c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>
        <v>46299</v>
      </c>
      <c r="C363" s="83">
        <f t="shared" si="115"/>
        <v>9917</v>
      </c>
      <c r="D363" s="32">
        <f>912*4+1050</f>
        <v>4698</v>
      </c>
      <c r="E363" s="32"/>
      <c r="F363" s="32"/>
      <c r="G363" s="32">
        <f t="shared" si="111"/>
        <v>4698</v>
      </c>
      <c r="H363" s="10"/>
      <c r="I363" s="10"/>
      <c r="J363" s="10"/>
      <c r="K363" s="12">
        <f t="shared" si="112"/>
        <v>4698</v>
      </c>
      <c r="M363" s="10">
        <v>22</v>
      </c>
      <c r="N363" s="30"/>
      <c r="O363" s="31"/>
      <c r="P363" s="45"/>
      <c r="Q363" s="31"/>
      <c r="R363" s="31"/>
      <c r="S363" s="32">
        <f t="shared" si="113"/>
        <v>0</v>
      </c>
      <c r="T363" s="10"/>
      <c r="U363" s="10"/>
      <c r="V363" s="10"/>
      <c r="W363" s="12">
        <f t="shared" si="114"/>
        <v>0</v>
      </c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11" t="s">
        <v>27</v>
      </c>
      <c r="D364" s="32"/>
      <c r="E364" s="32"/>
      <c r="F364" s="32"/>
      <c r="G364" s="32">
        <f t="shared" si="111"/>
        <v>0</v>
      </c>
      <c r="H364" s="10"/>
      <c r="I364" s="10"/>
      <c r="J364" s="12"/>
      <c r="K364" s="12">
        <f t="shared" si="112"/>
        <v>0</v>
      </c>
      <c r="M364" s="10">
        <v>23</v>
      </c>
      <c r="N364" s="30"/>
      <c r="O364" s="31"/>
      <c r="P364" s="47"/>
      <c r="S364" s="32">
        <f t="shared" si="113"/>
        <v>0</v>
      </c>
      <c r="T364" s="10"/>
      <c r="U364" s="10"/>
      <c r="V364" s="10"/>
      <c r="W364" s="12">
        <f t="shared" si="114"/>
        <v>0</v>
      </c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11"/>
        <v>0</v>
      </c>
      <c r="H365" s="10"/>
      <c r="I365" s="10"/>
      <c r="J365" s="10"/>
      <c r="K365" s="12">
        <f t="shared" si="112"/>
        <v>0</v>
      </c>
      <c r="M365" s="10">
        <v>24</v>
      </c>
      <c r="N365" s="30"/>
      <c r="O365" s="31"/>
      <c r="P365" s="47"/>
      <c r="Q365" s="31"/>
      <c r="R365" s="31"/>
      <c r="S365" s="32">
        <f t="shared" si="113"/>
        <v>0</v>
      </c>
      <c r="T365" s="10"/>
      <c r="U365" s="10"/>
      <c r="V365" s="10"/>
      <c r="W365" s="12">
        <f t="shared" si="114"/>
        <v>0</v>
      </c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11"/>
        <v>0</v>
      </c>
      <c r="H366" s="10"/>
      <c r="I366" s="10"/>
      <c r="J366" s="10"/>
      <c r="K366" s="12">
        <f t="shared" si="112"/>
        <v>0</v>
      </c>
      <c r="M366" s="10">
        <v>25</v>
      </c>
      <c r="N366" s="30"/>
      <c r="O366" s="31"/>
      <c r="P366" s="47"/>
      <c r="Q366" s="31"/>
      <c r="R366" s="31"/>
      <c r="S366" s="32">
        <f t="shared" si="113"/>
        <v>0</v>
      </c>
      <c r="T366" s="10"/>
      <c r="U366" s="10"/>
      <c r="V366" s="10"/>
      <c r="W366" s="12">
        <f t="shared" si="114"/>
        <v>0</v>
      </c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11"/>
        <v>0</v>
      </c>
      <c r="H367" s="10"/>
      <c r="I367" s="10"/>
      <c r="J367" s="10"/>
      <c r="K367" s="12">
        <f t="shared" si="112"/>
        <v>0</v>
      </c>
      <c r="M367" s="10">
        <v>26</v>
      </c>
      <c r="N367" s="30"/>
      <c r="O367" s="31"/>
      <c r="P367" s="47"/>
      <c r="Q367" s="31"/>
      <c r="R367" s="31"/>
      <c r="S367" s="32">
        <f t="shared" si="113"/>
        <v>0</v>
      </c>
      <c r="T367" s="10"/>
      <c r="U367" s="10"/>
      <c r="V367" s="10"/>
      <c r="W367" s="12">
        <f t="shared" si="114"/>
        <v>0</v>
      </c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11"/>
        <v>0</v>
      </c>
      <c r="H368" s="10"/>
      <c r="I368" s="10"/>
      <c r="J368" s="10"/>
      <c r="K368" s="12">
        <f t="shared" si="112"/>
        <v>0</v>
      </c>
      <c r="M368" s="10">
        <v>27</v>
      </c>
      <c r="N368" s="30"/>
      <c r="O368" s="31"/>
      <c r="P368" s="47"/>
      <c r="Q368" s="31"/>
      <c r="R368" s="31"/>
      <c r="S368" s="32">
        <f t="shared" si="113"/>
        <v>0</v>
      </c>
      <c r="T368" s="10"/>
      <c r="U368" s="10"/>
      <c r="V368" s="10"/>
      <c r="W368" s="12">
        <f t="shared" si="114"/>
        <v>0</v>
      </c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11"/>
        <v>0</v>
      </c>
      <c r="H369" s="10"/>
      <c r="I369" s="10"/>
      <c r="J369" s="10"/>
      <c r="K369" s="12">
        <f t="shared" si="112"/>
        <v>0</v>
      </c>
      <c r="M369" s="10">
        <v>28</v>
      </c>
      <c r="N369" s="30"/>
      <c r="O369" s="31"/>
      <c r="P369" s="47"/>
      <c r="Q369" s="31"/>
      <c r="R369" s="31"/>
      <c r="S369" s="32">
        <f t="shared" si="113"/>
        <v>0</v>
      </c>
      <c r="T369" s="10"/>
      <c r="U369" s="10"/>
      <c r="V369" s="10"/>
      <c r="W369" s="12">
        <f t="shared" si="114"/>
        <v>0</v>
      </c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111"/>
        <v>0</v>
      </c>
      <c r="H370" s="10"/>
      <c r="I370" s="10"/>
      <c r="J370" s="10"/>
      <c r="K370" s="12">
        <f t="shared" si="112"/>
        <v>0</v>
      </c>
      <c r="M370" s="10">
        <v>29</v>
      </c>
      <c r="N370" s="30"/>
      <c r="O370" s="31"/>
      <c r="P370" s="47"/>
      <c r="Q370" s="31"/>
      <c r="R370" s="31"/>
      <c r="S370" s="32">
        <f t="shared" si="113"/>
        <v>0</v>
      </c>
      <c r="T370" s="10"/>
      <c r="U370" s="10"/>
      <c r="V370" s="10"/>
      <c r="W370" s="12">
        <f t="shared" si="114"/>
        <v>0</v>
      </c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11"/>
        <v>0</v>
      </c>
      <c r="H371" s="10"/>
      <c r="I371" s="10"/>
      <c r="J371" s="10"/>
      <c r="K371" s="12">
        <f t="shared" si="112"/>
        <v>0</v>
      </c>
      <c r="M371" s="10">
        <v>30</v>
      </c>
      <c r="N371" s="30"/>
      <c r="O371" s="31"/>
      <c r="P371" s="47"/>
      <c r="Q371" s="31"/>
      <c r="R371" s="31"/>
      <c r="S371" s="32">
        <f t="shared" si="113"/>
        <v>0</v>
      </c>
      <c r="T371" s="10"/>
      <c r="U371" s="10"/>
      <c r="V371" s="10"/>
      <c r="W371" s="12">
        <f t="shared" si="114"/>
        <v>0</v>
      </c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11"/>
      <c r="D372" s="32"/>
      <c r="E372" s="32"/>
      <c r="F372" s="32"/>
      <c r="G372" s="32">
        <f t="shared" si="111"/>
        <v>0</v>
      </c>
      <c r="H372" s="10"/>
      <c r="I372" s="10"/>
      <c r="J372" s="10"/>
      <c r="K372" s="12">
        <f t="shared" si="112"/>
        <v>0</v>
      </c>
      <c r="M372" s="10">
        <v>31</v>
      </c>
      <c r="N372" s="30"/>
      <c r="O372" s="31"/>
      <c r="P372" s="47"/>
      <c r="Q372" s="31"/>
      <c r="R372" s="31"/>
      <c r="S372" s="32">
        <f t="shared" si="113"/>
        <v>0</v>
      </c>
      <c r="T372" s="10"/>
      <c r="U372" s="10"/>
      <c r="V372" s="10"/>
      <c r="W372" s="12">
        <f t="shared" si="114"/>
        <v>0</v>
      </c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11"/>
        <v>0</v>
      </c>
      <c r="H373" s="10"/>
      <c r="I373" s="10"/>
      <c r="J373" s="10"/>
      <c r="K373" s="12">
        <f t="shared" si="112"/>
        <v>0</v>
      </c>
      <c r="M373" s="10">
        <v>32</v>
      </c>
      <c r="N373" s="30"/>
      <c r="O373" s="31"/>
      <c r="P373" s="47"/>
      <c r="Q373" s="31"/>
      <c r="R373" s="31"/>
      <c r="S373" s="32">
        <f t="shared" si="113"/>
        <v>0</v>
      </c>
      <c r="T373" s="10"/>
      <c r="U373" s="10"/>
      <c r="V373" s="10"/>
      <c r="W373" s="12">
        <f t="shared" si="114"/>
        <v>0</v>
      </c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11"/>
        <v>0</v>
      </c>
      <c r="H374" s="10"/>
      <c r="I374" s="10"/>
      <c r="J374" s="10"/>
      <c r="K374" s="12">
        <f t="shared" si="112"/>
        <v>0</v>
      </c>
      <c r="M374" s="10">
        <v>33</v>
      </c>
      <c r="N374" s="30"/>
      <c r="O374" s="31"/>
      <c r="P374" s="47"/>
      <c r="Q374" s="31"/>
      <c r="R374" s="31"/>
      <c r="S374" s="32">
        <f t="shared" si="113"/>
        <v>0</v>
      </c>
      <c r="T374" s="10"/>
      <c r="U374" s="10"/>
      <c r="V374" s="10"/>
      <c r="W374" s="12">
        <f t="shared" si="114"/>
        <v>0</v>
      </c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11"/>
        <v>0</v>
      </c>
      <c r="H375" s="10"/>
      <c r="I375" s="10"/>
      <c r="J375" s="10"/>
      <c r="K375" s="12">
        <f t="shared" si="112"/>
        <v>0</v>
      </c>
      <c r="M375" s="10">
        <v>34</v>
      </c>
      <c r="N375" s="30"/>
      <c r="O375" s="31"/>
      <c r="P375" s="47"/>
      <c r="Q375" s="31"/>
      <c r="R375" s="31"/>
      <c r="S375" s="32">
        <f t="shared" si="113"/>
        <v>0</v>
      </c>
      <c r="T375" s="10"/>
      <c r="U375" s="10"/>
      <c r="V375" s="10"/>
      <c r="W375" s="12">
        <f t="shared" si="114"/>
        <v>0</v>
      </c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3"/>
        <v>0</v>
      </c>
      <c r="T376" s="10"/>
      <c r="U376" s="10"/>
      <c r="V376" s="10"/>
      <c r="W376" s="12">
        <f t="shared" si="114"/>
        <v>0</v>
      </c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3"/>
        <v>0</v>
      </c>
      <c r="T377" s="10"/>
      <c r="U377" s="10"/>
      <c r="V377" s="10"/>
      <c r="W377" s="12">
        <f t="shared" si="114"/>
        <v>0</v>
      </c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3"/>
        <v>0</v>
      </c>
      <c r="T378" s="10"/>
      <c r="U378" s="10"/>
      <c r="V378" s="10"/>
      <c r="W378" s="12">
        <f t="shared" si="114"/>
        <v>0</v>
      </c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3"/>
        <v>0</v>
      </c>
      <c r="T379" s="10"/>
      <c r="U379" s="10"/>
      <c r="V379" s="10"/>
      <c r="W379" s="12">
        <f t="shared" si="114"/>
        <v>0</v>
      </c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3"/>
        <v>0</v>
      </c>
      <c r="T380" s="10"/>
      <c r="U380" s="10"/>
      <c r="V380" s="10"/>
      <c r="W380" s="12">
        <f t="shared" si="114"/>
        <v>0</v>
      </c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4"/>
        <v>0</v>
      </c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14"/>
        <v>0</v>
      </c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4"/>
        <v>0</v>
      </c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250368.29</v>
      </c>
      <c r="E385" s="38">
        <f t="shared" ref="E385:F385" si="120">SUM(E342:E382)</f>
        <v>0</v>
      </c>
      <c r="F385" s="38">
        <f t="shared" si="120"/>
        <v>0</v>
      </c>
      <c r="G385" s="38">
        <f>SUM(G342:G384)</f>
        <v>250368.29</v>
      </c>
      <c r="H385" s="4"/>
      <c r="I385" s="39">
        <f>SUM(I342:I384)</f>
        <v>501</v>
      </c>
      <c r="J385" s="39">
        <f>SUM(J342:J384)</f>
        <v>0</v>
      </c>
      <c r="K385" s="40">
        <f>SUM(K342:K384)</f>
        <v>250869.29</v>
      </c>
      <c r="N385" s="57"/>
      <c r="O385" s="57"/>
      <c r="P385" s="38">
        <f>SUM(P342:P384)</f>
        <v>286636.5</v>
      </c>
      <c r="Q385" s="38">
        <f>SUM(Q342:Q366)</f>
        <v>-1200</v>
      </c>
      <c r="R385" s="38">
        <f>SUM(R342:R366)</f>
        <v>0</v>
      </c>
      <c r="S385" s="38">
        <f>SUM(S342:S384)</f>
        <v>285436.5</v>
      </c>
      <c r="T385" s="4"/>
      <c r="U385" s="41">
        <f>SUM(U342:U384)</f>
        <v>19731</v>
      </c>
      <c r="V385" s="41">
        <f>SUM(V342:V366)</f>
        <v>-5490</v>
      </c>
      <c r="W385" s="42">
        <f>SUM(W342:W384)</f>
        <v>299677.5</v>
      </c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2" t="s">
        <v>17</v>
      </c>
      <c r="E395" s="112"/>
      <c r="F395" s="98"/>
      <c r="G395" s="27"/>
      <c r="I395" s="110" t="s">
        <v>18</v>
      </c>
      <c r="J395" s="111"/>
      <c r="K395" s="108" t="s">
        <v>19</v>
      </c>
      <c r="N395" s="25"/>
      <c r="O395" s="26"/>
      <c r="P395" s="112" t="s">
        <v>17</v>
      </c>
      <c r="Q395" s="112"/>
      <c r="R395" s="98"/>
      <c r="S395" s="27"/>
      <c r="U395" s="110" t="s">
        <v>18</v>
      </c>
      <c r="V395" s="111"/>
      <c r="W395" s="108" t="s">
        <v>19</v>
      </c>
      <c r="Z395" s="25"/>
      <c r="AA395" s="26"/>
      <c r="AB395" s="112" t="s">
        <v>17</v>
      </c>
      <c r="AC395" s="112"/>
      <c r="AD395" s="98"/>
      <c r="AE395" s="27"/>
      <c r="AG395" s="110" t="s">
        <v>18</v>
      </c>
      <c r="AH395" s="111"/>
      <c r="AI395" s="108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9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9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9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 t="s">
        <v>59</v>
      </c>
      <c r="C397" s="83">
        <v>9918</v>
      </c>
      <c r="D397" s="32">
        <f>650*5</f>
        <v>3250</v>
      </c>
      <c r="E397" s="32"/>
      <c r="F397" s="32"/>
      <c r="G397" s="32">
        <f t="shared" ref="G397:G430" si="121">SUM(D397:E397)</f>
        <v>3250</v>
      </c>
      <c r="H397" s="12"/>
      <c r="I397" s="12"/>
      <c r="J397" s="12"/>
      <c r="K397" s="12">
        <f t="shared" ref="K397:K430" si="122">SUM(G397:J397)</f>
        <v>3250</v>
      </c>
      <c r="M397" s="10">
        <v>1</v>
      </c>
      <c r="N397" s="30" t="s">
        <v>59</v>
      </c>
      <c r="O397" s="31">
        <v>10091</v>
      </c>
      <c r="P397" s="32">
        <f>650*10+622*2+9.5*10</f>
        <v>7839</v>
      </c>
      <c r="Q397" s="32"/>
      <c r="R397" s="32"/>
      <c r="S397" s="32">
        <f>SUM(P397:Q397)</f>
        <v>7839</v>
      </c>
      <c r="T397" s="12"/>
      <c r="U397" s="12"/>
      <c r="V397" s="12"/>
      <c r="W397" s="12">
        <f>SUM(S397:V397)</f>
        <v>7839</v>
      </c>
      <c r="Y397" s="10">
        <v>1</v>
      </c>
      <c r="Z397" s="30" t="s">
        <v>59</v>
      </c>
      <c r="AA397" s="31">
        <v>10101</v>
      </c>
      <c r="AB397" s="32">
        <f>650*25+622*5</f>
        <v>19360</v>
      </c>
      <c r="AC397" s="32">
        <f>-30*6</f>
        <v>-180</v>
      </c>
      <c r="AD397" s="32"/>
      <c r="AE397" s="32">
        <f>SUM(AB397:AC397)</f>
        <v>19180</v>
      </c>
      <c r="AF397" s="12"/>
      <c r="AG397" s="12"/>
      <c r="AH397" s="12"/>
      <c r="AI397" s="12">
        <f>SUM(AE397:AH397)</f>
        <v>19180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 t="s">
        <v>59</v>
      </c>
      <c r="C398" s="83">
        <f>C397+1</f>
        <v>9919</v>
      </c>
      <c r="D398" s="32">
        <f>650*6+9.5*6</f>
        <v>3957</v>
      </c>
      <c r="E398" s="32"/>
      <c r="F398" s="32"/>
      <c r="G398" s="32">
        <f t="shared" si="121"/>
        <v>3957</v>
      </c>
      <c r="H398" s="12"/>
      <c r="I398" s="12"/>
      <c r="J398" s="12"/>
      <c r="K398" s="12">
        <f t="shared" si="122"/>
        <v>3957</v>
      </c>
      <c r="M398" s="10">
        <v>2</v>
      </c>
      <c r="N398" s="30" t="s">
        <v>59</v>
      </c>
      <c r="O398" s="31">
        <f>O397+1</f>
        <v>10092</v>
      </c>
      <c r="P398" s="32">
        <f>650*324+229*15</f>
        <v>214035</v>
      </c>
      <c r="Q398" s="32">
        <f>-324*6</f>
        <v>-1944</v>
      </c>
      <c r="R398" s="32"/>
      <c r="S398" s="32">
        <f t="shared" ref="S398:S435" si="123">SUM(P398:Q398)</f>
        <v>212091</v>
      </c>
      <c r="T398" s="12"/>
      <c r="U398" s="12">
        <v>936</v>
      </c>
      <c r="V398" s="12">
        <v>-504</v>
      </c>
      <c r="W398" s="12">
        <f t="shared" ref="W398:W438" si="124">SUM(S398:V398)</f>
        <v>212523</v>
      </c>
      <c r="Y398" s="10">
        <v>2</v>
      </c>
      <c r="Z398" s="30" t="s">
        <v>59</v>
      </c>
      <c r="AA398" s="31">
        <f>AA397+1</f>
        <v>10102</v>
      </c>
      <c r="AB398" s="32">
        <f>650*132+670*5+622*44+229*3</f>
        <v>117205</v>
      </c>
      <c r="AC398" s="32">
        <f>-181*6</f>
        <v>-1086</v>
      </c>
      <c r="AD398" s="32"/>
      <c r="AE398" s="32">
        <f t="shared" ref="AE398:AE400" si="125">SUM(AB398:AC398)</f>
        <v>116119</v>
      </c>
      <c r="AF398" s="12"/>
      <c r="AG398" s="12">
        <v>234</v>
      </c>
      <c r="AH398" s="12">
        <v>-252</v>
      </c>
      <c r="AI398" s="12">
        <f t="shared" ref="AI398:AI429" si="126">SUM(AE398:AH398)</f>
        <v>116101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 t="s">
        <v>59</v>
      </c>
      <c r="C399" s="83">
        <f t="shared" ref="C399:C405" si="127">C398+1</f>
        <v>9920</v>
      </c>
      <c r="D399" s="33">
        <f>650*15</f>
        <v>9750</v>
      </c>
      <c r="E399" s="32"/>
      <c r="F399" s="33"/>
      <c r="G399" s="33">
        <f t="shared" si="121"/>
        <v>9750</v>
      </c>
      <c r="H399" s="34"/>
      <c r="I399" s="34"/>
      <c r="J399" s="34"/>
      <c r="K399" s="34">
        <f t="shared" si="122"/>
        <v>9750</v>
      </c>
      <c r="M399" s="10">
        <v>3</v>
      </c>
      <c r="N399" s="30" t="s">
        <v>59</v>
      </c>
      <c r="O399" s="31">
        <f t="shared" ref="O399:O401" si="128">O398+1</f>
        <v>10093</v>
      </c>
      <c r="P399" s="32">
        <f>650*14</f>
        <v>9100</v>
      </c>
      <c r="Q399" s="32"/>
      <c r="R399" s="32"/>
      <c r="S399" s="32">
        <f t="shared" si="123"/>
        <v>9100</v>
      </c>
      <c r="T399" s="12"/>
      <c r="U399" s="12">
        <v>27</v>
      </c>
      <c r="V399" s="12"/>
      <c r="W399" s="12">
        <f t="shared" si="124"/>
        <v>9127</v>
      </c>
      <c r="Y399" s="10">
        <v>3</v>
      </c>
      <c r="Z399" s="30" t="s">
        <v>59</v>
      </c>
      <c r="AA399" s="31">
        <f t="shared" ref="AA399:AA402" si="129">AA398+1</f>
        <v>10103</v>
      </c>
      <c r="AB399" s="33">
        <f>650*70+622*8+872</f>
        <v>51348</v>
      </c>
      <c r="AC399" s="33"/>
      <c r="AD399" s="32"/>
      <c r="AE399" s="32">
        <f t="shared" si="125"/>
        <v>51348</v>
      </c>
      <c r="AF399" s="12"/>
      <c r="AG399" s="12"/>
      <c r="AH399" s="12"/>
      <c r="AI399" s="12">
        <f t="shared" si="126"/>
        <v>51348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 t="s">
        <v>59</v>
      </c>
      <c r="C400" s="83">
        <f t="shared" si="127"/>
        <v>9921</v>
      </c>
      <c r="D400" s="32">
        <f>650*11</f>
        <v>7150</v>
      </c>
      <c r="E400" s="32"/>
      <c r="F400" s="32"/>
      <c r="G400" s="32">
        <f t="shared" si="121"/>
        <v>7150</v>
      </c>
      <c r="H400" s="12"/>
      <c r="I400" s="12"/>
      <c r="J400" s="12"/>
      <c r="K400" s="12">
        <f t="shared" si="122"/>
        <v>7150</v>
      </c>
      <c r="M400" s="10">
        <v>4</v>
      </c>
      <c r="N400" s="30" t="s">
        <v>59</v>
      </c>
      <c r="O400" s="31">
        <f t="shared" si="128"/>
        <v>10094</v>
      </c>
      <c r="P400" s="32">
        <f>650*19+622*10+872</f>
        <v>19442</v>
      </c>
      <c r="Q400" s="32"/>
      <c r="R400" s="32"/>
      <c r="S400" s="32">
        <f t="shared" si="123"/>
        <v>19442</v>
      </c>
      <c r="T400" s="12"/>
      <c r="U400" s="12">
        <v>36</v>
      </c>
      <c r="V400" s="12"/>
      <c r="W400" s="12">
        <f t="shared" si="124"/>
        <v>19478</v>
      </c>
      <c r="Y400" s="10">
        <v>4</v>
      </c>
      <c r="Z400" s="30" t="s">
        <v>59</v>
      </c>
      <c r="AA400" s="31">
        <f t="shared" si="129"/>
        <v>10104</v>
      </c>
      <c r="AB400" s="32">
        <f>650*100+670*9+229*4</f>
        <v>71946</v>
      </c>
      <c r="AC400" s="32">
        <f>-109*6</f>
        <v>-654</v>
      </c>
      <c r="AD400" s="32"/>
      <c r="AE400" s="32">
        <f t="shared" si="125"/>
        <v>71292</v>
      </c>
      <c r="AF400" s="12"/>
      <c r="AH400" s="12"/>
      <c r="AI400" s="12">
        <f t="shared" si="126"/>
        <v>71292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 t="s">
        <v>59</v>
      </c>
      <c r="C401" s="83">
        <f t="shared" si="127"/>
        <v>9922</v>
      </c>
      <c r="D401" s="32">
        <f>650*23</f>
        <v>14950</v>
      </c>
      <c r="E401" s="32"/>
      <c r="F401" s="32"/>
      <c r="G401" s="32">
        <f t="shared" si="121"/>
        <v>14950</v>
      </c>
      <c r="H401" s="12"/>
      <c r="I401" s="12"/>
      <c r="J401" s="12"/>
      <c r="K401" s="12">
        <f t="shared" si="122"/>
        <v>14950</v>
      </c>
      <c r="M401" s="10">
        <v>5</v>
      </c>
      <c r="N401" s="30" t="s">
        <v>59</v>
      </c>
      <c r="O401" s="31">
        <f t="shared" si="128"/>
        <v>10095</v>
      </c>
      <c r="P401" s="32">
        <f>650*8+622+872*3+9.5*2</f>
        <v>8457</v>
      </c>
      <c r="Q401" s="32"/>
      <c r="R401" s="32"/>
      <c r="S401" s="32">
        <f t="shared" si="123"/>
        <v>8457</v>
      </c>
      <c r="T401" s="12"/>
      <c r="U401" s="12"/>
      <c r="V401" s="12">
        <v>-444</v>
      </c>
      <c r="W401" s="12">
        <f t="shared" si="124"/>
        <v>8013</v>
      </c>
      <c r="Y401" s="10">
        <v>5</v>
      </c>
      <c r="Z401" s="30" t="s">
        <v>59</v>
      </c>
      <c r="AA401" s="31">
        <f t="shared" si="129"/>
        <v>10105</v>
      </c>
      <c r="AB401" s="32">
        <f>650*10</f>
        <v>6500</v>
      </c>
      <c r="AC401" s="32"/>
      <c r="AD401" s="32"/>
      <c r="AE401" s="32">
        <f t="shared" ref="AE401:AE402" si="130">SUM(AB401:AC401)</f>
        <v>6500</v>
      </c>
      <c r="AF401" s="12"/>
      <c r="AG401" s="12"/>
      <c r="AH401" s="12"/>
      <c r="AI401" s="12">
        <f t="shared" si="126"/>
        <v>6500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 t="s">
        <v>59</v>
      </c>
      <c r="C402" s="83">
        <f t="shared" si="127"/>
        <v>9923</v>
      </c>
      <c r="D402" s="32">
        <f>650*5+9.5*5</f>
        <v>3297.5</v>
      </c>
      <c r="E402" s="32"/>
      <c r="F402" s="32"/>
      <c r="G402" s="32">
        <f t="shared" si="121"/>
        <v>3297.5</v>
      </c>
      <c r="H402" s="12"/>
      <c r="I402" s="12"/>
      <c r="J402" s="12"/>
      <c r="K402" s="12">
        <f t="shared" si="122"/>
        <v>3297.5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3"/>
        <v>0</v>
      </c>
      <c r="T402" s="12"/>
      <c r="U402" s="12"/>
      <c r="V402" s="10"/>
      <c r="W402" s="12">
        <f t="shared" si="124"/>
        <v>0</v>
      </c>
      <c r="Y402" s="10">
        <v>6</v>
      </c>
      <c r="Z402" s="30" t="s">
        <v>59</v>
      </c>
      <c r="AA402" s="31">
        <f t="shared" si="129"/>
        <v>10106</v>
      </c>
      <c r="AB402" s="32">
        <f>650*21+229</f>
        <v>13879</v>
      </c>
      <c r="AC402" s="32"/>
      <c r="AD402" s="32"/>
      <c r="AE402" s="32">
        <f t="shared" si="130"/>
        <v>13879</v>
      </c>
      <c r="AF402" s="12"/>
      <c r="AG402" s="12"/>
      <c r="AH402" s="10"/>
      <c r="AI402" s="12">
        <f t="shared" si="126"/>
        <v>13879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 t="s">
        <v>59</v>
      </c>
      <c r="C403" s="83">
        <f t="shared" si="127"/>
        <v>9924</v>
      </c>
      <c r="D403" s="32">
        <f>650*30</f>
        <v>19500</v>
      </c>
      <c r="E403" s="32"/>
      <c r="F403" s="32"/>
      <c r="G403" s="32">
        <f t="shared" si="121"/>
        <v>19500</v>
      </c>
      <c r="H403" s="12"/>
      <c r="I403" s="12"/>
      <c r="J403" s="12"/>
      <c r="K403" s="12">
        <f t="shared" si="122"/>
        <v>19500</v>
      </c>
      <c r="M403" s="10">
        <v>7</v>
      </c>
      <c r="N403" s="30"/>
      <c r="O403" s="31"/>
      <c r="P403" s="32"/>
      <c r="Q403" s="32"/>
      <c r="R403" s="32"/>
      <c r="S403" s="32">
        <f t="shared" si="123"/>
        <v>0</v>
      </c>
      <c r="T403" s="12"/>
      <c r="U403" s="12"/>
      <c r="V403" s="12"/>
      <c r="W403" s="12">
        <f t="shared" si="124"/>
        <v>0</v>
      </c>
      <c r="Y403" s="10">
        <v>7</v>
      </c>
      <c r="Z403" s="30"/>
      <c r="AA403" s="11" t="s">
        <v>27</v>
      </c>
      <c r="AB403" s="32"/>
      <c r="AC403" s="32"/>
      <c r="AD403" s="32"/>
      <c r="AE403" s="32">
        <f>SUM(AB403:AC403)</f>
        <v>0</v>
      </c>
      <c r="AF403" s="12"/>
      <c r="AG403" s="58"/>
      <c r="AH403" s="12"/>
      <c r="AI403" s="12">
        <f t="shared" si="126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 t="s">
        <v>59</v>
      </c>
      <c r="C404" s="83">
        <f t="shared" si="127"/>
        <v>9925</v>
      </c>
      <c r="D404" s="32">
        <f>650*5</f>
        <v>3250</v>
      </c>
      <c r="E404" s="32"/>
      <c r="F404" s="32"/>
      <c r="G404" s="32">
        <f t="shared" si="121"/>
        <v>3250</v>
      </c>
      <c r="H404" s="12"/>
      <c r="I404" s="12"/>
      <c r="J404" s="12"/>
      <c r="K404" s="12">
        <f t="shared" si="122"/>
        <v>3250</v>
      </c>
      <c r="M404" s="10">
        <v>8</v>
      </c>
      <c r="N404" s="30"/>
      <c r="O404" s="31"/>
      <c r="P404" s="32"/>
      <c r="Q404" s="32"/>
      <c r="R404" s="32"/>
      <c r="S404" s="32">
        <f t="shared" si="123"/>
        <v>0</v>
      </c>
      <c r="T404" s="12"/>
      <c r="U404" s="12"/>
      <c r="V404" s="12"/>
      <c r="W404" s="12">
        <f t="shared" si="124"/>
        <v>0</v>
      </c>
      <c r="Y404" s="10">
        <v>8</v>
      </c>
      <c r="Z404" s="30"/>
      <c r="AA404" s="31"/>
      <c r="AB404" s="32"/>
      <c r="AC404" s="32"/>
      <c r="AE404" s="32">
        <f t="shared" ref="AE404:AE435" si="131">SUM(AB404:AC404)</f>
        <v>0</v>
      </c>
      <c r="AF404" s="12"/>
      <c r="AG404" s="12"/>
      <c r="AH404" s="12"/>
      <c r="AI404" s="12">
        <f t="shared" si="126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 t="s">
        <v>59</v>
      </c>
      <c r="C405" s="83">
        <f t="shared" si="127"/>
        <v>9926</v>
      </c>
      <c r="D405" s="32">
        <f>650*216</f>
        <v>140400</v>
      </c>
      <c r="E405" s="32">
        <f>-216*6</f>
        <v>-1296</v>
      </c>
      <c r="F405" s="32"/>
      <c r="G405" s="32">
        <f t="shared" si="121"/>
        <v>139104</v>
      </c>
      <c r="H405" s="12"/>
      <c r="I405" s="12"/>
      <c r="J405" s="12">
        <f>-120*9+-132*111+-84*3+-4.5*2+-1.5*5</f>
        <v>-16000.5</v>
      </c>
      <c r="K405" s="12">
        <f t="shared" si="122"/>
        <v>123103.5</v>
      </c>
      <c r="M405" s="10">
        <v>9</v>
      </c>
      <c r="N405" s="30"/>
      <c r="O405" s="31"/>
      <c r="P405" s="32"/>
      <c r="Q405" s="32"/>
      <c r="R405" s="32"/>
      <c r="S405" s="32">
        <f t="shared" si="123"/>
        <v>0</v>
      </c>
      <c r="T405" s="12"/>
      <c r="U405" s="12"/>
      <c r="V405" s="12"/>
      <c r="W405" s="12">
        <f t="shared" si="124"/>
        <v>0</v>
      </c>
      <c r="Y405" s="10">
        <v>9</v>
      </c>
      <c r="Z405" s="30"/>
      <c r="AA405" s="31"/>
      <c r="AB405" s="32"/>
      <c r="AC405" s="32"/>
      <c r="AD405" s="32"/>
      <c r="AE405" s="32">
        <f t="shared" si="131"/>
        <v>0</v>
      </c>
      <c r="AF405" s="12"/>
      <c r="AH405" s="12"/>
      <c r="AI405" s="12">
        <f t="shared" si="126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11" t="s">
        <v>27</v>
      </c>
      <c r="D406" s="32"/>
      <c r="E406" s="32"/>
      <c r="F406" s="32"/>
      <c r="G406" s="32">
        <f t="shared" si="121"/>
        <v>0</v>
      </c>
      <c r="H406" s="12"/>
      <c r="I406" s="12"/>
      <c r="J406" s="12"/>
      <c r="K406" s="12">
        <f t="shared" si="122"/>
        <v>0</v>
      </c>
      <c r="M406" s="10">
        <v>10</v>
      </c>
      <c r="N406" s="30"/>
      <c r="O406" s="31"/>
      <c r="P406" s="32"/>
      <c r="Q406" s="32"/>
      <c r="R406" s="32"/>
      <c r="S406" s="32">
        <f t="shared" si="123"/>
        <v>0</v>
      </c>
      <c r="T406" s="12"/>
      <c r="U406" s="12"/>
      <c r="V406" s="12"/>
      <c r="W406" s="12">
        <f t="shared" si="124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31"/>
        <v>0</v>
      </c>
      <c r="AF406" s="12"/>
      <c r="AG406" s="12"/>
      <c r="AH406" s="12"/>
      <c r="AI406" s="12">
        <f t="shared" si="126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21"/>
        <v>0</v>
      </c>
      <c r="H407" s="12"/>
      <c r="I407" s="12"/>
      <c r="J407" s="12"/>
      <c r="K407" s="12">
        <f t="shared" si="122"/>
        <v>0</v>
      </c>
      <c r="M407" s="10">
        <v>11</v>
      </c>
      <c r="N407" s="30"/>
      <c r="O407" s="11"/>
      <c r="P407" s="32"/>
      <c r="Q407" s="32"/>
      <c r="R407" s="32"/>
      <c r="S407" s="32">
        <f t="shared" si="123"/>
        <v>0</v>
      </c>
      <c r="T407" s="12"/>
      <c r="U407" s="12"/>
      <c r="V407" s="12"/>
      <c r="W407" s="12">
        <f t="shared" si="124"/>
        <v>0</v>
      </c>
      <c r="Y407" s="10">
        <v>11</v>
      </c>
      <c r="Z407" s="30"/>
      <c r="AA407" s="31"/>
      <c r="AB407" s="32"/>
      <c r="AC407" s="32"/>
      <c r="AD407" s="32"/>
      <c r="AE407" s="32">
        <f t="shared" si="131"/>
        <v>0</v>
      </c>
      <c r="AF407" s="12"/>
      <c r="AG407" s="12"/>
      <c r="AH407" s="12"/>
      <c r="AI407" s="12">
        <f t="shared" si="126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1"/>
        <v>0</v>
      </c>
      <c r="H408" s="12"/>
      <c r="I408" s="12"/>
      <c r="J408" s="10"/>
      <c r="K408" s="12">
        <f t="shared" si="122"/>
        <v>0</v>
      </c>
      <c r="M408" s="10">
        <v>12</v>
      </c>
      <c r="N408" s="30"/>
      <c r="O408" s="31"/>
      <c r="P408" s="32"/>
      <c r="Q408" s="32"/>
      <c r="R408" s="32"/>
      <c r="S408" s="32">
        <f t="shared" si="123"/>
        <v>0</v>
      </c>
      <c r="T408" s="12"/>
      <c r="U408" s="12"/>
      <c r="V408" s="12"/>
      <c r="W408" s="12">
        <f t="shared" si="124"/>
        <v>0</v>
      </c>
      <c r="Y408" s="10">
        <v>12</v>
      </c>
      <c r="Z408" s="30"/>
      <c r="AA408" s="11"/>
      <c r="AB408" s="32"/>
      <c r="AC408" s="32"/>
      <c r="AD408" s="32"/>
      <c r="AE408" s="32">
        <f t="shared" si="131"/>
        <v>0</v>
      </c>
      <c r="AF408" s="12"/>
      <c r="AG408" s="12"/>
      <c r="AH408" s="12"/>
      <c r="AI408" s="12">
        <f t="shared" si="126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1"/>
        <v>0</v>
      </c>
      <c r="H409" s="12"/>
      <c r="I409" s="12"/>
      <c r="J409" s="12"/>
      <c r="K409" s="12">
        <f t="shared" si="122"/>
        <v>0</v>
      </c>
      <c r="M409" s="10">
        <v>13</v>
      </c>
      <c r="N409" s="30"/>
      <c r="O409" s="31"/>
      <c r="P409" s="32"/>
      <c r="Q409" s="32"/>
      <c r="R409" s="32"/>
      <c r="S409" s="32">
        <f t="shared" si="123"/>
        <v>0</v>
      </c>
      <c r="T409" s="12"/>
      <c r="U409" s="12"/>
      <c r="V409" s="12"/>
      <c r="W409" s="12">
        <f t="shared" si="124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31"/>
        <v>0</v>
      </c>
      <c r="AF409" s="12"/>
      <c r="AG409" s="12"/>
      <c r="AH409" s="12"/>
      <c r="AI409" s="12">
        <f t="shared" si="126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1"/>
        <v>0</v>
      </c>
      <c r="H410" s="12"/>
      <c r="I410" s="12"/>
      <c r="J410" s="12"/>
      <c r="K410" s="12">
        <f t="shared" si="122"/>
        <v>0</v>
      </c>
      <c r="M410" s="10">
        <v>14</v>
      </c>
      <c r="N410" s="30"/>
      <c r="O410" s="31"/>
      <c r="P410" s="32"/>
      <c r="Q410" s="32"/>
      <c r="R410" s="32"/>
      <c r="S410" s="32">
        <f t="shared" si="123"/>
        <v>0</v>
      </c>
      <c r="T410" s="12"/>
      <c r="U410" s="12"/>
      <c r="V410" s="12"/>
      <c r="W410" s="12">
        <f t="shared" si="124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1"/>
        <v>0</v>
      </c>
      <c r="AF410" s="12"/>
      <c r="AG410" s="12"/>
      <c r="AH410" s="12"/>
      <c r="AI410" s="12">
        <f t="shared" si="126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1"/>
        <v>0</v>
      </c>
      <c r="H411" s="12"/>
      <c r="I411" s="12"/>
      <c r="J411" s="12"/>
      <c r="K411" s="12">
        <f t="shared" si="122"/>
        <v>0</v>
      </c>
      <c r="M411" s="10">
        <v>15</v>
      </c>
      <c r="N411" s="30"/>
      <c r="O411" s="31"/>
      <c r="P411" s="32"/>
      <c r="Q411" s="32"/>
      <c r="R411" s="32"/>
      <c r="S411" s="32">
        <f t="shared" si="123"/>
        <v>0</v>
      </c>
      <c r="T411" s="12"/>
      <c r="U411" s="12"/>
      <c r="V411" s="12"/>
      <c r="W411" s="12">
        <f t="shared" si="124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1"/>
        <v>0</v>
      </c>
      <c r="AF411" s="12"/>
      <c r="AG411" s="12"/>
      <c r="AH411" s="12"/>
      <c r="AI411" s="12">
        <f t="shared" si="126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21"/>
        <v>0</v>
      </c>
      <c r="H412" s="12"/>
      <c r="I412" s="12"/>
      <c r="J412" s="12"/>
      <c r="K412" s="12">
        <f t="shared" si="122"/>
        <v>0</v>
      </c>
      <c r="M412" s="10">
        <v>16</v>
      </c>
      <c r="N412" s="30"/>
      <c r="O412" s="11"/>
      <c r="P412" s="32"/>
      <c r="Q412" s="32"/>
      <c r="R412" s="32"/>
      <c r="S412" s="32">
        <f t="shared" si="123"/>
        <v>0</v>
      </c>
      <c r="T412" s="12"/>
      <c r="U412" s="12"/>
      <c r="V412" s="12"/>
      <c r="W412" s="12">
        <f t="shared" si="124"/>
        <v>0</v>
      </c>
      <c r="Y412" s="10">
        <v>16</v>
      </c>
      <c r="AA412" s="11"/>
      <c r="AB412" s="32"/>
      <c r="AC412" s="32"/>
      <c r="AD412" s="32"/>
      <c r="AE412" s="32">
        <f t="shared" si="131"/>
        <v>0</v>
      </c>
      <c r="AF412" s="12"/>
      <c r="AG412" s="12"/>
      <c r="AH412" s="12"/>
      <c r="AI412" s="12">
        <f t="shared" si="126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1"/>
        <v>0</v>
      </c>
      <c r="H413" s="12"/>
      <c r="I413" s="12"/>
      <c r="J413" s="12"/>
      <c r="K413" s="12">
        <f t="shared" si="122"/>
        <v>0</v>
      </c>
      <c r="M413" s="10">
        <v>17</v>
      </c>
      <c r="N413" s="30"/>
      <c r="O413" s="31"/>
      <c r="P413" s="35"/>
      <c r="Q413" s="32"/>
      <c r="R413" s="32"/>
      <c r="S413" s="32">
        <f t="shared" si="123"/>
        <v>0</v>
      </c>
      <c r="T413" s="12"/>
      <c r="U413" s="12"/>
      <c r="V413" s="12"/>
      <c r="W413" s="12">
        <f t="shared" si="124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1"/>
        <v>0</v>
      </c>
      <c r="AF413" s="12"/>
      <c r="AG413" s="12"/>
      <c r="AH413" s="12"/>
      <c r="AI413" s="12">
        <f t="shared" si="126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1"/>
        <v>0</v>
      </c>
      <c r="H414" s="12"/>
      <c r="I414" s="12"/>
      <c r="J414" s="12"/>
      <c r="K414" s="12">
        <f t="shared" si="122"/>
        <v>0</v>
      </c>
      <c r="M414" s="10">
        <v>18</v>
      </c>
      <c r="N414" s="30"/>
      <c r="O414" s="31"/>
      <c r="P414" s="32"/>
      <c r="Q414" s="32"/>
      <c r="R414" s="32"/>
      <c r="S414" s="32">
        <f t="shared" si="123"/>
        <v>0</v>
      </c>
      <c r="T414" s="12"/>
      <c r="U414" s="12"/>
      <c r="V414" s="12"/>
      <c r="W414" s="12">
        <f t="shared" si="124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1"/>
        <v>0</v>
      </c>
      <c r="AF414" s="12"/>
      <c r="AG414" s="12"/>
      <c r="AH414" s="12"/>
      <c r="AI414" s="12">
        <f t="shared" si="126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1"/>
        <v>0</v>
      </c>
      <c r="H415" s="12"/>
      <c r="I415" s="12"/>
      <c r="J415" s="12"/>
      <c r="K415" s="12">
        <f t="shared" si="122"/>
        <v>0</v>
      </c>
      <c r="M415" s="10">
        <v>19</v>
      </c>
      <c r="N415" s="30"/>
      <c r="O415" s="31"/>
      <c r="P415" s="32"/>
      <c r="Q415" s="32"/>
      <c r="R415" s="32"/>
      <c r="S415" s="32">
        <f t="shared" si="123"/>
        <v>0</v>
      </c>
      <c r="T415" s="12"/>
      <c r="U415" s="12"/>
      <c r="V415" s="12"/>
      <c r="W415" s="12">
        <f t="shared" si="124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1"/>
        <v>0</v>
      </c>
      <c r="AF415" s="12"/>
      <c r="AG415" s="12"/>
      <c r="AH415" s="12"/>
      <c r="AI415" s="12">
        <f t="shared" si="126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1"/>
        <v>0</v>
      </c>
      <c r="H416" s="12"/>
      <c r="I416" s="12"/>
      <c r="J416" s="12"/>
      <c r="K416" s="12">
        <f t="shared" si="122"/>
        <v>0</v>
      </c>
      <c r="M416" s="10">
        <v>20</v>
      </c>
      <c r="N416" s="30"/>
      <c r="O416" s="31"/>
      <c r="P416" s="32"/>
      <c r="Q416" s="32"/>
      <c r="R416" s="32"/>
      <c r="S416" s="32">
        <f t="shared" si="123"/>
        <v>0</v>
      </c>
      <c r="T416" s="12"/>
      <c r="U416" s="12"/>
      <c r="V416" s="12"/>
      <c r="W416" s="12">
        <f t="shared" si="124"/>
        <v>0</v>
      </c>
      <c r="Y416" s="10">
        <v>20</v>
      </c>
      <c r="Z416" s="30"/>
      <c r="AB416" s="32"/>
      <c r="AC416" s="32"/>
      <c r="AD416" s="32"/>
      <c r="AE416" s="32">
        <f t="shared" si="131"/>
        <v>0</v>
      </c>
      <c r="AF416" s="12"/>
      <c r="AG416" s="12"/>
      <c r="AH416" s="12"/>
      <c r="AI416" s="12">
        <f t="shared" si="126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21"/>
        <v>0</v>
      </c>
      <c r="H417" s="10"/>
      <c r="I417" s="10"/>
      <c r="J417" s="10"/>
      <c r="K417" s="12">
        <f t="shared" si="122"/>
        <v>0</v>
      </c>
      <c r="M417" s="10">
        <v>21</v>
      </c>
      <c r="N417" s="30"/>
      <c r="O417" s="11"/>
      <c r="P417" s="46"/>
      <c r="Q417" s="31"/>
      <c r="R417" s="31"/>
      <c r="S417" s="32">
        <f t="shared" si="123"/>
        <v>0</v>
      </c>
      <c r="T417" s="10"/>
      <c r="U417" s="10"/>
      <c r="V417" s="10"/>
      <c r="W417" s="12">
        <f t="shared" si="124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1"/>
        <v>0</v>
      </c>
      <c r="AF417" s="10"/>
      <c r="AG417" s="10"/>
      <c r="AH417" s="10"/>
      <c r="AI417" s="12">
        <f t="shared" si="126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1"/>
        <v>0</v>
      </c>
      <c r="H418" s="10"/>
      <c r="I418" s="10"/>
      <c r="J418" s="10"/>
      <c r="K418" s="12">
        <f t="shared" si="122"/>
        <v>0</v>
      </c>
      <c r="M418" s="10">
        <v>22</v>
      </c>
      <c r="N418" s="30"/>
      <c r="O418" s="31"/>
      <c r="P418" s="45"/>
      <c r="Q418" s="31"/>
      <c r="R418" s="31"/>
      <c r="S418" s="32">
        <f t="shared" si="123"/>
        <v>0</v>
      </c>
      <c r="T418" s="10"/>
      <c r="U418" s="10"/>
      <c r="V418" s="10"/>
      <c r="W418" s="12">
        <f t="shared" si="124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1"/>
        <v>0</v>
      </c>
      <c r="AF418" s="10"/>
      <c r="AG418" s="10"/>
      <c r="AH418" s="10"/>
      <c r="AI418" s="12">
        <f t="shared" si="126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/>
      <c r="D419" s="32"/>
      <c r="E419" s="32"/>
      <c r="F419" s="32"/>
      <c r="G419" s="32">
        <f t="shared" si="121"/>
        <v>0</v>
      </c>
      <c r="H419" s="10"/>
      <c r="I419" s="10"/>
      <c r="J419" s="12"/>
      <c r="K419" s="12">
        <f t="shared" si="122"/>
        <v>0</v>
      </c>
      <c r="M419" s="10">
        <v>23</v>
      </c>
      <c r="N419" s="30"/>
      <c r="O419" s="31"/>
      <c r="P419" s="47"/>
      <c r="S419" s="32">
        <f t="shared" si="123"/>
        <v>0</v>
      </c>
      <c r="T419" s="10"/>
      <c r="U419" s="10"/>
      <c r="V419" s="10"/>
      <c r="W419" s="12">
        <f t="shared" si="124"/>
        <v>0</v>
      </c>
      <c r="Y419" s="10">
        <v>23</v>
      </c>
      <c r="Z419" s="30"/>
      <c r="AA419" s="31"/>
      <c r="AB419" s="47"/>
      <c r="AE419" s="32">
        <f t="shared" si="131"/>
        <v>0</v>
      </c>
      <c r="AF419" s="10"/>
      <c r="AG419" s="10"/>
      <c r="AH419" s="10"/>
      <c r="AI419" s="12">
        <f t="shared" si="126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1"/>
        <v>0</v>
      </c>
      <c r="H420" s="10"/>
      <c r="I420" s="10"/>
      <c r="J420" s="10"/>
      <c r="K420" s="12">
        <f t="shared" si="122"/>
        <v>0</v>
      </c>
      <c r="M420" s="10">
        <v>24</v>
      </c>
      <c r="N420" s="30"/>
      <c r="O420" s="31"/>
      <c r="P420" s="47"/>
      <c r="Q420" s="31"/>
      <c r="R420" s="31"/>
      <c r="S420" s="32">
        <f t="shared" si="123"/>
        <v>0</v>
      </c>
      <c r="T420" s="10"/>
      <c r="U420" s="10"/>
      <c r="V420" s="10"/>
      <c r="W420" s="12">
        <f t="shared" si="124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1"/>
        <v>0</v>
      </c>
      <c r="AF420" s="10"/>
      <c r="AG420" s="10"/>
      <c r="AH420" s="10"/>
      <c r="AI420" s="12">
        <f t="shared" si="126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1"/>
        <v>0</v>
      </c>
      <c r="H421" s="10"/>
      <c r="I421" s="10"/>
      <c r="J421" s="10"/>
      <c r="K421" s="12">
        <f t="shared" si="122"/>
        <v>0</v>
      </c>
      <c r="M421" s="10">
        <v>25</v>
      </c>
      <c r="N421" s="30"/>
      <c r="O421" s="31"/>
      <c r="P421" s="47"/>
      <c r="Q421" s="31"/>
      <c r="R421" s="31"/>
      <c r="S421" s="32">
        <f t="shared" si="123"/>
        <v>0</v>
      </c>
      <c r="T421" s="10"/>
      <c r="U421" s="10"/>
      <c r="V421" s="10"/>
      <c r="W421" s="12">
        <f t="shared" si="124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1"/>
        <v>0</v>
      </c>
      <c r="AF421" s="10"/>
      <c r="AG421" s="10"/>
      <c r="AH421" s="10"/>
      <c r="AI421" s="12">
        <f t="shared" si="126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1"/>
        <v>0</v>
      </c>
      <c r="H422" s="10"/>
      <c r="I422" s="10"/>
      <c r="J422" s="10"/>
      <c r="K422" s="12">
        <f t="shared" si="122"/>
        <v>0</v>
      </c>
      <c r="M422" s="10">
        <v>26</v>
      </c>
      <c r="N422" s="30"/>
      <c r="O422" s="31"/>
      <c r="P422" s="47"/>
      <c r="Q422" s="31"/>
      <c r="R422" s="31"/>
      <c r="S422" s="32">
        <f t="shared" si="123"/>
        <v>0</v>
      </c>
      <c r="T422" s="10"/>
      <c r="U422" s="10"/>
      <c r="V422" s="10"/>
      <c r="W422" s="12">
        <f t="shared" si="124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1"/>
        <v>0</v>
      </c>
      <c r="AF422" s="10"/>
      <c r="AG422" s="10"/>
      <c r="AH422" s="10"/>
      <c r="AI422" s="12">
        <f t="shared" si="126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1"/>
        <v>0</v>
      </c>
      <c r="H423" s="10"/>
      <c r="I423" s="10"/>
      <c r="J423" s="10"/>
      <c r="K423" s="12">
        <f t="shared" si="122"/>
        <v>0</v>
      </c>
      <c r="M423" s="10">
        <v>27</v>
      </c>
      <c r="N423" s="30"/>
      <c r="O423" s="31"/>
      <c r="P423" s="47"/>
      <c r="Q423" s="31"/>
      <c r="R423" s="31"/>
      <c r="S423" s="32">
        <f t="shared" si="123"/>
        <v>0</v>
      </c>
      <c r="T423" s="10"/>
      <c r="U423" s="10"/>
      <c r="V423" s="10"/>
      <c r="W423" s="12">
        <f t="shared" si="124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1"/>
        <v>0</v>
      </c>
      <c r="AF423" s="10"/>
      <c r="AG423" s="10"/>
      <c r="AH423" s="10"/>
      <c r="AI423" s="12">
        <f t="shared" si="126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1"/>
        <v>0</v>
      </c>
      <c r="H424" s="10"/>
      <c r="I424" s="10"/>
      <c r="J424" s="10"/>
      <c r="K424" s="12">
        <f t="shared" si="122"/>
        <v>0</v>
      </c>
      <c r="M424" s="10">
        <v>28</v>
      </c>
      <c r="N424" s="30"/>
      <c r="O424" s="31"/>
      <c r="P424" s="47"/>
      <c r="Q424" s="31"/>
      <c r="R424" s="31"/>
      <c r="S424" s="32">
        <f t="shared" si="123"/>
        <v>0</v>
      </c>
      <c r="T424" s="10"/>
      <c r="U424" s="10"/>
      <c r="V424" s="10"/>
      <c r="W424" s="12">
        <f t="shared" si="124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1"/>
        <v>0</v>
      </c>
      <c r="AF424" s="10"/>
      <c r="AG424" s="10"/>
      <c r="AH424" s="10"/>
      <c r="AI424" s="12">
        <f t="shared" si="126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21"/>
        <v>0</v>
      </c>
      <c r="H425" s="10"/>
      <c r="I425" s="10"/>
      <c r="J425" s="10"/>
      <c r="K425" s="12">
        <f t="shared" si="122"/>
        <v>0</v>
      </c>
      <c r="M425" s="10">
        <v>29</v>
      </c>
      <c r="N425" s="30"/>
      <c r="O425" s="31"/>
      <c r="P425" s="47"/>
      <c r="Q425" s="31"/>
      <c r="R425" s="31"/>
      <c r="S425" s="32">
        <f t="shared" si="123"/>
        <v>0</v>
      </c>
      <c r="T425" s="10"/>
      <c r="U425" s="10"/>
      <c r="V425" s="10"/>
      <c r="W425" s="12">
        <f t="shared" si="124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1"/>
        <v>0</v>
      </c>
      <c r="AF425" s="10"/>
      <c r="AG425" s="10"/>
      <c r="AH425" s="10"/>
      <c r="AI425" s="12">
        <f t="shared" si="126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1"/>
        <v>0</v>
      </c>
      <c r="H426" s="10"/>
      <c r="I426" s="10"/>
      <c r="J426" s="10"/>
      <c r="K426" s="12">
        <f t="shared" si="122"/>
        <v>0</v>
      </c>
      <c r="M426" s="10">
        <v>30</v>
      </c>
      <c r="N426" s="30"/>
      <c r="O426" s="31"/>
      <c r="P426" s="47"/>
      <c r="Q426" s="31"/>
      <c r="R426" s="31"/>
      <c r="S426" s="32">
        <f t="shared" si="123"/>
        <v>0</v>
      </c>
      <c r="T426" s="10"/>
      <c r="U426" s="10"/>
      <c r="V426" s="10"/>
      <c r="W426" s="12">
        <f t="shared" si="124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1"/>
        <v>0</v>
      </c>
      <c r="AF426" s="10"/>
      <c r="AG426" s="10"/>
      <c r="AH426" s="10"/>
      <c r="AI426" s="12">
        <f t="shared" si="126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11"/>
      <c r="D427" s="32"/>
      <c r="E427" s="32"/>
      <c r="F427" s="32"/>
      <c r="G427" s="32">
        <f t="shared" si="121"/>
        <v>0</v>
      </c>
      <c r="H427" s="10"/>
      <c r="I427" s="10"/>
      <c r="J427" s="10"/>
      <c r="K427" s="12">
        <f t="shared" si="122"/>
        <v>0</v>
      </c>
      <c r="M427" s="10">
        <v>31</v>
      </c>
      <c r="N427" s="30"/>
      <c r="O427" s="31"/>
      <c r="P427" s="47"/>
      <c r="Q427" s="31"/>
      <c r="R427" s="31"/>
      <c r="S427" s="32">
        <f t="shared" si="123"/>
        <v>0</v>
      </c>
      <c r="T427" s="10"/>
      <c r="U427" s="10"/>
      <c r="V427" s="10"/>
      <c r="W427" s="12">
        <f t="shared" si="124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1"/>
        <v>0</v>
      </c>
      <c r="AF427" s="10"/>
      <c r="AG427" s="10"/>
      <c r="AH427" s="10"/>
      <c r="AI427" s="12">
        <f t="shared" si="126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1"/>
        <v>0</v>
      </c>
      <c r="H428" s="10"/>
      <c r="I428" s="10"/>
      <c r="J428" s="10"/>
      <c r="K428" s="12">
        <f t="shared" si="122"/>
        <v>0</v>
      </c>
      <c r="M428" s="10">
        <v>32</v>
      </c>
      <c r="N428" s="30"/>
      <c r="O428" s="31"/>
      <c r="P428" s="47"/>
      <c r="Q428" s="31"/>
      <c r="R428" s="31"/>
      <c r="S428" s="32">
        <f t="shared" si="123"/>
        <v>0</v>
      </c>
      <c r="T428" s="10"/>
      <c r="U428" s="10"/>
      <c r="V428" s="10"/>
      <c r="W428" s="12">
        <f t="shared" si="124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1"/>
        <v>0</v>
      </c>
      <c r="AF428" s="10"/>
      <c r="AG428" s="10"/>
      <c r="AH428" s="10"/>
      <c r="AI428" s="12">
        <f t="shared" si="126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1"/>
        <v>0</v>
      </c>
      <c r="H429" s="10"/>
      <c r="I429" s="10"/>
      <c r="J429" s="10"/>
      <c r="K429" s="12">
        <f t="shared" si="122"/>
        <v>0</v>
      </c>
      <c r="M429" s="10">
        <v>33</v>
      </c>
      <c r="N429" s="30"/>
      <c r="O429" s="31"/>
      <c r="P429" s="47"/>
      <c r="Q429" s="31"/>
      <c r="R429" s="31"/>
      <c r="S429" s="32">
        <f t="shared" si="123"/>
        <v>0</v>
      </c>
      <c r="T429" s="10"/>
      <c r="U429" s="10"/>
      <c r="V429" s="10"/>
      <c r="W429" s="12">
        <f t="shared" si="124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1"/>
        <v>0</v>
      </c>
      <c r="AF429" s="10"/>
      <c r="AG429" s="10"/>
      <c r="AH429" s="10"/>
      <c r="AI429" s="12">
        <f t="shared" si="126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1"/>
        <v>0</v>
      </c>
      <c r="H430" s="10"/>
      <c r="I430" s="10"/>
      <c r="J430" s="10"/>
      <c r="K430" s="12">
        <f t="shared" si="122"/>
        <v>0</v>
      </c>
      <c r="M430" s="10">
        <v>34</v>
      </c>
      <c r="N430" s="30"/>
      <c r="O430" s="31"/>
      <c r="P430" s="47"/>
      <c r="Q430" s="31"/>
      <c r="R430" s="31"/>
      <c r="S430" s="32">
        <f t="shared" si="123"/>
        <v>0</v>
      </c>
      <c r="T430" s="10"/>
      <c r="U430" s="10"/>
      <c r="V430" s="10"/>
      <c r="W430" s="12">
        <f t="shared" si="124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1"/>
        <v>0</v>
      </c>
      <c r="AF430" s="10"/>
      <c r="AG430" s="10"/>
      <c r="AH430" s="10"/>
      <c r="AI430" s="12">
        <f t="shared" ref="AI430:AI438" si="132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3"/>
        <v>0</v>
      </c>
      <c r="T431" s="10"/>
      <c r="U431" s="10"/>
      <c r="V431" s="10"/>
      <c r="W431" s="12">
        <f t="shared" si="124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1"/>
        <v>0</v>
      </c>
      <c r="AF431" s="10"/>
      <c r="AG431" s="10"/>
      <c r="AH431" s="10"/>
      <c r="AI431" s="12">
        <f t="shared" si="13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3"/>
        <v>0</v>
      </c>
      <c r="T432" s="10"/>
      <c r="U432" s="10"/>
      <c r="V432" s="10"/>
      <c r="W432" s="12">
        <f t="shared" si="124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1"/>
        <v>0</v>
      </c>
      <c r="AF432" s="10"/>
      <c r="AG432" s="10"/>
      <c r="AH432" s="10"/>
      <c r="AI432" s="12">
        <f t="shared" si="13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3"/>
        <v>0</v>
      </c>
      <c r="T433" s="10"/>
      <c r="U433" s="10"/>
      <c r="V433" s="10"/>
      <c r="W433" s="12">
        <f t="shared" si="124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1"/>
        <v>0</v>
      </c>
      <c r="AF433" s="10"/>
      <c r="AG433" s="10"/>
      <c r="AH433" s="10"/>
      <c r="AI433" s="12">
        <f t="shared" si="13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3"/>
        <v>0</v>
      </c>
      <c r="T434" s="10"/>
      <c r="U434" s="10"/>
      <c r="V434" s="10"/>
      <c r="W434" s="12">
        <f t="shared" si="124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1"/>
        <v>0</v>
      </c>
      <c r="AF434" s="10"/>
      <c r="AG434" s="10"/>
      <c r="AH434" s="10"/>
      <c r="AI434" s="12">
        <f t="shared" si="13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3"/>
        <v>0</v>
      </c>
      <c r="T435" s="10"/>
      <c r="U435" s="10"/>
      <c r="V435" s="10"/>
      <c r="W435" s="12">
        <f t="shared" si="124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1"/>
        <v>0</v>
      </c>
      <c r="AF435" s="10"/>
      <c r="AG435" s="10"/>
      <c r="AH435" s="10"/>
      <c r="AI435" s="12">
        <f t="shared" si="13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4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3">SUM(D437:E437)</f>
        <v>0</v>
      </c>
      <c r="H437" s="10"/>
      <c r="I437" s="10"/>
      <c r="J437" s="10"/>
      <c r="K437" s="12">
        <f t="shared" ref="K437" si="134">SUM(G437:J437)</f>
        <v>0</v>
      </c>
      <c r="M437" s="10"/>
      <c r="N437" s="30"/>
      <c r="O437" s="31"/>
      <c r="P437" s="47"/>
      <c r="Q437" s="31"/>
      <c r="R437" s="31"/>
      <c r="S437" s="32">
        <f t="shared" ref="S437" si="135">SUM(P437:Q437)</f>
        <v>0</v>
      </c>
      <c r="T437" s="10"/>
      <c r="U437" s="10"/>
      <c r="V437" s="10"/>
      <c r="W437" s="12">
        <f t="shared" si="124"/>
        <v>0</v>
      </c>
      <c r="Y437" s="10"/>
      <c r="Z437" s="30"/>
      <c r="AA437" s="31"/>
      <c r="AB437" s="47"/>
      <c r="AC437" s="31"/>
      <c r="AD437" s="31"/>
      <c r="AE437" s="32">
        <f t="shared" ref="AE437" si="136">SUM(AB437:AC437)</f>
        <v>0</v>
      </c>
      <c r="AF437" s="10"/>
      <c r="AG437" s="10"/>
      <c r="AH437" s="10"/>
      <c r="AI437" s="12">
        <f t="shared" si="13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4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205504.5</v>
      </c>
      <c r="E440" s="38">
        <f t="shared" ref="E440:F440" si="137">SUM(E397:E437)</f>
        <v>-1296</v>
      </c>
      <c r="F440" s="38">
        <f t="shared" si="137"/>
        <v>0</v>
      </c>
      <c r="G440" s="38">
        <f>SUM(G397:G439)</f>
        <v>204208.5</v>
      </c>
      <c r="H440" s="4"/>
      <c r="I440" s="39">
        <f>SUM(I397:I439)</f>
        <v>0</v>
      </c>
      <c r="J440" s="39">
        <f>SUM(J397:J439)</f>
        <v>-16000.5</v>
      </c>
      <c r="K440" s="40">
        <f>SUM(K397:K439)</f>
        <v>188208</v>
      </c>
      <c r="N440" s="57"/>
      <c r="O440" s="57"/>
      <c r="P440" s="38">
        <f>SUM(P397:P439)</f>
        <v>258873</v>
      </c>
      <c r="Q440" s="38">
        <f>SUM(Q397:Q421)</f>
        <v>-1944</v>
      </c>
      <c r="R440" s="38">
        <f>SUM(R397:R421)</f>
        <v>0</v>
      </c>
      <c r="S440" s="38">
        <f>SUM(S397:S439)</f>
        <v>256929</v>
      </c>
      <c r="T440" s="4"/>
      <c r="U440" s="41">
        <f>SUM(U397:U439)</f>
        <v>999</v>
      </c>
      <c r="V440" s="41">
        <f>SUM(V397:V421)</f>
        <v>-948</v>
      </c>
      <c r="W440" s="42">
        <f>SUM(W397:W439)</f>
        <v>256980</v>
      </c>
      <c r="Z440" s="57"/>
      <c r="AA440" s="57"/>
      <c r="AB440" s="38">
        <f>SUM(AB397:AB439)</f>
        <v>280238</v>
      </c>
      <c r="AC440" s="38">
        <f>SUM(AC397:AC421)</f>
        <v>-1920</v>
      </c>
      <c r="AD440" s="38">
        <f>SUM(AD397:AD421)</f>
        <v>0</v>
      </c>
      <c r="AE440" s="38">
        <f>SUM(AE397:AE439)</f>
        <v>278318</v>
      </c>
      <c r="AF440" s="4"/>
      <c r="AG440" s="41">
        <f>SUM(AG397:AG439)</f>
        <v>234</v>
      </c>
      <c r="AH440" s="41">
        <f>SUM(AH397:AH421)</f>
        <v>-252</v>
      </c>
      <c r="AI440" s="42">
        <f>SUM(AI397:AI439)</f>
        <v>278300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2" t="s">
        <v>17</v>
      </c>
      <c r="E450" s="112"/>
      <c r="F450" s="99"/>
      <c r="G450" s="27"/>
      <c r="I450" s="110" t="s">
        <v>18</v>
      </c>
      <c r="J450" s="111"/>
      <c r="K450" s="108" t="s">
        <v>19</v>
      </c>
      <c r="N450" s="25"/>
      <c r="O450" s="26"/>
      <c r="P450" s="112" t="s">
        <v>17</v>
      </c>
      <c r="Q450" s="112"/>
      <c r="R450" s="99"/>
      <c r="S450" s="27"/>
      <c r="U450" s="110" t="s">
        <v>18</v>
      </c>
      <c r="V450" s="111"/>
      <c r="W450" s="108" t="s">
        <v>19</v>
      </c>
      <c r="Z450" s="25"/>
      <c r="AA450" s="26"/>
      <c r="AB450" s="112" t="s">
        <v>17</v>
      </c>
      <c r="AC450" s="112"/>
      <c r="AD450" s="99"/>
      <c r="AE450" s="27"/>
      <c r="AG450" s="110" t="s">
        <v>18</v>
      </c>
      <c r="AH450" s="111"/>
      <c r="AI450" s="108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9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9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9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63</v>
      </c>
      <c r="C452" s="83">
        <v>9927</v>
      </c>
      <c r="D452" s="32">
        <f>650*10</f>
        <v>6500</v>
      </c>
      <c r="E452" s="32">
        <f>-10*6</f>
        <v>-60</v>
      </c>
      <c r="F452" s="32"/>
      <c r="G452" s="32">
        <f t="shared" ref="G452:G485" si="138">SUM(D452:E452)</f>
        <v>6440</v>
      </c>
      <c r="H452" s="12"/>
      <c r="I452" s="12"/>
      <c r="J452" s="12"/>
      <c r="K452" s="12">
        <f t="shared" ref="K452:K485" si="139">SUM(G452:J452)</f>
        <v>6440</v>
      </c>
      <c r="M452" s="10">
        <v>1</v>
      </c>
      <c r="N452" s="30" t="s">
        <v>63</v>
      </c>
      <c r="O452" s="31">
        <v>10096</v>
      </c>
      <c r="P452" s="32">
        <f>650*216+622*20+229*6</f>
        <v>154214</v>
      </c>
      <c r="Q452" s="32">
        <f>-236*6</f>
        <v>-1416</v>
      </c>
      <c r="R452" s="32"/>
      <c r="S452" s="32">
        <f>SUM(P452:Q452)</f>
        <v>152798</v>
      </c>
      <c r="T452" s="12"/>
      <c r="U452" s="12">
        <f>78*6</f>
        <v>468</v>
      </c>
      <c r="V452" s="12">
        <f>-42*4</f>
        <v>-168</v>
      </c>
      <c r="W452" s="12">
        <f>SUM(S452:V452)</f>
        <v>153098</v>
      </c>
      <c r="Y452" s="10">
        <v>1</v>
      </c>
      <c r="Z452" s="30" t="s">
        <v>63</v>
      </c>
      <c r="AA452" s="31">
        <v>10026</v>
      </c>
      <c r="AB452" s="32">
        <f>650*10+9.5*10</f>
        <v>6595</v>
      </c>
      <c r="AC452" s="32"/>
      <c r="AD452" s="32"/>
      <c r="AE452" s="32">
        <f>SUM(AB452:AC452)</f>
        <v>6595</v>
      </c>
      <c r="AF452" s="12"/>
      <c r="AG452" s="12"/>
      <c r="AH452" s="12"/>
      <c r="AI452" s="12">
        <f>SUM(AE452:AH452)</f>
        <v>6595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63</v>
      </c>
      <c r="C453" s="83">
        <f>C452+1</f>
        <v>9928</v>
      </c>
      <c r="D453" s="32">
        <f>650*18+622*3</f>
        <v>13566</v>
      </c>
      <c r="E453" s="32"/>
      <c r="F453" s="32"/>
      <c r="G453" s="32">
        <f t="shared" si="138"/>
        <v>13566</v>
      </c>
      <c r="H453" s="12"/>
      <c r="I453" s="12"/>
      <c r="J453" s="12"/>
      <c r="K453" s="12">
        <f t="shared" si="139"/>
        <v>13566</v>
      </c>
      <c r="M453" s="10">
        <v>2</v>
      </c>
      <c r="N453" s="30" t="s">
        <v>63</v>
      </c>
      <c r="O453" s="31">
        <f>O452+1</f>
        <v>10097</v>
      </c>
      <c r="P453" s="32">
        <f>650*128+670*5+622*12+229*2</f>
        <v>94472</v>
      </c>
      <c r="Q453" s="32">
        <f>-145*6</f>
        <v>-870</v>
      </c>
      <c r="R453" s="32"/>
      <c r="S453" s="32">
        <f t="shared" ref="S453:S490" si="140">SUM(P453:Q453)</f>
        <v>93602</v>
      </c>
      <c r="T453" s="12"/>
      <c r="U453" s="12">
        <f>324+72</f>
        <v>396</v>
      </c>
      <c r="V453" s="12"/>
      <c r="W453" s="12">
        <f t="shared" ref="W453:W493" si="141">SUM(S453:V453)</f>
        <v>93998</v>
      </c>
      <c r="Y453" s="10">
        <v>2</v>
      </c>
      <c r="Z453" s="30" t="s">
        <v>63</v>
      </c>
      <c r="AA453" s="31">
        <f>AA452+1</f>
        <v>10027</v>
      </c>
      <c r="AB453" s="32">
        <f>650*32+622*5+229*2</f>
        <v>24368</v>
      </c>
      <c r="AC453" s="32"/>
      <c r="AD453" s="32"/>
      <c r="AE453" s="32">
        <f t="shared" ref="AE453:AE455" si="142">SUM(AB453:AC453)</f>
        <v>24368</v>
      </c>
      <c r="AF453" s="12"/>
      <c r="AG453" s="12">
        <f>94.5+39</f>
        <v>133.5</v>
      </c>
      <c r="AH453" s="12"/>
      <c r="AI453" s="12">
        <f t="shared" ref="AI453:AI484" si="143">SUM(AE453:AH453)</f>
        <v>24501.5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63</v>
      </c>
      <c r="C454" s="83">
        <f t="shared" ref="C454:C472" si="144">C453+1</f>
        <v>9929</v>
      </c>
      <c r="D454" s="33">
        <f>650*13+670*2+622*4+912+9.5*17</f>
        <v>13351.5</v>
      </c>
      <c r="E454" s="32"/>
      <c r="F454" s="33"/>
      <c r="G454" s="33">
        <f t="shared" si="138"/>
        <v>13351.5</v>
      </c>
      <c r="H454" s="34"/>
      <c r="I454" s="34"/>
      <c r="J454" s="34"/>
      <c r="K454" s="34">
        <f t="shared" si="139"/>
        <v>13351.5</v>
      </c>
      <c r="M454" s="10">
        <v>3</v>
      </c>
      <c r="N454" s="30" t="s">
        <v>63</v>
      </c>
      <c r="O454" s="31">
        <f t="shared" ref="O454:O456" si="145">O453+1</f>
        <v>10098</v>
      </c>
      <c r="P454" s="32">
        <f>650*22+622*5+229*3</f>
        <v>18097</v>
      </c>
      <c r="Q454" s="32"/>
      <c r="R454" s="32"/>
      <c r="S454" s="32">
        <f t="shared" si="140"/>
        <v>18097</v>
      </c>
      <c r="T454" s="12"/>
      <c r="U454" s="12"/>
      <c r="V454" s="12">
        <v>-1332</v>
      </c>
      <c r="W454" s="12">
        <f t="shared" si="141"/>
        <v>16765</v>
      </c>
      <c r="Y454" s="10">
        <v>3</v>
      </c>
      <c r="Z454" s="30" t="s">
        <v>63</v>
      </c>
      <c r="AA454" s="31">
        <f t="shared" ref="AA454:AA457" si="146">AA453+1</f>
        <v>10028</v>
      </c>
      <c r="AB454" s="33">
        <f>650*7+622*3+9.5*10</f>
        <v>6511</v>
      </c>
      <c r="AC454" s="33"/>
      <c r="AD454" s="32"/>
      <c r="AE454" s="32">
        <f t="shared" si="142"/>
        <v>6511</v>
      </c>
      <c r="AF454" s="12"/>
      <c r="AG454" s="12"/>
      <c r="AH454" s="12"/>
      <c r="AI454" s="12">
        <f t="shared" si="143"/>
        <v>6511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63</v>
      </c>
      <c r="C455" s="83">
        <f t="shared" si="144"/>
        <v>9930</v>
      </c>
      <c r="D455" s="32">
        <f>650*10+670+9.5*10</f>
        <v>7265</v>
      </c>
      <c r="E455" s="32"/>
      <c r="F455" s="32"/>
      <c r="G455" s="32">
        <f t="shared" si="138"/>
        <v>7265</v>
      </c>
      <c r="H455" s="12"/>
      <c r="I455" s="12"/>
      <c r="J455" s="12"/>
      <c r="K455" s="12">
        <f t="shared" si="139"/>
        <v>7265</v>
      </c>
      <c r="M455" s="10">
        <v>4</v>
      </c>
      <c r="N455" s="30" t="s">
        <v>63</v>
      </c>
      <c r="O455" s="31">
        <f t="shared" si="145"/>
        <v>10099</v>
      </c>
      <c r="P455" s="32">
        <f>650*2+9.5*2</f>
        <v>1319</v>
      </c>
      <c r="Q455" s="32"/>
      <c r="R455" s="32"/>
      <c r="S455" s="32">
        <f t="shared" si="140"/>
        <v>1319</v>
      </c>
      <c r="T455" s="12"/>
      <c r="U455" s="12"/>
      <c r="V455" s="12"/>
      <c r="W455" s="12">
        <f t="shared" si="141"/>
        <v>1319</v>
      </c>
      <c r="Y455" s="10">
        <v>4</v>
      </c>
      <c r="Z455" s="30" t="s">
        <v>63</v>
      </c>
      <c r="AA455" s="31">
        <f t="shared" si="146"/>
        <v>10029</v>
      </c>
      <c r="AB455" s="32">
        <f>650*20+622*10+229</f>
        <v>19449</v>
      </c>
      <c r="AC455" s="32"/>
      <c r="AD455" s="32"/>
      <c r="AE455" s="32">
        <f t="shared" si="142"/>
        <v>19449</v>
      </c>
      <c r="AF455" s="12"/>
      <c r="AG455">
        <f>30*111+78</f>
        <v>3408</v>
      </c>
      <c r="AH455" s="12"/>
      <c r="AI455" s="12">
        <f t="shared" si="143"/>
        <v>22857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63</v>
      </c>
      <c r="C456" s="83">
        <f t="shared" si="144"/>
        <v>9931</v>
      </c>
      <c r="D456" s="32">
        <f>650*3+9.5*3</f>
        <v>1978.5</v>
      </c>
      <c r="E456" s="32"/>
      <c r="F456" s="32"/>
      <c r="G456" s="32">
        <f t="shared" si="138"/>
        <v>1978.5</v>
      </c>
      <c r="H456" s="12"/>
      <c r="I456" s="12"/>
      <c r="J456" s="12"/>
      <c r="K456" s="12">
        <f t="shared" si="139"/>
        <v>1978.5</v>
      </c>
      <c r="M456" s="10">
        <v>5</v>
      </c>
      <c r="N456" s="30" t="s">
        <v>63</v>
      </c>
      <c r="O456" s="31">
        <f t="shared" si="145"/>
        <v>10100</v>
      </c>
      <c r="P456" s="32">
        <f>650*8+670+622*2+9.5*10</f>
        <v>7209</v>
      </c>
      <c r="Q456" s="32"/>
      <c r="R456" s="32"/>
      <c r="S456" s="32">
        <f t="shared" si="140"/>
        <v>7209</v>
      </c>
      <c r="T456" s="12"/>
      <c r="U456" s="12"/>
      <c r="V456" s="12">
        <f>-111*12</f>
        <v>-1332</v>
      </c>
      <c r="W456" s="12">
        <f t="shared" si="141"/>
        <v>5877</v>
      </c>
      <c r="Y456" s="10">
        <v>5</v>
      </c>
      <c r="Z456" s="30" t="s">
        <v>63</v>
      </c>
      <c r="AA456" s="31">
        <f t="shared" si="146"/>
        <v>10030</v>
      </c>
      <c r="AB456" s="32">
        <f>650*255+670*20+650*5+622*54+1050*20+872*4+12*229+500*4</f>
        <v>245224</v>
      </c>
      <c r="AC456" s="32">
        <f>-353*6</f>
        <v>-2118</v>
      </c>
      <c r="AD456" s="32"/>
      <c r="AE456" s="32">
        <f t="shared" ref="AE456:AE457" si="147">SUM(AB456:AC456)</f>
        <v>243106</v>
      </c>
      <c r="AF456" s="12"/>
      <c r="AG456" s="12"/>
      <c r="AH456" s="12"/>
      <c r="AI456" s="12">
        <f t="shared" si="143"/>
        <v>243106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63</v>
      </c>
      <c r="C457" s="83">
        <f t="shared" si="144"/>
        <v>9932</v>
      </c>
      <c r="D457" s="32">
        <f>650*5+622+9.5*6+500</f>
        <v>4429</v>
      </c>
      <c r="E457" s="32"/>
      <c r="F457" s="32"/>
      <c r="G457" s="32">
        <f t="shared" si="138"/>
        <v>4429</v>
      </c>
      <c r="H457" s="12"/>
      <c r="I457" s="12"/>
      <c r="J457" s="12"/>
      <c r="K457" s="12">
        <f t="shared" si="139"/>
        <v>4429</v>
      </c>
      <c r="M457" s="10">
        <v>6</v>
      </c>
      <c r="N457" s="30" t="s">
        <v>63</v>
      </c>
      <c r="O457" s="31">
        <v>10151</v>
      </c>
      <c r="P457" s="32">
        <f>650*4+670</f>
        <v>3270</v>
      </c>
      <c r="Q457" s="32"/>
      <c r="R457" s="32"/>
      <c r="S457" s="32">
        <f t="shared" si="140"/>
        <v>3270</v>
      </c>
      <c r="T457" s="12"/>
      <c r="U457" s="12"/>
      <c r="V457" s="10">
        <v>-1332</v>
      </c>
      <c r="W457" s="12">
        <f t="shared" si="141"/>
        <v>1938</v>
      </c>
      <c r="Y457" s="10">
        <v>6</v>
      </c>
      <c r="Z457" s="30" t="s">
        <v>63</v>
      </c>
      <c r="AA457" s="31">
        <f t="shared" si="146"/>
        <v>10031</v>
      </c>
      <c r="AB457" s="32">
        <f>650*108+670*10+622*5+872+229*2</f>
        <v>81340</v>
      </c>
      <c r="AC457" s="32">
        <f>-123*6</f>
        <v>-738</v>
      </c>
      <c r="AD457" s="32"/>
      <c r="AE457" s="32">
        <f t="shared" si="147"/>
        <v>80602</v>
      </c>
      <c r="AF457" s="12"/>
      <c r="AG457" s="12">
        <v>504</v>
      </c>
      <c r="AH457" s="10"/>
      <c r="AI457" s="12">
        <f t="shared" si="143"/>
        <v>81106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 t="s">
        <v>63</v>
      </c>
      <c r="C458" s="83">
        <f t="shared" si="144"/>
        <v>9933</v>
      </c>
      <c r="D458" s="32">
        <f>650*6+9.5*6</f>
        <v>3957</v>
      </c>
      <c r="E458" s="32"/>
      <c r="F458" s="32"/>
      <c r="G458" s="32">
        <f t="shared" si="138"/>
        <v>3957</v>
      </c>
      <c r="H458" s="12"/>
      <c r="I458" s="12"/>
      <c r="J458" s="12"/>
      <c r="K458" s="12">
        <f t="shared" si="139"/>
        <v>3957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>SUM(AB458:AC458)</f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 t="s">
        <v>63</v>
      </c>
      <c r="C459" s="83">
        <f t="shared" si="144"/>
        <v>9934</v>
      </c>
      <c r="D459" s="32">
        <f>650*12+9.5*12</f>
        <v>7914</v>
      </c>
      <c r="E459" s="32"/>
      <c r="F459" s="32"/>
      <c r="G459" s="32">
        <f t="shared" si="138"/>
        <v>7914</v>
      </c>
      <c r="H459" s="12"/>
      <c r="I459" s="12"/>
      <c r="J459" s="12"/>
      <c r="K459" s="12">
        <f t="shared" si="139"/>
        <v>7914</v>
      </c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ref="AE459:AE490" si="148">SUM(AB459:AC459)</f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 t="s">
        <v>63</v>
      </c>
      <c r="C460" s="83">
        <f t="shared" si="144"/>
        <v>9935</v>
      </c>
      <c r="D460" s="32">
        <f>650*6+622+9.5*7</f>
        <v>4588.5</v>
      </c>
      <c r="E460" s="32"/>
      <c r="F460" s="32"/>
      <c r="G460" s="32">
        <f t="shared" si="138"/>
        <v>4588.5</v>
      </c>
      <c r="H460" s="12"/>
      <c r="I460" s="12"/>
      <c r="J460" s="12"/>
      <c r="K460" s="12">
        <f t="shared" si="139"/>
        <v>4588.5</v>
      </c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8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 t="s">
        <v>63</v>
      </c>
      <c r="C461" s="83">
        <f t="shared" si="144"/>
        <v>9936</v>
      </c>
      <c r="D461" s="32">
        <f>650*4+9.5*4</f>
        <v>2638</v>
      </c>
      <c r="E461" s="32"/>
      <c r="F461" s="32"/>
      <c r="G461" s="32">
        <f t="shared" si="138"/>
        <v>2638</v>
      </c>
      <c r="H461" s="12"/>
      <c r="I461" s="12"/>
      <c r="J461" s="12"/>
      <c r="K461" s="12">
        <f t="shared" si="139"/>
        <v>2638</v>
      </c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8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 t="s">
        <v>63</v>
      </c>
      <c r="C462" s="83">
        <f t="shared" si="144"/>
        <v>9937</v>
      </c>
      <c r="D462" s="32">
        <f>650*5+622+9.5*6</f>
        <v>3929</v>
      </c>
      <c r="E462" s="32"/>
      <c r="F462" s="32"/>
      <c r="G462" s="32">
        <f t="shared" si="138"/>
        <v>3929</v>
      </c>
      <c r="H462" s="12"/>
      <c r="I462" s="12"/>
      <c r="J462" s="12"/>
      <c r="K462" s="12">
        <f t="shared" si="139"/>
        <v>3929</v>
      </c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8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 t="s">
        <v>63</v>
      </c>
      <c r="C463" s="83">
        <f t="shared" si="144"/>
        <v>9938</v>
      </c>
      <c r="D463" s="32">
        <f>650*30+670+622*10+229+650</f>
        <v>27269</v>
      </c>
      <c r="E463" s="32"/>
      <c r="F463" s="32"/>
      <c r="G463" s="32">
        <f t="shared" si="138"/>
        <v>27269</v>
      </c>
      <c r="H463" s="12"/>
      <c r="I463" s="12"/>
      <c r="J463" s="10"/>
      <c r="K463" s="12">
        <f t="shared" si="139"/>
        <v>27269</v>
      </c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8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 t="s">
        <v>63</v>
      </c>
      <c r="C464" s="83">
        <f t="shared" si="144"/>
        <v>9939</v>
      </c>
      <c r="D464" s="32">
        <f>650</f>
        <v>650</v>
      </c>
      <c r="E464" s="32"/>
      <c r="F464" s="32"/>
      <c r="G464" s="32">
        <f t="shared" si="138"/>
        <v>650</v>
      </c>
      <c r="H464" s="12"/>
      <c r="I464" s="12"/>
      <c r="J464" s="12"/>
      <c r="K464" s="12">
        <f t="shared" si="139"/>
        <v>650</v>
      </c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8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 t="s">
        <v>63</v>
      </c>
      <c r="C465" s="83">
        <f t="shared" si="144"/>
        <v>9940</v>
      </c>
      <c r="D465" s="32">
        <f>650*27</f>
        <v>17550</v>
      </c>
      <c r="E465" s="32"/>
      <c r="F465" s="32"/>
      <c r="G465" s="32">
        <f t="shared" si="138"/>
        <v>17550</v>
      </c>
      <c r="H465" s="12"/>
      <c r="I465" s="12">
        <v>162</v>
      </c>
      <c r="J465" s="12"/>
      <c r="K465" s="12">
        <f t="shared" si="139"/>
        <v>17712</v>
      </c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8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 t="s">
        <v>63</v>
      </c>
      <c r="C466" s="83">
        <f t="shared" si="144"/>
        <v>9941</v>
      </c>
      <c r="D466" s="32">
        <f>650*12+670+872+500</f>
        <v>9842</v>
      </c>
      <c r="E466" s="32"/>
      <c r="F466" s="32"/>
      <c r="G466" s="32">
        <f t="shared" si="138"/>
        <v>9842</v>
      </c>
      <c r="H466" s="12"/>
      <c r="I466" s="12">
        <v>16.5</v>
      </c>
      <c r="J466" s="12"/>
      <c r="K466" s="12">
        <f t="shared" si="139"/>
        <v>9858.5</v>
      </c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8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 t="s">
        <v>63</v>
      </c>
      <c r="C467" s="83">
        <f t="shared" si="144"/>
        <v>9942</v>
      </c>
      <c r="D467" s="32">
        <f>650*9+872</f>
        <v>6722</v>
      </c>
      <c r="E467" s="32"/>
      <c r="F467" s="32"/>
      <c r="G467" s="32">
        <f t="shared" si="138"/>
        <v>6722</v>
      </c>
      <c r="H467" s="12"/>
      <c r="I467" s="12"/>
      <c r="J467" s="12"/>
      <c r="K467" s="12">
        <f t="shared" si="139"/>
        <v>6722</v>
      </c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AA467" s="11"/>
      <c r="AB467" s="32"/>
      <c r="AC467" s="32"/>
      <c r="AD467" s="32"/>
      <c r="AE467" s="32">
        <f t="shared" si="148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 t="s">
        <v>63</v>
      </c>
      <c r="C468" s="83">
        <f t="shared" si="144"/>
        <v>9943</v>
      </c>
      <c r="D468" s="32">
        <f>650*122+670*5</f>
        <v>82650</v>
      </c>
      <c r="E468" s="32"/>
      <c r="F468" s="32"/>
      <c r="G468" s="32">
        <f t="shared" si="138"/>
        <v>82650</v>
      </c>
      <c r="H468" s="12"/>
      <c r="I468" s="12"/>
      <c r="J468" s="12"/>
      <c r="K468" s="12">
        <f t="shared" si="139"/>
        <v>82650</v>
      </c>
      <c r="M468" s="10">
        <v>17</v>
      </c>
      <c r="N468" s="30"/>
      <c r="O468" s="31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8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 t="s">
        <v>63</v>
      </c>
      <c r="C469" s="83">
        <f t="shared" si="144"/>
        <v>9944</v>
      </c>
      <c r="D469" s="32">
        <f>650*16</f>
        <v>10400</v>
      </c>
      <c r="E469" s="32"/>
      <c r="F469" s="32"/>
      <c r="G469" s="32">
        <f t="shared" si="138"/>
        <v>10400</v>
      </c>
      <c r="H469" s="12"/>
      <c r="I469" s="12"/>
      <c r="J469" s="12"/>
      <c r="K469" s="12">
        <f t="shared" si="139"/>
        <v>10400</v>
      </c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8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 t="s">
        <v>63</v>
      </c>
      <c r="C470" s="83">
        <f t="shared" si="144"/>
        <v>9945</v>
      </c>
      <c r="D470" s="32">
        <f>650*5+9.5*5</f>
        <v>3297.5</v>
      </c>
      <c r="E470" s="32"/>
      <c r="F470" s="32"/>
      <c r="G470" s="32">
        <f t="shared" si="138"/>
        <v>3297.5</v>
      </c>
      <c r="H470" s="12"/>
      <c r="I470" s="12"/>
      <c r="J470" s="12"/>
      <c r="K470" s="12">
        <f t="shared" si="139"/>
        <v>3297.5</v>
      </c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8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 t="s">
        <v>63</v>
      </c>
      <c r="C471" s="83">
        <f t="shared" si="144"/>
        <v>9946</v>
      </c>
      <c r="D471" s="32">
        <f>650*4+9.5*4</f>
        <v>2638</v>
      </c>
      <c r="E471" s="32"/>
      <c r="F471" s="32"/>
      <c r="G471" s="32">
        <f t="shared" si="138"/>
        <v>2638</v>
      </c>
      <c r="H471" s="12"/>
      <c r="I471" s="12"/>
      <c r="J471" s="12"/>
      <c r="K471" s="12">
        <f t="shared" si="139"/>
        <v>2638</v>
      </c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B471" s="32"/>
      <c r="AC471" s="32"/>
      <c r="AD471" s="32"/>
      <c r="AE471" s="32">
        <f t="shared" si="148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 t="s">
        <v>63</v>
      </c>
      <c r="C472" s="83">
        <f t="shared" si="144"/>
        <v>9947</v>
      </c>
      <c r="D472" s="32">
        <f>650</f>
        <v>650</v>
      </c>
      <c r="E472" s="32"/>
      <c r="F472" s="32"/>
      <c r="G472" s="32">
        <f t="shared" si="138"/>
        <v>650</v>
      </c>
      <c r="H472" s="10"/>
      <c r="I472" s="10"/>
      <c r="J472" s="10"/>
      <c r="K472" s="12">
        <f t="shared" si="139"/>
        <v>650</v>
      </c>
      <c r="M472" s="10">
        <v>21</v>
      </c>
      <c r="N472" s="30"/>
      <c r="O472" s="1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8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11" t="s">
        <v>27</v>
      </c>
      <c r="D473" s="32"/>
      <c r="E473" s="32"/>
      <c r="F473" s="32"/>
      <c r="G473" s="32">
        <f t="shared" si="138"/>
        <v>0</v>
      </c>
      <c r="H473" s="10"/>
      <c r="I473" s="10"/>
      <c r="J473" s="10"/>
      <c r="K473" s="12">
        <f t="shared" si="139"/>
        <v>0</v>
      </c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8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38"/>
        <v>0</v>
      </c>
      <c r="H474" s="10"/>
      <c r="I474" s="10"/>
      <c r="J474" s="12"/>
      <c r="K474" s="12">
        <f t="shared" si="139"/>
        <v>0</v>
      </c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8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38"/>
        <v>0</v>
      </c>
      <c r="H475" s="10"/>
      <c r="I475" s="10"/>
      <c r="J475" s="10"/>
      <c r="K475" s="12">
        <f t="shared" si="139"/>
        <v>0</v>
      </c>
      <c r="M475" s="10">
        <v>24</v>
      </c>
      <c r="N475" s="30"/>
      <c r="O475" s="31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8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38"/>
        <v>0</v>
      </c>
      <c r="H476" s="10"/>
      <c r="I476" s="10"/>
      <c r="J476" s="10"/>
      <c r="K476" s="12">
        <f t="shared" si="139"/>
        <v>0</v>
      </c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8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38"/>
        <v>0</v>
      </c>
      <c r="H477" s="10"/>
      <c r="I477" s="10"/>
      <c r="J477" s="10"/>
      <c r="K477" s="12">
        <f t="shared" si="139"/>
        <v>0</v>
      </c>
      <c r="M477" s="10">
        <v>26</v>
      </c>
      <c r="N477" s="30"/>
      <c r="O477" s="31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8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38"/>
        <v>0</v>
      </c>
      <c r="H478" s="10"/>
      <c r="I478" s="10"/>
      <c r="J478" s="10"/>
      <c r="K478" s="12">
        <f t="shared" si="139"/>
        <v>0</v>
      </c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8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38"/>
        <v>0</v>
      </c>
      <c r="H479" s="10"/>
      <c r="I479" s="10"/>
      <c r="J479" s="10"/>
      <c r="K479" s="12">
        <f t="shared" si="139"/>
        <v>0</v>
      </c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8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38"/>
        <v>0</v>
      </c>
      <c r="H480" s="10"/>
      <c r="I480" s="10"/>
      <c r="J480" s="10"/>
      <c r="K480" s="12">
        <f t="shared" si="139"/>
        <v>0</v>
      </c>
      <c r="M480" s="10">
        <v>29</v>
      </c>
      <c r="N480" s="30"/>
      <c r="O480" s="31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8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38"/>
        <v>0</v>
      </c>
      <c r="H481" s="10"/>
      <c r="I481" s="10"/>
      <c r="J481" s="10"/>
      <c r="K481" s="12">
        <f t="shared" si="139"/>
        <v>0</v>
      </c>
      <c r="M481" s="10">
        <v>30</v>
      </c>
      <c r="N481" s="30"/>
      <c r="O481" s="31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8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11"/>
      <c r="D482" s="32"/>
      <c r="E482" s="32"/>
      <c r="F482" s="32"/>
      <c r="G482" s="32">
        <f t="shared" si="138"/>
        <v>0</v>
      </c>
      <c r="H482" s="10"/>
      <c r="I482" s="10"/>
      <c r="J482" s="10"/>
      <c r="K482" s="12">
        <f t="shared" si="139"/>
        <v>0</v>
      </c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8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38"/>
        <v>0</v>
      </c>
      <c r="H483" s="10"/>
      <c r="I483" s="10"/>
      <c r="J483" s="10"/>
      <c r="K483" s="12">
        <f t="shared" si="139"/>
        <v>0</v>
      </c>
      <c r="M483" s="10">
        <v>32</v>
      </c>
      <c r="N483" s="30"/>
      <c r="O483" s="31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8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38"/>
        <v>0</v>
      </c>
      <c r="H484" s="10"/>
      <c r="I484" s="10"/>
      <c r="J484" s="10"/>
      <c r="K484" s="12">
        <f t="shared" si="139"/>
        <v>0</v>
      </c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8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38"/>
        <v>0</v>
      </c>
      <c r="H485" s="10"/>
      <c r="I485" s="10"/>
      <c r="J485" s="10"/>
      <c r="K485" s="12">
        <f t="shared" si="139"/>
        <v>0</v>
      </c>
      <c r="M485" s="10">
        <v>34</v>
      </c>
      <c r="N485" s="30"/>
      <c r="O485" s="31"/>
      <c r="P485" s="47"/>
      <c r="Q485" s="31"/>
      <c r="R485" s="31"/>
      <c r="S485" s="32">
        <f t="shared" si="140"/>
        <v>0</v>
      </c>
      <c r="T485" s="10"/>
      <c r="U485" s="10"/>
      <c r="V485" s="10"/>
      <c r="W485" s="12">
        <f t="shared" si="141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48"/>
        <v>0</v>
      </c>
      <c r="AF485" s="10"/>
      <c r="AG485" s="10"/>
      <c r="AH485" s="10"/>
      <c r="AI485" s="12">
        <f t="shared" ref="AI485:AI493" si="149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0"/>
        <v>0</v>
      </c>
      <c r="T486" s="10"/>
      <c r="U486" s="10"/>
      <c r="V486" s="10"/>
      <c r="W486" s="12">
        <f t="shared" si="141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8"/>
        <v>0</v>
      </c>
      <c r="AF486" s="10"/>
      <c r="AG486" s="10"/>
      <c r="AH486" s="10"/>
      <c r="AI486" s="12">
        <f t="shared" si="14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0"/>
        <v>0</v>
      </c>
      <c r="T487" s="10"/>
      <c r="U487" s="10"/>
      <c r="V487" s="10"/>
      <c r="W487" s="12">
        <f t="shared" si="141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8"/>
        <v>0</v>
      </c>
      <c r="AF487" s="10"/>
      <c r="AG487" s="10"/>
      <c r="AH487" s="10"/>
      <c r="AI487" s="12">
        <f t="shared" si="14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0"/>
        <v>0</v>
      </c>
      <c r="T488" s="10"/>
      <c r="U488" s="10"/>
      <c r="V488" s="10"/>
      <c r="W488" s="12">
        <f t="shared" si="141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8"/>
        <v>0</v>
      </c>
      <c r="AF488" s="10"/>
      <c r="AG488" s="10"/>
      <c r="AH488" s="10"/>
      <c r="AI488" s="12">
        <f t="shared" si="14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0"/>
        <v>0</v>
      </c>
      <c r="T489" s="10"/>
      <c r="U489" s="10"/>
      <c r="V489" s="10"/>
      <c r="W489" s="12">
        <f t="shared" si="141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8"/>
        <v>0</v>
      </c>
      <c r="AF489" s="10"/>
      <c r="AG489" s="10"/>
      <c r="AH489" s="10"/>
      <c r="AI489" s="12">
        <f t="shared" si="14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0"/>
        <v>0</v>
      </c>
      <c r="T490" s="10"/>
      <c r="U490" s="10"/>
      <c r="V490" s="10"/>
      <c r="W490" s="12">
        <f t="shared" si="141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8"/>
        <v>0</v>
      </c>
      <c r="AF490" s="10"/>
      <c r="AG490" s="10"/>
      <c r="AH490" s="10"/>
      <c r="AI490" s="12">
        <f t="shared" si="14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1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0">SUM(D492:E492)</f>
        <v>0</v>
      </c>
      <c r="H492" s="10"/>
      <c r="I492" s="10"/>
      <c r="J492" s="10"/>
      <c r="K492" s="12">
        <f t="shared" ref="K492" si="151">SUM(G492:J492)</f>
        <v>0</v>
      </c>
      <c r="M492" s="10"/>
      <c r="N492" s="30"/>
      <c r="O492" s="31"/>
      <c r="P492" s="47"/>
      <c r="Q492" s="31"/>
      <c r="R492" s="31"/>
      <c r="S492" s="32">
        <f t="shared" ref="S492" si="152">SUM(P492:Q492)</f>
        <v>0</v>
      </c>
      <c r="T492" s="10"/>
      <c r="U492" s="10"/>
      <c r="V492" s="10"/>
      <c r="W492" s="12">
        <f t="shared" si="141"/>
        <v>0</v>
      </c>
      <c r="Y492" s="10"/>
      <c r="Z492" s="30"/>
      <c r="AA492" s="31"/>
      <c r="AB492" s="47"/>
      <c r="AC492" s="31"/>
      <c r="AD492" s="31"/>
      <c r="AE492" s="32">
        <f t="shared" ref="AE492" si="153">SUM(AB492:AC492)</f>
        <v>0</v>
      </c>
      <c r="AF492" s="10"/>
      <c r="AG492" s="10"/>
      <c r="AH492" s="10"/>
      <c r="AI492" s="12">
        <f t="shared" si="14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1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231785</v>
      </c>
      <c r="E495" s="38">
        <f t="shared" ref="E495:F495" si="154">SUM(E452:E492)</f>
        <v>-60</v>
      </c>
      <c r="F495" s="38">
        <f t="shared" si="154"/>
        <v>0</v>
      </c>
      <c r="G495" s="38">
        <f>SUM(G452:G494)</f>
        <v>231725</v>
      </c>
      <c r="H495" s="4"/>
      <c r="I495" s="39">
        <f>SUM(I452:I494)</f>
        <v>178.5</v>
      </c>
      <c r="J495" s="39">
        <f>SUM(J452:J494)</f>
        <v>0</v>
      </c>
      <c r="K495" s="40">
        <f>SUM(K452:K494)</f>
        <v>231903.5</v>
      </c>
      <c r="N495" s="57"/>
      <c r="O495" s="57"/>
      <c r="P495" s="38">
        <f>SUM(P452:P494)</f>
        <v>278581</v>
      </c>
      <c r="Q495" s="38">
        <f>SUM(Q452:Q476)</f>
        <v>-2286</v>
      </c>
      <c r="R495" s="38">
        <f>SUM(R452:R476)</f>
        <v>0</v>
      </c>
      <c r="S495" s="38">
        <f>SUM(S452:S494)</f>
        <v>276295</v>
      </c>
      <c r="T495" s="4"/>
      <c r="U495" s="41">
        <f>SUM(U452:U494)</f>
        <v>864</v>
      </c>
      <c r="V495" s="41">
        <f>SUM(V452:V476)</f>
        <v>-4164</v>
      </c>
      <c r="W495" s="42">
        <f>SUM(W452:W494)</f>
        <v>272995</v>
      </c>
      <c r="Z495" s="57"/>
      <c r="AA495" s="57"/>
      <c r="AB495" s="38">
        <f>SUM(AB452:AB494)</f>
        <v>383487</v>
      </c>
      <c r="AC495" s="38">
        <f>SUM(AC452:AC476)</f>
        <v>-2856</v>
      </c>
      <c r="AD495" s="38">
        <f>SUM(AD452:AD476)</f>
        <v>0</v>
      </c>
      <c r="AE495" s="38">
        <f>SUM(AE452:AE494)</f>
        <v>380631</v>
      </c>
      <c r="AF495" s="4"/>
      <c r="AG495" s="41">
        <f>SUM(AG452:AG494)</f>
        <v>4045.5</v>
      </c>
      <c r="AH495" s="41">
        <f>SUM(AH452:AH476)</f>
        <v>0</v>
      </c>
      <c r="AI495" s="42">
        <f>SUM(AI452:AI494)</f>
        <v>384676.5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37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37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37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34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2" t="s">
        <v>17</v>
      </c>
      <c r="E505" s="112"/>
      <c r="F505" s="100"/>
      <c r="G505" s="27"/>
      <c r="I505" s="110" t="s">
        <v>18</v>
      </c>
      <c r="J505" s="111"/>
      <c r="K505" s="108" t="s">
        <v>19</v>
      </c>
      <c r="N505" s="25"/>
      <c r="O505" s="26"/>
      <c r="P505" s="112" t="s">
        <v>17</v>
      </c>
      <c r="Q505" s="112"/>
      <c r="R505" s="100"/>
      <c r="S505" s="27"/>
      <c r="U505" s="110" t="s">
        <v>18</v>
      </c>
      <c r="V505" s="111"/>
      <c r="W505" s="108" t="s">
        <v>19</v>
      </c>
      <c r="Z505" s="25"/>
      <c r="AA505" s="26"/>
      <c r="AB505" s="112" t="s">
        <v>17</v>
      </c>
      <c r="AC505" s="112"/>
      <c r="AD505" s="100"/>
      <c r="AE505" s="27"/>
      <c r="AG505" s="110" t="s">
        <v>18</v>
      </c>
      <c r="AH505" s="111"/>
      <c r="AI505" s="108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09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09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09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83">
        <v>9948</v>
      </c>
      <c r="D507" s="32">
        <f>650*115+670*4+700*5+622*10+1050+872+229*5+650</f>
        <v>90867</v>
      </c>
      <c r="E507" s="32"/>
      <c r="F507" s="32"/>
      <c r="G507" s="32">
        <f t="shared" ref="G507:G540" si="155">SUM(D507:E507)</f>
        <v>90867</v>
      </c>
      <c r="H507" s="12"/>
      <c r="I507" s="12">
        <f>78*5</f>
        <v>390</v>
      </c>
      <c r="J507" s="12"/>
      <c r="K507" s="12">
        <f t="shared" ref="K507:K540" si="156">SUM(G507:J507)</f>
        <v>91257</v>
      </c>
      <c r="M507" s="10">
        <v>1</v>
      </c>
      <c r="N507" s="30" t="s">
        <v>66</v>
      </c>
      <c r="O507" s="31">
        <v>10152</v>
      </c>
      <c r="P507" s="32">
        <f>650*300+973*5+622*30+229*13</f>
        <v>221502</v>
      </c>
      <c r="Q507" s="32">
        <f>-335*6</f>
        <v>-2010</v>
      </c>
      <c r="R507" s="32"/>
      <c r="S507" s="32">
        <f>SUM(P507:Q507)</f>
        <v>219492</v>
      </c>
      <c r="T507" s="12"/>
      <c r="U507" s="12">
        <f>858+120</f>
        <v>978</v>
      </c>
      <c r="V507" s="12">
        <f>-4329+-84+-252</f>
        <v>-4665</v>
      </c>
      <c r="W507" s="12">
        <f>SUM(S507:V507)</f>
        <v>215805</v>
      </c>
      <c r="Y507" s="10">
        <v>1</v>
      </c>
      <c r="Z507" s="30" t="s">
        <v>66</v>
      </c>
      <c r="AA507" s="31">
        <v>10032</v>
      </c>
      <c r="AB507" s="32">
        <f>650*158+622*58+872+229*5</f>
        <v>140793</v>
      </c>
      <c r="AC507" s="32"/>
      <c r="AD507" s="32"/>
      <c r="AE507" s="32">
        <f>SUM(AB507:AC507)</f>
        <v>140793</v>
      </c>
      <c r="AF507" s="12"/>
      <c r="AG507" s="12">
        <v>9657</v>
      </c>
      <c r="AH507" s="12"/>
      <c r="AI507" s="12">
        <f>SUM(AE507:AH507)</f>
        <v>150450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83">
        <f>C507+1</f>
        <v>9949</v>
      </c>
      <c r="D508" s="32">
        <f>650*216+670*20+912*10+229*9+650</f>
        <v>165631</v>
      </c>
      <c r="E508" s="32">
        <f>-246*6</f>
        <v>-1476</v>
      </c>
      <c r="F508" s="32"/>
      <c r="G508" s="32">
        <f t="shared" si="155"/>
        <v>164155</v>
      </c>
      <c r="H508" s="12"/>
      <c r="I508" s="12">
        <f>111*110+78*8</f>
        <v>12834</v>
      </c>
      <c r="J508" s="12">
        <f>-84+-336+-30+-9</f>
        <v>-459</v>
      </c>
      <c r="K508" s="12">
        <f t="shared" si="156"/>
        <v>176530</v>
      </c>
      <c r="M508" s="10">
        <v>2</v>
      </c>
      <c r="N508" s="30" t="s">
        <v>66</v>
      </c>
      <c r="O508" s="31">
        <f>O507+1</f>
        <v>10153</v>
      </c>
      <c r="P508" s="32">
        <f>650*35+670+622*5+912+872</f>
        <v>28314</v>
      </c>
      <c r="Q508" s="32"/>
      <c r="R508" s="32"/>
      <c r="S508" s="32">
        <f t="shared" ref="S508:S545" si="157">SUM(P508:Q508)</f>
        <v>28314</v>
      </c>
      <c r="T508" s="12"/>
      <c r="U508" s="12">
        <v>135</v>
      </c>
      <c r="V508" s="12">
        <v>-555</v>
      </c>
      <c r="W508" s="12">
        <f t="shared" ref="W508:W548" si="158">SUM(S508:V508)</f>
        <v>27894</v>
      </c>
      <c r="Y508" s="10">
        <v>2</v>
      </c>
      <c r="Z508" s="30" t="s">
        <v>66</v>
      </c>
      <c r="AA508" s="31">
        <f>AA507+1</f>
        <v>10033</v>
      </c>
      <c r="AB508" s="32">
        <f>650*10+670+622+9.5*11</f>
        <v>7896.5</v>
      </c>
      <c r="AC508" s="32"/>
      <c r="AD508" s="32"/>
      <c r="AE508" s="32">
        <f t="shared" ref="AE508:AE510" si="159">SUM(AB508:AC508)</f>
        <v>7896.5</v>
      </c>
      <c r="AF508" s="12"/>
      <c r="AG508" s="12">
        <f>94.5+6.75</f>
        <v>101.25</v>
      </c>
      <c r="AH508" s="12"/>
      <c r="AI508" s="12">
        <f t="shared" ref="AI508:AI539" si="160">SUM(AE508:AH508)</f>
        <v>7997.75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83">
        <f t="shared" ref="C509" si="161">C508+1</f>
        <v>9950</v>
      </c>
      <c r="D509" s="33">
        <f>973*65+1050*2+872*3</f>
        <v>67961</v>
      </c>
      <c r="E509" s="32"/>
      <c r="F509" s="33"/>
      <c r="G509" s="33">
        <f t="shared" si="155"/>
        <v>67961</v>
      </c>
      <c r="H509" s="34"/>
      <c r="I509" s="34"/>
      <c r="J509" s="34"/>
      <c r="K509" s="34">
        <f t="shared" si="156"/>
        <v>67961</v>
      </c>
      <c r="M509" s="10">
        <v>3</v>
      </c>
      <c r="N509" s="30" t="s">
        <v>66</v>
      </c>
      <c r="O509" s="31">
        <f t="shared" ref="O509" si="162">O508+1</f>
        <v>10154</v>
      </c>
      <c r="P509" s="32">
        <f>650*3</f>
        <v>1950</v>
      </c>
      <c r="Q509" s="32"/>
      <c r="R509" s="32"/>
      <c r="S509" s="32">
        <f t="shared" si="157"/>
        <v>1950</v>
      </c>
      <c r="T509" s="12"/>
      <c r="U509" s="12"/>
      <c r="V509" s="12"/>
      <c r="W509" s="12">
        <f t="shared" si="158"/>
        <v>1950</v>
      </c>
      <c r="Y509" s="10">
        <v>3</v>
      </c>
      <c r="Z509" s="30" t="s">
        <v>66</v>
      </c>
      <c r="AA509" s="31">
        <f t="shared" ref="AA509:AA517" si="163">AA508+1</f>
        <v>10034</v>
      </c>
      <c r="AB509" s="33">
        <f>650*90+670*5+622*20+229*6+650*3</f>
        <v>77614</v>
      </c>
      <c r="AC509" s="33">
        <f>-115*6</f>
        <v>-690</v>
      </c>
      <c r="AD509" s="32"/>
      <c r="AE509" s="32">
        <f t="shared" si="159"/>
        <v>76924</v>
      </c>
      <c r="AF509" s="12"/>
      <c r="AG509" s="12">
        <f>12*1.5</f>
        <v>18</v>
      </c>
      <c r="AH509" s="12"/>
      <c r="AI509" s="12">
        <f t="shared" si="160"/>
        <v>76942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/>
      <c r="C510" s="11" t="s">
        <v>27</v>
      </c>
      <c r="D510" s="32"/>
      <c r="E510" s="32"/>
      <c r="F510" s="32"/>
      <c r="G510" s="32">
        <f t="shared" si="155"/>
        <v>0</v>
      </c>
      <c r="H510" s="12"/>
      <c r="I510" s="12"/>
      <c r="J510" s="12"/>
      <c r="K510" s="12">
        <f t="shared" si="156"/>
        <v>0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57"/>
        <v>0</v>
      </c>
      <c r="T510" s="12"/>
      <c r="U510" s="12"/>
      <c r="V510" s="12"/>
      <c r="W510" s="12">
        <f t="shared" si="158"/>
        <v>0</v>
      </c>
      <c r="Y510" s="10">
        <v>4</v>
      </c>
      <c r="Z510" s="30" t="s">
        <v>66</v>
      </c>
      <c r="AA510" s="31">
        <f t="shared" si="163"/>
        <v>10035</v>
      </c>
      <c r="AB510" s="32">
        <f>650*27+670*6+872*3+229+500</f>
        <v>24915</v>
      </c>
      <c r="AC510" s="32"/>
      <c r="AD510" s="32"/>
      <c r="AE510" s="32">
        <f t="shared" si="159"/>
        <v>24915</v>
      </c>
      <c r="AF510" s="12"/>
      <c r="AG510">
        <f>111+1.5*12</f>
        <v>129</v>
      </c>
      <c r="AH510" s="12"/>
      <c r="AI510" s="12">
        <f t="shared" si="160"/>
        <v>25044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83"/>
      <c r="D511" s="32"/>
      <c r="E511" s="32"/>
      <c r="F511" s="32"/>
      <c r="G511" s="32">
        <f t="shared" si="155"/>
        <v>0</v>
      </c>
      <c r="H511" s="12"/>
      <c r="I511" s="12"/>
      <c r="J511" s="12"/>
      <c r="K511" s="12">
        <f t="shared" si="156"/>
        <v>0</v>
      </c>
      <c r="M511" s="10">
        <v>5</v>
      </c>
      <c r="N511" s="30"/>
      <c r="O511" s="31"/>
      <c r="P511" s="32"/>
      <c r="Q511" s="32"/>
      <c r="R511" s="32"/>
      <c r="S511" s="32">
        <f t="shared" si="157"/>
        <v>0</v>
      </c>
      <c r="T511" s="12"/>
      <c r="U511" s="12"/>
      <c r="V511" s="12"/>
      <c r="W511" s="12">
        <f t="shared" si="158"/>
        <v>0</v>
      </c>
      <c r="Y511" s="10">
        <v>5</v>
      </c>
      <c r="Z511" s="30" t="s">
        <v>66</v>
      </c>
      <c r="AA511" s="31">
        <f t="shared" si="163"/>
        <v>10036</v>
      </c>
      <c r="AB511" s="32"/>
      <c r="AC511" s="32"/>
      <c r="AD511" s="32"/>
      <c r="AE511" s="32">
        <f t="shared" ref="AE511:AE512" si="164">SUM(AB511:AC511)</f>
        <v>0</v>
      </c>
      <c r="AF511" s="12"/>
      <c r="AG511" s="12"/>
      <c r="AH511" s="12"/>
      <c r="AI511" s="12">
        <f t="shared" si="160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5"/>
        <v>0</v>
      </c>
      <c r="H512" s="12"/>
      <c r="I512" s="12"/>
      <c r="J512" s="12"/>
      <c r="K512" s="12">
        <f t="shared" si="156"/>
        <v>0</v>
      </c>
      <c r="M512" s="10">
        <v>6</v>
      </c>
      <c r="N512" s="30"/>
      <c r="O512" s="31"/>
      <c r="P512" s="32"/>
      <c r="Q512" s="32"/>
      <c r="R512" s="32"/>
      <c r="S512" s="32">
        <f t="shared" si="157"/>
        <v>0</v>
      </c>
      <c r="T512" s="12"/>
      <c r="U512" s="12"/>
      <c r="V512" s="10"/>
      <c r="W512" s="12">
        <f t="shared" si="158"/>
        <v>0</v>
      </c>
      <c r="Y512" s="10">
        <v>6</v>
      </c>
      <c r="Z512" s="30" t="s">
        <v>66</v>
      </c>
      <c r="AA512" s="31">
        <f t="shared" si="163"/>
        <v>10037</v>
      </c>
      <c r="AB512" s="32">
        <f>650*80+670*8+622*12+1050+229*3</f>
        <v>66561</v>
      </c>
      <c r="AC512" s="32">
        <f>-101*6</f>
        <v>-606</v>
      </c>
      <c r="AD512" s="32"/>
      <c r="AE512" s="32">
        <f t="shared" si="164"/>
        <v>65955</v>
      </c>
      <c r="AF512" s="12"/>
      <c r="AG512" s="12">
        <f>31*111+2.25*84</f>
        <v>3630</v>
      </c>
      <c r="AH512" s="10"/>
      <c r="AI512" s="12">
        <f t="shared" si="160"/>
        <v>69585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5"/>
        <v>0</v>
      </c>
      <c r="H513" s="12"/>
      <c r="I513" s="12"/>
      <c r="J513" s="12"/>
      <c r="K513" s="12">
        <f t="shared" si="156"/>
        <v>0</v>
      </c>
      <c r="M513" s="10">
        <v>7</v>
      </c>
      <c r="N513" s="30"/>
      <c r="O513" s="31"/>
      <c r="P513" s="32"/>
      <c r="Q513" s="32"/>
      <c r="R513" s="32"/>
      <c r="S513" s="32">
        <f t="shared" si="157"/>
        <v>0</v>
      </c>
      <c r="T513" s="12"/>
      <c r="U513" s="12"/>
      <c r="V513" s="12"/>
      <c r="W513" s="12">
        <f t="shared" si="158"/>
        <v>0</v>
      </c>
      <c r="Y513" s="10">
        <v>7</v>
      </c>
      <c r="Z513" s="30" t="s">
        <v>66</v>
      </c>
      <c r="AA513" s="31">
        <f t="shared" si="163"/>
        <v>10038</v>
      </c>
      <c r="AB513" s="32">
        <f>650*108+622*20</f>
        <v>82640</v>
      </c>
      <c r="AC513" s="32">
        <v>-768</v>
      </c>
      <c r="AD513" s="32"/>
      <c r="AE513" s="32">
        <f>SUM(AB513:AC513)</f>
        <v>81872</v>
      </c>
      <c r="AF513" s="12"/>
      <c r="AG513" s="58"/>
      <c r="AH513" s="12"/>
      <c r="AI513" s="12">
        <f t="shared" si="160"/>
        <v>81872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55"/>
        <v>0</v>
      </c>
      <c r="H514" s="12"/>
      <c r="I514" s="12"/>
      <c r="J514" s="12"/>
      <c r="K514" s="12">
        <f t="shared" si="156"/>
        <v>0</v>
      </c>
      <c r="M514" s="10">
        <v>8</v>
      </c>
      <c r="N514" s="30"/>
      <c r="O514" s="31"/>
      <c r="P514" s="32"/>
      <c r="Q514" s="32"/>
      <c r="R514" s="32"/>
      <c r="S514" s="32">
        <f t="shared" si="157"/>
        <v>0</v>
      </c>
      <c r="T514" s="12"/>
      <c r="U514" s="12"/>
      <c r="V514" s="12"/>
      <c r="W514" s="12">
        <f t="shared" si="158"/>
        <v>0</v>
      </c>
      <c r="Y514" s="10">
        <v>8</v>
      </c>
      <c r="Z514" s="30" t="s">
        <v>66</v>
      </c>
      <c r="AA514" s="31">
        <f t="shared" si="163"/>
        <v>10039</v>
      </c>
      <c r="AB514" s="32">
        <f>650*26+229</f>
        <v>17129</v>
      </c>
      <c r="AC514" s="32"/>
      <c r="AE514" s="32">
        <f t="shared" ref="AE514:AE545" si="165">SUM(AB514:AC514)</f>
        <v>17129</v>
      </c>
      <c r="AF514" s="12"/>
      <c r="AG514" s="12">
        <f>4.5*20+2.25*3</f>
        <v>96.75</v>
      </c>
      <c r="AH514" s="12"/>
      <c r="AI514" s="12">
        <f t="shared" si="160"/>
        <v>17225.75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5"/>
        <v>0</v>
      </c>
      <c r="H515" s="12"/>
      <c r="I515" s="12"/>
      <c r="J515" s="12"/>
      <c r="K515" s="12">
        <f t="shared" si="156"/>
        <v>0</v>
      </c>
      <c r="M515" s="10">
        <v>9</v>
      </c>
      <c r="N515" s="30"/>
      <c r="O515" s="31"/>
      <c r="P515" s="32"/>
      <c r="Q515" s="32"/>
      <c r="R515" s="32"/>
      <c r="S515" s="32">
        <f t="shared" si="157"/>
        <v>0</v>
      </c>
      <c r="T515" s="12"/>
      <c r="U515" s="12"/>
      <c r="V515" s="12"/>
      <c r="W515" s="12">
        <f t="shared" si="158"/>
        <v>0</v>
      </c>
      <c r="Y515" s="10">
        <v>9</v>
      </c>
      <c r="Z515" s="30" t="s">
        <v>66</v>
      </c>
      <c r="AA515" s="31">
        <f t="shared" si="163"/>
        <v>10040</v>
      </c>
      <c r="AB515" s="32">
        <f>650*26+229</f>
        <v>17129</v>
      </c>
      <c r="AC515" s="32"/>
      <c r="AD515" s="32"/>
      <c r="AE515" s="32">
        <f t="shared" si="165"/>
        <v>17129</v>
      </c>
      <c r="AF515" s="12"/>
      <c r="AH515" s="12">
        <v>-1332</v>
      </c>
      <c r="AI515" s="12">
        <f t="shared" si="160"/>
        <v>15797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5"/>
        <v>0</v>
      </c>
      <c r="H516" s="12"/>
      <c r="I516" s="12"/>
      <c r="J516" s="12"/>
      <c r="K516" s="12">
        <f t="shared" si="156"/>
        <v>0</v>
      </c>
      <c r="M516" s="10">
        <v>10</v>
      </c>
      <c r="N516" s="30"/>
      <c r="O516" s="31"/>
      <c r="P516" s="32"/>
      <c r="Q516" s="32"/>
      <c r="R516" s="32"/>
      <c r="S516" s="32">
        <f t="shared" si="157"/>
        <v>0</v>
      </c>
      <c r="T516" s="12"/>
      <c r="U516" s="12"/>
      <c r="V516" s="12"/>
      <c r="W516" s="12">
        <f t="shared" si="158"/>
        <v>0</v>
      </c>
      <c r="Y516" s="10">
        <v>10</v>
      </c>
      <c r="Z516" s="30" t="s">
        <v>66</v>
      </c>
      <c r="AA516" s="31">
        <f t="shared" si="163"/>
        <v>10041</v>
      </c>
      <c r="AB516" s="32">
        <f>650*2</f>
        <v>1300</v>
      </c>
      <c r="AC516" s="32"/>
      <c r="AD516" s="32"/>
      <c r="AE516" s="32">
        <f t="shared" si="165"/>
        <v>1300</v>
      </c>
      <c r="AF516" s="12"/>
      <c r="AG516" s="12"/>
      <c r="AH516" s="12"/>
      <c r="AI516" s="12">
        <f t="shared" si="160"/>
        <v>1300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55"/>
        <v>0</v>
      </c>
      <c r="H517" s="12"/>
      <c r="I517" s="12"/>
      <c r="J517" s="12"/>
      <c r="K517" s="12">
        <f t="shared" si="156"/>
        <v>0</v>
      </c>
      <c r="M517" s="10">
        <v>11</v>
      </c>
      <c r="N517" s="30"/>
      <c r="O517" s="31"/>
      <c r="P517" s="32"/>
      <c r="Q517" s="32"/>
      <c r="R517" s="32"/>
      <c r="S517" s="32">
        <f t="shared" si="157"/>
        <v>0</v>
      </c>
      <c r="T517" s="12"/>
      <c r="U517" s="12"/>
      <c r="V517" s="12"/>
      <c r="W517" s="12">
        <f t="shared" si="158"/>
        <v>0</v>
      </c>
      <c r="Y517" s="10">
        <v>11</v>
      </c>
      <c r="Z517" s="30" t="s">
        <v>66</v>
      </c>
      <c r="AA517" s="31">
        <f t="shared" si="163"/>
        <v>10042</v>
      </c>
      <c r="AB517" s="32">
        <f>650*35+622*12</f>
        <v>30214</v>
      </c>
      <c r="AC517" s="32"/>
      <c r="AD517" s="32"/>
      <c r="AE517" s="32">
        <f t="shared" si="165"/>
        <v>30214</v>
      </c>
      <c r="AF517" s="12"/>
      <c r="AG517" s="12"/>
      <c r="AH517" s="12"/>
      <c r="AI517" s="12">
        <f t="shared" si="160"/>
        <v>30214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5"/>
        <v>0</v>
      </c>
      <c r="H518" s="12"/>
      <c r="I518" s="12"/>
      <c r="J518" s="10"/>
      <c r="K518" s="12">
        <f t="shared" si="156"/>
        <v>0</v>
      </c>
      <c r="M518" s="10">
        <v>12</v>
      </c>
      <c r="N518" s="30"/>
      <c r="O518" s="31"/>
      <c r="P518" s="32"/>
      <c r="Q518" s="32"/>
      <c r="R518" s="32"/>
      <c r="S518" s="32">
        <f t="shared" si="157"/>
        <v>0</v>
      </c>
      <c r="T518" s="12"/>
      <c r="U518" s="12"/>
      <c r="V518" s="12"/>
      <c r="W518" s="12">
        <f t="shared" si="158"/>
        <v>0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65"/>
        <v>0</v>
      </c>
      <c r="AF518" s="12"/>
      <c r="AG518" s="12"/>
      <c r="AH518" s="12"/>
      <c r="AI518" s="12">
        <f t="shared" si="160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5"/>
        <v>0</v>
      </c>
      <c r="H519" s="12"/>
      <c r="I519" s="12"/>
      <c r="J519" s="12"/>
      <c r="K519" s="12">
        <f t="shared" si="156"/>
        <v>0</v>
      </c>
      <c r="M519" s="10">
        <v>13</v>
      </c>
      <c r="N519" s="30"/>
      <c r="O519" s="31"/>
      <c r="P519" s="32"/>
      <c r="Q519" s="32"/>
      <c r="R519" s="32"/>
      <c r="S519" s="32">
        <f t="shared" si="157"/>
        <v>0</v>
      </c>
      <c r="T519" s="12"/>
      <c r="U519" s="12"/>
      <c r="V519" s="12"/>
      <c r="W519" s="12">
        <f t="shared" si="158"/>
        <v>0</v>
      </c>
      <c r="Y519" s="10">
        <v>13</v>
      </c>
      <c r="Z519" s="30"/>
      <c r="AA519" s="11"/>
      <c r="AB519" s="32"/>
      <c r="AC519" s="32"/>
      <c r="AD519" s="32"/>
      <c r="AE519" s="32">
        <f t="shared" si="165"/>
        <v>0</v>
      </c>
      <c r="AF519" s="12"/>
      <c r="AG519" s="12"/>
      <c r="AH519" s="12"/>
      <c r="AI519" s="12">
        <f t="shared" si="160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5"/>
        <v>0</v>
      </c>
      <c r="H520" s="12"/>
      <c r="I520" s="12"/>
      <c r="J520" s="12"/>
      <c r="K520" s="12">
        <f t="shared" si="156"/>
        <v>0</v>
      </c>
      <c r="M520" s="10">
        <v>14</v>
      </c>
      <c r="N520" s="30"/>
      <c r="O520" s="31"/>
      <c r="P520" s="32"/>
      <c r="Q520" s="32"/>
      <c r="R520" s="32"/>
      <c r="S520" s="32">
        <f t="shared" si="157"/>
        <v>0</v>
      </c>
      <c r="T520" s="12"/>
      <c r="U520" s="12"/>
      <c r="V520" s="12"/>
      <c r="W520" s="12">
        <f t="shared" si="158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5"/>
        <v>0</v>
      </c>
      <c r="AF520" s="12"/>
      <c r="AG520" s="12"/>
      <c r="AH520" s="12"/>
      <c r="AI520" s="12">
        <f t="shared" si="160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5"/>
        <v>0</v>
      </c>
      <c r="H521" s="12"/>
      <c r="I521" s="12"/>
      <c r="J521" s="12"/>
      <c r="K521" s="12">
        <f t="shared" si="156"/>
        <v>0</v>
      </c>
      <c r="M521" s="10">
        <v>15</v>
      </c>
      <c r="N521" s="30"/>
      <c r="O521" s="31"/>
      <c r="P521" s="32"/>
      <c r="Q521" s="32"/>
      <c r="R521" s="32"/>
      <c r="S521" s="32">
        <f t="shared" si="157"/>
        <v>0</v>
      </c>
      <c r="T521" s="12"/>
      <c r="U521" s="12"/>
      <c r="V521" s="12"/>
      <c r="W521" s="12">
        <f t="shared" si="158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5"/>
        <v>0</v>
      </c>
      <c r="AF521" s="12"/>
      <c r="AG521" s="12"/>
      <c r="AH521" s="12"/>
      <c r="AI521" s="12">
        <f t="shared" si="160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55"/>
        <v>0</v>
      </c>
      <c r="H522" s="12"/>
      <c r="I522" s="12"/>
      <c r="J522" s="12"/>
      <c r="K522" s="12">
        <f t="shared" si="156"/>
        <v>0</v>
      </c>
      <c r="M522" s="10">
        <v>16</v>
      </c>
      <c r="N522" s="30"/>
      <c r="O522" s="11"/>
      <c r="P522" s="32"/>
      <c r="Q522" s="32"/>
      <c r="R522" s="32"/>
      <c r="S522" s="32">
        <f t="shared" si="157"/>
        <v>0</v>
      </c>
      <c r="T522" s="12"/>
      <c r="U522" s="12"/>
      <c r="V522" s="12"/>
      <c r="W522" s="12">
        <f t="shared" si="158"/>
        <v>0</v>
      </c>
      <c r="Y522" s="10">
        <v>16</v>
      </c>
      <c r="AA522" s="11"/>
      <c r="AB522" s="32"/>
      <c r="AC522" s="32"/>
      <c r="AD522" s="32"/>
      <c r="AE522" s="32">
        <f t="shared" si="165"/>
        <v>0</v>
      </c>
      <c r="AF522" s="12"/>
      <c r="AG522" s="12"/>
      <c r="AH522" s="12"/>
      <c r="AI522" s="12">
        <f t="shared" si="160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5"/>
        <v>0</v>
      </c>
      <c r="H523" s="12"/>
      <c r="I523" s="12"/>
      <c r="J523" s="12"/>
      <c r="K523" s="12">
        <f t="shared" si="156"/>
        <v>0</v>
      </c>
      <c r="M523" s="10">
        <v>17</v>
      </c>
      <c r="N523" s="30"/>
      <c r="O523" s="31"/>
      <c r="P523" s="35"/>
      <c r="Q523" s="32"/>
      <c r="R523" s="32"/>
      <c r="S523" s="32">
        <f t="shared" si="157"/>
        <v>0</v>
      </c>
      <c r="T523" s="12"/>
      <c r="U523" s="12"/>
      <c r="V523" s="12"/>
      <c r="W523" s="12">
        <f t="shared" si="158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5"/>
        <v>0</v>
      </c>
      <c r="AF523" s="12"/>
      <c r="AG523" s="12"/>
      <c r="AH523" s="12"/>
      <c r="AI523" s="12">
        <f t="shared" si="160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5"/>
        <v>0</v>
      </c>
      <c r="H524" s="12"/>
      <c r="I524" s="12"/>
      <c r="J524" s="12"/>
      <c r="K524" s="12">
        <f t="shared" si="156"/>
        <v>0</v>
      </c>
      <c r="M524" s="10">
        <v>18</v>
      </c>
      <c r="N524" s="30"/>
      <c r="O524" s="31"/>
      <c r="P524" s="32"/>
      <c r="Q524" s="32"/>
      <c r="R524" s="32"/>
      <c r="S524" s="32">
        <f t="shared" si="157"/>
        <v>0</v>
      </c>
      <c r="T524" s="12"/>
      <c r="U524" s="12"/>
      <c r="V524" s="12"/>
      <c r="W524" s="12">
        <f t="shared" si="158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5"/>
        <v>0</v>
      </c>
      <c r="AF524" s="12"/>
      <c r="AG524" s="12"/>
      <c r="AH524" s="12"/>
      <c r="AI524" s="12">
        <f t="shared" si="160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5"/>
        <v>0</v>
      </c>
      <c r="H525" s="12"/>
      <c r="I525" s="12"/>
      <c r="J525" s="12"/>
      <c r="K525" s="12">
        <f t="shared" si="156"/>
        <v>0</v>
      </c>
      <c r="M525" s="10">
        <v>19</v>
      </c>
      <c r="N525" s="30"/>
      <c r="O525" s="31"/>
      <c r="P525" s="32"/>
      <c r="Q525" s="32"/>
      <c r="R525" s="32"/>
      <c r="S525" s="32">
        <f t="shared" si="157"/>
        <v>0</v>
      </c>
      <c r="T525" s="12"/>
      <c r="U525" s="12"/>
      <c r="V525" s="12"/>
      <c r="W525" s="12">
        <f t="shared" si="158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5"/>
        <v>0</v>
      </c>
      <c r="AF525" s="12"/>
      <c r="AG525" s="12"/>
      <c r="AH525" s="12"/>
      <c r="AI525" s="12">
        <f t="shared" si="160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5"/>
        <v>0</v>
      </c>
      <c r="H526" s="12"/>
      <c r="I526" s="12"/>
      <c r="J526" s="12"/>
      <c r="K526" s="12">
        <f t="shared" si="156"/>
        <v>0</v>
      </c>
      <c r="M526" s="10">
        <v>20</v>
      </c>
      <c r="N526" s="30"/>
      <c r="O526" s="31"/>
      <c r="P526" s="32"/>
      <c r="Q526" s="32"/>
      <c r="R526" s="32"/>
      <c r="S526" s="32">
        <f t="shared" si="157"/>
        <v>0</v>
      </c>
      <c r="T526" s="12"/>
      <c r="U526" s="12"/>
      <c r="V526" s="12"/>
      <c r="W526" s="12">
        <f t="shared" si="158"/>
        <v>0</v>
      </c>
      <c r="Y526" s="10">
        <v>20</v>
      </c>
      <c r="Z526" s="30"/>
      <c r="AB526" s="32"/>
      <c r="AC526" s="32"/>
      <c r="AD526" s="32"/>
      <c r="AE526" s="32">
        <f t="shared" si="165"/>
        <v>0</v>
      </c>
      <c r="AF526" s="12"/>
      <c r="AG526" s="12"/>
      <c r="AH526" s="12"/>
      <c r="AI526" s="12">
        <f t="shared" si="160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55"/>
        <v>0</v>
      </c>
      <c r="H527" s="10"/>
      <c r="I527" s="10"/>
      <c r="J527" s="10"/>
      <c r="K527" s="12">
        <f t="shared" si="156"/>
        <v>0</v>
      </c>
      <c r="M527" s="10">
        <v>21</v>
      </c>
      <c r="N527" s="30"/>
      <c r="O527" s="11"/>
      <c r="P527" s="46"/>
      <c r="Q527" s="31"/>
      <c r="R527" s="31"/>
      <c r="S527" s="32">
        <f t="shared" si="157"/>
        <v>0</v>
      </c>
      <c r="T527" s="10"/>
      <c r="U527" s="10"/>
      <c r="V527" s="10"/>
      <c r="W527" s="12">
        <f t="shared" si="158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5"/>
        <v>0</v>
      </c>
      <c r="AF527" s="10"/>
      <c r="AG527" s="10"/>
      <c r="AH527" s="10"/>
      <c r="AI527" s="12">
        <f t="shared" si="160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55"/>
        <v>0</v>
      </c>
      <c r="H528" s="10"/>
      <c r="I528" s="10"/>
      <c r="J528" s="10"/>
      <c r="K528" s="12">
        <f t="shared" si="156"/>
        <v>0</v>
      </c>
      <c r="M528" s="10">
        <v>22</v>
      </c>
      <c r="N528" s="30"/>
      <c r="O528" s="31"/>
      <c r="P528" s="45"/>
      <c r="Q528" s="31"/>
      <c r="R528" s="31"/>
      <c r="S528" s="32">
        <f t="shared" si="157"/>
        <v>0</v>
      </c>
      <c r="T528" s="10"/>
      <c r="U528" s="10"/>
      <c r="V528" s="10"/>
      <c r="W528" s="12">
        <f t="shared" si="158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5"/>
        <v>0</v>
      </c>
      <c r="AF528" s="10"/>
      <c r="AG528" s="10"/>
      <c r="AH528" s="10"/>
      <c r="AI528" s="12">
        <f t="shared" si="160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5"/>
        <v>0</v>
      </c>
      <c r="H529" s="10"/>
      <c r="I529" s="10"/>
      <c r="J529" s="12"/>
      <c r="K529" s="12">
        <f t="shared" si="156"/>
        <v>0</v>
      </c>
      <c r="M529" s="10">
        <v>23</v>
      </c>
      <c r="N529" s="30"/>
      <c r="O529" s="31"/>
      <c r="P529" s="47"/>
      <c r="S529" s="32">
        <f t="shared" si="157"/>
        <v>0</v>
      </c>
      <c r="T529" s="10"/>
      <c r="U529" s="10"/>
      <c r="V529" s="10"/>
      <c r="W529" s="12">
        <f t="shared" si="158"/>
        <v>0</v>
      </c>
      <c r="Y529" s="10">
        <v>23</v>
      </c>
      <c r="Z529" s="30"/>
      <c r="AA529" s="31"/>
      <c r="AB529" s="47"/>
      <c r="AC529" s="31"/>
      <c r="AE529" s="32">
        <f t="shared" si="165"/>
        <v>0</v>
      </c>
      <c r="AF529" s="10"/>
      <c r="AG529" s="10"/>
      <c r="AH529" s="10"/>
      <c r="AI529" s="12">
        <f t="shared" si="160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5"/>
        <v>0</v>
      </c>
      <c r="H530" s="10"/>
      <c r="I530" s="10"/>
      <c r="J530" s="10"/>
      <c r="K530" s="12">
        <f t="shared" si="156"/>
        <v>0</v>
      </c>
      <c r="M530" s="10">
        <v>24</v>
      </c>
      <c r="N530" s="30"/>
      <c r="O530" s="31"/>
      <c r="P530" s="47"/>
      <c r="Q530" s="31"/>
      <c r="R530" s="31"/>
      <c r="S530" s="32">
        <f t="shared" si="157"/>
        <v>0</v>
      </c>
      <c r="T530" s="10"/>
      <c r="U530" s="10"/>
      <c r="V530" s="10"/>
      <c r="W530" s="12">
        <f t="shared" si="158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5"/>
        <v>0</v>
      </c>
      <c r="AF530" s="10"/>
      <c r="AG530" s="10"/>
      <c r="AH530" s="10"/>
      <c r="AI530" s="12">
        <f t="shared" si="160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5"/>
        <v>0</v>
      </c>
      <c r="H531" s="10"/>
      <c r="I531" s="10"/>
      <c r="J531" s="10"/>
      <c r="K531" s="12">
        <f t="shared" si="156"/>
        <v>0</v>
      </c>
      <c r="M531" s="10">
        <v>25</v>
      </c>
      <c r="N531" s="30"/>
      <c r="O531" s="31"/>
      <c r="P531" s="47"/>
      <c r="Q531" s="31"/>
      <c r="R531" s="31"/>
      <c r="S531" s="32">
        <f t="shared" si="157"/>
        <v>0</v>
      </c>
      <c r="T531" s="10"/>
      <c r="U531" s="10"/>
      <c r="V531" s="10"/>
      <c r="W531" s="12">
        <f t="shared" si="158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5"/>
        <v>0</v>
      </c>
      <c r="AF531" s="10"/>
      <c r="AG531" s="10"/>
      <c r="AH531" s="10"/>
      <c r="AI531" s="12">
        <f t="shared" si="160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5"/>
        <v>0</v>
      </c>
      <c r="H532" s="10"/>
      <c r="I532" s="10"/>
      <c r="J532" s="10"/>
      <c r="K532" s="12">
        <f t="shared" si="156"/>
        <v>0</v>
      </c>
      <c r="M532" s="10">
        <v>26</v>
      </c>
      <c r="N532" s="30"/>
      <c r="O532" s="31"/>
      <c r="P532" s="47"/>
      <c r="Q532" s="31"/>
      <c r="R532" s="31"/>
      <c r="S532" s="32">
        <f t="shared" si="157"/>
        <v>0</v>
      </c>
      <c r="T532" s="10"/>
      <c r="U532" s="10"/>
      <c r="V532" s="10"/>
      <c r="W532" s="12">
        <f t="shared" si="158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5"/>
        <v>0</v>
      </c>
      <c r="AF532" s="10"/>
      <c r="AG532" s="10"/>
      <c r="AH532" s="10"/>
      <c r="AI532" s="12">
        <f t="shared" si="160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5"/>
        <v>0</v>
      </c>
      <c r="H533" s="10"/>
      <c r="I533" s="10"/>
      <c r="J533" s="10"/>
      <c r="K533" s="12">
        <f t="shared" si="156"/>
        <v>0</v>
      </c>
      <c r="M533" s="10">
        <v>27</v>
      </c>
      <c r="N533" s="30"/>
      <c r="O533" s="31"/>
      <c r="P533" s="47"/>
      <c r="Q533" s="31"/>
      <c r="R533" s="31"/>
      <c r="S533" s="32">
        <f t="shared" si="157"/>
        <v>0</v>
      </c>
      <c r="T533" s="10"/>
      <c r="U533" s="10"/>
      <c r="V533" s="10"/>
      <c r="W533" s="12">
        <f t="shared" si="158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5"/>
        <v>0</v>
      </c>
      <c r="AF533" s="10"/>
      <c r="AG533" s="10"/>
      <c r="AH533" s="10"/>
      <c r="AI533" s="12">
        <f t="shared" si="160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5"/>
        <v>0</v>
      </c>
      <c r="H534" s="10"/>
      <c r="I534" s="10"/>
      <c r="J534" s="10"/>
      <c r="K534" s="12">
        <f t="shared" si="156"/>
        <v>0</v>
      </c>
      <c r="M534" s="10">
        <v>28</v>
      </c>
      <c r="N534" s="30"/>
      <c r="O534" s="31"/>
      <c r="P534" s="47"/>
      <c r="Q534" s="31"/>
      <c r="R534" s="31"/>
      <c r="S534" s="32">
        <f t="shared" si="157"/>
        <v>0</v>
      </c>
      <c r="T534" s="10"/>
      <c r="U534" s="10"/>
      <c r="V534" s="10"/>
      <c r="W534" s="12">
        <f t="shared" si="158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5"/>
        <v>0</v>
      </c>
      <c r="AF534" s="10"/>
      <c r="AG534" s="10"/>
      <c r="AH534" s="10"/>
      <c r="AI534" s="12">
        <f t="shared" si="160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55"/>
        <v>0</v>
      </c>
      <c r="H535" s="10"/>
      <c r="I535" s="10"/>
      <c r="J535" s="10"/>
      <c r="K535" s="12">
        <f t="shared" si="156"/>
        <v>0</v>
      </c>
      <c r="M535" s="10">
        <v>29</v>
      </c>
      <c r="N535" s="30"/>
      <c r="O535" s="31"/>
      <c r="P535" s="47"/>
      <c r="Q535" s="31"/>
      <c r="R535" s="31"/>
      <c r="S535" s="32">
        <f t="shared" si="157"/>
        <v>0</v>
      </c>
      <c r="T535" s="10"/>
      <c r="U535" s="10"/>
      <c r="V535" s="10"/>
      <c r="W535" s="12">
        <f t="shared" si="158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5"/>
        <v>0</v>
      </c>
      <c r="AF535" s="10"/>
      <c r="AG535" s="10"/>
      <c r="AH535" s="10"/>
      <c r="AI535" s="12">
        <f t="shared" si="160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5"/>
        <v>0</v>
      </c>
      <c r="H536" s="10"/>
      <c r="I536" s="10"/>
      <c r="J536" s="10"/>
      <c r="K536" s="12">
        <f t="shared" si="156"/>
        <v>0</v>
      </c>
      <c r="M536" s="10">
        <v>30</v>
      </c>
      <c r="N536" s="30"/>
      <c r="O536" s="31"/>
      <c r="P536" s="47"/>
      <c r="Q536" s="31"/>
      <c r="R536" s="31"/>
      <c r="S536" s="32">
        <f t="shared" si="157"/>
        <v>0</v>
      </c>
      <c r="T536" s="10"/>
      <c r="U536" s="10"/>
      <c r="V536" s="10"/>
      <c r="W536" s="12">
        <f t="shared" si="158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5"/>
        <v>0</v>
      </c>
      <c r="AF536" s="10"/>
      <c r="AG536" s="10"/>
      <c r="AH536" s="10"/>
      <c r="AI536" s="12">
        <f t="shared" si="160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11"/>
      <c r="D537" s="32"/>
      <c r="E537" s="32"/>
      <c r="F537" s="32"/>
      <c r="G537" s="32">
        <f t="shared" si="155"/>
        <v>0</v>
      </c>
      <c r="H537" s="10"/>
      <c r="I537" s="10"/>
      <c r="J537" s="10"/>
      <c r="K537" s="12">
        <f t="shared" si="156"/>
        <v>0</v>
      </c>
      <c r="M537" s="10">
        <v>31</v>
      </c>
      <c r="N537" s="30"/>
      <c r="O537" s="31"/>
      <c r="P537" s="47"/>
      <c r="Q537" s="31"/>
      <c r="R537" s="31"/>
      <c r="S537" s="32">
        <f t="shared" si="157"/>
        <v>0</v>
      </c>
      <c r="T537" s="10"/>
      <c r="U537" s="10"/>
      <c r="V537" s="10"/>
      <c r="W537" s="12">
        <f t="shared" si="158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5"/>
        <v>0</v>
      </c>
      <c r="AF537" s="10"/>
      <c r="AG537" s="10"/>
      <c r="AH537" s="10"/>
      <c r="AI537" s="12">
        <f t="shared" si="160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5"/>
        <v>0</v>
      </c>
      <c r="H538" s="10"/>
      <c r="I538" s="10"/>
      <c r="J538" s="10"/>
      <c r="K538" s="12">
        <f t="shared" si="156"/>
        <v>0</v>
      </c>
      <c r="M538" s="10">
        <v>32</v>
      </c>
      <c r="N538" s="30"/>
      <c r="O538" s="31"/>
      <c r="P538" s="47"/>
      <c r="Q538" s="31"/>
      <c r="R538" s="31"/>
      <c r="S538" s="32">
        <f t="shared" si="157"/>
        <v>0</v>
      </c>
      <c r="T538" s="10"/>
      <c r="U538" s="10"/>
      <c r="V538" s="10"/>
      <c r="W538" s="12">
        <f t="shared" si="158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5"/>
        <v>0</v>
      </c>
      <c r="AF538" s="10"/>
      <c r="AG538" s="10"/>
      <c r="AH538" s="10"/>
      <c r="AI538" s="12">
        <f t="shared" si="160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5"/>
        <v>0</v>
      </c>
      <c r="H539" s="10"/>
      <c r="I539" s="10"/>
      <c r="J539" s="10"/>
      <c r="K539" s="12">
        <f t="shared" si="156"/>
        <v>0</v>
      </c>
      <c r="M539" s="10">
        <v>33</v>
      </c>
      <c r="N539" s="30"/>
      <c r="O539" s="31"/>
      <c r="P539" s="47"/>
      <c r="Q539" s="31"/>
      <c r="R539" s="31"/>
      <c r="S539" s="32">
        <f t="shared" si="157"/>
        <v>0</v>
      </c>
      <c r="T539" s="10"/>
      <c r="U539" s="10"/>
      <c r="V539" s="10"/>
      <c r="W539" s="12">
        <f t="shared" si="158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5"/>
        <v>0</v>
      </c>
      <c r="AF539" s="10"/>
      <c r="AG539" s="10"/>
      <c r="AH539" s="10"/>
      <c r="AI539" s="12">
        <f t="shared" si="160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5"/>
        <v>0</v>
      </c>
      <c r="H540" s="10"/>
      <c r="I540" s="10"/>
      <c r="J540" s="10"/>
      <c r="K540" s="12">
        <f t="shared" si="156"/>
        <v>0</v>
      </c>
      <c r="M540" s="10">
        <v>34</v>
      </c>
      <c r="N540" s="30"/>
      <c r="O540" s="31"/>
      <c r="P540" s="47"/>
      <c r="Q540" s="31"/>
      <c r="R540" s="31"/>
      <c r="S540" s="32">
        <f t="shared" si="157"/>
        <v>0</v>
      </c>
      <c r="T540" s="10"/>
      <c r="U540" s="10"/>
      <c r="V540" s="10"/>
      <c r="W540" s="12">
        <f t="shared" si="158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5"/>
        <v>0</v>
      </c>
      <c r="AF540" s="10"/>
      <c r="AG540" s="10"/>
      <c r="AH540" s="10"/>
      <c r="AI540" s="12">
        <f t="shared" ref="AI540:AI548" si="166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8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5"/>
        <v>0</v>
      </c>
      <c r="AF541" s="10"/>
      <c r="AG541" s="10"/>
      <c r="AH541" s="10"/>
      <c r="AI541" s="12">
        <f t="shared" si="16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8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5"/>
        <v>0</v>
      </c>
      <c r="AF542" s="10"/>
      <c r="AG542" s="10"/>
      <c r="AH542" s="10"/>
      <c r="AI542" s="12">
        <f t="shared" si="16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8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5"/>
        <v>0</v>
      </c>
      <c r="AF543" s="10"/>
      <c r="AG543" s="10"/>
      <c r="AH543" s="10"/>
      <c r="AI543" s="12">
        <f t="shared" si="16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8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5"/>
        <v>0</v>
      </c>
      <c r="AF544" s="10"/>
      <c r="AG544" s="10"/>
      <c r="AH544" s="10"/>
      <c r="AI544" s="12">
        <f t="shared" si="16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8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5"/>
        <v>0</v>
      </c>
      <c r="AF545" s="10"/>
      <c r="AG545" s="10"/>
      <c r="AH545" s="10"/>
      <c r="AI545" s="12">
        <f t="shared" si="16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8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7">SUM(D547:E547)</f>
        <v>0</v>
      </c>
      <c r="H547" s="10"/>
      <c r="I547" s="10"/>
      <c r="J547" s="10"/>
      <c r="K547" s="12">
        <f t="shared" ref="K547" si="168">SUM(G547:J547)</f>
        <v>0</v>
      </c>
      <c r="M547" s="10"/>
      <c r="N547" s="30"/>
      <c r="O547" s="31"/>
      <c r="P547" s="47"/>
      <c r="Q547" s="31"/>
      <c r="R547" s="31"/>
      <c r="S547" s="32">
        <f t="shared" ref="S547" si="169">SUM(P547:Q547)</f>
        <v>0</v>
      </c>
      <c r="T547" s="10"/>
      <c r="U547" s="10"/>
      <c r="V547" s="10"/>
      <c r="W547" s="12">
        <f t="shared" si="158"/>
        <v>0</v>
      </c>
      <c r="Y547" s="10"/>
      <c r="Z547" s="30"/>
      <c r="AA547" s="31"/>
      <c r="AB547" s="47"/>
      <c r="AC547" s="31"/>
      <c r="AD547" s="31"/>
      <c r="AE547" s="32">
        <f t="shared" ref="AE547" si="170">SUM(AB547:AC547)</f>
        <v>0</v>
      </c>
      <c r="AF547" s="10"/>
      <c r="AG547" s="10"/>
      <c r="AH547" s="10"/>
      <c r="AI547" s="12">
        <f t="shared" si="16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8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324459</v>
      </c>
      <c r="E550" s="38">
        <f t="shared" ref="E550:F550" si="171">SUM(E507:E547)</f>
        <v>-1476</v>
      </c>
      <c r="F550" s="38">
        <f t="shared" si="171"/>
        <v>0</v>
      </c>
      <c r="G550" s="38">
        <f>SUM(G507:G549)</f>
        <v>322983</v>
      </c>
      <c r="H550" s="4"/>
      <c r="I550" s="39">
        <f>SUM(I507:I549)</f>
        <v>13224</v>
      </c>
      <c r="J550" s="39">
        <f>SUM(J507:J549)</f>
        <v>-459</v>
      </c>
      <c r="K550" s="40">
        <f>SUM(K507:K549)</f>
        <v>335748</v>
      </c>
      <c r="N550" s="57"/>
      <c r="O550" s="57"/>
      <c r="P550" s="38">
        <f>SUM(P507:P549)</f>
        <v>251766</v>
      </c>
      <c r="Q550" s="38">
        <f>SUM(Q507:Q531)</f>
        <v>-2010</v>
      </c>
      <c r="R550" s="38">
        <f>SUM(R507:R531)</f>
        <v>0</v>
      </c>
      <c r="S550" s="38">
        <f>SUM(S507:S549)</f>
        <v>249756</v>
      </c>
      <c r="T550" s="4"/>
      <c r="U550" s="41">
        <f>SUM(U507:U549)</f>
        <v>1113</v>
      </c>
      <c r="V550" s="41">
        <f>SUM(V507:V531)</f>
        <v>-5220</v>
      </c>
      <c r="W550" s="42">
        <f>SUM(W507:W549)</f>
        <v>245649</v>
      </c>
      <c r="Z550" s="57"/>
      <c r="AA550" s="57"/>
      <c r="AB550" s="38">
        <f>SUM(AB507:AB549)</f>
        <v>466191.5</v>
      </c>
      <c r="AC550" s="38">
        <f>SUM(AC507:AC531)</f>
        <v>-2064</v>
      </c>
      <c r="AD550" s="38">
        <f>SUM(AD507:AD531)</f>
        <v>0</v>
      </c>
      <c r="AE550" s="38">
        <f>SUM(AE507:AE549)</f>
        <v>464127.5</v>
      </c>
      <c r="AF550" s="4"/>
      <c r="AG550" s="41">
        <f>SUM(AG507:AG549)</f>
        <v>13632</v>
      </c>
      <c r="AH550" s="41">
        <f>SUM(AH507:AH531)</f>
        <v>-1332</v>
      </c>
      <c r="AI550" s="42">
        <f>SUM(AI507:AI549)</f>
        <v>476427.5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41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41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41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68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2" t="s">
        <v>17</v>
      </c>
      <c r="E560" s="112"/>
      <c r="F560" s="101"/>
      <c r="G560" s="27"/>
      <c r="I560" s="110" t="s">
        <v>18</v>
      </c>
      <c r="J560" s="111"/>
      <c r="K560" s="108" t="s">
        <v>19</v>
      </c>
      <c r="N560" s="25"/>
      <c r="O560" s="26"/>
      <c r="P560" s="112" t="s">
        <v>17</v>
      </c>
      <c r="Q560" s="112"/>
      <c r="R560" s="101"/>
      <c r="S560" s="27"/>
      <c r="U560" s="110" t="s">
        <v>18</v>
      </c>
      <c r="V560" s="111"/>
      <c r="W560" s="108" t="s">
        <v>19</v>
      </c>
      <c r="Z560" s="25"/>
      <c r="AA560" s="26"/>
      <c r="AB560" s="112" t="s">
        <v>17</v>
      </c>
      <c r="AC560" s="112"/>
      <c r="AD560" s="101"/>
      <c r="AE560" s="27"/>
      <c r="AG560" s="110" t="s">
        <v>18</v>
      </c>
      <c r="AH560" s="111"/>
      <c r="AI560" s="108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09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09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09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69</v>
      </c>
      <c r="C562" s="83">
        <v>10201</v>
      </c>
      <c r="D562" s="32">
        <f>650*44+700+622*5+229</f>
        <v>32639</v>
      </c>
      <c r="E562" s="32"/>
      <c r="F562" s="32"/>
      <c r="G562" s="32">
        <f t="shared" ref="G562:G595" si="172">SUM(D562:E562)</f>
        <v>32639</v>
      </c>
      <c r="H562" s="12"/>
      <c r="I562" s="12">
        <f>888+112.5</f>
        <v>1000.5</v>
      </c>
      <c r="J562" s="12"/>
      <c r="K562" s="12">
        <f t="shared" ref="K562:K595" si="173">SUM(G562:J562)</f>
        <v>33639.5</v>
      </c>
      <c r="M562" s="10">
        <v>1</v>
      </c>
      <c r="N562" s="30" t="s">
        <v>69</v>
      </c>
      <c r="O562" s="31">
        <v>10155</v>
      </c>
      <c r="P562" s="32">
        <f>650*5+9.5*5</f>
        <v>3297.5</v>
      </c>
      <c r="Q562" s="32"/>
      <c r="R562" s="32"/>
      <c r="S562" s="32">
        <f>SUM(P562:Q562)</f>
        <v>3297.5</v>
      </c>
      <c r="T562" s="12"/>
      <c r="U562" s="12"/>
      <c r="V562" s="12">
        <v>-1110</v>
      </c>
      <c r="W562" s="12">
        <f>SUM(S562:V562)</f>
        <v>2187.5</v>
      </c>
      <c r="Y562" s="10">
        <v>1</v>
      </c>
      <c r="Z562" s="30" t="s">
        <v>69</v>
      </c>
      <c r="AA562" s="31">
        <v>10044</v>
      </c>
      <c r="AB562" s="32">
        <f>650*243+670*15+229*8</f>
        <v>169832</v>
      </c>
      <c r="AC562" s="32">
        <f>-258*6</f>
        <v>-1548</v>
      </c>
      <c r="AD562" s="32"/>
      <c r="AE562" s="32">
        <f>SUM(AB562:AC562)</f>
        <v>168284</v>
      </c>
      <c r="AF562" s="12"/>
      <c r="AG562" s="12"/>
      <c r="AH562" s="12">
        <f>-42*14</f>
        <v>-588</v>
      </c>
      <c r="AI562" s="12">
        <f>SUM(AE562:AH562)</f>
        <v>167696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69</v>
      </c>
      <c r="C563" s="83">
        <f>C562+1</f>
        <v>10202</v>
      </c>
      <c r="D563" s="32">
        <f>650+9.5</f>
        <v>659.5</v>
      </c>
      <c r="E563" s="32"/>
      <c r="F563" s="32"/>
      <c r="G563" s="32">
        <f t="shared" si="172"/>
        <v>659.5</v>
      </c>
      <c r="H563" s="12"/>
      <c r="I563" s="12"/>
      <c r="J563" s="12"/>
      <c r="K563" s="12">
        <f t="shared" si="173"/>
        <v>659.5</v>
      </c>
      <c r="M563" s="10">
        <v>2</v>
      </c>
      <c r="N563" s="30" t="s">
        <v>69</v>
      </c>
      <c r="O563" s="31">
        <f>O562+1</f>
        <v>10156</v>
      </c>
      <c r="P563" s="32">
        <f>650*216+622*40+229*10</f>
        <v>167570</v>
      </c>
      <c r="Q563" s="32">
        <f>-256*6</f>
        <v>-1536</v>
      </c>
      <c r="R563" s="32"/>
      <c r="S563" s="32">
        <f t="shared" ref="S563:S600" si="174">SUM(P563:Q563)</f>
        <v>166034</v>
      </c>
      <c r="T563" s="12"/>
      <c r="U563" s="12">
        <v>702</v>
      </c>
      <c r="V563" s="12">
        <v>-420</v>
      </c>
      <c r="W563" s="12">
        <f t="shared" ref="W563:W603" si="175">SUM(S563:V563)</f>
        <v>166316</v>
      </c>
      <c r="Y563" s="10">
        <v>2</v>
      </c>
      <c r="Z563" s="30" t="s">
        <v>69</v>
      </c>
      <c r="AA563" s="31">
        <f>AA562+1</f>
        <v>10045</v>
      </c>
      <c r="AB563" s="32">
        <f>650*108+229*4</f>
        <v>71116</v>
      </c>
      <c r="AC563" s="32">
        <f>-108*6</f>
        <v>-648</v>
      </c>
      <c r="AD563" s="32"/>
      <c r="AE563" s="32">
        <f t="shared" ref="AE563:AE565" si="176">SUM(AB563:AC563)</f>
        <v>70468</v>
      </c>
      <c r="AF563" s="12"/>
      <c r="AG563" s="12"/>
      <c r="AH563" s="12"/>
      <c r="AI563" s="12">
        <f t="shared" ref="AI563:AI594" si="177">SUM(AE563:AH563)</f>
        <v>70468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69</v>
      </c>
      <c r="C564" s="83">
        <f t="shared" ref="C564:C571" si="178">C563+1</f>
        <v>10203</v>
      </c>
      <c r="D564" s="33">
        <f>650*30+622*2+1050+872+229+500</f>
        <v>23395</v>
      </c>
      <c r="E564" s="32"/>
      <c r="F564" s="33"/>
      <c r="G564" s="33">
        <f t="shared" si="172"/>
        <v>23395</v>
      </c>
      <c r="H564" s="34"/>
      <c r="I564" s="34">
        <f>42+4.5</f>
        <v>46.5</v>
      </c>
      <c r="J564" s="34"/>
      <c r="K564" s="34">
        <f t="shared" si="173"/>
        <v>23441.5</v>
      </c>
      <c r="M564" s="10">
        <v>3</v>
      </c>
      <c r="N564" s="30" t="s">
        <v>69</v>
      </c>
      <c r="O564" s="31">
        <f t="shared" ref="O564:O566" si="179">O563+1</f>
        <v>10157</v>
      </c>
      <c r="P564" s="32">
        <f>650*45</f>
        <v>29250</v>
      </c>
      <c r="Q564" s="32"/>
      <c r="R564" s="32"/>
      <c r="S564" s="32">
        <f t="shared" si="174"/>
        <v>29250</v>
      </c>
      <c r="T564" s="12"/>
      <c r="U564" s="12">
        <v>72</v>
      </c>
      <c r="V564" s="12"/>
      <c r="W564" s="12">
        <f t="shared" si="175"/>
        <v>29322</v>
      </c>
      <c r="Y564" s="10">
        <v>3</v>
      </c>
      <c r="Z564" s="30" t="s">
        <v>69</v>
      </c>
      <c r="AA564" s="31">
        <f t="shared" ref="AA564:AA568" si="180">AA563+1</f>
        <v>10046</v>
      </c>
      <c r="AB564" s="33">
        <f>650*30+912+1050+872+229*2+650+500</f>
        <v>23942</v>
      </c>
      <c r="AC564" s="33"/>
      <c r="AD564" s="32"/>
      <c r="AE564" s="32">
        <f t="shared" si="176"/>
        <v>23942</v>
      </c>
      <c r="AF564" s="12"/>
      <c r="AG564" s="12">
        <f>4.5*6+2.25*3</f>
        <v>33.75</v>
      </c>
      <c r="AH564" s="12"/>
      <c r="AI564" s="12">
        <f t="shared" si="177"/>
        <v>23975.75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69</v>
      </c>
      <c r="C565" s="83">
        <f t="shared" si="178"/>
        <v>10204</v>
      </c>
      <c r="D565" s="32">
        <f>650*20+670*2+700*3+622*3+650</f>
        <v>18956</v>
      </c>
      <c r="E565" s="32"/>
      <c r="F565" s="32"/>
      <c r="G565" s="32">
        <f t="shared" si="172"/>
        <v>18956</v>
      </c>
      <c r="H565" s="12"/>
      <c r="I565" s="12"/>
      <c r="J565" s="12">
        <f>-111*11+-4*120</f>
        <v>-1701</v>
      </c>
      <c r="K565" s="12">
        <f t="shared" si="173"/>
        <v>17255</v>
      </c>
      <c r="M565" s="10">
        <v>4</v>
      </c>
      <c r="N565" s="30" t="s">
        <v>69</v>
      </c>
      <c r="O565" s="31">
        <f t="shared" si="179"/>
        <v>10158</v>
      </c>
      <c r="P565" s="32">
        <f>650*50+670*2+622*18+912+1050+872+229*4</f>
        <v>48786</v>
      </c>
      <c r="Q565" s="32"/>
      <c r="R565" s="32"/>
      <c r="S565" s="32">
        <f t="shared" si="174"/>
        <v>48786</v>
      </c>
      <c r="T565" s="12"/>
      <c r="U565" s="12"/>
      <c r="V565" s="12">
        <f>-120+-78</f>
        <v>-198</v>
      </c>
      <c r="W565" s="12">
        <f t="shared" si="175"/>
        <v>48588</v>
      </c>
      <c r="Y565" s="10">
        <v>4</v>
      </c>
      <c r="Z565" s="30" t="s">
        <v>69</v>
      </c>
      <c r="AA565" s="31">
        <f t="shared" si="180"/>
        <v>10047</v>
      </c>
      <c r="AB565" s="32">
        <f>650*20+670+622*10+229*2</f>
        <v>20348</v>
      </c>
      <c r="AC565" s="32"/>
      <c r="AD565" s="32"/>
      <c r="AE565" s="32">
        <f t="shared" si="176"/>
        <v>20348</v>
      </c>
      <c r="AF565" s="12"/>
      <c r="AH565" s="12"/>
      <c r="AI565" s="12">
        <f t="shared" si="177"/>
        <v>20348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69</v>
      </c>
      <c r="C566" s="83">
        <f t="shared" si="178"/>
        <v>10205</v>
      </c>
      <c r="D566" s="32">
        <f>650*90+622*20+229*4</f>
        <v>71856</v>
      </c>
      <c r="E566" s="32"/>
      <c r="F566" s="32"/>
      <c r="G566" s="32">
        <f t="shared" si="172"/>
        <v>71856</v>
      </c>
      <c r="H566" s="12"/>
      <c r="I566" s="12"/>
      <c r="J566" s="12"/>
      <c r="K566" s="12">
        <f t="shared" si="173"/>
        <v>71856</v>
      </c>
      <c r="M566" s="10">
        <v>5</v>
      </c>
      <c r="N566" s="30" t="s">
        <v>69</v>
      </c>
      <c r="O566" s="31">
        <f t="shared" si="179"/>
        <v>10159</v>
      </c>
      <c r="P566" s="32">
        <f>650*2+9.5*2</f>
        <v>1319</v>
      </c>
      <c r="Q566" s="32"/>
      <c r="R566" s="32"/>
      <c r="S566" s="32">
        <f t="shared" si="174"/>
        <v>1319</v>
      </c>
      <c r="T566" s="12"/>
      <c r="U566" s="12"/>
      <c r="V566" s="12">
        <v>-444</v>
      </c>
      <c r="W566" s="12">
        <f t="shared" si="175"/>
        <v>875</v>
      </c>
      <c r="Y566" s="10">
        <v>5</v>
      </c>
      <c r="Z566" s="30" t="s">
        <v>69</v>
      </c>
      <c r="AA566" s="31">
        <f t="shared" si="180"/>
        <v>10048</v>
      </c>
      <c r="AB566" s="32">
        <f>650*42+670*3+622*5</f>
        <v>32420</v>
      </c>
      <c r="AC566" s="32">
        <f>-50*6</f>
        <v>-300</v>
      </c>
      <c r="AD566" s="32"/>
      <c r="AE566" s="32">
        <f t="shared" ref="AE566:AE567" si="181">SUM(AB566:AC566)</f>
        <v>32120</v>
      </c>
      <c r="AF566" s="12"/>
      <c r="AG566" s="12"/>
      <c r="AH566" s="12"/>
      <c r="AI566" s="12">
        <f t="shared" si="177"/>
        <v>32120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69</v>
      </c>
      <c r="C567" s="83">
        <f t="shared" si="178"/>
        <v>10206</v>
      </c>
      <c r="D567" s="32">
        <f>650*35+622*15</f>
        <v>32080</v>
      </c>
      <c r="E567" s="32"/>
      <c r="F567" s="32"/>
      <c r="G567" s="32">
        <f t="shared" si="172"/>
        <v>32080</v>
      </c>
      <c r="H567" s="12"/>
      <c r="I567" s="12">
        <v>1332</v>
      </c>
      <c r="J567" s="12"/>
      <c r="K567" s="12">
        <f t="shared" si="173"/>
        <v>33412</v>
      </c>
      <c r="M567" s="10">
        <v>6</v>
      </c>
      <c r="N567" s="30"/>
      <c r="O567" s="11" t="s">
        <v>27</v>
      </c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 t="s">
        <v>69</v>
      </c>
      <c r="AA567" s="31">
        <f t="shared" si="180"/>
        <v>10049</v>
      </c>
      <c r="AB567" s="32">
        <f>650*10</f>
        <v>6500</v>
      </c>
      <c r="AC567" s="32"/>
      <c r="AD567" s="32"/>
      <c r="AE567" s="32">
        <f t="shared" si="181"/>
        <v>6500</v>
      </c>
      <c r="AF567" s="12"/>
      <c r="AG567" s="12"/>
      <c r="AH567" s="10"/>
      <c r="AI567" s="12">
        <f t="shared" si="177"/>
        <v>6500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69</v>
      </c>
      <c r="C568" s="83">
        <f t="shared" si="178"/>
        <v>10207</v>
      </c>
      <c r="D568" s="32">
        <f>650*95+700</f>
        <v>62450</v>
      </c>
      <c r="E568" s="32"/>
      <c r="F568" s="32"/>
      <c r="G568" s="32">
        <f t="shared" si="172"/>
        <v>62450</v>
      </c>
      <c r="H568" s="12"/>
      <c r="I568" s="12"/>
      <c r="J568" s="12"/>
      <c r="K568" s="12">
        <f t="shared" si="173"/>
        <v>62450</v>
      </c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 t="s">
        <v>69</v>
      </c>
      <c r="AA568" s="31">
        <f t="shared" si="180"/>
        <v>10050</v>
      </c>
      <c r="AB568" s="32">
        <f>650*24+622*6</f>
        <v>19332</v>
      </c>
      <c r="AC568" s="32"/>
      <c r="AD568" s="32"/>
      <c r="AE568" s="32">
        <f>SUM(AB568:AC568)</f>
        <v>19332</v>
      </c>
      <c r="AF568" s="12"/>
      <c r="AG568" s="58"/>
      <c r="AH568" s="12">
        <v>-555</v>
      </c>
      <c r="AI568" s="12">
        <f t="shared" si="177"/>
        <v>18777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69</v>
      </c>
      <c r="C569" s="83">
        <f t="shared" si="178"/>
        <v>10208</v>
      </c>
      <c r="D569" s="32">
        <f>650+500</f>
        <v>1150</v>
      </c>
      <c r="E569" s="32"/>
      <c r="F569" s="32"/>
      <c r="G569" s="32">
        <f t="shared" si="172"/>
        <v>1150</v>
      </c>
      <c r="H569" s="12"/>
      <c r="I569" s="12"/>
      <c r="J569" s="12"/>
      <c r="K569" s="12">
        <f t="shared" si="173"/>
        <v>1150</v>
      </c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ref="AE569:AE600" si="182">SUM(AB569:AC569)</f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69</v>
      </c>
      <c r="C570" s="83">
        <f t="shared" si="178"/>
        <v>10209</v>
      </c>
      <c r="D570" s="32">
        <f>650*2+9.5*2</f>
        <v>1319</v>
      </c>
      <c r="E570" s="32"/>
      <c r="F570" s="32"/>
      <c r="G570" s="32">
        <f t="shared" si="172"/>
        <v>1319</v>
      </c>
      <c r="H570" s="12"/>
      <c r="I570" s="12"/>
      <c r="J570" s="12"/>
      <c r="K570" s="12">
        <f t="shared" si="173"/>
        <v>1319</v>
      </c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82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69</v>
      </c>
      <c r="C571" s="83">
        <f t="shared" si="178"/>
        <v>10210</v>
      </c>
      <c r="D571" s="32">
        <f>650*2+700+19</f>
        <v>2019</v>
      </c>
      <c r="E571" s="32"/>
      <c r="F571" s="32"/>
      <c r="G571" s="32">
        <f t="shared" si="172"/>
        <v>2019</v>
      </c>
      <c r="H571" s="12"/>
      <c r="I571" s="12"/>
      <c r="J571" s="12"/>
      <c r="K571" s="12">
        <f t="shared" si="173"/>
        <v>2019</v>
      </c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82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11" t="s">
        <v>27</v>
      </c>
      <c r="D572" s="32"/>
      <c r="E572" s="32"/>
      <c r="F572" s="32"/>
      <c r="G572" s="32">
        <f t="shared" si="172"/>
        <v>0</v>
      </c>
      <c r="H572" s="12"/>
      <c r="I572" s="12"/>
      <c r="J572" s="12"/>
      <c r="K572" s="12">
        <f t="shared" si="173"/>
        <v>0</v>
      </c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2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72"/>
        <v>0</v>
      </c>
      <c r="H573" s="12"/>
      <c r="I573" s="12"/>
      <c r="J573" s="10"/>
      <c r="K573" s="12">
        <f t="shared" si="173"/>
        <v>0</v>
      </c>
      <c r="M573" s="10">
        <v>12</v>
      </c>
      <c r="N573" s="30"/>
      <c r="O573" s="31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2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72"/>
        <v>0</v>
      </c>
      <c r="H574" s="12"/>
      <c r="I574" s="12"/>
      <c r="J574" s="12"/>
      <c r="K574" s="12">
        <f t="shared" si="173"/>
        <v>0</v>
      </c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2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72"/>
        <v>0</v>
      </c>
      <c r="H575" s="12"/>
      <c r="I575" s="12"/>
      <c r="J575" s="12"/>
      <c r="K575" s="12">
        <f t="shared" si="173"/>
        <v>0</v>
      </c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2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72"/>
        <v>0</v>
      </c>
      <c r="H576" s="12"/>
      <c r="I576" s="12"/>
      <c r="J576" s="12"/>
      <c r="K576" s="12">
        <f t="shared" si="173"/>
        <v>0</v>
      </c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11"/>
      <c r="AB576" s="32"/>
      <c r="AC576" s="32"/>
      <c r="AD576" s="32"/>
      <c r="AE576" s="32">
        <f t="shared" si="182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72"/>
        <v>0</v>
      </c>
      <c r="H577" s="12"/>
      <c r="I577" s="12"/>
      <c r="J577" s="12"/>
      <c r="K577" s="12">
        <f t="shared" si="173"/>
        <v>0</v>
      </c>
      <c r="M577" s="10">
        <v>16</v>
      </c>
      <c r="N577" s="30"/>
      <c r="O577" s="11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AA577" s="11"/>
      <c r="AB577" s="32"/>
      <c r="AC577" s="32"/>
      <c r="AD577" s="32"/>
      <c r="AE577" s="32">
        <f t="shared" si="182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72"/>
        <v>0</v>
      </c>
      <c r="H578" s="12"/>
      <c r="I578" s="12"/>
      <c r="J578" s="12"/>
      <c r="K578" s="12">
        <f t="shared" si="173"/>
        <v>0</v>
      </c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2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72"/>
        <v>0</v>
      </c>
      <c r="H579" s="12"/>
      <c r="I579" s="12"/>
      <c r="J579" s="12"/>
      <c r="K579" s="12">
        <f t="shared" si="173"/>
        <v>0</v>
      </c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2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72"/>
        <v>0</v>
      </c>
      <c r="H580" s="12"/>
      <c r="I580" s="12"/>
      <c r="J580" s="12"/>
      <c r="K580" s="12">
        <f t="shared" si="173"/>
        <v>0</v>
      </c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2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72"/>
        <v>0</v>
      </c>
      <c r="H581" s="12"/>
      <c r="I581" s="12"/>
      <c r="J581" s="12"/>
      <c r="K581" s="12">
        <f t="shared" si="173"/>
        <v>0</v>
      </c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2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72"/>
        <v>0</v>
      </c>
      <c r="H582" s="10"/>
      <c r="I582" s="10"/>
      <c r="J582" s="10"/>
      <c r="K582" s="12">
        <f t="shared" si="173"/>
        <v>0</v>
      </c>
      <c r="M582" s="10">
        <v>21</v>
      </c>
      <c r="N582" s="30"/>
      <c r="O582" s="1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2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72"/>
        <v>0</v>
      </c>
      <c r="H583" s="10"/>
      <c r="I583" s="10"/>
      <c r="J583" s="10"/>
      <c r="K583" s="12">
        <f t="shared" si="173"/>
        <v>0</v>
      </c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2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72"/>
        <v>0</v>
      </c>
      <c r="H584" s="10"/>
      <c r="I584" s="10"/>
      <c r="J584" s="12"/>
      <c r="K584" s="12">
        <f t="shared" si="173"/>
        <v>0</v>
      </c>
      <c r="M584" s="10">
        <v>23</v>
      </c>
      <c r="N584" s="30"/>
      <c r="O584" s="31"/>
      <c r="P584" s="47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2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72"/>
        <v>0</v>
      </c>
      <c r="H585" s="10"/>
      <c r="I585" s="10"/>
      <c r="J585" s="10"/>
      <c r="K585" s="12">
        <f t="shared" si="173"/>
        <v>0</v>
      </c>
      <c r="M585" s="10">
        <v>24</v>
      </c>
      <c r="N585" s="30"/>
      <c r="O585" s="31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2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72"/>
        <v>0</v>
      </c>
      <c r="H586" s="10"/>
      <c r="I586" s="10"/>
      <c r="J586" s="10"/>
      <c r="K586" s="12">
        <f t="shared" si="173"/>
        <v>0</v>
      </c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2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72"/>
        <v>0</v>
      </c>
      <c r="H587" s="10"/>
      <c r="I587" s="10"/>
      <c r="J587" s="10"/>
      <c r="K587" s="12">
        <f t="shared" si="173"/>
        <v>0</v>
      </c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2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72"/>
        <v>0</v>
      </c>
      <c r="H588" s="10"/>
      <c r="I588" s="10"/>
      <c r="J588" s="10"/>
      <c r="K588" s="12">
        <f t="shared" si="173"/>
        <v>0</v>
      </c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2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72"/>
        <v>0</v>
      </c>
      <c r="H589" s="10"/>
      <c r="I589" s="10"/>
      <c r="J589" s="10"/>
      <c r="K589" s="12">
        <f t="shared" si="173"/>
        <v>0</v>
      </c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2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72"/>
        <v>0</v>
      </c>
      <c r="H590" s="10"/>
      <c r="I590" s="10"/>
      <c r="J590" s="10"/>
      <c r="K590" s="12">
        <f t="shared" si="173"/>
        <v>0</v>
      </c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2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72"/>
        <v>0</v>
      </c>
      <c r="H591" s="10"/>
      <c r="I591" s="10"/>
      <c r="J591" s="10"/>
      <c r="K591" s="12">
        <f t="shared" si="173"/>
        <v>0</v>
      </c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2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11"/>
      <c r="D592" s="32"/>
      <c r="E592" s="32"/>
      <c r="F592" s="32"/>
      <c r="G592" s="32">
        <f t="shared" si="172"/>
        <v>0</v>
      </c>
      <c r="H592" s="10"/>
      <c r="I592" s="10"/>
      <c r="J592" s="10"/>
      <c r="K592" s="12">
        <f t="shared" si="173"/>
        <v>0</v>
      </c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2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72"/>
        <v>0</v>
      </c>
      <c r="H593" s="10"/>
      <c r="I593" s="10"/>
      <c r="J593" s="10"/>
      <c r="K593" s="12">
        <f t="shared" si="173"/>
        <v>0</v>
      </c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2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72"/>
        <v>0</v>
      </c>
      <c r="H594" s="10"/>
      <c r="I594" s="10"/>
      <c r="J594" s="10"/>
      <c r="K594" s="12">
        <f t="shared" si="173"/>
        <v>0</v>
      </c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2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72"/>
        <v>0</v>
      </c>
      <c r="H595" s="10"/>
      <c r="I595" s="10"/>
      <c r="J595" s="10"/>
      <c r="K595" s="12">
        <f t="shared" si="173"/>
        <v>0</v>
      </c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2"/>
        <v>0</v>
      </c>
      <c r="AF595" s="10"/>
      <c r="AG595" s="10"/>
      <c r="AH595" s="10"/>
      <c r="AI595" s="12">
        <f t="shared" ref="AI595:AI603" si="183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2"/>
        <v>0</v>
      </c>
      <c r="AF596" s="10"/>
      <c r="AG596" s="10"/>
      <c r="AH596" s="10"/>
      <c r="AI596" s="12">
        <f t="shared" si="18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2"/>
        <v>0</v>
      </c>
      <c r="AF597" s="10"/>
      <c r="AG597" s="10"/>
      <c r="AH597" s="10"/>
      <c r="AI597" s="12">
        <f t="shared" si="18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2"/>
        <v>0</v>
      </c>
      <c r="AF598" s="10"/>
      <c r="AG598" s="10"/>
      <c r="AH598" s="10"/>
      <c r="AI598" s="12">
        <f t="shared" si="18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2"/>
        <v>0</v>
      </c>
      <c r="AF599" s="10"/>
      <c r="AG599" s="10"/>
      <c r="AH599" s="10"/>
      <c r="AI599" s="12">
        <f t="shared" si="18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2"/>
        <v>0</v>
      </c>
      <c r="AF600" s="10"/>
      <c r="AG600" s="10"/>
      <c r="AH600" s="10"/>
      <c r="AI600" s="12">
        <f t="shared" si="18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84">SUM(D602:E602)</f>
        <v>0</v>
      </c>
      <c r="H602" s="10"/>
      <c r="I602" s="10"/>
      <c r="J602" s="10"/>
      <c r="K602" s="12">
        <f t="shared" ref="K602" si="185">SUM(G602:J602)</f>
        <v>0</v>
      </c>
      <c r="M602" s="10"/>
      <c r="N602" s="30"/>
      <c r="O602" s="31"/>
      <c r="P602" s="47"/>
      <c r="Q602" s="31"/>
      <c r="R602" s="31"/>
      <c r="S602" s="32">
        <f t="shared" ref="S602" si="186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7">SUM(AB602:AC602)</f>
        <v>0</v>
      </c>
      <c r="AF602" s="10"/>
      <c r="AG602" s="10"/>
      <c r="AH602" s="10"/>
      <c r="AI602" s="12">
        <f t="shared" si="18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246523.5</v>
      </c>
      <c r="E605" s="38">
        <f t="shared" ref="E605:F605" si="188">SUM(E562:E602)</f>
        <v>0</v>
      </c>
      <c r="F605" s="38">
        <f t="shared" si="188"/>
        <v>0</v>
      </c>
      <c r="G605" s="38">
        <f>SUM(G562:G604)</f>
        <v>246523.5</v>
      </c>
      <c r="H605" s="4"/>
      <c r="I605" s="39">
        <f>SUM(I562:I604)</f>
        <v>2379</v>
      </c>
      <c r="J605" s="39">
        <f>SUM(J562:J604)</f>
        <v>-1701</v>
      </c>
      <c r="K605" s="40">
        <f>SUM(K562:K604)</f>
        <v>247201.5</v>
      </c>
      <c r="N605" s="57"/>
      <c r="O605" s="57"/>
      <c r="P605" s="38">
        <f>SUM(P562:P604)</f>
        <v>250222.5</v>
      </c>
      <c r="Q605" s="38">
        <f>SUM(Q562:Q586)</f>
        <v>-1536</v>
      </c>
      <c r="R605" s="38">
        <f>SUM(R562:R586)</f>
        <v>0</v>
      </c>
      <c r="S605" s="38">
        <f>SUM(S562:S604)</f>
        <v>248686.5</v>
      </c>
      <c r="T605" s="4"/>
      <c r="U605" s="41">
        <f>SUM(U562:U604)</f>
        <v>774</v>
      </c>
      <c r="V605" s="41">
        <f>SUM(V562:V586)</f>
        <v>-2172</v>
      </c>
      <c r="W605" s="42">
        <f>SUM(W562:W604)</f>
        <v>247288.5</v>
      </c>
      <c r="Z605" s="57"/>
      <c r="AA605" s="57"/>
      <c r="AB605" s="38">
        <f>SUM(AB562:AB604)</f>
        <v>343490</v>
      </c>
      <c r="AC605" s="38">
        <f>SUM(AC562:AC586)</f>
        <v>-2496</v>
      </c>
      <c r="AD605" s="38">
        <f>SUM(AD562:AD586)</f>
        <v>0</v>
      </c>
      <c r="AE605" s="38">
        <f>SUM(AE562:AE604)</f>
        <v>340994</v>
      </c>
      <c r="AF605" s="4"/>
      <c r="AG605" s="41">
        <f>SUM(AG562:AG604)</f>
        <v>33.75</v>
      </c>
      <c r="AH605" s="41">
        <f>SUM(AH562:AH586)</f>
        <v>-1143</v>
      </c>
      <c r="AI605" s="42">
        <f>SUM(AI562:AI604)</f>
        <v>339884.75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M612" t="s">
        <v>55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55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14"/>
      <c r="E615" s="114"/>
      <c r="F615" s="91"/>
      <c r="G615" s="91"/>
      <c r="H615" s="62"/>
      <c r="I615" s="114"/>
      <c r="J615" s="114"/>
      <c r="K615" s="113"/>
      <c r="N615" s="25"/>
      <c r="O615" s="26"/>
      <c r="P615" s="112" t="s">
        <v>17</v>
      </c>
      <c r="Q615" s="112"/>
      <c r="R615" s="102"/>
      <c r="S615" s="27"/>
      <c r="U615" s="110" t="s">
        <v>18</v>
      </c>
      <c r="V615" s="111"/>
      <c r="W615" s="108" t="s">
        <v>19</v>
      </c>
      <c r="Z615" s="25"/>
      <c r="AA615" s="26"/>
      <c r="AB615" s="112" t="s">
        <v>17</v>
      </c>
      <c r="AC615" s="112"/>
      <c r="AD615" s="102"/>
      <c r="AE615" s="27"/>
      <c r="AG615" s="110" t="s">
        <v>18</v>
      </c>
      <c r="AH615" s="111"/>
      <c r="AI615" s="108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13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09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09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72</v>
      </c>
      <c r="O617" s="31">
        <v>10160</v>
      </c>
      <c r="P617" s="32">
        <f>650*12+9.5*12</f>
        <v>7914</v>
      </c>
      <c r="Q617" s="32"/>
      <c r="R617" s="32"/>
      <c r="S617" s="32">
        <f>SUM(P617:Q617)</f>
        <v>7914</v>
      </c>
      <c r="T617" s="12"/>
      <c r="U617" s="12"/>
      <c r="V617" s="12"/>
      <c r="W617" s="12">
        <f>SUM(S617:V617)</f>
        <v>7914</v>
      </c>
      <c r="Y617" s="10">
        <v>1</v>
      </c>
      <c r="Z617" s="30" t="s">
        <v>72</v>
      </c>
      <c r="AA617" s="31">
        <v>10107</v>
      </c>
      <c r="AB617" s="32">
        <f>650*40+622*10+229</f>
        <v>32449</v>
      </c>
      <c r="AC617" s="32">
        <f>-50*6</f>
        <v>-300</v>
      </c>
      <c r="AD617" s="32"/>
      <c r="AE617" s="32">
        <f>SUM(AB617:AC617)</f>
        <v>32149</v>
      </c>
      <c r="AF617" s="12"/>
      <c r="AG617" s="12"/>
      <c r="AH617" s="12"/>
      <c r="AI617" s="12">
        <f>SUM(AE617:AH617)</f>
        <v>32149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72</v>
      </c>
      <c r="O618" s="31">
        <f>O617+1</f>
        <v>10161</v>
      </c>
      <c r="P618" s="32">
        <f>650*180+622*20+229*6+650*2</f>
        <v>132114</v>
      </c>
      <c r="Q618" s="32">
        <f>-200*6</f>
        <v>-1200</v>
      </c>
      <c r="R618" s="32"/>
      <c r="S618" s="32">
        <f t="shared" ref="S618:S655" si="189">SUM(P618:Q618)</f>
        <v>130914</v>
      </c>
      <c r="T618" s="12"/>
      <c r="U618" s="12">
        <f>312+3219</f>
        <v>3531</v>
      </c>
      <c r="V618" s="12">
        <f>-420+-210</f>
        <v>-630</v>
      </c>
      <c r="W618" s="12">
        <f t="shared" ref="W618:W658" si="190">SUM(S618:V618)</f>
        <v>133815</v>
      </c>
      <c r="Y618" s="10">
        <v>2</v>
      </c>
      <c r="Z618" s="30" t="s">
        <v>72</v>
      </c>
      <c r="AA618" s="31">
        <f>AA617+1</f>
        <v>10108</v>
      </c>
      <c r="AB618" s="32">
        <f>650*45+622*5</f>
        <v>32360</v>
      </c>
      <c r="AC618" s="32"/>
      <c r="AD618" s="32"/>
      <c r="AE618" s="32">
        <f t="shared" ref="AE618:AE620" si="191">SUM(AB618:AC618)</f>
        <v>32360</v>
      </c>
      <c r="AF618" s="12"/>
      <c r="AG618" s="12">
        <v>58.5</v>
      </c>
      <c r="AH618" s="12"/>
      <c r="AI618" s="12">
        <f t="shared" ref="AI618:AI649" si="192">SUM(AE618:AH618)</f>
        <v>32418.5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72</v>
      </c>
      <c r="O619" s="31">
        <f t="shared" ref="O619:O633" si="193">O618+1</f>
        <v>10162</v>
      </c>
      <c r="P619" s="32">
        <f>650*10+872+9.5*10</f>
        <v>7467</v>
      </c>
      <c r="Q619" s="32"/>
      <c r="R619" s="32"/>
      <c r="S619" s="32">
        <f t="shared" si="189"/>
        <v>7467</v>
      </c>
      <c r="T619" s="12"/>
      <c r="U619" s="12"/>
      <c r="V619" s="12"/>
      <c r="W619" s="12">
        <f t="shared" si="190"/>
        <v>7467</v>
      </c>
      <c r="Y619" s="10">
        <v>3</v>
      </c>
      <c r="Z619" s="30" t="s">
        <v>72</v>
      </c>
      <c r="AA619" s="31">
        <f t="shared" ref="AA619:AA625" si="194">AA618+1</f>
        <v>10109</v>
      </c>
      <c r="AB619" s="33">
        <f>650*14+670+973*2</f>
        <v>11716</v>
      </c>
      <c r="AC619" s="33"/>
      <c r="AD619" s="32"/>
      <c r="AE619" s="32">
        <f t="shared" si="191"/>
        <v>11716</v>
      </c>
      <c r="AF619" s="12"/>
      <c r="AG619" s="12"/>
      <c r="AH619" s="12"/>
      <c r="AI619" s="12">
        <f t="shared" si="192"/>
        <v>11716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72</v>
      </c>
      <c r="O620" s="31">
        <f t="shared" si="193"/>
        <v>10163</v>
      </c>
      <c r="P620" s="32">
        <f>650*14+9.5*14</f>
        <v>9233</v>
      </c>
      <c r="Q620" s="32"/>
      <c r="R620" s="32"/>
      <c r="S620" s="32">
        <f t="shared" si="189"/>
        <v>9233</v>
      </c>
      <c r="T620" s="12"/>
      <c r="U620" s="12"/>
      <c r="V620" s="12"/>
      <c r="W620" s="12">
        <f t="shared" si="190"/>
        <v>9233</v>
      </c>
      <c r="Y620" s="10">
        <v>4</v>
      </c>
      <c r="Z620" s="30" t="s">
        <v>72</v>
      </c>
      <c r="AA620" s="31">
        <f t="shared" si="194"/>
        <v>10110</v>
      </c>
      <c r="AB620" s="32">
        <f>12*650+229</f>
        <v>8029</v>
      </c>
      <c r="AC620" s="32"/>
      <c r="AD620" s="32"/>
      <c r="AE620" s="32">
        <f t="shared" si="191"/>
        <v>8029</v>
      </c>
      <c r="AF620" s="12"/>
      <c r="AH620" s="12">
        <v>-1332</v>
      </c>
      <c r="AI620" s="12">
        <f t="shared" si="192"/>
        <v>6697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72</v>
      </c>
      <c r="O621" s="31">
        <f t="shared" si="193"/>
        <v>10164</v>
      </c>
      <c r="P621" s="32">
        <f>650*5+47.5</f>
        <v>3297.5</v>
      </c>
      <c r="Q621" s="32"/>
      <c r="R621" s="32"/>
      <c r="S621" s="32">
        <f t="shared" si="189"/>
        <v>3297.5</v>
      </c>
      <c r="T621" s="12"/>
      <c r="U621" s="12"/>
      <c r="V621" s="12"/>
      <c r="W621" s="12">
        <f t="shared" si="190"/>
        <v>3297.5</v>
      </c>
      <c r="Y621" s="10">
        <v>5</v>
      </c>
      <c r="Z621" s="30" t="s">
        <v>72</v>
      </c>
      <c r="AA621" s="31">
        <f t="shared" si="194"/>
        <v>10111</v>
      </c>
      <c r="AB621" s="32">
        <f>108*650+229*2</f>
        <v>70658</v>
      </c>
      <c r="AC621" s="32">
        <f>-108*6</f>
        <v>-648</v>
      </c>
      <c r="AD621" s="32"/>
      <c r="AE621" s="32">
        <f t="shared" ref="AE621:AE622" si="195">SUM(AB621:AC621)</f>
        <v>70010</v>
      </c>
      <c r="AF621" s="12"/>
      <c r="AG621" s="12"/>
      <c r="AH621" s="12"/>
      <c r="AI621" s="12">
        <f t="shared" si="192"/>
        <v>70010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72</v>
      </c>
      <c r="O622" s="31">
        <f t="shared" si="193"/>
        <v>10165</v>
      </c>
      <c r="P622" s="32">
        <f>650*8+9.5*8</f>
        <v>5276</v>
      </c>
      <c r="Q622" s="32"/>
      <c r="R622" s="32"/>
      <c r="S622" s="32">
        <f t="shared" si="189"/>
        <v>5276</v>
      </c>
      <c r="T622" s="12"/>
      <c r="U622" s="12"/>
      <c r="V622" s="10"/>
      <c r="W622" s="12">
        <f t="shared" si="190"/>
        <v>5276</v>
      </c>
      <c r="Y622" s="10">
        <v>6</v>
      </c>
      <c r="Z622" s="30" t="s">
        <v>72</v>
      </c>
      <c r="AA622" s="31">
        <f t="shared" si="194"/>
        <v>10112</v>
      </c>
      <c r="AB622" s="32">
        <f>650*216+670*10+872*3+229*9+500</f>
        <v>152277</v>
      </c>
      <c r="AC622" s="32">
        <f>-229*6</f>
        <v>-1374</v>
      </c>
      <c r="AD622" s="32"/>
      <c r="AE622" s="32">
        <f t="shared" si="195"/>
        <v>150903</v>
      </c>
      <c r="AF622" s="12"/>
      <c r="AG622" s="12">
        <f>111*131+78*9</f>
        <v>15243</v>
      </c>
      <c r="AH622" s="10">
        <f>-120*11+-84*4+-84*28</f>
        <v>-4008</v>
      </c>
      <c r="AI622" s="12">
        <f t="shared" si="192"/>
        <v>162138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72</v>
      </c>
      <c r="O623" s="31">
        <f t="shared" si="193"/>
        <v>10166</v>
      </c>
      <c r="P623" s="32">
        <f>650*21+670+622*2+9.5*5</f>
        <v>15611.5</v>
      </c>
      <c r="Q623" s="32"/>
      <c r="R623" s="32"/>
      <c r="S623" s="32">
        <f t="shared" si="189"/>
        <v>15611.5</v>
      </c>
      <c r="T623" s="12"/>
      <c r="U623" s="12"/>
      <c r="V623" s="12">
        <f>-111+-78</f>
        <v>-189</v>
      </c>
      <c r="W623" s="12">
        <f t="shared" si="190"/>
        <v>15422.5</v>
      </c>
      <c r="Y623" s="10">
        <v>7</v>
      </c>
      <c r="Z623" s="30" t="s">
        <v>72</v>
      </c>
      <c r="AA623" s="31">
        <f t="shared" si="194"/>
        <v>10113</v>
      </c>
      <c r="AB623" s="32"/>
      <c r="AC623" s="32"/>
      <c r="AD623" s="32"/>
      <c r="AE623" s="32">
        <f>SUM(AB623:AC623)</f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 t="s">
        <v>72</v>
      </c>
      <c r="O624" s="31">
        <f t="shared" si="193"/>
        <v>10167</v>
      </c>
      <c r="P624" s="32">
        <f>650*2+9.5*2</f>
        <v>1319</v>
      </c>
      <c r="Q624" s="32"/>
      <c r="R624" s="32"/>
      <c r="S624" s="32">
        <f t="shared" si="189"/>
        <v>1319</v>
      </c>
      <c r="T624" s="12"/>
      <c r="U624" s="12"/>
      <c r="V624" s="12"/>
      <c r="W624" s="12">
        <f t="shared" si="190"/>
        <v>1319</v>
      </c>
      <c r="Y624" s="10">
        <v>8</v>
      </c>
      <c r="Z624" s="30" t="s">
        <v>72</v>
      </c>
      <c r="AA624" s="31">
        <f t="shared" si="194"/>
        <v>10114</v>
      </c>
      <c r="AB624" s="32">
        <f>650*100+912+229*4+650</f>
        <v>67478</v>
      </c>
      <c r="AC624" s="32">
        <f>-101*6</f>
        <v>-606</v>
      </c>
      <c r="AE624" s="32">
        <f t="shared" ref="AE624:AE655" si="196">SUM(AB624:AC624)</f>
        <v>66872</v>
      </c>
      <c r="AF624" s="12"/>
      <c r="AG624" s="12"/>
      <c r="AH624" s="12">
        <f>-840+-5550+-1998</f>
        <v>-8388</v>
      </c>
      <c r="AI624" s="12">
        <f t="shared" si="192"/>
        <v>58484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 t="s">
        <v>72</v>
      </c>
      <c r="O625" s="31">
        <f t="shared" si="193"/>
        <v>10168</v>
      </c>
      <c r="P625" s="32">
        <f>650*2+9.5*2</f>
        <v>1319</v>
      </c>
      <c r="Q625" s="32"/>
      <c r="R625" s="32"/>
      <c r="S625" s="32">
        <f t="shared" si="189"/>
        <v>1319</v>
      </c>
      <c r="T625" s="12"/>
      <c r="U625" s="12"/>
      <c r="V625" s="12"/>
      <c r="W625" s="12">
        <f t="shared" si="190"/>
        <v>1319</v>
      </c>
      <c r="Y625" s="10">
        <v>9</v>
      </c>
      <c r="Z625" s="30" t="s">
        <v>72</v>
      </c>
      <c r="AA625" s="31">
        <f t="shared" si="194"/>
        <v>10115</v>
      </c>
      <c r="AB625" s="32">
        <f>650*11+670*9</f>
        <v>13180</v>
      </c>
      <c r="AC625" s="32"/>
      <c r="AD625" s="32"/>
      <c r="AE625" s="32">
        <f t="shared" si="196"/>
        <v>13180</v>
      </c>
      <c r="AF625" s="12"/>
      <c r="AH625" s="12"/>
      <c r="AI625" s="12">
        <f t="shared" si="192"/>
        <v>13180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 t="s">
        <v>72</v>
      </c>
      <c r="O626" s="31">
        <f t="shared" si="193"/>
        <v>10169</v>
      </c>
      <c r="P626" s="32">
        <f>650*4+670+622*2+9.5*6</f>
        <v>4571</v>
      </c>
      <c r="Q626" s="32"/>
      <c r="R626" s="32"/>
      <c r="S626" s="32">
        <f t="shared" si="189"/>
        <v>4571</v>
      </c>
      <c r="T626" s="12"/>
      <c r="U626" s="12"/>
      <c r="V626" s="12"/>
      <c r="W626" s="12">
        <f t="shared" si="190"/>
        <v>4571</v>
      </c>
      <c r="Y626" s="10">
        <v>10</v>
      </c>
      <c r="Z626" s="30"/>
      <c r="AA626" s="11" t="s">
        <v>27</v>
      </c>
      <c r="AB626" s="32"/>
      <c r="AC626" s="32"/>
      <c r="AD626" s="32"/>
      <c r="AE626" s="32">
        <f t="shared" si="196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 t="s">
        <v>72</v>
      </c>
      <c r="O627" s="31">
        <f t="shared" si="193"/>
        <v>10170</v>
      </c>
      <c r="P627" s="32">
        <f>650*3+622*3+9.5*6</f>
        <v>3873</v>
      </c>
      <c r="Q627" s="32"/>
      <c r="R627" s="32"/>
      <c r="S627" s="32">
        <f t="shared" si="189"/>
        <v>3873</v>
      </c>
      <c r="T627" s="12"/>
      <c r="U627" s="12"/>
      <c r="V627" s="12"/>
      <c r="W627" s="12">
        <f t="shared" si="190"/>
        <v>3873</v>
      </c>
      <c r="Y627" s="10">
        <v>11</v>
      </c>
      <c r="Z627" s="30"/>
      <c r="AA627" s="31"/>
      <c r="AB627" s="32"/>
      <c r="AC627" s="32"/>
      <c r="AD627" s="32"/>
      <c r="AE627" s="32">
        <f t="shared" si="196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 t="s">
        <v>72</v>
      </c>
      <c r="O628" s="31">
        <f t="shared" si="193"/>
        <v>10171</v>
      </c>
      <c r="P628" s="32">
        <f>650*16</f>
        <v>10400</v>
      </c>
      <c r="Q628" s="32"/>
      <c r="R628" s="32"/>
      <c r="S628" s="32">
        <f t="shared" si="189"/>
        <v>10400</v>
      </c>
      <c r="T628" s="12"/>
      <c r="U628" s="12">
        <v>63</v>
      </c>
      <c r="V628" s="12"/>
      <c r="W628" s="12">
        <f t="shared" si="190"/>
        <v>10463</v>
      </c>
      <c r="Y628" s="10">
        <v>12</v>
      </c>
      <c r="Z628" s="30"/>
      <c r="AA628" s="31"/>
      <c r="AB628" s="32"/>
      <c r="AC628" s="32"/>
      <c r="AD628" s="32"/>
      <c r="AE628" s="32">
        <f t="shared" si="196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 t="s">
        <v>72</v>
      </c>
      <c r="O629" s="31">
        <f t="shared" si="193"/>
        <v>10172</v>
      </c>
      <c r="P629" s="32">
        <f>650*6</f>
        <v>3900</v>
      </c>
      <c r="Q629" s="32"/>
      <c r="R629" s="32"/>
      <c r="S629" s="32">
        <f t="shared" si="189"/>
        <v>3900</v>
      </c>
      <c r="T629" s="12"/>
      <c r="U629" s="12"/>
      <c r="V629" s="12"/>
      <c r="W629" s="12">
        <f t="shared" si="190"/>
        <v>3900</v>
      </c>
      <c r="Y629" s="10">
        <v>13</v>
      </c>
      <c r="Z629" s="30"/>
      <c r="AA629" s="31"/>
      <c r="AB629" s="32"/>
      <c r="AC629" s="32"/>
      <c r="AD629" s="32"/>
      <c r="AE629" s="32">
        <f t="shared" si="196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 t="s">
        <v>72</v>
      </c>
      <c r="O630" s="31">
        <f t="shared" si="193"/>
        <v>10173</v>
      </c>
      <c r="P630" s="32">
        <f>650*11</f>
        <v>7150</v>
      </c>
      <c r="Q630" s="32"/>
      <c r="R630" s="32"/>
      <c r="S630" s="32">
        <f t="shared" si="189"/>
        <v>7150</v>
      </c>
      <c r="T630" s="12"/>
      <c r="U630" s="12"/>
      <c r="V630" s="12"/>
      <c r="W630" s="12">
        <f t="shared" si="190"/>
        <v>7150</v>
      </c>
      <c r="Y630" s="10">
        <v>14</v>
      </c>
      <c r="Z630" s="30"/>
      <c r="AA630" s="31"/>
      <c r="AB630" s="32"/>
      <c r="AC630" s="32"/>
      <c r="AD630" s="32"/>
      <c r="AE630" s="32">
        <f t="shared" si="196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 t="s">
        <v>72</v>
      </c>
      <c r="O631" s="31">
        <f t="shared" si="193"/>
        <v>10174</v>
      </c>
      <c r="P631" s="32">
        <f>650*7+622</f>
        <v>5172</v>
      </c>
      <c r="Q631" s="32"/>
      <c r="R631" s="32"/>
      <c r="S631" s="32">
        <f t="shared" si="189"/>
        <v>5172</v>
      </c>
      <c r="T631" s="12"/>
      <c r="U631" s="12"/>
      <c r="V631" s="12"/>
      <c r="W631" s="12">
        <f t="shared" si="190"/>
        <v>5172</v>
      </c>
      <c r="Y631" s="10">
        <v>15</v>
      </c>
      <c r="Z631" s="30"/>
      <c r="AA631" s="31"/>
      <c r="AB631" s="32"/>
      <c r="AC631" s="32"/>
      <c r="AD631" s="32"/>
      <c r="AE631" s="32">
        <f t="shared" si="196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 t="s">
        <v>72</v>
      </c>
      <c r="O632" s="31">
        <f t="shared" si="193"/>
        <v>10175</v>
      </c>
      <c r="P632" s="32">
        <f>650*21</f>
        <v>13650</v>
      </c>
      <c r="Q632" s="32"/>
      <c r="R632" s="32"/>
      <c r="S632" s="32">
        <f t="shared" si="189"/>
        <v>13650</v>
      </c>
      <c r="T632" s="12"/>
      <c r="U632" s="12"/>
      <c r="V632" s="12"/>
      <c r="W632" s="12">
        <f t="shared" si="190"/>
        <v>13650</v>
      </c>
      <c r="Y632" s="10">
        <v>16</v>
      </c>
      <c r="AB632" s="32"/>
      <c r="AC632" s="32"/>
      <c r="AD632" s="32"/>
      <c r="AE632" s="32">
        <f t="shared" si="196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 t="s">
        <v>72</v>
      </c>
      <c r="O633" s="31">
        <f t="shared" si="193"/>
        <v>10176</v>
      </c>
      <c r="P633" s="35">
        <f>650*3</f>
        <v>1950</v>
      </c>
      <c r="Q633" s="32"/>
      <c r="R633" s="32"/>
      <c r="S633" s="32">
        <f t="shared" si="189"/>
        <v>1950</v>
      </c>
      <c r="T633" s="12"/>
      <c r="U633" s="12"/>
      <c r="V633" s="12"/>
      <c r="W633" s="12">
        <f t="shared" si="190"/>
        <v>1950</v>
      </c>
      <c r="Y633" s="10">
        <v>17</v>
      </c>
      <c r="Z633" s="30"/>
      <c r="AA633" s="31"/>
      <c r="AB633" s="35"/>
      <c r="AC633" s="32"/>
      <c r="AD633" s="32"/>
      <c r="AE633" s="32">
        <f t="shared" si="196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11" t="s">
        <v>27</v>
      </c>
      <c r="P634" s="32"/>
      <c r="Q634" s="32"/>
      <c r="R634" s="32"/>
      <c r="S634" s="32">
        <f t="shared" si="189"/>
        <v>0</v>
      </c>
      <c r="T634" s="12"/>
      <c r="U634" s="12"/>
      <c r="V634" s="12"/>
      <c r="W634" s="12">
        <f t="shared" si="190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6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89"/>
        <v>0</v>
      </c>
      <c r="T635" s="12"/>
      <c r="U635" s="12"/>
      <c r="V635" s="12"/>
      <c r="W635" s="12">
        <f t="shared" si="190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6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89"/>
        <v>0</v>
      </c>
      <c r="T636" s="12"/>
      <c r="U636" s="12"/>
      <c r="V636" s="12"/>
      <c r="W636" s="12">
        <f t="shared" si="190"/>
        <v>0</v>
      </c>
      <c r="Y636" s="10">
        <v>20</v>
      </c>
      <c r="Z636" s="30"/>
      <c r="AB636" s="32"/>
      <c r="AC636" s="32"/>
      <c r="AD636" s="32"/>
      <c r="AE636" s="32">
        <f t="shared" si="196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89"/>
        <v>0</v>
      </c>
      <c r="T637" s="10"/>
      <c r="U637" s="10"/>
      <c r="V637" s="10"/>
      <c r="W637" s="12">
        <f t="shared" si="190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6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89"/>
        <v>0</v>
      </c>
      <c r="T638" s="10"/>
      <c r="U638" s="10"/>
      <c r="V638" s="10"/>
      <c r="W638" s="12">
        <f t="shared" si="190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6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S639" s="32">
        <f t="shared" si="189"/>
        <v>0</v>
      </c>
      <c r="T639" s="10"/>
      <c r="U639" s="10"/>
      <c r="V639" s="10"/>
      <c r="W639" s="12">
        <f t="shared" si="190"/>
        <v>0</v>
      </c>
      <c r="Y639" s="10">
        <v>23</v>
      </c>
      <c r="Z639" s="30"/>
      <c r="AA639" s="31"/>
      <c r="AB639" s="47"/>
      <c r="AC639" s="31"/>
      <c r="AE639" s="32">
        <f t="shared" si="196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89"/>
        <v>0</v>
      </c>
      <c r="T640" s="10"/>
      <c r="U640" s="10"/>
      <c r="V640" s="10"/>
      <c r="W640" s="12">
        <f t="shared" si="190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6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89"/>
        <v>0</v>
      </c>
      <c r="T641" s="10"/>
      <c r="U641" s="10"/>
      <c r="V641" s="10"/>
      <c r="W641" s="12">
        <f t="shared" si="190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6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11"/>
      <c r="P642" s="47"/>
      <c r="Q642" s="31"/>
      <c r="R642" s="31"/>
      <c r="S642" s="32">
        <f t="shared" si="189"/>
        <v>0</v>
      </c>
      <c r="T642" s="10"/>
      <c r="U642" s="10"/>
      <c r="V642" s="10"/>
      <c r="W642" s="12">
        <f t="shared" si="190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6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89"/>
        <v>0</v>
      </c>
      <c r="T643" s="10"/>
      <c r="U643" s="10"/>
      <c r="V643" s="10"/>
      <c r="W643" s="12">
        <f t="shared" si="190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6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89"/>
        <v>0</v>
      </c>
      <c r="T644" s="10"/>
      <c r="U644" s="10"/>
      <c r="V644" s="10"/>
      <c r="W644" s="12">
        <f t="shared" si="190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6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89"/>
        <v>0</v>
      </c>
      <c r="T645" s="10"/>
      <c r="U645" s="10"/>
      <c r="V645" s="10"/>
      <c r="W645" s="12">
        <f t="shared" si="190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6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89"/>
        <v>0</v>
      </c>
      <c r="T646" s="10"/>
      <c r="U646" s="10"/>
      <c r="V646" s="10"/>
      <c r="W646" s="12">
        <f t="shared" si="190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6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89"/>
        <v>0</v>
      </c>
      <c r="T647" s="10"/>
      <c r="U647" s="10"/>
      <c r="V647" s="10"/>
      <c r="W647" s="12">
        <f t="shared" si="190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6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89"/>
        <v>0</v>
      </c>
      <c r="T648" s="10"/>
      <c r="U648" s="10"/>
      <c r="V648" s="10"/>
      <c r="W648" s="12">
        <f t="shared" si="190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6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89"/>
        <v>0</v>
      </c>
      <c r="T649" s="10"/>
      <c r="U649" s="10"/>
      <c r="V649" s="10"/>
      <c r="W649" s="12">
        <f t="shared" si="190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6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89"/>
        <v>0</v>
      </c>
      <c r="T650" s="10"/>
      <c r="U650" s="10"/>
      <c r="V650" s="10"/>
      <c r="W650" s="12">
        <f t="shared" si="190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6"/>
        <v>0</v>
      </c>
      <c r="AF650" s="10"/>
      <c r="AG650" s="10"/>
      <c r="AH650" s="10"/>
      <c r="AI650" s="12">
        <f t="shared" ref="AI650:AI658" si="197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O651" s="31"/>
      <c r="P651" s="47"/>
      <c r="Q651" s="31"/>
      <c r="R651" s="31"/>
      <c r="S651" s="32">
        <f t="shared" si="189"/>
        <v>0</v>
      </c>
      <c r="T651" s="10"/>
      <c r="U651" s="10"/>
      <c r="V651" s="10"/>
      <c r="W651" s="12">
        <f t="shared" si="190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6"/>
        <v>0</v>
      </c>
      <c r="AF651" s="10"/>
      <c r="AG651" s="10"/>
      <c r="AH651" s="10"/>
      <c r="AI651" s="12">
        <f t="shared" si="19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89"/>
        <v>0</v>
      </c>
      <c r="T652" s="10"/>
      <c r="U652" s="10"/>
      <c r="V652" s="10"/>
      <c r="W652" s="12">
        <f t="shared" si="190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6"/>
        <v>0</v>
      </c>
      <c r="AF652" s="10"/>
      <c r="AG652" s="10"/>
      <c r="AH652" s="10"/>
      <c r="AI652" s="12">
        <f t="shared" si="19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P653" s="47"/>
      <c r="Q653" s="31"/>
      <c r="R653" s="31"/>
      <c r="S653" s="32">
        <f t="shared" si="189"/>
        <v>0</v>
      </c>
      <c r="T653" s="10"/>
      <c r="U653" s="10"/>
      <c r="V653" s="10"/>
      <c r="W653" s="12">
        <f t="shared" si="190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6"/>
        <v>0</v>
      </c>
      <c r="AF653" s="10"/>
      <c r="AG653" s="10"/>
      <c r="AH653" s="10"/>
      <c r="AI653" s="12">
        <f t="shared" si="19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89"/>
        <v>0</v>
      </c>
      <c r="T654" s="10"/>
      <c r="U654" s="10"/>
      <c r="V654" s="10"/>
      <c r="W654" s="12">
        <f t="shared" si="190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6"/>
        <v>0</v>
      </c>
      <c r="AF654" s="10"/>
      <c r="AG654" s="10"/>
      <c r="AH654" s="10"/>
      <c r="AI654" s="12">
        <f t="shared" si="19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89"/>
        <v>0</v>
      </c>
      <c r="T655" s="10"/>
      <c r="U655" s="10"/>
      <c r="V655" s="10"/>
      <c r="W655" s="12">
        <f t="shared" si="190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6"/>
        <v>0</v>
      </c>
      <c r="AF655" s="10"/>
      <c r="AG655" s="10"/>
      <c r="AH655" s="10"/>
      <c r="AI655" s="12">
        <f t="shared" si="19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90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98">SUM(P657:Q657)</f>
        <v>0</v>
      </c>
      <c r="T657" s="10"/>
      <c r="U657" s="10"/>
      <c r="V657" s="10"/>
      <c r="W657" s="12">
        <f t="shared" si="190"/>
        <v>0</v>
      </c>
      <c r="Y657" s="10"/>
      <c r="Z657" s="30"/>
      <c r="AA657" s="31"/>
      <c r="AB657" s="47"/>
      <c r="AC657" s="31"/>
      <c r="AD657" s="31"/>
      <c r="AE657" s="32">
        <f t="shared" ref="AE657" si="199">SUM(AB657:AC657)</f>
        <v>0</v>
      </c>
      <c r="AF657" s="10"/>
      <c r="AG657" s="10"/>
      <c r="AH657" s="10"/>
      <c r="AI657" s="12">
        <f t="shared" si="19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90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234217</v>
      </c>
      <c r="Q660" s="38">
        <f>SUM(Q617:Q641)</f>
        <v>-1200</v>
      </c>
      <c r="R660" s="38">
        <f>SUM(R617:R641)</f>
        <v>0</v>
      </c>
      <c r="S660" s="38">
        <f>SUM(S617:S659)</f>
        <v>233017</v>
      </c>
      <c r="T660" s="4"/>
      <c r="U660" s="41">
        <f>SUM(U617:U659)</f>
        <v>3594</v>
      </c>
      <c r="V660" s="41">
        <f>SUM(V617:V641)</f>
        <v>-819</v>
      </c>
      <c r="W660" s="42">
        <f>SUM(W617:W659)</f>
        <v>235792</v>
      </c>
      <c r="Z660" s="57"/>
      <c r="AA660" s="57"/>
      <c r="AB660" s="38">
        <f>SUM(AB617:AB659)</f>
        <v>388147</v>
      </c>
      <c r="AC660" s="38">
        <f>SUM(AC617:AC641)</f>
        <v>-2928</v>
      </c>
      <c r="AD660" s="38">
        <f>SUM(AD617:AD641)</f>
        <v>0</v>
      </c>
      <c r="AE660" s="38">
        <f>SUM(AE617:AE659)</f>
        <v>385219</v>
      </c>
      <c r="AF660" s="4"/>
      <c r="AG660" s="41">
        <f>SUM(AG617:AG659)</f>
        <v>15301.5</v>
      </c>
      <c r="AH660" s="41">
        <f>SUM(AH617:AH641)</f>
        <v>-13728</v>
      </c>
      <c r="AI660" s="42">
        <f>SUM(AI617:AI659)</f>
        <v>386792.5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45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34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2" t="s">
        <v>17</v>
      </c>
      <c r="E670" s="112"/>
      <c r="F670" s="103"/>
      <c r="G670" s="27"/>
      <c r="I670" s="110" t="s">
        <v>18</v>
      </c>
      <c r="J670" s="111"/>
      <c r="K670" s="108" t="s">
        <v>19</v>
      </c>
      <c r="N670" s="25"/>
      <c r="O670" s="26"/>
      <c r="P670" s="112" t="s">
        <v>17</v>
      </c>
      <c r="Q670" s="112"/>
      <c r="R670" s="103"/>
      <c r="S670" s="27"/>
      <c r="U670" s="110" t="s">
        <v>18</v>
      </c>
      <c r="V670" s="111"/>
      <c r="W670" s="108" t="s">
        <v>19</v>
      </c>
      <c r="Z670" s="25"/>
      <c r="AA670" s="26"/>
      <c r="AB670" s="112" t="s">
        <v>17</v>
      </c>
      <c r="AC670" s="112"/>
      <c r="AD670" s="103"/>
      <c r="AE670" s="27"/>
      <c r="AG670" s="110" t="s">
        <v>18</v>
      </c>
      <c r="AH670" s="111"/>
      <c r="AI670" s="108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09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09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09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83">
        <v>10211</v>
      </c>
      <c r="D672" s="32">
        <f>650*60+670*2+622*5</f>
        <v>43450</v>
      </c>
      <c r="E672" s="32"/>
      <c r="F672" s="32"/>
      <c r="G672" s="32">
        <f t="shared" ref="G672:G705" si="200">SUM(D672:E672)</f>
        <v>43450</v>
      </c>
      <c r="H672" s="12"/>
      <c r="I672" s="12">
        <v>171</v>
      </c>
      <c r="J672" s="12"/>
      <c r="K672" s="12">
        <f t="shared" ref="K672:K705" si="201">SUM(G672:J672)</f>
        <v>43621</v>
      </c>
      <c r="M672" s="10">
        <v>1</v>
      </c>
      <c r="N672" s="30" t="s">
        <v>75</v>
      </c>
      <c r="O672" s="31">
        <v>10177</v>
      </c>
      <c r="P672" s="32">
        <f>650*20+622+872</f>
        <v>14494</v>
      </c>
      <c r="Q672" s="32"/>
      <c r="R672" s="32"/>
      <c r="S672" s="32">
        <f>SUM(P672:Q672)</f>
        <v>14494</v>
      </c>
      <c r="T672" s="12"/>
      <c r="U672" s="12"/>
      <c r="V672" s="12"/>
      <c r="W672" s="12">
        <f>SUM(S672:V672)</f>
        <v>14494</v>
      </c>
      <c r="Y672" s="10">
        <v>1</v>
      </c>
      <c r="Z672" s="30" t="s">
        <v>75</v>
      </c>
      <c r="AA672" s="31">
        <v>10116</v>
      </c>
      <c r="AB672" s="32">
        <f>650*90+670*5+622*13</f>
        <v>69936</v>
      </c>
      <c r="AC672" s="32"/>
      <c r="AD672" s="32"/>
      <c r="AE672" s="32">
        <f>SUM(AB672:AC672)</f>
        <v>69936</v>
      </c>
      <c r="AF672" s="12"/>
      <c r="AG672" s="12">
        <f>2331+4.5*20</f>
        <v>2421</v>
      </c>
      <c r="AH672" s="12"/>
      <c r="AI672" s="12">
        <f>SUM(AE672:AH672)</f>
        <v>72357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83">
        <f>C672+1</f>
        <v>10212</v>
      </c>
      <c r="D673" s="32">
        <f>650*7+670+229+650*2</f>
        <v>6749</v>
      </c>
      <c r="E673" s="32"/>
      <c r="F673" s="32"/>
      <c r="G673" s="32">
        <f t="shared" si="200"/>
        <v>6749</v>
      </c>
      <c r="H673" s="12"/>
      <c r="I673" s="12"/>
      <c r="J673" s="12"/>
      <c r="K673" s="12">
        <f t="shared" si="201"/>
        <v>6749</v>
      </c>
      <c r="M673" s="10">
        <v>2</v>
      </c>
      <c r="N673" s="30" t="s">
        <v>75</v>
      </c>
      <c r="O673" s="31">
        <f>O672+1</f>
        <v>10178</v>
      </c>
      <c r="P673" s="32">
        <f>650*130+622*20+229*2</f>
        <v>97398</v>
      </c>
      <c r="Q673" s="32">
        <f>-150*6</f>
        <v>-900</v>
      </c>
      <c r="R673" s="32"/>
      <c r="S673" s="32">
        <f t="shared" ref="S673:S716" si="202">SUM(P673:Q673)</f>
        <v>96498</v>
      </c>
      <c r="T673" s="12"/>
      <c r="U673" s="12">
        <f>111*15+72</f>
        <v>1737</v>
      </c>
      <c r="V673" s="12"/>
      <c r="W673" s="12">
        <f t="shared" ref="W673:W716" si="203">SUM(S673:V673)</f>
        <v>98235</v>
      </c>
      <c r="Y673" s="10">
        <v>2</v>
      </c>
      <c r="Z673" s="30" t="s">
        <v>75</v>
      </c>
      <c r="AA673" s="31">
        <f>AA672+1</f>
        <v>10117</v>
      </c>
      <c r="AB673" s="32">
        <f>650*8</f>
        <v>5200</v>
      </c>
      <c r="AC673" s="32"/>
      <c r="AD673" s="32"/>
      <c r="AE673" s="32">
        <f t="shared" ref="AE673:AE677" si="204">SUM(AB673:AC673)</f>
        <v>5200</v>
      </c>
      <c r="AF673" s="12"/>
      <c r="AG673" s="12"/>
      <c r="AH673" s="12"/>
      <c r="AI673" s="12">
        <f t="shared" ref="AI673:AI716" si="205">SUM(AE673:AH673)</f>
        <v>5200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83">
        <f t="shared" ref="C674:C681" si="206">C673+1</f>
        <v>10213</v>
      </c>
      <c r="D674" s="33">
        <f>650*23+622*5</f>
        <v>18060</v>
      </c>
      <c r="E674" s="32"/>
      <c r="F674" s="33"/>
      <c r="G674" s="33">
        <f t="shared" si="200"/>
        <v>18060</v>
      </c>
      <c r="H674" s="34"/>
      <c r="I674" s="34">
        <v>270</v>
      </c>
      <c r="J674" s="34"/>
      <c r="K674" s="34">
        <f t="shared" si="201"/>
        <v>18330</v>
      </c>
      <c r="M674" s="10">
        <v>3</v>
      </c>
      <c r="N674" s="30" t="s">
        <v>75</v>
      </c>
      <c r="O674" s="31">
        <f t="shared" ref="O674:O688" si="207">O673+1</f>
        <v>10179</v>
      </c>
      <c r="P674" s="32">
        <f>650*216+670*5+622*108+1102*2+229*14+650*2</f>
        <v>217636</v>
      </c>
      <c r="Q674" s="32">
        <f>-329*6</f>
        <v>-1974</v>
      </c>
      <c r="R674" s="32"/>
      <c r="S674" s="32">
        <f t="shared" si="202"/>
        <v>215662</v>
      </c>
      <c r="T674" s="12"/>
      <c r="U674" s="12">
        <v>702</v>
      </c>
      <c r="V674" s="12">
        <v>-672</v>
      </c>
      <c r="W674" s="12">
        <f t="shared" si="203"/>
        <v>215692</v>
      </c>
      <c r="Y674" s="10">
        <v>3</v>
      </c>
      <c r="Z674" s="30" t="s">
        <v>75</v>
      </c>
      <c r="AA674" s="31">
        <f t="shared" ref="AA674:AA680" si="208">AA673+1</f>
        <v>10118</v>
      </c>
      <c r="AB674" s="33">
        <f>650*45+622*5+229*2</f>
        <v>32818</v>
      </c>
      <c r="AC674" s="33"/>
      <c r="AD674" s="32"/>
      <c r="AE674" s="32">
        <f t="shared" si="204"/>
        <v>32818</v>
      </c>
      <c r="AF674" s="12"/>
      <c r="AG674" s="12">
        <f>333+72</f>
        <v>405</v>
      </c>
      <c r="AH674" s="12"/>
      <c r="AI674" s="12">
        <f t="shared" si="205"/>
        <v>33223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83">
        <f t="shared" si="206"/>
        <v>10214</v>
      </c>
      <c r="D675" s="32">
        <f>650*2</f>
        <v>1300</v>
      </c>
      <c r="E675" s="32"/>
      <c r="F675" s="32"/>
      <c r="G675" s="32">
        <f t="shared" si="200"/>
        <v>1300</v>
      </c>
      <c r="H675" s="12"/>
      <c r="I675" s="12"/>
      <c r="J675" s="12"/>
      <c r="K675" s="12">
        <f t="shared" si="201"/>
        <v>1300</v>
      </c>
      <c r="M675" s="10">
        <v>4</v>
      </c>
      <c r="N675" s="30" t="s">
        <v>75</v>
      </c>
      <c r="O675" s="31">
        <f t="shared" si="207"/>
        <v>10180</v>
      </c>
      <c r="P675" s="32">
        <f>650*2</f>
        <v>1300</v>
      </c>
      <c r="Q675" s="32"/>
      <c r="R675" s="32"/>
      <c r="S675" s="32">
        <f t="shared" si="202"/>
        <v>1300</v>
      </c>
      <c r="T675" s="12"/>
      <c r="U675" s="12"/>
      <c r="V675" s="12"/>
      <c r="W675" s="12">
        <f t="shared" si="203"/>
        <v>1300</v>
      </c>
      <c r="Y675" s="10">
        <v>4</v>
      </c>
      <c r="Z675" s="30" t="s">
        <v>75</v>
      </c>
      <c r="AA675" s="31">
        <f t="shared" si="208"/>
        <v>10119</v>
      </c>
      <c r="AB675" s="32">
        <f>650*80+670*10+622*10+1050*2+229*3</f>
        <v>67707</v>
      </c>
      <c r="AC675" s="32">
        <f>-102*6</f>
        <v>-612</v>
      </c>
      <c r="AD675" s="32"/>
      <c r="AE675" s="32">
        <f t="shared" si="204"/>
        <v>67095</v>
      </c>
      <c r="AF675" s="12"/>
      <c r="AG675">
        <v>4551</v>
      </c>
      <c r="AH675" s="12"/>
      <c r="AI675" s="12">
        <f t="shared" si="205"/>
        <v>71646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83">
        <f t="shared" si="206"/>
        <v>10215</v>
      </c>
      <c r="D676" s="32">
        <f>650*17+670*3+622*2+9.5*19</f>
        <v>14484.5</v>
      </c>
      <c r="E676" s="32"/>
      <c r="F676" s="32"/>
      <c r="G676" s="32">
        <f t="shared" si="200"/>
        <v>14484.5</v>
      </c>
      <c r="H676" s="12"/>
      <c r="I676" s="12">
        <v>27</v>
      </c>
      <c r="J676" s="12"/>
      <c r="K676" s="12">
        <f t="shared" si="201"/>
        <v>14511.5</v>
      </c>
      <c r="M676" s="10">
        <v>5</v>
      </c>
      <c r="N676" s="30"/>
      <c r="O676" s="11" t="s">
        <v>27</v>
      </c>
      <c r="P676" s="32"/>
      <c r="Q676" s="32"/>
      <c r="R676" s="32"/>
      <c r="S676" s="32">
        <f t="shared" si="202"/>
        <v>0</v>
      </c>
      <c r="T676" s="12"/>
      <c r="U676" s="12"/>
      <c r="V676" s="12"/>
      <c r="W676" s="12">
        <f t="shared" si="203"/>
        <v>0</v>
      </c>
      <c r="Y676" s="10">
        <v>5</v>
      </c>
      <c r="Z676" s="30" t="s">
        <v>75</v>
      </c>
      <c r="AA676" s="31">
        <f t="shared" si="208"/>
        <v>10120</v>
      </c>
      <c r="AB676" s="32">
        <f>650*50+622*50+229*2+650*2</f>
        <v>65358</v>
      </c>
      <c r="AC676" s="32">
        <f>-100*6</f>
        <v>-600</v>
      </c>
      <c r="AD676" s="32"/>
      <c r="AE676" s="32">
        <f t="shared" ref="AE676:AE678" si="209">SUM(AB676:AC676)</f>
        <v>64758</v>
      </c>
      <c r="AF676" s="12"/>
      <c r="AG676" s="12"/>
      <c r="AH676" s="12"/>
      <c r="AI676" s="12">
        <f t="shared" si="205"/>
        <v>64758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83">
        <f t="shared" si="206"/>
        <v>10216</v>
      </c>
      <c r="D677" s="32">
        <f>650*15+670*2+1050</f>
        <v>12140</v>
      </c>
      <c r="E677" s="32"/>
      <c r="F677" s="32"/>
      <c r="G677" s="32">
        <f t="shared" si="200"/>
        <v>12140</v>
      </c>
      <c r="H677" s="12"/>
      <c r="I677" s="12"/>
      <c r="J677" s="12"/>
      <c r="K677" s="12">
        <f t="shared" si="201"/>
        <v>12140</v>
      </c>
      <c r="M677" s="10">
        <v>6</v>
      </c>
      <c r="N677" s="30"/>
      <c r="O677" s="31"/>
      <c r="P677" s="32"/>
      <c r="Q677" s="32"/>
      <c r="R677" s="32"/>
      <c r="S677" s="32">
        <f t="shared" si="202"/>
        <v>0</v>
      </c>
      <c r="T677" s="12"/>
      <c r="U677" s="12"/>
      <c r="V677" s="10"/>
      <c r="W677" s="12">
        <f t="shared" si="203"/>
        <v>0</v>
      </c>
      <c r="Y677" s="10">
        <v>6</v>
      </c>
      <c r="Z677" s="30" t="s">
        <v>75</v>
      </c>
      <c r="AA677" s="31">
        <f t="shared" si="208"/>
        <v>10121</v>
      </c>
      <c r="AB677" s="32">
        <f>650*6</f>
        <v>3900</v>
      </c>
      <c r="AC677" s="32"/>
      <c r="AD677" s="32"/>
      <c r="AE677" s="32">
        <f t="shared" si="209"/>
        <v>3900</v>
      </c>
      <c r="AF677" s="12"/>
      <c r="AG677" s="12">
        <f>111*1</f>
        <v>111</v>
      </c>
      <c r="AH677" s="10"/>
      <c r="AI677" s="12">
        <f t="shared" si="205"/>
        <v>4011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83">
        <f t="shared" si="206"/>
        <v>10217</v>
      </c>
      <c r="D678" s="32">
        <f>650*21</f>
        <v>13650</v>
      </c>
      <c r="E678" s="32"/>
      <c r="F678" s="32"/>
      <c r="G678" s="32">
        <f t="shared" si="200"/>
        <v>13650</v>
      </c>
      <c r="H678" s="12"/>
      <c r="I678" s="12"/>
      <c r="J678" s="12">
        <f>-480+-8325</f>
        <v>-8805</v>
      </c>
      <c r="K678" s="12">
        <f t="shared" si="201"/>
        <v>4845</v>
      </c>
      <c r="M678" s="10">
        <v>7</v>
      </c>
      <c r="N678" s="30"/>
      <c r="O678" s="31"/>
      <c r="P678" s="32"/>
      <c r="Q678" s="32"/>
      <c r="R678" s="32"/>
      <c r="S678" s="32">
        <f t="shared" si="202"/>
        <v>0</v>
      </c>
      <c r="T678" s="12"/>
      <c r="U678" s="12"/>
      <c r="V678" s="12"/>
      <c r="W678" s="12">
        <f t="shared" si="203"/>
        <v>0</v>
      </c>
      <c r="Y678" s="10">
        <v>7</v>
      </c>
      <c r="Z678" s="30" t="s">
        <v>75</v>
      </c>
      <c r="AA678" s="31">
        <f t="shared" si="208"/>
        <v>10122</v>
      </c>
      <c r="AB678" s="32">
        <f>650*108+622*16+229*10</f>
        <v>82442</v>
      </c>
      <c r="AC678" s="32">
        <f>-124*6</f>
        <v>-744</v>
      </c>
      <c r="AD678" s="32"/>
      <c r="AE678" s="32">
        <f>SUM(AB678:AC678)</f>
        <v>81698</v>
      </c>
      <c r="AF678" s="12"/>
      <c r="AG678" s="58"/>
      <c r="AH678" s="12">
        <f>-111*112</f>
        <v>-12432</v>
      </c>
      <c r="AI678" s="12">
        <f t="shared" si="205"/>
        <v>69266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83">
        <f t="shared" si="206"/>
        <v>10218</v>
      </c>
      <c r="D679" s="32">
        <f>650*5+622*3</f>
        <v>5116</v>
      </c>
      <c r="E679" s="32">
        <f>-8*6</f>
        <v>-48</v>
      </c>
      <c r="F679" s="32"/>
      <c r="G679" s="32">
        <f t="shared" si="200"/>
        <v>5068</v>
      </c>
      <c r="H679" s="12"/>
      <c r="I679" s="12"/>
      <c r="J679" s="12"/>
      <c r="K679" s="12">
        <f t="shared" si="201"/>
        <v>5068</v>
      </c>
      <c r="M679" s="10">
        <v>8</v>
      </c>
      <c r="N679" s="30"/>
      <c r="O679" s="31"/>
      <c r="P679" s="32"/>
      <c r="Q679" s="32"/>
      <c r="R679" s="32"/>
      <c r="S679" s="32">
        <f t="shared" si="202"/>
        <v>0</v>
      </c>
      <c r="T679" s="12"/>
      <c r="U679" s="12"/>
      <c r="V679" s="12"/>
      <c r="W679" s="12">
        <f t="shared" si="203"/>
        <v>0</v>
      </c>
      <c r="Y679" s="10">
        <v>8</v>
      </c>
      <c r="Z679" s="30" t="s">
        <v>75</v>
      </c>
      <c r="AA679" s="31">
        <f t="shared" si="208"/>
        <v>10123</v>
      </c>
      <c r="AB679" s="32">
        <f>650*15</f>
        <v>9750</v>
      </c>
      <c r="AC679" s="32"/>
      <c r="AE679" s="32">
        <f t="shared" ref="AE679:AE716" si="210">SUM(AB679:AC679)</f>
        <v>9750</v>
      </c>
      <c r="AF679" s="12"/>
      <c r="AG679" s="12"/>
      <c r="AH679" s="12"/>
      <c r="AI679" s="12">
        <f t="shared" si="205"/>
        <v>9750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83">
        <f t="shared" si="206"/>
        <v>10219</v>
      </c>
      <c r="D680" s="32">
        <f>650*432+622*108+872*4</f>
        <v>351464</v>
      </c>
      <c r="E680" s="32">
        <f>-544*6</f>
        <v>-3264</v>
      </c>
      <c r="F680" s="32"/>
      <c r="G680" s="32">
        <f t="shared" si="200"/>
        <v>348200</v>
      </c>
      <c r="H680" s="12"/>
      <c r="I680" s="12"/>
      <c r="J680" s="12">
        <v>-11988</v>
      </c>
      <c r="K680" s="12">
        <f t="shared" si="201"/>
        <v>336212</v>
      </c>
      <c r="M680" s="10">
        <v>9</v>
      </c>
      <c r="N680" s="30"/>
      <c r="O680" s="31"/>
      <c r="P680" s="32"/>
      <c r="Q680" s="32"/>
      <c r="R680" s="32"/>
      <c r="S680" s="32">
        <f t="shared" si="202"/>
        <v>0</v>
      </c>
      <c r="T680" s="12"/>
      <c r="U680" s="12"/>
      <c r="V680" s="12"/>
      <c r="W680" s="12">
        <f t="shared" si="203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210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83">
        <f t="shared" si="206"/>
        <v>10220</v>
      </c>
      <c r="D681" s="32">
        <f>229*5</f>
        <v>1145</v>
      </c>
      <c r="E681" s="32"/>
      <c r="F681" s="32"/>
      <c r="G681" s="32">
        <f t="shared" si="200"/>
        <v>1145</v>
      </c>
      <c r="H681" s="12"/>
      <c r="I681" s="12"/>
      <c r="J681" s="12"/>
      <c r="K681" s="12">
        <f t="shared" si="201"/>
        <v>1145</v>
      </c>
      <c r="M681" s="10">
        <v>10</v>
      </c>
      <c r="N681" s="30"/>
      <c r="O681" s="31"/>
      <c r="P681" s="32"/>
      <c r="Q681" s="32"/>
      <c r="R681" s="32"/>
      <c r="S681" s="32">
        <f t="shared" si="202"/>
        <v>0</v>
      </c>
      <c r="T681" s="12"/>
      <c r="U681" s="12"/>
      <c r="V681" s="12"/>
      <c r="W681" s="12">
        <f t="shared" si="203"/>
        <v>0</v>
      </c>
      <c r="Y681" s="10">
        <v>10</v>
      </c>
      <c r="Z681" s="30"/>
      <c r="AB681" s="32"/>
      <c r="AC681" s="32"/>
      <c r="AD681" s="32"/>
      <c r="AE681" s="32">
        <f t="shared" si="210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11" t="s">
        <v>27</v>
      </c>
      <c r="D682" s="32"/>
      <c r="E682" s="32"/>
      <c r="F682" s="32"/>
      <c r="G682" s="32">
        <f t="shared" si="200"/>
        <v>0</v>
      </c>
      <c r="H682" s="12"/>
      <c r="I682" s="12"/>
      <c r="J682" s="12"/>
      <c r="K682" s="12">
        <f t="shared" si="201"/>
        <v>0</v>
      </c>
      <c r="M682" s="10">
        <v>11</v>
      </c>
      <c r="N682" s="30"/>
      <c r="O682" s="31"/>
      <c r="P682" s="32"/>
      <c r="Q682" s="32"/>
      <c r="R682" s="32"/>
      <c r="S682" s="32">
        <f t="shared" si="202"/>
        <v>0</v>
      </c>
      <c r="T682" s="12"/>
      <c r="U682" s="12"/>
      <c r="V682" s="12"/>
      <c r="W682" s="12">
        <f t="shared" si="203"/>
        <v>0</v>
      </c>
      <c r="Y682" s="10">
        <v>11</v>
      </c>
      <c r="Z682" s="30"/>
      <c r="AA682" s="31"/>
      <c r="AB682" s="32"/>
      <c r="AC682" s="32"/>
      <c r="AD682" s="32"/>
      <c r="AE682" s="32">
        <f t="shared" si="210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200"/>
        <v>0</v>
      </c>
      <c r="H683" s="12"/>
      <c r="I683" s="12"/>
      <c r="J683" s="10"/>
      <c r="K683" s="12">
        <f t="shared" si="201"/>
        <v>0</v>
      </c>
      <c r="M683" s="10">
        <v>12</v>
      </c>
      <c r="N683" s="30"/>
      <c r="O683" s="31"/>
      <c r="P683" s="32"/>
      <c r="Q683" s="32"/>
      <c r="R683" s="32"/>
      <c r="S683" s="32">
        <f t="shared" si="202"/>
        <v>0</v>
      </c>
      <c r="T683" s="12"/>
      <c r="U683" s="12"/>
      <c r="V683" s="12"/>
      <c r="W683" s="12">
        <f t="shared" si="203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10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200"/>
        <v>0</v>
      </c>
      <c r="H684" s="12"/>
      <c r="I684" s="12"/>
      <c r="J684" s="12"/>
      <c r="K684" s="12">
        <f t="shared" si="201"/>
        <v>0</v>
      </c>
      <c r="M684" s="10">
        <v>13</v>
      </c>
      <c r="N684" s="30"/>
      <c r="O684" s="31"/>
      <c r="P684" s="32"/>
      <c r="Q684" s="32"/>
      <c r="R684" s="32"/>
      <c r="S684" s="32">
        <f t="shared" si="202"/>
        <v>0</v>
      </c>
      <c r="T684" s="12"/>
      <c r="U684" s="12"/>
      <c r="V684" s="12"/>
      <c r="W684" s="12">
        <f t="shared" si="203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10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200"/>
        <v>0</v>
      </c>
      <c r="H685" s="12"/>
      <c r="I685" s="12"/>
      <c r="J685" s="12"/>
      <c r="K685" s="12">
        <f t="shared" si="201"/>
        <v>0</v>
      </c>
      <c r="M685" s="10">
        <v>14</v>
      </c>
      <c r="N685" s="30"/>
      <c r="O685" s="31"/>
      <c r="P685" s="32"/>
      <c r="Q685" s="32"/>
      <c r="R685" s="32"/>
      <c r="S685" s="32">
        <f t="shared" si="202"/>
        <v>0</v>
      </c>
      <c r="T685" s="12"/>
      <c r="U685" s="12"/>
      <c r="V685" s="12"/>
      <c r="W685" s="12">
        <f t="shared" si="203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10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200"/>
        <v>0</v>
      </c>
      <c r="H686" s="12"/>
      <c r="I686" s="12"/>
      <c r="J686" s="12"/>
      <c r="K686" s="12">
        <f t="shared" si="201"/>
        <v>0</v>
      </c>
      <c r="M686" s="10">
        <v>15</v>
      </c>
      <c r="N686" s="30"/>
      <c r="O686" s="31"/>
      <c r="P686" s="32"/>
      <c r="Q686" s="32"/>
      <c r="R686" s="32"/>
      <c r="S686" s="32">
        <f t="shared" si="202"/>
        <v>0</v>
      </c>
      <c r="T686" s="12"/>
      <c r="U686" s="12"/>
      <c r="V686" s="12"/>
      <c r="W686" s="12">
        <f t="shared" si="203"/>
        <v>0</v>
      </c>
      <c r="Y686" s="10">
        <v>15</v>
      </c>
      <c r="Z686" s="30"/>
      <c r="AA686" s="31"/>
      <c r="AB686" s="32"/>
      <c r="AC686" s="32"/>
      <c r="AD686" s="32"/>
      <c r="AE686" s="32">
        <f t="shared" si="210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200"/>
        <v>0</v>
      </c>
      <c r="H687" s="12"/>
      <c r="I687" s="12"/>
      <c r="J687" s="12"/>
      <c r="K687" s="12">
        <f t="shared" si="201"/>
        <v>0</v>
      </c>
      <c r="M687" s="10">
        <v>16</v>
      </c>
      <c r="N687" s="30"/>
      <c r="O687" s="31"/>
      <c r="P687" s="32"/>
      <c r="Q687" s="32"/>
      <c r="R687" s="32"/>
      <c r="S687" s="32">
        <f t="shared" si="202"/>
        <v>0</v>
      </c>
      <c r="T687" s="12"/>
      <c r="U687" s="12"/>
      <c r="V687" s="12"/>
      <c r="W687" s="12">
        <f t="shared" si="203"/>
        <v>0</v>
      </c>
      <c r="Y687" s="10">
        <v>16</v>
      </c>
      <c r="AB687" s="32"/>
      <c r="AC687" s="32"/>
      <c r="AD687" s="32"/>
      <c r="AE687" s="32">
        <f t="shared" si="210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200"/>
        <v>0</v>
      </c>
      <c r="H688" s="12"/>
      <c r="I688" s="12"/>
      <c r="J688" s="12"/>
      <c r="K688" s="12">
        <f t="shared" si="201"/>
        <v>0</v>
      </c>
      <c r="M688" s="10">
        <v>17</v>
      </c>
      <c r="N688" s="30"/>
      <c r="O688" s="31"/>
      <c r="P688" s="35"/>
      <c r="Q688" s="32"/>
      <c r="R688" s="32"/>
      <c r="S688" s="32">
        <f t="shared" si="202"/>
        <v>0</v>
      </c>
      <c r="T688" s="12"/>
      <c r="U688" s="12"/>
      <c r="V688" s="12"/>
      <c r="W688" s="12">
        <f t="shared" si="203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10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/>
      <c r="P689" s="32"/>
      <c r="Q689" s="32"/>
      <c r="R689" s="32"/>
      <c r="S689" s="32">
        <f t="shared" si="202"/>
        <v>0</v>
      </c>
      <c r="T689" s="12"/>
      <c r="U689" s="12"/>
      <c r="V689" s="12"/>
      <c r="W689" s="12">
        <f t="shared" si="203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10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/>
      <c r="O690" s="31"/>
      <c r="P690" s="32"/>
      <c r="Q690" s="32"/>
      <c r="R690" s="32"/>
      <c r="S690" s="32">
        <f t="shared" si="202"/>
        <v>0</v>
      </c>
      <c r="T690" s="12"/>
      <c r="U690" s="12"/>
      <c r="V690" s="12"/>
      <c r="W690" s="12">
        <f t="shared" si="203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10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31"/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10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O692" s="31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10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57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10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10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10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10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1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10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10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10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O700" s="31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10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10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10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10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10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10"/>
        <v>0</v>
      </c>
      <c r="AF705" s="10"/>
      <c r="AG705" s="10"/>
      <c r="AH705" s="10"/>
      <c r="AI705" s="12">
        <f t="shared" ref="AI705:AI716" si="211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10"/>
        <v>0</v>
      </c>
      <c r="AF706" s="10"/>
      <c r="AG706" s="10"/>
      <c r="AH706" s="10"/>
      <c r="AI706" s="12">
        <f t="shared" si="211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10"/>
        <v>0</v>
      </c>
      <c r="AF707" s="10"/>
      <c r="AG707" s="10"/>
      <c r="AH707" s="10"/>
      <c r="AI707" s="12">
        <f t="shared" si="211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10"/>
        <v>0</v>
      </c>
      <c r="AF708" s="10"/>
      <c r="AG708" s="10"/>
      <c r="AH708" s="10"/>
      <c r="AI708" s="12">
        <f t="shared" si="211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10"/>
        <v>0</v>
      </c>
      <c r="AF709" s="10"/>
      <c r="AG709" s="10"/>
      <c r="AH709" s="10"/>
      <c r="AI709" s="12">
        <f t="shared" si="211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10"/>
        <v>0</v>
      </c>
      <c r="AF710" s="10"/>
      <c r="AG710" s="10"/>
      <c r="AH710" s="10"/>
      <c r="AI710" s="12">
        <f t="shared" si="211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1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2">SUM(D712:E712)</f>
        <v>0</v>
      </c>
      <c r="H712" s="10"/>
      <c r="I712" s="10"/>
      <c r="J712" s="10"/>
      <c r="K712" s="12">
        <f t="shared" ref="K712" si="213">SUM(G712:J712)</f>
        <v>0</v>
      </c>
      <c r="M712" s="10"/>
      <c r="N712" s="30"/>
      <c r="O712" s="31"/>
      <c r="P712" s="47"/>
      <c r="Q712" s="31"/>
      <c r="R712" s="31"/>
      <c r="S712" s="32">
        <f t="shared" ref="S712" si="214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5">SUM(AB712:AC712)</f>
        <v>0</v>
      </c>
      <c r="AF712" s="10"/>
      <c r="AG712" s="10"/>
      <c r="AH712" s="10"/>
      <c r="AI712" s="12">
        <f t="shared" si="211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1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467558.5</v>
      </c>
      <c r="E715" s="38">
        <f t="shared" ref="E715:F715" si="216">SUM(E672:E712)</f>
        <v>-3312</v>
      </c>
      <c r="F715" s="38">
        <f t="shared" si="216"/>
        <v>0</v>
      </c>
      <c r="G715" s="38">
        <f>SUM(G672:G714)</f>
        <v>464246.5</v>
      </c>
      <c r="H715" s="4"/>
      <c r="I715" s="39">
        <f>SUM(I672:I714)</f>
        <v>468</v>
      </c>
      <c r="J715" s="39">
        <f>SUM(J672:J714)</f>
        <v>-20793</v>
      </c>
      <c r="K715" s="40">
        <f>SUM(K672:K714)</f>
        <v>443921.5</v>
      </c>
      <c r="N715" s="57"/>
      <c r="O715" s="57"/>
      <c r="P715" s="38">
        <f>SUM(P672:P714)</f>
        <v>330828</v>
      </c>
      <c r="Q715" s="38">
        <f>SUM(Q672:Q696)</f>
        <v>-2874</v>
      </c>
      <c r="R715" s="38">
        <f>SUM(R672:R696)</f>
        <v>0</v>
      </c>
      <c r="S715" s="38">
        <f>SUM(S672:S714)</f>
        <v>327954</v>
      </c>
      <c r="T715" s="4"/>
      <c r="U715" s="41">
        <f>SUM(U672:U714)</f>
        <v>2439</v>
      </c>
      <c r="V715" s="41">
        <f>SUM(V672:V696)</f>
        <v>-672</v>
      </c>
      <c r="W715" s="42">
        <f>SUM(W672:W714)</f>
        <v>329721</v>
      </c>
      <c r="Z715" s="57"/>
      <c r="AA715" s="57"/>
      <c r="AB715" s="38">
        <f>SUM(AB672:AB714)</f>
        <v>337111</v>
      </c>
      <c r="AC715" s="38">
        <f>SUM(AC672:AC696)</f>
        <v>-1956</v>
      </c>
      <c r="AD715" s="38">
        <f>SUM(AD672:AD696)</f>
        <v>0</v>
      </c>
      <c r="AE715" s="38">
        <f>SUM(AE672:AE714)</f>
        <v>335155</v>
      </c>
      <c r="AF715" s="4"/>
      <c r="AG715" s="41">
        <f>SUM(AG672:AG714)</f>
        <v>7488</v>
      </c>
      <c r="AH715" s="41">
        <f>SUM(AH672:AH696)</f>
        <v>-12432</v>
      </c>
      <c r="AI715" s="42">
        <f>SUM(AI672:AI714)</f>
        <v>330211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1"/>
      <c r="C717" s="91"/>
      <c r="D717" s="91"/>
      <c r="E717" s="91"/>
      <c r="F717" s="91"/>
      <c r="G717" s="91"/>
      <c r="H717" s="62"/>
      <c r="I717" s="62"/>
      <c r="J717" s="62"/>
      <c r="K717" s="62"/>
      <c r="L717" s="62"/>
      <c r="M717" s="62"/>
      <c r="N717" s="91"/>
      <c r="O717" s="91"/>
      <c r="P717" s="91"/>
      <c r="Q717" s="91"/>
      <c r="R717" s="91"/>
      <c r="S717" s="91"/>
      <c r="T717" s="62"/>
      <c r="U717" s="62"/>
      <c r="V717" s="62"/>
      <c r="W717" s="62"/>
      <c r="X717" s="62"/>
      <c r="Y717" s="62"/>
      <c r="Z717" s="91"/>
      <c r="AA717" s="91"/>
      <c r="AB717" s="91"/>
      <c r="AC717" s="91"/>
      <c r="AD717" s="91"/>
      <c r="AE717" s="91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1"/>
      <c r="C718" s="91"/>
      <c r="D718" s="91"/>
      <c r="E718" s="91"/>
      <c r="F718" s="91"/>
      <c r="G718" s="91"/>
      <c r="H718" s="62"/>
      <c r="I718" s="62"/>
      <c r="J718" s="62"/>
      <c r="K718" s="62"/>
      <c r="L718" s="62"/>
      <c r="M718" s="62"/>
      <c r="N718" s="91"/>
      <c r="O718" s="91"/>
      <c r="P718" s="91"/>
      <c r="Q718" s="91"/>
      <c r="R718" s="91"/>
      <c r="S718" s="91"/>
      <c r="T718" s="62"/>
      <c r="U718" s="62"/>
      <c r="V718" s="62"/>
      <c r="W718" s="62"/>
      <c r="X718" s="62"/>
      <c r="Y718" s="62"/>
      <c r="Z718" s="91"/>
      <c r="AA718" s="91"/>
      <c r="AB718" s="91"/>
      <c r="AC718" s="91"/>
      <c r="AD718" s="91"/>
      <c r="AE718" s="91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1"/>
      <c r="C719" s="91"/>
      <c r="D719" s="91"/>
      <c r="E719" s="91"/>
      <c r="F719" s="91"/>
      <c r="G719" s="91"/>
      <c r="H719" s="62"/>
      <c r="I719" s="62"/>
      <c r="J719" s="62"/>
      <c r="K719" s="62"/>
      <c r="L719" s="62"/>
      <c r="M719" s="62"/>
      <c r="N719" s="91"/>
      <c r="O719" s="91"/>
      <c r="P719" s="91"/>
      <c r="Q719" s="91"/>
      <c r="R719" s="91"/>
      <c r="S719" s="91"/>
      <c r="T719" s="62"/>
      <c r="U719" s="62"/>
      <c r="V719" s="62"/>
      <c r="W719" s="62"/>
      <c r="X719" s="62"/>
      <c r="Y719" s="62"/>
      <c r="Z719" s="91"/>
      <c r="AA719" s="91"/>
      <c r="AB719" s="91"/>
      <c r="AC719" s="91"/>
      <c r="AD719" s="91"/>
      <c r="AE719" s="91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1"/>
      <c r="C720" s="91"/>
      <c r="D720" s="91"/>
      <c r="E720" s="91"/>
      <c r="F720" s="91"/>
      <c r="G720" s="91"/>
      <c r="H720" s="62"/>
      <c r="I720" s="62"/>
      <c r="J720" s="62"/>
      <c r="K720" s="62"/>
      <c r="L720" s="62"/>
      <c r="M720" s="63"/>
      <c r="N720" s="91"/>
      <c r="O720" s="91"/>
      <c r="P720" s="91"/>
      <c r="Q720" s="91"/>
      <c r="R720" s="91"/>
      <c r="S720" s="91"/>
      <c r="T720" s="62"/>
      <c r="U720" s="62"/>
      <c r="V720" s="62"/>
      <c r="W720" s="62"/>
      <c r="X720" s="62"/>
      <c r="Y720" s="63"/>
      <c r="Z720" s="91"/>
      <c r="AA720" s="91"/>
      <c r="AB720" s="91"/>
      <c r="AC720" s="91"/>
      <c r="AD720" s="91"/>
      <c r="AE720" s="91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1"/>
      <c r="C721" s="91"/>
      <c r="D721" s="91"/>
      <c r="E721" s="91"/>
      <c r="F721" s="91"/>
      <c r="G721" s="91"/>
      <c r="H721" s="62"/>
      <c r="I721" s="62"/>
      <c r="J721" s="62"/>
      <c r="K721" s="62"/>
      <c r="L721" s="62"/>
      <c r="M721" s="62"/>
      <c r="N721" s="91"/>
      <c r="O721" s="91"/>
      <c r="P721" s="91"/>
      <c r="Q721" s="91"/>
      <c r="R721" s="91"/>
      <c r="S721" s="91"/>
      <c r="T721" s="62"/>
      <c r="U721" s="62"/>
      <c r="V721" s="62"/>
      <c r="W721" s="62"/>
      <c r="X721" s="62"/>
      <c r="Y721" s="62"/>
      <c r="Z721" s="91"/>
      <c r="AA721" s="91"/>
      <c r="AB721" s="91"/>
      <c r="AC721" s="91"/>
      <c r="AD721" s="91"/>
      <c r="AE721" s="91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1"/>
      <c r="C722" s="91"/>
      <c r="D722" s="91"/>
      <c r="E722" s="91"/>
      <c r="F722" s="91"/>
      <c r="G722" s="91"/>
      <c r="H722" s="62"/>
      <c r="I722" s="91"/>
      <c r="J722" s="73"/>
      <c r="K722" s="62"/>
      <c r="L722" s="62"/>
      <c r="M722" s="62"/>
      <c r="N722" s="91"/>
      <c r="O722" s="91"/>
      <c r="P722" s="91"/>
      <c r="Q722" s="91"/>
      <c r="R722" s="91"/>
      <c r="S722" s="91"/>
      <c r="T722" s="62"/>
      <c r="U722" s="91"/>
      <c r="V722" s="73"/>
      <c r="W722" s="62"/>
      <c r="X722" s="62"/>
      <c r="Y722" s="62"/>
      <c r="Z722" s="91"/>
      <c r="AA722" s="91"/>
      <c r="AB722" s="91"/>
      <c r="AC722" s="91"/>
      <c r="AD722" s="91"/>
      <c r="AE722" s="91"/>
      <c r="AF722" s="62"/>
      <c r="AG722" s="91"/>
      <c r="AH722" s="91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1"/>
      <c r="C723" s="91"/>
      <c r="D723" s="91"/>
      <c r="E723" s="91"/>
      <c r="F723" s="91"/>
      <c r="G723" s="91"/>
      <c r="H723" s="62"/>
      <c r="I723" s="65"/>
      <c r="J723" s="65"/>
      <c r="K723" s="62"/>
      <c r="L723" s="62"/>
      <c r="M723" s="64"/>
      <c r="N723" s="91"/>
      <c r="O723" s="91"/>
      <c r="P723" s="91"/>
      <c r="Q723" s="91"/>
      <c r="R723" s="91"/>
      <c r="S723" s="91"/>
      <c r="T723" s="62"/>
      <c r="U723" s="65"/>
      <c r="V723" s="65"/>
      <c r="W723" s="62"/>
      <c r="X723" s="62"/>
      <c r="Y723" s="64"/>
      <c r="Z723" s="91"/>
      <c r="AA723" s="91"/>
      <c r="AB723" s="91"/>
      <c r="AC723" s="91"/>
      <c r="AD723" s="91"/>
      <c r="AE723" s="91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1"/>
      <c r="C724" s="91"/>
      <c r="D724" s="91"/>
      <c r="E724" s="91"/>
      <c r="F724" s="91"/>
      <c r="G724" s="91"/>
      <c r="H724" s="62"/>
      <c r="I724" s="62"/>
      <c r="J724" s="62"/>
      <c r="K724" s="62"/>
      <c r="L724" s="62"/>
      <c r="M724" s="62"/>
      <c r="N724" s="91"/>
      <c r="O724" s="91"/>
      <c r="P724" s="91"/>
      <c r="Q724" s="91"/>
      <c r="R724" s="91"/>
      <c r="S724" s="91"/>
      <c r="T724" s="62"/>
      <c r="U724" s="62"/>
      <c r="V724" s="62"/>
      <c r="W724" s="62"/>
      <c r="X724" s="62"/>
      <c r="Y724" s="62"/>
      <c r="Z724" s="91"/>
      <c r="AA724" s="91"/>
      <c r="AB724" s="91"/>
      <c r="AC724" s="91"/>
      <c r="AD724" s="91"/>
      <c r="AE724" s="91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1"/>
      <c r="D725" s="114"/>
      <c r="E725" s="114"/>
      <c r="F725" s="91"/>
      <c r="G725" s="91"/>
      <c r="H725" s="62"/>
      <c r="I725" s="114"/>
      <c r="J725" s="114"/>
      <c r="K725" s="113"/>
      <c r="L725" s="62"/>
      <c r="M725" s="62"/>
      <c r="N725" s="65"/>
      <c r="O725" s="91"/>
      <c r="P725" s="114"/>
      <c r="Q725" s="114"/>
      <c r="R725" s="91"/>
      <c r="S725" s="91"/>
      <c r="T725" s="62"/>
      <c r="U725" s="114"/>
      <c r="V725" s="114"/>
      <c r="W725" s="113"/>
      <c r="X725" s="62"/>
      <c r="Y725" s="62"/>
      <c r="Z725" s="65"/>
      <c r="AA725" s="91"/>
      <c r="AB725" s="114"/>
      <c r="AC725" s="114"/>
      <c r="AD725" s="91"/>
      <c r="AE725" s="91"/>
      <c r="AF725" s="62"/>
      <c r="AG725" s="114"/>
      <c r="AH725" s="114"/>
      <c r="AI725" s="113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1"/>
      <c r="C726" s="91"/>
      <c r="D726" s="79"/>
      <c r="E726" s="80"/>
      <c r="F726" s="81"/>
      <c r="G726" s="81"/>
      <c r="H726" s="62"/>
      <c r="I726" s="90"/>
      <c r="J726" s="90"/>
      <c r="K726" s="113"/>
      <c r="L726" s="62"/>
      <c r="M726" s="62"/>
      <c r="N726" s="91"/>
      <c r="O726" s="91"/>
      <c r="P726" s="79"/>
      <c r="Q726" s="81"/>
      <c r="R726" s="81"/>
      <c r="S726" s="81"/>
      <c r="T726" s="62"/>
      <c r="U726" s="90"/>
      <c r="V726" s="90"/>
      <c r="W726" s="113"/>
      <c r="X726" s="62"/>
      <c r="Y726" s="62"/>
      <c r="Z726" s="91"/>
      <c r="AA726" s="91"/>
      <c r="AB726" s="79"/>
      <c r="AC726" s="81"/>
      <c r="AD726" s="81"/>
      <c r="AE726" s="81"/>
      <c r="AF726" s="62"/>
      <c r="AG726" s="90"/>
      <c r="AH726" s="90"/>
      <c r="AI726" s="113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1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1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1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1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1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1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65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1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1"/>
      <c r="AB730" s="60"/>
      <c r="AC730" s="60"/>
      <c r="AD730" s="60"/>
      <c r="AE730" s="60"/>
      <c r="AF730" s="61"/>
      <c r="AG730" s="61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1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1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65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1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1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1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1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1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1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1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1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1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1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1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1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1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1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1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1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1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1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1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1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91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1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1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1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5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1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1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1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1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65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1"/>
      <c r="P747" s="67"/>
      <c r="Q747" s="91"/>
      <c r="R747" s="91"/>
      <c r="S747" s="60"/>
      <c r="T747" s="62"/>
      <c r="U747" s="62"/>
      <c r="V747" s="62"/>
      <c r="W747" s="61"/>
      <c r="X747" s="62"/>
      <c r="Y747" s="62"/>
      <c r="Z747" s="66"/>
      <c r="AA747" s="91"/>
      <c r="AB747" s="67"/>
      <c r="AC747" s="91"/>
      <c r="AD747" s="91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1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1"/>
      <c r="P748" s="68"/>
      <c r="Q748" s="91"/>
      <c r="R748" s="91"/>
      <c r="S748" s="60"/>
      <c r="T748" s="62"/>
      <c r="U748" s="62"/>
      <c r="V748" s="62"/>
      <c r="W748" s="61"/>
      <c r="X748" s="62"/>
      <c r="Y748" s="62"/>
      <c r="Z748" s="66"/>
      <c r="AA748" s="91"/>
      <c r="AB748" s="68"/>
      <c r="AC748" s="91"/>
      <c r="AD748" s="91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1"/>
      <c r="P749" s="69"/>
      <c r="Q749" s="91"/>
      <c r="R749" s="62"/>
      <c r="S749" s="60"/>
      <c r="T749" s="62"/>
      <c r="U749" s="62"/>
      <c r="V749" s="62"/>
      <c r="W749" s="61"/>
      <c r="X749" s="62"/>
      <c r="Y749" s="62"/>
      <c r="Z749" s="66"/>
      <c r="AA749" s="91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1"/>
      <c r="P750" s="69"/>
      <c r="Q750" s="91"/>
      <c r="R750" s="91"/>
      <c r="S750" s="60"/>
      <c r="T750" s="62"/>
      <c r="U750" s="62"/>
      <c r="V750" s="62"/>
      <c r="W750" s="61"/>
      <c r="X750" s="62"/>
      <c r="Y750" s="62"/>
      <c r="Z750" s="66"/>
      <c r="AA750" s="91"/>
      <c r="AB750" s="69"/>
      <c r="AC750" s="91"/>
      <c r="AD750" s="91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1"/>
      <c r="P751" s="69"/>
      <c r="Q751" s="91"/>
      <c r="R751" s="91"/>
      <c r="S751" s="60"/>
      <c r="T751" s="62"/>
      <c r="U751" s="62"/>
      <c r="V751" s="62"/>
      <c r="W751" s="61"/>
      <c r="X751" s="62"/>
      <c r="Y751" s="62"/>
      <c r="Z751" s="66"/>
      <c r="AA751" s="91"/>
      <c r="AB751" s="69"/>
      <c r="AC751" s="91"/>
      <c r="AD751" s="91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1"/>
      <c r="P752" s="69"/>
      <c r="Q752" s="91"/>
      <c r="R752" s="91"/>
      <c r="S752" s="60"/>
      <c r="T752" s="62"/>
      <c r="U752" s="62"/>
      <c r="V752" s="62"/>
      <c r="W752" s="61"/>
      <c r="X752" s="62"/>
      <c r="Y752" s="62"/>
      <c r="Z752" s="66"/>
      <c r="AA752" s="91"/>
      <c r="AB752" s="69"/>
      <c r="AC752" s="91"/>
      <c r="AD752" s="91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1"/>
      <c r="P753" s="69"/>
      <c r="Q753" s="91"/>
      <c r="R753" s="91"/>
      <c r="S753" s="60"/>
      <c r="T753" s="62"/>
      <c r="U753" s="62"/>
      <c r="V753" s="62"/>
      <c r="W753" s="61"/>
      <c r="X753" s="62"/>
      <c r="Y753" s="62"/>
      <c r="Z753" s="66"/>
      <c r="AA753" s="91"/>
      <c r="AB753" s="69"/>
      <c r="AC753" s="91"/>
      <c r="AD753" s="91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1"/>
      <c r="P754" s="69"/>
      <c r="Q754" s="91"/>
      <c r="R754" s="91"/>
      <c r="S754" s="60"/>
      <c r="T754" s="62"/>
      <c r="U754" s="62"/>
      <c r="V754" s="62"/>
      <c r="W754" s="61"/>
      <c r="X754" s="62"/>
      <c r="Y754" s="62"/>
      <c r="Z754" s="66"/>
      <c r="AA754" s="91"/>
      <c r="AB754" s="69"/>
      <c r="AC754" s="91"/>
      <c r="AD754" s="91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1"/>
      <c r="P755" s="69"/>
      <c r="Q755" s="91"/>
      <c r="R755" s="91"/>
      <c r="S755" s="60"/>
      <c r="T755" s="62"/>
      <c r="U755" s="62"/>
      <c r="V755" s="62"/>
      <c r="W755" s="61"/>
      <c r="X755" s="62"/>
      <c r="Y755" s="62"/>
      <c r="Z755" s="66"/>
      <c r="AA755" s="91"/>
      <c r="AB755" s="69"/>
      <c r="AC755" s="91"/>
      <c r="AD755" s="91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1"/>
      <c r="P756" s="69"/>
      <c r="Q756" s="91"/>
      <c r="R756" s="91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1"/>
      <c r="AD756" s="91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1"/>
      <c r="P757" s="69"/>
      <c r="Q757" s="91"/>
      <c r="R757" s="91"/>
      <c r="S757" s="60"/>
      <c r="T757" s="62"/>
      <c r="U757" s="62"/>
      <c r="V757" s="62"/>
      <c r="W757" s="61"/>
      <c r="X757" s="62"/>
      <c r="Y757" s="62"/>
      <c r="Z757" s="66"/>
      <c r="AA757" s="91"/>
      <c r="AB757" s="69"/>
      <c r="AC757" s="91"/>
      <c r="AD757" s="91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1"/>
      <c r="P758" s="69"/>
      <c r="Q758" s="91"/>
      <c r="R758" s="91"/>
      <c r="S758" s="60"/>
      <c r="T758" s="62"/>
      <c r="U758" s="62"/>
      <c r="V758" s="62"/>
      <c r="W758" s="61"/>
      <c r="X758" s="62"/>
      <c r="Y758" s="62"/>
      <c r="Z758" s="66"/>
      <c r="AA758" s="91"/>
      <c r="AB758" s="69"/>
      <c r="AC758" s="91"/>
      <c r="AD758" s="91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1"/>
      <c r="P759" s="69"/>
      <c r="Q759" s="91"/>
      <c r="R759" s="91"/>
      <c r="S759" s="60"/>
      <c r="T759" s="62"/>
      <c r="U759" s="62"/>
      <c r="V759" s="62"/>
      <c r="W759" s="61"/>
      <c r="X759" s="62"/>
      <c r="Y759" s="62"/>
      <c r="Z759" s="66"/>
      <c r="AA759" s="91"/>
      <c r="AB759" s="69"/>
      <c r="AC759" s="91"/>
      <c r="AD759" s="91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1"/>
      <c r="P760" s="69"/>
      <c r="Q760" s="91"/>
      <c r="R760" s="91"/>
      <c r="S760" s="60"/>
      <c r="T760" s="62"/>
      <c r="U760" s="62"/>
      <c r="V760" s="62"/>
      <c r="W760" s="61"/>
      <c r="X760" s="62"/>
      <c r="Y760" s="62"/>
      <c r="Z760" s="66"/>
      <c r="AA760" s="91"/>
      <c r="AB760" s="69"/>
      <c r="AC760" s="91"/>
      <c r="AD760" s="91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62"/>
      <c r="P761" s="69"/>
      <c r="Q761" s="91"/>
      <c r="R761" s="91"/>
      <c r="S761" s="60"/>
      <c r="T761" s="62"/>
      <c r="U761" s="62"/>
      <c r="V761" s="62"/>
      <c r="W761" s="61"/>
      <c r="X761" s="62"/>
      <c r="Y761" s="62"/>
      <c r="Z761" s="66"/>
      <c r="AA761" s="91"/>
      <c r="AB761" s="69"/>
      <c r="AC761" s="91"/>
      <c r="AD761" s="91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1"/>
      <c r="P762" s="69"/>
      <c r="Q762" s="91"/>
      <c r="R762" s="91"/>
      <c r="S762" s="60"/>
      <c r="T762" s="62"/>
      <c r="U762" s="62"/>
      <c r="V762" s="62"/>
      <c r="W762" s="61"/>
      <c r="X762" s="62"/>
      <c r="Y762" s="62"/>
      <c r="Z762" s="66"/>
      <c r="AA762" s="91"/>
      <c r="AB762" s="69"/>
      <c r="AC762" s="91"/>
      <c r="AD762" s="91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1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91"/>
      <c r="P763" s="69"/>
      <c r="Q763" s="91"/>
      <c r="R763" s="91"/>
      <c r="S763" s="60"/>
      <c r="T763" s="62"/>
      <c r="U763" s="62"/>
      <c r="V763" s="62"/>
      <c r="W763" s="61"/>
      <c r="X763" s="62"/>
      <c r="Y763" s="62"/>
      <c r="Z763" s="66"/>
      <c r="AA763" s="91"/>
      <c r="AB763" s="69"/>
      <c r="AC763" s="91"/>
      <c r="AD763" s="91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1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1"/>
      <c r="P764" s="69"/>
      <c r="Q764" s="91"/>
      <c r="R764" s="91"/>
      <c r="S764" s="60"/>
      <c r="T764" s="62"/>
      <c r="U764" s="62"/>
      <c r="V764" s="62"/>
      <c r="W764" s="61"/>
      <c r="X764" s="62"/>
      <c r="Y764" s="62"/>
      <c r="Z764" s="66"/>
      <c r="AA764" s="91"/>
      <c r="AB764" s="69"/>
      <c r="AC764" s="91"/>
      <c r="AD764" s="91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1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1"/>
      <c r="P765" s="69"/>
      <c r="Q765" s="91"/>
      <c r="R765" s="91"/>
      <c r="S765" s="60"/>
      <c r="T765" s="62"/>
      <c r="U765" s="62"/>
      <c r="V765" s="62"/>
      <c r="W765" s="61"/>
      <c r="X765" s="62"/>
      <c r="Y765" s="62"/>
      <c r="Z765" s="66"/>
      <c r="AA765" s="91"/>
      <c r="AB765" s="69"/>
      <c r="AC765" s="91"/>
      <c r="AD765" s="91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1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1"/>
      <c r="R766" s="91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1"/>
      <c r="AD766" s="91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1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1"/>
      <c r="P767" s="69"/>
      <c r="Q767" s="91"/>
      <c r="R767" s="91"/>
      <c r="S767" s="60"/>
      <c r="T767" s="62"/>
      <c r="U767" s="62"/>
      <c r="V767" s="62"/>
      <c r="W767" s="61"/>
      <c r="X767" s="62"/>
      <c r="Y767" s="62"/>
      <c r="Z767" s="66"/>
      <c r="AA767" s="91"/>
      <c r="AB767" s="69"/>
      <c r="AC767" s="91"/>
      <c r="AD767" s="91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1"/>
      <c r="O768" s="91"/>
      <c r="P768" s="91"/>
      <c r="Q768" s="91"/>
      <c r="R768" s="91"/>
      <c r="S768" s="91"/>
      <c r="T768" s="62"/>
      <c r="U768" s="62"/>
      <c r="V768" s="62"/>
      <c r="W768" s="61"/>
      <c r="X768" s="62"/>
      <c r="Y768" s="62"/>
      <c r="Z768" s="91"/>
      <c r="AA768" s="91"/>
      <c r="AB768" s="91"/>
      <c r="AC768" s="91"/>
      <c r="AD768" s="91"/>
      <c r="AE768" s="91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1"/>
      <c r="C769" s="91"/>
      <c r="D769" s="91"/>
      <c r="E769" s="91"/>
      <c r="F769" s="91"/>
      <c r="G769" s="91"/>
      <c r="H769" s="62"/>
      <c r="I769" s="62"/>
      <c r="J769" s="62"/>
      <c r="K769" s="62"/>
      <c r="L769" s="62"/>
      <c r="M769" s="62"/>
      <c r="N769" s="91"/>
      <c r="O769" s="91"/>
      <c r="P769" s="91"/>
      <c r="Q769" s="91"/>
      <c r="R769" s="91"/>
      <c r="S769" s="91"/>
      <c r="T769" s="62"/>
      <c r="U769" s="62"/>
      <c r="V769" s="62"/>
      <c r="W769" s="62"/>
      <c r="X769" s="62"/>
      <c r="Y769" s="62"/>
      <c r="Z769" s="91"/>
      <c r="AA769" s="91"/>
      <c r="AB769" s="91"/>
      <c r="AC769" s="91"/>
      <c r="AD769" s="91"/>
      <c r="AE769" s="91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1"/>
      <c r="C770" s="91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1"/>
      <c r="O770" s="91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1"/>
      <c r="AA770" s="91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1"/>
      <c r="C772" s="91"/>
      <c r="D772" s="91"/>
      <c r="E772" s="91"/>
      <c r="F772" s="91"/>
      <c r="G772" s="91"/>
      <c r="H772" s="62"/>
      <c r="I772" s="62"/>
      <c r="J772" s="62"/>
      <c r="K772" s="62"/>
      <c r="L772" s="62"/>
      <c r="M772" s="62"/>
      <c r="N772" s="91"/>
      <c r="O772" s="91"/>
      <c r="P772" s="91"/>
      <c r="Q772" s="91"/>
      <c r="R772" s="91"/>
      <c r="S772" s="91"/>
      <c r="T772" s="62"/>
      <c r="U772" s="62"/>
      <c r="V772" s="62"/>
      <c r="W772" s="62"/>
      <c r="X772" s="62"/>
      <c r="Y772" s="62"/>
      <c r="Z772" s="91"/>
      <c r="AA772" s="91"/>
      <c r="AB772" s="91"/>
      <c r="AC772" s="91"/>
      <c r="AD772" s="91"/>
      <c r="AE772" s="91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1"/>
      <c r="C773" s="91"/>
      <c r="D773" s="91"/>
      <c r="E773" s="91"/>
      <c r="F773" s="91"/>
      <c r="G773" s="91"/>
      <c r="H773" s="62"/>
      <c r="I773" s="62"/>
      <c r="J773" s="62"/>
      <c r="K773" s="62"/>
      <c r="L773" s="62"/>
      <c r="M773" s="62"/>
      <c r="N773" s="91"/>
      <c r="O773" s="91"/>
      <c r="P773" s="91"/>
      <c r="Q773" s="91"/>
      <c r="R773" s="91"/>
      <c r="S773" s="91"/>
      <c r="T773" s="62"/>
      <c r="U773" s="62"/>
      <c r="V773" s="62"/>
      <c r="W773" s="62"/>
      <c r="X773" s="62"/>
      <c r="Y773" s="62"/>
      <c r="Z773" s="91"/>
      <c r="AA773" s="91"/>
      <c r="AB773" s="91"/>
      <c r="AC773" s="91"/>
      <c r="AD773" s="91"/>
      <c r="AE773" s="91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1"/>
      <c r="C774" s="91"/>
      <c r="D774" s="91"/>
      <c r="E774" s="91"/>
      <c r="F774" s="91"/>
      <c r="G774" s="91"/>
      <c r="H774" s="62"/>
      <c r="I774" s="62"/>
      <c r="J774" s="62"/>
      <c r="K774" s="62"/>
      <c r="L774" s="62"/>
      <c r="M774" s="62"/>
      <c r="N774" s="91"/>
      <c r="O774" s="91"/>
      <c r="P774" s="91"/>
      <c r="Q774" s="91"/>
      <c r="R774" s="91"/>
      <c r="S774" s="91"/>
      <c r="T774" s="62"/>
      <c r="U774" s="62"/>
      <c r="V774" s="62"/>
      <c r="W774" s="62"/>
      <c r="X774" s="62"/>
      <c r="Y774" s="62"/>
      <c r="Z774" s="91"/>
      <c r="AA774" s="91"/>
      <c r="AB774" s="91"/>
      <c r="AC774" s="91"/>
      <c r="AD774" s="91"/>
      <c r="AE774" s="91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1"/>
      <c r="C775" s="91"/>
      <c r="D775" s="91"/>
      <c r="E775" s="91"/>
      <c r="F775" s="91"/>
      <c r="G775" s="91"/>
      <c r="H775" s="62"/>
      <c r="I775" s="62"/>
      <c r="J775" s="62"/>
      <c r="K775" s="62"/>
      <c r="L775" s="62"/>
      <c r="M775" s="63"/>
      <c r="N775" s="91"/>
      <c r="O775" s="91"/>
      <c r="P775" s="91"/>
      <c r="Q775" s="91"/>
      <c r="R775" s="91"/>
      <c r="S775" s="91"/>
      <c r="T775" s="62"/>
      <c r="U775" s="62"/>
      <c r="V775" s="62"/>
      <c r="W775" s="62"/>
      <c r="X775" s="62"/>
      <c r="Y775" s="63"/>
      <c r="Z775" s="91"/>
      <c r="AA775" s="91"/>
      <c r="AB775" s="91"/>
      <c r="AC775" s="91"/>
      <c r="AD775" s="91"/>
      <c r="AE775" s="91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1"/>
      <c r="C776" s="91"/>
      <c r="D776" s="91"/>
      <c r="E776" s="91"/>
      <c r="F776" s="91"/>
      <c r="G776" s="91"/>
      <c r="H776" s="62"/>
      <c r="I776" s="62"/>
      <c r="J776" s="62"/>
      <c r="K776" s="62"/>
      <c r="L776" s="62"/>
      <c r="M776" s="62"/>
      <c r="N776" s="91"/>
      <c r="O776" s="91"/>
      <c r="P776" s="91"/>
      <c r="Q776" s="91"/>
      <c r="R776" s="91"/>
      <c r="S776" s="91"/>
      <c r="T776" s="62"/>
      <c r="U776" s="62"/>
      <c r="V776" s="62"/>
      <c r="W776" s="62"/>
      <c r="X776" s="62"/>
      <c r="Y776" s="62"/>
      <c r="Z776" s="91"/>
      <c r="AA776" s="91"/>
      <c r="AB776" s="91"/>
      <c r="AC776" s="91"/>
      <c r="AD776" s="91"/>
      <c r="AE776" s="91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1"/>
      <c r="C777" s="91"/>
      <c r="D777" s="91"/>
      <c r="E777" s="91"/>
      <c r="F777" s="91"/>
      <c r="G777" s="91"/>
      <c r="H777" s="62"/>
      <c r="I777" s="91"/>
      <c r="J777" s="73"/>
      <c r="K777" s="62"/>
      <c r="L777" s="62"/>
      <c r="M777" s="62"/>
      <c r="N777" s="91"/>
      <c r="O777" s="91"/>
      <c r="P777" s="91"/>
      <c r="Q777" s="91"/>
      <c r="R777" s="91"/>
      <c r="S777" s="91"/>
      <c r="T777" s="62"/>
      <c r="U777" s="91"/>
      <c r="V777" s="73"/>
      <c r="W777" s="62"/>
      <c r="X777" s="62"/>
      <c r="Y777" s="62"/>
      <c r="Z777" s="91"/>
      <c r="AA777" s="91"/>
      <c r="AB777" s="91"/>
      <c r="AC777" s="91"/>
      <c r="AD777" s="91"/>
      <c r="AE777" s="91"/>
      <c r="AF777" s="62"/>
      <c r="AG777" s="91"/>
      <c r="AH777" s="91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1"/>
      <c r="C778" s="91"/>
      <c r="D778" s="91"/>
      <c r="E778" s="91"/>
      <c r="F778" s="91"/>
      <c r="G778" s="91"/>
      <c r="H778" s="62"/>
      <c r="I778" s="65"/>
      <c r="J778" s="65"/>
      <c r="K778" s="62"/>
      <c r="L778" s="62"/>
      <c r="M778" s="64"/>
      <c r="N778" s="91"/>
      <c r="O778" s="91"/>
      <c r="P778" s="91"/>
      <c r="Q778" s="91"/>
      <c r="R778" s="91"/>
      <c r="S778" s="91"/>
      <c r="T778" s="62"/>
      <c r="U778" s="65"/>
      <c r="V778" s="65"/>
      <c r="W778" s="62"/>
      <c r="X778" s="62"/>
      <c r="Y778" s="64"/>
      <c r="Z778" s="91"/>
      <c r="AA778" s="91"/>
      <c r="AB778" s="91"/>
      <c r="AC778" s="91"/>
      <c r="AD778" s="91"/>
      <c r="AE778" s="91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1"/>
      <c r="C779" s="91"/>
      <c r="D779" s="91"/>
      <c r="E779" s="91"/>
      <c r="F779" s="91"/>
      <c r="G779" s="91"/>
      <c r="H779" s="62"/>
      <c r="I779" s="62"/>
      <c r="J779" s="62"/>
      <c r="K779" s="62"/>
      <c r="L779" s="62"/>
      <c r="M779" s="62"/>
      <c r="N779" s="91"/>
      <c r="O779" s="91"/>
      <c r="P779" s="91"/>
      <c r="Q779" s="91"/>
      <c r="R779" s="91"/>
      <c r="S779" s="91"/>
      <c r="T779" s="62"/>
      <c r="U779" s="62"/>
      <c r="V779" s="62"/>
      <c r="W779" s="62"/>
      <c r="X779" s="62"/>
      <c r="Y779" s="62"/>
      <c r="Z779" s="91"/>
      <c r="AA779" s="91"/>
      <c r="AB779" s="91"/>
      <c r="AC779" s="91"/>
      <c r="AD779" s="91"/>
      <c r="AE779" s="91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1"/>
      <c r="D780" s="114"/>
      <c r="E780" s="114"/>
      <c r="F780" s="91"/>
      <c r="G780" s="91"/>
      <c r="H780" s="62"/>
      <c r="I780" s="114"/>
      <c r="J780" s="114"/>
      <c r="K780" s="113"/>
      <c r="L780" s="62"/>
      <c r="M780" s="62"/>
      <c r="N780" s="65"/>
      <c r="O780" s="91"/>
      <c r="P780" s="114"/>
      <c r="Q780" s="114"/>
      <c r="R780" s="91"/>
      <c r="S780" s="91"/>
      <c r="T780" s="62"/>
      <c r="U780" s="114"/>
      <c r="V780" s="114"/>
      <c r="W780" s="113"/>
      <c r="X780" s="62"/>
      <c r="Y780" s="62"/>
      <c r="Z780" s="65"/>
      <c r="AA780" s="91"/>
      <c r="AB780" s="114"/>
      <c r="AC780" s="114"/>
      <c r="AD780" s="91"/>
      <c r="AE780" s="91"/>
      <c r="AF780" s="62"/>
      <c r="AG780" s="114"/>
      <c r="AH780" s="114"/>
      <c r="AI780" s="113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1"/>
      <c r="C781" s="91"/>
      <c r="D781" s="79"/>
      <c r="E781" s="80"/>
      <c r="F781" s="81"/>
      <c r="G781" s="81"/>
      <c r="H781" s="62"/>
      <c r="I781" s="90"/>
      <c r="J781" s="90"/>
      <c r="K781" s="113"/>
      <c r="L781" s="62"/>
      <c r="M781" s="62"/>
      <c r="N781" s="91"/>
      <c r="O781" s="91"/>
      <c r="P781" s="79"/>
      <c r="Q781" s="81"/>
      <c r="R781" s="81"/>
      <c r="S781" s="81"/>
      <c r="T781" s="62"/>
      <c r="U781" s="90"/>
      <c r="V781" s="90"/>
      <c r="W781" s="113"/>
      <c r="X781" s="62"/>
      <c r="Y781" s="62"/>
      <c r="Z781" s="91"/>
      <c r="AA781" s="91"/>
      <c r="AB781" s="79"/>
      <c r="AC781" s="81"/>
      <c r="AD781" s="81"/>
      <c r="AE781" s="81"/>
      <c r="AF781" s="62"/>
      <c r="AG781" s="90"/>
      <c r="AH781" s="90"/>
      <c r="AI781" s="113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1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1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1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1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1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1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1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1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1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1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1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1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1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1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1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1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1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65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1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1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5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1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1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1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1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1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1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1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1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1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1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1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1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1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1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1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1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1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1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1"/>
      <c r="P802" s="67"/>
      <c r="Q802" s="91"/>
      <c r="R802" s="91"/>
      <c r="S802" s="60"/>
      <c r="T802" s="62"/>
      <c r="U802" s="62"/>
      <c r="V802" s="62"/>
      <c r="W802" s="61"/>
      <c r="X802" s="62"/>
      <c r="Y802" s="62"/>
      <c r="Z802" s="66"/>
      <c r="AA802" s="91"/>
      <c r="AB802" s="67"/>
      <c r="AC802" s="91"/>
      <c r="AD802" s="91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1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1"/>
      <c r="P803" s="68"/>
      <c r="Q803" s="91"/>
      <c r="R803" s="91"/>
      <c r="S803" s="60"/>
      <c r="T803" s="62"/>
      <c r="U803" s="62"/>
      <c r="V803" s="62"/>
      <c r="W803" s="61"/>
      <c r="X803" s="62"/>
      <c r="Y803" s="62"/>
      <c r="Z803" s="66"/>
      <c r="AA803" s="91"/>
      <c r="AB803" s="68"/>
      <c r="AC803" s="91"/>
      <c r="AD803" s="91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1"/>
      <c r="P804" s="69"/>
      <c r="Q804" s="91"/>
      <c r="R804" s="62"/>
      <c r="S804" s="60"/>
      <c r="T804" s="62"/>
      <c r="U804" s="62"/>
      <c r="V804" s="62"/>
      <c r="W804" s="61"/>
      <c r="X804" s="62"/>
      <c r="Y804" s="62"/>
      <c r="Z804" s="66"/>
      <c r="AA804" s="91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1"/>
      <c r="P805" s="69"/>
      <c r="Q805" s="91"/>
      <c r="R805" s="91"/>
      <c r="S805" s="60"/>
      <c r="T805" s="62"/>
      <c r="U805" s="62"/>
      <c r="V805" s="62"/>
      <c r="W805" s="61"/>
      <c r="X805" s="62"/>
      <c r="Y805" s="62"/>
      <c r="Z805" s="66"/>
      <c r="AA805" s="91"/>
      <c r="AB805" s="69"/>
      <c r="AC805" s="91"/>
      <c r="AD805" s="91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1"/>
      <c r="P806" s="69"/>
      <c r="Q806" s="91"/>
      <c r="R806" s="91"/>
      <c r="S806" s="60"/>
      <c r="T806" s="62"/>
      <c r="U806" s="62"/>
      <c r="V806" s="62"/>
      <c r="W806" s="61"/>
      <c r="X806" s="62"/>
      <c r="Y806" s="62"/>
      <c r="Z806" s="66"/>
      <c r="AA806" s="91"/>
      <c r="AB806" s="69"/>
      <c r="AC806" s="91"/>
      <c r="AD806" s="91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1"/>
      <c r="P807" s="69"/>
      <c r="Q807" s="91"/>
      <c r="R807" s="91"/>
      <c r="S807" s="60"/>
      <c r="T807" s="62"/>
      <c r="U807" s="62"/>
      <c r="V807" s="62"/>
      <c r="W807" s="61"/>
      <c r="X807" s="62"/>
      <c r="Y807" s="62"/>
      <c r="Z807" s="66"/>
      <c r="AA807" s="91"/>
      <c r="AB807" s="69"/>
      <c r="AC807" s="91"/>
      <c r="AD807" s="91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1"/>
      <c r="P808" s="69"/>
      <c r="Q808" s="91"/>
      <c r="R808" s="91"/>
      <c r="S808" s="60"/>
      <c r="T808" s="62"/>
      <c r="U808" s="62"/>
      <c r="V808" s="62"/>
      <c r="W808" s="61"/>
      <c r="X808" s="62"/>
      <c r="Y808" s="62"/>
      <c r="Z808" s="66"/>
      <c r="AA808" s="91"/>
      <c r="AB808" s="69"/>
      <c r="AC808" s="91"/>
      <c r="AD808" s="91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1"/>
      <c r="P809" s="69"/>
      <c r="Q809" s="91"/>
      <c r="R809" s="91"/>
      <c r="S809" s="60"/>
      <c r="T809" s="62"/>
      <c r="U809" s="62"/>
      <c r="V809" s="62"/>
      <c r="W809" s="61"/>
      <c r="X809" s="62"/>
      <c r="Y809" s="62"/>
      <c r="Z809" s="66"/>
      <c r="AA809" s="91"/>
      <c r="AB809" s="69"/>
      <c r="AC809" s="91"/>
      <c r="AD809" s="91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1"/>
      <c r="P810" s="69"/>
      <c r="Q810" s="91"/>
      <c r="R810" s="91"/>
      <c r="S810" s="60"/>
      <c r="T810" s="62"/>
      <c r="U810" s="62"/>
      <c r="V810" s="62"/>
      <c r="W810" s="61"/>
      <c r="X810" s="62"/>
      <c r="Y810" s="62"/>
      <c r="Z810" s="66"/>
      <c r="AA810" s="91"/>
      <c r="AB810" s="69"/>
      <c r="AC810" s="91"/>
      <c r="AD810" s="91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1"/>
      <c r="P811" s="69"/>
      <c r="Q811" s="91"/>
      <c r="R811" s="91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1"/>
      <c r="AD811" s="91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1"/>
      <c r="P812" s="69"/>
      <c r="Q812" s="91"/>
      <c r="R812" s="91"/>
      <c r="S812" s="60"/>
      <c r="T812" s="62"/>
      <c r="U812" s="62"/>
      <c r="V812" s="62"/>
      <c r="W812" s="61"/>
      <c r="X812" s="62"/>
      <c r="Y812" s="62"/>
      <c r="Z812" s="66"/>
      <c r="AA812" s="91"/>
      <c r="AB812" s="69"/>
      <c r="AC812" s="91"/>
      <c r="AD812" s="91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1"/>
      <c r="P813" s="69"/>
      <c r="Q813" s="91"/>
      <c r="R813" s="91"/>
      <c r="S813" s="60"/>
      <c r="T813" s="62"/>
      <c r="U813" s="62"/>
      <c r="V813" s="62"/>
      <c r="W813" s="61"/>
      <c r="X813" s="62"/>
      <c r="Y813" s="62"/>
      <c r="Z813" s="66"/>
      <c r="AA813" s="91"/>
      <c r="AB813" s="69"/>
      <c r="AC813" s="91"/>
      <c r="AD813" s="91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1"/>
      <c r="P814" s="69"/>
      <c r="Q814" s="91"/>
      <c r="R814" s="91"/>
      <c r="S814" s="60"/>
      <c r="T814" s="62"/>
      <c r="U814" s="62"/>
      <c r="V814" s="62"/>
      <c r="W814" s="61"/>
      <c r="X814" s="62"/>
      <c r="Y814" s="62"/>
      <c r="Z814" s="66"/>
      <c r="AA814" s="91"/>
      <c r="AB814" s="69"/>
      <c r="AC814" s="91"/>
      <c r="AD814" s="91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1"/>
      <c r="P815" s="69"/>
      <c r="Q815" s="91"/>
      <c r="R815" s="91"/>
      <c r="S815" s="60"/>
      <c r="T815" s="62"/>
      <c r="U815" s="62"/>
      <c r="V815" s="62"/>
      <c r="W815" s="61"/>
      <c r="X815" s="62"/>
      <c r="Y815" s="62"/>
      <c r="Z815" s="66"/>
      <c r="AA815" s="91"/>
      <c r="AB815" s="69"/>
      <c r="AC815" s="91"/>
      <c r="AD815" s="91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62"/>
      <c r="P816" s="69"/>
      <c r="Q816" s="91"/>
      <c r="R816" s="91"/>
      <c r="S816" s="60"/>
      <c r="T816" s="62"/>
      <c r="U816" s="62"/>
      <c r="V816" s="62"/>
      <c r="W816" s="61"/>
      <c r="X816" s="62"/>
      <c r="Y816" s="62"/>
      <c r="Z816" s="66"/>
      <c r="AA816" s="91"/>
      <c r="AB816" s="69"/>
      <c r="AC816" s="91"/>
      <c r="AD816" s="91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1"/>
      <c r="P817" s="69"/>
      <c r="Q817" s="91"/>
      <c r="R817" s="91"/>
      <c r="S817" s="60"/>
      <c r="T817" s="62"/>
      <c r="U817" s="62"/>
      <c r="V817" s="62"/>
      <c r="W817" s="61"/>
      <c r="X817" s="62"/>
      <c r="Y817" s="62"/>
      <c r="Z817" s="66"/>
      <c r="AA817" s="91"/>
      <c r="AB817" s="69"/>
      <c r="AC817" s="91"/>
      <c r="AD817" s="91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1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1"/>
      <c r="P818" s="69"/>
      <c r="Q818" s="91"/>
      <c r="R818" s="91"/>
      <c r="S818" s="60"/>
      <c r="T818" s="62"/>
      <c r="U818" s="62"/>
      <c r="V818" s="62"/>
      <c r="W818" s="61"/>
      <c r="X818" s="62"/>
      <c r="Y818" s="62"/>
      <c r="Z818" s="66"/>
      <c r="AA818" s="91"/>
      <c r="AB818" s="69"/>
      <c r="AC818" s="91"/>
      <c r="AD818" s="91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1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1"/>
      <c r="P819" s="69"/>
      <c r="Q819" s="91"/>
      <c r="R819" s="91"/>
      <c r="S819" s="60"/>
      <c r="T819" s="62"/>
      <c r="U819" s="62"/>
      <c r="V819" s="62"/>
      <c r="W819" s="61"/>
      <c r="X819" s="62"/>
      <c r="Y819" s="62"/>
      <c r="Z819" s="66"/>
      <c r="AA819" s="91"/>
      <c r="AB819" s="69"/>
      <c r="AC819" s="91"/>
      <c r="AD819" s="91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1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1"/>
      <c r="P820" s="69"/>
      <c r="Q820" s="91"/>
      <c r="R820" s="91"/>
      <c r="S820" s="60"/>
      <c r="T820" s="62"/>
      <c r="U820" s="62"/>
      <c r="V820" s="62"/>
      <c r="W820" s="61"/>
      <c r="X820" s="62"/>
      <c r="Y820" s="62"/>
      <c r="Z820" s="66"/>
      <c r="AA820" s="91"/>
      <c r="AB820" s="69"/>
      <c r="AC820" s="91"/>
      <c r="AD820" s="91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1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1"/>
      <c r="R821" s="91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1"/>
      <c r="AD821" s="91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1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1"/>
      <c r="P822" s="69"/>
      <c r="Q822" s="91"/>
      <c r="R822" s="91"/>
      <c r="S822" s="60"/>
      <c r="T822" s="62"/>
      <c r="U822" s="62"/>
      <c r="V822" s="62"/>
      <c r="W822" s="61"/>
      <c r="X822" s="62"/>
      <c r="Y822" s="62"/>
      <c r="Z822" s="66"/>
      <c r="AA822" s="91"/>
      <c r="AB822" s="69"/>
      <c r="AC822" s="91"/>
      <c r="AD822" s="91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1"/>
      <c r="O823" s="91"/>
      <c r="P823" s="91"/>
      <c r="Q823" s="91"/>
      <c r="R823" s="91"/>
      <c r="S823" s="91"/>
      <c r="T823" s="62"/>
      <c r="U823" s="62"/>
      <c r="V823" s="62"/>
      <c r="W823" s="61"/>
      <c r="X823" s="62"/>
      <c r="Y823" s="62"/>
      <c r="Z823" s="91"/>
      <c r="AA823" s="91"/>
      <c r="AB823" s="91"/>
      <c r="AC823" s="91"/>
      <c r="AD823" s="91"/>
      <c r="AE823" s="91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1"/>
      <c r="C824" s="91"/>
      <c r="D824" s="91"/>
      <c r="E824" s="91"/>
      <c r="F824" s="91"/>
      <c r="G824" s="91"/>
      <c r="H824" s="62"/>
      <c r="I824" s="62"/>
      <c r="J824" s="62"/>
      <c r="K824" s="62"/>
      <c r="L824" s="62"/>
      <c r="M824" s="62"/>
      <c r="N824" s="91"/>
      <c r="O824" s="91"/>
      <c r="P824" s="91"/>
      <c r="Q824" s="91"/>
      <c r="R824" s="91"/>
      <c r="S824" s="91"/>
      <c r="T824" s="62"/>
      <c r="U824" s="62"/>
      <c r="V824" s="62"/>
      <c r="W824" s="62"/>
      <c r="X824" s="62"/>
      <c r="Y824" s="62"/>
      <c r="Z824" s="91"/>
      <c r="AA824" s="91"/>
      <c r="AB824" s="91"/>
      <c r="AC824" s="91"/>
      <c r="AD824" s="91"/>
      <c r="AE824" s="91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1"/>
      <c r="C825" s="91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1"/>
      <c r="O825" s="91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1"/>
      <c r="AA825" s="91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1"/>
      <c r="C827" s="91"/>
      <c r="D827" s="91"/>
      <c r="E827" s="91"/>
      <c r="F827" s="91"/>
      <c r="G827" s="91"/>
      <c r="H827" s="62"/>
      <c r="I827" s="62"/>
      <c r="J827" s="62"/>
      <c r="K827" s="62"/>
      <c r="L827" s="62"/>
      <c r="M827" s="62"/>
      <c r="N827" s="91"/>
      <c r="O827" s="91"/>
      <c r="P827" s="91"/>
      <c r="Q827" s="91"/>
      <c r="R827" s="91"/>
      <c r="S827" s="91"/>
      <c r="T827" s="62"/>
      <c r="U827" s="62"/>
      <c r="V827" s="62"/>
      <c r="W827" s="62"/>
      <c r="X827" s="62"/>
      <c r="Y827" s="62"/>
      <c r="Z827" s="91"/>
      <c r="AA827" s="91"/>
      <c r="AB827" s="91"/>
      <c r="AC827" s="91"/>
      <c r="AD827" s="91"/>
      <c r="AE827" s="91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1"/>
      <c r="C828" s="91"/>
      <c r="D828" s="91"/>
      <c r="E828" s="91"/>
      <c r="F828" s="91"/>
      <c r="G828" s="91"/>
      <c r="H828" s="62"/>
      <c r="I828" s="62"/>
      <c r="J828" s="62"/>
      <c r="K828" s="62"/>
      <c r="L828" s="62"/>
      <c r="M828" s="62"/>
      <c r="N828" s="91"/>
      <c r="O828" s="91"/>
      <c r="P828" s="91"/>
      <c r="Q828" s="91"/>
      <c r="R828" s="91"/>
      <c r="S828" s="91"/>
      <c r="T828" s="62"/>
      <c r="U828" s="62"/>
      <c r="V828" s="62"/>
      <c r="W828" s="62"/>
      <c r="X828" s="62"/>
      <c r="Y828" s="62"/>
      <c r="Z828" s="91"/>
      <c r="AA828" s="91"/>
      <c r="AB828" s="91"/>
      <c r="AC828" s="91"/>
      <c r="AD828" s="91"/>
      <c r="AE828" s="91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1"/>
      <c r="C829" s="91"/>
      <c r="D829" s="91"/>
      <c r="E829" s="91"/>
      <c r="F829" s="91"/>
      <c r="G829" s="91"/>
      <c r="H829" s="62"/>
      <c r="I829" s="62"/>
      <c r="J829" s="62"/>
      <c r="K829" s="62"/>
      <c r="L829" s="62"/>
      <c r="M829" s="62"/>
      <c r="N829" s="91"/>
      <c r="O829" s="91"/>
      <c r="P829" s="91"/>
      <c r="Q829" s="91"/>
      <c r="R829" s="91"/>
      <c r="S829" s="91"/>
      <c r="T829" s="62"/>
      <c r="U829" s="62"/>
      <c r="V829" s="62"/>
      <c r="W829" s="62"/>
      <c r="X829" s="62"/>
      <c r="Y829" s="62"/>
      <c r="Z829" s="91"/>
      <c r="AA829" s="91"/>
      <c r="AB829" s="91"/>
      <c r="AC829" s="91"/>
      <c r="AD829" s="91"/>
      <c r="AE829" s="91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1"/>
      <c r="C830" s="91"/>
      <c r="D830" s="91"/>
      <c r="E830" s="91"/>
      <c r="F830" s="91"/>
      <c r="G830" s="91"/>
      <c r="H830" s="62"/>
      <c r="I830" s="62"/>
      <c r="J830" s="62"/>
      <c r="K830" s="62"/>
      <c r="L830" s="62"/>
      <c r="M830" s="63"/>
      <c r="N830" s="91"/>
      <c r="O830" s="91"/>
      <c r="P830" s="91"/>
      <c r="Q830" s="91"/>
      <c r="R830" s="91"/>
      <c r="S830" s="91"/>
      <c r="T830" s="62"/>
      <c r="U830" s="62"/>
      <c r="V830" s="62"/>
      <c r="W830" s="62"/>
      <c r="X830" s="62"/>
      <c r="Y830" s="63"/>
      <c r="Z830" s="91"/>
      <c r="AA830" s="91"/>
      <c r="AB830" s="91"/>
      <c r="AC830" s="91"/>
      <c r="AD830" s="91"/>
      <c r="AE830" s="91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1"/>
      <c r="C831" s="91"/>
      <c r="D831" s="91"/>
      <c r="E831" s="91"/>
      <c r="F831" s="91"/>
      <c r="G831" s="91"/>
      <c r="H831" s="62"/>
      <c r="I831" s="62"/>
      <c r="J831" s="62"/>
      <c r="K831" s="62"/>
      <c r="L831" s="62"/>
      <c r="M831" s="62"/>
      <c r="N831" s="91"/>
      <c r="O831" s="91"/>
      <c r="P831" s="91"/>
      <c r="Q831" s="91"/>
      <c r="R831" s="91"/>
      <c r="S831" s="91"/>
      <c r="T831" s="62"/>
      <c r="U831" s="62"/>
      <c r="V831" s="62"/>
      <c r="W831" s="62"/>
      <c r="X831" s="62"/>
      <c r="Y831" s="62"/>
      <c r="Z831" s="91"/>
      <c r="AA831" s="91"/>
      <c r="AB831" s="91"/>
      <c r="AC831" s="91"/>
      <c r="AD831" s="91"/>
      <c r="AE831" s="91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1"/>
      <c r="C832" s="91"/>
      <c r="D832" s="91"/>
      <c r="E832" s="91"/>
      <c r="F832" s="91"/>
      <c r="G832" s="91"/>
      <c r="H832" s="62"/>
      <c r="I832" s="91"/>
      <c r="J832" s="73"/>
      <c r="K832" s="62"/>
      <c r="L832" s="62"/>
      <c r="M832" s="62"/>
      <c r="N832" s="91"/>
      <c r="O832" s="91"/>
      <c r="P832" s="91"/>
      <c r="Q832" s="91"/>
      <c r="R832" s="91"/>
      <c r="S832" s="91"/>
      <c r="T832" s="62"/>
      <c r="U832" s="91"/>
      <c r="V832" s="73"/>
      <c r="W832" s="62"/>
      <c r="X832" s="62"/>
      <c r="Y832" s="62"/>
      <c r="Z832" s="91"/>
      <c r="AA832" s="91"/>
      <c r="AB832" s="91"/>
      <c r="AC832" s="91"/>
      <c r="AD832" s="91"/>
      <c r="AE832" s="91"/>
      <c r="AF832" s="62"/>
      <c r="AG832" s="91"/>
      <c r="AH832" s="91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1"/>
      <c r="C833" s="91"/>
      <c r="D833" s="91"/>
      <c r="E833" s="91"/>
      <c r="F833" s="91"/>
      <c r="G833" s="91"/>
      <c r="H833" s="62"/>
      <c r="I833" s="65"/>
      <c r="J833" s="65"/>
      <c r="K833" s="62"/>
      <c r="L833" s="62"/>
      <c r="M833" s="64"/>
      <c r="N833" s="91"/>
      <c r="O833" s="91"/>
      <c r="P833" s="91"/>
      <c r="Q833" s="91"/>
      <c r="R833" s="91"/>
      <c r="S833" s="91"/>
      <c r="T833" s="62"/>
      <c r="U833" s="65"/>
      <c r="V833" s="65"/>
      <c r="W833" s="62"/>
      <c r="X833" s="62"/>
      <c r="Y833" s="64"/>
      <c r="Z833" s="91"/>
      <c r="AA833" s="91"/>
      <c r="AB833" s="91"/>
      <c r="AC833" s="91"/>
      <c r="AD833" s="91"/>
      <c r="AE833" s="91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1"/>
      <c r="C834" s="91"/>
      <c r="D834" s="91"/>
      <c r="E834" s="91"/>
      <c r="F834" s="91"/>
      <c r="G834" s="91"/>
      <c r="H834" s="62"/>
      <c r="I834" s="62"/>
      <c r="J834" s="62"/>
      <c r="K834" s="62"/>
      <c r="L834" s="62"/>
      <c r="M834" s="62"/>
      <c r="N834" s="91"/>
      <c r="O834" s="91"/>
      <c r="P834" s="91"/>
      <c r="Q834" s="91"/>
      <c r="R834" s="91"/>
      <c r="S834" s="91"/>
      <c r="T834" s="62"/>
      <c r="U834" s="62"/>
      <c r="V834" s="62"/>
      <c r="W834" s="62"/>
      <c r="X834" s="62"/>
      <c r="Y834" s="62"/>
      <c r="Z834" s="91"/>
      <c r="AA834" s="91"/>
      <c r="AB834" s="91"/>
      <c r="AC834" s="91"/>
      <c r="AD834" s="91"/>
      <c r="AE834" s="91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1"/>
      <c r="D835" s="114"/>
      <c r="E835" s="114"/>
      <c r="F835" s="91"/>
      <c r="G835" s="91"/>
      <c r="H835" s="62"/>
      <c r="I835" s="114"/>
      <c r="J835" s="114"/>
      <c r="K835" s="113"/>
      <c r="L835" s="62"/>
      <c r="M835" s="62"/>
      <c r="N835" s="65"/>
      <c r="O835" s="91"/>
      <c r="P835" s="114"/>
      <c r="Q835" s="114"/>
      <c r="R835" s="91"/>
      <c r="S835" s="91"/>
      <c r="T835" s="62"/>
      <c r="U835" s="114"/>
      <c r="V835" s="114"/>
      <c r="W835" s="113"/>
      <c r="X835" s="62"/>
      <c r="Y835" s="62"/>
      <c r="Z835" s="65"/>
      <c r="AA835" s="91"/>
      <c r="AB835" s="114"/>
      <c r="AC835" s="114"/>
      <c r="AD835" s="91"/>
      <c r="AE835" s="91"/>
      <c r="AF835" s="62"/>
      <c r="AG835" s="114"/>
      <c r="AH835" s="114"/>
      <c r="AI835" s="113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1"/>
      <c r="C836" s="91"/>
      <c r="D836" s="79"/>
      <c r="E836" s="80"/>
      <c r="F836" s="81"/>
      <c r="G836" s="81"/>
      <c r="H836" s="62"/>
      <c r="I836" s="90"/>
      <c r="J836" s="90"/>
      <c r="K836" s="113"/>
      <c r="L836" s="62"/>
      <c r="M836" s="62"/>
      <c r="N836" s="91"/>
      <c r="O836" s="91"/>
      <c r="P836" s="79"/>
      <c r="Q836" s="81"/>
      <c r="R836" s="81"/>
      <c r="S836" s="81"/>
      <c r="T836" s="62"/>
      <c r="U836" s="90"/>
      <c r="V836" s="90"/>
      <c r="W836" s="113"/>
      <c r="X836" s="62"/>
      <c r="Y836" s="62"/>
      <c r="Z836" s="91"/>
      <c r="AA836" s="91"/>
      <c r="AB836" s="79"/>
      <c r="AC836" s="81"/>
      <c r="AD836" s="81"/>
      <c r="AE836" s="81"/>
      <c r="AF836" s="62"/>
      <c r="AG836" s="90"/>
      <c r="AH836" s="90"/>
      <c r="AI836" s="113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1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1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1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1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1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1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1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1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1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1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1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1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1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65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1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1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1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1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1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1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65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91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1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1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1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1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1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1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1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1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1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1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1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62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1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1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1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1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1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1"/>
      <c r="P857" s="67"/>
      <c r="Q857" s="91"/>
      <c r="R857" s="91"/>
      <c r="S857" s="60"/>
      <c r="T857" s="62"/>
      <c r="U857" s="62"/>
      <c r="V857" s="62"/>
      <c r="W857" s="61"/>
      <c r="X857" s="62"/>
      <c r="Y857" s="62"/>
      <c r="Z857" s="66"/>
      <c r="AA857" s="91"/>
      <c r="AB857" s="67"/>
      <c r="AC857" s="91"/>
      <c r="AD857" s="91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1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1"/>
      <c r="P858" s="68"/>
      <c r="Q858" s="91"/>
      <c r="R858" s="91"/>
      <c r="S858" s="60"/>
      <c r="T858" s="62"/>
      <c r="U858" s="62"/>
      <c r="V858" s="62"/>
      <c r="W858" s="61"/>
      <c r="X858" s="62"/>
      <c r="Y858" s="62"/>
      <c r="Z858" s="66"/>
      <c r="AA858" s="91"/>
      <c r="AB858" s="68"/>
      <c r="AC858" s="91"/>
      <c r="AD858" s="91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1"/>
      <c r="P859" s="69"/>
      <c r="Q859" s="91"/>
      <c r="R859" s="62"/>
      <c r="S859" s="60"/>
      <c r="T859" s="62"/>
      <c r="U859" s="62"/>
      <c r="V859" s="62"/>
      <c r="W859" s="61"/>
      <c r="X859" s="62"/>
      <c r="Y859" s="62"/>
      <c r="Z859" s="66"/>
      <c r="AA859" s="91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1"/>
      <c r="P860" s="69"/>
      <c r="Q860" s="91"/>
      <c r="R860" s="91"/>
      <c r="S860" s="60"/>
      <c r="T860" s="62"/>
      <c r="U860" s="62"/>
      <c r="V860" s="62"/>
      <c r="W860" s="61"/>
      <c r="X860" s="62"/>
      <c r="Y860" s="62"/>
      <c r="Z860" s="66"/>
      <c r="AA860" s="91"/>
      <c r="AB860" s="69"/>
      <c r="AC860" s="91"/>
      <c r="AD860" s="91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1"/>
      <c r="P861" s="69"/>
      <c r="Q861" s="91"/>
      <c r="R861" s="91"/>
      <c r="S861" s="60"/>
      <c r="T861" s="62"/>
      <c r="U861" s="62"/>
      <c r="V861" s="62"/>
      <c r="W861" s="61"/>
      <c r="X861" s="62"/>
      <c r="Y861" s="62"/>
      <c r="Z861" s="66"/>
      <c r="AA861" s="91"/>
      <c r="AB861" s="69"/>
      <c r="AC861" s="91"/>
      <c r="AD861" s="91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91"/>
      <c r="P862" s="69"/>
      <c r="Q862" s="91"/>
      <c r="R862" s="91"/>
      <c r="S862" s="60"/>
      <c r="T862" s="62"/>
      <c r="U862" s="62"/>
      <c r="V862" s="62"/>
      <c r="W862" s="61"/>
      <c r="X862" s="62"/>
      <c r="Y862" s="62"/>
      <c r="Z862" s="66"/>
      <c r="AA862" s="91"/>
      <c r="AB862" s="69"/>
      <c r="AC862" s="91"/>
      <c r="AD862" s="91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1"/>
      <c r="P863" s="69"/>
      <c r="Q863" s="91"/>
      <c r="R863" s="91"/>
      <c r="S863" s="60"/>
      <c r="T863" s="62"/>
      <c r="U863" s="62"/>
      <c r="V863" s="62"/>
      <c r="W863" s="61"/>
      <c r="X863" s="62"/>
      <c r="Y863" s="62"/>
      <c r="Z863" s="66"/>
      <c r="AA863" s="91"/>
      <c r="AB863" s="69"/>
      <c r="AC863" s="91"/>
      <c r="AD863" s="91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1"/>
      <c r="P864" s="69"/>
      <c r="Q864" s="91"/>
      <c r="R864" s="91"/>
      <c r="S864" s="60"/>
      <c r="T864" s="62"/>
      <c r="U864" s="62"/>
      <c r="V864" s="62"/>
      <c r="W864" s="61"/>
      <c r="X864" s="62"/>
      <c r="Y864" s="62"/>
      <c r="Z864" s="66"/>
      <c r="AA864" s="91"/>
      <c r="AB864" s="69"/>
      <c r="AC864" s="91"/>
      <c r="AD864" s="91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1"/>
      <c r="P865" s="69"/>
      <c r="Q865" s="91"/>
      <c r="R865" s="91"/>
      <c r="S865" s="60"/>
      <c r="T865" s="62"/>
      <c r="U865" s="62"/>
      <c r="V865" s="62"/>
      <c r="W865" s="61"/>
      <c r="X865" s="62"/>
      <c r="Y865" s="62"/>
      <c r="Z865" s="66"/>
      <c r="AA865" s="91"/>
      <c r="AB865" s="69"/>
      <c r="AC865" s="91"/>
      <c r="AD865" s="91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91"/>
      <c r="P866" s="69"/>
      <c r="Q866" s="91"/>
      <c r="R866" s="91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1"/>
      <c r="AD866" s="91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1"/>
      <c r="P867" s="69"/>
      <c r="Q867" s="91"/>
      <c r="R867" s="91"/>
      <c r="S867" s="60"/>
      <c r="T867" s="62"/>
      <c r="U867" s="62"/>
      <c r="V867" s="62"/>
      <c r="W867" s="61"/>
      <c r="X867" s="62"/>
      <c r="Y867" s="62"/>
      <c r="Z867" s="66"/>
      <c r="AA867" s="91"/>
      <c r="AB867" s="69"/>
      <c r="AC867" s="91"/>
      <c r="AD867" s="91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1"/>
      <c r="P868" s="69"/>
      <c r="Q868" s="91"/>
      <c r="R868" s="91"/>
      <c r="S868" s="60"/>
      <c r="T868" s="62"/>
      <c r="U868" s="62"/>
      <c r="V868" s="62"/>
      <c r="W868" s="61"/>
      <c r="X868" s="62"/>
      <c r="Y868" s="62"/>
      <c r="Z868" s="66"/>
      <c r="AA868" s="91"/>
      <c r="AB868" s="69"/>
      <c r="AC868" s="91"/>
      <c r="AD868" s="91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1"/>
      <c r="P869" s="69"/>
      <c r="Q869" s="91"/>
      <c r="R869" s="91"/>
      <c r="S869" s="60"/>
      <c r="T869" s="62"/>
      <c r="U869" s="62"/>
      <c r="V869" s="62"/>
      <c r="W869" s="61"/>
      <c r="X869" s="62"/>
      <c r="Y869" s="62"/>
      <c r="Z869" s="66"/>
      <c r="AA869" s="91"/>
      <c r="AB869" s="69"/>
      <c r="AC869" s="91"/>
      <c r="AD869" s="91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1"/>
      <c r="P870" s="69"/>
      <c r="Q870" s="91"/>
      <c r="R870" s="91"/>
      <c r="S870" s="60"/>
      <c r="T870" s="62"/>
      <c r="U870" s="62"/>
      <c r="V870" s="62"/>
      <c r="W870" s="61"/>
      <c r="X870" s="62"/>
      <c r="Y870" s="62"/>
      <c r="Z870" s="66"/>
      <c r="AA870" s="91"/>
      <c r="AB870" s="69"/>
      <c r="AC870" s="91"/>
      <c r="AD870" s="91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62"/>
      <c r="P871" s="69"/>
      <c r="Q871" s="91"/>
      <c r="R871" s="91"/>
      <c r="S871" s="60"/>
      <c r="T871" s="62"/>
      <c r="U871" s="62"/>
      <c r="V871" s="62"/>
      <c r="W871" s="61"/>
      <c r="X871" s="62"/>
      <c r="Y871" s="62"/>
      <c r="Z871" s="66"/>
      <c r="AA871" s="91"/>
      <c r="AB871" s="69"/>
      <c r="AC871" s="91"/>
      <c r="AD871" s="91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1"/>
      <c r="P872" s="69"/>
      <c r="Q872" s="91"/>
      <c r="R872" s="91"/>
      <c r="S872" s="60"/>
      <c r="T872" s="62"/>
      <c r="U872" s="62"/>
      <c r="V872" s="62"/>
      <c r="W872" s="61"/>
      <c r="X872" s="62"/>
      <c r="Y872" s="62"/>
      <c r="Z872" s="66"/>
      <c r="AA872" s="91"/>
      <c r="AB872" s="69"/>
      <c r="AC872" s="91"/>
      <c r="AD872" s="91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1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91"/>
      <c r="P873" s="69"/>
      <c r="Q873" s="91"/>
      <c r="R873" s="91"/>
      <c r="S873" s="60"/>
      <c r="T873" s="62"/>
      <c r="U873" s="62"/>
      <c r="V873" s="62"/>
      <c r="W873" s="61"/>
      <c r="X873" s="62"/>
      <c r="Y873" s="62"/>
      <c r="Z873" s="66"/>
      <c r="AA873" s="91"/>
      <c r="AB873" s="69"/>
      <c r="AC873" s="91"/>
      <c r="AD873" s="91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1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1"/>
      <c r="P874" s="69"/>
      <c r="Q874" s="91"/>
      <c r="R874" s="91"/>
      <c r="S874" s="60"/>
      <c r="T874" s="62"/>
      <c r="U874" s="62"/>
      <c r="V874" s="62"/>
      <c r="W874" s="61"/>
      <c r="X874" s="62"/>
      <c r="Y874" s="62"/>
      <c r="Z874" s="66"/>
      <c r="AA874" s="91"/>
      <c r="AB874" s="69"/>
      <c r="AC874" s="91"/>
      <c r="AD874" s="91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1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1"/>
      <c r="P875" s="69"/>
      <c r="Q875" s="91"/>
      <c r="R875" s="91"/>
      <c r="S875" s="60"/>
      <c r="T875" s="62"/>
      <c r="U875" s="62"/>
      <c r="V875" s="62"/>
      <c r="W875" s="61"/>
      <c r="X875" s="62"/>
      <c r="Y875" s="62"/>
      <c r="Z875" s="66"/>
      <c r="AA875" s="91"/>
      <c r="AB875" s="69"/>
      <c r="AC875" s="91"/>
      <c r="AD875" s="91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1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1"/>
      <c r="R876" s="91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1"/>
      <c r="AD876" s="91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1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1"/>
      <c r="P877" s="69"/>
      <c r="Q877" s="91"/>
      <c r="R877" s="91"/>
      <c r="S877" s="60"/>
      <c r="T877" s="62"/>
      <c r="U877" s="62"/>
      <c r="V877" s="62"/>
      <c r="W877" s="61"/>
      <c r="X877" s="62"/>
      <c r="Y877" s="62"/>
      <c r="Z877" s="66"/>
      <c r="AA877" s="91"/>
      <c r="AB877" s="69"/>
      <c r="AC877" s="91"/>
      <c r="AD877" s="91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1"/>
      <c r="O878" s="91"/>
      <c r="P878" s="91"/>
      <c r="Q878" s="91"/>
      <c r="R878" s="91"/>
      <c r="S878" s="91"/>
      <c r="T878" s="62"/>
      <c r="U878" s="62"/>
      <c r="V878" s="62"/>
      <c r="W878" s="61"/>
      <c r="X878" s="62"/>
      <c r="Y878" s="62"/>
      <c r="Z878" s="91"/>
      <c r="AA878" s="91"/>
      <c r="AB878" s="91"/>
      <c r="AC878" s="91"/>
      <c r="AD878" s="91"/>
      <c r="AE878" s="91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1"/>
      <c r="C879" s="91"/>
      <c r="D879" s="91"/>
      <c r="E879" s="91"/>
      <c r="F879" s="91"/>
      <c r="G879" s="91"/>
      <c r="H879" s="62"/>
      <c r="I879" s="62"/>
      <c r="J879" s="62"/>
      <c r="K879" s="62"/>
      <c r="L879" s="62"/>
      <c r="M879" s="62"/>
      <c r="N879" s="91"/>
      <c r="O879" s="91"/>
      <c r="P879" s="91"/>
      <c r="Q879" s="91"/>
      <c r="R879" s="91"/>
      <c r="S879" s="91"/>
      <c r="T879" s="62"/>
      <c r="U879" s="62"/>
      <c r="V879" s="62"/>
      <c r="W879" s="62"/>
      <c r="X879" s="62"/>
      <c r="Y879" s="62"/>
      <c r="Z879" s="91"/>
      <c r="AA879" s="91"/>
      <c r="AB879" s="91"/>
      <c r="AC879" s="91"/>
      <c r="AD879" s="91"/>
      <c r="AE879" s="91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1"/>
      <c r="C880" s="91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1"/>
      <c r="O880" s="91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1"/>
      <c r="AA880" s="91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L882" s="62"/>
      <c r="M882" s="62"/>
      <c r="N882" s="91"/>
      <c r="O882" s="91"/>
      <c r="P882" s="91"/>
      <c r="Q882" s="91"/>
      <c r="R882" s="91"/>
      <c r="S882" s="91"/>
      <c r="T882" s="62"/>
      <c r="U882" s="62"/>
      <c r="V882" s="62"/>
      <c r="W882" s="62"/>
      <c r="X882" s="62"/>
      <c r="Y882" s="62"/>
      <c r="Z882" s="91"/>
      <c r="AA882" s="91"/>
      <c r="AB882" s="91"/>
      <c r="AC882" s="91"/>
      <c r="AD882" s="91"/>
      <c r="AE882" s="91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L883" s="62"/>
      <c r="M883" s="62"/>
      <c r="N883" s="91"/>
      <c r="O883" s="91"/>
      <c r="P883" s="91"/>
      <c r="Q883" s="91"/>
      <c r="R883" s="91"/>
      <c r="S883" s="91"/>
      <c r="T883" s="62"/>
      <c r="U883" s="62"/>
      <c r="V883" s="62"/>
      <c r="W883" s="62"/>
      <c r="X883" s="62"/>
      <c r="Y883" s="62"/>
      <c r="Z883" s="91"/>
      <c r="AA883" s="91"/>
      <c r="AB883" s="91"/>
      <c r="AC883" s="91"/>
      <c r="AD883" s="91"/>
      <c r="AE883" s="91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L884" s="62"/>
      <c r="M884" s="62"/>
      <c r="N884" s="91"/>
      <c r="O884" s="91"/>
      <c r="P884" s="91"/>
      <c r="Q884" s="91"/>
      <c r="R884" s="91"/>
      <c r="S884" s="91"/>
      <c r="T884" s="62"/>
      <c r="U884" s="62"/>
      <c r="V884" s="62"/>
      <c r="W884" s="62"/>
      <c r="X884" s="62"/>
      <c r="Y884" s="62"/>
      <c r="Z884" s="91"/>
      <c r="AA884" s="91"/>
      <c r="AB884" s="91"/>
      <c r="AC884" s="91"/>
      <c r="AD884" s="91"/>
      <c r="AE884" s="91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L885" s="62"/>
      <c r="M885" s="63"/>
      <c r="N885" s="91"/>
      <c r="O885" s="91"/>
      <c r="P885" s="91"/>
      <c r="Q885" s="91"/>
      <c r="R885" s="91"/>
      <c r="S885" s="91"/>
      <c r="T885" s="62"/>
      <c r="U885" s="62"/>
      <c r="V885" s="62"/>
      <c r="W885" s="62"/>
      <c r="X885" s="62"/>
      <c r="Y885" s="63"/>
      <c r="Z885" s="91"/>
      <c r="AA885" s="91"/>
      <c r="AB885" s="91"/>
      <c r="AC885" s="91"/>
      <c r="AD885" s="91"/>
      <c r="AE885" s="91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L886" s="62"/>
      <c r="M886" s="62"/>
      <c r="N886" s="91"/>
      <c r="O886" s="91"/>
      <c r="P886" s="91"/>
      <c r="Q886" s="91"/>
      <c r="R886" s="91"/>
      <c r="S886" s="91"/>
      <c r="T886" s="62"/>
      <c r="U886" s="62"/>
      <c r="V886" s="62"/>
      <c r="W886" s="62"/>
      <c r="X886" s="62"/>
      <c r="Y886" s="62"/>
      <c r="Z886" s="91"/>
      <c r="AA886" s="91"/>
      <c r="AB886" s="91"/>
      <c r="AC886" s="91"/>
      <c r="AD886" s="91"/>
      <c r="AE886" s="91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L887" s="62"/>
      <c r="M887" s="62"/>
      <c r="N887" s="91"/>
      <c r="O887" s="91"/>
      <c r="P887" s="91"/>
      <c r="Q887" s="91"/>
      <c r="R887" s="91"/>
      <c r="S887" s="91"/>
      <c r="T887" s="62"/>
      <c r="U887" s="91"/>
      <c r="V887" s="73"/>
      <c r="W887" s="62"/>
      <c r="X887" s="62"/>
      <c r="Y887" s="62"/>
      <c r="Z887" s="91"/>
      <c r="AA887" s="91"/>
      <c r="AB887" s="91"/>
      <c r="AC887" s="91"/>
      <c r="AD887" s="91"/>
      <c r="AE887" s="91"/>
      <c r="AF887" s="62"/>
      <c r="AG887" s="91"/>
      <c r="AH887" s="91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L888" s="62"/>
      <c r="M888" s="64"/>
      <c r="N888" s="91"/>
      <c r="O888" s="91"/>
      <c r="P888" s="91"/>
      <c r="Q888" s="91"/>
      <c r="R888" s="91"/>
      <c r="S888" s="91"/>
      <c r="T888" s="62"/>
      <c r="U888" s="65"/>
      <c r="V888" s="65"/>
      <c r="W888" s="62"/>
      <c r="X888" s="62"/>
      <c r="Y888" s="64"/>
      <c r="Z888" s="91"/>
      <c r="AA888" s="91"/>
      <c r="AB888" s="91"/>
      <c r="AC888" s="91"/>
      <c r="AD888" s="91"/>
      <c r="AE888" s="91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L889" s="62"/>
      <c r="M889" s="62"/>
      <c r="N889" s="91"/>
      <c r="O889" s="91"/>
      <c r="P889" s="91"/>
      <c r="Q889" s="91"/>
      <c r="R889" s="91"/>
      <c r="S889" s="91"/>
      <c r="T889" s="62"/>
      <c r="U889" s="62"/>
      <c r="V889" s="62"/>
      <c r="W889" s="62"/>
      <c r="X889" s="62"/>
      <c r="Y889" s="62"/>
      <c r="Z889" s="91"/>
      <c r="AA889" s="91"/>
      <c r="AB889" s="91"/>
      <c r="AC889" s="91"/>
      <c r="AD889" s="91"/>
      <c r="AE889" s="91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14"/>
      <c r="E890" s="114"/>
      <c r="F890" s="91"/>
      <c r="G890" s="91"/>
      <c r="H890" s="62"/>
      <c r="I890" s="114"/>
      <c r="J890" s="114"/>
      <c r="K890" s="113"/>
      <c r="L890" s="62"/>
      <c r="M890" s="62"/>
      <c r="N890" s="65"/>
      <c r="O890" s="91"/>
      <c r="P890" s="114"/>
      <c r="Q890" s="114"/>
      <c r="R890" s="91"/>
      <c r="S890" s="91"/>
      <c r="T890" s="62"/>
      <c r="U890" s="114"/>
      <c r="V890" s="114"/>
      <c r="W890" s="113"/>
      <c r="X890" s="62"/>
      <c r="Y890" s="62"/>
      <c r="Z890" s="65"/>
      <c r="AA890" s="91"/>
      <c r="AB890" s="114"/>
      <c r="AC890" s="114"/>
      <c r="AD890" s="91"/>
      <c r="AE890" s="91"/>
      <c r="AF890" s="62"/>
      <c r="AG890" s="114"/>
      <c r="AH890" s="114"/>
      <c r="AI890" s="113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13"/>
      <c r="L891" s="62"/>
      <c r="M891" s="62"/>
      <c r="N891" s="91"/>
      <c r="O891" s="91"/>
      <c r="P891" s="79"/>
      <c r="Q891" s="81"/>
      <c r="R891" s="81"/>
      <c r="S891" s="81"/>
      <c r="T891" s="62"/>
      <c r="U891" s="90"/>
      <c r="V891" s="90"/>
      <c r="W891" s="113"/>
      <c r="X891" s="62"/>
      <c r="Y891" s="62"/>
      <c r="Z891" s="91"/>
      <c r="AA891" s="91"/>
      <c r="AB891" s="79"/>
      <c r="AC891" s="81"/>
      <c r="AD891" s="81"/>
      <c r="AE891" s="81"/>
      <c r="AF891" s="62"/>
      <c r="AG891" s="90"/>
      <c r="AH891" s="90"/>
      <c r="AI891" s="113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1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1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1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1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1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1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1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1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65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1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1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1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1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1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1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1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1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1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1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65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1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1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1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1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2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1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1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1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1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1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1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1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62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1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1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1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1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1"/>
      <c r="P912" s="67"/>
      <c r="Q912" s="91"/>
      <c r="R912" s="91"/>
      <c r="S912" s="60"/>
      <c r="T912" s="62"/>
      <c r="U912" s="62"/>
      <c r="V912" s="62"/>
      <c r="W912" s="61"/>
      <c r="X912" s="62"/>
      <c r="Y912" s="62"/>
      <c r="Z912" s="66"/>
      <c r="AA912" s="91"/>
      <c r="AB912" s="67"/>
      <c r="AC912" s="91"/>
      <c r="AD912" s="91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1"/>
      <c r="P913" s="68"/>
      <c r="Q913" s="91"/>
      <c r="R913" s="91"/>
      <c r="S913" s="60"/>
      <c r="T913" s="62"/>
      <c r="U913" s="62"/>
      <c r="V913" s="62"/>
      <c r="W913" s="61"/>
      <c r="X913" s="62"/>
      <c r="Y913" s="62"/>
      <c r="Z913" s="66"/>
      <c r="AA913" s="91"/>
      <c r="AB913" s="68"/>
      <c r="AC913" s="91"/>
      <c r="AD913" s="91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1"/>
      <c r="P914" s="69"/>
      <c r="Q914" s="91"/>
      <c r="R914" s="62"/>
      <c r="S914" s="60"/>
      <c r="T914" s="62"/>
      <c r="U914" s="62"/>
      <c r="V914" s="62"/>
      <c r="W914" s="61"/>
      <c r="X914" s="62"/>
      <c r="Y914" s="62"/>
      <c r="Z914" s="66"/>
      <c r="AA914" s="91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1"/>
      <c r="P915" s="69"/>
      <c r="Q915" s="91"/>
      <c r="R915" s="91"/>
      <c r="S915" s="60"/>
      <c r="T915" s="62"/>
      <c r="U915" s="62"/>
      <c r="V915" s="62"/>
      <c r="W915" s="61"/>
      <c r="X915" s="62"/>
      <c r="Y915" s="62"/>
      <c r="Z915" s="66"/>
      <c r="AA915" s="91"/>
      <c r="AB915" s="69"/>
      <c r="AC915" s="91"/>
      <c r="AD915" s="91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1"/>
      <c r="P916" s="69"/>
      <c r="Q916" s="91"/>
      <c r="R916" s="91"/>
      <c r="S916" s="60"/>
      <c r="T916" s="62"/>
      <c r="U916" s="62"/>
      <c r="V916" s="62"/>
      <c r="W916" s="61"/>
      <c r="X916" s="62"/>
      <c r="Y916" s="62"/>
      <c r="Z916" s="66"/>
      <c r="AA916" s="91"/>
      <c r="AB916" s="69"/>
      <c r="AC916" s="91"/>
      <c r="AD916" s="91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1"/>
      <c r="P917" s="69"/>
      <c r="Q917" s="91"/>
      <c r="R917" s="91"/>
      <c r="S917" s="60"/>
      <c r="T917" s="62"/>
      <c r="U917" s="62"/>
      <c r="V917" s="62"/>
      <c r="W917" s="61"/>
      <c r="X917" s="62"/>
      <c r="Y917" s="62"/>
      <c r="Z917" s="66"/>
      <c r="AA917" s="91"/>
      <c r="AB917" s="69"/>
      <c r="AC917" s="91"/>
      <c r="AD917" s="91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1"/>
      <c r="P918" s="69"/>
      <c r="Q918" s="91"/>
      <c r="R918" s="91"/>
      <c r="S918" s="60"/>
      <c r="T918" s="62"/>
      <c r="U918" s="62"/>
      <c r="V918" s="62"/>
      <c r="W918" s="61"/>
      <c r="X918" s="62"/>
      <c r="Y918" s="62"/>
      <c r="Z918" s="66"/>
      <c r="AA918" s="91"/>
      <c r="AB918" s="69"/>
      <c r="AC918" s="91"/>
      <c r="AD918" s="91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1"/>
      <c r="P919" s="69"/>
      <c r="Q919" s="91"/>
      <c r="R919" s="91"/>
      <c r="S919" s="60"/>
      <c r="T919" s="62"/>
      <c r="U919" s="62"/>
      <c r="V919" s="62"/>
      <c r="W919" s="61"/>
      <c r="X919" s="62"/>
      <c r="Y919" s="62"/>
      <c r="Z919" s="66"/>
      <c r="AA919" s="91"/>
      <c r="AB919" s="69"/>
      <c r="AC919" s="91"/>
      <c r="AD919" s="91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1"/>
      <c r="P920" s="69"/>
      <c r="Q920" s="91"/>
      <c r="R920" s="91"/>
      <c r="S920" s="60"/>
      <c r="T920" s="62"/>
      <c r="U920" s="62"/>
      <c r="V920" s="62"/>
      <c r="W920" s="61"/>
      <c r="X920" s="62"/>
      <c r="Y920" s="62"/>
      <c r="Z920" s="66"/>
      <c r="AA920" s="91"/>
      <c r="AB920" s="69"/>
      <c r="AC920" s="91"/>
      <c r="AD920" s="91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91"/>
      <c r="P921" s="69"/>
      <c r="Q921" s="91"/>
      <c r="R921" s="91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1"/>
      <c r="AD921" s="91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1"/>
      <c r="P922" s="69"/>
      <c r="Q922" s="91"/>
      <c r="R922" s="91"/>
      <c r="S922" s="60"/>
      <c r="T922" s="62"/>
      <c r="U922" s="62"/>
      <c r="V922" s="62"/>
      <c r="W922" s="61"/>
      <c r="X922" s="62"/>
      <c r="Y922" s="62"/>
      <c r="Z922" s="66"/>
      <c r="AA922" s="91"/>
      <c r="AB922" s="69"/>
      <c r="AC922" s="91"/>
      <c r="AD922" s="91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1"/>
      <c r="P923" s="69"/>
      <c r="Q923" s="91"/>
      <c r="R923" s="91"/>
      <c r="S923" s="60"/>
      <c r="T923" s="62"/>
      <c r="U923" s="62"/>
      <c r="V923" s="62"/>
      <c r="W923" s="61"/>
      <c r="X923" s="62"/>
      <c r="Y923" s="62"/>
      <c r="Z923" s="66"/>
      <c r="AA923" s="91"/>
      <c r="AB923" s="69"/>
      <c r="AC923" s="91"/>
      <c r="AD923" s="91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1"/>
      <c r="P924" s="69"/>
      <c r="Q924" s="91"/>
      <c r="R924" s="91"/>
      <c r="S924" s="60"/>
      <c r="T924" s="62"/>
      <c r="U924" s="62"/>
      <c r="V924" s="62"/>
      <c r="W924" s="61"/>
      <c r="X924" s="62"/>
      <c r="Y924" s="62"/>
      <c r="Z924" s="66"/>
      <c r="AA924" s="91"/>
      <c r="AB924" s="69"/>
      <c r="AC924" s="91"/>
      <c r="AD924" s="91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1"/>
      <c r="P925" s="69"/>
      <c r="Q925" s="91"/>
      <c r="R925" s="91"/>
      <c r="S925" s="60"/>
      <c r="T925" s="62"/>
      <c r="U925" s="62"/>
      <c r="V925" s="62"/>
      <c r="W925" s="61"/>
      <c r="X925" s="62"/>
      <c r="Y925" s="62"/>
      <c r="Z925" s="66"/>
      <c r="AA925" s="91"/>
      <c r="AB925" s="69"/>
      <c r="AC925" s="91"/>
      <c r="AD925" s="91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62"/>
      <c r="P926" s="69"/>
      <c r="Q926" s="91"/>
      <c r="R926" s="91"/>
      <c r="S926" s="60"/>
      <c r="T926" s="62"/>
      <c r="U926" s="62"/>
      <c r="V926" s="62"/>
      <c r="W926" s="61"/>
      <c r="X926" s="62"/>
      <c r="Y926" s="62"/>
      <c r="Z926" s="66"/>
      <c r="AA926" s="91"/>
      <c r="AB926" s="69"/>
      <c r="AC926" s="91"/>
      <c r="AD926" s="91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1"/>
      <c r="P927" s="69"/>
      <c r="Q927" s="91"/>
      <c r="R927" s="91"/>
      <c r="S927" s="60"/>
      <c r="T927" s="62"/>
      <c r="U927" s="62"/>
      <c r="V927" s="62"/>
      <c r="W927" s="61"/>
      <c r="X927" s="62"/>
      <c r="Y927" s="62"/>
      <c r="Z927" s="66"/>
      <c r="AA927" s="91"/>
      <c r="AB927" s="69"/>
      <c r="AC927" s="91"/>
      <c r="AD927" s="91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91"/>
      <c r="P928" s="69"/>
      <c r="Q928" s="91"/>
      <c r="R928" s="91"/>
      <c r="S928" s="60"/>
      <c r="T928" s="62"/>
      <c r="U928" s="62"/>
      <c r="V928" s="62"/>
      <c r="W928" s="61"/>
      <c r="X928" s="62"/>
      <c r="Y928" s="62"/>
      <c r="Z928" s="66"/>
      <c r="AA928" s="91"/>
      <c r="AB928" s="69"/>
      <c r="AC928" s="91"/>
      <c r="AD928" s="91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1"/>
      <c r="P929" s="69"/>
      <c r="Q929" s="91"/>
      <c r="R929" s="91"/>
      <c r="S929" s="60"/>
      <c r="T929" s="62"/>
      <c r="U929" s="62"/>
      <c r="V929" s="62"/>
      <c r="W929" s="61"/>
      <c r="X929" s="62"/>
      <c r="Y929" s="62"/>
      <c r="Z929" s="66"/>
      <c r="AA929" s="91"/>
      <c r="AB929" s="69"/>
      <c r="AC929" s="91"/>
      <c r="AD929" s="91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1"/>
      <c r="P930" s="69"/>
      <c r="Q930" s="91"/>
      <c r="R930" s="91"/>
      <c r="S930" s="60"/>
      <c r="T930" s="62"/>
      <c r="U930" s="62"/>
      <c r="V930" s="62"/>
      <c r="W930" s="61"/>
      <c r="X930" s="62"/>
      <c r="Y930" s="62"/>
      <c r="Z930" s="66"/>
      <c r="AA930" s="91"/>
      <c r="AB930" s="69"/>
      <c r="AC930" s="91"/>
      <c r="AD930" s="91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1"/>
      <c r="R931" s="91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1"/>
      <c r="AD931" s="91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1"/>
      <c r="P932" s="69"/>
      <c r="Q932" s="91"/>
      <c r="R932" s="91"/>
      <c r="S932" s="60"/>
      <c r="T932" s="62"/>
      <c r="U932" s="62"/>
      <c r="V932" s="62"/>
      <c r="W932" s="61"/>
      <c r="X932" s="62"/>
      <c r="Y932" s="62"/>
      <c r="Z932" s="66"/>
      <c r="AA932" s="91"/>
      <c r="AB932" s="69"/>
      <c r="AC932" s="91"/>
      <c r="AD932" s="91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1"/>
      <c r="O933" s="91"/>
      <c r="P933" s="91"/>
      <c r="Q933" s="91"/>
      <c r="R933" s="91"/>
      <c r="S933" s="91"/>
      <c r="T933" s="62"/>
      <c r="U933" s="62"/>
      <c r="V933" s="62"/>
      <c r="W933" s="61"/>
      <c r="X933" s="62"/>
      <c r="Y933" s="62"/>
      <c r="Z933" s="91"/>
      <c r="AA933" s="91"/>
      <c r="AB933" s="91"/>
      <c r="AC933" s="91"/>
      <c r="AD933" s="91"/>
      <c r="AE933" s="91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L934" s="62"/>
      <c r="M934" s="62"/>
      <c r="N934" s="91"/>
      <c r="O934" s="91"/>
      <c r="P934" s="91"/>
      <c r="Q934" s="91"/>
      <c r="R934" s="91"/>
      <c r="S934" s="91"/>
      <c r="T934" s="62"/>
      <c r="U934" s="62"/>
      <c r="V934" s="62"/>
      <c r="W934" s="62"/>
      <c r="X934" s="62"/>
      <c r="Y934" s="62"/>
      <c r="Z934" s="91"/>
      <c r="AA934" s="91"/>
      <c r="AB934" s="91"/>
      <c r="AC934" s="91"/>
      <c r="AD934" s="91"/>
      <c r="AE934" s="91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1"/>
      <c r="O935" s="91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1"/>
      <c r="AA935" s="91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14"/>
      <c r="E945" s="114"/>
      <c r="F945" s="88"/>
      <c r="G945" s="88"/>
      <c r="H945" s="62"/>
      <c r="I945" s="114"/>
      <c r="J945" s="114"/>
      <c r="K945" s="113"/>
      <c r="L945" s="62"/>
      <c r="M945" s="62"/>
      <c r="N945" s="65"/>
      <c r="O945" s="88"/>
      <c r="P945" s="114"/>
      <c r="Q945" s="114"/>
      <c r="R945" s="88"/>
      <c r="S945" s="88"/>
      <c r="T945" s="62"/>
      <c r="U945" s="114"/>
      <c r="V945" s="114"/>
      <c r="W945" s="113"/>
      <c r="X945" s="62"/>
      <c r="Y945" s="62"/>
      <c r="Z945" s="65"/>
      <c r="AA945" s="88"/>
      <c r="AB945" s="114"/>
      <c r="AC945" s="114"/>
      <c r="AD945" s="88"/>
      <c r="AE945" s="88"/>
      <c r="AF945" s="62"/>
      <c r="AG945" s="114"/>
      <c r="AH945" s="114"/>
      <c r="AI945" s="113"/>
      <c r="AJ945" s="62"/>
      <c r="AK945" s="62"/>
      <c r="AL945" s="65"/>
      <c r="AM945" s="86"/>
      <c r="AN945" s="114"/>
      <c r="AO945" s="114"/>
      <c r="AP945" s="86"/>
      <c r="AQ945" s="86"/>
      <c r="AR945" s="62"/>
      <c r="AS945" s="114"/>
      <c r="AT945" s="114"/>
      <c r="AU945" s="113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13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13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13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13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4"/>
      <c r="E1000" s="114"/>
      <c r="F1000" s="86"/>
      <c r="G1000" s="86"/>
      <c r="H1000" s="62"/>
      <c r="I1000" s="114"/>
      <c r="J1000" s="114"/>
      <c r="K1000" s="113"/>
      <c r="L1000" s="62"/>
      <c r="M1000" s="62"/>
      <c r="N1000" s="65"/>
      <c r="O1000" s="86"/>
      <c r="P1000" s="114"/>
      <c r="Q1000" s="114"/>
      <c r="R1000" s="86"/>
      <c r="S1000" s="86"/>
      <c r="T1000" s="62"/>
      <c r="U1000" s="114"/>
      <c r="V1000" s="114"/>
      <c r="W1000" s="113"/>
      <c r="X1000" s="62"/>
      <c r="Y1000" s="62"/>
      <c r="Z1000" s="65"/>
      <c r="AA1000" s="86"/>
      <c r="AB1000" s="114"/>
      <c r="AC1000" s="114"/>
      <c r="AD1000" s="86"/>
      <c r="AE1000" s="86"/>
      <c r="AF1000" s="62"/>
      <c r="AG1000" s="114"/>
      <c r="AH1000" s="114"/>
      <c r="AI1000" s="113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13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13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13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14"/>
      <c r="E1055" s="114"/>
      <c r="F1055" s="86"/>
      <c r="G1055" s="86"/>
      <c r="H1055" s="62"/>
      <c r="I1055" s="114"/>
      <c r="J1055" s="114"/>
      <c r="K1055" s="113"/>
      <c r="L1055" s="62"/>
      <c r="M1055" s="62"/>
      <c r="N1055" s="65"/>
      <c r="O1055" s="86"/>
      <c r="P1055" s="114"/>
      <c r="Q1055" s="114"/>
      <c r="R1055" s="86"/>
      <c r="S1055" s="86"/>
      <c r="T1055" s="62"/>
      <c r="U1055" s="114"/>
      <c r="V1055" s="114"/>
      <c r="W1055" s="113"/>
      <c r="X1055" s="62"/>
      <c r="Y1055" s="62"/>
      <c r="Z1055" s="65"/>
      <c r="AA1055" s="86"/>
      <c r="AB1055" s="114"/>
      <c r="AC1055" s="114"/>
      <c r="AD1055" s="86"/>
      <c r="AE1055" s="86"/>
      <c r="AF1055" s="62"/>
      <c r="AG1055" s="114"/>
      <c r="AH1055" s="114"/>
      <c r="AI1055" s="113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13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13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13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4"/>
      <c r="E1110" s="114"/>
      <c r="F1110" s="86"/>
      <c r="G1110" s="86"/>
      <c r="H1110" s="62"/>
      <c r="I1110" s="114"/>
      <c r="J1110" s="114"/>
      <c r="K1110" s="113"/>
      <c r="L1110" s="62"/>
      <c r="M1110" s="62"/>
      <c r="N1110" s="65"/>
      <c r="O1110" s="86"/>
      <c r="P1110" s="114"/>
      <c r="Q1110" s="114"/>
      <c r="R1110" s="86"/>
      <c r="S1110" s="86"/>
      <c r="T1110" s="62"/>
      <c r="U1110" s="114"/>
      <c r="V1110" s="114"/>
      <c r="W1110" s="113"/>
      <c r="X1110" s="62"/>
      <c r="Y1110" s="62"/>
      <c r="Z1110" s="65"/>
      <c r="AA1110" s="86"/>
      <c r="AB1110" s="114"/>
      <c r="AC1110" s="114"/>
      <c r="AD1110" s="86"/>
      <c r="AE1110" s="86"/>
      <c r="AF1110" s="62"/>
      <c r="AG1110" s="114"/>
      <c r="AH1110" s="114"/>
      <c r="AI1110" s="113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13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13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13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4"/>
      <c r="E1165" s="114"/>
      <c r="F1165" s="86"/>
      <c r="G1165" s="86"/>
      <c r="H1165" s="62"/>
      <c r="I1165" s="114"/>
      <c r="J1165" s="114"/>
      <c r="K1165" s="113"/>
      <c r="L1165" s="62"/>
      <c r="M1165" s="62"/>
      <c r="N1165" s="65"/>
      <c r="O1165" s="86"/>
      <c r="P1165" s="114"/>
      <c r="Q1165" s="114"/>
      <c r="R1165" s="86"/>
      <c r="S1165" s="86"/>
      <c r="T1165" s="62"/>
      <c r="U1165" s="114"/>
      <c r="V1165" s="114"/>
      <c r="W1165" s="113"/>
      <c r="X1165" s="62"/>
      <c r="Y1165" s="62"/>
      <c r="Z1165" s="65"/>
      <c r="AA1165" s="86"/>
      <c r="AB1165" s="114"/>
      <c r="AC1165" s="114"/>
      <c r="AD1165" s="86"/>
      <c r="AE1165" s="86"/>
      <c r="AF1165" s="62"/>
      <c r="AG1165" s="114"/>
      <c r="AH1165" s="114"/>
      <c r="AI1165" s="113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13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13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13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4"/>
      <c r="E1221" s="114"/>
      <c r="F1221" s="86"/>
      <c r="G1221" s="86"/>
      <c r="H1221" s="62"/>
      <c r="I1221" s="114"/>
      <c r="J1221" s="114"/>
      <c r="K1221" s="113"/>
      <c r="L1221" s="62"/>
      <c r="M1221" s="62"/>
      <c r="N1221" s="65"/>
      <c r="O1221" s="86"/>
      <c r="P1221" s="114"/>
      <c r="Q1221" s="114"/>
      <c r="R1221" s="86"/>
      <c r="S1221" s="86"/>
      <c r="T1221" s="62"/>
      <c r="U1221" s="114"/>
      <c r="V1221" s="114"/>
      <c r="W1221" s="113"/>
      <c r="X1221" s="62"/>
      <c r="Y1221" s="62"/>
      <c r="Z1221" s="65"/>
      <c r="AA1221" s="86"/>
      <c r="AB1221" s="114"/>
      <c r="AC1221" s="114"/>
      <c r="AD1221" s="86"/>
      <c r="AE1221" s="86"/>
      <c r="AF1221" s="62"/>
      <c r="AG1221" s="114"/>
      <c r="AH1221" s="114"/>
      <c r="AI1221" s="113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13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13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13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4"/>
      <c r="E1283" s="114"/>
      <c r="F1283" s="86"/>
      <c r="G1283" s="86"/>
      <c r="H1283" s="62"/>
      <c r="I1283" s="114"/>
      <c r="J1283" s="114"/>
      <c r="K1283" s="113"/>
      <c r="L1283" s="62"/>
      <c r="M1283" s="62"/>
      <c r="N1283" s="65"/>
      <c r="O1283" s="86"/>
      <c r="P1283" s="114"/>
      <c r="Q1283" s="114"/>
      <c r="R1283" s="86"/>
      <c r="S1283" s="86"/>
      <c r="T1283" s="62"/>
      <c r="U1283" s="114"/>
      <c r="V1283" s="114"/>
      <c r="W1283" s="113"/>
      <c r="X1283" s="62"/>
      <c r="Y1283" s="62"/>
      <c r="Z1283" s="65"/>
      <c r="AA1283" s="86"/>
      <c r="AB1283" s="114"/>
      <c r="AC1283" s="114"/>
      <c r="AD1283" s="86"/>
      <c r="AE1283" s="86"/>
      <c r="AF1283" s="62"/>
      <c r="AG1283" s="114"/>
      <c r="AH1283" s="114"/>
      <c r="AI1283" s="113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13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13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13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2026-04-21T01:14:38Z</dcterms:modified>
</cp:coreProperties>
</file>