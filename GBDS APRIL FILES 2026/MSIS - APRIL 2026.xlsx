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1B3281CD-359B-4A07-80AA-568CF8630F2A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APRIL" sheetId="1" r:id="rId1"/>
    <sheet name="DSIS | APRIL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568" i="2" l="1"/>
  <c r="AE568" i="2" s="1"/>
  <c r="AI568" i="2" s="1"/>
  <c r="AB567" i="2"/>
  <c r="AC566" i="2"/>
  <c r="AE566" i="2" s="1"/>
  <c r="AI566" i="2" s="1"/>
  <c r="AB566" i="2"/>
  <c r="AB565" i="2"/>
  <c r="AE565" i="2" s="1"/>
  <c r="AI565" i="2" s="1"/>
  <c r="AG564" i="2"/>
  <c r="AG605" i="2" s="1"/>
  <c r="AB564" i="2"/>
  <c r="AE564" i="2" s="1"/>
  <c r="AC563" i="2"/>
  <c r="AB563" i="2"/>
  <c r="AE563" i="2" s="1"/>
  <c r="AH562" i="2"/>
  <c r="AC562" i="2"/>
  <c r="AB562" i="2"/>
  <c r="AA567" i="2"/>
  <c r="AA568" i="2"/>
  <c r="AA563" i="2"/>
  <c r="AA564" i="2" s="1"/>
  <c r="AA565" i="2" s="1"/>
  <c r="AA566" i="2" s="1"/>
  <c r="AE567" i="2"/>
  <c r="AI567" i="2" s="1"/>
  <c r="AE569" i="2"/>
  <c r="AI569" i="2"/>
  <c r="AE570" i="2"/>
  <c r="AI570" i="2"/>
  <c r="AE571" i="2"/>
  <c r="AI571" i="2"/>
  <c r="AE572" i="2"/>
  <c r="AI572" i="2" s="1"/>
  <c r="AE573" i="2"/>
  <c r="AI573" i="2"/>
  <c r="AE574" i="2"/>
  <c r="AI574" i="2"/>
  <c r="AE575" i="2"/>
  <c r="AI575" i="2"/>
  <c r="AE576" i="2"/>
  <c r="AI576" i="2"/>
  <c r="AE577" i="2"/>
  <c r="AI577" i="2"/>
  <c r="AE578" i="2"/>
  <c r="AI578" i="2"/>
  <c r="AE579" i="2"/>
  <c r="AI579" i="2"/>
  <c r="AE580" i="2"/>
  <c r="AI580" i="2" s="1"/>
  <c r="AE581" i="2"/>
  <c r="AI581" i="2"/>
  <c r="AE582" i="2"/>
  <c r="AI582" i="2"/>
  <c r="AE583" i="2"/>
  <c r="AI583" i="2"/>
  <c r="AE584" i="2"/>
  <c r="AI584" i="2"/>
  <c r="AE585" i="2"/>
  <c r="AI585" i="2"/>
  <c r="AE586" i="2"/>
  <c r="AI586" i="2"/>
  <c r="AE587" i="2"/>
  <c r="AI587" i="2"/>
  <c r="AE588" i="2"/>
  <c r="AI588" i="2" s="1"/>
  <c r="AE589" i="2"/>
  <c r="AI589" i="2"/>
  <c r="AE590" i="2"/>
  <c r="AI590" i="2"/>
  <c r="AE591" i="2"/>
  <c r="AI591" i="2"/>
  <c r="AE592" i="2"/>
  <c r="AI592" i="2"/>
  <c r="AE593" i="2"/>
  <c r="AI593" i="2" s="1"/>
  <c r="AE594" i="2"/>
  <c r="AI594" i="2"/>
  <c r="AE595" i="2"/>
  <c r="AI595" i="2"/>
  <c r="AE596" i="2"/>
  <c r="AI596" i="2" s="1"/>
  <c r="AE597" i="2"/>
  <c r="AI597" i="2"/>
  <c r="AE598" i="2"/>
  <c r="AI598" i="2"/>
  <c r="AE599" i="2"/>
  <c r="AI599" i="2"/>
  <c r="AE600" i="2"/>
  <c r="AI600" i="2"/>
  <c r="AI601" i="2"/>
  <c r="AE602" i="2"/>
  <c r="AI602" i="2"/>
  <c r="AI603" i="2"/>
  <c r="AD605" i="2"/>
  <c r="AH605" i="2"/>
  <c r="P566" i="2"/>
  <c r="P565" i="2"/>
  <c r="V565" i="2"/>
  <c r="S565" i="2"/>
  <c r="W565" i="2" s="1"/>
  <c r="P564" i="2"/>
  <c r="S564" i="2" s="1"/>
  <c r="W564" i="2" s="1"/>
  <c r="Q563" i="2"/>
  <c r="P563" i="2"/>
  <c r="S563" i="2" s="1"/>
  <c r="P562" i="2"/>
  <c r="O565" i="2"/>
  <c r="O566" i="2"/>
  <c r="S562" i="2"/>
  <c r="W562" i="2"/>
  <c r="O563" i="2"/>
  <c r="O564" i="2" s="1"/>
  <c r="S566" i="2"/>
  <c r="W566" i="2" s="1"/>
  <c r="S567" i="2"/>
  <c r="W567" i="2"/>
  <c r="S568" i="2"/>
  <c r="W568" i="2" s="1"/>
  <c r="S569" i="2"/>
  <c r="W569" i="2"/>
  <c r="S570" i="2"/>
  <c r="W570" i="2"/>
  <c r="S571" i="2"/>
  <c r="W571" i="2" s="1"/>
  <c r="S572" i="2"/>
  <c r="W572" i="2" s="1"/>
  <c r="S573" i="2"/>
  <c r="W573" i="2"/>
  <c r="S574" i="2"/>
  <c r="W574" i="2"/>
  <c r="S575" i="2"/>
  <c r="W575" i="2"/>
  <c r="S576" i="2"/>
  <c r="W576" i="2"/>
  <c r="S577" i="2"/>
  <c r="W577" i="2"/>
  <c r="S578" i="2"/>
  <c r="W578" i="2"/>
  <c r="S579" i="2"/>
  <c r="W579" i="2"/>
  <c r="S580" i="2"/>
  <c r="W580" i="2"/>
  <c r="S581" i="2"/>
  <c r="W581" i="2"/>
  <c r="S582" i="2"/>
  <c r="W582" i="2"/>
  <c r="S583" i="2"/>
  <c r="W583" i="2"/>
  <c r="S584" i="2"/>
  <c r="W584" i="2"/>
  <c r="S585" i="2"/>
  <c r="W585" i="2"/>
  <c r="S586" i="2"/>
  <c r="W586" i="2"/>
  <c r="S587" i="2"/>
  <c r="W587" i="2"/>
  <c r="S588" i="2"/>
  <c r="W588" i="2"/>
  <c r="S589" i="2"/>
  <c r="W589" i="2"/>
  <c r="S590" i="2"/>
  <c r="W590" i="2"/>
  <c r="S591" i="2"/>
  <c r="W591" i="2"/>
  <c r="S592" i="2"/>
  <c r="W592" i="2"/>
  <c r="S593" i="2"/>
  <c r="W593" i="2"/>
  <c r="S594" i="2"/>
  <c r="W594" i="2"/>
  <c r="S595" i="2"/>
  <c r="W595" i="2"/>
  <c r="S596" i="2"/>
  <c r="W596" i="2"/>
  <c r="S597" i="2"/>
  <c r="W597" i="2"/>
  <c r="S598" i="2"/>
  <c r="W598" i="2"/>
  <c r="S599" i="2"/>
  <c r="W599" i="2"/>
  <c r="S600" i="2"/>
  <c r="W600" i="2"/>
  <c r="W601" i="2"/>
  <c r="S602" i="2"/>
  <c r="W602" i="2"/>
  <c r="W603" i="2"/>
  <c r="Q605" i="2"/>
  <c r="R605" i="2"/>
  <c r="U605" i="2"/>
  <c r="V605" i="2"/>
  <c r="D571" i="2"/>
  <c r="G571" i="2" s="1"/>
  <c r="K571" i="2" s="1"/>
  <c r="D570" i="2"/>
  <c r="D569" i="2"/>
  <c r="D568" i="2"/>
  <c r="G568" i="2" s="1"/>
  <c r="K568" i="2" s="1"/>
  <c r="D567" i="2"/>
  <c r="G567" i="2" s="1"/>
  <c r="K567" i="2" s="1"/>
  <c r="D566" i="2"/>
  <c r="G566" i="2" s="1"/>
  <c r="K566" i="2" s="1"/>
  <c r="J565" i="2"/>
  <c r="J605" i="2" s="1"/>
  <c r="D565" i="2"/>
  <c r="G565" i="2" s="1"/>
  <c r="I564" i="2"/>
  <c r="D564" i="2"/>
  <c r="G564" i="2" s="1"/>
  <c r="K564" i="2" s="1"/>
  <c r="D563" i="2"/>
  <c r="I562" i="2"/>
  <c r="I605" i="2" s="1"/>
  <c r="D562" i="2"/>
  <c r="C565" i="2"/>
  <c r="C566" i="2" s="1"/>
  <c r="C567" i="2" s="1"/>
  <c r="C568" i="2" s="1"/>
  <c r="C569" i="2" s="1"/>
  <c r="C570" i="2" s="1"/>
  <c r="C571" i="2" s="1"/>
  <c r="C563" i="2"/>
  <c r="G563" i="2"/>
  <c r="K563" i="2" s="1"/>
  <c r="E605" i="2"/>
  <c r="C564" i="2"/>
  <c r="G569" i="2"/>
  <c r="K569" i="2"/>
  <c r="G570" i="2"/>
  <c r="K570" i="2"/>
  <c r="G572" i="2"/>
  <c r="K572" i="2" s="1"/>
  <c r="G573" i="2"/>
  <c r="K573" i="2"/>
  <c r="G574" i="2"/>
  <c r="K574" i="2"/>
  <c r="G575" i="2"/>
  <c r="K575" i="2"/>
  <c r="G576" i="2"/>
  <c r="K576" i="2"/>
  <c r="G577" i="2"/>
  <c r="K577" i="2" s="1"/>
  <c r="G578" i="2"/>
  <c r="K578" i="2"/>
  <c r="G579" i="2"/>
  <c r="K579" i="2"/>
  <c r="G580" i="2"/>
  <c r="K580" i="2" s="1"/>
  <c r="G581" i="2"/>
  <c r="K581" i="2"/>
  <c r="G582" i="2"/>
  <c r="K582" i="2"/>
  <c r="G583" i="2"/>
  <c r="K583" i="2"/>
  <c r="G584" i="2"/>
  <c r="K584" i="2"/>
  <c r="G585" i="2"/>
  <c r="K585" i="2"/>
  <c r="G586" i="2"/>
  <c r="K586" i="2"/>
  <c r="G587" i="2"/>
  <c r="K587" i="2"/>
  <c r="G588" i="2"/>
  <c r="K588" i="2" s="1"/>
  <c r="G589" i="2"/>
  <c r="K589" i="2"/>
  <c r="G590" i="2"/>
  <c r="K590" i="2"/>
  <c r="G591" i="2"/>
  <c r="K591" i="2"/>
  <c r="G592" i="2"/>
  <c r="K592" i="2"/>
  <c r="G593" i="2"/>
  <c r="K593" i="2"/>
  <c r="G594" i="2"/>
  <c r="K594" i="2"/>
  <c r="G595" i="2"/>
  <c r="K595" i="2"/>
  <c r="G602" i="2"/>
  <c r="K602" i="2" s="1"/>
  <c r="F605" i="2"/>
  <c r="AI564" i="2" l="1"/>
  <c r="AC605" i="2"/>
  <c r="AE562" i="2"/>
  <c r="AI562" i="2" s="1"/>
  <c r="AE605" i="2"/>
  <c r="AI563" i="2"/>
  <c r="AB605" i="2"/>
  <c r="P605" i="2"/>
  <c r="W563" i="2"/>
  <c r="W605" i="2" s="1"/>
  <c r="S605" i="2"/>
  <c r="K565" i="2"/>
  <c r="D605" i="2"/>
  <c r="G562" i="2"/>
  <c r="K562" i="2" s="1"/>
  <c r="G605" i="2"/>
  <c r="AB517" i="2"/>
  <c r="AB516" i="2"/>
  <c r="AB515" i="2"/>
  <c r="AE515" i="2" s="1"/>
  <c r="AI515" i="2" s="1"/>
  <c r="AG514" i="2"/>
  <c r="AB514" i="2"/>
  <c r="AE514" i="2" s="1"/>
  <c r="AB513" i="2"/>
  <c r="AE513" i="2"/>
  <c r="AA513" i="2"/>
  <c r="AA514" i="2" s="1"/>
  <c r="AA515" i="2" s="1"/>
  <c r="AA516" i="2" s="1"/>
  <c r="AA517" i="2" s="1"/>
  <c r="AG512" i="2"/>
  <c r="AB512" i="2"/>
  <c r="AE512" i="2" s="1"/>
  <c r="AI512" i="2" s="1"/>
  <c r="AC512" i="2"/>
  <c r="AC550" i="2" s="1"/>
  <c r="AG510" i="2"/>
  <c r="AB510" i="2"/>
  <c r="AG509" i="2"/>
  <c r="AB509" i="2"/>
  <c r="AE509" i="2" s="1"/>
  <c r="AI509" i="2" s="1"/>
  <c r="AC509" i="2"/>
  <c r="AG508" i="2"/>
  <c r="AB508" i="2"/>
  <c r="AB507" i="2"/>
  <c r="AA508" i="2"/>
  <c r="AA509" i="2" s="1"/>
  <c r="AA510" i="2" s="1"/>
  <c r="AA511" i="2" s="1"/>
  <c r="AA512" i="2" s="1"/>
  <c r="AE510" i="2"/>
  <c r="AI510" i="2" s="1"/>
  <c r="AE511" i="2"/>
  <c r="AI511" i="2" s="1"/>
  <c r="AE516" i="2"/>
  <c r="AI516" i="2" s="1"/>
  <c r="AE517" i="2"/>
  <c r="AI517" i="2" s="1"/>
  <c r="AE518" i="2"/>
  <c r="AI518" i="2" s="1"/>
  <c r="AE519" i="2"/>
  <c r="AI519" i="2"/>
  <c r="AE520" i="2"/>
  <c r="AI520" i="2"/>
  <c r="AE521" i="2"/>
  <c r="AI521" i="2"/>
  <c r="AE522" i="2"/>
  <c r="AI522" i="2"/>
  <c r="AE523" i="2"/>
  <c r="AI523" i="2" s="1"/>
  <c r="AE524" i="2"/>
  <c r="AI524" i="2" s="1"/>
  <c r="AE525" i="2"/>
  <c r="AI525" i="2"/>
  <c r="AE526" i="2"/>
  <c r="AI526" i="2" s="1"/>
  <c r="AE527" i="2"/>
  <c r="AI527" i="2"/>
  <c r="AE528" i="2"/>
  <c r="AI528" i="2" s="1"/>
  <c r="AE529" i="2"/>
  <c r="AI529" i="2" s="1"/>
  <c r="AE530" i="2"/>
  <c r="AI530" i="2" s="1"/>
  <c r="AE531" i="2"/>
  <c r="AI531" i="2" s="1"/>
  <c r="AE532" i="2"/>
  <c r="AI532" i="2"/>
  <c r="AE533" i="2"/>
  <c r="AI533" i="2"/>
  <c r="AE534" i="2"/>
  <c r="AI534" i="2" s="1"/>
  <c r="AE535" i="2"/>
  <c r="AI535" i="2"/>
  <c r="AE536" i="2"/>
  <c r="AI536" i="2"/>
  <c r="AE537" i="2"/>
  <c r="AI537" i="2"/>
  <c r="AE538" i="2"/>
  <c r="AI538" i="2"/>
  <c r="AE539" i="2"/>
  <c r="AI539" i="2" s="1"/>
  <c r="AE540" i="2"/>
  <c r="AI540" i="2"/>
  <c r="AE541" i="2"/>
  <c r="AI541" i="2"/>
  <c r="AE542" i="2"/>
  <c r="AI542" i="2" s="1"/>
  <c r="AE543" i="2"/>
  <c r="AI543" i="2"/>
  <c r="AE544" i="2"/>
  <c r="AI544" i="2"/>
  <c r="AE545" i="2"/>
  <c r="AI545" i="2"/>
  <c r="AI546" i="2"/>
  <c r="AE547" i="2"/>
  <c r="AI547" i="2"/>
  <c r="AI548" i="2"/>
  <c r="AD550" i="2"/>
  <c r="AH550" i="2"/>
  <c r="P509" i="2"/>
  <c r="P508" i="2"/>
  <c r="V507" i="2"/>
  <c r="V550" i="2" s="1"/>
  <c r="U507" i="2"/>
  <c r="U550" i="2" s="1"/>
  <c r="Q507" i="2"/>
  <c r="P507" i="2"/>
  <c r="S507" i="2" s="1"/>
  <c r="O508" i="2"/>
  <c r="O509" i="2" s="1"/>
  <c r="S508" i="2"/>
  <c r="W508" i="2" s="1"/>
  <c r="S509" i="2"/>
  <c r="W509" i="2" s="1"/>
  <c r="S510" i="2"/>
  <c r="W510" i="2"/>
  <c r="S511" i="2"/>
  <c r="W511" i="2"/>
  <c r="S512" i="2"/>
  <c r="W512" i="2" s="1"/>
  <c r="S513" i="2"/>
  <c r="W513" i="2" s="1"/>
  <c r="S514" i="2"/>
  <c r="W514" i="2"/>
  <c r="S515" i="2"/>
  <c r="W515" i="2"/>
  <c r="S516" i="2"/>
  <c r="W516" i="2" s="1"/>
  <c r="S517" i="2"/>
  <c r="W517" i="2" s="1"/>
  <c r="S518" i="2"/>
  <c r="W518" i="2"/>
  <c r="S519" i="2"/>
  <c r="W519" i="2"/>
  <c r="S520" i="2"/>
  <c r="W520" i="2"/>
  <c r="S521" i="2"/>
  <c r="W521" i="2"/>
  <c r="S522" i="2"/>
  <c r="W522" i="2"/>
  <c r="S523" i="2"/>
  <c r="W523" i="2"/>
  <c r="S524" i="2"/>
  <c r="W524" i="2"/>
  <c r="S525" i="2"/>
  <c r="W525" i="2" s="1"/>
  <c r="S526" i="2"/>
  <c r="W526" i="2"/>
  <c r="S527" i="2"/>
  <c r="W527" i="2"/>
  <c r="S528" i="2"/>
  <c r="W528" i="2"/>
  <c r="S529" i="2"/>
  <c r="W529" i="2"/>
  <c r="S530" i="2"/>
  <c r="W530" i="2"/>
  <c r="S531" i="2"/>
  <c r="W531" i="2"/>
  <c r="S532" i="2"/>
  <c r="W532" i="2"/>
  <c r="S533" i="2"/>
  <c r="W533" i="2" s="1"/>
  <c r="S534" i="2"/>
  <c r="W534" i="2"/>
  <c r="S535" i="2"/>
  <c r="W535" i="2"/>
  <c r="S536" i="2"/>
  <c r="W536" i="2"/>
  <c r="S537" i="2"/>
  <c r="W537" i="2"/>
  <c r="S538" i="2"/>
  <c r="W538" i="2"/>
  <c r="S539" i="2"/>
  <c r="W539" i="2"/>
  <c r="S540" i="2"/>
  <c r="W540" i="2"/>
  <c r="S541" i="2"/>
  <c r="W541" i="2" s="1"/>
  <c r="S542" i="2"/>
  <c r="W542" i="2"/>
  <c r="S543" i="2"/>
  <c r="W543" i="2"/>
  <c r="S544" i="2"/>
  <c r="W544" i="2"/>
  <c r="S545" i="2"/>
  <c r="W545" i="2"/>
  <c r="W546" i="2"/>
  <c r="S547" i="2"/>
  <c r="W547" i="2" s="1"/>
  <c r="W548" i="2"/>
  <c r="Q550" i="2"/>
  <c r="R550" i="2"/>
  <c r="D509" i="2"/>
  <c r="J508" i="2"/>
  <c r="J550" i="2"/>
  <c r="I508" i="2"/>
  <c r="E508" i="2"/>
  <c r="E550" i="2" s="1"/>
  <c r="D508" i="2"/>
  <c r="I507" i="2"/>
  <c r="D507" i="2"/>
  <c r="G507" i="2"/>
  <c r="C508" i="2"/>
  <c r="C509" i="2" s="1"/>
  <c r="G508" i="2"/>
  <c r="G509" i="2"/>
  <c r="K509" i="2" s="1"/>
  <c r="D550" i="2"/>
  <c r="G511" i="2"/>
  <c r="K511" i="2"/>
  <c r="G512" i="2"/>
  <c r="K512" i="2" s="1"/>
  <c r="G513" i="2"/>
  <c r="K513" i="2"/>
  <c r="G514" i="2"/>
  <c r="K514" i="2" s="1"/>
  <c r="G515" i="2"/>
  <c r="K515" i="2"/>
  <c r="G516" i="2"/>
  <c r="K516" i="2" s="1"/>
  <c r="G517" i="2"/>
  <c r="K517" i="2" s="1"/>
  <c r="G518" i="2"/>
  <c r="K518" i="2" s="1"/>
  <c r="G519" i="2"/>
  <c r="K519" i="2"/>
  <c r="G520" i="2"/>
  <c r="K520" i="2" s="1"/>
  <c r="G521" i="2"/>
  <c r="K521" i="2" s="1"/>
  <c r="G522" i="2"/>
  <c r="K522" i="2"/>
  <c r="G523" i="2"/>
  <c r="K523" i="2"/>
  <c r="G524" i="2"/>
  <c r="K524" i="2" s="1"/>
  <c r="G525" i="2"/>
  <c r="K525" i="2" s="1"/>
  <c r="G526" i="2"/>
  <c r="K526" i="2" s="1"/>
  <c r="G527" i="2"/>
  <c r="K527" i="2"/>
  <c r="G528" i="2"/>
  <c r="K528" i="2"/>
  <c r="G529" i="2"/>
  <c r="K529" i="2" s="1"/>
  <c r="G530" i="2"/>
  <c r="K530" i="2" s="1"/>
  <c r="G531" i="2"/>
  <c r="K531" i="2"/>
  <c r="G532" i="2"/>
  <c r="K532" i="2"/>
  <c r="G533" i="2"/>
  <c r="K533" i="2"/>
  <c r="G534" i="2"/>
  <c r="K534" i="2" s="1"/>
  <c r="G535" i="2"/>
  <c r="K535" i="2"/>
  <c r="G536" i="2"/>
  <c r="K536" i="2"/>
  <c r="G537" i="2"/>
  <c r="K537" i="2" s="1"/>
  <c r="G538" i="2"/>
  <c r="K538" i="2" s="1"/>
  <c r="G539" i="2"/>
  <c r="K539" i="2"/>
  <c r="G540" i="2"/>
  <c r="K540" i="2"/>
  <c r="G547" i="2"/>
  <c r="K547" i="2"/>
  <c r="F550" i="2"/>
  <c r="AI605" i="2" l="1"/>
  <c r="K605" i="2"/>
  <c r="AI514" i="2"/>
  <c r="AI513" i="2"/>
  <c r="AB550" i="2"/>
  <c r="AG550" i="2"/>
  <c r="AE507" i="2"/>
  <c r="AI507" i="2" s="1"/>
  <c r="AE508" i="2"/>
  <c r="W507" i="2"/>
  <c r="P550" i="2"/>
  <c r="W550" i="2"/>
  <c r="S550" i="2"/>
  <c r="K508" i="2"/>
  <c r="I550" i="2"/>
  <c r="G510" i="2"/>
  <c r="K510" i="2" s="1"/>
  <c r="K507" i="2"/>
  <c r="AC457" i="2"/>
  <c r="AB457" i="2"/>
  <c r="AC456" i="2"/>
  <c r="AC495" i="2" s="1"/>
  <c r="AB456" i="2"/>
  <c r="AE456" i="2" s="1"/>
  <c r="AI456" i="2" s="1"/>
  <c r="AG455" i="2"/>
  <c r="AG495" i="2"/>
  <c r="AB455" i="2"/>
  <c r="AB454" i="2"/>
  <c r="AG453" i="2"/>
  <c r="AB453" i="2"/>
  <c r="AE453" i="2" s="1"/>
  <c r="AB452" i="2"/>
  <c r="AE452" i="2"/>
  <c r="AI452" i="2" s="1"/>
  <c r="AA453" i="2"/>
  <c r="AA454" i="2" s="1"/>
  <c r="AA455" i="2" s="1"/>
  <c r="AA456" i="2" s="1"/>
  <c r="AA457" i="2" s="1"/>
  <c r="AE455" i="2"/>
  <c r="AI455" i="2" s="1"/>
  <c r="AE457" i="2"/>
  <c r="AI457" i="2" s="1"/>
  <c r="AE458" i="2"/>
  <c r="AI458" i="2"/>
  <c r="AE459" i="2"/>
  <c r="AI459" i="2" s="1"/>
  <c r="AE460" i="2"/>
  <c r="AI460" i="2"/>
  <c r="AE461" i="2"/>
  <c r="AI461" i="2" s="1"/>
  <c r="AE462" i="2"/>
  <c r="AI462" i="2" s="1"/>
  <c r="AE463" i="2"/>
  <c r="AI463" i="2" s="1"/>
  <c r="AE464" i="2"/>
  <c r="AI464" i="2"/>
  <c r="AE465" i="2"/>
  <c r="AI465" i="2" s="1"/>
  <c r="AE466" i="2"/>
  <c r="AI466" i="2"/>
  <c r="AE467" i="2"/>
  <c r="AI467" i="2"/>
  <c r="AE468" i="2"/>
  <c r="AI468" i="2"/>
  <c r="AE469" i="2"/>
  <c r="AI469" i="2" s="1"/>
  <c r="AE470" i="2"/>
  <c r="AI470" i="2"/>
  <c r="AE471" i="2"/>
  <c r="AI471" i="2" s="1"/>
  <c r="AE472" i="2"/>
  <c r="AI472" i="2"/>
  <c r="AE473" i="2"/>
  <c r="AI473" i="2"/>
  <c r="AE474" i="2"/>
  <c r="AI474" i="2"/>
  <c r="AE475" i="2"/>
  <c r="AI475" i="2"/>
  <c r="AE476" i="2"/>
  <c r="AI476" i="2"/>
  <c r="AE477" i="2"/>
  <c r="AI477" i="2"/>
  <c r="AE478" i="2"/>
  <c r="AI478" i="2"/>
  <c r="AE479" i="2"/>
  <c r="AI479" i="2" s="1"/>
  <c r="AE480" i="2"/>
  <c r="AI480" i="2"/>
  <c r="AE481" i="2"/>
  <c r="AI481" i="2"/>
  <c r="AE482" i="2"/>
  <c r="AI482" i="2"/>
  <c r="AE483" i="2"/>
  <c r="AI483" i="2"/>
  <c r="AE484" i="2"/>
  <c r="AI484" i="2"/>
  <c r="AE485" i="2"/>
  <c r="AI485" i="2"/>
  <c r="AE486" i="2"/>
  <c r="AI486" i="2"/>
  <c r="AE487" i="2"/>
  <c r="AI487" i="2" s="1"/>
  <c r="AE488" i="2"/>
  <c r="AI488" i="2"/>
  <c r="AE489" i="2"/>
  <c r="AI489" i="2"/>
  <c r="AE490" i="2"/>
  <c r="AI490" i="2"/>
  <c r="AI491" i="2"/>
  <c r="AE492" i="2"/>
  <c r="AI492" i="2" s="1"/>
  <c r="AI493" i="2"/>
  <c r="AD495" i="2"/>
  <c r="AH495" i="2"/>
  <c r="P457" i="2"/>
  <c r="S457" i="2" s="1"/>
  <c r="W457" i="2" s="1"/>
  <c r="V456" i="2"/>
  <c r="P456" i="2"/>
  <c r="S456" i="2" s="1"/>
  <c r="W456" i="2" s="1"/>
  <c r="P455" i="2"/>
  <c r="P454" i="2"/>
  <c r="U453" i="2"/>
  <c r="Q453" i="2"/>
  <c r="Q495" i="2" s="1"/>
  <c r="P453" i="2"/>
  <c r="V452" i="2"/>
  <c r="V495" i="2" s="1"/>
  <c r="U452" i="2"/>
  <c r="U495" i="2" s="1"/>
  <c r="Q452" i="2"/>
  <c r="P452" i="2"/>
  <c r="S452" i="2" s="1"/>
  <c r="O453" i="2"/>
  <c r="O454" i="2" s="1"/>
  <c r="O455" i="2" s="1"/>
  <c r="O456" i="2" s="1"/>
  <c r="S454" i="2"/>
  <c r="W454" i="2" s="1"/>
  <c r="S458" i="2"/>
  <c r="W458" i="2"/>
  <c r="S459" i="2"/>
  <c r="W459" i="2" s="1"/>
  <c r="S460" i="2"/>
  <c r="W460" i="2"/>
  <c r="S461" i="2"/>
  <c r="W461" i="2"/>
  <c r="S462" i="2"/>
  <c r="W462" i="2"/>
  <c r="S463" i="2"/>
  <c r="W463" i="2" s="1"/>
  <c r="S464" i="2"/>
  <c r="W464" i="2"/>
  <c r="S465" i="2"/>
  <c r="W465" i="2"/>
  <c r="S466" i="2"/>
  <c r="W466" i="2"/>
  <c r="S467" i="2"/>
  <c r="W467" i="2" s="1"/>
  <c r="S468" i="2"/>
  <c r="W468" i="2"/>
  <c r="S469" i="2"/>
  <c r="W469" i="2" s="1"/>
  <c r="S470" i="2"/>
  <c r="W470" i="2" s="1"/>
  <c r="S471" i="2"/>
  <c r="W471" i="2"/>
  <c r="S472" i="2"/>
  <c r="W472" i="2"/>
  <c r="S473" i="2"/>
  <c r="W473" i="2"/>
  <c r="S474" i="2"/>
  <c r="W474" i="2"/>
  <c r="S475" i="2"/>
  <c r="W475" i="2" s="1"/>
  <c r="S476" i="2"/>
  <c r="W476" i="2"/>
  <c r="S477" i="2"/>
  <c r="W477" i="2"/>
  <c r="S478" i="2"/>
  <c r="W478" i="2"/>
  <c r="S479" i="2"/>
  <c r="W479" i="2"/>
  <c r="S480" i="2"/>
  <c r="W480" i="2"/>
  <c r="S481" i="2"/>
  <c r="W481" i="2"/>
  <c r="S482" i="2"/>
  <c r="W482" i="2"/>
  <c r="S483" i="2"/>
  <c r="W483" i="2" s="1"/>
  <c r="S484" i="2"/>
  <c r="W484" i="2"/>
  <c r="S485" i="2"/>
  <c r="W485" i="2"/>
  <c r="S486" i="2"/>
  <c r="W486" i="2"/>
  <c r="S487" i="2"/>
  <c r="W487" i="2"/>
  <c r="S488" i="2"/>
  <c r="W488" i="2"/>
  <c r="S489" i="2"/>
  <c r="W489" i="2"/>
  <c r="S490" i="2"/>
  <c r="W490" i="2"/>
  <c r="W491" i="2"/>
  <c r="S492" i="2"/>
  <c r="W492" i="2"/>
  <c r="W493" i="2"/>
  <c r="R495" i="2"/>
  <c r="D472" i="2"/>
  <c r="C472" i="2"/>
  <c r="D471" i="2"/>
  <c r="G471" i="2" s="1"/>
  <c r="K471" i="2" s="1"/>
  <c r="D470" i="2"/>
  <c r="D469" i="2"/>
  <c r="G469" i="2" s="1"/>
  <c r="K469" i="2" s="1"/>
  <c r="D468" i="2"/>
  <c r="G468" i="2" s="1"/>
  <c r="K468" i="2" s="1"/>
  <c r="D467" i="2"/>
  <c r="G467" i="2" s="1"/>
  <c r="K467" i="2" s="1"/>
  <c r="D466" i="2"/>
  <c r="G466" i="2" s="1"/>
  <c r="K466" i="2" s="1"/>
  <c r="D465" i="2"/>
  <c r="D464" i="2"/>
  <c r="G464" i="2" s="1"/>
  <c r="K464" i="2" s="1"/>
  <c r="D463" i="2"/>
  <c r="D462" i="2"/>
  <c r="G462" i="2" s="1"/>
  <c r="K462" i="2" s="1"/>
  <c r="D461" i="2"/>
  <c r="G461" i="2" s="1"/>
  <c r="K461" i="2" s="1"/>
  <c r="D460" i="2"/>
  <c r="G460" i="2" s="1"/>
  <c r="K460" i="2" s="1"/>
  <c r="D459" i="2"/>
  <c r="G459" i="2" s="1"/>
  <c r="K459" i="2" s="1"/>
  <c r="D458" i="2"/>
  <c r="G458" i="2" s="1"/>
  <c r="K458" i="2" s="1"/>
  <c r="D457" i="2"/>
  <c r="D456" i="2"/>
  <c r="D455" i="2"/>
  <c r="G455" i="2" s="1"/>
  <c r="D454" i="2"/>
  <c r="D453" i="2"/>
  <c r="E452" i="2"/>
  <c r="E495" i="2" s="1"/>
  <c r="D452" i="2"/>
  <c r="C461" i="2"/>
  <c r="C462" i="2"/>
  <c r="C463" i="2" s="1"/>
  <c r="C464" i="2" s="1"/>
  <c r="C465" i="2" s="1"/>
  <c r="C466" i="2" s="1"/>
  <c r="C467" i="2" s="1"/>
  <c r="C468" i="2" s="1"/>
  <c r="C469" i="2" s="1"/>
  <c r="C470" i="2" s="1"/>
  <c r="C471" i="2" s="1"/>
  <c r="C453" i="2"/>
  <c r="C454" i="2" s="1"/>
  <c r="C455" i="2" s="1"/>
  <c r="C456" i="2" s="1"/>
  <c r="C457" i="2" s="1"/>
  <c r="C458" i="2" s="1"/>
  <c r="C459" i="2" s="1"/>
  <c r="C460" i="2" s="1"/>
  <c r="G453" i="2"/>
  <c r="K453" i="2"/>
  <c r="G454" i="2"/>
  <c r="K454" i="2" s="1"/>
  <c r="G456" i="2"/>
  <c r="K456" i="2"/>
  <c r="G457" i="2"/>
  <c r="K457" i="2" s="1"/>
  <c r="G463" i="2"/>
  <c r="K463" i="2" s="1"/>
  <c r="G465" i="2"/>
  <c r="K465" i="2" s="1"/>
  <c r="G470" i="2"/>
  <c r="K470" i="2" s="1"/>
  <c r="G472" i="2"/>
  <c r="K472" i="2"/>
  <c r="G473" i="2"/>
  <c r="K473" i="2" s="1"/>
  <c r="G474" i="2"/>
  <c r="K474" i="2" s="1"/>
  <c r="G475" i="2"/>
  <c r="K475" i="2" s="1"/>
  <c r="G476" i="2"/>
  <c r="K476" i="2"/>
  <c r="G477" i="2"/>
  <c r="K477" i="2"/>
  <c r="G478" i="2"/>
  <c r="K478" i="2" s="1"/>
  <c r="G479" i="2"/>
  <c r="K479" i="2" s="1"/>
  <c r="G480" i="2"/>
  <c r="K480" i="2"/>
  <c r="G481" i="2"/>
  <c r="K481" i="2"/>
  <c r="G482" i="2"/>
  <c r="K482" i="2" s="1"/>
  <c r="G483" i="2"/>
  <c r="K483" i="2" s="1"/>
  <c r="G484" i="2"/>
  <c r="K484" i="2"/>
  <c r="G485" i="2"/>
  <c r="K485" i="2"/>
  <c r="G492" i="2"/>
  <c r="K492" i="2" s="1"/>
  <c r="F495" i="2"/>
  <c r="I495" i="2"/>
  <c r="J495" i="2"/>
  <c r="AE550" i="2" l="1"/>
  <c r="AI508" i="2"/>
  <c r="AI550" i="2" s="1"/>
  <c r="K550" i="2"/>
  <c r="G550" i="2"/>
  <c r="AI453" i="2"/>
  <c r="AB495" i="2"/>
  <c r="AE454" i="2"/>
  <c r="P495" i="2"/>
  <c r="S453" i="2"/>
  <c r="W453" i="2" s="1"/>
  <c r="W452" i="2"/>
  <c r="S455" i="2"/>
  <c r="W455" i="2" s="1"/>
  <c r="G452" i="2"/>
  <c r="K452" i="2" s="1"/>
  <c r="D495" i="2"/>
  <c r="G495" i="2"/>
  <c r="K455" i="2"/>
  <c r="K495" i="2" s="1"/>
  <c r="AC398" i="2"/>
  <c r="AE495" i="2" l="1"/>
  <c r="AI454" i="2"/>
  <c r="AI495" i="2" s="1"/>
  <c r="W495" i="2"/>
  <c r="S495" i="2"/>
  <c r="AB402" i="2"/>
  <c r="AB401" i="2"/>
  <c r="AC400" i="2"/>
  <c r="AB400" i="2"/>
  <c r="AB399" i="2"/>
  <c r="AB398" i="2"/>
  <c r="AE398" i="2"/>
  <c r="AI398" i="2" s="1"/>
  <c r="AC397" i="2"/>
  <c r="AE397" i="2" s="1"/>
  <c r="AB397" i="2"/>
  <c r="AD440" i="2"/>
  <c r="AI438" i="2"/>
  <c r="AE437" i="2"/>
  <c r="AI437" i="2" s="1"/>
  <c r="AI436" i="2"/>
  <c r="AE435" i="2"/>
  <c r="AI435" i="2" s="1"/>
  <c r="AI434" i="2"/>
  <c r="AE434" i="2"/>
  <c r="AI433" i="2"/>
  <c r="AE433" i="2"/>
  <c r="AE432" i="2"/>
  <c r="AI432" i="2" s="1"/>
  <c r="AI431" i="2"/>
  <c r="AE431" i="2"/>
  <c r="AI430" i="2"/>
  <c r="AE430" i="2"/>
  <c r="AE429" i="2"/>
  <c r="AI429" i="2" s="1"/>
  <c r="AE428" i="2"/>
  <c r="AI428" i="2" s="1"/>
  <c r="AE427" i="2"/>
  <c r="AI427" i="2" s="1"/>
  <c r="AI426" i="2"/>
  <c r="AE426" i="2"/>
  <c r="AI425" i="2"/>
  <c r="AE425" i="2"/>
  <c r="AE424" i="2"/>
  <c r="AI424" i="2" s="1"/>
  <c r="AI423" i="2"/>
  <c r="AE423" i="2"/>
  <c r="AI422" i="2"/>
  <c r="AE422" i="2"/>
  <c r="AE421" i="2"/>
  <c r="AI421" i="2" s="1"/>
  <c r="AE420" i="2"/>
  <c r="AI420" i="2" s="1"/>
  <c r="AE419" i="2"/>
  <c r="AI419" i="2" s="1"/>
  <c r="AI418" i="2"/>
  <c r="AE418" i="2"/>
  <c r="AI417" i="2"/>
  <c r="AE417" i="2"/>
  <c r="AE416" i="2"/>
  <c r="AI416" i="2" s="1"/>
  <c r="AI415" i="2"/>
  <c r="AE415" i="2"/>
  <c r="AI414" i="2"/>
  <c r="AE414" i="2"/>
  <c r="AE413" i="2"/>
  <c r="AI413" i="2" s="1"/>
  <c r="AE412" i="2"/>
  <c r="AI412" i="2" s="1"/>
  <c r="AE411" i="2"/>
  <c r="AI411" i="2" s="1"/>
  <c r="AI410" i="2"/>
  <c r="AE410" i="2"/>
  <c r="AI409" i="2"/>
  <c r="AE409" i="2"/>
  <c r="AE408" i="2"/>
  <c r="AI408" i="2" s="1"/>
  <c r="AE407" i="2"/>
  <c r="AI407" i="2" s="1"/>
  <c r="AE406" i="2"/>
  <c r="AI406" i="2" s="1"/>
  <c r="AE405" i="2"/>
  <c r="AI405" i="2" s="1"/>
  <c r="AE404" i="2"/>
  <c r="AI404" i="2" s="1"/>
  <c r="AH440" i="2"/>
  <c r="AE403" i="2"/>
  <c r="AI403" i="2" s="1"/>
  <c r="AE402" i="2"/>
  <c r="AI402" i="2" s="1"/>
  <c r="AE401" i="2"/>
  <c r="AI401" i="2" s="1"/>
  <c r="AE400" i="2"/>
  <c r="AI400" i="2" s="1"/>
  <c r="AE399" i="2"/>
  <c r="AI399" i="2" s="1"/>
  <c r="AG440" i="2"/>
  <c r="AA398" i="2"/>
  <c r="AA399" i="2" s="1"/>
  <c r="AA400" i="2" s="1"/>
  <c r="AA401" i="2" s="1"/>
  <c r="AA402" i="2" s="1"/>
  <c r="P401" i="2"/>
  <c r="P400" i="2"/>
  <c r="P399" i="2"/>
  <c r="S399" i="2" s="1"/>
  <c r="W399" i="2" s="1"/>
  <c r="Q398" i="2"/>
  <c r="P398" i="2"/>
  <c r="S398" i="2" s="1"/>
  <c r="W398" i="2" s="1"/>
  <c r="P397" i="2"/>
  <c r="S397" i="2"/>
  <c r="W397" i="2"/>
  <c r="O398" i="2"/>
  <c r="O399" i="2" s="1"/>
  <c r="O400" i="2" s="1"/>
  <c r="O401" i="2" s="1"/>
  <c r="S400" i="2"/>
  <c r="W400" i="2" s="1"/>
  <c r="S401" i="2"/>
  <c r="S402" i="2"/>
  <c r="W402" i="2" s="1"/>
  <c r="S403" i="2"/>
  <c r="W403" i="2" s="1"/>
  <c r="S404" i="2"/>
  <c r="W404" i="2" s="1"/>
  <c r="S405" i="2"/>
  <c r="W405" i="2"/>
  <c r="S406" i="2"/>
  <c r="V440" i="2"/>
  <c r="W406" i="2"/>
  <c r="S407" i="2"/>
  <c r="W407" i="2"/>
  <c r="S408" i="2"/>
  <c r="W408" i="2" s="1"/>
  <c r="S409" i="2"/>
  <c r="W409" i="2" s="1"/>
  <c r="S410" i="2"/>
  <c r="W410" i="2"/>
  <c r="S411" i="2"/>
  <c r="W411" i="2"/>
  <c r="S412" i="2"/>
  <c r="W412" i="2"/>
  <c r="S413" i="2"/>
  <c r="W413" i="2"/>
  <c r="S414" i="2"/>
  <c r="W414" i="2"/>
  <c r="S415" i="2"/>
  <c r="W415" i="2"/>
  <c r="S416" i="2"/>
  <c r="W416" i="2" s="1"/>
  <c r="S417" i="2"/>
  <c r="W417" i="2" s="1"/>
  <c r="S418" i="2"/>
  <c r="W418" i="2"/>
  <c r="S419" i="2"/>
  <c r="W419" i="2"/>
  <c r="S420" i="2"/>
  <c r="W420" i="2"/>
  <c r="S421" i="2"/>
  <c r="W421" i="2"/>
  <c r="S422" i="2"/>
  <c r="W422" i="2"/>
  <c r="S423" i="2"/>
  <c r="W423" i="2"/>
  <c r="S424" i="2"/>
  <c r="W424" i="2" s="1"/>
  <c r="S425" i="2"/>
  <c r="W425" i="2" s="1"/>
  <c r="S426" i="2"/>
  <c r="W426" i="2"/>
  <c r="S427" i="2"/>
  <c r="W427" i="2"/>
  <c r="S428" i="2"/>
  <c r="W428" i="2"/>
  <c r="S429" i="2"/>
  <c r="W429" i="2"/>
  <c r="S430" i="2"/>
  <c r="W430" i="2"/>
  <c r="S431" i="2"/>
  <c r="W431" i="2"/>
  <c r="S432" i="2"/>
  <c r="W432" i="2" s="1"/>
  <c r="S433" i="2"/>
  <c r="W433" i="2" s="1"/>
  <c r="S434" i="2"/>
  <c r="W434" i="2"/>
  <c r="S435" i="2"/>
  <c r="W435" i="2"/>
  <c r="W436" i="2"/>
  <c r="S437" i="2"/>
  <c r="W437" i="2"/>
  <c r="W438" i="2"/>
  <c r="Q440" i="2"/>
  <c r="R440" i="2"/>
  <c r="U440" i="2"/>
  <c r="J405" i="2"/>
  <c r="J440" i="2" s="1"/>
  <c r="E405" i="2"/>
  <c r="E440" i="2" s="1"/>
  <c r="D405" i="2"/>
  <c r="G405" i="2" s="1"/>
  <c r="D404" i="2"/>
  <c r="D403" i="2"/>
  <c r="G403" i="2" s="1"/>
  <c r="K403" i="2" s="1"/>
  <c r="D402" i="2"/>
  <c r="D401" i="2"/>
  <c r="G401" i="2" s="1"/>
  <c r="K401" i="2" s="1"/>
  <c r="D400" i="2"/>
  <c r="G400" i="2" s="1"/>
  <c r="K400" i="2" s="1"/>
  <c r="D399" i="2"/>
  <c r="G399" i="2" s="1"/>
  <c r="K399" i="2" s="1"/>
  <c r="D398" i="2"/>
  <c r="D397" i="2"/>
  <c r="C402" i="2"/>
  <c r="C403" i="2" s="1"/>
  <c r="C404" i="2" s="1"/>
  <c r="C405" i="2" s="1"/>
  <c r="G397" i="2"/>
  <c r="C398" i="2"/>
  <c r="C399" i="2" s="1"/>
  <c r="C400" i="2" s="1"/>
  <c r="C401" i="2" s="1"/>
  <c r="I440" i="2"/>
  <c r="G402" i="2"/>
  <c r="K402" i="2" s="1"/>
  <c r="G404" i="2"/>
  <c r="K404" i="2" s="1"/>
  <c r="G406" i="2"/>
  <c r="K406" i="2" s="1"/>
  <c r="G407" i="2"/>
  <c r="K407" i="2" s="1"/>
  <c r="G408" i="2"/>
  <c r="K408" i="2"/>
  <c r="G409" i="2"/>
  <c r="K409" i="2" s="1"/>
  <c r="G410" i="2"/>
  <c r="K410" i="2" s="1"/>
  <c r="G411" i="2"/>
  <c r="K411" i="2"/>
  <c r="G412" i="2"/>
  <c r="K412" i="2" s="1"/>
  <c r="G413" i="2"/>
  <c r="K413" i="2" s="1"/>
  <c r="G414" i="2"/>
  <c r="K414" i="2" s="1"/>
  <c r="G415" i="2"/>
  <c r="K415" i="2" s="1"/>
  <c r="G416" i="2"/>
  <c r="K416" i="2"/>
  <c r="G417" i="2"/>
  <c r="K417" i="2"/>
  <c r="G418" i="2"/>
  <c r="K418" i="2" s="1"/>
  <c r="G419" i="2"/>
  <c r="K419" i="2"/>
  <c r="G420" i="2"/>
  <c r="K420" i="2"/>
  <c r="G421" i="2"/>
  <c r="K421" i="2" s="1"/>
  <c r="G422" i="2"/>
  <c r="K422" i="2"/>
  <c r="G423" i="2"/>
  <c r="K423" i="2" s="1"/>
  <c r="G424" i="2"/>
  <c r="K424" i="2"/>
  <c r="G425" i="2"/>
  <c r="K425" i="2" s="1"/>
  <c r="G426" i="2"/>
  <c r="K426" i="2" s="1"/>
  <c r="G427" i="2"/>
  <c r="K427" i="2"/>
  <c r="G428" i="2"/>
  <c r="K428" i="2"/>
  <c r="G429" i="2"/>
  <c r="K429" i="2" s="1"/>
  <c r="G430" i="2"/>
  <c r="K430" i="2"/>
  <c r="G437" i="2"/>
  <c r="K437" i="2" s="1"/>
  <c r="F440" i="2"/>
  <c r="AC440" i="2" l="1"/>
  <c r="AE440" i="2"/>
  <c r="AI397" i="2"/>
  <c r="AI440" i="2" s="1"/>
  <c r="AB440" i="2"/>
  <c r="P440" i="2"/>
  <c r="W401" i="2"/>
  <c r="W440" i="2" s="1"/>
  <c r="S440" i="2"/>
  <c r="K405" i="2"/>
  <c r="D440" i="2"/>
  <c r="K397" i="2"/>
  <c r="G398" i="2"/>
  <c r="K398" i="2" s="1"/>
  <c r="V351" i="2"/>
  <c r="V385" i="2" s="1"/>
  <c r="U351" i="2"/>
  <c r="Q351" i="2"/>
  <c r="Q385" i="2" s="1"/>
  <c r="P351" i="2"/>
  <c r="U350" i="2"/>
  <c r="P350" i="2"/>
  <c r="S350" i="2" s="1"/>
  <c r="W350" i="2" s="1"/>
  <c r="P349" i="2"/>
  <c r="S349" i="2" s="1"/>
  <c r="W349" i="2" s="1"/>
  <c r="P348" i="2"/>
  <c r="S348" i="2" s="1"/>
  <c r="W348" i="2" s="1"/>
  <c r="P347" i="2"/>
  <c r="S347" i="2" s="1"/>
  <c r="W347" i="2" s="1"/>
  <c r="U346" i="2"/>
  <c r="P346" i="2"/>
  <c r="S346" i="2" s="1"/>
  <c r="W346" i="2" s="1"/>
  <c r="P345" i="2"/>
  <c r="S345" i="2" s="1"/>
  <c r="W345" i="2" s="1"/>
  <c r="P344" i="2"/>
  <c r="S344" i="2" s="1"/>
  <c r="W344" i="2" s="1"/>
  <c r="P343" i="2"/>
  <c r="S343" i="2" s="1"/>
  <c r="W343" i="2" s="1"/>
  <c r="U342" i="2"/>
  <c r="P342" i="2"/>
  <c r="O351" i="2"/>
  <c r="O343" i="2"/>
  <c r="O344" i="2" s="1"/>
  <c r="O345" i="2" s="1"/>
  <c r="O346" i="2" s="1"/>
  <c r="O347" i="2" s="1"/>
  <c r="O348" i="2" s="1"/>
  <c r="O349" i="2" s="1"/>
  <c r="O350" i="2" s="1"/>
  <c r="S352" i="2"/>
  <c r="W352" i="2"/>
  <c r="S353" i="2"/>
  <c r="W353" i="2"/>
  <c r="S354" i="2"/>
  <c r="W354" i="2"/>
  <c r="S355" i="2"/>
  <c r="W355" i="2"/>
  <c r="S356" i="2"/>
  <c r="W356" i="2" s="1"/>
  <c r="S357" i="2"/>
  <c r="W357" i="2"/>
  <c r="S358" i="2"/>
  <c r="W358" i="2" s="1"/>
  <c r="S359" i="2"/>
  <c r="W359" i="2"/>
  <c r="S360" i="2"/>
  <c r="W360" i="2"/>
  <c r="S361" i="2"/>
  <c r="W361" i="2"/>
  <c r="S362" i="2"/>
  <c r="W362" i="2"/>
  <c r="S363" i="2"/>
  <c r="W363" i="2"/>
  <c r="S364" i="2"/>
  <c r="W364" i="2" s="1"/>
  <c r="S365" i="2"/>
  <c r="W365" i="2" s="1"/>
  <c r="S366" i="2"/>
  <c r="W366" i="2" s="1"/>
  <c r="S367" i="2"/>
  <c r="W367" i="2"/>
  <c r="S368" i="2"/>
  <c r="W368" i="2"/>
  <c r="S369" i="2"/>
  <c r="W369" i="2"/>
  <c r="S370" i="2"/>
  <c r="W370" i="2"/>
  <c r="S371" i="2"/>
  <c r="W371" i="2"/>
  <c r="S372" i="2"/>
  <c r="W372" i="2"/>
  <c r="S373" i="2"/>
  <c r="W373" i="2"/>
  <c r="S374" i="2"/>
  <c r="W374" i="2" s="1"/>
  <c r="S375" i="2"/>
  <c r="W375" i="2"/>
  <c r="S376" i="2"/>
  <c r="W376" i="2"/>
  <c r="S377" i="2"/>
  <c r="W377" i="2"/>
  <c r="S378" i="2"/>
  <c r="W378" i="2"/>
  <c r="S379" i="2"/>
  <c r="W379" i="2"/>
  <c r="S380" i="2"/>
  <c r="W380" i="2" s="1"/>
  <c r="W381" i="2"/>
  <c r="S382" i="2"/>
  <c r="W382" i="2" s="1"/>
  <c r="W383" i="2"/>
  <c r="R385" i="2"/>
  <c r="D363" i="2"/>
  <c r="D362" i="2"/>
  <c r="D361" i="2"/>
  <c r="D360" i="2"/>
  <c r="G360" i="2" s="1"/>
  <c r="K360" i="2" s="1"/>
  <c r="D359" i="2"/>
  <c r="G359" i="2" s="1"/>
  <c r="K359" i="2" s="1"/>
  <c r="D358" i="2"/>
  <c r="G358" i="2" s="1"/>
  <c r="K358" i="2" s="1"/>
  <c r="D357" i="2"/>
  <c r="G357" i="2" s="1"/>
  <c r="K357" i="2" s="1"/>
  <c r="D356" i="2"/>
  <c r="D355" i="2"/>
  <c r="G355" i="2" s="1"/>
  <c r="K355" i="2" s="1"/>
  <c r="D354" i="2"/>
  <c r="G354" i="2" s="1"/>
  <c r="K354" i="2" s="1"/>
  <c r="D353" i="2"/>
  <c r="D352" i="2"/>
  <c r="D351" i="2"/>
  <c r="D350" i="2"/>
  <c r="D349" i="2"/>
  <c r="D348" i="2"/>
  <c r="G348" i="2" s="1"/>
  <c r="K348" i="2" s="1"/>
  <c r="D347" i="2"/>
  <c r="I346" i="2"/>
  <c r="D346" i="2"/>
  <c r="D345" i="2"/>
  <c r="I344" i="2"/>
  <c r="D344" i="2"/>
  <c r="D343" i="2"/>
  <c r="G343" i="2" s="1"/>
  <c r="K343" i="2" s="1"/>
  <c r="D342" i="2"/>
  <c r="C343" i="2"/>
  <c r="C344" i="2" s="1"/>
  <c r="C345" i="2" s="1"/>
  <c r="C346" i="2" s="1"/>
  <c r="C348" i="2" s="1"/>
  <c r="C349" i="2" s="1"/>
  <c r="C350" i="2" s="1"/>
  <c r="C351" i="2" s="1"/>
  <c r="C352" i="2" s="1"/>
  <c r="C353" i="2" s="1"/>
  <c r="C354" i="2" s="1"/>
  <c r="C355" i="2" s="1"/>
  <c r="C356" i="2" s="1"/>
  <c r="C357" i="2" s="1"/>
  <c r="C358" i="2" s="1"/>
  <c r="C359" i="2" s="1"/>
  <c r="C360" i="2" s="1"/>
  <c r="C361" i="2" s="1"/>
  <c r="C362" i="2" s="1"/>
  <c r="C363" i="2" s="1"/>
  <c r="G344" i="2"/>
  <c r="G345" i="2"/>
  <c r="K345" i="2" s="1"/>
  <c r="G346" i="2"/>
  <c r="G347" i="2"/>
  <c r="K347" i="2" s="1"/>
  <c r="G349" i="2"/>
  <c r="K349" i="2" s="1"/>
  <c r="G350" i="2"/>
  <c r="K350" i="2" s="1"/>
  <c r="G351" i="2"/>
  <c r="K351" i="2" s="1"/>
  <c r="G352" i="2"/>
  <c r="K352" i="2"/>
  <c r="G353" i="2"/>
  <c r="K353" i="2" s="1"/>
  <c r="G356" i="2"/>
  <c r="K356" i="2"/>
  <c r="G361" i="2"/>
  <c r="K361" i="2" s="1"/>
  <c r="G362" i="2"/>
  <c r="K362" i="2" s="1"/>
  <c r="G363" i="2"/>
  <c r="K363" i="2" s="1"/>
  <c r="G364" i="2"/>
  <c r="K364" i="2"/>
  <c r="G365" i="2"/>
  <c r="K365" i="2"/>
  <c r="G366" i="2"/>
  <c r="K366" i="2"/>
  <c r="G367" i="2"/>
  <c r="K367" i="2"/>
  <c r="G368" i="2"/>
  <c r="K368" i="2" s="1"/>
  <c r="G369" i="2"/>
  <c r="K369" i="2" s="1"/>
  <c r="G370" i="2"/>
  <c r="K370" i="2" s="1"/>
  <c r="G371" i="2"/>
  <c r="K371" i="2"/>
  <c r="G372" i="2"/>
  <c r="K372" i="2"/>
  <c r="G373" i="2"/>
  <c r="K373" i="2" s="1"/>
  <c r="G374" i="2"/>
  <c r="K374" i="2"/>
  <c r="G375" i="2"/>
  <c r="K375" i="2"/>
  <c r="G382" i="2"/>
  <c r="K382" i="2" s="1"/>
  <c r="E385" i="2"/>
  <c r="F385" i="2"/>
  <c r="J385" i="2"/>
  <c r="G440" i="2" l="1"/>
  <c r="K440" i="2"/>
  <c r="U385" i="2"/>
  <c r="S351" i="2"/>
  <c r="W351" i="2" s="1"/>
  <c r="P385" i="2"/>
  <c r="S342" i="2"/>
  <c r="W342" i="2" s="1"/>
  <c r="D385" i="2"/>
  <c r="I385" i="2"/>
  <c r="K346" i="2"/>
  <c r="K344" i="2"/>
  <c r="G342" i="2"/>
  <c r="K342" i="2" s="1"/>
  <c r="K385" i="2"/>
  <c r="G385" i="2"/>
  <c r="AB297" i="2"/>
  <c r="AE297" i="2" s="1"/>
  <c r="AI297" i="2" s="1"/>
  <c r="AB296" i="2"/>
  <c r="AE296" i="2" s="1"/>
  <c r="AI296" i="2" s="1"/>
  <c r="AB295" i="2"/>
  <c r="AE295" i="2" s="1"/>
  <c r="AI295" i="2" s="1"/>
  <c r="AG294" i="2"/>
  <c r="AG330" i="2" s="1"/>
  <c r="AB294" i="2"/>
  <c r="AH293" i="2"/>
  <c r="AB293" i="2"/>
  <c r="AB292" i="2"/>
  <c r="AB291" i="2"/>
  <c r="AG290" i="2"/>
  <c r="AB290" i="2"/>
  <c r="AB289" i="2"/>
  <c r="AG288" i="2"/>
  <c r="AB288" i="2"/>
  <c r="AH287" i="2"/>
  <c r="AH330" i="2"/>
  <c r="AC287" i="2"/>
  <c r="AE287" i="2" s="1"/>
  <c r="AB287" i="2"/>
  <c r="AA294" i="2"/>
  <c r="AA295" i="2" s="1"/>
  <c r="AA296" i="2" s="1"/>
  <c r="AA297" i="2" s="1"/>
  <c r="AA288" i="2"/>
  <c r="AA289" i="2" s="1"/>
  <c r="AA290" i="2" s="1"/>
  <c r="AA291" i="2" s="1"/>
  <c r="AA292" i="2" s="1"/>
  <c r="AA293" i="2" s="1"/>
  <c r="AE288" i="2"/>
  <c r="AI288" i="2" s="1"/>
  <c r="AE289" i="2"/>
  <c r="AI289" i="2" s="1"/>
  <c r="AE290" i="2"/>
  <c r="AI290" i="2" s="1"/>
  <c r="AE291" i="2"/>
  <c r="AI291" i="2" s="1"/>
  <c r="AE292" i="2"/>
  <c r="AI292" i="2" s="1"/>
  <c r="AE293" i="2"/>
  <c r="AI293" i="2" s="1"/>
  <c r="AE294" i="2"/>
  <c r="AE298" i="2"/>
  <c r="AI298" i="2"/>
  <c r="AE299" i="2"/>
  <c r="AI299" i="2"/>
  <c r="AE300" i="2"/>
  <c r="AI300" i="2"/>
  <c r="AE301" i="2"/>
  <c r="AI301" i="2"/>
  <c r="AE302" i="2"/>
  <c r="AI302" i="2"/>
  <c r="AE303" i="2"/>
  <c r="AI303" i="2"/>
  <c r="AE304" i="2"/>
  <c r="AI304" i="2" s="1"/>
  <c r="AE305" i="2"/>
  <c r="AI305" i="2" s="1"/>
  <c r="AE306" i="2"/>
  <c r="AI306" i="2"/>
  <c r="AE307" i="2"/>
  <c r="AI307" i="2"/>
  <c r="AE308" i="2"/>
  <c r="AI308" i="2"/>
  <c r="AE309" i="2"/>
  <c r="AI309" i="2"/>
  <c r="AE310" i="2"/>
  <c r="AI310" i="2"/>
  <c r="AE311" i="2"/>
  <c r="AI311" i="2"/>
  <c r="AE312" i="2"/>
  <c r="AI312" i="2" s="1"/>
  <c r="AE313" i="2"/>
  <c r="AI313" i="2" s="1"/>
  <c r="AE314" i="2"/>
  <c r="AI314" i="2"/>
  <c r="AE315" i="2"/>
  <c r="AI315" i="2"/>
  <c r="AE316" i="2"/>
  <c r="AI316" i="2"/>
  <c r="AE317" i="2"/>
  <c r="AI317" i="2"/>
  <c r="AE318" i="2"/>
  <c r="AI318" i="2"/>
  <c r="AE319" i="2"/>
  <c r="AI319" i="2"/>
  <c r="AE320" i="2"/>
  <c r="AI320" i="2" s="1"/>
  <c r="AE321" i="2"/>
  <c r="AI321" i="2" s="1"/>
  <c r="AE322" i="2"/>
  <c r="AI322" i="2"/>
  <c r="AE323" i="2"/>
  <c r="AI323" i="2"/>
  <c r="AE324" i="2"/>
  <c r="AI324" i="2"/>
  <c r="AE325" i="2"/>
  <c r="AI325" i="2"/>
  <c r="AI326" i="2"/>
  <c r="AE327" i="2"/>
  <c r="AI327" i="2" s="1"/>
  <c r="AI328" i="2"/>
  <c r="AD330" i="2"/>
  <c r="P295" i="2"/>
  <c r="S295" i="2"/>
  <c r="W295" i="2" s="1"/>
  <c r="P294" i="2"/>
  <c r="S294" i="2" s="1"/>
  <c r="W294" i="2" s="1"/>
  <c r="P293" i="2"/>
  <c r="S293" i="2" s="1"/>
  <c r="W293" i="2" s="1"/>
  <c r="P292" i="2"/>
  <c r="P291" i="2"/>
  <c r="S291" i="2" s="1"/>
  <c r="W291" i="2" s="1"/>
  <c r="P290" i="2"/>
  <c r="S290" i="2" s="1"/>
  <c r="W290" i="2" s="1"/>
  <c r="P289" i="2"/>
  <c r="S289" i="2" s="1"/>
  <c r="W289" i="2" s="1"/>
  <c r="Q288" i="2"/>
  <c r="S288" i="2" s="1"/>
  <c r="W288" i="2" s="1"/>
  <c r="P288" i="2"/>
  <c r="P287" i="2"/>
  <c r="S287" i="2" s="1"/>
  <c r="W287" i="2" s="1"/>
  <c r="O294" i="2"/>
  <c r="O295" i="2" s="1"/>
  <c r="O288" i="2"/>
  <c r="O289" i="2" s="1"/>
  <c r="O290" i="2" s="1"/>
  <c r="O291" i="2" s="1"/>
  <c r="O292" i="2" s="1"/>
  <c r="O293" i="2" s="1"/>
  <c r="U330" i="2"/>
  <c r="S292" i="2"/>
  <c r="W292" i="2" s="1"/>
  <c r="V330" i="2"/>
  <c r="S296" i="2"/>
  <c r="W296" i="2" s="1"/>
  <c r="S297" i="2"/>
  <c r="W297" i="2" s="1"/>
  <c r="S298" i="2"/>
  <c r="W298" i="2"/>
  <c r="S299" i="2"/>
  <c r="W299" i="2"/>
  <c r="S300" i="2"/>
  <c r="W300" i="2"/>
  <c r="S301" i="2"/>
  <c r="W301" i="2"/>
  <c r="S302" i="2"/>
  <c r="W302" i="2"/>
  <c r="S303" i="2"/>
  <c r="W303" i="2"/>
  <c r="S304" i="2"/>
  <c r="W304" i="2"/>
  <c r="S305" i="2"/>
  <c r="W305" i="2" s="1"/>
  <c r="S306" i="2"/>
  <c r="W306" i="2"/>
  <c r="S307" i="2"/>
  <c r="W307" i="2"/>
  <c r="S308" i="2"/>
  <c r="W308" i="2"/>
  <c r="S309" i="2"/>
  <c r="W309" i="2" s="1"/>
  <c r="S310" i="2"/>
  <c r="W310" i="2" s="1"/>
  <c r="S311" i="2"/>
  <c r="W311" i="2"/>
  <c r="S312" i="2"/>
  <c r="W312" i="2"/>
  <c r="S313" i="2"/>
  <c r="W313" i="2" s="1"/>
  <c r="S314" i="2"/>
  <c r="W314" i="2"/>
  <c r="S315" i="2"/>
  <c r="W315" i="2"/>
  <c r="S316" i="2"/>
  <c r="W316" i="2"/>
  <c r="S317" i="2"/>
  <c r="W317" i="2"/>
  <c r="S318" i="2"/>
  <c r="W318" i="2"/>
  <c r="S319" i="2"/>
  <c r="W319" i="2"/>
  <c r="S320" i="2"/>
  <c r="W320" i="2"/>
  <c r="S321" i="2"/>
  <c r="W321" i="2" s="1"/>
  <c r="S322" i="2"/>
  <c r="W322" i="2"/>
  <c r="S323" i="2"/>
  <c r="W323" i="2"/>
  <c r="S324" i="2"/>
  <c r="W324" i="2"/>
  <c r="S325" i="2"/>
  <c r="W325" i="2"/>
  <c r="W326" i="2"/>
  <c r="S327" i="2"/>
  <c r="W327" i="2"/>
  <c r="W328" i="2"/>
  <c r="R330" i="2"/>
  <c r="D301" i="2"/>
  <c r="D300" i="2"/>
  <c r="G300" i="2" s="1"/>
  <c r="K300" i="2" s="1"/>
  <c r="D299" i="2"/>
  <c r="G299" i="2" s="1"/>
  <c r="K299" i="2" s="1"/>
  <c r="D298" i="2"/>
  <c r="D297" i="2"/>
  <c r="G297" i="2" s="1"/>
  <c r="K297" i="2" s="1"/>
  <c r="D296" i="2"/>
  <c r="G296" i="2"/>
  <c r="K296" i="2" s="1"/>
  <c r="D295" i="2"/>
  <c r="D294" i="2"/>
  <c r="G294" i="2" s="1"/>
  <c r="K294" i="2" s="1"/>
  <c r="D293" i="2"/>
  <c r="G293" i="2" s="1"/>
  <c r="K293" i="2" s="1"/>
  <c r="D292" i="2"/>
  <c r="G292" i="2" s="1"/>
  <c r="K292" i="2" s="1"/>
  <c r="J291" i="2"/>
  <c r="D291" i="2"/>
  <c r="D290" i="2"/>
  <c r="G290" i="2"/>
  <c r="K290" i="2" s="1"/>
  <c r="D289" i="2"/>
  <c r="D288" i="2"/>
  <c r="G288" i="2" s="1"/>
  <c r="K288" i="2" s="1"/>
  <c r="D287" i="2"/>
  <c r="G287" i="2" s="1"/>
  <c r="C290" i="2"/>
  <c r="C291" i="2" s="1"/>
  <c r="C292" i="2" s="1"/>
  <c r="C293" i="2" s="1"/>
  <c r="C294" i="2" s="1"/>
  <c r="C295" i="2" s="1"/>
  <c r="C296" i="2" s="1"/>
  <c r="C297" i="2" s="1"/>
  <c r="C298" i="2" s="1"/>
  <c r="C299" i="2" s="1"/>
  <c r="C300" i="2" s="1"/>
  <c r="C301" i="2" s="1"/>
  <c r="E330" i="2"/>
  <c r="C288" i="2"/>
  <c r="C289" i="2"/>
  <c r="G289" i="2"/>
  <c r="K289" i="2" s="1"/>
  <c r="G291" i="2"/>
  <c r="K291" i="2" s="1"/>
  <c r="G295" i="2"/>
  <c r="K295" i="2"/>
  <c r="G298" i="2"/>
  <c r="K298" i="2" s="1"/>
  <c r="G301" i="2"/>
  <c r="K301" i="2" s="1"/>
  <c r="G302" i="2"/>
  <c r="K302" i="2"/>
  <c r="G303" i="2"/>
  <c r="K303" i="2"/>
  <c r="G304" i="2"/>
  <c r="K304" i="2"/>
  <c r="G305" i="2"/>
  <c r="K305" i="2"/>
  <c r="G306" i="2"/>
  <c r="K306" i="2"/>
  <c r="G307" i="2"/>
  <c r="K307" i="2" s="1"/>
  <c r="G308" i="2"/>
  <c r="K308" i="2"/>
  <c r="G309" i="2"/>
  <c r="K309" i="2" s="1"/>
  <c r="G310" i="2"/>
  <c r="K310" i="2"/>
  <c r="G311" i="2"/>
  <c r="K311" i="2"/>
  <c r="G312" i="2"/>
  <c r="K312" i="2"/>
  <c r="G313" i="2"/>
  <c r="K313" i="2"/>
  <c r="G314" i="2"/>
  <c r="K314" i="2"/>
  <c r="G315" i="2"/>
  <c r="K315" i="2" s="1"/>
  <c r="G316" i="2"/>
  <c r="K316" i="2"/>
  <c r="G317" i="2"/>
  <c r="K317" i="2" s="1"/>
  <c r="G318" i="2"/>
  <c r="K318" i="2"/>
  <c r="G319" i="2"/>
  <c r="K319" i="2"/>
  <c r="G320" i="2"/>
  <c r="K320" i="2"/>
  <c r="G327" i="2"/>
  <c r="K327" i="2"/>
  <c r="F330" i="2"/>
  <c r="I330" i="2"/>
  <c r="J330" i="2"/>
  <c r="W385" i="2" l="1"/>
  <c r="S385" i="2"/>
  <c r="AI294" i="2"/>
  <c r="AC330" i="2"/>
  <c r="AI287" i="2"/>
  <c r="AI330" i="2" s="1"/>
  <c r="AE330" i="2"/>
  <c r="AB330" i="2"/>
  <c r="Q330" i="2"/>
  <c r="S330" i="2"/>
  <c r="W330" i="2"/>
  <c r="P330" i="2"/>
  <c r="D330" i="2"/>
  <c r="G330" i="2"/>
  <c r="K287" i="2"/>
  <c r="K330" i="2" s="1"/>
  <c r="AB238" i="2"/>
  <c r="AB237" i="2"/>
  <c r="AB236" i="2"/>
  <c r="AH235" i="2"/>
  <c r="AC235" i="2"/>
  <c r="AB235" i="2"/>
  <c r="AC234" i="2"/>
  <c r="AB234" i="2"/>
  <c r="AB233" i="2"/>
  <c r="AE233" i="2" s="1"/>
  <c r="AI233" i="2" s="1"/>
  <c r="AC233" i="2"/>
  <c r="AC232" i="2"/>
  <c r="AB232" i="2"/>
  <c r="AE232" i="2" s="1"/>
  <c r="AA233" i="2"/>
  <c r="AC275" i="2"/>
  <c r="AA234" i="2"/>
  <c r="AE234" i="2"/>
  <c r="AI234" i="2" s="1"/>
  <c r="AA235" i="2"/>
  <c r="AA236" i="2" s="1"/>
  <c r="AA237" i="2" s="1"/>
  <c r="AA238" i="2" s="1"/>
  <c r="AE235" i="2"/>
  <c r="AI235" i="2" s="1"/>
  <c r="AE236" i="2"/>
  <c r="AI236" i="2" s="1"/>
  <c r="AE237" i="2"/>
  <c r="AI237" i="2" s="1"/>
  <c r="AE238" i="2"/>
  <c r="AI238" i="2" s="1"/>
  <c r="AH275" i="2"/>
  <c r="AE239" i="2"/>
  <c r="AI239" i="2" s="1"/>
  <c r="AE240" i="2"/>
  <c r="AI240" i="2"/>
  <c r="AE241" i="2"/>
  <c r="AI241" i="2" s="1"/>
  <c r="AE242" i="2"/>
  <c r="AI242" i="2" s="1"/>
  <c r="AE243" i="2"/>
  <c r="AI243" i="2"/>
  <c r="AE244" i="2"/>
  <c r="AI244" i="2"/>
  <c r="AE245" i="2"/>
  <c r="AI245" i="2"/>
  <c r="AE246" i="2"/>
  <c r="AI246" i="2" s="1"/>
  <c r="AE247" i="2"/>
  <c r="AI247" i="2" s="1"/>
  <c r="AE248" i="2"/>
  <c r="AI248" i="2"/>
  <c r="AE249" i="2"/>
  <c r="AI249" i="2" s="1"/>
  <c r="AE250" i="2"/>
  <c r="AI250" i="2" s="1"/>
  <c r="AE251" i="2"/>
  <c r="AI251" i="2" s="1"/>
  <c r="AE252" i="2"/>
  <c r="AI252" i="2"/>
  <c r="AE253" i="2"/>
  <c r="AI253" i="2"/>
  <c r="AE254" i="2"/>
  <c r="AI254" i="2" s="1"/>
  <c r="AE255" i="2"/>
  <c r="AI255" i="2" s="1"/>
  <c r="AE256" i="2"/>
  <c r="AI256" i="2"/>
  <c r="AE257" i="2"/>
  <c r="AI257" i="2" s="1"/>
  <c r="AE258" i="2"/>
  <c r="AI258" i="2" s="1"/>
  <c r="AE259" i="2"/>
  <c r="AI259" i="2"/>
  <c r="AE260" i="2"/>
  <c r="AI260" i="2"/>
  <c r="AE261" i="2"/>
  <c r="AI261" i="2"/>
  <c r="AE262" i="2"/>
  <c r="AI262" i="2" s="1"/>
  <c r="AE263" i="2"/>
  <c r="AI263" i="2" s="1"/>
  <c r="AE264" i="2"/>
  <c r="AI264" i="2"/>
  <c r="AE265" i="2"/>
  <c r="AI265" i="2" s="1"/>
  <c r="AE266" i="2"/>
  <c r="AI266" i="2" s="1"/>
  <c r="AE267" i="2"/>
  <c r="AI267" i="2"/>
  <c r="AE268" i="2"/>
  <c r="AI268" i="2"/>
  <c r="AE269" i="2"/>
  <c r="AI269" i="2"/>
  <c r="AE270" i="2"/>
  <c r="AI270" i="2" s="1"/>
  <c r="AI271" i="2"/>
  <c r="AE272" i="2"/>
  <c r="AI272" i="2"/>
  <c r="AI273" i="2"/>
  <c r="AD275" i="2"/>
  <c r="AG275" i="2"/>
  <c r="V238" i="2"/>
  <c r="P238" i="2"/>
  <c r="S238" i="2" s="1"/>
  <c r="V237" i="2"/>
  <c r="P237" i="2"/>
  <c r="S237" i="2" s="1"/>
  <c r="Q236" i="2"/>
  <c r="P236" i="2"/>
  <c r="P235" i="2"/>
  <c r="U235" i="2"/>
  <c r="U275" i="2"/>
  <c r="Q234" i="2"/>
  <c r="P234" i="2"/>
  <c r="P233" i="2"/>
  <c r="P232" i="2"/>
  <c r="S232" i="2" s="1"/>
  <c r="W232" i="2" s="1"/>
  <c r="O233" i="2"/>
  <c r="O234" i="2" s="1"/>
  <c r="O235" i="2" s="1"/>
  <c r="O236" i="2" s="1"/>
  <c r="O237" i="2" s="1"/>
  <c r="O238" i="2" s="1"/>
  <c r="S233" i="2"/>
  <c r="S235" i="2"/>
  <c r="S239" i="2"/>
  <c r="W239" i="2" s="1"/>
  <c r="S240" i="2"/>
  <c r="W240" i="2" s="1"/>
  <c r="S241" i="2"/>
  <c r="W241" i="2" s="1"/>
  <c r="S242" i="2"/>
  <c r="W242" i="2" s="1"/>
  <c r="S243" i="2"/>
  <c r="W243" i="2" s="1"/>
  <c r="S244" i="2"/>
  <c r="W244" i="2" s="1"/>
  <c r="S245" i="2"/>
  <c r="W245" i="2"/>
  <c r="S246" i="2"/>
  <c r="W246" i="2"/>
  <c r="S247" i="2"/>
  <c r="W247" i="2"/>
  <c r="S248" i="2"/>
  <c r="W248" i="2"/>
  <c r="S249" i="2"/>
  <c r="W249" i="2"/>
  <c r="S250" i="2"/>
  <c r="W250" i="2"/>
  <c r="S251" i="2"/>
  <c r="W251" i="2"/>
  <c r="S252" i="2"/>
  <c r="W252" i="2" s="1"/>
  <c r="S253" i="2"/>
  <c r="W253" i="2"/>
  <c r="S254" i="2"/>
  <c r="W254" i="2"/>
  <c r="S255" i="2"/>
  <c r="W255" i="2"/>
  <c r="S256" i="2"/>
  <c r="W256" i="2" s="1"/>
  <c r="S257" i="2"/>
  <c r="W257" i="2"/>
  <c r="S258" i="2"/>
  <c r="W258" i="2"/>
  <c r="S259" i="2"/>
  <c r="W259" i="2"/>
  <c r="S260" i="2"/>
  <c r="W260" i="2" s="1"/>
  <c r="S261" i="2"/>
  <c r="W261" i="2" s="1"/>
  <c r="S262" i="2"/>
  <c r="W262" i="2"/>
  <c r="S263" i="2"/>
  <c r="W263" i="2"/>
  <c r="S264" i="2"/>
  <c r="W264" i="2"/>
  <c r="S265" i="2"/>
  <c r="W265" i="2"/>
  <c r="S266" i="2"/>
  <c r="W266" i="2"/>
  <c r="S267" i="2"/>
  <c r="W267" i="2"/>
  <c r="S268" i="2"/>
  <c r="W268" i="2" s="1"/>
  <c r="S269" i="2"/>
  <c r="W269" i="2"/>
  <c r="S270" i="2"/>
  <c r="W270" i="2"/>
  <c r="W271" i="2"/>
  <c r="S272" i="2"/>
  <c r="W272" i="2"/>
  <c r="W273" i="2"/>
  <c r="R275" i="2"/>
  <c r="D234" i="2"/>
  <c r="G234" i="2" s="1"/>
  <c r="K234" i="2" s="1"/>
  <c r="D233" i="2"/>
  <c r="I232" i="2"/>
  <c r="I275" i="2"/>
  <c r="J275" i="2"/>
  <c r="E232" i="2"/>
  <c r="E275" i="2" s="1"/>
  <c r="D232" i="2"/>
  <c r="C233" i="2"/>
  <c r="C234" i="2" s="1"/>
  <c r="G235" i="2"/>
  <c r="K235" i="2" s="1"/>
  <c r="G236" i="2"/>
  <c r="K236" i="2"/>
  <c r="G237" i="2"/>
  <c r="K237" i="2"/>
  <c r="G238" i="2"/>
  <c r="K238" i="2"/>
  <c r="G239" i="2"/>
  <c r="K239" i="2" s="1"/>
  <c r="G240" i="2"/>
  <c r="K240" i="2"/>
  <c r="G241" i="2"/>
  <c r="K241" i="2" s="1"/>
  <c r="G242" i="2"/>
  <c r="K242" i="2"/>
  <c r="G243" i="2"/>
  <c r="K243" i="2" s="1"/>
  <c r="G244" i="2"/>
  <c r="K244" i="2"/>
  <c r="G245" i="2"/>
  <c r="K245" i="2"/>
  <c r="G246" i="2"/>
  <c r="K246" i="2"/>
  <c r="G247" i="2"/>
  <c r="K247" i="2" s="1"/>
  <c r="G248" i="2"/>
  <c r="K248" i="2"/>
  <c r="G249" i="2"/>
  <c r="K249" i="2" s="1"/>
  <c r="G250" i="2"/>
  <c r="K250" i="2"/>
  <c r="G251" i="2"/>
  <c r="K251" i="2" s="1"/>
  <c r="G252" i="2"/>
  <c r="K252" i="2"/>
  <c r="G253" i="2"/>
  <c r="K253" i="2"/>
  <c r="G254" i="2"/>
  <c r="K254" i="2"/>
  <c r="G255" i="2"/>
  <c r="K255" i="2" s="1"/>
  <c r="G256" i="2"/>
  <c r="K256" i="2"/>
  <c r="G257" i="2"/>
  <c r="K257" i="2" s="1"/>
  <c r="G258" i="2"/>
  <c r="K258" i="2"/>
  <c r="G259" i="2"/>
  <c r="K259" i="2" s="1"/>
  <c r="G260" i="2"/>
  <c r="K260" i="2"/>
  <c r="G261" i="2"/>
  <c r="K261" i="2"/>
  <c r="G262" i="2"/>
  <c r="K262" i="2"/>
  <c r="G263" i="2"/>
  <c r="K263" i="2" s="1"/>
  <c r="G264" i="2"/>
  <c r="K264" i="2"/>
  <c r="G265" i="2"/>
  <c r="K265" i="2" s="1"/>
  <c r="G272" i="2"/>
  <c r="K272" i="2" s="1"/>
  <c r="F275" i="2"/>
  <c r="AI232" i="2" l="1"/>
  <c r="AI275" i="2" s="1"/>
  <c r="AE275" i="2"/>
  <c r="AB275" i="2"/>
  <c r="W238" i="2"/>
  <c r="V275" i="2"/>
  <c r="W237" i="2"/>
  <c r="Q275" i="2"/>
  <c r="S236" i="2"/>
  <c r="W236" i="2" s="1"/>
  <c r="W235" i="2"/>
  <c r="S234" i="2"/>
  <c r="W234" i="2" s="1"/>
  <c r="S275" i="2"/>
  <c r="W233" i="2"/>
  <c r="P275" i="2"/>
  <c r="D275" i="2"/>
  <c r="G233" i="2"/>
  <c r="K233" i="2" s="1"/>
  <c r="G232" i="2"/>
  <c r="AE183" i="2"/>
  <c r="AC183" i="2"/>
  <c r="AB183" i="2"/>
  <c r="AH183" i="2"/>
  <c r="AH220" i="2" s="1"/>
  <c r="AH182" i="2"/>
  <c r="AB182" i="2"/>
  <c r="AH181" i="2"/>
  <c r="AG220" i="2"/>
  <c r="AC181" i="2"/>
  <c r="AC220" i="2" s="1"/>
  <c r="AB181" i="2"/>
  <c r="AB180" i="2"/>
  <c r="AE180" i="2" s="1"/>
  <c r="AI180" i="2" s="1"/>
  <c r="AC179" i="2"/>
  <c r="AB179" i="2"/>
  <c r="AC178" i="2"/>
  <c r="AB178" i="2"/>
  <c r="AE178" i="2" s="1"/>
  <c r="AB177" i="2"/>
  <c r="AE177" i="2"/>
  <c r="AI177" i="2" s="1"/>
  <c r="AA178" i="2"/>
  <c r="AA179" i="2"/>
  <c r="AE179" i="2"/>
  <c r="AI179" i="2" s="1"/>
  <c r="AA180" i="2"/>
  <c r="AA181" i="2" s="1"/>
  <c r="AA182" i="2" s="1"/>
  <c r="AA183" i="2" s="1"/>
  <c r="AE182" i="2"/>
  <c r="AI182" i="2" s="1"/>
  <c r="AE184" i="2"/>
  <c r="AI184" i="2" s="1"/>
  <c r="AE185" i="2"/>
  <c r="AI185" i="2"/>
  <c r="AE186" i="2"/>
  <c r="AI186" i="2" s="1"/>
  <c r="AE187" i="2"/>
  <c r="AI187" i="2"/>
  <c r="AE188" i="2"/>
  <c r="AI188" i="2"/>
  <c r="AE189" i="2"/>
  <c r="AI189" i="2"/>
  <c r="AE190" i="2"/>
  <c r="AI190" i="2"/>
  <c r="AE191" i="2"/>
  <c r="AI191" i="2"/>
  <c r="AE192" i="2"/>
  <c r="AI192" i="2"/>
  <c r="AE193" i="2"/>
  <c r="AI193" i="2"/>
  <c r="AE194" i="2"/>
  <c r="AI194" i="2" s="1"/>
  <c r="AE195" i="2"/>
  <c r="AI195" i="2"/>
  <c r="AE196" i="2"/>
  <c r="AI196" i="2"/>
  <c r="AE197" i="2"/>
  <c r="AI197" i="2"/>
  <c r="AE198" i="2"/>
  <c r="AI198" i="2"/>
  <c r="AE199" i="2"/>
  <c r="AI199" i="2"/>
  <c r="AE200" i="2"/>
  <c r="AI200" i="2"/>
  <c r="AE201" i="2"/>
  <c r="AI201" i="2"/>
  <c r="AE202" i="2"/>
  <c r="AI202" i="2" s="1"/>
  <c r="AE203" i="2"/>
  <c r="AI203" i="2"/>
  <c r="AE204" i="2"/>
  <c r="AI204" i="2"/>
  <c r="AE205" i="2"/>
  <c r="AI205" i="2"/>
  <c r="AE206" i="2"/>
  <c r="AI206" i="2"/>
  <c r="AE207" i="2"/>
  <c r="AI207" i="2"/>
  <c r="AE208" i="2"/>
  <c r="AI208" i="2"/>
  <c r="AE209" i="2"/>
  <c r="AI209" i="2"/>
  <c r="AE210" i="2"/>
  <c r="AI210" i="2" s="1"/>
  <c r="AE211" i="2"/>
  <c r="AI211" i="2" s="1"/>
  <c r="AE212" i="2"/>
  <c r="AI212" i="2"/>
  <c r="AE213" i="2"/>
  <c r="AI213" i="2"/>
  <c r="AE214" i="2"/>
  <c r="AI214" i="2"/>
  <c r="AE215" i="2"/>
  <c r="AI215" i="2"/>
  <c r="AI216" i="2"/>
  <c r="AE217" i="2"/>
  <c r="AI217" i="2"/>
  <c r="AI218" i="2"/>
  <c r="AD220" i="2"/>
  <c r="P189" i="2"/>
  <c r="S189" i="2" s="1"/>
  <c r="W189" i="2" s="1"/>
  <c r="P188" i="2"/>
  <c r="S188" i="2" s="1"/>
  <c r="W188" i="2" s="1"/>
  <c r="P187" i="2"/>
  <c r="S187" i="2" s="1"/>
  <c r="W187" i="2" s="1"/>
  <c r="V186" i="2"/>
  <c r="U186" i="2"/>
  <c r="Q186" i="2"/>
  <c r="Q220" i="2" s="1"/>
  <c r="P186" i="2"/>
  <c r="S186" i="2" s="1"/>
  <c r="W186" i="2" s="1"/>
  <c r="P185" i="2"/>
  <c r="P184" i="2"/>
  <c r="S184" i="2" s="1"/>
  <c r="W184" i="2" s="1"/>
  <c r="P183" i="2"/>
  <c r="S183" i="2" s="1"/>
  <c r="W183" i="2" s="1"/>
  <c r="O182" i="2"/>
  <c r="O183" i="2" s="1"/>
  <c r="O184" i="2" s="1"/>
  <c r="O185" i="2" s="1"/>
  <c r="O186" i="2" s="1"/>
  <c r="O187" i="2" s="1"/>
  <c r="O188" i="2" s="1"/>
  <c r="O189" i="2" s="1"/>
  <c r="P182" i="2"/>
  <c r="P181" i="2"/>
  <c r="S181" i="2" s="1"/>
  <c r="W181" i="2" s="1"/>
  <c r="P180" i="2"/>
  <c r="S180" i="2" s="1"/>
  <c r="W180" i="2" s="1"/>
  <c r="P179" i="2"/>
  <c r="P178" i="2"/>
  <c r="P177" i="2"/>
  <c r="S177" i="2"/>
  <c r="W177" i="2" s="1"/>
  <c r="O178" i="2"/>
  <c r="S178" i="2"/>
  <c r="U220" i="2"/>
  <c r="O179" i="2"/>
  <c r="O180" i="2" s="1"/>
  <c r="O181" i="2" s="1"/>
  <c r="S179" i="2"/>
  <c r="W179" i="2" s="1"/>
  <c r="S182" i="2"/>
  <c r="W182" i="2" s="1"/>
  <c r="S185" i="2"/>
  <c r="W185" i="2" s="1"/>
  <c r="S190" i="2"/>
  <c r="W190" i="2" s="1"/>
  <c r="S191" i="2"/>
  <c r="W191" i="2"/>
  <c r="S192" i="2"/>
  <c r="W192" i="2"/>
  <c r="S193" i="2"/>
  <c r="W193" i="2"/>
  <c r="S194" i="2"/>
  <c r="W194" i="2" s="1"/>
  <c r="S195" i="2"/>
  <c r="W195" i="2" s="1"/>
  <c r="S196" i="2"/>
  <c r="W196" i="2"/>
  <c r="S197" i="2"/>
  <c r="W197" i="2" s="1"/>
  <c r="S198" i="2"/>
  <c r="W198" i="2" s="1"/>
  <c r="S199" i="2"/>
  <c r="W199" i="2"/>
  <c r="S200" i="2"/>
  <c r="W200" i="2"/>
  <c r="S201" i="2"/>
  <c r="W201" i="2"/>
  <c r="S202" i="2"/>
  <c r="W202" i="2" s="1"/>
  <c r="S203" i="2"/>
  <c r="W203" i="2" s="1"/>
  <c r="S204" i="2"/>
  <c r="W204" i="2"/>
  <c r="S205" i="2"/>
  <c r="W205" i="2" s="1"/>
  <c r="S206" i="2"/>
  <c r="W206" i="2" s="1"/>
  <c r="S207" i="2"/>
  <c r="W207" i="2"/>
  <c r="S208" i="2"/>
  <c r="W208" i="2"/>
  <c r="S209" i="2"/>
  <c r="W209" i="2"/>
  <c r="S210" i="2"/>
  <c r="W210" i="2" s="1"/>
  <c r="S211" i="2"/>
  <c r="W211" i="2" s="1"/>
  <c r="S212" i="2"/>
  <c r="W212" i="2"/>
  <c r="S213" i="2"/>
  <c r="W213" i="2" s="1"/>
  <c r="S214" i="2"/>
  <c r="W214" i="2" s="1"/>
  <c r="S215" i="2"/>
  <c r="W215" i="2"/>
  <c r="W216" i="2"/>
  <c r="S217" i="2"/>
  <c r="W217" i="2"/>
  <c r="W218" i="2"/>
  <c r="R220" i="2"/>
  <c r="V220" i="2"/>
  <c r="D180" i="2"/>
  <c r="G180" i="2" s="1"/>
  <c r="K180" i="2" s="1"/>
  <c r="D179" i="2"/>
  <c r="G179" i="2" s="1"/>
  <c r="K179" i="2" s="1"/>
  <c r="E178" i="2"/>
  <c r="D178" i="2"/>
  <c r="G178" i="2" s="1"/>
  <c r="K178" i="2" s="1"/>
  <c r="I177" i="2"/>
  <c r="E177" i="2"/>
  <c r="D177" i="2"/>
  <c r="G177" i="2" s="1"/>
  <c r="C178" i="2"/>
  <c r="C179" i="2" s="1"/>
  <c r="C180" i="2" s="1"/>
  <c r="G181" i="2"/>
  <c r="K181" i="2" s="1"/>
  <c r="G182" i="2"/>
  <c r="K182" i="2"/>
  <c r="G183" i="2"/>
  <c r="K183" i="2"/>
  <c r="G184" i="2"/>
  <c r="K184" i="2" s="1"/>
  <c r="G185" i="2"/>
  <c r="K185" i="2" s="1"/>
  <c r="G186" i="2"/>
  <c r="K186" i="2" s="1"/>
  <c r="G187" i="2"/>
  <c r="K187" i="2" s="1"/>
  <c r="G188" i="2"/>
  <c r="K188" i="2"/>
  <c r="G189" i="2"/>
  <c r="K189" i="2"/>
  <c r="G190" i="2"/>
  <c r="K190" i="2"/>
  <c r="G191" i="2"/>
  <c r="K191" i="2" s="1"/>
  <c r="G192" i="2"/>
  <c r="K192" i="2" s="1"/>
  <c r="G193" i="2"/>
  <c r="K193" i="2" s="1"/>
  <c r="G194" i="2"/>
  <c r="K194" i="2" s="1"/>
  <c r="G195" i="2"/>
  <c r="K195" i="2" s="1"/>
  <c r="G196" i="2"/>
  <c r="K196" i="2"/>
  <c r="G197" i="2"/>
  <c r="K197" i="2"/>
  <c r="G198" i="2"/>
  <c r="K198" i="2"/>
  <c r="G199" i="2"/>
  <c r="K199" i="2" s="1"/>
  <c r="G200" i="2"/>
  <c r="K200" i="2" s="1"/>
  <c r="G201" i="2"/>
  <c r="K201" i="2" s="1"/>
  <c r="G202" i="2"/>
  <c r="K202" i="2" s="1"/>
  <c r="G203" i="2"/>
  <c r="K203" i="2" s="1"/>
  <c r="G204" i="2"/>
  <c r="K204" i="2"/>
  <c r="G205" i="2"/>
  <c r="K205" i="2"/>
  <c r="G206" i="2"/>
  <c r="K206" i="2"/>
  <c r="G207" i="2"/>
  <c r="K207" i="2" s="1"/>
  <c r="G208" i="2"/>
  <c r="K208" i="2" s="1"/>
  <c r="G209" i="2"/>
  <c r="K209" i="2" s="1"/>
  <c r="G210" i="2"/>
  <c r="K210" i="2" s="1"/>
  <c r="G217" i="2"/>
  <c r="K217" i="2" s="1"/>
  <c r="F220" i="2"/>
  <c r="I220" i="2"/>
  <c r="J220" i="2"/>
  <c r="W275" i="2" l="1"/>
  <c r="G275" i="2"/>
  <c r="K232" i="2"/>
  <c r="K275" i="2" s="1"/>
  <c r="AI183" i="2"/>
  <c r="AE181" i="2"/>
  <c r="AI181" i="2" s="1"/>
  <c r="AB220" i="2"/>
  <c r="AI178" i="2"/>
  <c r="S220" i="2"/>
  <c r="W178" i="2"/>
  <c r="W220" i="2" s="1"/>
  <c r="P220" i="2"/>
  <c r="E220" i="2"/>
  <c r="K177" i="2"/>
  <c r="K220" i="2" s="1"/>
  <c r="G220" i="2"/>
  <c r="D220" i="2"/>
  <c r="AB127" i="2"/>
  <c r="AE127" i="2" s="1"/>
  <c r="AI127" i="2" s="1"/>
  <c r="AA127" i="2"/>
  <c r="AB126" i="2"/>
  <c r="AB125" i="2"/>
  <c r="AG124" i="2"/>
  <c r="AB124" i="2"/>
  <c r="AB123" i="2"/>
  <c r="AC123" i="2"/>
  <c r="AG165" i="2"/>
  <c r="AI122" i="2"/>
  <c r="AB122" i="2"/>
  <c r="AE122" i="2"/>
  <c r="AA123" i="2"/>
  <c r="AA124" i="2" s="1"/>
  <c r="AA125" i="2" s="1"/>
  <c r="AA126" i="2" s="1"/>
  <c r="AE124" i="2"/>
  <c r="AI124" i="2" s="1"/>
  <c r="AE125" i="2"/>
  <c r="AI125" i="2" s="1"/>
  <c r="AE126" i="2"/>
  <c r="AI126" i="2" s="1"/>
  <c r="AE128" i="2"/>
  <c r="AI128" i="2"/>
  <c r="AE129" i="2"/>
  <c r="AI129" i="2" s="1"/>
  <c r="AE130" i="2"/>
  <c r="AI130" i="2"/>
  <c r="AE131" i="2"/>
  <c r="AI131" i="2"/>
  <c r="AE132" i="2"/>
  <c r="AI132" i="2" s="1"/>
  <c r="AE133" i="2"/>
  <c r="AI133" i="2"/>
  <c r="AE134" i="2"/>
  <c r="AI134" i="2" s="1"/>
  <c r="AE135" i="2"/>
  <c r="AI135" i="2" s="1"/>
  <c r="AE136" i="2"/>
  <c r="AI136" i="2"/>
  <c r="AE137" i="2"/>
  <c r="AI137" i="2" s="1"/>
  <c r="AE138" i="2"/>
  <c r="AI138" i="2"/>
  <c r="AE139" i="2"/>
  <c r="AI139" i="2"/>
  <c r="AE140" i="2"/>
  <c r="AI140" i="2" s="1"/>
  <c r="AE141" i="2"/>
  <c r="AI141" i="2"/>
  <c r="AE142" i="2"/>
  <c r="AI142" i="2" s="1"/>
  <c r="AE143" i="2"/>
  <c r="AI143" i="2" s="1"/>
  <c r="AE144" i="2"/>
  <c r="AI144" i="2"/>
  <c r="AE145" i="2"/>
  <c r="AI145" i="2" s="1"/>
  <c r="AE146" i="2"/>
  <c r="AI146" i="2"/>
  <c r="AE147" i="2"/>
  <c r="AI147" i="2"/>
  <c r="AE148" i="2"/>
  <c r="AI148" i="2" s="1"/>
  <c r="AE149" i="2"/>
  <c r="AI149" i="2"/>
  <c r="AE150" i="2"/>
  <c r="AI150" i="2" s="1"/>
  <c r="AE151" i="2"/>
  <c r="AI151" i="2" s="1"/>
  <c r="AE152" i="2"/>
  <c r="AI152" i="2"/>
  <c r="AE153" i="2"/>
  <c r="AI153" i="2" s="1"/>
  <c r="AE154" i="2"/>
  <c r="AI154" i="2"/>
  <c r="AE155" i="2"/>
  <c r="AI155" i="2"/>
  <c r="AE156" i="2"/>
  <c r="AI156" i="2" s="1"/>
  <c r="AE157" i="2"/>
  <c r="AI157" i="2"/>
  <c r="AE158" i="2"/>
  <c r="AI158" i="2" s="1"/>
  <c r="AE159" i="2"/>
  <c r="AI159" i="2" s="1"/>
  <c r="AE160" i="2"/>
  <c r="AI160" i="2"/>
  <c r="AI161" i="2"/>
  <c r="AE162" i="2"/>
  <c r="AI162" i="2"/>
  <c r="AI163" i="2"/>
  <c r="AC165" i="2"/>
  <c r="AD165" i="2"/>
  <c r="P127" i="2"/>
  <c r="P126" i="2"/>
  <c r="S126" i="2" s="1"/>
  <c r="W126" i="2" s="1"/>
  <c r="P125" i="2"/>
  <c r="Q124" i="2"/>
  <c r="P124" i="2"/>
  <c r="U123" i="2"/>
  <c r="W123" i="2" s="1"/>
  <c r="Q123" i="2"/>
  <c r="P123" i="2"/>
  <c r="P122" i="2"/>
  <c r="S122" i="2" s="1"/>
  <c r="W122" i="2" s="1"/>
  <c r="O126" i="2"/>
  <c r="O123" i="2"/>
  <c r="O124" i="2" s="1"/>
  <c r="O125" i="2" s="1"/>
  <c r="S123" i="2"/>
  <c r="S127" i="2"/>
  <c r="W127" i="2" s="1"/>
  <c r="S128" i="2"/>
  <c r="W128" i="2"/>
  <c r="S129" i="2"/>
  <c r="W129" i="2"/>
  <c r="S130" i="2"/>
  <c r="W130" i="2"/>
  <c r="S131" i="2"/>
  <c r="W131" i="2" s="1"/>
  <c r="S132" i="2"/>
  <c r="W132" i="2"/>
  <c r="S133" i="2"/>
  <c r="W133" i="2"/>
  <c r="S134" i="2"/>
  <c r="W134" i="2"/>
  <c r="S135" i="2"/>
  <c r="W135" i="2"/>
  <c r="S136" i="2"/>
  <c r="W136" i="2"/>
  <c r="S137" i="2"/>
  <c r="W137" i="2"/>
  <c r="S138" i="2"/>
  <c r="W138" i="2"/>
  <c r="S139" i="2"/>
  <c r="W139" i="2"/>
  <c r="S140" i="2"/>
  <c r="W140" i="2"/>
  <c r="S141" i="2"/>
  <c r="W141" i="2"/>
  <c r="S142" i="2"/>
  <c r="W142" i="2"/>
  <c r="S143" i="2"/>
  <c r="W143" i="2"/>
  <c r="S144" i="2"/>
  <c r="W144" i="2"/>
  <c r="S145" i="2"/>
  <c r="W145" i="2"/>
  <c r="S146" i="2"/>
  <c r="W146" i="2"/>
  <c r="S147" i="2"/>
  <c r="W147" i="2"/>
  <c r="S148" i="2"/>
  <c r="W148" i="2"/>
  <c r="S149" i="2"/>
  <c r="W149" i="2"/>
  <c r="S150" i="2"/>
  <c r="W150" i="2"/>
  <c r="S151" i="2"/>
  <c r="W151" i="2"/>
  <c r="S152" i="2"/>
  <c r="W152" i="2"/>
  <c r="S153" i="2"/>
  <c r="W153" i="2"/>
  <c r="S154" i="2"/>
  <c r="W154" i="2"/>
  <c r="S155" i="2"/>
  <c r="W155" i="2"/>
  <c r="S156" i="2"/>
  <c r="W156" i="2"/>
  <c r="S157" i="2"/>
  <c r="W157" i="2"/>
  <c r="S158" i="2"/>
  <c r="W158" i="2"/>
  <c r="S159" i="2"/>
  <c r="W159" i="2"/>
  <c r="S160" i="2"/>
  <c r="W160" i="2"/>
  <c r="W161" i="2"/>
  <c r="S162" i="2"/>
  <c r="W162" i="2" s="1"/>
  <c r="W163" i="2"/>
  <c r="R165" i="2"/>
  <c r="U165" i="2"/>
  <c r="V165" i="2"/>
  <c r="J129" i="2"/>
  <c r="J165" i="2" s="1"/>
  <c r="D129" i="2"/>
  <c r="G129" i="2" s="1"/>
  <c r="K129" i="2" s="1"/>
  <c r="D128" i="2"/>
  <c r="G128" i="2" s="1"/>
  <c r="K128" i="2" s="1"/>
  <c r="I127" i="2"/>
  <c r="E127" i="2"/>
  <c r="D127" i="2"/>
  <c r="G127" i="2" s="1"/>
  <c r="K127" i="2" s="1"/>
  <c r="I126" i="2"/>
  <c r="I165" i="2" s="1"/>
  <c r="E126" i="2"/>
  <c r="D126" i="2"/>
  <c r="G126" i="2" s="1"/>
  <c r="K126" i="2" s="1"/>
  <c r="D125" i="2"/>
  <c r="D124" i="2"/>
  <c r="D123" i="2"/>
  <c r="D122" i="2"/>
  <c r="G122" i="2" s="1"/>
  <c r="K122" i="2" s="1"/>
  <c r="C129" i="2"/>
  <c r="C123" i="2"/>
  <c r="C124" i="2" s="1"/>
  <c r="C125" i="2" s="1"/>
  <c r="C126" i="2" s="1"/>
  <c r="C127" i="2" s="1"/>
  <c r="C128" i="2" s="1"/>
  <c r="G124" i="2"/>
  <c r="K124" i="2" s="1"/>
  <c r="G125" i="2"/>
  <c r="K125" i="2" s="1"/>
  <c r="G130" i="2"/>
  <c r="K130" i="2" s="1"/>
  <c r="G131" i="2"/>
  <c r="K131" i="2"/>
  <c r="G132" i="2"/>
  <c r="K132" i="2"/>
  <c r="G133" i="2"/>
  <c r="K133" i="2"/>
  <c r="G134" i="2"/>
  <c r="K134" i="2"/>
  <c r="G135" i="2"/>
  <c r="K135" i="2"/>
  <c r="G136" i="2"/>
  <c r="K136" i="2"/>
  <c r="G137" i="2"/>
  <c r="K137" i="2"/>
  <c r="G138" i="2"/>
  <c r="K138" i="2" s="1"/>
  <c r="G139" i="2"/>
  <c r="K139" i="2"/>
  <c r="G140" i="2"/>
  <c r="K140" i="2"/>
  <c r="G141" i="2"/>
  <c r="K141" i="2"/>
  <c r="G142" i="2"/>
  <c r="K142" i="2"/>
  <c r="G143" i="2"/>
  <c r="K143" i="2"/>
  <c r="G144" i="2"/>
  <c r="K144" i="2"/>
  <c r="G145" i="2"/>
  <c r="K145" i="2"/>
  <c r="G146" i="2"/>
  <c r="K146" i="2" s="1"/>
  <c r="G147" i="2"/>
  <c r="K147" i="2"/>
  <c r="G148" i="2"/>
  <c r="K148" i="2"/>
  <c r="G149" i="2"/>
  <c r="K149" i="2"/>
  <c r="G150" i="2"/>
  <c r="K150" i="2"/>
  <c r="G151" i="2"/>
  <c r="K151" i="2"/>
  <c r="G152" i="2"/>
  <c r="K152" i="2"/>
  <c r="G153" i="2"/>
  <c r="K153" i="2"/>
  <c r="G154" i="2"/>
  <c r="K154" i="2" s="1"/>
  <c r="G155" i="2"/>
  <c r="K155" i="2"/>
  <c r="G162" i="2"/>
  <c r="K162" i="2"/>
  <c r="E165" i="2"/>
  <c r="F165" i="2"/>
  <c r="AH71" i="2"/>
  <c r="AB71" i="2"/>
  <c r="AE71" i="2" s="1"/>
  <c r="AB70" i="2"/>
  <c r="AB69" i="2"/>
  <c r="AC68" i="2"/>
  <c r="AB68" i="2"/>
  <c r="AC67" i="2"/>
  <c r="AB67" i="2"/>
  <c r="AE67" i="2" s="1"/>
  <c r="AA68" i="2"/>
  <c r="AA69" i="2" s="1"/>
  <c r="AA70" i="2" s="1"/>
  <c r="AA71" i="2" s="1"/>
  <c r="AE68" i="2"/>
  <c r="AI68" i="2" s="1"/>
  <c r="AE69" i="2"/>
  <c r="AI69" i="2" s="1"/>
  <c r="AE70" i="2"/>
  <c r="AI70" i="2" s="1"/>
  <c r="AE72" i="2"/>
  <c r="AI72" i="2"/>
  <c r="AE73" i="2"/>
  <c r="AI73" i="2" s="1"/>
  <c r="AE74" i="2"/>
  <c r="AI74" i="2" s="1"/>
  <c r="AE75" i="2"/>
  <c r="AI75" i="2" s="1"/>
  <c r="AE76" i="2"/>
  <c r="AI76" i="2"/>
  <c r="AE77" i="2"/>
  <c r="AI77" i="2"/>
  <c r="AE78" i="2"/>
  <c r="AI78" i="2"/>
  <c r="AE79" i="2"/>
  <c r="AI79" i="2"/>
  <c r="AE80" i="2"/>
  <c r="AI80" i="2" s="1"/>
  <c r="AE81" i="2"/>
  <c r="AI81" i="2" s="1"/>
  <c r="AE82" i="2"/>
  <c r="AI82" i="2"/>
  <c r="AE83" i="2"/>
  <c r="AI83" i="2" s="1"/>
  <c r="AE84" i="2"/>
  <c r="AI84" i="2"/>
  <c r="AE85" i="2"/>
  <c r="AI85" i="2"/>
  <c r="AE86" i="2"/>
  <c r="AI86" i="2"/>
  <c r="AE87" i="2"/>
  <c r="AI87" i="2"/>
  <c r="AE88" i="2"/>
  <c r="AI88" i="2" s="1"/>
  <c r="AE89" i="2"/>
  <c r="AI89" i="2" s="1"/>
  <c r="AE90" i="2"/>
  <c r="AI90" i="2"/>
  <c r="AE91" i="2"/>
  <c r="AI91" i="2" s="1"/>
  <c r="AE92" i="2"/>
  <c r="AI92" i="2"/>
  <c r="AE93" i="2"/>
  <c r="AI93" i="2"/>
  <c r="AE94" i="2"/>
  <c r="AI94" i="2"/>
  <c r="AE95" i="2"/>
  <c r="AI95" i="2"/>
  <c r="AE96" i="2"/>
  <c r="AI96" i="2" s="1"/>
  <c r="AE97" i="2"/>
  <c r="AI97" i="2" s="1"/>
  <c r="AE98" i="2"/>
  <c r="AI98" i="2"/>
  <c r="AE99" i="2"/>
  <c r="AI99" i="2" s="1"/>
  <c r="AE100" i="2"/>
  <c r="AI100" i="2"/>
  <c r="AE101" i="2"/>
  <c r="AI101" i="2"/>
  <c r="AE102" i="2"/>
  <c r="AI102" i="2"/>
  <c r="AE103" i="2"/>
  <c r="AI103" i="2"/>
  <c r="AE104" i="2"/>
  <c r="AI104" i="2" s="1"/>
  <c r="AE105" i="2"/>
  <c r="AI105" i="2" s="1"/>
  <c r="AI106" i="2"/>
  <c r="AE107" i="2"/>
  <c r="AI107" i="2"/>
  <c r="AI108" i="2"/>
  <c r="AC110" i="2"/>
  <c r="AD110" i="2"/>
  <c r="AG110" i="2"/>
  <c r="AH110" i="2"/>
  <c r="P70" i="2"/>
  <c r="P69" i="2"/>
  <c r="P68" i="2"/>
  <c r="S68" i="2" s="1"/>
  <c r="Q67" i="2"/>
  <c r="Q110" i="2" s="1"/>
  <c r="P67" i="2"/>
  <c r="O68" i="2"/>
  <c r="O69" i="2" s="1"/>
  <c r="O70" i="2" s="1"/>
  <c r="V110" i="2"/>
  <c r="S70" i="2"/>
  <c r="W70" i="2" s="1"/>
  <c r="S71" i="2"/>
  <c r="W71" i="2"/>
  <c r="S72" i="2"/>
  <c r="W72" i="2"/>
  <c r="S73" i="2"/>
  <c r="W73" i="2" s="1"/>
  <c r="S74" i="2"/>
  <c r="W74" i="2" s="1"/>
  <c r="S75" i="2"/>
  <c r="W75" i="2"/>
  <c r="S76" i="2"/>
  <c r="W76" i="2"/>
  <c r="S77" i="2"/>
  <c r="W77" i="2"/>
  <c r="S78" i="2"/>
  <c r="W78" i="2"/>
  <c r="S79" i="2"/>
  <c r="W79" i="2"/>
  <c r="S80" i="2"/>
  <c r="W80" i="2"/>
  <c r="S81" i="2"/>
  <c r="W81" i="2"/>
  <c r="S82" i="2"/>
  <c r="W82" i="2"/>
  <c r="S83" i="2"/>
  <c r="W83" i="2"/>
  <c r="S84" i="2"/>
  <c r="W84" i="2"/>
  <c r="S85" i="2"/>
  <c r="W85" i="2"/>
  <c r="S86" i="2"/>
  <c r="W86" i="2"/>
  <c r="S87" i="2"/>
  <c r="W87" i="2"/>
  <c r="S88" i="2"/>
  <c r="W88" i="2"/>
  <c r="S89" i="2"/>
  <c r="W89" i="2"/>
  <c r="S90" i="2"/>
  <c r="W90" i="2"/>
  <c r="S91" i="2"/>
  <c r="W91" i="2"/>
  <c r="S92" i="2"/>
  <c r="W92" i="2"/>
  <c r="S93" i="2"/>
  <c r="W93" i="2"/>
  <c r="S94" i="2"/>
  <c r="W94" i="2"/>
  <c r="S95" i="2"/>
  <c r="W95" i="2"/>
  <c r="S96" i="2"/>
  <c r="W96" i="2"/>
  <c r="S97" i="2"/>
  <c r="W97" i="2"/>
  <c r="S98" i="2"/>
  <c r="W98" i="2"/>
  <c r="S99" i="2"/>
  <c r="W99" i="2"/>
  <c r="S100" i="2"/>
  <c r="W100" i="2"/>
  <c r="S101" i="2"/>
  <c r="W101" i="2"/>
  <c r="S102" i="2"/>
  <c r="W102" i="2"/>
  <c r="S103" i="2"/>
  <c r="W103" i="2"/>
  <c r="S104" i="2"/>
  <c r="W104" i="2"/>
  <c r="S105" i="2"/>
  <c r="W105" i="2"/>
  <c r="W106" i="2"/>
  <c r="S107" i="2"/>
  <c r="W107" i="2" s="1"/>
  <c r="W108" i="2"/>
  <c r="R110" i="2"/>
  <c r="U110" i="2"/>
  <c r="AI220" i="2" l="1"/>
  <c r="AE220" i="2"/>
  <c r="AB165" i="2"/>
  <c r="AE123" i="2"/>
  <c r="AI123" i="2" s="1"/>
  <c r="AH165" i="2"/>
  <c r="AE165" i="2"/>
  <c r="AI165" i="2"/>
  <c r="S124" i="2"/>
  <c r="W124" i="2" s="1"/>
  <c r="Q165" i="2"/>
  <c r="P165" i="2"/>
  <c r="S125" i="2"/>
  <c r="D165" i="2"/>
  <c r="G123" i="2"/>
  <c r="AI71" i="2"/>
  <c r="AE110" i="2"/>
  <c r="AI67" i="2"/>
  <c r="AI110" i="2" s="1"/>
  <c r="AB110" i="2"/>
  <c r="P110" i="2"/>
  <c r="S67" i="2"/>
  <c r="W67" i="2" s="1"/>
  <c r="W68" i="2"/>
  <c r="S69" i="2"/>
  <c r="W69" i="2" s="1"/>
  <c r="D73" i="2"/>
  <c r="G73" i="2" s="1"/>
  <c r="K73" i="2" s="1"/>
  <c r="D72" i="2"/>
  <c r="G72" i="2" s="1"/>
  <c r="K72" i="2" s="1"/>
  <c r="D71" i="2"/>
  <c r="G71" i="2" s="1"/>
  <c r="K71" i="2" s="1"/>
  <c r="D70" i="2"/>
  <c r="G70" i="2" s="1"/>
  <c r="K70" i="2" s="1"/>
  <c r="D69" i="2"/>
  <c r="D68" i="2"/>
  <c r="I67" i="2"/>
  <c r="E67" i="2"/>
  <c r="E110" i="2" s="1"/>
  <c r="D67" i="2"/>
  <c r="C68" i="2"/>
  <c r="C69" i="2" s="1"/>
  <c r="C70" i="2" s="1"/>
  <c r="C71" i="2" s="1"/>
  <c r="C72" i="2" s="1"/>
  <c r="C73" i="2" s="1"/>
  <c r="G68" i="2"/>
  <c r="K68" i="2" s="1"/>
  <c r="G69" i="2"/>
  <c r="K69" i="2" s="1"/>
  <c r="I110" i="2"/>
  <c r="G74" i="2"/>
  <c r="K74" i="2" s="1"/>
  <c r="G75" i="2"/>
  <c r="K75" i="2" s="1"/>
  <c r="G76" i="2"/>
  <c r="K76" i="2" s="1"/>
  <c r="G77" i="2"/>
  <c r="K77" i="2"/>
  <c r="G78" i="2"/>
  <c r="K78" i="2"/>
  <c r="G79" i="2"/>
  <c r="K79" i="2"/>
  <c r="G80" i="2"/>
  <c r="K80" i="2"/>
  <c r="G81" i="2"/>
  <c r="K81" i="2" s="1"/>
  <c r="G82" i="2"/>
  <c r="K82" i="2"/>
  <c r="G83" i="2"/>
  <c r="K83" i="2"/>
  <c r="G84" i="2"/>
  <c r="K84" i="2"/>
  <c r="G85" i="2"/>
  <c r="K85" i="2"/>
  <c r="G86" i="2"/>
  <c r="K86" i="2"/>
  <c r="G87" i="2"/>
  <c r="K87" i="2"/>
  <c r="G88" i="2"/>
  <c r="K88" i="2"/>
  <c r="G89" i="2"/>
  <c r="K89" i="2" s="1"/>
  <c r="G90" i="2"/>
  <c r="K90" i="2"/>
  <c r="G91" i="2"/>
  <c r="K91" i="2"/>
  <c r="G92" i="2"/>
  <c r="K92" i="2"/>
  <c r="G93" i="2"/>
  <c r="K93" i="2"/>
  <c r="G94" i="2"/>
  <c r="K94" i="2"/>
  <c r="G95" i="2"/>
  <c r="K95" i="2"/>
  <c r="G96" i="2"/>
  <c r="K96" i="2"/>
  <c r="G97" i="2"/>
  <c r="K97" i="2" s="1"/>
  <c r="G98" i="2"/>
  <c r="K98" i="2"/>
  <c r="G99" i="2"/>
  <c r="K99" i="2"/>
  <c r="G100" i="2"/>
  <c r="K100" i="2"/>
  <c r="G107" i="2"/>
  <c r="K107" i="2"/>
  <c r="F110" i="2"/>
  <c r="J110" i="2"/>
  <c r="W125" i="2" l="1"/>
  <c r="W165" i="2" s="1"/>
  <c r="S165" i="2"/>
  <c r="K123" i="2"/>
  <c r="K165" i="2" s="1"/>
  <c r="G165" i="2"/>
  <c r="W110" i="2"/>
  <c r="S110" i="2"/>
  <c r="G67" i="2"/>
  <c r="K67" i="2" s="1"/>
  <c r="K110" i="2" s="1"/>
  <c r="D110" i="2"/>
  <c r="AB20" i="2"/>
  <c r="AB19" i="2"/>
  <c r="AA19" i="2"/>
  <c r="AA20" i="2" s="1"/>
  <c r="AB18" i="2"/>
  <c r="AB17" i="2"/>
  <c r="AG16" i="2"/>
  <c r="AC16" i="2"/>
  <c r="AB16" i="2"/>
  <c r="AB15" i="2"/>
  <c r="AB14" i="2"/>
  <c r="AC13" i="2"/>
  <c r="AB13" i="2"/>
  <c r="AH12" i="2"/>
  <c r="AC12" i="2"/>
  <c r="AB12" i="2"/>
  <c r="P19" i="2"/>
  <c r="V18" i="2"/>
  <c r="P18" i="2"/>
  <c r="P17" i="2"/>
  <c r="P16" i="2"/>
  <c r="V15" i="2"/>
  <c r="P15" i="2"/>
  <c r="V14" i="2"/>
  <c r="P14" i="2"/>
  <c r="U13" i="2"/>
  <c r="Q13" i="2"/>
  <c r="P13" i="2"/>
  <c r="P12" i="2"/>
  <c r="D21" i="2"/>
  <c r="D20" i="2"/>
  <c r="D19" i="2"/>
  <c r="D18" i="2"/>
  <c r="D17" i="2"/>
  <c r="D16" i="2"/>
  <c r="D15" i="2"/>
  <c r="I14" i="2"/>
  <c r="D14" i="2"/>
  <c r="D13" i="2"/>
  <c r="D12" i="2"/>
  <c r="C13" i="2"/>
  <c r="G110" i="2" l="1"/>
  <c r="J10" i="1"/>
  <c r="D10" i="1" s="1"/>
  <c r="J16" i="1"/>
  <c r="D16" i="1" s="1"/>
  <c r="J17" i="1"/>
  <c r="D17" i="1" s="1"/>
  <c r="J18" i="1"/>
  <c r="D18" i="1" s="1"/>
  <c r="J19" i="1"/>
  <c r="D19" i="1" s="1"/>
  <c r="J20" i="1"/>
  <c r="J23" i="1"/>
  <c r="J24" i="1"/>
  <c r="D24" i="1" s="1"/>
  <c r="J25" i="1"/>
  <c r="D25" i="1" s="1"/>
  <c r="J26" i="1"/>
  <c r="D26" i="1" s="1"/>
  <c r="J37" i="1"/>
  <c r="J38" i="1"/>
  <c r="J39" i="1"/>
  <c r="J40" i="1"/>
  <c r="J30" i="1"/>
  <c r="D30" i="1" s="1"/>
  <c r="J31" i="1"/>
  <c r="D31" i="1" s="1"/>
  <c r="J32" i="1"/>
  <c r="D32" i="1" s="1"/>
  <c r="J33" i="1"/>
  <c r="J34" i="1"/>
  <c r="D37" i="1"/>
  <c r="D38" i="1"/>
  <c r="D39" i="1"/>
  <c r="D33" i="1"/>
  <c r="D34" i="1"/>
  <c r="A38" i="1" l="1"/>
  <c r="A39" i="1"/>
  <c r="AA13" i="2" l="1"/>
  <c r="J36" i="1" l="1"/>
  <c r="J27" i="1"/>
  <c r="D27" i="1" s="1"/>
  <c r="J29" i="1"/>
  <c r="D29" i="1" s="1"/>
  <c r="J22" i="1"/>
  <c r="D22" i="1" s="1"/>
  <c r="D36" i="1"/>
  <c r="J13" i="1"/>
  <c r="C14" i="2" l="1"/>
  <c r="C15" i="2" s="1"/>
  <c r="C16" i="2" s="1"/>
  <c r="C17" i="2" s="1"/>
  <c r="C18" i="2" s="1"/>
  <c r="C19" i="2" s="1"/>
  <c r="C20" i="2" s="1"/>
  <c r="C21" i="2" s="1"/>
  <c r="D23" i="1" l="1"/>
  <c r="J15" i="1"/>
  <c r="D15" i="1" s="1"/>
  <c r="O13" i="2" l="1"/>
  <c r="O14" i="2" s="1"/>
  <c r="O15" i="2" s="1"/>
  <c r="O16" i="2" s="1"/>
  <c r="O17" i="2" s="1"/>
  <c r="O18" i="2" s="1"/>
  <c r="O19" i="2" s="1"/>
  <c r="J12" i="1"/>
  <c r="J11" i="1"/>
  <c r="D11" i="1" s="1"/>
  <c r="D42" i="1" l="1"/>
  <c r="AA14" i="2" l="1"/>
  <c r="AA15" i="2" s="1"/>
  <c r="AA16" i="2" s="1"/>
  <c r="AA17" i="2" s="1"/>
  <c r="AA18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9" authorId="0" shapeId="0" xr:uid="{C236C7E3-F864-42AD-8292-ABD3D4DFF7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H22" authorId="0" shapeId="0" xr:uid="{A6B97C47-6C3E-42AD-8382-499E185792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DSP:
GINA GRACE LOPEZ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59FDF229-E318-433B-ADEB-9B3248C9A7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12" authorId="0" shapeId="0" xr:uid="{7B2B1C35-3268-4BC1-BCF7-24FD80A63C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AA12" authorId="0" shapeId="0" xr:uid="{2FB75E0A-F2FD-4436-B194-4FCA85679C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3" authorId="0" shapeId="0" xr:uid="{D004982B-E273-476A-A19E-4322408A77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JOSEPHINE
PIAO, SINDANGAN</t>
        </r>
      </text>
    </comment>
    <comment ref="O13" authorId="0" shapeId="0" xr:uid="{155A3820-6AB5-477A-B926-38E3A7B8F6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13" authorId="0" shapeId="0" xr:uid="{D1BB12CC-550E-466C-8D99-690228C525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14" authorId="0" shapeId="0" xr:uid="{03F54386-2C33-4F5D-9FB6-F0565E5AD8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O14" authorId="0" shapeId="0" xr:uid="{E7A7954F-5132-4908-A09F-A04CE56A4D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4" authorId="0" shapeId="0" xr:uid="{976400C8-1F77-4E5A-AE69-7B12C343C0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15" authorId="0" shapeId="0" xr:uid="{27652EA7-8E85-4D13-809F-8E7EA4D8AD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15" authorId="0" shapeId="0" xr:uid="{28E0515D-A64C-4920-A4A0-3D95373128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REJAN STORE
MANDIH, SINDANGAN</t>
        </r>
      </text>
    </comment>
    <comment ref="AA15" authorId="0" shapeId="0" xr:uid="{F2BDF2A2-594A-4732-B63E-6CB4A14954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C16" authorId="0" shapeId="0" xr:uid="{F7A0D51C-35C1-483A-8594-C29BF21E89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
POB, SIAYAN</t>
        </r>
      </text>
    </comment>
    <comment ref="O16" authorId="0" shapeId="0" xr:uid="{08BFB0D9-A94E-4E63-8D49-88C579A251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6" authorId="0" shapeId="0" xr:uid="{43AA7862-4BA8-407D-84C9-F48065DD44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7" authorId="0" shapeId="0" xr:uid="{1EE4640C-5533-4F5B-B677-7DEF128DBC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
POB, SIAYAN</t>
        </r>
      </text>
    </comment>
    <comment ref="O17" authorId="0" shapeId="0" xr:uid="{C569C771-0686-4DD8-9F5A-B55650A03A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AA17" authorId="0" shapeId="0" xr:uid="{4A04115B-16F6-43F3-AB2B-ECCBED07D3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STORE
POB EAST, SALUG</t>
        </r>
      </text>
    </comment>
    <comment ref="C18" authorId="0" shapeId="0" xr:uid="{DF96769F-697E-41AF-A0E3-1FD7AF0500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
POB, SIAYAN</t>
        </r>
      </text>
    </comment>
    <comment ref="O18" authorId="0" shapeId="0" xr:uid="{0914DFDA-4B5D-4A7A-A9D0-E9102E6BCE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18" authorId="0" shapeId="0" xr:uid="{2E9B4ADA-BCB7-46A4-9E53-C13D4EE3CC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 CONVENIENCE STORE
POB EAST, SALUG</t>
        </r>
      </text>
    </comment>
    <comment ref="C19" authorId="0" shapeId="0" xr:uid="{2BCF34C2-22AD-43F0-89A9-A93183620E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O19" authorId="0" shapeId="0" xr:uid="{4B8C16F9-F4D2-4C8C-9469-903E21A394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9" authorId="0" shapeId="0" xr:uid="{28A042F9-5C67-40AF-81ED-65AE646357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POCARO STORE
POB EAT, SALUG</t>
        </r>
      </text>
    </comment>
    <comment ref="C20" authorId="0" shapeId="0" xr:uid="{B7C957BB-B1D7-4112-84BB-64C598F128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AA20" authorId="0" shapeId="0" xr:uid="{8DF01A71-73EB-4EEC-B0BD-B10E492DA8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21" authorId="0" shapeId="0" xr:uid="{34F277B5-6332-41B2-A8D0-7D3546C3F3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BAYAWA
BALOK, SINDANGAN</t>
        </r>
      </text>
    </comment>
    <comment ref="C67" authorId="0" shapeId="0" xr:uid="{FE9ECB9A-0FBC-45C2-973A-6E01784BB5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67" authorId="0" shapeId="0" xr:uid="{13382385-21BD-48F5-A90F-D53F93BDF3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67" authorId="0" shapeId="0" xr:uid="{568CC05B-050C-4B81-9435-87F910CDA3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68" authorId="0" shapeId="0" xr:uid="{286F1982-F3FF-4853-82BF-EC8016C7A7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O68" authorId="0" shapeId="0" xr:uid="{7E7C2C1E-B61A-4C4D-8D2C-7C6D0F1BFA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68" authorId="0" shapeId="0" xr:uid="{1BB95A62-0EE2-4D00-804B-6FFED54617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69" authorId="0" shapeId="0" xr:uid="{DA3F543A-066D-45C4-B1F4-9EC5800F36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POB, SINDANGAN</t>
        </r>
      </text>
    </comment>
    <comment ref="O69" authorId="0" shapeId="0" xr:uid="{1A5A9B64-EDC5-47EC-B87B-6DFD8D9D6E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69" authorId="0" shapeId="0" xr:uid="{ED3C4C91-0AA1-4F2A-BD25-49847268FF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70" authorId="0" shapeId="0" xr:uid="{BBD576D4-73F5-4062-917B-4389030C37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
DISUD, SINDANGAN</t>
        </r>
      </text>
    </comment>
    <comment ref="O70" authorId="0" shapeId="0" xr:uid="{2D8BABC8-319C-4F61-8428-C3D13713EB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70" authorId="0" shapeId="0" xr:uid="{1DCC027C-644E-4CEF-A14A-FB77C641CD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STORE
BAYBAY, LILOY</t>
        </r>
      </text>
    </comment>
    <comment ref="C71" authorId="0" shapeId="0" xr:uid="{9A0711A7-DFE8-41C6-8D19-62E6BC3045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EDWARD
GOLEO, SINDANGAN</t>
        </r>
      </text>
    </comment>
    <comment ref="AA71" authorId="0" shapeId="0" xr:uid="{038DE3B5-0374-4112-9B53-91E062626C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LAMAO, LILOY</t>
        </r>
      </text>
    </comment>
    <comment ref="C72" authorId="0" shapeId="0" xr:uid="{FD7F95BF-DDC2-4DE9-9799-5C37EDC3B8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ASIS, JULIET
DAPAON, SINDANGAN</t>
        </r>
      </text>
    </comment>
    <comment ref="C73" authorId="0" shapeId="0" xr:uid="{C5C7DAFD-CEAB-4D1C-9C8A-501B2F2CE3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
BALOK, SINDANGAN</t>
        </r>
      </text>
    </comment>
    <comment ref="C122" authorId="0" shapeId="0" xr:uid="{302B7380-4BCE-4E1E-B1E6-609B2D0A14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ELMER
POB, SINDANGAN</t>
        </r>
      </text>
    </comment>
    <comment ref="O122" authorId="0" shapeId="0" xr:uid="{483835CF-6B85-4C64-A922-B9205E6650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122" authorId="0" shapeId="0" xr:uid="{F6DEE03A-AD3E-4B8F-8370-7354A7427B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23" authorId="0" shapeId="0" xr:uid="{ED005A6D-C4EE-4D14-8F44-A814F4DBF3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
BALOK, SINDANGAN</t>
        </r>
      </text>
    </comment>
    <comment ref="O123" authorId="0" shapeId="0" xr:uid="{DE95713C-2DE5-4E63-9E1D-09A9D75C47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A123" authorId="0" shapeId="0" xr:uid="{46432919-14A7-4370-981E-1BDAECC3D8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24" authorId="0" shapeId="0" xr:uid="{949596C3-7A5C-4DB4-B056-9ECCD3B7DE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FERNANDES GLAIZA
DAPAON, SINDANGAN</t>
        </r>
      </text>
    </comment>
    <comment ref="O124" authorId="0" shapeId="0" xr:uid="{6CC7B7CF-A5A0-4588-AAC1-2D49754348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24" authorId="0" shapeId="0" xr:uid="{D2E5A496-28DA-4067-9856-F6449D4E1A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
POB EAST, SALUG</t>
        </r>
      </text>
    </comment>
    <comment ref="C125" authorId="0" shapeId="0" xr:uid="{8B86B0E7-ABE8-4F44-B0D1-831029B6FF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125" authorId="0" shapeId="0" xr:uid="{C311D419-E189-414A-B699-392B1F0AB2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25" authorId="0" shapeId="0" xr:uid="{EC20496B-506C-432A-9059-0E7798D320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126" authorId="0" shapeId="0" xr:uid="{FAA8B61E-E5D5-4031-BC0A-F27F83C6F5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126" authorId="0" shapeId="0" xr:uid="{8B1C58C9-877F-429B-8D0A-520C4D3556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26" authorId="0" shapeId="0" xr:uid="{3F0E232D-2DEA-49AF-B8C1-92747617CD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127" authorId="0" shapeId="0" xr:uid="{69935222-14FD-4793-8B5E-6DA5867A63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127" authorId="0" shapeId="0" xr:uid="{5C981F4F-7BC4-485D-A4F6-2728B52622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AA127" authorId="0" shapeId="0" xr:uid="{07B51470-57BD-4D1D-BCBF-BF3E1BDCB5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128" authorId="0" shapeId="0" xr:uid="{1D5EC575-3468-4EA9-BDA5-EBCA9FA74C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ZAIRA CACHILA
POB, SINDANGAN</t>
        </r>
      </text>
    </comment>
    <comment ref="C129" authorId="0" shapeId="0" xr:uid="{8302B257-87DA-46C3-9888-89A6593971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DICOYONG, SINDANGAN</t>
        </r>
      </text>
    </comment>
    <comment ref="C177" authorId="0" shapeId="0" xr:uid="{8DF94649-1E18-414E-88E3-D747A2491F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BALAMBAM STORE
GUNYAN, SIAYAN</t>
        </r>
      </text>
    </comment>
    <comment ref="O177" authorId="0" shapeId="0" xr:uid="{019A868A-B8F2-4D8F-8CD2-C7371F550E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SAPAL STORE
TALINGA, BACUNGAN</t>
        </r>
      </text>
    </comment>
    <comment ref="AA177" authorId="0" shapeId="0" xr:uid="{98B74717-EBDB-46C7-B1BA-E78C1360F1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LILOY MAIN OFFICE
BAYBAY, LILOY</t>
        </r>
      </text>
    </comment>
    <comment ref="C178" authorId="0" shapeId="0" xr:uid="{D61EB1B5-D638-4A9E-9C05-E3BA117D97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178" authorId="0" shapeId="0" xr:uid="{2F0F5482-F94B-4FD0-99D0-755E318160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178" authorId="0" shapeId="0" xr:uid="{BC199710-44BE-4B50-8A3A-8DC1A84CB7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79" authorId="0" shapeId="0" xr:uid="{F41DDAC5-0536-408A-8E20-77FEAC7815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JEZIEL PODIOTAN
POB, SIAYAN</t>
        </r>
      </text>
    </comment>
    <comment ref="O179" authorId="0" shapeId="0" xr:uid="{3C8C87CD-3319-4E8D-B123-CA3C8936E5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AA179" authorId="0" shapeId="0" xr:uid="{DE274139-5C5D-4623-A9F5-AF98A183AC0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180" authorId="0" shapeId="0" xr:uid="{42EAE637-0B88-46DA-8B4E-DB712168BC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DEGURO STORE
BALOK, SINDANGAN</t>
        </r>
      </text>
    </comment>
    <comment ref="O180" authorId="0" shapeId="0" xr:uid="{A41219F5-D9B4-4658-9B4E-A3D1B454A9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180" authorId="0" shapeId="0" xr:uid="{31AF6522-368F-4740-820C-1B59BCF75C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COLEEN
BAYBAY, LILOY</t>
        </r>
      </text>
    </comment>
    <comment ref="O181" authorId="0" shapeId="0" xr:uid="{1A6F86B8-4F7E-4E9B-9539-60E2207097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 KINGS STORE
TALINGA, BACUNGAN</t>
        </r>
      </text>
    </comment>
    <comment ref="AA181" authorId="0" shapeId="0" xr:uid="{10BA3A2B-5236-425C-A8CF-39DB1C1799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182" authorId="0" shapeId="0" xr:uid="{9158D573-2C47-4367-A25F-E9773EE88E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SANOPAO STORE
MARAS, SINDANGAN</t>
        </r>
      </text>
    </comment>
    <comment ref="AA182" authorId="0" shapeId="0" xr:uid="{6112A07A-65DE-4679-971D-9D3F4D124F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O183" authorId="0" shapeId="0" xr:uid="{54AC1E5A-881B-4A59-B193-27637560CC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TEOPE
MARAS, SINDANGAN</t>
        </r>
      </text>
    </comment>
    <comment ref="AA183" authorId="0" shapeId="0" xr:uid="{356510BA-A053-4D4C-8B6B-86DDDA2D22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O184" authorId="0" shapeId="0" xr:uid="{6EDD9276-929A-4E93-AC88-8D41E352DD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185" authorId="0" shapeId="0" xr:uid="{6FC324A7-0FE7-417A-A578-609A3624CB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186" authorId="0" shapeId="0" xr:uid="{26742ADA-274D-446B-9A0C-F2D869F1AE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O187" authorId="0" shapeId="0" xr:uid="{C67E1333-C5AC-4FCD-9C47-2B272616C8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O188" authorId="0" shapeId="0" xr:uid="{1469F519-C0FC-45FB-B2F8-B431FE093F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O189" authorId="0" shapeId="0" xr:uid="{D769AC15-8E10-41B5-8F5D-33024B8EB4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C232" authorId="0" shapeId="0" xr:uid="{CD5BCB07-92F2-45A3-923D-B9985EDD15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232" authorId="0" shapeId="0" xr:uid="{1220CFC7-BC08-4962-A041-AB19A1AC8A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MUÑOZ
DATU TANGKILAN, SINDANGAN</t>
        </r>
      </text>
    </comment>
    <comment ref="AA232" authorId="0" shapeId="0" xr:uid="{56DFC1FE-1A18-42D3-B241-05AE893CE1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233" authorId="0" shapeId="0" xr:uid="{B5D163D5-8D0F-419B-BA13-C90702C901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LEE BAGTONG
POB, SIAYAN</t>
        </r>
      </text>
    </comment>
    <comment ref="O233" authorId="0" shapeId="0" xr:uid="{2CD0A69C-FD59-4C4B-B3A1-205B618DB0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AYA STORE
POB, BACUNGAN</t>
        </r>
      </text>
    </comment>
    <comment ref="AA233" authorId="0" shapeId="0" xr:uid="{907F79D8-0F0B-4401-9361-7EF2E80E03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234" authorId="0" shapeId="0" xr:uid="{0DFDDA6B-83D0-4373-8F67-23679512F5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O234" authorId="0" shapeId="0" xr:uid="{7972FE6B-DCB1-4ADD-B4B6-7EF1CAC7FB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234" authorId="0" shapeId="0" xr:uid="{45B1E4BF-4DD3-4325-86B1-CF4BC74711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O235" authorId="0" shapeId="0" xr:uid="{8BC7C5F8-E2D2-4684-A41C-A2BF0E8102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A235" authorId="0" shapeId="0" xr:uid="{35677AC5-A923-446D-A2B1-D0A74D4A4E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O236" authorId="0" shapeId="0" xr:uid="{4971F01C-771D-4528-BD2C-FF2AFE1AE9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236" authorId="0" shapeId="0" xr:uid="{C286B4AE-AE86-4C0D-94F5-DEA45F0241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O237" authorId="0" shapeId="0" xr:uid="{07968D18-1D13-4112-B2DD-C4ADC40669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AVILLES STORE
MANDIH, SINDANGAN</t>
        </r>
      </text>
    </comment>
    <comment ref="AA237" authorId="0" shapeId="0" xr:uid="{7F9B305A-3CA6-401A-BE44-CCA3131610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O238" authorId="0" shapeId="0" xr:uid="{B06C4B1E-9403-48D4-92F5-DD040E84D0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238" authorId="0" shapeId="0" xr:uid="{449D54D2-DB0F-4206-9885-B8B9C901AD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AMIT
BACONG, SALUG</t>
        </r>
      </text>
    </comment>
    <comment ref="C287" authorId="0" shapeId="0" xr:uid="{283762C8-769B-43CF-9625-EB8103A14B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287" authorId="0" shapeId="0" xr:uid="{F100DC04-232F-4B88-97EA-5E7476FBBF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A287" authorId="0" shapeId="0" xr:uid="{57715E81-05D4-43C7-BD7B-A662EF900C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</t>
        </r>
      </text>
    </comment>
    <comment ref="C288" authorId="0" shapeId="0" xr:uid="{4F82C9FB-5325-4FEA-89D0-EA40F5D21C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STORE
DAGAO, SIAYAN</t>
        </r>
      </text>
    </comment>
    <comment ref="O288" authorId="0" shapeId="0" xr:uid="{547EC162-031F-4F8A-8FF3-C372511905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288" authorId="0" shapeId="0" xr:uid="{326DD867-5050-48DF-B2C6-4731D81D10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289" authorId="0" shapeId="0" xr:uid="{3CA4D8E6-08B0-4D85-8B09-AA9343A07B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289" authorId="0" shapeId="0" xr:uid="{A2220BEA-DDF0-4F88-A43F-65D1ED9F6E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 STORE
MARAS, SINDANGAN</t>
        </r>
      </text>
    </comment>
    <comment ref="AA289" authorId="0" shapeId="0" xr:uid="{1278287F-E5DB-4898-B085-13D6CB59EA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CONSUMER GOODS STORE
POB EAST, SALUG</t>
        </r>
      </text>
    </comment>
    <comment ref="C290" authorId="0" shapeId="0" xr:uid="{7D2EB622-E1D8-4A46-8671-8483097EAB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NORA HUNDO
DAGAO, SINDANGAN</t>
        </r>
      </text>
    </comment>
    <comment ref="O290" authorId="0" shapeId="0" xr:uid="{3634266C-028C-4BD5-A6B0-D9FF931AF3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FAYE BILLIONES
UPPER INUMAN, SINDANGAN</t>
        </r>
      </text>
    </comment>
    <comment ref="AA290" authorId="0" shapeId="0" xr:uid="{B177C325-39F1-4417-9A5E-B006C5A8A0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 EAST, SALUG</t>
        </r>
      </text>
    </comment>
    <comment ref="C291" authorId="0" shapeId="0" xr:uid="{BC00553B-0523-42AE-A49C-C5A219DFEE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  <comment ref="O291" authorId="0" shapeId="0" xr:uid="{5DBC0D46-B495-4C98-A772-D39A97760D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POB, SINDANGAN</t>
        </r>
      </text>
    </comment>
    <comment ref="AA291" authorId="0" shapeId="0" xr:uid="{06800AF1-BB30-471A-9A67-864375BD2E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C292" authorId="0" shapeId="0" xr:uid="{94210B65-4525-4462-960D-AD863B6AA8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CENAS, JONATHAN
POB, SIAYAN</t>
        </r>
      </text>
    </comment>
    <comment ref="O292" authorId="0" shapeId="0" xr:uid="{0327AC23-71AB-492B-988C-CACAD2B1F0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292" authorId="0" shapeId="0" xr:uid="{F545F6E3-F001-4BDB-B36F-0D250490B1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MAÑOZA STORE
POB EAST, SALUG</t>
        </r>
      </text>
    </comment>
    <comment ref="C293" authorId="0" shapeId="0" xr:uid="{49898010-D727-4413-9C5B-FC06736922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293" authorId="0" shapeId="0" xr:uid="{4679FA9B-B911-449C-844E-F79FCF01B3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293" authorId="0" shapeId="0" xr:uid="{6DB11E3C-0D29-4566-9DBE-40B02E15DF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294" authorId="0" shapeId="0" xr:uid="{B2CEB217-8406-4675-ACA1-F68BDA6954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JONALYN ABAPO
POB, SIAYAN</t>
        </r>
      </text>
    </comment>
    <comment ref="O294" authorId="0" shapeId="0" xr:uid="{5B05C77A-C67D-46EA-8C97-B1AB53AD08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GERIAN STORE
GOLEO, SINDANGAN</t>
        </r>
      </text>
    </comment>
    <comment ref="AA294" authorId="0" shapeId="0" xr:uid="{0E66B7FE-6DAA-48AE-A2DD-0A121AE608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SARI SARI STORE
BAYBAY, LILOY</t>
        </r>
      </text>
    </comment>
    <comment ref="C295" authorId="0" shapeId="0" xr:uid="{B26F50DF-D64A-40FE-BDB2-07BC55397C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ABORTE
POB, SIAYAN</t>
        </r>
      </text>
    </comment>
    <comment ref="O295" authorId="0" shapeId="0" xr:uid="{01D8CFBF-1A5C-46AF-A5F1-A1C1B5F924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295" authorId="0" shapeId="0" xr:uid="{DCE7B191-6860-4FB6-9B36-D4A20F4360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296" authorId="0" shapeId="0" xr:uid="{2393C3B1-279F-477F-B938-3CF0C2069D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POB, SIAYAN</t>
        </r>
      </text>
    </comment>
    <comment ref="AA296" authorId="0" shapeId="0" xr:uid="{D131A0CA-D2EE-4BAE-8272-59E6841283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LAMAO, LILOY</t>
        </r>
      </text>
    </comment>
    <comment ref="C297" authorId="0" shapeId="0" xr:uid="{40678EFA-EED0-4F85-98D1-B2CEBEF6AA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TANSO
POB, SIAYAN</t>
        </r>
      </text>
    </comment>
    <comment ref="AA297" authorId="0" shapeId="0" xr:uid="{9794EBDC-E9EC-49AA-BAF2-C73226B9CC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298" authorId="0" shapeId="0" xr:uid="{B8257BC8-ED94-453D-A763-D343887729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KYLA ALUMBRE
POB, SIAYAN</t>
        </r>
      </text>
    </comment>
    <comment ref="C299" authorId="0" shapeId="0" xr:uid="{1206ACB2-AC69-450A-9F07-DCD0B4BF80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ANGELINE DADAN
POB, SIAYAN</t>
        </r>
      </text>
    </comment>
    <comment ref="C300" authorId="0" shapeId="0" xr:uid="{EEE160F2-0B93-44AF-9CE2-12F7851A5F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CARIÑO
POB, SIAYAN</t>
        </r>
      </text>
    </comment>
    <comment ref="C301" authorId="0" shapeId="0" xr:uid="{213C7ADB-A8C5-459B-9194-F17D1EA7A1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LORNALIE BASTASA
GOLEO, SINDANGAN</t>
        </r>
      </text>
    </comment>
    <comment ref="C342" authorId="0" shapeId="0" xr:uid="{994788D6-BFC5-4B73-B63C-0082632899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GERALDINE TEMPORADA
GOLEO, SINDANGAN</t>
        </r>
      </text>
    </comment>
    <comment ref="O342" authorId="0" shapeId="0" xr:uid="{A936E430-87EF-4FD4-A923-192E9006D6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C343" authorId="0" shapeId="0" xr:uid="{AFED95A9-9A0C-4DF8-B1AE-7764F04993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343" authorId="0" shapeId="0" xr:uid="{56648696-3C2E-4E8C-A320-5200C49B2C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RM, SALUG</t>
        </r>
      </text>
    </comment>
    <comment ref="C344" authorId="0" shapeId="0" xr:uid="{0DD17C84-059A-402F-83E1-9C4DA22C59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BANDICO STORE
GOLEO, SINDANGAN</t>
        </r>
      </text>
    </comment>
    <comment ref="O344" authorId="0" shapeId="0" xr:uid="{65952231-108B-4F8F-9514-D2AEFC2DB4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C345" authorId="0" shapeId="0" xr:uid="{40D22AE6-9FF4-42D2-9812-7480A72169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DELMER
POB, SINDANGAN</t>
        </r>
      </text>
    </comment>
    <comment ref="O345" authorId="0" shapeId="0" xr:uid="{30CCA287-44DF-4E21-8F06-FB10057DDD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GUMIMAO STORE
RM, SALUG</t>
        </r>
      </text>
    </comment>
    <comment ref="C346" authorId="0" shapeId="0" xr:uid="{B7562414-FF36-4D4D-83D4-676BB96207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DAPAON, SINDANGAN</t>
        </r>
      </text>
    </comment>
    <comment ref="O346" authorId="0" shapeId="0" xr:uid="{B41308FE-C843-4383-A2CD-C3EFF3A335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CHERYL
RM, SALUG</t>
        </r>
      </text>
    </comment>
    <comment ref="C347" authorId="0" shapeId="0" xr:uid="{DBD8A0EA-CB06-46F3-B4B0-79B034045A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O347" authorId="0" shapeId="0" xr:uid="{C2C6C323-0198-40DC-811D-02F12DE1A6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C348" authorId="0" shapeId="0" xr:uid="{E292BC47-0146-4FF6-A958-1633D975C5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CECELIA DAFON
DAPAON, SINDANGAN</t>
        </r>
      </text>
    </comment>
    <comment ref="O348" authorId="0" shapeId="0" xr:uid="{ECBFE8D8-30F6-4FB0-87B4-DB8D5BA987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MINIMART
BOGABONGAN, BACUNGAN</t>
        </r>
      </text>
    </comment>
    <comment ref="C349" authorId="0" shapeId="0" xr:uid="{EC191D9E-96D5-4E05-8190-9E7E8ED3C2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O349" authorId="0" shapeId="0" xr:uid="{9AB22BEC-5636-4CE4-AFF2-8BD98B3FAC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
MARAS, SINDANGAN</t>
        </r>
      </text>
    </comment>
    <comment ref="C350" authorId="0" shapeId="0" xr:uid="{7E644374-CDA2-40B4-A34E-B9C6168FE1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ESPARAGUERA, ARLYN
DISUD, SINDANGAN</t>
        </r>
      </text>
    </comment>
    <comment ref="O350" authorId="0" shapeId="0" xr:uid="{6464EECF-BB51-452B-B8D8-C8D1C3BF2D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C351" authorId="0" shapeId="0" xr:uid="{118837D1-759B-4C14-A4EC-8D90CCA180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351" authorId="0" shapeId="0" xr:uid="{DEF68B1A-D8D5-43BB-BEE2-653F4B30E4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C352" authorId="0" shapeId="0" xr:uid="{06124DA5-936D-4C55-9A58-2C8CFDC654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DISUD, SINDANGAN</t>
        </r>
      </text>
    </comment>
    <comment ref="C353" authorId="0" shapeId="0" xr:uid="{1FA6CC5D-E40A-4B87-A2D6-82FA9972BE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JOSEFINA LODGE
DISUD, SINDANGAN</t>
        </r>
      </text>
    </comment>
    <comment ref="C354" authorId="0" shapeId="0" xr:uid="{6E079E77-6B63-4C88-889A-8E8B37405D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C355" authorId="0" shapeId="0" xr:uid="{A71E9A49-58DF-409F-A720-5471ED446E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C356" authorId="0" shapeId="0" xr:uid="{192BA4DC-3D08-45FE-AB4D-F81B387FD2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GLORIA GOMEZ
POB, SIAYAN</t>
        </r>
      </text>
    </comment>
    <comment ref="C357" authorId="0" shapeId="0" xr:uid="{C6972EDE-E8F7-4395-8419-91056965F4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GAVIOLA STORE
DAGAO, SIAYAN</t>
        </r>
      </text>
    </comment>
    <comment ref="C358" authorId="0" shapeId="0" xr:uid="{8242B372-CB98-4058-8913-76715EBEE1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MEJORADA VINA
PIAO, SINDANGAN</t>
        </r>
      </text>
    </comment>
    <comment ref="C359" authorId="0" shapeId="0" xr:uid="{A507D366-7E27-4979-BA7A-1109FA48FB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GLEN OMOS CSJ
LABAKID, SINDANGAN</t>
        </r>
      </text>
    </comment>
    <comment ref="C360" authorId="0" shapeId="0" xr:uid="{5200F2C7-5DC6-4F06-8715-3414E4F4EE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C361" authorId="0" shapeId="0" xr:uid="{EE79F37D-D0BF-42AD-AD3D-387F7DC0FF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DICOYONG, SINDANGAN</t>
        </r>
      </text>
    </comment>
    <comment ref="C362" authorId="0" shapeId="0" xr:uid="{35C65B39-4144-4948-9243-7AFC69E363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GAÑOLON
DICOYONG, SINDANGAN</t>
        </r>
      </text>
    </comment>
    <comment ref="C363" authorId="0" shapeId="0" xr:uid="{21CC0E0C-71FA-409A-BF0A-8525D43F7D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397" authorId="0" shapeId="0" xr:uid="{CB481FF1-A50C-4CC7-B633-DE01137F89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ANIÑON
DISUD, SINDANGAN</t>
        </r>
      </text>
    </comment>
    <comment ref="O397" authorId="0" shapeId="0" xr:uid="{A0616023-2281-47B5-BE80-55DE42FF2D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AA397" authorId="0" shapeId="0" xr:uid="{F08A5870-1405-4F61-A3B2-8D2D02824A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POB, SALUG</t>
        </r>
      </text>
    </comment>
    <comment ref="C398" authorId="0" shapeId="0" xr:uid="{1646A2CF-6037-48F2-AD46-6471A8F76B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 STORE
DISUD, SINDANGAN</t>
        </r>
      </text>
    </comment>
    <comment ref="O398" authorId="0" shapeId="0" xr:uid="{81826C34-8EA7-4FEC-A0F6-DDBC988E19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SINDANGAN</t>
        </r>
      </text>
    </comment>
    <comment ref="AA398" authorId="0" shapeId="0" xr:uid="{F428E60C-CBF5-4345-9B4C-995ED755FA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
POB, SALUG</t>
        </r>
      </text>
    </comment>
    <comment ref="C399" authorId="0" shapeId="0" xr:uid="{D6F90C0F-EA92-40AA-B4F4-1784B193C0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399" authorId="0" shapeId="0" xr:uid="{0C8A44F6-7918-49AF-855D-EEE701DBB0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AA399" authorId="0" shapeId="0" xr:uid="{0526C0B4-5E97-45F9-B697-112AB97809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POB, SALUG</t>
        </r>
      </text>
    </comment>
    <comment ref="C400" authorId="0" shapeId="0" xr:uid="{97BD9D42-61A3-4612-B309-8A75B9177A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ESTONG STORE
PIAO, SINDANGAN</t>
        </r>
      </text>
    </comment>
    <comment ref="O400" authorId="0" shapeId="0" xr:uid="{610153AE-4D2F-45CC-9B20-927B5727AB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400" authorId="0" shapeId="0" xr:uid="{A0BE2387-E3FF-4DFF-BC50-5F5002746B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EMOTIN
POB, SALUG</t>
        </r>
      </text>
    </comment>
    <comment ref="C401" authorId="0" shapeId="0" xr:uid="{3C875103-DBC5-4E81-9967-311AD06452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
POB, SINDANGAN</t>
        </r>
      </text>
    </comment>
    <comment ref="O401" authorId="0" shapeId="0" xr:uid="{D43FB79D-E4CD-4DC8-AB24-48964C2AD1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401" authorId="0" shapeId="0" xr:uid="{8F9A4B15-DD50-42DC-BA19-D90E98439F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VERGIE STORE
POB, SALUG</t>
        </r>
      </text>
    </comment>
    <comment ref="C402" authorId="0" shapeId="0" xr:uid="{EA389FF0-7B9A-4998-B661-0A8B82777A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CHILL BEER
DAPAON, SINDANGAN</t>
        </r>
      </text>
    </comment>
    <comment ref="AA402" authorId="0" shapeId="0" xr:uid="{267905C8-7D37-43DF-95A3-3EBED59057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POB, SALUG</t>
        </r>
      </text>
    </comment>
    <comment ref="C403" authorId="0" shapeId="0" xr:uid="{1246131F-92BD-4CDA-9A2D-109FA4F2F6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
POB, SINDANGAN</t>
        </r>
      </text>
    </comment>
    <comment ref="C404" authorId="0" shapeId="0" xr:uid="{9E1FF282-EFC1-476F-91B2-681044D5DD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MANGO LODGE
DAPAON, SINDANGAN</t>
        </r>
      </text>
    </comment>
    <comment ref="C405" authorId="0" shapeId="0" xr:uid="{A50233BA-6433-4DB1-A847-5B36010A89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C452" authorId="0" shapeId="0" xr:uid="{4764FF4B-A85B-4FDE-B1A1-D56EEE415E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O452" authorId="0" shapeId="0" xr:uid="{99A44F55-503E-41AB-ADB3-ADA457DB1B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452" authorId="0" shapeId="0" xr:uid="{382ADDC9-AD24-4B90-B6B3-FF16C1E5D0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NELMY STORE
KAYOK, LILOY</t>
        </r>
      </text>
    </comment>
    <comment ref="C453" authorId="0" shapeId="0" xr:uid="{F8A1F82E-87F7-43CD-B0B6-949AAAC1EC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DICOYONG, SINDANGAN</t>
        </r>
      </text>
    </comment>
    <comment ref="O453" authorId="0" shapeId="0" xr:uid="{8394488F-958D-4182-B4DF-9F1F6304CE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453" authorId="0" shapeId="0" xr:uid="{429A68E5-0972-476B-8642-9AE1218DD9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JAZZI STORE
KAYOK, LILOY</t>
        </r>
      </text>
    </comment>
    <comment ref="C454" authorId="0" shapeId="0" xr:uid="{A3839DF1-C040-444E-A516-0213B31DE6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454" authorId="0" shapeId="0" xr:uid="{F06B5281-58DE-4082-A150-4DA8EB4ED8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AA454" authorId="0" shapeId="0" xr:uid="{A457251A-950C-440E-8C93-3C1A0A470A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JANMARY
KAYOK, LILOY</t>
        </r>
      </text>
    </comment>
    <comment ref="C455" authorId="0" shapeId="0" xr:uid="{61C614AC-268C-4E51-9969-FE2D3FE141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BONOCAN
PIAO, SINDANGAN</t>
        </r>
      </text>
    </comment>
    <comment ref="O455" authorId="0" shapeId="0" xr:uid="{80076182-B671-4591-98A7-5C3D734571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455" authorId="0" shapeId="0" xr:uid="{EFB5FA06-0B7F-488C-BA50-851DDC0B98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LOIDA
KAYOK, LILOY</t>
        </r>
      </text>
    </comment>
    <comment ref="C456" authorId="0" shapeId="0" xr:uid="{472D54DF-57DF-42DE-B396-29AA7B4725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RG MOTORPARTS
PIAO, SINDANGAN</t>
        </r>
      </text>
    </comment>
    <comment ref="O456" authorId="0" shapeId="0" xr:uid="{E96D957B-FFDE-4B61-8437-4CD6A43771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456" authorId="0" shapeId="0" xr:uid="{C771D9FF-BCC5-47B2-A844-088945E51B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457" authorId="0" shapeId="0" xr:uid="{08E0666F-2541-4D08-830E-B61E7C4321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MAGWATE STORE
LAGAG, SINDANGAN</t>
        </r>
      </text>
    </comment>
    <comment ref="O457" authorId="0" shapeId="0" xr:uid="{2BD4EF91-6F0B-4EFD-9063-839CA5B991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457" authorId="0" shapeId="0" xr:uid="{F6C4624B-DF6A-43DB-9416-2923F8ABBD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</t>
        </r>
      </text>
    </comment>
    <comment ref="C458" authorId="0" shapeId="0" xr:uid="{109FACB1-29A9-42EC-8CD6-46A5D5604F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MAGWATE
LAGAG, SINDANGAN</t>
        </r>
      </text>
    </comment>
    <comment ref="C459" authorId="0" shapeId="0" xr:uid="{71BFADEF-7791-4157-A295-9DEDFA35A6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GUILLERMA
POLAYO, SIAYAN</t>
        </r>
      </text>
    </comment>
    <comment ref="C460" authorId="0" shapeId="0" xr:uid="{72CC7C75-F159-411C-BC71-4537FB28C3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INOSENCIA DULAT
POLAYO, SINDANGAN</t>
        </r>
      </text>
    </comment>
    <comment ref="C461" authorId="0" shapeId="0" xr:uid="{1E83F7FD-EB54-4118-80C3-8B5C3C6ED1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DUMAY
POLAYO, SIAYAN</t>
        </r>
      </text>
    </comment>
    <comment ref="C462" authorId="0" shapeId="0" xr:uid="{72A64BC2-EEED-4F5A-8960-618D5916DF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AGUSTINA ARIPAL
POLAYO, SIAYAN</t>
        </r>
      </text>
    </comment>
    <comment ref="C463" authorId="0" shapeId="0" xr:uid="{2AFF7E4B-F6BB-4F7F-997D-2683FE0885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POB, SIAYAN</t>
        </r>
      </text>
    </comment>
    <comment ref="C464" authorId="0" shapeId="0" xr:uid="{B2240587-E858-4BA4-86CD-E7DFC437FE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SAMMY SIBOCO
POB, SIAYAN</t>
        </r>
      </text>
    </comment>
    <comment ref="C465" authorId="0" shapeId="0" xr:uid="{2CA0FEFD-D87F-4E5C-A407-77855D97A0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C466" authorId="0" shapeId="0" xr:uid="{E14E613A-E1E4-4BB0-A55B-21D8A497E7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 ADAZA
POB, SIAYAN</t>
        </r>
      </text>
    </comment>
    <comment ref="C467" authorId="0" shapeId="0" xr:uid="{323B4D55-A2D1-4CD3-B5BB-0BC6BF6912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C468" authorId="0" shapeId="0" xr:uid="{0C3EF886-13B7-483D-8E6B-C9D3786345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 PODIOTAN
POB, SIAYAN</t>
        </r>
      </text>
    </comment>
    <comment ref="C469" authorId="0" shapeId="0" xr:uid="{0D4B37D5-F9A9-4FB9-8150-BC1F0992BC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AZUCINA
DAGAO, SIAYAN</t>
        </r>
      </text>
    </comment>
    <comment ref="C470" authorId="0" shapeId="0" xr:uid="{D9D158E1-13DD-4597-8AC9-6A8E6A6F82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 STORE
DENOYAN, SIAYAN</t>
        </r>
      </text>
    </comment>
    <comment ref="C471" authorId="0" shapeId="0" xr:uid="{86BF4BBE-14EA-45CC-A72E-9433650625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FELY BANO
DENOYAN, SIAYAN</t>
        </r>
      </text>
    </comment>
    <comment ref="C472" authorId="0" shapeId="0" xr:uid="{87438250-57B8-4D18-92D2-68537CA496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KAMBINGAN SUTUKIL
DISUD, SINDANGAN</t>
        </r>
      </text>
    </comment>
    <comment ref="C507" authorId="0" shapeId="0" xr:uid="{EE420D0E-E04F-474C-86CA-D96CEF1C5C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507" authorId="0" shapeId="0" xr:uid="{1BE74949-3CB0-4D57-8CCD-062DA805B1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AA507" authorId="0" shapeId="0" xr:uid="{B3551B64-69D9-443A-9FB5-8C40495615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508" authorId="0" shapeId="0" xr:uid="{F155A28A-BA24-4894-A852-129C83E0FE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POB, SALUG</t>
        </r>
      </text>
    </comment>
    <comment ref="O508" authorId="0" shapeId="0" xr:uid="{06BB7D1E-CD17-442E-B2B3-FBCEF47687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AA508" authorId="0" shapeId="0" xr:uid="{E1CE885D-C083-4D25-B919-819AAB774A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 STORE
POB EAST, SALUG</t>
        </r>
      </text>
    </comment>
    <comment ref="C509" authorId="0" shapeId="0" xr:uid="{27BC052E-1F94-4524-B812-B41727F475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509" authorId="0" shapeId="0" xr:uid="{817F65AA-CB33-4318-A00E-48FC19076B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AA509" authorId="0" shapeId="0" xr:uid="{1533E046-213A-448B-B449-8FD605E108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AA510" authorId="0" shapeId="0" xr:uid="{EA797388-D6F8-43B9-84A5-7F7CBC67E5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G.B. CONVENIENCE
POB EAST, SALUG</t>
        </r>
      </text>
    </comment>
    <comment ref="AA512" authorId="0" shapeId="0" xr:uid="{505DBE94-E0D9-4A9D-9D86-AD10C7863B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AA513" authorId="0" shapeId="0" xr:uid="{E66E4D79-0454-4AB3-885D-558D342EB3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AA514" authorId="0" shapeId="0" xr:uid="{DC17567D-3197-4A5F-A543-66C9C8A479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AA515" authorId="0" shapeId="0" xr:uid="{F3C511CA-7E90-43C5-9D15-570F23C48C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AA516" authorId="0" shapeId="0" xr:uid="{B7E814A2-702D-47AF-B64F-CA6B33E8DE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EMMA
BACONG, SALUG</t>
        </r>
      </text>
    </comment>
    <comment ref="AA517" authorId="0" shapeId="0" xr:uid="{3D552165-EFC2-4AB2-8DE1-1A6C6C0EEB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GALLEPOSO BAYANI
POB EAST, SALUG</t>
        </r>
      </text>
    </comment>
    <comment ref="C562" authorId="0" shapeId="0" xr:uid="{1DB9DF53-AD0B-42F2-A1AB-4D77F1A39E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DE ASIS
DAPAON, SINDANGAN</t>
        </r>
      </text>
    </comment>
    <comment ref="O562" authorId="0" shapeId="0" xr:uid="{3FF63A58-7A39-4D28-8D85-FFA336595E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INUMAN, SINDANGAN</t>
        </r>
      </text>
    </comment>
    <comment ref="AA562" authorId="0" shapeId="0" xr:uid="{1EE1BE5D-615F-40AA-9192-DA96FFF652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563" authorId="0" shapeId="0" xr:uid="{88A4ADBA-DCAE-4156-BDD3-B37DC4B8C7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PAGLINAWAN
DENOYAN, SIAYAN</t>
        </r>
      </text>
    </comment>
    <comment ref="O563" authorId="0" shapeId="0" xr:uid="{B5DE66E9-67D2-4641-B1E6-581B6695EE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563" authorId="0" shapeId="0" xr:uid="{D46ADE2B-D377-473A-9C97-51CF663301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C564" authorId="0" shapeId="0" xr:uid="{ABD9D330-FD0F-49FF-A1BD-2EA2FBA863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RONALD SABILLO
POB, SIAYAN</t>
        </r>
      </text>
    </comment>
    <comment ref="O564" authorId="0" shapeId="0" xr:uid="{B3E00FBB-D19A-4C89-82AA-1BA2EE24BF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STORE
POB, BACUNGAN</t>
        </r>
      </text>
    </comment>
    <comment ref="AA564" authorId="0" shapeId="0" xr:uid="{7F782ADF-79F7-4BC5-ADA1-0C8EDF90FA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565" authorId="0" shapeId="0" xr:uid="{7A875570-19AB-41CD-94E7-559F4A12B2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O565" authorId="0" shapeId="0" xr:uid="{377B8594-F350-4CD7-A792-E348629FF8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565" authorId="0" shapeId="0" xr:uid="{B068A11C-A41E-411C-909C-BEE7536143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MARAÑON STORE
VILLA SUICIDAL, LILOY</t>
        </r>
      </text>
    </comment>
    <comment ref="C566" authorId="0" shapeId="0" xr:uid="{9DC0DCF7-C472-41D9-BCA4-9007B11199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566" authorId="0" shapeId="0" xr:uid="{A42CA737-FDA9-428F-9B61-2ED9660958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AA566" authorId="0" shapeId="0" xr:uid="{FF53FDEA-4988-455C-9A2E-0FE292D884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567" authorId="0" shapeId="0" xr:uid="{959958CE-97DE-4AA7-BCF2-5576F9CD15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PADIOTAN
POB, SIAYAN</t>
        </r>
      </text>
    </comment>
    <comment ref="AA567" authorId="0" shapeId="0" xr:uid="{2C066240-F387-4032-B55F-6ACE8314C7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VIVIAN 
VILLA SUICIDAL, LILOY</t>
        </r>
      </text>
    </comment>
    <comment ref="C568" authorId="0" shapeId="0" xr:uid="{BF7CD519-613B-491E-8CE8-7D1F980CD9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ALEJANDRO
POB, SIAYAN</t>
        </r>
      </text>
    </comment>
    <comment ref="AA568" authorId="0" shapeId="0" xr:uid="{FB7A60C5-963E-452F-BEE7-A0D48E6A40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C569" authorId="0" shapeId="0" xr:uid="{BBB2BB6E-7510-497B-91A6-FD009A0866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KK EATERY
POB, SIAYAN</t>
        </r>
      </text>
    </comment>
    <comment ref="C570" authorId="0" shapeId="0" xr:uid="{4347DB42-1B16-4CAE-A7AE-1B4F6A26FC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SIASICO
POB, SIAYAN</t>
        </r>
      </text>
    </comment>
    <comment ref="C571" authorId="0" shapeId="0" xr:uid="{59EE0497-1787-47F6-A840-EFFF0A5A25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MELITINA LADIAGONONG
POLAYO, SIAYAN</t>
        </r>
      </text>
    </comment>
  </commentList>
</comments>
</file>

<file path=xl/sharedStrings.xml><?xml version="1.0" encoding="utf-8"?>
<sst xmlns="http://schemas.openxmlformats.org/spreadsheetml/2006/main" count="799" uniqueCount="71">
  <si>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</si>
  <si>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</si>
  <si>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</si>
  <si>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</si>
  <si>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</si>
  <si>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</si>
  <si>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</si>
  <si>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</si>
  <si>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</si>
  <si>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</si>
  <si>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</si>
  <si>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</si>
  <si>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</si>
  <si>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</si>
  <si>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</si>
  <si>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</si>
  <si>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</si>
  <si>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</si>
  <si>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</si>
  <si>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</si>
  <si>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</si>
  <si>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</si>
  <si>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</si>
  <si>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</si>
  <si>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</si>
  <si>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</si>
  <si>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</si>
  <si>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</si>
  <si>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</si>
  <si>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</si>
  <si>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</si>
  <si>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</si>
  <si>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</si>
  <si>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</si>
  <si>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GICA, GRACE</t>
  </si>
  <si>
    <t>R3</t>
  </si>
  <si>
    <t>R4</t>
  </si>
  <si>
    <t>WEDNESDAY</t>
  </si>
  <si>
    <t>APRIL 2026</t>
  </si>
  <si>
    <t>APRIL 01, 2026</t>
  </si>
  <si>
    <t>9954-9963/9884-9891/9781-9789</t>
  </si>
  <si>
    <t>THURSDAY</t>
  </si>
  <si>
    <t>APRIL 02, 2026</t>
  </si>
  <si>
    <t>HOLIDAY - HOLY WEEK</t>
  </si>
  <si>
    <t>9964-9970/9892-9895/9790-9794</t>
  </si>
  <si>
    <t>MONDAY</t>
  </si>
  <si>
    <t>APRIL 06, 2026</t>
  </si>
  <si>
    <t>9971-9978/9896-9900,10051/9795-9800</t>
  </si>
  <si>
    <t>TUESDAY</t>
  </si>
  <si>
    <t>APRIL 07, 2026</t>
  </si>
  <si>
    <t>9979-9982/10052-10064/10001-10007</t>
  </si>
  <si>
    <t>APRIL 08, 2026</t>
  </si>
  <si>
    <t>9983-9985/10065-10071/10008-10014</t>
  </si>
  <si>
    <t>APRIL 09, 2026</t>
  </si>
  <si>
    <t>9986-10000/10072-10080/10015-10025</t>
  </si>
  <si>
    <t>FRIDAY</t>
  </si>
  <si>
    <t>APRIL 10, 2026</t>
  </si>
  <si>
    <t>9846-9850,9901-9917/10081-10090</t>
  </si>
  <si>
    <t>APRIL 13, 2026</t>
  </si>
  <si>
    <t>04/13/2026</t>
  </si>
  <si>
    <t>DAY OFF</t>
  </si>
  <si>
    <t>9918-9926/10091-10095/10101-10106</t>
  </si>
  <si>
    <t>APRIL 14, 2026</t>
  </si>
  <si>
    <t>04/14/2026</t>
  </si>
  <si>
    <t>9927-9947/10096-10151/10026-10031</t>
  </si>
  <si>
    <t>APRIL 15, 2026</t>
  </si>
  <si>
    <t>04/15/2026</t>
  </si>
  <si>
    <t>9948-9950/10152-10154/10032-10042</t>
  </si>
  <si>
    <t>APRIL 16, 2026</t>
  </si>
  <si>
    <t>04/16/2026</t>
  </si>
  <si>
    <t>10201-10210/10155-10159/10044-10050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</si>
</sst>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13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zoomScaleNormal="100" workbookViewId="0">
      <selection activeCell="C26" sqref="C26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2" t="s">
        <v>38</v>
      </c>
      <c r="B6" s="102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35</v>
      </c>
      <c r="I8" s="52" t="s">
        <v>36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56" t="s">
        <v>9</v>
      </c>
      <c r="C10" s="12" t="s">
        <v>40</v>
      </c>
      <c r="D10" s="16">
        <f t="shared" ref="D10:D27" si="0">J10</f>
        <v>1133552.5</v>
      </c>
      <c r="F10" s="14">
        <v>473514</v>
      </c>
      <c r="G10" s="14">
        <v>304214</v>
      </c>
      <c r="H10" s="14">
        <v>355824.5</v>
      </c>
      <c r="I10" s="14"/>
      <c r="J10" s="17">
        <f t="shared" ref="J10:J40" si="1">F10+G10+H10</f>
        <v>1133552.5</v>
      </c>
    </row>
    <row r="11" spans="1:10" x14ac:dyDescent="0.25">
      <c r="A11" s="10">
        <f>A10+1</f>
        <v>2</v>
      </c>
      <c r="B11" s="11" t="s">
        <v>30</v>
      </c>
      <c r="C11" s="12" t="s">
        <v>44</v>
      </c>
      <c r="D11" s="16">
        <f t="shared" si="0"/>
        <v>1009464.5</v>
      </c>
      <c r="F11" s="14">
        <v>276202</v>
      </c>
      <c r="G11" s="14">
        <v>234690.5</v>
      </c>
      <c r="H11" s="14">
        <v>498572</v>
      </c>
      <c r="I11" s="14"/>
      <c r="J11" s="17">
        <f t="shared" si="1"/>
        <v>1009464.5</v>
      </c>
    </row>
    <row r="12" spans="1:10" x14ac:dyDescent="0.25">
      <c r="A12" s="10">
        <f t="shared" ref="A12:A39" si="2">A11+1</f>
        <v>3</v>
      </c>
      <c r="B12" s="43" t="s">
        <v>4</v>
      </c>
      <c r="C12" s="44" t="s">
        <v>43</v>
      </c>
      <c r="D12" s="55" t="s">
        <v>43</v>
      </c>
      <c r="F12" s="14"/>
      <c r="G12" s="14"/>
      <c r="H12" s="14"/>
      <c r="I12" s="14"/>
      <c r="J12" s="17">
        <f t="shared" si="1"/>
        <v>0</v>
      </c>
    </row>
    <row r="13" spans="1:10" x14ac:dyDescent="0.25">
      <c r="A13" s="10">
        <f t="shared" si="2"/>
        <v>4</v>
      </c>
      <c r="B13" s="56" t="s">
        <v>5</v>
      </c>
      <c r="C13" s="44" t="s">
        <v>43</v>
      </c>
      <c r="D13" s="55" t="s">
        <v>43</v>
      </c>
      <c r="F13" s="14"/>
      <c r="G13" s="14"/>
      <c r="H13" s="14"/>
      <c r="I13" s="14"/>
      <c r="J13" s="17">
        <f t="shared" si="1"/>
        <v>0</v>
      </c>
    </row>
    <row r="14" spans="1:10" x14ac:dyDescent="0.25">
      <c r="A14" s="10">
        <f t="shared" si="2"/>
        <v>5</v>
      </c>
      <c r="B14" s="13" t="s">
        <v>6</v>
      </c>
      <c r="C14" s="44" t="s">
        <v>29</v>
      </c>
      <c r="D14" s="55" t="s">
        <v>29</v>
      </c>
      <c r="F14" s="14"/>
      <c r="G14" s="14"/>
      <c r="H14" s="14"/>
      <c r="I14" s="14"/>
      <c r="J14" s="59"/>
    </row>
    <row r="15" spans="1:10" x14ac:dyDescent="0.25">
      <c r="A15" s="10">
        <f t="shared" si="2"/>
        <v>6</v>
      </c>
      <c r="B15" s="11" t="s">
        <v>7</v>
      </c>
      <c r="C15" s="12" t="s">
        <v>47</v>
      </c>
      <c r="D15" s="16">
        <f t="shared" si="0"/>
        <v>1645710.5</v>
      </c>
      <c r="F15" s="14">
        <v>796354.5</v>
      </c>
      <c r="G15" s="14">
        <v>413626</v>
      </c>
      <c r="H15" s="14">
        <v>435730</v>
      </c>
      <c r="I15" s="14"/>
      <c r="J15" s="17">
        <f t="shared" si="1"/>
        <v>1645710.5</v>
      </c>
    </row>
    <row r="16" spans="1:10" x14ac:dyDescent="0.25">
      <c r="A16" s="10">
        <f t="shared" si="2"/>
        <v>7</v>
      </c>
      <c r="B16" s="43" t="s">
        <v>8</v>
      </c>
      <c r="C16" s="12" t="s">
        <v>50</v>
      </c>
      <c r="D16" s="16">
        <f t="shared" si="0"/>
        <v>1327708</v>
      </c>
      <c r="F16" s="14">
        <v>450957</v>
      </c>
      <c r="G16" s="14">
        <v>272534</v>
      </c>
      <c r="H16" s="14">
        <v>604217</v>
      </c>
      <c r="I16" s="14"/>
      <c r="J16" s="17">
        <f t="shared" si="1"/>
        <v>1327708</v>
      </c>
    </row>
    <row r="17" spans="1:10" x14ac:dyDescent="0.25">
      <c r="A17" s="10">
        <f t="shared" si="2"/>
        <v>8</v>
      </c>
      <c r="B17" s="56" t="s">
        <v>9</v>
      </c>
      <c r="C17" s="12" t="s">
        <v>52</v>
      </c>
      <c r="D17" s="16">
        <f t="shared" si="0"/>
        <v>1055430.5</v>
      </c>
      <c r="F17" s="14">
        <v>351843</v>
      </c>
      <c r="G17" s="14">
        <v>242543.5</v>
      </c>
      <c r="H17" s="14">
        <v>461044</v>
      </c>
      <c r="I17" s="14"/>
      <c r="J17" s="17">
        <f t="shared" si="1"/>
        <v>1055430.5</v>
      </c>
    </row>
    <row r="18" spans="1:10" x14ac:dyDescent="0.25">
      <c r="A18" s="10">
        <f t="shared" si="2"/>
        <v>9</v>
      </c>
      <c r="B18" s="11" t="s">
        <v>30</v>
      </c>
      <c r="C18" s="12" t="s">
        <v>54</v>
      </c>
      <c r="D18" s="16">
        <f t="shared" si="0"/>
        <v>964947.5</v>
      </c>
      <c r="F18" s="14">
        <v>364239.5</v>
      </c>
      <c r="G18" s="14">
        <v>217561</v>
      </c>
      <c r="H18" s="14">
        <v>383147</v>
      </c>
      <c r="I18" s="14"/>
      <c r="J18" s="17">
        <f t="shared" si="1"/>
        <v>964947.5</v>
      </c>
    </row>
    <row r="19" spans="1:10" x14ac:dyDescent="0.25">
      <c r="A19" s="10">
        <f t="shared" si="2"/>
        <v>10</v>
      </c>
      <c r="B19" s="43" t="s">
        <v>4</v>
      </c>
      <c r="C19" s="12" t="s">
        <v>57</v>
      </c>
      <c r="D19" s="16">
        <f t="shared" si="0"/>
        <v>535804.79</v>
      </c>
      <c r="F19" s="14">
        <v>250368.29</v>
      </c>
      <c r="G19" s="14">
        <v>285436.5</v>
      </c>
      <c r="H19" s="14"/>
      <c r="I19" s="14"/>
      <c r="J19" s="17">
        <f t="shared" si="1"/>
        <v>535804.79</v>
      </c>
    </row>
    <row r="20" spans="1:10" x14ac:dyDescent="0.25">
      <c r="A20" s="10">
        <f t="shared" si="2"/>
        <v>11</v>
      </c>
      <c r="B20" s="56" t="s">
        <v>5</v>
      </c>
      <c r="C20" s="44" t="s">
        <v>60</v>
      </c>
      <c r="D20" s="55" t="s">
        <v>60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13" t="s">
        <v>6</v>
      </c>
      <c r="C21" s="44" t="s">
        <v>29</v>
      </c>
      <c r="D21" s="55" t="s">
        <v>29</v>
      </c>
      <c r="F21" s="14"/>
      <c r="G21" s="14"/>
      <c r="H21" s="14"/>
      <c r="I21" s="14"/>
      <c r="J21" s="59"/>
    </row>
    <row r="22" spans="1:10" x14ac:dyDescent="0.25">
      <c r="A22" s="10">
        <f t="shared" si="2"/>
        <v>13</v>
      </c>
      <c r="B22" s="11" t="s">
        <v>7</v>
      </c>
      <c r="C22" s="12" t="s">
        <v>61</v>
      </c>
      <c r="D22" s="16">
        <f t="shared" si="0"/>
        <v>739506.5</v>
      </c>
      <c r="F22" s="14">
        <v>204208.5</v>
      </c>
      <c r="G22" s="14">
        <v>256980</v>
      </c>
      <c r="H22" s="14">
        <v>278318</v>
      </c>
      <c r="I22" s="14"/>
      <c r="J22" s="17">
        <f t="shared" si="1"/>
        <v>739506.5</v>
      </c>
    </row>
    <row r="23" spans="1:10" x14ac:dyDescent="0.25">
      <c r="A23" s="10">
        <f t="shared" si="2"/>
        <v>14</v>
      </c>
      <c r="B23" s="43" t="s">
        <v>8</v>
      </c>
      <c r="C23" s="12" t="s">
        <v>64</v>
      </c>
      <c r="D23" s="16">
        <f t="shared" si="0"/>
        <v>888651</v>
      </c>
      <c r="F23" s="14">
        <v>231725</v>
      </c>
      <c r="G23" s="14">
        <v>276295</v>
      </c>
      <c r="H23" s="14">
        <v>380631</v>
      </c>
      <c r="I23" s="14"/>
      <c r="J23" s="17">
        <f t="shared" si="1"/>
        <v>888651</v>
      </c>
    </row>
    <row r="24" spans="1:10" x14ac:dyDescent="0.25">
      <c r="A24" s="10">
        <f t="shared" si="2"/>
        <v>15</v>
      </c>
      <c r="B24" s="56" t="s">
        <v>9</v>
      </c>
      <c r="C24" s="12" t="s">
        <v>67</v>
      </c>
      <c r="D24" s="16">
        <f t="shared" si="0"/>
        <v>1036866.5</v>
      </c>
      <c r="F24" s="14">
        <v>322983</v>
      </c>
      <c r="G24" s="14">
        <v>249756</v>
      </c>
      <c r="H24" s="14">
        <v>464127.5</v>
      </c>
      <c r="I24" s="14"/>
      <c r="J24" s="17">
        <f t="shared" si="1"/>
        <v>1036866.5</v>
      </c>
    </row>
    <row r="25" spans="1:10" x14ac:dyDescent="0.25">
      <c r="A25" s="10">
        <f t="shared" si="2"/>
        <v>16</v>
      </c>
      <c r="B25" s="11" t="s">
        <v>30</v>
      </c>
      <c r="C25" s="12" t="s">
        <v>70</v>
      </c>
      <c r="D25" s="16">
        <f t="shared" si="0"/>
        <v>836204</v>
      </c>
      <c r="F25" s="14">
        <v>246523.5</v>
      </c>
      <c r="G25" s="14">
        <v>248686.5</v>
      </c>
      <c r="H25" s="14">
        <v>340994</v>
      </c>
      <c r="I25" s="14"/>
      <c r="J25" s="17">
        <f t="shared" si="1"/>
        <v>836204</v>
      </c>
    </row>
    <row r="26" spans="1:10" x14ac:dyDescent="0.25">
      <c r="A26" s="10">
        <f t="shared" si="2"/>
        <v>17</v>
      </c>
      <c r="B26" s="43" t="s">
        <v>4</v>
      </c>
      <c r="C26" s="12"/>
      <c r="D26" s="16">
        <f t="shared" si="0"/>
        <v>0</v>
      </c>
      <c r="F26" s="14"/>
      <c r="G26" s="14"/>
      <c r="H26" s="14"/>
      <c r="I26" s="14"/>
      <c r="J26" s="17">
        <f t="shared" si="1"/>
        <v>0</v>
      </c>
    </row>
    <row r="27" spans="1:10" x14ac:dyDescent="0.25">
      <c r="A27" s="10">
        <f t="shared" si="2"/>
        <v>18</v>
      </c>
      <c r="B27" s="56" t="s">
        <v>5</v>
      </c>
      <c r="C27" s="12"/>
      <c r="D27" s="16">
        <f t="shared" si="0"/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13" t="s">
        <v>6</v>
      </c>
      <c r="C28" s="44" t="s">
        <v>29</v>
      </c>
      <c r="D28" s="55" t="s">
        <v>29</v>
      </c>
      <c r="F28" s="14"/>
      <c r="G28" s="14"/>
      <c r="H28" s="14"/>
      <c r="I28" s="14"/>
      <c r="J28" s="59"/>
    </row>
    <row r="29" spans="1:10" x14ac:dyDescent="0.25">
      <c r="A29" s="10">
        <f t="shared" si="2"/>
        <v>20</v>
      </c>
      <c r="B29" s="11" t="s">
        <v>7</v>
      </c>
      <c r="C29" s="12"/>
      <c r="D29" s="16">
        <f t="shared" ref="D29:D34" si="3">J29</f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43" t="s">
        <v>8</v>
      </c>
      <c r="C30" s="12"/>
      <c r="D30" s="16">
        <f t="shared" si="3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56" t="s">
        <v>9</v>
      </c>
      <c r="C31" s="12"/>
      <c r="D31" s="16">
        <f t="shared" si="3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11" t="s">
        <v>30</v>
      </c>
      <c r="C32" s="12"/>
      <c r="D32" s="16">
        <f t="shared" si="3"/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43" t="s">
        <v>4</v>
      </c>
      <c r="C33" s="12"/>
      <c r="D33" s="16">
        <f t="shared" si="3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56" t="s">
        <v>5</v>
      </c>
      <c r="C34" s="12"/>
      <c r="D34" s="16">
        <f t="shared" si="3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3" t="s">
        <v>6</v>
      </c>
      <c r="C35" s="44" t="s">
        <v>29</v>
      </c>
      <c r="D35" s="55" t="s">
        <v>29</v>
      </c>
      <c r="E35" s="14"/>
      <c r="F35" s="14"/>
      <c r="G35" s="14"/>
      <c r="H35" s="14"/>
      <c r="I35" s="14"/>
      <c r="J35" s="59"/>
    </row>
    <row r="36" spans="1:10" x14ac:dyDescent="0.25">
      <c r="A36" s="10">
        <f t="shared" si="2"/>
        <v>27</v>
      </c>
      <c r="B36" s="11" t="s">
        <v>7</v>
      </c>
      <c r="C36" s="12"/>
      <c r="D36" s="16">
        <f t="shared" ref="D36:D39" si="4">J36</f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43" t="s">
        <v>8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56" t="s">
        <v>9</v>
      </c>
      <c r="C38" s="12"/>
      <c r="D38" s="16">
        <f t="shared" si="4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11" t="s">
        <v>30</v>
      </c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/>
      <c r="B40" s="43"/>
      <c r="C40" s="12"/>
      <c r="D40" s="16"/>
      <c r="E40" s="14"/>
      <c r="F40" s="14"/>
      <c r="G40" s="14"/>
      <c r="H40" s="14"/>
      <c r="I40" s="14"/>
      <c r="J40" s="17">
        <f t="shared" si="1"/>
        <v>0</v>
      </c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03" t="s">
        <v>10</v>
      </c>
      <c r="B42" s="104"/>
      <c r="C42" s="105"/>
      <c r="D42" s="48">
        <f>SUM(D2:D41)</f>
        <v>11173846.289999999</v>
      </c>
      <c r="J42" s="49">
        <f>SUM(J10:J41)</f>
        <v>11173846.289999999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abSelected="1" topLeftCell="A582" zoomScaleNormal="100" workbookViewId="0">
      <selection activeCell="A606" sqref="A606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37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34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12" t="s">
        <v>17</v>
      </c>
      <c r="E10" s="112"/>
      <c r="F10" s="75"/>
      <c r="G10" s="27"/>
      <c r="I10" s="110" t="s">
        <v>18</v>
      </c>
      <c r="J10" s="111"/>
      <c r="K10" s="108" t="s">
        <v>19</v>
      </c>
      <c r="N10" s="25"/>
      <c r="O10" s="26"/>
      <c r="P10" s="112" t="s">
        <v>17</v>
      </c>
      <c r="Q10" s="112"/>
      <c r="R10" s="75"/>
      <c r="S10" s="27"/>
      <c r="U10" s="110" t="s">
        <v>18</v>
      </c>
      <c r="V10" s="111"/>
      <c r="W10" s="108" t="s">
        <v>19</v>
      </c>
      <c r="Z10" s="25"/>
      <c r="AA10" s="26"/>
      <c r="AB10" s="112" t="s">
        <v>17</v>
      </c>
      <c r="AC10" s="112"/>
      <c r="AD10" s="75"/>
      <c r="AE10" s="27"/>
      <c r="AG10" s="110" t="s">
        <v>18</v>
      </c>
      <c r="AH10" s="111"/>
      <c r="AI10" s="108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09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09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09"/>
    </row>
    <row r="12" spans="1:35" x14ac:dyDescent="0.25">
      <c r="A12" s="10">
        <v>1</v>
      </c>
      <c r="B12" s="30">
        <v>46026</v>
      </c>
      <c r="C12" s="83">
        <v>9954</v>
      </c>
      <c r="D12" s="32">
        <f>650*6+622*2+9.5*8</f>
        <v>5220</v>
      </c>
      <c r="E12" s="32"/>
      <c r="F12" s="32"/>
      <c r="G12" s="32">
        <f t="shared" ref="G12:G45" si="0">SUM(D12:E12)</f>
        <v>5220</v>
      </c>
      <c r="H12" s="12"/>
      <c r="I12" s="12"/>
      <c r="J12" s="12"/>
      <c r="K12" s="12">
        <f t="shared" ref="K12:K45" si="1">SUM(G12:J12)</f>
        <v>5220</v>
      </c>
      <c r="M12" s="10">
        <v>1</v>
      </c>
      <c r="N12" s="30">
        <v>46026</v>
      </c>
      <c r="O12" s="31">
        <v>9884</v>
      </c>
      <c r="P12" s="32">
        <f>650*19+622*2</f>
        <v>13594</v>
      </c>
      <c r="Q12" s="32"/>
      <c r="R12" s="32"/>
      <c r="S12" s="32">
        <f>SUM(P12:Q12)</f>
        <v>13594</v>
      </c>
      <c r="T12" s="12"/>
      <c r="U12" s="12"/>
      <c r="V12" s="12"/>
      <c r="W12" s="12">
        <f>SUM(S12:V12)</f>
        <v>13594</v>
      </c>
      <c r="Y12" s="10">
        <v>1</v>
      </c>
      <c r="Z12" s="30">
        <v>46026</v>
      </c>
      <c r="AA12" s="31">
        <v>9781</v>
      </c>
      <c r="AB12" s="32">
        <f>650*100+670*8+229*10</f>
        <v>72650</v>
      </c>
      <c r="AC12" s="32">
        <f>-108*6</f>
        <v>-648</v>
      </c>
      <c r="AD12" s="32"/>
      <c r="AE12" s="32">
        <f>SUM(AB12:AC12)</f>
        <v>72002</v>
      </c>
      <c r="AF12" s="12"/>
      <c r="AG12" s="12">
        <v>312</v>
      </c>
      <c r="AH12" s="12">
        <f>-5550</f>
        <v>-5550</v>
      </c>
      <c r="AI12" s="12">
        <f>SUM(AE12:AH12)</f>
        <v>66764</v>
      </c>
    </row>
    <row r="13" spans="1:35" x14ac:dyDescent="0.25">
      <c r="A13" s="10">
        <v>2</v>
      </c>
      <c r="B13" s="30">
        <v>46026</v>
      </c>
      <c r="C13" s="83">
        <f>C12+1</f>
        <v>9955</v>
      </c>
      <c r="D13" s="32">
        <f>650*10+622</f>
        <v>7122</v>
      </c>
      <c r="E13" s="32"/>
      <c r="F13" s="32"/>
      <c r="G13" s="32">
        <f t="shared" si="0"/>
        <v>7122</v>
      </c>
      <c r="H13" s="12"/>
      <c r="I13" s="12"/>
      <c r="J13" s="12"/>
      <c r="K13" s="12">
        <f t="shared" si="1"/>
        <v>7122</v>
      </c>
      <c r="M13" s="10">
        <v>2</v>
      </c>
      <c r="N13" s="30">
        <v>46026</v>
      </c>
      <c r="O13" s="31">
        <f>O12+1</f>
        <v>9885</v>
      </c>
      <c r="P13" s="32">
        <f>650*216+670*10+229*5</f>
        <v>148245</v>
      </c>
      <c r="Q13" s="32">
        <f>-226*6</f>
        <v>-1356</v>
      </c>
      <c r="R13" s="32"/>
      <c r="S13" s="32">
        <f t="shared" ref="S13:S44" si="2">SUM(P13:Q13)</f>
        <v>146889</v>
      </c>
      <c r="T13" s="12"/>
      <c r="U13" s="12">
        <f>2997+312</f>
        <v>3309</v>
      </c>
      <c r="V13" s="12">
        <v>-210</v>
      </c>
      <c r="W13" s="12">
        <f t="shared" ref="W13:W44" si="3">SUM(S13:V13)</f>
        <v>149988</v>
      </c>
      <c r="Y13" s="10">
        <v>2</v>
      </c>
      <c r="Z13" s="30">
        <v>46026</v>
      </c>
      <c r="AA13" s="31">
        <f>AA12+1</f>
        <v>9782</v>
      </c>
      <c r="AB13" s="32">
        <f>650*100+670*5+622*18+229*4</f>
        <v>80462</v>
      </c>
      <c r="AC13" s="32">
        <f>-123*6</f>
        <v>-738</v>
      </c>
      <c r="AD13" s="32"/>
      <c r="AE13" s="32">
        <f t="shared" ref="AE13:AE44" si="4">SUM(AB13:AC13)</f>
        <v>79724</v>
      </c>
      <c r="AF13" s="12"/>
      <c r="AG13" s="12"/>
      <c r="AH13" s="12"/>
      <c r="AI13" s="12">
        <f t="shared" ref="AI13:AI44" si="5">SUM(AE13:AH13)</f>
        <v>79724</v>
      </c>
    </row>
    <row r="14" spans="1:35" x14ac:dyDescent="0.25">
      <c r="A14" s="10">
        <v>3</v>
      </c>
      <c r="B14" s="30">
        <v>46026</v>
      </c>
      <c r="C14" s="83">
        <f t="shared" ref="C14:C21" si="6">C13+1</f>
        <v>9956</v>
      </c>
      <c r="D14" s="33">
        <f>650*216+622*15+229*3</f>
        <v>150417</v>
      </c>
      <c r="E14" s="33"/>
      <c r="F14" s="33"/>
      <c r="G14" s="33">
        <f t="shared" si="0"/>
        <v>150417</v>
      </c>
      <c r="H14" s="34"/>
      <c r="I14" s="34">
        <f>111*10</f>
        <v>1110</v>
      </c>
      <c r="J14" s="34"/>
      <c r="K14" s="34">
        <f t="shared" si="1"/>
        <v>151527</v>
      </c>
      <c r="M14" s="10">
        <v>3</v>
      </c>
      <c r="N14" s="30">
        <v>46026</v>
      </c>
      <c r="O14" s="31">
        <f t="shared" ref="O14:O19" si="7">O13+1</f>
        <v>9886</v>
      </c>
      <c r="P14" s="32">
        <f>650*87+670*3+229</f>
        <v>58789</v>
      </c>
      <c r="Q14" s="32"/>
      <c r="R14" s="32"/>
      <c r="S14" s="32">
        <f t="shared" si="2"/>
        <v>58789</v>
      </c>
      <c r="T14" s="12"/>
      <c r="U14" s="12"/>
      <c r="V14" s="12">
        <f>-111*3</f>
        <v>-333</v>
      </c>
      <c r="W14" s="12">
        <f t="shared" si="3"/>
        <v>58456</v>
      </c>
      <c r="Y14" s="10">
        <v>3</v>
      </c>
      <c r="Z14" s="30">
        <v>46026</v>
      </c>
      <c r="AA14" s="31">
        <f t="shared" ref="AA14:AA20" si="8">AA13+1</f>
        <v>9783</v>
      </c>
      <c r="AB14" s="33">
        <f>650*50+622*7</f>
        <v>36854</v>
      </c>
      <c r="AC14" s="33"/>
      <c r="AD14" s="32"/>
      <c r="AE14" s="32">
        <f t="shared" si="4"/>
        <v>36854</v>
      </c>
      <c r="AF14" s="12"/>
      <c r="AG14" s="12"/>
      <c r="AH14" s="12"/>
      <c r="AI14" s="12">
        <f t="shared" si="5"/>
        <v>36854</v>
      </c>
    </row>
    <row r="15" spans="1:35" x14ac:dyDescent="0.25">
      <c r="A15" s="10">
        <v>4</v>
      </c>
      <c r="B15" s="30">
        <v>46026</v>
      </c>
      <c r="C15" s="83">
        <f t="shared" si="6"/>
        <v>9957</v>
      </c>
      <c r="D15" s="32">
        <f>650*12+622*3</f>
        <v>9666</v>
      </c>
      <c r="E15" s="32"/>
      <c r="F15" s="32"/>
      <c r="G15" s="32">
        <f t="shared" si="0"/>
        <v>9666</v>
      </c>
      <c r="H15" s="12"/>
      <c r="I15" s="12"/>
      <c r="J15" s="12"/>
      <c r="K15" s="12">
        <f t="shared" si="1"/>
        <v>9666</v>
      </c>
      <c r="M15" s="10">
        <v>4</v>
      </c>
      <c r="N15" s="30">
        <v>46026</v>
      </c>
      <c r="O15" s="31">
        <f t="shared" si="7"/>
        <v>9887</v>
      </c>
      <c r="P15" s="32">
        <f>525+872/2+872</f>
        <v>1833</v>
      </c>
      <c r="Q15" s="32"/>
      <c r="R15" s="32"/>
      <c r="S15" s="32">
        <f t="shared" si="2"/>
        <v>1833</v>
      </c>
      <c r="T15" s="12"/>
      <c r="U15" s="12"/>
      <c r="V15" s="12">
        <f>-120*2+-111*7</f>
        <v>-1017</v>
      </c>
      <c r="W15" s="12">
        <f t="shared" si="3"/>
        <v>816</v>
      </c>
      <c r="Y15" s="10">
        <v>4</v>
      </c>
      <c r="Z15" s="30">
        <v>46026</v>
      </c>
      <c r="AA15" s="31">
        <f t="shared" si="8"/>
        <v>9784</v>
      </c>
      <c r="AB15" s="32">
        <f>650*15+670*2+971*2+622*5</f>
        <v>16142</v>
      </c>
      <c r="AC15" s="32"/>
      <c r="AD15" s="32"/>
      <c r="AE15" s="32">
        <f t="shared" si="4"/>
        <v>16142</v>
      </c>
      <c r="AF15" s="12"/>
      <c r="AG15">
        <v>10.5</v>
      </c>
      <c r="AH15" s="12"/>
      <c r="AI15" s="12">
        <f t="shared" si="5"/>
        <v>16152.5</v>
      </c>
    </row>
    <row r="16" spans="1:35" x14ac:dyDescent="0.25">
      <c r="A16" s="10">
        <v>5</v>
      </c>
      <c r="B16" s="30">
        <v>46026</v>
      </c>
      <c r="C16" s="83">
        <f t="shared" si="6"/>
        <v>9958</v>
      </c>
      <c r="D16" s="32">
        <f>650*13+622*2</f>
        <v>9694</v>
      </c>
      <c r="E16" s="32"/>
      <c r="F16" s="32"/>
      <c r="G16" s="32">
        <f t="shared" si="0"/>
        <v>9694</v>
      </c>
      <c r="H16" s="12"/>
      <c r="I16" s="12"/>
      <c r="J16" s="12"/>
      <c r="K16" s="12">
        <f t="shared" si="1"/>
        <v>9694</v>
      </c>
      <c r="M16" s="10">
        <v>5</v>
      </c>
      <c r="N16" s="30">
        <v>46026</v>
      </c>
      <c r="O16" s="31">
        <f t="shared" si="7"/>
        <v>9888</v>
      </c>
      <c r="P16" s="32">
        <f>650*7+9.5*7</f>
        <v>4616.5</v>
      </c>
      <c r="Q16" s="32"/>
      <c r="R16" s="32"/>
      <c r="S16" s="32">
        <f t="shared" si="2"/>
        <v>4616.5</v>
      </c>
      <c r="T16" s="12"/>
      <c r="U16" s="12"/>
      <c r="V16" s="12">
        <v>-666</v>
      </c>
      <c r="W16" s="12">
        <f t="shared" si="3"/>
        <v>3950.5</v>
      </c>
      <c r="Y16" s="10">
        <v>5</v>
      </c>
      <c r="Z16" s="30">
        <v>46026</v>
      </c>
      <c r="AA16" s="31">
        <f t="shared" si="8"/>
        <v>9785</v>
      </c>
      <c r="AB16" s="32">
        <f>650*135+1050*2+872*3+229*5</f>
        <v>93611</v>
      </c>
      <c r="AC16" s="32">
        <f>-140*6</f>
        <v>-840</v>
      </c>
      <c r="AD16" s="32"/>
      <c r="AE16" s="32">
        <f t="shared" ref="AE16:AE21" si="9">SUM(AB16:AC16)</f>
        <v>92771</v>
      </c>
      <c r="AF16" s="12"/>
      <c r="AG16" s="12">
        <f>78*4+1.5*37</f>
        <v>367.5</v>
      </c>
      <c r="AH16" s="12"/>
      <c r="AI16" s="12">
        <f t="shared" si="5"/>
        <v>93138.5</v>
      </c>
    </row>
    <row r="17" spans="1:35" x14ac:dyDescent="0.25">
      <c r="A17" s="10">
        <v>6</v>
      </c>
      <c r="B17" s="30">
        <v>46026</v>
      </c>
      <c r="C17" s="83">
        <f t="shared" si="6"/>
        <v>9959</v>
      </c>
      <c r="D17" s="32">
        <f>650*128+622*20</f>
        <v>95640</v>
      </c>
      <c r="E17" s="32"/>
      <c r="F17" s="32"/>
      <c r="G17" s="32">
        <f t="shared" si="0"/>
        <v>95640</v>
      </c>
      <c r="H17" s="12"/>
      <c r="I17" s="12"/>
      <c r="J17" s="12"/>
      <c r="K17" s="12">
        <f t="shared" si="1"/>
        <v>95640</v>
      </c>
      <c r="M17" s="10">
        <v>6</v>
      </c>
      <c r="N17" s="30">
        <v>46026</v>
      </c>
      <c r="O17" s="31">
        <f t="shared" si="7"/>
        <v>9889</v>
      </c>
      <c r="P17" s="32">
        <f>973*70+1050*3+872*3</f>
        <v>73876</v>
      </c>
      <c r="Q17" s="32"/>
      <c r="R17" s="32"/>
      <c r="S17" s="32">
        <f t="shared" si="2"/>
        <v>73876</v>
      </c>
      <c r="T17" s="12"/>
      <c r="U17" s="12"/>
      <c r="V17" s="10"/>
      <c r="W17" s="12">
        <f t="shared" si="3"/>
        <v>73876</v>
      </c>
      <c r="Y17" s="10">
        <v>6</v>
      </c>
      <c r="Z17" s="30">
        <v>46026</v>
      </c>
      <c r="AA17" s="31">
        <f t="shared" si="8"/>
        <v>9786</v>
      </c>
      <c r="AB17" s="32">
        <f>650*25+229</f>
        <v>16479</v>
      </c>
      <c r="AC17" s="32"/>
      <c r="AD17" s="32"/>
      <c r="AE17" s="32">
        <f t="shared" si="9"/>
        <v>16479</v>
      </c>
      <c r="AF17" s="12"/>
      <c r="AG17" s="12"/>
      <c r="AH17" s="10"/>
      <c r="AI17" s="12">
        <f t="shared" si="5"/>
        <v>16479</v>
      </c>
    </row>
    <row r="18" spans="1:35" x14ac:dyDescent="0.25">
      <c r="A18" s="10">
        <v>7</v>
      </c>
      <c r="B18" s="30">
        <v>46026</v>
      </c>
      <c r="C18" s="83">
        <f t="shared" si="6"/>
        <v>9960</v>
      </c>
      <c r="D18" s="32">
        <f>650*108+622*6</f>
        <v>73932</v>
      </c>
      <c r="E18" s="32"/>
      <c r="F18" s="32"/>
      <c r="G18" s="32">
        <f t="shared" si="0"/>
        <v>73932</v>
      </c>
      <c r="H18" s="12"/>
      <c r="I18" s="12"/>
      <c r="J18" s="12"/>
      <c r="K18" s="12">
        <f t="shared" si="1"/>
        <v>73932</v>
      </c>
      <c r="M18" s="10">
        <v>7</v>
      </c>
      <c r="N18" s="30">
        <v>46026</v>
      </c>
      <c r="O18" s="31">
        <f t="shared" si="7"/>
        <v>9890</v>
      </c>
      <c r="P18" s="32">
        <f>650*5+9.5*5</f>
        <v>3297.5</v>
      </c>
      <c r="Q18" s="32"/>
      <c r="R18" s="32"/>
      <c r="S18" s="32">
        <f t="shared" si="2"/>
        <v>3297.5</v>
      </c>
      <c r="T18" s="12"/>
      <c r="U18" s="12"/>
      <c r="V18" s="12">
        <f>-120*3+-84</f>
        <v>-444</v>
      </c>
      <c r="W18" s="12">
        <f t="shared" si="3"/>
        <v>2853.5</v>
      </c>
      <c r="Y18" s="10">
        <v>7</v>
      </c>
      <c r="Z18" s="30">
        <v>46026</v>
      </c>
      <c r="AA18" s="31">
        <f t="shared" si="8"/>
        <v>9787</v>
      </c>
      <c r="AB18" s="32">
        <f>650*31+670*2+229</f>
        <v>21719</v>
      </c>
      <c r="AC18" s="32"/>
      <c r="AD18" s="32"/>
      <c r="AE18" s="32">
        <f t="shared" si="9"/>
        <v>21719</v>
      </c>
      <c r="AF18" s="12"/>
      <c r="AG18" s="58"/>
      <c r="AH18" s="12"/>
      <c r="AI18" s="12">
        <f t="shared" si="5"/>
        <v>21719</v>
      </c>
    </row>
    <row r="19" spans="1:35" x14ac:dyDescent="0.25">
      <c r="A19" s="10">
        <v>8</v>
      </c>
      <c r="B19" s="30">
        <v>46026</v>
      </c>
      <c r="C19" s="83">
        <f t="shared" si="6"/>
        <v>9961</v>
      </c>
      <c r="D19" s="32">
        <f>650*117+670*3+700*5+622*10+912+1050+872+229*5+500</f>
        <v>92259</v>
      </c>
      <c r="E19" s="32"/>
      <c r="F19" s="32"/>
      <c r="G19" s="32">
        <f t="shared" si="0"/>
        <v>92259</v>
      </c>
      <c r="H19" s="12"/>
      <c r="I19" s="12"/>
      <c r="J19" s="12"/>
      <c r="K19" s="12">
        <f t="shared" si="1"/>
        <v>92259</v>
      </c>
      <c r="M19" s="10">
        <v>8</v>
      </c>
      <c r="N19" s="30">
        <v>46026</v>
      </c>
      <c r="O19" s="31">
        <f t="shared" si="7"/>
        <v>9891</v>
      </c>
      <c r="P19" s="32">
        <f>650*2+9.5*2</f>
        <v>1319</v>
      </c>
      <c r="Q19" s="32"/>
      <c r="R19" s="32"/>
      <c r="S19" s="32">
        <f t="shared" si="2"/>
        <v>1319</v>
      </c>
      <c r="T19" s="12"/>
      <c r="U19" s="12"/>
      <c r="V19" s="12"/>
      <c r="W19" s="12">
        <f t="shared" si="3"/>
        <v>1319</v>
      </c>
      <c r="Y19" s="10">
        <v>8</v>
      </c>
      <c r="Z19" s="30">
        <v>46026</v>
      </c>
      <c r="AA19" s="31">
        <f t="shared" si="8"/>
        <v>9788</v>
      </c>
      <c r="AB19" s="32">
        <f>650*11+622*2+9.5*13</f>
        <v>8517.5</v>
      </c>
      <c r="AC19" s="32"/>
      <c r="AE19" s="32">
        <f t="shared" si="9"/>
        <v>8517.5</v>
      </c>
      <c r="AF19" s="12"/>
      <c r="AG19" s="12">
        <v>157.5</v>
      </c>
      <c r="AH19" s="12"/>
      <c r="AI19" s="12">
        <f t="shared" si="5"/>
        <v>8675</v>
      </c>
    </row>
    <row r="20" spans="1:35" x14ac:dyDescent="0.25">
      <c r="A20" s="10">
        <v>9</v>
      </c>
      <c r="B20" s="30">
        <v>46026</v>
      </c>
      <c r="C20" s="83">
        <f t="shared" si="6"/>
        <v>9962</v>
      </c>
      <c r="D20" s="32">
        <f>650*20</f>
        <v>13000</v>
      </c>
      <c r="E20" s="32"/>
      <c r="F20" s="32"/>
      <c r="G20" s="32">
        <f t="shared" si="0"/>
        <v>13000</v>
      </c>
      <c r="H20" s="12"/>
      <c r="I20" s="12">
        <v>540</v>
      </c>
      <c r="J20" s="12"/>
      <c r="K20" s="12">
        <f t="shared" si="1"/>
        <v>13540</v>
      </c>
      <c r="M20" s="10">
        <v>9</v>
      </c>
      <c r="N20" s="30"/>
      <c r="O20" s="11" t="s">
        <v>27</v>
      </c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>
        <v>46026</v>
      </c>
      <c r="AA20" s="31">
        <f t="shared" si="8"/>
        <v>9789</v>
      </c>
      <c r="AB20">
        <f>650*15+622*3</f>
        <v>11616</v>
      </c>
      <c r="AC20" s="32"/>
      <c r="AD20" s="32"/>
      <c r="AE20" s="32">
        <f t="shared" si="9"/>
        <v>11616</v>
      </c>
      <c r="AF20" s="12"/>
      <c r="AH20" s="12">
        <v>-666</v>
      </c>
      <c r="AI20" s="12">
        <f t="shared" si="5"/>
        <v>10950</v>
      </c>
    </row>
    <row r="21" spans="1:35" x14ac:dyDescent="0.25">
      <c r="A21" s="10">
        <v>10</v>
      </c>
      <c r="B21" s="30">
        <v>46026</v>
      </c>
      <c r="C21" s="83">
        <f t="shared" si="6"/>
        <v>9963</v>
      </c>
      <c r="D21" s="32">
        <f>650*14+622*12</f>
        <v>16564</v>
      </c>
      <c r="E21" s="32"/>
      <c r="F21" s="32"/>
      <c r="G21" s="32">
        <f t="shared" si="0"/>
        <v>16564</v>
      </c>
      <c r="H21" s="12"/>
      <c r="I21" s="12"/>
      <c r="J21" s="12"/>
      <c r="K21" s="12">
        <f t="shared" si="1"/>
        <v>16564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11" t="s">
        <v>27</v>
      </c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 t="s">
        <v>27</v>
      </c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31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1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473514</v>
      </c>
      <c r="E55" s="38">
        <f t="shared" ref="E55:F55" si="18">SUM(E12:E52)</f>
        <v>0</v>
      </c>
      <c r="F55" s="38">
        <f t="shared" si="18"/>
        <v>0</v>
      </c>
      <c r="G55" s="38">
        <f>SUM(G12:G54)</f>
        <v>473514</v>
      </c>
      <c r="H55" s="4"/>
      <c r="I55" s="39">
        <f>SUM(I12:I54)</f>
        <v>1650</v>
      </c>
      <c r="J55" s="39">
        <f>SUM(J12:J54)</f>
        <v>0</v>
      </c>
      <c r="K55" s="40">
        <f>SUM(K12:K54)</f>
        <v>475164</v>
      </c>
      <c r="N55" s="57"/>
      <c r="O55" s="57"/>
      <c r="P55" s="38">
        <f>SUM(P12:P54)</f>
        <v>305570</v>
      </c>
      <c r="Q55" s="38">
        <f>SUM(Q12:Q36)</f>
        <v>-1356</v>
      </c>
      <c r="R55" s="38">
        <f>SUM(R12:R36)</f>
        <v>0</v>
      </c>
      <c r="S55" s="38">
        <f>SUM(S12:S54)</f>
        <v>304214</v>
      </c>
      <c r="T55" s="4"/>
      <c r="U55" s="41">
        <f>SUM(U12:U54)</f>
        <v>3309</v>
      </c>
      <c r="V55" s="41">
        <f>SUM(V12:V36)</f>
        <v>-2670</v>
      </c>
      <c r="W55" s="42">
        <f>SUM(W12:W54)</f>
        <v>304853</v>
      </c>
      <c r="Z55" s="57"/>
      <c r="AA55" s="57"/>
      <c r="AB55" s="38">
        <f>SUM(AB12:AB54)</f>
        <v>358050.5</v>
      </c>
      <c r="AC55" s="38">
        <f>SUM(AC12:AC36)</f>
        <v>-2226</v>
      </c>
      <c r="AD55" s="38">
        <f>SUM(AD12:AD36)</f>
        <v>0</v>
      </c>
      <c r="AE55" s="38">
        <f>SUM(AE12:AE54)</f>
        <v>355824.5</v>
      </c>
      <c r="AF55" s="4"/>
      <c r="AG55" s="41">
        <f>SUM(AG12:AG54)</f>
        <v>847.5</v>
      </c>
      <c r="AH55" s="41">
        <f>SUM(AH12:AH36)</f>
        <v>-6216</v>
      </c>
      <c r="AI55" s="42">
        <f>SUM(AI12:AI54)</f>
        <v>350456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41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31</v>
      </c>
      <c r="K63" s="24"/>
      <c r="M63" s="21" t="s">
        <v>42</v>
      </c>
      <c r="N63" s="20"/>
      <c r="O63" s="57"/>
      <c r="P63" s="57"/>
      <c r="Q63" s="57"/>
      <c r="R63" s="57"/>
      <c r="S63" s="57"/>
      <c r="U63" s="22" t="s">
        <v>16</v>
      </c>
      <c r="V63" s="23" t="s">
        <v>33</v>
      </c>
      <c r="W63" s="24"/>
      <c r="Y63" s="21" t="s">
        <v>42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34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12" t="s">
        <v>17</v>
      </c>
      <c r="E65" s="112"/>
      <c r="F65" s="92"/>
      <c r="G65" s="27"/>
      <c r="I65" s="110" t="s">
        <v>18</v>
      </c>
      <c r="J65" s="111"/>
      <c r="K65" s="108" t="s">
        <v>19</v>
      </c>
      <c r="N65" s="25"/>
      <c r="O65" s="26"/>
      <c r="P65" s="112" t="s">
        <v>17</v>
      </c>
      <c r="Q65" s="112"/>
      <c r="R65" s="93"/>
      <c r="S65" s="27"/>
      <c r="U65" s="110" t="s">
        <v>18</v>
      </c>
      <c r="V65" s="111"/>
      <c r="W65" s="108" t="s">
        <v>19</v>
      </c>
      <c r="Z65" s="25"/>
      <c r="AA65" s="26"/>
      <c r="AB65" s="112" t="s">
        <v>17</v>
      </c>
      <c r="AC65" s="112"/>
      <c r="AD65" s="93"/>
      <c r="AE65" s="27"/>
      <c r="AG65" s="110" t="s">
        <v>18</v>
      </c>
      <c r="AH65" s="111"/>
      <c r="AI65" s="108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32</v>
      </c>
      <c r="G66" s="78" t="s">
        <v>24</v>
      </c>
      <c r="I66" s="29" t="s">
        <v>25</v>
      </c>
      <c r="J66" s="29" t="s">
        <v>26</v>
      </c>
      <c r="K66" s="109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32</v>
      </c>
      <c r="S66" s="78" t="s">
        <v>24</v>
      </c>
      <c r="U66" s="29" t="s">
        <v>25</v>
      </c>
      <c r="V66" s="29" t="s">
        <v>26</v>
      </c>
      <c r="W66" s="109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09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46057</v>
      </c>
      <c r="C67" s="83">
        <v>9964</v>
      </c>
      <c r="D67" s="32">
        <f>650*324+229*10</f>
        <v>212890</v>
      </c>
      <c r="E67" s="32">
        <f>-324*6</f>
        <v>-1944</v>
      </c>
      <c r="F67" s="32"/>
      <c r="G67" s="32">
        <f t="shared" ref="G67:G100" si="19">SUM(D67:E67)</f>
        <v>210946</v>
      </c>
      <c r="H67" s="12"/>
      <c r="I67" s="12">
        <f>111*324+78*10</f>
        <v>36744</v>
      </c>
      <c r="J67" s="12"/>
      <c r="K67" s="12">
        <f t="shared" ref="K67:K100" si="20">SUM(G67:J67)</f>
        <v>247690</v>
      </c>
      <c r="M67" s="10">
        <v>1</v>
      </c>
      <c r="N67" s="30">
        <v>46057</v>
      </c>
      <c r="O67" s="31">
        <v>9892</v>
      </c>
      <c r="P67" s="32">
        <f>650*324+1050+229*13+650</f>
        <v>215277</v>
      </c>
      <c r="Q67" s="32">
        <f>-324*6</f>
        <v>-1944</v>
      </c>
      <c r="R67" s="32"/>
      <c r="S67" s="32">
        <f>SUM(P67:Q67)</f>
        <v>213333</v>
      </c>
      <c r="T67" s="12"/>
      <c r="U67" s="12">
        <v>546</v>
      </c>
      <c r="V67" s="12">
        <v>-672</v>
      </c>
      <c r="W67" s="12">
        <f>SUM(S67:V67)</f>
        <v>213207</v>
      </c>
      <c r="Y67" s="10">
        <v>1</v>
      </c>
      <c r="Z67" s="30">
        <v>46057</v>
      </c>
      <c r="AA67" s="31">
        <v>9790</v>
      </c>
      <c r="AB67" s="32">
        <f>650*386+670*25+622*58+650*2+229*16+500*2</f>
        <v>309690</v>
      </c>
      <c r="AC67" s="32">
        <f>-469*6</f>
        <v>-2814</v>
      </c>
      <c r="AD67" s="32"/>
      <c r="AE67" s="32">
        <f>SUM(AB67:AC67)</f>
        <v>306876</v>
      </c>
      <c r="AF67" s="12"/>
      <c r="AG67" s="12"/>
      <c r="AH67" s="12"/>
      <c r="AI67" s="12">
        <f>SUM(AE67:AH67)</f>
        <v>306876</v>
      </c>
      <c r="AK67" s="62"/>
      <c r="AL67" s="65"/>
      <c r="AM67" s="86"/>
      <c r="AN67" s="107"/>
      <c r="AO67" s="107"/>
      <c r="AP67" s="86"/>
      <c r="AQ67" s="62"/>
      <c r="AR67" s="107"/>
      <c r="AS67" s="107"/>
      <c r="AT67" s="106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46057</v>
      </c>
      <c r="C68" s="83">
        <f>C67+1</f>
        <v>9965</v>
      </c>
      <c r="D68" s="32">
        <f>650*27+670*2+622*5+229</f>
        <v>22229</v>
      </c>
      <c r="E68" s="32"/>
      <c r="F68" s="32"/>
      <c r="G68" s="32">
        <f t="shared" si="19"/>
        <v>22229</v>
      </c>
      <c r="H68" s="12"/>
      <c r="I68" s="12"/>
      <c r="J68" s="12"/>
      <c r="K68" s="12">
        <f t="shared" si="20"/>
        <v>22229</v>
      </c>
      <c r="M68" s="10">
        <v>2</v>
      </c>
      <c r="N68" s="30">
        <v>46057</v>
      </c>
      <c r="O68" s="31">
        <f>O67+1</f>
        <v>9893</v>
      </c>
      <c r="P68" s="32">
        <f>650*11+622*5</f>
        <v>10260</v>
      </c>
      <c r="Q68" s="32"/>
      <c r="R68" s="32"/>
      <c r="S68" s="32">
        <f t="shared" ref="S68:S99" si="21">SUM(P68:Q68)</f>
        <v>10260</v>
      </c>
      <c r="T68" s="12"/>
      <c r="U68" s="12">
        <v>31.5</v>
      </c>
      <c r="V68" s="12"/>
      <c r="W68" s="12">
        <f t="shared" ref="W68:W108" si="22">SUM(S68:V68)</f>
        <v>10291.5</v>
      </c>
      <c r="Y68" s="10">
        <v>2</v>
      </c>
      <c r="Z68" s="30">
        <v>46057</v>
      </c>
      <c r="AA68" s="31">
        <f>AA67+1</f>
        <v>9791</v>
      </c>
      <c r="AB68" s="32">
        <f>650*158+670*4+622*11+872*2+229*4</f>
        <v>114882</v>
      </c>
      <c r="AC68" s="32">
        <f>-175*6</f>
        <v>-1050</v>
      </c>
      <c r="AD68" s="32"/>
      <c r="AE68" s="32">
        <f t="shared" ref="AE68:AE70" si="23">SUM(AB68:AC68)</f>
        <v>113832</v>
      </c>
      <c r="AF68" s="12"/>
      <c r="AG68" s="12"/>
      <c r="AH68" s="12"/>
      <c r="AI68" s="12">
        <f t="shared" ref="AI68:AI99" si="24">SUM(AE68:AH68)</f>
        <v>113832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06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46057</v>
      </c>
      <c r="C69" s="83">
        <f t="shared" ref="C69:C73" si="25">C68+1</f>
        <v>9966</v>
      </c>
      <c r="D69" s="33">
        <f>650*11+670+622*11</f>
        <v>14662</v>
      </c>
      <c r="E69" s="32"/>
      <c r="F69" s="33"/>
      <c r="G69" s="33">
        <f t="shared" si="19"/>
        <v>14662</v>
      </c>
      <c r="H69" s="34"/>
      <c r="I69" s="34"/>
      <c r="J69" s="34">
        <v>-5439</v>
      </c>
      <c r="K69" s="34">
        <f t="shared" si="20"/>
        <v>9223</v>
      </c>
      <c r="M69" s="10">
        <v>3</v>
      </c>
      <c r="N69" s="30">
        <v>46057</v>
      </c>
      <c r="O69" s="31">
        <f t="shared" ref="O69:O70" si="26">O68+1</f>
        <v>9894</v>
      </c>
      <c r="P69" s="32">
        <f>650*7+9.5*5</f>
        <v>4597.5</v>
      </c>
      <c r="Q69" s="32"/>
      <c r="R69" s="32"/>
      <c r="S69" s="32">
        <f t="shared" si="21"/>
        <v>4597.5</v>
      </c>
      <c r="T69" s="12"/>
      <c r="U69" s="12">
        <v>27</v>
      </c>
      <c r="V69" s="12"/>
      <c r="W69" s="12">
        <f t="shared" si="22"/>
        <v>4624.5</v>
      </c>
      <c r="Y69" s="10">
        <v>3</v>
      </c>
      <c r="Z69" s="30">
        <v>46057</v>
      </c>
      <c r="AA69" s="31">
        <f t="shared" ref="AA69:AA71" si="27">AA68+1</f>
        <v>9792</v>
      </c>
      <c r="AB69" s="33">
        <f>650*50+872*2+229*2</f>
        <v>34702</v>
      </c>
      <c r="AC69" s="33"/>
      <c r="AD69" s="32"/>
      <c r="AE69" s="32">
        <f t="shared" si="23"/>
        <v>34702</v>
      </c>
      <c r="AF69" s="12"/>
      <c r="AG69" s="12">
        <v>156</v>
      </c>
      <c r="AH69" s="12"/>
      <c r="AI69" s="12">
        <f t="shared" si="24"/>
        <v>34858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46057</v>
      </c>
      <c r="C70" s="83">
        <f t="shared" si="25"/>
        <v>9967</v>
      </c>
      <c r="D70" s="32">
        <f>670</f>
        <v>670</v>
      </c>
      <c r="E70" s="32"/>
      <c r="F70" s="32"/>
      <c r="G70" s="32">
        <f t="shared" si="19"/>
        <v>670</v>
      </c>
      <c r="H70" s="12"/>
      <c r="I70" s="12"/>
      <c r="J70" s="12"/>
      <c r="K70" s="12">
        <f t="shared" si="20"/>
        <v>670</v>
      </c>
      <c r="M70" s="10">
        <v>4</v>
      </c>
      <c r="N70" s="30">
        <v>46057</v>
      </c>
      <c r="O70" s="31">
        <f t="shared" si="26"/>
        <v>9895</v>
      </c>
      <c r="P70" s="32">
        <f>650*10</f>
        <v>6500</v>
      </c>
      <c r="Q70" s="32"/>
      <c r="R70" s="32"/>
      <c r="S70" s="32">
        <f t="shared" si="21"/>
        <v>6500</v>
      </c>
      <c r="T70" s="12"/>
      <c r="U70" s="12"/>
      <c r="V70" s="12">
        <v>-777</v>
      </c>
      <c r="W70" s="12">
        <f t="shared" si="22"/>
        <v>5723</v>
      </c>
      <c r="Y70" s="10">
        <v>4</v>
      </c>
      <c r="Z70" s="30">
        <v>46057</v>
      </c>
      <c r="AA70" s="31">
        <f t="shared" si="27"/>
        <v>9793</v>
      </c>
      <c r="AB70" s="32">
        <f>650*53+622*7+229*2</f>
        <v>39262</v>
      </c>
      <c r="AC70" s="32"/>
      <c r="AD70" s="32"/>
      <c r="AE70" s="32">
        <f t="shared" si="23"/>
        <v>39262</v>
      </c>
      <c r="AF70" s="12"/>
      <c r="AH70" s="12"/>
      <c r="AI70" s="12">
        <f t="shared" si="24"/>
        <v>39262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46057</v>
      </c>
      <c r="C71" s="83">
        <f t="shared" si="25"/>
        <v>9968</v>
      </c>
      <c r="D71" s="32">
        <f>650*3</f>
        <v>1950</v>
      </c>
      <c r="E71" s="32"/>
      <c r="F71" s="32"/>
      <c r="G71" s="32">
        <f t="shared" si="19"/>
        <v>1950</v>
      </c>
      <c r="H71" s="12"/>
      <c r="I71" s="12"/>
      <c r="J71" s="12"/>
      <c r="K71" s="12">
        <f t="shared" si="20"/>
        <v>1950</v>
      </c>
      <c r="M71" s="10">
        <v>5</v>
      </c>
      <c r="N71" s="30"/>
      <c r="O71" s="11" t="s">
        <v>27</v>
      </c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>
        <v>46057</v>
      </c>
      <c r="AA71" s="31">
        <f t="shared" si="27"/>
        <v>9794</v>
      </c>
      <c r="AB71" s="32">
        <f>650*6</f>
        <v>3900</v>
      </c>
      <c r="AC71" s="32"/>
      <c r="AD71" s="32"/>
      <c r="AE71" s="32">
        <f t="shared" ref="AE71:AE76" si="28">SUM(AB71:AC71)</f>
        <v>3900</v>
      </c>
      <c r="AF71" s="12"/>
      <c r="AG71" s="12"/>
      <c r="AH71" s="12">
        <f>-111*10</f>
        <v>-1110</v>
      </c>
      <c r="AI71" s="12">
        <f t="shared" si="24"/>
        <v>2790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46057</v>
      </c>
      <c r="C72" s="83">
        <f t="shared" si="25"/>
        <v>9969</v>
      </c>
      <c r="D72" s="32">
        <f>650*36+622*2+229</f>
        <v>24873</v>
      </c>
      <c r="E72" s="32"/>
      <c r="F72" s="32"/>
      <c r="G72" s="32">
        <f t="shared" si="19"/>
        <v>24873</v>
      </c>
      <c r="H72" s="12"/>
      <c r="I72" s="12"/>
      <c r="J72" s="12"/>
      <c r="K72" s="12">
        <f t="shared" si="20"/>
        <v>24873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46057</v>
      </c>
      <c r="C73" s="83">
        <f t="shared" si="25"/>
        <v>9970</v>
      </c>
      <c r="D73" s="32">
        <f>872</f>
        <v>872</v>
      </c>
      <c r="E73" s="32"/>
      <c r="F73" s="32"/>
      <c r="G73" s="32">
        <f t="shared" si="19"/>
        <v>872</v>
      </c>
      <c r="H73" s="12"/>
      <c r="I73" s="12"/>
      <c r="J73" s="12"/>
      <c r="K73" s="12">
        <f t="shared" si="20"/>
        <v>872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/>
      <c r="C74" s="11" t="s">
        <v>27</v>
      </c>
      <c r="D74" s="32"/>
      <c r="E74" s="32"/>
      <c r="F74" s="32"/>
      <c r="G74" s="32">
        <f t="shared" si="19"/>
        <v>0</v>
      </c>
      <c r="H74" s="12"/>
      <c r="I74" s="12"/>
      <c r="J74" s="12"/>
      <c r="K74" s="12">
        <f t="shared" si="20"/>
        <v>0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/>
      <c r="C75" s="83"/>
      <c r="D75" s="32"/>
      <c r="E75" s="32"/>
      <c r="F75" s="32"/>
      <c r="G75" s="32">
        <f t="shared" si="19"/>
        <v>0</v>
      </c>
      <c r="H75" s="12"/>
      <c r="I75" s="12"/>
      <c r="J75" s="12"/>
      <c r="K75" s="12">
        <f t="shared" si="20"/>
        <v>0</v>
      </c>
      <c r="M75" s="10">
        <v>9</v>
      </c>
      <c r="N75" s="30"/>
      <c r="O75" s="1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/>
      <c r="C76" s="83"/>
      <c r="D76" s="32"/>
      <c r="E76" s="32"/>
      <c r="F76" s="32"/>
      <c r="G76" s="32">
        <f t="shared" si="19"/>
        <v>0</v>
      </c>
      <c r="H76" s="12"/>
      <c r="I76" s="12"/>
      <c r="J76" s="12"/>
      <c r="K76" s="12">
        <f t="shared" si="20"/>
        <v>0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1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/>
      <c r="C77" s="11"/>
      <c r="D77" s="32"/>
      <c r="E77" s="32"/>
      <c r="F77" s="32"/>
      <c r="G77" s="32">
        <f t="shared" si="19"/>
        <v>0</v>
      </c>
      <c r="H77" s="12"/>
      <c r="I77" s="12"/>
      <c r="J77" s="12"/>
      <c r="K77" s="12">
        <f t="shared" si="20"/>
        <v>0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A77" s="31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83"/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11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83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1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83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57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57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si="22"/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1">SUM(AB100:AC100)</f>
        <v>0</v>
      </c>
      <c r="AF100" s="10"/>
      <c r="AG100" s="10"/>
      <c r="AH100" s="10"/>
      <c r="AI100" s="12">
        <f t="shared" ref="AI100:AI108" si="32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22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1"/>
        <v>0</v>
      </c>
      <c r="AF101" s="10"/>
      <c r="AG101" s="10"/>
      <c r="AH101" s="10"/>
      <c r="AI101" s="12">
        <f t="shared" si="32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22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1"/>
        <v>0</v>
      </c>
      <c r="AF102" s="10"/>
      <c r="AG102" s="10"/>
      <c r="AH102" s="10"/>
      <c r="AI102" s="12">
        <f t="shared" si="32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22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1"/>
        <v>0</v>
      </c>
      <c r="AF103" s="10"/>
      <c r="AG103" s="10"/>
      <c r="AH103" s="10"/>
      <c r="AI103" s="12">
        <f t="shared" si="32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22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1"/>
        <v>0</v>
      </c>
      <c r="AF104" s="10"/>
      <c r="AG104" s="10"/>
      <c r="AH104" s="10"/>
      <c r="AI104" s="12">
        <f t="shared" si="32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22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1"/>
        <v>0</v>
      </c>
      <c r="AF105" s="10"/>
      <c r="AG105" s="10"/>
      <c r="AH105" s="10"/>
      <c r="AI105" s="12">
        <f t="shared" si="32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22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2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3">SUM(D107:E107)</f>
        <v>0</v>
      </c>
      <c r="H107" s="10"/>
      <c r="I107" s="10"/>
      <c r="J107" s="10"/>
      <c r="K107" s="12">
        <f t="shared" ref="K107" si="34">SUM(G107:J107)</f>
        <v>0</v>
      </c>
      <c r="M107" s="10"/>
      <c r="N107" s="30"/>
      <c r="O107" s="31"/>
      <c r="P107" s="47"/>
      <c r="Q107" s="31"/>
      <c r="R107" s="31"/>
      <c r="S107" s="32">
        <f t="shared" ref="S107" si="35">SUM(P107:Q107)</f>
        <v>0</v>
      </c>
      <c r="T107" s="10"/>
      <c r="U107" s="10"/>
      <c r="V107" s="10"/>
      <c r="W107" s="12">
        <f t="shared" si="22"/>
        <v>0</v>
      </c>
      <c r="Y107" s="10"/>
      <c r="Z107" s="30"/>
      <c r="AA107" s="31"/>
      <c r="AB107" s="47"/>
      <c r="AC107" s="31"/>
      <c r="AD107" s="31"/>
      <c r="AE107" s="32">
        <f t="shared" ref="AE107" si="36">SUM(AB107:AC107)</f>
        <v>0</v>
      </c>
      <c r="AF107" s="10"/>
      <c r="AG107" s="10"/>
      <c r="AH107" s="10"/>
      <c r="AI107" s="12">
        <f t="shared" si="32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22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2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278146</v>
      </c>
      <c r="E110" s="38">
        <f t="shared" ref="E110:F110" si="37">SUM(E67:E107)</f>
        <v>-1944</v>
      </c>
      <c r="F110" s="38">
        <f t="shared" si="37"/>
        <v>0</v>
      </c>
      <c r="G110" s="38">
        <f>SUM(G67:G109)</f>
        <v>276202</v>
      </c>
      <c r="H110" s="4"/>
      <c r="I110" s="39">
        <f>SUM(I67:I109)</f>
        <v>36744</v>
      </c>
      <c r="J110" s="39">
        <f>SUM(J67:J109)</f>
        <v>-5439</v>
      </c>
      <c r="K110" s="40">
        <f>SUM(K67:K109)</f>
        <v>307507</v>
      </c>
      <c r="N110" s="57"/>
      <c r="O110" s="57"/>
      <c r="P110" s="38">
        <f>SUM(P67:P109)</f>
        <v>236634.5</v>
      </c>
      <c r="Q110" s="38">
        <f>SUM(Q67:Q91)</f>
        <v>-1944</v>
      </c>
      <c r="R110" s="38">
        <f>SUM(R67:R91)</f>
        <v>0</v>
      </c>
      <c r="S110" s="38">
        <f>SUM(S67:S109)</f>
        <v>234690.5</v>
      </c>
      <c r="T110" s="4"/>
      <c r="U110" s="41">
        <f>SUM(U67:U109)</f>
        <v>604.5</v>
      </c>
      <c r="V110" s="41">
        <f>SUM(V67:V91)</f>
        <v>-1449</v>
      </c>
      <c r="W110" s="42">
        <f>SUM(W67:W109)</f>
        <v>233846</v>
      </c>
      <c r="Z110" s="57"/>
      <c r="AA110" s="57"/>
      <c r="AB110" s="38">
        <f>SUM(AB67:AB109)</f>
        <v>502436</v>
      </c>
      <c r="AC110" s="38">
        <f>SUM(AC67:AC91)</f>
        <v>-3864</v>
      </c>
      <c r="AD110" s="38">
        <f>SUM(AD67:AD91)</f>
        <v>0</v>
      </c>
      <c r="AE110" s="38">
        <f>SUM(AE67:AE109)</f>
        <v>498572</v>
      </c>
      <c r="AF110" s="4"/>
      <c r="AG110" s="41">
        <f>SUM(AG67:AG109)</f>
        <v>156</v>
      </c>
      <c r="AH110" s="41">
        <f>SUM(AH67:AH91)</f>
        <v>-1110</v>
      </c>
      <c r="AI110" s="42">
        <f>SUM(AI67:AI109)</f>
        <v>497618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45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45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46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46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34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2" t="s">
        <v>17</v>
      </c>
      <c r="E120" s="112"/>
      <c r="F120" s="93"/>
      <c r="G120" s="27"/>
      <c r="I120" s="110" t="s">
        <v>18</v>
      </c>
      <c r="J120" s="111"/>
      <c r="K120" s="108" t="s">
        <v>19</v>
      </c>
      <c r="N120" s="25"/>
      <c r="O120" s="26"/>
      <c r="P120" s="112" t="s">
        <v>17</v>
      </c>
      <c r="Q120" s="112"/>
      <c r="R120" s="93"/>
      <c r="S120" s="27"/>
      <c r="U120" s="110" t="s">
        <v>18</v>
      </c>
      <c r="V120" s="111"/>
      <c r="W120" s="108" t="s">
        <v>19</v>
      </c>
      <c r="Z120" s="25"/>
      <c r="AA120" s="26"/>
      <c r="AB120" s="112" t="s">
        <v>17</v>
      </c>
      <c r="AC120" s="112"/>
      <c r="AD120" s="93"/>
      <c r="AE120" s="27"/>
      <c r="AG120" s="110" t="s">
        <v>18</v>
      </c>
      <c r="AH120" s="111"/>
      <c r="AI120" s="108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09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09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09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46177</v>
      </c>
      <c r="C122" s="83">
        <v>9971</v>
      </c>
      <c r="D122" s="32">
        <f>650*30</f>
        <v>19500</v>
      </c>
      <c r="E122" s="32"/>
      <c r="F122" s="32"/>
      <c r="G122" s="32">
        <f t="shared" ref="G122:G155" si="38">SUM(D122:E122)</f>
        <v>19500</v>
      </c>
      <c r="H122" s="12"/>
      <c r="I122" s="12"/>
      <c r="J122" s="12">
        <v>-1665</v>
      </c>
      <c r="K122" s="12">
        <f t="shared" ref="K122:K155" si="39">SUM(G122:J122)</f>
        <v>17835</v>
      </c>
      <c r="M122" s="10">
        <v>1</v>
      </c>
      <c r="N122" s="30">
        <v>46177</v>
      </c>
      <c r="O122" s="31">
        <v>9896</v>
      </c>
      <c r="P122" s="32">
        <f>650*50+229*2</f>
        <v>32958</v>
      </c>
      <c r="Q122" s="32"/>
      <c r="R122" s="32"/>
      <c r="S122" s="32">
        <f>SUM(P122:Q122)</f>
        <v>32958</v>
      </c>
      <c r="T122" s="12"/>
      <c r="U122" s="12">
        <v>22.5</v>
      </c>
      <c r="V122" s="12"/>
      <c r="W122" s="12">
        <f>SUM(S122:V122)</f>
        <v>32980.5</v>
      </c>
      <c r="Y122" s="10">
        <v>1</v>
      </c>
      <c r="Z122" s="30">
        <v>46177</v>
      </c>
      <c r="AA122" s="31">
        <v>9795</v>
      </c>
      <c r="AB122" s="32">
        <f>650*216+872*2+229*8</f>
        <v>143976</v>
      </c>
      <c r="AC122" s="32"/>
      <c r="AD122" s="32"/>
      <c r="AE122" s="32">
        <f>SUM(AB122:AC122)</f>
        <v>143976</v>
      </c>
      <c r="AF122" s="12"/>
      <c r="AG122" s="12">
        <v>3</v>
      </c>
      <c r="AH122" s="12">
        <v>-2803.5</v>
      </c>
      <c r="AI122" s="12">
        <f>SUM(AE122:AH122)</f>
        <v>141175.5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46177</v>
      </c>
      <c r="C123" s="83">
        <f>C122+1</f>
        <v>9972</v>
      </c>
      <c r="D123" s="32">
        <f>650*35+622*5</f>
        <v>25860</v>
      </c>
      <c r="E123" s="32"/>
      <c r="F123" s="32"/>
      <c r="G123" s="32">
        <f t="shared" si="38"/>
        <v>25860</v>
      </c>
      <c r="H123" s="12"/>
      <c r="I123" s="12"/>
      <c r="J123" s="12"/>
      <c r="K123" s="12">
        <f t="shared" si="39"/>
        <v>25860</v>
      </c>
      <c r="M123" s="10">
        <v>2</v>
      </c>
      <c r="N123" s="30">
        <v>46177</v>
      </c>
      <c r="O123" s="31">
        <f>O122+1</f>
        <v>9897</v>
      </c>
      <c r="P123" s="32">
        <f>650*150+229*2</f>
        <v>97958</v>
      </c>
      <c r="Q123" s="32">
        <f>-150*6</f>
        <v>-900</v>
      </c>
      <c r="R123" s="32"/>
      <c r="S123" s="32">
        <f t="shared" ref="S123:S154" si="40">SUM(P123:Q123)</f>
        <v>97058</v>
      </c>
      <c r="T123" s="12"/>
      <c r="U123" s="12">
        <f>594+72</f>
        <v>666</v>
      </c>
      <c r="V123" s="12"/>
      <c r="W123" s="12">
        <f t="shared" ref="W123:W163" si="41">SUM(S123:V123)</f>
        <v>97724</v>
      </c>
      <c r="Y123" s="10">
        <v>2</v>
      </c>
      <c r="Z123" s="30">
        <v>46177</v>
      </c>
      <c r="AA123" s="31">
        <f>AA122+1</f>
        <v>9796</v>
      </c>
      <c r="AB123" s="32">
        <f>241*650+670*10+622*60+229*2</f>
        <v>201128</v>
      </c>
      <c r="AC123" s="32">
        <f>-311*6</f>
        <v>-1866</v>
      </c>
      <c r="AD123" s="32"/>
      <c r="AE123" s="32">
        <f t="shared" ref="AE123:AE125" si="42">SUM(AB123:AC123)</f>
        <v>199262</v>
      </c>
      <c r="AF123" s="12"/>
      <c r="AG123" s="12"/>
      <c r="AH123" s="12"/>
      <c r="AI123" s="12">
        <f t="shared" ref="AI123:AI154" si="43">SUM(AE123:AH123)</f>
        <v>199262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46177</v>
      </c>
      <c r="C124" s="83">
        <f t="shared" ref="C124:C129" si="44">C123+1</f>
        <v>9973</v>
      </c>
      <c r="D124" s="33">
        <f>650*5+9.5*5</f>
        <v>3297.5</v>
      </c>
      <c r="E124" s="32"/>
      <c r="F124" s="33"/>
      <c r="G124" s="33">
        <f t="shared" si="38"/>
        <v>3297.5</v>
      </c>
      <c r="H124" s="34"/>
      <c r="I124" s="34"/>
      <c r="J124" s="34"/>
      <c r="K124" s="34">
        <f t="shared" si="39"/>
        <v>3297.5</v>
      </c>
      <c r="M124" s="10">
        <v>3</v>
      </c>
      <c r="N124" s="30">
        <v>46177</v>
      </c>
      <c r="O124" s="31">
        <f t="shared" ref="O124:O126" si="45">O123+1</f>
        <v>9898</v>
      </c>
      <c r="P124" s="32">
        <f>650*301+622*50+229*11</f>
        <v>229269</v>
      </c>
      <c r="Q124" s="32">
        <f>-351*6</f>
        <v>-2106</v>
      </c>
      <c r="R124" s="32"/>
      <c r="S124" s="32">
        <f t="shared" si="40"/>
        <v>227163</v>
      </c>
      <c r="T124" s="12"/>
      <c r="U124" s="12">
        <v>624</v>
      </c>
      <c r="V124" s="12">
        <v>-420</v>
      </c>
      <c r="W124" s="12">
        <f t="shared" si="41"/>
        <v>227367</v>
      </c>
      <c r="Y124" s="10">
        <v>3</v>
      </c>
      <c r="Z124" s="30">
        <v>46177</v>
      </c>
      <c r="AA124" s="31">
        <f t="shared" ref="AA124:AA127" si="46">AA123+1</f>
        <v>9797</v>
      </c>
      <c r="AB124" s="33">
        <f>650*68+670*5+622*10+872</f>
        <v>54642</v>
      </c>
      <c r="AC124" s="33"/>
      <c r="AD124" s="32"/>
      <c r="AE124" s="32">
        <f t="shared" si="42"/>
        <v>54642</v>
      </c>
      <c r="AF124" s="12"/>
      <c r="AG124" s="12">
        <f>222+85.5</f>
        <v>307.5</v>
      </c>
      <c r="AH124" s="12"/>
      <c r="AI124" s="12">
        <f t="shared" si="43"/>
        <v>54949.5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46177</v>
      </c>
      <c r="C125" s="83">
        <f t="shared" si="44"/>
        <v>9974</v>
      </c>
      <c r="D125" s="32">
        <f>650*35+670+622*6</f>
        <v>27152</v>
      </c>
      <c r="E125" s="32"/>
      <c r="F125" s="32"/>
      <c r="G125" s="32">
        <f t="shared" si="38"/>
        <v>27152</v>
      </c>
      <c r="H125" s="12"/>
      <c r="I125" s="12">
        <v>324</v>
      </c>
      <c r="J125" s="12"/>
      <c r="K125" s="12">
        <f t="shared" si="39"/>
        <v>27476</v>
      </c>
      <c r="M125" s="10">
        <v>4</v>
      </c>
      <c r="N125" s="30">
        <v>46177</v>
      </c>
      <c r="O125" s="31">
        <f t="shared" si="45"/>
        <v>9899</v>
      </c>
      <c r="P125" s="32">
        <f>650*42+670*7+622*10+229*3</f>
        <v>38897</v>
      </c>
      <c r="Q125" s="32"/>
      <c r="R125" s="32"/>
      <c r="S125" s="32">
        <f t="shared" si="40"/>
        <v>38897</v>
      </c>
      <c r="T125" s="12"/>
      <c r="U125" s="12"/>
      <c r="V125" s="12">
        <v>-2220</v>
      </c>
      <c r="W125" s="12">
        <f t="shared" si="41"/>
        <v>36677</v>
      </c>
      <c r="Y125" s="10">
        <v>4</v>
      </c>
      <c r="Z125" s="30">
        <v>46177</v>
      </c>
      <c r="AA125" s="31">
        <f t="shared" si="46"/>
        <v>9798</v>
      </c>
      <c r="AB125" s="32">
        <f>670*2+622*7</f>
        <v>5694</v>
      </c>
      <c r="AC125" s="32"/>
      <c r="AD125" s="32"/>
      <c r="AE125" s="32">
        <f t="shared" si="42"/>
        <v>5694</v>
      </c>
      <c r="AF125" s="12"/>
      <c r="AH125" s="12">
        <v>-888</v>
      </c>
      <c r="AI125" s="12">
        <f t="shared" si="43"/>
        <v>4806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46177</v>
      </c>
      <c r="C126" s="83">
        <f t="shared" si="44"/>
        <v>9975</v>
      </c>
      <c r="D126" s="32">
        <f>650*324+622*108+912*10+872*3</f>
        <v>289512</v>
      </c>
      <c r="E126" s="32">
        <f>-445*6</f>
        <v>-2670</v>
      </c>
      <c r="F126" s="32"/>
      <c r="G126" s="32">
        <f t="shared" si="38"/>
        <v>286842</v>
      </c>
      <c r="H126" s="12"/>
      <c r="I126" s="12">
        <f>720+4329</f>
        <v>5049</v>
      </c>
      <c r="J126" s="12"/>
      <c r="K126" s="12">
        <f t="shared" si="39"/>
        <v>291891</v>
      </c>
      <c r="M126" s="10">
        <v>5</v>
      </c>
      <c r="N126" s="30">
        <v>46177</v>
      </c>
      <c r="O126" s="31">
        <f t="shared" si="45"/>
        <v>9900</v>
      </c>
      <c r="P126" s="32">
        <f>650*7</f>
        <v>4550</v>
      </c>
      <c r="Q126" s="32"/>
      <c r="R126" s="32"/>
      <c r="S126" s="32">
        <f t="shared" si="40"/>
        <v>4550</v>
      </c>
      <c r="T126" s="12"/>
      <c r="U126" s="12"/>
      <c r="V126" s="12">
        <v>-444</v>
      </c>
      <c r="W126" s="12">
        <f t="shared" si="41"/>
        <v>4106</v>
      </c>
      <c r="Y126" s="10">
        <v>5</v>
      </c>
      <c r="Z126" s="30">
        <v>46177</v>
      </c>
      <c r="AA126" s="31">
        <f t="shared" si="46"/>
        <v>9799</v>
      </c>
      <c r="AB126" s="32">
        <f>670*2+622*31+912+872</f>
        <v>22406</v>
      </c>
      <c r="AC126" s="32"/>
      <c r="AD126" s="32"/>
      <c r="AE126" s="32">
        <f t="shared" ref="AE126:AE131" si="47">SUM(AB126:AC126)</f>
        <v>22406</v>
      </c>
      <c r="AF126" s="12"/>
      <c r="AG126" s="12">
        <v>28.5</v>
      </c>
      <c r="AH126" s="12"/>
      <c r="AI126" s="12">
        <f t="shared" si="43"/>
        <v>22434.5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46177</v>
      </c>
      <c r="C127" s="83">
        <f t="shared" si="44"/>
        <v>9976</v>
      </c>
      <c r="D127" s="32">
        <f>650*539+108*622+229*17</f>
        <v>421419</v>
      </c>
      <c r="E127" s="32">
        <f>-647*6</f>
        <v>-3882</v>
      </c>
      <c r="F127" s="32"/>
      <c r="G127" s="32">
        <f t="shared" si="38"/>
        <v>417537</v>
      </c>
      <c r="H127" s="12"/>
      <c r="I127" s="12">
        <f>2331+1014</f>
        <v>3345</v>
      </c>
      <c r="J127" s="12">
        <v>-600</v>
      </c>
      <c r="K127" s="12">
        <f t="shared" si="39"/>
        <v>420282</v>
      </c>
      <c r="M127" s="10">
        <v>6</v>
      </c>
      <c r="N127" s="30">
        <v>46177</v>
      </c>
      <c r="O127" s="31">
        <v>10051</v>
      </c>
      <c r="P127" s="32">
        <f>650*20</f>
        <v>13000</v>
      </c>
      <c r="Q127" s="32"/>
      <c r="R127" s="32"/>
      <c r="S127" s="32">
        <f t="shared" si="40"/>
        <v>13000</v>
      </c>
      <c r="T127" s="12"/>
      <c r="U127" s="12">
        <v>2220</v>
      </c>
      <c r="V127" s="10"/>
      <c r="W127" s="12">
        <f t="shared" si="41"/>
        <v>15220</v>
      </c>
      <c r="Y127" s="10">
        <v>6</v>
      </c>
      <c r="Z127" s="30">
        <v>46177</v>
      </c>
      <c r="AA127" s="31">
        <f t="shared" si="46"/>
        <v>9800</v>
      </c>
      <c r="AB127" s="32">
        <f>650*15</f>
        <v>9750</v>
      </c>
      <c r="AC127" s="32"/>
      <c r="AD127" s="32"/>
      <c r="AE127" s="32">
        <f t="shared" si="47"/>
        <v>9750</v>
      </c>
      <c r="AF127" s="12"/>
      <c r="AG127" s="12"/>
      <c r="AH127" s="10"/>
      <c r="AI127" s="12">
        <f t="shared" si="43"/>
        <v>9750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46177</v>
      </c>
      <c r="C128" s="83">
        <f t="shared" si="44"/>
        <v>9977</v>
      </c>
      <c r="D128" s="32">
        <f>650*2</f>
        <v>1300</v>
      </c>
      <c r="E128" s="32"/>
      <c r="F128" s="32"/>
      <c r="G128" s="32">
        <f t="shared" si="38"/>
        <v>1300</v>
      </c>
      <c r="H128" s="12"/>
      <c r="I128" s="12"/>
      <c r="J128" s="12"/>
      <c r="K128" s="12">
        <f t="shared" si="39"/>
        <v>1300</v>
      </c>
      <c r="M128" s="10">
        <v>7</v>
      </c>
      <c r="N128" s="30"/>
      <c r="O128" s="11" t="s">
        <v>27</v>
      </c>
      <c r="P128" s="32"/>
      <c r="Q128" s="32"/>
      <c r="R128" s="32"/>
      <c r="S128" s="32">
        <f t="shared" si="40"/>
        <v>0</v>
      </c>
      <c r="T128" s="12"/>
      <c r="U128" s="12"/>
      <c r="V128" s="12"/>
      <c r="W128" s="12">
        <f t="shared" si="41"/>
        <v>0</v>
      </c>
      <c r="Y128" s="10">
        <v>7</v>
      </c>
      <c r="Z128" s="30"/>
      <c r="AA128" s="11" t="s">
        <v>27</v>
      </c>
      <c r="AB128" s="32"/>
      <c r="AC128" s="32"/>
      <c r="AD128" s="32"/>
      <c r="AE128" s="32">
        <f t="shared" si="47"/>
        <v>0</v>
      </c>
      <c r="AF128" s="12"/>
      <c r="AG128" s="58"/>
      <c r="AH128" s="12"/>
      <c r="AI128" s="12">
        <f t="shared" si="43"/>
        <v>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46177</v>
      </c>
      <c r="C129" s="83">
        <f t="shared" si="44"/>
        <v>9978</v>
      </c>
      <c r="D129" s="32">
        <f>650*20+622*3</f>
        <v>14866</v>
      </c>
      <c r="E129" s="32"/>
      <c r="F129" s="32"/>
      <c r="G129" s="32">
        <f t="shared" si="38"/>
        <v>14866</v>
      </c>
      <c r="H129" s="12"/>
      <c r="I129" s="12"/>
      <c r="J129" s="12">
        <f>-58*111</f>
        <v>-6438</v>
      </c>
      <c r="K129" s="12">
        <f t="shared" si="39"/>
        <v>8428</v>
      </c>
      <c r="M129" s="10">
        <v>8</v>
      </c>
      <c r="N129" s="30"/>
      <c r="O129" s="31"/>
      <c r="P129" s="32"/>
      <c r="Q129" s="32"/>
      <c r="R129" s="32"/>
      <c r="S129" s="32">
        <f t="shared" si="40"/>
        <v>0</v>
      </c>
      <c r="T129" s="12"/>
      <c r="U129" s="12"/>
      <c r="V129" s="12"/>
      <c r="W129" s="12">
        <f t="shared" si="41"/>
        <v>0</v>
      </c>
      <c r="Y129" s="10">
        <v>8</v>
      </c>
      <c r="Z129" s="30"/>
      <c r="AA129" s="11"/>
      <c r="AB129" s="32"/>
      <c r="AC129" s="32"/>
      <c r="AE129" s="32">
        <f t="shared" si="47"/>
        <v>0</v>
      </c>
      <c r="AF129" s="12"/>
      <c r="AG129" s="12"/>
      <c r="AH129" s="12"/>
      <c r="AI129" s="12">
        <f t="shared" si="43"/>
        <v>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11" t="s">
        <v>27</v>
      </c>
      <c r="D130" s="32"/>
      <c r="E130" s="32"/>
      <c r="F130" s="32"/>
      <c r="G130" s="32">
        <f t="shared" si="38"/>
        <v>0</v>
      </c>
      <c r="H130" s="12"/>
      <c r="I130" s="12"/>
      <c r="J130" s="12"/>
      <c r="K130" s="12">
        <f t="shared" si="39"/>
        <v>0</v>
      </c>
      <c r="M130" s="10">
        <v>9</v>
      </c>
      <c r="N130" s="30"/>
      <c r="O130" s="11"/>
      <c r="P130" s="32"/>
      <c r="Q130" s="32"/>
      <c r="R130" s="32"/>
      <c r="S130" s="32">
        <f t="shared" si="40"/>
        <v>0</v>
      </c>
      <c r="T130" s="12"/>
      <c r="U130" s="12"/>
      <c r="V130" s="12"/>
      <c r="W130" s="12">
        <f t="shared" si="41"/>
        <v>0</v>
      </c>
      <c r="Y130" s="10">
        <v>9</v>
      </c>
      <c r="Z130" s="30"/>
      <c r="AA130" s="31"/>
      <c r="AC130" s="32"/>
      <c r="AD130" s="32"/>
      <c r="AE130" s="32">
        <f t="shared" si="47"/>
        <v>0</v>
      </c>
      <c r="AF130" s="12"/>
      <c r="AH130" s="12"/>
      <c r="AI130" s="12">
        <f t="shared" si="43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8"/>
        <v>0</v>
      </c>
      <c r="H131" s="12"/>
      <c r="I131" s="12"/>
      <c r="J131" s="12"/>
      <c r="K131" s="12">
        <f t="shared" si="39"/>
        <v>0</v>
      </c>
      <c r="M131" s="10">
        <v>10</v>
      </c>
      <c r="N131" s="30"/>
      <c r="O131" s="31"/>
      <c r="P131" s="32"/>
      <c r="Q131" s="32"/>
      <c r="R131" s="32"/>
      <c r="S131" s="32">
        <f t="shared" si="40"/>
        <v>0</v>
      </c>
      <c r="T131" s="12"/>
      <c r="U131" s="12"/>
      <c r="V131" s="12"/>
      <c r="W131" s="12">
        <f t="shared" si="41"/>
        <v>0</v>
      </c>
      <c r="Y131" s="10">
        <v>10</v>
      </c>
      <c r="Z131" s="30"/>
      <c r="AA131" s="11"/>
      <c r="AB131" s="32"/>
      <c r="AC131" s="32"/>
      <c r="AD131" s="32"/>
      <c r="AE131" s="32">
        <f t="shared" si="47"/>
        <v>0</v>
      </c>
      <c r="AF131" s="12"/>
      <c r="AG131" s="12"/>
      <c r="AH131" s="12"/>
      <c r="AI131" s="12">
        <f t="shared" si="43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11"/>
      <c r="D132" s="32"/>
      <c r="E132" s="32"/>
      <c r="F132" s="32"/>
      <c r="G132" s="32">
        <f t="shared" si="38"/>
        <v>0</v>
      </c>
      <c r="H132" s="12"/>
      <c r="I132" s="12"/>
      <c r="J132" s="12"/>
      <c r="K132" s="12">
        <f t="shared" si="39"/>
        <v>0</v>
      </c>
      <c r="M132" s="10">
        <v>11</v>
      </c>
      <c r="N132" s="30"/>
      <c r="O132" s="31"/>
      <c r="P132" s="32"/>
      <c r="Q132" s="32"/>
      <c r="R132" s="32"/>
      <c r="S132" s="32">
        <f t="shared" si="40"/>
        <v>0</v>
      </c>
      <c r="T132" s="12"/>
      <c r="U132" s="12"/>
      <c r="V132" s="12"/>
      <c r="W132" s="12">
        <f t="shared" si="41"/>
        <v>0</v>
      </c>
      <c r="Y132" s="10">
        <v>11</v>
      </c>
      <c r="Z132" s="30"/>
      <c r="AA132" s="31"/>
      <c r="AB132" s="32"/>
      <c r="AC132" s="32"/>
      <c r="AD132" s="32"/>
      <c r="AE132" s="32">
        <f t="shared" ref="AE132:AE154" si="48">SUM(AB132:AC132)</f>
        <v>0</v>
      </c>
      <c r="AF132" s="12"/>
      <c r="AG132" s="12"/>
      <c r="AH132" s="12"/>
      <c r="AI132" s="12">
        <f t="shared" si="43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83"/>
      <c r="D133" s="32"/>
      <c r="E133" s="32"/>
      <c r="F133" s="32"/>
      <c r="G133" s="32">
        <f t="shared" si="38"/>
        <v>0</v>
      </c>
      <c r="H133" s="12"/>
      <c r="I133" s="12"/>
      <c r="J133" s="10"/>
      <c r="K133" s="12">
        <f t="shared" si="39"/>
        <v>0</v>
      </c>
      <c r="M133" s="10">
        <v>12</v>
      </c>
      <c r="N133" s="30"/>
      <c r="O133" s="31"/>
      <c r="P133" s="32"/>
      <c r="Q133" s="32"/>
      <c r="R133" s="32"/>
      <c r="S133" s="32">
        <f t="shared" si="40"/>
        <v>0</v>
      </c>
      <c r="T133" s="12"/>
      <c r="U133" s="12"/>
      <c r="V133" s="12"/>
      <c r="W133" s="12">
        <f t="shared" si="41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8"/>
        <v>0</v>
      </c>
      <c r="AF133" s="12"/>
      <c r="AG133" s="12"/>
      <c r="AH133" s="12"/>
      <c r="AI133" s="12">
        <f t="shared" si="43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11"/>
      <c r="D134" s="32"/>
      <c r="E134" s="32"/>
      <c r="F134" s="32"/>
      <c r="G134" s="32">
        <f t="shared" si="38"/>
        <v>0</v>
      </c>
      <c r="H134" s="12"/>
      <c r="I134" s="12"/>
      <c r="J134" s="12"/>
      <c r="K134" s="12">
        <f t="shared" si="39"/>
        <v>0</v>
      </c>
      <c r="M134" s="10">
        <v>13</v>
      </c>
      <c r="N134" s="30"/>
      <c r="O134" s="31"/>
      <c r="P134" s="32"/>
      <c r="Q134" s="32"/>
      <c r="R134" s="32"/>
      <c r="S134" s="32">
        <f t="shared" si="40"/>
        <v>0</v>
      </c>
      <c r="T134" s="12"/>
      <c r="U134" s="12"/>
      <c r="V134" s="12"/>
      <c r="W134" s="12">
        <f t="shared" si="41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8"/>
        <v>0</v>
      </c>
      <c r="AF134" s="12"/>
      <c r="AG134" s="12"/>
      <c r="AH134" s="12"/>
      <c r="AI134" s="12">
        <f t="shared" si="43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3"/>
      <c r="D135" s="32"/>
      <c r="E135" s="32"/>
      <c r="F135" s="32"/>
      <c r="G135" s="32">
        <f t="shared" si="38"/>
        <v>0</v>
      </c>
      <c r="H135" s="12"/>
      <c r="I135" s="12"/>
      <c r="J135" s="12"/>
      <c r="K135" s="12">
        <f t="shared" si="39"/>
        <v>0</v>
      </c>
      <c r="M135" s="10">
        <v>14</v>
      </c>
      <c r="N135" s="30"/>
      <c r="O135" s="31"/>
      <c r="P135" s="32"/>
      <c r="Q135" s="32"/>
      <c r="R135" s="32"/>
      <c r="S135" s="32">
        <f t="shared" si="40"/>
        <v>0</v>
      </c>
      <c r="T135" s="12"/>
      <c r="U135" s="12"/>
      <c r="V135" s="12"/>
      <c r="W135" s="12">
        <f t="shared" si="41"/>
        <v>0</v>
      </c>
      <c r="Y135" s="10">
        <v>14</v>
      </c>
      <c r="Z135" s="30"/>
      <c r="AA135" s="11"/>
      <c r="AB135" s="32"/>
      <c r="AC135" s="32"/>
      <c r="AD135" s="32"/>
      <c r="AE135" s="32">
        <f t="shared" si="48"/>
        <v>0</v>
      </c>
      <c r="AF135" s="12"/>
      <c r="AG135" s="12"/>
      <c r="AH135" s="12"/>
      <c r="AI135" s="12">
        <f t="shared" si="43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8"/>
        <v>0</v>
      </c>
      <c r="H136" s="12"/>
      <c r="I136" s="12"/>
      <c r="J136" s="12"/>
      <c r="K136" s="12">
        <f t="shared" si="39"/>
        <v>0</v>
      </c>
      <c r="M136" s="10">
        <v>15</v>
      </c>
      <c r="N136" s="30"/>
      <c r="O136" s="31"/>
      <c r="P136" s="32"/>
      <c r="Q136" s="32"/>
      <c r="R136" s="32"/>
      <c r="S136" s="32">
        <f t="shared" si="40"/>
        <v>0</v>
      </c>
      <c r="T136" s="12"/>
      <c r="U136" s="12"/>
      <c r="V136" s="12"/>
      <c r="W136" s="12">
        <f t="shared" si="41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8"/>
        <v>0</v>
      </c>
      <c r="AF136" s="12"/>
      <c r="AG136" s="12"/>
      <c r="AH136" s="12"/>
      <c r="AI136" s="12">
        <f t="shared" si="43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8"/>
        <v>0</v>
      </c>
      <c r="H137" s="12"/>
      <c r="I137" s="12"/>
      <c r="J137" s="12"/>
      <c r="K137" s="12">
        <f t="shared" si="39"/>
        <v>0</v>
      </c>
      <c r="M137" s="10">
        <v>16</v>
      </c>
      <c r="N137" s="30"/>
      <c r="P137" s="32"/>
      <c r="Q137" s="32"/>
      <c r="R137" s="32"/>
      <c r="S137" s="32">
        <f t="shared" si="40"/>
        <v>0</v>
      </c>
      <c r="T137" s="12"/>
      <c r="U137" s="12"/>
      <c r="V137" s="12"/>
      <c r="W137" s="12">
        <f t="shared" si="41"/>
        <v>0</v>
      </c>
      <c r="Y137" s="10">
        <v>16</v>
      </c>
      <c r="Z137" s="30"/>
      <c r="AB137" s="32"/>
      <c r="AC137" s="32"/>
      <c r="AD137" s="32"/>
      <c r="AE137" s="32">
        <f t="shared" si="48"/>
        <v>0</v>
      </c>
      <c r="AF137" s="12"/>
      <c r="AG137" s="12"/>
      <c r="AH137" s="12"/>
      <c r="AI137" s="12">
        <f t="shared" si="43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57"/>
      <c r="D138" s="32"/>
      <c r="E138" s="32"/>
      <c r="F138" s="32"/>
      <c r="G138" s="32">
        <f t="shared" si="38"/>
        <v>0</v>
      </c>
      <c r="H138" s="12"/>
      <c r="I138" s="12"/>
      <c r="J138" s="12"/>
      <c r="K138" s="12">
        <f t="shared" si="39"/>
        <v>0</v>
      </c>
      <c r="M138" s="10">
        <v>17</v>
      </c>
      <c r="N138" s="30"/>
      <c r="O138" s="31"/>
      <c r="P138" s="35"/>
      <c r="Q138" s="32"/>
      <c r="R138" s="32"/>
      <c r="S138" s="32">
        <f t="shared" si="40"/>
        <v>0</v>
      </c>
      <c r="T138" s="12"/>
      <c r="U138" s="12"/>
      <c r="V138" s="12"/>
      <c r="W138" s="12">
        <f t="shared" si="41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8"/>
        <v>0</v>
      </c>
      <c r="AF138" s="12"/>
      <c r="AG138" s="12"/>
      <c r="AH138" s="12"/>
      <c r="AI138" s="12">
        <f t="shared" si="43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57"/>
      <c r="D139" s="32"/>
      <c r="E139" s="32"/>
      <c r="F139" s="32"/>
      <c r="G139" s="32">
        <f t="shared" si="38"/>
        <v>0</v>
      </c>
      <c r="H139" s="12"/>
      <c r="I139" s="12"/>
      <c r="J139" s="12"/>
      <c r="K139" s="12">
        <f t="shared" si="39"/>
        <v>0</v>
      </c>
      <c r="M139" s="10">
        <v>18</v>
      </c>
      <c r="N139" s="30"/>
      <c r="O139" s="31"/>
      <c r="P139" s="32"/>
      <c r="Q139" s="32"/>
      <c r="R139" s="32"/>
      <c r="S139" s="32">
        <f t="shared" si="40"/>
        <v>0</v>
      </c>
      <c r="T139" s="12"/>
      <c r="U139" s="12"/>
      <c r="V139" s="12"/>
      <c r="W139" s="12">
        <f t="shared" si="41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8"/>
        <v>0</v>
      </c>
      <c r="AF139" s="12"/>
      <c r="AG139" s="12"/>
      <c r="AH139" s="12"/>
      <c r="AI139" s="12">
        <f t="shared" si="43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8"/>
        <v>0</v>
      </c>
      <c r="H140" s="12"/>
      <c r="I140" s="12"/>
      <c r="J140" s="12"/>
      <c r="K140" s="12">
        <f t="shared" si="39"/>
        <v>0</v>
      </c>
      <c r="M140" s="10">
        <v>19</v>
      </c>
      <c r="N140" s="30"/>
      <c r="O140" s="31"/>
      <c r="P140" s="32"/>
      <c r="Q140" s="32"/>
      <c r="R140" s="32"/>
      <c r="S140" s="32">
        <f t="shared" si="40"/>
        <v>0</v>
      </c>
      <c r="T140" s="12"/>
      <c r="U140" s="12"/>
      <c r="V140" s="12"/>
      <c r="W140" s="12">
        <f t="shared" si="41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8"/>
        <v>0</v>
      </c>
      <c r="AF140" s="12"/>
      <c r="AG140" s="12"/>
      <c r="AH140" s="12"/>
      <c r="AI140" s="12">
        <f t="shared" si="43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8"/>
        <v>0</v>
      </c>
      <c r="H141" s="12"/>
      <c r="I141" s="12"/>
      <c r="J141" s="12"/>
      <c r="K141" s="12">
        <f t="shared" si="39"/>
        <v>0</v>
      </c>
      <c r="M141" s="10">
        <v>20</v>
      </c>
      <c r="N141" s="30"/>
      <c r="O141" s="31"/>
      <c r="P141" s="32"/>
      <c r="Q141" s="32"/>
      <c r="R141" s="32"/>
      <c r="S141" s="32">
        <f t="shared" si="40"/>
        <v>0</v>
      </c>
      <c r="T141" s="12"/>
      <c r="U141" s="12"/>
      <c r="V141" s="12"/>
      <c r="W141" s="12">
        <f t="shared" si="41"/>
        <v>0</v>
      </c>
      <c r="Y141" s="10">
        <v>20</v>
      </c>
      <c r="Z141" s="30"/>
      <c r="AB141" s="32"/>
      <c r="AC141" s="32"/>
      <c r="AD141" s="32"/>
      <c r="AE141" s="32">
        <f t="shared" si="48"/>
        <v>0</v>
      </c>
      <c r="AF141" s="12"/>
      <c r="AG141" s="12"/>
      <c r="AH141" s="12"/>
      <c r="AI141" s="12">
        <f t="shared" si="43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38"/>
        <v>0</v>
      </c>
      <c r="H142" s="10"/>
      <c r="I142" s="10"/>
      <c r="J142" s="10"/>
      <c r="K142" s="12">
        <f t="shared" si="39"/>
        <v>0</v>
      </c>
      <c r="M142" s="10">
        <v>21</v>
      </c>
      <c r="N142" s="30"/>
      <c r="O142" s="31"/>
      <c r="P142" s="46"/>
      <c r="Q142" s="31"/>
      <c r="R142" s="31"/>
      <c r="S142" s="32">
        <f t="shared" si="40"/>
        <v>0</v>
      </c>
      <c r="T142" s="10"/>
      <c r="U142" s="10"/>
      <c r="V142" s="10"/>
      <c r="W142" s="12">
        <f t="shared" si="41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8"/>
        <v>0</v>
      </c>
      <c r="AF142" s="10"/>
      <c r="AG142" s="10"/>
      <c r="AH142" s="10"/>
      <c r="AI142" s="12">
        <f t="shared" si="43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8"/>
        <v>0</v>
      </c>
      <c r="H143" s="10"/>
      <c r="I143" s="10"/>
      <c r="J143" s="10"/>
      <c r="K143" s="12">
        <f t="shared" si="39"/>
        <v>0</v>
      </c>
      <c r="M143" s="10">
        <v>22</v>
      </c>
      <c r="N143" s="30"/>
      <c r="O143" s="31"/>
      <c r="P143" s="45"/>
      <c r="Q143" s="31"/>
      <c r="R143" s="31"/>
      <c r="S143" s="32">
        <f t="shared" si="40"/>
        <v>0</v>
      </c>
      <c r="T143" s="10"/>
      <c r="U143" s="10"/>
      <c r="V143" s="10"/>
      <c r="W143" s="12">
        <f t="shared" si="41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8"/>
        <v>0</v>
      </c>
      <c r="AF143" s="10"/>
      <c r="AG143" s="10"/>
      <c r="AH143" s="10"/>
      <c r="AI143" s="12">
        <f t="shared" si="43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8"/>
        <v>0</v>
      </c>
      <c r="H144" s="10"/>
      <c r="I144" s="10"/>
      <c r="J144" s="12"/>
      <c r="K144" s="12">
        <f t="shared" si="39"/>
        <v>0</v>
      </c>
      <c r="M144" s="10">
        <v>23</v>
      </c>
      <c r="N144" s="30"/>
      <c r="O144" s="31"/>
      <c r="P144" s="47"/>
      <c r="S144" s="32">
        <f t="shared" si="40"/>
        <v>0</v>
      </c>
      <c r="T144" s="10"/>
      <c r="U144" s="10"/>
      <c r="V144" s="10"/>
      <c r="W144" s="12">
        <f t="shared" si="41"/>
        <v>0</v>
      </c>
      <c r="Y144" s="10">
        <v>23</v>
      </c>
      <c r="Z144" s="30"/>
      <c r="AA144" s="31"/>
      <c r="AB144" s="47"/>
      <c r="AE144" s="32">
        <f t="shared" si="48"/>
        <v>0</v>
      </c>
      <c r="AF144" s="10"/>
      <c r="AG144" s="10"/>
      <c r="AH144" s="10"/>
      <c r="AI144" s="12">
        <f t="shared" si="43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8"/>
        <v>0</v>
      </c>
      <c r="H145" s="10"/>
      <c r="I145" s="10"/>
      <c r="J145" s="10"/>
      <c r="K145" s="12">
        <f t="shared" si="39"/>
        <v>0</v>
      </c>
      <c r="M145" s="10">
        <v>24</v>
      </c>
      <c r="N145" s="30"/>
      <c r="O145" s="31"/>
      <c r="P145" s="47"/>
      <c r="Q145" s="31"/>
      <c r="R145" s="31"/>
      <c r="S145" s="32">
        <f t="shared" si="40"/>
        <v>0</v>
      </c>
      <c r="T145" s="10"/>
      <c r="U145" s="10"/>
      <c r="V145" s="10"/>
      <c r="W145" s="12">
        <f t="shared" si="41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8"/>
        <v>0</v>
      </c>
      <c r="AF145" s="10"/>
      <c r="AG145" s="10"/>
      <c r="AH145" s="10"/>
      <c r="AI145" s="12">
        <f t="shared" si="43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8"/>
        <v>0</v>
      </c>
      <c r="H146" s="10"/>
      <c r="I146" s="10"/>
      <c r="J146" s="10"/>
      <c r="K146" s="12">
        <f t="shared" si="39"/>
        <v>0</v>
      </c>
      <c r="M146" s="10">
        <v>25</v>
      </c>
      <c r="N146" s="30"/>
      <c r="O146" s="31"/>
      <c r="P146" s="47"/>
      <c r="Q146" s="31"/>
      <c r="R146" s="31"/>
      <c r="S146" s="32">
        <f t="shared" si="40"/>
        <v>0</v>
      </c>
      <c r="T146" s="10"/>
      <c r="U146" s="10"/>
      <c r="V146" s="10"/>
      <c r="W146" s="12">
        <f t="shared" si="41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8"/>
        <v>0</v>
      </c>
      <c r="AF146" s="10"/>
      <c r="AG146" s="10"/>
      <c r="AH146" s="10"/>
      <c r="AI146" s="12">
        <f t="shared" si="43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8"/>
        <v>0</v>
      </c>
      <c r="H147" s="10"/>
      <c r="I147" s="10"/>
      <c r="J147" s="10"/>
      <c r="K147" s="12">
        <f t="shared" si="39"/>
        <v>0</v>
      </c>
      <c r="M147" s="10">
        <v>26</v>
      </c>
      <c r="N147" s="30"/>
      <c r="O147" s="31"/>
      <c r="P147" s="47"/>
      <c r="Q147" s="31"/>
      <c r="R147" s="31"/>
      <c r="S147" s="32">
        <f t="shared" si="40"/>
        <v>0</v>
      </c>
      <c r="T147" s="10"/>
      <c r="U147" s="10"/>
      <c r="V147" s="10"/>
      <c r="W147" s="12">
        <f t="shared" si="41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8"/>
        <v>0</v>
      </c>
      <c r="AF147" s="10"/>
      <c r="AG147" s="10"/>
      <c r="AH147" s="10"/>
      <c r="AI147" s="12">
        <f t="shared" si="43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8"/>
        <v>0</v>
      </c>
      <c r="H148" s="10"/>
      <c r="I148" s="10"/>
      <c r="J148" s="10"/>
      <c r="K148" s="12">
        <f t="shared" si="39"/>
        <v>0</v>
      </c>
      <c r="M148" s="10">
        <v>27</v>
      </c>
      <c r="N148" s="30"/>
      <c r="O148" s="31"/>
      <c r="P148" s="47"/>
      <c r="Q148" s="31"/>
      <c r="R148" s="31"/>
      <c r="S148" s="32">
        <f t="shared" si="40"/>
        <v>0</v>
      </c>
      <c r="T148" s="10"/>
      <c r="U148" s="10"/>
      <c r="V148" s="10"/>
      <c r="W148" s="12">
        <f t="shared" si="41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8"/>
        <v>0</v>
      </c>
      <c r="AF148" s="10"/>
      <c r="AG148" s="10"/>
      <c r="AH148" s="10"/>
      <c r="AI148" s="12">
        <f t="shared" si="43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8"/>
        <v>0</v>
      </c>
      <c r="H149" s="10"/>
      <c r="I149" s="10"/>
      <c r="J149" s="10"/>
      <c r="K149" s="12">
        <f t="shared" si="39"/>
        <v>0</v>
      </c>
      <c r="M149" s="10">
        <v>28</v>
      </c>
      <c r="N149" s="30"/>
      <c r="O149" s="31"/>
      <c r="P149" s="47"/>
      <c r="Q149" s="31"/>
      <c r="R149" s="31"/>
      <c r="S149" s="32">
        <f t="shared" si="40"/>
        <v>0</v>
      </c>
      <c r="T149" s="10"/>
      <c r="U149" s="10"/>
      <c r="V149" s="10"/>
      <c r="W149" s="12">
        <f t="shared" si="41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8"/>
        <v>0</v>
      </c>
      <c r="AF149" s="10"/>
      <c r="AG149" s="10"/>
      <c r="AH149" s="10"/>
      <c r="AI149" s="12">
        <f t="shared" si="43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38"/>
        <v>0</v>
      </c>
      <c r="H150" s="10"/>
      <c r="I150" s="10"/>
      <c r="J150" s="10"/>
      <c r="K150" s="12">
        <f t="shared" si="39"/>
        <v>0</v>
      </c>
      <c r="M150" s="10">
        <v>29</v>
      </c>
      <c r="N150" s="30"/>
      <c r="O150" s="31"/>
      <c r="P150" s="47"/>
      <c r="Q150" s="31"/>
      <c r="R150" s="31"/>
      <c r="S150" s="32">
        <f t="shared" si="40"/>
        <v>0</v>
      </c>
      <c r="T150" s="10"/>
      <c r="U150" s="10"/>
      <c r="V150" s="10"/>
      <c r="W150" s="12">
        <f t="shared" si="41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8"/>
        <v>0</v>
      </c>
      <c r="AF150" s="10"/>
      <c r="AG150" s="10"/>
      <c r="AH150" s="10"/>
      <c r="AI150" s="12">
        <f t="shared" si="43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8"/>
        <v>0</v>
      </c>
      <c r="H151" s="10"/>
      <c r="I151" s="10"/>
      <c r="J151" s="10"/>
      <c r="K151" s="12">
        <f t="shared" si="39"/>
        <v>0</v>
      </c>
      <c r="M151" s="10">
        <v>30</v>
      </c>
      <c r="N151" s="30"/>
      <c r="O151" s="31"/>
      <c r="P151" s="47"/>
      <c r="Q151" s="31"/>
      <c r="R151" s="31"/>
      <c r="S151" s="32">
        <f t="shared" si="40"/>
        <v>0</v>
      </c>
      <c r="T151" s="10"/>
      <c r="U151" s="10"/>
      <c r="V151" s="10"/>
      <c r="W151" s="12">
        <f t="shared" si="41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8"/>
        <v>0</v>
      </c>
      <c r="AF151" s="10"/>
      <c r="AG151" s="10"/>
      <c r="AH151" s="10"/>
      <c r="AI151" s="12">
        <f t="shared" si="43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8"/>
        <v>0</v>
      </c>
      <c r="H152" s="10"/>
      <c r="I152" s="10"/>
      <c r="J152" s="10"/>
      <c r="K152" s="12">
        <f t="shared" si="39"/>
        <v>0</v>
      </c>
      <c r="M152" s="10">
        <v>31</v>
      </c>
      <c r="N152" s="30"/>
      <c r="O152" s="31"/>
      <c r="P152" s="47"/>
      <c r="Q152" s="31"/>
      <c r="R152" s="31"/>
      <c r="S152" s="32">
        <f t="shared" si="40"/>
        <v>0</v>
      </c>
      <c r="T152" s="10"/>
      <c r="U152" s="10"/>
      <c r="V152" s="10"/>
      <c r="W152" s="12">
        <f t="shared" si="41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8"/>
        <v>0</v>
      </c>
      <c r="AF152" s="10"/>
      <c r="AG152" s="10"/>
      <c r="AH152" s="10"/>
      <c r="AI152" s="12">
        <f t="shared" si="43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8"/>
        <v>0</v>
      </c>
      <c r="H153" s="10"/>
      <c r="I153" s="10"/>
      <c r="J153" s="10"/>
      <c r="K153" s="12">
        <f t="shared" si="39"/>
        <v>0</v>
      </c>
      <c r="M153" s="10">
        <v>32</v>
      </c>
      <c r="N153" s="30"/>
      <c r="O153" s="31"/>
      <c r="P153" s="47"/>
      <c r="Q153" s="31"/>
      <c r="R153" s="31"/>
      <c r="S153" s="32">
        <f t="shared" si="40"/>
        <v>0</v>
      </c>
      <c r="T153" s="10"/>
      <c r="U153" s="10"/>
      <c r="V153" s="10"/>
      <c r="W153" s="12">
        <f t="shared" si="41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8"/>
        <v>0</v>
      </c>
      <c r="AF153" s="10"/>
      <c r="AG153" s="10"/>
      <c r="AH153" s="10"/>
      <c r="AI153" s="12">
        <f t="shared" si="43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8"/>
        <v>0</v>
      </c>
      <c r="H154" s="10"/>
      <c r="I154" s="10"/>
      <c r="J154" s="10"/>
      <c r="K154" s="12">
        <f t="shared" si="39"/>
        <v>0</v>
      </c>
      <c r="M154" s="10">
        <v>33</v>
      </c>
      <c r="N154" s="30"/>
      <c r="O154" s="31"/>
      <c r="P154" s="47"/>
      <c r="Q154" s="31"/>
      <c r="R154" s="31"/>
      <c r="S154" s="32">
        <f t="shared" si="40"/>
        <v>0</v>
      </c>
      <c r="T154" s="10"/>
      <c r="U154" s="10"/>
      <c r="V154" s="10"/>
      <c r="W154" s="12">
        <f t="shared" si="41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8"/>
        <v>0</v>
      </c>
      <c r="AF154" s="10"/>
      <c r="AG154" s="10"/>
      <c r="AH154" s="10"/>
      <c r="AI154" s="12">
        <f t="shared" si="43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8"/>
        <v>0</v>
      </c>
      <c r="H155" s="10"/>
      <c r="I155" s="10"/>
      <c r="J155" s="10"/>
      <c r="K155" s="12">
        <f t="shared" si="39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9">SUM(P155:Q155)</f>
        <v>0</v>
      </c>
      <c r="T155" s="10"/>
      <c r="U155" s="10"/>
      <c r="V155" s="10"/>
      <c r="W155" s="12">
        <f t="shared" si="41"/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50">SUM(AB155:AC155)</f>
        <v>0</v>
      </c>
      <c r="AF155" s="10"/>
      <c r="AG155" s="10"/>
      <c r="AH155" s="10"/>
      <c r="AI155" s="12">
        <f t="shared" ref="AI155:AI163" si="51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9"/>
        <v>0</v>
      </c>
      <c r="T156" s="10"/>
      <c r="U156" s="10"/>
      <c r="V156" s="10"/>
      <c r="W156" s="12">
        <f t="shared" si="41"/>
        <v>0</v>
      </c>
      <c r="Y156" s="10">
        <v>35</v>
      </c>
      <c r="Z156" s="30"/>
      <c r="AA156" s="31"/>
      <c r="AB156" s="47"/>
      <c r="AC156" s="31"/>
      <c r="AD156" s="31"/>
      <c r="AE156" s="32">
        <f t="shared" si="50"/>
        <v>0</v>
      </c>
      <c r="AF156" s="10"/>
      <c r="AG156" s="10"/>
      <c r="AH156" s="10"/>
      <c r="AI156" s="12">
        <f t="shared" si="51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9"/>
        <v>0</v>
      </c>
      <c r="T157" s="10"/>
      <c r="U157" s="10"/>
      <c r="V157" s="10"/>
      <c r="W157" s="12">
        <f t="shared" si="41"/>
        <v>0</v>
      </c>
      <c r="Y157" s="10">
        <v>36</v>
      </c>
      <c r="Z157" s="30"/>
      <c r="AA157" s="31"/>
      <c r="AB157" s="47"/>
      <c r="AC157" s="31"/>
      <c r="AD157" s="31"/>
      <c r="AE157" s="32">
        <f t="shared" si="50"/>
        <v>0</v>
      </c>
      <c r="AF157" s="10"/>
      <c r="AG157" s="10"/>
      <c r="AH157" s="10"/>
      <c r="AI157" s="12">
        <f t="shared" si="51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9"/>
        <v>0</v>
      </c>
      <c r="T158" s="10"/>
      <c r="U158" s="10"/>
      <c r="V158" s="10"/>
      <c r="W158" s="12">
        <f t="shared" si="41"/>
        <v>0</v>
      </c>
      <c r="Y158" s="10">
        <v>37</v>
      </c>
      <c r="Z158" s="30"/>
      <c r="AA158" s="31"/>
      <c r="AB158" s="47"/>
      <c r="AC158" s="31"/>
      <c r="AD158" s="31"/>
      <c r="AE158" s="32">
        <f t="shared" si="50"/>
        <v>0</v>
      </c>
      <c r="AF158" s="10"/>
      <c r="AG158" s="10"/>
      <c r="AH158" s="10"/>
      <c r="AI158" s="12">
        <f t="shared" si="51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9"/>
        <v>0</v>
      </c>
      <c r="T159" s="10"/>
      <c r="U159" s="10"/>
      <c r="V159" s="10"/>
      <c r="W159" s="12">
        <f t="shared" si="41"/>
        <v>0</v>
      </c>
      <c r="Y159" s="10">
        <v>38</v>
      </c>
      <c r="Z159" s="30"/>
      <c r="AA159" s="31"/>
      <c r="AB159" s="47"/>
      <c r="AC159" s="31"/>
      <c r="AD159" s="31"/>
      <c r="AE159" s="32">
        <f t="shared" si="50"/>
        <v>0</v>
      </c>
      <c r="AF159" s="10"/>
      <c r="AG159" s="10"/>
      <c r="AH159" s="10"/>
      <c r="AI159" s="12">
        <f t="shared" si="51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9"/>
        <v>0</v>
      </c>
      <c r="T160" s="10"/>
      <c r="U160" s="10"/>
      <c r="V160" s="10"/>
      <c r="W160" s="12">
        <f t="shared" si="41"/>
        <v>0</v>
      </c>
      <c r="Y160" s="10">
        <v>39</v>
      </c>
      <c r="Z160" s="30"/>
      <c r="AA160" s="31"/>
      <c r="AB160" s="47"/>
      <c r="AC160" s="31"/>
      <c r="AD160" s="31"/>
      <c r="AE160" s="32">
        <f t="shared" si="50"/>
        <v>0</v>
      </c>
      <c r="AF160" s="10"/>
      <c r="AG160" s="10"/>
      <c r="AH160" s="10"/>
      <c r="AI160" s="12">
        <f t="shared" si="51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41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1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2">SUM(D162:E162)</f>
        <v>0</v>
      </c>
      <c r="H162" s="10"/>
      <c r="I162" s="10"/>
      <c r="J162" s="10"/>
      <c r="K162" s="12">
        <f t="shared" ref="K162" si="53">SUM(G162:J162)</f>
        <v>0</v>
      </c>
      <c r="M162" s="10"/>
      <c r="N162" s="30"/>
      <c r="O162" s="31"/>
      <c r="P162" s="47"/>
      <c r="Q162" s="31"/>
      <c r="R162" s="31"/>
      <c r="S162" s="32">
        <f t="shared" ref="S162" si="54">SUM(P162:Q162)</f>
        <v>0</v>
      </c>
      <c r="T162" s="10"/>
      <c r="U162" s="10"/>
      <c r="V162" s="10"/>
      <c r="W162" s="12">
        <f t="shared" si="41"/>
        <v>0</v>
      </c>
      <c r="Y162" s="10"/>
      <c r="Z162" s="30"/>
      <c r="AA162" s="31"/>
      <c r="AB162" s="47"/>
      <c r="AC162" s="31"/>
      <c r="AD162" s="31"/>
      <c r="AE162" s="32">
        <f t="shared" ref="AE162" si="55">SUM(AB162:AC162)</f>
        <v>0</v>
      </c>
      <c r="AF162" s="10"/>
      <c r="AG162" s="10"/>
      <c r="AH162" s="10"/>
      <c r="AI162" s="12">
        <f t="shared" si="51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41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1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802906.5</v>
      </c>
      <c r="E165" s="38">
        <f t="shared" ref="E165:F165" si="56">SUM(E122:E162)</f>
        <v>-6552</v>
      </c>
      <c r="F165" s="38">
        <f t="shared" si="56"/>
        <v>0</v>
      </c>
      <c r="G165" s="38">
        <f>SUM(G122:G164)</f>
        <v>796354.5</v>
      </c>
      <c r="H165" s="4"/>
      <c r="I165" s="39">
        <f>SUM(I122:I164)</f>
        <v>8718</v>
      </c>
      <c r="J165" s="39">
        <f>SUM(J122:J164)</f>
        <v>-8703</v>
      </c>
      <c r="K165" s="40">
        <f>SUM(K122:K164)</f>
        <v>796369.5</v>
      </c>
      <c r="N165" s="57"/>
      <c r="O165" s="57"/>
      <c r="P165" s="38">
        <f>SUM(P122:P164)</f>
        <v>416632</v>
      </c>
      <c r="Q165" s="38">
        <f>SUM(Q122:Q146)</f>
        <v>-3006</v>
      </c>
      <c r="R165" s="38">
        <f>SUM(R122:R146)</f>
        <v>0</v>
      </c>
      <c r="S165" s="38">
        <f>SUM(S122:S164)</f>
        <v>413626</v>
      </c>
      <c r="T165" s="4"/>
      <c r="U165" s="41">
        <f>SUM(U122:U164)</f>
        <v>3532.5</v>
      </c>
      <c r="V165" s="41">
        <f>SUM(V122:V146)</f>
        <v>-3084</v>
      </c>
      <c r="W165" s="42">
        <f>SUM(W122:W164)</f>
        <v>414074.5</v>
      </c>
      <c r="Z165" s="57"/>
      <c r="AA165" s="57"/>
      <c r="AB165" s="38">
        <f>SUM(AB122:AB164)</f>
        <v>437596</v>
      </c>
      <c r="AC165" s="38">
        <f>SUM(AC122:AC146)</f>
        <v>-1866</v>
      </c>
      <c r="AD165" s="38">
        <f>SUM(AD122:AD146)</f>
        <v>0</v>
      </c>
      <c r="AE165" s="38">
        <f>SUM(AE122:AE164)</f>
        <v>435730</v>
      </c>
      <c r="AF165" s="4"/>
      <c r="AG165" s="41">
        <f>SUM(AG122:AG164)</f>
        <v>339</v>
      </c>
      <c r="AH165" s="41">
        <f>SUM(AH122:AH146)</f>
        <v>-3691.5</v>
      </c>
      <c r="AI165" s="42">
        <f>SUM(AI122:AI164)</f>
        <v>432377.5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48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48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48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49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49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21" t="s">
        <v>49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34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12" t="s">
        <v>17</v>
      </c>
      <c r="E175" s="112"/>
      <c r="F175" s="94"/>
      <c r="G175" s="27"/>
      <c r="I175" s="110" t="s">
        <v>18</v>
      </c>
      <c r="J175" s="111"/>
      <c r="K175" s="108" t="s">
        <v>19</v>
      </c>
      <c r="N175" s="25"/>
      <c r="O175" s="26"/>
      <c r="P175" s="112" t="s">
        <v>17</v>
      </c>
      <c r="Q175" s="112"/>
      <c r="R175" s="94"/>
      <c r="S175" s="27"/>
      <c r="U175" s="110" t="s">
        <v>18</v>
      </c>
      <c r="V175" s="111"/>
      <c r="W175" s="108" t="s">
        <v>19</v>
      </c>
      <c r="Z175" s="25"/>
      <c r="AA175" s="26"/>
      <c r="AB175" s="112" t="s">
        <v>17</v>
      </c>
      <c r="AC175" s="112"/>
      <c r="AD175" s="94"/>
      <c r="AE175" s="27"/>
      <c r="AG175" s="110" t="s">
        <v>18</v>
      </c>
      <c r="AH175" s="111"/>
      <c r="AI175" s="108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09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09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32</v>
      </c>
      <c r="AE176" s="78" t="s">
        <v>24</v>
      </c>
      <c r="AG176" s="29" t="s">
        <v>25</v>
      </c>
      <c r="AH176" s="29" t="s">
        <v>26</v>
      </c>
      <c r="AI176" s="109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46207</v>
      </c>
      <c r="C177" s="83">
        <v>9979</v>
      </c>
      <c r="D177" s="32">
        <f>650*324+229*13</f>
        <v>213577</v>
      </c>
      <c r="E177" s="32">
        <f>-324*6</f>
        <v>-1944</v>
      </c>
      <c r="F177" s="32"/>
      <c r="G177" s="32">
        <f t="shared" ref="G177:G210" si="57">SUM(D177:E177)</f>
        <v>211633</v>
      </c>
      <c r="H177" s="12"/>
      <c r="I177" s="12">
        <f>5994+252</f>
        <v>6246</v>
      </c>
      <c r="J177" s="12"/>
      <c r="K177" s="12">
        <f t="shared" ref="K177:K210" si="58">SUM(G177:J177)</f>
        <v>217879</v>
      </c>
      <c r="M177" s="10">
        <v>1</v>
      </c>
      <c r="N177" s="30">
        <v>46207</v>
      </c>
      <c r="O177" s="31">
        <v>10052</v>
      </c>
      <c r="P177" s="32">
        <f>650*5+9.5*5</f>
        <v>3297.5</v>
      </c>
      <c r="Q177" s="32"/>
      <c r="R177" s="32"/>
      <c r="S177" s="32">
        <f>SUM(P177:Q177)</f>
        <v>3297.5</v>
      </c>
      <c r="T177" s="12"/>
      <c r="U177" s="12"/>
      <c r="V177" s="12"/>
      <c r="W177" s="12">
        <f>SUM(S177:V177)</f>
        <v>3297.5</v>
      </c>
      <c r="Y177" s="10">
        <v>1</v>
      </c>
      <c r="Z177" s="30">
        <v>46207</v>
      </c>
      <c r="AA177" s="31">
        <v>10001</v>
      </c>
      <c r="AB177" s="32">
        <f>650*13+15*650</f>
        <v>18200</v>
      </c>
      <c r="AC177" s="32"/>
      <c r="AD177" s="32"/>
      <c r="AE177" s="32">
        <f>SUM(AB177:AC177)</f>
        <v>18200</v>
      </c>
      <c r="AF177" s="12"/>
      <c r="AG177" s="12"/>
      <c r="AH177" s="12"/>
      <c r="AI177" s="12">
        <f>SUM(AE177:AH177)</f>
        <v>18200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46207</v>
      </c>
      <c r="C178" s="83">
        <f>C177+1</f>
        <v>9980</v>
      </c>
      <c r="D178" s="32">
        <f>650*216+622*30</f>
        <v>159060</v>
      </c>
      <c r="E178" s="32">
        <f>-246*6</f>
        <v>-1476</v>
      </c>
      <c r="F178" s="32"/>
      <c r="G178" s="32">
        <f t="shared" si="57"/>
        <v>157584</v>
      </c>
      <c r="H178" s="12"/>
      <c r="I178" s="12">
        <v>27306</v>
      </c>
      <c r="J178" s="12"/>
      <c r="K178" s="12">
        <f t="shared" si="58"/>
        <v>184890</v>
      </c>
      <c r="M178" s="10">
        <v>2</v>
      </c>
      <c r="N178" s="30">
        <v>46207</v>
      </c>
      <c r="O178" s="31">
        <f>O177+1</f>
        <v>10053</v>
      </c>
      <c r="P178" s="32">
        <f>650*27+872</f>
        <v>18422</v>
      </c>
      <c r="Q178" s="32"/>
      <c r="R178" s="32"/>
      <c r="S178" s="32">
        <f t="shared" ref="S178:S215" si="59">SUM(P178:Q178)</f>
        <v>18422</v>
      </c>
      <c r="T178" s="12"/>
      <c r="U178" s="12"/>
      <c r="V178" s="12"/>
      <c r="W178" s="12">
        <f t="shared" ref="W178:W218" si="60">SUM(S178:V178)</f>
        <v>18422</v>
      </c>
      <c r="Y178" s="10">
        <v>2</v>
      </c>
      <c r="Z178" s="30">
        <v>46207</v>
      </c>
      <c r="AA178" s="31">
        <f>AA177+1</f>
        <v>10002</v>
      </c>
      <c r="AB178" s="32">
        <f>650*432+670*9+622*108+872*11+229*20+650*3</f>
        <v>370128</v>
      </c>
      <c r="AC178" s="32">
        <f>-560*6</f>
        <v>-3360</v>
      </c>
      <c r="AD178" s="32"/>
      <c r="AE178" s="32">
        <f t="shared" ref="AE178:AE180" si="61">SUM(AB178:AC178)</f>
        <v>366768</v>
      </c>
      <c r="AF178" s="12"/>
      <c r="AG178" s="12"/>
      <c r="AH178" s="12"/>
      <c r="AI178" s="12">
        <f t="shared" ref="AI178:AI209" si="62">SUM(AE178:AH178)</f>
        <v>366768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46207</v>
      </c>
      <c r="C179" s="83">
        <f t="shared" ref="C179:C180" si="63">C178+1</f>
        <v>9981</v>
      </c>
      <c r="D179" s="33">
        <f>650*100+670*5+622*4+912*3+872*3+500*2</f>
        <v>77190</v>
      </c>
      <c r="E179" s="32"/>
      <c r="F179" s="33"/>
      <c r="G179" s="33">
        <f t="shared" si="57"/>
        <v>77190</v>
      </c>
      <c r="H179" s="34"/>
      <c r="I179" s="34">
        <v>360</v>
      </c>
      <c r="J179" s="34">
        <v>-8214</v>
      </c>
      <c r="K179" s="34">
        <f t="shared" si="58"/>
        <v>69336</v>
      </c>
      <c r="M179" s="10">
        <v>3</v>
      </c>
      <c r="N179" s="30">
        <v>46207</v>
      </c>
      <c r="O179" s="31">
        <f t="shared" ref="O179:O189" si="64">O178+1</f>
        <v>10054</v>
      </c>
      <c r="P179" s="32">
        <f>650*35+670+872</f>
        <v>24292</v>
      </c>
      <c r="Q179" s="32"/>
      <c r="R179" s="32"/>
      <c r="S179" s="32">
        <f t="shared" si="59"/>
        <v>24292</v>
      </c>
      <c r="T179" s="12"/>
      <c r="U179" s="12">
        <v>108</v>
      </c>
      <c r="V179" s="12"/>
      <c r="W179" s="12">
        <f t="shared" si="60"/>
        <v>24400</v>
      </c>
      <c r="Y179" s="10">
        <v>3</v>
      </c>
      <c r="Z179" s="30">
        <v>46207</v>
      </c>
      <c r="AA179" s="31">
        <f t="shared" ref="AA179:AA183" si="65">AA178+1</f>
        <v>10003</v>
      </c>
      <c r="AB179" s="33">
        <f>650*108+229*4</f>
        <v>71116</v>
      </c>
      <c r="AC179" s="33">
        <f>-108*6</f>
        <v>-648</v>
      </c>
      <c r="AD179" s="32"/>
      <c r="AE179" s="32">
        <f t="shared" si="61"/>
        <v>70468</v>
      </c>
      <c r="AF179" s="12"/>
      <c r="AG179" s="12"/>
      <c r="AH179" s="12"/>
      <c r="AI179" s="12">
        <f t="shared" si="62"/>
        <v>70468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46207</v>
      </c>
      <c r="C180" s="83">
        <f t="shared" si="63"/>
        <v>9982</v>
      </c>
      <c r="D180" s="32">
        <f>650*7</f>
        <v>4550</v>
      </c>
      <c r="E180" s="32"/>
      <c r="F180" s="32"/>
      <c r="G180" s="32">
        <f t="shared" si="57"/>
        <v>4550</v>
      </c>
      <c r="H180" s="12"/>
      <c r="I180" s="12"/>
      <c r="J180" s="12"/>
      <c r="K180" s="12">
        <f t="shared" si="58"/>
        <v>4550</v>
      </c>
      <c r="M180" s="10">
        <v>4</v>
      </c>
      <c r="N180" s="30">
        <v>46207</v>
      </c>
      <c r="O180" s="31">
        <f t="shared" si="64"/>
        <v>10055</v>
      </c>
      <c r="P180" s="32">
        <f>650*23+670+622*2</f>
        <v>16864</v>
      </c>
      <c r="Q180" s="32"/>
      <c r="R180" s="32"/>
      <c r="S180" s="32">
        <f t="shared" si="59"/>
        <v>16864</v>
      </c>
      <c r="T180" s="12"/>
      <c r="U180" s="12">
        <v>54</v>
      </c>
      <c r="V180" s="12"/>
      <c r="W180" s="12">
        <f t="shared" si="60"/>
        <v>16918</v>
      </c>
      <c r="Y180" s="10">
        <v>4</v>
      </c>
      <c r="Z180" s="30">
        <v>46207</v>
      </c>
      <c r="AA180" s="31">
        <f t="shared" si="65"/>
        <v>10004</v>
      </c>
      <c r="AB180" s="32">
        <f>1102</f>
        <v>1102</v>
      </c>
      <c r="AC180" s="32"/>
      <c r="AD180" s="32"/>
      <c r="AE180" s="32">
        <f t="shared" si="61"/>
        <v>1102</v>
      </c>
      <c r="AF180" s="12"/>
      <c r="AH180" s="12"/>
      <c r="AI180" s="12">
        <f t="shared" si="62"/>
        <v>1102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11" t="s">
        <v>27</v>
      </c>
      <c r="D181" s="32"/>
      <c r="E181" s="32"/>
      <c r="F181" s="32"/>
      <c r="G181" s="32">
        <f t="shared" si="57"/>
        <v>0</v>
      </c>
      <c r="H181" s="12"/>
      <c r="I181" s="12"/>
      <c r="J181" s="12"/>
      <c r="K181" s="12">
        <f t="shared" si="58"/>
        <v>0</v>
      </c>
      <c r="M181" s="10">
        <v>5</v>
      </c>
      <c r="N181" s="30">
        <v>46207</v>
      </c>
      <c r="O181" s="31">
        <f t="shared" si="64"/>
        <v>10056</v>
      </c>
      <c r="P181" s="32">
        <f>650*6+9.5*6</f>
        <v>3957</v>
      </c>
      <c r="Q181" s="32"/>
      <c r="R181" s="32"/>
      <c r="S181" s="32">
        <f t="shared" si="59"/>
        <v>3957</v>
      </c>
      <c r="T181" s="12"/>
      <c r="U181" s="12"/>
      <c r="V181" s="12"/>
      <c r="W181" s="12">
        <f t="shared" si="60"/>
        <v>3957</v>
      </c>
      <c r="Y181" s="10">
        <v>5</v>
      </c>
      <c r="Z181" s="30">
        <v>46207</v>
      </c>
      <c r="AA181" s="31">
        <f t="shared" si="65"/>
        <v>10005</v>
      </c>
      <c r="AB181" s="32">
        <f>650*50+229</f>
        <v>32729</v>
      </c>
      <c r="AC181" s="32">
        <f>-50*6</f>
        <v>-300</v>
      </c>
      <c r="AD181" s="32"/>
      <c r="AE181" s="32">
        <f t="shared" ref="AE181:AE186" si="66">SUM(AB181:AC181)</f>
        <v>32429</v>
      </c>
      <c r="AF181" s="12"/>
      <c r="AG181" s="12"/>
      <c r="AH181" s="12">
        <f>-111*20</f>
        <v>-2220</v>
      </c>
      <c r="AI181" s="12">
        <f t="shared" si="62"/>
        <v>30209</v>
      </c>
      <c r="AK181" s="62"/>
      <c r="AL181" s="65"/>
      <c r="AM181" s="86"/>
      <c r="AN181" s="107"/>
      <c r="AO181" s="107"/>
      <c r="AP181" s="86"/>
      <c r="AQ181" s="62"/>
      <c r="AR181" s="107"/>
      <c r="AS181" s="107"/>
      <c r="AT181" s="106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C182" s="83"/>
      <c r="D182" s="32"/>
      <c r="E182" s="32"/>
      <c r="F182" s="32"/>
      <c r="G182" s="32">
        <f t="shared" si="57"/>
        <v>0</v>
      </c>
      <c r="H182" s="12"/>
      <c r="I182" s="12"/>
      <c r="J182" s="12"/>
      <c r="K182" s="12">
        <f t="shared" si="58"/>
        <v>0</v>
      </c>
      <c r="M182" s="10">
        <v>6</v>
      </c>
      <c r="N182" s="30">
        <v>46207</v>
      </c>
      <c r="O182" s="31">
        <f t="shared" si="64"/>
        <v>10057</v>
      </c>
      <c r="P182" s="32">
        <f>650*2+670*2+622*2+9.5*4</f>
        <v>3922</v>
      </c>
      <c r="Q182" s="32"/>
      <c r="R182" s="32"/>
      <c r="S182" s="32">
        <f t="shared" si="59"/>
        <v>3922</v>
      </c>
      <c r="T182" s="12"/>
      <c r="U182" s="12">
        <v>27</v>
      </c>
      <c r="V182" s="10"/>
      <c r="W182" s="12">
        <f t="shared" si="60"/>
        <v>3949</v>
      </c>
      <c r="Y182" s="10">
        <v>6</v>
      </c>
      <c r="Z182" s="30">
        <v>46207</v>
      </c>
      <c r="AA182" s="31">
        <f t="shared" si="65"/>
        <v>10006</v>
      </c>
      <c r="AB182" s="32">
        <f>650*66+229*2</f>
        <v>43358</v>
      </c>
      <c r="AC182" s="32"/>
      <c r="AD182" s="32"/>
      <c r="AE182" s="32">
        <f t="shared" si="66"/>
        <v>43358</v>
      </c>
      <c r="AF182" s="12"/>
      <c r="AG182" s="12">
        <v>72</v>
      </c>
      <c r="AH182" s="10">
        <f>-111*20</f>
        <v>-2220</v>
      </c>
      <c r="AI182" s="12">
        <f t="shared" si="62"/>
        <v>41210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06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3"/>
      <c r="D183" s="32"/>
      <c r="E183" s="32"/>
      <c r="F183" s="32"/>
      <c r="G183" s="32">
        <f t="shared" si="57"/>
        <v>0</v>
      </c>
      <c r="H183" s="12"/>
      <c r="I183" s="12"/>
      <c r="J183" s="12"/>
      <c r="K183" s="12">
        <f t="shared" si="58"/>
        <v>0</v>
      </c>
      <c r="M183" s="10">
        <v>7</v>
      </c>
      <c r="N183" s="30">
        <v>46207</v>
      </c>
      <c r="O183" s="31">
        <f t="shared" si="64"/>
        <v>10058</v>
      </c>
      <c r="P183" s="32">
        <f>650*15+9.5*15</f>
        <v>9892.5</v>
      </c>
      <c r="Q183" s="32"/>
      <c r="R183" s="32"/>
      <c r="S183" s="32">
        <f t="shared" si="59"/>
        <v>9892.5</v>
      </c>
      <c r="T183" s="12"/>
      <c r="U183" s="12"/>
      <c r="V183" s="12"/>
      <c r="W183" s="12">
        <f t="shared" si="60"/>
        <v>9892.5</v>
      </c>
      <c r="Y183" s="10">
        <v>7</v>
      </c>
      <c r="Z183" s="30">
        <v>46207</v>
      </c>
      <c r="AA183" s="31">
        <f t="shared" si="65"/>
        <v>10007</v>
      </c>
      <c r="AB183" s="32">
        <f>650*100+1102*6+229*4</f>
        <v>72528</v>
      </c>
      <c r="AC183" s="32">
        <f>-106*6</f>
        <v>-636</v>
      </c>
      <c r="AD183" s="32"/>
      <c r="AE183" s="32">
        <f>SUM(AB183:AC183)</f>
        <v>71892</v>
      </c>
      <c r="AF183" s="12"/>
      <c r="AG183" s="58"/>
      <c r="AH183" s="12">
        <f>-360+-78+-126</f>
        <v>-564</v>
      </c>
      <c r="AI183" s="12">
        <f t="shared" si="62"/>
        <v>71328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3"/>
      <c r="D184" s="32"/>
      <c r="E184" s="32"/>
      <c r="F184" s="32"/>
      <c r="G184" s="32">
        <f t="shared" si="57"/>
        <v>0</v>
      </c>
      <c r="H184" s="12"/>
      <c r="I184" s="12"/>
      <c r="J184" s="12"/>
      <c r="K184" s="12">
        <f t="shared" si="58"/>
        <v>0</v>
      </c>
      <c r="M184" s="10">
        <v>8</v>
      </c>
      <c r="N184" s="30">
        <v>46207</v>
      </c>
      <c r="O184" s="31">
        <f t="shared" si="64"/>
        <v>10059</v>
      </c>
      <c r="P184" s="32">
        <f>650*16+1175+1102+650</f>
        <v>13327</v>
      </c>
      <c r="Q184" s="32"/>
      <c r="R184" s="32"/>
      <c r="S184" s="32">
        <f t="shared" si="59"/>
        <v>13327</v>
      </c>
      <c r="T184" s="12"/>
      <c r="U184" s="12"/>
      <c r="V184" s="12">
        <v>-333</v>
      </c>
      <c r="W184" s="12">
        <f t="shared" si="60"/>
        <v>12994</v>
      </c>
      <c r="Y184" s="10">
        <v>8</v>
      </c>
      <c r="Z184" s="30"/>
      <c r="AA184" s="11" t="s">
        <v>27</v>
      </c>
      <c r="AB184" s="32"/>
      <c r="AC184" s="32"/>
      <c r="AE184" s="32">
        <f t="shared" si="66"/>
        <v>0</v>
      </c>
      <c r="AF184" s="12"/>
      <c r="AG184" s="12"/>
      <c r="AH184" s="12"/>
      <c r="AI184" s="12">
        <f t="shared" si="62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11"/>
      <c r="D185" s="32"/>
      <c r="E185" s="32"/>
      <c r="F185" s="32"/>
      <c r="G185" s="32">
        <f t="shared" si="57"/>
        <v>0</v>
      </c>
      <c r="H185" s="12"/>
      <c r="I185" s="12"/>
      <c r="J185" s="12"/>
      <c r="K185" s="12">
        <f t="shared" si="58"/>
        <v>0</v>
      </c>
      <c r="M185" s="10">
        <v>9</v>
      </c>
      <c r="N185" s="30">
        <v>46207</v>
      </c>
      <c r="O185" s="31">
        <f t="shared" si="64"/>
        <v>10060</v>
      </c>
      <c r="P185" s="32">
        <f>650*4+670</f>
        <v>3270</v>
      </c>
      <c r="Q185" s="32"/>
      <c r="R185" s="32"/>
      <c r="S185" s="32">
        <f t="shared" si="59"/>
        <v>3270</v>
      </c>
      <c r="T185" s="12"/>
      <c r="U185" s="12"/>
      <c r="V185" s="12"/>
      <c r="W185" s="12">
        <f t="shared" si="60"/>
        <v>3270</v>
      </c>
      <c r="Y185" s="10">
        <v>9</v>
      </c>
      <c r="Z185" s="30"/>
      <c r="AA185" s="31"/>
      <c r="AC185" s="32"/>
      <c r="AD185" s="32"/>
      <c r="AE185" s="32">
        <f t="shared" si="66"/>
        <v>0</v>
      </c>
      <c r="AF185" s="12"/>
      <c r="AH185" s="12"/>
      <c r="AI185" s="12">
        <f t="shared" si="62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3"/>
      <c r="D186" s="32"/>
      <c r="E186" s="32"/>
      <c r="F186" s="32"/>
      <c r="G186" s="32">
        <f t="shared" si="57"/>
        <v>0</v>
      </c>
      <c r="H186" s="12"/>
      <c r="I186" s="12"/>
      <c r="J186" s="12"/>
      <c r="K186" s="12">
        <f t="shared" si="58"/>
        <v>0</v>
      </c>
      <c r="M186" s="10">
        <v>10</v>
      </c>
      <c r="N186" s="30">
        <v>46207</v>
      </c>
      <c r="O186" s="31">
        <f t="shared" si="64"/>
        <v>10061</v>
      </c>
      <c r="P186" s="32">
        <f>650*180+1175+622*20+229*6+650*2</f>
        <v>133289</v>
      </c>
      <c r="Q186" s="32">
        <f>-200*6</f>
        <v>-1200</v>
      </c>
      <c r="R186" s="32"/>
      <c r="S186" s="32">
        <f t="shared" si="59"/>
        <v>132089</v>
      </c>
      <c r="T186" s="12"/>
      <c r="U186" s="12">
        <f>1332+234</f>
        <v>1566</v>
      </c>
      <c r="V186" s="12">
        <f>-1008+-420</f>
        <v>-1428</v>
      </c>
      <c r="W186" s="12">
        <f t="shared" si="60"/>
        <v>132227</v>
      </c>
      <c r="Y186" s="10">
        <v>10</v>
      </c>
      <c r="Z186" s="30"/>
      <c r="AA186" s="31"/>
      <c r="AB186" s="32"/>
      <c r="AC186" s="32"/>
      <c r="AD186" s="32"/>
      <c r="AE186" s="32">
        <f t="shared" si="66"/>
        <v>0</v>
      </c>
      <c r="AF186" s="12"/>
      <c r="AG186" s="12"/>
      <c r="AH186" s="12"/>
      <c r="AI186" s="12">
        <f t="shared" si="62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11"/>
      <c r="D187" s="32"/>
      <c r="E187" s="32"/>
      <c r="F187" s="32"/>
      <c r="G187" s="32">
        <f t="shared" si="57"/>
        <v>0</v>
      </c>
      <c r="H187" s="12"/>
      <c r="I187" s="12"/>
      <c r="J187" s="12"/>
      <c r="K187" s="12">
        <f t="shared" si="58"/>
        <v>0</v>
      </c>
      <c r="M187" s="10">
        <v>11</v>
      </c>
      <c r="N187" s="30">
        <v>46207</v>
      </c>
      <c r="O187" s="31">
        <f t="shared" si="64"/>
        <v>10062</v>
      </c>
      <c r="P187" s="32">
        <f>650*40+670*5+229</f>
        <v>29579</v>
      </c>
      <c r="Q187" s="32"/>
      <c r="R187" s="32"/>
      <c r="S187" s="32">
        <f t="shared" si="59"/>
        <v>29579</v>
      </c>
      <c r="T187" s="12"/>
      <c r="U187" s="12">
        <v>301.5</v>
      </c>
      <c r="V187" s="12"/>
      <c r="W187" s="12">
        <f t="shared" si="60"/>
        <v>29880.5</v>
      </c>
      <c r="Y187" s="10">
        <v>11</v>
      </c>
      <c r="Z187" s="30"/>
      <c r="AA187" s="11"/>
      <c r="AB187" s="32"/>
      <c r="AC187" s="32"/>
      <c r="AD187" s="32"/>
      <c r="AE187" s="32">
        <f t="shared" ref="AE187:AE209" si="67">SUM(AB187:AC187)</f>
        <v>0</v>
      </c>
      <c r="AF187" s="12"/>
      <c r="AG187" s="12"/>
      <c r="AH187" s="12"/>
      <c r="AI187" s="12">
        <f t="shared" si="62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83"/>
      <c r="D188" s="32"/>
      <c r="E188" s="32"/>
      <c r="F188" s="32"/>
      <c r="G188" s="32">
        <f t="shared" si="57"/>
        <v>0</v>
      </c>
      <c r="H188" s="12"/>
      <c r="I188" s="12"/>
      <c r="J188" s="10"/>
      <c r="K188" s="12">
        <f t="shared" si="58"/>
        <v>0</v>
      </c>
      <c r="M188" s="10">
        <v>12</v>
      </c>
      <c r="N188" s="30">
        <v>46207</v>
      </c>
      <c r="O188" s="31">
        <f t="shared" si="64"/>
        <v>10063</v>
      </c>
      <c r="P188" s="32">
        <f>650*9</f>
        <v>5850</v>
      </c>
      <c r="Q188" s="32"/>
      <c r="R188" s="32"/>
      <c r="S188" s="32">
        <f t="shared" si="59"/>
        <v>5850</v>
      </c>
      <c r="T188" s="12"/>
      <c r="U188" s="12"/>
      <c r="V188" s="12"/>
      <c r="W188" s="12">
        <f t="shared" si="60"/>
        <v>5850</v>
      </c>
      <c r="Y188" s="10">
        <v>12</v>
      </c>
      <c r="Z188" s="30"/>
      <c r="AA188" s="31"/>
      <c r="AB188" s="32"/>
      <c r="AC188" s="32"/>
      <c r="AD188" s="32"/>
      <c r="AE188" s="32">
        <f t="shared" si="67"/>
        <v>0</v>
      </c>
      <c r="AF188" s="12"/>
      <c r="AG188" s="12"/>
      <c r="AH188" s="12"/>
      <c r="AI188" s="12">
        <f t="shared" si="62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11"/>
      <c r="D189" s="32"/>
      <c r="E189" s="32"/>
      <c r="F189" s="32"/>
      <c r="G189" s="32">
        <f t="shared" si="57"/>
        <v>0</v>
      </c>
      <c r="H189" s="12"/>
      <c r="I189" s="12"/>
      <c r="J189" s="12"/>
      <c r="K189" s="12">
        <f t="shared" si="58"/>
        <v>0</v>
      </c>
      <c r="M189" s="10">
        <v>13</v>
      </c>
      <c r="N189" s="30">
        <v>46207</v>
      </c>
      <c r="O189" s="31">
        <f t="shared" si="64"/>
        <v>10064</v>
      </c>
      <c r="P189" s="32">
        <f>650*11+622</f>
        <v>7772</v>
      </c>
      <c r="Q189" s="32"/>
      <c r="R189" s="32"/>
      <c r="S189" s="32">
        <f t="shared" si="59"/>
        <v>7772</v>
      </c>
      <c r="T189" s="12"/>
      <c r="U189" s="12"/>
      <c r="V189" s="12"/>
      <c r="W189" s="12">
        <f t="shared" si="60"/>
        <v>7772</v>
      </c>
      <c r="Y189" s="10">
        <v>13</v>
      </c>
      <c r="Z189" s="30"/>
      <c r="AA189" s="31"/>
      <c r="AB189" s="32"/>
      <c r="AC189" s="32"/>
      <c r="AD189" s="32"/>
      <c r="AE189" s="32">
        <f t="shared" si="67"/>
        <v>0</v>
      </c>
      <c r="AF189" s="12"/>
      <c r="AG189" s="12"/>
      <c r="AH189" s="12"/>
      <c r="AI189" s="12">
        <f t="shared" si="62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57"/>
        <v>0</v>
      </c>
      <c r="H190" s="12"/>
      <c r="I190" s="12"/>
      <c r="J190" s="12"/>
      <c r="K190" s="12">
        <f t="shared" si="58"/>
        <v>0</v>
      </c>
      <c r="M190" s="10">
        <v>14</v>
      </c>
      <c r="N190" s="30"/>
      <c r="O190" s="11" t="s">
        <v>27</v>
      </c>
      <c r="P190" s="32"/>
      <c r="Q190" s="32"/>
      <c r="R190" s="32"/>
      <c r="S190" s="32">
        <f t="shared" si="59"/>
        <v>0</v>
      </c>
      <c r="T190" s="12"/>
      <c r="U190" s="12"/>
      <c r="V190" s="12"/>
      <c r="W190" s="12">
        <f t="shared" si="60"/>
        <v>0</v>
      </c>
      <c r="Y190" s="10">
        <v>14</v>
      </c>
      <c r="Z190" s="30"/>
      <c r="AA190" s="11"/>
      <c r="AB190" s="32"/>
      <c r="AC190" s="32"/>
      <c r="AD190" s="32"/>
      <c r="AE190" s="32">
        <f t="shared" si="67"/>
        <v>0</v>
      </c>
      <c r="AF190" s="12"/>
      <c r="AG190" s="12"/>
      <c r="AH190" s="12"/>
      <c r="AI190" s="12">
        <f t="shared" si="62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57"/>
        <v>0</v>
      </c>
      <c r="H191" s="12"/>
      <c r="I191" s="12"/>
      <c r="J191" s="12"/>
      <c r="K191" s="12">
        <f t="shared" si="58"/>
        <v>0</v>
      </c>
      <c r="M191" s="10">
        <v>15</v>
      </c>
      <c r="N191" s="30"/>
      <c r="O191" s="31"/>
      <c r="P191" s="32"/>
      <c r="Q191" s="32"/>
      <c r="R191" s="32"/>
      <c r="S191" s="32">
        <f t="shared" si="59"/>
        <v>0</v>
      </c>
      <c r="T191" s="12"/>
      <c r="U191" s="12"/>
      <c r="V191" s="12"/>
      <c r="W191" s="12">
        <f t="shared" si="60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7"/>
        <v>0</v>
      </c>
      <c r="AF191" s="12"/>
      <c r="AG191" s="12"/>
      <c r="AH191" s="12"/>
      <c r="AI191" s="12">
        <f t="shared" si="62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83"/>
      <c r="D192" s="32"/>
      <c r="E192" s="32"/>
      <c r="F192" s="32"/>
      <c r="G192" s="32">
        <f t="shared" si="57"/>
        <v>0</v>
      </c>
      <c r="H192" s="12"/>
      <c r="I192" s="12"/>
      <c r="J192" s="12"/>
      <c r="K192" s="12">
        <f t="shared" si="58"/>
        <v>0</v>
      </c>
      <c r="M192" s="10">
        <v>16</v>
      </c>
      <c r="N192" s="30"/>
      <c r="O192" s="11"/>
      <c r="P192" s="32"/>
      <c r="Q192" s="32"/>
      <c r="R192" s="32"/>
      <c r="S192" s="32">
        <f t="shared" si="59"/>
        <v>0</v>
      </c>
      <c r="T192" s="12"/>
      <c r="U192" s="12"/>
      <c r="V192" s="12"/>
      <c r="W192" s="12">
        <f t="shared" si="60"/>
        <v>0</v>
      </c>
      <c r="Y192" s="10">
        <v>16</v>
      </c>
      <c r="Z192" s="30"/>
      <c r="AB192" s="32"/>
      <c r="AC192" s="32"/>
      <c r="AD192" s="32"/>
      <c r="AE192" s="32">
        <f t="shared" si="67"/>
        <v>0</v>
      </c>
      <c r="AF192" s="12"/>
      <c r="AG192" s="12"/>
      <c r="AH192" s="12"/>
      <c r="AI192" s="12">
        <f t="shared" si="62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57"/>
      <c r="D193" s="32"/>
      <c r="E193" s="32"/>
      <c r="F193" s="32"/>
      <c r="G193" s="32">
        <f t="shared" si="57"/>
        <v>0</v>
      </c>
      <c r="H193" s="12"/>
      <c r="I193" s="12"/>
      <c r="J193" s="12"/>
      <c r="K193" s="12">
        <f t="shared" si="58"/>
        <v>0</v>
      </c>
      <c r="M193" s="10">
        <v>17</v>
      </c>
      <c r="N193" s="30"/>
      <c r="O193" s="31"/>
      <c r="P193" s="35"/>
      <c r="Q193" s="32"/>
      <c r="R193" s="32"/>
      <c r="S193" s="32">
        <f t="shared" si="59"/>
        <v>0</v>
      </c>
      <c r="T193" s="12"/>
      <c r="U193" s="12"/>
      <c r="V193" s="12"/>
      <c r="W193" s="12">
        <f t="shared" si="60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7"/>
        <v>0</v>
      </c>
      <c r="AF193" s="12"/>
      <c r="AG193" s="12"/>
      <c r="AH193" s="12"/>
      <c r="AI193" s="12">
        <f t="shared" si="62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57"/>
      <c r="D194" s="32"/>
      <c r="E194" s="32"/>
      <c r="F194" s="32"/>
      <c r="G194" s="32">
        <f t="shared" si="57"/>
        <v>0</v>
      </c>
      <c r="H194" s="12"/>
      <c r="I194" s="12"/>
      <c r="J194" s="12"/>
      <c r="K194" s="12">
        <f t="shared" si="58"/>
        <v>0</v>
      </c>
      <c r="M194" s="10">
        <v>18</v>
      </c>
      <c r="N194" s="30"/>
      <c r="O194" s="31"/>
      <c r="P194" s="32"/>
      <c r="Q194" s="32"/>
      <c r="R194" s="32"/>
      <c r="S194" s="32">
        <f t="shared" si="59"/>
        <v>0</v>
      </c>
      <c r="T194" s="12"/>
      <c r="U194" s="12"/>
      <c r="V194" s="12"/>
      <c r="W194" s="12">
        <f t="shared" si="60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7"/>
        <v>0</v>
      </c>
      <c r="AF194" s="12"/>
      <c r="AG194" s="12"/>
      <c r="AH194" s="12"/>
      <c r="AI194" s="12">
        <f t="shared" si="62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57"/>
        <v>0</v>
      </c>
      <c r="H195" s="12"/>
      <c r="I195" s="12"/>
      <c r="J195" s="12"/>
      <c r="K195" s="12">
        <f t="shared" si="58"/>
        <v>0</v>
      </c>
      <c r="M195" s="10">
        <v>19</v>
      </c>
      <c r="N195" s="30"/>
      <c r="O195" s="31"/>
      <c r="P195" s="32"/>
      <c r="Q195" s="32"/>
      <c r="R195" s="32"/>
      <c r="S195" s="32">
        <f t="shared" si="59"/>
        <v>0</v>
      </c>
      <c r="T195" s="12"/>
      <c r="U195" s="12"/>
      <c r="V195" s="12"/>
      <c r="W195" s="12">
        <f t="shared" si="60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7"/>
        <v>0</v>
      </c>
      <c r="AF195" s="12"/>
      <c r="AG195" s="12"/>
      <c r="AH195" s="12"/>
      <c r="AI195" s="12">
        <f t="shared" si="62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57"/>
        <v>0</v>
      </c>
      <c r="H196" s="12"/>
      <c r="I196" s="12"/>
      <c r="J196" s="12"/>
      <c r="K196" s="12">
        <f t="shared" si="58"/>
        <v>0</v>
      </c>
      <c r="M196" s="10">
        <v>20</v>
      </c>
      <c r="N196" s="30"/>
      <c r="O196" s="31"/>
      <c r="P196" s="32"/>
      <c r="Q196" s="32"/>
      <c r="R196" s="32"/>
      <c r="S196" s="32">
        <f t="shared" si="59"/>
        <v>0</v>
      </c>
      <c r="T196" s="12"/>
      <c r="U196" s="12"/>
      <c r="V196" s="12"/>
      <c r="W196" s="12">
        <f t="shared" si="60"/>
        <v>0</v>
      </c>
      <c r="Y196" s="10">
        <v>20</v>
      </c>
      <c r="Z196" s="30"/>
      <c r="AB196" s="32"/>
      <c r="AC196" s="32"/>
      <c r="AD196" s="32"/>
      <c r="AE196" s="32">
        <f t="shared" si="67"/>
        <v>0</v>
      </c>
      <c r="AF196" s="12"/>
      <c r="AG196" s="12"/>
      <c r="AH196" s="12"/>
      <c r="AI196" s="12">
        <f t="shared" si="62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57"/>
        <v>0</v>
      </c>
      <c r="H197" s="10"/>
      <c r="I197" s="10"/>
      <c r="J197" s="10"/>
      <c r="K197" s="12">
        <f t="shared" si="58"/>
        <v>0</v>
      </c>
      <c r="M197" s="10">
        <v>21</v>
      </c>
      <c r="N197" s="30"/>
      <c r="O197" s="31"/>
      <c r="P197" s="46"/>
      <c r="Q197" s="31"/>
      <c r="R197" s="31"/>
      <c r="S197" s="32">
        <f t="shared" si="59"/>
        <v>0</v>
      </c>
      <c r="T197" s="10"/>
      <c r="U197" s="10"/>
      <c r="V197" s="10"/>
      <c r="W197" s="12">
        <f t="shared" si="60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7"/>
        <v>0</v>
      </c>
      <c r="AF197" s="10"/>
      <c r="AG197" s="10"/>
      <c r="AH197" s="10"/>
      <c r="AI197" s="12">
        <f t="shared" si="62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57"/>
        <v>0</v>
      </c>
      <c r="H198" s="10"/>
      <c r="I198" s="10"/>
      <c r="J198" s="10"/>
      <c r="K198" s="12">
        <f t="shared" si="58"/>
        <v>0</v>
      </c>
      <c r="M198" s="10">
        <v>22</v>
      </c>
      <c r="N198" s="30"/>
      <c r="O198" s="31"/>
      <c r="P198" s="45"/>
      <c r="Q198" s="31"/>
      <c r="R198" s="31"/>
      <c r="S198" s="32">
        <f t="shared" si="59"/>
        <v>0</v>
      </c>
      <c r="T198" s="10"/>
      <c r="U198" s="10"/>
      <c r="V198" s="10"/>
      <c r="W198" s="12">
        <f t="shared" si="60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7"/>
        <v>0</v>
      </c>
      <c r="AF198" s="10"/>
      <c r="AG198" s="10"/>
      <c r="AH198" s="10"/>
      <c r="AI198" s="12">
        <f t="shared" si="62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57"/>
        <v>0</v>
      </c>
      <c r="H199" s="10"/>
      <c r="I199" s="10"/>
      <c r="J199" s="12"/>
      <c r="K199" s="12">
        <f t="shared" si="58"/>
        <v>0</v>
      </c>
      <c r="M199" s="10">
        <v>23</v>
      </c>
      <c r="N199" s="30"/>
      <c r="O199" s="31"/>
      <c r="P199" s="47"/>
      <c r="S199" s="32">
        <f t="shared" si="59"/>
        <v>0</v>
      </c>
      <c r="T199" s="10"/>
      <c r="U199" s="10"/>
      <c r="V199" s="10"/>
      <c r="W199" s="12">
        <f t="shared" si="60"/>
        <v>0</v>
      </c>
      <c r="Y199" s="10">
        <v>23</v>
      </c>
      <c r="Z199" s="30"/>
      <c r="AA199" s="31"/>
      <c r="AB199" s="47"/>
      <c r="AE199" s="32">
        <f t="shared" si="67"/>
        <v>0</v>
      </c>
      <c r="AF199" s="10"/>
      <c r="AG199" s="10"/>
      <c r="AH199" s="10"/>
      <c r="AI199" s="12">
        <f t="shared" si="62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57"/>
        <v>0</v>
      </c>
      <c r="H200" s="10"/>
      <c r="I200" s="10"/>
      <c r="J200" s="10"/>
      <c r="K200" s="12">
        <f t="shared" si="58"/>
        <v>0</v>
      </c>
      <c r="M200" s="10">
        <v>24</v>
      </c>
      <c r="N200" s="30"/>
      <c r="O200" s="31"/>
      <c r="P200" s="47"/>
      <c r="Q200" s="31"/>
      <c r="R200" s="31"/>
      <c r="S200" s="32">
        <f t="shared" si="59"/>
        <v>0</v>
      </c>
      <c r="T200" s="10"/>
      <c r="U200" s="10"/>
      <c r="V200" s="10"/>
      <c r="W200" s="12">
        <f t="shared" si="60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7"/>
        <v>0</v>
      </c>
      <c r="AF200" s="10"/>
      <c r="AG200" s="10"/>
      <c r="AH200" s="10"/>
      <c r="AI200" s="12">
        <f t="shared" si="62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57"/>
        <v>0</v>
      </c>
      <c r="H201" s="10"/>
      <c r="I201" s="10"/>
      <c r="J201" s="10"/>
      <c r="K201" s="12">
        <f t="shared" si="58"/>
        <v>0</v>
      </c>
      <c r="M201" s="10">
        <v>25</v>
      </c>
      <c r="N201" s="30"/>
      <c r="O201" s="31"/>
      <c r="P201" s="47"/>
      <c r="Q201" s="31"/>
      <c r="R201" s="31"/>
      <c r="S201" s="32">
        <f t="shared" si="59"/>
        <v>0</v>
      </c>
      <c r="T201" s="10"/>
      <c r="U201" s="10"/>
      <c r="V201" s="10"/>
      <c r="W201" s="12">
        <f t="shared" si="60"/>
        <v>0</v>
      </c>
      <c r="Y201" s="10">
        <v>25</v>
      </c>
      <c r="Z201" s="30"/>
      <c r="AA201" s="31"/>
      <c r="AB201" s="47"/>
      <c r="AC201" s="31"/>
      <c r="AD201" s="31"/>
      <c r="AE201" s="32">
        <f t="shared" si="67"/>
        <v>0</v>
      </c>
      <c r="AF201" s="10"/>
      <c r="AG201" s="10"/>
      <c r="AH201" s="10"/>
      <c r="AI201" s="12">
        <f t="shared" si="62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57"/>
        <v>0</v>
      </c>
      <c r="H202" s="10"/>
      <c r="I202" s="10"/>
      <c r="J202" s="10"/>
      <c r="K202" s="12">
        <f t="shared" si="58"/>
        <v>0</v>
      </c>
      <c r="M202" s="10">
        <v>26</v>
      </c>
      <c r="N202" s="30"/>
      <c r="O202" s="31"/>
      <c r="P202" s="47"/>
      <c r="Q202" s="31"/>
      <c r="R202" s="31"/>
      <c r="S202" s="32">
        <f t="shared" si="59"/>
        <v>0</v>
      </c>
      <c r="T202" s="10"/>
      <c r="U202" s="10"/>
      <c r="V202" s="10"/>
      <c r="W202" s="12">
        <f t="shared" si="60"/>
        <v>0</v>
      </c>
      <c r="Y202" s="10">
        <v>26</v>
      </c>
      <c r="Z202" s="30"/>
      <c r="AA202" s="31"/>
      <c r="AB202" s="47"/>
      <c r="AC202" s="31"/>
      <c r="AD202" s="31"/>
      <c r="AE202" s="32">
        <f t="shared" si="67"/>
        <v>0</v>
      </c>
      <c r="AF202" s="10"/>
      <c r="AG202" s="10"/>
      <c r="AH202" s="10"/>
      <c r="AI202" s="12">
        <f t="shared" si="62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57"/>
        <v>0</v>
      </c>
      <c r="H203" s="10"/>
      <c r="I203" s="10"/>
      <c r="J203" s="10"/>
      <c r="K203" s="12">
        <f t="shared" si="58"/>
        <v>0</v>
      </c>
      <c r="M203" s="10">
        <v>27</v>
      </c>
      <c r="N203" s="30"/>
      <c r="O203" s="31"/>
      <c r="P203" s="47"/>
      <c r="Q203" s="31"/>
      <c r="R203" s="31"/>
      <c r="S203" s="32">
        <f t="shared" si="59"/>
        <v>0</v>
      </c>
      <c r="T203" s="10"/>
      <c r="U203" s="10"/>
      <c r="V203" s="10"/>
      <c r="W203" s="12">
        <f t="shared" si="60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7"/>
        <v>0</v>
      </c>
      <c r="AF203" s="10"/>
      <c r="AG203" s="10"/>
      <c r="AH203" s="10"/>
      <c r="AI203" s="12">
        <f t="shared" si="62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57"/>
        <v>0</v>
      </c>
      <c r="H204" s="10"/>
      <c r="I204" s="10"/>
      <c r="J204" s="10"/>
      <c r="K204" s="12">
        <f t="shared" si="58"/>
        <v>0</v>
      </c>
      <c r="M204" s="10">
        <v>28</v>
      </c>
      <c r="N204" s="30"/>
      <c r="O204" s="31"/>
      <c r="P204" s="47"/>
      <c r="Q204" s="31"/>
      <c r="R204" s="31"/>
      <c r="S204" s="32">
        <f t="shared" si="59"/>
        <v>0</v>
      </c>
      <c r="T204" s="10"/>
      <c r="U204" s="10"/>
      <c r="V204" s="10"/>
      <c r="W204" s="12">
        <f t="shared" si="60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7"/>
        <v>0</v>
      </c>
      <c r="AF204" s="10"/>
      <c r="AG204" s="10"/>
      <c r="AH204" s="10"/>
      <c r="AI204" s="12">
        <f t="shared" si="62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57"/>
        <v>0</v>
      </c>
      <c r="H205" s="10"/>
      <c r="I205" s="10"/>
      <c r="J205" s="10"/>
      <c r="K205" s="12">
        <f t="shared" si="58"/>
        <v>0</v>
      </c>
      <c r="M205" s="10">
        <v>29</v>
      </c>
      <c r="N205" s="30"/>
      <c r="O205" s="31"/>
      <c r="P205" s="47"/>
      <c r="Q205" s="31"/>
      <c r="R205" s="31"/>
      <c r="S205" s="32">
        <f t="shared" si="59"/>
        <v>0</v>
      </c>
      <c r="T205" s="10"/>
      <c r="U205" s="10"/>
      <c r="V205" s="10"/>
      <c r="W205" s="12">
        <f t="shared" si="60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7"/>
        <v>0</v>
      </c>
      <c r="AF205" s="10"/>
      <c r="AG205" s="10"/>
      <c r="AH205" s="10"/>
      <c r="AI205" s="12">
        <f t="shared" si="62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57"/>
        <v>0</v>
      </c>
      <c r="H206" s="10"/>
      <c r="I206" s="10"/>
      <c r="J206" s="10"/>
      <c r="K206" s="12">
        <f t="shared" si="58"/>
        <v>0</v>
      </c>
      <c r="M206" s="10">
        <v>30</v>
      </c>
      <c r="N206" s="30"/>
      <c r="O206" s="31"/>
      <c r="P206" s="47"/>
      <c r="Q206" s="31"/>
      <c r="R206" s="31"/>
      <c r="S206" s="32">
        <f t="shared" si="59"/>
        <v>0</v>
      </c>
      <c r="T206" s="10"/>
      <c r="U206" s="10"/>
      <c r="V206" s="10"/>
      <c r="W206" s="12">
        <f t="shared" si="60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7"/>
        <v>0</v>
      </c>
      <c r="AF206" s="10"/>
      <c r="AG206" s="10"/>
      <c r="AH206" s="10"/>
      <c r="AI206" s="12">
        <f t="shared" si="62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57"/>
        <v>0</v>
      </c>
      <c r="H207" s="10"/>
      <c r="I207" s="10"/>
      <c r="J207" s="10"/>
      <c r="K207" s="12">
        <f t="shared" si="58"/>
        <v>0</v>
      </c>
      <c r="M207" s="10">
        <v>31</v>
      </c>
      <c r="N207" s="30"/>
      <c r="O207" s="31"/>
      <c r="P207" s="47"/>
      <c r="Q207" s="31"/>
      <c r="R207" s="31"/>
      <c r="S207" s="32">
        <f t="shared" si="59"/>
        <v>0</v>
      </c>
      <c r="T207" s="10"/>
      <c r="U207" s="10"/>
      <c r="V207" s="10"/>
      <c r="W207" s="12">
        <f t="shared" si="60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7"/>
        <v>0</v>
      </c>
      <c r="AF207" s="10"/>
      <c r="AG207" s="10"/>
      <c r="AH207" s="10"/>
      <c r="AI207" s="12">
        <f t="shared" si="62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57"/>
        <v>0</v>
      </c>
      <c r="H208" s="10"/>
      <c r="I208" s="10"/>
      <c r="J208" s="10"/>
      <c r="K208" s="12">
        <f t="shared" si="58"/>
        <v>0</v>
      </c>
      <c r="M208" s="10">
        <v>32</v>
      </c>
      <c r="N208" s="30"/>
      <c r="O208" s="31"/>
      <c r="P208" s="47"/>
      <c r="Q208" s="31"/>
      <c r="R208" s="31"/>
      <c r="S208" s="32">
        <f t="shared" si="59"/>
        <v>0</v>
      </c>
      <c r="T208" s="10"/>
      <c r="U208" s="10"/>
      <c r="V208" s="10"/>
      <c r="W208" s="12">
        <f t="shared" si="60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7"/>
        <v>0</v>
      </c>
      <c r="AF208" s="10"/>
      <c r="AG208" s="10"/>
      <c r="AH208" s="10"/>
      <c r="AI208" s="12">
        <f t="shared" si="62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57"/>
        <v>0</v>
      </c>
      <c r="H209" s="10"/>
      <c r="I209" s="10"/>
      <c r="J209" s="10"/>
      <c r="K209" s="12">
        <f t="shared" si="58"/>
        <v>0</v>
      </c>
      <c r="M209" s="10">
        <v>33</v>
      </c>
      <c r="N209" s="30"/>
      <c r="O209" s="31"/>
      <c r="P209" s="47"/>
      <c r="Q209" s="31"/>
      <c r="R209" s="31"/>
      <c r="S209" s="32">
        <f t="shared" si="59"/>
        <v>0</v>
      </c>
      <c r="T209" s="10"/>
      <c r="U209" s="10"/>
      <c r="V209" s="10"/>
      <c r="W209" s="12">
        <f t="shared" si="60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7"/>
        <v>0</v>
      </c>
      <c r="AF209" s="10"/>
      <c r="AG209" s="10"/>
      <c r="AH209" s="10"/>
      <c r="AI209" s="12">
        <f t="shared" si="62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57"/>
        <v>0</v>
      </c>
      <c r="H210" s="10"/>
      <c r="I210" s="10"/>
      <c r="J210" s="10"/>
      <c r="K210" s="12">
        <f t="shared" si="58"/>
        <v>0</v>
      </c>
      <c r="M210" s="10">
        <v>34</v>
      </c>
      <c r="N210" s="30"/>
      <c r="O210" s="31"/>
      <c r="P210" s="47"/>
      <c r="Q210" s="31"/>
      <c r="R210" s="31"/>
      <c r="S210" s="32">
        <f t="shared" si="59"/>
        <v>0</v>
      </c>
      <c r="T210" s="10"/>
      <c r="U210" s="10"/>
      <c r="V210" s="10"/>
      <c r="W210" s="12">
        <f t="shared" si="60"/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68">SUM(AB210:AC210)</f>
        <v>0</v>
      </c>
      <c r="AF210" s="10"/>
      <c r="AG210" s="10"/>
      <c r="AH210" s="10"/>
      <c r="AI210" s="12">
        <f t="shared" ref="AI210:AI218" si="69">SUM(AE210:AH210)</f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59"/>
        <v>0</v>
      </c>
      <c r="T211" s="10"/>
      <c r="U211" s="10"/>
      <c r="V211" s="10"/>
      <c r="W211" s="12">
        <f t="shared" si="60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8"/>
        <v>0</v>
      </c>
      <c r="AF211" s="10"/>
      <c r="AG211" s="10"/>
      <c r="AH211" s="10"/>
      <c r="AI211" s="12">
        <f t="shared" si="69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59"/>
        <v>0</v>
      </c>
      <c r="T212" s="10"/>
      <c r="U212" s="10"/>
      <c r="V212" s="10"/>
      <c r="W212" s="12">
        <f t="shared" si="60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8"/>
        <v>0</v>
      </c>
      <c r="AF212" s="10"/>
      <c r="AG212" s="10"/>
      <c r="AH212" s="10"/>
      <c r="AI212" s="12">
        <f t="shared" si="69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59"/>
        <v>0</v>
      </c>
      <c r="T213" s="10"/>
      <c r="U213" s="10"/>
      <c r="V213" s="10"/>
      <c r="W213" s="12">
        <f t="shared" si="60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8"/>
        <v>0</v>
      </c>
      <c r="AF213" s="10"/>
      <c r="AG213" s="10"/>
      <c r="AH213" s="10"/>
      <c r="AI213" s="12">
        <f t="shared" si="69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59"/>
        <v>0</v>
      </c>
      <c r="T214" s="10"/>
      <c r="U214" s="10"/>
      <c r="V214" s="10"/>
      <c r="W214" s="12">
        <f t="shared" si="60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8"/>
        <v>0</v>
      </c>
      <c r="AF214" s="10"/>
      <c r="AG214" s="10"/>
      <c r="AH214" s="10"/>
      <c r="AI214" s="12">
        <f t="shared" si="69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59"/>
        <v>0</v>
      </c>
      <c r="T215" s="10"/>
      <c r="U215" s="10"/>
      <c r="V215" s="10"/>
      <c r="W215" s="12">
        <f t="shared" si="60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8"/>
        <v>0</v>
      </c>
      <c r="AF215" s="10"/>
      <c r="AG215" s="10"/>
      <c r="AH215" s="10"/>
      <c r="AI215" s="12">
        <f t="shared" si="69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0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9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70">SUM(D217:E217)</f>
        <v>0</v>
      </c>
      <c r="H217" s="10"/>
      <c r="I217" s="10"/>
      <c r="J217" s="10"/>
      <c r="K217" s="12">
        <f t="shared" ref="K217" si="71">SUM(G217:J217)</f>
        <v>0</v>
      </c>
      <c r="M217" s="10"/>
      <c r="N217" s="30"/>
      <c r="O217" s="31"/>
      <c r="P217" s="47"/>
      <c r="Q217" s="31"/>
      <c r="R217" s="31"/>
      <c r="S217" s="32">
        <f t="shared" ref="S217" si="72">SUM(P217:Q217)</f>
        <v>0</v>
      </c>
      <c r="T217" s="10"/>
      <c r="U217" s="10"/>
      <c r="V217" s="10"/>
      <c r="W217" s="12">
        <f t="shared" si="60"/>
        <v>0</v>
      </c>
      <c r="Y217" s="10"/>
      <c r="Z217" s="30"/>
      <c r="AA217" s="31"/>
      <c r="AB217" s="47"/>
      <c r="AC217" s="31"/>
      <c r="AD217" s="31"/>
      <c r="AE217" s="32">
        <f t="shared" ref="AE217" si="73">SUM(AB217:AC217)</f>
        <v>0</v>
      </c>
      <c r="AF217" s="10"/>
      <c r="AG217" s="10"/>
      <c r="AH217" s="10"/>
      <c r="AI217" s="12">
        <f t="shared" si="69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0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9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454377</v>
      </c>
      <c r="E220" s="38">
        <f t="shared" ref="E220:F220" si="74">SUM(E177:E217)</f>
        <v>-3420</v>
      </c>
      <c r="F220" s="38">
        <f t="shared" si="74"/>
        <v>0</v>
      </c>
      <c r="G220" s="38">
        <f>SUM(G177:G219)</f>
        <v>450957</v>
      </c>
      <c r="H220" s="4"/>
      <c r="I220" s="39">
        <f>SUM(I177:I219)</f>
        <v>33912</v>
      </c>
      <c r="J220" s="39">
        <f>SUM(J177:J219)</f>
        <v>-8214</v>
      </c>
      <c r="K220" s="40">
        <f>SUM(K177:K219)</f>
        <v>476655</v>
      </c>
      <c r="N220" s="57"/>
      <c r="O220" s="57"/>
      <c r="P220" s="38">
        <f>SUM(P177:P219)</f>
        <v>273734</v>
      </c>
      <c r="Q220" s="38">
        <f>SUM(Q177:Q201)</f>
        <v>-1200</v>
      </c>
      <c r="R220" s="38">
        <f>SUM(R177:R201)</f>
        <v>0</v>
      </c>
      <c r="S220" s="38">
        <f>SUM(S177:S219)</f>
        <v>272534</v>
      </c>
      <c r="T220" s="4"/>
      <c r="U220" s="41">
        <f>SUM(U177:U219)</f>
        <v>2056.5</v>
      </c>
      <c r="V220" s="41">
        <f>SUM(V177:V201)</f>
        <v>-1761</v>
      </c>
      <c r="W220" s="42">
        <f>SUM(W177:W219)</f>
        <v>272829.5</v>
      </c>
      <c r="Z220" s="57"/>
      <c r="AA220" s="57"/>
      <c r="AB220" s="38">
        <f>SUM(AB177:AB219)</f>
        <v>609161</v>
      </c>
      <c r="AC220" s="38">
        <f>SUM(AC177:AC201)</f>
        <v>-4944</v>
      </c>
      <c r="AD220" s="38">
        <f>SUM(AD177:AD201)</f>
        <v>0</v>
      </c>
      <c r="AE220" s="38">
        <f>SUM(AE177:AE219)</f>
        <v>604217</v>
      </c>
      <c r="AF220" s="4"/>
      <c r="AG220" s="41">
        <f>SUM(AG177:AG219)</f>
        <v>72</v>
      </c>
      <c r="AH220" s="41">
        <f>SUM(AH177:AH201)</f>
        <v>-5004</v>
      </c>
      <c r="AI220" s="42">
        <f>SUM(AI177:AI219)</f>
        <v>599285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37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37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37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51</v>
      </c>
      <c r="B228" s="20"/>
      <c r="C228" s="57"/>
      <c r="D228" s="57"/>
      <c r="E228" s="57"/>
      <c r="G228" s="57"/>
      <c r="I228" s="22" t="s">
        <v>16</v>
      </c>
      <c r="J228" s="23" t="s">
        <v>31</v>
      </c>
      <c r="K228" s="24"/>
      <c r="M228" s="21" t="s">
        <v>51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33</v>
      </c>
      <c r="W228" s="24"/>
      <c r="Y228" s="21" t="s">
        <v>51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34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12" t="s">
        <v>17</v>
      </c>
      <c r="E230" s="112"/>
      <c r="F230" s="95"/>
      <c r="G230" s="27"/>
      <c r="I230" s="110" t="s">
        <v>18</v>
      </c>
      <c r="J230" s="111"/>
      <c r="K230" s="108" t="s">
        <v>19</v>
      </c>
      <c r="N230" s="25"/>
      <c r="O230" s="26"/>
      <c r="P230" s="112" t="s">
        <v>17</v>
      </c>
      <c r="Q230" s="112"/>
      <c r="R230" s="95"/>
      <c r="S230" s="27"/>
      <c r="U230" s="110" t="s">
        <v>18</v>
      </c>
      <c r="V230" s="111"/>
      <c r="W230" s="108" t="s">
        <v>19</v>
      </c>
      <c r="Z230" s="25"/>
      <c r="AA230" s="26"/>
      <c r="AB230" s="112" t="s">
        <v>17</v>
      </c>
      <c r="AC230" s="112"/>
      <c r="AD230" s="95"/>
      <c r="AE230" s="27"/>
      <c r="AG230" s="110" t="s">
        <v>18</v>
      </c>
      <c r="AH230" s="111"/>
      <c r="AI230" s="108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32</v>
      </c>
      <c r="G231" s="78" t="s">
        <v>24</v>
      </c>
      <c r="I231" s="29" t="s">
        <v>25</v>
      </c>
      <c r="J231" s="29" t="s">
        <v>26</v>
      </c>
      <c r="K231" s="109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32</v>
      </c>
      <c r="S231" s="78" t="s">
        <v>24</v>
      </c>
      <c r="U231" s="29" t="s">
        <v>25</v>
      </c>
      <c r="V231" s="29" t="s">
        <v>26</v>
      </c>
      <c r="W231" s="109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32</v>
      </c>
      <c r="AE231" s="78" t="s">
        <v>24</v>
      </c>
      <c r="AG231" s="29" t="s">
        <v>25</v>
      </c>
      <c r="AH231" s="29" t="s">
        <v>26</v>
      </c>
      <c r="AI231" s="109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46238</v>
      </c>
      <c r="C232" s="83">
        <v>9983</v>
      </c>
      <c r="D232" s="32">
        <f>650*432+229*15</f>
        <v>284235</v>
      </c>
      <c r="E232" s="32">
        <f>-432*6</f>
        <v>-2592</v>
      </c>
      <c r="F232" s="32"/>
      <c r="G232" s="32">
        <f t="shared" ref="G232:G265" si="75">SUM(D232:E232)</f>
        <v>281643</v>
      </c>
      <c r="H232" s="12"/>
      <c r="I232" s="12">
        <f>48*111+540+85.5</f>
        <v>5953.5</v>
      </c>
      <c r="J232" s="12"/>
      <c r="K232" s="12">
        <f t="shared" ref="K232:K265" si="76">SUM(G232:J232)</f>
        <v>287596.5</v>
      </c>
      <c r="M232" s="10">
        <v>1</v>
      </c>
      <c r="N232" s="30">
        <v>46238</v>
      </c>
      <c r="O232" s="31">
        <v>10065</v>
      </c>
      <c r="P232" s="32">
        <f>650*2+9.5*2</f>
        <v>1319</v>
      </c>
      <c r="Q232" s="32"/>
      <c r="R232" s="32"/>
      <c r="S232" s="32">
        <f>SUM(P232:Q232)</f>
        <v>1319</v>
      </c>
      <c r="T232" s="12"/>
      <c r="U232" s="12"/>
      <c r="V232" s="12">
        <v>-1110</v>
      </c>
      <c r="W232" s="12">
        <f>SUM(S232:V232)</f>
        <v>209</v>
      </c>
      <c r="Y232" s="10">
        <v>1</v>
      </c>
      <c r="Z232" s="30">
        <v>46238</v>
      </c>
      <c r="AA232" s="31">
        <v>10008</v>
      </c>
      <c r="AB232" s="32">
        <f>650*50+622*15+229</f>
        <v>42059</v>
      </c>
      <c r="AC232" s="32">
        <f>-65*6</f>
        <v>-390</v>
      </c>
      <c r="AD232" s="32"/>
      <c r="AE232" s="32">
        <f>SUM(AB232:AC232)</f>
        <v>41669</v>
      </c>
      <c r="AF232" s="12"/>
      <c r="AG232" s="12"/>
      <c r="AH232" s="12"/>
      <c r="AI232" s="12">
        <f>SUM(AE232:AH232)</f>
        <v>41669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46238</v>
      </c>
      <c r="C233" s="83">
        <f>C232+1</f>
        <v>9984</v>
      </c>
      <c r="D233" s="32">
        <f>650*107</f>
        <v>69550</v>
      </c>
      <c r="E233" s="32"/>
      <c r="F233" s="32"/>
      <c r="G233" s="32">
        <f t="shared" si="75"/>
        <v>69550</v>
      </c>
      <c r="H233" s="12"/>
      <c r="I233" s="12"/>
      <c r="J233" s="12">
        <v>-3219</v>
      </c>
      <c r="K233" s="12">
        <f t="shared" si="76"/>
        <v>66331</v>
      </c>
      <c r="M233" s="10">
        <v>2</v>
      </c>
      <c r="N233" s="30">
        <v>46238</v>
      </c>
      <c r="O233" s="31">
        <f>O232+1</f>
        <v>10066</v>
      </c>
      <c r="P233" s="32">
        <f>650*21+622*3+229</f>
        <v>15745</v>
      </c>
      <c r="Q233" s="32"/>
      <c r="R233" s="32"/>
      <c r="S233" s="32">
        <f t="shared" ref="S233:S270" si="77">SUM(P233:Q233)</f>
        <v>15745</v>
      </c>
      <c r="T233" s="12"/>
      <c r="U233" s="12">
        <v>36</v>
      </c>
      <c r="V233" s="12"/>
      <c r="W233" s="12">
        <f t="shared" ref="W233:W273" si="78">SUM(S233:V233)</f>
        <v>15781</v>
      </c>
      <c r="Y233" s="10">
        <v>2</v>
      </c>
      <c r="Z233" s="30">
        <v>46238</v>
      </c>
      <c r="AA233" s="31">
        <f>AA232+1</f>
        <v>10009</v>
      </c>
      <c r="AB233" s="32">
        <f>650*187+622*20+912*2+872*2+229*4+650*2</f>
        <v>139774</v>
      </c>
      <c r="AC233" s="32">
        <f>-211*6</f>
        <v>-1266</v>
      </c>
      <c r="AD233" s="32"/>
      <c r="AE233" s="32">
        <f t="shared" ref="AE233:AE235" si="79">SUM(AB233:AC233)</f>
        <v>138508</v>
      </c>
      <c r="AF233" s="12"/>
      <c r="AG233" s="12"/>
      <c r="AH233" s="12"/>
      <c r="AI233" s="12">
        <f t="shared" ref="AI233:AI264" si="80">SUM(AE233:AH233)</f>
        <v>138508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46238</v>
      </c>
      <c r="C234" s="83">
        <f t="shared" ref="C234" si="81">C233+1</f>
        <v>9985</v>
      </c>
      <c r="D234" s="33">
        <f>650</f>
        <v>650</v>
      </c>
      <c r="E234" s="32"/>
      <c r="F234" s="33"/>
      <c r="G234" s="33">
        <f t="shared" si="75"/>
        <v>650</v>
      </c>
      <c r="H234" s="34"/>
      <c r="I234" s="34"/>
      <c r="J234" s="34"/>
      <c r="K234" s="34">
        <f t="shared" si="76"/>
        <v>650</v>
      </c>
      <c r="M234" s="10">
        <v>3</v>
      </c>
      <c r="N234" s="30">
        <v>46238</v>
      </c>
      <c r="O234" s="31">
        <f t="shared" ref="O234:O238" si="82">O233+1</f>
        <v>10067</v>
      </c>
      <c r="P234" s="32">
        <f>650*112+229</f>
        <v>73029</v>
      </c>
      <c r="Q234" s="32">
        <f>-112*6</f>
        <v>-672</v>
      </c>
      <c r="R234" s="32"/>
      <c r="S234" s="32">
        <f t="shared" si="77"/>
        <v>72357</v>
      </c>
      <c r="T234" s="12"/>
      <c r="U234" s="12">
        <v>24</v>
      </c>
      <c r="V234" s="12"/>
      <c r="W234" s="12">
        <f t="shared" si="78"/>
        <v>72381</v>
      </c>
      <c r="Y234" s="10">
        <v>3</v>
      </c>
      <c r="Z234" s="30">
        <v>46238</v>
      </c>
      <c r="AA234" s="31">
        <f t="shared" ref="AA234:AA238" si="83">AA233+1</f>
        <v>10010</v>
      </c>
      <c r="AB234" s="33">
        <f>650*200+670*3+622*50+872*2+229*10</f>
        <v>167144</v>
      </c>
      <c r="AC234" s="33">
        <f>-255*6</f>
        <v>-1530</v>
      </c>
      <c r="AD234" s="32"/>
      <c r="AE234" s="32">
        <f t="shared" si="79"/>
        <v>165614</v>
      </c>
      <c r="AF234" s="12"/>
      <c r="AG234" s="12"/>
      <c r="AH234" s="12"/>
      <c r="AI234" s="12">
        <f t="shared" si="80"/>
        <v>165614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/>
      <c r="C235" s="11" t="s">
        <v>27</v>
      </c>
      <c r="D235" s="32"/>
      <c r="E235" s="32"/>
      <c r="F235" s="32"/>
      <c r="G235" s="32">
        <f t="shared" si="75"/>
        <v>0</v>
      </c>
      <c r="H235" s="12"/>
      <c r="I235" s="12"/>
      <c r="J235" s="12"/>
      <c r="K235" s="12">
        <f t="shared" si="76"/>
        <v>0</v>
      </c>
      <c r="M235" s="10">
        <v>4</v>
      </c>
      <c r="N235" s="30">
        <v>46238</v>
      </c>
      <c r="O235" s="31">
        <f t="shared" si="82"/>
        <v>10068</v>
      </c>
      <c r="P235" s="32">
        <f>650*83+622*10+229*2</f>
        <v>60628</v>
      </c>
      <c r="Q235" s="32"/>
      <c r="R235" s="32"/>
      <c r="S235" s="32">
        <f t="shared" si="77"/>
        <v>60628</v>
      </c>
      <c r="T235" s="12"/>
      <c r="U235" s="12">
        <f>1.5*48+4.5*2</f>
        <v>81</v>
      </c>
      <c r="V235" s="12"/>
      <c r="W235" s="12">
        <f t="shared" si="78"/>
        <v>60709</v>
      </c>
      <c r="Y235" s="10">
        <v>4</v>
      </c>
      <c r="Z235" s="30">
        <v>46238</v>
      </c>
      <c r="AA235" s="31">
        <f t="shared" si="83"/>
        <v>10011</v>
      </c>
      <c r="AB235" s="32">
        <f>650*136+670*7+229*5</f>
        <v>94235</v>
      </c>
      <c r="AC235" s="32">
        <f>-143*6</f>
        <v>-858</v>
      </c>
      <c r="AD235" s="32"/>
      <c r="AE235" s="32">
        <f t="shared" si="79"/>
        <v>93377</v>
      </c>
      <c r="AF235" s="12"/>
      <c r="AH235" s="12">
        <f>-78*3</f>
        <v>-234</v>
      </c>
      <c r="AI235" s="12">
        <f t="shared" si="80"/>
        <v>93143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/>
      <c r="C236" s="83"/>
      <c r="D236" s="32"/>
      <c r="E236" s="32"/>
      <c r="F236" s="32"/>
      <c r="G236" s="32">
        <f t="shared" si="75"/>
        <v>0</v>
      </c>
      <c r="H236" s="12"/>
      <c r="I236" s="12"/>
      <c r="J236" s="12"/>
      <c r="K236" s="12">
        <f t="shared" si="76"/>
        <v>0</v>
      </c>
      <c r="M236" s="10">
        <v>5</v>
      </c>
      <c r="N236" s="30">
        <v>46238</v>
      </c>
      <c r="O236" s="31">
        <f t="shared" si="82"/>
        <v>10069</v>
      </c>
      <c r="P236" s="32">
        <f>650*108+622*29+229*3</f>
        <v>88925</v>
      </c>
      <c r="Q236" s="32">
        <f>-137*6</f>
        <v>-822</v>
      </c>
      <c r="R236" s="32"/>
      <c r="S236" s="32">
        <f t="shared" si="77"/>
        <v>88103</v>
      </c>
      <c r="T236" s="12"/>
      <c r="U236" s="12">
        <v>156</v>
      </c>
      <c r="V236" s="12">
        <v>-126</v>
      </c>
      <c r="W236" s="12">
        <f t="shared" si="78"/>
        <v>88133</v>
      </c>
      <c r="Y236" s="10">
        <v>5</v>
      </c>
      <c r="Z236" s="30">
        <v>46238</v>
      </c>
      <c r="AA236" s="31">
        <f t="shared" si="83"/>
        <v>10012</v>
      </c>
      <c r="AB236" s="32">
        <f>650*12+622*5</f>
        <v>10910</v>
      </c>
      <c r="AC236" s="32"/>
      <c r="AD236" s="32"/>
      <c r="AE236" s="32">
        <f t="shared" ref="AE236:AE237" si="84">SUM(AB236:AC236)</f>
        <v>10910</v>
      </c>
      <c r="AF236" s="12"/>
      <c r="AG236" s="12"/>
      <c r="AH236" s="12"/>
      <c r="AI236" s="12">
        <f t="shared" si="80"/>
        <v>10910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/>
      <c r="C237" s="83"/>
      <c r="D237" s="32"/>
      <c r="E237" s="32"/>
      <c r="F237" s="32"/>
      <c r="G237" s="32">
        <f t="shared" si="75"/>
        <v>0</v>
      </c>
      <c r="H237" s="12"/>
      <c r="I237" s="12"/>
      <c r="J237" s="12"/>
      <c r="K237" s="12">
        <f t="shared" si="76"/>
        <v>0</v>
      </c>
      <c r="M237" s="10">
        <v>6</v>
      </c>
      <c r="N237" s="30">
        <v>46238</v>
      </c>
      <c r="O237" s="31">
        <f t="shared" si="82"/>
        <v>10070</v>
      </c>
      <c r="P237" s="32">
        <f>650+9.5</f>
        <v>659.5</v>
      </c>
      <c r="Q237" s="32"/>
      <c r="R237" s="32"/>
      <c r="S237" s="32">
        <f t="shared" si="77"/>
        <v>659.5</v>
      </c>
      <c r="T237" s="12"/>
      <c r="U237" s="12"/>
      <c r="V237" s="10">
        <f>-120+-111*3+-78*2</f>
        <v>-609</v>
      </c>
      <c r="W237" s="12">
        <f t="shared" si="78"/>
        <v>50.5</v>
      </c>
      <c r="Y237" s="10">
        <v>6</v>
      </c>
      <c r="Z237" s="30">
        <v>46238</v>
      </c>
      <c r="AA237" s="31">
        <f t="shared" si="83"/>
        <v>10013</v>
      </c>
      <c r="AB237" s="32">
        <f>650*12</f>
        <v>7800</v>
      </c>
      <c r="AC237" s="32"/>
      <c r="AD237" s="32"/>
      <c r="AE237" s="32">
        <f t="shared" si="84"/>
        <v>7800</v>
      </c>
      <c r="AF237" s="12"/>
      <c r="AG237" s="12"/>
      <c r="AH237" s="10"/>
      <c r="AI237" s="12">
        <f t="shared" si="80"/>
        <v>7800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/>
      <c r="C238" s="83"/>
      <c r="D238" s="32"/>
      <c r="E238" s="32"/>
      <c r="F238" s="32"/>
      <c r="G238" s="32">
        <f t="shared" si="75"/>
        <v>0</v>
      </c>
      <c r="H238" s="12"/>
      <c r="I238" s="12"/>
      <c r="J238" s="12"/>
      <c r="K238" s="12">
        <f t="shared" si="76"/>
        <v>0</v>
      </c>
      <c r="M238" s="10">
        <v>7</v>
      </c>
      <c r="N238" s="30">
        <v>46238</v>
      </c>
      <c r="O238" s="31">
        <f t="shared" si="82"/>
        <v>10071</v>
      </c>
      <c r="P238" s="32">
        <f>622*6</f>
        <v>3732</v>
      </c>
      <c r="Q238" s="32"/>
      <c r="R238" s="32"/>
      <c r="S238" s="32">
        <f t="shared" si="77"/>
        <v>3732</v>
      </c>
      <c r="T238" s="12"/>
      <c r="U238" s="12"/>
      <c r="V238" s="12">
        <f>-111*25</f>
        <v>-2775</v>
      </c>
      <c r="W238" s="12">
        <f t="shared" si="78"/>
        <v>957</v>
      </c>
      <c r="Y238" s="10">
        <v>7</v>
      </c>
      <c r="Z238" s="30">
        <v>46238</v>
      </c>
      <c r="AA238" s="31">
        <f t="shared" si="83"/>
        <v>10014</v>
      </c>
      <c r="AB238" s="32">
        <f>650*2+622*3</f>
        <v>3166</v>
      </c>
      <c r="AC238" s="32"/>
      <c r="AD238" s="32"/>
      <c r="AE238" s="32">
        <f>SUM(AB238:AC238)</f>
        <v>3166</v>
      </c>
      <c r="AF238" s="12"/>
      <c r="AG238" s="58"/>
      <c r="AH238" s="12">
        <v>-777</v>
      </c>
      <c r="AI238" s="12">
        <f t="shared" si="80"/>
        <v>2389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/>
      <c r="C239" s="83"/>
      <c r="D239" s="32"/>
      <c r="E239" s="32"/>
      <c r="F239" s="32"/>
      <c r="G239" s="32">
        <f t="shared" si="75"/>
        <v>0</v>
      </c>
      <c r="H239" s="12"/>
      <c r="I239" s="12"/>
      <c r="J239" s="12"/>
      <c r="K239" s="12">
        <f t="shared" si="76"/>
        <v>0</v>
      </c>
      <c r="M239" s="10">
        <v>8</v>
      </c>
      <c r="N239" s="30"/>
      <c r="O239" s="11" t="s">
        <v>27</v>
      </c>
      <c r="P239" s="32"/>
      <c r="Q239" s="32"/>
      <c r="R239" s="32"/>
      <c r="S239" s="32">
        <f t="shared" si="77"/>
        <v>0</v>
      </c>
      <c r="T239" s="12"/>
      <c r="U239" s="12"/>
      <c r="V239" s="12"/>
      <c r="W239" s="12">
        <f t="shared" si="78"/>
        <v>0</v>
      </c>
      <c r="Y239" s="10">
        <v>8</v>
      </c>
      <c r="Z239" s="30"/>
      <c r="AA239" s="11" t="s">
        <v>27</v>
      </c>
      <c r="AB239" s="32"/>
      <c r="AC239" s="32"/>
      <c r="AE239" s="32">
        <f t="shared" ref="AE239:AE241" si="85">SUM(AB239:AC239)</f>
        <v>0</v>
      </c>
      <c r="AF239" s="12"/>
      <c r="AG239" s="12"/>
      <c r="AH239" s="12"/>
      <c r="AI239" s="12">
        <f t="shared" si="80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/>
      <c r="C240" s="83"/>
      <c r="D240" s="32"/>
      <c r="E240" s="32"/>
      <c r="F240" s="32"/>
      <c r="G240" s="32">
        <f t="shared" si="75"/>
        <v>0</v>
      </c>
      <c r="H240" s="12"/>
      <c r="I240" s="12"/>
      <c r="J240" s="12"/>
      <c r="K240" s="12">
        <f t="shared" si="76"/>
        <v>0</v>
      </c>
      <c r="M240" s="10">
        <v>9</v>
      </c>
      <c r="N240" s="30"/>
      <c r="O240" s="31"/>
      <c r="P240" s="32"/>
      <c r="Q240" s="32"/>
      <c r="R240" s="32"/>
      <c r="S240" s="32">
        <f t="shared" si="77"/>
        <v>0</v>
      </c>
      <c r="T240" s="12"/>
      <c r="U240" s="12"/>
      <c r="V240" s="12"/>
      <c r="W240" s="12">
        <f t="shared" si="78"/>
        <v>0</v>
      </c>
      <c r="Y240" s="10">
        <v>9</v>
      </c>
      <c r="Z240" s="30"/>
      <c r="AA240" s="31"/>
      <c r="AC240" s="32"/>
      <c r="AD240" s="32"/>
      <c r="AE240" s="32">
        <f t="shared" si="85"/>
        <v>0</v>
      </c>
      <c r="AF240" s="12"/>
      <c r="AH240" s="12"/>
      <c r="AI240" s="12">
        <f t="shared" si="80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/>
      <c r="C241" s="83"/>
      <c r="D241" s="32"/>
      <c r="E241" s="32"/>
      <c r="F241" s="32"/>
      <c r="G241" s="32">
        <f t="shared" si="75"/>
        <v>0</v>
      </c>
      <c r="H241" s="12"/>
      <c r="I241" s="12"/>
      <c r="J241" s="12"/>
      <c r="K241" s="12">
        <f t="shared" si="76"/>
        <v>0</v>
      </c>
      <c r="M241" s="10">
        <v>10</v>
      </c>
      <c r="N241" s="30"/>
      <c r="O241" s="31"/>
      <c r="P241" s="32"/>
      <c r="Q241" s="32"/>
      <c r="R241" s="32"/>
      <c r="S241" s="32">
        <f t="shared" si="77"/>
        <v>0</v>
      </c>
      <c r="T241" s="12"/>
      <c r="U241" s="12"/>
      <c r="V241" s="12"/>
      <c r="W241" s="12">
        <f t="shared" si="78"/>
        <v>0</v>
      </c>
      <c r="Y241" s="10">
        <v>10</v>
      </c>
      <c r="Z241" s="30"/>
      <c r="AA241" s="31"/>
      <c r="AB241" s="32"/>
      <c r="AC241" s="32"/>
      <c r="AD241" s="32"/>
      <c r="AE241" s="32">
        <f t="shared" si="85"/>
        <v>0</v>
      </c>
      <c r="AF241" s="12"/>
      <c r="AG241" s="12"/>
      <c r="AH241" s="12"/>
      <c r="AI241" s="12">
        <f t="shared" si="80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11"/>
      <c r="D242" s="32"/>
      <c r="E242" s="32"/>
      <c r="F242" s="32"/>
      <c r="G242" s="32">
        <f t="shared" si="75"/>
        <v>0</v>
      </c>
      <c r="H242" s="12"/>
      <c r="I242" s="12"/>
      <c r="J242" s="12"/>
      <c r="K242" s="12">
        <f t="shared" si="76"/>
        <v>0</v>
      </c>
      <c r="M242" s="10">
        <v>11</v>
      </c>
      <c r="N242" s="30"/>
      <c r="O242" s="31"/>
      <c r="P242" s="32"/>
      <c r="Q242" s="32"/>
      <c r="R242" s="32"/>
      <c r="S242" s="32">
        <f t="shared" si="77"/>
        <v>0</v>
      </c>
      <c r="T242" s="12"/>
      <c r="U242" s="12"/>
      <c r="V242" s="12"/>
      <c r="W242" s="12">
        <f t="shared" si="78"/>
        <v>0</v>
      </c>
      <c r="Y242" s="10">
        <v>11</v>
      </c>
      <c r="Z242" s="30"/>
      <c r="AA242" s="11"/>
      <c r="AB242" s="32"/>
      <c r="AC242" s="32"/>
      <c r="AD242" s="32"/>
      <c r="AE242" s="32">
        <f t="shared" ref="AE242:AE264" si="86">SUM(AB242:AC242)</f>
        <v>0</v>
      </c>
      <c r="AF242" s="12"/>
      <c r="AG242" s="12"/>
      <c r="AH242" s="12"/>
      <c r="AI242" s="12">
        <f t="shared" si="80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83"/>
      <c r="D243" s="32"/>
      <c r="E243" s="32"/>
      <c r="F243" s="32"/>
      <c r="G243" s="32">
        <f t="shared" si="75"/>
        <v>0</v>
      </c>
      <c r="H243" s="12"/>
      <c r="I243" s="12"/>
      <c r="J243" s="10"/>
      <c r="K243" s="12">
        <f t="shared" si="76"/>
        <v>0</v>
      </c>
      <c r="M243" s="10">
        <v>12</v>
      </c>
      <c r="N243" s="30"/>
      <c r="O243" s="31"/>
      <c r="P243" s="32"/>
      <c r="Q243" s="32"/>
      <c r="R243" s="32"/>
      <c r="S243" s="32">
        <f t="shared" si="77"/>
        <v>0</v>
      </c>
      <c r="T243" s="12"/>
      <c r="U243" s="12"/>
      <c r="V243" s="12"/>
      <c r="W243" s="12">
        <f t="shared" si="78"/>
        <v>0</v>
      </c>
      <c r="Y243" s="10">
        <v>12</v>
      </c>
      <c r="Z243" s="30"/>
      <c r="AA243" s="31"/>
      <c r="AB243" s="32"/>
      <c r="AC243" s="32"/>
      <c r="AD243" s="32"/>
      <c r="AE243" s="32">
        <f t="shared" si="86"/>
        <v>0</v>
      </c>
      <c r="AF243" s="12"/>
      <c r="AG243" s="12"/>
      <c r="AH243" s="12"/>
      <c r="AI243" s="12">
        <f t="shared" si="80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11"/>
      <c r="D244" s="32"/>
      <c r="E244" s="32"/>
      <c r="F244" s="32"/>
      <c r="G244" s="32">
        <f t="shared" si="75"/>
        <v>0</v>
      </c>
      <c r="H244" s="12"/>
      <c r="I244" s="12"/>
      <c r="J244" s="12"/>
      <c r="K244" s="12">
        <f t="shared" si="76"/>
        <v>0</v>
      </c>
      <c r="M244" s="10">
        <v>13</v>
      </c>
      <c r="N244" s="30"/>
      <c r="O244" s="31"/>
      <c r="P244" s="32"/>
      <c r="Q244" s="32"/>
      <c r="R244" s="32"/>
      <c r="S244" s="32">
        <f t="shared" si="77"/>
        <v>0</v>
      </c>
      <c r="T244" s="12"/>
      <c r="U244" s="12"/>
      <c r="V244" s="12"/>
      <c r="W244" s="12">
        <f t="shared" si="78"/>
        <v>0</v>
      </c>
      <c r="Y244" s="10">
        <v>13</v>
      </c>
      <c r="Z244" s="30"/>
      <c r="AA244" s="31"/>
      <c r="AB244" s="32"/>
      <c r="AC244" s="32"/>
      <c r="AD244" s="32"/>
      <c r="AE244" s="32">
        <f t="shared" si="86"/>
        <v>0</v>
      </c>
      <c r="AF244" s="12"/>
      <c r="AG244" s="12"/>
      <c r="AH244" s="12"/>
      <c r="AI244" s="12">
        <f t="shared" si="80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3"/>
      <c r="D245" s="32"/>
      <c r="E245" s="32"/>
      <c r="F245" s="32"/>
      <c r="G245" s="32">
        <f t="shared" si="75"/>
        <v>0</v>
      </c>
      <c r="H245" s="12"/>
      <c r="I245" s="12"/>
      <c r="J245" s="12"/>
      <c r="K245" s="12">
        <f t="shared" si="76"/>
        <v>0</v>
      </c>
      <c r="M245" s="10">
        <v>14</v>
      </c>
      <c r="N245" s="30"/>
      <c r="P245" s="32"/>
      <c r="Q245" s="32"/>
      <c r="R245" s="32"/>
      <c r="S245" s="32">
        <f t="shared" si="77"/>
        <v>0</v>
      </c>
      <c r="T245" s="12"/>
      <c r="U245" s="12"/>
      <c r="V245" s="12"/>
      <c r="W245" s="12">
        <f t="shared" si="78"/>
        <v>0</v>
      </c>
      <c r="Y245" s="10">
        <v>14</v>
      </c>
      <c r="Z245" s="30"/>
      <c r="AA245" s="11"/>
      <c r="AB245" s="32"/>
      <c r="AC245" s="32"/>
      <c r="AD245" s="32"/>
      <c r="AE245" s="32">
        <f t="shared" si="86"/>
        <v>0</v>
      </c>
      <c r="AF245" s="12"/>
      <c r="AG245" s="12"/>
      <c r="AH245" s="12"/>
      <c r="AI245" s="12">
        <f t="shared" si="80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3"/>
      <c r="D246" s="32"/>
      <c r="E246" s="32"/>
      <c r="F246" s="32"/>
      <c r="G246" s="32">
        <f t="shared" si="75"/>
        <v>0</v>
      </c>
      <c r="H246" s="12"/>
      <c r="I246" s="12"/>
      <c r="J246" s="12"/>
      <c r="K246" s="12">
        <f t="shared" si="76"/>
        <v>0</v>
      </c>
      <c r="M246" s="10">
        <v>15</v>
      </c>
      <c r="N246" s="30"/>
      <c r="O246" s="31"/>
      <c r="P246" s="32"/>
      <c r="Q246" s="32"/>
      <c r="R246" s="32"/>
      <c r="S246" s="32">
        <f t="shared" si="77"/>
        <v>0</v>
      </c>
      <c r="T246" s="12"/>
      <c r="U246" s="12"/>
      <c r="V246" s="12"/>
      <c r="W246" s="12">
        <f t="shared" si="78"/>
        <v>0</v>
      </c>
      <c r="Y246" s="10">
        <v>15</v>
      </c>
      <c r="Z246" s="30"/>
      <c r="AA246" s="31"/>
      <c r="AB246" s="32"/>
      <c r="AC246" s="32"/>
      <c r="AD246" s="32"/>
      <c r="AE246" s="32">
        <f t="shared" si="86"/>
        <v>0</v>
      </c>
      <c r="AF246" s="12"/>
      <c r="AG246" s="12"/>
      <c r="AH246" s="12"/>
      <c r="AI246" s="12">
        <f t="shared" si="80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C247" s="83"/>
      <c r="D247" s="32"/>
      <c r="E247" s="32"/>
      <c r="F247" s="32"/>
      <c r="G247" s="32">
        <f t="shared" si="75"/>
        <v>0</v>
      </c>
      <c r="H247" s="12"/>
      <c r="I247" s="12"/>
      <c r="J247" s="12"/>
      <c r="K247" s="12">
        <f t="shared" si="76"/>
        <v>0</v>
      </c>
      <c r="M247" s="10">
        <v>16</v>
      </c>
      <c r="N247" s="30"/>
      <c r="O247" s="11"/>
      <c r="P247" s="32"/>
      <c r="Q247" s="32"/>
      <c r="R247" s="32"/>
      <c r="S247" s="32">
        <f t="shared" si="77"/>
        <v>0</v>
      </c>
      <c r="T247" s="12"/>
      <c r="U247" s="12"/>
      <c r="V247" s="12"/>
      <c r="W247" s="12">
        <f t="shared" si="78"/>
        <v>0</v>
      </c>
      <c r="Y247" s="10">
        <v>16</v>
      </c>
      <c r="Z247" s="30"/>
      <c r="AB247" s="32"/>
      <c r="AC247" s="32"/>
      <c r="AD247" s="32"/>
      <c r="AE247" s="32">
        <f t="shared" si="86"/>
        <v>0</v>
      </c>
      <c r="AF247" s="12"/>
      <c r="AG247" s="12"/>
      <c r="AH247" s="12"/>
      <c r="AI247" s="12">
        <f t="shared" si="80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57"/>
      <c r="D248" s="32"/>
      <c r="E248" s="32"/>
      <c r="F248" s="32"/>
      <c r="G248" s="32">
        <f t="shared" si="75"/>
        <v>0</v>
      </c>
      <c r="H248" s="12"/>
      <c r="I248" s="12"/>
      <c r="J248" s="12"/>
      <c r="K248" s="12">
        <f t="shared" si="76"/>
        <v>0</v>
      </c>
      <c r="M248" s="10">
        <v>17</v>
      </c>
      <c r="N248" s="30"/>
      <c r="O248" s="31"/>
      <c r="P248" s="35"/>
      <c r="Q248" s="32"/>
      <c r="R248" s="32"/>
      <c r="S248" s="32">
        <f t="shared" si="77"/>
        <v>0</v>
      </c>
      <c r="T248" s="12"/>
      <c r="U248" s="12"/>
      <c r="V248" s="12"/>
      <c r="W248" s="12">
        <f t="shared" si="78"/>
        <v>0</v>
      </c>
      <c r="Y248" s="10">
        <v>17</v>
      </c>
      <c r="Z248" s="30"/>
      <c r="AA248" s="31"/>
      <c r="AB248" s="35"/>
      <c r="AC248" s="32"/>
      <c r="AD248" s="32"/>
      <c r="AE248" s="32">
        <f t="shared" si="86"/>
        <v>0</v>
      </c>
      <c r="AF248" s="12"/>
      <c r="AG248" s="12"/>
      <c r="AH248" s="12"/>
      <c r="AI248" s="12">
        <f t="shared" si="80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57"/>
      <c r="D249" s="32"/>
      <c r="E249" s="32"/>
      <c r="F249" s="32"/>
      <c r="G249" s="32">
        <f t="shared" si="75"/>
        <v>0</v>
      </c>
      <c r="H249" s="12"/>
      <c r="I249" s="12"/>
      <c r="J249" s="12"/>
      <c r="K249" s="12">
        <f t="shared" si="76"/>
        <v>0</v>
      </c>
      <c r="M249" s="10">
        <v>18</v>
      </c>
      <c r="N249" s="30"/>
      <c r="O249" s="31"/>
      <c r="P249" s="32"/>
      <c r="Q249" s="32"/>
      <c r="R249" s="32"/>
      <c r="S249" s="32">
        <f t="shared" si="77"/>
        <v>0</v>
      </c>
      <c r="T249" s="12"/>
      <c r="U249" s="12"/>
      <c r="V249" s="12"/>
      <c r="W249" s="12">
        <f t="shared" si="78"/>
        <v>0</v>
      </c>
      <c r="Y249" s="10">
        <v>18</v>
      </c>
      <c r="Z249" s="30"/>
      <c r="AA249" s="31"/>
      <c r="AB249" s="32"/>
      <c r="AC249" s="32"/>
      <c r="AD249" s="32"/>
      <c r="AE249" s="32">
        <f t="shared" si="86"/>
        <v>0</v>
      </c>
      <c r="AF249" s="12"/>
      <c r="AG249" s="12"/>
      <c r="AH249" s="12"/>
      <c r="AI249" s="12">
        <f t="shared" si="80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3"/>
      <c r="D250" s="32"/>
      <c r="E250" s="32"/>
      <c r="F250" s="32"/>
      <c r="G250" s="32">
        <f t="shared" si="75"/>
        <v>0</v>
      </c>
      <c r="H250" s="12"/>
      <c r="I250" s="12"/>
      <c r="J250" s="12"/>
      <c r="K250" s="12">
        <f t="shared" si="76"/>
        <v>0</v>
      </c>
      <c r="M250" s="10">
        <v>19</v>
      </c>
      <c r="N250" s="30"/>
      <c r="O250" s="31"/>
      <c r="P250" s="32"/>
      <c r="Q250" s="32"/>
      <c r="R250" s="32"/>
      <c r="S250" s="32">
        <f t="shared" si="77"/>
        <v>0</v>
      </c>
      <c r="T250" s="12"/>
      <c r="U250" s="12"/>
      <c r="V250" s="12"/>
      <c r="W250" s="12">
        <f t="shared" si="78"/>
        <v>0</v>
      </c>
      <c r="Y250" s="10">
        <v>19</v>
      </c>
      <c r="Z250" s="30"/>
      <c r="AA250" s="31"/>
      <c r="AB250" s="32"/>
      <c r="AC250" s="32"/>
      <c r="AD250" s="32"/>
      <c r="AE250" s="32">
        <f t="shared" si="86"/>
        <v>0</v>
      </c>
      <c r="AF250" s="12"/>
      <c r="AG250" s="12"/>
      <c r="AH250" s="12"/>
      <c r="AI250" s="12">
        <f t="shared" si="80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3"/>
      <c r="D251" s="32"/>
      <c r="E251" s="32"/>
      <c r="F251" s="32"/>
      <c r="G251" s="32">
        <f t="shared" si="75"/>
        <v>0</v>
      </c>
      <c r="H251" s="12"/>
      <c r="I251" s="12"/>
      <c r="J251" s="12"/>
      <c r="K251" s="12">
        <f t="shared" si="76"/>
        <v>0</v>
      </c>
      <c r="M251" s="10">
        <v>20</v>
      </c>
      <c r="N251" s="30"/>
      <c r="O251" s="31"/>
      <c r="P251" s="32"/>
      <c r="Q251" s="32"/>
      <c r="R251" s="32"/>
      <c r="S251" s="32">
        <f t="shared" si="77"/>
        <v>0</v>
      </c>
      <c r="T251" s="12"/>
      <c r="U251" s="12"/>
      <c r="V251" s="12"/>
      <c r="W251" s="12">
        <f t="shared" si="78"/>
        <v>0</v>
      </c>
      <c r="Y251" s="10">
        <v>20</v>
      </c>
      <c r="Z251" s="30"/>
      <c r="AB251" s="32"/>
      <c r="AC251" s="32"/>
      <c r="AD251" s="32"/>
      <c r="AE251" s="32">
        <f t="shared" si="86"/>
        <v>0</v>
      </c>
      <c r="AF251" s="12"/>
      <c r="AG251" s="12"/>
      <c r="AH251" s="12"/>
      <c r="AI251" s="12">
        <f t="shared" si="80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83"/>
      <c r="D252" s="32"/>
      <c r="E252" s="32"/>
      <c r="F252" s="32"/>
      <c r="G252" s="32">
        <f t="shared" si="75"/>
        <v>0</v>
      </c>
      <c r="H252" s="10"/>
      <c r="I252" s="10"/>
      <c r="J252" s="10"/>
      <c r="K252" s="12">
        <f t="shared" si="76"/>
        <v>0</v>
      </c>
      <c r="M252" s="10">
        <v>21</v>
      </c>
      <c r="N252" s="30"/>
      <c r="O252" s="31"/>
      <c r="P252" s="46"/>
      <c r="Q252" s="31"/>
      <c r="R252" s="31"/>
      <c r="S252" s="32">
        <f t="shared" si="77"/>
        <v>0</v>
      </c>
      <c r="T252" s="10"/>
      <c r="U252" s="10"/>
      <c r="V252" s="10"/>
      <c r="W252" s="12">
        <f t="shared" si="78"/>
        <v>0</v>
      </c>
      <c r="Y252" s="10">
        <v>21</v>
      </c>
      <c r="Z252" s="30"/>
      <c r="AA252" s="31"/>
      <c r="AB252" s="46"/>
      <c r="AC252" s="31"/>
      <c r="AD252" s="31"/>
      <c r="AE252" s="32">
        <f t="shared" si="86"/>
        <v>0</v>
      </c>
      <c r="AF252" s="10"/>
      <c r="AG252" s="10"/>
      <c r="AH252" s="10"/>
      <c r="AI252" s="12">
        <f t="shared" si="80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3"/>
      <c r="D253" s="32"/>
      <c r="E253" s="32"/>
      <c r="F253" s="32"/>
      <c r="G253" s="32">
        <f t="shared" si="75"/>
        <v>0</v>
      </c>
      <c r="H253" s="10"/>
      <c r="I253" s="10"/>
      <c r="J253" s="10"/>
      <c r="K253" s="12">
        <f t="shared" si="76"/>
        <v>0</v>
      </c>
      <c r="M253" s="10">
        <v>22</v>
      </c>
      <c r="N253" s="30"/>
      <c r="O253" s="31"/>
      <c r="P253" s="45"/>
      <c r="Q253" s="31"/>
      <c r="R253" s="31"/>
      <c r="S253" s="32">
        <f t="shared" si="77"/>
        <v>0</v>
      </c>
      <c r="T253" s="10"/>
      <c r="U253" s="10"/>
      <c r="V253" s="10"/>
      <c r="W253" s="12">
        <f t="shared" si="78"/>
        <v>0</v>
      </c>
      <c r="Y253" s="10">
        <v>22</v>
      </c>
      <c r="Z253" s="30"/>
      <c r="AA253" s="31"/>
      <c r="AB253" s="45"/>
      <c r="AC253" s="31"/>
      <c r="AD253" s="31"/>
      <c r="AE253" s="32">
        <f t="shared" si="86"/>
        <v>0</v>
      </c>
      <c r="AF253" s="10"/>
      <c r="AG253" s="10"/>
      <c r="AH253" s="10"/>
      <c r="AI253" s="12">
        <f t="shared" si="80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3"/>
      <c r="D254" s="32"/>
      <c r="E254" s="32"/>
      <c r="F254" s="32"/>
      <c r="G254" s="32">
        <f t="shared" si="75"/>
        <v>0</v>
      </c>
      <c r="H254" s="10"/>
      <c r="I254" s="10"/>
      <c r="J254" s="12"/>
      <c r="K254" s="12">
        <f t="shared" si="76"/>
        <v>0</v>
      </c>
      <c r="M254" s="10">
        <v>23</v>
      </c>
      <c r="N254" s="30"/>
      <c r="O254" s="31"/>
      <c r="P254" s="47"/>
      <c r="S254" s="32">
        <f t="shared" si="77"/>
        <v>0</v>
      </c>
      <c r="T254" s="10"/>
      <c r="U254" s="10"/>
      <c r="V254" s="10"/>
      <c r="W254" s="12">
        <f t="shared" si="78"/>
        <v>0</v>
      </c>
      <c r="Y254" s="10">
        <v>23</v>
      </c>
      <c r="Z254" s="30"/>
      <c r="AA254" s="31"/>
      <c r="AB254" s="47"/>
      <c r="AE254" s="32">
        <f t="shared" si="86"/>
        <v>0</v>
      </c>
      <c r="AF254" s="10"/>
      <c r="AG254" s="10"/>
      <c r="AH254" s="10"/>
      <c r="AI254" s="12">
        <f t="shared" si="80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3"/>
      <c r="D255" s="32"/>
      <c r="E255" s="32"/>
      <c r="F255" s="32"/>
      <c r="G255" s="32">
        <f t="shared" si="75"/>
        <v>0</v>
      </c>
      <c r="H255" s="10"/>
      <c r="I255" s="10"/>
      <c r="J255" s="10"/>
      <c r="K255" s="12">
        <f t="shared" si="76"/>
        <v>0</v>
      </c>
      <c r="M255" s="10">
        <v>24</v>
      </c>
      <c r="N255" s="30"/>
      <c r="O255" s="31"/>
      <c r="P255" s="47"/>
      <c r="Q255" s="31"/>
      <c r="R255" s="31"/>
      <c r="S255" s="32">
        <f t="shared" si="77"/>
        <v>0</v>
      </c>
      <c r="T255" s="10"/>
      <c r="U255" s="10"/>
      <c r="V255" s="10"/>
      <c r="W255" s="12">
        <f t="shared" si="78"/>
        <v>0</v>
      </c>
      <c r="Y255" s="10">
        <v>24</v>
      </c>
      <c r="Z255" s="30"/>
      <c r="AA255" s="31"/>
      <c r="AB255" s="47"/>
      <c r="AC255" s="31"/>
      <c r="AD255" s="31"/>
      <c r="AE255" s="32">
        <f t="shared" si="86"/>
        <v>0</v>
      </c>
      <c r="AF255" s="10"/>
      <c r="AG255" s="10"/>
      <c r="AH255" s="10"/>
      <c r="AI255" s="12">
        <f t="shared" si="80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3"/>
      <c r="D256" s="32"/>
      <c r="E256" s="32"/>
      <c r="F256" s="32"/>
      <c r="G256" s="32">
        <f t="shared" si="75"/>
        <v>0</v>
      </c>
      <c r="H256" s="10"/>
      <c r="I256" s="10"/>
      <c r="J256" s="10"/>
      <c r="K256" s="12">
        <f t="shared" si="76"/>
        <v>0</v>
      </c>
      <c r="M256" s="10">
        <v>25</v>
      </c>
      <c r="N256" s="30"/>
      <c r="O256" s="31"/>
      <c r="P256" s="47"/>
      <c r="Q256" s="31"/>
      <c r="R256" s="31"/>
      <c r="S256" s="32">
        <f t="shared" si="77"/>
        <v>0</v>
      </c>
      <c r="T256" s="10"/>
      <c r="U256" s="10"/>
      <c r="V256" s="10"/>
      <c r="W256" s="12">
        <f t="shared" si="78"/>
        <v>0</v>
      </c>
      <c r="Y256" s="10">
        <v>25</v>
      </c>
      <c r="Z256" s="30"/>
      <c r="AA256" s="31"/>
      <c r="AB256" s="47"/>
      <c r="AC256" s="31"/>
      <c r="AD256" s="31"/>
      <c r="AE256" s="32">
        <f t="shared" si="86"/>
        <v>0</v>
      </c>
      <c r="AF256" s="10"/>
      <c r="AG256" s="10"/>
      <c r="AH256" s="10"/>
      <c r="AI256" s="12">
        <f t="shared" si="80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3"/>
      <c r="D257" s="32"/>
      <c r="E257" s="32"/>
      <c r="F257" s="32"/>
      <c r="G257" s="32">
        <f t="shared" si="75"/>
        <v>0</v>
      </c>
      <c r="H257" s="10"/>
      <c r="I257" s="10"/>
      <c r="J257" s="10"/>
      <c r="K257" s="12">
        <f t="shared" si="76"/>
        <v>0</v>
      </c>
      <c r="M257" s="10">
        <v>26</v>
      </c>
      <c r="N257" s="30"/>
      <c r="O257" s="31"/>
      <c r="P257" s="47"/>
      <c r="Q257" s="31"/>
      <c r="R257" s="31"/>
      <c r="S257" s="32">
        <f t="shared" si="77"/>
        <v>0</v>
      </c>
      <c r="T257" s="10"/>
      <c r="U257" s="10"/>
      <c r="V257" s="10"/>
      <c r="W257" s="12">
        <f t="shared" si="78"/>
        <v>0</v>
      </c>
      <c r="Y257" s="10">
        <v>26</v>
      </c>
      <c r="Z257" s="30"/>
      <c r="AA257" s="31"/>
      <c r="AB257" s="47"/>
      <c r="AC257" s="31"/>
      <c r="AD257" s="31"/>
      <c r="AE257" s="32">
        <f t="shared" si="86"/>
        <v>0</v>
      </c>
      <c r="AF257" s="10"/>
      <c r="AG257" s="10"/>
      <c r="AH257" s="10"/>
      <c r="AI257" s="12">
        <f t="shared" si="80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3"/>
      <c r="D258" s="32"/>
      <c r="E258" s="32"/>
      <c r="F258" s="32"/>
      <c r="G258" s="32">
        <f t="shared" si="75"/>
        <v>0</v>
      </c>
      <c r="H258" s="10"/>
      <c r="I258" s="10"/>
      <c r="J258" s="10"/>
      <c r="K258" s="12">
        <f t="shared" si="76"/>
        <v>0</v>
      </c>
      <c r="M258" s="10">
        <v>27</v>
      </c>
      <c r="N258" s="30"/>
      <c r="O258" s="31"/>
      <c r="P258" s="47"/>
      <c r="Q258" s="31"/>
      <c r="R258" s="31"/>
      <c r="S258" s="32">
        <f t="shared" si="77"/>
        <v>0</v>
      </c>
      <c r="T258" s="10"/>
      <c r="U258" s="10"/>
      <c r="V258" s="10"/>
      <c r="W258" s="12">
        <f t="shared" si="78"/>
        <v>0</v>
      </c>
      <c r="Y258" s="10">
        <v>27</v>
      </c>
      <c r="Z258" s="30"/>
      <c r="AA258" s="31"/>
      <c r="AB258" s="47"/>
      <c r="AC258" s="31"/>
      <c r="AD258" s="31"/>
      <c r="AE258" s="32">
        <f t="shared" si="86"/>
        <v>0</v>
      </c>
      <c r="AF258" s="10"/>
      <c r="AG258" s="10"/>
      <c r="AH258" s="10"/>
      <c r="AI258" s="12">
        <f t="shared" si="80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3"/>
      <c r="D259" s="32"/>
      <c r="E259" s="32"/>
      <c r="F259" s="32"/>
      <c r="G259" s="32">
        <f t="shared" si="75"/>
        <v>0</v>
      </c>
      <c r="H259" s="10"/>
      <c r="I259" s="10"/>
      <c r="J259" s="10"/>
      <c r="K259" s="12">
        <f t="shared" si="76"/>
        <v>0</v>
      </c>
      <c r="M259" s="10">
        <v>28</v>
      </c>
      <c r="N259" s="30"/>
      <c r="O259" s="31"/>
      <c r="P259" s="47"/>
      <c r="Q259" s="31"/>
      <c r="R259" s="31"/>
      <c r="S259" s="32">
        <f t="shared" si="77"/>
        <v>0</v>
      </c>
      <c r="T259" s="10"/>
      <c r="U259" s="10"/>
      <c r="V259" s="10"/>
      <c r="W259" s="12">
        <f t="shared" si="78"/>
        <v>0</v>
      </c>
      <c r="Y259" s="10">
        <v>28</v>
      </c>
      <c r="Z259" s="30"/>
      <c r="AA259" s="31"/>
      <c r="AB259" s="47"/>
      <c r="AC259" s="31"/>
      <c r="AD259" s="31"/>
      <c r="AE259" s="32">
        <f t="shared" si="86"/>
        <v>0</v>
      </c>
      <c r="AF259" s="10"/>
      <c r="AG259" s="10"/>
      <c r="AH259" s="10"/>
      <c r="AI259" s="12">
        <f t="shared" si="80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83"/>
      <c r="D260" s="32"/>
      <c r="E260" s="32"/>
      <c r="F260" s="32"/>
      <c r="G260" s="32">
        <f t="shared" si="75"/>
        <v>0</v>
      </c>
      <c r="H260" s="10"/>
      <c r="I260" s="10"/>
      <c r="J260" s="10"/>
      <c r="K260" s="12">
        <f t="shared" si="76"/>
        <v>0</v>
      </c>
      <c r="M260" s="10">
        <v>29</v>
      </c>
      <c r="N260" s="30"/>
      <c r="O260" s="31"/>
      <c r="P260" s="47"/>
      <c r="Q260" s="31"/>
      <c r="R260" s="31"/>
      <c r="S260" s="32">
        <f t="shared" si="77"/>
        <v>0</v>
      </c>
      <c r="T260" s="10"/>
      <c r="U260" s="10"/>
      <c r="V260" s="10"/>
      <c r="W260" s="12">
        <f t="shared" si="78"/>
        <v>0</v>
      </c>
      <c r="Y260" s="10">
        <v>29</v>
      </c>
      <c r="Z260" s="30"/>
      <c r="AA260" s="31"/>
      <c r="AB260" s="47"/>
      <c r="AC260" s="31"/>
      <c r="AD260" s="31"/>
      <c r="AE260" s="32">
        <f t="shared" si="86"/>
        <v>0</v>
      </c>
      <c r="AF260" s="10"/>
      <c r="AG260" s="10"/>
      <c r="AH260" s="10"/>
      <c r="AI260" s="12">
        <f t="shared" si="80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3"/>
      <c r="D261" s="32"/>
      <c r="E261" s="32"/>
      <c r="F261" s="32"/>
      <c r="G261" s="32">
        <f t="shared" si="75"/>
        <v>0</v>
      </c>
      <c r="H261" s="10"/>
      <c r="I261" s="10"/>
      <c r="J261" s="10"/>
      <c r="K261" s="12">
        <f t="shared" si="76"/>
        <v>0</v>
      </c>
      <c r="M261" s="10">
        <v>30</v>
      </c>
      <c r="N261" s="30"/>
      <c r="O261" s="31"/>
      <c r="P261" s="47"/>
      <c r="Q261" s="31"/>
      <c r="R261" s="31"/>
      <c r="S261" s="32">
        <f t="shared" si="77"/>
        <v>0</v>
      </c>
      <c r="T261" s="10"/>
      <c r="U261" s="10"/>
      <c r="V261" s="10"/>
      <c r="W261" s="12">
        <f t="shared" si="78"/>
        <v>0</v>
      </c>
      <c r="Y261" s="10">
        <v>30</v>
      </c>
      <c r="Z261" s="30"/>
      <c r="AA261" s="31"/>
      <c r="AB261" s="47"/>
      <c r="AC261" s="31"/>
      <c r="AD261" s="31"/>
      <c r="AE261" s="32">
        <f t="shared" si="86"/>
        <v>0</v>
      </c>
      <c r="AF261" s="10"/>
      <c r="AG261" s="10"/>
      <c r="AH261" s="10"/>
      <c r="AI261" s="12">
        <f t="shared" si="80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3"/>
      <c r="D262" s="32"/>
      <c r="E262" s="32"/>
      <c r="F262" s="32"/>
      <c r="G262" s="32">
        <f t="shared" si="75"/>
        <v>0</v>
      </c>
      <c r="H262" s="10"/>
      <c r="I262" s="10"/>
      <c r="J262" s="10"/>
      <c r="K262" s="12">
        <f t="shared" si="76"/>
        <v>0</v>
      </c>
      <c r="M262" s="10">
        <v>31</v>
      </c>
      <c r="N262" s="30"/>
      <c r="O262" s="31"/>
      <c r="P262" s="47"/>
      <c r="Q262" s="31"/>
      <c r="R262" s="31"/>
      <c r="S262" s="32">
        <f t="shared" si="77"/>
        <v>0</v>
      </c>
      <c r="T262" s="10"/>
      <c r="U262" s="10"/>
      <c r="V262" s="10"/>
      <c r="W262" s="12">
        <f t="shared" si="78"/>
        <v>0</v>
      </c>
      <c r="Y262" s="10">
        <v>31</v>
      </c>
      <c r="Z262" s="30"/>
      <c r="AA262" s="31"/>
      <c r="AB262" s="47"/>
      <c r="AC262" s="31"/>
      <c r="AD262" s="31"/>
      <c r="AE262" s="32">
        <f t="shared" si="86"/>
        <v>0</v>
      </c>
      <c r="AF262" s="10"/>
      <c r="AG262" s="10"/>
      <c r="AH262" s="10"/>
      <c r="AI262" s="12">
        <f t="shared" si="80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3"/>
      <c r="D263" s="32"/>
      <c r="E263" s="32"/>
      <c r="F263" s="32"/>
      <c r="G263" s="32">
        <f t="shared" si="75"/>
        <v>0</v>
      </c>
      <c r="H263" s="10"/>
      <c r="I263" s="10"/>
      <c r="J263" s="10"/>
      <c r="K263" s="12">
        <f t="shared" si="76"/>
        <v>0</v>
      </c>
      <c r="M263" s="10">
        <v>32</v>
      </c>
      <c r="N263" s="30"/>
      <c r="O263" s="31"/>
      <c r="P263" s="47"/>
      <c r="Q263" s="31"/>
      <c r="R263" s="31"/>
      <c r="S263" s="32">
        <f t="shared" si="77"/>
        <v>0</v>
      </c>
      <c r="T263" s="10"/>
      <c r="U263" s="10"/>
      <c r="V263" s="10"/>
      <c r="W263" s="12">
        <f t="shared" si="78"/>
        <v>0</v>
      </c>
      <c r="Y263" s="10">
        <v>32</v>
      </c>
      <c r="Z263" s="30"/>
      <c r="AA263" s="31"/>
      <c r="AB263" s="47"/>
      <c r="AC263" s="31"/>
      <c r="AD263" s="31"/>
      <c r="AE263" s="32">
        <f t="shared" si="86"/>
        <v>0</v>
      </c>
      <c r="AF263" s="10"/>
      <c r="AG263" s="10"/>
      <c r="AH263" s="10"/>
      <c r="AI263" s="12">
        <f t="shared" si="80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3"/>
      <c r="D264" s="32"/>
      <c r="E264" s="32"/>
      <c r="F264" s="32"/>
      <c r="G264" s="32">
        <f t="shared" si="75"/>
        <v>0</v>
      </c>
      <c r="H264" s="10"/>
      <c r="I264" s="10"/>
      <c r="J264" s="10"/>
      <c r="K264" s="12">
        <f t="shared" si="76"/>
        <v>0</v>
      </c>
      <c r="M264" s="10">
        <v>33</v>
      </c>
      <c r="N264" s="30"/>
      <c r="O264" s="31"/>
      <c r="P264" s="47"/>
      <c r="Q264" s="31"/>
      <c r="R264" s="31"/>
      <c r="S264" s="32">
        <f t="shared" si="77"/>
        <v>0</v>
      </c>
      <c r="T264" s="10"/>
      <c r="U264" s="10"/>
      <c r="V264" s="10"/>
      <c r="W264" s="12">
        <f t="shared" si="78"/>
        <v>0</v>
      </c>
      <c r="Y264" s="10">
        <v>33</v>
      </c>
      <c r="Z264" s="30"/>
      <c r="AA264" s="31"/>
      <c r="AB264" s="47"/>
      <c r="AC264" s="31"/>
      <c r="AD264" s="31"/>
      <c r="AE264" s="32">
        <f t="shared" si="86"/>
        <v>0</v>
      </c>
      <c r="AF264" s="10"/>
      <c r="AG264" s="10"/>
      <c r="AH264" s="10"/>
      <c r="AI264" s="12">
        <f t="shared" si="80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3"/>
      <c r="D265" s="32"/>
      <c r="E265" s="32"/>
      <c r="F265" s="32"/>
      <c r="G265" s="32">
        <f t="shared" si="75"/>
        <v>0</v>
      </c>
      <c r="H265" s="10"/>
      <c r="I265" s="10"/>
      <c r="J265" s="10"/>
      <c r="K265" s="12">
        <f t="shared" si="76"/>
        <v>0</v>
      </c>
      <c r="M265" s="10">
        <v>34</v>
      </c>
      <c r="N265" s="30"/>
      <c r="O265" s="31"/>
      <c r="P265" s="47"/>
      <c r="Q265" s="31"/>
      <c r="R265" s="31"/>
      <c r="S265" s="32">
        <f t="shared" si="77"/>
        <v>0</v>
      </c>
      <c r="T265" s="10"/>
      <c r="U265" s="10"/>
      <c r="V265" s="10"/>
      <c r="W265" s="12">
        <f t="shared" si="78"/>
        <v>0</v>
      </c>
      <c r="Y265" s="10">
        <v>34</v>
      </c>
      <c r="Z265" s="30"/>
      <c r="AA265" s="31"/>
      <c r="AB265" s="47"/>
      <c r="AC265" s="31"/>
      <c r="AD265" s="31"/>
      <c r="AE265" s="32">
        <f t="shared" ref="AE265:AE270" si="87">SUM(AB265:AC265)</f>
        <v>0</v>
      </c>
      <c r="AF265" s="10"/>
      <c r="AG265" s="10"/>
      <c r="AH265" s="10"/>
      <c r="AI265" s="12">
        <f t="shared" ref="AI265:AI273" si="88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3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77"/>
        <v>0</v>
      </c>
      <c r="T266" s="10"/>
      <c r="U266" s="10"/>
      <c r="V266" s="10"/>
      <c r="W266" s="12">
        <f t="shared" si="78"/>
        <v>0</v>
      </c>
      <c r="Y266" s="10">
        <v>35</v>
      </c>
      <c r="Z266" s="30"/>
      <c r="AA266" s="31"/>
      <c r="AB266" s="47"/>
      <c r="AC266" s="31"/>
      <c r="AD266" s="31"/>
      <c r="AE266" s="32">
        <f t="shared" si="87"/>
        <v>0</v>
      </c>
      <c r="AF266" s="10"/>
      <c r="AG266" s="10"/>
      <c r="AH266" s="10"/>
      <c r="AI266" s="12">
        <f t="shared" si="88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3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77"/>
        <v>0</v>
      </c>
      <c r="T267" s="10"/>
      <c r="U267" s="10"/>
      <c r="V267" s="10"/>
      <c r="W267" s="12">
        <f t="shared" si="78"/>
        <v>0</v>
      </c>
      <c r="Y267" s="10">
        <v>36</v>
      </c>
      <c r="Z267" s="30"/>
      <c r="AA267" s="31"/>
      <c r="AB267" s="47"/>
      <c r="AC267" s="31"/>
      <c r="AD267" s="31"/>
      <c r="AE267" s="32">
        <f t="shared" si="87"/>
        <v>0</v>
      </c>
      <c r="AF267" s="10"/>
      <c r="AG267" s="10"/>
      <c r="AH267" s="10"/>
      <c r="AI267" s="12">
        <f t="shared" si="88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77"/>
        <v>0</v>
      </c>
      <c r="T268" s="10"/>
      <c r="U268" s="10"/>
      <c r="V268" s="10"/>
      <c r="W268" s="12">
        <f t="shared" si="78"/>
        <v>0</v>
      </c>
      <c r="Y268" s="10">
        <v>37</v>
      </c>
      <c r="Z268" s="30"/>
      <c r="AA268" s="31"/>
      <c r="AB268" s="47"/>
      <c r="AC268" s="31"/>
      <c r="AD268" s="31"/>
      <c r="AE268" s="32">
        <f t="shared" si="87"/>
        <v>0</v>
      </c>
      <c r="AF268" s="10"/>
      <c r="AG268" s="10"/>
      <c r="AH268" s="10"/>
      <c r="AI268" s="12">
        <f t="shared" si="88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77"/>
        <v>0</v>
      </c>
      <c r="T269" s="10"/>
      <c r="U269" s="10"/>
      <c r="V269" s="10"/>
      <c r="W269" s="12">
        <f t="shared" si="78"/>
        <v>0</v>
      </c>
      <c r="Y269" s="10">
        <v>38</v>
      </c>
      <c r="Z269" s="30"/>
      <c r="AA269" s="31"/>
      <c r="AB269" s="47"/>
      <c r="AC269" s="31"/>
      <c r="AD269" s="31"/>
      <c r="AE269" s="32">
        <f t="shared" si="87"/>
        <v>0</v>
      </c>
      <c r="AF269" s="10"/>
      <c r="AG269" s="10"/>
      <c r="AH269" s="10"/>
      <c r="AI269" s="12">
        <f t="shared" si="88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77"/>
        <v>0</v>
      </c>
      <c r="T270" s="10"/>
      <c r="U270" s="10"/>
      <c r="V270" s="10"/>
      <c r="W270" s="12">
        <f t="shared" si="78"/>
        <v>0</v>
      </c>
      <c r="Y270" s="10">
        <v>39</v>
      </c>
      <c r="Z270" s="30"/>
      <c r="AA270" s="31"/>
      <c r="AB270" s="47"/>
      <c r="AC270" s="31"/>
      <c r="AD270" s="31"/>
      <c r="AE270" s="32">
        <f t="shared" si="87"/>
        <v>0</v>
      </c>
      <c r="AF270" s="10"/>
      <c r="AG270" s="10"/>
      <c r="AH270" s="10"/>
      <c r="AI270" s="12">
        <f t="shared" si="88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78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8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9">SUM(D272:E272)</f>
        <v>0</v>
      </c>
      <c r="H272" s="10"/>
      <c r="I272" s="10"/>
      <c r="J272" s="10"/>
      <c r="K272" s="12">
        <f t="shared" ref="K272" si="90">SUM(G272:J272)</f>
        <v>0</v>
      </c>
      <c r="M272" s="10"/>
      <c r="N272" s="30"/>
      <c r="O272" s="31"/>
      <c r="P272" s="47"/>
      <c r="Q272" s="31"/>
      <c r="R272" s="31"/>
      <c r="S272" s="32">
        <f t="shared" ref="S272" si="91">SUM(P272:Q272)</f>
        <v>0</v>
      </c>
      <c r="T272" s="10"/>
      <c r="U272" s="10"/>
      <c r="V272" s="10"/>
      <c r="W272" s="12">
        <f t="shared" si="78"/>
        <v>0</v>
      </c>
      <c r="Y272" s="10"/>
      <c r="Z272" s="30"/>
      <c r="AA272" s="31"/>
      <c r="AB272" s="47"/>
      <c r="AC272" s="31"/>
      <c r="AD272" s="31"/>
      <c r="AE272" s="32">
        <f t="shared" ref="AE272" si="92">SUM(AB272:AC272)</f>
        <v>0</v>
      </c>
      <c r="AF272" s="10"/>
      <c r="AG272" s="10"/>
      <c r="AH272" s="10"/>
      <c r="AI272" s="12">
        <f t="shared" si="88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78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8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354435</v>
      </c>
      <c r="E275" s="38">
        <f t="shared" ref="E275:F275" si="93">SUM(E232:E272)</f>
        <v>-2592</v>
      </c>
      <c r="F275" s="38">
        <f t="shared" si="93"/>
        <v>0</v>
      </c>
      <c r="G275" s="38">
        <f>SUM(G232:G274)</f>
        <v>351843</v>
      </c>
      <c r="H275" s="4"/>
      <c r="I275" s="39">
        <f>SUM(I232:I274)</f>
        <v>5953.5</v>
      </c>
      <c r="J275" s="39">
        <f>SUM(J232:J274)</f>
        <v>-3219</v>
      </c>
      <c r="K275" s="40">
        <f>SUM(K232:K274)</f>
        <v>354577.5</v>
      </c>
      <c r="N275" s="57"/>
      <c r="O275" s="57"/>
      <c r="P275" s="38">
        <f>SUM(P232:P274)</f>
        <v>244037.5</v>
      </c>
      <c r="Q275" s="38">
        <f>SUM(Q232:Q256)</f>
        <v>-1494</v>
      </c>
      <c r="R275" s="38">
        <f>SUM(R232:R256)</f>
        <v>0</v>
      </c>
      <c r="S275" s="38">
        <f>SUM(S232:S274)</f>
        <v>242543.5</v>
      </c>
      <c r="T275" s="4"/>
      <c r="U275" s="41">
        <f>SUM(U232:U274)</f>
        <v>297</v>
      </c>
      <c r="V275" s="41">
        <f>SUM(V232:V256)</f>
        <v>-4620</v>
      </c>
      <c r="W275" s="42">
        <f>SUM(W232:W274)</f>
        <v>238220.5</v>
      </c>
      <c r="Z275" s="57"/>
      <c r="AA275" s="57"/>
      <c r="AB275" s="38">
        <f>SUM(AB232:AB274)</f>
        <v>465088</v>
      </c>
      <c r="AC275" s="38">
        <f>SUM(AC232:AC256)</f>
        <v>-4044</v>
      </c>
      <c r="AD275" s="38">
        <f>SUM(AD232:AD256)</f>
        <v>0</v>
      </c>
      <c r="AE275" s="38">
        <f>SUM(AE232:AE274)</f>
        <v>461044</v>
      </c>
      <c r="AF275" s="4"/>
      <c r="AG275" s="41">
        <f>SUM(AG232:AG274)</f>
        <v>0</v>
      </c>
      <c r="AH275" s="41">
        <f>SUM(AH232:AH256)</f>
        <v>-1011</v>
      </c>
      <c r="AI275" s="42">
        <f>SUM(AI232:AI274)</f>
        <v>460033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41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41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41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53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53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53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34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12" t="s">
        <v>17</v>
      </c>
      <c r="E285" s="112"/>
      <c r="F285" s="96"/>
      <c r="G285" s="27"/>
      <c r="I285" s="110" t="s">
        <v>18</v>
      </c>
      <c r="J285" s="111"/>
      <c r="K285" s="108" t="s">
        <v>19</v>
      </c>
      <c r="N285" s="25"/>
      <c r="O285" s="26"/>
      <c r="P285" s="112" t="s">
        <v>17</v>
      </c>
      <c r="Q285" s="112"/>
      <c r="R285" s="96"/>
      <c r="S285" s="27"/>
      <c r="U285" s="110" t="s">
        <v>18</v>
      </c>
      <c r="V285" s="111"/>
      <c r="W285" s="108" t="s">
        <v>19</v>
      </c>
      <c r="Z285" s="25"/>
      <c r="AA285" s="26"/>
      <c r="AB285" s="112" t="s">
        <v>17</v>
      </c>
      <c r="AC285" s="112"/>
      <c r="AD285" s="96"/>
      <c r="AE285" s="27"/>
      <c r="AG285" s="110" t="s">
        <v>18</v>
      </c>
      <c r="AH285" s="111"/>
      <c r="AI285" s="108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09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09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09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46269</v>
      </c>
      <c r="C287" s="83">
        <v>9986</v>
      </c>
      <c r="D287" s="32">
        <f>650*22+670*2+622*3</f>
        <v>17506</v>
      </c>
      <c r="E287" s="32"/>
      <c r="F287" s="32"/>
      <c r="G287" s="32">
        <f t="shared" ref="G287:G320" si="94">SUM(D287:E287)</f>
        <v>17506</v>
      </c>
      <c r="H287" s="12"/>
      <c r="I287" s="12"/>
      <c r="J287" s="12"/>
      <c r="K287" s="12">
        <f t="shared" ref="K287:K320" si="95">SUM(G287:J287)</f>
        <v>17506</v>
      </c>
      <c r="M287" s="10">
        <v>1</v>
      </c>
      <c r="N287" s="30">
        <v>46269</v>
      </c>
      <c r="O287" s="31">
        <v>10072</v>
      </c>
      <c r="P287" s="32">
        <f>650*20</f>
        <v>13000</v>
      </c>
      <c r="Q287" s="32"/>
      <c r="R287" s="32"/>
      <c r="S287" s="32">
        <f>SUM(P287:Q287)</f>
        <v>13000</v>
      </c>
      <c r="T287" s="12"/>
      <c r="U287" s="12"/>
      <c r="V287" s="12"/>
      <c r="W287" s="12">
        <f>SUM(S287:V287)</f>
        <v>13000</v>
      </c>
      <c r="Y287" s="10">
        <v>1</v>
      </c>
      <c r="Z287" s="30">
        <v>46269</v>
      </c>
      <c r="AA287" s="31">
        <v>10015</v>
      </c>
      <c r="AB287" s="32">
        <f>650*108+229*5</f>
        <v>71345</v>
      </c>
      <c r="AC287" s="32">
        <f>-108*6</f>
        <v>-648</v>
      </c>
      <c r="AD287" s="32"/>
      <c r="AE287" s="32">
        <f>SUM(AB287:AC287)</f>
        <v>70697</v>
      </c>
      <c r="AF287" s="12"/>
      <c r="AG287" s="12"/>
      <c r="AH287" s="12">
        <f>-111*82</f>
        <v>-9102</v>
      </c>
      <c r="AI287" s="12">
        <f>SUM(AE287:AH287)</f>
        <v>61595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46269</v>
      </c>
      <c r="C288" s="83">
        <f>C287+1</f>
        <v>9987</v>
      </c>
      <c r="D288" s="32">
        <f>650*15+872</f>
        <v>10622</v>
      </c>
      <c r="E288" s="32"/>
      <c r="F288" s="32"/>
      <c r="G288" s="32">
        <f t="shared" si="94"/>
        <v>10622</v>
      </c>
      <c r="H288" s="12"/>
      <c r="I288" s="12">
        <v>94.5</v>
      </c>
      <c r="J288" s="12"/>
      <c r="K288" s="12">
        <f t="shared" si="95"/>
        <v>10716.5</v>
      </c>
      <c r="M288" s="10">
        <v>2</v>
      </c>
      <c r="N288" s="30">
        <v>46269</v>
      </c>
      <c r="O288" s="31">
        <f>O287+1</f>
        <v>10073</v>
      </c>
      <c r="P288" s="32">
        <f>650*216+229*10</f>
        <v>142690</v>
      </c>
      <c r="Q288" s="32">
        <f>-216*6</f>
        <v>-1296</v>
      </c>
      <c r="R288" s="32"/>
      <c r="S288" s="32">
        <f t="shared" ref="S288:S325" si="96">SUM(P288:Q288)</f>
        <v>141394</v>
      </c>
      <c r="T288" s="12"/>
      <c r="U288" s="12">
        <v>624</v>
      </c>
      <c r="V288" s="12">
        <v>-336</v>
      </c>
      <c r="W288" s="12">
        <f t="shared" ref="W288:W328" si="97">SUM(S288:V288)</f>
        <v>141682</v>
      </c>
      <c r="Y288" s="10">
        <v>2</v>
      </c>
      <c r="Z288" s="30">
        <v>46269</v>
      </c>
      <c r="AA288" s="31">
        <f>AA287+1</f>
        <v>10016</v>
      </c>
      <c r="AB288" s="32">
        <f>650*75+622*5+229*2</f>
        <v>52318</v>
      </c>
      <c r="AC288" s="32"/>
      <c r="AD288" s="32"/>
      <c r="AE288" s="32">
        <f t="shared" ref="AE288:AE290" si="98">SUM(AB288:AC288)</f>
        <v>52318</v>
      </c>
      <c r="AF288" s="12"/>
      <c r="AG288" s="12">
        <f>3108+162</f>
        <v>3270</v>
      </c>
      <c r="AH288" s="12"/>
      <c r="AI288" s="12">
        <f t="shared" ref="AI288:AI319" si="99">SUM(AE288:AH288)</f>
        <v>55588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46269</v>
      </c>
      <c r="C289" s="83">
        <f t="shared" ref="C289:C301" si="100">C288+1</f>
        <v>9988</v>
      </c>
      <c r="D289" s="33">
        <f>650*58+229</f>
        <v>37929</v>
      </c>
      <c r="E289" s="32"/>
      <c r="F289" s="33"/>
      <c r="G289" s="33">
        <f t="shared" si="94"/>
        <v>37929</v>
      </c>
      <c r="H289" s="34"/>
      <c r="I289" s="34"/>
      <c r="J289" s="34"/>
      <c r="K289" s="34">
        <f t="shared" si="95"/>
        <v>37929</v>
      </c>
      <c r="M289" s="10">
        <v>3</v>
      </c>
      <c r="N289" s="30">
        <v>46269</v>
      </c>
      <c r="O289" s="31">
        <f t="shared" ref="O289:O295" si="101">O288+1</f>
        <v>10074</v>
      </c>
      <c r="P289" s="32">
        <f>650*11+9.5*11</f>
        <v>7254.5</v>
      </c>
      <c r="Q289" s="32"/>
      <c r="R289" s="32"/>
      <c r="S289" s="32">
        <f t="shared" si="96"/>
        <v>7254.5</v>
      </c>
      <c r="T289" s="12"/>
      <c r="U289" s="12"/>
      <c r="V289" s="12">
        <v>-666</v>
      </c>
      <c r="W289" s="12">
        <f t="shared" si="97"/>
        <v>6588.5</v>
      </c>
      <c r="Y289" s="10">
        <v>3</v>
      </c>
      <c r="Z289" s="30">
        <v>46269</v>
      </c>
      <c r="AA289" s="31">
        <f t="shared" ref="AA289:AA297" si="102">AA288+1</f>
        <v>10017</v>
      </c>
      <c r="AB289" s="33">
        <f>650*52+622*10+229*2</f>
        <v>40478</v>
      </c>
      <c r="AC289" s="33"/>
      <c r="AD289" s="32"/>
      <c r="AE289" s="32">
        <f t="shared" si="98"/>
        <v>40478</v>
      </c>
      <c r="AF289" s="12"/>
      <c r="AG289" s="12"/>
      <c r="AH289" s="12"/>
      <c r="AI289" s="12">
        <f t="shared" si="99"/>
        <v>40478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46269</v>
      </c>
      <c r="C290" s="83">
        <f t="shared" si="100"/>
        <v>9989</v>
      </c>
      <c r="D290" s="32">
        <f>650*3+9.5*3</f>
        <v>1978.5</v>
      </c>
      <c r="E290" s="32"/>
      <c r="F290" s="32"/>
      <c r="G290" s="32">
        <f t="shared" si="94"/>
        <v>1978.5</v>
      </c>
      <c r="H290" s="12"/>
      <c r="I290" s="12"/>
      <c r="J290" s="12"/>
      <c r="K290" s="12">
        <f t="shared" si="95"/>
        <v>1978.5</v>
      </c>
      <c r="M290" s="10">
        <v>4</v>
      </c>
      <c r="N290" s="30">
        <v>46269</v>
      </c>
      <c r="O290" s="31">
        <f t="shared" si="101"/>
        <v>10075</v>
      </c>
      <c r="P290" s="32">
        <f>650*6+622+9.5*7</f>
        <v>4588.5</v>
      </c>
      <c r="Q290" s="32"/>
      <c r="R290" s="32"/>
      <c r="S290" s="32">
        <f t="shared" si="96"/>
        <v>4588.5</v>
      </c>
      <c r="T290" s="12"/>
      <c r="U290" s="12"/>
      <c r="V290" s="12"/>
      <c r="W290" s="12">
        <f t="shared" si="97"/>
        <v>4588.5</v>
      </c>
      <c r="Y290" s="10">
        <v>4</v>
      </c>
      <c r="Z290" s="30">
        <v>46269</v>
      </c>
      <c r="AA290" s="31">
        <f t="shared" si="102"/>
        <v>10018</v>
      </c>
      <c r="AB290" s="32">
        <f>650*15+622*5+1050+872*2+229+500</f>
        <v>16383</v>
      </c>
      <c r="AC290" s="32"/>
      <c r="AD290" s="32"/>
      <c r="AE290" s="32">
        <f t="shared" si="98"/>
        <v>16383</v>
      </c>
      <c r="AF290" s="12"/>
      <c r="AG290">
        <f>144+81</f>
        <v>225</v>
      </c>
      <c r="AH290" s="12"/>
      <c r="AI290" s="12">
        <f t="shared" si="99"/>
        <v>16608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46269</v>
      </c>
      <c r="C291" s="83">
        <f t="shared" si="100"/>
        <v>9990</v>
      </c>
      <c r="D291" s="32">
        <f>650*150+622*12</f>
        <v>104964</v>
      </c>
      <c r="E291" s="32"/>
      <c r="F291" s="32"/>
      <c r="G291" s="32">
        <f t="shared" si="94"/>
        <v>104964</v>
      </c>
      <c r="H291" s="12"/>
      <c r="I291" s="12"/>
      <c r="J291" s="12">
        <f>-360+-390</f>
        <v>-750</v>
      </c>
      <c r="K291" s="12">
        <f t="shared" si="95"/>
        <v>104214</v>
      </c>
      <c r="M291" s="10">
        <v>5</v>
      </c>
      <c r="N291" s="30">
        <v>46269</v>
      </c>
      <c r="O291" s="31">
        <f t="shared" si="101"/>
        <v>10076</v>
      </c>
      <c r="P291" s="32">
        <f>650*7+622*3</f>
        <v>6416</v>
      </c>
      <c r="Q291" s="32"/>
      <c r="R291" s="32"/>
      <c r="S291" s="32">
        <f t="shared" si="96"/>
        <v>6416</v>
      </c>
      <c r="T291" s="12"/>
      <c r="U291" s="12"/>
      <c r="V291" s="12"/>
      <c r="W291" s="12">
        <f t="shared" si="97"/>
        <v>6416</v>
      </c>
      <c r="Y291" s="10">
        <v>5</v>
      </c>
      <c r="Z291" s="30">
        <v>46269</v>
      </c>
      <c r="AA291" s="31">
        <f t="shared" si="102"/>
        <v>10019</v>
      </c>
      <c r="AB291" s="32">
        <f>650*21</f>
        <v>13650</v>
      </c>
      <c r="AC291" s="32"/>
      <c r="AD291" s="32"/>
      <c r="AE291" s="32">
        <f t="shared" ref="AE291:AE292" si="103">SUM(AB291:AC291)</f>
        <v>13650</v>
      </c>
      <c r="AF291" s="12"/>
      <c r="AG291" s="12"/>
      <c r="AH291" s="12"/>
      <c r="AI291" s="12">
        <f t="shared" si="99"/>
        <v>13650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46269</v>
      </c>
      <c r="C292" s="83">
        <f t="shared" si="100"/>
        <v>9991</v>
      </c>
      <c r="D292" s="32">
        <f>650*216+229*3</f>
        <v>141087</v>
      </c>
      <c r="E292" s="32"/>
      <c r="F292" s="32"/>
      <c r="G292" s="32">
        <f t="shared" si="94"/>
        <v>141087</v>
      </c>
      <c r="H292" s="12"/>
      <c r="I292" s="12">
        <v>2331</v>
      </c>
      <c r="J292" s="12"/>
      <c r="K292" s="12">
        <f t="shared" si="95"/>
        <v>143418</v>
      </c>
      <c r="M292" s="10">
        <v>6</v>
      </c>
      <c r="N292" s="30">
        <v>46269</v>
      </c>
      <c r="O292" s="31">
        <f t="shared" si="101"/>
        <v>10077</v>
      </c>
      <c r="P292" s="32">
        <f>650*30+622*5+872</f>
        <v>23482</v>
      </c>
      <c r="Q292" s="32"/>
      <c r="R292" s="32"/>
      <c r="S292" s="32">
        <f t="shared" si="96"/>
        <v>23482</v>
      </c>
      <c r="T292" s="12"/>
      <c r="U292" s="12"/>
      <c r="V292" s="10"/>
      <c r="W292" s="12">
        <f t="shared" si="97"/>
        <v>23482</v>
      </c>
      <c r="Y292" s="10">
        <v>6</v>
      </c>
      <c r="Z292" s="30">
        <v>46269</v>
      </c>
      <c r="AA292" s="31">
        <f t="shared" si="102"/>
        <v>10020</v>
      </c>
      <c r="AB292" s="32">
        <f>650*25</f>
        <v>16250</v>
      </c>
      <c r="AC292" s="32"/>
      <c r="AD292" s="32"/>
      <c r="AE292" s="32">
        <f t="shared" si="103"/>
        <v>16250</v>
      </c>
      <c r="AF292" s="12"/>
      <c r="AG292" s="12">
        <v>1110</v>
      </c>
      <c r="AH292" s="10"/>
      <c r="AI292" s="12">
        <f t="shared" si="99"/>
        <v>17360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>
        <v>46269</v>
      </c>
      <c r="C293" s="83">
        <f t="shared" si="100"/>
        <v>9992</v>
      </c>
      <c r="D293" s="32">
        <f>650*25+622*5</f>
        <v>19360</v>
      </c>
      <c r="E293" s="32"/>
      <c r="F293" s="32"/>
      <c r="G293" s="32">
        <f t="shared" si="94"/>
        <v>19360</v>
      </c>
      <c r="H293" s="12"/>
      <c r="I293" s="12">
        <v>432</v>
      </c>
      <c r="J293" s="12"/>
      <c r="K293" s="12">
        <f t="shared" si="95"/>
        <v>19792</v>
      </c>
      <c r="M293" s="10">
        <v>7</v>
      </c>
      <c r="N293" s="30">
        <v>46269</v>
      </c>
      <c r="O293" s="31">
        <f t="shared" si="101"/>
        <v>10078</v>
      </c>
      <c r="P293" s="32">
        <f>650*20+670*2</f>
        <v>14340</v>
      </c>
      <c r="Q293" s="32"/>
      <c r="R293" s="32"/>
      <c r="S293" s="32">
        <f t="shared" si="96"/>
        <v>14340</v>
      </c>
      <c r="T293" s="12"/>
      <c r="U293" s="12"/>
      <c r="V293" s="12"/>
      <c r="W293" s="12">
        <f t="shared" si="97"/>
        <v>14340</v>
      </c>
      <c r="Y293" s="10">
        <v>7</v>
      </c>
      <c r="Z293" s="30">
        <v>46269</v>
      </c>
      <c r="AA293" s="31">
        <f t="shared" si="102"/>
        <v>10021</v>
      </c>
      <c r="AB293" s="32">
        <f>650*108+229*4</f>
        <v>71116</v>
      </c>
      <c r="AC293" s="32">
        <v>-648</v>
      </c>
      <c r="AD293" s="32"/>
      <c r="AE293" s="32">
        <f>SUM(AB293:AC293)</f>
        <v>70468</v>
      </c>
      <c r="AF293" s="12"/>
      <c r="AG293" s="58">
        <v>78</v>
      </c>
      <c r="AH293" s="12">
        <f>-111*92+-120*6</f>
        <v>-10932</v>
      </c>
      <c r="AI293" s="12">
        <f t="shared" si="99"/>
        <v>59614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>
        <v>46269</v>
      </c>
      <c r="C294" s="83">
        <f t="shared" si="100"/>
        <v>9993</v>
      </c>
      <c r="D294" s="32">
        <f>650*5</f>
        <v>3250</v>
      </c>
      <c r="E294" s="32"/>
      <c r="F294" s="32"/>
      <c r="G294" s="32">
        <f t="shared" si="94"/>
        <v>3250</v>
      </c>
      <c r="H294" s="12"/>
      <c r="I294" s="12"/>
      <c r="J294" s="12"/>
      <c r="K294" s="12">
        <f t="shared" si="95"/>
        <v>3250</v>
      </c>
      <c r="M294" s="10">
        <v>8</v>
      </c>
      <c r="N294" s="30">
        <v>46269</v>
      </c>
      <c r="O294" s="31">
        <f t="shared" si="101"/>
        <v>10079</v>
      </c>
      <c r="P294" s="32">
        <f>650*5+622*2</f>
        <v>4494</v>
      </c>
      <c r="Q294" s="32"/>
      <c r="R294" s="32"/>
      <c r="S294" s="32">
        <f t="shared" si="96"/>
        <v>4494</v>
      </c>
      <c r="T294" s="12"/>
      <c r="U294" s="12"/>
      <c r="V294" s="12"/>
      <c r="W294" s="12">
        <f t="shared" si="97"/>
        <v>4494</v>
      </c>
      <c r="Y294" s="10">
        <v>8</v>
      </c>
      <c r="Z294" s="30">
        <v>46269</v>
      </c>
      <c r="AA294" s="31">
        <f t="shared" si="102"/>
        <v>10022</v>
      </c>
      <c r="AB294" s="32">
        <f>650*70+670*30+1175+229*2</f>
        <v>67233</v>
      </c>
      <c r="AC294" s="32"/>
      <c r="AE294" s="32">
        <f t="shared" ref="AE294:AE325" si="104">SUM(AB294:AC294)</f>
        <v>67233</v>
      </c>
      <c r="AF294" s="12"/>
      <c r="AG294" s="12">
        <f>777+135</f>
        <v>912</v>
      </c>
      <c r="AH294" s="12"/>
      <c r="AI294" s="12">
        <f t="shared" si="99"/>
        <v>68145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>
        <v>46269</v>
      </c>
      <c r="C295" s="83">
        <f t="shared" si="100"/>
        <v>9994</v>
      </c>
      <c r="D295" s="32">
        <f>650*10+9.5*10</f>
        <v>6595</v>
      </c>
      <c r="E295" s="32"/>
      <c r="F295" s="32"/>
      <c r="G295" s="32">
        <f t="shared" si="94"/>
        <v>6595</v>
      </c>
      <c r="H295" s="12"/>
      <c r="I295" s="12"/>
      <c r="J295" s="12"/>
      <c r="K295" s="12">
        <f t="shared" si="95"/>
        <v>6595</v>
      </c>
      <c r="M295" s="10">
        <v>9</v>
      </c>
      <c r="N295" s="30">
        <v>46269</v>
      </c>
      <c r="O295" s="31">
        <f t="shared" si="101"/>
        <v>10080</v>
      </c>
      <c r="P295" s="32">
        <f>650*2+670+622</f>
        <v>2592</v>
      </c>
      <c r="Q295" s="32"/>
      <c r="R295" s="32"/>
      <c r="S295" s="32">
        <f t="shared" si="96"/>
        <v>2592</v>
      </c>
      <c r="T295" s="12"/>
      <c r="U295" s="12"/>
      <c r="V295" s="12"/>
      <c r="W295" s="12">
        <f t="shared" si="97"/>
        <v>2592</v>
      </c>
      <c r="Y295" s="10">
        <v>9</v>
      </c>
      <c r="Z295" s="30">
        <v>46269</v>
      </c>
      <c r="AA295" s="31">
        <f t="shared" si="102"/>
        <v>10023</v>
      </c>
      <c r="AB295" s="32">
        <f>650*40+670*2+229*2+500</f>
        <v>28298</v>
      </c>
      <c r="AC295" s="32"/>
      <c r="AD295" s="32"/>
      <c r="AE295" s="32">
        <f t="shared" si="104"/>
        <v>28298</v>
      </c>
      <c r="AF295" s="12"/>
      <c r="AG295">
        <v>81</v>
      </c>
      <c r="AH295" s="12"/>
      <c r="AI295" s="12">
        <f t="shared" si="99"/>
        <v>28379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>
        <v>46269</v>
      </c>
      <c r="C296" s="83">
        <f t="shared" si="100"/>
        <v>9995</v>
      </c>
      <c r="D296" s="32">
        <f>650*10+9.5*10</f>
        <v>6595</v>
      </c>
      <c r="E296" s="32"/>
      <c r="F296" s="32"/>
      <c r="G296" s="32">
        <f t="shared" si="94"/>
        <v>6595</v>
      </c>
      <c r="H296" s="12"/>
      <c r="I296" s="12"/>
      <c r="J296" s="12"/>
      <c r="K296" s="12">
        <f t="shared" si="95"/>
        <v>6595</v>
      </c>
      <c r="M296" s="10">
        <v>10</v>
      </c>
      <c r="N296" s="30"/>
      <c r="O296" s="11" t="s">
        <v>27</v>
      </c>
      <c r="P296" s="32"/>
      <c r="Q296" s="32"/>
      <c r="R296" s="32"/>
      <c r="S296" s="32">
        <f t="shared" si="96"/>
        <v>0</v>
      </c>
      <c r="T296" s="12"/>
      <c r="U296" s="12"/>
      <c r="V296" s="12"/>
      <c r="W296" s="12">
        <f t="shared" si="97"/>
        <v>0</v>
      </c>
      <c r="Y296" s="10">
        <v>10</v>
      </c>
      <c r="Z296" s="30">
        <v>46269</v>
      </c>
      <c r="AA296" s="31">
        <f t="shared" si="102"/>
        <v>10024</v>
      </c>
      <c r="AB296" s="32">
        <f>650*10</f>
        <v>6500</v>
      </c>
      <c r="AC296" s="32"/>
      <c r="AD296" s="32"/>
      <c r="AE296" s="32">
        <f t="shared" si="104"/>
        <v>6500</v>
      </c>
      <c r="AF296" s="12"/>
      <c r="AG296" s="12"/>
      <c r="AH296" s="12">
        <v>-666</v>
      </c>
      <c r="AI296" s="12">
        <f t="shared" si="99"/>
        <v>5834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>
        <v>46269</v>
      </c>
      <c r="C297" s="83">
        <f t="shared" si="100"/>
        <v>9996</v>
      </c>
      <c r="D297" s="32">
        <f>650*4+9.5*4</f>
        <v>2638</v>
      </c>
      <c r="E297" s="32"/>
      <c r="F297" s="32"/>
      <c r="G297" s="32">
        <f t="shared" si="94"/>
        <v>2638</v>
      </c>
      <c r="H297" s="12"/>
      <c r="I297" s="12"/>
      <c r="J297" s="12"/>
      <c r="K297" s="12">
        <f t="shared" si="95"/>
        <v>2638</v>
      </c>
      <c r="M297" s="10">
        <v>11</v>
      </c>
      <c r="N297" s="30"/>
      <c r="O297" s="31"/>
      <c r="P297" s="32"/>
      <c r="Q297" s="32"/>
      <c r="R297" s="32"/>
      <c r="S297" s="32">
        <f t="shared" si="96"/>
        <v>0</v>
      </c>
      <c r="T297" s="12"/>
      <c r="U297" s="12"/>
      <c r="V297" s="12"/>
      <c r="W297" s="12">
        <f t="shared" si="97"/>
        <v>0</v>
      </c>
      <c r="Y297" s="10">
        <v>11</v>
      </c>
      <c r="Z297" s="30">
        <v>46269</v>
      </c>
      <c r="AA297" s="31">
        <f t="shared" si="102"/>
        <v>10025</v>
      </c>
      <c r="AB297" s="32">
        <f>872</f>
        <v>872</v>
      </c>
      <c r="AC297" s="32"/>
      <c r="AD297" s="32"/>
      <c r="AE297" s="32">
        <f t="shared" si="104"/>
        <v>872</v>
      </c>
      <c r="AF297" s="12"/>
      <c r="AG297" s="12"/>
      <c r="AH297" s="12"/>
      <c r="AI297" s="12">
        <f t="shared" si="99"/>
        <v>872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>
        <v>46269</v>
      </c>
      <c r="C298" s="83">
        <f t="shared" si="100"/>
        <v>9997</v>
      </c>
      <c r="D298" s="32">
        <f>650*6</f>
        <v>3900</v>
      </c>
      <c r="E298" s="32"/>
      <c r="F298" s="32"/>
      <c r="G298" s="32">
        <f t="shared" si="94"/>
        <v>3900</v>
      </c>
      <c r="H298" s="12"/>
      <c r="I298" s="12"/>
      <c r="J298" s="10"/>
      <c r="K298" s="12">
        <f t="shared" si="95"/>
        <v>3900</v>
      </c>
      <c r="M298" s="10">
        <v>12</v>
      </c>
      <c r="N298" s="30"/>
      <c r="O298" s="31"/>
      <c r="P298" s="32"/>
      <c r="Q298" s="32"/>
      <c r="R298" s="32"/>
      <c r="S298" s="32">
        <f t="shared" si="96"/>
        <v>0</v>
      </c>
      <c r="T298" s="12"/>
      <c r="U298" s="12"/>
      <c r="V298" s="12"/>
      <c r="W298" s="12">
        <f t="shared" si="97"/>
        <v>0</v>
      </c>
      <c r="Y298" s="10">
        <v>12</v>
      </c>
      <c r="Z298" s="30"/>
      <c r="AA298" s="11" t="s">
        <v>27</v>
      </c>
      <c r="AB298" s="32"/>
      <c r="AC298" s="32"/>
      <c r="AD298" s="32"/>
      <c r="AE298" s="32">
        <f t="shared" si="104"/>
        <v>0</v>
      </c>
      <c r="AF298" s="12"/>
      <c r="AG298" s="12"/>
      <c r="AH298" s="12"/>
      <c r="AI298" s="12">
        <f t="shared" si="99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>
        <v>46269</v>
      </c>
      <c r="C299" s="83">
        <f t="shared" si="100"/>
        <v>9998</v>
      </c>
      <c r="D299" s="32">
        <f>650*5</f>
        <v>3250</v>
      </c>
      <c r="E299" s="32"/>
      <c r="F299" s="32"/>
      <c r="G299" s="32">
        <f t="shared" si="94"/>
        <v>3250</v>
      </c>
      <c r="H299" s="12"/>
      <c r="I299" s="12"/>
      <c r="J299" s="12"/>
      <c r="K299" s="12">
        <f t="shared" si="95"/>
        <v>3250</v>
      </c>
      <c r="M299" s="10">
        <v>13</v>
      </c>
      <c r="N299" s="30"/>
      <c r="O299" s="31"/>
      <c r="P299" s="32"/>
      <c r="Q299" s="32"/>
      <c r="R299" s="32"/>
      <c r="S299" s="32">
        <f t="shared" si="96"/>
        <v>0</v>
      </c>
      <c r="T299" s="12"/>
      <c r="U299" s="12"/>
      <c r="V299" s="12"/>
      <c r="W299" s="12">
        <f t="shared" si="97"/>
        <v>0</v>
      </c>
      <c r="Y299" s="10">
        <v>13</v>
      </c>
      <c r="Z299" s="30"/>
      <c r="AA299" s="31"/>
      <c r="AB299" s="32"/>
      <c r="AC299" s="32"/>
      <c r="AD299" s="32"/>
      <c r="AE299" s="32">
        <f t="shared" si="104"/>
        <v>0</v>
      </c>
      <c r="AF299" s="12"/>
      <c r="AG299" s="12"/>
      <c r="AH299" s="12"/>
      <c r="AI299" s="12">
        <f t="shared" si="99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>
        <v>46269</v>
      </c>
      <c r="C300" s="83">
        <f t="shared" si="100"/>
        <v>9999</v>
      </c>
      <c r="D300" s="32">
        <f>650*5</f>
        <v>3250</v>
      </c>
      <c r="E300" s="32"/>
      <c r="F300" s="32"/>
      <c r="G300" s="32">
        <f t="shared" si="94"/>
        <v>3250</v>
      </c>
      <c r="H300" s="12"/>
      <c r="I300" s="12"/>
      <c r="J300" s="12"/>
      <c r="K300" s="12">
        <f t="shared" si="95"/>
        <v>3250</v>
      </c>
      <c r="M300" s="10">
        <v>14</v>
      </c>
      <c r="N300" s="30"/>
      <c r="O300" s="31"/>
      <c r="P300" s="32"/>
      <c r="Q300" s="32"/>
      <c r="R300" s="32"/>
      <c r="S300" s="32">
        <f t="shared" si="96"/>
        <v>0</v>
      </c>
      <c r="T300" s="12"/>
      <c r="U300" s="12"/>
      <c r="V300" s="12"/>
      <c r="W300" s="12">
        <f t="shared" si="97"/>
        <v>0</v>
      </c>
      <c r="Y300" s="10">
        <v>14</v>
      </c>
      <c r="Z300" s="30"/>
      <c r="AA300" s="31"/>
      <c r="AB300" s="32"/>
      <c r="AC300" s="32"/>
      <c r="AD300" s="32"/>
      <c r="AE300" s="32">
        <f t="shared" si="104"/>
        <v>0</v>
      </c>
      <c r="AF300" s="12"/>
      <c r="AG300" s="12"/>
      <c r="AH300" s="12"/>
      <c r="AI300" s="12">
        <f t="shared" si="99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>
        <v>46269</v>
      </c>
      <c r="C301" s="83">
        <f t="shared" si="100"/>
        <v>10000</v>
      </c>
      <c r="D301" s="32">
        <f>650+872/2+229</f>
        <v>1315</v>
      </c>
      <c r="E301" s="32"/>
      <c r="F301" s="32"/>
      <c r="G301" s="32">
        <f t="shared" si="94"/>
        <v>1315</v>
      </c>
      <c r="H301" s="12"/>
      <c r="I301" s="12"/>
      <c r="J301" s="12"/>
      <c r="K301" s="12">
        <f t="shared" si="95"/>
        <v>1315</v>
      </c>
      <c r="M301" s="10">
        <v>15</v>
      </c>
      <c r="N301" s="30"/>
      <c r="O301" s="31"/>
      <c r="P301" s="32"/>
      <c r="Q301" s="32"/>
      <c r="R301" s="32"/>
      <c r="S301" s="32">
        <f t="shared" si="96"/>
        <v>0</v>
      </c>
      <c r="T301" s="12"/>
      <c r="U301" s="12"/>
      <c r="V301" s="12"/>
      <c r="W301" s="12">
        <f t="shared" si="97"/>
        <v>0</v>
      </c>
      <c r="Y301" s="10">
        <v>15</v>
      </c>
      <c r="Z301" s="30"/>
      <c r="AA301" s="31"/>
      <c r="AB301" s="32"/>
      <c r="AC301" s="32"/>
      <c r="AD301" s="32"/>
      <c r="AE301" s="32">
        <f t="shared" si="104"/>
        <v>0</v>
      </c>
      <c r="AF301" s="12"/>
      <c r="AG301" s="12"/>
      <c r="AH301" s="12"/>
      <c r="AI301" s="12">
        <f t="shared" si="99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11" t="s">
        <v>27</v>
      </c>
      <c r="D302" s="32"/>
      <c r="E302" s="32"/>
      <c r="F302" s="32"/>
      <c r="G302" s="32">
        <f t="shared" si="94"/>
        <v>0</v>
      </c>
      <c r="H302" s="12"/>
      <c r="I302" s="12"/>
      <c r="J302" s="12"/>
      <c r="K302" s="12">
        <f t="shared" si="95"/>
        <v>0</v>
      </c>
      <c r="M302" s="10">
        <v>16</v>
      </c>
      <c r="N302" s="30"/>
      <c r="O302" s="31"/>
      <c r="P302" s="32"/>
      <c r="Q302" s="32"/>
      <c r="R302" s="32"/>
      <c r="S302" s="32">
        <f t="shared" si="96"/>
        <v>0</v>
      </c>
      <c r="T302" s="12"/>
      <c r="U302" s="12"/>
      <c r="V302" s="12"/>
      <c r="W302" s="12">
        <f t="shared" si="97"/>
        <v>0</v>
      </c>
      <c r="Y302" s="10">
        <v>16</v>
      </c>
      <c r="AA302" s="11"/>
      <c r="AB302" s="32"/>
      <c r="AC302" s="32"/>
      <c r="AD302" s="32"/>
      <c r="AE302" s="32">
        <f t="shared" si="104"/>
        <v>0</v>
      </c>
      <c r="AF302" s="12"/>
      <c r="AG302" s="12"/>
      <c r="AH302" s="12"/>
      <c r="AI302" s="12">
        <f t="shared" si="99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94"/>
        <v>0</v>
      </c>
      <c r="H303" s="12"/>
      <c r="I303" s="12"/>
      <c r="J303" s="12"/>
      <c r="K303" s="12">
        <f t="shared" si="95"/>
        <v>0</v>
      </c>
      <c r="M303" s="10">
        <v>17</v>
      </c>
      <c r="N303" s="30"/>
      <c r="O303" s="31"/>
      <c r="P303" s="35"/>
      <c r="Q303" s="32"/>
      <c r="R303" s="32"/>
      <c r="S303" s="32">
        <f t="shared" si="96"/>
        <v>0</v>
      </c>
      <c r="T303" s="12"/>
      <c r="U303" s="12"/>
      <c r="V303" s="12"/>
      <c r="W303" s="12">
        <f t="shared" si="97"/>
        <v>0</v>
      </c>
      <c r="Y303" s="10">
        <v>17</v>
      </c>
      <c r="Z303" s="30"/>
      <c r="AA303" s="31"/>
      <c r="AB303" s="35"/>
      <c r="AC303" s="32"/>
      <c r="AD303" s="32"/>
      <c r="AE303" s="32">
        <f t="shared" si="104"/>
        <v>0</v>
      </c>
      <c r="AF303" s="12"/>
      <c r="AG303" s="12"/>
      <c r="AH303" s="12"/>
      <c r="AI303" s="12">
        <f t="shared" si="99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3"/>
      <c r="D304" s="32"/>
      <c r="E304" s="32"/>
      <c r="F304" s="32"/>
      <c r="G304" s="32">
        <f t="shared" si="94"/>
        <v>0</v>
      </c>
      <c r="H304" s="12"/>
      <c r="I304" s="12"/>
      <c r="J304" s="12"/>
      <c r="K304" s="12">
        <f t="shared" si="95"/>
        <v>0</v>
      </c>
      <c r="M304" s="10">
        <v>18</v>
      </c>
      <c r="N304" s="30"/>
      <c r="O304" s="31"/>
      <c r="P304" s="32"/>
      <c r="Q304" s="32"/>
      <c r="R304" s="32"/>
      <c r="S304" s="32">
        <f t="shared" si="96"/>
        <v>0</v>
      </c>
      <c r="T304" s="12"/>
      <c r="U304" s="12"/>
      <c r="V304" s="12"/>
      <c r="W304" s="12">
        <f t="shared" si="97"/>
        <v>0</v>
      </c>
      <c r="Y304" s="10">
        <v>18</v>
      </c>
      <c r="Z304" s="30"/>
      <c r="AA304" s="31"/>
      <c r="AB304" s="32"/>
      <c r="AC304" s="32"/>
      <c r="AD304" s="32"/>
      <c r="AE304" s="32">
        <f t="shared" si="104"/>
        <v>0</v>
      </c>
      <c r="AF304" s="12"/>
      <c r="AG304" s="12"/>
      <c r="AH304" s="12"/>
      <c r="AI304" s="12">
        <f t="shared" si="99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94"/>
        <v>0</v>
      </c>
      <c r="H305" s="12"/>
      <c r="I305" s="12"/>
      <c r="J305" s="12"/>
      <c r="K305" s="12">
        <f t="shared" si="95"/>
        <v>0</v>
      </c>
      <c r="M305" s="10">
        <v>19</v>
      </c>
      <c r="N305" s="30"/>
      <c r="O305" s="31"/>
      <c r="P305" s="32"/>
      <c r="Q305" s="32"/>
      <c r="R305" s="32"/>
      <c r="S305" s="32">
        <f t="shared" si="96"/>
        <v>0</v>
      </c>
      <c r="T305" s="12"/>
      <c r="U305" s="12"/>
      <c r="V305" s="12"/>
      <c r="W305" s="12">
        <f t="shared" si="97"/>
        <v>0</v>
      </c>
      <c r="Y305" s="10">
        <v>19</v>
      </c>
      <c r="Z305" s="30"/>
      <c r="AA305" s="31"/>
      <c r="AB305" s="32"/>
      <c r="AC305" s="32"/>
      <c r="AD305" s="32"/>
      <c r="AE305" s="32">
        <f t="shared" si="104"/>
        <v>0</v>
      </c>
      <c r="AF305" s="12"/>
      <c r="AG305" s="12"/>
      <c r="AH305" s="12"/>
      <c r="AI305" s="12">
        <f t="shared" si="99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94"/>
        <v>0</v>
      </c>
      <c r="H306" s="12"/>
      <c r="I306" s="12"/>
      <c r="J306" s="12"/>
      <c r="K306" s="12">
        <f t="shared" si="95"/>
        <v>0</v>
      </c>
      <c r="M306" s="10">
        <v>20</v>
      </c>
      <c r="N306" s="30"/>
      <c r="O306" s="31"/>
      <c r="P306" s="32"/>
      <c r="Q306" s="32"/>
      <c r="R306" s="32"/>
      <c r="S306" s="32">
        <f t="shared" si="96"/>
        <v>0</v>
      </c>
      <c r="T306" s="12"/>
      <c r="U306" s="12"/>
      <c r="V306" s="12"/>
      <c r="W306" s="12">
        <f t="shared" si="97"/>
        <v>0</v>
      </c>
      <c r="Y306" s="10">
        <v>20</v>
      </c>
      <c r="Z306" s="30"/>
      <c r="AB306" s="32"/>
      <c r="AC306" s="32"/>
      <c r="AD306" s="32"/>
      <c r="AE306" s="32">
        <f t="shared" si="104"/>
        <v>0</v>
      </c>
      <c r="AF306" s="12"/>
      <c r="AG306" s="12"/>
      <c r="AH306" s="12"/>
      <c r="AI306" s="12">
        <f t="shared" si="99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3"/>
      <c r="D307" s="32"/>
      <c r="E307" s="32"/>
      <c r="F307" s="32"/>
      <c r="G307" s="32">
        <f t="shared" si="94"/>
        <v>0</v>
      </c>
      <c r="H307" s="10"/>
      <c r="I307" s="10"/>
      <c r="J307" s="10"/>
      <c r="K307" s="12">
        <f t="shared" si="95"/>
        <v>0</v>
      </c>
      <c r="M307" s="10">
        <v>21</v>
      </c>
      <c r="N307" s="30"/>
      <c r="O307" s="11"/>
      <c r="P307" s="46"/>
      <c r="Q307" s="31"/>
      <c r="R307" s="31"/>
      <c r="S307" s="32">
        <f t="shared" si="96"/>
        <v>0</v>
      </c>
      <c r="T307" s="10"/>
      <c r="U307" s="10"/>
      <c r="V307" s="10"/>
      <c r="W307" s="12">
        <f t="shared" si="97"/>
        <v>0</v>
      </c>
      <c r="Y307" s="10">
        <v>21</v>
      </c>
      <c r="Z307" s="30"/>
      <c r="AA307" s="31"/>
      <c r="AB307" s="46"/>
      <c r="AC307" s="31"/>
      <c r="AD307" s="31"/>
      <c r="AE307" s="32">
        <f t="shared" si="104"/>
        <v>0</v>
      </c>
      <c r="AF307" s="10"/>
      <c r="AG307" s="10"/>
      <c r="AH307" s="10"/>
      <c r="AI307" s="12">
        <f t="shared" si="99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94"/>
        <v>0</v>
      </c>
      <c r="H308" s="10"/>
      <c r="I308" s="10"/>
      <c r="J308" s="10"/>
      <c r="K308" s="12">
        <f t="shared" si="95"/>
        <v>0</v>
      </c>
      <c r="M308" s="10">
        <v>22</v>
      </c>
      <c r="N308" s="30"/>
      <c r="O308" s="31"/>
      <c r="P308" s="45"/>
      <c r="Q308" s="31"/>
      <c r="R308" s="31"/>
      <c r="S308" s="32">
        <f t="shared" si="96"/>
        <v>0</v>
      </c>
      <c r="T308" s="10"/>
      <c r="U308" s="10"/>
      <c r="V308" s="10"/>
      <c r="W308" s="12">
        <f t="shared" si="97"/>
        <v>0</v>
      </c>
      <c r="Y308" s="10">
        <v>22</v>
      </c>
      <c r="Z308" s="30"/>
      <c r="AA308" s="31"/>
      <c r="AB308" s="45"/>
      <c r="AC308" s="31"/>
      <c r="AD308" s="31"/>
      <c r="AE308" s="32">
        <f t="shared" si="104"/>
        <v>0</v>
      </c>
      <c r="AF308" s="10"/>
      <c r="AG308" s="10"/>
      <c r="AH308" s="10"/>
      <c r="AI308" s="12">
        <f t="shared" si="99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94"/>
        <v>0</v>
      </c>
      <c r="H309" s="10"/>
      <c r="I309" s="10"/>
      <c r="J309" s="12"/>
      <c r="K309" s="12">
        <f t="shared" si="95"/>
        <v>0</v>
      </c>
      <c r="M309" s="10">
        <v>23</v>
      </c>
      <c r="N309" s="30"/>
      <c r="O309" s="31"/>
      <c r="P309" s="47"/>
      <c r="S309" s="32">
        <f t="shared" si="96"/>
        <v>0</v>
      </c>
      <c r="T309" s="10"/>
      <c r="U309" s="10"/>
      <c r="V309" s="10"/>
      <c r="W309" s="12">
        <f t="shared" si="97"/>
        <v>0</v>
      </c>
      <c r="Y309" s="10">
        <v>23</v>
      </c>
      <c r="Z309" s="30"/>
      <c r="AA309" s="31"/>
      <c r="AB309" s="47"/>
      <c r="AE309" s="32">
        <f t="shared" si="104"/>
        <v>0</v>
      </c>
      <c r="AF309" s="10"/>
      <c r="AG309" s="10"/>
      <c r="AH309" s="10"/>
      <c r="AI309" s="12">
        <f t="shared" si="99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94"/>
        <v>0</v>
      </c>
      <c r="H310" s="10"/>
      <c r="I310" s="10"/>
      <c r="J310" s="10"/>
      <c r="K310" s="12">
        <f t="shared" si="95"/>
        <v>0</v>
      </c>
      <c r="M310" s="10">
        <v>24</v>
      </c>
      <c r="N310" s="30"/>
      <c r="O310" s="31"/>
      <c r="P310" s="47"/>
      <c r="Q310" s="31"/>
      <c r="R310" s="31"/>
      <c r="S310" s="32">
        <f t="shared" si="96"/>
        <v>0</v>
      </c>
      <c r="T310" s="10"/>
      <c r="U310" s="10"/>
      <c r="V310" s="10"/>
      <c r="W310" s="12">
        <f t="shared" si="97"/>
        <v>0</v>
      </c>
      <c r="Y310" s="10">
        <v>24</v>
      </c>
      <c r="Z310" s="30"/>
      <c r="AA310" s="31"/>
      <c r="AB310" s="47"/>
      <c r="AC310" s="31"/>
      <c r="AD310" s="31"/>
      <c r="AE310" s="32">
        <f t="shared" si="104"/>
        <v>0</v>
      </c>
      <c r="AF310" s="10"/>
      <c r="AG310" s="10"/>
      <c r="AH310" s="10"/>
      <c r="AI310" s="12">
        <f t="shared" si="99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94"/>
        <v>0</v>
      </c>
      <c r="H311" s="10"/>
      <c r="I311" s="10"/>
      <c r="J311" s="10"/>
      <c r="K311" s="12">
        <f t="shared" si="95"/>
        <v>0</v>
      </c>
      <c r="M311" s="10">
        <v>25</v>
      </c>
      <c r="N311" s="30"/>
      <c r="O311" s="31"/>
      <c r="P311" s="47"/>
      <c r="Q311" s="31"/>
      <c r="R311" s="31"/>
      <c r="S311" s="32">
        <f t="shared" si="96"/>
        <v>0</v>
      </c>
      <c r="T311" s="10"/>
      <c r="U311" s="10"/>
      <c r="V311" s="10"/>
      <c r="W311" s="12">
        <f t="shared" si="97"/>
        <v>0</v>
      </c>
      <c r="Y311" s="10">
        <v>25</v>
      </c>
      <c r="Z311" s="30"/>
      <c r="AA311" s="31"/>
      <c r="AB311" s="47"/>
      <c r="AC311" s="31"/>
      <c r="AD311" s="31"/>
      <c r="AE311" s="32">
        <f t="shared" si="104"/>
        <v>0</v>
      </c>
      <c r="AF311" s="10"/>
      <c r="AG311" s="10"/>
      <c r="AH311" s="10"/>
      <c r="AI311" s="12">
        <f t="shared" si="99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94"/>
        <v>0</v>
      </c>
      <c r="H312" s="10"/>
      <c r="I312" s="10"/>
      <c r="J312" s="10"/>
      <c r="K312" s="12">
        <f t="shared" si="95"/>
        <v>0</v>
      </c>
      <c r="M312" s="10">
        <v>26</v>
      </c>
      <c r="N312" s="30"/>
      <c r="O312" s="31"/>
      <c r="P312" s="47"/>
      <c r="Q312" s="31"/>
      <c r="R312" s="31"/>
      <c r="S312" s="32">
        <f t="shared" si="96"/>
        <v>0</v>
      </c>
      <c r="T312" s="10"/>
      <c r="U312" s="10"/>
      <c r="V312" s="10"/>
      <c r="W312" s="12">
        <f t="shared" si="97"/>
        <v>0</v>
      </c>
      <c r="Y312" s="10">
        <v>26</v>
      </c>
      <c r="Z312" s="30"/>
      <c r="AA312" s="31"/>
      <c r="AB312" s="47"/>
      <c r="AC312" s="31"/>
      <c r="AD312" s="31"/>
      <c r="AE312" s="32">
        <f t="shared" si="104"/>
        <v>0</v>
      </c>
      <c r="AF312" s="10"/>
      <c r="AG312" s="10"/>
      <c r="AH312" s="10"/>
      <c r="AI312" s="12">
        <f t="shared" si="99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94"/>
        <v>0</v>
      </c>
      <c r="H313" s="10"/>
      <c r="I313" s="10"/>
      <c r="J313" s="10"/>
      <c r="K313" s="12">
        <f t="shared" si="95"/>
        <v>0</v>
      </c>
      <c r="M313" s="10">
        <v>27</v>
      </c>
      <c r="N313" s="30"/>
      <c r="O313" s="31"/>
      <c r="P313" s="47"/>
      <c r="Q313" s="31"/>
      <c r="R313" s="31"/>
      <c r="S313" s="32">
        <f t="shared" si="96"/>
        <v>0</v>
      </c>
      <c r="T313" s="10"/>
      <c r="U313" s="10"/>
      <c r="V313" s="10"/>
      <c r="W313" s="12">
        <f t="shared" si="97"/>
        <v>0</v>
      </c>
      <c r="Y313" s="10">
        <v>27</v>
      </c>
      <c r="Z313" s="30"/>
      <c r="AA313" s="31"/>
      <c r="AB313" s="47"/>
      <c r="AC313" s="31"/>
      <c r="AD313" s="31"/>
      <c r="AE313" s="32">
        <f t="shared" si="104"/>
        <v>0</v>
      </c>
      <c r="AF313" s="10"/>
      <c r="AG313" s="10"/>
      <c r="AH313" s="10"/>
      <c r="AI313" s="12">
        <f t="shared" si="99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94"/>
        <v>0</v>
      </c>
      <c r="H314" s="10"/>
      <c r="I314" s="10"/>
      <c r="J314" s="10"/>
      <c r="K314" s="12">
        <f t="shared" si="95"/>
        <v>0</v>
      </c>
      <c r="M314" s="10">
        <v>28</v>
      </c>
      <c r="N314" s="30"/>
      <c r="O314" s="31"/>
      <c r="P314" s="47"/>
      <c r="Q314" s="31"/>
      <c r="R314" s="31"/>
      <c r="S314" s="32">
        <f t="shared" si="96"/>
        <v>0</v>
      </c>
      <c r="T314" s="10"/>
      <c r="U314" s="10"/>
      <c r="V314" s="10"/>
      <c r="W314" s="12">
        <f t="shared" si="97"/>
        <v>0</v>
      </c>
      <c r="Y314" s="10">
        <v>28</v>
      </c>
      <c r="Z314" s="30"/>
      <c r="AA314" s="31"/>
      <c r="AB314" s="47"/>
      <c r="AC314" s="31"/>
      <c r="AD314" s="31"/>
      <c r="AE314" s="32">
        <f t="shared" si="104"/>
        <v>0</v>
      </c>
      <c r="AF314" s="10"/>
      <c r="AG314" s="10"/>
      <c r="AH314" s="10"/>
      <c r="AI314" s="12">
        <f t="shared" si="99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83"/>
      <c r="D315" s="32"/>
      <c r="E315" s="32"/>
      <c r="F315" s="32"/>
      <c r="G315" s="32">
        <f t="shared" si="94"/>
        <v>0</v>
      </c>
      <c r="H315" s="10"/>
      <c r="I315" s="10"/>
      <c r="J315" s="10"/>
      <c r="K315" s="12">
        <f t="shared" si="95"/>
        <v>0</v>
      </c>
      <c r="M315" s="10">
        <v>29</v>
      </c>
      <c r="N315" s="30"/>
      <c r="O315" s="31"/>
      <c r="P315" s="47"/>
      <c r="Q315" s="31"/>
      <c r="R315" s="31"/>
      <c r="S315" s="32">
        <f t="shared" si="96"/>
        <v>0</v>
      </c>
      <c r="T315" s="10"/>
      <c r="U315" s="10"/>
      <c r="V315" s="10"/>
      <c r="W315" s="12">
        <f t="shared" si="97"/>
        <v>0</v>
      </c>
      <c r="Y315" s="10">
        <v>29</v>
      </c>
      <c r="Z315" s="30"/>
      <c r="AA315" s="31"/>
      <c r="AB315" s="47"/>
      <c r="AC315" s="31"/>
      <c r="AD315" s="31"/>
      <c r="AE315" s="32">
        <f t="shared" si="104"/>
        <v>0</v>
      </c>
      <c r="AF315" s="10"/>
      <c r="AG315" s="10"/>
      <c r="AH315" s="10"/>
      <c r="AI315" s="12">
        <f t="shared" si="99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94"/>
        <v>0</v>
      </c>
      <c r="H316" s="10"/>
      <c r="I316" s="10"/>
      <c r="J316" s="10"/>
      <c r="K316" s="12">
        <f t="shared" si="95"/>
        <v>0</v>
      </c>
      <c r="M316" s="10">
        <v>30</v>
      </c>
      <c r="N316" s="30"/>
      <c r="O316" s="31"/>
      <c r="P316" s="47"/>
      <c r="Q316" s="31"/>
      <c r="R316" s="31"/>
      <c r="S316" s="32">
        <f t="shared" si="96"/>
        <v>0</v>
      </c>
      <c r="T316" s="10"/>
      <c r="U316" s="10"/>
      <c r="V316" s="10"/>
      <c r="W316" s="12">
        <f t="shared" si="97"/>
        <v>0</v>
      </c>
      <c r="Y316" s="10">
        <v>30</v>
      </c>
      <c r="Z316" s="30"/>
      <c r="AA316" s="31"/>
      <c r="AB316" s="47"/>
      <c r="AC316" s="31"/>
      <c r="AD316" s="31"/>
      <c r="AE316" s="32">
        <f t="shared" si="104"/>
        <v>0</v>
      </c>
      <c r="AF316" s="10"/>
      <c r="AG316" s="10"/>
      <c r="AH316" s="10"/>
      <c r="AI316" s="12">
        <f t="shared" si="99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94"/>
        <v>0</v>
      </c>
      <c r="H317" s="10"/>
      <c r="I317" s="10"/>
      <c r="J317" s="10"/>
      <c r="K317" s="12">
        <f t="shared" si="95"/>
        <v>0</v>
      </c>
      <c r="M317" s="10">
        <v>31</v>
      </c>
      <c r="N317" s="30"/>
      <c r="O317" s="31"/>
      <c r="P317" s="47"/>
      <c r="Q317" s="31"/>
      <c r="R317" s="31"/>
      <c r="S317" s="32">
        <f t="shared" si="96"/>
        <v>0</v>
      </c>
      <c r="T317" s="10"/>
      <c r="U317" s="10"/>
      <c r="V317" s="10"/>
      <c r="W317" s="12">
        <f t="shared" si="97"/>
        <v>0</v>
      </c>
      <c r="Y317" s="10">
        <v>31</v>
      </c>
      <c r="Z317" s="30"/>
      <c r="AA317" s="31"/>
      <c r="AB317" s="47"/>
      <c r="AC317" s="31"/>
      <c r="AD317" s="31"/>
      <c r="AE317" s="32">
        <f t="shared" si="104"/>
        <v>0</v>
      </c>
      <c r="AF317" s="10"/>
      <c r="AG317" s="10"/>
      <c r="AH317" s="10"/>
      <c r="AI317" s="12">
        <f t="shared" si="99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94"/>
        <v>0</v>
      </c>
      <c r="H318" s="10"/>
      <c r="I318" s="10"/>
      <c r="J318" s="10"/>
      <c r="K318" s="12">
        <f t="shared" si="95"/>
        <v>0</v>
      </c>
      <c r="M318" s="10">
        <v>32</v>
      </c>
      <c r="N318" s="30"/>
      <c r="O318" s="31"/>
      <c r="P318" s="47"/>
      <c r="Q318" s="31"/>
      <c r="R318" s="31"/>
      <c r="S318" s="32">
        <f t="shared" si="96"/>
        <v>0</v>
      </c>
      <c r="T318" s="10"/>
      <c r="U318" s="10"/>
      <c r="V318" s="10"/>
      <c r="W318" s="12">
        <f t="shared" si="97"/>
        <v>0</v>
      </c>
      <c r="Y318" s="10">
        <v>32</v>
      </c>
      <c r="Z318" s="30"/>
      <c r="AA318" s="31"/>
      <c r="AB318" s="47"/>
      <c r="AC318" s="31"/>
      <c r="AD318" s="31"/>
      <c r="AE318" s="32">
        <f t="shared" si="104"/>
        <v>0</v>
      </c>
      <c r="AF318" s="10"/>
      <c r="AG318" s="10"/>
      <c r="AH318" s="10"/>
      <c r="AI318" s="12">
        <f t="shared" si="99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94"/>
        <v>0</v>
      </c>
      <c r="H319" s="10"/>
      <c r="I319" s="10"/>
      <c r="J319" s="10"/>
      <c r="K319" s="12">
        <f t="shared" si="95"/>
        <v>0</v>
      </c>
      <c r="M319" s="10">
        <v>33</v>
      </c>
      <c r="N319" s="30"/>
      <c r="O319" s="31"/>
      <c r="P319" s="47"/>
      <c r="Q319" s="31"/>
      <c r="R319" s="31"/>
      <c r="S319" s="32">
        <f t="shared" si="96"/>
        <v>0</v>
      </c>
      <c r="T319" s="10"/>
      <c r="U319" s="10"/>
      <c r="V319" s="10"/>
      <c r="W319" s="12">
        <f t="shared" si="97"/>
        <v>0</v>
      </c>
      <c r="Y319" s="10">
        <v>33</v>
      </c>
      <c r="Z319" s="30"/>
      <c r="AA319" s="31"/>
      <c r="AB319" s="47"/>
      <c r="AC319" s="31"/>
      <c r="AD319" s="31"/>
      <c r="AE319" s="32">
        <f t="shared" si="104"/>
        <v>0</v>
      </c>
      <c r="AF319" s="10"/>
      <c r="AG319" s="10"/>
      <c r="AH319" s="10"/>
      <c r="AI319" s="12">
        <f t="shared" si="99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94"/>
        <v>0</v>
      </c>
      <c r="H320" s="10"/>
      <c r="I320" s="10"/>
      <c r="J320" s="10"/>
      <c r="K320" s="12">
        <f t="shared" si="95"/>
        <v>0</v>
      </c>
      <c r="M320" s="10">
        <v>34</v>
      </c>
      <c r="N320" s="30"/>
      <c r="O320" s="31"/>
      <c r="P320" s="47"/>
      <c r="Q320" s="31"/>
      <c r="R320" s="31"/>
      <c r="S320" s="32">
        <f t="shared" si="96"/>
        <v>0</v>
      </c>
      <c r="T320" s="10"/>
      <c r="U320" s="10"/>
      <c r="V320" s="10"/>
      <c r="W320" s="12">
        <f t="shared" si="97"/>
        <v>0</v>
      </c>
      <c r="Y320" s="10">
        <v>34</v>
      </c>
      <c r="Z320" s="30"/>
      <c r="AA320" s="31"/>
      <c r="AB320" s="47"/>
      <c r="AC320" s="31"/>
      <c r="AD320" s="31"/>
      <c r="AE320" s="32">
        <f t="shared" si="104"/>
        <v>0</v>
      </c>
      <c r="AF320" s="10"/>
      <c r="AG320" s="10"/>
      <c r="AH320" s="10"/>
      <c r="AI320" s="12">
        <f t="shared" ref="AI320:AI328" si="105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6"/>
        <v>0</v>
      </c>
      <c r="T321" s="10"/>
      <c r="U321" s="10"/>
      <c r="V321" s="10"/>
      <c r="W321" s="12">
        <f t="shared" si="97"/>
        <v>0</v>
      </c>
      <c r="Y321" s="10">
        <v>35</v>
      </c>
      <c r="Z321" s="30"/>
      <c r="AA321" s="31"/>
      <c r="AB321" s="47"/>
      <c r="AC321" s="31"/>
      <c r="AD321" s="31"/>
      <c r="AE321" s="32">
        <f t="shared" si="104"/>
        <v>0</v>
      </c>
      <c r="AF321" s="10"/>
      <c r="AG321" s="10"/>
      <c r="AH321" s="10"/>
      <c r="AI321" s="12">
        <f t="shared" si="105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6"/>
        <v>0</v>
      </c>
      <c r="T322" s="10"/>
      <c r="U322" s="10"/>
      <c r="V322" s="10"/>
      <c r="W322" s="12">
        <f t="shared" si="97"/>
        <v>0</v>
      </c>
      <c r="Y322" s="10">
        <v>36</v>
      </c>
      <c r="Z322" s="30"/>
      <c r="AA322" s="31"/>
      <c r="AB322" s="47"/>
      <c r="AC322" s="31"/>
      <c r="AD322" s="31"/>
      <c r="AE322" s="32">
        <f t="shared" si="104"/>
        <v>0</v>
      </c>
      <c r="AF322" s="10"/>
      <c r="AG322" s="10"/>
      <c r="AH322" s="10"/>
      <c r="AI322" s="12">
        <f t="shared" si="105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6"/>
        <v>0</v>
      </c>
      <c r="T323" s="10"/>
      <c r="U323" s="10"/>
      <c r="V323" s="10"/>
      <c r="W323" s="12">
        <f t="shared" si="97"/>
        <v>0</v>
      </c>
      <c r="Y323" s="10">
        <v>37</v>
      </c>
      <c r="Z323" s="30"/>
      <c r="AA323" s="31"/>
      <c r="AB323" s="47"/>
      <c r="AC323" s="31"/>
      <c r="AD323" s="31"/>
      <c r="AE323" s="32">
        <f t="shared" si="104"/>
        <v>0</v>
      </c>
      <c r="AF323" s="10"/>
      <c r="AG323" s="10"/>
      <c r="AH323" s="10"/>
      <c r="AI323" s="12">
        <f t="shared" si="105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6"/>
        <v>0</v>
      </c>
      <c r="T324" s="10"/>
      <c r="U324" s="10"/>
      <c r="V324" s="10"/>
      <c r="W324" s="12">
        <f t="shared" si="97"/>
        <v>0</v>
      </c>
      <c r="Y324" s="10">
        <v>38</v>
      </c>
      <c r="Z324" s="30"/>
      <c r="AA324" s="31"/>
      <c r="AB324" s="47"/>
      <c r="AC324" s="31"/>
      <c r="AD324" s="31"/>
      <c r="AE324" s="32">
        <f t="shared" si="104"/>
        <v>0</v>
      </c>
      <c r="AF324" s="10"/>
      <c r="AG324" s="10"/>
      <c r="AH324" s="10"/>
      <c r="AI324" s="12">
        <f t="shared" si="105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6"/>
        <v>0</v>
      </c>
      <c r="T325" s="10"/>
      <c r="U325" s="10"/>
      <c r="V325" s="10"/>
      <c r="W325" s="12">
        <f t="shared" si="97"/>
        <v>0</v>
      </c>
      <c r="Y325" s="10">
        <v>39</v>
      </c>
      <c r="Z325" s="30"/>
      <c r="AA325" s="31"/>
      <c r="AB325" s="47"/>
      <c r="AC325" s="31"/>
      <c r="AD325" s="31"/>
      <c r="AE325" s="32">
        <f t="shared" si="104"/>
        <v>0</v>
      </c>
      <c r="AF325" s="10"/>
      <c r="AG325" s="10"/>
      <c r="AH325" s="10"/>
      <c r="AI325" s="12">
        <f t="shared" si="105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7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5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6">SUM(D327:E327)</f>
        <v>0</v>
      </c>
      <c r="H327" s="10"/>
      <c r="I327" s="10"/>
      <c r="J327" s="10"/>
      <c r="K327" s="12">
        <f t="shared" ref="K327" si="107">SUM(G327:J327)</f>
        <v>0</v>
      </c>
      <c r="M327" s="10"/>
      <c r="N327" s="30"/>
      <c r="O327" s="31"/>
      <c r="P327" s="47"/>
      <c r="Q327" s="31"/>
      <c r="R327" s="31"/>
      <c r="S327" s="32">
        <f t="shared" ref="S327" si="108">SUM(P327:Q327)</f>
        <v>0</v>
      </c>
      <c r="T327" s="10"/>
      <c r="U327" s="10"/>
      <c r="V327" s="10"/>
      <c r="W327" s="12">
        <f t="shared" si="97"/>
        <v>0</v>
      </c>
      <c r="Y327" s="10"/>
      <c r="Z327" s="30"/>
      <c r="AA327" s="31"/>
      <c r="AB327" s="47"/>
      <c r="AC327" s="31"/>
      <c r="AD327" s="31"/>
      <c r="AE327" s="32">
        <f t="shared" ref="AE327" si="109">SUM(AB327:AC327)</f>
        <v>0</v>
      </c>
      <c r="AF327" s="10"/>
      <c r="AG327" s="10"/>
      <c r="AH327" s="10"/>
      <c r="AI327" s="12">
        <f t="shared" si="105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7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5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364239.5</v>
      </c>
      <c r="E330" s="38">
        <f t="shared" ref="E330:F330" si="110">SUM(E287:E327)</f>
        <v>0</v>
      </c>
      <c r="F330" s="38">
        <f t="shared" si="110"/>
        <v>0</v>
      </c>
      <c r="G330" s="38">
        <f>SUM(G287:G329)</f>
        <v>364239.5</v>
      </c>
      <c r="H330" s="4"/>
      <c r="I330" s="39">
        <f>SUM(I287:I329)</f>
        <v>2857.5</v>
      </c>
      <c r="J330" s="39">
        <f>SUM(J287:J329)</f>
        <v>-750</v>
      </c>
      <c r="K330" s="40">
        <f>SUM(K287:K329)</f>
        <v>366347</v>
      </c>
      <c r="N330" s="57"/>
      <c r="O330" s="57"/>
      <c r="P330" s="38">
        <f>SUM(P287:P329)</f>
        <v>218857</v>
      </c>
      <c r="Q330" s="38">
        <f>SUM(Q287:Q311)</f>
        <v>-1296</v>
      </c>
      <c r="R330" s="38">
        <f>SUM(R287:R311)</f>
        <v>0</v>
      </c>
      <c r="S330" s="38">
        <f>SUM(S287:S329)</f>
        <v>217561</v>
      </c>
      <c r="T330" s="4"/>
      <c r="U330" s="41">
        <f>SUM(U287:U329)</f>
        <v>624</v>
      </c>
      <c r="V330" s="41">
        <f>SUM(V287:V311)</f>
        <v>-1002</v>
      </c>
      <c r="W330" s="42">
        <f>SUM(W287:W329)</f>
        <v>217183</v>
      </c>
      <c r="Z330" s="57"/>
      <c r="AA330" s="57"/>
      <c r="AB330" s="38">
        <f>SUM(AB287:AB329)</f>
        <v>384443</v>
      </c>
      <c r="AC330" s="38">
        <f>SUM(AC287:AC311)</f>
        <v>-1296</v>
      </c>
      <c r="AD330" s="38">
        <f>SUM(AD287:AD311)</f>
        <v>0</v>
      </c>
      <c r="AE330" s="38">
        <f>SUM(AE287:AE329)</f>
        <v>383147</v>
      </c>
      <c r="AF330" s="4"/>
      <c r="AG330" s="41">
        <f>SUM(AG287:AG329)</f>
        <v>5676</v>
      </c>
      <c r="AH330" s="41">
        <f>SUM(AH287:AH311)</f>
        <v>-20700</v>
      </c>
      <c r="AI330" s="42">
        <f>SUM(AI287:AI329)</f>
        <v>368123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s="62"/>
      <c r="Z332" s="91"/>
      <c r="AA332" s="91"/>
      <c r="AB332" s="91"/>
      <c r="AC332" s="91"/>
      <c r="AD332" s="91"/>
      <c r="AE332" s="91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s="62"/>
      <c r="Z333" s="91"/>
      <c r="AA333" s="91"/>
      <c r="AB333" s="91"/>
      <c r="AC333" s="91"/>
      <c r="AD333" s="91"/>
      <c r="AE333" s="91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Y334" s="62"/>
      <c r="Z334" s="91"/>
      <c r="AA334" s="91"/>
      <c r="AB334" s="91"/>
      <c r="AC334" s="91"/>
      <c r="AD334" s="91"/>
      <c r="AE334" s="91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63"/>
      <c r="Z335" s="91"/>
      <c r="AA335" s="91"/>
      <c r="AB335" s="91"/>
      <c r="AC335" s="91"/>
      <c r="AD335" s="91"/>
      <c r="AE335" s="91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Y336" s="62"/>
      <c r="Z336" s="91"/>
      <c r="AA336" s="91"/>
      <c r="AB336" s="91"/>
      <c r="AC336" s="91"/>
      <c r="AD336" s="91"/>
      <c r="AE336" s="91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55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55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s="62"/>
      <c r="Z337" s="91"/>
      <c r="AA337" s="91"/>
      <c r="AB337" s="91"/>
      <c r="AC337" s="91"/>
      <c r="AD337" s="91"/>
      <c r="AE337" s="91"/>
      <c r="AF337" s="62"/>
      <c r="AG337" s="91"/>
      <c r="AH337" s="91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56</v>
      </c>
      <c r="B338" s="20"/>
      <c r="C338" s="57"/>
      <c r="D338" s="57"/>
      <c r="E338" s="57"/>
      <c r="G338" s="57"/>
      <c r="I338" s="22" t="s">
        <v>16</v>
      </c>
      <c r="J338" s="23" t="s">
        <v>31</v>
      </c>
      <c r="K338" s="24"/>
      <c r="M338" s="21" t="s">
        <v>56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33</v>
      </c>
      <c r="W338" s="24"/>
      <c r="Y338" s="64"/>
      <c r="Z338" s="91"/>
      <c r="AA338" s="91"/>
      <c r="AB338" s="91"/>
      <c r="AC338" s="91"/>
      <c r="AD338" s="91"/>
      <c r="AE338" s="91"/>
      <c r="AF338" s="62"/>
      <c r="AG338" s="65"/>
      <c r="AH338" s="65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Y339" s="62"/>
      <c r="Z339" s="91"/>
      <c r="AA339" s="91"/>
      <c r="AB339" s="91"/>
      <c r="AC339" s="91"/>
      <c r="AD339" s="91"/>
      <c r="AE339" s="91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12" t="s">
        <v>17</v>
      </c>
      <c r="E340" s="112"/>
      <c r="F340" s="97"/>
      <c r="G340" s="27"/>
      <c r="I340" s="110" t="s">
        <v>18</v>
      </c>
      <c r="J340" s="111"/>
      <c r="K340" s="108" t="s">
        <v>19</v>
      </c>
      <c r="N340" s="25"/>
      <c r="O340" s="26"/>
      <c r="P340" s="112" t="s">
        <v>17</v>
      </c>
      <c r="Q340" s="112"/>
      <c r="R340" s="97"/>
      <c r="S340" s="27"/>
      <c r="U340" s="110" t="s">
        <v>18</v>
      </c>
      <c r="V340" s="111"/>
      <c r="W340" s="108" t="s">
        <v>19</v>
      </c>
      <c r="Y340" s="62"/>
      <c r="Z340" s="65"/>
      <c r="AA340" s="91"/>
      <c r="AB340" s="107"/>
      <c r="AC340" s="107"/>
      <c r="AD340" s="91"/>
      <c r="AE340" s="91"/>
      <c r="AF340" s="62"/>
      <c r="AG340" s="107"/>
      <c r="AH340" s="107"/>
      <c r="AI340" s="106"/>
      <c r="AJ340" s="62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32</v>
      </c>
      <c r="G341" s="78" t="s">
        <v>24</v>
      </c>
      <c r="I341" s="29" t="s">
        <v>25</v>
      </c>
      <c r="J341" s="29" t="s">
        <v>26</v>
      </c>
      <c r="K341" s="109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32</v>
      </c>
      <c r="S341" s="78" t="s">
        <v>24</v>
      </c>
      <c r="U341" s="29" t="s">
        <v>25</v>
      </c>
      <c r="V341" s="29" t="s">
        <v>26</v>
      </c>
      <c r="W341" s="109"/>
      <c r="Y341" s="62"/>
      <c r="Z341" s="91"/>
      <c r="AA341" s="91"/>
      <c r="AB341" s="79"/>
      <c r="AC341" s="81"/>
      <c r="AD341" s="81"/>
      <c r="AE341" s="81"/>
      <c r="AF341" s="62"/>
      <c r="AG341" s="90"/>
      <c r="AH341" s="90"/>
      <c r="AI341" s="106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46299</v>
      </c>
      <c r="C342" s="83">
        <v>9846</v>
      </c>
      <c r="D342" s="32">
        <f>650*4+229</f>
        <v>2829</v>
      </c>
      <c r="E342" s="32"/>
      <c r="F342" s="32"/>
      <c r="G342" s="32">
        <f t="shared" ref="G342:G375" si="111">SUM(D342:E342)</f>
        <v>2829</v>
      </c>
      <c r="H342" s="12"/>
      <c r="I342" s="12"/>
      <c r="J342" s="12"/>
      <c r="K342" s="12">
        <f t="shared" ref="K342:K375" si="112">SUM(G342:J342)</f>
        <v>2829</v>
      </c>
      <c r="M342" s="10">
        <v>1</v>
      </c>
      <c r="N342" s="30">
        <v>46299</v>
      </c>
      <c r="O342" s="31">
        <v>10081</v>
      </c>
      <c r="P342" s="32">
        <f>650*88+622*15+229*3</f>
        <v>67217</v>
      </c>
      <c r="Q342" s="32"/>
      <c r="R342" s="32"/>
      <c r="S342" s="32">
        <f>SUM(P342:Q342)</f>
        <v>67217</v>
      </c>
      <c r="T342" s="12"/>
      <c r="U342" s="12">
        <f>81+72</f>
        <v>153</v>
      </c>
      <c r="V342" s="12"/>
      <c r="W342" s="12">
        <f>SUM(S342:V342)</f>
        <v>67370</v>
      </c>
      <c r="Y342" s="62"/>
      <c r="Z342" s="66"/>
      <c r="AA342" s="91"/>
      <c r="AB342" s="60"/>
      <c r="AC342" s="60"/>
      <c r="AD342" s="60"/>
      <c r="AE342" s="60"/>
      <c r="AF342" s="61"/>
      <c r="AG342" s="61"/>
      <c r="AH342" s="61"/>
      <c r="AI342" s="61"/>
      <c r="AJ342" s="62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46299</v>
      </c>
      <c r="C343" s="83">
        <f>C342+1</f>
        <v>9847</v>
      </c>
      <c r="D343" s="32">
        <f>650*2</f>
        <v>1300</v>
      </c>
      <c r="E343" s="32"/>
      <c r="F343" s="32"/>
      <c r="G343" s="32">
        <f t="shared" si="111"/>
        <v>1300</v>
      </c>
      <c r="H343" s="12"/>
      <c r="I343" s="12"/>
      <c r="J343" s="12"/>
      <c r="K343" s="12">
        <f t="shared" si="112"/>
        <v>1300</v>
      </c>
      <c r="M343" s="10">
        <v>2</v>
      </c>
      <c r="N343" s="30">
        <v>46299</v>
      </c>
      <c r="O343" s="31">
        <f>O342+1</f>
        <v>10082</v>
      </c>
      <c r="P343" s="32">
        <f>650*2+670+9.5*2</f>
        <v>1989</v>
      </c>
      <c r="Q343" s="32"/>
      <c r="R343" s="32"/>
      <c r="S343" s="32">
        <f t="shared" ref="S343:S380" si="113">SUM(P343:Q343)</f>
        <v>1989</v>
      </c>
      <c r="T343" s="12"/>
      <c r="U343" s="12"/>
      <c r="V343" s="12">
        <v>-240</v>
      </c>
      <c r="W343" s="12">
        <f t="shared" ref="W343:W383" si="114">SUM(S343:V343)</f>
        <v>1749</v>
      </c>
      <c r="Y343" s="62"/>
      <c r="Z343" s="66"/>
      <c r="AA343" s="91"/>
      <c r="AB343" s="60"/>
      <c r="AC343" s="60"/>
      <c r="AD343" s="60"/>
      <c r="AE343" s="60"/>
      <c r="AF343" s="61"/>
      <c r="AG343" s="61"/>
      <c r="AH343" s="61"/>
      <c r="AI343" s="61"/>
      <c r="AJ343" s="62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46299</v>
      </c>
      <c r="C344" s="83">
        <f t="shared" ref="C344:C363" si="115">C343+1</f>
        <v>9848</v>
      </c>
      <c r="D344" s="33">
        <f>650*4+9.5*4</f>
        <v>2638</v>
      </c>
      <c r="E344" s="32"/>
      <c r="F344" s="33"/>
      <c r="G344" s="33">
        <f t="shared" si="111"/>
        <v>2638</v>
      </c>
      <c r="H344" s="34"/>
      <c r="I344" s="34">
        <f>9+3</f>
        <v>12</v>
      </c>
      <c r="J344" s="34"/>
      <c r="K344" s="34">
        <f t="shared" si="112"/>
        <v>2650</v>
      </c>
      <c r="M344" s="10">
        <v>3</v>
      </c>
      <c r="N344" s="30">
        <v>46299</v>
      </c>
      <c r="O344" s="31">
        <f t="shared" ref="O344:O351" si="116">O343+1</f>
        <v>10083</v>
      </c>
      <c r="P344" s="32">
        <f>650*7+622*2+912+9.5*9</f>
        <v>6791.5</v>
      </c>
      <c r="Q344" s="32"/>
      <c r="R344" s="32"/>
      <c r="S344" s="32">
        <f t="shared" si="113"/>
        <v>6791.5</v>
      </c>
      <c r="T344" s="12"/>
      <c r="U344" s="12"/>
      <c r="V344" s="12">
        <v>-1110</v>
      </c>
      <c r="W344" s="12">
        <f t="shared" si="114"/>
        <v>5681.5</v>
      </c>
      <c r="Y344" s="62"/>
      <c r="Z344" s="66"/>
      <c r="AA344" s="91"/>
      <c r="AB344" s="60"/>
      <c r="AC344" s="60"/>
      <c r="AD344" s="60"/>
      <c r="AE344" s="60"/>
      <c r="AF344" s="61"/>
      <c r="AG344" s="61"/>
      <c r="AH344" s="61"/>
      <c r="AI344" s="61"/>
      <c r="AJ344" s="62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46299</v>
      </c>
      <c r="C345" s="83">
        <f t="shared" si="115"/>
        <v>9849</v>
      </c>
      <c r="D345" s="32">
        <f>650*40+670</f>
        <v>26670</v>
      </c>
      <c r="E345" s="32"/>
      <c r="F345" s="32"/>
      <c r="G345" s="32">
        <f t="shared" si="111"/>
        <v>26670</v>
      </c>
      <c r="H345" s="12"/>
      <c r="I345" s="12">
        <v>135</v>
      </c>
      <c r="J345" s="12"/>
      <c r="K345" s="12">
        <f t="shared" si="112"/>
        <v>26805</v>
      </c>
      <c r="M345" s="10">
        <v>4</v>
      </c>
      <c r="N345" s="30">
        <v>46299</v>
      </c>
      <c r="O345" s="31">
        <f t="shared" si="116"/>
        <v>10084</v>
      </c>
      <c r="P345" s="32">
        <f>650*2+622+9.5*3</f>
        <v>1950.5</v>
      </c>
      <c r="Q345" s="32"/>
      <c r="R345" s="32"/>
      <c r="S345" s="32">
        <f t="shared" si="113"/>
        <v>1950.5</v>
      </c>
      <c r="T345" s="12"/>
      <c r="U345" s="12"/>
      <c r="V345" s="12">
        <v>-168</v>
      </c>
      <c r="W345" s="12">
        <f t="shared" si="114"/>
        <v>1782.5</v>
      </c>
      <c r="Y345" s="62"/>
      <c r="Z345" s="66"/>
      <c r="AA345" s="91"/>
      <c r="AB345" s="60"/>
      <c r="AC345" s="60"/>
      <c r="AD345" s="60"/>
      <c r="AE345" s="60"/>
      <c r="AF345" s="61"/>
      <c r="AG345" s="61"/>
      <c r="AH345" s="61"/>
      <c r="AI345" s="61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46299</v>
      </c>
      <c r="C346" s="83">
        <f t="shared" si="115"/>
        <v>9850</v>
      </c>
      <c r="D346" s="32">
        <f>19343.32</f>
        <v>19343.32</v>
      </c>
      <c r="E346" s="32"/>
      <c r="F346" s="32"/>
      <c r="G346" s="32">
        <f t="shared" si="111"/>
        <v>19343.32</v>
      </c>
      <c r="H346" s="12"/>
      <c r="I346" s="12">
        <f>48+45</f>
        <v>93</v>
      </c>
      <c r="J346" s="12"/>
      <c r="K346" s="12">
        <f t="shared" si="112"/>
        <v>19436.32</v>
      </c>
      <c r="M346" s="10">
        <v>5</v>
      </c>
      <c r="N346" s="30">
        <v>46299</v>
      </c>
      <c r="O346" s="31">
        <f t="shared" si="116"/>
        <v>10085</v>
      </c>
      <c r="P346" s="32">
        <f>650*11+670+622*2+872</f>
        <v>9936</v>
      </c>
      <c r="Q346" s="32"/>
      <c r="R346" s="32"/>
      <c r="S346" s="32">
        <f t="shared" si="113"/>
        <v>9936</v>
      </c>
      <c r="T346" s="12"/>
      <c r="U346" s="12">
        <f>120+111</f>
        <v>231</v>
      </c>
      <c r="V346" s="12"/>
      <c r="W346" s="12">
        <f t="shared" si="114"/>
        <v>10167</v>
      </c>
      <c r="Y346" s="62"/>
      <c r="Z346" s="66"/>
      <c r="AA346" s="91"/>
      <c r="AB346" s="60"/>
      <c r="AC346" s="60"/>
      <c r="AD346" s="60"/>
      <c r="AE346" s="60"/>
      <c r="AF346" s="61"/>
      <c r="AG346" s="61"/>
      <c r="AH346" s="61"/>
      <c r="AI346" s="61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46299</v>
      </c>
      <c r="C347" s="83">
        <v>9901</v>
      </c>
      <c r="D347" s="32">
        <f>650*13+670*2+622*4+9.5*17</f>
        <v>12439.5</v>
      </c>
      <c r="E347" s="32"/>
      <c r="F347" s="32"/>
      <c r="G347" s="32">
        <f t="shared" si="111"/>
        <v>12439.5</v>
      </c>
      <c r="H347" s="12"/>
      <c r="I347" s="12">
        <v>9</v>
      </c>
      <c r="J347" s="12"/>
      <c r="K347" s="12">
        <f t="shared" si="112"/>
        <v>12448.5</v>
      </c>
      <c r="M347" s="10">
        <v>6</v>
      </c>
      <c r="N347" s="30">
        <v>46299</v>
      </c>
      <c r="O347" s="31">
        <f t="shared" si="116"/>
        <v>10086</v>
      </c>
      <c r="P347" s="32">
        <f>650*12+9.5*12</f>
        <v>7914</v>
      </c>
      <c r="Q347" s="32"/>
      <c r="R347" s="32"/>
      <c r="S347" s="32">
        <f t="shared" si="113"/>
        <v>7914</v>
      </c>
      <c r="T347" s="12"/>
      <c r="U347" s="12"/>
      <c r="V347" s="10"/>
      <c r="W347" s="12">
        <f t="shared" si="114"/>
        <v>7914</v>
      </c>
      <c r="Y347" s="62"/>
      <c r="Z347" s="66"/>
      <c r="AA347" s="91"/>
      <c r="AB347" s="60"/>
      <c r="AC347" s="60"/>
      <c r="AD347" s="60"/>
      <c r="AE347" s="60"/>
      <c r="AF347" s="61"/>
      <c r="AG347" s="61"/>
      <c r="AH347" s="62"/>
      <c r="AI347" s="61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46299</v>
      </c>
      <c r="C348" s="83">
        <f t="shared" si="115"/>
        <v>9902</v>
      </c>
      <c r="D348" s="32">
        <f>650*2+9.5*2</f>
        <v>1319</v>
      </c>
      <c r="E348" s="32"/>
      <c r="F348" s="32"/>
      <c r="G348" s="32">
        <f t="shared" si="111"/>
        <v>1319</v>
      </c>
      <c r="H348" s="12"/>
      <c r="I348" s="12"/>
      <c r="J348" s="12"/>
      <c r="K348" s="12">
        <f t="shared" si="112"/>
        <v>1319</v>
      </c>
      <c r="M348" s="10">
        <v>7</v>
      </c>
      <c r="N348" s="30">
        <v>46299</v>
      </c>
      <c r="O348" s="31">
        <f t="shared" si="116"/>
        <v>10087</v>
      </c>
      <c r="P348" s="32">
        <f>650*10+622+9.5*11</f>
        <v>7226.5</v>
      </c>
      <c r="Q348" s="32"/>
      <c r="R348" s="32"/>
      <c r="S348" s="32">
        <f t="shared" si="113"/>
        <v>7226.5</v>
      </c>
      <c r="T348" s="12"/>
      <c r="U348" s="12"/>
      <c r="V348" s="12">
        <v>-1110</v>
      </c>
      <c r="W348" s="12">
        <f t="shared" si="114"/>
        <v>6116.5</v>
      </c>
      <c r="Y348" s="62"/>
      <c r="Z348" s="66"/>
      <c r="AA348" s="91"/>
      <c r="AB348" s="60"/>
      <c r="AC348" s="60"/>
      <c r="AD348" s="60"/>
      <c r="AE348" s="60"/>
      <c r="AF348" s="61"/>
      <c r="AG348" s="61"/>
      <c r="AH348" s="61"/>
      <c r="AI348" s="61"/>
      <c r="AJ348" s="62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46299</v>
      </c>
      <c r="C349" s="83">
        <f t="shared" si="115"/>
        <v>9903</v>
      </c>
      <c r="D349" s="32">
        <f>670</f>
        <v>670</v>
      </c>
      <c r="E349" s="32"/>
      <c r="F349" s="32"/>
      <c r="G349" s="32">
        <f t="shared" si="111"/>
        <v>670</v>
      </c>
      <c r="H349" s="12"/>
      <c r="I349" s="12"/>
      <c r="J349" s="12"/>
      <c r="K349" s="12">
        <f t="shared" si="112"/>
        <v>670</v>
      </c>
      <c r="M349" s="10">
        <v>8</v>
      </c>
      <c r="N349" s="30">
        <v>46299</v>
      </c>
      <c r="O349" s="31">
        <f t="shared" si="116"/>
        <v>10088</v>
      </c>
      <c r="P349" s="32">
        <f>650*8+622+700</f>
        <v>6522</v>
      </c>
      <c r="Q349" s="32"/>
      <c r="R349" s="32"/>
      <c r="S349" s="32">
        <f t="shared" si="113"/>
        <v>6522</v>
      </c>
      <c r="T349" s="12"/>
      <c r="U349" s="12"/>
      <c r="V349" s="12">
        <v>-1998</v>
      </c>
      <c r="W349" s="12">
        <f t="shared" si="114"/>
        <v>4524</v>
      </c>
      <c r="Y349" s="62"/>
      <c r="Z349" s="66"/>
      <c r="AA349" s="91"/>
      <c r="AB349" s="60"/>
      <c r="AC349" s="60"/>
      <c r="AD349" s="62"/>
      <c r="AE349" s="60"/>
      <c r="AF349" s="61"/>
      <c r="AG349" s="61"/>
      <c r="AH349" s="61"/>
      <c r="AI349" s="61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>
        <v>46299</v>
      </c>
      <c r="C350" s="83">
        <f t="shared" si="115"/>
        <v>9904</v>
      </c>
      <c r="D350" s="32">
        <f>55.83*9</f>
        <v>502.46999999999997</v>
      </c>
      <c r="E350" s="32"/>
      <c r="F350" s="32"/>
      <c r="G350" s="32">
        <f t="shared" si="111"/>
        <v>502.46999999999997</v>
      </c>
      <c r="H350" s="12"/>
      <c r="I350" s="12"/>
      <c r="J350" s="12"/>
      <c r="K350" s="12">
        <f t="shared" si="112"/>
        <v>502.46999999999997</v>
      </c>
      <c r="M350" s="10">
        <v>9</v>
      </c>
      <c r="N350" s="30">
        <v>46299</v>
      </c>
      <c r="O350" s="31">
        <f t="shared" si="116"/>
        <v>10089</v>
      </c>
      <c r="P350" s="32">
        <f>650*65+622*5+229*4</f>
        <v>46276</v>
      </c>
      <c r="Q350" s="32"/>
      <c r="R350" s="32"/>
      <c r="S350" s="32">
        <f t="shared" si="113"/>
        <v>46276</v>
      </c>
      <c r="T350" s="12"/>
      <c r="U350" s="12">
        <f>13*111+4.5*192</f>
        <v>2307</v>
      </c>
      <c r="V350" s="12"/>
      <c r="W350" s="12">
        <f t="shared" si="114"/>
        <v>48583</v>
      </c>
      <c r="Y350" s="62"/>
      <c r="Z350" s="66"/>
      <c r="AA350" s="91"/>
      <c r="AB350" s="60"/>
      <c r="AC350" s="60"/>
      <c r="AD350" s="60"/>
      <c r="AE350" s="60"/>
      <c r="AF350" s="61"/>
      <c r="AG350" s="62"/>
      <c r="AH350" s="61"/>
      <c r="AI350" s="61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>
        <v>46299</v>
      </c>
      <c r="C351" s="83">
        <f t="shared" si="115"/>
        <v>9905</v>
      </c>
      <c r="D351" s="32">
        <f>650*2+229</f>
        <v>1529</v>
      </c>
      <c r="E351" s="32"/>
      <c r="F351" s="32"/>
      <c r="G351" s="32">
        <f t="shared" si="111"/>
        <v>1529</v>
      </c>
      <c r="H351" s="12"/>
      <c r="I351" s="12"/>
      <c r="J351" s="12"/>
      <c r="K351" s="12">
        <f t="shared" si="112"/>
        <v>1529</v>
      </c>
      <c r="M351" s="10">
        <v>10</v>
      </c>
      <c r="N351" s="30">
        <v>46299</v>
      </c>
      <c r="O351" s="31">
        <f t="shared" si="116"/>
        <v>10090</v>
      </c>
      <c r="P351" s="32">
        <f>650*180+622*20+229*6</f>
        <v>130814</v>
      </c>
      <c r="Q351" s="32">
        <f>-200*6</f>
        <v>-1200</v>
      </c>
      <c r="R351" s="32"/>
      <c r="S351" s="32">
        <f t="shared" si="113"/>
        <v>129614</v>
      </c>
      <c r="T351" s="12"/>
      <c r="U351" s="12">
        <f>390+16650</f>
        <v>17040</v>
      </c>
      <c r="V351" s="12">
        <f>-360+-504</f>
        <v>-864</v>
      </c>
      <c r="W351" s="12">
        <f t="shared" si="114"/>
        <v>145790</v>
      </c>
      <c r="Y351" s="62"/>
      <c r="Z351" s="66"/>
      <c r="AA351" s="65"/>
      <c r="AB351" s="60"/>
      <c r="AC351" s="60"/>
      <c r="AD351" s="60"/>
      <c r="AE351" s="60"/>
      <c r="AF351" s="61"/>
      <c r="AG351" s="61"/>
      <c r="AH351" s="61"/>
      <c r="AI351" s="61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>
        <v>46299</v>
      </c>
      <c r="C352" s="83">
        <f t="shared" si="115"/>
        <v>9906</v>
      </c>
      <c r="D352" s="32">
        <f>650*4+9.5*4</f>
        <v>2638</v>
      </c>
      <c r="E352" s="32"/>
      <c r="F352" s="32"/>
      <c r="G352" s="32">
        <f t="shared" si="111"/>
        <v>2638</v>
      </c>
      <c r="H352" s="12"/>
      <c r="I352" s="12"/>
      <c r="J352" s="12"/>
      <c r="K352" s="12">
        <f t="shared" si="112"/>
        <v>2638</v>
      </c>
      <c r="M352" s="10">
        <v>11</v>
      </c>
      <c r="N352" s="30"/>
      <c r="O352" s="11" t="s">
        <v>27</v>
      </c>
      <c r="P352" s="32"/>
      <c r="Q352" s="32"/>
      <c r="R352" s="32"/>
      <c r="S352" s="32">
        <f t="shared" si="113"/>
        <v>0</v>
      </c>
      <c r="T352" s="12"/>
      <c r="U352" s="12"/>
      <c r="V352" s="12"/>
      <c r="W352" s="12">
        <f t="shared" si="114"/>
        <v>0</v>
      </c>
      <c r="Y352" s="62"/>
      <c r="Z352" s="66"/>
      <c r="AA352" s="62"/>
      <c r="AB352" s="60"/>
      <c r="AC352" s="60"/>
      <c r="AD352" s="60"/>
      <c r="AE352" s="60"/>
      <c r="AF352" s="61"/>
      <c r="AG352" s="61"/>
      <c r="AH352" s="61"/>
      <c r="AI352" s="61"/>
      <c r="AJ352" s="62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>
        <v>46299</v>
      </c>
      <c r="C353" s="83">
        <f t="shared" si="115"/>
        <v>9907</v>
      </c>
      <c r="D353" s="32">
        <f>622*5</f>
        <v>3110</v>
      </c>
      <c r="E353" s="32"/>
      <c r="F353" s="32"/>
      <c r="G353" s="32">
        <f t="shared" si="111"/>
        <v>3110</v>
      </c>
      <c r="H353" s="12"/>
      <c r="I353" s="12"/>
      <c r="J353" s="10"/>
      <c r="K353" s="12">
        <f t="shared" si="112"/>
        <v>3110</v>
      </c>
      <c r="M353" s="10">
        <v>12</v>
      </c>
      <c r="N353" s="30"/>
      <c r="O353" s="31"/>
      <c r="P353" s="32"/>
      <c r="Q353" s="32"/>
      <c r="R353" s="32"/>
      <c r="S353" s="32">
        <f t="shared" si="113"/>
        <v>0</v>
      </c>
      <c r="T353" s="12"/>
      <c r="U353" s="12"/>
      <c r="V353" s="12"/>
      <c r="W353" s="12">
        <f t="shared" si="114"/>
        <v>0</v>
      </c>
      <c r="Y353" s="62"/>
      <c r="Z353" s="66"/>
      <c r="AA353" s="91"/>
      <c r="AB353" s="60"/>
      <c r="AC353" s="60"/>
      <c r="AD353" s="60"/>
      <c r="AE353" s="60"/>
      <c r="AF353" s="61"/>
      <c r="AG353" s="61"/>
      <c r="AH353" s="61"/>
      <c r="AI353" s="61"/>
      <c r="AJ353" s="62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>
        <v>46299</v>
      </c>
      <c r="C354" s="83">
        <f t="shared" si="115"/>
        <v>9908</v>
      </c>
      <c r="D354" s="32">
        <f>650*8+912+1050+872+650+500</f>
        <v>9184</v>
      </c>
      <c r="E354" s="32"/>
      <c r="F354" s="32"/>
      <c r="G354" s="32">
        <f t="shared" si="111"/>
        <v>9184</v>
      </c>
      <c r="H354" s="12"/>
      <c r="I354" s="12"/>
      <c r="J354" s="12"/>
      <c r="K354" s="12">
        <f t="shared" si="112"/>
        <v>9184</v>
      </c>
      <c r="M354" s="10">
        <v>13</v>
      </c>
      <c r="N354" s="30"/>
      <c r="O354" s="31"/>
      <c r="P354" s="32"/>
      <c r="Q354" s="32"/>
      <c r="R354" s="32"/>
      <c r="S354" s="32">
        <f t="shared" si="113"/>
        <v>0</v>
      </c>
      <c r="T354" s="12"/>
      <c r="U354" s="12"/>
      <c r="V354" s="12"/>
      <c r="W354" s="12">
        <f t="shared" si="114"/>
        <v>0</v>
      </c>
      <c r="Y354" s="62"/>
      <c r="Z354" s="66"/>
      <c r="AA354" s="91"/>
      <c r="AB354" s="60"/>
      <c r="AC354" s="60"/>
      <c r="AD354" s="60"/>
      <c r="AE354" s="60"/>
      <c r="AF354" s="61"/>
      <c r="AG354" s="61"/>
      <c r="AH354" s="61"/>
      <c r="AI354" s="61"/>
      <c r="AJ354" s="62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>
        <v>46299</v>
      </c>
      <c r="C355" s="83">
        <f t="shared" si="115"/>
        <v>9909</v>
      </c>
      <c r="D355" s="32">
        <f>650*17+1175+622*3+650</f>
        <v>14741</v>
      </c>
      <c r="E355" s="32"/>
      <c r="F355" s="32"/>
      <c r="G355" s="32">
        <f t="shared" si="111"/>
        <v>14741</v>
      </c>
      <c r="H355" s="12"/>
      <c r="I355" s="12">
        <v>45</v>
      </c>
      <c r="J355" s="12"/>
      <c r="K355" s="12">
        <f t="shared" si="112"/>
        <v>14786</v>
      </c>
      <c r="M355" s="10">
        <v>14</v>
      </c>
      <c r="N355" s="30"/>
      <c r="O355" s="31"/>
      <c r="P355" s="32"/>
      <c r="Q355" s="32"/>
      <c r="R355" s="32"/>
      <c r="S355" s="32">
        <f t="shared" si="113"/>
        <v>0</v>
      </c>
      <c r="T355" s="12"/>
      <c r="U355" s="12"/>
      <c r="V355" s="12"/>
      <c r="W355" s="12">
        <f t="shared" si="114"/>
        <v>0</v>
      </c>
      <c r="Y355" s="62"/>
      <c r="Z355" s="66"/>
      <c r="AA355" s="91"/>
      <c r="AB355" s="60"/>
      <c r="AC355" s="60"/>
      <c r="AD355" s="60"/>
      <c r="AE355" s="60"/>
      <c r="AF355" s="61"/>
      <c r="AG355" s="61"/>
      <c r="AH355" s="61"/>
      <c r="AI355" s="61"/>
      <c r="AJ355" s="62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>
        <v>46299</v>
      </c>
      <c r="C356" s="83">
        <f t="shared" si="115"/>
        <v>9910</v>
      </c>
      <c r="D356" s="32">
        <f>650*100</f>
        <v>65000</v>
      </c>
      <c r="E356" s="32"/>
      <c r="F356" s="32"/>
      <c r="G356" s="32">
        <f t="shared" si="111"/>
        <v>65000</v>
      </c>
      <c r="H356" s="12"/>
      <c r="I356" s="12"/>
      <c r="J356" s="12"/>
      <c r="K356" s="12">
        <f t="shared" si="112"/>
        <v>65000</v>
      </c>
      <c r="M356" s="10">
        <v>15</v>
      </c>
      <c r="N356" s="30"/>
      <c r="O356" s="31"/>
      <c r="P356" s="32"/>
      <c r="Q356" s="32"/>
      <c r="R356" s="32"/>
      <c r="S356" s="32">
        <f t="shared" si="113"/>
        <v>0</v>
      </c>
      <c r="T356" s="12"/>
      <c r="U356" s="12"/>
      <c r="V356" s="12"/>
      <c r="W356" s="12">
        <f t="shared" si="114"/>
        <v>0</v>
      </c>
      <c r="Y356" s="62"/>
      <c r="Z356" s="66"/>
      <c r="AA356" s="91"/>
      <c r="AB356" s="60"/>
      <c r="AC356" s="60"/>
      <c r="AD356" s="60"/>
      <c r="AE356" s="60"/>
      <c r="AF356" s="61"/>
      <c r="AG356" s="61"/>
      <c r="AH356" s="61"/>
      <c r="AI356" s="61"/>
      <c r="AJ356" s="62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>
        <v>46299</v>
      </c>
      <c r="C357" s="83">
        <f t="shared" si="115"/>
        <v>9911</v>
      </c>
      <c r="D357" s="32">
        <f>650*15+9.5*15</f>
        <v>9892.5</v>
      </c>
      <c r="E357" s="32"/>
      <c r="F357" s="32"/>
      <c r="G357" s="32">
        <f t="shared" si="111"/>
        <v>9892.5</v>
      </c>
      <c r="H357" s="12"/>
      <c r="I357" s="12"/>
      <c r="J357" s="12"/>
      <c r="K357" s="12">
        <f t="shared" si="112"/>
        <v>9892.5</v>
      </c>
      <c r="M357" s="10">
        <v>16</v>
      </c>
      <c r="N357" s="30"/>
      <c r="O357" s="11"/>
      <c r="P357" s="32"/>
      <c r="Q357" s="32"/>
      <c r="R357" s="32"/>
      <c r="S357" s="32">
        <f t="shared" si="113"/>
        <v>0</v>
      </c>
      <c r="T357" s="12"/>
      <c r="U357" s="12"/>
      <c r="V357" s="12"/>
      <c r="W357" s="12">
        <f t="shared" si="114"/>
        <v>0</v>
      </c>
      <c r="Y357" s="62"/>
      <c r="Z357" s="66"/>
      <c r="AA357" s="62"/>
      <c r="AB357" s="60"/>
      <c r="AC357" s="60"/>
      <c r="AD357" s="60"/>
      <c r="AE357" s="60"/>
      <c r="AF357" s="61"/>
      <c r="AG357" s="61"/>
      <c r="AH357" s="61"/>
      <c r="AI357" s="61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>
        <v>46299</v>
      </c>
      <c r="C358" s="83">
        <f t="shared" si="115"/>
        <v>9912</v>
      </c>
      <c r="D358" s="32">
        <f>650*11+9.5*11</f>
        <v>7254.5</v>
      </c>
      <c r="E358" s="32"/>
      <c r="F358" s="32"/>
      <c r="G358" s="32">
        <f t="shared" si="111"/>
        <v>7254.5</v>
      </c>
      <c r="H358" s="12"/>
      <c r="I358" s="12"/>
      <c r="J358" s="12"/>
      <c r="K358" s="12">
        <f t="shared" si="112"/>
        <v>7254.5</v>
      </c>
      <c r="M358" s="10">
        <v>17</v>
      </c>
      <c r="N358" s="30"/>
      <c r="O358" s="31"/>
      <c r="P358" s="35"/>
      <c r="Q358" s="32"/>
      <c r="R358" s="32"/>
      <c r="S358" s="32">
        <f t="shared" si="113"/>
        <v>0</v>
      </c>
      <c r="T358" s="12"/>
      <c r="U358" s="12"/>
      <c r="V358" s="12"/>
      <c r="W358" s="12">
        <f t="shared" si="114"/>
        <v>0</v>
      </c>
      <c r="Y358" s="62"/>
      <c r="Z358" s="66"/>
      <c r="AA358" s="91"/>
      <c r="AB358" s="60"/>
      <c r="AC358" s="60"/>
      <c r="AD358" s="60"/>
      <c r="AE358" s="60"/>
      <c r="AF358" s="61"/>
      <c r="AG358" s="61"/>
      <c r="AH358" s="61"/>
      <c r="AI358" s="61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>
        <v>46299</v>
      </c>
      <c r="C359" s="83">
        <f t="shared" si="115"/>
        <v>9913</v>
      </c>
      <c r="D359" s="32">
        <f>650*12+622*5+1050+1102*3+650</f>
        <v>15916</v>
      </c>
      <c r="E359" s="32"/>
      <c r="F359" s="32"/>
      <c r="G359" s="32">
        <f t="shared" si="111"/>
        <v>15916</v>
      </c>
      <c r="H359" s="12"/>
      <c r="I359" s="12">
        <v>144</v>
      </c>
      <c r="J359" s="12"/>
      <c r="K359" s="12">
        <f t="shared" si="112"/>
        <v>16060</v>
      </c>
      <c r="M359" s="10">
        <v>18</v>
      </c>
      <c r="N359" s="30"/>
      <c r="O359" s="31"/>
      <c r="P359" s="32"/>
      <c r="Q359" s="32"/>
      <c r="R359" s="32"/>
      <c r="S359" s="32">
        <f t="shared" si="113"/>
        <v>0</v>
      </c>
      <c r="T359" s="12"/>
      <c r="U359" s="12"/>
      <c r="V359" s="12"/>
      <c r="W359" s="12">
        <f t="shared" si="114"/>
        <v>0</v>
      </c>
      <c r="Y359" s="62"/>
      <c r="Z359" s="66"/>
      <c r="AA359" s="91"/>
      <c r="AB359" s="60"/>
      <c r="AC359" s="60"/>
      <c r="AD359" s="60"/>
      <c r="AE359" s="60"/>
      <c r="AF359" s="61"/>
      <c r="AG359" s="61"/>
      <c r="AH359" s="61"/>
      <c r="AI359" s="61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>
        <v>46299</v>
      </c>
      <c r="C360" s="83">
        <f t="shared" si="115"/>
        <v>9914</v>
      </c>
      <c r="D360" s="32">
        <f>650*40</f>
        <v>26000</v>
      </c>
      <c r="E360" s="32"/>
      <c r="F360" s="32"/>
      <c r="G360" s="32">
        <f t="shared" si="111"/>
        <v>26000</v>
      </c>
      <c r="H360" s="12"/>
      <c r="I360" s="12">
        <v>63</v>
      </c>
      <c r="J360" s="12"/>
      <c r="K360" s="12">
        <f t="shared" si="112"/>
        <v>26063</v>
      </c>
      <c r="M360" s="10">
        <v>19</v>
      </c>
      <c r="N360" s="30"/>
      <c r="O360" s="31"/>
      <c r="P360" s="32"/>
      <c r="Q360" s="32"/>
      <c r="R360" s="32"/>
      <c r="S360" s="32">
        <f t="shared" si="113"/>
        <v>0</v>
      </c>
      <c r="T360" s="12"/>
      <c r="U360" s="12"/>
      <c r="V360" s="12"/>
      <c r="W360" s="12">
        <f t="shared" si="114"/>
        <v>0</v>
      </c>
      <c r="Y360" s="62"/>
      <c r="Z360" s="66"/>
      <c r="AA360" s="91"/>
      <c r="AB360" s="60"/>
      <c r="AC360" s="60"/>
      <c r="AD360" s="60"/>
      <c r="AE360" s="60"/>
      <c r="AF360" s="61"/>
      <c r="AG360" s="61"/>
      <c r="AH360" s="61"/>
      <c r="AI360" s="61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>
        <v>46299</v>
      </c>
      <c r="C361" s="83">
        <f t="shared" si="115"/>
        <v>9915</v>
      </c>
      <c r="D361" s="32">
        <f>650*19+622*2</f>
        <v>13594</v>
      </c>
      <c r="E361" s="32"/>
      <c r="F361" s="32"/>
      <c r="G361" s="32">
        <f t="shared" si="111"/>
        <v>13594</v>
      </c>
      <c r="H361" s="12"/>
      <c r="I361" s="12"/>
      <c r="J361" s="12"/>
      <c r="K361" s="12">
        <f t="shared" si="112"/>
        <v>13594</v>
      </c>
      <c r="M361" s="10">
        <v>20</v>
      </c>
      <c r="N361" s="30"/>
      <c r="O361" s="31"/>
      <c r="P361" s="32"/>
      <c r="Q361" s="32"/>
      <c r="R361" s="32"/>
      <c r="S361" s="32">
        <f t="shared" si="113"/>
        <v>0</v>
      </c>
      <c r="T361" s="12"/>
      <c r="U361" s="12"/>
      <c r="V361" s="12"/>
      <c r="W361" s="12">
        <f t="shared" si="114"/>
        <v>0</v>
      </c>
      <c r="Y361" s="62"/>
      <c r="Z361" s="66"/>
      <c r="AA361" s="62"/>
      <c r="AB361" s="60"/>
      <c r="AC361" s="60"/>
      <c r="AD361" s="60"/>
      <c r="AE361" s="60"/>
      <c r="AF361" s="61"/>
      <c r="AG361" s="61"/>
      <c r="AH361" s="61"/>
      <c r="AI361" s="61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>
        <v>46299</v>
      </c>
      <c r="C362" s="83">
        <f t="shared" si="115"/>
        <v>9916</v>
      </c>
      <c r="D362" s="32">
        <f>650*14</f>
        <v>9100</v>
      </c>
      <c r="E362" s="32"/>
      <c r="F362" s="32"/>
      <c r="G362" s="32">
        <f t="shared" si="111"/>
        <v>9100</v>
      </c>
      <c r="H362" s="10"/>
      <c r="I362" s="10"/>
      <c r="J362" s="10"/>
      <c r="K362" s="12">
        <f t="shared" si="112"/>
        <v>9100</v>
      </c>
      <c r="M362" s="10">
        <v>21</v>
      </c>
      <c r="N362" s="30"/>
      <c r="O362" s="11"/>
      <c r="P362" s="46"/>
      <c r="Q362" s="31"/>
      <c r="R362" s="31"/>
      <c r="S362" s="32">
        <f t="shared" si="113"/>
        <v>0</v>
      </c>
      <c r="T362" s="10"/>
      <c r="U362" s="10"/>
      <c r="V362" s="10"/>
      <c r="W362" s="12">
        <f t="shared" si="114"/>
        <v>0</v>
      </c>
      <c r="Y362" s="62"/>
      <c r="Z362" s="66"/>
      <c r="AA362" s="91"/>
      <c r="AB362" s="67"/>
      <c r="AC362" s="91"/>
      <c r="AD362" s="91"/>
      <c r="AE362" s="60"/>
      <c r="AF362" s="62"/>
      <c r="AG362" s="62"/>
      <c r="AH362" s="62"/>
      <c r="AI362" s="61"/>
      <c r="AJ362" s="62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>
        <v>46299</v>
      </c>
      <c r="C363" s="83">
        <f t="shared" si="115"/>
        <v>9917</v>
      </c>
      <c r="D363" s="32">
        <f>912*4+1050</f>
        <v>4698</v>
      </c>
      <c r="E363" s="32"/>
      <c r="F363" s="32"/>
      <c r="G363" s="32">
        <f t="shared" si="111"/>
        <v>4698</v>
      </c>
      <c r="H363" s="10"/>
      <c r="I363" s="10"/>
      <c r="J363" s="10"/>
      <c r="K363" s="12">
        <f t="shared" si="112"/>
        <v>4698</v>
      </c>
      <c r="M363" s="10">
        <v>22</v>
      </c>
      <c r="N363" s="30"/>
      <c r="O363" s="31"/>
      <c r="P363" s="45"/>
      <c r="Q363" s="31"/>
      <c r="R363" s="31"/>
      <c r="S363" s="32">
        <f t="shared" si="113"/>
        <v>0</v>
      </c>
      <c r="T363" s="10"/>
      <c r="U363" s="10"/>
      <c r="V363" s="10"/>
      <c r="W363" s="12">
        <f t="shared" si="114"/>
        <v>0</v>
      </c>
      <c r="Y363" s="62"/>
      <c r="Z363" s="66"/>
      <c r="AA363" s="91"/>
      <c r="AB363" s="68"/>
      <c r="AC363" s="91"/>
      <c r="AD363" s="91"/>
      <c r="AE363" s="60"/>
      <c r="AF363" s="62"/>
      <c r="AG363" s="62"/>
      <c r="AH363" s="62"/>
      <c r="AI363" s="61"/>
      <c r="AJ363" s="62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11" t="s">
        <v>27</v>
      </c>
      <c r="D364" s="32"/>
      <c r="E364" s="32"/>
      <c r="F364" s="32"/>
      <c r="G364" s="32">
        <f t="shared" si="111"/>
        <v>0</v>
      </c>
      <c r="H364" s="10"/>
      <c r="I364" s="10"/>
      <c r="J364" s="12"/>
      <c r="K364" s="12">
        <f t="shared" si="112"/>
        <v>0</v>
      </c>
      <c r="M364" s="10">
        <v>23</v>
      </c>
      <c r="N364" s="30"/>
      <c r="O364" s="31"/>
      <c r="P364" s="47"/>
      <c r="S364" s="32">
        <f t="shared" si="113"/>
        <v>0</v>
      </c>
      <c r="T364" s="10"/>
      <c r="U364" s="10"/>
      <c r="V364" s="10"/>
      <c r="W364" s="12">
        <f t="shared" si="114"/>
        <v>0</v>
      </c>
      <c r="Y364" s="62"/>
      <c r="Z364" s="66"/>
      <c r="AA364" s="91"/>
      <c r="AB364" s="69"/>
      <c r="AC364" s="62"/>
      <c r="AD364" s="62"/>
      <c r="AE364" s="60"/>
      <c r="AF364" s="62"/>
      <c r="AG364" s="62"/>
      <c r="AH364" s="62"/>
      <c r="AI364" s="61"/>
      <c r="AJ364" s="62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111"/>
        <v>0</v>
      </c>
      <c r="H365" s="10"/>
      <c r="I365" s="10"/>
      <c r="J365" s="10"/>
      <c r="K365" s="12">
        <f t="shared" si="112"/>
        <v>0</v>
      </c>
      <c r="M365" s="10">
        <v>24</v>
      </c>
      <c r="N365" s="30"/>
      <c r="O365" s="31"/>
      <c r="P365" s="47"/>
      <c r="Q365" s="31"/>
      <c r="R365" s="31"/>
      <c r="S365" s="32">
        <f t="shared" si="113"/>
        <v>0</v>
      </c>
      <c r="T365" s="10"/>
      <c r="U365" s="10"/>
      <c r="V365" s="10"/>
      <c r="W365" s="12">
        <f t="shared" si="114"/>
        <v>0</v>
      </c>
      <c r="Y365" s="62"/>
      <c r="Z365" s="66"/>
      <c r="AA365" s="91"/>
      <c r="AB365" s="69"/>
      <c r="AC365" s="91"/>
      <c r="AD365" s="91"/>
      <c r="AE365" s="60"/>
      <c r="AF365" s="62"/>
      <c r="AG365" s="62"/>
      <c r="AH365" s="62"/>
      <c r="AI365" s="61"/>
      <c r="AJ365" s="62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111"/>
        <v>0</v>
      </c>
      <c r="H366" s="10"/>
      <c r="I366" s="10"/>
      <c r="J366" s="10"/>
      <c r="K366" s="12">
        <f t="shared" si="112"/>
        <v>0</v>
      </c>
      <c r="M366" s="10">
        <v>25</v>
      </c>
      <c r="N366" s="30"/>
      <c r="O366" s="31"/>
      <c r="P366" s="47"/>
      <c r="Q366" s="31"/>
      <c r="R366" s="31"/>
      <c r="S366" s="32">
        <f t="shared" si="113"/>
        <v>0</v>
      </c>
      <c r="T366" s="10"/>
      <c r="U366" s="10"/>
      <c r="V366" s="10"/>
      <c r="W366" s="12">
        <f t="shared" si="114"/>
        <v>0</v>
      </c>
      <c r="Y366" s="62"/>
      <c r="Z366" s="66"/>
      <c r="AA366" s="91"/>
      <c r="AB366" s="69"/>
      <c r="AC366" s="91"/>
      <c r="AD366" s="91"/>
      <c r="AE366" s="60"/>
      <c r="AF366" s="62"/>
      <c r="AG366" s="62"/>
      <c r="AH366" s="62"/>
      <c r="AI366" s="61"/>
      <c r="AJ366" s="62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111"/>
        <v>0</v>
      </c>
      <c r="H367" s="10"/>
      <c r="I367" s="10"/>
      <c r="J367" s="10"/>
      <c r="K367" s="12">
        <f t="shared" si="112"/>
        <v>0</v>
      </c>
      <c r="M367" s="10">
        <v>26</v>
      </c>
      <c r="N367" s="30"/>
      <c r="O367" s="31"/>
      <c r="P367" s="47"/>
      <c r="Q367" s="31"/>
      <c r="R367" s="31"/>
      <c r="S367" s="32">
        <f t="shared" si="113"/>
        <v>0</v>
      </c>
      <c r="T367" s="10"/>
      <c r="U367" s="10"/>
      <c r="V367" s="10"/>
      <c r="W367" s="12">
        <f t="shared" si="114"/>
        <v>0</v>
      </c>
      <c r="Y367" s="62"/>
      <c r="Z367" s="66"/>
      <c r="AA367" s="91"/>
      <c r="AB367" s="69"/>
      <c r="AC367" s="91"/>
      <c r="AD367" s="91"/>
      <c r="AE367" s="60"/>
      <c r="AF367" s="62"/>
      <c r="AG367" s="62"/>
      <c r="AH367" s="62"/>
      <c r="AI367" s="61"/>
      <c r="AJ367" s="62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111"/>
        <v>0</v>
      </c>
      <c r="H368" s="10"/>
      <c r="I368" s="10"/>
      <c r="J368" s="10"/>
      <c r="K368" s="12">
        <f t="shared" si="112"/>
        <v>0</v>
      </c>
      <c r="M368" s="10">
        <v>27</v>
      </c>
      <c r="N368" s="30"/>
      <c r="O368" s="31"/>
      <c r="P368" s="47"/>
      <c r="Q368" s="31"/>
      <c r="R368" s="31"/>
      <c r="S368" s="32">
        <f t="shared" si="113"/>
        <v>0</v>
      </c>
      <c r="T368" s="10"/>
      <c r="U368" s="10"/>
      <c r="V368" s="10"/>
      <c r="W368" s="12">
        <f t="shared" si="114"/>
        <v>0</v>
      </c>
      <c r="Y368" s="62"/>
      <c r="Z368" s="66"/>
      <c r="AA368" s="91"/>
      <c r="AB368" s="69"/>
      <c r="AC368" s="91"/>
      <c r="AD368" s="91"/>
      <c r="AE368" s="60"/>
      <c r="AF368" s="62"/>
      <c r="AG368" s="62"/>
      <c r="AH368" s="62"/>
      <c r="AI368" s="61"/>
      <c r="AJ368" s="62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111"/>
        <v>0</v>
      </c>
      <c r="H369" s="10"/>
      <c r="I369" s="10"/>
      <c r="J369" s="10"/>
      <c r="K369" s="12">
        <f t="shared" si="112"/>
        <v>0</v>
      </c>
      <c r="M369" s="10">
        <v>28</v>
      </c>
      <c r="N369" s="30"/>
      <c r="O369" s="31"/>
      <c r="P369" s="47"/>
      <c r="Q369" s="31"/>
      <c r="R369" s="31"/>
      <c r="S369" s="32">
        <f t="shared" si="113"/>
        <v>0</v>
      </c>
      <c r="T369" s="10"/>
      <c r="U369" s="10"/>
      <c r="V369" s="10"/>
      <c r="W369" s="12">
        <f t="shared" si="114"/>
        <v>0</v>
      </c>
      <c r="Y369" s="62"/>
      <c r="Z369" s="66"/>
      <c r="AA369" s="91"/>
      <c r="AB369" s="69"/>
      <c r="AC369" s="91"/>
      <c r="AD369" s="91"/>
      <c r="AE369" s="60"/>
      <c r="AF369" s="62"/>
      <c r="AG369" s="62"/>
      <c r="AH369" s="62"/>
      <c r="AI369" s="61"/>
      <c r="AJ369" s="62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83"/>
      <c r="D370" s="32"/>
      <c r="E370" s="32"/>
      <c r="F370" s="32"/>
      <c r="G370" s="32">
        <f t="shared" si="111"/>
        <v>0</v>
      </c>
      <c r="H370" s="10"/>
      <c r="I370" s="10"/>
      <c r="J370" s="10"/>
      <c r="K370" s="12">
        <f t="shared" si="112"/>
        <v>0</v>
      </c>
      <c r="M370" s="10">
        <v>29</v>
      </c>
      <c r="N370" s="30"/>
      <c r="O370" s="31"/>
      <c r="P370" s="47"/>
      <c r="Q370" s="31"/>
      <c r="R370" s="31"/>
      <c r="S370" s="32">
        <f t="shared" si="113"/>
        <v>0</v>
      </c>
      <c r="T370" s="10"/>
      <c r="U370" s="10"/>
      <c r="V370" s="10"/>
      <c r="W370" s="12">
        <f t="shared" si="114"/>
        <v>0</v>
      </c>
      <c r="Y370" s="62"/>
      <c r="Z370" s="66"/>
      <c r="AA370" s="91"/>
      <c r="AB370" s="69"/>
      <c r="AC370" s="91"/>
      <c r="AD370" s="91"/>
      <c r="AE370" s="60"/>
      <c r="AF370" s="62"/>
      <c r="AG370" s="62"/>
      <c r="AH370" s="62"/>
      <c r="AI370" s="61"/>
      <c r="AJ370" s="62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111"/>
        <v>0</v>
      </c>
      <c r="H371" s="10"/>
      <c r="I371" s="10"/>
      <c r="J371" s="10"/>
      <c r="K371" s="12">
        <f t="shared" si="112"/>
        <v>0</v>
      </c>
      <c r="M371" s="10">
        <v>30</v>
      </c>
      <c r="N371" s="30"/>
      <c r="O371" s="31"/>
      <c r="P371" s="47"/>
      <c r="Q371" s="31"/>
      <c r="R371" s="31"/>
      <c r="S371" s="32">
        <f t="shared" si="113"/>
        <v>0</v>
      </c>
      <c r="T371" s="10"/>
      <c r="U371" s="10"/>
      <c r="V371" s="10"/>
      <c r="W371" s="12">
        <f t="shared" si="114"/>
        <v>0</v>
      </c>
      <c r="Y371" s="62"/>
      <c r="Z371" s="66"/>
      <c r="AA371" s="91"/>
      <c r="AB371" s="69"/>
      <c r="AC371" s="91"/>
      <c r="AD371" s="91"/>
      <c r="AE371" s="60"/>
      <c r="AF371" s="62"/>
      <c r="AG371" s="62"/>
      <c r="AH371" s="62"/>
      <c r="AI371" s="61"/>
      <c r="AJ371" s="62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11"/>
      <c r="D372" s="32"/>
      <c r="E372" s="32"/>
      <c r="F372" s="32"/>
      <c r="G372" s="32">
        <f t="shared" si="111"/>
        <v>0</v>
      </c>
      <c r="H372" s="10"/>
      <c r="I372" s="10"/>
      <c r="J372" s="10"/>
      <c r="K372" s="12">
        <f t="shared" si="112"/>
        <v>0</v>
      </c>
      <c r="M372" s="10">
        <v>31</v>
      </c>
      <c r="N372" s="30"/>
      <c r="O372" s="31"/>
      <c r="P372" s="47"/>
      <c r="Q372" s="31"/>
      <c r="R372" s="31"/>
      <c r="S372" s="32">
        <f t="shared" si="113"/>
        <v>0</v>
      </c>
      <c r="T372" s="10"/>
      <c r="U372" s="10"/>
      <c r="V372" s="10"/>
      <c r="W372" s="12">
        <f t="shared" si="114"/>
        <v>0</v>
      </c>
      <c r="Y372" s="62"/>
      <c r="Z372" s="66"/>
      <c r="AA372" s="91"/>
      <c r="AB372" s="69"/>
      <c r="AC372" s="91"/>
      <c r="AD372" s="91"/>
      <c r="AE372" s="60"/>
      <c r="AF372" s="62"/>
      <c r="AG372" s="62"/>
      <c r="AH372" s="62"/>
      <c r="AI372" s="61"/>
      <c r="AJ372" s="62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111"/>
        <v>0</v>
      </c>
      <c r="H373" s="10"/>
      <c r="I373" s="10"/>
      <c r="J373" s="10"/>
      <c r="K373" s="12">
        <f t="shared" si="112"/>
        <v>0</v>
      </c>
      <c r="M373" s="10">
        <v>32</v>
      </c>
      <c r="N373" s="30"/>
      <c r="O373" s="31"/>
      <c r="P373" s="47"/>
      <c r="Q373" s="31"/>
      <c r="R373" s="31"/>
      <c r="S373" s="32">
        <f t="shared" si="113"/>
        <v>0</v>
      </c>
      <c r="T373" s="10"/>
      <c r="U373" s="10"/>
      <c r="V373" s="10"/>
      <c r="W373" s="12">
        <f t="shared" si="114"/>
        <v>0</v>
      </c>
      <c r="Y373" s="62"/>
      <c r="Z373" s="66"/>
      <c r="AA373" s="91"/>
      <c r="AB373" s="69"/>
      <c r="AC373" s="91"/>
      <c r="AD373" s="91"/>
      <c r="AE373" s="60"/>
      <c r="AF373" s="62"/>
      <c r="AG373" s="62"/>
      <c r="AH373" s="62"/>
      <c r="AI373" s="61"/>
      <c r="AJ373" s="62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111"/>
        <v>0</v>
      </c>
      <c r="H374" s="10"/>
      <c r="I374" s="10"/>
      <c r="J374" s="10"/>
      <c r="K374" s="12">
        <f t="shared" si="112"/>
        <v>0</v>
      </c>
      <c r="M374" s="10">
        <v>33</v>
      </c>
      <c r="N374" s="30"/>
      <c r="O374" s="31"/>
      <c r="P374" s="47"/>
      <c r="Q374" s="31"/>
      <c r="R374" s="31"/>
      <c r="S374" s="32">
        <f t="shared" si="113"/>
        <v>0</v>
      </c>
      <c r="T374" s="10"/>
      <c r="U374" s="10"/>
      <c r="V374" s="10"/>
      <c r="W374" s="12">
        <f t="shared" si="114"/>
        <v>0</v>
      </c>
      <c r="Y374" s="62"/>
      <c r="Z374" s="66"/>
      <c r="AA374" s="91"/>
      <c r="AB374" s="69"/>
      <c r="AC374" s="91"/>
      <c r="AD374" s="91"/>
      <c r="AE374" s="60"/>
      <c r="AF374" s="62"/>
      <c r="AG374" s="62"/>
      <c r="AH374" s="62"/>
      <c r="AI374" s="61"/>
      <c r="AJ374" s="62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111"/>
        <v>0</v>
      </c>
      <c r="H375" s="10"/>
      <c r="I375" s="10"/>
      <c r="J375" s="10"/>
      <c r="K375" s="12">
        <f t="shared" si="112"/>
        <v>0</v>
      </c>
      <c r="M375" s="10">
        <v>34</v>
      </c>
      <c r="N375" s="30"/>
      <c r="O375" s="31"/>
      <c r="P375" s="47"/>
      <c r="Q375" s="31"/>
      <c r="R375" s="31"/>
      <c r="S375" s="32">
        <f t="shared" si="113"/>
        <v>0</v>
      </c>
      <c r="T375" s="10"/>
      <c r="U375" s="10"/>
      <c r="V375" s="10"/>
      <c r="W375" s="12">
        <f t="shared" si="114"/>
        <v>0</v>
      </c>
      <c r="Y375" s="62"/>
      <c r="Z375" s="66"/>
      <c r="AA375" s="91"/>
      <c r="AB375" s="69"/>
      <c r="AC375" s="91"/>
      <c r="AD375" s="91"/>
      <c r="AE375" s="60"/>
      <c r="AF375" s="62"/>
      <c r="AG375" s="62"/>
      <c r="AH375" s="62"/>
      <c r="AI375" s="61"/>
      <c r="AJ375" s="62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13"/>
        <v>0</v>
      </c>
      <c r="T376" s="10"/>
      <c r="U376" s="10"/>
      <c r="V376" s="10"/>
      <c r="W376" s="12">
        <f t="shared" si="114"/>
        <v>0</v>
      </c>
      <c r="Y376" s="62"/>
      <c r="Z376" s="66"/>
      <c r="AA376" s="91"/>
      <c r="AB376" s="69"/>
      <c r="AC376" s="91"/>
      <c r="AD376" s="91"/>
      <c r="AE376" s="60"/>
      <c r="AF376" s="62"/>
      <c r="AG376" s="62"/>
      <c r="AH376" s="62"/>
      <c r="AI376" s="61"/>
      <c r="AJ376" s="62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13"/>
        <v>0</v>
      </c>
      <c r="T377" s="10"/>
      <c r="U377" s="10"/>
      <c r="V377" s="10"/>
      <c r="W377" s="12">
        <f t="shared" si="114"/>
        <v>0</v>
      </c>
      <c r="Y377" s="62"/>
      <c r="Z377" s="66"/>
      <c r="AA377" s="91"/>
      <c r="AB377" s="69"/>
      <c r="AC377" s="91"/>
      <c r="AD377" s="91"/>
      <c r="AE377" s="60"/>
      <c r="AF377" s="62"/>
      <c r="AG377" s="62"/>
      <c r="AH377" s="62"/>
      <c r="AI377" s="61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13"/>
        <v>0</v>
      </c>
      <c r="T378" s="10"/>
      <c r="U378" s="10"/>
      <c r="V378" s="10"/>
      <c r="W378" s="12">
        <f t="shared" si="114"/>
        <v>0</v>
      </c>
      <c r="Y378" s="62"/>
      <c r="Z378" s="66"/>
      <c r="AA378" s="91"/>
      <c r="AB378" s="69"/>
      <c r="AC378" s="91"/>
      <c r="AD378" s="91"/>
      <c r="AE378" s="60"/>
      <c r="AF378" s="62"/>
      <c r="AG378" s="62"/>
      <c r="AH378" s="62"/>
      <c r="AI378" s="61"/>
      <c r="AJ378" s="62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13"/>
        <v>0</v>
      </c>
      <c r="T379" s="10"/>
      <c r="U379" s="10"/>
      <c r="V379" s="10"/>
      <c r="W379" s="12">
        <f t="shared" si="114"/>
        <v>0</v>
      </c>
      <c r="Y379" s="62"/>
      <c r="Z379" s="66"/>
      <c r="AA379" s="91"/>
      <c r="AB379" s="69"/>
      <c r="AC379" s="91"/>
      <c r="AD379" s="91"/>
      <c r="AE379" s="60"/>
      <c r="AF379" s="62"/>
      <c r="AG379" s="62"/>
      <c r="AH379" s="62"/>
      <c r="AI379" s="61"/>
      <c r="AJ379" s="62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13"/>
        <v>0</v>
      </c>
      <c r="T380" s="10"/>
      <c r="U380" s="10"/>
      <c r="V380" s="10"/>
      <c r="W380" s="12">
        <f t="shared" si="114"/>
        <v>0</v>
      </c>
      <c r="Y380" s="62"/>
      <c r="Z380" s="66"/>
      <c r="AA380" s="91"/>
      <c r="AB380" s="69"/>
      <c r="AC380" s="91"/>
      <c r="AD380" s="91"/>
      <c r="AE380" s="60"/>
      <c r="AF380" s="62"/>
      <c r="AG380" s="62"/>
      <c r="AH380" s="62"/>
      <c r="AI380" s="61"/>
      <c r="AJ380" s="62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14"/>
        <v>0</v>
      </c>
      <c r="Y381" s="62"/>
      <c r="Z381" s="66"/>
      <c r="AA381" s="62"/>
      <c r="AB381" s="69"/>
      <c r="AC381" s="91"/>
      <c r="AD381" s="91"/>
      <c r="AE381" s="60"/>
      <c r="AF381" s="62"/>
      <c r="AG381" s="62"/>
      <c r="AH381" s="62"/>
      <c r="AI381" s="61"/>
      <c r="AJ381" s="62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17">SUM(D382:E382)</f>
        <v>0</v>
      </c>
      <c r="H382" s="10"/>
      <c r="I382" s="10"/>
      <c r="J382" s="10"/>
      <c r="K382" s="12">
        <f t="shared" ref="K382" si="118">SUM(G382:J382)</f>
        <v>0</v>
      </c>
      <c r="M382" s="10"/>
      <c r="N382" s="30"/>
      <c r="O382" s="31"/>
      <c r="P382" s="47"/>
      <c r="Q382" s="31"/>
      <c r="R382" s="31"/>
      <c r="S382" s="32">
        <f t="shared" ref="S382" si="119">SUM(P382:Q382)</f>
        <v>0</v>
      </c>
      <c r="T382" s="10"/>
      <c r="U382" s="10"/>
      <c r="V382" s="10"/>
      <c r="W382" s="12">
        <f t="shared" si="114"/>
        <v>0</v>
      </c>
      <c r="Y382" s="62"/>
      <c r="Z382" s="66"/>
      <c r="AA382" s="91"/>
      <c r="AB382" s="69"/>
      <c r="AC382" s="91"/>
      <c r="AD382" s="91"/>
      <c r="AE382" s="60"/>
      <c r="AF382" s="62"/>
      <c r="AG382" s="62"/>
      <c r="AH382" s="62"/>
      <c r="AI382" s="61"/>
      <c r="AJ382" s="62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14"/>
        <v>0</v>
      </c>
      <c r="Y383" s="62"/>
      <c r="Z383" s="91"/>
      <c r="AA383" s="91"/>
      <c r="AB383" s="91"/>
      <c r="AC383" s="91"/>
      <c r="AD383" s="91"/>
      <c r="AE383" s="91"/>
      <c r="AF383" s="62"/>
      <c r="AG383" s="62"/>
      <c r="AH383" s="62"/>
      <c r="AI383" s="61"/>
      <c r="AJ383" s="62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Y384" s="62"/>
      <c r="Z384" s="91"/>
      <c r="AA384" s="91"/>
      <c r="AB384" s="91"/>
      <c r="AC384" s="91"/>
      <c r="AD384" s="91"/>
      <c r="AE384" s="91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250368.29</v>
      </c>
      <c r="E385" s="38">
        <f t="shared" ref="E385:F385" si="120">SUM(E342:E382)</f>
        <v>0</v>
      </c>
      <c r="F385" s="38">
        <f t="shared" si="120"/>
        <v>0</v>
      </c>
      <c r="G385" s="38">
        <f>SUM(G342:G384)</f>
        <v>250368.29</v>
      </c>
      <c r="H385" s="4"/>
      <c r="I385" s="39">
        <f>SUM(I342:I384)</f>
        <v>501</v>
      </c>
      <c r="J385" s="39">
        <f>SUM(J342:J384)</f>
        <v>0</v>
      </c>
      <c r="K385" s="40">
        <f>SUM(K342:K384)</f>
        <v>250869.29</v>
      </c>
      <c r="N385" s="57"/>
      <c r="O385" s="57"/>
      <c r="P385" s="38">
        <f>SUM(P342:P384)</f>
        <v>286636.5</v>
      </c>
      <c r="Q385" s="38">
        <f>SUM(Q342:Q366)</f>
        <v>-1200</v>
      </c>
      <c r="R385" s="38">
        <f>SUM(R342:R366)</f>
        <v>0</v>
      </c>
      <c r="S385" s="38">
        <f>SUM(S342:S384)</f>
        <v>285436.5</v>
      </c>
      <c r="T385" s="4"/>
      <c r="U385" s="41">
        <f>SUM(U342:U384)</f>
        <v>19731</v>
      </c>
      <c r="V385" s="41">
        <f>SUM(V342:V366)</f>
        <v>-5490</v>
      </c>
      <c r="W385" s="42">
        <f>SUM(W342:W384)</f>
        <v>299677.5</v>
      </c>
      <c r="Y385" s="62"/>
      <c r="Z385" s="91"/>
      <c r="AA385" s="91"/>
      <c r="AB385" s="70"/>
      <c r="AC385" s="70"/>
      <c r="AD385" s="70"/>
      <c r="AE385" s="70"/>
      <c r="AF385" s="63"/>
      <c r="AG385" s="71"/>
      <c r="AH385" s="71"/>
      <c r="AI385" s="71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45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45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45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58</v>
      </c>
      <c r="B393" s="20"/>
      <c r="C393" s="57"/>
      <c r="D393" s="57"/>
      <c r="E393" s="57"/>
      <c r="G393" s="57"/>
      <c r="I393" s="22" t="s">
        <v>16</v>
      </c>
      <c r="J393" s="23" t="s">
        <v>31</v>
      </c>
      <c r="K393" s="24"/>
      <c r="M393" s="21" t="s">
        <v>58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33</v>
      </c>
      <c r="W393" s="24"/>
      <c r="Y393" s="21" t="s">
        <v>58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34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12" t="s">
        <v>17</v>
      </c>
      <c r="E395" s="112"/>
      <c r="F395" s="98"/>
      <c r="G395" s="27"/>
      <c r="I395" s="110" t="s">
        <v>18</v>
      </c>
      <c r="J395" s="111"/>
      <c r="K395" s="108" t="s">
        <v>19</v>
      </c>
      <c r="N395" s="25"/>
      <c r="O395" s="26"/>
      <c r="P395" s="112" t="s">
        <v>17</v>
      </c>
      <c r="Q395" s="112"/>
      <c r="R395" s="98"/>
      <c r="S395" s="27"/>
      <c r="U395" s="110" t="s">
        <v>18</v>
      </c>
      <c r="V395" s="111"/>
      <c r="W395" s="108" t="s">
        <v>19</v>
      </c>
      <c r="Z395" s="25"/>
      <c r="AA395" s="26"/>
      <c r="AB395" s="112" t="s">
        <v>17</v>
      </c>
      <c r="AC395" s="112"/>
      <c r="AD395" s="98"/>
      <c r="AE395" s="27"/>
      <c r="AG395" s="110" t="s">
        <v>18</v>
      </c>
      <c r="AH395" s="111"/>
      <c r="AI395" s="108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32</v>
      </c>
      <c r="G396" s="78" t="s">
        <v>24</v>
      </c>
      <c r="I396" s="29" t="s">
        <v>25</v>
      </c>
      <c r="J396" s="29" t="s">
        <v>26</v>
      </c>
      <c r="K396" s="109"/>
      <c r="N396" s="28" t="s">
        <v>20</v>
      </c>
      <c r="O396" s="28" t="s">
        <v>21</v>
      </c>
      <c r="P396" s="77" t="s">
        <v>22</v>
      </c>
      <c r="Q396" s="78" t="s">
        <v>23</v>
      </c>
      <c r="R396" s="78" t="s">
        <v>32</v>
      </c>
      <c r="S396" s="78" t="s">
        <v>24</v>
      </c>
      <c r="U396" s="29" t="s">
        <v>25</v>
      </c>
      <c r="V396" s="29" t="s">
        <v>26</v>
      </c>
      <c r="W396" s="109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32</v>
      </c>
      <c r="AE396" s="78" t="s">
        <v>24</v>
      </c>
      <c r="AG396" s="29" t="s">
        <v>25</v>
      </c>
      <c r="AH396" s="29" t="s">
        <v>26</v>
      </c>
      <c r="AI396" s="109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 t="s">
        <v>59</v>
      </c>
      <c r="C397" s="83">
        <v>9918</v>
      </c>
      <c r="D397" s="32">
        <f>650*5</f>
        <v>3250</v>
      </c>
      <c r="E397" s="32"/>
      <c r="F397" s="32"/>
      <c r="G397" s="32">
        <f t="shared" ref="G397:G430" si="121">SUM(D397:E397)</f>
        <v>3250</v>
      </c>
      <c r="H397" s="12"/>
      <c r="I397" s="12"/>
      <c r="J397" s="12"/>
      <c r="K397" s="12">
        <f t="shared" ref="K397:K430" si="122">SUM(G397:J397)</f>
        <v>3250</v>
      </c>
      <c r="M397" s="10">
        <v>1</v>
      </c>
      <c r="N397" s="30" t="s">
        <v>59</v>
      </c>
      <c r="O397" s="31">
        <v>10091</v>
      </c>
      <c r="P397" s="32">
        <f>650*10+622*2+9.5*10</f>
        <v>7839</v>
      </c>
      <c r="Q397" s="32"/>
      <c r="R397" s="32"/>
      <c r="S397" s="32">
        <f>SUM(P397:Q397)</f>
        <v>7839</v>
      </c>
      <c r="T397" s="12"/>
      <c r="U397" s="12"/>
      <c r="V397" s="12"/>
      <c r="W397" s="12">
        <f>SUM(S397:V397)</f>
        <v>7839</v>
      </c>
      <c r="Y397" s="10">
        <v>1</v>
      </c>
      <c r="Z397" s="30" t="s">
        <v>59</v>
      </c>
      <c r="AA397" s="31">
        <v>10101</v>
      </c>
      <c r="AB397" s="32">
        <f>650*25+622*5</f>
        <v>19360</v>
      </c>
      <c r="AC397" s="32">
        <f>-30*6</f>
        <v>-180</v>
      </c>
      <c r="AD397" s="32"/>
      <c r="AE397" s="32">
        <f>SUM(AB397:AC397)</f>
        <v>19180</v>
      </c>
      <c r="AF397" s="12"/>
      <c r="AG397" s="12"/>
      <c r="AH397" s="12"/>
      <c r="AI397" s="12">
        <f>SUM(AE397:AH397)</f>
        <v>19180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 t="s">
        <v>59</v>
      </c>
      <c r="C398" s="83">
        <f>C397+1</f>
        <v>9919</v>
      </c>
      <c r="D398" s="32">
        <f>650*6+9.5*6</f>
        <v>3957</v>
      </c>
      <c r="E398" s="32"/>
      <c r="F398" s="32"/>
      <c r="G398" s="32">
        <f t="shared" si="121"/>
        <v>3957</v>
      </c>
      <c r="H398" s="12"/>
      <c r="I398" s="12"/>
      <c r="J398" s="12"/>
      <c r="K398" s="12">
        <f t="shared" si="122"/>
        <v>3957</v>
      </c>
      <c r="M398" s="10">
        <v>2</v>
      </c>
      <c r="N398" s="30" t="s">
        <v>59</v>
      </c>
      <c r="O398" s="31">
        <f>O397+1</f>
        <v>10092</v>
      </c>
      <c r="P398" s="32">
        <f>650*324+229*15</f>
        <v>214035</v>
      </c>
      <c r="Q398" s="32">
        <f>-324*6</f>
        <v>-1944</v>
      </c>
      <c r="R398" s="32"/>
      <c r="S398" s="32">
        <f t="shared" ref="S398:S435" si="123">SUM(P398:Q398)</f>
        <v>212091</v>
      </c>
      <c r="T398" s="12"/>
      <c r="U398" s="12">
        <v>936</v>
      </c>
      <c r="V398" s="12">
        <v>-504</v>
      </c>
      <c r="W398" s="12">
        <f t="shared" ref="W398:W438" si="124">SUM(S398:V398)</f>
        <v>212523</v>
      </c>
      <c r="Y398" s="10">
        <v>2</v>
      </c>
      <c r="Z398" s="30" t="s">
        <v>59</v>
      </c>
      <c r="AA398" s="31">
        <f>AA397+1</f>
        <v>10102</v>
      </c>
      <c r="AB398" s="32">
        <f>650*132+670*5+622*44+229*3</f>
        <v>117205</v>
      </c>
      <c r="AC398" s="32">
        <f>-181*6</f>
        <v>-1086</v>
      </c>
      <c r="AD398" s="32"/>
      <c r="AE398" s="32">
        <f t="shared" ref="AE398:AE400" si="125">SUM(AB398:AC398)</f>
        <v>116119</v>
      </c>
      <c r="AF398" s="12"/>
      <c r="AG398" s="12">
        <v>234</v>
      </c>
      <c r="AH398" s="12">
        <v>-252</v>
      </c>
      <c r="AI398" s="12">
        <f t="shared" ref="AI398:AI429" si="126">SUM(AE398:AH398)</f>
        <v>116101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 t="s">
        <v>59</v>
      </c>
      <c r="C399" s="83">
        <f t="shared" ref="C399:C405" si="127">C398+1</f>
        <v>9920</v>
      </c>
      <c r="D399" s="33">
        <f>650*15</f>
        <v>9750</v>
      </c>
      <c r="E399" s="32"/>
      <c r="F399" s="33"/>
      <c r="G399" s="33">
        <f t="shared" si="121"/>
        <v>9750</v>
      </c>
      <c r="H399" s="34"/>
      <c r="I399" s="34"/>
      <c r="J399" s="34"/>
      <c r="K399" s="34">
        <f t="shared" si="122"/>
        <v>9750</v>
      </c>
      <c r="M399" s="10">
        <v>3</v>
      </c>
      <c r="N399" s="30" t="s">
        <v>59</v>
      </c>
      <c r="O399" s="31">
        <f t="shared" ref="O399:O401" si="128">O398+1</f>
        <v>10093</v>
      </c>
      <c r="P399" s="32">
        <f>650*14</f>
        <v>9100</v>
      </c>
      <c r="Q399" s="32"/>
      <c r="R399" s="32"/>
      <c r="S399" s="32">
        <f t="shared" si="123"/>
        <v>9100</v>
      </c>
      <c r="T399" s="12"/>
      <c r="U399" s="12">
        <v>27</v>
      </c>
      <c r="V399" s="12"/>
      <c r="W399" s="12">
        <f t="shared" si="124"/>
        <v>9127</v>
      </c>
      <c r="Y399" s="10">
        <v>3</v>
      </c>
      <c r="Z399" s="30" t="s">
        <v>59</v>
      </c>
      <c r="AA399" s="31">
        <f t="shared" ref="AA399:AA402" si="129">AA398+1</f>
        <v>10103</v>
      </c>
      <c r="AB399" s="33">
        <f>650*70+622*8+872</f>
        <v>51348</v>
      </c>
      <c r="AC399" s="33"/>
      <c r="AD399" s="32"/>
      <c r="AE399" s="32">
        <f t="shared" si="125"/>
        <v>51348</v>
      </c>
      <c r="AF399" s="12"/>
      <c r="AG399" s="12"/>
      <c r="AH399" s="12"/>
      <c r="AI399" s="12">
        <f t="shared" si="126"/>
        <v>51348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 t="s">
        <v>59</v>
      </c>
      <c r="C400" s="83">
        <f t="shared" si="127"/>
        <v>9921</v>
      </c>
      <c r="D400" s="32">
        <f>650*11</f>
        <v>7150</v>
      </c>
      <c r="E400" s="32"/>
      <c r="F400" s="32"/>
      <c r="G400" s="32">
        <f t="shared" si="121"/>
        <v>7150</v>
      </c>
      <c r="H400" s="12"/>
      <c r="I400" s="12"/>
      <c r="J400" s="12"/>
      <c r="K400" s="12">
        <f t="shared" si="122"/>
        <v>7150</v>
      </c>
      <c r="M400" s="10">
        <v>4</v>
      </c>
      <c r="N400" s="30" t="s">
        <v>59</v>
      </c>
      <c r="O400" s="31">
        <f t="shared" si="128"/>
        <v>10094</v>
      </c>
      <c r="P400" s="32">
        <f>650*19+622*10+872</f>
        <v>19442</v>
      </c>
      <c r="Q400" s="32"/>
      <c r="R400" s="32"/>
      <c r="S400" s="32">
        <f t="shared" si="123"/>
        <v>19442</v>
      </c>
      <c r="T400" s="12"/>
      <c r="U400" s="12">
        <v>36</v>
      </c>
      <c r="V400" s="12"/>
      <c r="W400" s="12">
        <f t="shared" si="124"/>
        <v>19478</v>
      </c>
      <c r="Y400" s="10">
        <v>4</v>
      </c>
      <c r="Z400" s="30" t="s">
        <v>59</v>
      </c>
      <c r="AA400" s="31">
        <f t="shared" si="129"/>
        <v>10104</v>
      </c>
      <c r="AB400" s="32">
        <f>650*100+670*9+229*4</f>
        <v>71946</v>
      </c>
      <c r="AC400" s="32">
        <f>-109*6</f>
        <v>-654</v>
      </c>
      <c r="AD400" s="32"/>
      <c r="AE400" s="32">
        <f t="shared" si="125"/>
        <v>71292</v>
      </c>
      <c r="AF400" s="12"/>
      <c r="AH400" s="12"/>
      <c r="AI400" s="12">
        <f t="shared" si="126"/>
        <v>71292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 t="s">
        <v>59</v>
      </c>
      <c r="C401" s="83">
        <f t="shared" si="127"/>
        <v>9922</v>
      </c>
      <c r="D401" s="32">
        <f>650*23</f>
        <v>14950</v>
      </c>
      <c r="E401" s="32"/>
      <c r="F401" s="32"/>
      <c r="G401" s="32">
        <f t="shared" si="121"/>
        <v>14950</v>
      </c>
      <c r="H401" s="12"/>
      <c r="I401" s="12"/>
      <c r="J401" s="12"/>
      <c r="K401" s="12">
        <f t="shared" si="122"/>
        <v>14950</v>
      </c>
      <c r="M401" s="10">
        <v>5</v>
      </c>
      <c r="N401" s="30" t="s">
        <v>59</v>
      </c>
      <c r="O401" s="31">
        <f t="shared" si="128"/>
        <v>10095</v>
      </c>
      <c r="P401" s="32">
        <f>650*8+622+872*3+9.5*2</f>
        <v>8457</v>
      </c>
      <c r="Q401" s="32"/>
      <c r="R401" s="32"/>
      <c r="S401" s="32">
        <f t="shared" si="123"/>
        <v>8457</v>
      </c>
      <c r="T401" s="12"/>
      <c r="U401" s="12"/>
      <c r="V401" s="12">
        <v>-444</v>
      </c>
      <c r="W401" s="12">
        <f t="shared" si="124"/>
        <v>8013</v>
      </c>
      <c r="Y401" s="10">
        <v>5</v>
      </c>
      <c r="Z401" s="30" t="s">
        <v>59</v>
      </c>
      <c r="AA401" s="31">
        <f t="shared" si="129"/>
        <v>10105</v>
      </c>
      <c r="AB401" s="32">
        <f>650*10</f>
        <v>6500</v>
      </c>
      <c r="AC401" s="32"/>
      <c r="AD401" s="32"/>
      <c r="AE401" s="32">
        <f t="shared" ref="AE401:AE402" si="130">SUM(AB401:AC401)</f>
        <v>6500</v>
      </c>
      <c r="AF401" s="12"/>
      <c r="AG401" s="12"/>
      <c r="AH401" s="12"/>
      <c r="AI401" s="12">
        <f t="shared" si="126"/>
        <v>6500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 t="s">
        <v>59</v>
      </c>
      <c r="C402" s="83">
        <f t="shared" si="127"/>
        <v>9923</v>
      </c>
      <c r="D402" s="32">
        <f>650*5+9.5*5</f>
        <v>3297.5</v>
      </c>
      <c r="E402" s="32"/>
      <c r="F402" s="32"/>
      <c r="G402" s="32">
        <f t="shared" si="121"/>
        <v>3297.5</v>
      </c>
      <c r="H402" s="12"/>
      <c r="I402" s="12"/>
      <c r="J402" s="12"/>
      <c r="K402" s="12">
        <f t="shared" si="122"/>
        <v>3297.5</v>
      </c>
      <c r="M402" s="10">
        <v>6</v>
      </c>
      <c r="N402" s="30"/>
      <c r="O402" s="11" t="s">
        <v>27</v>
      </c>
      <c r="P402" s="32"/>
      <c r="Q402" s="32"/>
      <c r="R402" s="32"/>
      <c r="S402" s="32">
        <f t="shared" si="123"/>
        <v>0</v>
      </c>
      <c r="T402" s="12"/>
      <c r="U402" s="12"/>
      <c r="V402" s="10"/>
      <c r="W402" s="12">
        <f t="shared" si="124"/>
        <v>0</v>
      </c>
      <c r="Y402" s="10">
        <v>6</v>
      </c>
      <c r="Z402" s="30" t="s">
        <v>59</v>
      </c>
      <c r="AA402" s="31">
        <f t="shared" si="129"/>
        <v>10106</v>
      </c>
      <c r="AB402" s="32">
        <f>650*21+229</f>
        <v>13879</v>
      </c>
      <c r="AC402" s="32"/>
      <c r="AD402" s="32"/>
      <c r="AE402" s="32">
        <f t="shared" si="130"/>
        <v>13879</v>
      </c>
      <c r="AF402" s="12"/>
      <c r="AG402" s="12"/>
      <c r="AH402" s="10"/>
      <c r="AI402" s="12">
        <f t="shared" si="126"/>
        <v>13879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 t="s">
        <v>59</v>
      </c>
      <c r="C403" s="83">
        <f t="shared" si="127"/>
        <v>9924</v>
      </c>
      <c r="D403" s="32">
        <f>650*30</f>
        <v>19500</v>
      </c>
      <c r="E403" s="32"/>
      <c r="F403" s="32"/>
      <c r="G403" s="32">
        <f t="shared" si="121"/>
        <v>19500</v>
      </c>
      <c r="H403" s="12"/>
      <c r="I403" s="12"/>
      <c r="J403" s="12"/>
      <c r="K403" s="12">
        <f t="shared" si="122"/>
        <v>19500</v>
      </c>
      <c r="M403" s="10">
        <v>7</v>
      </c>
      <c r="N403" s="30"/>
      <c r="O403" s="31"/>
      <c r="P403" s="32"/>
      <c r="Q403" s="32"/>
      <c r="R403" s="32"/>
      <c r="S403" s="32">
        <f t="shared" si="123"/>
        <v>0</v>
      </c>
      <c r="T403" s="12"/>
      <c r="U403" s="12"/>
      <c r="V403" s="12"/>
      <c r="W403" s="12">
        <f t="shared" si="124"/>
        <v>0</v>
      </c>
      <c r="Y403" s="10">
        <v>7</v>
      </c>
      <c r="Z403" s="30"/>
      <c r="AA403" s="11" t="s">
        <v>27</v>
      </c>
      <c r="AB403" s="32"/>
      <c r="AC403" s="32"/>
      <c r="AD403" s="32"/>
      <c r="AE403" s="32">
        <f>SUM(AB403:AC403)</f>
        <v>0</v>
      </c>
      <c r="AF403" s="12"/>
      <c r="AG403" s="58"/>
      <c r="AH403" s="12"/>
      <c r="AI403" s="12">
        <f t="shared" si="126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 t="s">
        <v>59</v>
      </c>
      <c r="C404" s="83">
        <f t="shared" si="127"/>
        <v>9925</v>
      </c>
      <c r="D404" s="32">
        <f>650*5</f>
        <v>3250</v>
      </c>
      <c r="E404" s="32"/>
      <c r="F404" s="32"/>
      <c r="G404" s="32">
        <f t="shared" si="121"/>
        <v>3250</v>
      </c>
      <c r="H404" s="12"/>
      <c r="I404" s="12"/>
      <c r="J404" s="12"/>
      <c r="K404" s="12">
        <f t="shared" si="122"/>
        <v>3250</v>
      </c>
      <c r="M404" s="10">
        <v>8</v>
      </c>
      <c r="N404" s="30"/>
      <c r="O404" s="31"/>
      <c r="P404" s="32"/>
      <c r="Q404" s="32"/>
      <c r="R404" s="32"/>
      <c r="S404" s="32">
        <f t="shared" si="123"/>
        <v>0</v>
      </c>
      <c r="T404" s="12"/>
      <c r="U404" s="12"/>
      <c r="V404" s="12"/>
      <c r="W404" s="12">
        <f t="shared" si="124"/>
        <v>0</v>
      </c>
      <c r="Y404" s="10">
        <v>8</v>
      </c>
      <c r="Z404" s="30"/>
      <c r="AA404" s="31"/>
      <c r="AB404" s="32"/>
      <c r="AC404" s="32"/>
      <c r="AE404" s="32">
        <f t="shared" ref="AE404:AE435" si="131">SUM(AB404:AC404)</f>
        <v>0</v>
      </c>
      <c r="AF404" s="12"/>
      <c r="AG404" s="12"/>
      <c r="AH404" s="12"/>
      <c r="AI404" s="12">
        <f t="shared" si="126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 t="s">
        <v>59</v>
      </c>
      <c r="C405" s="83">
        <f t="shared" si="127"/>
        <v>9926</v>
      </c>
      <c r="D405" s="32">
        <f>650*216</f>
        <v>140400</v>
      </c>
      <c r="E405" s="32">
        <f>-216*6</f>
        <v>-1296</v>
      </c>
      <c r="F405" s="32"/>
      <c r="G405" s="32">
        <f t="shared" si="121"/>
        <v>139104</v>
      </c>
      <c r="H405" s="12"/>
      <c r="I405" s="12"/>
      <c r="J405" s="12">
        <f>-120*9+-132*111+-84*3+-4.5*2+-1.5*5</f>
        <v>-16000.5</v>
      </c>
      <c r="K405" s="12">
        <f t="shared" si="122"/>
        <v>123103.5</v>
      </c>
      <c r="M405" s="10">
        <v>9</v>
      </c>
      <c r="N405" s="30"/>
      <c r="O405" s="31"/>
      <c r="P405" s="32"/>
      <c r="Q405" s="32"/>
      <c r="R405" s="32"/>
      <c r="S405" s="32">
        <f t="shared" si="123"/>
        <v>0</v>
      </c>
      <c r="T405" s="12"/>
      <c r="U405" s="12"/>
      <c r="V405" s="12"/>
      <c r="W405" s="12">
        <f t="shared" si="124"/>
        <v>0</v>
      </c>
      <c r="Y405" s="10">
        <v>9</v>
      </c>
      <c r="Z405" s="30"/>
      <c r="AA405" s="31"/>
      <c r="AB405" s="32"/>
      <c r="AC405" s="32"/>
      <c r="AD405" s="32"/>
      <c r="AE405" s="32">
        <f t="shared" si="131"/>
        <v>0</v>
      </c>
      <c r="AF405" s="12"/>
      <c r="AH405" s="12"/>
      <c r="AI405" s="12">
        <f t="shared" si="126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/>
      <c r="C406" s="11" t="s">
        <v>27</v>
      </c>
      <c r="D406" s="32"/>
      <c r="E406" s="32"/>
      <c r="F406" s="32"/>
      <c r="G406" s="32">
        <f t="shared" si="121"/>
        <v>0</v>
      </c>
      <c r="H406" s="12"/>
      <c r="I406" s="12"/>
      <c r="J406" s="12"/>
      <c r="K406" s="12">
        <f t="shared" si="122"/>
        <v>0</v>
      </c>
      <c r="M406" s="10">
        <v>10</v>
      </c>
      <c r="N406" s="30"/>
      <c r="O406" s="31"/>
      <c r="P406" s="32"/>
      <c r="Q406" s="32"/>
      <c r="R406" s="32"/>
      <c r="S406" s="32">
        <f t="shared" si="123"/>
        <v>0</v>
      </c>
      <c r="T406" s="12"/>
      <c r="U406" s="12"/>
      <c r="V406" s="12"/>
      <c r="W406" s="12">
        <f t="shared" si="124"/>
        <v>0</v>
      </c>
      <c r="Y406" s="10">
        <v>10</v>
      </c>
      <c r="Z406" s="30"/>
      <c r="AA406" s="31"/>
      <c r="AB406" s="32"/>
      <c r="AC406" s="32"/>
      <c r="AD406" s="32"/>
      <c r="AE406" s="32">
        <f t="shared" si="131"/>
        <v>0</v>
      </c>
      <c r="AF406" s="12"/>
      <c r="AG406" s="12"/>
      <c r="AH406" s="12"/>
      <c r="AI406" s="12">
        <f t="shared" si="126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/>
      <c r="C407" s="83"/>
      <c r="D407" s="32"/>
      <c r="E407" s="32"/>
      <c r="F407" s="32"/>
      <c r="G407" s="32">
        <f t="shared" si="121"/>
        <v>0</v>
      </c>
      <c r="H407" s="12"/>
      <c r="I407" s="12"/>
      <c r="J407" s="12"/>
      <c r="K407" s="12">
        <f t="shared" si="122"/>
        <v>0</v>
      </c>
      <c r="M407" s="10">
        <v>11</v>
      </c>
      <c r="N407" s="30"/>
      <c r="O407" s="11"/>
      <c r="P407" s="32"/>
      <c r="Q407" s="32"/>
      <c r="R407" s="32"/>
      <c r="S407" s="32">
        <f t="shared" si="123"/>
        <v>0</v>
      </c>
      <c r="T407" s="12"/>
      <c r="U407" s="12"/>
      <c r="V407" s="12"/>
      <c r="W407" s="12">
        <f t="shared" si="124"/>
        <v>0</v>
      </c>
      <c r="Y407" s="10">
        <v>11</v>
      </c>
      <c r="Z407" s="30"/>
      <c r="AA407" s="31"/>
      <c r="AB407" s="32"/>
      <c r="AC407" s="32"/>
      <c r="AD407" s="32"/>
      <c r="AE407" s="32">
        <f t="shared" si="131"/>
        <v>0</v>
      </c>
      <c r="AF407" s="12"/>
      <c r="AG407" s="12"/>
      <c r="AH407" s="12"/>
      <c r="AI407" s="12">
        <f t="shared" si="126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/>
      <c r="C408" s="83"/>
      <c r="D408" s="32"/>
      <c r="E408" s="32"/>
      <c r="F408" s="32"/>
      <c r="G408" s="32">
        <f t="shared" si="121"/>
        <v>0</v>
      </c>
      <c r="H408" s="12"/>
      <c r="I408" s="12"/>
      <c r="J408" s="10"/>
      <c r="K408" s="12">
        <f t="shared" si="122"/>
        <v>0</v>
      </c>
      <c r="M408" s="10">
        <v>12</v>
      </c>
      <c r="N408" s="30"/>
      <c r="O408" s="31"/>
      <c r="P408" s="32"/>
      <c r="Q408" s="32"/>
      <c r="R408" s="32"/>
      <c r="S408" s="32">
        <f t="shared" si="123"/>
        <v>0</v>
      </c>
      <c r="T408" s="12"/>
      <c r="U408" s="12"/>
      <c r="V408" s="12"/>
      <c r="W408" s="12">
        <f t="shared" si="124"/>
        <v>0</v>
      </c>
      <c r="Y408" s="10">
        <v>12</v>
      </c>
      <c r="Z408" s="30"/>
      <c r="AA408" s="11"/>
      <c r="AB408" s="32"/>
      <c r="AC408" s="32"/>
      <c r="AD408" s="32"/>
      <c r="AE408" s="32">
        <f t="shared" si="131"/>
        <v>0</v>
      </c>
      <c r="AF408" s="12"/>
      <c r="AG408" s="12"/>
      <c r="AH408" s="12"/>
      <c r="AI408" s="12">
        <f t="shared" si="126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/>
      <c r="C409" s="83"/>
      <c r="D409" s="32"/>
      <c r="E409" s="32"/>
      <c r="F409" s="32"/>
      <c r="G409" s="32">
        <f t="shared" si="121"/>
        <v>0</v>
      </c>
      <c r="H409" s="12"/>
      <c r="I409" s="12"/>
      <c r="J409" s="12"/>
      <c r="K409" s="12">
        <f t="shared" si="122"/>
        <v>0</v>
      </c>
      <c r="M409" s="10">
        <v>13</v>
      </c>
      <c r="N409" s="30"/>
      <c r="O409" s="31"/>
      <c r="P409" s="32"/>
      <c r="Q409" s="32"/>
      <c r="R409" s="32"/>
      <c r="S409" s="32">
        <f t="shared" si="123"/>
        <v>0</v>
      </c>
      <c r="T409" s="12"/>
      <c r="U409" s="12"/>
      <c r="V409" s="12"/>
      <c r="W409" s="12">
        <f t="shared" si="124"/>
        <v>0</v>
      </c>
      <c r="Y409" s="10">
        <v>13</v>
      </c>
      <c r="Z409" s="30"/>
      <c r="AA409" s="31"/>
      <c r="AB409" s="32"/>
      <c r="AC409" s="32"/>
      <c r="AD409" s="32"/>
      <c r="AE409" s="32">
        <f t="shared" si="131"/>
        <v>0</v>
      </c>
      <c r="AF409" s="12"/>
      <c r="AG409" s="12"/>
      <c r="AH409" s="12"/>
      <c r="AI409" s="12">
        <f t="shared" si="126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83"/>
      <c r="D410" s="32"/>
      <c r="E410" s="32"/>
      <c r="F410" s="32"/>
      <c r="G410" s="32">
        <f t="shared" si="121"/>
        <v>0</v>
      </c>
      <c r="H410" s="12"/>
      <c r="I410" s="12"/>
      <c r="J410" s="12"/>
      <c r="K410" s="12">
        <f t="shared" si="122"/>
        <v>0</v>
      </c>
      <c r="M410" s="10">
        <v>14</v>
      </c>
      <c r="N410" s="30"/>
      <c r="O410" s="31"/>
      <c r="P410" s="32"/>
      <c r="Q410" s="32"/>
      <c r="R410" s="32"/>
      <c r="S410" s="32">
        <f t="shared" si="123"/>
        <v>0</v>
      </c>
      <c r="T410" s="12"/>
      <c r="U410" s="12"/>
      <c r="V410" s="12"/>
      <c r="W410" s="12">
        <f t="shared" si="124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31"/>
        <v>0</v>
      </c>
      <c r="AF410" s="12"/>
      <c r="AG410" s="12"/>
      <c r="AH410" s="12"/>
      <c r="AI410" s="12">
        <f t="shared" si="126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3"/>
      <c r="D411" s="32"/>
      <c r="E411" s="32"/>
      <c r="F411" s="32"/>
      <c r="G411" s="32">
        <f t="shared" si="121"/>
        <v>0</v>
      </c>
      <c r="H411" s="12"/>
      <c r="I411" s="12"/>
      <c r="J411" s="12"/>
      <c r="K411" s="12">
        <f t="shared" si="122"/>
        <v>0</v>
      </c>
      <c r="M411" s="10">
        <v>15</v>
      </c>
      <c r="N411" s="30"/>
      <c r="O411" s="31"/>
      <c r="P411" s="32"/>
      <c r="Q411" s="32"/>
      <c r="R411" s="32"/>
      <c r="S411" s="32">
        <f t="shared" si="123"/>
        <v>0</v>
      </c>
      <c r="T411" s="12"/>
      <c r="U411" s="12"/>
      <c r="V411" s="12"/>
      <c r="W411" s="12">
        <f t="shared" si="124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31"/>
        <v>0</v>
      </c>
      <c r="AF411" s="12"/>
      <c r="AG411" s="12"/>
      <c r="AH411" s="12"/>
      <c r="AI411" s="12">
        <f t="shared" si="126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83"/>
      <c r="D412" s="32"/>
      <c r="E412" s="32"/>
      <c r="F412" s="32"/>
      <c r="G412" s="32">
        <f t="shared" si="121"/>
        <v>0</v>
      </c>
      <c r="H412" s="12"/>
      <c r="I412" s="12"/>
      <c r="J412" s="12"/>
      <c r="K412" s="12">
        <f t="shared" si="122"/>
        <v>0</v>
      </c>
      <c r="M412" s="10">
        <v>16</v>
      </c>
      <c r="N412" s="30"/>
      <c r="O412" s="11"/>
      <c r="P412" s="32"/>
      <c r="Q412" s="32"/>
      <c r="R412" s="32"/>
      <c r="S412" s="32">
        <f t="shared" si="123"/>
        <v>0</v>
      </c>
      <c r="T412" s="12"/>
      <c r="U412" s="12"/>
      <c r="V412" s="12"/>
      <c r="W412" s="12">
        <f t="shared" si="124"/>
        <v>0</v>
      </c>
      <c r="Y412" s="10">
        <v>16</v>
      </c>
      <c r="AA412" s="11"/>
      <c r="AB412" s="32"/>
      <c r="AC412" s="32"/>
      <c r="AD412" s="32"/>
      <c r="AE412" s="32">
        <f t="shared" si="131"/>
        <v>0</v>
      </c>
      <c r="AF412" s="12"/>
      <c r="AG412" s="12"/>
      <c r="AH412" s="12"/>
      <c r="AI412" s="12">
        <f t="shared" si="126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3"/>
      <c r="D413" s="32"/>
      <c r="E413" s="32"/>
      <c r="F413" s="32"/>
      <c r="G413" s="32">
        <f t="shared" si="121"/>
        <v>0</v>
      </c>
      <c r="H413" s="12"/>
      <c r="I413" s="12"/>
      <c r="J413" s="12"/>
      <c r="K413" s="12">
        <f t="shared" si="122"/>
        <v>0</v>
      </c>
      <c r="M413" s="10">
        <v>17</v>
      </c>
      <c r="N413" s="30"/>
      <c r="O413" s="31"/>
      <c r="P413" s="35"/>
      <c r="Q413" s="32"/>
      <c r="R413" s="32"/>
      <c r="S413" s="32">
        <f t="shared" si="123"/>
        <v>0</v>
      </c>
      <c r="T413" s="12"/>
      <c r="U413" s="12"/>
      <c r="V413" s="12"/>
      <c r="W413" s="12">
        <f t="shared" si="124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31"/>
        <v>0</v>
      </c>
      <c r="AF413" s="12"/>
      <c r="AG413" s="12"/>
      <c r="AH413" s="12"/>
      <c r="AI413" s="12">
        <f t="shared" si="126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83"/>
      <c r="D414" s="32"/>
      <c r="E414" s="32"/>
      <c r="F414" s="32"/>
      <c r="G414" s="32">
        <f t="shared" si="121"/>
        <v>0</v>
      </c>
      <c r="H414" s="12"/>
      <c r="I414" s="12"/>
      <c r="J414" s="12"/>
      <c r="K414" s="12">
        <f t="shared" si="122"/>
        <v>0</v>
      </c>
      <c r="M414" s="10">
        <v>18</v>
      </c>
      <c r="N414" s="30"/>
      <c r="O414" s="31"/>
      <c r="P414" s="32"/>
      <c r="Q414" s="32"/>
      <c r="R414" s="32"/>
      <c r="S414" s="32">
        <f t="shared" si="123"/>
        <v>0</v>
      </c>
      <c r="T414" s="12"/>
      <c r="U414" s="12"/>
      <c r="V414" s="12"/>
      <c r="W414" s="12">
        <f t="shared" si="124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31"/>
        <v>0</v>
      </c>
      <c r="AF414" s="12"/>
      <c r="AG414" s="12"/>
      <c r="AH414" s="12"/>
      <c r="AI414" s="12">
        <f t="shared" si="126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3"/>
      <c r="D415" s="32"/>
      <c r="E415" s="32"/>
      <c r="F415" s="32"/>
      <c r="G415" s="32">
        <f t="shared" si="121"/>
        <v>0</v>
      </c>
      <c r="H415" s="12"/>
      <c r="I415" s="12"/>
      <c r="J415" s="12"/>
      <c r="K415" s="12">
        <f t="shared" si="122"/>
        <v>0</v>
      </c>
      <c r="M415" s="10">
        <v>19</v>
      </c>
      <c r="N415" s="30"/>
      <c r="O415" s="31"/>
      <c r="P415" s="32"/>
      <c r="Q415" s="32"/>
      <c r="R415" s="32"/>
      <c r="S415" s="32">
        <f t="shared" si="123"/>
        <v>0</v>
      </c>
      <c r="T415" s="12"/>
      <c r="U415" s="12"/>
      <c r="V415" s="12"/>
      <c r="W415" s="12">
        <f t="shared" si="124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31"/>
        <v>0</v>
      </c>
      <c r="AF415" s="12"/>
      <c r="AG415" s="12"/>
      <c r="AH415" s="12"/>
      <c r="AI415" s="12">
        <f t="shared" si="126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3"/>
      <c r="D416" s="32"/>
      <c r="E416" s="32"/>
      <c r="F416" s="32"/>
      <c r="G416" s="32">
        <f t="shared" si="121"/>
        <v>0</v>
      </c>
      <c r="H416" s="12"/>
      <c r="I416" s="12"/>
      <c r="J416" s="12"/>
      <c r="K416" s="12">
        <f t="shared" si="122"/>
        <v>0</v>
      </c>
      <c r="M416" s="10">
        <v>20</v>
      </c>
      <c r="N416" s="30"/>
      <c r="O416" s="31"/>
      <c r="P416" s="32"/>
      <c r="Q416" s="32"/>
      <c r="R416" s="32"/>
      <c r="S416" s="32">
        <f t="shared" si="123"/>
        <v>0</v>
      </c>
      <c r="T416" s="12"/>
      <c r="U416" s="12"/>
      <c r="V416" s="12"/>
      <c r="W416" s="12">
        <f t="shared" si="124"/>
        <v>0</v>
      </c>
      <c r="Y416" s="10">
        <v>20</v>
      </c>
      <c r="Z416" s="30"/>
      <c r="AB416" s="32"/>
      <c r="AC416" s="32"/>
      <c r="AD416" s="32"/>
      <c r="AE416" s="32">
        <f t="shared" si="131"/>
        <v>0</v>
      </c>
      <c r="AF416" s="12"/>
      <c r="AG416" s="12"/>
      <c r="AH416" s="12"/>
      <c r="AI416" s="12">
        <f t="shared" si="126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83"/>
      <c r="D417" s="32"/>
      <c r="E417" s="32"/>
      <c r="F417" s="32"/>
      <c r="G417" s="32">
        <f t="shared" si="121"/>
        <v>0</v>
      </c>
      <c r="H417" s="10"/>
      <c r="I417" s="10"/>
      <c r="J417" s="10"/>
      <c r="K417" s="12">
        <f t="shared" si="122"/>
        <v>0</v>
      </c>
      <c r="M417" s="10">
        <v>21</v>
      </c>
      <c r="N417" s="30"/>
      <c r="O417" s="11"/>
      <c r="P417" s="46"/>
      <c r="Q417" s="31"/>
      <c r="R417" s="31"/>
      <c r="S417" s="32">
        <f t="shared" si="123"/>
        <v>0</v>
      </c>
      <c r="T417" s="10"/>
      <c r="U417" s="10"/>
      <c r="V417" s="10"/>
      <c r="W417" s="12">
        <f t="shared" si="124"/>
        <v>0</v>
      </c>
      <c r="Y417" s="10">
        <v>21</v>
      </c>
      <c r="Z417" s="30"/>
      <c r="AA417" s="31"/>
      <c r="AB417" s="46"/>
      <c r="AC417" s="31"/>
      <c r="AD417" s="31"/>
      <c r="AE417" s="32">
        <f t="shared" si="131"/>
        <v>0</v>
      </c>
      <c r="AF417" s="10"/>
      <c r="AG417" s="10"/>
      <c r="AH417" s="10"/>
      <c r="AI417" s="12">
        <f t="shared" si="126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3"/>
      <c r="D418" s="32"/>
      <c r="E418" s="32"/>
      <c r="F418" s="32"/>
      <c r="G418" s="32">
        <f t="shared" si="121"/>
        <v>0</v>
      </c>
      <c r="H418" s="10"/>
      <c r="I418" s="10"/>
      <c r="J418" s="10"/>
      <c r="K418" s="12">
        <f t="shared" si="122"/>
        <v>0</v>
      </c>
      <c r="M418" s="10">
        <v>22</v>
      </c>
      <c r="N418" s="30"/>
      <c r="O418" s="31"/>
      <c r="P418" s="45"/>
      <c r="Q418" s="31"/>
      <c r="R418" s="31"/>
      <c r="S418" s="32">
        <f t="shared" si="123"/>
        <v>0</v>
      </c>
      <c r="T418" s="10"/>
      <c r="U418" s="10"/>
      <c r="V418" s="10"/>
      <c r="W418" s="12">
        <f t="shared" si="124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31"/>
        <v>0</v>
      </c>
      <c r="AF418" s="10"/>
      <c r="AG418" s="10"/>
      <c r="AH418" s="10"/>
      <c r="AI418" s="12">
        <f t="shared" si="126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11"/>
      <c r="D419" s="32"/>
      <c r="E419" s="32"/>
      <c r="F419" s="32"/>
      <c r="G419" s="32">
        <f t="shared" si="121"/>
        <v>0</v>
      </c>
      <c r="H419" s="10"/>
      <c r="I419" s="10"/>
      <c r="J419" s="12"/>
      <c r="K419" s="12">
        <f t="shared" si="122"/>
        <v>0</v>
      </c>
      <c r="M419" s="10">
        <v>23</v>
      </c>
      <c r="N419" s="30"/>
      <c r="O419" s="31"/>
      <c r="P419" s="47"/>
      <c r="S419" s="32">
        <f t="shared" si="123"/>
        <v>0</v>
      </c>
      <c r="T419" s="10"/>
      <c r="U419" s="10"/>
      <c r="V419" s="10"/>
      <c r="W419" s="12">
        <f t="shared" si="124"/>
        <v>0</v>
      </c>
      <c r="Y419" s="10">
        <v>23</v>
      </c>
      <c r="Z419" s="30"/>
      <c r="AA419" s="31"/>
      <c r="AB419" s="47"/>
      <c r="AE419" s="32">
        <f t="shared" si="131"/>
        <v>0</v>
      </c>
      <c r="AF419" s="10"/>
      <c r="AG419" s="10"/>
      <c r="AH419" s="10"/>
      <c r="AI419" s="12">
        <f t="shared" si="126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3"/>
      <c r="D420" s="32"/>
      <c r="E420" s="32"/>
      <c r="F420" s="32"/>
      <c r="G420" s="32">
        <f t="shared" si="121"/>
        <v>0</v>
      </c>
      <c r="H420" s="10"/>
      <c r="I420" s="10"/>
      <c r="J420" s="10"/>
      <c r="K420" s="12">
        <f t="shared" si="122"/>
        <v>0</v>
      </c>
      <c r="M420" s="10">
        <v>24</v>
      </c>
      <c r="N420" s="30"/>
      <c r="O420" s="31"/>
      <c r="P420" s="47"/>
      <c r="Q420" s="31"/>
      <c r="R420" s="31"/>
      <c r="S420" s="32">
        <f t="shared" si="123"/>
        <v>0</v>
      </c>
      <c r="T420" s="10"/>
      <c r="U420" s="10"/>
      <c r="V420" s="10"/>
      <c r="W420" s="12">
        <f t="shared" si="124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31"/>
        <v>0</v>
      </c>
      <c r="AF420" s="10"/>
      <c r="AG420" s="10"/>
      <c r="AH420" s="10"/>
      <c r="AI420" s="12">
        <f t="shared" si="126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3"/>
      <c r="D421" s="32"/>
      <c r="E421" s="32"/>
      <c r="F421" s="32"/>
      <c r="G421" s="32">
        <f t="shared" si="121"/>
        <v>0</v>
      </c>
      <c r="H421" s="10"/>
      <c r="I421" s="10"/>
      <c r="J421" s="10"/>
      <c r="K421" s="12">
        <f t="shared" si="122"/>
        <v>0</v>
      </c>
      <c r="M421" s="10">
        <v>25</v>
      </c>
      <c r="N421" s="30"/>
      <c r="O421" s="31"/>
      <c r="P421" s="47"/>
      <c r="Q421" s="31"/>
      <c r="R421" s="31"/>
      <c r="S421" s="32">
        <f t="shared" si="123"/>
        <v>0</v>
      </c>
      <c r="T421" s="10"/>
      <c r="U421" s="10"/>
      <c r="V421" s="10"/>
      <c r="W421" s="12">
        <f t="shared" si="124"/>
        <v>0</v>
      </c>
      <c r="Y421" s="10">
        <v>25</v>
      </c>
      <c r="Z421" s="30"/>
      <c r="AA421" s="31"/>
      <c r="AB421" s="47"/>
      <c r="AC421" s="31"/>
      <c r="AD421" s="31"/>
      <c r="AE421" s="32">
        <f t="shared" si="131"/>
        <v>0</v>
      </c>
      <c r="AF421" s="10"/>
      <c r="AG421" s="10"/>
      <c r="AH421" s="10"/>
      <c r="AI421" s="12">
        <f t="shared" si="126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3"/>
      <c r="D422" s="32"/>
      <c r="E422" s="32"/>
      <c r="F422" s="32"/>
      <c r="G422" s="32">
        <f t="shared" si="121"/>
        <v>0</v>
      </c>
      <c r="H422" s="10"/>
      <c r="I422" s="10"/>
      <c r="J422" s="10"/>
      <c r="K422" s="12">
        <f t="shared" si="122"/>
        <v>0</v>
      </c>
      <c r="M422" s="10">
        <v>26</v>
      </c>
      <c r="N422" s="30"/>
      <c r="O422" s="31"/>
      <c r="P422" s="47"/>
      <c r="Q422" s="31"/>
      <c r="R422" s="31"/>
      <c r="S422" s="32">
        <f t="shared" si="123"/>
        <v>0</v>
      </c>
      <c r="T422" s="10"/>
      <c r="U422" s="10"/>
      <c r="V422" s="10"/>
      <c r="W422" s="12">
        <f t="shared" si="124"/>
        <v>0</v>
      </c>
      <c r="Y422" s="10">
        <v>26</v>
      </c>
      <c r="Z422" s="30"/>
      <c r="AA422" s="31"/>
      <c r="AB422" s="47"/>
      <c r="AC422" s="31"/>
      <c r="AD422" s="31"/>
      <c r="AE422" s="32">
        <f t="shared" si="131"/>
        <v>0</v>
      </c>
      <c r="AF422" s="10"/>
      <c r="AG422" s="10"/>
      <c r="AH422" s="10"/>
      <c r="AI422" s="12">
        <f t="shared" si="126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3"/>
      <c r="D423" s="32"/>
      <c r="E423" s="32"/>
      <c r="F423" s="32"/>
      <c r="G423" s="32">
        <f t="shared" si="121"/>
        <v>0</v>
      </c>
      <c r="H423" s="10"/>
      <c r="I423" s="10"/>
      <c r="J423" s="10"/>
      <c r="K423" s="12">
        <f t="shared" si="122"/>
        <v>0</v>
      </c>
      <c r="M423" s="10">
        <v>27</v>
      </c>
      <c r="N423" s="30"/>
      <c r="O423" s="31"/>
      <c r="P423" s="47"/>
      <c r="Q423" s="31"/>
      <c r="R423" s="31"/>
      <c r="S423" s="32">
        <f t="shared" si="123"/>
        <v>0</v>
      </c>
      <c r="T423" s="10"/>
      <c r="U423" s="10"/>
      <c r="V423" s="10"/>
      <c r="W423" s="12">
        <f t="shared" si="124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31"/>
        <v>0</v>
      </c>
      <c r="AF423" s="10"/>
      <c r="AG423" s="10"/>
      <c r="AH423" s="10"/>
      <c r="AI423" s="12">
        <f t="shared" si="126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3"/>
      <c r="D424" s="32"/>
      <c r="E424" s="32"/>
      <c r="F424" s="32"/>
      <c r="G424" s="32">
        <f t="shared" si="121"/>
        <v>0</v>
      </c>
      <c r="H424" s="10"/>
      <c r="I424" s="10"/>
      <c r="J424" s="10"/>
      <c r="K424" s="12">
        <f t="shared" si="122"/>
        <v>0</v>
      </c>
      <c r="M424" s="10">
        <v>28</v>
      </c>
      <c r="N424" s="30"/>
      <c r="O424" s="31"/>
      <c r="P424" s="47"/>
      <c r="Q424" s="31"/>
      <c r="R424" s="31"/>
      <c r="S424" s="32">
        <f t="shared" si="123"/>
        <v>0</v>
      </c>
      <c r="T424" s="10"/>
      <c r="U424" s="10"/>
      <c r="V424" s="10"/>
      <c r="W424" s="12">
        <f t="shared" si="124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31"/>
        <v>0</v>
      </c>
      <c r="AF424" s="10"/>
      <c r="AG424" s="10"/>
      <c r="AH424" s="10"/>
      <c r="AI424" s="12">
        <f t="shared" si="126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83"/>
      <c r="D425" s="32"/>
      <c r="E425" s="32"/>
      <c r="F425" s="32"/>
      <c r="G425" s="32">
        <f t="shared" si="121"/>
        <v>0</v>
      </c>
      <c r="H425" s="10"/>
      <c r="I425" s="10"/>
      <c r="J425" s="10"/>
      <c r="K425" s="12">
        <f t="shared" si="122"/>
        <v>0</v>
      </c>
      <c r="M425" s="10">
        <v>29</v>
      </c>
      <c r="N425" s="30"/>
      <c r="O425" s="31"/>
      <c r="P425" s="47"/>
      <c r="Q425" s="31"/>
      <c r="R425" s="31"/>
      <c r="S425" s="32">
        <f t="shared" si="123"/>
        <v>0</v>
      </c>
      <c r="T425" s="10"/>
      <c r="U425" s="10"/>
      <c r="V425" s="10"/>
      <c r="W425" s="12">
        <f t="shared" si="124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31"/>
        <v>0</v>
      </c>
      <c r="AF425" s="10"/>
      <c r="AG425" s="10"/>
      <c r="AH425" s="10"/>
      <c r="AI425" s="12">
        <f t="shared" si="126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3"/>
      <c r="D426" s="32"/>
      <c r="E426" s="32"/>
      <c r="F426" s="32"/>
      <c r="G426" s="32">
        <f t="shared" si="121"/>
        <v>0</v>
      </c>
      <c r="H426" s="10"/>
      <c r="I426" s="10"/>
      <c r="J426" s="10"/>
      <c r="K426" s="12">
        <f t="shared" si="122"/>
        <v>0</v>
      </c>
      <c r="M426" s="10">
        <v>30</v>
      </c>
      <c r="N426" s="30"/>
      <c r="O426" s="31"/>
      <c r="P426" s="47"/>
      <c r="Q426" s="31"/>
      <c r="R426" s="31"/>
      <c r="S426" s="32">
        <f t="shared" si="123"/>
        <v>0</v>
      </c>
      <c r="T426" s="10"/>
      <c r="U426" s="10"/>
      <c r="V426" s="10"/>
      <c r="W426" s="12">
        <f t="shared" si="124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31"/>
        <v>0</v>
      </c>
      <c r="AF426" s="10"/>
      <c r="AG426" s="10"/>
      <c r="AH426" s="10"/>
      <c r="AI426" s="12">
        <f t="shared" si="126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11"/>
      <c r="D427" s="32"/>
      <c r="E427" s="32"/>
      <c r="F427" s="32"/>
      <c r="G427" s="32">
        <f t="shared" si="121"/>
        <v>0</v>
      </c>
      <c r="H427" s="10"/>
      <c r="I427" s="10"/>
      <c r="J427" s="10"/>
      <c r="K427" s="12">
        <f t="shared" si="122"/>
        <v>0</v>
      </c>
      <c r="M427" s="10">
        <v>31</v>
      </c>
      <c r="N427" s="30"/>
      <c r="O427" s="31"/>
      <c r="P427" s="47"/>
      <c r="Q427" s="31"/>
      <c r="R427" s="31"/>
      <c r="S427" s="32">
        <f t="shared" si="123"/>
        <v>0</v>
      </c>
      <c r="T427" s="10"/>
      <c r="U427" s="10"/>
      <c r="V427" s="10"/>
      <c r="W427" s="12">
        <f t="shared" si="124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31"/>
        <v>0</v>
      </c>
      <c r="AF427" s="10"/>
      <c r="AG427" s="10"/>
      <c r="AH427" s="10"/>
      <c r="AI427" s="12">
        <f t="shared" si="126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3"/>
      <c r="D428" s="32"/>
      <c r="E428" s="32"/>
      <c r="F428" s="32"/>
      <c r="G428" s="32">
        <f t="shared" si="121"/>
        <v>0</v>
      </c>
      <c r="H428" s="10"/>
      <c r="I428" s="10"/>
      <c r="J428" s="10"/>
      <c r="K428" s="12">
        <f t="shared" si="122"/>
        <v>0</v>
      </c>
      <c r="M428" s="10">
        <v>32</v>
      </c>
      <c r="N428" s="30"/>
      <c r="O428" s="31"/>
      <c r="P428" s="47"/>
      <c r="Q428" s="31"/>
      <c r="R428" s="31"/>
      <c r="S428" s="32">
        <f t="shared" si="123"/>
        <v>0</v>
      </c>
      <c r="T428" s="10"/>
      <c r="U428" s="10"/>
      <c r="V428" s="10"/>
      <c r="W428" s="12">
        <f t="shared" si="124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31"/>
        <v>0</v>
      </c>
      <c r="AF428" s="10"/>
      <c r="AG428" s="10"/>
      <c r="AH428" s="10"/>
      <c r="AI428" s="12">
        <f t="shared" si="126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3"/>
      <c r="D429" s="32"/>
      <c r="E429" s="32"/>
      <c r="F429" s="32"/>
      <c r="G429" s="32">
        <f t="shared" si="121"/>
        <v>0</v>
      </c>
      <c r="H429" s="10"/>
      <c r="I429" s="10"/>
      <c r="J429" s="10"/>
      <c r="K429" s="12">
        <f t="shared" si="122"/>
        <v>0</v>
      </c>
      <c r="M429" s="10">
        <v>33</v>
      </c>
      <c r="N429" s="30"/>
      <c r="O429" s="31"/>
      <c r="P429" s="47"/>
      <c r="Q429" s="31"/>
      <c r="R429" s="31"/>
      <c r="S429" s="32">
        <f t="shared" si="123"/>
        <v>0</v>
      </c>
      <c r="T429" s="10"/>
      <c r="U429" s="10"/>
      <c r="V429" s="10"/>
      <c r="W429" s="12">
        <f t="shared" si="124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31"/>
        <v>0</v>
      </c>
      <c r="AF429" s="10"/>
      <c r="AG429" s="10"/>
      <c r="AH429" s="10"/>
      <c r="AI429" s="12">
        <f t="shared" si="126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3"/>
      <c r="D430" s="32"/>
      <c r="E430" s="32"/>
      <c r="F430" s="32"/>
      <c r="G430" s="32">
        <f t="shared" si="121"/>
        <v>0</v>
      </c>
      <c r="H430" s="10"/>
      <c r="I430" s="10"/>
      <c r="J430" s="10"/>
      <c r="K430" s="12">
        <f t="shared" si="122"/>
        <v>0</v>
      </c>
      <c r="M430" s="10">
        <v>34</v>
      </c>
      <c r="N430" s="30"/>
      <c r="O430" s="31"/>
      <c r="P430" s="47"/>
      <c r="Q430" s="31"/>
      <c r="R430" s="31"/>
      <c r="S430" s="32">
        <f t="shared" si="123"/>
        <v>0</v>
      </c>
      <c r="T430" s="10"/>
      <c r="U430" s="10"/>
      <c r="V430" s="10"/>
      <c r="W430" s="12">
        <f t="shared" si="124"/>
        <v>0</v>
      </c>
      <c r="Y430" s="10">
        <v>34</v>
      </c>
      <c r="Z430" s="30"/>
      <c r="AA430" s="31"/>
      <c r="AB430" s="47"/>
      <c r="AC430" s="31"/>
      <c r="AD430" s="31"/>
      <c r="AE430" s="32">
        <f t="shared" si="131"/>
        <v>0</v>
      </c>
      <c r="AF430" s="10"/>
      <c r="AG430" s="10"/>
      <c r="AH430" s="10"/>
      <c r="AI430" s="12">
        <f t="shared" ref="AI430:AI438" si="132">SUM(AE430:AH430)</f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3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23"/>
        <v>0</v>
      </c>
      <c r="T431" s="10"/>
      <c r="U431" s="10"/>
      <c r="V431" s="10"/>
      <c r="W431" s="12">
        <f t="shared" si="124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31"/>
        <v>0</v>
      </c>
      <c r="AF431" s="10"/>
      <c r="AG431" s="10"/>
      <c r="AH431" s="10"/>
      <c r="AI431" s="12">
        <f t="shared" si="132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3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23"/>
        <v>0</v>
      </c>
      <c r="T432" s="10"/>
      <c r="U432" s="10"/>
      <c r="V432" s="10"/>
      <c r="W432" s="12">
        <f t="shared" si="124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31"/>
        <v>0</v>
      </c>
      <c r="AF432" s="10"/>
      <c r="AG432" s="10"/>
      <c r="AH432" s="10"/>
      <c r="AI432" s="12">
        <f t="shared" si="132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23"/>
        <v>0</v>
      </c>
      <c r="T433" s="10"/>
      <c r="U433" s="10"/>
      <c r="V433" s="10"/>
      <c r="W433" s="12">
        <f t="shared" si="124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31"/>
        <v>0</v>
      </c>
      <c r="AF433" s="10"/>
      <c r="AG433" s="10"/>
      <c r="AH433" s="10"/>
      <c r="AI433" s="12">
        <f t="shared" si="132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23"/>
        <v>0</v>
      </c>
      <c r="T434" s="10"/>
      <c r="U434" s="10"/>
      <c r="V434" s="10"/>
      <c r="W434" s="12">
        <f t="shared" si="124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31"/>
        <v>0</v>
      </c>
      <c r="AF434" s="10"/>
      <c r="AG434" s="10"/>
      <c r="AH434" s="10"/>
      <c r="AI434" s="12">
        <f t="shared" si="132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23"/>
        <v>0</v>
      </c>
      <c r="T435" s="10"/>
      <c r="U435" s="10"/>
      <c r="V435" s="10"/>
      <c r="W435" s="12">
        <f t="shared" si="124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31"/>
        <v>0</v>
      </c>
      <c r="AF435" s="10"/>
      <c r="AG435" s="10"/>
      <c r="AH435" s="10"/>
      <c r="AI435" s="12">
        <f t="shared" si="132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24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32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3">SUM(D437:E437)</f>
        <v>0</v>
      </c>
      <c r="H437" s="10"/>
      <c r="I437" s="10"/>
      <c r="J437" s="10"/>
      <c r="K437" s="12">
        <f t="shared" ref="K437" si="134">SUM(G437:J437)</f>
        <v>0</v>
      </c>
      <c r="M437" s="10"/>
      <c r="N437" s="30"/>
      <c r="O437" s="31"/>
      <c r="P437" s="47"/>
      <c r="Q437" s="31"/>
      <c r="R437" s="31"/>
      <c r="S437" s="32">
        <f t="shared" ref="S437" si="135">SUM(P437:Q437)</f>
        <v>0</v>
      </c>
      <c r="T437" s="10"/>
      <c r="U437" s="10"/>
      <c r="V437" s="10"/>
      <c r="W437" s="12">
        <f t="shared" si="124"/>
        <v>0</v>
      </c>
      <c r="Y437" s="10"/>
      <c r="Z437" s="30"/>
      <c r="AA437" s="31"/>
      <c r="AB437" s="47"/>
      <c r="AC437" s="31"/>
      <c r="AD437" s="31"/>
      <c r="AE437" s="32">
        <f t="shared" ref="AE437" si="136">SUM(AB437:AC437)</f>
        <v>0</v>
      </c>
      <c r="AF437" s="10"/>
      <c r="AG437" s="10"/>
      <c r="AH437" s="10"/>
      <c r="AI437" s="12">
        <f t="shared" si="132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24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32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205504.5</v>
      </c>
      <c r="E440" s="38">
        <f t="shared" ref="E440:F440" si="137">SUM(E397:E437)</f>
        <v>-1296</v>
      </c>
      <c r="F440" s="38">
        <f t="shared" si="137"/>
        <v>0</v>
      </c>
      <c r="G440" s="38">
        <f>SUM(G397:G439)</f>
        <v>204208.5</v>
      </c>
      <c r="H440" s="4"/>
      <c r="I440" s="39">
        <f>SUM(I397:I439)</f>
        <v>0</v>
      </c>
      <c r="J440" s="39">
        <f>SUM(J397:J439)</f>
        <v>-16000.5</v>
      </c>
      <c r="K440" s="40">
        <f>SUM(K397:K439)</f>
        <v>188208</v>
      </c>
      <c r="N440" s="57"/>
      <c r="O440" s="57"/>
      <c r="P440" s="38">
        <f>SUM(P397:P439)</f>
        <v>258873</v>
      </c>
      <c r="Q440" s="38">
        <f>SUM(Q397:Q421)</f>
        <v>-1944</v>
      </c>
      <c r="R440" s="38">
        <f>SUM(R397:R421)</f>
        <v>0</v>
      </c>
      <c r="S440" s="38">
        <f>SUM(S397:S439)</f>
        <v>256929</v>
      </c>
      <c r="T440" s="4"/>
      <c r="U440" s="41">
        <f>SUM(U397:U439)</f>
        <v>999</v>
      </c>
      <c r="V440" s="41">
        <f>SUM(V397:V421)</f>
        <v>-948</v>
      </c>
      <c r="W440" s="42">
        <f>SUM(W397:W439)</f>
        <v>256980</v>
      </c>
      <c r="Z440" s="57"/>
      <c r="AA440" s="57"/>
      <c r="AB440" s="38">
        <f>SUM(AB397:AB439)</f>
        <v>280238</v>
      </c>
      <c r="AC440" s="38">
        <f>SUM(AC397:AC421)</f>
        <v>-1920</v>
      </c>
      <c r="AD440" s="38">
        <f>SUM(AD397:AD421)</f>
        <v>0</v>
      </c>
      <c r="AE440" s="38">
        <f>SUM(AE397:AE439)</f>
        <v>278318</v>
      </c>
      <c r="AF440" s="4"/>
      <c r="AG440" s="41">
        <f>SUM(AG397:AG439)</f>
        <v>234</v>
      </c>
      <c r="AH440" s="41">
        <f>SUM(AH397:AH421)</f>
        <v>-252</v>
      </c>
      <c r="AI440" s="42">
        <f>SUM(AI397:AI439)</f>
        <v>278300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48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48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48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62</v>
      </c>
      <c r="B448" s="20"/>
      <c r="C448" s="57"/>
      <c r="D448" s="57"/>
      <c r="E448" s="57"/>
      <c r="G448" s="57"/>
      <c r="I448" s="22" t="s">
        <v>16</v>
      </c>
      <c r="J448" s="23" t="s">
        <v>31</v>
      </c>
      <c r="K448" s="24"/>
      <c r="M448" s="21" t="s">
        <v>62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33</v>
      </c>
      <c r="W448" s="24"/>
      <c r="Y448" s="21" t="s">
        <v>62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34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12" t="s">
        <v>17</v>
      </c>
      <c r="E450" s="112"/>
      <c r="F450" s="99"/>
      <c r="G450" s="27"/>
      <c r="I450" s="110" t="s">
        <v>18</v>
      </c>
      <c r="J450" s="111"/>
      <c r="K450" s="108" t="s">
        <v>19</v>
      </c>
      <c r="N450" s="25"/>
      <c r="O450" s="26"/>
      <c r="P450" s="112" t="s">
        <v>17</v>
      </c>
      <c r="Q450" s="112"/>
      <c r="R450" s="99"/>
      <c r="S450" s="27"/>
      <c r="U450" s="110" t="s">
        <v>18</v>
      </c>
      <c r="V450" s="111"/>
      <c r="W450" s="108" t="s">
        <v>19</v>
      </c>
      <c r="Z450" s="25"/>
      <c r="AA450" s="26"/>
      <c r="AB450" s="112" t="s">
        <v>17</v>
      </c>
      <c r="AC450" s="112"/>
      <c r="AD450" s="99"/>
      <c r="AE450" s="27"/>
      <c r="AG450" s="110" t="s">
        <v>18</v>
      </c>
      <c r="AH450" s="111"/>
      <c r="AI450" s="108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32</v>
      </c>
      <c r="G451" s="78" t="s">
        <v>24</v>
      </c>
      <c r="I451" s="29" t="s">
        <v>25</v>
      </c>
      <c r="J451" s="29" t="s">
        <v>26</v>
      </c>
      <c r="K451" s="109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32</v>
      </c>
      <c r="S451" s="78" t="s">
        <v>24</v>
      </c>
      <c r="U451" s="29" t="s">
        <v>25</v>
      </c>
      <c r="V451" s="29" t="s">
        <v>26</v>
      </c>
      <c r="W451" s="109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32</v>
      </c>
      <c r="AE451" s="78" t="s">
        <v>24</v>
      </c>
      <c r="AG451" s="29" t="s">
        <v>25</v>
      </c>
      <c r="AH451" s="29" t="s">
        <v>26</v>
      </c>
      <c r="AI451" s="109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 t="s">
        <v>63</v>
      </c>
      <c r="C452" s="83">
        <v>9927</v>
      </c>
      <c r="D452" s="32">
        <f>650*10</f>
        <v>6500</v>
      </c>
      <c r="E452" s="32">
        <f>-10*6</f>
        <v>-60</v>
      </c>
      <c r="F452" s="32"/>
      <c r="G452" s="32">
        <f t="shared" ref="G452:G485" si="138">SUM(D452:E452)</f>
        <v>6440</v>
      </c>
      <c r="H452" s="12"/>
      <c r="I452" s="12"/>
      <c r="J452" s="12"/>
      <c r="K452" s="12">
        <f t="shared" ref="K452:K485" si="139">SUM(G452:J452)</f>
        <v>6440</v>
      </c>
      <c r="M452" s="10">
        <v>1</v>
      </c>
      <c r="N452" s="30" t="s">
        <v>63</v>
      </c>
      <c r="O452" s="31">
        <v>10096</v>
      </c>
      <c r="P452" s="32">
        <f>650*216+622*20+229*6</f>
        <v>154214</v>
      </c>
      <c r="Q452" s="32">
        <f>-236*6</f>
        <v>-1416</v>
      </c>
      <c r="R452" s="32"/>
      <c r="S452" s="32">
        <f>SUM(P452:Q452)</f>
        <v>152798</v>
      </c>
      <c r="T452" s="12"/>
      <c r="U452" s="12">
        <f>78*6</f>
        <v>468</v>
      </c>
      <c r="V452" s="12">
        <f>-42*4</f>
        <v>-168</v>
      </c>
      <c r="W452" s="12">
        <f>SUM(S452:V452)</f>
        <v>153098</v>
      </c>
      <c r="Y452" s="10">
        <v>1</v>
      </c>
      <c r="Z452" s="30" t="s">
        <v>63</v>
      </c>
      <c r="AA452" s="31">
        <v>10026</v>
      </c>
      <c r="AB452" s="32">
        <f>650*10+9.5*10</f>
        <v>6595</v>
      </c>
      <c r="AC452" s="32"/>
      <c r="AD452" s="32"/>
      <c r="AE452" s="32">
        <f>SUM(AB452:AC452)</f>
        <v>6595</v>
      </c>
      <c r="AF452" s="12"/>
      <c r="AG452" s="12"/>
      <c r="AH452" s="12"/>
      <c r="AI452" s="12">
        <f>SUM(AE452:AH452)</f>
        <v>6595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 t="s">
        <v>63</v>
      </c>
      <c r="C453" s="83">
        <f>C452+1</f>
        <v>9928</v>
      </c>
      <c r="D453" s="32">
        <f>650*18+622*3</f>
        <v>13566</v>
      </c>
      <c r="E453" s="32"/>
      <c r="F453" s="32"/>
      <c r="G453" s="32">
        <f t="shared" si="138"/>
        <v>13566</v>
      </c>
      <c r="H453" s="12"/>
      <c r="I453" s="12"/>
      <c r="J453" s="12"/>
      <c r="K453" s="12">
        <f t="shared" si="139"/>
        <v>13566</v>
      </c>
      <c r="M453" s="10">
        <v>2</v>
      </c>
      <c r="N453" s="30" t="s">
        <v>63</v>
      </c>
      <c r="O453" s="31">
        <f>O452+1</f>
        <v>10097</v>
      </c>
      <c r="P453" s="32">
        <f>650*128+670*5+622*12+229*2</f>
        <v>94472</v>
      </c>
      <c r="Q453" s="32">
        <f>-145*6</f>
        <v>-870</v>
      </c>
      <c r="R453" s="32"/>
      <c r="S453" s="32">
        <f t="shared" ref="S453:S490" si="140">SUM(P453:Q453)</f>
        <v>93602</v>
      </c>
      <c r="T453" s="12"/>
      <c r="U453" s="12">
        <f>324+72</f>
        <v>396</v>
      </c>
      <c r="V453" s="12"/>
      <c r="W453" s="12">
        <f t="shared" ref="W453:W493" si="141">SUM(S453:V453)</f>
        <v>93998</v>
      </c>
      <c r="Y453" s="10">
        <v>2</v>
      </c>
      <c r="Z453" s="30" t="s">
        <v>63</v>
      </c>
      <c r="AA453" s="31">
        <f>AA452+1</f>
        <v>10027</v>
      </c>
      <c r="AB453" s="32">
        <f>650*32+622*5+229*2</f>
        <v>24368</v>
      </c>
      <c r="AC453" s="32"/>
      <c r="AD453" s="32"/>
      <c r="AE453" s="32">
        <f t="shared" ref="AE453:AE455" si="142">SUM(AB453:AC453)</f>
        <v>24368</v>
      </c>
      <c r="AF453" s="12"/>
      <c r="AG453" s="12">
        <f>94.5+39</f>
        <v>133.5</v>
      </c>
      <c r="AH453" s="12"/>
      <c r="AI453" s="12">
        <f t="shared" ref="AI453:AI484" si="143">SUM(AE453:AH453)</f>
        <v>24501.5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 t="s">
        <v>63</v>
      </c>
      <c r="C454" s="83">
        <f t="shared" ref="C454:C472" si="144">C453+1</f>
        <v>9929</v>
      </c>
      <c r="D454" s="33">
        <f>650*13+670*2+622*4+912+9.5*17</f>
        <v>13351.5</v>
      </c>
      <c r="E454" s="32"/>
      <c r="F454" s="33"/>
      <c r="G454" s="33">
        <f t="shared" si="138"/>
        <v>13351.5</v>
      </c>
      <c r="H454" s="34"/>
      <c r="I454" s="34"/>
      <c r="J454" s="34"/>
      <c r="K454" s="34">
        <f t="shared" si="139"/>
        <v>13351.5</v>
      </c>
      <c r="M454" s="10">
        <v>3</v>
      </c>
      <c r="N454" s="30" t="s">
        <v>63</v>
      </c>
      <c r="O454" s="31">
        <f t="shared" ref="O454:O456" si="145">O453+1</f>
        <v>10098</v>
      </c>
      <c r="P454" s="32">
        <f>650*22+622*5+229*3</f>
        <v>18097</v>
      </c>
      <c r="Q454" s="32"/>
      <c r="R454" s="32"/>
      <c r="S454" s="32">
        <f t="shared" si="140"/>
        <v>18097</v>
      </c>
      <c r="T454" s="12"/>
      <c r="U454" s="12"/>
      <c r="V454" s="12">
        <v>-1332</v>
      </c>
      <c r="W454" s="12">
        <f t="shared" si="141"/>
        <v>16765</v>
      </c>
      <c r="Y454" s="10">
        <v>3</v>
      </c>
      <c r="Z454" s="30" t="s">
        <v>63</v>
      </c>
      <c r="AA454" s="31">
        <f t="shared" ref="AA454:AA457" si="146">AA453+1</f>
        <v>10028</v>
      </c>
      <c r="AB454" s="33">
        <f>650*7+622*3+9.5*10</f>
        <v>6511</v>
      </c>
      <c r="AC454" s="33"/>
      <c r="AD454" s="32"/>
      <c r="AE454" s="32">
        <f t="shared" si="142"/>
        <v>6511</v>
      </c>
      <c r="AF454" s="12"/>
      <c r="AG454" s="12"/>
      <c r="AH454" s="12"/>
      <c r="AI454" s="12">
        <f t="shared" si="143"/>
        <v>6511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 t="s">
        <v>63</v>
      </c>
      <c r="C455" s="83">
        <f t="shared" si="144"/>
        <v>9930</v>
      </c>
      <c r="D455" s="32">
        <f>650*10+670+9.5*10</f>
        <v>7265</v>
      </c>
      <c r="E455" s="32"/>
      <c r="F455" s="32"/>
      <c r="G455" s="32">
        <f t="shared" si="138"/>
        <v>7265</v>
      </c>
      <c r="H455" s="12"/>
      <c r="I455" s="12"/>
      <c r="J455" s="12"/>
      <c r="K455" s="12">
        <f t="shared" si="139"/>
        <v>7265</v>
      </c>
      <c r="M455" s="10">
        <v>4</v>
      </c>
      <c r="N455" s="30" t="s">
        <v>63</v>
      </c>
      <c r="O455" s="31">
        <f t="shared" si="145"/>
        <v>10099</v>
      </c>
      <c r="P455" s="32">
        <f>650*2+9.5*2</f>
        <v>1319</v>
      </c>
      <c r="Q455" s="32"/>
      <c r="R455" s="32"/>
      <c r="S455" s="32">
        <f t="shared" si="140"/>
        <v>1319</v>
      </c>
      <c r="T455" s="12"/>
      <c r="U455" s="12"/>
      <c r="V455" s="12"/>
      <c r="W455" s="12">
        <f t="shared" si="141"/>
        <v>1319</v>
      </c>
      <c r="Y455" s="10">
        <v>4</v>
      </c>
      <c r="Z455" s="30" t="s">
        <v>63</v>
      </c>
      <c r="AA455" s="31">
        <f t="shared" si="146"/>
        <v>10029</v>
      </c>
      <c r="AB455" s="32">
        <f>650*20+622*10+229</f>
        <v>19449</v>
      </c>
      <c r="AC455" s="32"/>
      <c r="AD455" s="32"/>
      <c r="AE455" s="32">
        <f t="shared" si="142"/>
        <v>19449</v>
      </c>
      <c r="AF455" s="12"/>
      <c r="AG455">
        <f>30*111+78</f>
        <v>3408</v>
      </c>
      <c r="AH455" s="12"/>
      <c r="AI455" s="12">
        <f t="shared" si="143"/>
        <v>22857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 t="s">
        <v>63</v>
      </c>
      <c r="C456" s="83">
        <f t="shared" si="144"/>
        <v>9931</v>
      </c>
      <c r="D456" s="32">
        <f>650*3+9.5*3</f>
        <v>1978.5</v>
      </c>
      <c r="E456" s="32"/>
      <c r="F456" s="32"/>
      <c r="G456" s="32">
        <f t="shared" si="138"/>
        <v>1978.5</v>
      </c>
      <c r="H456" s="12"/>
      <c r="I456" s="12"/>
      <c r="J456" s="12"/>
      <c r="K456" s="12">
        <f t="shared" si="139"/>
        <v>1978.5</v>
      </c>
      <c r="M456" s="10">
        <v>5</v>
      </c>
      <c r="N456" s="30" t="s">
        <v>63</v>
      </c>
      <c r="O456" s="31">
        <f t="shared" si="145"/>
        <v>10100</v>
      </c>
      <c r="P456" s="32">
        <f>650*8+670+622*2+9.5*10</f>
        <v>7209</v>
      </c>
      <c r="Q456" s="32"/>
      <c r="R456" s="32"/>
      <c r="S456" s="32">
        <f t="shared" si="140"/>
        <v>7209</v>
      </c>
      <c r="T456" s="12"/>
      <c r="U456" s="12"/>
      <c r="V456" s="12">
        <f>-111*12</f>
        <v>-1332</v>
      </c>
      <c r="W456" s="12">
        <f t="shared" si="141"/>
        <v>5877</v>
      </c>
      <c r="Y456" s="10">
        <v>5</v>
      </c>
      <c r="Z456" s="30" t="s">
        <v>63</v>
      </c>
      <c r="AA456" s="31">
        <f t="shared" si="146"/>
        <v>10030</v>
      </c>
      <c r="AB456" s="32">
        <f>650*255+670*20+650*5+622*54+1050*20+872*4+12*229+500*4</f>
        <v>245224</v>
      </c>
      <c r="AC456" s="32">
        <f>-353*6</f>
        <v>-2118</v>
      </c>
      <c r="AD456" s="32"/>
      <c r="AE456" s="32">
        <f t="shared" ref="AE456:AE457" si="147">SUM(AB456:AC456)</f>
        <v>243106</v>
      </c>
      <c r="AF456" s="12"/>
      <c r="AG456" s="12"/>
      <c r="AH456" s="12"/>
      <c r="AI456" s="12">
        <f t="shared" si="143"/>
        <v>243106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 t="s">
        <v>63</v>
      </c>
      <c r="C457" s="83">
        <f t="shared" si="144"/>
        <v>9932</v>
      </c>
      <c r="D457" s="32">
        <f>650*5+622+9.5*6+500</f>
        <v>4429</v>
      </c>
      <c r="E457" s="32"/>
      <c r="F457" s="32"/>
      <c r="G457" s="32">
        <f t="shared" si="138"/>
        <v>4429</v>
      </c>
      <c r="H457" s="12"/>
      <c r="I457" s="12"/>
      <c r="J457" s="12"/>
      <c r="K457" s="12">
        <f t="shared" si="139"/>
        <v>4429</v>
      </c>
      <c r="M457" s="10">
        <v>6</v>
      </c>
      <c r="N457" s="30" t="s">
        <v>63</v>
      </c>
      <c r="O457" s="31">
        <v>10151</v>
      </c>
      <c r="P457" s="32">
        <f>650*4+670</f>
        <v>3270</v>
      </c>
      <c r="Q457" s="32"/>
      <c r="R457" s="32"/>
      <c r="S457" s="32">
        <f t="shared" si="140"/>
        <v>3270</v>
      </c>
      <c r="T457" s="12"/>
      <c r="U457" s="12"/>
      <c r="V457" s="10">
        <v>-1332</v>
      </c>
      <c r="W457" s="12">
        <f t="shared" si="141"/>
        <v>1938</v>
      </c>
      <c r="Y457" s="10">
        <v>6</v>
      </c>
      <c r="Z457" s="30" t="s">
        <v>63</v>
      </c>
      <c r="AA457" s="31">
        <f t="shared" si="146"/>
        <v>10031</v>
      </c>
      <c r="AB457" s="32">
        <f>650*108+670*10+622*5+872+229*2</f>
        <v>81340</v>
      </c>
      <c r="AC457" s="32">
        <f>-123*6</f>
        <v>-738</v>
      </c>
      <c r="AD457" s="32"/>
      <c r="AE457" s="32">
        <f t="shared" si="147"/>
        <v>80602</v>
      </c>
      <c r="AF457" s="12"/>
      <c r="AG457" s="12">
        <v>504</v>
      </c>
      <c r="AH457" s="10"/>
      <c r="AI457" s="12">
        <f t="shared" si="143"/>
        <v>81106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 t="s">
        <v>63</v>
      </c>
      <c r="C458" s="83">
        <f t="shared" si="144"/>
        <v>9933</v>
      </c>
      <c r="D458" s="32">
        <f>650*6+9.5*6</f>
        <v>3957</v>
      </c>
      <c r="E458" s="32"/>
      <c r="F458" s="32"/>
      <c r="G458" s="32">
        <f t="shared" si="138"/>
        <v>3957</v>
      </c>
      <c r="H458" s="12"/>
      <c r="I458" s="12"/>
      <c r="J458" s="12"/>
      <c r="K458" s="12">
        <f t="shared" si="139"/>
        <v>3957</v>
      </c>
      <c r="M458" s="10">
        <v>7</v>
      </c>
      <c r="N458" s="30"/>
      <c r="O458" s="11" t="s">
        <v>27</v>
      </c>
      <c r="P458" s="32"/>
      <c r="Q458" s="32"/>
      <c r="R458" s="32"/>
      <c r="S458" s="32">
        <f t="shared" si="140"/>
        <v>0</v>
      </c>
      <c r="T458" s="12"/>
      <c r="U458" s="12"/>
      <c r="V458" s="12"/>
      <c r="W458" s="12">
        <f t="shared" si="141"/>
        <v>0</v>
      </c>
      <c r="Y458" s="10">
        <v>7</v>
      </c>
      <c r="Z458" s="30"/>
      <c r="AA458" s="11" t="s">
        <v>27</v>
      </c>
      <c r="AB458" s="32"/>
      <c r="AC458" s="32"/>
      <c r="AD458" s="32"/>
      <c r="AE458" s="32">
        <f>SUM(AB458:AC458)</f>
        <v>0</v>
      </c>
      <c r="AF458" s="12"/>
      <c r="AG458" s="58"/>
      <c r="AH458" s="12"/>
      <c r="AI458" s="12">
        <f t="shared" si="143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 t="s">
        <v>63</v>
      </c>
      <c r="C459" s="83">
        <f t="shared" si="144"/>
        <v>9934</v>
      </c>
      <c r="D459" s="32">
        <f>650*12+9.5*12</f>
        <v>7914</v>
      </c>
      <c r="E459" s="32"/>
      <c r="F459" s="32"/>
      <c r="G459" s="32">
        <f t="shared" si="138"/>
        <v>7914</v>
      </c>
      <c r="H459" s="12"/>
      <c r="I459" s="12"/>
      <c r="J459" s="12"/>
      <c r="K459" s="12">
        <f t="shared" si="139"/>
        <v>7914</v>
      </c>
      <c r="M459" s="10">
        <v>8</v>
      </c>
      <c r="N459" s="30"/>
      <c r="O459" s="31"/>
      <c r="P459" s="32"/>
      <c r="Q459" s="32"/>
      <c r="R459" s="32"/>
      <c r="S459" s="32">
        <f t="shared" si="140"/>
        <v>0</v>
      </c>
      <c r="T459" s="12"/>
      <c r="U459" s="12"/>
      <c r="V459" s="12"/>
      <c r="W459" s="12">
        <f t="shared" si="141"/>
        <v>0</v>
      </c>
      <c r="Y459" s="10">
        <v>8</v>
      </c>
      <c r="Z459" s="30"/>
      <c r="AA459" s="31"/>
      <c r="AB459" s="32"/>
      <c r="AC459" s="32"/>
      <c r="AE459" s="32">
        <f t="shared" ref="AE459:AE490" si="148">SUM(AB459:AC459)</f>
        <v>0</v>
      </c>
      <c r="AF459" s="12"/>
      <c r="AG459" s="12"/>
      <c r="AH459" s="12"/>
      <c r="AI459" s="12">
        <f t="shared" si="143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 t="s">
        <v>63</v>
      </c>
      <c r="C460" s="83">
        <f t="shared" si="144"/>
        <v>9935</v>
      </c>
      <c r="D460" s="32">
        <f>650*6+622+9.5*7</f>
        <v>4588.5</v>
      </c>
      <c r="E460" s="32"/>
      <c r="F460" s="32"/>
      <c r="G460" s="32">
        <f t="shared" si="138"/>
        <v>4588.5</v>
      </c>
      <c r="H460" s="12"/>
      <c r="I460" s="12"/>
      <c r="J460" s="12"/>
      <c r="K460" s="12">
        <f t="shared" si="139"/>
        <v>4588.5</v>
      </c>
      <c r="M460" s="10">
        <v>9</v>
      </c>
      <c r="N460" s="30"/>
      <c r="O460" s="31"/>
      <c r="P460" s="32"/>
      <c r="Q460" s="32"/>
      <c r="R460" s="32"/>
      <c r="S460" s="32">
        <f t="shared" si="140"/>
        <v>0</v>
      </c>
      <c r="T460" s="12"/>
      <c r="U460" s="12"/>
      <c r="V460" s="12"/>
      <c r="W460" s="12">
        <f t="shared" si="141"/>
        <v>0</v>
      </c>
      <c r="Y460" s="10">
        <v>9</v>
      </c>
      <c r="Z460" s="30"/>
      <c r="AA460" s="31"/>
      <c r="AB460" s="32"/>
      <c r="AC460" s="32"/>
      <c r="AD460" s="32"/>
      <c r="AE460" s="32">
        <f t="shared" si="148"/>
        <v>0</v>
      </c>
      <c r="AF460" s="12"/>
      <c r="AH460" s="12"/>
      <c r="AI460" s="12">
        <f t="shared" si="143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 t="s">
        <v>63</v>
      </c>
      <c r="C461" s="83">
        <f t="shared" si="144"/>
        <v>9936</v>
      </c>
      <c r="D461" s="32">
        <f>650*4+9.5*4</f>
        <v>2638</v>
      </c>
      <c r="E461" s="32"/>
      <c r="F461" s="32"/>
      <c r="G461" s="32">
        <f t="shared" si="138"/>
        <v>2638</v>
      </c>
      <c r="H461" s="12"/>
      <c r="I461" s="12"/>
      <c r="J461" s="12"/>
      <c r="K461" s="12">
        <f t="shared" si="139"/>
        <v>2638</v>
      </c>
      <c r="M461" s="10">
        <v>10</v>
      </c>
      <c r="N461" s="30"/>
      <c r="O461" s="31"/>
      <c r="P461" s="32"/>
      <c r="Q461" s="32"/>
      <c r="R461" s="32"/>
      <c r="S461" s="32">
        <f t="shared" si="140"/>
        <v>0</v>
      </c>
      <c r="T461" s="12"/>
      <c r="U461" s="12"/>
      <c r="V461" s="12"/>
      <c r="W461" s="12">
        <f t="shared" si="141"/>
        <v>0</v>
      </c>
      <c r="Y461" s="10">
        <v>10</v>
      </c>
      <c r="Z461" s="30"/>
      <c r="AA461" s="31"/>
      <c r="AB461" s="32"/>
      <c r="AC461" s="32"/>
      <c r="AD461" s="32"/>
      <c r="AE461" s="32">
        <f t="shared" si="148"/>
        <v>0</v>
      </c>
      <c r="AF461" s="12"/>
      <c r="AG461" s="12"/>
      <c r="AH461" s="12"/>
      <c r="AI461" s="12">
        <f t="shared" si="143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 t="s">
        <v>63</v>
      </c>
      <c r="C462" s="83">
        <f t="shared" si="144"/>
        <v>9937</v>
      </c>
      <c r="D462" s="32">
        <f>650*5+622+9.5*6</f>
        <v>3929</v>
      </c>
      <c r="E462" s="32"/>
      <c r="F462" s="32"/>
      <c r="G462" s="32">
        <f t="shared" si="138"/>
        <v>3929</v>
      </c>
      <c r="H462" s="12"/>
      <c r="I462" s="12"/>
      <c r="J462" s="12"/>
      <c r="K462" s="12">
        <f t="shared" si="139"/>
        <v>3929</v>
      </c>
      <c r="M462" s="10">
        <v>11</v>
      </c>
      <c r="N462" s="30"/>
      <c r="O462" s="31"/>
      <c r="P462" s="32"/>
      <c r="Q462" s="32"/>
      <c r="R462" s="32"/>
      <c r="S462" s="32">
        <f t="shared" si="140"/>
        <v>0</v>
      </c>
      <c r="T462" s="12"/>
      <c r="U462" s="12"/>
      <c r="V462" s="12"/>
      <c r="W462" s="12">
        <f t="shared" si="141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48"/>
        <v>0</v>
      </c>
      <c r="AF462" s="12"/>
      <c r="AG462" s="12"/>
      <c r="AH462" s="12"/>
      <c r="AI462" s="12">
        <f t="shared" si="143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 t="s">
        <v>63</v>
      </c>
      <c r="C463" s="83">
        <f t="shared" si="144"/>
        <v>9938</v>
      </c>
      <c r="D463" s="32">
        <f>650*30+670+622*10+229+650</f>
        <v>27269</v>
      </c>
      <c r="E463" s="32"/>
      <c r="F463" s="32"/>
      <c r="G463" s="32">
        <f t="shared" si="138"/>
        <v>27269</v>
      </c>
      <c r="H463" s="12"/>
      <c r="I463" s="12"/>
      <c r="J463" s="10"/>
      <c r="K463" s="12">
        <f t="shared" si="139"/>
        <v>27269</v>
      </c>
      <c r="M463" s="10">
        <v>12</v>
      </c>
      <c r="N463" s="30"/>
      <c r="O463" s="31"/>
      <c r="P463" s="32"/>
      <c r="Q463" s="32"/>
      <c r="R463" s="32"/>
      <c r="S463" s="32">
        <f t="shared" si="140"/>
        <v>0</v>
      </c>
      <c r="T463" s="12"/>
      <c r="U463" s="12"/>
      <c r="V463" s="12"/>
      <c r="W463" s="12">
        <f t="shared" si="141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48"/>
        <v>0</v>
      </c>
      <c r="AF463" s="12"/>
      <c r="AG463" s="12"/>
      <c r="AH463" s="12"/>
      <c r="AI463" s="12">
        <f t="shared" si="143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 t="s">
        <v>63</v>
      </c>
      <c r="C464" s="83">
        <f t="shared" si="144"/>
        <v>9939</v>
      </c>
      <c r="D464" s="32">
        <f>650</f>
        <v>650</v>
      </c>
      <c r="E464" s="32"/>
      <c r="F464" s="32"/>
      <c r="G464" s="32">
        <f t="shared" si="138"/>
        <v>650</v>
      </c>
      <c r="H464" s="12"/>
      <c r="I464" s="12"/>
      <c r="J464" s="12"/>
      <c r="K464" s="12">
        <f t="shared" si="139"/>
        <v>650</v>
      </c>
      <c r="M464" s="10">
        <v>13</v>
      </c>
      <c r="N464" s="30"/>
      <c r="O464" s="31"/>
      <c r="P464" s="32"/>
      <c r="Q464" s="32"/>
      <c r="R464" s="32"/>
      <c r="S464" s="32">
        <f t="shared" si="140"/>
        <v>0</v>
      </c>
      <c r="T464" s="12"/>
      <c r="U464" s="12"/>
      <c r="V464" s="12"/>
      <c r="W464" s="12">
        <f t="shared" si="141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48"/>
        <v>0</v>
      </c>
      <c r="AF464" s="12"/>
      <c r="AG464" s="12"/>
      <c r="AH464" s="12"/>
      <c r="AI464" s="12">
        <f t="shared" si="143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 t="s">
        <v>63</v>
      </c>
      <c r="C465" s="83">
        <f t="shared" si="144"/>
        <v>9940</v>
      </c>
      <c r="D465" s="32">
        <f>650*27</f>
        <v>17550</v>
      </c>
      <c r="E465" s="32"/>
      <c r="F465" s="32"/>
      <c r="G465" s="32">
        <f t="shared" si="138"/>
        <v>17550</v>
      </c>
      <c r="H465" s="12"/>
      <c r="I465" s="12">
        <v>162</v>
      </c>
      <c r="J465" s="12"/>
      <c r="K465" s="12">
        <f t="shared" si="139"/>
        <v>17712</v>
      </c>
      <c r="M465" s="10">
        <v>14</v>
      </c>
      <c r="N465" s="30"/>
      <c r="O465" s="31"/>
      <c r="P465" s="32"/>
      <c r="Q465" s="32"/>
      <c r="R465" s="32"/>
      <c r="S465" s="32">
        <f t="shared" si="140"/>
        <v>0</v>
      </c>
      <c r="T465" s="12"/>
      <c r="U465" s="12"/>
      <c r="V465" s="12"/>
      <c r="W465" s="12">
        <f t="shared" si="141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48"/>
        <v>0</v>
      </c>
      <c r="AF465" s="12"/>
      <c r="AG465" s="12"/>
      <c r="AH465" s="12"/>
      <c r="AI465" s="12">
        <f t="shared" si="143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 t="s">
        <v>63</v>
      </c>
      <c r="C466" s="83">
        <f t="shared" si="144"/>
        <v>9941</v>
      </c>
      <c r="D466" s="32">
        <f>650*12+670+872+500</f>
        <v>9842</v>
      </c>
      <c r="E466" s="32"/>
      <c r="F466" s="32"/>
      <c r="G466" s="32">
        <f t="shared" si="138"/>
        <v>9842</v>
      </c>
      <c r="H466" s="12"/>
      <c r="I466" s="12">
        <v>16.5</v>
      </c>
      <c r="J466" s="12"/>
      <c r="K466" s="12">
        <f t="shared" si="139"/>
        <v>9858.5</v>
      </c>
      <c r="M466" s="10">
        <v>15</v>
      </c>
      <c r="N466" s="30"/>
      <c r="O466" s="31"/>
      <c r="P466" s="32"/>
      <c r="Q466" s="32"/>
      <c r="R466" s="32"/>
      <c r="S466" s="32">
        <f t="shared" si="140"/>
        <v>0</v>
      </c>
      <c r="T466" s="12"/>
      <c r="U466" s="12"/>
      <c r="V466" s="12"/>
      <c r="W466" s="12">
        <f t="shared" si="141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48"/>
        <v>0</v>
      </c>
      <c r="AF466" s="12"/>
      <c r="AG466" s="12"/>
      <c r="AH466" s="12"/>
      <c r="AI466" s="12">
        <f t="shared" si="143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 t="s">
        <v>63</v>
      </c>
      <c r="C467" s="83">
        <f t="shared" si="144"/>
        <v>9942</v>
      </c>
      <c r="D467" s="32">
        <f>650*9+872</f>
        <v>6722</v>
      </c>
      <c r="E467" s="32"/>
      <c r="F467" s="32"/>
      <c r="G467" s="32">
        <f t="shared" si="138"/>
        <v>6722</v>
      </c>
      <c r="H467" s="12"/>
      <c r="I467" s="12"/>
      <c r="J467" s="12"/>
      <c r="K467" s="12">
        <f t="shared" si="139"/>
        <v>6722</v>
      </c>
      <c r="M467" s="10">
        <v>16</v>
      </c>
      <c r="N467" s="30"/>
      <c r="O467" s="31"/>
      <c r="P467" s="32"/>
      <c r="Q467" s="32"/>
      <c r="R467" s="32"/>
      <c r="S467" s="32">
        <f t="shared" si="140"/>
        <v>0</v>
      </c>
      <c r="T467" s="12"/>
      <c r="U467" s="12"/>
      <c r="V467" s="12"/>
      <c r="W467" s="12">
        <f t="shared" si="141"/>
        <v>0</v>
      </c>
      <c r="Y467" s="10">
        <v>16</v>
      </c>
      <c r="AA467" s="11"/>
      <c r="AB467" s="32"/>
      <c r="AC467" s="32"/>
      <c r="AD467" s="32"/>
      <c r="AE467" s="32">
        <f t="shared" si="148"/>
        <v>0</v>
      </c>
      <c r="AF467" s="12"/>
      <c r="AG467" s="12"/>
      <c r="AH467" s="12"/>
      <c r="AI467" s="12">
        <f t="shared" si="143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 t="s">
        <v>63</v>
      </c>
      <c r="C468" s="83">
        <f t="shared" si="144"/>
        <v>9943</v>
      </c>
      <c r="D468" s="32">
        <f>650*122+670*5</f>
        <v>82650</v>
      </c>
      <c r="E468" s="32"/>
      <c r="F468" s="32"/>
      <c r="G468" s="32">
        <f t="shared" si="138"/>
        <v>82650</v>
      </c>
      <c r="H468" s="12"/>
      <c r="I468" s="12"/>
      <c r="J468" s="12"/>
      <c r="K468" s="12">
        <f t="shared" si="139"/>
        <v>82650</v>
      </c>
      <c r="M468" s="10">
        <v>17</v>
      </c>
      <c r="N468" s="30"/>
      <c r="O468" s="31"/>
      <c r="P468" s="35"/>
      <c r="Q468" s="32"/>
      <c r="R468" s="32"/>
      <c r="S468" s="32">
        <f t="shared" si="140"/>
        <v>0</v>
      </c>
      <c r="T468" s="12"/>
      <c r="U468" s="12"/>
      <c r="V468" s="12"/>
      <c r="W468" s="12">
        <f t="shared" si="141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48"/>
        <v>0</v>
      </c>
      <c r="AF468" s="12"/>
      <c r="AG468" s="12"/>
      <c r="AH468" s="12"/>
      <c r="AI468" s="12">
        <f t="shared" si="143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 t="s">
        <v>63</v>
      </c>
      <c r="C469" s="83">
        <f t="shared" si="144"/>
        <v>9944</v>
      </c>
      <c r="D469" s="32">
        <f>650*16</f>
        <v>10400</v>
      </c>
      <c r="E469" s="32"/>
      <c r="F469" s="32"/>
      <c r="G469" s="32">
        <f t="shared" si="138"/>
        <v>10400</v>
      </c>
      <c r="H469" s="12"/>
      <c r="I469" s="12"/>
      <c r="J469" s="12"/>
      <c r="K469" s="12">
        <f t="shared" si="139"/>
        <v>10400</v>
      </c>
      <c r="M469" s="10">
        <v>18</v>
      </c>
      <c r="N469" s="30"/>
      <c r="O469" s="31"/>
      <c r="P469" s="32"/>
      <c r="Q469" s="32"/>
      <c r="R469" s="32"/>
      <c r="S469" s="32">
        <f t="shared" si="140"/>
        <v>0</v>
      </c>
      <c r="T469" s="12"/>
      <c r="U469" s="12"/>
      <c r="V469" s="12"/>
      <c r="W469" s="12">
        <f t="shared" si="141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48"/>
        <v>0</v>
      </c>
      <c r="AF469" s="12"/>
      <c r="AG469" s="12"/>
      <c r="AH469" s="12"/>
      <c r="AI469" s="12">
        <f t="shared" si="143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 t="s">
        <v>63</v>
      </c>
      <c r="C470" s="83">
        <f t="shared" si="144"/>
        <v>9945</v>
      </c>
      <c r="D470" s="32">
        <f>650*5+9.5*5</f>
        <v>3297.5</v>
      </c>
      <c r="E470" s="32"/>
      <c r="F470" s="32"/>
      <c r="G470" s="32">
        <f t="shared" si="138"/>
        <v>3297.5</v>
      </c>
      <c r="H470" s="12"/>
      <c r="I470" s="12"/>
      <c r="J470" s="12"/>
      <c r="K470" s="12">
        <f t="shared" si="139"/>
        <v>3297.5</v>
      </c>
      <c r="M470" s="10">
        <v>19</v>
      </c>
      <c r="N470" s="30"/>
      <c r="O470" s="31"/>
      <c r="P470" s="32"/>
      <c r="Q470" s="32"/>
      <c r="R470" s="32"/>
      <c r="S470" s="32">
        <f t="shared" si="140"/>
        <v>0</v>
      </c>
      <c r="T470" s="12"/>
      <c r="U470" s="12"/>
      <c r="V470" s="12"/>
      <c r="W470" s="12">
        <f t="shared" si="141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48"/>
        <v>0</v>
      </c>
      <c r="AF470" s="12"/>
      <c r="AG470" s="12"/>
      <c r="AH470" s="12"/>
      <c r="AI470" s="12">
        <f t="shared" si="143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 t="s">
        <v>63</v>
      </c>
      <c r="C471" s="83">
        <f t="shared" si="144"/>
        <v>9946</v>
      </c>
      <c r="D471" s="32">
        <f>650*4+9.5*4</f>
        <v>2638</v>
      </c>
      <c r="E471" s="32"/>
      <c r="F471" s="32"/>
      <c r="G471" s="32">
        <f t="shared" si="138"/>
        <v>2638</v>
      </c>
      <c r="H471" s="12"/>
      <c r="I471" s="12"/>
      <c r="J471" s="12"/>
      <c r="K471" s="12">
        <f t="shared" si="139"/>
        <v>2638</v>
      </c>
      <c r="M471" s="10">
        <v>20</v>
      </c>
      <c r="N471" s="30"/>
      <c r="O471" s="31"/>
      <c r="P471" s="32"/>
      <c r="Q471" s="32"/>
      <c r="R471" s="32"/>
      <c r="S471" s="32">
        <f t="shared" si="140"/>
        <v>0</v>
      </c>
      <c r="T471" s="12"/>
      <c r="U471" s="12"/>
      <c r="V471" s="12"/>
      <c r="W471" s="12">
        <f t="shared" si="141"/>
        <v>0</v>
      </c>
      <c r="Y471" s="10">
        <v>20</v>
      </c>
      <c r="Z471" s="30"/>
      <c r="AB471" s="32"/>
      <c r="AC471" s="32"/>
      <c r="AD471" s="32"/>
      <c r="AE471" s="32">
        <f t="shared" si="148"/>
        <v>0</v>
      </c>
      <c r="AF471" s="12"/>
      <c r="AG471" s="12"/>
      <c r="AH471" s="12"/>
      <c r="AI471" s="12">
        <f t="shared" si="143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 t="s">
        <v>63</v>
      </c>
      <c r="C472" s="83">
        <f t="shared" si="144"/>
        <v>9947</v>
      </c>
      <c r="D472" s="32">
        <f>650</f>
        <v>650</v>
      </c>
      <c r="E472" s="32"/>
      <c r="F472" s="32"/>
      <c r="G472" s="32">
        <f t="shared" si="138"/>
        <v>650</v>
      </c>
      <c r="H472" s="10"/>
      <c r="I472" s="10"/>
      <c r="J472" s="10"/>
      <c r="K472" s="12">
        <f t="shared" si="139"/>
        <v>650</v>
      </c>
      <c r="M472" s="10">
        <v>21</v>
      </c>
      <c r="N472" s="30"/>
      <c r="O472" s="11"/>
      <c r="P472" s="46"/>
      <c r="Q472" s="31"/>
      <c r="R472" s="31"/>
      <c r="S472" s="32">
        <f t="shared" si="140"/>
        <v>0</v>
      </c>
      <c r="T472" s="10"/>
      <c r="U472" s="10"/>
      <c r="V472" s="10"/>
      <c r="W472" s="12">
        <f t="shared" si="141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48"/>
        <v>0</v>
      </c>
      <c r="AF472" s="10"/>
      <c r="AG472" s="10"/>
      <c r="AH472" s="10"/>
      <c r="AI472" s="12">
        <f t="shared" si="143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11" t="s">
        <v>27</v>
      </c>
      <c r="D473" s="32"/>
      <c r="E473" s="32"/>
      <c r="F473" s="32"/>
      <c r="G473" s="32">
        <f t="shared" si="138"/>
        <v>0</v>
      </c>
      <c r="H473" s="10"/>
      <c r="I473" s="10"/>
      <c r="J473" s="10"/>
      <c r="K473" s="12">
        <f t="shared" si="139"/>
        <v>0</v>
      </c>
      <c r="M473" s="10">
        <v>22</v>
      </c>
      <c r="N473" s="30"/>
      <c r="O473" s="31"/>
      <c r="P473" s="45"/>
      <c r="Q473" s="31"/>
      <c r="R473" s="31"/>
      <c r="S473" s="32">
        <f t="shared" si="140"/>
        <v>0</v>
      </c>
      <c r="T473" s="10"/>
      <c r="U473" s="10"/>
      <c r="V473" s="10"/>
      <c r="W473" s="12">
        <f t="shared" si="141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48"/>
        <v>0</v>
      </c>
      <c r="AF473" s="10"/>
      <c r="AG473" s="10"/>
      <c r="AH473" s="10"/>
      <c r="AI473" s="12">
        <f t="shared" si="143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3"/>
      <c r="D474" s="32"/>
      <c r="E474" s="32"/>
      <c r="F474" s="32"/>
      <c r="G474" s="32">
        <f t="shared" si="138"/>
        <v>0</v>
      </c>
      <c r="H474" s="10"/>
      <c r="I474" s="10"/>
      <c r="J474" s="12"/>
      <c r="K474" s="12">
        <f t="shared" si="139"/>
        <v>0</v>
      </c>
      <c r="M474" s="10">
        <v>23</v>
      </c>
      <c r="N474" s="30"/>
      <c r="O474" s="31"/>
      <c r="P474" s="47"/>
      <c r="S474" s="32">
        <f t="shared" si="140"/>
        <v>0</v>
      </c>
      <c r="T474" s="10"/>
      <c r="U474" s="10"/>
      <c r="V474" s="10"/>
      <c r="W474" s="12">
        <f t="shared" si="141"/>
        <v>0</v>
      </c>
      <c r="Y474" s="10">
        <v>23</v>
      </c>
      <c r="Z474" s="30"/>
      <c r="AA474" s="31"/>
      <c r="AB474" s="47"/>
      <c r="AE474" s="32">
        <f t="shared" si="148"/>
        <v>0</v>
      </c>
      <c r="AF474" s="10"/>
      <c r="AG474" s="10"/>
      <c r="AH474" s="10"/>
      <c r="AI474" s="12">
        <f t="shared" si="143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3"/>
      <c r="D475" s="32"/>
      <c r="E475" s="32"/>
      <c r="F475" s="32"/>
      <c r="G475" s="32">
        <f t="shared" si="138"/>
        <v>0</v>
      </c>
      <c r="H475" s="10"/>
      <c r="I475" s="10"/>
      <c r="J475" s="10"/>
      <c r="K475" s="12">
        <f t="shared" si="139"/>
        <v>0</v>
      </c>
      <c r="M475" s="10">
        <v>24</v>
      </c>
      <c r="N475" s="30"/>
      <c r="O475" s="31"/>
      <c r="P475" s="47"/>
      <c r="Q475" s="31"/>
      <c r="R475" s="31"/>
      <c r="S475" s="32">
        <f t="shared" si="140"/>
        <v>0</v>
      </c>
      <c r="T475" s="10"/>
      <c r="U475" s="10"/>
      <c r="V475" s="10"/>
      <c r="W475" s="12">
        <f t="shared" si="141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48"/>
        <v>0</v>
      </c>
      <c r="AF475" s="10"/>
      <c r="AG475" s="10"/>
      <c r="AH475" s="10"/>
      <c r="AI475" s="12">
        <f t="shared" si="143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3"/>
      <c r="D476" s="32"/>
      <c r="E476" s="32"/>
      <c r="F476" s="32"/>
      <c r="G476" s="32">
        <f t="shared" si="138"/>
        <v>0</v>
      </c>
      <c r="H476" s="10"/>
      <c r="I476" s="10"/>
      <c r="J476" s="10"/>
      <c r="K476" s="12">
        <f t="shared" si="139"/>
        <v>0</v>
      </c>
      <c r="M476" s="10">
        <v>25</v>
      </c>
      <c r="N476" s="30"/>
      <c r="O476" s="31"/>
      <c r="P476" s="47"/>
      <c r="Q476" s="31"/>
      <c r="R476" s="31"/>
      <c r="S476" s="32">
        <f t="shared" si="140"/>
        <v>0</v>
      </c>
      <c r="T476" s="10"/>
      <c r="U476" s="10"/>
      <c r="V476" s="10"/>
      <c r="W476" s="12">
        <f t="shared" si="141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48"/>
        <v>0</v>
      </c>
      <c r="AF476" s="10"/>
      <c r="AG476" s="10"/>
      <c r="AH476" s="10"/>
      <c r="AI476" s="12">
        <f t="shared" si="143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3"/>
      <c r="D477" s="32"/>
      <c r="E477" s="32"/>
      <c r="F477" s="32"/>
      <c r="G477" s="32">
        <f t="shared" si="138"/>
        <v>0</v>
      </c>
      <c r="H477" s="10"/>
      <c r="I477" s="10"/>
      <c r="J477" s="10"/>
      <c r="K477" s="12">
        <f t="shared" si="139"/>
        <v>0</v>
      </c>
      <c r="M477" s="10">
        <v>26</v>
      </c>
      <c r="N477" s="30"/>
      <c r="O477" s="31"/>
      <c r="P477" s="47"/>
      <c r="Q477" s="31"/>
      <c r="R477" s="31"/>
      <c r="S477" s="32">
        <f t="shared" si="140"/>
        <v>0</v>
      </c>
      <c r="T477" s="10"/>
      <c r="U477" s="10"/>
      <c r="V477" s="10"/>
      <c r="W477" s="12">
        <f t="shared" si="141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48"/>
        <v>0</v>
      </c>
      <c r="AF477" s="10"/>
      <c r="AG477" s="10"/>
      <c r="AH477" s="10"/>
      <c r="AI477" s="12">
        <f t="shared" si="143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3"/>
      <c r="D478" s="32"/>
      <c r="E478" s="32"/>
      <c r="F478" s="32"/>
      <c r="G478" s="32">
        <f t="shared" si="138"/>
        <v>0</v>
      </c>
      <c r="H478" s="10"/>
      <c r="I478" s="10"/>
      <c r="J478" s="10"/>
      <c r="K478" s="12">
        <f t="shared" si="139"/>
        <v>0</v>
      </c>
      <c r="M478" s="10">
        <v>27</v>
      </c>
      <c r="N478" s="30"/>
      <c r="O478" s="31"/>
      <c r="P478" s="47"/>
      <c r="Q478" s="31"/>
      <c r="R478" s="31"/>
      <c r="S478" s="32">
        <f t="shared" si="140"/>
        <v>0</v>
      </c>
      <c r="T478" s="10"/>
      <c r="U478" s="10"/>
      <c r="V478" s="10"/>
      <c r="W478" s="12">
        <f t="shared" si="141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48"/>
        <v>0</v>
      </c>
      <c r="AF478" s="10"/>
      <c r="AG478" s="10"/>
      <c r="AH478" s="10"/>
      <c r="AI478" s="12">
        <f t="shared" si="143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3"/>
      <c r="D479" s="32"/>
      <c r="E479" s="32"/>
      <c r="F479" s="32"/>
      <c r="G479" s="32">
        <f t="shared" si="138"/>
        <v>0</v>
      </c>
      <c r="H479" s="10"/>
      <c r="I479" s="10"/>
      <c r="J479" s="10"/>
      <c r="K479" s="12">
        <f t="shared" si="139"/>
        <v>0</v>
      </c>
      <c r="M479" s="10">
        <v>28</v>
      </c>
      <c r="N479" s="30"/>
      <c r="O479" s="31"/>
      <c r="P479" s="47"/>
      <c r="Q479" s="31"/>
      <c r="R479" s="31"/>
      <c r="S479" s="32">
        <f t="shared" si="140"/>
        <v>0</v>
      </c>
      <c r="T479" s="10"/>
      <c r="U479" s="10"/>
      <c r="V479" s="10"/>
      <c r="W479" s="12">
        <f t="shared" si="141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48"/>
        <v>0</v>
      </c>
      <c r="AF479" s="10"/>
      <c r="AG479" s="10"/>
      <c r="AH479" s="10"/>
      <c r="AI479" s="12">
        <f t="shared" si="143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83"/>
      <c r="D480" s="32"/>
      <c r="E480" s="32"/>
      <c r="F480" s="32"/>
      <c r="G480" s="32">
        <f t="shared" si="138"/>
        <v>0</v>
      </c>
      <c r="H480" s="10"/>
      <c r="I480" s="10"/>
      <c r="J480" s="10"/>
      <c r="K480" s="12">
        <f t="shared" si="139"/>
        <v>0</v>
      </c>
      <c r="M480" s="10">
        <v>29</v>
      </c>
      <c r="N480" s="30"/>
      <c r="O480" s="31"/>
      <c r="P480" s="47"/>
      <c r="Q480" s="31"/>
      <c r="R480" s="31"/>
      <c r="S480" s="32">
        <f t="shared" si="140"/>
        <v>0</v>
      </c>
      <c r="T480" s="10"/>
      <c r="U480" s="10"/>
      <c r="V480" s="10"/>
      <c r="W480" s="12">
        <f t="shared" si="141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48"/>
        <v>0</v>
      </c>
      <c r="AF480" s="10"/>
      <c r="AG480" s="10"/>
      <c r="AH480" s="10"/>
      <c r="AI480" s="12">
        <f t="shared" si="143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3"/>
      <c r="D481" s="32"/>
      <c r="E481" s="32"/>
      <c r="F481" s="32"/>
      <c r="G481" s="32">
        <f t="shared" si="138"/>
        <v>0</v>
      </c>
      <c r="H481" s="10"/>
      <c r="I481" s="10"/>
      <c r="J481" s="10"/>
      <c r="K481" s="12">
        <f t="shared" si="139"/>
        <v>0</v>
      </c>
      <c r="M481" s="10">
        <v>30</v>
      </c>
      <c r="N481" s="30"/>
      <c r="O481" s="31"/>
      <c r="P481" s="47"/>
      <c r="Q481" s="31"/>
      <c r="R481" s="31"/>
      <c r="S481" s="32">
        <f t="shared" si="140"/>
        <v>0</v>
      </c>
      <c r="T481" s="10"/>
      <c r="U481" s="10"/>
      <c r="V481" s="10"/>
      <c r="W481" s="12">
        <f t="shared" si="141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48"/>
        <v>0</v>
      </c>
      <c r="AF481" s="10"/>
      <c r="AG481" s="10"/>
      <c r="AH481" s="10"/>
      <c r="AI481" s="12">
        <f t="shared" si="143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11"/>
      <c r="D482" s="32"/>
      <c r="E482" s="32"/>
      <c r="F482" s="32"/>
      <c r="G482" s="32">
        <f t="shared" si="138"/>
        <v>0</v>
      </c>
      <c r="H482" s="10"/>
      <c r="I482" s="10"/>
      <c r="J482" s="10"/>
      <c r="K482" s="12">
        <f t="shared" si="139"/>
        <v>0</v>
      </c>
      <c r="M482" s="10">
        <v>31</v>
      </c>
      <c r="N482" s="30"/>
      <c r="O482" s="31"/>
      <c r="P482" s="47"/>
      <c r="Q482" s="31"/>
      <c r="R482" s="31"/>
      <c r="S482" s="32">
        <f t="shared" si="140"/>
        <v>0</v>
      </c>
      <c r="T482" s="10"/>
      <c r="U482" s="10"/>
      <c r="V482" s="10"/>
      <c r="W482" s="12">
        <f t="shared" si="141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48"/>
        <v>0</v>
      </c>
      <c r="AF482" s="10"/>
      <c r="AG482" s="10"/>
      <c r="AH482" s="10"/>
      <c r="AI482" s="12">
        <f t="shared" si="143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3"/>
      <c r="D483" s="32"/>
      <c r="E483" s="32"/>
      <c r="F483" s="32"/>
      <c r="G483" s="32">
        <f t="shared" si="138"/>
        <v>0</v>
      </c>
      <c r="H483" s="10"/>
      <c r="I483" s="10"/>
      <c r="J483" s="10"/>
      <c r="K483" s="12">
        <f t="shared" si="139"/>
        <v>0</v>
      </c>
      <c r="M483" s="10">
        <v>32</v>
      </c>
      <c r="N483" s="30"/>
      <c r="O483" s="31"/>
      <c r="P483" s="47"/>
      <c r="Q483" s="31"/>
      <c r="R483" s="31"/>
      <c r="S483" s="32">
        <f t="shared" si="140"/>
        <v>0</v>
      </c>
      <c r="T483" s="10"/>
      <c r="U483" s="10"/>
      <c r="V483" s="10"/>
      <c r="W483" s="12">
        <f t="shared" si="141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48"/>
        <v>0</v>
      </c>
      <c r="AF483" s="10"/>
      <c r="AG483" s="10"/>
      <c r="AH483" s="10"/>
      <c r="AI483" s="12">
        <f t="shared" si="143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3"/>
      <c r="D484" s="32"/>
      <c r="E484" s="32"/>
      <c r="F484" s="32"/>
      <c r="G484" s="32">
        <f t="shared" si="138"/>
        <v>0</v>
      </c>
      <c r="H484" s="10"/>
      <c r="I484" s="10"/>
      <c r="J484" s="10"/>
      <c r="K484" s="12">
        <f t="shared" si="139"/>
        <v>0</v>
      </c>
      <c r="M484" s="10">
        <v>33</v>
      </c>
      <c r="N484" s="30"/>
      <c r="O484" s="31"/>
      <c r="P484" s="47"/>
      <c r="Q484" s="31"/>
      <c r="R484" s="31"/>
      <c r="S484" s="32">
        <f t="shared" si="140"/>
        <v>0</v>
      </c>
      <c r="T484" s="10"/>
      <c r="U484" s="10"/>
      <c r="V484" s="10"/>
      <c r="W484" s="12">
        <f t="shared" si="141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48"/>
        <v>0</v>
      </c>
      <c r="AF484" s="10"/>
      <c r="AG484" s="10"/>
      <c r="AH484" s="10"/>
      <c r="AI484" s="12">
        <f t="shared" si="143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3"/>
      <c r="D485" s="32"/>
      <c r="E485" s="32"/>
      <c r="F485" s="32"/>
      <c r="G485" s="32">
        <f t="shared" si="138"/>
        <v>0</v>
      </c>
      <c r="H485" s="10"/>
      <c r="I485" s="10"/>
      <c r="J485" s="10"/>
      <c r="K485" s="12">
        <f t="shared" si="139"/>
        <v>0</v>
      </c>
      <c r="M485" s="10">
        <v>34</v>
      </c>
      <c r="N485" s="30"/>
      <c r="O485" s="31"/>
      <c r="P485" s="47"/>
      <c r="Q485" s="31"/>
      <c r="R485" s="31"/>
      <c r="S485" s="32">
        <f t="shared" si="140"/>
        <v>0</v>
      </c>
      <c r="T485" s="10"/>
      <c r="U485" s="10"/>
      <c r="V485" s="10"/>
      <c r="W485" s="12">
        <f t="shared" si="141"/>
        <v>0</v>
      </c>
      <c r="Y485" s="10">
        <v>34</v>
      </c>
      <c r="Z485" s="30"/>
      <c r="AA485" s="31"/>
      <c r="AB485" s="47"/>
      <c r="AC485" s="31"/>
      <c r="AD485" s="31"/>
      <c r="AE485" s="32">
        <f t="shared" si="148"/>
        <v>0</v>
      </c>
      <c r="AF485" s="10"/>
      <c r="AG485" s="10"/>
      <c r="AH485" s="10"/>
      <c r="AI485" s="12">
        <f t="shared" ref="AI485:AI493" si="149">SUM(AE485:AH485)</f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3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40"/>
        <v>0</v>
      </c>
      <c r="T486" s="10"/>
      <c r="U486" s="10"/>
      <c r="V486" s="10"/>
      <c r="W486" s="12">
        <f t="shared" si="141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48"/>
        <v>0</v>
      </c>
      <c r="AF486" s="10"/>
      <c r="AG486" s="10"/>
      <c r="AH486" s="10"/>
      <c r="AI486" s="12">
        <f t="shared" si="149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3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40"/>
        <v>0</v>
      </c>
      <c r="T487" s="10"/>
      <c r="U487" s="10"/>
      <c r="V487" s="10"/>
      <c r="W487" s="12">
        <f t="shared" si="141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48"/>
        <v>0</v>
      </c>
      <c r="AF487" s="10"/>
      <c r="AG487" s="10"/>
      <c r="AH487" s="10"/>
      <c r="AI487" s="12">
        <f t="shared" si="149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40"/>
        <v>0</v>
      </c>
      <c r="T488" s="10"/>
      <c r="U488" s="10"/>
      <c r="V488" s="10"/>
      <c r="W488" s="12">
        <f t="shared" si="141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48"/>
        <v>0</v>
      </c>
      <c r="AF488" s="10"/>
      <c r="AG488" s="10"/>
      <c r="AH488" s="10"/>
      <c r="AI488" s="12">
        <f t="shared" si="149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40"/>
        <v>0</v>
      </c>
      <c r="T489" s="10"/>
      <c r="U489" s="10"/>
      <c r="V489" s="10"/>
      <c r="W489" s="12">
        <f t="shared" si="141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48"/>
        <v>0</v>
      </c>
      <c r="AF489" s="10"/>
      <c r="AG489" s="10"/>
      <c r="AH489" s="10"/>
      <c r="AI489" s="12">
        <f t="shared" si="149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40"/>
        <v>0</v>
      </c>
      <c r="T490" s="10"/>
      <c r="U490" s="10"/>
      <c r="V490" s="10"/>
      <c r="W490" s="12">
        <f t="shared" si="141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48"/>
        <v>0</v>
      </c>
      <c r="AF490" s="10"/>
      <c r="AG490" s="10"/>
      <c r="AH490" s="10"/>
      <c r="AI490" s="12">
        <f t="shared" si="149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41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49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50">SUM(D492:E492)</f>
        <v>0</v>
      </c>
      <c r="H492" s="10"/>
      <c r="I492" s="10"/>
      <c r="J492" s="10"/>
      <c r="K492" s="12">
        <f t="shared" ref="K492" si="151">SUM(G492:J492)</f>
        <v>0</v>
      </c>
      <c r="M492" s="10"/>
      <c r="N492" s="30"/>
      <c r="O492" s="31"/>
      <c r="P492" s="47"/>
      <c r="Q492" s="31"/>
      <c r="R492" s="31"/>
      <c r="S492" s="32">
        <f t="shared" ref="S492" si="152">SUM(P492:Q492)</f>
        <v>0</v>
      </c>
      <c r="T492" s="10"/>
      <c r="U492" s="10"/>
      <c r="V492" s="10"/>
      <c r="W492" s="12">
        <f t="shared" si="141"/>
        <v>0</v>
      </c>
      <c r="Y492" s="10"/>
      <c r="Z492" s="30"/>
      <c r="AA492" s="31"/>
      <c r="AB492" s="47"/>
      <c r="AC492" s="31"/>
      <c r="AD492" s="31"/>
      <c r="AE492" s="32">
        <f t="shared" ref="AE492" si="153">SUM(AB492:AC492)</f>
        <v>0</v>
      </c>
      <c r="AF492" s="10"/>
      <c r="AG492" s="10"/>
      <c r="AH492" s="10"/>
      <c r="AI492" s="12">
        <f t="shared" si="149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41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49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231785</v>
      </c>
      <c r="E495" s="38">
        <f t="shared" ref="E495:F495" si="154">SUM(E452:E492)</f>
        <v>-60</v>
      </c>
      <c r="F495" s="38">
        <f t="shared" si="154"/>
        <v>0</v>
      </c>
      <c r="G495" s="38">
        <f>SUM(G452:G494)</f>
        <v>231725</v>
      </c>
      <c r="H495" s="4"/>
      <c r="I495" s="39">
        <f>SUM(I452:I494)</f>
        <v>178.5</v>
      </c>
      <c r="J495" s="39">
        <f>SUM(J452:J494)</f>
        <v>0</v>
      </c>
      <c r="K495" s="40">
        <f>SUM(K452:K494)</f>
        <v>231903.5</v>
      </c>
      <c r="N495" s="57"/>
      <c r="O495" s="57"/>
      <c r="P495" s="38">
        <f>SUM(P452:P494)</f>
        <v>278581</v>
      </c>
      <c r="Q495" s="38">
        <f>SUM(Q452:Q476)</f>
        <v>-2286</v>
      </c>
      <c r="R495" s="38">
        <f>SUM(R452:R476)</f>
        <v>0</v>
      </c>
      <c r="S495" s="38">
        <f>SUM(S452:S494)</f>
        <v>276295</v>
      </c>
      <c r="T495" s="4"/>
      <c r="U495" s="41">
        <f>SUM(U452:U494)</f>
        <v>864</v>
      </c>
      <c r="V495" s="41">
        <f>SUM(V452:V476)</f>
        <v>-4164</v>
      </c>
      <c r="W495" s="42">
        <f>SUM(W452:W494)</f>
        <v>272995</v>
      </c>
      <c r="Z495" s="57"/>
      <c r="AA495" s="57"/>
      <c r="AB495" s="38">
        <f>SUM(AB452:AB494)</f>
        <v>383487</v>
      </c>
      <c r="AC495" s="38">
        <f>SUM(AC452:AC476)</f>
        <v>-2856</v>
      </c>
      <c r="AD495" s="38">
        <f>SUM(AD452:AD476)</f>
        <v>0</v>
      </c>
      <c r="AE495" s="38">
        <f>SUM(AE452:AE494)</f>
        <v>380631</v>
      </c>
      <c r="AF495" s="4"/>
      <c r="AG495" s="41">
        <f>SUM(AG452:AG494)</f>
        <v>4045.5</v>
      </c>
      <c r="AH495" s="41">
        <f>SUM(AH452:AH476)</f>
        <v>0</v>
      </c>
      <c r="AI495" s="42">
        <f>SUM(AI452:AI494)</f>
        <v>384676.5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37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37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37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65</v>
      </c>
      <c r="B503" s="20"/>
      <c r="C503" s="57"/>
      <c r="D503" s="57"/>
      <c r="E503" s="57"/>
      <c r="G503" s="57"/>
      <c r="I503" s="22" t="s">
        <v>16</v>
      </c>
      <c r="J503" s="23" t="s">
        <v>31</v>
      </c>
      <c r="K503" s="24"/>
      <c r="M503" s="21" t="s">
        <v>65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33</v>
      </c>
      <c r="W503" s="24"/>
      <c r="Y503" s="21" t="s">
        <v>65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34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12" t="s">
        <v>17</v>
      </c>
      <c r="E505" s="112"/>
      <c r="F505" s="100"/>
      <c r="G505" s="27"/>
      <c r="I505" s="110" t="s">
        <v>18</v>
      </c>
      <c r="J505" s="111"/>
      <c r="K505" s="108" t="s">
        <v>19</v>
      </c>
      <c r="N505" s="25"/>
      <c r="O505" s="26"/>
      <c r="P505" s="112" t="s">
        <v>17</v>
      </c>
      <c r="Q505" s="112"/>
      <c r="R505" s="100"/>
      <c r="S505" s="27"/>
      <c r="U505" s="110" t="s">
        <v>18</v>
      </c>
      <c r="V505" s="111"/>
      <c r="W505" s="108" t="s">
        <v>19</v>
      </c>
      <c r="Z505" s="25"/>
      <c r="AA505" s="26"/>
      <c r="AB505" s="112" t="s">
        <v>17</v>
      </c>
      <c r="AC505" s="112"/>
      <c r="AD505" s="100"/>
      <c r="AE505" s="27"/>
      <c r="AG505" s="110" t="s">
        <v>18</v>
      </c>
      <c r="AH505" s="111"/>
      <c r="AI505" s="108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32</v>
      </c>
      <c r="G506" s="78" t="s">
        <v>24</v>
      </c>
      <c r="I506" s="29" t="s">
        <v>25</v>
      </c>
      <c r="J506" s="29" t="s">
        <v>26</v>
      </c>
      <c r="K506" s="109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32</v>
      </c>
      <c r="S506" s="78" t="s">
        <v>24</v>
      </c>
      <c r="U506" s="29" t="s">
        <v>25</v>
      </c>
      <c r="V506" s="29" t="s">
        <v>26</v>
      </c>
      <c r="W506" s="109"/>
      <c r="Z506" s="28" t="s">
        <v>20</v>
      </c>
      <c r="AA506" s="28" t="s">
        <v>21</v>
      </c>
      <c r="AB506" s="77" t="s">
        <v>22</v>
      </c>
      <c r="AC506" s="78" t="s">
        <v>23</v>
      </c>
      <c r="AD506" s="78" t="s">
        <v>32</v>
      </c>
      <c r="AE506" s="78" t="s">
        <v>24</v>
      </c>
      <c r="AG506" s="29" t="s">
        <v>25</v>
      </c>
      <c r="AH506" s="29" t="s">
        <v>26</v>
      </c>
      <c r="AI506" s="109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 t="s">
        <v>66</v>
      </c>
      <c r="C507" s="83">
        <v>9948</v>
      </c>
      <c r="D507" s="32">
        <f>650*115+670*4+700*5+622*10+1050+872+229*5+650</f>
        <v>90867</v>
      </c>
      <c r="E507" s="32"/>
      <c r="F507" s="32"/>
      <c r="G507" s="32">
        <f t="shared" ref="G507:G540" si="155">SUM(D507:E507)</f>
        <v>90867</v>
      </c>
      <c r="H507" s="12"/>
      <c r="I507" s="12">
        <f>78*5</f>
        <v>390</v>
      </c>
      <c r="J507" s="12"/>
      <c r="K507" s="12">
        <f t="shared" ref="K507:K540" si="156">SUM(G507:J507)</f>
        <v>91257</v>
      </c>
      <c r="M507" s="10">
        <v>1</v>
      </c>
      <c r="N507" s="30" t="s">
        <v>66</v>
      </c>
      <c r="O507" s="31">
        <v>10152</v>
      </c>
      <c r="P507" s="32">
        <f>650*300+973*5+622*30+229*13</f>
        <v>221502</v>
      </c>
      <c r="Q507" s="32">
        <f>-335*6</f>
        <v>-2010</v>
      </c>
      <c r="R507" s="32"/>
      <c r="S507" s="32">
        <f>SUM(P507:Q507)</f>
        <v>219492</v>
      </c>
      <c r="T507" s="12"/>
      <c r="U507" s="12">
        <f>858+120</f>
        <v>978</v>
      </c>
      <c r="V507" s="12">
        <f>-4329+-84+-252</f>
        <v>-4665</v>
      </c>
      <c r="W507" s="12">
        <f>SUM(S507:V507)</f>
        <v>215805</v>
      </c>
      <c r="Y507" s="10">
        <v>1</v>
      </c>
      <c r="Z507" s="30" t="s">
        <v>66</v>
      </c>
      <c r="AA507" s="31">
        <v>10032</v>
      </c>
      <c r="AB507" s="32">
        <f>650*158+622*58+872+229*5</f>
        <v>140793</v>
      </c>
      <c r="AC507" s="32"/>
      <c r="AD507" s="32"/>
      <c r="AE507" s="32">
        <f>SUM(AB507:AC507)</f>
        <v>140793</v>
      </c>
      <c r="AF507" s="12"/>
      <c r="AG507" s="12">
        <v>9657</v>
      </c>
      <c r="AH507" s="12"/>
      <c r="AI507" s="12">
        <f>SUM(AE507:AH507)</f>
        <v>150450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 t="s">
        <v>66</v>
      </c>
      <c r="C508" s="83">
        <f>C507+1</f>
        <v>9949</v>
      </c>
      <c r="D508" s="32">
        <f>650*216+670*20+912*10+229*9+650</f>
        <v>165631</v>
      </c>
      <c r="E508" s="32">
        <f>-246*6</f>
        <v>-1476</v>
      </c>
      <c r="F508" s="32"/>
      <c r="G508" s="32">
        <f t="shared" si="155"/>
        <v>164155</v>
      </c>
      <c r="H508" s="12"/>
      <c r="I508" s="12">
        <f>111*110+78*8</f>
        <v>12834</v>
      </c>
      <c r="J508" s="12">
        <f>-84+-336+-30+-9</f>
        <v>-459</v>
      </c>
      <c r="K508" s="12">
        <f t="shared" si="156"/>
        <v>176530</v>
      </c>
      <c r="M508" s="10">
        <v>2</v>
      </c>
      <c r="N508" s="30" t="s">
        <v>66</v>
      </c>
      <c r="O508" s="31">
        <f>O507+1</f>
        <v>10153</v>
      </c>
      <c r="P508" s="32">
        <f>650*35+670+622*5+912+872</f>
        <v>28314</v>
      </c>
      <c r="Q508" s="32"/>
      <c r="R508" s="32"/>
      <c r="S508" s="32">
        <f t="shared" ref="S508:S545" si="157">SUM(P508:Q508)</f>
        <v>28314</v>
      </c>
      <c r="T508" s="12"/>
      <c r="U508" s="12">
        <v>135</v>
      </c>
      <c r="V508" s="12">
        <v>-555</v>
      </c>
      <c r="W508" s="12">
        <f t="shared" ref="W508:W548" si="158">SUM(S508:V508)</f>
        <v>27894</v>
      </c>
      <c r="Y508" s="10">
        <v>2</v>
      </c>
      <c r="Z508" s="30" t="s">
        <v>66</v>
      </c>
      <c r="AA508" s="31">
        <f>AA507+1</f>
        <v>10033</v>
      </c>
      <c r="AB508" s="32">
        <f>650*10+670+622+9.5*11</f>
        <v>7896.5</v>
      </c>
      <c r="AC508" s="32"/>
      <c r="AD508" s="32"/>
      <c r="AE508" s="32">
        <f t="shared" ref="AE508:AE510" si="159">SUM(AB508:AC508)</f>
        <v>7896.5</v>
      </c>
      <c r="AF508" s="12"/>
      <c r="AG508" s="12">
        <f>94.5+6.75</f>
        <v>101.25</v>
      </c>
      <c r="AH508" s="12"/>
      <c r="AI508" s="12">
        <f t="shared" ref="AI508:AI539" si="160">SUM(AE508:AH508)</f>
        <v>7997.75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 t="s">
        <v>66</v>
      </c>
      <c r="C509" s="83">
        <f t="shared" ref="C509" si="161">C508+1</f>
        <v>9950</v>
      </c>
      <c r="D509" s="33">
        <f>973*65+1050*2+872*3</f>
        <v>67961</v>
      </c>
      <c r="E509" s="32"/>
      <c r="F509" s="33"/>
      <c r="G509" s="33">
        <f t="shared" si="155"/>
        <v>67961</v>
      </c>
      <c r="H509" s="34"/>
      <c r="I509" s="34"/>
      <c r="J509" s="34"/>
      <c r="K509" s="34">
        <f t="shared" si="156"/>
        <v>67961</v>
      </c>
      <c r="M509" s="10">
        <v>3</v>
      </c>
      <c r="N509" s="30" t="s">
        <v>66</v>
      </c>
      <c r="O509" s="31">
        <f t="shared" ref="O509" si="162">O508+1</f>
        <v>10154</v>
      </c>
      <c r="P509" s="32">
        <f>650*3</f>
        <v>1950</v>
      </c>
      <c r="Q509" s="32"/>
      <c r="R509" s="32"/>
      <c r="S509" s="32">
        <f t="shared" si="157"/>
        <v>1950</v>
      </c>
      <c r="T509" s="12"/>
      <c r="U509" s="12"/>
      <c r="V509" s="12"/>
      <c r="W509" s="12">
        <f t="shared" si="158"/>
        <v>1950</v>
      </c>
      <c r="Y509" s="10">
        <v>3</v>
      </c>
      <c r="Z509" s="30" t="s">
        <v>66</v>
      </c>
      <c r="AA509" s="31">
        <f t="shared" ref="AA509:AA517" si="163">AA508+1</f>
        <v>10034</v>
      </c>
      <c r="AB509" s="33">
        <f>650*90+670*5+622*20+229*6+650*3</f>
        <v>77614</v>
      </c>
      <c r="AC509" s="33">
        <f>-115*6</f>
        <v>-690</v>
      </c>
      <c r="AD509" s="32"/>
      <c r="AE509" s="32">
        <f t="shared" si="159"/>
        <v>76924</v>
      </c>
      <c r="AF509" s="12"/>
      <c r="AG509" s="12">
        <f>12*1.5</f>
        <v>18</v>
      </c>
      <c r="AH509" s="12"/>
      <c r="AI509" s="12">
        <f t="shared" si="160"/>
        <v>76942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/>
      <c r="C510" s="11" t="s">
        <v>27</v>
      </c>
      <c r="D510" s="32"/>
      <c r="E510" s="32"/>
      <c r="F510" s="32"/>
      <c r="G510" s="32">
        <f t="shared" si="155"/>
        <v>0</v>
      </c>
      <c r="H510" s="12"/>
      <c r="I510" s="12"/>
      <c r="J510" s="12"/>
      <c r="K510" s="12">
        <f t="shared" si="156"/>
        <v>0</v>
      </c>
      <c r="M510" s="10">
        <v>4</v>
      </c>
      <c r="N510" s="30"/>
      <c r="O510" s="11" t="s">
        <v>27</v>
      </c>
      <c r="P510" s="32"/>
      <c r="Q510" s="32"/>
      <c r="R510" s="32"/>
      <c r="S510" s="32">
        <f t="shared" si="157"/>
        <v>0</v>
      </c>
      <c r="T510" s="12"/>
      <c r="U510" s="12"/>
      <c r="V510" s="12"/>
      <c r="W510" s="12">
        <f t="shared" si="158"/>
        <v>0</v>
      </c>
      <c r="Y510" s="10">
        <v>4</v>
      </c>
      <c r="Z510" s="30" t="s">
        <v>66</v>
      </c>
      <c r="AA510" s="31">
        <f t="shared" si="163"/>
        <v>10035</v>
      </c>
      <c r="AB510" s="32">
        <f>650*27+670*6+872*3+229+500</f>
        <v>24915</v>
      </c>
      <c r="AC510" s="32"/>
      <c r="AD510" s="32"/>
      <c r="AE510" s="32">
        <f t="shared" si="159"/>
        <v>24915</v>
      </c>
      <c r="AF510" s="12"/>
      <c r="AG510">
        <f>111+1.5*12</f>
        <v>129</v>
      </c>
      <c r="AH510" s="12"/>
      <c r="AI510" s="12">
        <f t="shared" si="160"/>
        <v>25044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/>
      <c r="C511" s="83"/>
      <c r="D511" s="32"/>
      <c r="E511" s="32"/>
      <c r="F511" s="32"/>
      <c r="G511" s="32">
        <f t="shared" si="155"/>
        <v>0</v>
      </c>
      <c r="H511" s="12"/>
      <c r="I511" s="12"/>
      <c r="J511" s="12"/>
      <c r="K511" s="12">
        <f t="shared" si="156"/>
        <v>0</v>
      </c>
      <c r="M511" s="10">
        <v>5</v>
      </c>
      <c r="N511" s="30"/>
      <c r="O511" s="31"/>
      <c r="P511" s="32"/>
      <c r="Q511" s="32"/>
      <c r="R511" s="32"/>
      <c r="S511" s="32">
        <f t="shared" si="157"/>
        <v>0</v>
      </c>
      <c r="T511" s="12"/>
      <c r="U511" s="12"/>
      <c r="V511" s="12"/>
      <c r="W511" s="12">
        <f t="shared" si="158"/>
        <v>0</v>
      </c>
      <c r="Y511" s="10">
        <v>5</v>
      </c>
      <c r="Z511" s="30" t="s">
        <v>66</v>
      </c>
      <c r="AA511" s="31">
        <f t="shared" si="163"/>
        <v>10036</v>
      </c>
      <c r="AB511" s="32"/>
      <c r="AC511" s="32"/>
      <c r="AD511" s="32"/>
      <c r="AE511" s="32">
        <f t="shared" ref="AE511:AE512" si="164">SUM(AB511:AC511)</f>
        <v>0</v>
      </c>
      <c r="AF511" s="12"/>
      <c r="AG511" s="12"/>
      <c r="AH511" s="12"/>
      <c r="AI511" s="12">
        <f t="shared" si="160"/>
        <v>0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/>
      <c r="C512" s="83"/>
      <c r="D512" s="32"/>
      <c r="E512" s="32"/>
      <c r="F512" s="32"/>
      <c r="G512" s="32">
        <f t="shared" si="155"/>
        <v>0</v>
      </c>
      <c r="H512" s="12"/>
      <c r="I512" s="12"/>
      <c r="J512" s="12"/>
      <c r="K512" s="12">
        <f t="shared" si="156"/>
        <v>0</v>
      </c>
      <c r="M512" s="10">
        <v>6</v>
      </c>
      <c r="N512" s="30"/>
      <c r="O512" s="31"/>
      <c r="P512" s="32"/>
      <c r="Q512" s="32"/>
      <c r="R512" s="32"/>
      <c r="S512" s="32">
        <f t="shared" si="157"/>
        <v>0</v>
      </c>
      <c r="T512" s="12"/>
      <c r="U512" s="12"/>
      <c r="V512" s="10"/>
      <c r="W512" s="12">
        <f t="shared" si="158"/>
        <v>0</v>
      </c>
      <c r="Y512" s="10">
        <v>6</v>
      </c>
      <c r="Z512" s="30" t="s">
        <v>66</v>
      </c>
      <c r="AA512" s="31">
        <f t="shared" si="163"/>
        <v>10037</v>
      </c>
      <c r="AB512" s="32">
        <f>650*80+670*8+622*12+1050+229*3</f>
        <v>66561</v>
      </c>
      <c r="AC512" s="32">
        <f>-101*6</f>
        <v>-606</v>
      </c>
      <c r="AD512" s="32"/>
      <c r="AE512" s="32">
        <f t="shared" si="164"/>
        <v>65955</v>
      </c>
      <c r="AF512" s="12"/>
      <c r="AG512" s="12">
        <f>31*111+2.25*84</f>
        <v>3630</v>
      </c>
      <c r="AH512" s="10"/>
      <c r="AI512" s="12">
        <f t="shared" si="160"/>
        <v>69585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/>
      <c r="C513" s="83"/>
      <c r="D513" s="32"/>
      <c r="E513" s="32"/>
      <c r="F513" s="32"/>
      <c r="G513" s="32">
        <f t="shared" si="155"/>
        <v>0</v>
      </c>
      <c r="H513" s="12"/>
      <c r="I513" s="12"/>
      <c r="J513" s="12"/>
      <c r="K513" s="12">
        <f t="shared" si="156"/>
        <v>0</v>
      </c>
      <c r="M513" s="10">
        <v>7</v>
      </c>
      <c r="N513" s="30"/>
      <c r="O513" s="31"/>
      <c r="P513" s="32"/>
      <c r="Q513" s="32"/>
      <c r="R513" s="32"/>
      <c r="S513" s="32">
        <f t="shared" si="157"/>
        <v>0</v>
      </c>
      <c r="T513" s="12"/>
      <c r="U513" s="12"/>
      <c r="V513" s="12"/>
      <c r="W513" s="12">
        <f t="shared" si="158"/>
        <v>0</v>
      </c>
      <c r="Y513" s="10">
        <v>7</v>
      </c>
      <c r="Z513" s="30" t="s">
        <v>66</v>
      </c>
      <c r="AA513" s="31">
        <f t="shared" si="163"/>
        <v>10038</v>
      </c>
      <c r="AB513" s="32">
        <f>650*108+622*20</f>
        <v>82640</v>
      </c>
      <c r="AC513" s="32">
        <v>-768</v>
      </c>
      <c r="AD513" s="32"/>
      <c r="AE513" s="32">
        <f>SUM(AB513:AC513)</f>
        <v>81872</v>
      </c>
      <c r="AF513" s="12"/>
      <c r="AG513" s="58"/>
      <c r="AH513" s="12"/>
      <c r="AI513" s="12">
        <f t="shared" si="160"/>
        <v>81872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/>
      <c r="C514" s="83"/>
      <c r="D514" s="32"/>
      <c r="E514" s="32"/>
      <c r="F514" s="32"/>
      <c r="G514" s="32">
        <f t="shared" si="155"/>
        <v>0</v>
      </c>
      <c r="H514" s="12"/>
      <c r="I514" s="12"/>
      <c r="J514" s="12"/>
      <c r="K514" s="12">
        <f t="shared" si="156"/>
        <v>0</v>
      </c>
      <c r="M514" s="10">
        <v>8</v>
      </c>
      <c r="N514" s="30"/>
      <c r="O514" s="31"/>
      <c r="P514" s="32"/>
      <c r="Q514" s="32"/>
      <c r="R514" s="32"/>
      <c r="S514" s="32">
        <f t="shared" si="157"/>
        <v>0</v>
      </c>
      <c r="T514" s="12"/>
      <c r="U514" s="12"/>
      <c r="V514" s="12"/>
      <c r="W514" s="12">
        <f t="shared" si="158"/>
        <v>0</v>
      </c>
      <c r="Y514" s="10">
        <v>8</v>
      </c>
      <c r="Z514" s="30" t="s">
        <v>66</v>
      </c>
      <c r="AA514" s="31">
        <f t="shared" si="163"/>
        <v>10039</v>
      </c>
      <c r="AB514" s="32">
        <f>650*26+229</f>
        <v>17129</v>
      </c>
      <c r="AC514" s="32"/>
      <c r="AE514" s="32">
        <f t="shared" ref="AE514:AE545" si="165">SUM(AB514:AC514)</f>
        <v>17129</v>
      </c>
      <c r="AF514" s="12"/>
      <c r="AG514" s="12">
        <f>4.5*20+2.25*3</f>
        <v>96.75</v>
      </c>
      <c r="AH514" s="12"/>
      <c r="AI514" s="12">
        <f t="shared" si="160"/>
        <v>17225.75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/>
      <c r="C515" s="83"/>
      <c r="D515" s="32"/>
      <c r="E515" s="32"/>
      <c r="F515" s="32"/>
      <c r="G515" s="32">
        <f t="shared" si="155"/>
        <v>0</v>
      </c>
      <c r="H515" s="12"/>
      <c r="I515" s="12"/>
      <c r="J515" s="12"/>
      <c r="K515" s="12">
        <f t="shared" si="156"/>
        <v>0</v>
      </c>
      <c r="M515" s="10">
        <v>9</v>
      </c>
      <c r="N515" s="30"/>
      <c r="O515" s="31"/>
      <c r="P515" s="32"/>
      <c r="Q515" s="32"/>
      <c r="R515" s="32"/>
      <c r="S515" s="32">
        <f t="shared" si="157"/>
        <v>0</v>
      </c>
      <c r="T515" s="12"/>
      <c r="U515" s="12"/>
      <c r="V515" s="12"/>
      <c r="W515" s="12">
        <f t="shared" si="158"/>
        <v>0</v>
      </c>
      <c r="Y515" s="10">
        <v>9</v>
      </c>
      <c r="Z515" s="30" t="s">
        <v>66</v>
      </c>
      <c r="AA515" s="31">
        <f t="shared" si="163"/>
        <v>10040</v>
      </c>
      <c r="AB515" s="32">
        <f>650*26+229</f>
        <v>17129</v>
      </c>
      <c r="AC515" s="32"/>
      <c r="AD515" s="32"/>
      <c r="AE515" s="32">
        <f t="shared" si="165"/>
        <v>17129</v>
      </c>
      <c r="AF515" s="12"/>
      <c r="AH515" s="12">
        <v>-1332</v>
      </c>
      <c r="AI515" s="12">
        <f t="shared" si="160"/>
        <v>15797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83"/>
      <c r="D516" s="32"/>
      <c r="E516" s="32"/>
      <c r="F516" s="32"/>
      <c r="G516" s="32">
        <f t="shared" si="155"/>
        <v>0</v>
      </c>
      <c r="H516" s="12"/>
      <c r="I516" s="12"/>
      <c r="J516" s="12"/>
      <c r="K516" s="12">
        <f t="shared" si="156"/>
        <v>0</v>
      </c>
      <c r="M516" s="10">
        <v>10</v>
      </c>
      <c r="N516" s="30"/>
      <c r="O516" s="31"/>
      <c r="P516" s="32"/>
      <c r="Q516" s="32"/>
      <c r="R516" s="32"/>
      <c r="S516" s="32">
        <f t="shared" si="157"/>
        <v>0</v>
      </c>
      <c r="T516" s="12"/>
      <c r="U516" s="12"/>
      <c r="V516" s="12"/>
      <c r="W516" s="12">
        <f t="shared" si="158"/>
        <v>0</v>
      </c>
      <c r="Y516" s="10">
        <v>10</v>
      </c>
      <c r="Z516" s="30" t="s">
        <v>66</v>
      </c>
      <c r="AA516" s="31">
        <f t="shared" si="163"/>
        <v>10041</v>
      </c>
      <c r="AB516" s="32">
        <f>650*2</f>
        <v>1300</v>
      </c>
      <c r="AC516" s="32"/>
      <c r="AD516" s="32"/>
      <c r="AE516" s="32">
        <f t="shared" si="165"/>
        <v>1300</v>
      </c>
      <c r="AF516" s="12"/>
      <c r="AG516" s="12"/>
      <c r="AH516" s="12"/>
      <c r="AI516" s="12">
        <f t="shared" si="160"/>
        <v>1300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83"/>
      <c r="D517" s="32"/>
      <c r="E517" s="32"/>
      <c r="F517" s="32"/>
      <c r="G517" s="32">
        <f t="shared" si="155"/>
        <v>0</v>
      </c>
      <c r="H517" s="12"/>
      <c r="I517" s="12"/>
      <c r="J517" s="12"/>
      <c r="K517" s="12">
        <f t="shared" si="156"/>
        <v>0</v>
      </c>
      <c r="M517" s="10">
        <v>11</v>
      </c>
      <c r="N517" s="30"/>
      <c r="O517" s="31"/>
      <c r="P517" s="32"/>
      <c r="Q517" s="32"/>
      <c r="R517" s="32"/>
      <c r="S517" s="32">
        <f t="shared" si="157"/>
        <v>0</v>
      </c>
      <c r="T517" s="12"/>
      <c r="U517" s="12"/>
      <c r="V517" s="12"/>
      <c r="W517" s="12">
        <f t="shared" si="158"/>
        <v>0</v>
      </c>
      <c r="Y517" s="10">
        <v>11</v>
      </c>
      <c r="Z517" s="30" t="s">
        <v>66</v>
      </c>
      <c r="AA517" s="31">
        <f t="shared" si="163"/>
        <v>10042</v>
      </c>
      <c r="AB517" s="32">
        <f>650*35+622*12</f>
        <v>30214</v>
      </c>
      <c r="AC517" s="32"/>
      <c r="AD517" s="32"/>
      <c r="AE517" s="32">
        <f t="shared" si="165"/>
        <v>30214</v>
      </c>
      <c r="AF517" s="12"/>
      <c r="AG517" s="12"/>
      <c r="AH517" s="12"/>
      <c r="AI517" s="12">
        <f t="shared" si="160"/>
        <v>30214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83"/>
      <c r="D518" s="32"/>
      <c r="E518" s="32"/>
      <c r="F518" s="32"/>
      <c r="G518" s="32">
        <f t="shared" si="155"/>
        <v>0</v>
      </c>
      <c r="H518" s="12"/>
      <c r="I518" s="12"/>
      <c r="J518" s="10"/>
      <c r="K518" s="12">
        <f t="shared" si="156"/>
        <v>0</v>
      </c>
      <c r="M518" s="10">
        <v>12</v>
      </c>
      <c r="N518" s="30"/>
      <c r="O518" s="31"/>
      <c r="P518" s="32"/>
      <c r="Q518" s="32"/>
      <c r="R518" s="32"/>
      <c r="S518" s="32">
        <f t="shared" si="157"/>
        <v>0</v>
      </c>
      <c r="T518" s="12"/>
      <c r="U518" s="12"/>
      <c r="V518" s="12"/>
      <c r="W518" s="12">
        <f t="shared" si="158"/>
        <v>0</v>
      </c>
      <c r="Y518" s="10">
        <v>12</v>
      </c>
      <c r="Z518" s="30"/>
      <c r="AA518" s="11" t="s">
        <v>27</v>
      </c>
      <c r="AB518" s="32"/>
      <c r="AC518" s="32"/>
      <c r="AD518" s="32"/>
      <c r="AE518" s="32">
        <f t="shared" si="165"/>
        <v>0</v>
      </c>
      <c r="AF518" s="12"/>
      <c r="AG518" s="12"/>
      <c r="AH518" s="12"/>
      <c r="AI518" s="12">
        <f t="shared" si="160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83"/>
      <c r="D519" s="32"/>
      <c r="E519" s="32"/>
      <c r="F519" s="32"/>
      <c r="G519" s="32">
        <f t="shared" si="155"/>
        <v>0</v>
      </c>
      <c r="H519" s="12"/>
      <c r="I519" s="12"/>
      <c r="J519" s="12"/>
      <c r="K519" s="12">
        <f t="shared" si="156"/>
        <v>0</v>
      </c>
      <c r="M519" s="10">
        <v>13</v>
      </c>
      <c r="N519" s="30"/>
      <c r="O519" s="31"/>
      <c r="P519" s="32"/>
      <c r="Q519" s="32"/>
      <c r="R519" s="32"/>
      <c r="S519" s="32">
        <f t="shared" si="157"/>
        <v>0</v>
      </c>
      <c r="T519" s="12"/>
      <c r="U519" s="12"/>
      <c r="V519" s="12"/>
      <c r="W519" s="12">
        <f t="shared" si="158"/>
        <v>0</v>
      </c>
      <c r="Y519" s="10">
        <v>13</v>
      </c>
      <c r="Z519" s="30"/>
      <c r="AA519" s="11"/>
      <c r="AB519" s="32"/>
      <c r="AC519" s="32"/>
      <c r="AD519" s="32"/>
      <c r="AE519" s="32">
        <f t="shared" si="165"/>
        <v>0</v>
      </c>
      <c r="AF519" s="12"/>
      <c r="AG519" s="12"/>
      <c r="AH519" s="12"/>
      <c r="AI519" s="12">
        <f t="shared" si="160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83"/>
      <c r="D520" s="32"/>
      <c r="E520" s="32"/>
      <c r="F520" s="32"/>
      <c r="G520" s="32">
        <f t="shared" si="155"/>
        <v>0</v>
      </c>
      <c r="H520" s="12"/>
      <c r="I520" s="12"/>
      <c r="J520" s="12"/>
      <c r="K520" s="12">
        <f t="shared" si="156"/>
        <v>0</v>
      </c>
      <c r="M520" s="10">
        <v>14</v>
      </c>
      <c r="N520" s="30"/>
      <c r="O520" s="31"/>
      <c r="P520" s="32"/>
      <c r="Q520" s="32"/>
      <c r="R520" s="32"/>
      <c r="S520" s="32">
        <f t="shared" si="157"/>
        <v>0</v>
      </c>
      <c r="T520" s="12"/>
      <c r="U520" s="12"/>
      <c r="V520" s="12"/>
      <c r="W520" s="12">
        <f t="shared" si="158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65"/>
        <v>0</v>
      </c>
      <c r="AF520" s="12"/>
      <c r="AG520" s="12"/>
      <c r="AH520" s="12"/>
      <c r="AI520" s="12">
        <f t="shared" si="160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83"/>
      <c r="D521" s="32"/>
      <c r="E521" s="32"/>
      <c r="F521" s="32"/>
      <c r="G521" s="32">
        <f t="shared" si="155"/>
        <v>0</v>
      </c>
      <c r="H521" s="12"/>
      <c r="I521" s="12"/>
      <c r="J521" s="12"/>
      <c r="K521" s="12">
        <f t="shared" si="156"/>
        <v>0</v>
      </c>
      <c r="M521" s="10">
        <v>15</v>
      </c>
      <c r="N521" s="30"/>
      <c r="O521" s="31"/>
      <c r="P521" s="32"/>
      <c r="Q521" s="32"/>
      <c r="R521" s="32"/>
      <c r="S521" s="32">
        <f t="shared" si="157"/>
        <v>0</v>
      </c>
      <c r="T521" s="12"/>
      <c r="U521" s="12"/>
      <c r="V521" s="12"/>
      <c r="W521" s="12">
        <f t="shared" si="158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65"/>
        <v>0</v>
      </c>
      <c r="AF521" s="12"/>
      <c r="AG521" s="12"/>
      <c r="AH521" s="12"/>
      <c r="AI521" s="12">
        <f t="shared" si="160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C522" s="83"/>
      <c r="D522" s="32"/>
      <c r="E522" s="32"/>
      <c r="F522" s="32"/>
      <c r="G522" s="32">
        <f t="shared" si="155"/>
        <v>0</v>
      </c>
      <c r="H522" s="12"/>
      <c r="I522" s="12"/>
      <c r="J522" s="12"/>
      <c r="K522" s="12">
        <f t="shared" si="156"/>
        <v>0</v>
      </c>
      <c r="M522" s="10">
        <v>16</v>
      </c>
      <c r="N522" s="30"/>
      <c r="O522" s="11"/>
      <c r="P522" s="32"/>
      <c r="Q522" s="32"/>
      <c r="R522" s="32"/>
      <c r="S522" s="32">
        <f t="shared" si="157"/>
        <v>0</v>
      </c>
      <c r="T522" s="12"/>
      <c r="U522" s="12"/>
      <c r="V522" s="12"/>
      <c r="W522" s="12">
        <f t="shared" si="158"/>
        <v>0</v>
      </c>
      <c r="Y522" s="10">
        <v>16</v>
      </c>
      <c r="AA522" s="11"/>
      <c r="AB522" s="32"/>
      <c r="AC522" s="32"/>
      <c r="AD522" s="32"/>
      <c r="AE522" s="32">
        <f t="shared" si="165"/>
        <v>0</v>
      </c>
      <c r="AF522" s="12"/>
      <c r="AG522" s="12"/>
      <c r="AH522" s="12"/>
      <c r="AI522" s="12">
        <f t="shared" si="160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83"/>
      <c r="D523" s="32"/>
      <c r="E523" s="32"/>
      <c r="F523" s="32"/>
      <c r="G523" s="32">
        <f t="shared" si="155"/>
        <v>0</v>
      </c>
      <c r="H523" s="12"/>
      <c r="I523" s="12"/>
      <c r="J523" s="12"/>
      <c r="K523" s="12">
        <f t="shared" si="156"/>
        <v>0</v>
      </c>
      <c r="M523" s="10">
        <v>17</v>
      </c>
      <c r="N523" s="30"/>
      <c r="O523" s="31"/>
      <c r="P523" s="35"/>
      <c r="Q523" s="32"/>
      <c r="R523" s="32"/>
      <c r="S523" s="32">
        <f t="shared" si="157"/>
        <v>0</v>
      </c>
      <c r="T523" s="12"/>
      <c r="U523" s="12"/>
      <c r="V523" s="12"/>
      <c r="W523" s="12">
        <f t="shared" si="158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65"/>
        <v>0</v>
      </c>
      <c r="AF523" s="12"/>
      <c r="AG523" s="12"/>
      <c r="AH523" s="12"/>
      <c r="AI523" s="12">
        <f t="shared" si="160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83"/>
      <c r="D524" s="32"/>
      <c r="E524" s="32"/>
      <c r="F524" s="32"/>
      <c r="G524" s="32">
        <f t="shared" si="155"/>
        <v>0</v>
      </c>
      <c r="H524" s="12"/>
      <c r="I524" s="12"/>
      <c r="J524" s="12"/>
      <c r="K524" s="12">
        <f t="shared" si="156"/>
        <v>0</v>
      </c>
      <c r="M524" s="10">
        <v>18</v>
      </c>
      <c r="N524" s="30"/>
      <c r="O524" s="31"/>
      <c r="P524" s="32"/>
      <c r="Q524" s="32"/>
      <c r="R524" s="32"/>
      <c r="S524" s="32">
        <f t="shared" si="157"/>
        <v>0</v>
      </c>
      <c r="T524" s="12"/>
      <c r="U524" s="12"/>
      <c r="V524" s="12"/>
      <c r="W524" s="12">
        <f t="shared" si="158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65"/>
        <v>0</v>
      </c>
      <c r="AF524" s="12"/>
      <c r="AG524" s="12"/>
      <c r="AH524" s="12"/>
      <c r="AI524" s="12">
        <f t="shared" si="160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83"/>
      <c r="D525" s="32"/>
      <c r="E525" s="32"/>
      <c r="F525" s="32"/>
      <c r="G525" s="32">
        <f t="shared" si="155"/>
        <v>0</v>
      </c>
      <c r="H525" s="12"/>
      <c r="I525" s="12"/>
      <c r="J525" s="12"/>
      <c r="K525" s="12">
        <f t="shared" si="156"/>
        <v>0</v>
      </c>
      <c r="M525" s="10">
        <v>19</v>
      </c>
      <c r="N525" s="30"/>
      <c r="O525" s="31"/>
      <c r="P525" s="32"/>
      <c r="Q525" s="32"/>
      <c r="R525" s="32"/>
      <c r="S525" s="32">
        <f t="shared" si="157"/>
        <v>0</v>
      </c>
      <c r="T525" s="12"/>
      <c r="U525" s="12"/>
      <c r="V525" s="12"/>
      <c r="W525" s="12">
        <f t="shared" si="158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65"/>
        <v>0</v>
      </c>
      <c r="AF525" s="12"/>
      <c r="AG525" s="12"/>
      <c r="AH525" s="12"/>
      <c r="AI525" s="12">
        <f t="shared" si="160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83"/>
      <c r="D526" s="32"/>
      <c r="E526" s="32"/>
      <c r="F526" s="32"/>
      <c r="G526" s="32">
        <f t="shared" si="155"/>
        <v>0</v>
      </c>
      <c r="H526" s="12"/>
      <c r="I526" s="12"/>
      <c r="J526" s="12"/>
      <c r="K526" s="12">
        <f t="shared" si="156"/>
        <v>0</v>
      </c>
      <c r="M526" s="10">
        <v>20</v>
      </c>
      <c r="N526" s="30"/>
      <c r="O526" s="31"/>
      <c r="P526" s="32"/>
      <c r="Q526" s="32"/>
      <c r="R526" s="32"/>
      <c r="S526" s="32">
        <f t="shared" si="157"/>
        <v>0</v>
      </c>
      <c r="T526" s="12"/>
      <c r="U526" s="12"/>
      <c r="V526" s="12"/>
      <c r="W526" s="12">
        <f t="shared" si="158"/>
        <v>0</v>
      </c>
      <c r="Y526" s="10">
        <v>20</v>
      </c>
      <c r="Z526" s="30"/>
      <c r="AB526" s="32"/>
      <c r="AC526" s="32"/>
      <c r="AD526" s="32"/>
      <c r="AE526" s="32">
        <f t="shared" si="165"/>
        <v>0</v>
      </c>
      <c r="AF526" s="12"/>
      <c r="AG526" s="12"/>
      <c r="AH526" s="12"/>
      <c r="AI526" s="12">
        <f t="shared" si="160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83"/>
      <c r="D527" s="32"/>
      <c r="E527" s="32"/>
      <c r="F527" s="32"/>
      <c r="G527" s="32">
        <f t="shared" si="155"/>
        <v>0</v>
      </c>
      <c r="H527" s="10"/>
      <c r="I527" s="10"/>
      <c r="J527" s="10"/>
      <c r="K527" s="12">
        <f t="shared" si="156"/>
        <v>0</v>
      </c>
      <c r="M527" s="10">
        <v>21</v>
      </c>
      <c r="N527" s="30"/>
      <c r="O527" s="11"/>
      <c r="P527" s="46"/>
      <c r="Q527" s="31"/>
      <c r="R527" s="31"/>
      <c r="S527" s="32">
        <f t="shared" si="157"/>
        <v>0</v>
      </c>
      <c r="T527" s="10"/>
      <c r="U527" s="10"/>
      <c r="V527" s="10"/>
      <c r="W527" s="12">
        <f t="shared" si="158"/>
        <v>0</v>
      </c>
      <c r="Y527" s="10">
        <v>21</v>
      </c>
      <c r="Z527" s="30"/>
      <c r="AA527" s="31"/>
      <c r="AB527" s="46"/>
      <c r="AC527" s="31"/>
      <c r="AD527" s="31"/>
      <c r="AE527" s="32">
        <f t="shared" si="165"/>
        <v>0</v>
      </c>
      <c r="AF527" s="10"/>
      <c r="AG527" s="10"/>
      <c r="AH527" s="10"/>
      <c r="AI527" s="12">
        <f t="shared" si="160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D528" s="32"/>
      <c r="E528" s="32"/>
      <c r="F528" s="32"/>
      <c r="G528" s="32">
        <f t="shared" si="155"/>
        <v>0</v>
      </c>
      <c r="H528" s="10"/>
      <c r="I528" s="10"/>
      <c r="J528" s="10"/>
      <c r="K528" s="12">
        <f t="shared" si="156"/>
        <v>0</v>
      </c>
      <c r="M528" s="10">
        <v>22</v>
      </c>
      <c r="N528" s="30"/>
      <c r="O528" s="31"/>
      <c r="P528" s="45"/>
      <c r="Q528" s="31"/>
      <c r="R528" s="31"/>
      <c r="S528" s="32">
        <f t="shared" si="157"/>
        <v>0</v>
      </c>
      <c r="T528" s="10"/>
      <c r="U528" s="10"/>
      <c r="V528" s="10"/>
      <c r="W528" s="12">
        <f t="shared" si="158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65"/>
        <v>0</v>
      </c>
      <c r="AF528" s="10"/>
      <c r="AG528" s="10"/>
      <c r="AH528" s="10"/>
      <c r="AI528" s="12">
        <f t="shared" si="160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3"/>
      <c r="D529" s="32"/>
      <c r="E529" s="32"/>
      <c r="F529" s="32"/>
      <c r="G529" s="32">
        <f t="shared" si="155"/>
        <v>0</v>
      </c>
      <c r="H529" s="10"/>
      <c r="I529" s="10"/>
      <c r="J529" s="12"/>
      <c r="K529" s="12">
        <f t="shared" si="156"/>
        <v>0</v>
      </c>
      <c r="M529" s="10">
        <v>23</v>
      </c>
      <c r="N529" s="30"/>
      <c r="O529" s="31"/>
      <c r="P529" s="47"/>
      <c r="S529" s="32">
        <f t="shared" si="157"/>
        <v>0</v>
      </c>
      <c r="T529" s="10"/>
      <c r="U529" s="10"/>
      <c r="V529" s="10"/>
      <c r="W529" s="12">
        <f t="shared" si="158"/>
        <v>0</v>
      </c>
      <c r="Y529" s="10">
        <v>23</v>
      </c>
      <c r="Z529" s="30"/>
      <c r="AA529" s="31"/>
      <c r="AB529" s="47"/>
      <c r="AC529" s="31"/>
      <c r="AE529" s="32">
        <f t="shared" si="165"/>
        <v>0</v>
      </c>
      <c r="AF529" s="10"/>
      <c r="AG529" s="10"/>
      <c r="AH529" s="10"/>
      <c r="AI529" s="12">
        <f t="shared" si="160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3"/>
      <c r="D530" s="32"/>
      <c r="E530" s="32"/>
      <c r="F530" s="32"/>
      <c r="G530" s="32">
        <f t="shared" si="155"/>
        <v>0</v>
      </c>
      <c r="H530" s="10"/>
      <c r="I530" s="10"/>
      <c r="J530" s="10"/>
      <c r="K530" s="12">
        <f t="shared" si="156"/>
        <v>0</v>
      </c>
      <c r="M530" s="10">
        <v>24</v>
      </c>
      <c r="N530" s="30"/>
      <c r="O530" s="31"/>
      <c r="P530" s="47"/>
      <c r="Q530" s="31"/>
      <c r="R530" s="31"/>
      <c r="S530" s="32">
        <f t="shared" si="157"/>
        <v>0</v>
      </c>
      <c r="T530" s="10"/>
      <c r="U530" s="10"/>
      <c r="V530" s="10"/>
      <c r="W530" s="12">
        <f t="shared" si="158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65"/>
        <v>0</v>
      </c>
      <c r="AF530" s="10"/>
      <c r="AG530" s="10"/>
      <c r="AH530" s="10"/>
      <c r="AI530" s="12">
        <f t="shared" si="160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83"/>
      <c r="D531" s="32"/>
      <c r="E531" s="32"/>
      <c r="F531" s="32"/>
      <c r="G531" s="32">
        <f t="shared" si="155"/>
        <v>0</v>
      </c>
      <c r="H531" s="10"/>
      <c r="I531" s="10"/>
      <c r="J531" s="10"/>
      <c r="K531" s="12">
        <f t="shared" si="156"/>
        <v>0</v>
      </c>
      <c r="M531" s="10">
        <v>25</v>
      </c>
      <c r="N531" s="30"/>
      <c r="O531" s="31"/>
      <c r="P531" s="47"/>
      <c r="Q531" s="31"/>
      <c r="R531" s="31"/>
      <c r="S531" s="32">
        <f t="shared" si="157"/>
        <v>0</v>
      </c>
      <c r="T531" s="10"/>
      <c r="U531" s="10"/>
      <c r="V531" s="10"/>
      <c r="W531" s="12">
        <f t="shared" si="158"/>
        <v>0</v>
      </c>
      <c r="Y531" s="10">
        <v>25</v>
      </c>
      <c r="Z531" s="30"/>
      <c r="AA531" s="31"/>
      <c r="AB531" s="47"/>
      <c r="AC531" s="31"/>
      <c r="AD531" s="31"/>
      <c r="AE531" s="32">
        <f t="shared" si="165"/>
        <v>0</v>
      </c>
      <c r="AF531" s="10"/>
      <c r="AG531" s="10"/>
      <c r="AH531" s="10"/>
      <c r="AI531" s="12">
        <f t="shared" si="160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3"/>
      <c r="D532" s="32"/>
      <c r="E532" s="32"/>
      <c r="F532" s="32"/>
      <c r="G532" s="32">
        <f t="shared" si="155"/>
        <v>0</v>
      </c>
      <c r="H532" s="10"/>
      <c r="I532" s="10"/>
      <c r="J532" s="10"/>
      <c r="K532" s="12">
        <f t="shared" si="156"/>
        <v>0</v>
      </c>
      <c r="M532" s="10">
        <v>26</v>
      </c>
      <c r="N532" s="30"/>
      <c r="O532" s="31"/>
      <c r="P532" s="47"/>
      <c r="Q532" s="31"/>
      <c r="R532" s="31"/>
      <c r="S532" s="32">
        <f t="shared" si="157"/>
        <v>0</v>
      </c>
      <c r="T532" s="10"/>
      <c r="U532" s="10"/>
      <c r="V532" s="10"/>
      <c r="W532" s="12">
        <f t="shared" si="158"/>
        <v>0</v>
      </c>
      <c r="Y532" s="10">
        <v>26</v>
      </c>
      <c r="Z532" s="30"/>
      <c r="AA532" s="31"/>
      <c r="AB532" s="47"/>
      <c r="AC532" s="31"/>
      <c r="AD532" s="31"/>
      <c r="AE532" s="32">
        <f t="shared" si="165"/>
        <v>0</v>
      </c>
      <c r="AF532" s="10"/>
      <c r="AG532" s="10"/>
      <c r="AH532" s="10"/>
      <c r="AI532" s="12">
        <f t="shared" si="160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3"/>
      <c r="D533" s="32"/>
      <c r="E533" s="32"/>
      <c r="F533" s="32"/>
      <c r="G533" s="32">
        <f t="shared" si="155"/>
        <v>0</v>
      </c>
      <c r="H533" s="10"/>
      <c r="I533" s="10"/>
      <c r="J533" s="10"/>
      <c r="K533" s="12">
        <f t="shared" si="156"/>
        <v>0</v>
      </c>
      <c r="M533" s="10">
        <v>27</v>
      </c>
      <c r="N533" s="30"/>
      <c r="O533" s="31"/>
      <c r="P533" s="47"/>
      <c r="Q533" s="31"/>
      <c r="R533" s="31"/>
      <c r="S533" s="32">
        <f t="shared" si="157"/>
        <v>0</v>
      </c>
      <c r="T533" s="10"/>
      <c r="U533" s="10"/>
      <c r="V533" s="10"/>
      <c r="W533" s="12">
        <f t="shared" si="158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65"/>
        <v>0</v>
      </c>
      <c r="AF533" s="10"/>
      <c r="AG533" s="10"/>
      <c r="AH533" s="10"/>
      <c r="AI533" s="12">
        <f t="shared" si="160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3"/>
      <c r="D534" s="32"/>
      <c r="E534" s="32"/>
      <c r="F534" s="32"/>
      <c r="G534" s="32">
        <f t="shared" si="155"/>
        <v>0</v>
      </c>
      <c r="H534" s="10"/>
      <c r="I534" s="10"/>
      <c r="J534" s="10"/>
      <c r="K534" s="12">
        <f t="shared" si="156"/>
        <v>0</v>
      </c>
      <c r="M534" s="10">
        <v>28</v>
      </c>
      <c r="N534" s="30"/>
      <c r="O534" s="31"/>
      <c r="P534" s="47"/>
      <c r="Q534" s="31"/>
      <c r="R534" s="31"/>
      <c r="S534" s="32">
        <f t="shared" si="157"/>
        <v>0</v>
      </c>
      <c r="T534" s="10"/>
      <c r="U534" s="10"/>
      <c r="V534" s="10"/>
      <c r="W534" s="12">
        <f t="shared" si="158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65"/>
        <v>0</v>
      </c>
      <c r="AF534" s="10"/>
      <c r="AG534" s="10"/>
      <c r="AH534" s="10"/>
      <c r="AI534" s="12">
        <f t="shared" si="160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83"/>
      <c r="D535" s="32"/>
      <c r="E535" s="32"/>
      <c r="F535" s="32"/>
      <c r="G535" s="32">
        <f t="shared" si="155"/>
        <v>0</v>
      </c>
      <c r="H535" s="10"/>
      <c r="I535" s="10"/>
      <c r="J535" s="10"/>
      <c r="K535" s="12">
        <f t="shared" si="156"/>
        <v>0</v>
      </c>
      <c r="M535" s="10">
        <v>29</v>
      </c>
      <c r="N535" s="30"/>
      <c r="O535" s="31"/>
      <c r="P535" s="47"/>
      <c r="Q535" s="31"/>
      <c r="R535" s="31"/>
      <c r="S535" s="32">
        <f t="shared" si="157"/>
        <v>0</v>
      </c>
      <c r="T535" s="10"/>
      <c r="U535" s="10"/>
      <c r="V535" s="10"/>
      <c r="W535" s="12">
        <f t="shared" si="158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65"/>
        <v>0</v>
      </c>
      <c r="AF535" s="10"/>
      <c r="AG535" s="10"/>
      <c r="AH535" s="10"/>
      <c r="AI535" s="12">
        <f t="shared" si="160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3"/>
      <c r="D536" s="32"/>
      <c r="E536" s="32"/>
      <c r="F536" s="32"/>
      <c r="G536" s="32">
        <f t="shared" si="155"/>
        <v>0</v>
      </c>
      <c r="H536" s="10"/>
      <c r="I536" s="10"/>
      <c r="J536" s="10"/>
      <c r="K536" s="12">
        <f t="shared" si="156"/>
        <v>0</v>
      </c>
      <c r="M536" s="10">
        <v>30</v>
      </c>
      <c r="N536" s="30"/>
      <c r="O536" s="31"/>
      <c r="P536" s="47"/>
      <c r="Q536" s="31"/>
      <c r="R536" s="31"/>
      <c r="S536" s="32">
        <f t="shared" si="157"/>
        <v>0</v>
      </c>
      <c r="T536" s="10"/>
      <c r="U536" s="10"/>
      <c r="V536" s="10"/>
      <c r="W536" s="12">
        <f t="shared" si="158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65"/>
        <v>0</v>
      </c>
      <c r="AF536" s="10"/>
      <c r="AG536" s="10"/>
      <c r="AH536" s="10"/>
      <c r="AI536" s="12">
        <f t="shared" si="160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11"/>
      <c r="D537" s="32"/>
      <c r="E537" s="32"/>
      <c r="F537" s="32"/>
      <c r="G537" s="32">
        <f t="shared" si="155"/>
        <v>0</v>
      </c>
      <c r="H537" s="10"/>
      <c r="I537" s="10"/>
      <c r="J537" s="10"/>
      <c r="K537" s="12">
        <f t="shared" si="156"/>
        <v>0</v>
      </c>
      <c r="M537" s="10">
        <v>31</v>
      </c>
      <c r="N537" s="30"/>
      <c r="O537" s="31"/>
      <c r="P537" s="47"/>
      <c r="Q537" s="31"/>
      <c r="R537" s="31"/>
      <c r="S537" s="32">
        <f t="shared" si="157"/>
        <v>0</v>
      </c>
      <c r="T537" s="10"/>
      <c r="U537" s="10"/>
      <c r="V537" s="10"/>
      <c r="W537" s="12">
        <f t="shared" si="158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65"/>
        <v>0</v>
      </c>
      <c r="AF537" s="10"/>
      <c r="AG537" s="10"/>
      <c r="AH537" s="10"/>
      <c r="AI537" s="12">
        <f t="shared" si="160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3"/>
      <c r="D538" s="32"/>
      <c r="E538" s="32"/>
      <c r="F538" s="32"/>
      <c r="G538" s="32">
        <f t="shared" si="155"/>
        <v>0</v>
      </c>
      <c r="H538" s="10"/>
      <c r="I538" s="10"/>
      <c r="J538" s="10"/>
      <c r="K538" s="12">
        <f t="shared" si="156"/>
        <v>0</v>
      </c>
      <c r="M538" s="10">
        <v>32</v>
      </c>
      <c r="N538" s="30"/>
      <c r="O538" s="31"/>
      <c r="P538" s="47"/>
      <c r="Q538" s="31"/>
      <c r="R538" s="31"/>
      <c r="S538" s="32">
        <f t="shared" si="157"/>
        <v>0</v>
      </c>
      <c r="T538" s="10"/>
      <c r="U538" s="10"/>
      <c r="V538" s="10"/>
      <c r="W538" s="12">
        <f t="shared" si="158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65"/>
        <v>0</v>
      </c>
      <c r="AF538" s="10"/>
      <c r="AG538" s="10"/>
      <c r="AH538" s="10"/>
      <c r="AI538" s="12">
        <f t="shared" si="160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3"/>
      <c r="D539" s="32"/>
      <c r="E539" s="32"/>
      <c r="F539" s="32"/>
      <c r="G539" s="32">
        <f t="shared" si="155"/>
        <v>0</v>
      </c>
      <c r="H539" s="10"/>
      <c r="I539" s="10"/>
      <c r="J539" s="10"/>
      <c r="K539" s="12">
        <f t="shared" si="156"/>
        <v>0</v>
      </c>
      <c r="M539" s="10">
        <v>33</v>
      </c>
      <c r="N539" s="30"/>
      <c r="O539" s="31"/>
      <c r="P539" s="47"/>
      <c r="Q539" s="31"/>
      <c r="R539" s="31"/>
      <c r="S539" s="32">
        <f t="shared" si="157"/>
        <v>0</v>
      </c>
      <c r="T539" s="10"/>
      <c r="U539" s="10"/>
      <c r="V539" s="10"/>
      <c r="W539" s="12">
        <f t="shared" si="158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65"/>
        <v>0</v>
      </c>
      <c r="AF539" s="10"/>
      <c r="AG539" s="10"/>
      <c r="AH539" s="10"/>
      <c r="AI539" s="12">
        <f t="shared" si="160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3"/>
      <c r="D540" s="32"/>
      <c r="E540" s="32"/>
      <c r="F540" s="32"/>
      <c r="G540" s="32">
        <f t="shared" si="155"/>
        <v>0</v>
      </c>
      <c r="H540" s="10"/>
      <c r="I540" s="10"/>
      <c r="J540" s="10"/>
      <c r="K540" s="12">
        <f t="shared" si="156"/>
        <v>0</v>
      </c>
      <c r="M540" s="10">
        <v>34</v>
      </c>
      <c r="N540" s="30"/>
      <c r="O540" s="31"/>
      <c r="P540" s="47"/>
      <c r="Q540" s="31"/>
      <c r="R540" s="31"/>
      <c r="S540" s="32">
        <f t="shared" si="157"/>
        <v>0</v>
      </c>
      <c r="T540" s="10"/>
      <c r="U540" s="10"/>
      <c r="V540" s="10"/>
      <c r="W540" s="12">
        <f t="shared" si="158"/>
        <v>0</v>
      </c>
      <c r="Y540" s="10">
        <v>34</v>
      </c>
      <c r="Z540" s="30"/>
      <c r="AA540" s="31"/>
      <c r="AB540" s="47"/>
      <c r="AC540" s="31"/>
      <c r="AD540" s="31"/>
      <c r="AE540" s="32">
        <f t="shared" si="165"/>
        <v>0</v>
      </c>
      <c r="AF540" s="10"/>
      <c r="AG540" s="10"/>
      <c r="AH540" s="10"/>
      <c r="AI540" s="12">
        <f t="shared" ref="AI540:AI548" si="166">SUM(AE540:AH540)</f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3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57"/>
        <v>0</v>
      </c>
      <c r="T541" s="10"/>
      <c r="U541" s="10"/>
      <c r="V541" s="10"/>
      <c r="W541" s="12">
        <f t="shared" si="158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65"/>
        <v>0</v>
      </c>
      <c r="AF541" s="10"/>
      <c r="AG541" s="10"/>
      <c r="AH541" s="10"/>
      <c r="AI541" s="12">
        <f t="shared" si="166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3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57"/>
        <v>0</v>
      </c>
      <c r="T542" s="10"/>
      <c r="U542" s="10"/>
      <c r="V542" s="10"/>
      <c r="W542" s="12">
        <f t="shared" si="158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65"/>
        <v>0</v>
      </c>
      <c r="AF542" s="10"/>
      <c r="AG542" s="10"/>
      <c r="AH542" s="10"/>
      <c r="AI542" s="12">
        <f t="shared" si="166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57"/>
        <v>0</v>
      </c>
      <c r="T543" s="10"/>
      <c r="U543" s="10"/>
      <c r="V543" s="10"/>
      <c r="W543" s="12">
        <f t="shared" si="158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65"/>
        <v>0</v>
      </c>
      <c r="AF543" s="10"/>
      <c r="AG543" s="10"/>
      <c r="AH543" s="10"/>
      <c r="AI543" s="12">
        <f t="shared" si="166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57"/>
        <v>0</v>
      </c>
      <c r="T544" s="10"/>
      <c r="U544" s="10"/>
      <c r="V544" s="10"/>
      <c r="W544" s="12">
        <f t="shared" si="158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65"/>
        <v>0</v>
      </c>
      <c r="AF544" s="10"/>
      <c r="AG544" s="10"/>
      <c r="AH544" s="10"/>
      <c r="AI544" s="12">
        <f t="shared" si="166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57"/>
        <v>0</v>
      </c>
      <c r="T545" s="10"/>
      <c r="U545" s="10"/>
      <c r="V545" s="10"/>
      <c r="W545" s="12">
        <f t="shared" si="158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65"/>
        <v>0</v>
      </c>
      <c r="AF545" s="10"/>
      <c r="AG545" s="10"/>
      <c r="AH545" s="10"/>
      <c r="AI545" s="12">
        <f t="shared" si="166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58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66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67">SUM(D547:E547)</f>
        <v>0</v>
      </c>
      <c r="H547" s="10"/>
      <c r="I547" s="10"/>
      <c r="J547" s="10"/>
      <c r="K547" s="12">
        <f t="shared" ref="K547" si="168">SUM(G547:J547)</f>
        <v>0</v>
      </c>
      <c r="M547" s="10"/>
      <c r="N547" s="30"/>
      <c r="O547" s="31"/>
      <c r="P547" s="47"/>
      <c r="Q547" s="31"/>
      <c r="R547" s="31"/>
      <c r="S547" s="32">
        <f t="shared" ref="S547" si="169">SUM(P547:Q547)</f>
        <v>0</v>
      </c>
      <c r="T547" s="10"/>
      <c r="U547" s="10"/>
      <c r="V547" s="10"/>
      <c r="W547" s="12">
        <f t="shared" si="158"/>
        <v>0</v>
      </c>
      <c r="Y547" s="10"/>
      <c r="Z547" s="30"/>
      <c r="AA547" s="31"/>
      <c r="AB547" s="47"/>
      <c r="AC547" s="31"/>
      <c r="AD547" s="31"/>
      <c r="AE547" s="32">
        <f t="shared" ref="AE547" si="170">SUM(AB547:AC547)</f>
        <v>0</v>
      </c>
      <c r="AF547" s="10"/>
      <c r="AG547" s="10"/>
      <c r="AH547" s="10"/>
      <c r="AI547" s="12">
        <f t="shared" si="166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58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66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324459</v>
      </c>
      <c r="E550" s="38">
        <f t="shared" ref="E550:F550" si="171">SUM(E507:E547)</f>
        <v>-1476</v>
      </c>
      <c r="F550" s="38">
        <f t="shared" si="171"/>
        <v>0</v>
      </c>
      <c r="G550" s="38">
        <f>SUM(G507:G549)</f>
        <v>322983</v>
      </c>
      <c r="H550" s="4"/>
      <c r="I550" s="39">
        <f>SUM(I507:I549)</f>
        <v>13224</v>
      </c>
      <c r="J550" s="39">
        <f>SUM(J507:J549)</f>
        <v>-459</v>
      </c>
      <c r="K550" s="40">
        <f>SUM(K507:K549)</f>
        <v>335748</v>
      </c>
      <c r="N550" s="57"/>
      <c r="O550" s="57"/>
      <c r="P550" s="38">
        <f>SUM(P507:P549)</f>
        <v>251766</v>
      </c>
      <c r="Q550" s="38">
        <f>SUM(Q507:Q531)</f>
        <v>-2010</v>
      </c>
      <c r="R550" s="38">
        <f>SUM(R507:R531)</f>
        <v>0</v>
      </c>
      <c r="S550" s="38">
        <f>SUM(S507:S549)</f>
        <v>249756</v>
      </c>
      <c r="T550" s="4"/>
      <c r="U550" s="41">
        <f>SUM(U507:U549)</f>
        <v>1113</v>
      </c>
      <c r="V550" s="41">
        <f>SUM(V507:V531)</f>
        <v>-5220</v>
      </c>
      <c r="W550" s="42">
        <f>SUM(W507:W549)</f>
        <v>245649</v>
      </c>
      <c r="Z550" s="57"/>
      <c r="AA550" s="57"/>
      <c r="AB550" s="38">
        <f>SUM(AB507:AB549)</f>
        <v>466191.5</v>
      </c>
      <c r="AC550" s="38">
        <f>SUM(AC507:AC531)</f>
        <v>-2064</v>
      </c>
      <c r="AD550" s="38">
        <f>SUM(AD507:AD531)</f>
        <v>0</v>
      </c>
      <c r="AE550" s="38">
        <f>SUM(AE507:AE549)</f>
        <v>464127.5</v>
      </c>
      <c r="AF550" s="4"/>
      <c r="AG550" s="41">
        <f>SUM(AG507:AG549)</f>
        <v>13632</v>
      </c>
      <c r="AH550" s="41">
        <f>SUM(AH507:AH531)</f>
        <v>-1332</v>
      </c>
      <c r="AI550" s="42">
        <f>SUM(AI507:AI549)</f>
        <v>476427.5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41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t="s">
        <v>41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41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68</v>
      </c>
      <c r="B558" s="20"/>
      <c r="C558" s="57"/>
      <c r="D558" s="57"/>
      <c r="E558" s="57"/>
      <c r="G558" s="57"/>
      <c r="I558" s="22" t="s">
        <v>16</v>
      </c>
      <c r="J558" s="23" t="s">
        <v>31</v>
      </c>
      <c r="K558" s="24"/>
      <c r="M558" s="21" t="s">
        <v>68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33</v>
      </c>
      <c r="W558" s="24"/>
      <c r="Y558" s="21" t="s">
        <v>68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34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B559" s="57"/>
      <c r="C559" s="57"/>
      <c r="D559" s="57"/>
      <c r="E559" s="57"/>
      <c r="G559" s="57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B560" s="25"/>
      <c r="C560" s="26"/>
      <c r="D560" s="112" t="s">
        <v>17</v>
      </c>
      <c r="E560" s="112"/>
      <c r="F560" s="101"/>
      <c r="G560" s="27"/>
      <c r="I560" s="110" t="s">
        <v>18</v>
      </c>
      <c r="J560" s="111"/>
      <c r="K560" s="108" t="s">
        <v>19</v>
      </c>
      <c r="N560" s="25"/>
      <c r="O560" s="26"/>
      <c r="P560" s="112" t="s">
        <v>17</v>
      </c>
      <c r="Q560" s="112"/>
      <c r="R560" s="101"/>
      <c r="S560" s="27"/>
      <c r="U560" s="110" t="s">
        <v>18</v>
      </c>
      <c r="V560" s="111"/>
      <c r="W560" s="108" t="s">
        <v>19</v>
      </c>
      <c r="Z560" s="25"/>
      <c r="AA560" s="26"/>
      <c r="AB560" s="112" t="s">
        <v>17</v>
      </c>
      <c r="AC560" s="112"/>
      <c r="AD560" s="101"/>
      <c r="AE560" s="27"/>
      <c r="AG560" s="110" t="s">
        <v>18</v>
      </c>
      <c r="AH560" s="111"/>
      <c r="AI560" s="108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7" t="s">
        <v>22</v>
      </c>
      <c r="E561" s="76" t="s">
        <v>23</v>
      </c>
      <c r="F561" s="78" t="s">
        <v>32</v>
      </c>
      <c r="G561" s="78" t="s">
        <v>24</v>
      </c>
      <c r="I561" s="29" t="s">
        <v>25</v>
      </c>
      <c r="J561" s="29" t="s">
        <v>26</v>
      </c>
      <c r="K561" s="109"/>
      <c r="N561" s="28" t="s">
        <v>20</v>
      </c>
      <c r="O561" s="28" t="s">
        <v>21</v>
      </c>
      <c r="P561" s="77" t="s">
        <v>22</v>
      </c>
      <c r="Q561" s="78" t="s">
        <v>23</v>
      </c>
      <c r="R561" s="78" t="s">
        <v>32</v>
      </c>
      <c r="S561" s="78" t="s">
        <v>24</v>
      </c>
      <c r="U561" s="29" t="s">
        <v>25</v>
      </c>
      <c r="V561" s="29" t="s">
        <v>26</v>
      </c>
      <c r="W561" s="109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32</v>
      </c>
      <c r="AE561" s="78" t="s">
        <v>24</v>
      </c>
      <c r="AG561" s="29" t="s">
        <v>25</v>
      </c>
      <c r="AH561" s="29" t="s">
        <v>26</v>
      </c>
      <c r="AI561" s="109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69</v>
      </c>
      <c r="C562" s="83">
        <v>10201</v>
      </c>
      <c r="D562" s="32">
        <f>650*44+700+622*5+229</f>
        <v>32639</v>
      </c>
      <c r="E562" s="32"/>
      <c r="F562" s="32"/>
      <c r="G562" s="32">
        <f t="shared" ref="G562:G595" si="172">SUM(D562:E562)</f>
        <v>32639</v>
      </c>
      <c r="H562" s="12"/>
      <c r="I562" s="12">
        <f>888+112.5</f>
        <v>1000.5</v>
      </c>
      <c r="J562" s="12"/>
      <c r="K562" s="12">
        <f t="shared" ref="K562:K595" si="173">SUM(G562:J562)</f>
        <v>33639.5</v>
      </c>
      <c r="M562" s="10">
        <v>1</v>
      </c>
      <c r="N562" s="30" t="s">
        <v>69</v>
      </c>
      <c r="O562" s="31">
        <v>10155</v>
      </c>
      <c r="P562" s="32">
        <f>650*5+9.5*5</f>
        <v>3297.5</v>
      </c>
      <c r="Q562" s="32"/>
      <c r="R562" s="32"/>
      <c r="S562" s="32">
        <f>SUM(P562:Q562)</f>
        <v>3297.5</v>
      </c>
      <c r="T562" s="12"/>
      <c r="U562" s="12"/>
      <c r="V562" s="12">
        <v>-1110</v>
      </c>
      <c r="W562" s="12">
        <f>SUM(S562:V562)</f>
        <v>2187.5</v>
      </c>
      <c r="Y562" s="10">
        <v>1</v>
      </c>
      <c r="Z562" s="30" t="s">
        <v>69</v>
      </c>
      <c r="AA562" s="31">
        <v>10044</v>
      </c>
      <c r="AB562" s="32">
        <f>650*243+670*15+229*8</f>
        <v>169832</v>
      </c>
      <c r="AC562" s="32">
        <f>-258*6</f>
        <v>-1548</v>
      </c>
      <c r="AD562" s="32"/>
      <c r="AE562" s="32">
        <f>SUM(AB562:AC562)</f>
        <v>168284</v>
      </c>
      <c r="AF562" s="12"/>
      <c r="AG562" s="12"/>
      <c r="AH562" s="12">
        <f>-42*14</f>
        <v>-588</v>
      </c>
      <c r="AI562" s="12">
        <f>SUM(AE562:AH562)</f>
        <v>167696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69</v>
      </c>
      <c r="C563" s="83">
        <f>C562+1</f>
        <v>10202</v>
      </c>
      <c r="D563" s="32">
        <f>650+9.5</f>
        <v>659.5</v>
      </c>
      <c r="E563" s="32"/>
      <c r="F563" s="32"/>
      <c r="G563" s="32">
        <f t="shared" si="172"/>
        <v>659.5</v>
      </c>
      <c r="H563" s="12"/>
      <c r="I563" s="12"/>
      <c r="J563" s="12"/>
      <c r="K563" s="12">
        <f t="shared" si="173"/>
        <v>659.5</v>
      </c>
      <c r="M563" s="10">
        <v>2</v>
      </c>
      <c r="N563" s="30" t="s">
        <v>69</v>
      </c>
      <c r="O563" s="31">
        <f>O562+1</f>
        <v>10156</v>
      </c>
      <c r="P563" s="32">
        <f>650*216+622*40+229*10</f>
        <v>167570</v>
      </c>
      <c r="Q563" s="32">
        <f>-256*6</f>
        <v>-1536</v>
      </c>
      <c r="R563" s="32"/>
      <c r="S563" s="32">
        <f t="shared" ref="S563:S600" si="174">SUM(P563:Q563)</f>
        <v>166034</v>
      </c>
      <c r="T563" s="12"/>
      <c r="U563" s="12">
        <v>702</v>
      </c>
      <c r="V563" s="12">
        <v>-420</v>
      </c>
      <c r="W563" s="12">
        <f t="shared" ref="W563:W603" si="175">SUM(S563:V563)</f>
        <v>166316</v>
      </c>
      <c r="Y563" s="10">
        <v>2</v>
      </c>
      <c r="Z563" s="30" t="s">
        <v>69</v>
      </c>
      <c r="AA563" s="31">
        <f>AA562+1</f>
        <v>10045</v>
      </c>
      <c r="AB563" s="32">
        <f>650*108+229*4</f>
        <v>71116</v>
      </c>
      <c r="AC563" s="32">
        <f>-108*6</f>
        <v>-648</v>
      </c>
      <c r="AD563" s="32"/>
      <c r="AE563" s="32">
        <f t="shared" ref="AE563:AE565" si="176">SUM(AB563:AC563)</f>
        <v>70468</v>
      </c>
      <c r="AF563" s="12"/>
      <c r="AG563" s="12"/>
      <c r="AH563" s="12"/>
      <c r="AI563" s="12">
        <f t="shared" ref="AI563:AI594" si="177">SUM(AE563:AH563)</f>
        <v>70468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69</v>
      </c>
      <c r="C564" s="83">
        <f t="shared" ref="C564:C571" si="178">C563+1</f>
        <v>10203</v>
      </c>
      <c r="D564" s="33">
        <f>650*30+622*2+1050+872+229+500</f>
        <v>23395</v>
      </c>
      <c r="E564" s="32"/>
      <c r="F564" s="33"/>
      <c r="G564" s="33">
        <f t="shared" si="172"/>
        <v>23395</v>
      </c>
      <c r="H564" s="34"/>
      <c r="I564" s="34">
        <f>42+4.5</f>
        <v>46.5</v>
      </c>
      <c r="J564" s="34"/>
      <c r="K564" s="34">
        <f t="shared" si="173"/>
        <v>23441.5</v>
      </c>
      <c r="M564" s="10">
        <v>3</v>
      </c>
      <c r="N564" s="30" t="s">
        <v>69</v>
      </c>
      <c r="O564" s="31">
        <f t="shared" ref="O564:O566" si="179">O563+1</f>
        <v>10157</v>
      </c>
      <c r="P564" s="32">
        <f>650*45</f>
        <v>29250</v>
      </c>
      <c r="Q564" s="32"/>
      <c r="R564" s="32"/>
      <c r="S564" s="32">
        <f t="shared" si="174"/>
        <v>29250</v>
      </c>
      <c r="T564" s="12"/>
      <c r="U564" s="12">
        <v>72</v>
      </c>
      <c r="V564" s="12"/>
      <c r="W564" s="12">
        <f t="shared" si="175"/>
        <v>29322</v>
      </c>
      <c r="Y564" s="10">
        <v>3</v>
      </c>
      <c r="Z564" s="30" t="s">
        <v>69</v>
      </c>
      <c r="AA564" s="31">
        <f t="shared" ref="AA564:AA568" si="180">AA563+1</f>
        <v>10046</v>
      </c>
      <c r="AB564" s="33">
        <f>650*30+912+1050+872+229*2+650+500</f>
        <v>23942</v>
      </c>
      <c r="AC564" s="33"/>
      <c r="AD564" s="32"/>
      <c r="AE564" s="32">
        <f t="shared" si="176"/>
        <v>23942</v>
      </c>
      <c r="AF564" s="12"/>
      <c r="AG564" s="12">
        <f>4.5*6+2.25*3</f>
        <v>33.75</v>
      </c>
      <c r="AH564" s="12"/>
      <c r="AI564" s="12">
        <f t="shared" si="177"/>
        <v>23975.75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69</v>
      </c>
      <c r="C565" s="83">
        <f t="shared" si="178"/>
        <v>10204</v>
      </c>
      <c r="D565" s="32">
        <f>650*20+670*2+700*3+622*3+650</f>
        <v>18956</v>
      </c>
      <c r="E565" s="32"/>
      <c r="F565" s="32"/>
      <c r="G565" s="32">
        <f t="shared" si="172"/>
        <v>18956</v>
      </c>
      <c r="H565" s="12"/>
      <c r="I565" s="12"/>
      <c r="J565" s="12">
        <f>-111*11+-4*120</f>
        <v>-1701</v>
      </c>
      <c r="K565" s="12">
        <f t="shared" si="173"/>
        <v>17255</v>
      </c>
      <c r="M565" s="10">
        <v>4</v>
      </c>
      <c r="N565" s="30" t="s">
        <v>69</v>
      </c>
      <c r="O565" s="31">
        <f t="shared" si="179"/>
        <v>10158</v>
      </c>
      <c r="P565" s="32">
        <f>650*50+670*2+622*18+912+1050+872+229*4</f>
        <v>48786</v>
      </c>
      <c r="Q565" s="32"/>
      <c r="R565" s="32"/>
      <c r="S565" s="32">
        <f t="shared" si="174"/>
        <v>48786</v>
      </c>
      <c r="T565" s="12"/>
      <c r="U565" s="12"/>
      <c r="V565" s="12">
        <f>-120+-78</f>
        <v>-198</v>
      </c>
      <c r="W565" s="12">
        <f t="shared" si="175"/>
        <v>48588</v>
      </c>
      <c r="Y565" s="10">
        <v>4</v>
      </c>
      <c r="Z565" s="30" t="s">
        <v>69</v>
      </c>
      <c r="AA565" s="31">
        <f t="shared" si="180"/>
        <v>10047</v>
      </c>
      <c r="AB565" s="32">
        <f>650*20+670+622*10+229*2</f>
        <v>20348</v>
      </c>
      <c r="AC565" s="32"/>
      <c r="AD565" s="32"/>
      <c r="AE565" s="32">
        <f t="shared" si="176"/>
        <v>20348</v>
      </c>
      <c r="AF565" s="12"/>
      <c r="AH565" s="12"/>
      <c r="AI565" s="12">
        <f t="shared" si="177"/>
        <v>20348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 t="s">
        <v>69</v>
      </c>
      <c r="C566" s="83">
        <f t="shared" si="178"/>
        <v>10205</v>
      </c>
      <c r="D566" s="32">
        <f>650*90+622*20+229*4</f>
        <v>71856</v>
      </c>
      <c r="E566" s="32"/>
      <c r="F566" s="32"/>
      <c r="G566" s="32">
        <f t="shared" si="172"/>
        <v>71856</v>
      </c>
      <c r="H566" s="12"/>
      <c r="I566" s="12"/>
      <c r="J566" s="12"/>
      <c r="K566" s="12">
        <f t="shared" si="173"/>
        <v>71856</v>
      </c>
      <c r="M566" s="10">
        <v>5</v>
      </c>
      <c r="N566" s="30" t="s">
        <v>69</v>
      </c>
      <c r="O566" s="31">
        <f t="shared" si="179"/>
        <v>10159</v>
      </c>
      <c r="P566" s="32">
        <f>650*2+9.5*2</f>
        <v>1319</v>
      </c>
      <c r="Q566" s="32"/>
      <c r="R566" s="32"/>
      <c r="S566" s="32">
        <f t="shared" si="174"/>
        <v>1319</v>
      </c>
      <c r="T566" s="12"/>
      <c r="U566" s="12"/>
      <c r="V566" s="12">
        <v>-444</v>
      </c>
      <c r="W566" s="12">
        <f t="shared" si="175"/>
        <v>875</v>
      </c>
      <c r="Y566" s="10">
        <v>5</v>
      </c>
      <c r="Z566" s="30" t="s">
        <v>69</v>
      </c>
      <c r="AA566" s="31">
        <f t="shared" si="180"/>
        <v>10048</v>
      </c>
      <c r="AB566" s="32">
        <f>650*42+670*3+622*5</f>
        <v>32420</v>
      </c>
      <c r="AC566" s="32">
        <f>-50*6</f>
        <v>-300</v>
      </c>
      <c r="AD566" s="32"/>
      <c r="AE566" s="32">
        <f t="shared" ref="AE566:AE567" si="181">SUM(AB566:AC566)</f>
        <v>32120</v>
      </c>
      <c r="AF566" s="12"/>
      <c r="AG566" s="12"/>
      <c r="AH566" s="12"/>
      <c r="AI566" s="12">
        <f t="shared" si="177"/>
        <v>32120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 t="s">
        <v>69</v>
      </c>
      <c r="C567" s="83">
        <f t="shared" si="178"/>
        <v>10206</v>
      </c>
      <c r="D567" s="32">
        <f>650*35+622*15</f>
        <v>32080</v>
      </c>
      <c r="E567" s="32"/>
      <c r="F567" s="32"/>
      <c r="G567" s="32">
        <f t="shared" si="172"/>
        <v>32080</v>
      </c>
      <c r="H567" s="12"/>
      <c r="I567" s="12">
        <v>1332</v>
      </c>
      <c r="J567" s="12"/>
      <c r="K567" s="12">
        <f t="shared" si="173"/>
        <v>33412</v>
      </c>
      <c r="M567" s="10">
        <v>6</v>
      </c>
      <c r="N567" s="30"/>
      <c r="O567" s="11" t="s">
        <v>27</v>
      </c>
      <c r="P567" s="32"/>
      <c r="Q567" s="32"/>
      <c r="R567" s="32"/>
      <c r="S567" s="32">
        <f t="shared" si="174"/>
        <v>0</v>
      </c>
      <c r="T567" s="12"/>
      <c r="U567" s="12"/>
      <c r="V567" s="10"/>
      <c r="W567" s="12">
        <f t="shared" si="175"/>
        <v>0</v>
      </c>
      <c r="Y567" s="10">
        <v>6</v>
      </c>
      <c r="Z567" s="30" t="s">
        <v>69</v>
      </c>
      <c r="AA567" s="31">
        <f t="shared" si="180"/>
        <v>10049</v>
      </c>
      <c r="AB567" s="32">
        <f>650*10</f>
        <v>6500</v>
      </c>
      <c r="AC567" s="32"/>
      <c r="AD567" s="32"/>
      <c r="AE567" s="32">
        <f t="shared" si="181"/>
        <v>6500</v>
      </c>
      <c r="AF567" s="12"/>
      <c r="AG567" s="12"/>
      <c r="AH567" s="10"/>
      <c r="AI567" s="12">
        <f t="shared" si="177"/>
        <v>6500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 t="s">
        <v>69</v>
      </c>
      <c r="C568" s="83">
        <f t="shared" si="178"/>
        <v>10207</v>
      </c>
      <c r="D568" s="32">
        <f>650*95+700</f>
        <v>62450</v>
      </c>
      <c r="E568" s="32"/>
      <c r="F568" s="32"/>
      <c r="G568" s="32">
        <f t="shared" si="172"/>
        <v>62450</v>
      </c>
      <c r="H568" s="12"/>
      <c r="I568" s="12"/>
      <c r="J568" s="12"/>
      <c r="K568" s="12">
        <f t="shared" si="173"/>
        <v>62450</v>
      </c>
      <c r="M568" s="10">
        <v>7</v>
      </c>
      <c r="N568" s="30"/>
      <c r="O568" s="31"/>
      <c r="P568" s="32"/>
      <c r="Q568" s="32"/>
      <c r="R568" s="32"/>
      <c r="S568" s="32">
        <f t="shared" si="174"/>
        <v>0</v>
      </c>
      <c r="T568" s="12"/>
      <c r="U568" s="12"/>
      <c r="V568" s="12"/>
      <c r="W568" s="12">
        <f t="shared" si="175"/>
        <v>0</v>
      </c>
      <c r="Y568" s="10">
        <v>7</v>
      </c>
      <c r="Z568" s="30" t="s">
        <v>69</v>
      </c>
      <c r="AA568" s="31">
        <f t="shared" si="180"/>
        <v>10050</v>
      </c>
      <c r="AB568" s="32">
        <f>650*24+622*6</f>
        <v>19332</v>
      </c>
      <c r="AC568" s="32"/>
      <c r="AD568" s="32"/>
      <c r="AE568" s="32">
        <f>SUM(AB568:AC568)</f>
        <v>19332</v>
      </c>
      <c r="AF568" s="12"/>
      <c r="AG568" s="58"/>
      <c r="AH568" s="12">
        <v>-555</v>
      </c>
      <c r="AI568" s="12">
        <f t="shared" si="177"/>
        <v>18777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 t="s">
        <v>69</v>
      </c>
      <c r="C569" s="83">
        <f t="shared" si="178"/>
        <v>10208</v>
      </c>
      <c r="D569" s="32">
        <f>650+500</f>
        <v>1150</v>
      </c>
      <c r="E569" s="32"/>
      <c r="F569" s="32"/>
      <c r="G569" s="32">
        <f t="shared" si="172"/>
        <v>1150</v>
      </c>
      <c r="H569" s="12"/>
      <c r="I569" s="12"/>
      <c r="J569" s="12"/>
      <c r="K569" s="12">
        <f t="shared" si="173"/>
        <v>1150</v>
      </c>
      <c r="M569" s="10">
        <v>8</v>
      </c>
      <c r="N569" s="30"/>
      <c r="O569" s="31"/>
      <c r="P569" s="32"/>
      <c r="Q569" s="32"/>
      <c r="R569" s="32"/>
      <c r="S569" s="32">
        <f t="shared" si="174"/>
        <v>0</v>
      </c>
      <c r="T569" s="12"/>
      <c r="U569" s="12"/>
      <c r="V569" s="12"/>
      <c r="W569" s="12">
        <f t="shared" si="175"/>
        <v>0</v>
      </c>
      <c r="Y569" s="10">
        <v>8</v>
      </c>
      <c r="Z569" s="30"/>
      <c r="AA569" s="11" t="s">
        <v>27</v>
      </c>
      <c r="AB569" s="32"/>
      <c r="AC569" s="32"/>
      <c r="AE569" s="32">
        <f t="shared" ref="AE569:AE600" si="182">SUM(AB569:AC569)</f>
        <v>0</v>
      </c>
      <c r="AF569" s="12"/>
      <c r="AG569" s="12"/>
      <c r="AH569" s="12"/>
      <c r="AI569" s="12">
        <f t="shared" si="177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 t="s">
        <v>69</v>
      </c>
      <c r="C570" s="83">
        <f t="shared" si="178"/>
        <v>10209</v>
      </c>
      <c r="D570" s="32">
        <f>650*2+9.5*2</f>
        <v>1319</v>
      </c>
      <c r="E570" s="32"/>
      <c r="F570" s="32"/>
      <c r="G570" s="32">
        <f t="shared" si="172"/>
        <v>1319</v>
      </c>
      <c r="H570" s="12"/>
      <c r="I570" s="12"/>
      <c r="J570" s="12"/>
      <c r="K570" s="12">
        <f t="shared" si="173"/>
        <v>1319</v>
      </c>
      <c r="M570" s="10">
        <v>9</v>
      </c>
      <c r="N570" s="30"/>
      <c r="O570" s="31"/>
      <c r="P570" s="32"/>
      <c r="Q570" s="32"/>
      <c r="R570" s="32"/>
      <c r="S570" s="32">
        <f t="shared" si="174"/>
        <v>0</v>
      </c>
      <c r="T570" s="12"/>
      <c r="U570" s="12"/>
      <c r="V570" s="12"/>
      <c r="W570" s="12">
        <f t="shared" si="175"/>
        <v>0</v>
      </c>
      <c r="Y570" s="10">
        <v>9</v>
      </c>
      <c r="Z570" s="30"/>
      <c r="AA570" s="31"/>
      <c r="AB570" s="32"/>
      <c r="AC570" s="32"/>
      <c r="AD570" s="32"/>
      <c r="AE570" s="32">
        <f t="shared" si="182"/>
        <v>0</v>
      </c>
      <c r="AF570" s="12"/>
      <c r="AH570" s="12"/>
      <c r="AI570" s="12">
        <f t="shared" si="177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 t="s">
        <v>69</v>
      </c>
      <c r="C571" s="83">
        <f t="shared" si="178"/>
        <v>10210</v>
      </c>
      <c r="D571" s="32">
        <f>650*2+700+19</f>
        <v>2019</v>
      </c>
      <c r="E571" s="32"/>
      <c r="F571" s="32"/>
      <c r="G571" s="32">
        <f t="shared" si="172"/>
        <v>2019</v>
      </c>
      <c r="H571" s="12"/>
      <c r="I571" s="12"/>
      <c r="J571" s="12"/>
      <c r="K571" s="12">
        <f t="shared" si="173"/>
        <v>2019</v>
      </c>
      <c r="M571" s="10">
        <v>10</v>
      </c>
      <c r="N571" s="30"/>
      <c r="O571" s="31"/>
      <c r="P571" s="32"/>
      <c r="Q571" s="32"/>
      <c r="R571" s="32"/>
      <c r="S571" s="32">
        <f t="shared" si="174"/>
        <v>0</v>
      </c>
      <c r="T571" s="12"/>
      <c r="U571" s="12"/>
      <c r="V571" s="12"/>
      <c r="W571" s="12">
        <f t="shared" si="175"/>
        <v>0</v>
      </c>
      <c r="Y571" s="10">
        <v>10</v>
      </c>
      <c r="Z571" s="30"/>
      <c r="AA571" s="31"/>
      <c r="AB571" s="32"/>
      <c r="AC571" s="32"/>
      <c r="AD571" s="32"/>
      <c r="AE571" s="32">
        <f t="shared" si="182"/>
        <v>0</v>
      </c>
      <c r="AF571" s="12"/>
      <c r="AG571" s="12"/>
      <c r="AH571" s="12"/>
      <c r="AI571" s="12">
        <f t="shared" si="177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/>
      <c r="C572" s="11" t="s">
        <v>27</v>
      </c>
      <c r="D572" s="32"/>
      <c r="E572" s="32"/>
      <c r="F572" s="32"/>
      <c r="G572" s="32">
        <f t="shared" si="172"/>
        <v>0</v>
      </c>
      <c r="H572" s="12"/>
      <c r="I572" s="12"/>
      <c r="J572" s="12"/>
      <c r="K572" s="12">
        <f t="shared" si="173"/>
        <v>0</v>
      </c>
      <c r="M572" s="10">
        <v>11</v>
      </c>
      <c r="N572" s="30"/>
      <c r="O572" s="31"/>
      <c r="P572" s="32"/>
      <c r="Q572" s="32"/>
      <c r="R572" s="32"/>
      <c r="S572" s="32">
        <f t="shared" si="174"/>
        <v>0</v>
      </c>
      <c r="T572" s="12"/>
      <c r="U572" s="12"/>
      <c r="V572" s="12"/>
      <c r="W572" s="12">
        <f t="shared" si="175"/>
        <v>0</v>
      </c>
      <c r="Y572" s="10">
        <v>11</v>
      </c>
      <c r="Z572" s="30"/>
      <c r="AA572" s="31"/>
      <c r="AB572" s="32"/>
      <c r="AC572" s="32"/>
      <c r="AD572" s="32"/>
      <c r="AE572" s="32">
        <f t="shared" si="182"/>
        <v>0</v>
      </c>
      <c r="AF572" s="12"/>
      <c r="AG572" s="12"/>
      <c r="AH572" s="12"/>
      <c r="AI572" s="12">
        <f t="shared" si="177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/>
      <c r="C573" s="83"/>
      <c r="D573" s="32"/>
      <c r="E573" s="32"/>
      <c r="F573" s="32"/>
      <c r="G573" s="32">
        <f t="shared" si="172"/>
        <v>0</v>
      </c>
      <c r="H573" s="12"/>
      <c r="I573" s="12"/>
      <c r="J573" s="10"/>
      <c r="K573" s="12">
        <f t="shared" si="173"/>
        <v>0</v>
      </c>
      <c r="M573" s="10">
        <v>12</v>
      </c>
      <c r="N573" s="30"/>
      <c r="O573" s="31"/>
      <c r="P573" s="32"/>
      <c r="Q573" s="32"/>
      <c r="R573" s="32"/>
      <c r="S573" s="32">
        <f t="shared" si="174"/>
        <v>0</v>
      </c>
      <c r="T573" s="12"/>
      <c r="U573" s="12"/>
      <c r="V573" s="12"/>
      <c r="W573" s="12">
        <f t="shared" si="175"/>
        <v>0</v>
      </c>
      <c r="Y573" s="10">
        <v>12</v>
      </c>
      <c r="Z573" s="30"/>
      <c r="AA573" s="31"/>
      <c r="AB573" s="32"/>
      <c r="AC573" s="32"/>
      <c r="AD573" s="32"/>
      <c r="AE573" s="32">
        <f t="shared" si="182"/>
        <v>0</v>
      </c>
      <c r="AF573" s="12"/>
      <c r="AG573" s="12"/>
      <c r="AH573" s="12"/>
      <c r="AI573" s="12">
        <f t="shared" si="177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/>
      <c r="C574" s="83"/>
      <c r="D574" s="32"/>
      <c r="E574" s="32"/>
      <c r="F574" s="32"/>
      <c r="G574" s="32">
        <f t="shared" si="172"/>
        <v>0</v>
      </c>
      <c r="H574" s="12"/>
      <c r="I574" s="12"/>
      <c r="J574" s="12"/>
      <c r="K574" s="12">
        <f t="shared" si="173"/>
        <v>0</v>
      </c>
      <c r="M574" s="10">
        <v>13</v>
      </c>
      <c r="N574" s="30"/>
      <c r="O574" s="31"/>
      <c r="P574" s="32"/>
      <c r="Q574" s="32"/>
      <c r="R574" s="32"/>
      <c r="S574" s="32">
        <f t="shared" si="174"/>
        <v>0</v>
      </c>
      <c r="T574" s="12"/>
      <c r="U574" s="12"/>
      <c r="V574" s="12"/>
      <c r="W574" s="12">
        <f t="shared" si="175"/>
        <v>0</v>
      </c>
      <c r="Y574" s="10">
        <v>13</v>
      </c>
      <c r="Z574" s="30"/>
      <c r="AA574" s="31"/>
      <c r="AB574" s="32"/>
      <c r="AC574" s="32"/>
      <c r="AD574" s="32"/>
      <c r="AE574" s="32">
        <f t="shared" si="182"/>
        <v>0</v>
      </c>
      <c r="AF574" s="12"/>
      <c r="AG574" s="12"/>
      <c r="AH574" s="12"/>
      <c r="AI574" s="12">
        <f t="shared" si="177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/>
      <c r="C575" s="83"/>
      <c r="D575" s="32"/>
      <c r="E575" s="32"/>
      <c r="F575" s="32"/>
      <c r="G575" s="32">
        <f t="shared" si="172"/>
        <v>0</v>
      </c>
      <c r="H575" s="12"/>
      <c r="I575" s="12"/>
      <c r="J575" s="12"/>
      <c r="K575" s="12">
        <f t="shared" si="173"/>
        <v>0</v>
      </c>
      <c r="M575" s="10">
        <v>14</v>
      </c>
      <c r="N575" s="30"/>
      <c r="O575" s="31"/>
      <c r="P575" s="32"/>
      <c r="Q575" s="32"/>
      <c r="R575" s="32"/>
      <c r="S575" s="32">
        <f t="shared" si="174"/>
        <v>0</v>
      </c>
      <c r="T575" s="12"/>
      <c r="U575" s="12"/>
      <c r="V575" s="12"/>
      <c r="W575" s="12">
        <f t="shared" si="175"/>
        <v>0</v>
      </c>
      <c r="Y575" s="10">
        <v>14</v>
      </c>
      <c r="Z575" s="30"/>
      <c r="AA575" s="31"/>
      <c r="AB575" s="32"/>
      <c r="AC575" s="32"/>
      <c r="AD575" s="32"/>
      <c r="AE575" s="32">
        <f t="shared" si="182"/>
        <v>0</v>
      </c>
      <c r="AF575" s="12"/>
      <c r="AG575" s="12"/>
      <c r="AH575" s="12"/>
      <c r="AI575" s="12">
        <f t="shared" si="177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83"/>
      <c r="D576" s="32"/>
      <c r="E576" s="32"/>
      <c r="F576" s="32"/>
      <c r="G576" s="32">
        <f t="shared" si="172"/>
        <v>0</v>
      </c>
      <c r="H576" s="12"/>
      <c r="I576" s="12"/>
      <c r="J576" s="12"/>
      <c r="K576" s="12">
        <f t="shared" si="173"/>
        <v>0</v>
      </c>
      <c r="M576" s="10">
        <v>15</v>
      </c>
      <c r="N576" s="30"/>
      <c r="O576" s="31"/>
      <c r="P576" s="32"/>
      <c r="Q576" s="32"/>
      <c r="R576" s="32"/>
      <c r="S576" s="32">
        <f t="shared" si="174"/>
        <v>0</v>
      </c>
      <c r="T576" s="12"/>
      <c r="U576" s="12"/>
      <c r="V576" s="12"/>
      <c r="W576" s="12">
        <f t="shared" si="175"/>
        <v>0</v>
      </c>
      <c r="Y576" s="10">
        <v>15</v>
      </c>
      <c r="Z576" s="30"/>
      <c r="AA576" s="11"/>
      <c r="AB576" s="32"/>
      <c r="AC576" s="32"/>
      <c r="AD576" s="32"/>
      <c r="AE576" s="32">
        <f t="shared" si="182"/>
        <v>0</v>
      </c>
      <c r="AF576" s="12"/>
      <c r="AG576" s="12"/>
      <c r="AH576" s="12"/>
      <c r="AI576" s="12">
        <f t="shared" si="177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83"/>
      <c r="D577" s="32"/>
      <c r="E577" s="32"/>
      <c r="F577" s="32"/>
      <c r="G577" s="32">
        <f t="shared" si="172"/>
        <v>0</v>
      </c>
      <c r="H577" s="12"/>
      <c r="I577" s="12"/>
      <c r="J577" s="12"/>
      <c r="K577" s="12">
        <f t="shared" si="173"/>
        <v>0</v>
      </c>
      <c r="M577" s="10">
        <v>16</v>
      </c>
      <c r="N577" s="30"/>
      <c r="O577" s="11"/>
      <c r="P577" s="32"/>
      <c r="Q577" s="32"/>
      <c r="R577" s="32"/>
      <c r="S577" s="32">
        <f t="shared" si="174"/>
        <v>0</v>
      </c>
      <c r="T577" s="12"/>
      <c r="U577" s="12"/>
      <c r="V577" s="12"/>
      <c r="W577" s="12">
        <f t="shared" si="175"/>
        <v>0</v>
      </c>
      <c r="Y577" s="10">
        <v>16</v>
      </c>
      <c r="AA577" s="11"/>
      <c r="AB577" s="32"/>
      <c r="AC577" s="32"/>
      <c r="AD577" s="32"/>
      <c r="AE577" s="32">
        <f t="shared" si="182"/>
        <v>0</v>
      </c>
      <c r="AF577" s="12"/>
      <c r="AG577" s="12"/>
      <c r="AH577" s="12"/>
      <c r="AI577" s="12">
        <f t="shared" si="177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83"/>
      <c r="D578" s="32"/>
      <c r="E578" s="32"/>
      <c r="F578" s="32"/>
      <c r="G578" s="32">
        <f t="shared" si="172"/>
        <v>0</v>
      </c>
      <c r="H578" s="12"/>
      <c r="I578" s="12"/>
      <c r="J578" s="12"/>
      <c r="K578" s="12">
        <f t="shared" si="173"/>
        <v>0</v>
      </c>
      <c r="M578" s="10">
        <v>17</v>
      </c>
      <c r="N578" s="30"/>
      <c r="O578" s="31"/>
      <c r="P578" s="35"/>
      <c r="Q578" s="32"/>
      <c r="R578" s="32"/>
      <c r="S578" s="32">
        <f t="shared" si="174"/>
        <v>0</v>
      </c>
      <c r="T578" s="12"/>
      <c r="U578" s="12"/>
      <c r="V578" s="12"/>
      <c r="W578" s="12">
        <f t="shared" si="175"/>
        <v>0</v>
      </c>
      <c r="Y578" s="10">
        <v>17</v>
      </c>
      <c r="Z578" s="30"/>
      <c r="AA578" s="31"/>
      <c r="AB578" s="35"/>
      <c r="AC578" s="32"/>
      <c r="AD578" s="32"/>
      <c r="AE578" s="32">
        <f t="shared" si="182"/>
        <v>0</v>
      </c>
      <c r="AF578" s="12"/>
      <c r="AG578" s="12"/>
      <c r="AH578" s="12"/>
      <c r="AI578" s="12">
        <f t="shared" si="177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83"/>
      <c r="D579" s="32"/>
      <c r="E579" s="32"/>
      <c r="F579" s="32"/>
      <c r="G579" s="32">
        <f t="shared" si="172"/>
        <v>0</v>
      </c>
      <c r="H579" s="12"/>
      <c r="I579" s="12"/>
      <c r="J579" s="12"/>
      <c r="K579" s="12">
        <f t="shared" si="173"/>
        <v>0</v>
      </c>
      <c r="M579" s="10">
        <v>18</v>
      </c>
      <c r="N579" s="30"/>
      <c r="O579" s="31"/>
      <c r="P579" s="32"/>
      <c r="Q579" s="32"/>
      <c r="R579" s="32"/>
      <c r="S579" s="32">
        <f t="shared" si="174"/>
        <v>0</v>
      </c>
      <c r="T579" s="12"/>
      <c r="U579" s="12"/>
      <c r="V579" s="12"/>
      <c r="W579" s="12">
        <f t="shared" si="175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82"/>
        <v>0</v>
      </c>
      <c r="AF579" s="12"/>
      <c r="AG579" s="12"/>
      <c r="AH579" s="12"/>
      <c r="AI579" s="12">
        <f t="shared" si="177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83"/>
      <c r="D580" s="32"/>
      <c r="E580" s="32"/>
      <c r="F580" s="32"/>
      <c r="G580" s="32">
        <f t="shared" si="172"/>
        <v>0</v>
      </c>
      <c r="H580" s="12"/>
      <c r="I580" s="12"/>
      <c r="J580" s="12"/>
      <c r="K580" s="12">
        <f t="shared" si="173"/>
        <v>0</v>
      </c>
      <c r="M580" s="10">
        <v>19</v>
      </c>
      <c r="N580" s="30"/>
      <c r="O580" s="31"/>
      <c r="P580" s="32"/>
      <c r="Q580" s="32"/>
      <c r="R580" s="32"/>
      <c r="S580" s="32">
        <f t="shared" si="174"/>
        <v>0</v>
      </c>
      <c r="T580" s="12"/>
      <c r="U580" s="12"/>
      <c r="V580" s="12"/>
      <c r="W580" s="12">
        <f t="shared" si="175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82"/>
        <v>0</v>
      </c>
      <c r="AF580" s="12"/>
      <c r="AG580" s="12"/>
      <c r="AH580" s="12"/>
      <c r="AI580" s="12">
        <f t="shared" si="177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83"/>
      <c r="D581" s="32"/>
      <c r="E581" s="32"/>
      <c r="F581" s="32"/>
      <c r="G581" s="32">
        <f t="shared" si="172"/>
        <v>0</v>
      </c>
      <c r="H581" s="12"/>
      <c r="I581" s="12"/>
      <c r="J581" s="12"/>
      <c r="K581" s="12">
        <f t="shared" si="173"/>
        <v>0</v>
      </c>
      <c r="M581" s="10">
        <v>20</v>
      </c>
      <c r="N581" s="30"/>
      <c r="O581" s="31"/>
      <c r="P581" s="32"/>
      <c r="Q581" s="32"/>
      <c r="R581" s="32"/>
      <c r="S581" s="32">
        <f t="shared" si="174"/>
        <v>0</v>
      </c>
      <c r="T581" s="12"/>
      <c r="U581" s="12"/>
      <c r="V581" s="12"/>
      <c r="W581" s="12">
        <f t="shared" si="175"/>
        <v>0</v>
      </c>
      <c r="Y581" s="10">
        <v>20</v>
      </c>
      <c r="Z581" s="30"/>
      <c r="AB581" s="32"/>
      <c r="AC581" s="32"/>
      <c r="AD581" s="32"/>
      <c r="AE581" s="32">
        <f t="shared" si="182"/>
        <v>0</v>
      </c>
      <c r="AF581" s="12"/>
      <c r="AG581" s="12"/>
      <c r="AH581" s="12"/>
      <c r="AI581" s="12">
        <f t="shared" si="177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C582" s="83"/>
      <c r="D582" s="32"/>
      <c r="E582" s="32"/>
      <c r="F582" s="32"/>
      <c r="G582" s="32">
        <f t="shared" si="172"/>
        <v>0</v>
      </c>
      <c r="H582" s="10"/>
      <c r="I582" s="10"/>
      <c r="J582" s="10"/>
      <c r="K582" s="12">
        <f t="shared" si="173"/>
        <v>0</v>
      </c>
      <c r="M582" s="10">
        <v>21</v>
      </c>
      <c r="N582" s="30"/>
      <c r="O582" s="11"/>
      <c r="P582" s="46"/>
      <c r="Q582" s="31"/>
      <c r="R582" s="31"/>
      <c r="S582" s="32">
        <f t="shared" si="174"/>
        <v>0</v>
      </c>
      <c r="T582" s="10"/>
      <c r="U582" s="10"/>
      <c r="V582" s="10"/>
      <c r="W582" s="12">
        <f t="shared" si="175"/>
        <v>0</v>
      </c>
      <c r="Y582" s="10">
        <v>21</v>
      </c>
      <c r="Z582" s="30"/>
      <c r="AA582" s="31"/>
      <c r="AB582" s="46"/>
      <c r="AC582" s="31"/>
      <c r="AD582" s="31"/>
      <c r="AE582" s="32">
        <f t="shared" si="182"/>
        <v>0</v>
      </c>
      <c r="AF582" s="10"/>
      <c r="AG582" s="10"/>
      <c r="AH582" s="10"/>
      <c r="AI582" s="12">
        <f t="shared" si="177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57"/>
      <c r="D583" s="32"/>
      <c r="E583" s="32"/>
      <c r="F583" s="32"/>
      <c r="G583" s="32">
        <f t="shared" si="172"/>
        <v>0</v>
      </c>
      <c r="H583" s="10"/>
      <c r="I583" s="10"/>
      <c r="J583" s="10"/>
      <c r="K583" s="12">
        <f t="shared" si="173"/>
        <v>0</v>
      </c>
      <c r="M583" s="10">
        <v>22</v>
      </c>
      <c r="N583" s="30"/>
      <c r="O583" s="31"/>
      <c r="P583" s="45"/>
      <c r="Q583" s="31"/>
      <c r="R583" s="31"/>
      <c r="S583" s="32">
        <f t="shared" si="174"/>
        <v>0</v>
      </c>
      <c r="T583" s="10"/>
      <c r="U583" s="10"/>
      <c r="V583" s="10"/>
      <c r="W583" s="12">
        <f t="shared" si="175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82"/>
        <v>0</v>
      </c>
      <c r="AF583" s="10"/>
      <c r="AG583" s="10"/>
      <c r="AH583" s="10"/>
      <c r="AI583" s="12">
        <f t="shared" si="177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83"/>
      <c r="D584" s="32"/>
      <c r="E584" s="32"/>
      <c r="F584" s="32"/>
      <c r="G584" s="32">
        <f t="shared" si="172"/>
        <v>0</v>
      </c>
      <c r="H584" s="10"/>
      <c r="I584" s="10"/>
      <c r="J584" s="12"/>
      <c r="K584" s="12">
        <f t="shared" si="173"/>
        <v>0</v>
      </c>
      <c r="M584" s="10">
        <v>23</v>
      </c>
      <c r="N584" s="30"/>
      <c r="O584" s="31"/>
      <c r="P584" s="47"/>
      <c r="S584" s="32">
        <f t="shared" si="174"/>
        <v>0</v>
      </c>
      <c r="T584" s="10"/>
      <c r="U584" s="10"/>
      <c r="V584" s="10"/>
      <c r="W584" s="12">
        <f t="shared" si="175"/>
        <v>0</v>
      </c>
      <c r="Y584" s="10">
        <v>23</v>
      </c>
      <c r="Z584" s="30"/>
      <c r="AA584" s="31"/>
      <c r="AB584" s="47"/>
      <c r="AC584" s="31"/>
      <c r="AE584" s="32">
        <f t="shared" si="182"/>
        <v>0</v>
      </c>
      <c r="AF584" s="10"/>
      <c r="AG584" s="10"/>
      <c r="AH584" s="10"/>
      <c r="AI584" s="12">
        <f t="shared" si="177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83"/>
      <c r="D585" s="32"/>
      <c r="E585" s="32"/>
      <c r="F585" s="32"/>
      <c r="G585" s="32">
        <f t="shared" si="172"/>
        <v>0</v>
      </c>
      <c r="H585" s="10"/>
      <c r="I585" s="10"/>
      <c r="J585" s="10"/>
      <c r="K585" s="12">
        <f t="shared" si="173"/>
        <v>0</v>
      </c>
      <c r="M585" s="10">
        <v>24</v>
      </c>
      <c r="N585" s="30"/>
      <c r="O585" s="31"/>
      <c r="P585" s="47"/>
      <c r="Q585" s="31"/>
      <c r="R585" s="31"/>
      <c r="S585" s="32">
        <f t="shared" si="174"/>
        <v>0</v>
      </c>
      <c r="T585" s="10"/>
      <c r="U585" s="10"/>
      <c r="V585" s="10"/>
      <c r="W585" s="12">
        <f t="shared" si="175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82"/>
        <v>0</v>
      </c>
      <c r="AF585" s="10"/>
      <c r="AG585" s="10"/>
      <c r="AH585" s="10"/>
      <c r="AI585" s="12">
        <f t="shared" si="177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83"/>
      <c r="D586" s="32"/>
      <c r="E586" s="32"/>
      <c r="F586" s="32"/>
      <c r="G586" s="32">
        <f t="shared" si="172"/>
        <v>0</v>
      </c>
      <c r="H586" s="10"/>
      <c r="I586" s="10"/>
      <c r="J586" s="10"/>
      <c r="K586" s="12">
        <f t="shared" si="173"/>
        <v>0</v>
      </c>
      <c r="M586" s="10">
        <v>25</v>
      </c>
      <c r="N586" s="30"/>
      <c r="O586" s="31"/>
      <c r="P586" s="47"/>
      <c r="Q586" s="31"/>
      <c r="R586" s="31"/>
      <c r="S586" s="32">
        <f t="shared" si="174"/>
        <v>0</v>
      </c>
      <c r="T586" s="10"/>
      <c r="U586" s="10"/>
      <c r="V586" s="10"/>
      <c r="W586" s="12">
        <f t="shared" si="175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82"/>
        <v>0</v>
      </c>
      <c r="AF586" s="10"/>
      <c r="AG586" s="10"/>
      <c r="AH586" s="10"/>
      <c r="AI586" s="12">
        <f t="shared" si="177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83"/>
      <c r="D587" s="32"/>
      <c r="E587" s="32"/>
      <c r="F587" s="32"/>
      <c r="G587" s="32">
        <f t="shared" si="172"/>
        <v>0</v>
      </c>
      <c r="H587" s="10"/>
      <c r="I587" s="10"/>
      <c r="J587" s="10"/>
      <c r="K587" s="12">
        <f t="shared" si="173"/>
        <v>0</v>
      </c>
      <c r="M587" s="10">
        <v>26</v>
      </c>
      <c r="N587" s="30"/>
      <c r="O587" s="31"/>
      <c r="P587" s="47"/>
      <c r="Q587" s="31"/>
      <c r="R587" s="31"/>
      <c r="S587" s="32">
        <f t="shared" si="174"/>
        <v>0</v>
      </c>
      <c r="T587" s="10"/>
      <c r="U587" s="10"/>
      <c r="V587" s="10"/>
      <c r="W587" s="12">
        <f t="shared" si="175"/>
        <v>0</v>
      </c>
      <c r="Y587" s="10">
        <v>26</v>
      </c>
      <c r="Z587" s="30"/>
      <c r="AA587" s="31"/>
      <c r="AB587" s="47"/>
      <c r="AC587" s="31"/>
      <c r="AD587" s="31"/>
      <c r="AE587" s="32">
        <f t="shared" si="182"/>
        <v>0</v>
      </c>
      <c r="AF587" s="10"/>
      <c r="AG587" s="10"/>
      <c r="AH587" s="10"/>
      <c r="AI587" s="12">
        <f t="shared" si="177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83"/>
      <c r="D588" s="32"/>
      <c r="E588" s="32"/>
      <c r="F588" s="32"/>
      <c r="G588" s="32">
        <f t="shared" si="172"/>
        <v>0</v>
      </c>
      <c r="H588" s="10"/>
      <c r="I588" s="10"/>
      <c r="J588" s="10"/>
      <c r="K588" s="12">
        <f t="shared" si="173"/>
        <v>0</v>
      </c>
      <c r="M588" s="10">
        <v>27</v>
      </c>
      <c r="N588" s="30"/>
      <c r="O588" s="31"/>
      <c r="P588" s="47"/>
      <c r="Q588" s="31"/>
      <c r="R588" s="31"/>
      <c r="S588" s="32">
        <f t="shared" si="174"/>
        <v>0</v>
      </c>
      <c r="T588" s="10"/>
      <c r="U588" s="10"/>
      <c r="V588" s="10"/>
      <c r="W588" s="12">
        <f t="shared" si="175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82"/>
        <v>0</v>
      </c>
      <c r="AF588" s="10"/>
      <c r="AG588" s="10"/>
      <c r="AH588" s="10"/>
      <c r="AI588" s="12">
        <f t="shared" si="177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83"/>
      <c r="D589" s="32"/>
      <c r="E589" s="32"/>
      <c r="F589" s="32"/>
      <c r="G589" s="32">
        <f t="shared" si="172"/>
        <v>0</v>
      </c>
      <c r="H589" s="10"/>
      <c r="I589" s="10"/>
      <c r="J589" s="10"/>
      <c r="K589" s="12">
        <f t="shared" si="173"/>
        <v>0</v>
      </c>
      <c r="M589" s="10">
        <v>28</v>
      </c>
      <c r="N589" s="30"/>
      <c r="O589" s="31"/>
      <c r="P589" s="47"/>
      <c r="Q589" s="31"/>
      <c r="R589" s="31"/>
      <c r="S589" s="32">
        <f t="shared" si="174"/>
        <v>0</v>
      </c>
      <c r="T589" s="10"/>
      <c r="U589" s="10"/>
      <c r="V589" s="10"/>
      <c r="W589" s="12">
        <f t="shared" si="175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82"/>
        <v>0</v>
      </c>
      <c r="AF589" s="10"/>
      <c r="AG589" s="10"/>
      <c r="AH589" s="10"/>
      <c r="AI589" s="12">
        <f t="shared" si="177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83"/>
      <c r="D590" s="32"/>
      <c r="E590" s="32"/>
      <c r="F590" s="32"/>
      <c r="G590" s="32">
        <f t="shared" si="172"/>
        <v>0</v>
      </c>
      <c r="H590" s="10"/>
      <c r="I590" s="10"/>
      <c r="J590" s="10"/>
      <c r="K590" s="12">
        <f t="shared" si="173"/>
        <v>0</v>
      </c>
      <c r="M590" s="10">
        <v>29</v>
      </c>
      <c r="N590" s="30"/>
      <c r="O590" s="31"/>
      <c r="P590" s="47"/>
      <c r="Q590" s="31"/>
      <c r="R590" s="31"/>
      <c r="S590" s="32">
        <f t="shared" si="174"/>
        <v>0</v>
      </c>
      <c r="T590" s="10"/>
      <c r="U590" s="10"/>
      <c r="V590" s="10"/>
      <c r="W590" s="12">
        <f t="shared" si="175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82"/>
        <v>0</v>
      </c>
      <c r="AF590" s="10"/>
      <c r="AG590" s="10"/>
      <c r="AH590" s="10"/>
      <c r="AI590" s="12">
        <f t="shared" si="177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83"/>
      <c r="D591" s="32"/>
      <c r="E591" s="32"/>
      <c r="F591" s="32"/>
      <c r="G591" s="32">
        <f t="shared" si="172"/>
        <v>0</v>
      </c>
      <c r="H591" s="10"/>
      <c r="I591" s="10"/>
      <c r="J591" s="10"/>
      <c r="K591" s="12">
        <f t="shared" si="173"/>
        <v>0</v>
      </c>
      <c r="M591" s="10">
        <v>30</v>
      </c>
      <c r="N591" s="30"/>
      <c r="O591" s="31"/>
      <c r="P591" s="47"/>
      <c r="Q591" s="31"/>
      <c r="R591" s="31"/>
      <c r="S591" s="32">
        <f t="shared" si="174"/>
        <v>0</v>
      </c>
      <c r="T591" s="10"/>
      <c r="U591" s="10"/>
      <c r="V591" s="10"/>
      <c r="W591" s="12">
        <f t="shared" si="175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82"/>
        <v>0</v>
      </c>
      <c r="AF591" s="10"/>
      <c r="AG591" s="10"/>
      <c r="AH591" s="10"/>
      <c r="AI591" s="12">
        <f t="shared" si="177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11"/>
      <c r="D592" s="32"/>
      <c r="E592" s="32"/>
      <c r="F592" s="32"/>
      <c r="G592" s="32">
        <f t="shared" si="172"/>
        <v>0</v>
      </c>
      <c r="H592" s="10"/>
      <c r="I592" s="10"/>
      <c r="J592" s="10"/>
      <c r="K592" s="12">
        <f t="shared" si="173"/>
        <v>0</v>
      </c>
      <c r="M592" s="10">
        <v>31</v>
      </c>
      <c r="N592" s="30"/>
      <c r="O592" s="31"/>
      <c r="P592" s="47"/>
      <c r="Q592" s="31"/>
      <c r="R592" s="31"/>
      <c r="S592" s="32">
        <f t="shared" si="174"/>
        <v>0</v>
      </c>
      <c r="T592" s="10"/>
      <c r="U592" s="10"/>
      <c r="V592" s="10"/>
      <c r="W592" s="12">
        <f t="shared" si="175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82"/>
        <v>0</v>
      </c>
      <c r="AF592" s="10"/>
      <c r="AG592" s="10"/>
      <c r="AH592" s="10"/>
      <c r="AI592" s="12">
        <f t="shared" si="177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83"/>
      <c r="D593" s="32"/>
      <c r="E593" s="32"/>
      <c r="F593" s="32"/>
      <c r="G593" s="32">
        <f t="shared" si="172"/>
        <v>0</v>
      </c>
      <c r="H593" s="10"/>
      <c r="I593" s="10"/>
      <c r="J593" s="10"/>
      <c r="K593" s="12">
        <f t="shared" si="173"/>
        <v>0</v>
      </c>
      <c r="M593" s="10">
        <v>32</v>
      </c>
      <c r="N593" s="30"/>
      <c r="O593" s="31"/>
      <c r="P593" s="47"/>
      <c r="Q593" s="31"/>
      <c r="R593" s="31"/>
      <c r="S593" s="32">
        <f t="shared" si="174"/>
        <v>0</v>
      </c>
      <c r="T593" s="10"/>
      <c r="U593" s="10"/>
      <c r="V593" s="10"/>
      <c r="W593" s="12">
        <f t="shared" si="175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82"/>
        <v>0</v>
      </c>
      <c r="AF593" s="10"/>
      <c r="AG593" s="10"/>
      <c r="AH593" s="10"/>
      <c r="AI593" s="12">
        <f t="shared" si="177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83"/>
      <c r="D594" s="32"/>
      <c r="E594" s="32"/>
      <c r="F594" s="32"/>
      <c r="G594" s="32">
        <f t="shared" si="172"/>
        <v>0</v>
      </c>
      <c r="H594" s="10"/>
      <c r="I594" s="10"/>
      <c r="J594" s="10"/>
      <c r="K594" s="12">
        <f t="shared" si="173"/>
        <v>0</v>
      </c>
      <c r="M594" s="10">
        <v>33</v>
      </c>
      <c r="N594" s="30"/>
      <c r="O594" s="31"/>
      <c r="P594" s="47"/>
      <c r="Q594" s="31"/>
      <c r="R594" s="31"/>
      <c r="S594" s="32">
        <f t="shared" si="174"/>
        <v>0</v>
      </c>
      <c r="T594" s="10"/>
      <c r="U594" s="10"/>
      <c r="V594" s="10"/>
      <c r="W594" s="12">
        <f t="shared" si="175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82"/>
        <v>0</v>
      </c>
      <c r="AF594" s="10"/>
      <c r="AG594" s="10"/>
      <c r="AH594" s="10"/>
      <c r="AI594" s="12">
        <f t="shared" si="177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83"/>
      <c r="D595" s="32"/>
      <c r="E595" s="32"/>
      <c r="F595" s="32"/>
      <c r="G595" s="32">
        <f t="shared" si="172"/>
        <v>0</v>
      </c>
      <c r="H595" s="10"/>
      <c r="I595" s="10"/>
      <c r="J595" s="10"/>
      <c r="K595" s="12">
        <f t="shared" si="173"/>
        <v>0</v>
      </c>
      <c r="M595" s="10">
        <v>34</v>
      </c>
      <c r="N595" s="30"/>
      <c r="O595" s="31"/>
      <c r="P595" s="47"/>
      <c r="Q595" s="31"/>
      <c r="R595" s="31"/>
      <c r="S595" s="32">
        <f t="shared" si="174"/>
        <v>0</v>
      </c>
      <c r="T595" s="10"/>
      <c r="U595" s="10"/>
      <c r="V595" s="10"/>
      <c r="W595" s="12">
        <f t="shared" si="175"/>
        <v>0</v>
      </c>
      <c r="Y595" s="10">
        <v>34</v>
      </c>
      <c r="Z595" s="30"/>
      <c r="AA595" s="31"/>
      <c r="AB595" s="47"/>
      <c r="AC595" s="31"/>
      <c r="AD595" s="31"/>
      <c r="AE595" s="32">
        <f t="shared" si="182"/>
        <v>0</v>
      </c>
      <c r="AF595" s="10"/>
      <c r="AG595" s="10"/>
      <c r="AH595" s="10"/>
      <c r="AI595" s="12">
        <f t="shared" ref="AI595:AI603" si="183">SUM(AE595:AH595)</f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83"/>
      <c r="D596" s="32"/>
      <c r="E596" s="32"/>
      <c r="F596" s="32"/>
      <c r="G596" s="32"/>
      <c r="H596" s="10"/>
      <c r="I596" s="10"/>
      <c r="J596" s="10"/>
      <c r="K596" s="12"/>
      <c r="M596" s="10">
        <v>35</v>
      </c>
      <c r="N596" s="30"/>
      <c r="O596" s="31"/>
      <c r="P596" s="47"/>
      <c r="Q596" s="31"/>
      <c r="R596" s="31"/>
      <c r="S596" s="32">
        <f t="shared" si="174"/>
        <v>0</v>
      </c>
      <c r="T596" s="10"/>
      <c r="U596" s="10"/>
      <c r="V596" s="10"/>
      <c r="W596" s="12">
        <f t="shared" si="175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82"/>
        <v>0</v>
      </c>
      <c r="AF596" s="10"/>
      <c r="AG596" s="10"/>
      <c r="AH596" s="10"/>
      <c r="AI596" s="12">
        <f t="shared" si="183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83"/>
      <c r="D597" s="32"/>
      <c r="E597" s="32"/>
      <c r="F597" s="32"/>
      <c r="G597" s="32"/>
      <c r="H597" s="10"/>
      <c r="I597" s="10"/>
      <c r="J597" s="10"/>
      <c r="K597" s="12"/>
      <c r="M597" s="10">
        <v>36</v>
      </c>
      <c r="N597" s="30"/>
      <c r="O597" s="31"/>
      <c r="P597" s="47"/>
      <c r="Q597" s="31"/>
      <c r="R597" s="31"/>
      <c r="S597" s="32">
        <f t="shared" si="174"/>
        <v>0</v>
      </c>
      <c r="T597" s="10"/>
      <c r="U597" s="10"/>
      <c r="V597" s="10"/>
      <c r="W597" s="12">
        <f t="shared" si="175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82"/>
        <v>0</v>
      </c>
      <c r="AF597" s="10"/>
      <c r="AG597" s="10"/>
      <c r="AH597" s="10"/>
      <c r="AI597" s="12">
        <f t="shared" si="183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10">
        <v>37</v>
      </c>
      <c r="N598" s="30"/>
      <c r="P598" s="47"/>
      <c r="Q598" s="31"/>
      <c r="R598" s="31"/>
      <c r="S598" s="32">
        <f t="shared" si="174"/>
        <v>0</v>
      </c>
      <c r="T598" s="10"/>
      <c r="U598" s="10"/>
      <c r="V598" s="10"/>
      <c r="W598" s="12">
        <f t="shared" si="175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82"/>
        <v>0</v>
      </c>
      <c r="AF598" s="10"/>
      <c r="AG598" s="10"/>
      <c r="AH598" s="10"/>
      <c r="AI598" s="12">
        <f t="shared" si="183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10">
        <v>38</v>
      </c>
      <c r="N599" s="30"/>
      <c r="O599" s="31"/>
      <c r="P599" s="47"/>
      <c r="Q599" s="31"/>
      <c r="R599" s="31"/>
      <c r="S599" s="32">
        <f t="shared" si="174"/>
        <v>0</v>
      </c>
      <c r="T599" s="10"/>
      <c r="U599" s="10"/>
      <c r="V599" s="10"/>
      <c r="W599" s="12">
        <f t="shared" si="175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82"/>
        <v>0</v>
      </c>
      <c r="AF599" s="10"/>
      <c r="AG599" s="10"/>
      <c r="AH599" s="10"/>
      <c r="AI599" s="12">
        <f t="shared" si="183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10">
        <v>39</v>
      </c>
      <c r="N600" s="30"/>
      <c r="O600" s="31"/>
      <c r="P600" s="47"/>
      <c r="Q600" s="31"/>
      <c r="R600" s="31"/>
      <c r="S600" s="32">
        <f t="shared" si="174"/>
        <v>0</v>
      </c>
      <c r="T600" s="10"/>
      <c r="U600" s="10"/>
      <c r="V600" s="10"/>
      <c r="W600" s="12">
        <f t="shared" si="175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82"/>
        <v>0</v>
      </c>
      <c r="AF600" s="10"/>
      <c r="AG600" s="10"/>
      <c r="AH600" s="10"/>
      <c r="AI600" s="12">
        <f t="shared" si="183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75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83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84">SUM(D602:E602)</f>
        <v>0</v>
      </c>
      <c r="H602" s="10"/>
      <c r="I602" s="10"/>
      <c r="J602" s="10"/>
      <c r="K602" s="12">
        <f t="shared" ref="K602" si="185">SUM(G602:J602)</f>
        <v>0</v>
      </c>
      <c r="M602" s="10"/>
      <c r="N602" s="30"/>
      <c r="O602" s="31"/>
      <c r="P602" s="47"/>
      <c r="Q602" s="31"/>
      <c r="R602" s="31"/>
      <c r="S602" s="32">
        <f t="shared" ref="S602" si="186">SUM(P602:Q602)</f>
        <v>0</v>
      </c>
      <c r="T602" s="10"/>
      <c r="U602" s="10"/>
      <c r="V602" s="10"/>
      <c r="W602" s="12">
        <f t="shared" si="175"/>
        <v>0</v>
      </c>
      <c r="Y602" s="10"/>
      <c r="Z602" s="30"/>
      <c r="AA602" s="31"/>
      <c r="AB602" s="47"/>
      <c r="AC602" s="31"/>
      <c r="AD602" s="31"/>
      <c r="AE602" s="32">
        <f t="shared" ref="AE602" si="187">SUM(AB602:AC602)</f>
        <v>0</v>
      </c>
      <c r="AF602" s="10"/>
      <c r="AG602" s="10"/>
      <c r="AH602" s="10"/>
      <c r="AI602" s="12">
        <f t="shared" si="183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75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83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246523.5</v>
      </c>
      <c r="E605" s="38">
        <f t="shared" ref="E605:F605" si="188">SUM(E562:E602)</f>
        <v>0</v>
      </c>
      <c r="F605" s="38">
        <f t="shared" si="188"/>
        <v>0</v>
      </c>
      <c r="G605" s="38">
        <f>SUM(G562:G604)</f>
        <v>246523.5</v>
      </c>
      <c r="H605" s="4"/>
      <c r="I605" s="39">
        <f>SUM(I562:I604)</f>
        <v>2379</v>
      </c>
      <c r="J605" s="39">
        <f>SUM(J562:J604)</f>
        <v>-1701</v>
      </c>
      <c r="K605" s="40">
        <f>SUM(K562:K604)</f>
        <v>247201.5</v>
      </c>
      <c r="N605" s="57"/>
      <c r="O605" s="57"/>
      <c r="P605" s="38">
        <f>SUM(P562:P604)</f>
        <v>250222.5</v>
      </c>
      <c r="Q605" s="38">
        <f>SUM(Q562:Q586)</f>
        <v>-1536</v>
      </c>
      <c r="R605" s="38">
        <f>SUM(R562:R586)</f>
        <v>0</v>
      </c>
      <c r="S605" s="38">
        <f>SUM(S562:S604)</f>
        <v>248686.5</v>
      </c>
      <c r="T605" s="4"/>
      <c r="U605" s="41">
        <f>SUM(U562:U604)</f>
        <v>774</v>
      </c>
      <c r="V605" s="41">
        <f>SUM(V562:V586)</f>
        <v>-2172</v>
      </c>
      <c r="W605" s="42">
        <f>SUM(W562:W604)</f>
        <v>247288.5</v>
      </c>
      <c r="Z605" s="57"/>
      <c r="AA605" s="57"/>
      <c r="AB605" s="38">
        <f>SUM(AB562:AB604)</f>
        <v>343490</v>
      </c>
      <c r="AC605" s="38">
        <f>SUM(AC562:AC586)</f>
        <v>-2496</v>
      </c>
      <c r="AD605" s="38">
        <f>SUM(AD562:AD586)</f>
        <v>0</v>
      </c>
      <c r="AE605" s="38">
        <f>SUM(AE562:AE604)</f>
        <v>340994</v>
      </c>
      <c r="AF605" s="4"/>
      <c r="AG605" s="41">
        <f>SUM(AG562:AG604)</f>
        <v>33.75</v>
      </c>
      <c r="AH605" s="41">
        <f>SUM(AH562:AH586)</f>
        <v>-1143</v>
      </c>
      <c r="AI605" s="42">
        <f>SUM(AI562:AI604)</f>
        <v>339884.75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91"/>
      <c r="C607" s="91"/>
      <c r="D607" s="91"/>
      <c r="E607" s="91"/>
      <c r="F607" s="91"/>
      <c r="G607" s="91"/>
      <c r="H607" s="62"/>
      <c r="I607" s="62"/>
      <c r="J607" s="62"/>
      <c r="K607" s="62"/>
      <c r="L607" s="62"/>
      <c r="M607" s="62"/>
      <c r="N607" s="91"/>
      <c r="O607" s="91"/>
      <c r="P607" s="91"/>
      <c r="Q607" s="91"/>
      <c r="R607" s="91"/>
      <c r="S607" s="91"/>
      <c r="T607" s="62"/>
      <c r="U607" s="62"/>
      <c r="V607" s="62"/>
      <c r="W607" s="62"/>
      <c r="X607" s="62"/>
      <c r="Y607" s="62"/>
      <c r="Z607" s="91"/>
      <c r="AA607" s="91"/>
      <c r="AB607" s="91"/>
      <c r="AC607" s="91"/>
      <c r="AD607" s="91"/>
      <c r="AE607" s="91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91"/>
      <c r="C608" s="91"/>
      <c r="D608" s="91"/>
      <c r="E608" s="91"/>
      <c r="F608" s="91"/>
      <c r="G608" s="91"/>
      <c r="H608" s="62"/>
      <c r="I608" s="62"/>
      <c r="J608" s="62"/>
      <c r="K608" s="62"/>
      <c r="L608" s="62"/>
      <c r="M608" s="62"/>
      <c r="N608" s="91"/>
      <c r="O608" s="91"/>
      <c r="P608" s="91"/>
      <c r="Q608" s="91"/>
      <c r="R608" s="91"/>
      <c r="S608" s="91"/>
      <c r="T608" s="62"/>
      <c r="U608" s="62"/>
      <c r="V608" s="62"/>
      <c r="W608" s="62"/>
      <c r="X608" s="62"/>
      <c r="Y608" s="62"/>
      <c r="Z608" s="91"/>
      <c r="AA608" s="91"/>
      <c r="AB608" s="91"/>
      <c r="AC608" s="91"/>
      <c r="AD608" s="91"/>
      <c r="AE608" s="91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91"/>
      <c r="C609" s="91"/>
      <c r="D609" s="91"/>
      <c r="E609" s="91"/>
      <c r="F609" s="91"/>
      <c r="G609" s="91"/>
      <c r="H609" s="62"/>
      <c r="I609" s="62"/>
      <c r="J609" s="62"/>
      <c r="K609" s="62"/>
      <c r="L609" s="62"/>
      <c r="M609" s="62"/>
      <c r="N609" s="91"/>
      <c r="O609" s="91"/>
      <c r="P609" s="91"/>
      <c r="Q609" s="91"/>
      <c r="R609" s="91"/>
      <c r="S609" s="91"/>
      <c r="T609" s="62"/>
      <c r="U609" s="62"/>
      <c r="V609" s="62"/>
      <c r="W609" s="62"/>
      <c r="X609" s="62"/>
      <c r="Y609" s="62"/>
      <c r="Z609" s="91"/>
      <c r="AA609" s="91"/>
      <c r="AB609" s="91"/>
      <c r="AC609" s="91"/>
      <c r="AD609" s="91"/>
      <c r="AE609" s="91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91"/>
      <c r="C610" s="91"/>
      <c r="D610" s="91"/>
      <c r="E610" s="91"/>
      <c r="F610" s="91"/>
      <c r="G610" s="91"/>
      <c r="H610" s="62"/>
      <c r="I610" s="62"/>
      <c r="J610" s="62"/>
      <c r="K610" s="62"/>
      <c r="L610" s="62"/>
      <c r="M610" s="63"/>
      <c r="N610" s="91"/>
      <c r="O610" s="91"/>
      <c r="P610" s="91"/>
      <c r="Q610" s="91"/>
      <c r="R610" s="91"/>
      <c r="S610" s="91"/>
      <c r="T610" s="62"/>
      <c r="U610" s="62"/>
      <c r="V610" s="62"/>
      <c r="W610" s="62"/>
      <c r="X610" s="62"/>
      <c r="Y610" s="63"/>
      <c r="Z610" s="91"/>
      <c r="AA610" s="91"/>
      <c r="AB610" s="91"/>
      <c r="AC610" s="91"/>
      <c r="AD610" s="91"/>
      <c r="AE610" s="91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91"/>
      <c r="C611" s="91"/>
      <c r="D611" s="91"/>
      <c r="E611" s="91"/>
      <c r="F611" s="91"/>
      <c r="G611" s="91"/>
      <c r="H611" s="62"/>
      <c r="I611" s="62"/>
      <c r="J611" s="62"/>
      <c r="K611" s="62"/>
      <c r="L611" s="62"/>
      <c r="M611" s="62"/>
      <c r="N611" s="91"/>
      <c r="O611" s="91"/>
      <c r="P611" s="91"/>
      <c r="Q611" s="91"/>
      <c r="R611" s="91"/>
      <c r="S611" s="91"/>
      <c r="T611" s="62"/>
      <c r="U611" s="62"/>
      <c r="V611" s="62"/>
      <c r="W611" s="62"/>
      <c r="X611" s="62"/>
      <c r="Y611" s="62"/>
      <c r="Z611" s="91"/>
      <c r="AA611" s="91"/>
      <c r="AB611" s="91"/>
      <c r="AC611" s="91"/>
      <c r="AD611" s="91"/>
      <c r="AE611" s="91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91"/>
      <c r="C612" s="91"/>
      <c r="D612" s="91"/>
      <c r="E612" s="91"/>
      <c r="F612" s="91"/>
      <c r="G612" s="91"/>
      <c r="H612" s="62"/>
      <c r="I612" s="91"/>
      <c r="J612" s="73"/>
      <c r="K612" s="62"/>
      <c r="L612" s="62"/>
      <c r="M612" s="62"/>
      <c r="N612" s="91"/>
      <c r="O612" s="91"/>
      <c r="P612" s="91"/>
      <c r="Q612" s="91"/>
      <c r="R612" s="91"/>
      <c r="S612" s="91"/>
      <c r="T612" s="62"/>
      <c r="U612" s="91"/>
      <c r="V612" s="73"/>
      <c r="W612" s="62"/>
      <c r="X612" s="62"/>
      <c r="Y612" s="62"/>
      <c r="Z612" s="91"/>
      <c r="AA612" s="91"/>
      <c r="AB612" s="91"/>
      <c r="AC612" s="91"/>
      <c r="AD612" s="91"/>
      <c r="AE612" s="91"/>
      <c r="AF612" s="62"/>
      <c r="AG612" s="91"/>
      <c r="AH612" s="91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91"/>
      <c r="C613" s="91"/>
      <c r="D613" s="91"/>
      <c r="E613" s="91"/>
      <c r="F613" s="91"/>
      <c r="G613" s="91"/>
      <c r="H613" s="62"/>
      <c r="I613" s="65"/>
      <c r="J613" s="65"/>
      <c r="K613" s="62"/>
      <c r="L613" s="62"/>
      <c r="M613" s="64"/>
      <c r="N613" s="91"/>
      <c r="O613" s="91"/>
      <c r="P613" s="91"/>
      <c r="Q613" s="91"/>
      <c r="R613" s="91"/>
      <c r="S613" s="91"/>
      <c r="T613" s="62"/>
      <c r="U613" s="65"/>
      <c r="V613" s="65"/>
      <c r="W613" s="62"/>
      <c r="X613" s="62"/>
      <c r="Y613" s="64"/>
      <c r="Z613" s="91"/>
      <c r="AA613" s="91"/>
      <c r="AB613" s="91"/>
      <c r="AC613" s="91"/>
      <c r="AD613" s="91"/>
      <c r="AE613" s="91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91"/>
      <c r="C614" s="91"/>
      <c r="D614" s="91"/>
      <c r="E614" s="91"/>
      <c r="F614" s="91"/>
      <c r="G614" s="91"/>
      <c r="H614" s="62"/>
      <c r="I614" s="62"/>
      <c r="J614" s="62"/>
      <c r="K614" s="62"/>
      <c r="L614" s="62"/>
      <c r="M614" s="62"/>
      <c r="N614" s="91"/>
      <c r="O614" s="91"/>
      <c r="P614" s="91"/>
      <c r="Q614" s="91"/>
      <c r="R614" s="91"/>
      <c r="S614" s="91"/>
      <c r="T614" s="62"/>
      <c r="U614" s="62"/>
      <c r="V614" s="62"/>
      <c r="W614" s="62"/>
      <c r="X614" s="62"/>
      <c r="Y614" s="62"/>
      <c r="Z614" s="91"/>
      <c r="AA614" s="91"/>
      <c r="AB614" s="91"/>
      <c r="AC614" s="91"/>
      <c r="AD614" s="91"/>
      <c r="AE614" s="91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91"/>
      <c r="D615" s="107"/>
      <c r="E615" s="107"/>
      <c r="F615" s="91"/>
      <c r="G615" s="91"/>
      <c r="H615" s="62"/>
      <c r="I615" s="107"/>
      <c r="J615" s="107"/>
      <c r="K615" s="106"/>
      <c r="L615" s="62"/>
      <c r="M615" s="62"/>
      <c r="N615" s="65"/>
      <c r="O615" s="91"/>
      <c r="P615" s="107"/>
      <c r="Q615" s="107"/>
      <c r="R615" s="91"/>
      <c r="S615" s="91"/>
      <c r="T615" s="62"/>
      <c r="U615" s="107"/>
      <c r="V615" s="107"/>
      <c r="W615" s="106"/>
      <c r="X615" s="62"/>
      <c r="Y615" s="62"/>
      <c r="Z615" s="65"/>
      <c r="AA615" s="91"/>
      <c r="AB615" s="107"/>
      <c r="AC615" s="107"/>
      <c r="AD615" s="91"/>
      <c r="AE615" s="91"/>
      <c r="AF615" s="62"/>
      <c r="AG615" s="107"/>
      <c r="AH615" s="107"/>
      <c r="AI615" s="106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91"/>
      <c r="C616" s="91"/>
      <c r="D616" s="79"/>
      <c r="E616" s="80"/>
      <c r="F616" s="81"/>
      <c r="G616" s="81"/>
      <c r="H616" s="62"/>
      <c r="I616" s="90"/>
      <c r="J616" s="90"/>
      <c r="K616" s="106"/>
      <c r="L616" s="62"/>
      <c r="M616" s="62"/>
      <c r="N616" s="91"/>
      <c r="O616" s="91"/>
      <c r="P616" s="79"/>
      <c r="Q616" s="81"/>
      <c r="R616" s="81"/>
      <c r="S616" s="81"/>
      <c r="T616" s="62"/>
      <c r="U616" s="90"/>
      <c r="V616" s="90"/>
      <c r="W616" s="106"/>
      <c r="X616" s="62"/>
      <c r="Y616" s="62"/>
      <c r="Z616" s="91"/>
      <c r="AA616" s="91"/>
      <c r="AB616" s="79"/>
      <c r="AC616" s="81"/>
      <c r="AD616" s="81"/>
      <c r="AE616" s="81"/>
      <c r="AF616" s="62"/>
      <c r="AG616" s="90"/>
      <c r="AH616" s="90"/>
      <c r="AI616" s="106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91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91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4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91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91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4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91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91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84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91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91"/>
      <c r="AB620" s="60"/>
      <c r="AC620" s="60"/>
      <c r="AD620" s="60"/>
      <c r="AE620" s="60"/>
      <c r="AF620" s="61"/>
      <c r="AG620" s="61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4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91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91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4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91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65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4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91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91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4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65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91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65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62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91"/>
      <c r="AB625" s="60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4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91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91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4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91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91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91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91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62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4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91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91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4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91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91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4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91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62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4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91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62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4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91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91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4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91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91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4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91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91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4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91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91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65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91"/>
      <c r="P637" s="67"/>
      <c r="Q637" s="91"/>
      <c r="R637" s="91"/>
      <c r="S637" s="60"/>
      <c r="T637" s="62"/>
      <c r="U637" s="62"/>
      <c r="V637" s="62"/>
      <c r="W637" s="61"/>
      <c r="X637" s="62"/>
      <c r="Y637" s="62"/>
      <c r="Z637" s="66"/>
      <c r="AA637" s="91"/>
      <c r="AB637" s="67"/>
      <c r="AC637" s="91"/>
      <c r="AD637" s="91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91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91"/>
      <c r="P638" s="68"/>
      <c r="Q638" s="91"/>
      <c r="R638" s="91"/>
      <c r="S638" s="60"/>
      <c r="T638" s="62"/>
      <c r="U638" s="62"/>
      <c r="V638" s="62"/>
      <c r="W638" s="61"/>
      <c r="X638" s="62"/>
      <c r="Y638" s="62"/>
      <c r="Z638" s="66"/>
      <c r="AA638" s="91"/>
      <c r="AB638" s="68"/>
      <c r="AC638" s="91"/>
      <c r="AD638" s="91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4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91"/>
      <c r="P639" s="69"/>
      <c r="Q639" s="91"/>
      <c r="R639" s="62"/>
      <c r="S639" s="60"/>
      <c r="T639" s="62"/>
      <c r="U639" s="62"/>
      <c r="V639" s="62"/>
      <c r="W639" s="61"/>
      <c r="X639" s="62"/>
      <c r="Y639" s="62"/>
      <c r="Z639" s="66"/>
      <c r="AA639" s="91"/>
      <c r="AB639" s="69"/>
      <c r="AC639" s="62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4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91"/>
      <c r="P640" s="69"/>
      <c r="Q640" s="91"/>
      <c r="R640" s="91"/>
      <c r="S640" s="60"/>
      <c r="T640" s="62"/>
      <c r="U640" s="62"/>
      <c r="V640" s="62"/>
      <c r="W640" s="61"/>
      <c r="X640" s="62"/>
      <c r="Y640" s="62"/>
      <c r="Z640" s="66"/>
      <c r="AA640" s="91"/>
      <c r="AB640" s="69"/>
      <c r="AC640" s="91"/>
      <c r="AD640" s="91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4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91"/>
      <c r="P641" s="69"/>
      <c r="Q641" s="91"/>
      <c r="R641" s="91"/>
      <c r="S641" s="60"/>
      <c r="T641" s="62"/>
      <c r="U641" s="62"/>
      <c r="V641" s="62"/>
      <c r="W641" s="61"/>
      <c r="X641" s="62"/>
      <c r="Y641" s="62"/>
      <c r="Z641" s="66"/>
      <c r="AA641" s="91"/>
      <c r="AB641" s="69"/>
      <c r="AC641" s="91"/>
      <c r="AD641" s="91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4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91"/>
      <c r="P642" s="69"/>
      <c r="Q642" s="91"/>
      <c r="R642" s="91"/>
      <c r="S642" s="60"/>
      <c r="T642" s="62"/>
      <c r="U642" s="62"/>
      <c r="V642" s="62"/>
      <c r="W642" s="61"/>
      <c r="X642" s="62"/>
      <c r="Y642" s="62"/>
      <c r="Z642" s="66"/>
      <c r="AA642" s="62"/>
      <c r="AB642" s="69"/>
      <c r="AC642" s="91"/>
      <c r="AD642" s="91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4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91"/>
      <c r="P643" s="69"/>
      <c r="Q643" s="91"/>
      <c r="R643" s="91"/>
      <c r="S643" s="60"/>
      <c r="T643" s="62"/>
      <c r="U643" s="62"/>
      <c r="V643" s="62"/>
      <c r="W643" s="61"/>
      <c r="X643" s="62"/>
      <c r="Y643" s="62"/>
      <c r="Z643" s="66"/>
      <c r="AA643" s="91"/>
      <c r="AB643" s="69"/>
      <c r="AC643" s="91"/>
      <c r="AD643" s="91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4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91"/>
      <c r="P644" s="69"/>
      <c r="Q644" s="91"/>
      <c r="R644" s="91"/>
      <c r="S644" s="60"/>
      <c r="T644" s="62"/>
      <c r="U644" s="62"/>
      <c r="V644" s="62"/>
      <c r="W644" s="61"/>
      <c r="X644" s="62"/>
      <c r="Y644" s="62"/>
      <c r="Z644" s="66"/>
      <c r="AA644" s="91"/>
      <c r="AB644" s="69"/>
      <c r="AC644" s="91"/>
      <c r="AD644" s="91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91"/>
      <c r="P645" s="69"/>
      <c r="Q645" s="91"/>
      <c r="R645" s="91"/>
      <c r="S645" s="60"/>
      <c r="T645" s="62"/>
      <c r="U645" s="62"/>
      <c r="V645" s="62"/>
      <c r="W645" s="61"/>
      <c r="X645" s="62"/>
      <c r="Y645" s="62"/>
      <c r="Z645" s="66"/>
      <c r="AA645" s="91"/>
      <c r="AB645" s="69"/>
      <c r="AC645" s="91"/>
      <c r="AD645" s="91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91"/>
      <c r="P646" s="69"/>
      <c r="Q646" s="91"/>
      <c r="R646" s="91"/>
      <c r="S646" s="60"/>
      <c r="T646" s="62"/>
      <c r="U646" s="62"/>
      <c r="V646" s="62"/>
      <c r="W646" s="61"/>
      <c r="X646" s="62"/>
      <c r="Y646" s="62"/>
      <c r="Z646" s="66"/>
      <c r="AA646" s="91"/>
      <c r="AB646" s="69"/>
      <c r="AC646" s="91"/>
      <c r="AD646" s="91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4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91"/>
      <c r="P647" s="69"/>
      <c r="Q647" s="91"/>
      <c r="R647" s="91"/>
      <c r="S647" s="60"/>
      <c r="T647" s="62"/>
      <c r="U647" s="62"/>
      <c r="V647" s="62"/>
      <c r="W647" s="61"/>
      <c r="X647" s="62"/>
      <c r="Y647" s="62"/>
      <c r="Z647" s="66"/>
      <c r="AA647" s="91"/>
      <c r="AB647" s="69"/>
      <c r="AC647" s="91"/>
      <c r="AD647" s="91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4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91"/>
      <c r="P648" s="69"/>
      <c r="Q648" s="91"/>
      <c r="R648" s="91"/>
      <c r="S648" s="60"/>
      <c r="T648" s="62"/>
      <c r="U648" s="62"/>
      <c r="V648" s="62"/>
      <c r="W648" s="61"/>
      <c r="X648" s="62"/>
      <c r="Y648" s="62"/>
      <c r="Z648" s="66"/>
      <c r="AA648" s="91"/>
      <c r="AB648" s="69"/>
      <c r="AC648" s="91"/>
      <c r="AD648" s="91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91"/>
      <c r="P649" s="69"/>
      <c r="Q649" s="91"/>
      <c r="R649" s="91"/>
      <c r="S649" s="60"/>
      <c r="T649" s="62"/>
      <c r="U649" s="62"/>
      <c r="V649" s="62"/>
      <c r="W649" s="61"/>
      <c r="X649" s="62"/>
      <c r="Y649" s="62"/>
      <c r="Z649" s="66"/>
      <c r="AA649" s="91"/>
      <c r="AB649" s="69"/>
      <c r="AC649" s="91"/>
      <c r="AD649" s="91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91"/>
      <c r="P650" s="69"/>
      <c r="Q650" s="91"/>
      <c r="R650" s="91"/>
      <c r="S650" s="60"/>
      <c r="T650" s="62"/>
      <c r="U650" s="62"/>
      <c r="V650" s="62"/>
      <c r="W650" s="61"/>
      <c r="X650" s="62"/>
      <c r="Y650" s="62"/>
      <c r="Z650" s="66"/>
      <c r="AA650" s="91"/>
      <c r="AB650" s="69"/>
      <c r="AC650" s="91"/>
      <c r="AD650" s="91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62"/>
      <c r="P651" s="69"/>
      <c r="Q651" s="91"/>
      <c r="R651" s="91"/>
      <c r="S651" s="60"/>
      <c r="T651" s="62"/>
      <c r="U651" s="62"/>
      <c r="V651" s="62"/>
      <c r="W651" s="61"/>
      <c r="X651" s="62"/>
      <c r="Y651" s="62"/>
      <c r="Z651" s="66"/>
      <c r="AA651" s="91"/>
      <c r="AB651" s="69"/>
      <c r="AC651" s="91"/>
      <c r="AD651" s="91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91"/>
      <c r="P652" s="69"/>
      <c r="Q652" s="91"/>
      <c r="R652" s="91"/>
      <c r="S652" s="60"/>
      <c r="T652" s="62"/>
      <c r="U652" s="62"/>
      <c r="V652" s="62"/>
      <c r="W652" s="61"/>
      <c r="X652" s="62"/>
      <c r="Y652" s="62"/>
      <c r="Z652" s="66"/>
      <c r="AA652" s="91"/>
      <c r="AB652" s="69"/>
      <c r="AC652" s="91"/>
      <c r="AD652" s="91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91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91"/>
      <c r="P653" s="69"/>
      <c r="Q653" s="91"/>
      <c r="R653" s="91"/>
      <c r="S653" s="60"/>
      <c r="T653" s="62"/>
      <c r="U653" s="62"/>
      <c r="V653" s="62"/>
      <c r="W653" s="61"/>
      <c r="X653" s="62"/>
      <c r="Y653" s="62"/>
      <c r="Z653" s="66"/>
      <c r="AA653" s="91"/>
      <c r="AB653" s="69"/>
      <c r="AC653" s="91"/>
      <c r="AD653" s="91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91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91"/>
      <c r="P654" s="69"/>
      <c r="Q654" s="91"/>
      <c r="R654" s="91"/>
      <c r="S654" s="60"/>
      <c r="T654" s="62"/>
      <c r="U654" s="62"/>
      <c r="V654" s="62"/>
      <c r="W654" s="61"/>
      <c r="X654" s="62"/>
      <c r="Y654" s="62"/>
      <c r="Z654" s="66"/>
      <c r="AA654" s="91"/>
      <c r="AB654" s="69"/>
      <c r="AC654" s="91"/>
      <c r="AD654" s="91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91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91"/>
      <c r="P655" s="69"/>
      <c r="Q655" s="91"/>
      <c r="R655" s="91"/>
      <c r="S655" s="60"/>
      <c r="T655" s="62"/>
      <c r="U655" s="62"/>
      <c r="V655" s="62"/>
      <c r="W655" s="61"/>
      <c r="X655" s="62"/>
      <c r="Y655" s="62"/>
      <c r="Z655" s="66"/>
      <c r="AA655" s="91"/>
      <c r="AB655" s="69"/>
      <c r="AC655" s="91"/>
      <c r="AD655" s="91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91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91"/>
      <c r="R656" s="91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91"/>
      <c r="AD656" s="91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91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91"/>
      <c r="P657" s="69"/>
      <c r="Q657" s="91"/>
      <c r="R657" s="91"/>
      <c r="S657" s="60"/>
      <c r="T657" s="62"/>
      <c r="U657" s="62"/>
      <c r="V657" s="62"/>
      <c r="W657" s="61"/>
      <c r="X657" s="62"/>
      <c r="Y657" s="62"/>
      <c r="Z657" s="66"/>
      <c r="AA657" s="91"/>
      <c r="AB657" s="69"/>
      <c r="AC657" s="91"/>
      <c r="AD657" s="91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91"/>
      <c r="O658" s="91"/>
      <c r="P658" s="91"/>
      <c r="Q658" s="91"/>
      <c r="R658" s="91"/>
      <c r="S658" s="91"/>
      <c r="T658" s="62"/>
      <c r="U658" s="62"/>
      <c r="V658" s="62"/>
      <c r="W658" s="61"/>
      <c r="X658" s="62"/>
      <c r="Y658" s="62"/>
      <c r="Z658" s="91"/>
      <c r="AA658" s="91"/>
      <c r="AB658" s="91"/>
      <c r="AC658" s="91"/>
      <c r="AD658" s="91"/>
      <c r="AE658" s="91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91"/>
      <c r="C659" s="91"/>
      <c r="D659" s="91"/>
      <c r="E659" s="91"/>
      <c r="F659" s="91"/>
      <c r="G659" s="91"/>
      <c r="H659" s="62"/>
      <c r="I659" s="62"/>
      <c r="J659" s="62"/>
      <c r="K659" s="62"/>
      <c r="L659" s="62"/>
      <c r="M659" s="62"/>
      <c r="N659" s="91"/>
      <c r="O659" s="91"/>
      <c r="P659" s="91"/>
      <c r="Q659" s="91"/>
      <c r="R659" s="91"/>
      <c r="S659" s="91"/>
      <c r="T659" s="62"/>
      <c r="U659" s="62"/>
      <c r="V659" s="62"/>
      <c r="W659" s="62"/>
      <c r="X659" s="62"/>
      <c r="Y659" s="62"/>
      <c r="Z659" s="91"/>
      <c r="AA659" s="91"/>
      <c r="AB659" s="91"/>
      <c r="AC659" s="91"/>
      <c r="AD659" s="91"/>
      <c r="AE659" s="91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91"/>
      <c r="C660" s="91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91"/>
      <c r="O660" s="91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91"/>
      <c r="AA660" s="91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91"/>
      <c r="C662" s="91"/>
      <c r="D662" s="91"/>
      <c r="E662" s="91"/>
      <c r="F662" s="91"/>
      <c r="G662" s="91"/>
      <c r="H662" s="62"/>
      <c r="I662" s="62"/>
      <c r="J662" s="62"/>
      <c r="K662" s="62"/>
      <c r="L662" s="62"/>
      <c r="M662" s="62"/>
      <c r="N662" s="91"/>
      <c r="O662" s="91"/>
      <c r="P662" s="91"/>
      <c r="Q662" s="91"/>
      <c r="R662" s="91"/>
      <c r="S662" s="91"/>
      <c r="T662" s="62"/>
      <c r="U662" s="62"/>
      <c r="V662" s="62"/>
      <c r="W662" s="62"/>
      <c r="X662" s="62"/>
      <c r="Y662" s="62"/>
      <c r="Z662" s="91"/>
      <c r="AA662" s="91"/>
      <c r="AB662" s="91"/>
      <c r="AC662" s="91"/>
      <c r="AD662" s="91"/>
      <c r="AE662" s="91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91"/>
      <c r="C663" s="91"/>
      <c r="D663" s="91"/>
      <c r="E663" s="91"/>
      <c r="F663" s="91"/>
      <c r="G663" s="91"/>
      <c r="H663" s="62"/>
      <c r="I663" s="62"/>
      <c r="J663" s="62"/>
      <c r="K663" s="62"/>
      <c r="L663" s="62"/>
      <c r="M663" s="62"/>
      <c r="N663" s="91"/>
      <c r="O663" s="91"/>
      <c r="P663" s="91"/>
      <c r="Q663" s="91"/>
      <c r="R663" s="91"/>
      <c r="S663" s="91"/>
      <c r="T663" s="62"/>
      <c r="U663" s="62"/>
      <c r="V663" s="62"/>
      <c r="W663" s="62"/>
      <c r="X663" s="62"/>
      <c r="Y663" s="62"/>
      <c r="Z663" s="91"/>
      <c r="AA663" s="91"/>
      <c r="AB663" s="91"/>
      <c r="AC663" s="91"/>
      <c r="AD663" s="91"/>
      <c r="AE663" s="91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91"/>
      <c r="C664" s="91"/>
      <c r="D664" s="91"/>
      <c r="E664" s="91"/>
      <c r="F664" s="91"/>
      <c r="G664" s="91"/>
      <c r="H664" s="62"/>
      <c r="I664" s="62"/>
      <c r="J664" s="62"/>
      <c r="K664" s="62"/>
      <c r="L664" s="62"/>
      <c r="M664" s="62"/>
      <c r="N664" s="91"/>
      <c r="O664" s="91"/>
      <c r="P664" s="91"/>
      <c r="Q664" s="91"/>
      <c r="R664" s="91"/>
      <c r="S664" s="91"/>
      <c r="T664" s="62"/>
      <c r="U664" s="62"/>
      <c r="V664" s="62"/>
      <c r="W664" s="62"/>
      <c r="X664" s="62"/>
      <c r="Y664" s="62"/>
      <c r="Z664" s="91"/>
      <c r="AA664" s="91"/>
      <c r="AB664" s="91"/>
      <c r="AC664" s="91"/>
      <c r="AD664" s="91"/>
      <c r="AE664" s="91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91"/>
      <c r="C665" s="91"/>
      <c r="D665" s="91"/>
      <c r="E665" s="91"/>
      <c r="F665" s="91"/>
      <c r="G665" s="91"/>
      <c r="H665" s="62"/>
      <c r="I665" s="62"/>
      <c r="J665" s="62"/>
      <c r="K665" s="62"/>
      <c r="L665" s="62"/>
      <c r="M665" s="63"/>
      <c r="N665" s="91"/>
      <c r="O665" s="91"/>
      <c r="P665" s="91"/>
      <c r="Q665" s="91"/>
      <c r="R665" s="91"/>
      <c r="S665" s="91"/>
      <c r="T665" s="62"/>
      <c r="U665" s="62"/>
      <c r="V665" s="62"/>
      <c r="W665" s="62"/>
      <c r="X665" s="62"/>
      <c r="Y665" s="63"/>
      <c r="Z665" s="91"/>
      <c r="AA665" s="91"/>
      <c r="AB665" s="91"/>
      <c r="AC665" s="91"/>
      <c r="AD665" s="91"/>
      <c r="AE665" s="91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91"/>
      <c r="C666" s="91"/>
      <c r="D666" s="91"/>
      <c r="E666" s="91"/>
      <c r="F666" s="91"/>
      <c r="G666" s="91"/>
      <c r="H666" s="62"/>
      <c r="I666" s="62"/>
      <c r="J666" s="62"/>
      <c r="K666" s="62"/>
      <c r="L666" s="62"/>
      <c r="M666" s="62"/>
      <c r="N666" s="91"/>
      <c r="O666" s="91"/>
      <c r="P666" s="91"/>
      <c r="Q666" s="91"/>
      <c r="R666" s="91"/>
      <c r="S666" s="91"/>
      <c r="T666" s="62"/>
      <c r="U666" s="62"/>
      <c r="V666" s="62"/>
      <c r="W666" s="62"/>
      <c r="X666" s="62"/>
      <c r="Y666" s="62"/>
      <c r="Z666" s="91"/>
      <c r="AA666" s="91"/>
      <c r="AB666" s="91"/>
      <c r="AC666" s="91"/>
      <c r="AD666" s="91"/>
      <c r="AE666" s="91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91"/>
      <c r="C667" s="91"/>
      <c r="D667" s="91"/>
      <c r="E667" s="91"/>
      <c r="F667" s="91"/>
      <c r="G667" s="91"/>
      <c r="H667" s="62"/>
      <c r="I667" s="91"/>
      <c r="J667" s="73"/>
      <c r="K667" s="62"/>
      <c r="L667" s="62"/>
      <c r="M667" s="62"/>
      <c r="N667" s="91"/>
      <c r="O667" s="91"/>
      <c r="P667" s="91"/>
      <c r="Q667" s="91"/>
      <c r="R667" s="91"/>
      <c r="S667" s="91"/>
      <c r="T667" s="62"/>
      <c r="U667" s="91"/>
      <c r="V667" s="73"/>
      <c r="W667" s="62"/>
      <c r="X667" s="62"/>
      <c r="Y667" s="62"/>
      <c r="Z667" s="91"/>
      <c r="AA667" s="91"/>
      <c r="AB667" s="91"/>
      <c r="AC667" s="91"/>
      <c r="AD667" s="91"/>
      <c r="AE667" s="91"/>
      <c r="AF667" s="62"/>
      <c r="AG667" s="91"/>
      <c r="AH667" s="91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91"/>
      <c r="C668" s="91"/>
      <c r="D668" s="91"/>
      <c r="E668" s="91"/>
      <c r="F668" s="91"/>
      <c r="G668" s="91"/>
      <c r="H668" s="62"/>
      <c r="I668" s="65"/>
      <c r="J668" s="65"/>
      <c r="K668" s="62"/>
      <c r="L668" s="62"/>
      <c r="M668" s="64"/>
      <c r="N668" s="91"/>
      <c r="O668" s="91"/>
      <c r="P668" s="91"/>
      <c r="Q668" s="91"/>
      <c r="R668" s="91"/>
      <c r="S668" s="91"/>
      <c r="T668" s="62"/>
      <c r="U668" s="65"/>
      <c r="V668" s="65"/>
      <c r="W668" s="62"/>
      <c r="X668" s="62"/>
      <c r="Y668" s="64"/>
      <c r="Z668" s="91"/>
      <c r="AA668" s="91"/>
      <c r="AB668" s="91"/>
      <c r="AC668" s="91"/>
      <c r="AD668" s="91"/>
      <c r="AE668" s="91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91"/>
      <c r="C669" s="91"/>
      <c r="D669" s="91"/>
      <c r="E669" s="91"/>
      <c r="F669" s="91"/>
      <c r="G669" s="91"/>
      <c r="H669" s="62"/>
      <c r="I669" s="62"/>
      <c r="J669" s="62"/>
      <c r="K669" s="62"/>
      <c r="L669" s="62"/>
      <c r="M669" s="62"/>
      <c r="N669" s="91"/>
      <c r="O669" s="91"/>
      <c r="P669" s="91"/>
      <c r="Q669" s="91"/>
      <c r="R669" s="91"/>
      <c r="S669" s="91"/>
      <c r="T669" s="62"/>
      <c r="U669" s="62"/>
      <c r="V669" s="62"/>
      <c r="W669" s="62"/>
      <c r="X669" s="62"/>
      <c r="Y669" s="62"/>
      <c r="Z669" s="91"/>
      <c r="AA669" s="91"/>
      <c r="AB669" s="91"/>
      <c r="AC669" s="91"/>
      <c r="AD669" s="91"/>
      <c r="AE669" s="91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91"/>
      <c r="D670" s="107"/>
      <c r="E670" s="107"/>
      <c r="F670" s="91"/>
      <c r="G670" s="91"/>
      <c r="H670" s="62"/>
      <c r="I670" s="107"/>
      <c r="J670" s="107"/>
      <c r="K670" s="106"/>
      <c r="L670" s="62"/>
      <c r="M670" s="62"/>
      <c r="N670" s="65"/>
      <c r="O670" s="91"/>
      <c r="P670" s="107"/>
      <c r="Q670" s="107"/>
      <c r="R670" s="91"/>
      <c r="S670" s="91"/>
      <c r="T670" s="62"/>
      <c r="U670" s="107"/>
      <c r="V670" s="107"/>
      <c r="W670" s="106"/>
      <c r="X670" s="62"/>
      <c r="Y670" s="62"/>
      <c r="Z670" s="65"/>
      <c r="AA670" s="91"/>
      <c r="AB670" s="107"/>
      <c r="AC670" s="107"/>
      <c r="AD670" s="91"/>
      <c r="AE670" s="91"/>
      <c r="AF670" s="62"/>
      <c r="AG670" s="107"/>
      <c r="AH670" s="107"/>
      <c r="AI670" s="106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91"/>
      <c r="C671" s="91"/>
      <c r="D671" s="79"/>
      <c r="E671" s="80"/>
      <c r="F671" s="81"/>
      <c r="G671" s="81"/>
      <c r="H671" s="62"/>
      <c r="I671" s="90"/>
      <c r="J671" s="90"/>
      <c r="K671" s="106"/>
      <c r="L671" s="62"/>
      <c r="M671" s="62"/>
      <c r="N671" s="91"/>
      <c r="O671" s="91"/>
      <c r="P671" s="79"/>
      <c r="Q671" s="81"/>
      <c r="R671" s="81"/>
      <c r="S671" s="81"/>
      <c r="T671" s="62"/>
      <c r="U671" s="90"/>
      <c r="V671" s="90"/>
      <c r="W671" s="106"/>
      <c r="X671" s="62"/>
      <c r="Y671" s="62"/>
      <c r="Z671" s="91"/>
      <c r="AA671" s="91"/>
      <c r="AB671" s="79"/>
      <c r="AC671" s="81"/>
      <c r="AD671" s="81"/>
      <c r="AE671" s="81"/>
      <c r="AF671" s="62"/>
      <c r="AG671" s="90"/>
      <c r="AH671" s="90"/>
      <c r="AI671" s="106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91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91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4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91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91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4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91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91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4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91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65"/>
      <c r="AB675" s="60"/>
      <c r="AC675" s="60"/>
      <c r="AD675" s="60"/>
      <c r="AE675" s="60"/>
      <c r="AF675" s="61"/>
      <c r="AG675" s="61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65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65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91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4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91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62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4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91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91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91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65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91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4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62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91"/>
      <c r="AB680" s="6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91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91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91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84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91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91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4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91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62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4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91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91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4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91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91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4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91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62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4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91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62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4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91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91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4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91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91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91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91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4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91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91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65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91"/>
      <c r="P692" s="67"/>
      <c r="Q692" s="91"/>
      <c r="R692" s="91"/>
      <c r="S692" s="60"/>
      <c r="T692" s="62"/>
      <c r="U692" s="62"/>
      <c r="V692" s="62"/>
      <c r="W692" s="61"/>
      <c r="X692" s="62"/>
      <c r="Y692" s="62"/>
      <c r="Z692" s="66"/>
      <c r="AA692" s="91"/>
      <c r="AB692" s="67"/>
      <c r="AC692" s="91"/>
      <c r="AD692" s="91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91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91"/>
      <c r="P693" s="68"/>
      <c r="Q693" s="91"/>
      <c r="R693" s="91"/>
      <c r="S693" s="60"/>
      <c r="T693" s="62"/>
      <c r="U693" s="62"/>
      <c r="V693" s="62"/>
      <c r="W693" s="61"/>
      <c r="X693" s="62"/>
      <c r="Y693" s="62"/>
      <c r="Z693" s="66"/>
      <c r="AA693" s="91"/>
      <c r="AB693" s="68"/>
      <c r="AC693" s="91"/>
      <c r="AD693" s="91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4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91"/>
      <c r="P694" s="69"/>
      <c r="Q694" s="91"/>
      <c r="R694" s="62"/>
      <c r="S694" s="60"/>
      <c r="T694" s="62"/>
      <c r="U694" s="62"/>
      <c r="V694" s="62"/>
      <c r="W694" s="61"/>
      <c r="X694" s="62"/>
      <c r="Y694" s="62"/>
      <c r="Z694" s="66"/>
      <c r="AA694" s="91"/>
      <c r="AB694" s="69"/>
      <c r="AC694" s="62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4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91"/>
      <c r="P695" s="69"/>
      <c r="Q695" s="91"/>
      <c r="R695" s="91"/>
      <c r="S695" s="60"/>
      <c r="T695" s="62"/>
      <c r="U695" s="62"/>
      <c r="V695" s="62"/>
      <c r="W695" s="61"/>
      <c r="X695" s="62"/>
      <c r="Y695" s="62"/>
      <c r="Z695" s="66"/>
      <c r="AA695" s="91"/>
      <c r="AB695" s="69"/>
      <c r="AC695" s="91"/>
      <c r="AD695" s="91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91"/>
      <c r="P696" s="69"/>
      <c r="Q696" s="91"/>
      <c r="R696" s="91"/>
      <c r="S696" s="60"/>
      <c r="T696" s="62"/>
      <c r="U696" s="62"/>
      <c r="V696" s="62"/>
      <c r="W696" s="61"/>
      <c r="X696" s="62"/>
      <c r="Y696" s="62"/>
      <c r="Z696" s="66"/>
      <c r="AA696" s="91"/>
      <c r="AB696" s="69"/>
      <c r="AC696" s="91"/>
      <c r="AD696" s="91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4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91"/>
      <c r="P697" s="69"/>
      <c r="Q697" s="91"/>
      <c r="R697" s="91"/>
      <c r="S697" s="60"/>
      <c r="T697" s="62"/>
      <c r="U697" s="62"/>
      <c r="V697" s="62"/>
      <c r="W697" s="61"/>
      <c r="X697" s="62"/>
      <c r="Y697" s="62"/>
      <c r="Z697" s="66"/>
      <c r="AA697" s="62"/>
      <c r="AB697" s="69"/>
      <c r="AC697" s="91"/>
      <c r="AD697" s="91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91"/>
      <c r="P698" s="69"/>
      <c r="Q698" s="91"/>
      <c r="R698" s="91"/>
      <c r="S698" s="60"/>
      <c r="T698" s="62"/>
      <c r="U698" s="62"/>
      <c r="V698" s="62"/>
      <c r="W698" s="61"/>
      <c r="X698" s="62"/>
      <c r="Y698" s="62"/>
      <c r="Z698" s="66"/>
      <c r="AA698" s="91"/>
      <c r="AB698" s="69"/>
      <c r="AC698" s="91"/>
      <c r="AD698" s="91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91"/>
      <c r="P699" s="69"/>
      <c r="Q699" s="91"/>
      <c r="R699" s="91"/>
      <c r="S699" s="60"/>
      <c r="T699" s="62"/>
      <c r="U699" s="62"/>
      <c r="V699" s="62"/>
      <c r="W699" s="61"/>
      <c r="X699" s="62"/>
      <c r="Y699" s="62"/>
      <c r="Z699" s="66"/>
      <c r="AA699" s="91"/>
      <c r="AB699" s="69"/>
      <c r="AC699" s="91"/>
      <c r="AD699" s="91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91"/>
      <c r="P700" s="69"/>
      <c r="Q700" s="91"/>
      <c r="R700" s="91"/>
      <c r="S700" s="60"/>
      <c r="T700" s="62"/>
      <c r="U700" s="62"/>
      <c r="V700" s="62"/>
      <c r="W700" s="61"/>
      <c r="X700" s="62"/>
      <c r="Y700" s="62"/>
      <c r="Z700" s="66"/>
      <c r="AA700" s="91"/>
      <c r="AB700" s="69"/>
      <c r="AC700" s="91"/>
      <c r="AD700" s="91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91"/>
      <c r="P701" s="69"/>
      <c r="Q701" s="91"/>
      <c r="R701" s="91"/>
      <c r="S701" s="60"/>
      <c r="T701" s="62"/>
      <c r="U701" s="62"/>
      <c r="V701" s="62"/>
      <c r="W701" s="61"/>
      <c r="X701" s="62"/>
      <c r="Y701" s="62"/>
      <c r="Z701" s="66"/>
      <c r="AA701" s="91"/>
      <c r="AB701" s="69"/>
      <c r="AC701" s="91"/>
      <c r="AD701" s="91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84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91"/>
      <c r="P702" s="69"/>
      <c r="Q702" s="91"/>
      <c r="R702" s="91"/>
      <c r="S702" s="60"/>
      <c r="T702" s="62"/>
      <c r="U702" s="62"/>
      <c r="V702" s="62"/>
      <c r="W702" s="61"/>
      <c r="X702" s="62"/>
      <c r="Y702" s="62"/>
      <c r="Z702" s="66"/>
      <c r="AA702" s="91"/>
      <c r="AB702" s="69"/>
      <c r="AC702" s="91"/>
      <c r="AD702" s="91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91"/>
      <c r="P703" s="69"/>
      <c r="Q703" s="91"/>
      <c r="R703" s="91"/>
      <c r="S703" s="60"/>
      <c r="T703" s="62"/>
      <c r="U703" s="62"/>
      <c r="V703" s="62"/>
      <c r="W703" s="61"/>
      <c r="X703" s="62"/>
      <c r="Y703" s="62"/>
      <c r="Z703" s="66"/>
      <c r="AA703" s="91"/>
      <c r="AB703" s="69"/>
      <c r="AC703" s="91"/>
      <c r="AD703" s="91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91"/>
      <c r="P704" s="69"/>
      <c r="Q704" s="91"/>
      <c r="R704" s="91"/>
      <c r="S704" s="60"/>
      <c r="T704" s="62"/>
      <c r="U704" s="62"/>
      <c r="V704" s="62"/>
      <c r="W704" s="61"/>
      <c r="X704" s="62"/>
      <c r="Y704" s="62"/>
      <c r="Z704" s="66"/>
      <c r="AA704" s="91"/>
      <c r="AB704" s="69"/>
      <c r="AC704" s="91"/>
      <c r="AD704" s="91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91"/>
      <c r="P705" s="69"/>
      <c r="Q705" s="91"/>
      <c r="R705" s="91"/>
      <c r="S705" s="60"/>
      <c r="T705" s="62"/>
      <c r="U705" s="62"/>
      <c r="V705" s="62"/>
      <c r="W705" s="61"/>
      <c r="X705" s="62"/>
      <c r="Y705" s="62"/>
      <c r="Z705" s="66"/>
      <c r="AA705" s="91"/>
      <c r="AB705" s="69"/>
      <c r="AC705" s="91"/>
      <c r="AD705" s="91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62"/>
      <c r="P706" s="69"/>
      <c r="Q706" s="91"/>
      <c r="R706" s="91"/>
      <c r="S706" s="60"/>
      <c r="T706" s="62"/>
      <c r="U706" s="62"/>
      <c r="V706" s="62"/>
      <c r="W706" s="61"/>
      <c r="X706" s="62"/>
      <c r="Y706" s="62"/>
      <c r="Z706" s="66"/>
      <c r="AA706" s="91"/>
      <c r="AB706" s="69"/>
      <c r="AC706" s="91"/>
      <c r="AD706" s="91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91"/>
      <c r="P707" s="69"/>
      <c r="Q707" s="91"/>
      <c r="R707" s="91"/>
      <c r="S707" s="60"/>
      <c r="T707" s="62"/>
      <c r="U707" s="62"/>
      <c r="V707" s="62"/>
      <c r="W707" s="61"/>
      <c r="X707" s="62"/>
      <c r="Y707" s="62"/>
      <c r="Z707" s="66"/>
      <c r="AA707" s="91"/>
      <c r="AB707" s="69"/>
      <c r="AC707" s="91"/>
      <c r="AD707" s="91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91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91"/>
      <c r="P708" s="69"/>
      <c r="Q708" s="91"/>
      <c r="R708" s="91"/>
      <c r="S708" s="60"/>
      <c r="T708" s="62"/>
      <c r="U708" s="62"/>
      <c r="V708" s="62"/>
      <c r="W708" s="61"/>
      <c r="X708" s="62"/>
      <c r="Y708" s="62"/>
      <c r="Z708" s="66"/>
      <c r="AA708" s="91"/>
      <c r="AB708" s="69"/>
      <c r="AC708" s="91"/>
      <c r="AD708" s="91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91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91"/>
      <c r="P709" s="69"/>
      <c r="Q709" s="91"/>
      <c r="R709" s="91"/>
      <c r="S709" s="60"/>
      <c r="T709" s="62"/>
      <c r="U709" s="62"/>
      <c r="V709" s="62"/>
      <c r="W709" s="61"/>
      <c r="X709" s="62"/>
      <c r="Y709" s="62"/>
      <c r="Z709" s="66"/>
      <c r="AA709" s="91"/>
      <c r="AB709" s="69"/>
      <c r="AC709" s="91"/>
      <c r="AD709" s="91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91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91"/>
      <c r="P710" s="69"/>
      <c r="Q710" s="91"/>
      <c r="R710" s="91"/>
      <c r="S710" s="60"/>
      <c r="T710" s="62"/>
      <c r="U710" s="62"/>
      <c r="V710" s="62"/>
      <c r="W710" s="61"/>
      <c r="X710" s="62"/>
      <c r="Y710" s="62"/>
      <c r="Z710" s="66"/>
      <c r="AA710" s="91"/>
      <c r="AB710" s="69"/>
      <c r="AC710" s="91"/>
      <c r="AD710" s="91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91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91"/>
      <c r="R711" s="91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91"/>
      <c r="AD711" s="91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91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91"/>
      <c r="P712" s="69"/>
      <c r="Q712" s="91"/>
      <c r="R712" s="91"/>
      <c r="S712" s="60"/>
      <c r="T712" s="62"/>
      <c r="U712" s="62"/>
      <c r="V712" s="62"/>
      <c r="W712" s="61"/>
      <c r="X712" s="62"/>
      <c r="Y712" s="62"/>
      <c r="Z712" s="66"/>
      <c r="AA712" s="91"/>
      <c r="AB712" s="69"/>
      <c r="AC712" s="91"/>
      <c r="AD712" s="91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91"/>
      <c r="O713" s="91"/>
      <c r="P713" s="91"/>
      <c r="Q713" s="91"/>
      <c r="R713" s="91"/>
      <c r="S713" s="91"/>
      <c r="T713" s="62"/>
      <c r="U713" s="62"/>
      <c r="V713" s="62"/>
      <c r="W713" s="61"/>
      <c r="X713" s="62"/>
      <c r="Y713" s="62"/>
      <c r="Z713" s="91"/>
      <c r="AA713" s="91"/>
      <c r="AB713" s="91"/>
      <c r="AC713" s="91"/>
      <c r="AD713" s="91"/>
      <c r="AE713" s="91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91"/>
      <c r="C714" s="91"/>
      <c r="D714" s="91"/>
      <c r="E714" s="91"/>
      <c r="F714" s="91"/>
      <c r="G714" s="91"/>
      <c r="H714" s="62"/>
      <c r="I714" s="62"/>
      <c r="J714" s="62"/>
      <c r="K714" s="62"/>
      <c r="L714" s="62"/>
      <c r="M714" s="62"/>
      <c r="N714" s="91"/>
      <c r="O714" s="91"/>
      <c r="P714" s="91"/>
      <c r="Q714" s="91"/>
      <c r="R714" s="91"/>
      <c r="S714" s="91"/>
      <c r="T714" s="62"/>
      <c r="U714" s="62"/>
      <c r="V714" s="62"/>
      <c r="W714" s="62"/>
      <c r="X714" s="62"/>
      <c r="Y714" s="62"/>
      <c r="Z714" s="91"/>
      <c r="AA714" s="91"/>
      <c r="AB714" s="91"/>
      <c r="AC714" s="91"/>
      <c r="AD714" s="91"/>
      <c r="AE714" s="91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91"/>
      <c r="C715" s="91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91"/>
      <c r="O715" s="91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91"/>
      <c r="AA715" s="91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91"/>
      <c r="C717" s="91"/>
      <c r="D717" s="91"/>
      <c r="E717" s="91"/>
      <c r="F717" s="91"/>
      <c r="G717" s="91"/>
      <c r="H717" s="62"/>
      <c r="I717" s="62"/>
      <c r="J717" s="62"/>
      <c r="K717" s="62"/>
      <c r="L717" s="62"/>
      <c r="M717" s="62"/>
      <c r="N717" s="91"/>
      <c r="O717" s="91"/>
      <c r="P717" s="91"/>
      <c r="Q717" s="91"/>
      <c r="R717" s="91"/>
      <c r="S717" s="91"/>
      <c r="T717" s="62"/>
      <c r="U717" s="62"/>
      <c r="V717" s="62"/>
      <c r="W717" s="62"/>
      <c r="X717" s="62"/>
      <c r="Y717" s="62"/>
      <c r="Z717" s="91"/>
      <c r="AA717" s="91"/>
      <c r="AB717" s="91"/>
      <c r="AC717" s="91"/>
      <c r="AD717" s="91"/>
      <c r="AE717" s="91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91"/>
      <c r="C718" s="91"/>
      <c r="D718" s="91"/>
      <c r="E718" s="91"/>
      <c r="F718" s="91"/>
      <c r="G718" s="91"/>
      <c r="H718" s="62"/>
      <c r="I718" s="62"/>
      <c r="J718" s="62"/>
      <c r="K718" s="62"/>
      <c r="L718" s="62"/>
      <c r="M718" s="62"/>
      <c r="N718" s="91"/>
      <c r="O718" s="91"/>
      <c r="P718" s="91"/>
      <c r="Q718" s="91"/>
      <c r="R718" s="91"/>
      <c r="S718" s="91"/>
      <c r="T718" s="62"/>
      <c r="U718" s="62"/>
      <c r="V718" s="62"/>
      <c r="W718" s="62"/>
      <c r="X718" s="62"/>
      <c r="Y718" s="62"/>
      <c r="Z718" s="91"/>
      <c r="AA718" s="91"/>
      <c r="AB718" s="91"/>
      <c r="AC718" s="91"/>
      <c r="AD718" s="91"/>
      <c r="AE718" s="91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91"/>
      <c r="C719" s="91"/>
      <c r="D719" s="91"/>
      <c r="E719" s="91"/>
      <c r="F719" s="91"/>
      <c r="G719" s="91"/>
      <c r="H719" s="62"/>
      <c r="I719" s="62"/>
      <c r="J719" s="62"/>
      <c r="K719" s="62"/>
      <c r="L719" s="62"/>
      <c r="M719" s="62"/>
      <c r="N719" s="91"/>
      <c r="O719" s="91"/>
      <c r="P719" s="91"/>
      <c r="Q719" s="91"/>
      <c r="R719" s="91"/>
      <c r="S719" s="91"/>
      <c r="T719" s="62"/>
      <c r="U719" s="62"/>
      <c r="V719" s="62"/>
      <c r="W719" s="62"/>
      <c r="X719" s="62"/>
      <c r="Y719" s="62"/>
      <c r="Z719" s="91"/>
      <c r="AA719" s="91"/>
      <c r="AB719" s="91"/>
      <c r="AC719" s="91"/>
      <c r="AD719" s="91"/>
      <c r="AE719" s="91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91"/>
      <c r="C720" s="91"/>
      <c r="D720" s="91"/>
      <c r="E720" s="91"/>
      <c r="F720" s="91"/>
      <c r="G720" s="91"/>
      <c r="H720" s="62"/>
      <c r="I720" s="62"/>
      <c r="J720" s="62"/>
      <c r="K720" s="62"/>
      <c r="L720" s="62"/>
      <c r="M720" s="63"/>
      <c r="N720" s="91"/>
      <c r="O720" s="91"/>
      <c r="P720" s="91"/>
      <c r="Q720" s="91"/>
      <c r="R720" s="91"/>
      <c r="S720" s="91"/>
      <c r="T720" s="62"/>
      <c r="U720" s="62"/>
      <c r="V720" s="62"/>
      <c r="W720" s="62"/>
      <c r="X720" s="62"/>
      <c r="Y720" s="63"/>
      <c r="Z720" s="91"/>
      <c r="AA720" s="91"/>
      <c r="AB720" s="91"/>
      <c r="AC720" s="91"/>
      <c r="AD720" s="91"/>
      <c r="AE720" s="91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91"/>
      <c r="C721" s="91"/>
      <c r="D721" s="91"/>
      <c r="E721" s="91"/>
      <c r="F721" s="91"/>
      <c r="G721" s="91"/>
      <c r="H721" s="62"/>
      <c r="I721" s="62"/>
      <c r="J721" s="62"/>
      <c r="K721" s="62"/>
      <c r="L721" s="62"/>
      <c r="M721" s="62"/>
      <c r="N721" s="91"/>
      <c r="O721" s="91"/>
      <c r="P721" s="91"/>
      <c r="Q721" s="91"/>
      <c r="R721" s="91"/>
      <c r="S721" s="91"/>
      <c r="T721" s="62"/>
      <c r="U721" s="62"/>
      <c r="V721" s="62"/>
      <c r="W721" s="62"/>
      <c r="X721" s="62"/>
      <c r="Y721" s="62"/>
      <c r="Z721" s="91"/>
      <c r="AA721" s="91"/>
      <c r="AB721" s="91"/>
      <c r="AC721" s="91"/>
      <c r="AD721" s="91"/>
      <c r="AE721" s="91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91"/>
      <c r="C722" s="91"/>
      <c r="D722" s="91"/>
      <c r="E722" s="91"/>
      <c r="F722" s="91"/>
      <c r="G722" s="91"/>
      <c r="H722" s="62"/>
      <c r="I722" s="91"/>
      <c r="J722" s="73"/>
      <c r="K722" s="62"/>
      <c r="L722" s="62"/>
      <c r="M722" s="62"/>
      <c r="N722" s="91"/>
      <c r="O722" s="91"/>
      <c r="P722" s="91"/>
      <c r="Q722" s="91"/>
      <c r="R722" s="91"/>
      <c r="S722" s="91"/>
      <c r="T722" s="62"/>
      <c r="U722" s="91"/>
      <c r="V722" s="73"/>
      <c r="W722" s="62"/>
      <c r="X722" s="62"/>
      <c r="Y722" s="62"/>
      <c r="Z722" s="91"/>
      <c r="AA722" s="91"/>
      <c r="AB722" s="91"/>
      <c r="AC722" s="91"/>
      <c r="AD722" s="91"/>
      <c r="AE722" s="91"/>
      <c r="AF722" s="62"/>
      <c r="AG722" s="91"/>
      <c r="AH722" s="91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91"/>
      <c r="C723" s="91"/>
      <c r="D723" s="91"/>
      <c r="E723" s="91"/>
      <c r="F723" s="91"/>
      <c r="G723" s="91"/>
      <c r="H723" s="62"/>
      <c r="I723" s="65"/>
      <c r="J723" s="65"/>
      <c r="K723" s="62"/>
      <c r="L723" s="62"/>
      <c r="M723" s="64"/>
      <c r="N723" s="91"/>
      <c r="O723" s="91"/>
      <c r="P723" s="91"/>
      <c r="Q723" s="91"/>
      <c r="R723" s="91"/>
      <c r="S723" s="91"/>
      <c r="T723" s="62"/>
      <c r="U723" s="65"/>
      <c r="V723" s="65"/>
      <c r="W723" s="62"/>
      <c r="X723" s="62"/>
      <c r="Y723" s="64"/>
      <c r="Z723" s="91"/>
      <c r="AA723" s="91"/>
      <c r="AB723" s="91"/>
      <c r="AC723" s="91"/>
      <c r="AD723" s="91"/>
      <c r="AE723" s="91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91"/>
      <c r="C724" s="91"/>
      <c r="D724" s="91"/>
      <c r="E724" s="91"/>
      <c r="F724" s="91"/>
      <c r="G724" s="91"/>
      <c r="H724" s="62"/>
      <c r="I724" s="62"/>
      <c r="J724" s="62"/>
      <c r="K724" s="62"/>
      <c r="L724" s="62"/>
      <c r="M724" s="62"/>
      <c r="N724" s="91"/>
      <c r="O724" s="91"/>
      <c r="P724" s="91"/>
      <c r="Q724" s="91"/>
      <c r="R724" s="91"/>
      <c r="S724" s="91"/>
      <c r="T724" s="62"/>
      <c r="U724" s="62"/>
      <c r="V724" s="62"/>
      <c r="W724" s="62"/>
      <c r="X724" s="62"/>
      <c r="Y724" s="62"/>
      <c r="Z724" s="91"/>
      <c r="AA724" s="91"/>
      <c r="AB724" s="91"/>
      <c r="AC724" s="91"/>
      <c r="AD724" s="91"/>
      <c r="AE724" s="91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91"/>
      <c r="D725" s="107"/>
      <c r="E725" s="107"/>
      <c r="F725" s="91"/>
      <c r="G725" s="91"/>
      <c r="H725" s="62"/>
      <c r="I725" s="107"/>
      <c r="J725" s="107"/>
      <c r="K725" s="106"/>
      <c r="L725" s="62"/>
      <c r="M725" s="62"/>
      <c r="N725" s="65"/>
      <c r="O725" s="91"/>
      <c r="P725" s="107"/>
      <c r="Q725" s="107"/>
      <c r="R725" s="91"/>
      <c r="S725" s="91"/>
      <c r="T725" s="62"/>
      <c r="U725" s="107"/>
      <c r="V725" s="107"/>
      <c r="W725" s="106"/>
      <c r="X725" s="62"/>
      <c r="Y725" s="62"/>
      <c r="Z725" s="65"/>
      <c r="AA725" s="91"/>
      <c r="AB725" s="107"/>
      <c r="AC725" s="107"/>
      <c r="AD725" s="91"/>
      <c r="AE725" s="91"/>
      <c r="AF725" s="62"/>
      <c r="AG725" s="107"/>
      <c r="AH725" s="107"/>
      <c r="AI725" s="106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91"/>
      <c r="C726" s="91"/>
      <c r="D726" s="79"/>
      <c r="E726" s="80"/>
      <c r="F726" s="81"/>
      <c r="G726" s="81"/>
      <c r="H726" s="62"/>
      <c r="I726" s="90"/>
      <c r="J726" s="90"/>
      <c r="K726" s="106"/>
      <c r="L726" s="62"/>
      <c r="M726" s="62"/>
      <c r="N726" s="91"/>
      <c r="O726" s="91"/>
      <c r="P726" s="79"/>
      <c r="Q726" s="81"/>
      <c r="R726" s="81"/>
      <c r="S726" s="81"/>
      <c r="T726" s="62"/>
      <c r="U726" s="90"/>
      <c r="V726" s="90"/>
      <c r="W726" s="106"/>
      <c r="X726" s="62"/>
      <c r="Y726" s="62"/>
      <c r="Z726" s="91"/>
      <c r="AA726" s="91"/>
      <c r="AB726" s="79"/>
      <c r="AC726" s="81"/>
      <c r="AD726" s="81"/>
      <c r="AE726" s="81"/>
      <c r="AF726" s="62"/>
      <c r="AG726" s="90"/>
      <c r="AH726" s="90"/>
      <c r="AI726" s="106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91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91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4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91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91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4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91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91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65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91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91"/>
      <c r="AB730" s="60"/>
      <c r="AC730" s="60"/>
      <c r="AD730" s="60"/>
      <c r="AE730" s="60"/>
      <c r="AF730" s="61"/>
      <c r="AG730" s="61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4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91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91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84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65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91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4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91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91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4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91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91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4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91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91"/>
      <c r="AB735" s="60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4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91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91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4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62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91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4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91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91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4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91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91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4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91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91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4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91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91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91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91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91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4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91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91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4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91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65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4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91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91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4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91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91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65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91"/>
      <c r="P747" s="67"/>
      <c r="Q747" s="91"/>
      <c r="R747" s="91"/>
      <c r="S747" s="60"/>
      <c r="T747" s="62"/>
      <c r="U747" s="62"/>
      <c r="V747" s="62"/>
      <c r="W747" s="61"/>
      <c r="X747" s="62"/>
      <c r="Y747" s="62"/>
      <c r="Z747" s="66"/>
      <c r="AA747" s="91"/>
      <c r="AB747" s="67"/>
      <c r="AC747" s="91"/>
      <c r="AD747" s="91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91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91"/>
      <c r="P748" s="68"/>
      <c r="Q748" s="91"/>
      <c r="R748" s="91"/>
      <c r="S748" s="60"/>
      <c r="T748" s="62"/>
      <c r="U748" s="62"/>
      <c r="V748" s="62"/>
      <c r="W748" s="61"/>
      <c r="X748" s="62"/>
      <c r="Y748" s="62"/>
      <c r="Z748" s="66"/>
      <c r="AA748" s="91"/>
      <c r="AB748" s="68"/>
      <c r="AC748" s="91"/>
      <c r="AD748" s="91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4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91"/>
      <c r="P749" s="69"/>
      <c r="Q749" s="91"/>
      <c r="R749" s="62"/>
      <c r="S749" s="60"/>
      <c r="T749" s="62"/>
      <c r="U749" s="62"/>
      <c r="V749" s="62"/>
      <c r="W749" s="61"/>
      <c r="X749" s="62"/>
      <c r="Y749" s="62"/>
      <c r="Z749" s="66"/>
      <c r="AA749" s="91"/>
      <c r="AB749" s="69"/>
      <c r="AC749" s="62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91"/>
      <c r="P750" s="69"/>
      <c r="Q750" s="91"/>
      <c r="R750" s="91"/>
      <c r="S750" s="60"/>
      <c r="T750" s="62"/>
      <c r="U750" s="62"/>
      <c r="V750" s="62"/>
      <c r="W750" s="61"/>
      <c r="X750" s="62"/>
      <c r="Y750" s="62"/>
      <c r="Z750" s="66"/>
      <c r="AA750" s="91"/>
      <c r="AB750" s="69"/>
      <c r="AC750" s="91"/>
      <c r="AD750" s="91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91"/>
      <c r="P751" s="69"/>
      <c r="Q751" s="91"/>
      <c r="R751" s="91"/>
      <c r="S751" s="60"/>
      <c r="T751" s="62"/>
      <c r="U751" s="62"/>
      <c r="V751" s="62"/>
      <c r="W751" s="61"/>
      <c r="X751" s="62"/>
      <c r="Y751" s="62"/>
      <c r="Z751" s="66"/>
      <c r="AA751" s="91"/>
      <c r="AB751" s="69"/>
      <c r="AC751" s="91"/>
      <c r="AD751" s="91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4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91"/>
      <c r="P752" s="69"/>
      <c r="Q752" s="91"/>
      <c r="R752" s="91"/>
      <c r="S752" s="60"/>
      <c r="T752" s="62"/>
      <c r="U752" s="62"/>
      <c r="V752" s="62"/>
      <c r="W752" s="61"/>
      <c r="X752" s="62"/>
      <c r="Y752" s="62"/>
      <c r="Z752" s="66"/>
      <c r="AA752" s="91"/>
      <c r="AB752" s="69"/>
      <c r="AC752" s="91"/>
      <c r="AD752" s="91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91"/>
      <c r="P753" s="69"/>
      <c r="Q753" s="91"/>
      <c r="R753" s="91"/>
      <c r="S753" s="60"/>
      <c r="T753" s="62"/>
      <c r="U753" s="62"/>
      <c r="V753" s="62"/>
      <c r="W753" s="61"/>
      <c r="X753" s="62"/>
      <c r="Y753" s="62"/>
      <c r="Z753" s="66"/>
      <c r="AA753" s="91"/>
      <c r="AB753" s="69"/>
      <c r="AC753" s="91"/>
      <c r="AD753" s="91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91"/>
      <c r="P754" s="69"/>
      <c r="Q754" s="91"/>
      <c r="R754" s="91"/>
      <c r="S754" s="60"/>
      <c r="T754" s="62"/>
      <c r="U754" s="62"/>
      <c r="V754" s="62"/>
      <c r="W754" s="61"/>
      <c r="X754" s="62"/>
      <c r="Y754" s="62"/>
      <c r="Z754" s="66"/>
      <c r="AA754" s="91"/>
      <c r="AB754" s="69"/>
      <c r="AC754" s="91"/>
      <c r="AD754" s="91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91"/>
      <c r="P755" s="69"/>
      <c r="Q755" s="91"/>
      <c r="R755" s="91"/>
      <c r="S755" s="60"/>
      <c r="T755" s="62"/>
      <c r="U755" s="62"/>
      <c r="V755" s="62"/>
      <c r="W755" s="61"/>
      <c r="X755" s="62"/>
      <c r="Y755" s="62"/>
      <c r="Z755" s="66"/>
      <c r="AA755" s="91"/>
      <c r="AB755" s="69"/>
      <c r="AC755" s="91"/>
      <c r="AD755" s="91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4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91"/>
      <c r="P756" s="69"/>
      <c r="Q756" s="91"/>
      <c r="R756" s="91"/>
      <c r="S756" s="60"/>
      <c r="T756" s="62"/>
      <c r="U756" s="62"/>
      <c r="V756" s="62"/>
      <c r="W756" s="61"/>
      <c r="X756" s="62"/>
      <c r="Y756" s="62"/>
      <c r="Z756" s="66"/>
      <c r="AA756" s="62"/>
      <c r="AB756" s="69"/>
      <c r="AC756" s="91"/>
      <c r="AD756" s="91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84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91"/>
      <c r="P757" s="69"/>
      <c r="Q757" s="91"/>
      <c r="R757" s="91"/>
      <c r="S757" s="60"/>
      <c r="T757" s="62"/>
      <c r="U757" s="62"/>
      <c r="V757" s="62"/>
      <c r="W757" s="61"/>
      <c r="X757" s="62"/>
      <c r="Y757" s="62"/>
      <c r="Z757" s="66"/>
      <c r="AA757" s="91"/>
      <c r="AB757" s="69"/>
      <c r="AC757" s="91"/>
      <c r="AD757" s="91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91"/>
      <c r="P758" s="69"/>
      <c r="Q758" s="91"/>
      <c r="R758" s="91"/>
      <c r="S758" s="60"/>
      <c r="T758" s="62"/>
      <c r="U758" s="62"/>
      <c r="V758" s="62"/>
      <c r="W758" s="61"/>
      <c r="X758" s="62"/>
      <c r="Y758" s="62"/>
      <c r="Z758" s="66"/>
      <c r="AA758" s="91"/>
      <c r="AB758" s="69"/>
      <c r="AC758" s="91"/>
      <c r="AD758" s="91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91"/>
      <c r="P759" s="69"/>
      <c r="Q759" s="91"/>
      <c r="R759" s="91"/>
      <c r="S759" s="60"/>
      <c r="T759" s="62"/>
      <c r="U759" s="62"/>
      <c r="V759" s="62"/>
      <c r="W759" s="61"/>
      <c r="X759" s="62"/>
      <c r="Y759" s="62"/>
      <c r="Z759" s="66"/>
      <c r="AA759" s="91"/>
      <c r="AB759" s="69"/>
      <c r="AC759" s="91"/>
      <c r="AD759" s="91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91"/>
      <c r="P760" s="69"/>
      <c r="Q760" s="91"/>
      <c r="R760" s="91"/>
      <c r="S760" s="60"/>
      <c r="T760" s="62"/>
      <c r="U760" s="62"/>
      <c r="V760" s="62"/>
      <c r="W760" s="61"/>
      <c r="X760" s="62"/>
      <c r="Y760" s="62"/>
      <c r="Z760" s="66"/>
      <c r="AA760" s="91"/>
      <c r="AB760" s="69"/>
      <c r="AC760" s="91"/>
      <c r="AD760" s="91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62"/>
      <c r="P761" s="69"/>
      <c r="Q761" s="91"/>
      <c r="R761" s="91"/>
      <c r="S761" s="60"/>
      <c r="T761" s="62"/>
      <c r="U761" s="62"/>
      <c r="V761" s="62"/>
      <c r="W761" s="61"/>
      <c r="X761" s="62"/>
      <c r="Y761" s="62"/>
      <c r="Z761" s="66"/>
      <c r="AA761" s="91"/>
      <c r="AB761" s="69"/>
      <c r="AC761" s="91"/>
      <c r="AD761" s="91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91"/>
      <c r="P762" s="69"/>
      <c r="Q762" s="91"/>
      <c r="R762" s="91"/>
      <c r="S762" s="60"/>
      <c r="T762" s="62"/>
      <c r="U762" s="62"/>
      <c r="V762" s="62"/>
      <c r="W762" s="61"/>
      <c r="X762" s="62"/>
      <c r="Y762" s="62"/>
      <c r="Z762" s="66"/>
      <c r="AA762" s="91"/>
      <c r="AB762" s="69"/>
      <c r="AC762" s="91"/>
      <c r="AD762" s="91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91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91"/>
      <c r="P763" s="69"/>
      <c r="Q763" s="91"/>
      <c r="R763" s="91"/>
      <c r="S763" s="60"/>
      <c r="T763" s="62"/>
      <c r="U763" s="62"/>
      <c r="V763" s="62"/>
      <c r="W763" s="61"/>
      <c r="X763" s="62"/>
      <c r="Y763" s="62"/>
      <c r="Z763" s="66"/>
      <c r="AA763" s="91"/>
      <c r="AB763" s="69"/>
      <c r="AC763" s="91"/>
      <c r="AD763" s="91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91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91"/>
      <c r="P764" s="69"/>
      <c r="Q764" s="91"/>
      <c r="R764" s="91"/>
      <c r="S764" s="60"/>
      <c r="T764" s="62"/>
      <c r="U764" s="62"/>
      <c r="V764" s="62"/>
      <c r="W764" s="61"/>
      <c r="X764" s="62"/>
      <c r="Y764" s="62"/>
      <c r="Z764" s="66"/>
      <c r="AA764" s="91"/>
      <c r="AB764" s="69"/>
      <c r="AC764" s="91"/>
      <c r="AD764" s="91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91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91"/>
      <c r="P765" s="69"/>
      <c r="Q765" s="91"/>
      <c r="R765" s="91"/>
      <c r="S765" s="60"/>
      <c r="T765" s="62"/>
      <c r="U765" s="62"/>
      <c r="V765" s="62"/>
      <c r="W765" s="61"/>
      <c r="X765" s="62"/>
      <c r="Y765" s="62"/>
      <c r="Z765" s="66"/>
      <c r="AA765" s="91"/>
      <c r="AB765" s="69"/>
      <c r="AC765" s="91"/>
      <c r="AD765" s="91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91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91"/>
      <c r="R766" s="91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91"/>
      <c r="AD766" s="91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91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91"/>
      <c r="P767" s="69"/>
      <c r="Q767" s="91"/>
      <c r="R767" s="91"/>
      <c r="S767" s="60"/>
      <c r="T767" s="62"/>
      <c r="U767" s="62"/>
      <c r="V767" s="62"/>
      <c r="W767" s="61"/>
      <c r="X767" s="62"/>
      <c r="Y767" s="62"/>
      <c r="Z767" s="66"/>
      <c r="AA767" s="91"/>
      <c r="AB767" s="69"/>
      <c r="AC767" s="91"/>
      <c r="AD767" s="91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91"/>
      <c r="O768" s="91"/>
      <c r="P768" s="91"/>
      <c r="Q768" s="91"/>
      <c r="R768" s="91"/>
      <c r="S768" s="91"/>
      <c r="T768" s="62"/>
      <c r="U768" s="62"/>
      <c r="V768" s="62"/>
      <c r="W768" s="61"/>
      <c r="X768" s="62"/>
      <c r="Y768" s="62"/>
      <c r="Z768" s="91"/>
      <c r="AA768" s="91"/>
      <c r="AB768" s="91"/>
      <c r="AC768" s="91"/>
      <c r="AD768" s="91"/>
      <c r="AE768" s="91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91"/>
      <c r="C769" s="91"/>
      <c r="D769" s="91"/>
      <c r="E769" s="91"/>
      <c r="F769" s="91"/>
      <c r="G769" s="91"/>
      <c r="H769" s="62"/>
      <c r="I769" s="62"/>
      <c r="J769" s="62"/>
      <c r="K769" s="62"/>
      <c r="L769" s="62"/>
      <c r="M769" s="62"/>
      <c r="N769" s="91"/>
      <c r="O769" s="91"/>
      <c r="P769" s="91"/>
      <c r="Q769" s="91"/>
      <c r="R769" s="91"/>
      <c r="S769" s="91"/>
      <c r="T769" s="62"/>
      <c r="U769" s="62"/>
      <c r="V769" s="62"/>
      <c r="W769" s="62"/>
      <c r="X769" s="62"/>
      <c r="Y769" s="62"/>
      <c r="Z769" s="91"/>
      <c r="AA769" s="91"/>
      <c r="AB769" s="91"/>
      <c r="AC769" s="91"/>
      <c r="AD769" s="91"/>
      <c r="AE769" s="91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91"/>
      <c r="C770" s="91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91"/>
      <c r="O770" s="91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91"/>
      <c r="AA770" s="91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91"/>
      <c r="C772" s="91"/>
      <c r="D772" s="91"/>
      <c r="E772" s="91"/>
      <c r="F772" s="91"/>
      <c r="G772" s="91"/>
      <c r="H772" s="62"/>
      <c r="I772" s="62"/>
      <c r="J772" s="62"/>
      <c r="K772" s="62"/>
      <c r="L772" s="62"/>
      <c r="M772" s="62"/>
      <c r="N772" s="91"/>
      <c r="O772" s="91"/>
      <c r="P772" s="91"/>
      <c r="Q772" s="91"/>
      <c r="R772" s="91"/>
      <c r="S772" s="91"/>
      <c r="T772" s="62"/>
      <c r="U772" s="62"/>
      <c r="V772" s="62"/>
      <c r="W772" s="62"/>
      <c r="X772" s="62"/>
      <c r="Y772" s="62"/>
      <c r="Z772" s="91"/>
      <c r="AA772" s="91"/>
      <c r="AB772" s="91"/>
      <c r="AC772" s="91"/>
      <c r="AD772" s="91"/>
      <c r="AE772" s="91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91"/>
      <c r="C773" s="91"/>
      <c r="D773" s="91"/>
      <c r="E773" s="91"/>
      <c r="F773" s="91"/>
      <c r="G773" s="91"/>
      <c r="H773" s="62"/>
      <c r="I773" s="62"/>
      <c r="J773" s="62"/>
      <c r="K773" s="62"/>
      <c r="L773" s="62"/>
      <c r="M773" s="62"/>
      <c r="N773" s="91"/>
      <c r="O773" s="91"/>
      <c r="P773" s="91"/>
      <c r="Q773" s="91"/>
      <c r="R773" s="91"/>
      <c r="S773" s="91"/>
      <c r="T773" s="62"/>
      <c r="U773" s="62"/>
      <c r="V773" s="62"/>
      <c r="W773" s="62"/>
      <c r="X773" s="62"/>
      <c r="Y773" s="62"/>
      <c r="Z773" s="91"/>
      <c r="AA773" s="91"/>
      <c r="AB773" s="91"/>
      <c r="AC773" s="91"/>
      <c r="AD773" s="91"/>
      <c r="AE773" s="91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91"/>
      <c r="C774" s="91"/>
      <c r="D774" s="91"/>
      <c r="E774" s="91"/>
      <c r="F774" s="91"/>
      <c r="G774" s="91"/>
      <c r="H774" s="62"/>
      <c r="I774" s="62"/>
      <c r="J774" s="62"/>
      <c r="K774" s="62"/>
      <c r="L774" s="62"/>
      <c r="M774" s="62"/>
      <c r="N774" s="91"/>
      <c r="O774" s="91"/>
      <c r="P774" s="91"/>
      <c r="Q774" s="91"/>
      <c r="R774" s="91"/>
      <c r="S774" s="91"/>
      <c r="T774" s="62"/>
      <c r="U774" s="62"/>
      <c r="V774" s="62"/>
      <c r="W774" s="62"/>
      <c r="X774" s="62"/>
      <c r="Y774" s="62"/>
      <c r="Z774" s="91"/>
      <c r="AA774" s="91"/>
      <c r="AB774" s="91"/>
      <c r="AC774" s="91"/>
      <c r="AD774" s="91"/>
      <c r="AE774" s="91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91"/>
      <c r="C775" s="91"/>
      <c r="D775" s="91"/>
      <c r="E775" s="91"/>
      <c r="F775" s="91"/>
      <c r="G775" s="91"/>
      <c r="H775" s="62"/>
      <c r="I775" s="62"/>
      <c r="J775" s="62"/>
      <c r="K775" s="62"/>
      <c r="L775" s="62"/>
      <c r="M775" s="63"/>
      <c r="N775" s="91"/>
      <c r="O775" s="91"/>
      <c r="P775" s="91"/>
      <c r="Q775" s="91"/>
      <c r="R775" s="91"/>
      <c r="S775" s="91"/>
      <c r="T775" s="62"/>
      <c r="U775" s="62"/>
      <c r="V775" s="62"/>
      <c r="W775" s="62"/>
      <c r="X775" s="62"/>
      <c r="Y775" s="63"/>
      <c r="Z775" s="91"/>
      <c r="AA775" s="91"/>
      <c r="AB775" s="91"/>
      <c r="AC775" s="91"/>
      <c r="AD775" s="91"/>
      <c r="AE775" s="91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91"/>
      <c r="C776" s="91"/>
      <c r="D776" s="91"/>
      <c r="E776" s="91"/>
      <c r="F776" s="91"/>
      <c r="G776" s="91"/>
      <c r="H776" s="62"/>
      <c r="I776" s="62"/>
      <c r="J776" s="62"/>
      <c r="K776" s="62"/>
      <c r="L776" s="62"/>
      <c r="M776" s="62"/>
      <c r="N776" s="91"/>
      <c r="O776" s="91"/>
      <c r="P776" s="91"/>
      <c r="Q776" s="91"/>
      <c r="R776" s="91"/>
      <c r="S776" s="91"/>
      <c r="T776" s="62"/>
      <c r="U776" s="62"/>
      <c r="V776" s="62"/>
      <c r="W776" s="62"/>
      <c r="X776" s="62"/>
      <c r="Y776" s="62"/>
      <c r="Z776" s="91"/>
      <c r="AA776" s="91"/>
      <c r="AB776" s="91"/>
      <c r="AC776" s="91"/>
      <c r="AD776" s="91"/>
      <c r="AE776" s="91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91"/>
      <c r="C777" s="91"/>
      <c r="D777" s="91"/>
      <c r="E777" s="91"/>
      <c r="F777" s="91"/>
      <c r="G777" s="91"/>
      <c r="H777" s="62"/>
      <c r="I777" s="91"/>
      <c r="J777" s="73"/>
      <c r="K777" s="62"/>
      <c r="L777" s="62"/>
      <c r="M777" s="62"/>
      <c r="N777" s="91"/>
      <c r="O777" s="91"/>
      <c r="P777" s="91"/>
      <c r="Q777" s="91"/>
      <c r="R777" s="91"/>
      <c r="S777" s="91"/>
      <c r="T777" s="62"/>
      <c r="U777" s="91"/>
      <c r="V777" s="73"/>
      <c r="W777" s="62"/>
      <c r="X777" s="62"/>
      <c r="Y777" s="62"/>
      <c r="Z777" s="91"/>
      <c r="AA777" s="91"/>
      <c r="AB777" s="91"/>
      <c r="AC777" s="91"/>
      <c r="AD777" s="91"/>
      <c r="AE777" s="91"/>
      <c r="AF777" s="62"/>
      <c r="AG777" s="91"/>
      <c r="AH777" s="91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91"/>
      <c r="C778" s="91"/>
      <c r="D778" s="91"/>
      <c r="E778" s="91"/>
      <c r="F778" s="91"/>
      <c r="G778" s="91"/>
      <c r="H778" s="62"/>
      <c r="I778" s="65"/>
      <c r="J778" s="65"/>
      <c r="K778" s="62"/>
      <c r="L778" s="62"/>
      <c r="M778" s="64"/>
      <c r="N778" s="91"/>
      <c r="O778" s="91"/>
      <c r="P778" s="91"/>
      <c r="Q778" s="91"/>
      <c r="R778" s="91"/>
      <c r="S778" s="91"/>
      <c r="T778" s="62"/>
      <c r="U778" s="65"/>
      <c r="V778" s="65"/>
      <c r="W778" s="62"/>
      <c r="X778" s="62"/>
      <c r="Y778" s="64"/>
      <c r="Z778" s="91"/>
      <c r="AA778" s="91"/>
      <c r="AB778" s="91"/>
      <c r="AC778" s="91"/>
      <c r="AD778" s="91"/>
      <c r="AE778" s="91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91"/>
      <c r="C779" s="91"/>
      <c r="D779" s="91"/>
      <c r="E779" s="91"/>
      <c r="F779" s="91"/>
      <c r="G779" s="91"/>
      <c r="H779" s="62"/>
      <c r="I779" s="62"/>
      <c r="J779" s="62"/>
      <c r="K779" s="62"/>
      <c r="L779" s="62"/>
      <c r="M779" s="62"/>
      <c r="N779" s="91"/>
      <c r="O779" s="91"/>
      <c r="P779" s="91"/>
      <c r="Q779" s="91"/>
      <c r="R779" s="91"/>
      <c r="S779" s="91"/>
      <c r="T779" s="62"/>
      <c r="U779" s="62"/>
      <c r="V779" s="62"/>
      <c r="W779" s="62"/>
      <c r="X779" s="62"/>
      <c r="Y779" s="62"/>
      <c r="Z779" s="91"/>
      <c r="AA779" s="91"/>
      <c r="AB779" s="91"/>
      <c r="AC779" s="91"/>
      <c r="AD779" s="91"/>
      <c r="AE779" s="91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91"/>
      <c r="D780" s="107"/>
      <c r="E780" s="107"/>
      <c r="F780" s="91"/>
      <c r="G780" s="91"/>
      <c r="H780" s="62"/>
      <c r="I780" s="107"/>
      <c r="J780" s="107"/>
      <c r="K780" s="106"/>
      <c r="L780" s="62"/>
      <c r="M780" s="62"/>
      <c r="N780" s="65"/>
      <c r="O780" s="91"/>
      <c r="P780" s="107"/>
      <c r="Q780" s="107"/>
      <c r="R780" s="91"/>
      <c r="S780" s="91"/>
      <c r="T780" s="62"/>
      <c r="U780" s="107"/>
      <c r="V780" s="107"/>
      <c r="W780" s="106"/>
      <c r="X780" s="62"/>
      <c r="Y780" s="62"/>
      <c r="Z780" s="65"/>
      <c r="AA780" s="91"/>
      <c r="AB780" s="107"/>
      <c r="AC780" s="107"/>
      <c r="AD780" s="91"/>
      <c r="AE780" s="91"/>
      <c r="AF780" s="62"/>
      <c r="AG780" s="107"/>
      <c r="AH780" s="107"/>
      <c r="AI780" s="106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91"/>
      <c r="C781" s="91"/>
      <c r="D781" s="79"/>
      <c r="E781" s="80"/>
      <c r="F781" s="81"/>
      <c r="G781" s="81"/>
      <c r="H781" s="62"/>
      <c r="I781" s="90"/>
      <c r="J781" s="90"/>
      <c r="K781" s="106"/>
      <c r="L781" s="62"/>
      <c r="M781" s="62"/>
      <c r="N781" s="91"/>
      <c r="O781" s="91"/>
      <c r="P781" s="79"/>
      <c r="Q781" s="81"/>
      <c r="R781" s="81"/>
      <c r="S781" s="81"/>
      <c r="T781" s="62"/>
      <c r="U781" s="90"/>
      <c r="V781" s="90"/>
      <c r="W781" s="106"/>
      <c r="X781" s="62"/>
      <c r="Y781" s="62"/>
      <c r="Z781" s="91"/>
      <c r="AA781" s="91"/>
      <c r="AB781" s="79"/>
      <c r="AC781" s="81"/>
      <c r="AD781" s="81"/>
      <c r="AE781" s="81"/>
      <c r="AF781" s="62"/>
      <c r="AG781" s="90"/>
      <c r="AH781" s="90"/>
      <c r="AI781" s="106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91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91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4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91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91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4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91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91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4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91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91"/>
      <c r="AB785" s="60"/>
      <c r="AC785" s="60"/>
      <c r="AD785" s="60"/>
      <c r="AE785" s="60"/>
      <c r="AF785" s="61"/>
      <c r="AG785" s="61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84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91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91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4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91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65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4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91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91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4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91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91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4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91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91"/>
      <c r="AB790" s="60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65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91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91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4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65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91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84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91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91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4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91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91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4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91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91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4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91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91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4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65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91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4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91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91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91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62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4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91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91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4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91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91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91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91"/>
      <c r="P802" s="67"/>
      <c r="Q802" s="91"/>
      <c r="R802" s="91"/>
      <c r="S802" s="60"/>
      <c r="T802" s="62"/>
      <c r="U802" s="62"/>
      <c r="V802" s="62"/>
      <c r="W802" s="61"/>
      <c r="X802" s="62"/>
      <c r="Y802" s="62"/>
      <c r="Z802" s="66"/>
      <c r="AA802" s="91"/>
      <c r="AB802" s="67"/>
      <c r="AC802" s="91"/>
      <c r="AD802" s="91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91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91"/>
      <c r="P803" s="68"/>
      <c r="Q803" s="91"/>
      <c r="R803" s="91"/>
      <c r="S803" s="60"/>
      <c r="T803" s="62"/>
      <c r="U803" s="62"/>
      <c r="V803" s="62"/>
      <c r="W803" s="61"/>
      <c r="X803" s="62"/>
      <c r="Y803" s="62"/>
      <c r="Z803" s="66"/>
      <c r="AA803" s="91"/>
      <c r="AB803" s="68"/>
      <c r="AC803" s="91"/>
      <c r="AD803" s="91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4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91"/>
      <c r="P804" s="69"/>
      <c r="Q804" s="91"/>
      <c r="R804" s="62"/>
      <c r="S804" s="60"/>
      <c r="T804" s="62"/>
      <c r="U804" s="62"/>
      <c r="V804" s="62"/>
      <c r="W804" s="61"/>
      <c r="X804" s="62"/>
      <c r="Y804" s="62"/>
      <c r="Z804" s="66"/>
      <c r="AA804" s="91"/>
      <c r="AB804" s="69"/>
      <c r="AC804" s="62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4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91"/>
      <c r="P805" s="69"/>
      <c r="Q805" s="91"/>
      <c r="R805" s="91"/>
      <c r="S805" s="60"/>
      <c r="T805" s="62"/>
      <c r="U805" s="62"/>
      <c r="V805" s="62"/>
      <c r="W805" s="61"/>
      <c r="X805" s="62"/>
      <c r="Y805" s="62"/>
      <c r="Z805" s="66"/>
      <c r="AA805" s="91"/>
      <c r="AB805" s="69"/>
      <c r="AC805" s="91"/>
      <c r="AD805" s="91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4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91"/>
      <c r="P806" s="69"/>
      <c r="Q806" s="91"/>
      <c r="R806" s="91"/>
      <c r="S806" s="60"/>
      <c r="T806" s="62"/>
      <c r="U806" s="62"/>
      <c r="V806" s="62"/>
      <c r="W806" s="61"/>
      <c r="X806" s="62"/>
      <c r="Y806" s="62"/>
      <c r="Z806" s="66"/>
      <c r="AA806" s="91"/>
      <c r="AB806" s="69"/>
      <c r="AC806" s="91"/>
      <c r="AD806" s="91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4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91"/>
      <c r="P807" s="69"/>
      <c r="Q807" s="91"/>
      <c r="R807" s="91"/>
      <c r="S807" s="60"/>
      <c r="T807" s="62"/>
      <c r="U807" s="62"/>
      <c r="V807" s="62"/>
      <c r="W807" s="61"/>
      <c r="X807" s="62"/>
      <c r="Y807" s="62"/>
      <c r="Z807" s="66"/>
      <c r="AA807" s="91"/>
      <c r="AB807" s="69"/>
      <c r="AC807" s="91"/>
      <c r="AD807" s="91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91"/>
      <c r="P808" s="69"/>
      <c r="Q808" s="91"/>
      <c r="R808" s="91"/>
      <c r="S808" s="60"/>
      <c r="T808" s="62"/>
      <c r="U808" s="62"/>
      <c r="V808" s="62"/>
      <c r="W808" s="61"/>
      <c r="X808" s="62"/>
      <c r="Y808" s="62"/>
      <c r="Z808" s="66"/>
      <c r="AA808" s="91"/>
      <c r="AB808" s="69"/>
      <c r="AC808" s="91"/>
      <c r="AD808" s="91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91"/>
      <c r="P809" s="69"/>
      <c r="Q809" s="91"/>
      <c r="R809" s="91"/>
      <c r="S809" s="60"/>
      <c r="T809" s="62"/>
      <c r="U809" s="62"/>
      <c r="V809" s="62"/>
      <c r="W809" s="61"/>
      <c r="X809" s="62"/>
      <c r="Y809" s="62"/>
      <c r="Z809" s="66"/>
      <c r="AA809" s="91"/>
      <c r="AB809" s="69"/>
      <c r="AC809" s="91"/>
      <c r="AD809" s="91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91"/>
      <c r="P810" s="69"/>
      <c r="Q810" s="91"/>
      <c r="R810" s="91"/>
      <c r="S810" s="60"/>
      <c r="T810" s="62"/>
      <c r="U810" s="62"/>
      <c r="V810" s="62"/>
      <c r="W810" s="61"/>
      <c r="X810" s="62"/>
      <c r="Y810" s="62"/>
      <c r="Z810" s="66"/>
      <c r="AA810" s="91"/>
      <c r="AB810" s="69"/>
      <c r="AC810" s="91"/>
      <c r="AD810" s="91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4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91"/>
      <c r="P811" s="69"/>
      <c r="Q811" s="91"/>
      <c r="R811" s="91"/>
      <c r="S811" s="60"/>
      <c r="T811" s="62"/>
      <c r="U811" s="62"/>
      <c r="V811" s="62"/>
      <c r="W811" s="61"/>
      <c r="X811" s="62"/>
      <c r="Y811" s="62"/>
      <c r="Z811" s="66"/>
      <c r="AA811" s="62"/>
      <c r="AB811" s="69"/>
      <c r="AC811" s="91"/>
      <c r="AD811" s="91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91"/>
      <c r="P812" s="69"/>
      <c r="Q812" s="91"/>
      <c r="R812" s="91"/>
      <c r="S812" s="60"/>
      <c r="T812" s="62"/>
      <c r="U812" s="62"/>
      <c r="V812" s="62"/>
      <c r="W812" s="61"/>
      <c r="X812" s="62"/>
      <c r="Y812" s="62"/>
      <c r="Z812" s="66"/>
      <c r="AA812" s="91"/>
      <c r="AB812" s="69"/>
      <c r="AC812" s="91"/>
      <c r="AD812" s="91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91"/>
      <c r="P813" s="69"/>
      <c r="Q813" s="91"/>
      <c r="R813" s="91"/>
      <c r="S813" s="60"/>
      <c r="T813" s="62"/>
      <c r="U813" s="62"/>
      <c r="V813" s="62"/>
      <c r="W813" s="61"/>
      <c r="X813" s="62"/>
      <c r="Y813" s="62"/>
      <c r="Z813" s="66"/>
      <c r="AA813" s="91"/>
      <c r="AB813" s="69"/>
      <c r="AC813" s="91"/>
      <c r="AD813" s="91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91"/>
      <c r="P814" s="69"/>
      <c r="Q814" s="91"/>
      <c r="R814" s="91"/>
      <c r="S814" s="60"/>
      <c r="T814" s="62"/>
      <c r="U814" s="62"/>
      <c r="V814" s="62"/>
      <c r="W814" s="61"/>
      <c r="X814" s="62"/>
      <c r="Y814" s="62"/>
      <c r="Z814" s="66"/>
      <c r="AA814" s="91"/>
      <c r="AB814" s="69"/>
      <c r="AC814" s="91"/>
      <c r="AD814" s="91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91"/>
      <c r="P815" s="69"/>
      <c r="Q815" s="91"/>
      <c r="R815" s="91"/>
      <c r="S815" s="60"/>
      <c r="T815" s="62"/>
      <c r="U815" s="62"/>
      <c r="V815" s="62"/>
      <c r="W815" s="61"/>
      <c r="X815" s="62"/>
      <c r="Y815" s="62"/>
      <c r="Z815" s="66"/>
      <c r="AA815" s="91"/>
      <c r="AB815" s="69"/>
      <c r="AC815" s="91"/>
      <c r="AD815" s="91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62"/>
      <c r="P816" s="69"/>
      <c r="Q816" s="91"/>
      <c r="R816" s="91"/>
      <c r="S816" s="60"/>
      <c r="T816" s="62"/>
      <c r="U816" s="62"/>
      <c r="V816" s="62"/>
      <c r="W816" s="61"/>
      <c r="X816" s="62"/>
      <c r="Y816" s="62"/>
      <c r="Z816" s="66"/>
      <c r="AA816" s="91"/>
      <c r="AB816" s="69"/>
      <c r="AC816" s="91"/>
      <c r="AD816" s="91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91"/>
      <c r="P817" s="69"/>
      <c r="Q817" s="91"/>
      <c r="R817" s="91"/>
      <c r="S817" s="60"/>
      <c r="T817" s="62"/>
      <c r="U817" s="62"/>
      <c r="V817" s="62"/>
      <c r="W817" s="61"/>
      <c r="X817" s="62"/>
      <c r="Y817" s="62"/>
      <c r="Z817" s="66"/>
      <c r="AA817" s="91"/>
      <c r="AB817" s="69"/>
      <c r="AC817" s="91"/>
      <c r="AD817" s="91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91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91"/>
      <c r="P818" s="69"/>
      <c r="Q818" s="91"/>
      <c r="R818" s="91"/>
      <c r="S818" s="60"/>
      <c r="T818" s="62"/>
      <c r="U818" s="62"/>
      <c r="V818" s="62"/>
      <c r="W818" s="61"/>
      <c r="X818" s="62"/>
      <c r="Y818" s="62"/>
      <c r="Z818" s="66"/>
      <c r="AA818" s="91"/>
      <c r="AB818" s="69"/>
      <c r="AC818" s="91"/>
      <c r="AD818" s="91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91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91"/>
      <c r="P819" s="69"/>
      <c r="Q819" s="91"/>
      <c r="R819" s="91"/>
      <c r="S819" s="60"/>
      <c r="T819" s="62"/>
      <c r="U819" s="62"/>
      <c r="V819" s="62"/>
      <c r="W819" s="61"/>
      <c r="X819" s="62"/>
      <c r="Y819" s="62"/>
      <c r="Z819" s="66"/>
      <c r="AA819" s="91"/>
      <c r="AB819" s="69"/>
      <c r="AC819" s="91"/>
      <c r="AD819" s="91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91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91"/>
      <c r="P820" s="69"/>
      <c r="Q820" s="91"/>
      <c r="R820" s="91"/>
      <c r="S820" s="60"/>
      <c r="T820" s="62"/>
      <c r="U820" s="62"/>
      <c r="V820" s="62"/>
      <c r="W820" s="61"/>
      <c r="X820" s="62"/>
      <c r="Y820" s="62"/>
      <c r="Z820" s="66"/>
      <c r="AA820" s="91"/>
      <c r="AB820" s="69"/>
      <c r="AC820" s="91"/>
      <c r="AD820" s="91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91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91"/>
      <c r="R821" s="91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91"/>
      <c r="AD821" s="91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91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91"/>
      <c r="P822" s="69"/>
      <c r="Q822" s="91"/>
      <c r="R822" s="91"/>
      <c r="S822" s="60"/>
      <c r="T822" s="62"/>
      <c r="U822" s="62"/>
      <c r="V822" s="62"/>
      <c r="W822" s="61"/>
      <c r="X822" s="62"/>
      <c r="Y822" s="62"/>
      <c r="Z822" s="66"/>
      <c r="AA822" s="91"/>
      <c r="AB822" s="69"/>
      <c r="AC822" s="91"/>
      <c r="AD822" s="91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91"/>
      <c r="O823" s="91"/>
      <c r="P823" s="91"/>
      <c r="Q823" s="91"/>
      <c r="R823" s="91"/>
      <c r="S823" s="91"/>
      <c r="T823" s="62"/>
      <c r="U823" s="62"/>
      <c r="V823" s="62"/>
      <c r="W823" s="61"/>
      <c r="X823" s="62"/>
      <c r="Y823" s="62"/>
      <c r="Z823" s="91"/>
      <c r="AA823" s="91"/>
      <c r="AB823" s="91"/>
      <c r="AC823" s="91"/>
      <c r="AD823" s="91"/>
      <c r="AE823" s="91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91"/>
      <c r="C824" s="91"/>
      <c r="D824" s="91"/>
      <c r="E824" s="91"/>
      <c r="F824" s="91"/>
      <c r="G824" s="91"/>
      <c r="H824" s="62"/>
      <c r="I824" s="62"/>
      <c r="J824" s="62"/>
      <c r="K824" s="62"/>
      <c r="L824" s="62"/>
      <c r="M824" s="62"/>
      <c r="N824" s="91"/>
      <c r="O824" s="91"/>
      <c r="P824" s="91"/>
      <c r="Q824" s="91"/>
      <c r="R824" s="91"/>
      <c r="S824" s="91"/>
      <c r="T824" s="62"/>
      <c r="U824" s="62"/>
      <c r="V824" s="62"/>
      <c r="W824" s="62"/>
      <c r="X824" s="62"/>
      <c r="Y824" s="62"/>
      <c r="Z824" s="91"/>
      <c r="AA824" s="91"/>
      <c r="AB824" s="91"/>
      <c r="AC824" s="91"/>
      <c r="AD824" s="91"/>
      <c r="AE824" s="91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91"/>
      <c r="C825" s="91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91"/>
      <c r="O825" s="91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91"/>
      <c r="AA825" s="91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91"/>
      <c r="C827" s="91"/>
      <c r="D827" s="91"/>
      <c r="E827" s="91"/>
      <c r="F827" s="91"/>
      <c r="G827" s="91"/>
      <c r="H827" s="62"/>
      <c r="I827" s="62"/>
      <c r="J827" s="62"/>
      <c r="K827" s="62"/>
      <c r="L827" s="62"/>
      <c r="M827" s="62"/>
      <c r="N827" s="91"/>
      <c r="O827" s="91"/>
      <c r="P827" s="91"/>
      <c r="Q827" s="91"/>
      <c r="R827" s="91"/>
      <c r="S827" s="91"/>
      <c r="T827" s="62"/>
      <c r="U827" s="62"/>
      <c r="V827" s="62"/>
      <c r="W827" s="62"/>
      <c r="X827" s="62"/>
      <c r="Y827" s="62"/>
      <c r="Z827" s="91"/>
      <c r="AA827" s="91"/>
      <c r="AB827" s="91"/>
      <c r="AC827" s="91"/>
      <c r="AD827" s="91"/>
      <c r="AE827" s="91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91"/>
      <c r="C828" s="91"/>
      <c r="D828" s="91"/>
      <c r="E828" s="91"/>
      <c r="F828" s="91"/>
      <c r="G828" s="91"/>
      <c r="H828" s="62"/>
      <c r="I828" s="62"/>
      <c r="J828" s="62"/>
      <c r="K828" s="62"/>
      <c r="L828" s="62"/>
      <c r="M828" s="62"/>
      <c r="N828" s="91"/>
      <c r="O828" s="91"/>
      <c r="P828" s="91"/>
      <c r="Q828" s="91"/>
      <c r="R828" s="91"/>
      <c r="S828" s="91"/>
      <c r="T828" s="62"/>
      <c r="U828" s="62"/>
      <c r="V828" s="62"/>
      <c r="W828" s="62"/>
      <c r="X828" s="62"/>
      <c r="Y828" s="62"/>
      <c r="Z828" s="91"/>
      <c r="AA828" s="91"/>
      <c r="AB828" s="91"/>
      <c r="AC828" s="91"/>
      <c r="AD828" s="91"/>
      <c r="AE828" s="91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91"/>
      <c r="C829" s="91"/>
      <c r="D829" s="91"/>
      <c r="E829" s="91"/>
      <c r="F829" s="91"/>
      <c r="G829" s="91"/>
      <c r="H829" s="62"/>
      <c r="I829" s="62"/>
      <c r="J829" s="62"/>
      <c r="K829" s="62"/>
      <c r="L829" s="62"/>
      <c r="M829" s="62"/>
      <c r="N829" s="91"/>
      <c r="O829" s="91"/>
      <c r="P829" s="91"/>
      <c r="Q829" s="91"/>
      <c r="R829" s="91"/>
      <c r="S829" s="91"/>
      <c r="T829" s="62"/>
      <c r="U829" s="62"/>
      <c r="V829" s="62"/>
      <c r="W829" s="62"/>
      <c r="X829" s="62"/>
      <c r="Y829" s="62"/>
      <c r="Z829" s="91"/>
      <c r="AA829" s="91"/>
      <c r="AB829" s="91"/>
      <c r="AC829" s="91"/>
      <c r="AD829" s="91"/>
      <c r="AE829" s="91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91"/>
      <c r="C830" s="91"/>
      <c r="D830" s="91"/>
      <c r="E830" s="91"/>
      <c r="F830" s="91"/>
      <c r="G830" s="91"/>
      <c r="H830" s="62"/>
      <c r="I830" s="62"/>
      <c r="J830" s="62"/>
      <c r="K830" s="62"/>
      <c r="L830" s="62"/>
      <c r="M830" s="63"/>
      <c r="N830" s="91"/>
      <c r="O830" s="91"/>
      <c r="P830" s="91"/>
      <c r="Q830" s="91"/>
      <c r="R830" s="91"/>
      <c r="S830" s="91"/>
      <c r="T830" s="62"/>
      <c r="U830" s="62"/>
      <c r="V830" s="62"/>
      <c r="W830" s="62"/>
      <c r="X830" s="62"/>
      <c r="Y830" s="63"/>
      <c r="Z830" s="91"/>
      <c r="AA830" s="91"/>
      <c r="AB830" s="91"/>
      <c r="AC830" s="91"/>
      <c r="AD830" s="91"/>
      <c r="AE830" s="91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91"/>
      <c r="C831" s="91"/>
      <c r="D831" s="91"/>
      <c r="E831" s="91"/>
      <c r="F831" s="91"/>
      <c r="G831" s="91"/>
      <c r="H831" s="62"/>
      <c r="I831" s="62"/>
      <c r="J831" s="62"/>
      <c r="K831" s="62"/>
      <c r="L831" s="62"/>
      <c r="M831" s="62"/>
      <c r="N831" s="91"/>
      <c r="O831" s="91"/>
      <c r="P831" s="91"/>
      <c r="Q831" s="91"/>
      <c r="R831" s="91"/>
      <c r="S831" s="91"/>
      <c r="T831" s="62"/>
      <c r="U831" s="62"/>
      <c r="V831" s="62"/>
      <c r="W831" s="62"/>
      <c r="X831" s="62"/>
      <c r="Y831" s="62"/>
      <c r="Z831" s="91"/>
      <c r="AA831" s="91"/>
      <c r="AB831" s="91"/>
      <c r="AC831" s="91"/>
      <c r="AD831" s="91"/>
      <c r="AE831" s="91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91"/>
      <c r="C832" s="91"/>
      <c r="D832" s="91"/>
      <c r="E832" s="91"/>
      <c r="F832" s="91"/>
      <c r="G832" s="91"/>
      <c r="H832" s="62"/>
      <c r="I832" s="91"/>
      <c r="J832" s="73"/>
      <c r="K832" s="62"/>
      <c r="L832" s="62"/>
      <c r="M832" s="62"/>
      <c r="N832" s="91"/>
      <c r="O832" s="91"/>
      <c r="P832" s="91"/>
      <c r="Q832" s="91"/>
      <c r="R832" s="91"/>
      <c r="S832" s="91"/>
      <c r="T832" s="62"/>
      <c r="U832" s="91"/>
      <c r="V832" s="73"/>
      <c r="W832" s="62"/>
      <c r="X832" s="62"/>
      <c r="Y832" s="62"/>
      <c r="Z832" s="91"/>
      <c r="AA832" s="91"/>
      <c r="AB832" s="91"/>
      <c r="AC832" s="91"/>
      <c r="AD832" s="91"/>
      <c r="AE832" s="91"/>
      <c r="AF832" s="62"/>
      <c r="AG832" s="91"/>
      <c r="AH832" s="91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91"/>
      <c r="C833" s="91"/>
      <c r="D833" s="91"/>
      <c r="E833" s="91"/>
      <c r="F833" s="91"/>
      <c r="G833" s="91"/>
      <c r="H833" s="62"/>
      <c r="I833" s="65"/>
      <c r="J833" s="65"/>
      <c r="K833" s="62"/>
      <c r="L833" s="62"/>
      <c r="M833" s="64"/>
      <c r="N833" s="91"/>
      <c r="O833" s="91"/>
      <c r="P833" s="91"/>
      <c r="Q833" s="91"/>
      <c r="R833" s="91"/>
      <c r="S833" s="91"/>
      <c r="T833" s="62"/>
      <c r="U833" s="65"/>
      <c r="V833" s="65"/>
      <c r="W833" s="62"/>
      <c r="X833" s="62"/>
      <c r="Y833" s="64"/>
      <c r="Z833" s="91"/>
      <c r="AA833" s="91"/>
      <c r="AB833" s="91"/>
      <c r="AC833" s="91"/>
      <c r="AD833" s="91"/>
      <c r="AE833" s="91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91"/>
      <c r="C834" s="91"/>
      <c r="D834" s="91"/>
      <c r="E834" s="91"/>
      <c r="F834" s="91"/>
      <c r="G834" s="91"/>
      <c r="H834" s="62"/>
      <c r="I834" s="62"/>
      <c r="J834" s="62"/>
      <c r="K834" s="62"/>
      <c r="L834" s="62"/>
      <c r="M834" s="62"/>
      <c r="N834" s="91"/>
      <c r="O834" s="91"/>
      <c r="P834" s="91"/>
      <c r="Q834" s="91"/>
      <c r="R834" s="91"/>
      <c r="S834" s="91"/>
      <c r="T834" s="62"/>
      <c r="U834" s="62"/>
      <c r="V834" s="62"/>
      <c r="W834" s="62"/>
      <c r="X834" s="62"/>
      <c r="Y834" s="62"/>
      <c r="Z834" s="91"/>
      <c r="AA834" s="91"/>
      <c r="AB834" s="91"/>
      <c r="AC834" s="91"/>
      <c r="AD834" s="91"/>
      <c r="AE834" s="91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91"/>
      <c r="D835" s="107"/>
      <c r="E835" s="107"/>
      <c r="F835" s="91"/>
      <c r="G835" s="91"/>
      <c r="H835" s="62"/>
      <c r="I835" s="107"/>
      <c r="J835" s="107"/>
      <c r="K835" s="106"/>
      <c r="L835" s="62"/>
      <c r="M835" s="62"/>
      <c r="N835" s="65"/>
      <c r="O835" s="91"/>
      <c r="P835" s="107"/>
      <c r="Q835" s="107"/>
      <c r="R835" s="91"/>
      <c r="S835" s="91"/>
      <c r="T835" s="62"/>
      <c r="U835" s="107"/>
      <c r="V835" s="107"/>
      <c r="W835" s="106"/>
      <c r="X835" s="62"/>
      <c r="Y835" s="62"/>
      <c r="Z835" s="65"/>
      <c r="AA835" s="91"/>
      <c r="AB835" s="107"/>
      <c r="AC835" s="107"/>
      <c r="AD835" s="91"/>
      <c r="AE835" s="91"/>
      <c r="AF835" s="62"/>
      <c r="AG835" s="107"/>
      <c r="AH835" s="107"/>
      <c r="AI835" s="106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91"/>
      <c r="C836" s="91"/>
      <c r="D836" s="79"/>
      <c r="E836" s="80"/>
      <c r="F836" s="81"/>
      <c r="G836" s="81"/>
      <c r="H836" s="62"/>
      <c r="I836" s="90"/>
      <c r="J836" s="90"/>
      <c r="K836" s="106"/>
      <c r="L836" s="62"/>
      <c r="M836" s="62"/>
      <c r="N836" s="91"/>
      <c r="O836" s="91"/>
      <c r="P836" s="79"/>
      <c r="Q836" s="81"/>
      <c r="R836" s="81"/>
      <c r="S836" s="81"/>
      <c r="T836" s="62"/>
      <c r="U836" s="90"/>
      <c r="V836" s="90"/>
      <c r="W836" s="106"/>
      <c r="X836" s="62"/>
      <c r="Y836" s="62"/>
      <c r="Z836" s="91"/>
      <c r="AA836" s="91"/>
      <c r="AB836" s="79"/>
      <c r="AC836" s="81"/>
      <c r="AD836" s="81"/>
      <c r="AE836" s="81"/>
      <c r="AF836" s="62"/>
      <c r="AG836" s="90"/>
      <c r="AH836" s="90"/>
      <c r="AI836" s="106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91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91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91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91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91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91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4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91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91"/>
      <c r="AB840" s="60"/>
      <c r="AC840" s="60"/>
      <c r="AD840" s="60"/>
      <c r="AE840" s="60"/>
      <c r="AF840" s="61"/>
      <c r="AG840" s="61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4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91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91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91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91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4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91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65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65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91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91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91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91"/>
      <c r="AB845" s="6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4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91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91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65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91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91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91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91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91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91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91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91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91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65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5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65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91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91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91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62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91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91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91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91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91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91"/>
      <c r="P857" s="67"/>
      <c r="Q857" s="91"/>
      <c r="R857" s="91"/>
      <c r="S857" s="60"/>
      <c r="T857" s="62"/>
      <c r="U857" s="62"/>
      <c r="V857" s="62"/>
      <c r="W857" s="61"/>
      <c r="X857" s="62"/>
      <c r="Y857" s="62"/>
      <c r="Z857" s="66"/>
      <c r="AA857" s="91"/>
      <c r="AB857" s="67"/>
      <c r="AC857" s="91"/>
      <c r="AD857" s="91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91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91"/>
      <c r="P858" s="68"/>
      <c r="Q858" s="91"/>
      <c r="R858" s="91"/>
      <c r="S858" s="60"/>
      <c r="T858" s="62"/>
      <c r="U858" s="62"/>
      <c r="V858" s="62"/>
      <c r="W858" s="61"/>
      <c r="X858" s="62"/>
      <c r="Y858" s="62"/>
      <c r="Z858" s="66"/>
      <c r="AA858" s="91"/>
      <c r="AB858" s="68"/>
      <c r="AC858" s="91"/>
      <c r="AD858" s="91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4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91"/>
      <c r="P859" s="69"/>
      <c r="Q859" s="91"/>
      <c r="R859" s="62"/>
      <c r="S859" s="60"/>
      <c r="T859" s="62"/>
      <c r="U859" s="62"/>
      <c r="V859" s="62"/>
      <c r="W859" s="61"/>
      <c r="X859" s="62"/>
      <c r="Y859" s="62"/>
      <c r="Z859" s="66"/>
      <c r="AA859" s="91"/>
      <c r="AB859" s="69"/>
      <c r="AC859" s="62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91"/>
      <c r="P860" s="69"/>
      <c r="Q860" s="91"/>
      <c r="R860" s="91"/>
      <c r="S860" s="60"/>
      <c r="T860" s="62"/>
      <c r="U860" s="62"/>
      <c r="V860" s="62"/>
      <c r="W860" s="61"/>
      <c r="X860" s="62"/>
      <c r="Y860" s="62"/>
      <c r="Z860" s="66"/>
      <c r="AA860" s="91"/>
      <c r="AB860" s="69"/>
      <c r="AC860" s="91"/>
      <c r="AD860" s="91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91"/>
      <c r="P861" s="69"/>
      <c r="Q861" s="91"/>
      <c r="R861" s="91"/>
      <c r="S861" s="60"/>
      <c r="T861" s="62"/>
      <c r="U861" s="62"/>
      <c r="V861" s="62"/>
      <c r="W861" s="61"/>
      <c r="X861" s="62"/>
      <c r="Y861" s="62"/>
      <c r="Z861" s="66"/>
      <c r="AA861" s="91"/>
      <c r="AB861" s="69"/>
      <c r="AC861" s="91"/>
      <c r="AD861" s="91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91"/>
      <c r="P862" s="69"/>
      <c r="Q862" s="91"/>
      <c r="R862" s="91"/>
      <c r="S862" s="60"/>
      <c r="T862" s="62"/>
      <c r="U862" s="62"/>
      <c r="V862" s="62"/>
      <c r="W862" s="61"/>
      <c r="X862" s="62"/>
      <c r="Y862" s="62"/>
      <c r="Z862" s="66"/>
      <c r="AA862" s="91"/>
      <c r="AB862" s="69"/>
      <c r="AC862" s="91"/>
      <c r="AD862" s="91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91"/>
      <c r="P863" s="69"/>
      <c r="Q863" s="91"/>
      <c r="R863" s="91"/>
      <c r="S863" s="60"/>
      <c r="T863" s="62"/>
      <c r="U863" s="62"/>
      <c r="V863" s="62"/>
      <c r="W863" s="61"/>
      <c r="X863" s="62"/>
      <c r="Y863" s="62"/>
      <c r="Z863" s="66"/>
      <c r="AA863" s="91"/>
      <c r="AB863" s="69"/>
      <c r="AC863" s="91"/>
      <c r="AD863" s="91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91"/>
      <c r="P864" s="69"/>
      <c r="Q864" s="91"/>
      <c r="R864" s="91"/>
      <c r="S864" s="60"/>
      <c r="T864" s="62"/>
      <c r="U864" s="62"/>
      <c r="V864" s="62"/>
      <c r="W864" s="61"/>
      <c r="X864" s="62"/>
      <c r="Y864" s="62"/>
      <c r="Z864" s="66"/>
      <c r="AA864" s="91"/>
      <c r="AB864" s="69"/>
      <c r="AC864" s="91"/>
      <c r="AD864" s="91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91"/>
      <c r="P865" s="69"/>
      <c r="Q865" s="91"/>
      <c r="R865" s="91"/>
      <c r="S865" s="60"/>
      <c r="T865" s="62"/>
      <c r="U865" s="62"/>
      <c r="V865" s="62"/>
      <c r="W865" s="61"/>
      <c r="X865" s="62"/>
      <c r="Y865" s="62"/>
      <c r="Z865" s="66"/>
      <c r="AA865" s="91"/>
      <c r="AB865" s="69"/>
      <c r="AC865" s="91"/>
      <c r="AD865" s="91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4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91"/>
      <c r="P866" s="69"/>
      <c r="Q866" s="91"/>
      <c r="R866" s="91"/>
      <c r="S866" s="60"/>
      <c r="T866" s="62"/>
      <c r="U866" s="62"/>
      <c r="V866" s="62"/>
      <c r="W866" s="61"/>
      <c r="X866" s="62"/>
      <c r="Y866" s="62"/>
      <c r="Z866" s="66"/>
      <c r="AA866" s="62"/>
      <c r="AB866" s="69"/>
      <c r="AC866" s="91"/>
      <c r="AD866" s="91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8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91"/>
      <c r="P867" s="69"/>
      <c r="Q867" s="91"/>
      <c r="R867" s="91"/>
      <c r="S867" s="60"/>
      <c r="T867" s="62"/>
      <c r="U867" s="62"/>
      <c r="V867" s="62"/>
      <c r="W867" s="61"/>
      <c r="X867" s="62"/>
      <c r="Y867" s="62"/>
      <c r="Z867" s="66"/>
      <c r="AA867" s="91"/>
      <c r="AB867" s="69"/>
      <c r="AC867" s="91"/>
      <c r="AD867" s="91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91"/>
      <c r="P868" s="69"/>
      <c r="Q868" s="91"/>
      <c r="R868" s="91"/>
      <c r="S868" s="60"/>
      <c r="T868" s="62"/>
      <c r="U868" s="62"/>
      <c r="V868" s="62"/>
      <c r="W868" s="61"/>
      <c r="X868" s="62"/>
      <c r="Y868" s="62"/>
      <c r="Z868" s="66"/>
      <c r="AA868" s="91"/>
      <c r="AB868" s="69"/>
      <c r="AC868" s="91"/>
      <c r="AD868" s="91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91"/>
      <c r="P869" s="69"/>
      <c r="Q869" s="91"/>
      <c r="R869" s="91"/>
      <c r="S869" s="60"/>
      <c r="T869" s="62"/>
      <c r="U869" s="62"/>
      <c r="V869" s="62"/>
      <c r="W869" s="61"/>
      <c r="X869" s="62"/>
      <c r="Y869" s="62"/>
      <c r="Z869" s="66"/>
      <c r="AA869" s="91"/>
      <c r="AB869" s="69"/>
      <c r="AC869" s="91"/>
      <c r="AD869" s="91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91"/>
      <c r="P870" s="69"/>
      <c r="Q870" s="91"/>
      <c r="R870" s="91"/>
      <c r="S870" s="60"/>
      <c r="T870" s="62"/>
      <c r="U870" s="62"/>
      <c r="V870" s="62"/>
      <c r="W870" s="61"/>
      <c r="X870" s="62"/>
      <c r="Y870" s="62"/>
      <c r="Z870" s="66"/>
      <c r="AA870" s="91"/>
      <c r="AB870" s="69"/>
      <c r="AC870" s="91"/>
      <c r="AD870" s="91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62"/>
      <c r="P871" s="69"/>
      <c r="Q871" s="91"/>
      <c r="R871" s="91"/>
      <c r="S871" s="60"/>
      <c r="T871" s="62"/>
      <c r="U871" s="62"/>
      <c r="V871" s="62"/>
      <c r="W871" s="61"/>
      <c r="X871" s="62"/>
      <c r="Y871" s="62"/>
      <c r="Z871" s="66"/>
      <c r="AA871" s="91"/>
      <c r="AB871" s="69"/>
      <c r="AC871" s="91"/>
      <c r="AD871" s="91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91"/>
      <c r="P872" s="69"/>
      <c r="Q872" s="91"/>
      <c r="R872" s="91"/>
      <c r="S872" s="60"/>
      <c r="T872" s="62"/>
      <c r="U872" s="62"/>
      <c r="V872" s="62"/>
      <c r="W872" s="61"/>
      <c r="X872" s="62"/>
      <c r="Y872" s="62"/>
      <c r="Z872" s="66"/>
      <c r="AA872" s="91"/>
      <c r="AB872" s="69"/>
      <c r="AC872" s="91"/>
      <c r="AD872" s="91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91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91"/>
      <c r="P873" s="69"/>
      <c r="Q873" s="91"/>
      <c r="R873" s="91"/>
      <c r="S873" s="60"/>
      <c r="T873" s="62"/>
      <c r="U873" s="62"/>
      <c r="V873" s="62"/>
      <c r="W873" s="61"/>
      <c r="X873" s="62"/>
      <c r="Y873" s="62"/>
      <c r="Z873" s="66"/>
      <c r="AA873" s="91"/>
      <c r="AB873" s="69"/>
      <c r="AC873" s="91"/>
      <c r="AD873" s="91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91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91"/>
      <c r="P874" s="69"/>
      <c r="Q874" s="91"/>
      <c r="R874" s="91"/>
      <c r="S874" s="60"/>
      <c r="T874" s="62"/>
      <c r="U874" s="62"/>
      <c r="V874" s="62"/>
      <c r="W874" s="61"/>
      <c r="X874" s="62"/>
      <c r="Y874" s="62"/>
      <c r="Z874" s="66"/>
      <c r="AA874" s="91"/>
      <c r="AB874" s="69"/>
      <c r="AC874" s="91"/>
      <c r="AD874" s="91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91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91"/>
      <c r="P875" s="69"/>
      <c r="Q875" s="91"/>
      <c r="R875" s="91"/>
      <c r="S875" s="60"/>
      <c r="T875" s="62"/>
      <c r="U875" s="62"/>
      <c r="V875" s="62"/>
      <c r="W875" s="61"/>
      <c r="X875" s="62"/>
      <c r="Y875" s="62"/>
      <c r="Z875" s="66"/>
      <c r="AA875" s="91"/>
      <c r="AB875" s="69"/>
      <c r="AC875" s="91"/>
      <c r="AD875" s="91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91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91"/>
      <c r="R876" s="91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91"/>
      <c r="AD876" s="91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91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91"/>
      <c r="P877" s="69"/>
      <c r="Q877" s="91"/>
      <c r="R877" s="91"/>
      <c r="S877" s="60"/>
      <c r="T877" s="62"/>
      <c r="U877" s="62"/>
      <c r="V877" s="62"/>
      <c r="W877" s="61"/>
      <c r="X877" s="62"/>
      <c r="Y877" s="62"/>
      <c r="Z877" s="66"/>
      <c r="AA877" s="91"/>
      <c r="AB877" s="69"/>
      <c r="AC877" s="91"/>
      <c r="AD877" s="91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91"/>
      <c r="O878" s="91"/>
      <c r="P878" s="91"/>
      <c r="Q878" s="91"/>
      <c r="R878" s="91"/>
      <c r="S878" s="91"/>
      <c r="T878" s="62"/>
      <c r="U878" s="62"/>
      <c r="V878" s="62"/>
      <c r="W878" s="61"/>
      <c r="X878" s="62"/>
      <c r="Y878" s="62"/>
      <c r="Z878" s="91"/>
      <c r="AA878" s="91"/>
      <c r="AB878" s="91"/>
      <c r="AC878" s="91"/>
      <c r="AD878" s="91"/>
      <c r="AE878" s="91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91"/>
      <c r="C879" s="91"/>
      <c r="D879" s="91"/>
      <c r="E879" s="91"/>
      <c r="F879" s="91"/>
      <c r="G879" s="91"/>
      <c r="H879" s="62"/>
      <c r="I879" s="62"/>
      <c r="J879" s="62"/>
      <c r="K879" s="62"/>
      <c r="L879" s="62"/>
      <c r="M879" s="62"/>
      <c r="N879" s="91"/>
      <c r="O879" s="91"/>
      <c r="P879" s="91"/>
      <c r="Q879" s="91"/>
      <c r="R879" s="91"/>
      <c r="S879" s="91"/>
      <c r="T879" s="62"/>
      <c r="U879" s="62"/>
      <c r="V879" s="62"/>
      <c r="W879" s="62"/>
      <c r="X879" s="62"/>
      <c r="Y879" s="62"/>
      <c r="Z879" s="91"/>
      <c r="AA879" s="91"/>
      <c r="AB879" s="91"/>
      <c r="AC879" s="91"/>
      <c r="AD879" s="91"/>
      <c r="AE879" s="91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91"/>
      <c r="C880" s="91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91"/>
      <c r="O880" s="91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91"/>
      <c r="AA880" s="91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91"/>
      <c r="C882" s="91"/>
      <c r="D882" s="91"/>
      <c r="E882" s="91"/>
      <c r="F882" s="91"/>
      <c r="G882" s="91"/>
      <c r="H882" s="62"/>
      <c r="I882" s="62"/>
      <c r="J882" s="62"/>
      <c r="K882" s="62"/>
      <c r="L882" s="62"/>
      <c r="M882" s="62"/>
      <c r="N882" s="91"/>
      <c r="O882" s="91"/>
      <c r="P882" s="91"/>
      <c r="Q882" s="91"/>
      <c r="R882" s="91"/>
      <c r="S882" s="91"/>
      <c r="T882" s="62"/>
      <c r="U882" s="62"/>
      <c r="V882" s="62"/>
      <c r="W882" s="62"/>
      <c r="X882" s="62"/>
      <c r="Y882" s="62"/>
      <c r="Z882" s="91"/>
      <c r="AA882" s="91"/>
      <c r="AB882" s="91"/>
      <c r="AC882" s="91"/>
      <c r="AD882" s="91"/>
      <c r="AE882" s="91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91"/>
      <c r="C883" s="91"/>
      <c r="D883" s="91"/>
      <c r="E883" s="91"/>
      <c r="F883" s="91"/>
      <c r="G883" s="91"/>
      <c r="H883" s="62"/>
      <c r="I883" s="62"/>
      <c r="J883" s="62"/>
      <c r="K883" s="62"/>
      <c r="L883" s="62"/>
      <c r="M883" s="62"/>
      <c r="N883" s="91"/>
      <c r="O883" s="91"/>
      <c r="P883" s="91"/>
      <c r="Q883" s="91"/>
      <c r="R883" s="91"/>
      <c r="S883" s="91"/>
      <c r="T883" s="62"/>
      <c r="U883" s="62"/>
      <c r="V883" s="62"/>
      <c r="W883" s="62"/>
      <c r="X883" s="62"/>
      <c r="Y883" s="62"/>
      <c r="Z883" s="91"/>
      <c r="AA883" s="91"/>
      <c r="AB883" s="91"/>
      <c r="AC883" s="91"/>
      <c r="AD883" s="91"/>
      <c r="AE883" s="91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91"/>
      <c r="C884" s="91"/>
      <c r="D884" s="91"/>
      <c r="E884" s="91"/>
      <c r="F884" s="91"/>
      <c r="G884" s="91"/>
      <c r="H884" s="62"/>
      <c r="I884" s="62"/>
      <c r="J884" s="62"/>
      <c r="K884" s="62"/>
      <c r="L884" s="62"/>
      <c r="M884" s="62"/>
      <c r="N884" s="91"/>
      <c r="O884" s="91"/>
      <c r="P884" s="91"/>
      <c r="Q884" s="91"/>
      <c r="R884" s="91"/>
      <c r="S884" s="91"/>
      <c r="T884" s="62"/>
      <c r="U884" s="62"/>
      <c r="V884" s="62"/>
      <c r="W884" s="62"/>
      <c r="X884" s="62"/>
      <c r="Y884" s="62"/>
      <c r="Z884" s="91"/>
      <c r="AA884" s="91"/>
      <c r="AB884" s="91"/>
      <c r="AC884" s="91"/>
      <c r="AD884" s="91"/>
      <c r="AE884" s="91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91"/>
      <c r="C885" s="91"/>
      <c r="D885" s="91"/>
      <c r="E885" s="91"/>
      <c r="F885" s="91"/>
      <c r="G885" s="91"/>
      <c r="H885" s="62"/>
      <c r="I885" s="62"/>
      <c r="J885" s="62"/>
      <c r="K885" s="62"/>
      <c r="L885" s="62"/>
      <c r="M885" s="63"/>
      <c r="N885" s="91"/>
      <c r="O885" s="91"/>
      <c r="P885" s="91"/>
      <c r="Q885" s="91"/>
      <c r="R885" s="91"/>
      <c r="S885" s="91"/>
      <c r="T885" s="62"/>
      <c r="U885" s="62"/>
      <c r="V885" s="62"/>
      <c r="W885" s="62"/>
      <c r="X885" s="62"/>
      <c r="Y885" s="63"/>
      <c r="Z885" s="91"/>
      <c r="AA885" s="91"/>
      <c r="AB885" s="91"/>
      <c r="AC885" s="91"/>
      <c r="AD885" s="91"/>
      <c r="AE885" s="91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91"/>
      <c r="C886" s="91"/>
      <c r="D886" s="91"/>
      <c r="E886" s="91"/>
      <c r="F886" s="91"/>
      <c r="G886" s="91"/>
      <c r="H886" s="62"/>
      <c r="I886" s="62"/>
      <c r="J886" s="62"/>
      <c r="K886" s="62"/>
      <c r="L886" s="62"/>
      <c r="M886" s="62"/>
      <c r="N886" s="91"/>
      <c r="O886" s="91"/>
      <c r="P886" s="91"/>
      <c r="Q886" s="91"/>
      <c r="R886" s="91"/>
      <c r="S886" s="91"/>
      <c r="T886" s="62"/>
      <c r="U886" s="62"/>
      <c r="V886" s="62"/>
      <c r="W886" s="62"/>
      <c r="X886" s="62"/>
      <c r="Y886" s="62"/>
      <c r="Z886" s="91"/>
      <c r="AA886" s="91"/>
      <c r="AB886" s="91"/>
      <c r="AC886" s="91"/>
      <c r="AD886" s="91"/>
      <c r="AE886" s="91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91"/>
      <c r="C887" s="91"/>
      <c r="D887" s="91"/>
      <c r="E887" s="91"/>
      <c r="F887" s="91"/>
      <c r="G887" s="91"/>
      <c r="H887" s="62"/>
      <c r="I887" s="91"/>
      <c r="J887" s="73"/>
      <c r="K887" s="62"/>
      <c r="L887" s="62"/>
      <c r="M887" s="62"/>
      <c r="N887" s="91"/>
      <c r="O887" s="91"/>
      <c r="P887" s="91"/>
      <c r="Q887" s="91"/>
      <c r="R887" s="91"/>
      <c r="S887" s="91"/>
      <c r="T887" s="62"/>
      <c r="U887" s="91"/>
      <c r="V887" s="73"/>
      <c r="W887" s="62"/>
      <c r="X887" s="62"/>
      <c r="Y887" s="62"/>
      <c r="Z887" s="91"/>
      <c r="AA887" s="91"/>
      <c r="AB887" s="91"/>
      <c r="AC887" s="91"/>
      <c r="AD887" s="91"/>
      <c r="AE887" s="91"/>
      <c r="AF887" s="62"/>
      <c r="AG887" s="91"/>
      <c r="AH887" s="91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91"/>
      <c r="C888" s="91"/>
      <c r="D888" s="91"/>
      <c r="E888" s="91"/>
      <c r="F888" s="91"/>
      <c r="G888" s="91"/>
      <c r="H888" s="62"/>
      <c r="I888" s="65"/>
      <c r="J888" s="65"/>
      <c r="K888" s="62"/>
      <c r="L888" s="62"/>
      <c r="M888" s="64"/>
      <c r="N888" s="91"/>
      <c r="O888" s="91"/>
      <c r="P888" s="91"/>
      <c r="Q888" s="91"/>
      <c r="R888" s="91"/>
      <c r="S888" s="91"/>
      <c r="T888" s="62"/>
      <c r="U888" s="65"/>
      <c r="V888" s="65"/>
      <c r="W888" s="62"/>
      <c r="X888" s="62"/>
      <c r="Y888" s="64"/>
      <c r="Z888" s="91"/>
      <c r="AA888" s="91"/>
      <c r="AB888" s="91"/>
      <c r="AC888" s="91"/>
      <c r="AD888" s="91"/>
      <c r="AE888" s="91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91"/>
      <c r="C889" s="91"/>
      <c r="D889" s="91"/>
      <c r="E889" s="91"/>
      <c r="F889" s="91"/>
      <c r="G889" s="91"/>
      <c r="H889" s="62"/>
      <c r="I889" s="62"/>
      <c r="J889" s="62"/>
      <c r="K889" s="62"/>
      <c r="L889" s="62"/>
      <c r="M889" s="62"/>
      <c r="N889" s="91"/>
      <c r="O889" s="91"/>
      <c r="P889" s="91"/>
      <c r="Q889" s="91"/>
      <c r="R889" s="91"/>
      <c r="S889" s="91"/>
      <c r="T889" s="62"/>
      <c r="U889" s="62"/>
      <c r="V889" s="62"/>
      <c r="W889" s="62"/>
      <c r="X889" s="62"/>
      <c r="Y889" s="62"/>
      <c r="Z889" s="91"/>
      <c r="AA889" s="91"/>
      <c r="AB889" s="91"/>
      <c r="AC889" s="91"/>
      <c r="AD889" s="91"/>
      <c r="AE889" s="91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91"/>
      <c r="D890" s="107"/>
      <c r="E890" s="107"/>
      <c r="F890" s="91"/>
      <c r="G890" s="91"/>
      <c r="H890" s="62"/>
      <c r="I890" s="107"/>
      <c r="J890" s="107"/>
      <c r="K890" s="106"/>
      <c r="L890" s="62"/>
      <c r="M890" s="62"/>
      <c r="N890" s="65"/>
      <c r="O890" s="91"/>
      <c r="P890" s="107"/>
      <c r="Q890" s="107"/>
      <c r="R890" s="91"/>
      <c r="S890" s="91"/>
      <c r="T890" s="62"/>
      <c r="U890" s="107"/>
      <c r="V890" s="107"/>
      <c r="W890" s="106"/>
      <c r="X890" s="62"/>
      <c r="Y890" s="62"/>
      <c r="Z890" s="65"/>
      <c r="AA890" s="91"/>
      <c r="AB890" s="107"/>
      <c r="AC890" s="107"/>
      <c r="AD890" s="91"/>
      <c r="AE890" s="91"/>
      <c r="AF890" s="62"/>
      <c r="AG890" s="107"/>
      <c r="AH890" s="107"/>
      <c r="AI890" s="106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91"/>
      <c r="C891" s="91"/>
      <c r="D891" s="79"/>
      <c r="E891" s="80"/>
      <c r="F891" s="81"/>
      <c r="G891" s="81"/>
      <c r="H891" s="62"/>
      <c r="I891" s="90"/>
      <c r="J891" s="90"/>
      <c r="K891" s="106"/>
      <c r="L891" s="62"/>
      <c r="M891" s="62"/>
      <c r="N891" s="91"/>
      <c r="O891" s="91"/>
      <c r="P891" s="79"/>
      <c r="Q891" s="81"/>
      <c r="R891" s="81"/>
      <c r="S891" s="81"/>
      <c r="T891" s="62"/>
      <c r="U891" s="90"/>
      <c r="V891" s="90"/>
      <c r="W891" s="106"/>
      <c r="X891" s="62"/>
      <c r="Y891" s="62"/>
      <c r="Z891" s="91"/>
      <c r="AA891" s="91"/>
      <c r="AB891" s="79"/>
      <c r="AC891" s="81"/>
      <c r="AD891" s="81"/>
      <c r="AE891" s="81"/>
      <c r="AF891" s="62"/>
      <c r="AG891" s="90"/>
      <c r="AH891" s="90"/>
      <c r="AI891" s="106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91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91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91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91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91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91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91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91"/>
      <c r="AB895" s="60"/>
      <c r="AC895" s="60"/>
      <c r="AD895" s="60"/>
      <c r="AE895" s="60"/>
      <c r="AF895" s="61"/>
      <c r="AG895" s="61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65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91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91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91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91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91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91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91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91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65"/>
      <c r="AB900" s="6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91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91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4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65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91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4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91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91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65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91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62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91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91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91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91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65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65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91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91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91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62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91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91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91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91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91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91"/>
      <c r="P912" s="67"/>
      <c r="Q912" s="91"/>
      <c r="R912" s="91"/>
      <c r="S912" s="60"/>
      <c r="T912" s="62"/>
      <c r="U912" s="62"/>
      <c r="V912" s="62"/>
      <c r="W912" s="61"/>
      <c r="X912" s="62"/>
      <c r="Y912" s="62"/>
      <c r="Z912" s="66"/>
      <c r="AA912" s="91"/>
      <c r="AB912" s="67"/>
      <c r="AC912" s="91"/>
      <c r="AD912" s="91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91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91"/>
      <c r="P913" s="68"/>
      <c r="Q913" s="91"/>
      <c r="R913" s="91"/>
      <c r="S913" s="60"/>
      <c r="T913" s="62"/>
      <c r="U913" s="62"/>
      <c r="V913" s="62"/>
      <c r="W913" s="61"/>
      <c r="X913" s="62"/>
      <c r="Y913" s="62"/>
      <c r="Z913" s="66"/>
      <c r="AA913" s="91"/>
      <c r="AB913" s="68"/>
      <c r="AC913" s="91"/>
      <c r="AD913" s="91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91"/>
      <c r="P914" s="69"/>
      <c r="Q914" s="91"/>
      <c r="R914" s="62"/>
      <c r="S914" s="60"/>
      <c r="T914" s="62"/>
      <c r="U914" s="62"/>
      <c r="V914" s="62"/>
      <c r="W914" s="61"/>
      <c r="X914" s="62"/>
      <c r="Y914" s="62"/>
      <c r="Z914" s="66"/>
      <c r="AA914" s="91"/>
      <c r="AB914" s="69"/>
      <c r="AC914" s="62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91"/>
      <c r="P915" s="69"/>
      <c r="Q915" s="91"/>
      <c r="R915" s="91"/>
      <c r="S915" s="60"/>
      <c r="T915" s="62"/>
      <c r="U915" s="62"/>
      <c r="V915" s="62"/>
      <c r="W915" s="61"/>
      <c r="X915" s="62"/>
      <c r="Y915" s="62"/>
      <c r="Z915" s="66"/>
      <c r="AA915" s="91"/>
      <c r="AB915" s="69"/>
      <c r="AC915" s="91"/>
      <c r="AD915" s="91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91"/>
      <c r="P916" s="69"/>
      <c r="Q916" s="91"/>
      <c r="R916" s="91"/>
      <c r="S916" s="60"/>
      <c r="T916" s="62"/>
      <c r="U916" s="62"/>
      <c r="V916" s="62"/>
      <c r="W916" s="61"/>
      <c r="X916" s="62"/>
      <c r="Y916" s="62"/>
      <c r="Z916" s="66"/>
      <c r="AA916" s="91"/>
      <c r="AB916" s="69"/>
      <c r="AC916" s="91"/>
      <c r="AD916" s="91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91"/>
      <c r="P917" s="69"/>
      <c r="Q917" s="91"/>
      <c r="R917" s="91"/>
      <c r="S917" s="60"/>
      <c r="T917" s="62"/>
      <c r="U917" s="62"/>
      <c r="V917" s="62"/>
      <c r="W917" s="61"/>
      <c r="X917" s="62"/>
      <c r="Y917" s="62"/>
      <c r="Z917" s="66"/>
      <c r="AA917" s="91"/>
      <c r="AB917" s="69"/>
      <c r="AC917" s="91"/>
      <c r="AD917" s="91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91"/>
      <c r="P918" s="69"/>
      <c r="Q918" s="91"/>
      <c r="R918" s="91"/>
      <c r="S918" s="60"/>
      <c r="T918" s="62"/>
      <c r="U918" s="62"/>
      <c r="V918" s="62"/>
      <c r="W918" s="61"/>
      <c r="X918" s="62"/>
      <c r="Y918" s="62"/>
      <c r="Z918" s="66"/>
      <c r="AA918" s="91"/>
      <c r="AB918" s="69"/>
      <c r="AC918" s="91"/>
      <c r="AD918" s="91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91"/>
      <c r="P919" s="69"/>
      <c r="Q919" s="91"/>
      <c r="R919" s="91"/>
      <c r="S919" s="60"/>
      <c r="T919" s="62"/>
      <c r="U919" s="62"/>
      <c r="V919" s="62"/>
      <c r="W919" s="61"/>
      <c r="X919" s="62"/>
      <c r="Y919" s="62"/>
      <c r="Z919" s="66"/>
      <c r="AA919" s="91"/>
      <c r="AB919" s="69"/>
      <c r="AC919" s="91"/>
      <c r="AD919" s="91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91"/>
      <c r="P920" s="69"/>
      <c r="Q920" s="91"/>
      <c r="R920" s="91"/>
      <c r="S920" s="60"/>
      <c r="T920" s="62"/>
      <c r="U920" s="62"/>
      <c r="V920" s="62"/>
      <c r="W920" s="61"/>
      <c r="X920" s="62"/>
      <c r="Y920" s="62"/>
      <c r="Z920" s="66"/>
      <c r="AA920" s="91"/>
      <c r="AB920" s="69"/>
      <c r="AC920" s="91"/>
      <c r="AD920" s="91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91"/>
      <c r="P921" s="69"/>
      <c r="Q921" s="91"/>
      <c r="R921" s="91"/>
      <c r="S921" s="60"/>
      <c r="T921" s="62"/>
      <c r="U921" s="62"/>
      <c r="V921" s="62"/>
      <c r="W921" s="61"/>
      <c r="X921" s="62"/>
      <c r="Y921" s="62"/>
      <c r="Z921" s="66"/>
      <c r="AA921" s="62"/>
      <c r="AB921" s="69"/>
      <c r="AC921" s="91"/>
      <c r="AD921" s="91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91"/>
      <c r="P922" s="69"/>
      <c r="Q922" s="91"/>
      <c r="R922" s="91"/>
      <c r="S922" s="60"/>
      <c r="T922" s="62"/>
      <c r="U922" s="62"/>
      <c r="V922" s="62"/>
      <c r="W922" s="61"/>
      <c r="X922" s="62"/>
      <c r="Y922" s="62"/>
      <c r="Z922" s="66"/>
      <c r="AA922" s="91"/>
      <c r="AB922" s="69"/>
      <c r="AC922" s="91"/>
      <c r="AD922" s="91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91"/>
      <c r="P923" s="69"/>
      <c r="Q923" s="91"/>
      <c r="R923" s="91"/>
      <c r="S923" s="60"/>
      <c r="T923" s="62"/>
      <c r="U923" s="62"/>
      <c r="V923" s="62"/>
      <c r="W923" s="61"/>
      <c r="X923" s="62"/>
      <c r="Y923" s="62"/>
      <c r="Z923" s="66"/>
      <c r="AA923" s="91"/>
      <c r="AB923" s="69"/>
      <c r="AC923" s="91"/>
      <c r="AD923" s="91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91"/>
      <c r="P924" s="69"/>
      <c r="Q924" s="91"/>
      <c r="R924" s="91"/>
      <c r="S924" s="60"/>
      <c r="T924" s="62"/>
      <c r="U924" s="62"/>
      <c r="V924" s="62"/>
      <c r="W924" s="61"/>
      <c r="X924" s="62"/>
      <c r="Y924" s="62"/>
      <c r="Z924" s="66"/>
      <c r="AA924" s="91"/>
      <c r="AB924" s="69"/>
      <c r="AC924" s="91"/>
      <c r="AD924" s="91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91"/>
      <c r="P925" s="69"/>
      <c r="Q925" s="91"/>
      <c r="R925" s="91"/>
      <c r="S925" s="60"/>
      <c r="T925" s="62"/>
      <c r="U925" s="62"/>
      <c r="V925" s="62"/>
      <c r="W925" s="61"/>
      <c r="X925" s="62"/>
      <c r="Y925" s="62"/>
      <c r="Z925" s="66"/>
      <c r="AA925" s="91"/>
      <c r="AB925" s="69"/>
      <c r="AC925" s="91"/>
      <c r="AD925" s="91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62"/>
      <c r="P926" s="69"/>
      <c r="Q926" s="91"/>
      <c r="R926" s="91"/>
      <c r="S926" s="60"/>
      <c r="T926" s="62"/>
      <c r="U926" s="62"/>
      <c r="V926" s="62"/>
      <c r="W926" s="61"/>
      <c r="X926" s="62"/>
      <c r="Y926" s="62"/>
      <c r="Z926" s="66"/>
      <c r="AA926" s="91"/>
      <c r="AB926" s="69"/>
      <c r="AC926" s="91"/>
      <c r="AD926" s="91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91"/>
      <c r="P927" s="69"/>
      <c r="Q927" s="91"/>
      <c r="R927" s="91"/>
      <c r="S927" s="60"/>
      <c r="T927" s="62"/>
      <c r="U927" s="62"/>
      <c r="V927" s="62"/>
      <c r="W927" s="61"/>
      <c r="X927" s="62"/>
      <c r="Y927" s="62"/>
      <c r="Z927" s="66"/>
      <c r="AA927" s="91"/>
      <c r="AB927" s="69"/>
      <c r="AC927" s="91"/>
      <c r="AD927" s="91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91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91"/>
      <c r="P928" s="69"/>
      <c r="Q928" s="91"/>
      <c r="R928" s="91"/>
      <c r="S928" s="60"/>
      <c r="T928" s="62"/>
      <c r="U928" s="62"/>
      <c r="V928" s="62"/>
      <c r="W928" s="61"/>
      <c r="X928" s="62"/>
      <c r="Y928" s="62"/>
      <c r="Z928" s="66"/>
      <c r="AA928" s="91"/>
      <c r="AB928" s="69"/>
      <c r="AC928" s="91"/>
      <c r="AD928" s="91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91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91"/>
      <c r="P929" s="69"/>
      <c r="Q929" s="91"/>
      <c r="R929" s="91"/>
      <c r="S929" s="60"/>
      <c r="T929" s="62"/>
      <c r="U929" s="62"/>
      <c r="V929" s="62"/>
      <c r="W929" s="61"/>
      <c r="X929" s="62"/>
      <c r="Y929" s="62"/>
      <c r="Z929" s="66"/>
      <c r="AA929" s="91"/>
      <c r="AB929" s="69"/>
      <c r="AC929" s="91"/>
      <c r="AD929" s="91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91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91"/>
      <c r="P930" s="69"/>
      <c r="Q930" s="91"/>
      <c r="R930" s="91"/>
      <c r="S930" s="60"/>
      <c r="T930" s="62"/>
      <c r="U930" s="62"/>
      <c r="V930" s="62"/>
      <c r="W930" s="61"/>
      <c r="X930" s="62"/>
      <c r="Y930" s="62"/>
      <c r="Z930" s="66"/>
      <c r="AA930" s="91"/>
      <c r="AB930" s="69"/>
      <c r="AC930" s="91"/>
      <c r="AD930" s="91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91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91"/>
      <c r="R931" s="91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91"/>
      <c r="AD931" s="91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91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91"/>
      <c r="P932" s="69"/>
      <c r="Q932" s="91"/>
      <c r="R932" s="91"/>
      <c r="S932" s="60"/>
      <c r="T932" s="62"/>
      <c r="U932" s="62"/>
      <c r="V932" s="62"/>
      <c r="W932" s="61"/>
      <c r="X932" s="62"/>
      <c r="Y932" s="62"/>
      <c r="Z932" s="66"/>
      <c r="AA932" s="91"/>
      <c r="AB932" s="69"/>
      <c r="AC932" s="91"/>
      <c r="AD932" s="91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91"/>
      <c r="O933" s="91"/>
      <c r="P933" s="91"/>
      <c r="Q933" s="91"/>
      <c r="R933" s="91"/>
      <c r="S933" s="91"/>
      <c r="T933" s="62"/>
      <c r="U933" s="62"/>
      <c r="V933" s="62"/>
      <c r="W933" s="61"/>
      <c r="X933" s="62"/>
      <c r="Y933" s="62"/>
      <c r="Z933" s="91"/>
      <c r="AA933" s="91"/>
      <c r="AB933" s="91"/>
      <c r="AC933" s="91"/>
      <c r="AD933" s="91"/>
      <c r="AE933" s="91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91"/>
      <c r="C934" s="91"/>
      <c r="D934" s="91"/>
      <c r="E934" s="91"/>
      <c r="F934" s="91"/>
      <c r="G934" s="91"/>
      <c r="H934" s="62"/>
      <c r="I934" s="62"/>
      <c r="J934" s="62"/>
      <c r="K934" s="62"/>
      <c r="L934" s="62"/>
      <c r="M934" s="62"/>
      <c r="N934" s="91"/>
      <c r="O934" s="91"/>
      <c r="P934" s="91"/>
      <c r="Q934" s="91"/>
      <c r="R934" s="91"/>
      <c r="S934" s="91"/>
      <c r="T934" s="62"/>
      <c r="U934" s="62"/>
      <c r="V934" s="62"/>
      <c r="W934" s="62"/>
      <c r="X934" s="62"/>
      <c r="Y934" s="62"/>
      <c r="Z934" s="91"/>
      <c r="AA934" s="91"/>
      <c r="AB934" s="91"/>
      <c r="AC934" s="91"/>
      <c r="AD934" s="91"/>
      <c r="AE934" s="91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91"/>
      <c r="C935" s="91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91"/>
      <c r="O935" s="91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91"/>
      <c r="AA935" s="91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8"/>
      <c r="C937" s="88"/>
      <c r="D937" s="88"/>
      <c r="E937" s="88"/>
      <c r="F937" s="88"/>
      <c r="G937" s="88"/>
      <c r="H937" s="62"/>
      <c r="I937" s="62"/>
      <c r="J937" s="62"/>
      <c r="K937" s="62"/>
      <c r="L937" s="62"/>
      <c r="M937" s="62"/>
      <c r="N937" s="88"/>
      <c r="O937" s="88"/>
      <c r="P937" s="88"/>
      <c r="Q937" s="88"/>
      <c r="R937" s="88"/>
      <c r="S937" s="88"/>
      <c r="T937" s="62"/>
      <c r="U937" s="62"/>
      <c r="V937" s="62"/>
      <c r="W937" s="62"/>
      <c r="X937" s="62"/>
      <c r="Y937" s="62"/>
      <c r="Z937" s="88"/>
      <c r="AA937" s="88"/>
      <c r="AB937" s="88"/>
      <c r="AC937" s="88"/>
      <c r="AD937" s="88"/>
      <c r="AE937" s="88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8"/>
      <c r="C938" s="88"/>
      <c r="D938" s="88"/>
      <c r="E938" s="88"/>
      <c r="F938" s="88"/>
      <c r="G938" s="88"/>
      <c r="H938" s="62"/>
      <c r="I938" s="62"/>
      <c r="J938" s="62"/>
      <c r="K938" s="62"/>
      <c r="L938" s="62"/>
      <c r="M938" s="62"/>
      <c r="N938" s="88"/>
      <c r="O938" s="88"/>
      <c r="P938" s="88"/>
      <c r="Q938" s="88"/>
      <c r="R938" s="88"/>
      <c r="S938" s="88"/>
      <c r="T938" s="62"/>
      <c r="U938" s="62"/>
      <c r="V938" s="62"/>
      <c r="W938" s="62"/>
      <c r="X938" s="62"/>
      <c r="Y938" s="62"/>
      <c r="Z938" s="88"/>
      <c r="AA938" s="88"/>
      <c r="AB938" s="88"/>
      <c r="AC938" s="88"/>
      <c r="AD938" s="88"/>
      <c r="AE938" s="88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8"/>
      <c r="C939" s="88"/>
      <c r="D939" s="88"/>
      <c r="E939" s="88"/>
      <c r="F939" s="88"/>
      <c r="G939" s="88"/>
      <c r="H939" s="62"/>
      <c r="I939" s="62"/>
      <c r="J939" s="62"/>
      <c r="K939" s="62"/>
      <c r="L939" s="62"/>
      <c r="M939" s="62"/>
      <c r="N939" s="88"/>
      <c r="O939" s="88"/>
      <c r="P939" s="88"/>
      <c r="Q939" s="88"/>
      <c r="R939" s="88"/>
      <c r="S939" s="88"/>
      <c r="T939" s="62"/>
      <c r="U939" s="62"/>
      <c r="V939" s="62"/>
      <c r="W939" s="62"/>
      <c r="X939" s="62"/>
      <c r="Y939" s="62"/>
      <c r="Z939" s="88"/>
      <c r="AA939" s="88"/>
      <c r="AB939" s="88"/>
      <c r="AC939" s="88"/>
      <c r="AD939" s="88"/>
      <c r="AE939" s="88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8"/>
      <c r="C940" s="88"/>
      <c r="D940" s="88"/>
      <c r="E940" s="88"/>
      <c r="F940" s="88"/>
      <c r="G940" s="88"/>
      <c r="H940" s="62"/>
      <c r="I940" s="62"/>
      <c r="J940" s="62"/>
      <c r="K940" s="62"/>
      <c r="L940" s="62"/>
      <c r="M940" s="63"/>
      <c r="N940" s="88"/>
      <c r="O940" s="88"/>
      <c r="P940" s="88"/>
      <c r="Q940" s="88"/>
      <c r="R940" s="88"/>
      <c r="S940" s="88"/>
      <c r="T940" s="62"/>
      <c r="U940" s="62"/>
      <c r="V940" s="62"/>
      <c r="W940" s="62"/>
      <c r="X940" s="62"/>
      <c r="Y940" s="63"/>
      <c r="Z940" s="88"/>
      <c r="AA940" s="88"/>
      <c r="AB940" s="88"/>
      <c r="AC940" s="88"/>
      <c r="AD940" s="88"/>
      <c r="AE940" s="88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8"/>
      <c r="C941" s="88"/>
      <c r="D941" s="88"/>
      <c r="E941" s="88"/>
      <c r="F941" s="88"/>
      <c r="G941" s="88"/>
      <c r="H941" s="62"/>
      <c r="I941" s="62"/>
      <c r="J941" s="62"/>
      <c r="K941" s="62"/>
      <c r="L941" s="62"/>
      <c r="M941" s="62"/>
      <c r="N941" s="88"/>
      <c r="O941" s="88"/>
      <c r="P941" s="88"/>
      <c r="Q941" s="88"/>
      <c r="R941" s="88"/>
      <c r="S941" s="88"/>
      <c r="T941" s="62"/>
      <c r="U941" s="62"/>
      <c r="V941" s="62"/>
      <c r="W941" s="62"/>
      <c r="X941" s="62"/>
      <c r="Y941" s="62"/>
      <c r="Z941" s="88"/>
      <c r="AA941" s="88"/>
      <c r="AB941" s="88"/>
      <c r="AC941" s="88"/>
      <c r="AD941" s="88"/>
      <c r="AE941" s="88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8"/>
      <c r="C942" s="88"/>
      <c r="D942" s="88"/>
      <c r="E942" s="88"/>
      <c r="F942" s="88"/>
      <c r="G942" s="88"/>
      <c r="H942" s="62"/>
      <c r="I942" s="88"/>
      <c r="J942" s="73"/>
      <c r="K942" s="62"/>
      <c r="L942" s="62"/>
      <c r="M942" s="62"/>
      <c r="N942" s="88"/>
      <c r="O942" s="88"/>
      <c r="P942" s="88"/>
      <c r="Q942" s="88"/>
      <c r="R942" s="88"/>
      <c r="S942" s="88"/>
      <c r="T942" s="62"/>
      <c r="U942" s="88"/>
      <c r="V942" s="73"/>
      <c r="W942" s="62"/>
      <c r="X942" s="62"/>
      <c r="Y942" s="62"/>
      <c r="Z942" s="88"/>
      <c r="AA942" s="88"/>
      <c r="AB942" s="88"/>
      <c r="AC942" s="88"/>
      <c r="AD942" s="88"/>
      <c r="AE942" s="88"/>
      <c r="AF942" s="62"/>
      <c r="AG942" s="88"/>
      <c r="AH942" s="88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8"/>
      <c r="C943" s="88"/>
      <c r="D943" s="88"/>
      <c r="E943" s="88"/>
      <c r="F943" s="88"/>
      <c r="G943" s="88"/>
      <c r="H943" s="62"/>
      <c r="I943" s="65"/>
      <c r="J943" s="65"/>
      <c r="K943" s="62"/>
      <c r="L943" s="62"/>
      <c r="M943" s="64"/>
      <c r="N943" s="88"/>
      <c r="O943" s="88"/>
      <c r="P943" s="88"/>
      <c r="Q943" s="88"/>
      <c r="R943" s="88"/>
      <c r="S943" s="88"/>
      <c r="T943" s="62"/>
      <c r="U943" s="65"/>
      <c r="V943" s="65"/>
      <c r="W943" s="62"/>
      <c r="X943" s="62"/>
      <c r="Y943" s="64"/>
      <c r="Z943" s="88"/>
      <c r="AA943" s="88"/>
      <c r="AB943" s="88"/>
      <c r="AC943" s="88"/>
      <c r="AD943" s="88"/>
      <c r="AE943" s="88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8"/>
      <c r="C944" s="88"/>
      <c r="D944" s="88"/>
      <c r="E944" s="88"/>
      <c r="F944" s="88"/>
      <c r="G944" s="88"/>
      <c r="H944" s="62"/>
      <c r="I944" s="62"/>
      <c r="J944" s="62"/>
      <c r="K944" s="62"/>
      <c r="L944" s="62"/>
      <c r="M944" s="62"/>
      <c r="N944" s="88"/>
      <c r="O944" s="88"/>
      <c r="P944" s="88"/>
      <c r="Q944" s="88"/>
      <c r="R944" s="88"/>
      <c r="S944" s="88"/>
      <c r="T944" s="62"/>
      <c r="U944" s="62"/>
      <c r="V944" s="62"/>
      <c r="W944" s="62"/>
      <c r="X944" s="62"/>
      <c r="Y944" s="62"/>
      <c r="Z944" s="88"/>
      <c r="AA944" s="88"/>
      <c r="AB944" s="88"/>
      <c r="AC944" s="88"/>
      <c r="AD944" s="88"/>
      <c r="AE944" s="88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8"/>
      <c r="D945" s="107"/>
      <c r="E945" s="107"/>
      <c r="F945" s="88"/>
      <c r="G945" s="88"/>
      <c r="H945" s="62"/>
      <c r="I945" s="107"/>
      <c r="J945" s="107"/>
      <c r="K945" s="106"/>
      <c r="L945" s="62"/>
      <c r="M945" s="62"/>
      <c r="N945" s="65"/>
      <c r="O945" s="88"/>
      <c r="P945" s="107"/>
      <c r="Q945" s="107"/>
      <c r="R945" s="88"/>
      <c r="S945" s="88"/>
      <c r="T945" s="62"/>
      <c r="U945" s="107"/>
      <c r="V945" s="107"/>
      <c r="W945" s="106"/>
      <c r="X945" s="62"/>
      <c r="Y945" s="62"/>
      <c r="Z945" s="65"/>
      <c r="AA945" s="88"/>
      <c r="AB945" s="107"/>
      <c r="AC945" s="107"/>
      <c r="AD945" s="88"/>
      <c r="AE945" s="88"/>
      <c r="AF945" s="62"/>
      <c r="AG945" s="107"/>
      <c r="AH945" s="107"/>
      <c r="AI945" s="106"/>
      <c r="AJ945" s="62"/>
      <c r="AK945" s="62"/>
      <c r="AL945" s="65"/>
      <c r="AM945" s="86"/>
      <c r="AN945" s="107"/>
      <c r="AO945" s="107"/>
      <c r="AP945" s="86"/>
      <c r="AQ945" s="86"/>
      <c r="AR945" s="62"/>
      <c r="AS945" s="107"/>
      <c r="AT945" s="107"/>
      <c r="AU945" s="106"/>
      <c r="AV945" s="62"/>
      <c r="AW945" s="62"/>
      <c r="AX945" s="62"/>
      <c r="AY945" s="62"/>
      <c r="AZ945" s="62"/>
    </row>
    <row r="946" spans="1:52" x14ac:dyDescent="0.25">
      <c r="A946" s="62"/>
      <c r="B946" s="88"/>
      <c r="C946" s="88"/>
      <c r="D946" s="79"/>
      <c r="E946" s="80"/>
      <c r="F946" s="81"/>
      <c r="G946" s="81"/>
      <c r="H946" s="62"/>
      <c r="I946" s="87"/>
      <c r="J946" s="87"/>
      <c r="K946" s="106"/>
      <c r="L946" s="62"/>
      <c r="M946" s="62"/>
      <c r="N946" s="88"/>
      <c r="O946" s="88"/>
      <c r="P946" s="79"/>
      <c r="Q946" s="81"/>
      <c r="R946" s="81"/>
      <c r="S946" s="81"/>
      <c r="T946" s="62"/>
      <c r="U946" s="87"/>
      <c r="V946" s="87"/>
      <c r="W946" s="106"/>
      <c r="X946" s="62"/>
      <c r="Y946" s="62"/>
      <c r="Z946" s="88"/>
      <c r="AA946" s="88"/>
      <c r="AB946" s="79"/>
      <c r="AC946" s="81"/>
      <c r="AD946" s="81"/>
      <c r="AE946" s="81"/>
      <c r="AF946" s="62"/>
      <c r="AG946" s="87"/>
      <c r="AH946" s="87"/>
      <c r="AI946" s="106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106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8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8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8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8"/>
      <c r="AB948" s="60"/>
      <c r="AC948" s="62"/>
      <c r="AD948" s="60"/>
      <c r="AE948" s="60"/>
      <c r="AF948" s="61"/>
      <c r="AG948" s="61"/>
      <c r="AH948" s="62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8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8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8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8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8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8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65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8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8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8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8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8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8"/>
      <c r="AB955" s="62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8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8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4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8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8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65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8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8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8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62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8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8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8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8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62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8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8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8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8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8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8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8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8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8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8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88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8"/>
      <c r="P967" s="89"/>
      <c r="Q967" s="88"/>
      <c r="R967" s="88"/>
      <c r="S967" s="60"/>
      <c r="T967" s="62"/>
      <c r="U967" s="62"/>
      <c r="V967" s="62"/>
      <c r="W967" s="61"/>
      <c r="X967" s="62"/>
      <c r="Y967" s="62"/>
      <c r="Z967" s="66"/>
      <c r="AA967" s="62"/>
      <c r="AB967" s="67"/>
      <c r="AC967" s="88"/>
      <c r="AD967" s="88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4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62"/>
      <c r="P968" s="89"/>
      <c r="Q968" s="88"/>
      <c r="R968" s="88"/>
      <c r="S968" s="60"/>
      <c r="T968" s="62"/>
      <c r="U968" s="62"/>
      <c r="V968" s="62"/>
      <c r="W968" s="61"/>
      <c r="X968" s="62"/>
      <c r="Y968" s="62"/>
      <c r="Z968" s="66"/>
      <c r="AA968" s="88"/>
      <c r="AB968" s="68"/>
      <c r="AC968" s="88"/>
      <c r="AD968" s="88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8"/>
      <c r="P969" s="69"/>
      <c r="Q969" s="88"/>
      <c r="R969" s="62"/>
      <c r="S969" s="60"/>
      <c r="T969" s="62"/>
      <c r="U969" s="62"/>
      <c r="V969" s="62"/>
      <c r="W969" s="61"/>
      <c r="X969" s="62"/>
      <c r="Y969" s="62"/>
      <c r="Z969" s="66"/>
      <c r="AA969" s="88"/>
      <c r="AB969" s="69"/>
      <c r="AC969" s="88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62"/>
      <c r="P970" s="69"/>
      <c r="Q970" s="88"/>
      <c r="R970" s="88"/>
      <c r="S970" s="60"/>
      <c r="T970" s="62"/>
      <c r="U970" s="62"/>
      <c r="V970" s="62"/>
      <c r="W970" s="61"/>
      <c r="X970" s="62"/>
      <c r="Y970" s="62"/>
      <c r="Z970" s="66"/>
      <c r="AA970" s="88"/>
      <c r="AB970" s="69"/>
      <c r="AC970" s="88"/>
      <c r="AD970" s="88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8"/>
      <c r="P971" s="69"/>
      <c r="Q971" s="88"/>
      <c r="R971" s="88"/>
      <c r="S971" s="60"/>
      <c r="T971" s="62"/>
      <c r="U971" s="62"/>
      <c r="V971" s="62"/>
      <c r="W971" s="61"/>
      <c r="X971" s="62"/>
      <c r="Y971" s="62"/>
      <c r="Z971" s="66"/>
      <c r="AA971" s="88"/>
      <c r="AB971" s="69"/>
      <c r="AC971" s="88"/>
      <c r="AD971" s="88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8"/>
      <c r="P972" s="69"/>
      <c r="Q972" s="88"/>
      <c r="R972" s="88"/>
      <c r="S972" s="60"/>
      <c r="T972" s="62"/>
      <c r="U972" s="62"/>
      <c r="V972" s="62"/>
      <c r="W972" s="61"/>
      <c r="X972" s="62"/>
      <c r="Y972" s="62"/>
      <c r="Z972" s="66"/>
      <c r="AA972" s="88"/>
      <c r="AB972" s="69"/>
      <c r="AC972" s="88"/>
      <c r="AD972" s="88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8"/>
      <c r="P973" s="69"/>
      <c r="Q973" s="88"/>
      <c r="R973" s="88"/>
      <c r="S973" s="60"/>
      <c r="T973" s="62"/>
      <c r="U973" s="62"/>
      <c r="V973" s="62"/>
      <c r="W973" s="61"/>
      <c r="X973" s="62"/>
      <c r="Y973" s="62"/>
      <c r="Z973" s="66"/>
      <c r="AA973" s="88"/>
      <c r="AB973" s="69"/>
      <c r="AC973" s="88"/>
      <c r="AD973" s="88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8"/>
      <c r="P974" s="69"/>
      <c r="Q974" s="88"/>
      <c r="R974" s="88"/>
      <c r="S974" s="60"/>
      <c r="T974" s="62"/>
      <c r="U974" s="62"/>
      <c r="V974" s="62"/>
      <c r="W974" s="61"/>
      <c r="X974" s="62"/>
      <c r="Y974" s="62"/>
      <c r="Z974" s="66"/>
      <c r="AA974" s="88"/>
      <c r="AB974" s="69"/>
      <c r="AC974" s="88"/>
      <c r="AD974" s="88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8"/>
      <c r="P975" s="69"/>
      <c r="Q975" s="88"/>
      <c r="R975" s="88"/>
      <c r="S975" s="60"/>
      <c r="T975" s="62"/>
      <c r="U975" s="62"/>
      <c r="V975" s="62"/>
      <c r="W975" s="61"/>
      <c r="X975" s="62"/>
      <c r="Y975" s="62"/>
      <c r="Z975" s="66"/>
      <c r="AA975" s="88"/>
      <c r="AB975" s="69"/>
      <c r="AC975" s="88"/>
      <c r="AD975" s="88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8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88"/>
      <c r="R976" s="88"/>
      <c r="S976" s="60"/>
      <c r="T976" s="62"/>
      <c r="U976" s="62"/>
      <c r="V976" s="62"/>
      <c r="W976" s="61"/>
      <c r="X976" s="62"/>
      <c r="Y976" s="62"/>
      <c r="Z976" s="66"/>
      <c r="AA976" s="88"/>
      <c r="AB976" s="69"/>
      <c r="AC976" s="88"/>
      <c r="AD976" s="88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65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8"/>
      <c r="P977" s="69"/>
      <c r="Q977" s="88"/>
      <c r="R977" s="88"/>
      <c r="S977" s="60"/>
      <c r="T977" s="62"/>
      <c r="U977" s="62"/>
      <c r="V977" s="62"/>
      <c r="W977" s="61"/>
      <c r="X977" s="62"/>
      <c r="Y977" s="62"/>
      <c r="Z977" s="66"/>
      <c r="AA977" s="88"/>
      <c r="AB977" s="69"/>
      <c r="AC977" s="88"/>
      <c r="AD977" s="88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8"/>
      <c r="P978" s="69"/>
      <c r="Q978" s="88"/>
      <c r="R978" s="88"/>
      <c r="S978" s="60"/>
      <c r="T978" s="62"/>
      <c r="U978" s="62"/>
      <c r="V978" s="62"/>
      <c r="W978" s="61"/>
      <c r="X978" s="62"/>
      <c r="Y978" s="62"/>
      <c r="Z978" s="66"/>
      <c r="AA978" s="88"/>
      <c r="AB978" s="69"/>
      <c r="AC978" s="88"/>
      <c r="AD978" s="88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8"/>
      <c r="P979" s="69"/>
      <c r="Q979" s="88"/>
      <c r="R979" s="88"/>
      <c r="S979" s="60"/>
      <c r="T979" s="62"/>
      <c r="U979" s="62"/>
      <c r="V979" s="62"/>
      <c r="W979" s="61"/>
      <c r="X979" s="62"/>
      <c r="Y979" s="62"/>
      <c r="Z979" s="66"/>
      <c r="AA979" s="88"/>
      <c r="AB979" s="69"/>
      <c r="AC979" s="88"/>
      <c r="AD979" s="88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8"/>
      <c r="P980" s="69"/>
      <c r="Q980" s="88"/>
      <c r="R980" s="88"/>
      <c r="S980" s="60"/>
      <c r="T980" s="62"/>
      <c r="U980" s="62"/>
      <c r="V980" s="62"/>
      <c r="W980" s="61"/>
      <c r="X980" s="62"/>
      <c r="Y980" s="62"/>
      <c r="Z980" s="66"/>
      <c r="AA980" s="88"/>
      <c r="AB980" s="69"/>
      <c r="AC980" s="88"/>
      <c r="AD980" s="88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8"/>
      <c r="P981" s="69"/>
      <c r="Q981" s="88"/>
      <c r="R981" s="88"/>
      <c r="S981" s="60"/>
      <c r="T981" s="62"/>
      <c r="U981" s="62"/>
      <c r="V981" s="62"/>
      <c r="W981" s="61"/>
      <c r="X981" s="62"/>
      <c r="Y981" s="62"/>
      <c r="Z981" s="66"/>
      <c r="AA981" s="88"/>
      <c r="AB981" s="69"/>
      <c r="AC981" s="88"/>
      <c r="AD981" s="88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8"/>
      <c r="P982" s="69"/>
      <c r="Q982" s="88"/>
      <c r="R982" s="88"/>
      <c r="S982" s="60"/>
      <c r="T982" s="62"/>
      <c r="U982" s="62"/>
      <c r="V982" s="62"/>
      <c r="W982" s="61"/>
      <c r="X982" s="62"/>
      <c r="Y982" s="62"/>
      <c r="Z982" s="66"/>
      <c r="AA982" s="88"/>
      <c r="AB982" s="69"/>
      <c r="AC982" s="88"/>
      <c r="AD982" s="88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8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8"/>
      <c r="R983" s="88"/>
      <c r="S983" s="60"/>
      <c r="T983" s="62"/>
      <c r="U983" s="62"/>
      <c r="V983" s="62"/>
      <c r="W983" s="61"/>
      <c r="X983" s="62"/>
      <c r="Y983" s="62"/>
      <c r="Z983" s="66"/>
      <c r="AA983" s="88"/>
      <c r="AB983" s="69"/>
      <c r="AC983" s="88"/>
      <c r="AD983" s="88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8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8"/>
      <c r="P984" s="69"/>
      <c r="Q984" s="88"/>
      <c r="R984" s="88"/>
      <c r="S984" s="60"/>
      <c r="T984" s="62"/>
      <c r="U984" s="62"/>
      <c r="V984" s="62"/>
      <c r="W984" s="61"/>
      <c r="X984" s="62"/>
      <c r="Y984" s="62"/>
      <c r="Z984" s="66"/>
      <c r="AA984" s="88"/>
      <c r="AB984" s="69"/>
      <c r="AC984" s="88"/>
      <c r="AD984" s="88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8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8"/>
      <c r="P985" s="69"/>
      <c r="Q985" s="88"/>
      <c r="R985" s="88"/>
      <c r="S985" s="60"/>
      <c r="T985" s="62"/>
      <c r="U985" s="62"/>
      <c r="V985" s="62"/>
      <c r="W985" s="61"/>
      <c r="X985" s="62"/>
      <c r="Y985" s="62"/>
      <c r="Z985" s="66"/>
      <c r="AA985" s="88"/>
      <c r="AB985" s="69"/>
      <c r="AC985" s="88"/>
      <c r="AD985" s="88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8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8"/>
      <c r="R986" s="88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8"/>
      <c r="AD986" s="88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8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8"/>
      <c r="P987" s="69"/>
      <c r="Q987" s="88"/>
      <c r="R987" s="88"/>
      <c r="S987" s="60"/>
      <c r="T987" s="62"/>
      <c r="U987" s="62"/>
      <c r="V987" s="62"/>
      <c r="W987" s="61"/>
      <c r="X987" s="62"/>
      <c r="Y987" s="62"/>
      <c r="Z987" s="66"/>
      <c r="AA987" s="88"/>
      <c r="AB987" s="69"/>
      <c r="AC987" s="88"/>
      <c r="AD987" s="88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8"/>
      <c r="O988" s="88"/>
      <c r="P988" s="88"/>
      <c r="Q988" s="88"/>
      <c r="R988" s="88"/>
      <c r="S988" s="88"/>
      <c r="T988" s="62"/>
      <c r="U988" s="62"/>
      <c r="V988" s="62"/>
      <c r="W988" s="61"/>
      <c r="X988" s="62"/>
      <c r="Y988" s="62"/>
      <c r="Z988" s="88"/>
      <c r="AA988" s="88"/>
      <c r="AB988" s="88"/>
      <c r="AC988" s="88"/>
      <c r="AD988" s="88"/>
      <c r="AE988" s="88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8"/>
      <c r="C989" s="88"/>
      <c r="D989" s="88"/>
      <c r="E989" s="88"/>
      <c r="F989" s="88"/>
      <c r="G989" s="88"/>
      <c r="H989" s="62"/>
      <c r="I989" s="62"/>
      <c r="J989" s="62"/>
      <c r="K989" s="62"/>
      <c r="L989" s="62"/>
      <c r="M989" s="62"/>
      <c r="N989" s="88"/>
      <c r="O989" s="88"/>
      <c r="P989" s="88"/>
      <c r="Q989" s="88"/>
      <c r="R989" s="88"/>
      <c r="S989" s="88"/>
      <c r="T989" s="62"/>
      <c r="U989" s="62"/>
      <c r="V989" s="62"/>
      <c r="W989" s="62"/>
      <c r="X989" s="62"/>
      <c r="Y989" s="62"/>
      <c r="Z989" s="88"/>
      <c r="AA989" s="88"/>
      <c r="AB989" s="88"/>
      <c r="AC989" s="88"/>
      <c r="AD989" s="88"/>
      <c r="AE989" s="88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8"/>
      <c r="C990" s="88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8"/>
      <c r="O990" s="88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8"/>
      <c r="AA990" s="88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107"/>
      <c r="E1000" s="107"/>
      <c r="F1000" s="86"/>
      <c r="G1000" s="86"/>
      <c r="H1000" s="62"/>
      <c r="I1000" s="107"/>
      <c r="J1000" s="107"/>
      <c r="K1000" s="106"/>
      <c r="L1000" s="62"/>
      <c r="M1000" s="62"/>
      <c r="N1000" s="65"/>
      <c r="O1000" s="86"/>
      <c r="P1000" s="107"/>
      <c r="Q1000" s="107"/>
      <c r="R1000" s="86"/>
      <c r="S1000" s="86"/>
      <c r="T1000" s="62"/>
      <c r="U1000" s="107"/>
      <c r="V1000" s="107"/>
      <c r="W1000" s="106"/>
      <c r="X1000" s="62"/>
      <c r="Y1000" s="62"/>
      <c r="Z1000" s="65"/>
      <c r="AA1000" s="86"/>
      <c r="AB1000" s="107"/>
      <c r="AC1000" s="107"/>
      <c r="AD1000" s="86"/>
      <c r="AE1000" s="86"/>
      <c r="AF1000" s="62"/>
      <c r="AG1000" s="107"/>
      <c r="AH1000" s="107"/>
      <c r="AI1000" s="106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106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106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106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107"/>
      <c r="E1055" s="107"/>
      <c r="F1055" s="86"/>
      <c r="G1055" s="86"/>
      <c r="H1055" s="62"/>
      <c r="I1055" s="107"/>
      <c r="J1055" s="107"/>
      <c r="K1055" s="106"/>
      <c r="L1055" s="62"/>
      <c r="M1055" s="62"/>
      <c r="N1055" s="65"/>
      <c r="O1055" s="86"/>
      <c r="P1055" s="107"/>
      <c r="Q1055" s="107"/>
      <c r="R1055" s="86"/>
      <c r="S1055" s="86"/>
      <c r="T1055" s="62"/>
      <c r="U1055" s="107"/>
      <c r="V1055" s="107"/>
      <c r="W1055" s="106"/>
      <c r="X1055" s="62"/>
      <c r="Y1055" s="62"/>
      <c r="Z1055" s="65"/>
      <c r="AA1055" s="86"/>
      <c r="AB1055" s="107"/>
      <c r="AC1055" s="107"/>
      <c r="AD1055" s="86"/>
      <c r="AE1055" s="86"/>
      <c r="AF1055" s="62"/>
      <c r="AG1055" s="107"/>
      <c r="AH1055" s="107"/>
      <c r="AI1055" s="106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106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106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106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107"/>
      <c r="E1110" s="107"/>
      <c r="F1110" s="86"/>
      <c r="G1110" s="86"/>
      <c r="H1110" s="62"/>
      <c r="I1110" s="107"/>
      <c r="J1110" s="107"/>
      <c r="K1110" s="106"/>
      <c r="L1110" s="62"/>
      <c r="M1110" s="62"/>
      <c r="N1110" s="65"/>
      <c r="O1110" s="86"/>
      <c r="P1110" s="107"/>
      <c r="Q1110" s="107"/>
      <c r="R1110" s="86"/>
      <c r="S1110" s="86"/>
      <c r="T1110" s="62"/>
      <c r="U1110" s="107"/>
      <c r="V1110" s="107"/>
      <c r="W1110" s="106"/>
      <c r="X1110" s="62"/>
      <c r="Y1110" s="62"/>
      <c r="Z1110" s="65"/>
      <c r="AA1110" s="86"/>
      <c r="AB1110" s="107"/>
      <c r="AC1110" s="107"/>
      <c r="AD1110" s="86"/>
      <c r="AE1110" s="86"/>
      <c r="AF1110" s="62"/>
      <c r="AG1110" s="107"/>
      <c r="AH1110" s="107"/>
      <c r="AI1110" s="106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106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106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106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107"/>
      <c r="E1165" s="107"/>
      <c r="F1165" s="86"/>
      <c r="G1165" s="86"/>
      <c r="H1165" s="62"/>
      <c r="I1165" s="107"/>
      <c r="J1165" s="107"/>
      <c r="K1165" s="106"/>
      <c r="L1165" s="62"/>
      <c r="M1165" s="62"/>
      <c r="N1165" s="65"/>
      <c r="O1165" s="86"/>
      <c r="P1165" s="107"/>
      <c r="Q1165" s="107"/>
      <c r="R1165" s="86"/>
      <c r="S1165" s="86"/>
      <c r="T1165" s="62"/>
      <c r="U1165" s="107"/>
      <c r="V1165" s="107"/>
      <c r="W1165" s="106"/>
      <c r="X1165" s="62"/>
      <c r="Y1165" s="62"/>
      <c r="Z1165" s="65"/>
      <c r="AA1165" s="86"/>
      <c r="AB1165" s="107"/>
      <c r="AC1165" s="107"/>
      <c r="AD1165" s="86"/>
      <c r="AE1165" s="86"/>
      <c r="AF1165" s="62"/>
      <c r="AG1165" s="107"/>
      <c r="AH1165" s="107"/>
      <c r="AI1165" s="106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106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106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106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107"/>
      <c r="E1221" s="107"/>
      <c r="F1221" s="86"/>
      <c r="G1221" s="86"/>
      <c r="H1221" s="62"/>
      <c r="I1221" s="107"/>
      <c r="J1221" s="107"/>
      <c r="K1221" s="106"/>
      <c r="L1221" s="62"/>
      <c r="M1221" s="62"/>
      <c r="N1221" s="65"/>
      <c r="O1221" s="86"/>
      <c r="P1221" s="107"/>
      <c r="Q1221" s="107"/>
      <c r="R1221" s="86"/>
      <c r="S1221" s="86"/>
      <c r="T1221" s="62"/>
      <c r="U1221" s="107"/>
      <c r="V1221" s="107"/>
      <c r="W1221" s="106"/>
      <c r="X1221" s="62"/>
      <c r="Y1221" s="62"/>
      <c r="Z1221" s="65"/>
      <c r="AA1221" s="86"/>
      <c r="AB1221" s="107"/>
      <c r="AC1221" s="107"/>
      <c r="AD1221" s="86"/>
      <c r="AE1221" s="86"/>
      <c r="AF1221" s="62"/>
      <c r="AG1221" s="107"/>
      <c r="AH1221" s="107"/>
      <c r="AI1221" s="106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106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106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106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107"/>
      <c r="E1283" s="107"/>
      <c r="F1283" s="86"/>
      <c r="G1283" s="86"/>
      <c r="H1283" s="62"/>
      <c r="I1283" s="107"/>
      <c r="J1283" s="107"/>
      <c r="K1283" s="106"/>
      <c r="L1283" s="62"/>
      <c r="M1283" s="62"/>
      <c r="N1283" s="65"/>
      <c r="O1283" s="86"/>
      <c r="P1283" s="107"/>
      <c r="Q1283" s="107"/>
      <c r="R1283" s="86"/>
      <c r="S1283" s="86"/>
      <c r="T1283" s="62"/>
      <c r="U1283" s="107"/>
      <c r="V1283" s="107"/>
      <c r="W1283" s="106"/>
      <c r="X1283" s="62"/>
      <c r="Y1283" s="62"/>
      <c r="Z1283" s="65"/>
      <c r="AA1283" s="86"/>
      <c r="AB1283" s="107"/>
      <c r="AC1283" s="107"/>
      <c r="AD1283" s="86"/>
      <c r="AE1283" s="86"/>
      <c r="AF1283" s="62"/>
      <c r="AG1283" s="107"/>
      <c r="AH1283" s="107"/>
      <c r="AI1283" s="106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106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106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106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120:AI121"/>
    <mergeCell ref="AG120:AH120"/>
    <mergeCell ref="AB120:AC120"/>
    <mergeCell ref="P120:Q120"/>
    <mergeCell ref="K120:K121"/>
    <mergeCell ref="I120:J120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  <mergeCell ref="P285:Q285"/>
    <mergeCell ref="I285:J285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K1000:K1001"/>
    <mergeCell ref="I1000:J1000"/>
    <mergeCell ref="D1000:E1000"/>
    <mergeCell ref="P945:Q945"/>
    <mergeCell ref="D945:E945"/>
    <mergeCell ref="I505:J505"/>
    <mergeCell ref="I450:J450"/>
    <mergeCell ref="D395:E395"/>
    <mergeCell ref="W340:W341"/>
    <mergeCell ref="I340:J340"/>
    <mergeCell ref="D340:E340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K1221:K1222"/>
    <mergeCell ref="I1221:J1221"/>
    <mergeCell ref="D1221:E1221"/>
    <mergeCell ref="K1165:K1166"/>
    <mergeCell ref="I1165:J1165"/>
    <mergeCell ref="D1165:E1165"/>
    <mergeCell ref="K1110:K1111"/>
    <mergeCell ref="I1110:J1110"/>
    <mergeCell ref="K1055:K1056"/>
    <mergeCell ref="I1055:J1055"/>
    <mergeCell ref="D1055:E1055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APRIL</vt:lpstr>
      <vt:lpstr>DSIS | APRIL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2026-04-17T01:00:36Z</dcterms:modified>
</cp:coreProperties>
</file>