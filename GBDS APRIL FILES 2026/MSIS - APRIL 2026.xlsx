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53B5D422-2602-4A89-B867-5FB49D5DFAA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006" i="2" l="1"/>
  <c r="AE1006" i="2" s="1"/>
  <c r="AI1006" i="2" s="1"/>
  <c r="AB1005" i="2"/>
  <c r="AG1004" i="2"/>
  <c r="AG1045" i="2" s="1"/>
  <c r="AH1004" i="2"/>
  <c r="AH1045" i="2" s="1"/>
  <c r="AC1004" i="2"/>
  <c r="AB1004" i="2"/>
  <c r="AC1003" i="2"/>
  <c r="AB1003" i="2"/>
  <c r="AC1002" i="2"/>
  <c r="AB1002" i="2"/>
  <c r="AE1002" i="2" s="1"/>
  <c r="AI1002" i="2" s="1"/>
  <c r="AA1003" i="2"/>
  <c r="AA1004" i="2" s="1"/>
  <c r="AA1005" i="2" s="1"/>
  <c r="AA1006" i="2" s="1"/>
  <c r="AE1005" i="2"/>
  <c r="AI1005" i="2" s="1"/>
  <c r="AE1007" i="2"/>
  <c r="AI1007" i="2"/>
  <c r="AE1008" i="2"/>
  <c r="AI1008" i="2"/>
  <c r="AE1009" i="2"/>
  <c r="AI1009" i="2" s="1"/>
  <c r="AE1010" i="2"/>
  <c r="AI1010" i="2"/>
  <c r="AE1011" i="2"/>
  <c r="AI1011" i="2"/>
  <c r="AE1012" i="2"/>
  <c r="AI1012" i="2"/>
  <c r="AE1013" i="2"/>
  <c r="AI1013" i="2"/>
  <c r="AE1014" i="2"/>
  <c r="AI1014" i="2"/>
  <c r="AE1015" i="2"/>
  <c r="AI1015" i="2"/>
  <c r="AE1016" i="2"/>
  <c r="AI1016" i="2"/>
  <c r="AE1017" i="2"/>
  <c r="AI1017" i="2" s="1"/>
  <c r="AE1018" i="2"/>
  <c r="AI1018" i="2"/>
  <c r="AE1019" i="2"/>
  <c r="AI1019" i="2"/>
  <c r="AE1020" i="2"/>
  <c r="AI1020" i="2"/>
  <c r="AE1021" i="2"/>
  <c r="AI1021" i="2"/>
  <c r="AE1022" i="2"/>
  <c r="AI1022" i="2"/>
  <c r="AE1023" i="2"/>
  <c r="AI1023" i="2"/>
  <c r="AE1024" i="2"/>
  <c r="AI1024" i="2"/>
  <c r="AE1025" i="2"/>
  <c r="AI1025" i="2" s="1"/>
  <c r="AE1026" i="2"/>
  <c r="AI1026" i="2"/>
  <c r="AE1027" i="2"/>
  <c r="AI1027" i="2"/>
  <c r="AE1028" i="2"/>
  <c r="AI1028" i="2"/>
  <c r="AE1029" i="2"/>
  <c r="AI1029" i="2"/>
  <c r="AE1030" i="2"/>
  <c r="AI1030" i="2"/>
  <c r="AE1031" i="2"/>
  <c r="AI1031" i="2"/>
  <c r="AE1032" i="2"/>
  <c r="AI1032" i="2"/>
  <c r="AE1033" i="2"/>
  <c r="AI1033" i="2" s="1"/>
  <c r="AE1034" i="2"/>
  <c r="AI1034" i="2"/>
  <c r="AE1035" i="2"/>
  <c r="AI1035" i="2"/>
  <c r="AE1036" i="2"/>
  <c r="AI1036" i="2"/>
  <c r="AE1037" i="2"/>
  <c r="AI1037" i="2"/>
  <c r="AE1038" i="2"/>
  <c r="AI1038" i="2"/>
  <c r="AE1039" i="2"/>
  <c r="AI1039" i="2"/>
  <c r="AE1040" i="2"/>
  <c r="AI1040" i="2"/>
  <c r="AI1041" i="2"/>
  <c r="AE1042" i="2"/>
  <c r="AI1042" i="2" s="1"/>
  <c r="AI1043" i="2"/>
  <c r="AD1045" i="2"/>
  <c r="AB1045" i="2" l="1"/>
  <c r="AC1045" i="2"/>
  <c r="AE1003" i="2"/>
  <c r="AI1003" i="2" s="1"/>
  <c r="AE1004" i="2"/>
  <c r="AI1004" i="2" s="1"/>
  <c r="P1005" i="2"/>
  <c r="V1004" i="2"/>
  <c r="U1004" i="2"/>
  <c r="Q1004" i="2"/>
  <c r="Q1045" i="2" s="1"/>
  <c r="P1004" i="2"/>
  <c r="Q1003" i="2"/>
  <c r="P1003" i="2"/>
  <c r="P1002" i="2"/>
  <c r="P1045" i="2" s="1"/>
  <c r="U1045" i="2"/>
  <c r="R1045" i="2"/>
  <c r="W1043" i="2"/>
  <c r="S1042" i="2"/>
  <c r="W1042" i="2" s="1"/>
  <c r="W1041" i="2"/>
  <c r="S1040" i="2"/>
  <c r="W1040" i="2" s="1"/>
  <c r="S1039" i="2"/>
  <c r="W1039" i="2" s="1"/>
  <c r="W1038" i="2"/>
  <c r="S1038" i="2"/>
  <c r="S1037" i="2"/>
  <c r="W1037" i="2" s="1"/>
  <c r="S1036" i="2"/>
  <c r="W1036" i="2" s="1"/>
  <c r="W1035" i="2"/>
  <c r="S1035" i="2"/>
  <c r="S1034" i="2"/>
  <c r="W1034" i="2" s="1"/>
  <c r="S1033" i="2"/>
  <c r="W1033" i="2" s="1"/>
  <c r="S1032" i="2"/>
  <c r="W1032" i="2" s="1"/>
  <c r="S1031" i="2"/>
  <c r="W1031" i="2" s="1"/>
  <c r="W1030" i="2"/>
  <c r="S1030" i="2"/>
  <c r="S1029" i="2"/>
  <c r="W1029" i="2" s="1"/>
  <c r="S1028" i="2"/>
  <c r="W1028" i="2" s="1"/>
  <c r="W1027" i="2"/>
  <c r="S1027" i="2"/>
  <c r="S1026" i="2"/>
  <c r="W1026" i="2" s="1"/>
  <c r="S1025" i="2"/>
  <c r="W1025" i="2" s="1"/>
  <c r="S1024" i="2"/>
  <c r="W1024" i="2" s="1"/>
  <c r="W1023" i="2"/>
  <c r="S1023" i="2"/>
  <c r="W1022" i="2"/>
  <c r="S1022" i="2"/>
  <c r="S1021" i="2"/>
  <c r="W1021" i="2" s="1"/>
  <c r="S1020" i="2"/>
  <c r="W1020" i="2" s="1"/>
  <c r="W1019" i="2"/>
  <c r="S1019" i="2"/>
  <c r="S1018" i="2"/>
  <c r="W1018" i="2" s="1"/>
  <c r="S1017" i="2"/>
  <c r="W1017" i="2" s="1"/>
  <c r="S1016" i="2"/>
  <c r="W1016" i="2" s="1"/>
  <c r="S1015" i="2"/>
  <c r="W1015" i="2" s="1"/>
  <c r="W1014" i="2"/>
  <c r="S1014" i="2"/>
  <c r="S1013" i="2"/>
  <c r="W1013" i="2" s="1"/>
  <c r="S1012" i="2"/>
  <c r="W1012" i="2" s="1"/>
  <c r="W1011" i="2"/>
  <c r="S1011" i="2"/>
  <c r="S1010" i="2"/>
  <c r="W1010" i="2" s="1"/>
  <c r="S1009" i="2"/>
  <c r="W1009" i="2" s="1"/>
  <c r="S1008" i="2"/>
  <c r="W1008" i="2" s="1"/>
  <c r="S1007" i="2"/>
  <c r="W1007" i="2" s="1"/>
  <c r="S1006" i="2"/>
  <c r="W1006" i="2" s="1"/>
  <c r="S1005" i="2"/>
  <c r="W1005" i="2" s="1"/>
  <c r="V1045" i="2"/>
  <c r="S1003" i="2"/>
  <c r="W1003" i="2" s="1"/>
  <c r="O1005" i="2"/>
  <c r="J1005" i="2"/>
  <c r="J1045" i="2" s="1"/>
  <c r="I1005" i="2"/>
  <c r="D1005" i="2"/>
  <c r="G1005" i="2" s="1"/>
  <c r="D1004" i="2"/>
  <c r="D1003" i="2"/>
  <c r="D1002" i="2"/>
  <c r="G1002" i="2"/>
  <c r="K1002" i="2" s="1"/>
  <c r="C1003" i="2"/>
  <c r="G1003" i="2"/>
  <c r="K1003" i="2"/>
  <c r="C1004" i="2"/>
  <c r="G1004" i="2"/>
  <c r="K1004" i="2" s="1"/>
  <c r="C1005" i="2"/>
  <c r="E1045" i="2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/>
  <c r="G1012" i="2"/>
  <c r="K1012" i="2" s="1"/>
  <c r="G1013" i="2"/>
  <c r="K1013" i="2" s="1"/>
  <c r="G1014" i="2"/>
  <c r="K1014" i="2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 s="1"/>
  <c r="G1029" i="2"/>
  <c r="K1029" i="2" s="1"/>
  <c r="G1030" i="2"/>
  <c r="K1030" i="2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 s="1"/>
  <c r="F1045" i="2"/>
  <c r="I1045" i="2"/>
  <c r="AI1045" i="2" l="1"/>
  <c r="AE1045" i="2"/>
  <c r="S1004" i="2"/>
  <c r="W1004" i="2" s="1"/>
  <c r="S1002" i="2"/>
  <c r="K1005" i="2"/>
  <c r="K1045" i="2" s="1"/>
  <c r="D1045" i="2"/>
  <c r="G1045" i="2"/>
  <c r="AB953" i="2"/>
  <c r="AE953" i="2" s="1"/>
  <c r="AI953" i="2" s="1"/>
  <c r="AB952" i="2"/>
  <c r="AE952" i="2" s="1"/>
  <c r="AI952" i="2" s="1"/>
  <c r="AC951" i="2"/>
  <c r="AE951" i="2" s="1"/>
  <c r="AI951" i="2" s="1"/>
  <c r="AB951" i="2"/>
  <c r="AC950" i="2"/>
  <c r="AB950" i="2"/>
  <c r="AE950" i="2" s="1"/>
  <c r="AI950" i="2" s="1"/>
  <c r="AB949" i="2"/>
  <c r="AG948" i="2"/>
  <c r="AG990" i="2" s="1"/>
  <c r="AB948" i="2"/>
  <c r="AC947" i="2"/>
  <c r="AB947" i="2"/>
  <c r="AA949" i="2"/>
  <c r="AA950" i="2" s="1"/>
  <c r="AA951" i="2" s="1"/>
  <c r="AA952" i="2" s="1"/>
  <c r="AA953" i="2" s="1"/>
  <c r="AA948" i="2"/>
  <c r="AE948" i="2"/>
  <c r="AI948" i="2" s="1"/>
  <c r="AE949" i="2"/>
  <c r="AI949" i="2"/>
  <c r="AE954" i="2"/>
  <c r="AI954" i="2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/>
  <c r="AE962" i="2"/>
  <c r="AI962" i="2" s="1"/>
  <c r="AE963" i="2"/>
  <c r="AI963" i="2"/>
  <c r="AE964" i="2"/>
  <c r="AI964" i="2" s="1"/>
  <c r="AE965" i="2"/>
  <c r="AI965" i="2"/>
  <c r="AE966" i="2"/>
  <c r="AI966" i="2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 s="1"/>
  <c r="AE973" i="2"/>
  <c r="AI973" i="2"/>
  <c r="AE974" i="2"/>
  <c r="AI974" i="2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 s="1"/>
  <c r="AE981" i="2"/>
  <c r="AI981" i="2"/>
  <c r="AE982" i="2"/>
  <c r="AI982" i="2"/>
  <c r="AE983" i="2"/>
  <c r="AI983" i="2"/>
  <c r="AE984" i="2"/>
  <c r="AI984" i="2"/>
  <c r="AE985" i="2"/>
  <c r="AI985" i="2"/>
  <c r="AI986" i="2"/>
  <c r="AE987" i="2"/>
  <c r="AI987" i="2" s="1"/>
  <c r="AI988" i="2"/>
  <c r="AD990" i="2"/>
  <c r="AH990" i="2"/>
  <c r="J950" i="2"/>
  <c r="J990" i="2" s="1"/>
  <c r="E950" i="2"/>
  <c r="D950" i="2"/>
  <c r="D949" i="2"/>
  <c r="G949" i="2" s="1"/>
  <c r="K949" i="2" s="1"/>
  <c r="D948" i="2"/>
  <c r="D947" i="2"/>
  <c r="G947" i="2" s="1"/>
  <c r="I990" i="2"/>
  <c r="F990" i="2"/>
  <c r="E990" i="2"/>
  <c r="G987" i="2"/>
  <c r="K987" i="2" s="1"/>
  <c r="G980" i="2"/>
  <c r="K980" i="2" s="1"/>
  <c r="G979" i="2"/>
  <c r="K979" i="2" s="1"/>
  <c r="K978" i="2"/>
  <c r="G978" i="2"/>
  <c r="K977" i="2"/>
  <c r="G977" i="2"/>
  <c r="G976" i="2"/>
  <c r="K976" i="2" s="1"/>
  <c r="G975" i="2"/>
  <c r="K975" i="2" s="1"/>
  <c r="G974" i="2"/>
  <c r="K974" i="2" s="1"/>
  <c r="G973" i="2"/>
  <c r="K973" i="2" s="1"/>
  <c r="G972" i="2"/>
  <c r="K972" i="2" s="1"/>
  <c r="G971" i="2"/>
  <c r="K971" i="2" s="1"/>
  <c r="K970" i="2"/>
  <c r="G970" i="2"/>
  <c r="K969" i="2"/>
  <c r="G969" i="2"/>
  <c r="G968" i="2"/>
  <c r="K968" i="2" s="1"/>
  <c r="G967" i="2"/>
  <c r="K967" i="2" s="1"/>
  <c r="G966" i="2"/>
  <c r="K966" i="2" s="1"/>
  <c r="G965" i="2"/>
  <c r="K965" i="2" s="1"/>
  <c r="G964" i="2"/>
  <c r="K964" i="2" s="1"/>
  <c r="G963" i="2"/>
  <c r="K963" i="2" s="1"/>
  <c r="K962" i="2"/>
  <c r="G962" i="2"/>
  <c r="G961" i="2"/>
  <c r="K961" i="2" s="1"/>
  <c r="G960" i="2"/>
  <c r="K960" i="2" s="1"/>
  <c r="G959" i="2"/>
  <c r="K959" i="2" s="1"/>
  <c r="G958" i="2"/>
  <c r="K958" i="2" s="1"/>
  <c r="G957" i="2"/>
  <c r="K957" i="2" s="1"/>
  <c r="G956" i="2"/>
  <c r="K956" i="2" s="1"/>
  <c r="G955" i="2"/>
  <c r="K955" i="2" s="1"/>
  <c r="G954" i="2"/>
  <c r="K954" i="2" s="1"/>
  <c r="G953" i="2"/>
  <c r="K953" i="2" s="1"/>
  <c r="G952" i="2"/>
  <c r="K952" i="2" s="1"/>
  <c r="G951" i="2"/>
  <c r="K951" i="2" s="1"/>
  <c r="G950" i="2"/>
  <c r="G948" i="2"/>
  <c r="K948" i="2" s="1"/>
  <c r="C948" i="2"/>
  <c r="C949" i="2" s="1"/>
  <c r="C950" i="2" s="1"/>
  <c r="W1002" i="2" l="1"/>
  <c r="W1045" i="2" s="1"/>
  <c r="S1045" i="2"/>
  <c r="AC990" i="2"/>
  <c r="AB990" i="2"/>
  <c r="AE947" i="2"/>
  <c r="AI947" i="2" s="1"/>
  <c r="AI990" i="2" s="1"/>
  <c r="K950" i="2"/>
  <c r="D990" i="2"/>
  <c r="G990" i="2"/>
  <c r="K947" i="2"/>
  <c r="K990" i="2" s="1"/>
  <c r="AB900" i="2"/>
  <c r="AB899" i="2"/>
  <c r="AE899" i="2" s="1"/>
  <c r="AI899" i="2" s="1"/>
  <c r="AB898" i="2"/>
  <c r="AB897" i="2"/>
  <c r="AE897" i="2" s="1"/>
  <c r="AI897" i="2" s="1"/>
  <c r="AC896" i="2"/>
  <c r="AC935" i="2" s="1"/>
  <c r="AB896" i="2"/>
  <c r="AB895" i="2"/>
  <c r="AE895" i="2" s="1"/>
  <c r="AI895" i="2" s="1"/>
  <c r="AB894" i="2"/>
  <c r="AB893" i="2"/>
  <c r="AG892" i="2"/>
  <c r="AG935" i="2" s="1"/>
  <c r="AB892" i="2"/>
  <c r="AE892" i="2"/>
  <c r="AI892" i="2" s="1"/>
  <c r="AA893" i="2"/>
  <c r="AA895" i="2" s="1"/>
  <c r="AA896" i="2" s="1"/>
  <c r="AA897" i="2" s="1"/>
  <c r="AA898" i="2" s="1"/>
  <c r="AA899" i="2" s="1"/>
  <c r="AA900" i="2" s="1"/>
  <c r="AE894" i="2"/>
  <c r="AI894" i="2"/>
  <c r="AE898" i="2"/>
  <c r="AI898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AH935" i="2"/>
  <c r="P898" i="2"/>
  <c r="S898" i="2" s="1"/>
  <c r="W898" i="2" s="1"/>
  <c r="P897" i="2"/>
  <c r="P935" i="2" s="1"/>
  <c r="P896" i="2"/>
  <c r="Q895" i="2"/>
  <c r="P895" i="2"/>
  <c r="V894" i="2"/>
  <c r="P894" i="2"/>
  <c r="P893" i="2"/>
  <c r="P892" i="2"/>
  <c r="O898" i="2"/>
  <c r="S892" i="2"/>
  <c r="Q935" i="2"/>
  <c r="U935" i="2"/>
  <c r="O893" i="2"/>
  <c r="S893" i="2"/>
  <c r="W893" i="2" s="1"/>
  <c r="O894" i="2"/>
  <c r="O895" i="2" s="1"/>
  <c r="O896" i="2" s="1"/>
  <c r="O897" i="2" s="1"/>
  <c r="S894" i="2"/>
  <c r="W894" i="2" s="1"/>
  <c r="S895" i="2"/>
  <c r="W895" i="2" s="1"/>
  <c r="S896" i="2"/>
  <c r="W896" i="2" s="1"/>
  <c r="S899" i="2"/>
  <c r="W899" i="2"/>
  <c r="S900" i="2"/>
  <c r="W900" i="2"/>
  <c r="S901" i="2"/>
  <c r="W901" i="2" s="1"/>
  <c r="S902" i="2"/>
  <c r="W902" i="2"/>
  <c r="S903" i="2"/>
  <c r="W903" i="2"/>
  <c r="S904" i="2"/>
  <c r="W904" i="2"/>
  <c r="S905" i="2"/>
  <c r="W905" i="2"/>
  <c r="S906" i="2"/>
  <c r="W906" i="2" s="1"/>
  <c r="S907" i="2"/>
  <c r="W907" i="2"/>
  <c r="S908" i="2"/>
  <c r="W908" i="2"/>
  <c r="S909" i="2"/>
  <c r="W909" i="2" s="1"/>
  <c r="S910" i="2"/>
  <c r="W910" i="2"/>
  <c r="S911" i="2"/>
  <c r="W911" i="2"/>
  <c r="S912" i="2"/>
  <c r="W912" i="2"/>
  <c r="S913" i="2"/>
  <c r="W913" i="2"/>
  <c r="S914" i="2"/>
  <c r="W914" i="2" s="1"/>
  <c r="S915" i="2"/>
  <c r="W915" i="2"/>
  <c r="S916" i="2"/>
  <c r="W916" i="2"/>
  <c r="S917" i="2"/>
  <c r="W917" i="2" s="1"/>
  <c r="S918" i="2"/>
  <c r="W918" i="2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 s="1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V935" i="2"/>
  <c r="AE990" i="2" l="1"/>
  <c r="AE896" i="2"/>
  <c r="AI896" i="2" s="1"/>
  <c r="AB935" i="2"/>
  <c r="AE893" i="2"/>
  <c r="AI893" i="2"/>
  <c r="AI935" i="2" s="1"/>
  <c r="AE935" i="2"/>
  <c r="S897" i="2"/>
  <c r="W897" i="2" s="1"/>
  <c r="W892" i="2"/>
  <c r="S935" i="2"/>
  <c r="AG845" i="2"/>
  <c r="AB845" i="2"/>
  <c r="AC844" i="2"/>
  <c r="AC880" i="2" s="1"/>
  <c r="AB844" i="2"/>
  <c r="AB843" i="2"/>
  <c r="AE843" i="2" s="1"/>
  <c r="AI843" i="2" s="1"/>
  <c r="AH842" i="2"/>
  <c r="AH880" i="2" s="1"/>
  <c r="AB842" i="2"/>
  <c r="AB841" i="2"/>
  <c r="AB840" i="2"/>
  <c r="AE840" i="2" s="1"/>
  <c r="AI840" i="2" s="1"/>
  <c r="AB839" i="2"/>
  <c r="AE839" i="2" s="1"/>
  <c r="AI839" i="2" s="1"/>
  <c r="AB838" i="2"/>
  <c r="AB837" i="2"/>
  <c r="AE837" i="2"/>
  <c r="AA838" i="2"/>
  <c r="AA839" i="2" s="1"/>
  <c r="AA840" i="2" s="1"/>
  <c r="AA841" i="2" s="1"/>
  <c r="AA842" i="2" s="1"/>
  <c r="AA843" i="2" s="1"/>
  <c r="AA844" i="2" s="1"/>
  <c r="AA845" i="2" s="1"/>
  <c r="AE838" i="2"/>
  <c r="AI838" i="2" s="1"/>
  <c r="AE841" i="2"/>
  <c r="AI841" i="2"/>
  <c r="AE842" i="2"/>
  <c r="AE844" i="2"/>
  <c r="AI844" i="2" s="1"/>
  <c r="AE845" i="2"/>
  <c r="AI845" i="2"/>
  <c r="AE846" i="2"/>
  <c r="AI846" i="2" s="1"/>
  <c r="AE847" i="2"/>
  <c r="AI847" i="2" s="1"/>
  <c r="AE848" i="2"/>
  <c r="AI848" i="2" s="1"/>
  <c r="AE849" i="2"/>
  <c r="AI849" i="2"/>
  <c r="AE850" i="2"/>
  <c r="AI850" i="2"/>
  <c r="AE851" i="2"/>
  <c r="AI851" i="2"/>
  <c r="AE852" i="2"/>
  <c r="AI852" i="2" s="1"/>
  <c r="AE853" i="2"/>
  <c r="AI853" i="2"/>
  <c r="AE854" i="2"/>
  <c r="AI854" i="2"/>
  <c r="AE855" i="2"/>
  <c r="AI855" i="2"/>
  <c r="AE856" i="2"/>
  <c r="AI856" i="2" s="1"/>
  <c r="AE857" i="2"/>
  <c r="AI857" i="2" s="1"/>
  <c r="AE858" i="2"/>
  <c r="AI858" i="2"/>
  <c r="AE859" i="2"/>
  <c r="AI859" i="2"/>
  <c r="AE860" i="2"/>
  <c r="AI860" i="2" s="1"/>
  <c r="AE861" i="2"/>
  <c r="AI861" i="2"/>
  <c r="AE862" i="2"/>
  <c r="AI862" i="2"/>
  <c r="AE863" i="2"/>
  <c r="AI863" i="2"/>
  <c r="AE864" i="2"/>
  <c r="AI864" i="2" s="1"/>
  <c r="AE865" i="2"/>
  <c r="AI865" i="2" s="1"/>
  <c r="AE866" i="2"/>
  <c r="AI866" i="2"/>
  <c r="AE867" i="2"/>
  <c r="AI867" i="2"/>
  <c r="AE868" i="2"/>
  <c r="AI868" i="2" s="1"/>
  <c r="AE869" i="2"/>
  <c r="AI869" i="2"/>
  <c r="AE870" i="2"/>
  <c r="AI870" i="2"/>
  <c r="AE871" i="2"/>
  <c r="AI871" i="2"/>
  <c r="AE872" i="2"/>
  <c r="AI872" i="2" s="1"/>
  <c r="AE873" i="2"/>
  <c r="AI873" i="2" s="1"/>
  <c r="AE874" i="2"/>
  <c r="AI874" i="2"/>
  <c r="AE875" i="2"/>
  <c r="AI875" i="2"/>
  <c r="AI876" i="2"/>
  <c r="AE877" i="2"/>
  <c r="AI877" i="2" s="1"/>
  <c r="AI878" i="2"/>
  <c r="AD880" i="2"/>
  <c r="AG880" i="2"/>
  <c r="P842" i="2"/>
  <c r="S842" i="2" s="1"/>
  <c r="W842" i="2" s="1"/>
  <c r="P841" i="2"/>
  <c r="S841" i="2" s="1"/>
  <c r="W841" i="2" s="1"/>
  <c r="Q840" i="2"/>
  <c r="S840" i="2" s="1"/>
  <c r="W840" i="2" s="1"/>
  <c r="P840" i="2"/>
  <c r="U839" i="2"/>
  <c r="U880" i="2" s="1"/>
  <c r="P839" i="2"/>
  <c r="S839" i="2" s="1"/>
  <c r="P838" i="2"/>
  <c r="U837" i="2"/>
  <c r="P837" i="2"/>
  <c r="Q837" i="2"/>
  <c r="Q880" i="2" s="1"/>
  <c r="O840" i="2"/>
  <c r="O841" i="2" s="1"/>
  <c r="O842" i="2" s="1"/>
  <c r="O838" i="2"/>
  <c r="O839" i="2" s="1"/>
  <c r="S838" i="2"/>
  <c r="W838" i="2" s="1"/>
  <c r="S843" i="2"/>
  <c r="W843" i="2"/>
  <c r="S844" i="2"/>
  <c r="W844" i="2" s="1"/>
  <c r="S845" i="2"/>
  <c r="W845" i="2"/>
  <c r="S846" i="2"/>
  <c r="W846" i="2"/>
  <c r="S847" i="2"/>
  <c r="W847" i="2" s="1"/>
  <c r="S848" i="2"/>
  <c r="W848" i="2"/>
  <c r="S849" i="2"/>
  <c r="W849" i="2"/>
  <c r="S850" i="2"/>
  <c r="W850" i="2" s="1"/>
  <c r="S851" i="2"/>
  <c r="W851" i="2"/>
  <c r="S852" i="2"/>
  <c r="W852" i="2" s="1"/>
  <c r="S853" i="2"/>
  <c r="W853" i="2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R880" i="2"/>
  <c r="V880" i="2"/>
  <c r="D843" i="2"/>
  <c r="G843" i="2" s="1"/>
  <c r="K843" i="2" s="1"/>
  <c r="D842" i="2"/>
  <c r="G842" i="2" s="1"/>
  <c r="K842" i="2" s="1"/>
  <c r="D841" i="2"/>
  <c r="D840" i="2"/>
  <c r="G840" i="2" s="1"/>
  <c r="K840" i="2" s="1"/>
  <c r="D839" i="2"/>
  <c r="D838" i="2"/>
  <c r="D837" i="2"/>
  <c r="G837" i="2" s="1"/>
  <c r="C838" i="2"/>
  <c r="C839" i="2" s="1"/>
  <c r="C840" i="2" s="1"/>
  <c r="C841" i="2" s="1"/>
  <c r="C842" i="2" s="1"/>
  <c r="C843" i="2" s="1"/>
  <c r="G838" i="2"/>
  <c r="K838" i="2" s="1"/>
  <c r="G839" i="2"/>
  <c r="K839" i="2" s="1"/>
  <c r="G841" i="2"/>
  <c r="K841" i="2" s="1"/>
  <c r="G844" i="2"/>
  <c r="K844" i="2"/>
  <c r="G845" i="2"/>
  <c r="K845" i="2" s="1"/>
  <c r="G846" i="2"/>
  <c r="K846" i="2" s="1"/>
  <c r="G847" i="2"/>
  <c r="K847" i="2" s="1"/>
  <c r="G848" i="2"/>
  <c r="K848" i="2"/>
  <c r="G849" i="2"/>
  <c r="K849" i="2"/>
  <c r="G850" i="2"/>
  <c r="K850" i="2" s="1"/>
  <c r="G851" i="2"/>
  <c r="K851" i="2" s="1"/>
  <c r="G852" i="2"/>
  <c r="K852" i="2" s="1"/>
  <c r="G853" i="2"/>
  <c r="K853" i="2" s="1"/>
  <c r="G854" i="2"/>
  <c r="K854" i="2" s="1"/>
  <c r="G855" i="2"/>
  <c r="K855" i="2"/>
  <c r="G856" i="2"/>
  <c r="K856" i="2"/>
  <c r="G857" i="2"/>
  <c r="K857" i="2"/>
  <c r="G858" i="2"/>
  <c r="K858" i="2" s="1"/>
  <c r="G859" i="2"/>
  <c r="K859" i="2" s="1"/>
  <c r="G860" i="2"/>
  <c r="K860" i="2" s="1"/>
  <c r="G861" i="2"/>
  <c r="K861" i="2" s="1"/>
  <c r="G862" i="2"/>
  <c r="K862" i="2" s="1"/>
  <c r="G863" i="2"/>
  <c r="K863" i="2"/>
  <c r="G864" i="2"/>
  <c r="K864" i="2"/>
  <c r="G865" i="2"/>
  <c r="K865" i="2"/>
  <c r="G866" i="2"/>
  <c r="K866" i="2" s="1"/>
  <c r="G867" i="2"/>
  <c r="K867" i="2" s="1"/>
  <c r="G868" i="2"/>
  <c r="K868" i="2" s="1"/>
  <c r="G869" i="2"/>
  <c r="K869" i="2" s="1"/>
  <c r="G870" i="2"/>
  <c r="K870" i="2" s="1"/>
  <c r="G877" i="2"/>
  <c r="K877" i="2"/>
  <c r="E880" i="2"/>
  <c r="F880" i="2"/>
  <c r="I880" i="2"/>
  <c r="J880" i="2"/>
  <c r="W935" i="2" l="1"/>
  <c r="AI842" i="2"/>
  <c r="AB880" i="2"/>
  <c r="AI837" i="2"/>
  <c r="AE880" i="2"/>
  <c r="W839" i="2"/>
  <c r="S837" i="2"/>
  <c r="W837" i="2"/>
  <c r="W880" i="2" s="1"/>
  <c r="S880" i="2"/>
  <c r="P880" i="2"/>
  <c r="D880" i="2"/>
  <c r="K837" i="2"/>
  <c r="K880" i="2" s="1"/>
  <c r="G880" i="2"/>
  <c r="AB792" i="2"/>
  <c r="AB791" i="2"/>
  <c r="AE791" i="2" s="1"/>
  <c r="AI791" i="2" s="1"/>
  <c r="AB790" i="2"/>
  <c r="AE790" i="2" s="1"/>
  <c r="AI790" i="2" s="1"/>
  <c r="AB789" i="2"/>
  <c r="AB788" i="2"/>
  <c r="AE788" i="2" s="1"/>
  <c r="AI788" i="2" s="1"/>
  <c r="AC787" i="2"/>
  <c r="AB787" i="2"/>
  <c r="AB786" i="2"/>
  <c r="AE786" i="2" s="1"/>
  <c r="AI786" i="2" s="1"/>
  <c r="AB785" i="2"/>
  <c r="AE785" i="2" s="1"/>
  <c r="AI785" i="2" s="1"/>
  <c r="AG784" i="2"/>
  <c r="AG825" i="2" s="1"/>
  <c r="AB784" i="2"/>
  <c r="AC783" i="2"/>
  <c r="AB783" i="2"/>
  <c r="AC782" i="2"/>
  <c r="AB782" i="2"/>
  <c r="AE782" i="2" s="1"/>
  <c r="AI782" i="2" s="1"/>
  <c r="AA787" i="2"/>
  <c r="AA788" i="2" s="1"/>
  <c r="AA789" i="2" s="1"/>
  <c r="AA790" i="2" s="1"/>
  <c r="AA791" i="2" s="1"/>
  <c r="AA792" i="2" s="1"/>
  <c r="AA783" i="2"/>
  <c r="AA784" i="2" s="1"/>
  <c r="AA785" i="2" s="1"/>
  <c r="AA786" i="2" s="1"/>
  <c r="AE783" i="2"/>
  <c r="AI783" i="2" s="1"/>
  <c r="AE784" i="2"/>
  <c r="AE789" i="2"/>
  <c r="AI789" i="2" s="1"/>
  <c r="AE792" i="2"/>
  <c r="AI792" i="2"/>
  <c r="AE793" i="2"/>
  <c r="AI793" i="2"/>
  <c r="AE794" i="2"/>
  <c r="AI794" i="2" s="1"/>
  <c r="AE795" i="2"/>
  <c r="AI795" i="2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 s="1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/>
  <c r="AE809" i="2"/>
  <c r="AI809" i="2"/>
  <c r="AE810" i="2"/>
  <c r="AI810" i="2" s="1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D825" i="2"/>
  <c r="AH825" i="2"/>
  <c r="P784" i="2"/>
  <c r="Q783" i="2"/>
  <c r="P783" i="2"/>
  <c r="P782" i="2"/>
  <c r="S782" i="2" s="1"/>
  <c r="O783" i="2"/>
  <c r="O784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/>
  <c r="S792" i="2"/>
  <c r="W792" i="2" s="1"/>
  <c r="S793" i="2"/>
  <c r="W793" i="2"/>
  <c r="S794" i="2"/>
  <c r="W794" i="2"/>
  <c r="S795" i="2"/>
  <c r="W795" i="2"/>
  <c r="S796" i="2"/>
  <c r="W796" i="2" s="1"/>
  <c r="S797" i="2"/>
  <c r="W797" i="2"/>
  <c r="S798" i="2"/>
  <c r="W798" i="2" s="1"/>
  <c r="S799" i="2"/>
  <c r="W799" i="2"/>
  <c r="S800" i="2"/>
  <c r="W800" i="2" s="1"/>
  <c r="S801" i="2"/>
  <c r="W801" i="2"/>
  <c r="S802" i="2"/>
  <c r="W802" i="2"/>
  <c r="S803" i="2"/>
  <c r="W803" i="2"/>
  <c r="S804" i="2"/>
  <c r="W804" i="2" s="1"/>
  <c r="S805" i="2"/>
  <c r="W805" i="2"/>
  <c r="S806" i="2"/>
  <c r="W806" i="2" s="1"/>
  <c r="S807" i="2"/>
  <c r="W807" i="2"/>
  <c r="S808" i="2"/>
  <c r="W808" i="2" s="1"/>
  <c r="S809" i="2"/>
  <c r="W809" i="2"/>
  <c r="S810" i="2"/>
  <c r="W810" i="2"/>
  <c r="S811" i="2"/>
  <c r="W811" i="2"/>
  <c r="S812" i="2"/>
  <c r="W812" i="2" s="1"/>
  <c r="S813" i="2"/>
  <c r="W813" i="2"/>
  <c r="S814" i="2"/>
  <c r="W814" i="2" s="1"/>
  <c r="S815" i="2"/>
  <c r="W815" i="2"/>
  <c r="S816" i="2"/>
  <c r="W816" i="2" s="1"/>
  <c r="S817" i="2"/>
  <c r="W817" i="2"/>
  <c r="S818" i="2"/>
  <c r="W818" i="2"/>
  <c r="S819" i="2"/>
  <c r="W819" i="2"/>
  <c r="S820" i="2"/>
  <c r="W820" i="2" s="1"/>
  <c r="W821" i="2"/>
  <c r="S822" i="2"/>
  <c r="W822" i="2"/>
  <c r="W823" i="2"/>
  <c r="Q825" i="2"/>
  <c r="R825" i="2"/>
  <c r="U825" i="2"/>
  <c r="V825" i="2"/>
  <c r="D792" i="2"/>
  <c r="G792" i="2" s="1"/>
  <c r="K792" i="2" s="1"/>
  <c r="D791" i="2"/>
  <c r="D790" i="2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D784" i="2"/>
  <c r="G784" i="2" s="1"/>
  <c r="K784" i="2" s="1"/>
  <c r="D783" i="2"/>
  <c r="G783" i="2" s="1"/>
  <c r="K783" i="2" s="1"/>
  <c r="D782" i="2"/>
  <c r="G782" i="2" s="1"/>
  <c r="C787" i="2"/>
  <c r="C788" i="2" s="1"/>
  <c r="C789" i="2" s="1"/>
  <c r="C790" i="2" s="1"/>
  <c r="C791" i="2" s="1"/>
  <c r="C792" i="2" s="1"/>
  <c r="C783" i="2"/>
  <c r="C784" i="2" s="1"/>
  <c r="C785" i="2" s="1"/>
  <c r="C786" i="2" s="1"/>
  <c r="G785" i="2"/>
  <c r="K785" i="2" s="1"/>
  <c r="I825" i="2"/>
  <c r="J825" i="2"/>
  <c r="G790" i="2"/>
  <c r="K790" i="2" s="1"/>
  <c r="G791" i="2"/>
  <c r="K791" i="2" s="1"/>
  <c r="G793" i="2"/>
  <c r="K793" i="2"/>
  <c r="G794" i="2"/>
  <c r="K794" i="2"/>
  <c r="G795" i="2"/>
  <c r="K795" i="2"/>
  <c r="G796" i="2"/>
  <c r="K796" i="2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 s="1"/>
  <c r="G807" i="2"/>
  <c r="K807" i="2" s="1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 s="1"/>
  <c r="G822" i="2"/>
  <c r="K822" i="2"/>
  <c r="E825" i="2"/>
  <c r="F825" i="2"/>
  <c r="AI880" i="2" l="1"/>
  <c r="AE787" i="2"/>
  <c r="AI787" i="2" s="1"/>
  <c r="AI825" i="2" s="1"/>
  <c r="AC825" i="2"/>
  <c r="AI784" i="2"/>
  <c r="AB825" i="2"/>
  <c r="S783" i="2"/>
  <c r="W783" i="2" s="1"/>
  <c r="W782" i="2"/>
  <c r="S825" i="2"/>
  <c r="P825" i="2"/>
  <c r="D825" i="2"/>
  <c r="G825" i="2"/>
  <c r="K782" i="2"/>
  <c r="K825" i="2" s="1"/>
  <c r="AB727" i="2"/>
  <c r="AE825" i="2" l="1"/>
  <c r="W825" i="2"/>
  <c r="AB731" i="2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D37" i="1" s="1"/>
  <c r="J38" i="1"/>
  <c r="J39" i="1"/>
  <c r="J40" i="1"/>
  <c r="J30" i="1"/>
  <c r="D30" i="1" s="1"/>
  <c r="J31" i="1"/>
  <c r="D31" i="1" s="1"/>
  <c r="J32" i="1"/>
  <c r="D32" i="1" s="1"/>
  <c r="J33" i="1"/>
  <c r="D33" i="1" s="1"/>
  <c r="J34" i="1"/>
  <c r="D38" i="1"/>
  <c r="D39" i="1"/>
  <c r="A38" i="1" l="1"/>
  <c r="A39" i="1"/>
  <c r="AA13" i="2" l="1"/>
  <c r="J36" i="1" l="1"/>
  <c r="D36" i="1" s="1"/>
  <c r="J27" i="1"/>
  <c r="J29" i="1"/>
  <c r="J22" i="1"/>
  <c r="D22" i="1" s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F33" authorId="0" shapeId="0" xr:uid="{7E8C78CB-FAA1-4B83-AB94-1F8694DA9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6" authorId="0" shapeId="0" xr:uid="{D8213F7F-D081-4757-A744-414424595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2" authorId="0" shapeId="0" xr:uid="{61FA044E-E6B9-4D90-9270-335925B72B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782" authorId="0" shapeId="0" xr:uid="{1BB69AE8-754C-4041-8D92-97C1E6EDB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ROSCA STORE
MANDIH, SINDANGAN</t>
        </r>
      </text>
    </comment>
    <comment ref="AA782" authorId="0" shapeId="0" xr:uid="{9EB3F8D6-84E3-4EAC-B2DB-AFBE1ABC8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3" authorId="0" shapeId="0" xr:uid="{F14A5E23-C7C0-47CC-96F7-B154079209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783" authorId="0" shapeId="0" xr:uid="{366C71DB-F2C7-4DB4-9C97-A19EDB368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3" authorId="0" shapeId="0" xr:uid="{384155DF-21E9-4404-9F0C-1D65B7CC1E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784" authorId="0" shapeId="0" xr:uid="{F167716E-F92E-4EF0-BC73-76DCA7033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JESIEL
POB, SIAYAN</t>
        </r>
      </text>
    </comment>
    <comment ref="O784" authorId="0" shapeId="0" xr:uid="{BE93C95D-FB57-457A-8741-D11FC97481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842EF3D2-3FFA-44D5-BAAE-DE67632FB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785" authorId="0" shapeId="0" xr:uid="{9391D0F6-2FE6-4347-AF45-9E37BED3F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785" authorId="0" shapeId="0" xr:uid="{FD9348AA-A98C-4752-96B4-F9004E7E0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 EAST, SALUG</t>
        </r>
      </text>
    </comment>
    <comment ref="C786" authorId="0" shapeId="0" xr:uid="{AF79F6B1-FE74-449A-9D09-839F2292E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LEOMAR HUNDO
DAGAO, SIAYAN</t>
        </r>
      </text>
    </comment>
    <comment ref="AA786" authorId="0" shapeId="0" xr:uid="{CFD105AD-2781-4758-BE42-0944C4B2A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</t>
        </r>
      </text>
    </comment>
    <comment ref="C787" authorId="0" shapeId="0" xr:uid="{A4365A41-05BA-4B94-BECF-6D19AD604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AZUSINA
DAGAO, SIAYAN</t>
        </r>
      </text>
    </comment>
    <comment ref="AA787" authorId="0" shapeId="0" xr:uid="{57FD16F5-F3F6-4118-865F-D14B5DF92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788" authorId="0" shapeId="0" xr:uid="{E671020E-65C4-4044-A66A-131583193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788" authorId="0" shapeId="0" xr:uid="{0CCC53B9-9983-4781-B6FF-DE9F7BCE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789" authorId="0" shapeId="0" xr:uid="{92CCC07C-9E5B-4C7C-8CBF-85F895BE5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 FERLINDA
DENOYAN, SIAYAN</t>
        </r>
      </text>
    </comment>
    <comment ref="AA789" authorId="0" shapeId="0" xr:uid="{5538D1C0-72CF-485D-89DE-3517F31C0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90" authorId="0" shapeId="0" xr:uid="{4F160B8A-123F-408B-9483-04A37B592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AA790" authorId="0" shapeId="0" xr:uid="{1E1D9F21-F8A5-4D33-84D1-FF566820D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HAMILI
BACONG, SALUG</t>
        </r>
      </text>
    </comment>
    <comment ref="C791" authorId="0" shapeId="0" xr:uid="{2340D3FA-46C6-4964-8E0B-49537FA651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AA791" authorId="0" shapeId="0" xr:uid="{B974971B-245B-44B0-AA06-84698E41A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92" authorId="0" shapeId="0" xr:uid="{95229C69-5132-4BBD-9AC6-48E6782A9A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AA792" authorId="0" shapeId="0" xr:uid="{89BEF62F-CE78-4270-B22C-BBBFE7AFA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37" authorId="0" shapeId="0" xr:uid="{9358987C-7303-4759-9678-A716A9057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837" authorId="0" shapeId="0" xr:uid="{BF0CC076-AF43-4BD5-88B1-AA18C8AAF0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837" authorId="0" shapeId="0" xr:uid="{9B1BA8BF-5252-4A94-AE3C-F6566B0BAB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838" authorId="0" shapeId="0" xr:uid="{331E4A68-7A19-41E1-8B5C-68E7FCBE1C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38" authorId="0" shapeId="0" xr:uid="{499A09E3-EC8C-49D6-8DF7-00D8FF519B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0F5B666D-AB1E-445D-A8FF-203AE7E5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A09DB19D-E175-4B54-915F-1F759FB00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39" authorId="0" shapeId="0" xr:uid="{1538534F-2F8C-46F8-A84E-F6827F2B05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ANDAHAN DEVINA
UPPER INUMAN, SINDANGAN</t>
        </r>
      </text>
    </comment>
    <comment ref="AA839" authorId="0" shapeId="0" xr:uid="{12A18647-5F1B-487D-BF83-714786466D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40" authorId="0" shapeId="0" xr:uid="{4E90372D-0A40-4CFA-802E-348C9C988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 CRIS
POLAYO, SIAYAN</t>
        </r>
      </text>
    </comment>
    <comment ref="O840" authorId="0" shapeId="0" xr:uid="{24B3E44D-5513-4350-ABF3-8FED27BC6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40" authorId="0" shapeId="0" xr:uid="{3FD19A90-E4C6-49C5-A6E1-C78CC425C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41" authorId="0" shapeId="0" xr:uid="{5177F034-6AB7-497C-A2C8-CBBEE54D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841" authorId="0" shapeId="0" xr:uid="{E85A2C03-DA9E-439E-B11E-DE0782056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841" authorId="0" shapeId="0" xr:uid="{9CEC2A54-934F-496E-BC7E-BD28AD03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MSM STORE
BAYBAY, LILOY</t>
        </r>
      </text>
    </comment>
    <comment ref="C842" authorId="0" shapeId="0" xr:uid="{ED223CC5-8218-4D6D-977D-F791146947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42" authorId="0" shapeId="0" xr:uid="{1AE12E8C-655C-4891-908A-AEBE743AB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842" authorId="0" shapeId="0" xr:uid="{02E07CE1-2A6C-4512-AFE3-FEDBFF049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843" authorId="0" shapeId="0" xr:uid="{99CBEDC0-CCA1-476A-BAD8-88C078366F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843" authorId="0" shapeId="0" xr:uid="{08842C5B-4A36-43EA-B982-06CFB871F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AA844" authorId="0" shapeId="0" xr:uid="{4264F9E9-4F41-4EC1-A785-C80C4D73E4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845" authorId="0" shapeId="0" xr:uid="{3A78F7AC-3700-4AE3-8C39-CB09D9DB8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892" authorId="0" shapeId="0" xr:uid="{472A397C-87AE-4733-859E-A935B1926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ARACELIE
MANDIH, SINDANGAN</t>
        </r>
      </text>
    </comment>
    <comment ref="AA892" authorId="0" shapeId="0" xr:uid="{643895FA-2D30-47AC-ACD9-00F763DBD5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893" authorId="0" shapeId="0" xr:uid="{16B020A4-5090-4412-9942-F87D1332BA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93" authorId="0" shapeId="0" xr:uid="{F85B8BF9-2E52-4077-B5AA-B489FB807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894" authorId="0" shapeId="0" xr:uid="{26707725-D345-4ECC-910E-29F70A52C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4" authorId="0" shapeId="0" xr:uid="{7F4C2B3D-42E7-47E7-AF04-43D4D2551C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895" authorId="0" shapeId="0" xr:uid="{377E4838-D4A7-40E4-8699-E5C3071E2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
MANDIH, SINDANGAN</t>
        </r>
      </text>
    </comment>
    <comment ref="AA895" authorId="0" shapeId="0" xr:uid="{8891E821-0922-4C16-B3DE-ABCA6441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LITO BALBUENA
POB EAST, SALUG</t>
        </r>
      </text>
    </comment>
    <comment ref="O896" authorId="0" shapeId="0" xr:uid="{7812CF74-C500-422F-A960-98849E0F4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896" authorId="0" shapeId="0" xr:uid="{63D6D0BB-A1B7-4A3D-A13A-D77099D343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897" authorId="0" shapeId="0" xr:uid="{45A525EA-D5CC-42DB-B01B-BDF1B5CAE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AA897" authorId="0" shapeId="0" xr:uid="{B54F5888-E34C-4496-8616-137492D80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 EAST, SALUG</t>
        </r>
      </text>
    </comment>
    <comment ref="O898" authorId="0" shapeId="0" xr:uid="{3F1CDE41-A9AE-476F-BD4F-E457F560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AA898" authorId="0" shapeId="0" xr:uid="{7B942ADB-0C59-4804-A914-1A860EC42E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AA899" authorId="0" shapeId="0" xr:uid="{3E72BD7A-371A-4603-82D7-EBC1D4BB8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BOGANOTAN
CARACOL, SALUG</t>
        </r>
      </text>
    </comment>
    <comment ref="AA900" authorId="0" shapeId="0" xr:uid="{9ABFB6DD-D44E-4F50-BC2C-46A01B82E4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CARACOL, SALUG</t>
        </r>
      </text>
    </comment>
    <comment ref="C947" authorId="0" shapeId="0" xr:uid="{92E4AA7C-E4C1-4B06-8340-A2F2D784B8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
GOLEO, SINDANGAN</t>
        </r>
      </text>
    </comment>
    <comment ref="AA947" authorId="0" shapeId="0" xr:uid="{96D926F6-8A4B-4AC0-81FA-F5995EF57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48" authorId="0" shapeId="0" xr:uid="{94E96832-5D11-442F-A3D7-73AE4D46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948" authorId="0" shapeId="0" xr:uid="{53F45130-59B4-4C67-8B5D-9A63302B6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949" authorId="0" shapeId="0" xr:uid="{2F433AC5-DA03-4DA3-A428-900F513F9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949" authorId="0" shapeId="0" xr:uid="{79CB10DD-3C29-49E0-A236-A89D7CC4E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950" authorId="0" shapeId="0" xr:uid="{4D391DC2-D2CA-40C4-880E-EC74F7E721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950" authorId="0" shapeId="0" xr:uid="{DB62E615-E8BF-4045-B3E8-3CD4857F6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951" authorId="0" shapeId="0" xr:uid="{EB80F550-1B56-4EEE-BF7C-FF2DC84AA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2" authorId="0" shapeId="0" xr:uid="{A359178E-FBB5-48E6-A219-4FCA234D2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3" authorId="0" shapeId="0" xr:uid="{F336F3D8-FAD0-41A3-8677-AB6F4A205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02" authorId="0" shapeId="0" xr:uid="{02E8F68C-A703-4393-B28F-053611DA8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1002" authorId="0" shapeId="0" xr:uid="{C0635936-4520-4CEB-90B4-7EB5C288D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1002" authorId="0" shapeId="0" xr:uid="{EA7C92F5-8C0E-46E8-9145-FD411B88C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003" authorId="0" shapeId="0" xr:uid="{3BBBED92-8759-45FA-BD66-3AE206815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003" authorId="0" shapeId="0" xr:uid="{967E95BE-8EB6-4819-9440-04AEFFC310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003" authorId="0" shapeId="0" xr:uid="{5DEA3922-E237-48AE-A08C-45B84ABB0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04" authorId="0" shapeId="0" xr:uid="{107E1084-1C47-44DC-AB01-C3FA45C94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1004" authorId="0" shapeId="0" xr:uid="{6DC55C6B-09E3-48D3-9A4A-9468AD55AA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004" authorId="0" shapeId="0" xr:uid="{E2A408B8-A05D-4AF1-99F3-1C8606780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05" authorId="0" shapeId="0" xr:uid="{86F78676-8832-4D20-99FD-9F3AF52237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
 STORE
POB, SINDANGAN</t>
        </r>
      </text>
    </comment>
    <comment ref="O1005" authorId="0" shapeId="0" xr:uid="{5176E55A-9A57-4B42-8D99-A1C66E83A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MALINAO
POB, BACUNGAN</t>
        </r>
      </text>
    </comment>
    <comment ref="AA1005" authorId="0" shapeId="0" xr:uid="{8193A7A6-044A-4792-93C6-B5D8B6E46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1006" authorId="0" shapeId="0" xr:uid="{A3C5BFA4-5D1A-4B7E-9176-60476018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</commentList>
</comments>
</file>

<file path=xl/sharedStrings.xml><?xml version="1.0" encoding="utf-8"?>
<sst xmlns="http://schemas.openxmlformats.org/spreadsheetml/2006/main" count="1386" uniqueCount="95">
  <si>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</si>
  <si>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</si>
  <si>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</si>
  <si>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</si>
  <si>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</si>
  <si>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</si>
  <si>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</si>
  <si>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</si>
  <si>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</si>
  <si>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</si>
  <si>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</si>
  <si>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</si>
  <si>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</si>
  <si>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</si>
  <si>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</si>
  <si>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</si>
  <si>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</si>
  <si>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</si>
  <si>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</si>
  <si>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</si>
  <si>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</si>
  <si>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</si>
  <si>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</si>
  <si>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</si>
  <si>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</si>
  <si>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</si>
  <si>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</si>
  <si>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</si>
  <si>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</si>
  <si>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</si>
  <si>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</si>
  <si>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</si>
  <si>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</si>
  <si>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</si>
  <si>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</si>
  <si>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</si>
  <si>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</si>
  <si>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</si>
  <si>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</si>
  <si>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</si>
  <si>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</si>
  <si>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</si>
  <si>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</si>
  <si>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</si>
  <si>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</si>
  <si>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</si>
  <si>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</si>
  <si>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</si>
  <si>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</si>
  <si>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</si>
  <si>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</si>
  <si>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</si>
  <si>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</si>
  <si>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</si>
  <si>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</si>
  <si>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</si>
  <si>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</si>
  <si>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</si>
  <si>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</si>
  <si>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</si>
  <si>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</si>
  <si>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</si>
  <si>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</si>
  <si>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</si>
  <si>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</si>
  <si>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</si>
  <si>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</si>
  <si>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</si>
  <si>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</si>
  <si>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</si>
  <si>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</si>
  <si>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</si>
  <si>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</si>
  <si>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</si>
  <si>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</si>
  <si>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</si>
  <si>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</si>
  <si>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</si>
  <si>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</si>
  <si>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</si>
  <si>
    <t>APRIL 22, 2026</t>
  </si>
  <si>
    <t>04/22/2026</t>
  </si>
  <si>
    <t>APRIL 23, 2026</t>
  </si>
  <si>
    <t>04/23/2026</t>
  </si>
  <si>
    <t>10237-10243/10194-10199/10140-10148</t>
  </si>
  <si>
    <t>APRIL 24, 2026</t>
  </si>
  <si>
    <t>04/24/2026</t>
  </si>
  <si>
    <t>10226-10236/10191-10193/10129-10139</t>
  </si>
  <si>
    <t>/10244-10250/10149-10257</t>
  </si>
  <si>
    <t>APRIL 27, 2026</t>
  </si>
  <si>
    <t>04/27/2026</t>
  </si>
  <si>
    <t>10301-10304//10258-10264</t>
  </si>
  <si>
    <t>APRIL 28, 2026</t>
  </si>
  <si>
    <t>04/28/2026</t>
  </si>
  <si>
    <t>10305-10308/10200,10351-10354/10266-10270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</si>
</sst>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38" sqref="F3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1" t="s">
        <v>38</v>
      </c>
      <c r="B6" s="11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3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 t="s">
        <v>87</v>
      </c>
      <c r="D31" s="16">
        <f t="shared" si="3"/>
        <v>732308</v>
      </c>
      <c r="E31" s="14"/>
      <c r="F31" s="14">
        <v>205651.5</v>
      </c>
      <c r="G31" s="14">
        <v>221794</v>
      </c>
      <c r="H31" s="14">
        <v>304862.5</v>
      </c>
      <c r="I31" s="14"/>
      <c r="J31" s="17">
        <f t="shared" si="1"/>
        <v>732308</v>
      </c>
    </row>
    <row r="32" spans="1:10" x14ac:dyDescent="0.25">
      <c r="A32" s="10">
        <f t="shared" si="2"/>
        <v>23</v>
      </c>
      <c r="B32" s="11" t="s">
        <v>30</v>
      </c>
      <c r="C32" s="12" t="s">
        <v>84</v>
      </c>
      <c r="D32" s="16">
        <f t="shared" si="3"/>
        <v>830032</v>
      </c>
      <c r="E32" s="15"/>
      <c r="F32" s="15">
        <v>316675</v>
      </c>
      <c r="G32" s="14">
        <v>244978</v>
      </c>
      <c r="H32" s="14">
        <v>268379</v>
      </c>
      <c r="I32" s="54"/>
      <c r="J32" s="17">
        <f t="shared" si="1"/>
        <v>830032</v>
      </c>
    </row>
    <row r="33" spans="1:10" x14ac:dyDescent="0.25">
      <c r="A33" s="10">
        <f t="shared" si="2"/>
        <v>24</v>
      </c>
      <c r="B33" s="43" t="s">
        <v>4</v>
      </c>
      <c r="C33" s="12" t="s">
        <v>88</v>
      </c>
      <c r="D33" s="16">
        <f t="shared" si="3"/>
        <v>451771</v>
      </c>
      <c r="E33" s="15"/>
      <c r="F33" s="15"/>
      <c r="G33" s="14">
        <v>198530.5</v>
      </c>
      <c r="H33" s="14">
        <v>253240.5</v>
      </c>
      <c r="I33" s="14"/>
      <c r="J33" s="17">
        <f t="shared" si="1"/>
        <v>451771</v>
      </c>
    </row>
    <row r="34" spans="1:10" x14ac:dyDescent="0.25">
      <c r="A34" s="10">
        <f>A33+1</f>
        <v>25</v>
      </c>
      <c r="B34" s="56" t="s">
        <v>5</v>
      </c>
      <c r="C34" s="44" t="s">
        <v>60</v>
      </c>
      <c r="D34" s="55" t="s">
        <v>60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 t="s">
        <v>91</v>
      </c>
      <c r="D36" s="16">
        <f t="shared" ref="D36:D39" si="4">J36</f>
        <v>849461</v>
      </c>
      <c r="E36" s="14"/>
      <c r="F36" s="14">
        <v>453773</v>
      </c>
      <c r="G36" s="14"/>
      <c r="H36" s="14">
        <v>395688</v>
      </c>
      <c r="I36" s="14"/>
      <c r="J36" s="17">
        <f t="shared" si="1"/>
        <v>849461</v>
      </c>
    </row>
    <row r="37" spans="1:10" x14ac:dyDescent="0.25">
      <c r="A37" s="10">
        <f t="shared" si="2"/>
        <v>28</v>
      </c>
      <c r="B37" s="43" t="s">
        <v>8</v>
      </c>
      <c r="C37" s="12" t="s">
        <v>94</v>
      </c>
      <c r="D37" s="16">
        <f t="shared" si="4"/>
        <v>1299383</v>
      </c>
      <c r="E37" s="14"/>
      <c r="F37" s="14">
        <v>327507</v>
      </c>
      <c r="G37" s="14">
        <v>558962</v>
      </c>
      <c r="H37" s="14">
        <v>412914</v>
      </c>
      <c r="I37" s="14"/>
      <c r="J37" s="17">
        <f t="shared" si="1"/>
        <v>1299383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2" t="s">
        <v>10</v>
      </c>
      <c r="B42" s="113"/>
      <c r="C42" s="114"/>
      <c r="D42" s="48">
        <f>SUM(D2:D41)</f>
        <v>18088214.789999999</v>
      </c>
      <c r="J42" s="49">
        <f>SUM(J10:J41)</f>
        <v>18088214.789999999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H988" zoomScale="115" zoomScaleNormal="115" workbookViewId="0">
      <selection activeCell="P1004" sqref="P1004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9" t="s">
        <v>17</v>
      </c>
      <c r="E10" s="119"/>
      <c r="F10" s="75"/>
      <c r="G10" s="27"/>
      <c r="I10" s="117" t="s">
        <v>18</v>
      </c>
      <c r="J10" s="118"/>
      <c r="K10" s="115" t="s">
        <v>19</v>
      </c>
      <c r="N10" s="25"/>
      <c r="O10" s="26"/>
      <c r="P10" s="119" t="s">
        <v>17</v>
      </c>
      <c r="Q10" s="119"/>
      <c r="R10" s="75"/>
      <c r="S10" s="27"/>
      <c r="U10" s="117" t="s">
        <v>18</v>
      </c>
      <c r="V10" s="118"/>
      <c r="W10" s="115" t="s">
        <v>19</v>
      </c>
      <c r="Z10" s="25"/>
      <c r="AA10" s="26"/>
      <c r="AB10" s="119" t="s">
        <v>17</v>
      </c>
      <c r="AC10" s="119"/>
      <c r="AD10" s="75"/>
      <c r="AE10" s="27"/>
      <c r="AG10" s="117" t="s">
        <v>18</v>
      </c>
      <c r="AH10" s="118"/>
      <c r="AI10" s="115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6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9" t="s">
        <v>17</v>
      </c>
      <c r="E65" s="119"/>
      <c r="F65" s="92"/>
      <c r="G65" s="27"/>
      <c r="I65" s="117" t="s">
        <v>18</v>
      </c>
      <c r="J65" s="118"/>
      <c r="K65" s="115" t="s">
        <v>19</v>
      </c>
      <c r="N65" s="25"/>
      <c r="O65" s="26"/>
      <c r="P65" s="119" t="s">
        <v>17</v>
      </c>
      <c r="Q65" s="119"/>
      <c r="R65" s="93"/>
      <c r="S65" s="27"/>
      <c r="U65" s="117" t="s">
        <v>18</v>
      </c>
      <c r="V65" s="118"/>
      <c r="W65" s="115" t="s">
        <v>19</v>
      </c>
      <c r="Z65" s="25"/>
      <c r="AA65" s="26"/>
      <c r="AB65" s="119" t="s">
        <v>17</v>
      </c>
      <c r="AC65" s="119"/>
      <c r="AD65" s="93"/>
      <c r="AE65" s="27"/>
      <c r="AG65" s="117" t="s">
        <v>18</v>
      </c>
      <c r="AH65" s="118"/>
      <c r="AI65" s="11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6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20"/>
      <c r="AO67" s="120"/>
      <c r="AP67" s="86"/>
      <c r="AQ67" s="62"/>
      <c r="AR67" s="120"/>
      <c r="AS67" s="120"/>
      <c r="AT67" s="12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9" t="s">
        <v>17</v>
      </c>
      <c r="E120" s="119"/>
      <c r="F120" s="93"/>
      <c r="G120" s="27"/>
      <c r="I120" s="117" t="s">
        <v>18</v>
      </c>
      <c r="J120" s="118"/>
      <c r="K120" s="115" t="s">
        <v>19</v>
      </c>
      <c r="N120" s="25"/>
      <c r="O120" s="26"/>
      <c r="P120" s="119" t="s">
        <v>17</v>
      </c>
      <c r="Q120" s="119"/>
      <c r="R120" s="93"/>
      <c r="S120" s="27"/>
      <c r="U120" s="117" t="s">
        <v>18</v>
      </c>
      <c r="V120" s="118"/>
      <c r="W120" s="115" t="s">
        <v>19</v>
      </c>
      <c r="Z120" s="25"/>
      <c r="AA120" s="26"/>
      <c r="AB120" s="119" t="s">
        <v>17</v>
      </c>
      <c r="AC120" s="119"/>
      <c r="AD120" s="93"/>
      <c r="AE120" s="27"/>
      <c r="AG120" s="117" t="s">
        <v>18</v>
      </c>
      <c r="AH120" s="118"/>
      <c r="AI120" s="11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9" t="s">
        <v>17</v>
      </c>
      <c r="E175" s="119"/>
      <c r="F175" s="94"/>
      <c r="G175" s="27"/>
      <c r="I175" s="117" t="s">
        <v>18</v>
      </c>
      <c r="J175" s="118"/>
      <c r="K175" s="115" t="s">
        <v>19</v>
      </c>
      <c r="N175" s="25"/>
      <c r="O175" s="26"/>
      <c r="P175" s="119" t="s">
        <v>17</v>
      </c>
      <c r="Q175" s="119"/>
      <c r="R175" s="94"/>
      <c r="S175" s="27"/>
      <c r="U175" s="117" t="s">
        <v>18</v>
      </c>
      <c r="V175" s="118"/>
      <c r="W175" s="115" t="s">
        <v>19</v>
      </c>
      <c r="Z175" s="25"/>
      <c r="AA175" s="26"/>
      <c r="AB175" s="119" t="s">
        <v>17</v>
      </c>
      <c r="AC175" s="119"/>
      <c r="AD175" s="94"/>
      <c r="AE175" s="27"/>
      <c r="AG175" s="117" t="s">
        <v>18</v>
      </c>
      <c r="AH175" s="118"/>
      <c r="AI175" s="115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20"/>
      <c r="AO181" s="120"/>
      <c r="AP181" s="86"/>
      <c r="AQ181" s="62"/>
      <c r="AR181" s="120"/>
      <c r="AS181" s="120"/>
      <c r="AT181" s="12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9" t="s">
        <v>17</v>
      </c>
      <c r="E230" s="119"/>
      <c r="F230" s="95"/>
      <c r="G230" s="27"/>
      <c r="I230" s="117" t="s">
        <v>18</v>
      </c>
      <c r="J230" s="118"/>
      <c r="K230" s="115" t="s">
        <v>19</v>
      </c>
      <c r="N230" s="25"/>
      <c r="O230" s="26"/>
      <c r="P230" s="119" t="s">
        <v>17</v>
      </c>
      <c r="Q230" s="119"/>
      <c r="R230" s="95"/>
      <c r="S230" s="27"/>
      <c r="U230" s="117" t="s">
        <v>18</v>
      </c>
      <c r="V230" s="118"/>
      <c r="W230" s="115" t="s">
        <v>19</v>
      </c>
      <c r="Z230" s="25"/>
      <c r="AA230" s="26"/>
      <c r="AB230" s="119" t="s">
        <v>17</v>
      </c>
      <c r="AC230" s="119"/>
      <c r="AD230" s="95"/>
      <c r="AE230" s="27"/>
      <c r="AG230" s="117" t="s">
        <v>18</v>
      </c>
      <c r="AH230" s="118"/>
      <c r="AI230" s="11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9" t="s">
        <v>17</v>
      </c>
      <c r="E285" s="119"/>
      <c r="F285" s="96"/>
      <c r="G285" s="27"/>
      <c r="I285" s="117" t="s">
        <v>18</v>
      </c>
      <c r="J285" s="118"/>
      <c r="K285" s="115" t="s">
        <v>19</v>
      </c>
      <c r="N285" s="25"/>
      <c r="O285" s="26"/>
      <c r="P285" s="119" t="s">
        <v>17</v>
      </c>
      <c r="Q285" s="119"/>
      <c r="R285" s="96"/>
      <c r="S285" s="27"/>
      <c r="U285" s="117" t="s">
        <v>18</v>
      </c>
      <c r="V285" s="118"/>
      <c r="W285" s="115" t="s">
        <v>19</v>
      </c>
      <c r="Z285" s="25"/>
      <c r="AA285" s="26"/>
      <c r="AB285" s="119" t="s">
        <v>17</v>
      </c>
      <c r="AC285" s="119"/>
      <c r="AD285" s="96"/>
      <c r="AE285" s="27"/>
      <c r="AG285" s="117" t="s">
        <v>18</v>
      </c>
      <c r="AH285" s="118"/>
      <c r="AI285" s="11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9" t="s">
        <v>17</v>
      </c>
      <c r="E340" s="119"/>
      <c r="F340" s="97"/>
      <c r="G340" s="27"/>
      <c r="I340" s="117" t="s">
        <v>18</v>
      </c>
      <c r="J340" s="118"/>
      <c r="K340" s="115" t="s">
        <v>19</v>
      </c>
      <c r="N340" s="25"/>
      <c r="O340" s="26"/>
      <c r="P340" s="119" t="s">
        <v>17</v>
      </c>
      <c r="Q340" s="119"/>
      <c r="R340" s="97"/>
      <c r="S340" s="27"/>
      <c r="U340" s="117" t="s">
        <v>18</v>
      </c>
      <c r="V340" s="118"/>
      <c r="W340" s="115" t="s">
        <v>19</v>
      </c>
      <c r="Y340" s="62"/>
      <c r="Z340" s="65"/>
      <c r="AA340" s="91"/>
      <c r="AB340" s="120"/>
      <c r="AC340" s="120"/>
      <c r="AD340" s="91"/>
      <c r="AE340" s="91"/>
      <c r="AF340" s="62"/>
      <c r="AG340" s="120"/>
      <c r="AH340" s="120"/>
      <c r="AI340" s="121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6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6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21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9" t="s">
        <v>17</v>
      </c>
      <c r="E395" s="119"/>
      <c r="F395" s="98"/>
      <c r="G395" s="27"/>
      <c r="I395" s="117" t="s">
        <v>18</v>
      </c>
      <c r="J395" s="118"/>
      <c r="K395" s="115" t="s">
        <v>19</v>
      </c>
      <c r="N395" s="25"/>
      <c r="O395" s="26"/>
      <c r="P395" s="119" t="s">
        <v>17</v>
      </c>
      <c r="Q395" s="119"/>
      <c r="R395" s="98"/>
      <c r="S395" s="27"/>
      <c r="U395" s="117" t="s">
        <v>18</v>
      </c>
      <c r="V395" s="118"/>
      <c r="W395" s="115" t="s">
        <v>19</v>
      </c>
      <c r="Z395" s="25"/>
      <c r="AA395" s="26"/>
      <c r="AB395" s="119" t="s">
        <v>17</v>
      </c>
      <c r="AC395" s="119"/>
      <c r="AD395" s="98"/>
      <c r="AE395" s="27"/>
      <c r="AG395" s="117" t="s">
        <v>18</v>
      </c>
      <c r="AH395" s="118"/>
      <c r="AI395" s="11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6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9" t="s">
        <v>17</v>
      </c>
      <c r="E450" s="119"/>
      <c r="F450" s="99"/>
      <c r="G450" s="27"/>
      <c r="I450" s="117" t="s">
        <v>18</v>
      </c>
      <c r="J450" s="118"/>
      <c r="K450" s="115" t="s">
        <v>19</v>
      </c>
      <c r="N450" s="25"/>
      <c r="O450" s="26"/>
      <c r="P450" s="119" t="s">
        <v>17</v>
      </c>
      <c r="Q450" s="119"/>
      <c r="R450" s="99"/>
      <c r="S450" s="27"/>
      <c r="U450" s="117" t="s">
        <v>18</v>
      </c>
      <c r="V450" s="118"/>
      <c r="W450" s="115" t="s">
        <v>19</v>
      </c>
      <c r="Z450" s="25"/>
      <c r="AA450" s="26"/>
      <c r="AB450" s="119" t="s">
        <v>17</v>
      </c>
      <c r="AC450" s="119"/>
      <c r="AD450" s="99"/>
      <c r="AE450" s="27"/>
      <c r="AG450" s="117" t="s">
        <v>18</v>
      </c>
      <c r="AH450" s="118"/>
      <c r="AI450" s="11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9" t="s">
        <v>17</v>
      </c>
      <c r="E505" s="119"/>
      <c r="F505" s="100"/>
      <c r="G505" s="27"/>
      <c r="I505" s="117" t="s">
        <v>18</v>
      </c>
      <c r="J505" s="118"/>
      <c r="K505" s="115" t="s">
        <v>19</v>
      </c>
      <c r="N505" s="25"/>
      <c r="O505" s="26"/>
      <c r="P505" s="119" t="s">
        <v>17</v>
      </c>
      <c r="Q505" s="119"/>
      <c r="R505" s="100"/>
      <c r="S505" s="27"/>
      <c r="U505" s="117" t="s">
        <v>18</v>
      </c>
      <c r="V505" s="118"/>
      <c r="W505" s="115" t="s">
        <v>19</v>
      </c>
      <c r="Z505" s="25"/>
      <c r="AA505" s="26"/>
      <c r="AB505" s="119" t="s">
        <v>17</v>
      </c>
      <c r="AC505" s="119"/>
      <c r="AD505" s="100"/>
      <c r="AE505" s="27"/>
      <c r="AG505" s="117" t="s">
        <v>18</v>
      </c>
      <c r="AH505" s="118"/>
      <c r="AI505" s="115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6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6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9" t="s">
        <v>17</v>
      </c>
      <c r="E560" s="119"/>
      <c r="F560" s="101"/>
      <c r="G560" s="27"/>
      <c r="I560" s="117" t="s">
        <v>18</v>
      </c>
      <c r="J560" s="118"/>
      <c r="K560" s="115" t="s">
        <v>19</v>
      </c>
      <c r="N560" s="25"/>
      <c r="O560" s="26"/>
      <c r="P560" s="119" t="s">
        <v>17</v>
      </c>
      <c r="Q560" s="119"/>
      <c r="R560" s="101"/>
      <c r="S560" s="27"/>
      <c r="U560" s="117" t="s">
        <v>18</v>
      </c>
      <c r="V560" s="118"/>
      <c r="W560" s="115" t="s">
        <v>19</v>
      </c>
      <c r="Z560" s="25"/>
      <c r="AA560" s="26"/>
      <c r="AB560" s="119" t="s">
        <v>17</v>
      </c>
      <c r="AC560" s="119"/>
      <c r="AD560" s="101"/>
      <c r="AE560" s="27"/>
      <c r="AG560" s="117" t="s">
        <v>18</v>
      </c>
      <c r="AH560" s="118"/>
      <c r="AI560" s="115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6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6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20"/>
      <c r="E615" s="120"/>
      <c r="F615" s="91"/>
      <c r="G615" s="91"/>
      <c r="H615" s="62"/>
      <c r="I615" s="120"/>
      <c r="J615" s="120"/>
      <c r="K615" s="121"/>
      <c r="N615" s="25"/>
      <c r="O615" s="26"/>
      <c r="P615" s="119" t="s">
        <v>17</v>
      </c>
      <c r="Q615" s="119"/>
      <c r="R615" s="102"/>
      <c r="S615" s="27"/>
      <c r="U615" s="117" t="s">
        <v>18</v>
      </c>
      <c r="V615" s="118"/>
      <c r="W615" s="115" t="s">
        <v>19</v>
      </c>
      <c r="Z615" s="25"/>
      <c r="AA615" s="26"/>
      <c r="AB615" s="119" t="s">
        <v>17</v>
      </c>
      <c r="AC615" s="119"/>
      <c r="AD615" s="102"/>
      <c r="AE615" s="27"/>
      <c r="AG615" s="117" t="s">
        <v>18</v>
      </c>
      <c r="AH615" s="118"/>
      <c r="AI615" s="115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21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6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6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9" t="s">
        <v>17</v>
      </c>
      <c r="E670" s="119"/>
      <c r="F670" s="103"/>
      <c r="G670" s="27"/>
      <c r="I670" s="117" t="s">
        <v>18</v>
      </c>
      <c r="J670" s="118"/>
      <c r="K670" s="115" t="s">
        <v>19</v>
      </c>
      <c r="N670" s="25"/>
      <c r="O670" s="26"/>
      <c r="P670" s="119" t="s">
        <v>17</v>
      </c>
      <c r="Q670" s="119"/>
      <c r="R670" s="103"/>
      <c r="S670" s="27"/>
      <c r="U670" s="117" t="s">
        <v>18</v>
      </c>
      <c r="V670" s="118"/>
      <c r="W670" s="115" t="s">
        <v>19</v>
      </c>
      <c r="Z670" s="25"/>
      <c r="AA670" s="26"/>
      <c r="AB670" s="119" t="s">
        <v>17</v>
      </c>
      <c r="AC670" s="119"/>
      <c r="AD670" s="103"/>
      <c r="AE670" s="27"/>
      <c r="AG670" s="117" t="s">
        <v>18</v>
      </c>
      <c r="AH670" s="118"/>
      <c r="AI670" s="115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6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6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6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9" t="s">
        <v>17</v>
      </c>
      <c r="E725" s="119"/>
      <c r="F725" s="104"/>
      <c r="G725" s="27"/>
      <c r="I725" s="117" t="s">
        <v>18</v>
      </c>
      <c r="J725" s="118"/>
      <c r="K725" s="115" t="s">
        <v>19</v>
      </c>
      <c r="N725" s="25"/>
      <c r="O725" s="26"/>
      <c r="P725" s="119" t="s">
        <v>17</v>
      </c>
      <c r="Q725" s="119"/>
      <c r="R725" s="104"/>
      <c r="S725" s="27"/>
      <c r="U725" s="117" t="s">
        <v>18</v>
      </c>
      <c r="V725" s="118"/>
      <c r="W725" s="115" t="s">
        <v>19</v>
      </c>
      <c r="Z725" s="25"/>
      <c r="AA725" s="26"/>
      <c r="AB725" s="119" t="s">
        <v>17</v>
      </c>
      <c r="AC725" s="119"/>
      <c r="AD725" s="104"/>
      <c r="AE725" s="27"/>
      <c r="AG725" s="117" t="s">
        <v>18</v>
      </c>
      <c r="AH725" s="118"/>
      <c r="AI725" s="115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6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6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6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60" si="217">SUM(D727:E727)</f>
        <v>21860</v>
      </c>
      <c r="H727" s="12"/>
      <c r="I727" s="12"/>
      <c r="J727" s="12"/>
      <c r="K727" s="12">
        <f t="shared" ref="K727:K760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650*50+912*2+1102*2+872+229*2+650*3</f>
        <v>39808</v>
      </c>
      <c r="AC727" s="32">
        <f>-55*6</f>
        <v>-330</v>
      </c>
      <c r="AD727" s="32"/>
      <c r="AE727" s="32">
        <f>SUM(AB727:AC727)</f>
        <v>39478</v>
      </c>
      <c r="AF727" s="12"/>
      <c r="AG727" s="12"/>
      <c r="AH727" s="12"/>
      <c r="AI727" s="12">
        <f>SUM(AE727:AH727)</f>
        <v>39478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65" si="219">SUM(P728:Q728)</f>
        <v>144233</v>
      </c>
      <c r="T728" s="12"/>
      <c r="U728" s="12">
        <v>180</v>
      </c>
      <c r="V728" s="12"/>
      <c r="W728" s="12">
        <f t="shared" ref="W728:W768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0" si="221">SUM(AB728:AC728)</f>
        <v>208052</v>
      </c>
      <c r="AF728" s="12"/>
      <c r="AG728" s="12"/>
      <c r="AH728" s="12"/>
      <c r="AI728" s="12">
        <f t="shared" ref="AI728:AI759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3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36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1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2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65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68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F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377982</v>
      </c>
      <c r="AC770" s="38">
        <f>SUM(AC727:AC751)</f>
        <v>-3156</v>
      </c>
      <c r="AD770" s="38">
        <f>SUM(AD727:AD751)</f>
        <v>0</v>
      </c>
      <c r="AE770" s="38">
        <f>SUM(AE727:AE769)</f>
        <v>374826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374826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37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37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37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9" t="s">
        <v>17</v>
      </c>
      <c r="E780" s="119"/>
      <c r="F780" s="105"/>
      <c r="G780" s="27"/>
      <c r="I780" s="117" t="s">
        <v>18</v>
      </c>
      <c r="J780" s="118"/>
      <c r="K780" s="115" t="s">
        <v>19</v>
      </c>
      <c r="N780" s="25"/>
      <c r="O780" s="26"/>
      <c r="P780" s="119" t="s">
        <v>17</v>
      </c>
      <c r="Q780" s="119"/>
      <c r="R780" s="105"/>
      <c r="S780" s="27"/>
      <c r="U780" s="117" t="s">
        <v>18</v>
      </c>
      <c r="V780" s="118"/>
      <c r="W780" s="115" t="s">
        <v>19</v>
      </c>
      <c r="Z780" s="25"/>
      <c r="AA780" s="26"/>
      <c r="AB780" s="119" t="s">
        <v>17</v>
      </c>
      <c r="AC780" s="119"/>
      <c r="AD780" s="105"/>
      <c r="AE780" s="27"/>
      <c r="AG780" s="117" t="s">
        <v>18</v>
      </c>
      <c r="AH780" s="118"/>
      <c r="AI780" s="115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6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6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6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3">
        <v>10226</v>
      </c>
      <c r="D782" s="32">
        <f>650*15+9.5*15</f>
        <v>9892.5</v>
      </c>
      <c r="E782" s="32"/>
      <c r="F782" s="32"/>
      <c r="G782" s="32">
        <f t="shared" ref="G782:G815" si="234">SUM(D782:E782)</f>
        <v>9892.5</v>
      </c>
      <c r="H782" s="12"/>
      <c r="I782" s="12"/>
      <c r="J782" s="12"/>
      <c r="K782" s="12">
        <f t="shared" ref="K782:K815" si="235">SUM(G782:J782)</f>
        <v>9892.5</v>
      </c>
      <c r="M782" s="10">
        <v>1</v>
      </c>
      <c r="N782" s="30" t="s">
        <v>81</v>
      </c>
      <c r="O782" s="31">
        <v>10191</v>
      </c>
      <c r="P782" s="32">
        <f>650*7+670*2+622*2+912*2+9.5*9</f>
        <v>9043.5</v>
      </c>
      <c r="Q782" s="32"/>
      <c r="R782" s="32"/>
      <c r="S782" s="32">
        <f>SUM(P782:Q782)</f>
        <v>9043.5</v>
      </c>
      <c r="T782" s="12"/>
      <c r="U782" s="12"/>
      <c r="V782" s="12">
        <v>-333</v>
      </c>
      <c r="W782" s="12">
        <f>SUM(S782:V782)</f>
        <v>8710.5</v>
      </c>
      <c r="Y782" s="10">
        <v>1</v>
      </c>
      <c r="Z782" s="30" t="s">
        <v>81</v>
      </c>
      <c r="AA782" s="31">
        <v>10129</v>
      </c>
      <c r="AB782" s="32">
        <f>650*40+622*10+229</f>
        <v>32449</v>
      </c>
      <c r="AC782" s="32">
        <f>-50*6</f>
        <v>-300</v>
      </c>
      <c r="AD782" s="32"/>
      <c r="AE782" s="32">
        <f>SUM(AB782:AC782)</f>
        <v>32149</v>
      </c>
      <c r="AF782" s="12"/>
      <c r="AG782" s="12"/>
      <c r="AH782" s="12"/>
      <c r="AI782" s="12">
        <f>SUM(AE782:AH782)</f>
        <v>32149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83">
        <f>C782+1</f>
        <v>10227</v>
      </c>
      <c r="D783" s="32">
        <f>650*21+622*4+650*2</f>
        <v>17438</v>
      </c>
      <c r="E783" s="32"/>
      <c r="F783" s="32"/>
      <c r="G783" s="32">
        <f t="shared" si="234"/>
        <v>17438</v>
      </c>
      <c r="H783" s="12"/>
      <c r="I783" s="12"/>
      <c r="J783" s="12"/>
      <c r="K783" s="12">
        <f t="shared" si="235"/>
        <v>17438</v>
      </c>
      <c r="M783" s="10">
        <v>2</v>
      </c>
      <c r="N783" s="30" t="s">
        <v>81</v>
      </c>
      <c r="O783" s="31">
        <f>O782+1</f>
        <v>10192</v>
      </c>
      <c r="P783" s="32">
        <f>650*324+229*15</f>
        <v>214035</v>
      </c>
      <c r="Q783" s="32">
        <f>-324*6</f>
        <v>-1944</v>
      </c>
      <c r="R783" s="32"/>
      <c r="S783" s="32">
        <f t="shared" ref="S783:S820" si="236">SUM(P783:Q783)</f>
        <v>212091</v>
      </c>
      <c r="T783" s="12"/>
      <c r="U783" s="12">
        <v>1092</v>
      </c>
      <c r="V783" s="12">
        <v>-378</v>
      </c>
      <c r="W783" s="12">
        <f t="shared" ref="W783:W823" si="237">SUM(S783:V783)</f>
        <v>212805</v>
      </c>
      <c r="Y783" s="10">
        <v>2</v>
      </c>
      <c r="Z783" s="30" t="s">
        <v>81</v>
      </c>
      <c r="AA783" s="31">
        <f>AA782+1</f>
        <v>10130</v>
      </c>
      <c r="AB783" s="32">
        <f>650*150+622*36+872*2+229*5+650*2</f>
        <v>124081</v>
      </c>
      <c r="AC783" s="32">
        <f>-188*6</f>
        <v>-1128</v>
      </c>
      <c r="AD783" s="32"/>
      <c r="AE783" s="32">
        <f t="shared" ref="AE783:AE785" si="238">SUM(AB783:AC783)</f>
        <v>122953</v>
      </c>
      <c r="AF783" s="12"/>
      <c r="AG783" s="12">
        <v>108</v>
      </c>
      <c r="AH783" s="12"/>
      <c r="AI783" s="12">
        <f t="shared" ref="AI783:AI814" si="239">SUM(AE783:AH783)</f>
        <v>123061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83">
        <f t="shared" ref="C784:C792" si="240">C783+1</f>
        <v>10228</v>
      </c>
      <c r="D784" s="33">
        <f>650*120+670*5+622*18</f>
        <v>92546</v>
      </c>
      <c r="E784" s="32"/>
      <c r="F784" s="33"/>
      <c r="G784" s="33">
        <f t="shared" si="234"/>
        <v>92546</v>
      </c>
      <c r="H784" s="34"/>
      <c r="I784" s="34"/>
      <c r="J784" s="34"/>
      <c r="K784" s="34">
        <f t="shared" si="235"/>
        <v>92546</v>
      </c>
      <c r="M784" s="10">
        <v>3</v>
      </c>
      <c r="N784" s="30" t="s">
        <v>81</v>
      </c>
      <c r="O784" s="31">
        <f t="shared" ref="O784" si="241">O783+1</f>
        <v>10193</v>
      </c>
      <c r="P784" s="32">
        <f>650+9.5</f>
        <v>659.5</v>
      </c>
      <c r="Q784" s="32"/>
      <c r="R784" s="32"/>
      <c r="S784" s="32">
        <f t="shared" si="236"/>
        <v>659.5</v>
      </c>
      <c r="T784" s="12"/>
      <c r="U784" s="12"/>
      <c r="V784" s="12"/>
      <c r="W784" s="12">
        <f t="shared" si="237"/>
        <v>659.5</v>
      </c>
      <c r="Y784" s="10">
        <v>3</v>
      </c>
      <c r="Z784" s="30" t="s">
        <v>81</v>
      </c>
      <c r="AA784" s="31">
        <f t="shared" ref="AA784:AA792" si="242">AA783+1</f>
        <v>10131</v>
      </c>
      <c r="AB784" s="33">
        <f>650*59+622*5+872*2+229*2</f>
        <v>43662</v>
      </c>
      <c r="AC784" s="33"/>
      <c r="AD784" s="32"/>
      <c r="AE784" s="32">
        <f t="shared" si="238"/>
        <v>43662</v>
      </c>
      <c r="AF784" s="12"/>
      <c r="AG784" s="12">
        <f>120+2664</f>
        <v>2784</v>
      </c>
      <c r="AH784" s="12"/>
      <c r="AI784" s="12">
        <f t="shared" si="239"/>
        <v>46446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83">
        <f t="shared" si="240"/>
        <v>10229</v>
      </c>
      <c r="D785" s="32">
        <f>650*22+622*5</f>
        <v>17410</v>
      </c>
      <c r="E785" s="32"/>
      <c r="F785" s="32"/>
      <c r="G785" s="32">
        <f t="shared" si="234"/>
        <v>17410</v>
      </c>
      <c r="H785" s="12"/>
      <c r="I785" s="12"/>
      <c r="J785" s="12"/>
      <c r="K785" s="12">
        <f t="shared" si="235"/>
        <v>17410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36"/>
        <v>0</v>
      </c>
      <c r="T785" s="12"/>
      <c r="U785" s="12"/>
      <c r="V785" s="12"/>
      <c r="W785" s="12">
        <f t="shared" si="237"/>
        <v>0</v>
      </c>
      <c r="Y785" s="10">
        <v>4</v>
      </c>
      <c r="Z785" s="30" t="s">
        <v>81</v>
      </c>
      <c r="AA785" s="31">
        <f t="shared" si="242"/>
        <v>10132</v>
      </c>
      <c r="AB785" s="32">
        <f>650*5+9.5*5</f>
        <v>3297.5</v>
      </c>
      <c r="AC785" s="32"/>
      <c r="AD785" s="32"/>
      <c r="AE785" s="32">
        <f t="shared" si="238"/>
        <v>3297.5</v>
      </c>
      <c r="AF785" s="12"/>
      <c r="AH785" s="12"/>
      <c r="AI785" s="12">
        <f t="shared" si="239"/>
        <v>3297.5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83">
        <f t="shared" si="240"/>
        <v>10230</v>
      </c>
      <c r="D786" s="32">
        <f>650*3+670*2</f>
        <v>3290</v>
      </c>
      <c r="E786" s="32"/>
      <c r="F786" s="32"/>
      <c r="G786" s="32">
        <f t="shared" si="234"/>
        <v>3290</v>
      </c>
      <c r="H786" s="12"/>
      <c r="I786" s="12"/>
      <c r="J786" s="12"/>
      <c r="K786" s="12">
        <f t="shared" si="235"/>
        <v>3290</v>
      </c>
      <c r="M786" s="10">
        <v>5</v>
      </c>
      <c r="N786" s="30"/>
      <c r="O786" s="31"/>
      <c r="P786" s="32"/>
      <c r="Q786" s="32"/>
      <c r="R786" s="32"/>
      <c r="S786" s="32">
        <f t="shared" si="236"/>
        <v>0</v>
      </c>
      <c r="T786" s="12"/>
      <c r="U786" s="12"/>
      <c r="V786" s="12"/>
      <c r="W786" s="12">
        <f t="shared" si="237"/>
        <v>0</v>
      </c>
      <c r="Y786" s="10">
        <v>5</v>
      </c>
      <c r="Z786" s="30" t="s">
        <v>81</v>
      </c>
      <c r="AA786" s="31">
        <f t="shared" si="242"/>
        <v>10133</v>
      </c>
      <c r="AB786" s="32">
        <f>650*6+670*7</f>
        <v>8590</v>
      </c>
      <c r="AC786" s="32"/>
      <c r="AD786" s="32"/>
      <c r="AE786" s="32">
        <f t="shared" ref="AE786:AE787" si="243">SUM(AB786:AC786)</f>
        <v>8590</v>
      </c>
      <c r="AF786" s="12"/>
      <c r="AG786" s="12"/>
      <c r="AH786" s="12">
        <v>-1776</v>
      </c>
      <c r="AI786" s="12">
        <f t="shared" si="239"/>
        <v>6814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83">
        <f t="shared" si="240"/>
        <v>10231</v>
      </c>
      <c r="D787" s="32">
        <f>650*27+622*3</f>
        <v>19416</v>
      </c>
      <c r="E787" s="32"/>
      <c r="F787" s="32"/>
      <c r="G787" s="32">
        <f t="shared" si="234"/>
        <v>19416</v>
      </c>
      <c r="H787" s="12"/>
      <c r="I787" s="12">
        <v>162</v>
      </c>
      <c r="J787" s="12"/>
      <c r="K787" s="12">
        <f t="shared" si="235"/>
        <v>19578</v>
      </c>
      <c r="M787" s="10">
        <v>6</v>
      </c>
      <c r="N787" s="30"/>
      <c r="O787" s="31"/>
      <c r="P787" s="32"/>
      <c r="Q787" s="32"/>
      <c r="R787" s="32"/>
      <c r="S787" s="32">
        <f t="shared" si="236"/>
        <v>0</v>
      </c>
      <c r="T787" s="12"/>
      <c r="U787" s="12"/>
      <c r="V787" s="10"/>
      <c r="W787" s="12">
        <f t="shared" si="237"/>
        <v>0</v>
      </c>
      <c r="Y787" s="10">
        <v>6</v>
      </c>
      <c r="Z787" s="30" t="s">
        <v>81</v>
      </c>
      <c r="AA787" s="31">
        <f t="shared" si="242"/>
        <v>10134</v>
      </c>
      <c r="AB787" s="32">
        <f>650*25+670*5+622*25+229*2</f>
        <v>35608</v>
      </c>
      <c r="AC787" s="32">
        <f>-55*6</f>
        <v>-330</v>
      </c>
      <c r="AD787" s="32"/>
      <c r="AE787" s="32">
        <f t="shared" si="243"/>
        <v>35278</v>
      </c>
      <c r="AF787" s="12"/>
      <c r="AG787" s="12"/>
      <c r="AH787" s="10"/>
      <c r="AI787" s="12">
        <f t="shared" si="239"/>
        <v>35278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83">
        <f t="shared" si="240"/>
        <v>10232</v>
      </c>
      <c r="D788" s="32">
        <f>650*6+670*2+500</f>
        <v>5740</v>
      </c>
      <c r="E788" s="32"/>
      <c r="F788" s="32"/>
      <c r="G788" s="32">
        <f t="shared" si="234"/>
        <v>5740</v>
      </c>
      <c r="H788" s="12"/>
      <c r="I788" s="12">
        <v>108</v>
      </c>
      <c r="J788" s="12"/>
      <c r="K788" s="12">
        <f t="shared" si="235"/>
        <v>5848</v>
      </c>
      <c r="M788" s="10">
        <v>7</v>
      </c>
      <c r="N788" s="30"/>
      <c r="O788" s="31"/>
      <c r="P788" s="32"/>
      <c r="Q788" s="32"/>
      <c r="R788" s="32"/>
      <c r="S788" s="32">
        <f t="shared" si="236"/>
        <v>0</v>
      </c>
      <c r="T788" s="12"/>
      <c r="U788" s="12"/>
      <c r="V788" s="12"/>
      <c r="W788" s="12">
        <f t="shared" si="237"/>
        <v>0</v>
      </c>
      <c r="Y788" s="10">
        <v>7</v>
      </c>
      <c r="Z788" s="30" t="s">
        <v>81</v>
      </c>
      <c r="AA788" s="31">
        <f t="shared" si="242"/>
        <v>10135</v>
      </c>
      <c r="AB788" s="32">
        <f>650*2+670*4+622*8+912</f>
        <v>9868</v>
      </c>
      <c r="AC788" s="32"/>
      <c r="AD788" s="32"/>
      <c r="AE788" s="32">
        <f>SUM(AB788:AC788)</f>
        <v>9868</v>
      </c>
      <c r="AF788" s="12"/>
      <c r="AG788" s="58"/>
      <c r="AH788" s="12"/>
      <c r="AI788" s="12">
        <f t="shared" si="239"/>
        <v>9868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83">
        <f t="shared" si="240"/>
        <v>10233</v>
      </c>
      <c r="D789" s="32">
        <f>650*20+229</f>
        <v>13229</v>
      </c>
      <c r="E789" s="32"/>
      <c r="F789" s="32"/>
      <c r="G789" s="32">
        <f t="shared" si="234"/>
        <v>13229</v>
      </c>
      <c r="H789" s="12"/>
      <c r="I789" s="12"/>
      <c r="J789" s="12"/>
      <c r="K789" s="12">
        <f t="shared" si="235"/>
        <v>13229</v>
      </c>
      <c r="M789" s="10">
        <v>8</v>
      </c>
      <c r="N789" s="30"/>
      <c r="O789" s="31"/>
      <c r="P789" s="32"/>
      <c r="Q789" s="32"/>
      <c r="R789" s="32"/>
      <c r="S789" s="32">
        <f t="shared" si="236"/>
        <v>0</v>
      </c>
      <c r="T789" s="12"/>
      <c r="U789" s="12"/>
      <c r="V789" s="12"/>
      <c r="W789" s="12">
        <f t="shared" si="237"/>
        <v>0</v>
      </c>
      <c r="Y789" s="10">
        <v>8</v>
      </c>
      <c r="Z789" s="30" t="s">
        <v>81</v>
      </c>
      <c r="AA789" s="31">
        <f t="shared" si="242"/>
        <v>10136</v>
      </c>
      <c r="AB789" s="32">
        <f>650*25+670*4+622*16+229</f>
        <v>29111</v>
      </c>
      <c r="AC789" s="32"/>
      <c r="AE789" s="32">
        <f t="shared" ref="AE789:AE820" si="244">SUM(AB789:AC789)</f>
        <v>29111</v>
      </c>
      <c r="AF789" s="12"/>
      <c r="AG789" s="12"/>
      <c r="AH789" s="12"/>
      <c r="AI789" s="12">
        <f t="shared" si="239"/>
        <v>29111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83">
        <f t="shared" si="240"/>
        <v>10234</v>
      </c>
      <c r="D790" s="32">
        <f>650*15+670*2</f>
        <v>11090</v>
      </c>
      <c r="E790" s="32"/>
      <c r="F790" s="32"/>
      <c r="G790" s="32">
        <f t="shared" si="234"/>
        <v>11090</v>
      </c>
      <c r="H790" s="12"/>
      <c r="I790" s="12"/>
      <c r="J790" s="12"/>
      <c r="K790" s="12">
        <f t="shared" si="235"/>
        <v>11090</v>
      </c>
      <c r="M790" s="10">
        <v>9</v>
      </c>
      <c r="N790" s="30"/>
      <c r="O790" s="31"/>
      <c r="P790" s="32"/>
      <c r="Q790" s="32"/>
      <c r="R790" s="32"/>
      <c r="S790" s="32">
        <f t="shared" si="236"/>
        <v>0</v>
      </c>
      <c r="T790" s="12"/>
      <c r="U790" s="12"/>
      <c r="V790" s="12"/>
      <c r="W790" s="12">
        <f t="shared" si="237"/>
        <v>0</v>
      </c>
      <c r="Y790" s="10">
        <v>9</v>
      </c>
      <c r="Z790" s="30" t="s">
        <v>81</v>
      </c>
      <c r="AA790" s="31">
        <f t="shared" si="242"/>
        <v>10137</v>
      </c>
      <c r="AB790" s="32">
        <f>650*4+622*2</f>
        <v>3844</v>
      </c>
      <c r="AC790" s="32"/>
      <c r="AD790" s="32"/>
      <c r="AE790" s="32">
        <f t="shared" si="244"/>
        <v>3844</v>
      </c>
      <c r="AF790" s="12"/>
      <c r="AH790" s="12"/>
      <c r="AI790" s="12">
        <f t="shared" si="239"/>
        <v>3844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83">
        <f t="shared" si="240"/>
        <v>10235</v>
      </c>
      <c r="D791" s="32">
        <f>650*5</f>
        <v>3250</v>
      </c>
      <c r="E791" s="32"/>
      <c r="F791" s="32"/>
      <c r="G791" s="32">
        <f t="shared" si="234"/>
        <v>3250</v>
      </c>
      <c r="H791" s="12"/>
      <c r="I791" s="12"/>
      <c r="J791" s="12"/>
      <c r="K791" s="12">
        <f t="shared" si="235"/>
        <v>3250</v>
      </c>
      <c r="M791" s="10">
        <v>10</v>
      </c>
      <c r="N791" s="30"/>
      <c r="O791" s="31"/>
      <c r="P791" s="32"/>
      <c r="Q791" s="32"/>
      <c r="R791" s="32"/>
      <c r="S791" s="32">
        <f t="shared" si="236"/>
        <v>0</v>
      </c>
      <c r="T791" s="12"/>
      <c r="U791" s="12"/>
      <c r="V791" s="12"/>
      <c r="W791" s="12">
        <f t="shared" si="237"/>
        <v>0</v>
      </c>
      <c r="Y791" s="10">
        <v>10</v>
      </c>
      <c r="Z791" s="30" t="s">
        <v>81</v>
      </c>
      <c r="AA791" s="31">
        <f t="shared" si="242"/>
        <v>10138</v>
      </c>
      <c r="AB791" s="32">
        <f>650*15+622*5</f>
        <v>12860</v>
      </c>
      <c r="AC791" s="32"/>
      <c r="AD791" s="32"/>
      <c r="AE791" s="32">
        <f t="shared" si="244"/>
        <v>12860</v>
      </c>
      <c r="AF791" s="12"/>
      <c r="AG791" s="12">
        <v>45</v>
      </c>
      <c r="AH791" s="12"/>
      <c r="AI791" s="12">
        <f t="shared" si="239"/>
        <v>12905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83">
        <f t="shared" si="240"/>
        <v>10236</v>
      </c>
      <c r="D792" s="32">
        <f>650*19</f>
        <v>12350</v>
      </c>
      <c r="E792" s="32"/>
      <c r="F792" s="32"/>
      <c r="G792" s="32">
        <f t="shared" si="234"/>
        <v>12350</v>
      </c>
      <c r="H792" s="12"/>
      <c r="I792" s="12"/>
      <c r="J792" s="12"/>
      <c r="K792" s="12">
        <f t="shared" si="235"/>
        <v>12350</v>
      </c>
      <c r="M792" s="10">
        <v>11</v>
      </c>
      <c r="N792" s="30"/>
      <c r="P792" s="32"/>
      <c r="Q792" s="32"/>
      <c r="R792" s="32"/>
      <c r="S792" s="32">
        <f t="shared" si="236"/>
        <v>0</v>
      </c>
      <c r="T792" s="12"/>
      <c r="U792" s="12"/>
      <c r="V792" s="12"/>
      <c r="W792" s="12">
        <f t="shared" si="237"/>
        <v>0</v>
      </c>
      <c r="Y792" s="10">
        <v>11</v>
      </c>
      <c r="Z792" s="30" t="s">
        <v>81</v>
      </c>
      <c r="AA792" s="31">
        <f t="shared" si="242"/>
        <v>10139</v>
      </c>
      <c r="AB792" s="32">
        <f>650*5</f>
        <v>3250</v>
      </c>
      <c r="AC792" s="32"/>
      <c r="AD792" s="32"/>
      <c r="AE792" s="32">
        <f t="shared" si="244"/>
        <v>3250</v>
      </c>
      <c r="AF792" s="12"/>
      <c r="AG792" s="12"/>
      <c r="AH792" s="12"/>
      <c r="AI792" s="12">
        <f t="shared" si="239"/>
        <v>3250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4"/>
        <v>0</v>
      </c>
      <c r="H793" s="12"/>
      <c r="I793" s="12"/>
      <c r="J793" s="10"/>
      <c r="K793" s="12">
        <f t="shared" si="235"/>
        <v>0</v>
      </c>
      <c r="M793" s="10">
        <v>12</v>
      </c>
      <c r="N793" s="30"/>
      <c r="O793" s="31"/>
      <c r="P793" s="32"/>
      <c r="Q793" s="32"/>
      <c r="R793" s="32"/>
      <c r="S793" s="32">
        <f t="shared" si="236"/>
        <v>0</v>
      </c>
      <c r="T793" s="12"/>
      <c r="U793" s="12"/>
      <c r="V793" s="12"/>
      <c r="W793" s="12">
        <f t="shared" si="237"/>
        <v>0</v>
      </c>
      <c r="Y793" s="10">
        <v>12</v>
      </c>
      <c r="Z793" s="30"/>
      <c r="AA793" s="11" t="s">
        <v>27</v>
      </c>
      <c r="AB793" s="32"/>
      <c r="AC793" s="32"/>
      <c r="AD793" s="32"/>
      <c r="AE793" s="32">
        <f t="shared" si="244"/>
        <v>0</v>
      </c>
      <c r="AF793" s="12"/>
      <c r="AG793" s="12"/>
      <c r="AH793" s="12"/>
      <c r="AI793" s="12">
        <f t="shared" si="239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34"/>
        <v>0</v>
      </c>
      <c r="H794" s="12"/>
      <c r="I794" s="12"/>
      <c r="J794" s="12"/>
      <c r="K794" s="12">
        <f t="shared" si="235"/>
        <v>0</v>
      </c>
      <c r="M794" s="10">
        <v>13</v>
      </c>
      <c r="N794" s="30"/>
      <c r="O794" s="31"/>
      <c r="P794" s="32"/>
      <c r="Q794" s="32"/>
      <c r="R794" s="32"/>
      <c r="S794" s="32">
        <f t="shared" si="236"/>
        <v>0</v>
      </c>
      <c r="T794" s="12"/>
      <c r="U794" s="12"/>
      <c r="V794" s="12"/>
      <c r="W794" s="12">
        <f t="shared" si="237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44"/>
        <v>0</v>
      </c>
      <c r="AF794" s="12"/>
      <c r="AG794" s="12"/>
      <c r="AH794" s="12"/>
      <c r="AI794" s="12">
        <f t="shared" si="239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34"/>
        <v>0</v>
      </c>
      <c r="H795" s="12"/>
      <c r="I795" s="12"/>
      <c r="J795" s="12"/>
      <c r="K795" s="12">
        <f t="shared" si="235"/>
        <v>0</v>
      </c>
      <c r="M795" s="10">
        <v>14</v>
      </c>
      <c r="N795" s="30"/>
      <c r="O795" s="31"/>
      <c r="P795" s="32"/>
      <c r="Q795" s="32"/>
      <c r="R795" s="32"/>
      <c r="S795" s="32">
        <f t="shared" si="236"/>
        <v>0</v>
      </c>
      <c r="T795" s="12"/>
      <c r="U795" s="12"/>
      <c r="V795" s="12"/>
      <c r="W795" s="12">
        <f t="shared" si="237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44"/>
        <v>0</v>
      </c>
      <c r="AF795" s="12"/>
      <c r="AG795" s="12"/>
      <c r="AH795" s="12"/>
      <c r="AI795" s="12">
        <f t="shared" si="239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34"/>
        <v>0</v>
      </c>
      <c r="H796" s="12"/>
      <c r="I796" s="12"/>
      <c r="J796" s="12"/>
      <c r="K796" s="12">
        <f t="shared" si="235"/>
        <v>0</v>
      </c>
      <c r="M796" s="10">
        <v>15</v>
      </c>
      <c r="N796" s="30"/>
      <c r="O796" s="31"/>
      <c r="P796" s="32"/>
      <c r="Q796" s="32"/>
      <c r="R796" s="32"/>
      <c r="S796" s="32">
        <f t="shared" si="236"/>
        <v>0</v>
      </c>
      <c r="T796" s="12"/>
      <c r="U796" s="12"/>
      <c r="V796" s="12"/>
      <c r="W796" s="12">
        <f t="shared" si="237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44"/>
        <v>0</v>
      </c>
      <c r="AF796" s="12"/>
      <c r="AG796" s="12"/>
      <c r="AH796" s="12"/>
      <c r="AI796" s="12">
        <f t="shared" si="239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11"/>
      <c r="D797" s="32"/>
      <c r="E797" s="32"/>
      <c r="F797" s="32"/>
      <c r="G797" s="32">
        <f t="shared" si="234"/>
        <v>0</v>
      </c>
      <c r="H797" s="12"/>
      <c r="I797" s="12"/>
      <c r="J797" s="12"/>
      <c r="K797" s="12">
        <f t="shared" si="235"/>
        <v>0</v>
      </c>
      <c r="M797" s="10">
        <v>16</v>
      </c>
      <c r="N797" s="30"/>
      <c r="O797" s="11"/>
      <c r="P797" s="32"/>
      <c r="Q797" s="32"/>
      <c r="R797" s="32"/>
      <c r="S797" s="32">
        <f t="shared" si="236"/>
        <v>0</v>
      </c>
      <c r="T797" s="12"/>
      <c r="U797" s="12"/>
      <c r="V797" s="12"/>
      <c r="W797" s="12">
        <f t="shared" si="237"/>
        <v>0</v>
      </c>
      <c r="Y797" s="10">
        <v>16</v>
      </c>
      <c r="AA797" s="11"/>
      <c r="AB797" s="32"/>
      <c r="AC797" s="32"/>
      <c r="AD797" s="32"/>
      <c r="AE797" s="32">
        <f t="shared" si="244"/>
        <v>0</v>
      </c>
      <c r="AF797" s="12"/>
      <c r="AG797" s="12"/>
      <c r="AH797" s="12"/>
      <c r="AI797" s="12">
        <f t="shared" si="239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34"/>
        <v>0</v>
      </c>
      <c r="H798" s="12"/>
      <c r="I798" s="12"/>
      <c r="J798" s="12"/>
      <c r="K798" s="12">
        <f t="shared" si="235"/>
        <v>0</v>
      </c>
      <c r="M798" s="10">
        <v>17</v>
      </c>
      <c r="N798" s="30"/>
      <c r="O798" s="31"/>
      <c r="P798" s="35"/>
      <c r="Q798" s="32"/>
      <c r="R798" s="32"/>
      <c r="S798" s="32">
        <f t="shared" si="236"/>
        <v>0</v>
      </c>
      <c r="T798" s="12"/>
      <c r="U798" s="12"/>
      <c r="V798" s="12"/>
      <c r="W798" s="12">
        <f t="shared" si="237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44"/>
        <v>0</v>
      </c>
      <c r="AF798" s="12"/>
      <c r="AG798" s="12"/>
      <c r="AH798" s="12"/>
      <c r="AI798" s="12">
        <f t="shared" si="239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34"/>
        <v>0</v>
      </c>
      <c r="H799" s="12"/>
      <c r="I799" s="12"/>
      <c r="J799" s="12"/>
      <c r="K799" s="12">
        <f t="shared" si="235"/>
        <v>0</v>
      </c>
      <c r="M799" s="10">
        <v>18</v>
      </c>
      <c r="N799" s="30"/>
      <c r="P799" s="32"/>
      <c r="Q799" s="32"/>
      <c r="R799" s="32"/>
      <c r="S799" s="32">
        <f t="shared" si="236"/>
        <v>0</v>
      </c>
      <c r="T799" s="12"/>
      <c r="U799" s="12"/>
      <c r="V799" s="12"/>
      <c r="W799" s="12">
        <f t="shared" si="237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44"/>
        <v>0</v>
      </c>
      <c r="AF799" s="12"/>
      <c r="AG799" s="12"/>
      <c r="AH799" s="12"/>
      <c r="AI799" s="12">
        <f t="shared" si="239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34"/>
        <v>0</v>
      </c>
      <c r="H800" s="12"/>
      <c r="I800" s="12"/>
      <c r="J800" s="12"/>
      <c r="K800" s="12">
        <f t="shared" si="235"/>
        <v>0</v>
      </c>
      <c r="M800" s="10">
        <v>19</v>
      </c>
      <c r="N800" s="30"/>
      <c r="O800" s="31"/>
      <c r="P800" s="32"/>
      <c r="Q800" s="32"/>
      <c r="R800" s="32"/>
      <c r="S800" s="32">
        <f t="shared" si="236"/>
        <v>0</v>
      </c>
      <c r="T800" s="12"/>
      <c r="U800" s="12"/>
      <c r="V800" s="12"/>
      <c r="W800" s="12">
        <f t="shared" si="237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44"/>
        <v>0</v>
      </c>
      <c r="AF800" s="12"/>
      <c r="AG800" s="12"/>
      <c r="AH800" s="12"/>
      <c r="AI800" s="12">
        <f t="shared" si="239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34"/>
        <v>0</v>
      </c>
      <c r="H801" s="12"/>
      <c r="I801" s="12"/>
      <c r="J801" s="12"/>
      <c r="K801" s="12">
        <f t="shared" si="235"/>
        <v>0</v>
      </c>
      <c r="M801" s="10">
        <v>20</v>
      </c>
      <c r="N801" s="30"/>
      <c r="O801" s="31"/>
      <c r="P801" s="32"/>
      <c r="Q801" s="32"/>
      <c r="R801" s="32"/>
      <c r="S801" s="32">
        <f t="shared" si="236"/>
        <v>0</v>
      </c>
      <c r="T801" s="12"/>
      <c r="U801" s="12"/>
      <c r="V801" s="12"/>
      <c r="W801" s="12">
        <f t="shared" si="237"/>
        <v>0</v>
      </c>
      <c r="Y801" s="10">
        <v>20</v>
      </c>
      <c r="Z801" s="30"/>
      <c r="AB801" s="32"/>
      <c r="AC801" s="32"/>
      <c r="AD801" s="32"/>
      <c r="AE801" s="32">
        <f t="shared" si="244"/>
        <v>0</v>
      </c>
      <c r="AF801" s="12"/>
      <c r="AG801" s="12"/>
      <c r="AH801" s="12"/>
      <c r="AI801" s="12">
        <f t="shared" si="239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3"/>
      <c r="D802" s="32"/>
      <c r="E802" s="32"/>
      <c r="F802" s="32"/>
      <c r="G802" s="32">
        <f t="shared" si="234"/>
        <v>0</v>
      </c>
      <c r="H802" s="10"/>
      <c r="I802" s="10"/>
      <c r="J802" s="10"/>
      <c r="K802" s="12">
        <f t="shared" si="235"/>
        <v>0</v>
      </c>
      <c r="M802" s="10">
        <v>21</v>
      </c>
      <c r="N802" s="30"/>
      <c r="O802" s="11"/>
      <c r="P802" s="46"/>
      <c r="Q802" s="31"/>
      <c r="R802" s="31"/>
      <c r="S802" s="32">
        <f t="shared" si="236"/>
        <v>0</v>
      </c>
      <c r="T802" s="10"/>
      <c r="U802" s="10"/>
      <c r="V802" s="10"/>
      <c r="W802" s="12">
        <f t="shared" si="237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44"/>
        <v>0</v>
      </c>
      <c r="AF802" s="10"/>
      <c r="AG802" s="10"/>
      <c r="AH802" s="10"/>
      <c r="AI802" s="12">
        <f t="shared" si="239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34"/>
        <v>0</v>
      </c>
      <c r="H803" s="10"/>
      <c r="I803" s="10"/>
      <c r="J803" s="10"/>
      <c r="K803" s="12">
        <f t="shared" si="235"/>
        <v>0</v>
      </c>
      <c r="M803" s="10">
        <v>22</v>
      </c>
      <c r="N803" s="30"/>
      <c r="O803" s="31"/>
      <c r="P803" s="45"/>
      <c r="Q803" s="31"/>
      <c r="R803" s="31"/>
      <c r="S803" s="32">
        <f t="shared" si="236"/>
        <v>0</v>
      </c>
      <c r="T803" s="10"/>
      <c r="U803" s="10"/>
      <c r="V803" s="10"/>
      <c r="W803" s="12">
        <f t="shared" si="237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44"/>
        <v>0</v>
      </c>
      <c r="AF803" s="10"/>
      <c r="AG803" s="10"/>
      <c r="AH803" s="10"/>
      <c r="AI803" s="12">
        <f t="shared" si="239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34"/>
        <v>0</v>
      </c>
      <c r="H804" s="10"/>
      <c r="I804" s="10"/>
      <c r="J804" s="12"/>
      <c r="K804" s="12">
        <f t="shared" si="235"/>
        <v>0</v>
      </c>
      <c r="M804" s="10">
        <v>23</v>
      </c>
      <c r="N804" s="30"/>
      <c r="O804" s="31"/>
      <c r="P804" s="47"/>
      <c r="S804" s="32">
        <f t="shared" si="236"/>
        <v>0</v>
      </c>
      <c r="T804" s="10"/>
      <c r="U804" s="10"/>
      <c r="V804" s="10"/>
      <c r="W804" s="12">
        <f t="shared" si="237"/>
        <v>0</v>
      </c>
      <c r="Y804" s="10">
        <v>23</v>
      </c>
      <c r="Z804" s="30"/>
      <c r="AA804" s="31"/>
      <c r="AB804" s="47"/>
      <c r="AC804" s="31"/>
      <c r="AE804" s="32">
        <f t="shared" si="244"/>
        <v>0</v>
      </c>
      <c r="AF804" s="10"/>
      <c r="AG804" s="10"/>
      <c r="AH804" s="10"/>
      <c r="AI804" s="12">
        <f t="shared" si="239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34"/>
        <v>0</v>
      </c>
      <c r="H805" s="10"/>
      <c r="I805" s="10"/>
      <c r="J805" s="10"/>
      <c r="K805" s="12">
        <f t="shared" si="235"/>
        <v>0</v>
      </c>
      <c r="M805" s="10">
        <v>24</v>
      </c>
      <c r="N805" s="30"/>
      <c r="O805" s="31"/>
      <c r="P805" s="47"/>
      <c r="Q805" s="31"/>
      <c r="R805" s="31"/>
      <c r="S805" s="32">
        <f t="shared" si="236"/>
        <v>0</v>
      </c>
      <c r="T805" s="10"/>
      <c r="U805" s="10"/>
      <c r="V805" s="10"/>
      <c r="W805" s="12">
        <f t="shared" si="237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44"/>
        <v>0</v>
      </c>
      <c r="AF805" s="10"/>
      <c r="AG805" s="10"/>
      <c r="AH805" s="10"/>
      <c r="AI805" s="12">
        <f t="shared" si="239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34"/>
        <v>0</v>
      </c>
      <c r="H806" s="10"/>
      <c r="I806" s="10"/>
      <c r="J806" s="10"/>
      <c r="K806" s="12">
        <f t="shared" si="235"/>
        <v>0</v>
      </c>
      <c r="M806" s="10">
        <v>25</v>
      </c>
      <c r="N806" s="30"/>
      <c r="O806" s="31"/>
      <c r="P806" s="47"/>
      <c r="Q806" s="31"/>
      <c r="R806" s="31"/>
      <c r="S806" s="32">
        <f t="shared" si="236"/>
        <v>0</v>
      </c>
      <c r="T806" s="10"/>
      <c r="U806" s="10"/>
      <c r="V806" s="10"/>
      <c r="W806" s="12">
        <f t="shared" si="237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44"/>
        <v>0</v>
      </c>
      <c r="AF806" s="10"/>
      <c r="AG806" s="10"/>
      <c r="AH806" s="10"/>
      <c r="AI806" s="12">
        <f t="shared" si="239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34"/>
        <v>0</v>
      </c>
      <c r="H807" s="10"/>
      <c r="I807" s="10"/>
      <c r="J807" s="10"/>
      <c r="K807" s="12">
        <f t="shared" si="235"/>
        <v>0</v>
      </c>
      <c r="M807" s="10">
        <v>26</v>
      </c>
      <c r="N807" s="30"/>
      <c r="O807" s="11"/>
      <c r="P807" s="47"/>
      <c r="Q807" s="31"/>
      <c r="R807" s="31"/>
      <c r="S807" s="32">
        <f t="shared" si="236"/>
        <v>0</v>
      </c>
      <c r="T807" s="10"/>
      <c r="U807" s="10"/>
      <c r="V807" s="10"/>
      <c r="W807" s="12">
        <f t="shared" si="237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44"/>
        <v>0</v>
      </c>
      <c r="AF807" s="10"/>
      <c r="AG807" s="10"/>
      <c r="AH807" s="10"/>
      <c r="AI807" s="12">
        <f t="shared" si="239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34"/>
        <v>0</v>
      </c>
      <c r="H808" s="10"/>
      <c r="I808" s="10"/>
      <c r="J808" s="10"/>
      <c r="K808" s="12">
        <f t="shared" si="235"/>
        <v>0</v>
      </c>
      <c r="M808" s="10">
        <v>27</v>
      </c>
      <c r="N808" s="30"/>
      <c r="O808" s="31"/>
      <c r="P808" s="47"/>
      <c r="Q808" s="31"/>
      <c r="R808" s="31"/>
      <c r="S808" s="32">
        <f t="shared" si="236"/>
        <v>0</v>
      </c>
      <c r="T808" s="10"/>
      <c r="U808" s="10"/>
      <c r="V808" s="10"/>
      <c r="W808" s="12">
        <f t="shared" si="237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44"/>
        <v>0</v>
      </c>
      <c r="AF808" s="10"/>
      <c r="AG808" s="10"/>
      <c r="AH808" s="10"/>
      <c r="AI808" s="12">
        <f t="shared" si="239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34"/>
        <v>0</v>
      </c>
      <c r="H809" s="10"/>
      <c r="I809" s="10"/>
      <c r="J809" s="10"/>
      <c r="K809" s="12">
        <f t="shared" si="235"/>
        <v>0</v>
      </c>
      <c r="M809" s="10">
        <v>28</v>
      </c>
      <c r="N809" s="30"/>
      <c r="O809" s="31"/>
      <c r="P809" s="47"/>
      <c r="Q809" s="31"/>
      <c r="R809" s="31"/>
      <c r="S809" s="32">
        <f t="shared" si="236"/>
        <v>0</v>
      </c>
      <c r="T809" s="10"/>
      <c r="U809" s="10"/>
      <c r="V809" s="10"/>
      <c r="W809" s="12">
        <f t="shared" si="237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44"/>
        <v>0</v>
      </c>
      <c r="AF809" s="10"/>
      <c r="AG809" s="10"/>
      <c r="AH809" s="10"/>
      <c r="AI809" s="12">
        <f t="shared" si="239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34"/>
        <v>0</v>
      </c>
      <c r="H810" s="10"/>
      <c r="I810" s="10"/>
      <c r="J810" s="10"/>
      <c r="K810" s="12">
        <f t="shared" si="235"/>
        <v>0</v>
      </c>
      <c r="M810" s="10">
        <v>29</v>
      </c>
      <c r="N810" s="30"/>
      <c r="O810" s="31"/>
      <c r="P810" s="47"/>
      <c r="Q810" s="31"/>
      <c r="R810" s="31"/>
      <c r="S810" s="32">
        <f t="shared" si="236"/>
        <v>0</v>
      </c>
      <c r="T810" s="10"/>
      <c r="U810" s="10"/>
      <c r="V810" s="10"/>
      <c r="W810" s="12">
        <f t="shared" si="237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44"/>
        <v>0</v>
      </c>
      <c r="AF810" s="10"/>
      <c r="AG810" s="10"/>
      <c r="AH810" s="10"/>
      <c r="AI810" s="12">
        <f t="shared" si="239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34"/>
        <v>0</v>
      </c>
      <c r="H811" s="10"/>
      <c r="I811" s="10"/>
      <c r="J811" s="10"/>
      <c r="K811" s="12">
        <f t="shared" si="235"/>
        <v>0</v>
      </c>
      <c r="M811" s="10">
        <v>30</v>
      </c>
      <c r="N811" s="30"/>
      <c r="O811" s="31"/>
      <c r="P811" s="47"/>
      <c r="Q811" s="31"/>
      <c r="R811" s="31"/>
      <c r="S811" s="32">
        <f t="shared" si="236"/>
        <v>0</v>
      </c>
      <c r="T811" s="10"/>
      <c r="U811" s="10"/>
      <c r="V811" s="10"/>
      <c r="W811" s="12">
        <f t="shared" si="237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44"/>
        <v>0</v>
      </c>
      <c r="AF811" s="10"/>
      <c r="AG811" s="10"/>
      <c r="AH811" s="10"/>
      <c r="AI811" s="12">
        <f t="shared" si="239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234"/>
        <v>0</v>
      </c>
      <c r="H812" s="10"/>
      <c r="I812" s="10"/>
      <c r="J812" s="10"/>
      <c r="K812" s="12">
        <f t="shared" si="235"/>
        <v>0</v>
      </c>
      <c r="M812" s="10">
        <v>31</v>
      </c>
      <c r="N812" s="30"/>
      <c r="O812" s="31"/>
      <c r="P812" s="47"/>
      <c r="Q812" s="31"/>
      <c r="R812" s="31"/>
      <c r="S812" s="32">
        <f t="shared" si="236"/>
        <v>0</v>
      </c>
      <c r="T812" s="10"/>
      <c r="U812" s="10"/>
      <c r="V812" s="10"/>
      <c r="W812" s="12">
        <f t="shared" si="237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44"/>
        <v>0</v>
      </c>
      <c r="AF812" s="10"/>
      <c r="AG812" s="10"/>
      <c r="AH812" s="10"/>
      <c r="AI812" s="12">
        <f t="shared" si="239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34"/>
        <v>0</v>
      </c>
      <c r="H813" s="10"/>
      <c r="I813" s="10"/>
      <c r="J813" s="10"/>
      <c r="K813" s="12">
        <f t="shared" si="235"/>
        <v>0</v>
      </c>
      <c r="M813" s="10">
        <v>32</v>
      </c>
      <c r="N813" s="30"/>
      <c r="O813" s="31"/>
      <c r="P813" s="47"/>
      <c r="Q813" s="31"/>
      <c r="R813" s="31"/>
      <c r="S813" s="32">
        <f t="shared" si="236"/>
        <v>0</v>
      </c>
      <c r="T813" s="10"/>
      <c r="U813" s="10"/>
      <c r="V813" s="10"/>
      <c r="W813" s="12">
        <f t="shared" si="237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44"/>
        <v>0</v>
      </c>
      <c r="AF813" s="10"/>
      <c r="AG813" s="10"/>
      <c r="AH813" s="10"/>
      <c r="AI813" s="12">
        <f t="shared" si="239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34"/>
        <v>0</v>
      </c>
      <c r="H814" s="10"/>
      <c r="I814" s="10"/>
      <c r="J814" s="10"/>
      <c r="K814" s="12">
        <f t="shared" si="235"/>
        <v>0</v>
      </c>
      <c r="M814" s="10">
        <v>33</v>
      </c>
      <c r="N814" s="30"/>
      <c r="O814" s="31"/>
      <c r="P814" s="47"/>
      <c r="Q814" s="31"/>
      <c r="R814" s="31"/>
      <c r="S814" s="32">
        <f t="shared" si="236"/>
        <v>0</v>
      </c>
      <c r="T814" s="10"/>
      <c r="U814" s="10"/>
      <c r="V814" s="10"/>
      <c r="W814" s="12">
        <f t="shared" si="237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44"/>
        <v>0</v>
      </c>
      <c r="AF814" s="10"/>
      <c r="AG814" s="10"/>
      <c r="AH814" s="10"/>
      <c r="AI814" s="12">
        <f t="shared" si="239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34"/>
        <v>0</v>
      </c>
      <c r="H815" s="10"/>
      <c r="I815" s="10"/>
      <c r="J815" s="10"/>
      <c r="K815" s="12">
        <f t="shared" si="235"/>
        <v>0</v>
      </c>
      <c r="M815" s="10">
        <v>34</v>
      </c>
      <c r="N815" s="30"/>
      <c r="O815" s="31"/>
      <c r="P815" s="47"/>
      <c r="Q815" s="31"/>
      <c r="R815" s="31"/>
      <c r="S815" s="32">
        <f t="shared" si="236"/>
        <v>0</v>
      </c>
      <c r="T815" s="10"/>
      <c r="U815" s="10"/>
      <c r="V815" s="10"/>
      <c r="W815" s="12">
        <f t="shared" si="237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44"/>
        <v>0</v>
      </c>
      <c r="AF815" s="10"/>
      <c r="AG815" s="10"/>
      <c r="AH815" s="10"/>
      <c r="AI815" s="12">
        <f t="shared" ref="AI815:AI823" si="245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6"/>
        <v>0</v>
      </c>
      <c r="T816" s="10"/>
      <c r="U816" s="10"/>
      <c r="V816" s="10"/>
      <c r="W816" s="12">
        <f t="shared" si="237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4"/>
        <v>0</v>
      </c>
      <c r="AF816" s="10"/>
      <c r="AG816" s="10"/>
      <c r="AH816" s="10"/>
      <c r="AI816" s="12">
        <f t="shared" si="245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6"/>
        <v>0</v>
      </c>
      <c r="T817" s="10"/>
      <c r="U817" s="10"/>
      <c r="V817" s="10"/>
      <c r="W817" s="12">
        <f t="shared" si="237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4"/>
        <v>0</v>
      </c>
      <c r="AF817" s="10"/>
      <c r="AG817" s="10"/>
      <c r="AH817" s="10"/>
      <c r="AI817" s="12">
        <f t="shared" si="245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6"/>
        <v>0</v>
      </c>
      <c r="T818" s="10"/>
      <c r="U818" s="10"/>
      <c r="V818" s="10"/>
      <c r="W818" s="12">
        <f t="shared" si="237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4"/>
        <v>0</v>
      </c>
      <c r="AF818" s="10"/>
      <c r="AG818" s="10"/>
      <c r="AH818" s="10"/>
      <c r="AI818" s="12">
        <f t="shared" si="245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6"/>
        <v>0</v>
      </c>
      <c r="T819" s="10"/>
      <c r="U819" s="10"/>
      <c r="V819" s="10"/>
      <c r="W819" s="12">
        <f t="shared" si="237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4"/>
        <v>0</v>
      </c>
      <c r="AF819" s="10"/>
      <c r="AG819" s="10"/>
      <c r="AH819" s="10"/>
      <c r="AI819" s="12">
        <f t="shared" si="245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6"/>
        <v>0</v>
      </c>
      <c r="T820" s="10"/>
      <c r="U820" s="10"/>
      <c r="V820" s="10"/>
      <c r="W820" s="12">
        <f t="shared" si="237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4"/>
        <v>0</v>
      </c>
      <c r="AF820" s="10"/>
      <c r="AG820" s="10"/>
      <c r="AH820" s="10"/>
      <c r="AI820" s="12">
        <f t="shared" si="245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7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5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6">SUM(D822:E822)</f>
        <v>0</v>
      </c>
      <c r="H822" s="10"/>
      <c r="I822" s="10"/>
      <c r="J822" s="10"/>
      <c r="K822" s="12">
        <f t="shared" ref="K822" si="247">SUM(G822:J822)</f>
        <v>0</v>
      </c>
      <c r="M822" s="10"/>
      <c r="N822" s="30"/>
      <c r="O822" s="31"/>
      <c r="P822" s="47"/>
      <c r="Q822" s="31"/>
      <c r="R822" s="31"/>
      <c r="S822" s="32">
        <f t="shared" ref="S822" si="248">SUM(P822:Q822)</f>
        <v>0</v>
      </c>
      <c r="T822" s="10"/>
      <c r="U822" s="10"/>
      <c r="V822" s="10"/>
      <c r="W822" s="12">
        <f t="shared" si="237"/>
        <v>0</v>
      </c>
      <c r="Y822" s="10"/>
      <c r="Z822" s="30"/>
      <c r="AA822" s="31"/>
      <c r="AB822" s="47"/>
      <c r="AC822" s="31"/>
      <c r="AD822" s="31"/>
      <c r="AE822" s="32">
        <f t="shared" ref="AE822" si="249">SUM(AB822:AC822)</f>
        <v>0</v>
      </c>
      <c r="AF822" s="10"/>
      <c r="AG822" s="10"/>
      <c r="AH822" s="10"/>
      <c r="AI822" s="12">
        <f t="shared" si="245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7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5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205651.5</v>
      </c>
      <c r="E825" s="38">
        <f t="shared" ref="E825:F825" si="250">SUM(E782:E822)</f>
        <v>0</v>
      </c>
      <c r="F825" s="38">
        <f t="shared" si="250"/>
        <v>0</v>
      </c>
      <c r="G825" s="38">
        <f>SUM(G782:G824)</f>
        <v>205651.5</v>
      </c>
      <c r="H825" s="4"/>
      <c r="I825" s="39">
        <f>SUM(I782:I824)</f>
        <v>270</v>
      </c>
      <c r="J825" s="39">
        <f>SUM(J782:J824)</f>
        <v>0</v>
      </c>
      <c r="K825" s="40">
        <f>SUM(K782:K824)</f>
        <v>205921.5</v>
      </c>
      <c r="N825" s="57"/>
      <c r="O825" s="57"/>
      <c r="P825" s="38">
        <f>SUM(P782:P824)</f>
        <v>223738</v>
      </c>
      <c r="Q825" s="38">
        <f>SUM(Q782:Q806)</f>
        <v>-1944</v>
      </c>
      <c r="R825" s="38">
        <f>SUM(R782:R806)</f>
        <v>0</v>
      </c>
      <c r="S825" s="38">
        <f>SUM(S782:S824)</f>
        <v>221794</v>
      </c>
      <c r="T825" s="4"/>
      <c r="U825" s="41">
        <f>SUM(U782:U824)</f>
        <v>1092</v>
      </c>
      <c r="V825" s="41">
        <f>SUM(V782:V806)</f>
        <v>-711</v>
      </c>
      <c r="W825" s="42">
        <f>SUM(W782:W824)</f>
        <v>222175</v>
      </c>
      <c r="Z825" s="57"/>
      <c r="AA825" s="57"/>
      <c r="AB825" s="38">
        <f>SUM(AB782:AB824)</f>
        <v>306620.5</v>
      </c>
      <c r="AC825" s="38">
        <f>SUM(AC782:AC806)</f>
        <v>-1758</v>
      </c>
      <c r="AD825" s="38">
        <f>SUM(AD782:AD806)</f>
        <v>0</v>
      </c>
      <c r="AE825" s="38">
        <f>SUM(AE782:AE824)</f>
        <v>304862.5</v>
      </c>
      <c r="AF825" s="4"/>
      <c r="AG825" s="41">
        <f>SUM(AG782:AG824)</f>
        <v>2937</v>
      </c>
      <c r="AH825" s="41">
        <f>SUM(AH782:AH806)</f>
        <v>-1776</v>
      </c>
      <c r="AI825" s="42">
        <f>SUM(AI782:AI824)</f>
        <v>306023.5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41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41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41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82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82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82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9" t="s">
        <v>17</v>
      </c>
      <c r="E835" s="119"/>
      <c r="F835" s="106"/>
      <c r="G835" s="27"/>
      <c r="I835" s="117" t="s">
        <v>18</v>
      </c>
      <c r="J835" s="118"/>
      <c r="K835" s="115" t="s">
        <v>19</v>
      </c>
      <c r="N835" s="25"/>
      <c r="O835" s="26"/>
      <c r="P835" s="119" t="s">
        <v>17</v>
      </c>
      <c r="Q835" s="119"/>
      <c r="R835" s="106"/>
      <c r="S835" s="27"/>
      <c r="U835" s="117" t="s">
        <v>18</v>
      </c>
      <c r="V835" s="118"/>
      <c r="W835" s="115" t="s">
        <v>19</v>
      </c>
      <c r="Z835" s="25"/>
      <c r="AA835" s="26"/>
      <c r="AB835" s="119" t="s">
        <v>17</v>
      </c>
      <c r="AC835" s="119"/>
      <c r="AD835" s="106"/>
      <c r="AE835" s="27"/>
      <c r="AG835" s="117" t="s">
        <v>18</v>
      </c>
      <c r="AH835" s="118"/>
      <c r="AI835" s="115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6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6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6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83</v>
      </c>
      <c r="C837" s="83">
        <v>10237</v>
      </c>
      <c r="D837" s="32">
        <f>650*119+670*5+973+1824+1050+1744</f>
        <v>86291</v>
      </c>
      <c r="E837" s="32"/>
      <c r="F837" s="32"/>
      <c r="G837" s="32">
        <f t="shared" ref="G837:G870" si="251">SUM(D837:E837)</f>
        <v>86291</v>
      </c>
      <c r="H837" s="12"/>
      <c r="I837" s="12"/>
      <c r="J837" s="12"/>
      <c r="K837" s="12">
        <f t="shared" ref="K837:K870" si="252">SUM(G837:J837)</f>
        <v>86291</v>
      </c>
      <c r="M837" s="10">
        <v>1</v>
      </c>
      <c r="N837" s="30" t="s">
        <v>83</v>
      </c>
      <c r="O837" s="31">
        <v>10194</v>
      </c>
      <c r="P837" s="32">
        <f>650*120+670*5+622*30+229*2</f>
        <v>100468</v>
      </c>
      <c r="Q837" s="32">
        <f>-155*6</f>
        <v>-930</v>
      </c>
      <c r="R837" s="32"/>
      <c r="S837" s="32">
        <f>SUM(P837:Q837)</f>
        <v>99538</v>
      </c>
      <c r="T837" s="12"/>
      <c r="U837" s="12">
        <f>6549+72</f>
        <v>6621</v>
      </c>
      <c r="V837" s="12"/>
      <c r="W837" s="12">
        <f>SUM(S837:V837)</f>
        <v>106159</v>
      </c>
      <c r="Y837" s="10">
        <v>1</v>
      </c>
      <c r="Z837" s="30" t="s">
        <v>83</v>
      </c>
      <c r="AA837" s="31">
        <v>10140</v>
      </c>
      <c r="AB837" s="32">
        <f>650*14+670+622*3</f>
        <v>11636</v>
      </c>
      <c r="AC837" s="32"/>
      <c r="AD837" s="32"/>
      <c r="AE837" s="32">
        <f>SUM(AB837:AC837)</f>
        <v>11636</v>
      </c>
      <c r="AF837" s="12"/>
      <c r="AG837" s="12"/>
      <c r="AH837" s="12"/>
      <c r="AI837" s="12">
        <f>SUM(AE837:AH837)</f>
        <v>11636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83</v>
      </c>
      <c r="C838" s="83">
        <f>C837+1</f>
        <v>10238</v>
      </c>
      <c r="D838" s="32">
        <f>650*111+229*2</f>
        <v>72608</v>
      </c>
      <c r="E838" s="32"/>
      <c r="F838" s="32"/>
      <c r="G838" s="32">
        <f t="shared" si="251"/>
        <v>72608</v>
      </c>
      <c r="H838" s="12"/>
      <c r="I838" s="12"/>
      <c r="J838" s="12"/>
      <c r="K838" s="12">
        <f t="shared" si="252"/>
        <v>72608</v>
      </c>
      <c r="M838" s="10">
        <v>2</v>
      </c>
      <c r="N838" s="30" t="s">
        <v>83</v>
      </c>
      <c r="O838" s="31">
        <f>O837+1</f>
        <v>10195</v>
      </c>
      <c r="P838" s="32">
        <f>650*8</f>
        <v>5200</v>
      </c>
      <c r="Q838" s="32"/>
      <c r="R838" s="32"/>
      <c r="S838" s="32">
        <f t="shared" ref="S838:S875" si="253">SUM(P838:Q838)</f>
        <v>5200</v>
      </c>
      <c r="T838" s="12"/>
      <c r="U838" s="12"/>
      <c r="V838" s="12">
        <v>-1332</v>
      </c>
      <c r="W838" s="12">
        <f t="shared" ref="W838:W878" si="254">SUM(S838:V838)</f>
        <v>3868</v>
      </c>
      <c r="Y838" s="10">
        <v>2</v>
      </c>
      <c r="Z838" s="30" t="s">
        <v>83</v>
      </c>
      <c r="AA838" s="31">
        <f>AA837+1</f>
        <v>10141</v>
      </c>
      <c r="AB838" s="32">
        <f>650*17+622*3</f>
        <v>12916</v>
      </c>
      <c r="AC838" s="32"/>
      <c r="AD838" s="32"/>
      <c r="AE838" s="32">
        <f t="shared" ref="AE838:AE840" si="255">SUM(AB838:AC838)</f>
        <v>12916</v>
      </c>
      <c r="AF838" s="12"/>
      <c r="AG838" s="12"/>
      <c r="AH838" s="12"/>
      <c r="AI838" s="12">
        <f t="shared" ref="AI838:AI869" si="256">SUM(AE838:AH838)</f>
        <v>12916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83</v>
      </c>
      <c r="C839" s="83">
        <f t="shared" ref="C839:C843" si="257">C838+1</f>
        <v>10239</v>
      </c>
      <c r="D839" s="33">
        <f>650*101+650*2</f>
        <v>66950</v>
      </c>
      <c r="E839" s="32"/>
      <c r="F839" s="33"/>
      <c r="G839" s="33">
        <f t="shared" si="251"/>
        <v>66950</v>
      </c>
      <c r="H839" s="34"/>
      <c r="I839" s="34">
        <v>135</v>
      </c>
      <c r="J839" s="34"/>
      <c r="K839" s="34">
        <f t="shared" si="252"/>
        <v>67085</v>
      </c>
      <c r="M839" s="10">
        <v>3</v>
      </c>
      <c r="N839" s="30" t="s">
        <v>83</v>
      </c>
      <c r="O839" s="31">
        <f t="shared" ref="O839:O842" si="258">O838+1</f>
        <v>10196</v>
      </c>
      <c r="P839" s="32">
        <f>650*6+9.5*6</f>
        <v>3957</v>
      </c>
      <c r="Q839" s="32"/>
      <c r="R839" s="32"/>
      <c r="S839" s="32">
        <f t="shared" si="253"/>
        <v>3957</v>
      </c>
      <c r="T839" s="12"/>
      <c r="U839" s="12">
        <f>4.5*25</f>
        <v>112.5</v>
      </c>
      <c r="V839" s="12"/>
      <c r="W839" s="12">
        <f t="shared" si="254"/>
        <v>4069.5</v>
      </c>
      <c r="Y839" s="10">
        <v>3</v>
      </c>
      <c r="Z839" s="30" t="s">
        <v>83</v>
      </c>
      <c r="AA839" s="31">
        <f t="shared" ref="AA839:AA845" si="259">AA838+1</f>
        <v>10142</v>
      </c>
      <c r="AB839" s="33">
        <f>650*60+670*10+229*2</f>
        <v>46158</v>
      </c>
      <c r="AC839" s="33"/>
      <c r="AD839" s="32"/>
      <c r="AE839" s="32">
        <f t="shared" si="255"/>
        <v>46158</v>
      </c>
      <c r="AF839" s="12"/>
      <c r="AG839" s="12"/>
      <c r="AH839" s="12"/>
      <c r="AI839" s="12">
        <f t="shared" si="256"/>
        <v>46158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83</v>
      </c>
      <c r="C840" s="83">
        <f t="shared" si="257"/>
        <v>10240</v>
      </c>
      <c r="D840" s="32">
        <f>650*3</f>
        <v>1950</v>
      </c>
      <c r="E840" s="32"/>
      <c r="F840" s="32"/>
      <c r="G840" s="32">
        <f t="shared" si="251"/>
        <v>1950</v>
      </c>
      <c r="H840" s="12"/>
      <c r="I840" s="12"/>
      <c r="J840" s="12"/>
      <c r="K840" s="12">
        <f t="shared" si="252"/>
        <v>1950</v>
      </c>
      <c r="M840" s="10">
        <v>4</v>
      </c>
      <c r="N840" s="30" t="s">
        <v>83</v>
      </c>
      <c r="O840" s="31">
        <f t="shared" si="258"/>
        <v>10197</v>
      </c>
      <c r="P840" s="32">
        <f>650*180+622*20+229*3+650*2</f>
        <v>131427</v>
      </c>
      <c r="Q840" s="32">
        <f>-200*6</f>
        <v>-1200</v>
      </c>
      <c r="R840" s="32"/>
      <c r="S840" s="32">
        <f t="shared" si="253"/>
        <v>130227</v>
      </c>
      <c r="T840" s="12"/>
      <c r="U840" s="12"/>
      <c r="V840" s="12">
        <v>-9435</v>
      </c>
      <c r="W840" s="12">
        <f t="shared" si="254"/>
        <v>120792</v>
      </c>
      <c r="Y840" s="10">
        <v>4</v>
      </c>
      <c r="Z840" s="30" t="s">
        <v>83</v>
      </c>
      <c r="AA840" s="31">
        <f t="shared" si="259"/>
        <v>10143</v>
      </c>
      <c r="AB840" s="32">
        <f>650*37+912*2+1050*2+872*2+229*2+500*2</f>
        <v>31176</v>
      </c>
      <c r="AC840" s="32"/>
      <c r="AD840" s="32"/>
      <c r="AE840" s="32">
        <f t="shared" si="255"/>
        <v>31176</v>
      </c>
      <c r="AF840" s="12"/>
      <c r="AG840">
        <v>81</v>
      </c>
      <c r="AH840" s="12"/>
      <c r="AI840" s="12">
        <f t="shared" si="256"/>
        <v>31257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83</v>
      </c>
      <c r="C841" s="83">
        <f t="shared" si="257"/>
        <v>10241</v>
      </c>
      <c r="D841" s="32">
        <f>650*2+700*3</f>
        <v>3400</v>
      </c>
      <c r="E841" s="32"/>
      <c r="F841" s="32"/>
      <c r="G841" s="32">
        <f t="shared" si="251"/>
        <v>3400</v>
      </c>
      <c r="H841" s="12"/>
      <c r="I841" s="12"/>
      <c r="J841" s="12"/>
      <c r="K841" s="12">
        <f t="shared" si="252"/>
        <v>3400</v>
      </c>
      <c r="M841" s="10">
        <v>5</v>
      </c>
      <c r="N841" s="30" t="s">
        <v>83</v>
      </c>
      <c r="O841" s="31">
        <f t="shared" si="258"/>
        <v>10198</v>
      </c>
      <c r="P841" s="32">
        <f>650*2+670+622*2+872</f>
        <v>4086</v>
      </c>
      <c r="Q841" s="32"/>
      <c r="R841" s="32"/>
      <c r="S841" s="32">
        <f t="shared" si="253"/>
        <v>4086</v>
      </c>
      <c r="T841" s="12"/>
      <c r="U841" s="12"/>
      <c r="V841" s="12">
        <v>-1554</v>
      </c>
      <c r="W841" s="12">
        <f t="shared" si="254"/>
        <v>2532</v>
      </c>
      <c r="Y841" s="10">
        <v>5</v>
      </c>
      <c r="Z841" s="30" t="s">
        <v>83</v>
      </c>
      <c r="AA841" s="31">
        <f t="shared" si="259"/>
        <v>10144</v>
      </c>
      <c r="AB841" s="32">
        <f>650*11+9.5*11</f>
        <v>7254.5</v>
      </c>
      <c r="AC841" s="32"/>
      <c r="AD841" s="32"/>
      <c r="AE841" s="32">
        <f t="shared" ref="AE841:AE842" si="260">SUM(AB841:AC841)</f>
        <v>7254.5</v>
      </c>
      <c r="AF841" s="12"/>
      <c r="AG841" s="12"/>
      <c r="AH841" s="12"/>
      <c r="AI841" s="12">
        <f t="shared" si="256"/>
        <v>7254.5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83</v>
      </c>
      <c r="C842" s="83">
        <f t="shared" si="257"/>
        <v>10242</v>
      </c>
      <c r="D842" s="32">
        <f>973*70+1050*3</f>
        <v>71260</v>
      </c>
      <c r="E842" s="32"/>
      <c r="F842" s="32"/>
      <c r="G842" s="32">
        <f t="shared" si="251"/>
        <v>71260</v>
      </c>
      <c r="H842" s="12"/>
      <c r="I842" s="12"/>
      <c r="J842" s="12"/>
      <c r="K842" s="12">
        <f t="shared" si="252"/>
        <v>71260</v>
      </c>
      <c r="M842" s="10">
        <v>6</v>
      </c>
      <c r="N842" s="30" t="s">
        <v>83</v>
      </c>
      <c r="O842" s="31">
        <f t="shared" si="258"/>
        <v>10199</v>
      </c>
      <c r="P842" s="32">
        <f>650*2+670</f>
        <v>1970</v>
      </c>
      <c r="Q842" s="32"/>
      <c r="R842" s="32"/>
      <c r="S842" s="32">
        <f t="shared" si="253"/>
        <v>1970</v>
      </c>
      <c r="T842" s="12"/>
      <c r="U842" s="12"/>
      <c r="V842" s="10">
        <v>-999</v>
      </c>
      <c r="W842" s="12">
        <f t="shared" si="254"/>
        <v>971</v>
      </c>
      <c r="Y842" s="10">
        <v>6</v>
      </c>
      <c r="Z842" s="30" t="s">
        <v>83</v>
      </c>
      <c r="AA842" s="31">
        <f t="shared" si="259"/>
        <v>10145</v>
      </c>
      <c r="AB842" s="32">
        <f>650*5+670+9.5*5</f>
        <v>3967.5</v>
      </c>
      <c r="AC842" s="32"/>
      <c r="AD842" s="32"/>
      <c r="AE842" s="32">
        <f t="shared" si="260"/>
        <v>3967.5</v>
      </c>
      <c r="AF842" s="12"/>
      <c r="AG842" s="12"/>
      <c r="AH842" s="10">
        <f>-78+-108</f>
        <v>-186</v>
      </c>
      <c r="AI842" s="12">
        <f t="shared" si="256"/>
        <v>3781.5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83</v>
      </c>
      <c r="C843" s="83">
        <f t="shared" si="257"/>
        <v>10243</v>
      </c>
      <c r="D843" s="32">
        <f>650*19+622*3</f>
        <v>14216</v>
      </c>
      <c r="E843" s="32"/>
      <c r="F843" s="32"/>
      <c r="G843" s="32">
        <f t="shared" si="251"/>
        <v>14216</v>
      </c>
      <c r="H843" s="12"/>
      <c r="I843" s="12"/>
      <c r="J843" s="12"/>
      <c r="K843" s="12">
        <f t="shared" si="252"/>
        <v>14216</v>
      </c>
      <c r="M843" s="10">
        <v>7</v>
      </c>
      <c r="N843" s="30"/>
      <c r="O843" s="11" t="s">
        <v>27</v>
      </c>
      <c r="P843" s="32"/>
      <c r="Q843" s="32"/>
      <c r="R843" s="32"/>
      <c r="S843" s="32">
        <f t="shared" si="253"/>
        <v>0</v>
      </c>
      <c r="T843" s="12"/>
      <c r="U843" s="12"/>
      <c r="V843" s="12"/>
      <c r="W843" s="12">
        <f t="shared" si="254"/>
        <v>0</v>
      </c>
      <c r="Y843" s="10">
        <v>7</v>
      </c>
      <c r="Z843" s="30" t="s">
        <v>83</v>
      </c>
      <c r="AA843" s="31">
        <f t="shared" si="259"/>
        <v>10146</v>
      </c>
      <c r="AB843" s="32">
        <f>650*20+229</f>
        <v>13229</v>
      </c>
      <c r="AC843" s="32"/>
      <c r="AD843" s="32"/>
      <c r="AE843" s="32">
        <f>SUM(AB843:AC843)</f>
        <v>13229</v>
      </c>
      <c r="AF843" s="12"/>
      <c r="AG843" s="58"/>
      <c r="AH843" s="12"/>
      <c r="AI843" s="12">
        <f t="shared" si="256"/>
        <v>13229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51"/>
        <v>0</v>
      </c>
      <c r="H844" s="12"/>
      <c r="I844" s="12"/>
      <c r="J844" s="12"/>
      <c r="K844" s="12">
        <f t="shared" si="252"/>
        <v>0</v>
      </c>
      <c r="M844" s="10">
        <v>8</v>
      </c>
      <c r="N844" s="30"/>
      <c r="O844" s="31"/>
      <c r="P844" s="32"/>
      <c r="Q844" s="32"/>
      <c r="R844" s="32"/>
      <c r="S844" s="32">
        <f t="shared" si="253"/>
        <v>0</v>
      </c>
      <c r="T844" s="12"/>
      <c r="U844" s="12"/>
      <c r="V844" s="12"/>
      <c r="W844" s="12">
        <f t="shared" si="254"/>
        <v>0</v>
      </c>
      <c r="Y844" s="10">
        <v>8</v>
      </c>
      <c r="Z844" s="30" t="s">
        <v>83</v>
      </c>
      <c r="AA844" s="31">
        <f t="shared" si="259"/>
        <v>10147</v>
      </c>
      <c r="AB844" s="32">
        <f>650*108</f>
        <v>70200</v>
      </c>
      <c r="AC844" s="32">
        <f>-108*6</f>
        <v>-648</v>
      </c>
      <c r="AE844" s="32">
        <f t="shared" ref="AE844:AE875" si="261">SUM(AB844:AC844)</f>
        <v>69552</v>
      </c>
      <c r="AF844" s="12"/>
      <c r="AG844" s="12"/>
      <c r="AH844" s="12">
        <v>-26145</v>
      </c>
      <c r="AI844" s="12">
        <f t="shared" si="256"/>
        <v>43407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51"/>
        <v>0</v>
      </c>
      <c r="H845" s="12"/>
      <c r="I845" s="12"/>
      <c r="J845" s="12"/>
      <c r="K845" s="12">
        <f t="shared" si="252"/>
        <v>0</v>
      </c>
      <c r="M845" s="10">
        <v>9</v>
      </c>
      <c r="N845" s="30"/>
      <c r="O845" s="31"/>
      <c r="P845" s="32"/>
      <c r="Q845" s="32"/>
      <c r="R845" s="32"/>
      <c r="S845" s="32">
        <f t="shared" si="253"/>
        <v>0</v>
      </c>
      <c r="T845" s="12"/>
      <c r="U845" s="12"/>
      <c r="V845" s="12"/>
      <c r="W845" s="12">
        <f t="shared" si="254"/>
        <v>0</v>
      </c>
      <c r="Y845" s="10">
        <v>9</v>
      </c>
      <c r="Z845" s="30" t="s">
        <v>83</v>
      </c>
      <c r="AA845" s="31">
        <f t="shared" si="259"/>
        <v>10148</v>
      </c>
      <c r="AB845" s="32">
        <f>650*108+229*10</f>
        <v>72490</v>
      </c>
      <c r="AC845" s="32"/>
      <c r="AD845" s="32"/>
      <c r="AE845" s="32">
        <f t="shared" si="261"/>
        <v>72490</v>
      </c>
      <c r="AF845" s="12"/>
      <c r="AG845">
        <f>111*108+78*10</f>
        <v>12768</v>
      </c>
      <c r="AH845" s="12"/>
      <c r="AI845" s="12">
        <f t="shared" si="256"/>
        <v>85258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51"/>
        <v>0</v>
      </c>
      <c r="H846" s="12"/>
      <c r="I846" s="12"/>
      <c r="J846" s="12"/>
      <c r="K846" s="12">
        <f t="shared" si="252"/>
        <v>0</v>
      </c>
      <c r="M846" s="10">
        <v>10</v>
      </c>
      <c r="N846" s="30"/>
      <c r="O846" s="31"/>
      <c r="P846" s="32"/>
      <c r="Q846" s="32"/>
      <c r="R846" s="32"/>
      <c r="S846" s="32">
        <f t="shared" si="253"/>
        <v>0</v>
      </c>
      <c r="T846" s="12"/>
      <c r="U846" s="12"/>
      <c r="V846" s="12"/>
      <c r="W846" s="12">
        <f t="shared" si="254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61"/>
        <v>0</v>
      </c>
      <c r="AF846" s="12"/>
      <c r="AG846" s="12"/>
      <c r="AH846" s="12"/>
      <c r="AI846" s="12">
        <f t="shared" si="256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51"/>
        <v>0</v>
      </c>
      <c r="H847" s="12"/>
      <c r="I847" s="12"/>
      <c r="J847" s="12"/>
      <c r="K847" s="12">
        <f t="shared" si="252"/>
        <v>0</v>
      </c>
      <c r="M847" s="10">
        <v>11</v>
      </c>
      <c r="N847" s="30"/>
      <c r="O847" s="31"/>
      <c r="P847" s="32"/>
      <c r="Q847" s="32"/>
      <c r="R847" s="32"/>
      <c r="S847" s="32">
        <f t="shared" si="253"/>
        <v>0</v>
      </c>
      <c r="T847" s="12"/>
      <c r="U847" s="12"/>
      <c r="V847" s="12"/>
      <c r="W847" s="12">
        <f t="shared" si="254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61"/>
        <v>0</v>
      </c>
      <c r="AF847" s="12"/>
      <c r="AG847" s="12"/>
      <c r="AH847" s="12"/>
      <c r="AI847" s="12">
        <f t="shared" si="256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51"/>
        <v>0</v>
      </c>
      <c r="H848" s="12"/>
      <c r="I848" s="12"/>
      <c r="J848" s="10"/>
      <c r="K848" s="12">
        <f t="shared" si="252"/>
        <v>0</v>
      </c>
      <c r="M848" s="10">
        <v>12</v>
      </c>
      <c r="N848" s="30"/>
      <c r="O848" s="31"/>
      <c r="P848" s="32"/>
      <c r="Q848" s="32"/>
      <c r="R848" s="32"/>
      <c r="S848" s="32">
        <f t="shared" si="253"/>
        <v>0</v>
      </c>
      <c r="T848" s="12"/>
      <c r="U848" s="12"/>
      <c r="V848" s="12"/>
      <c r="W848" s="12">
        <f t="shared" si="254"/>
        <v>0</v>
      </c>
      <c r="Y848" s="10">
        <v>12</v>
      </c>
      <c r="Z848" s="30"/>
      <c r="AA848" s="11"/>
      <c r="AB848" s="32"/>
      <c r="AC848" s="32"/>
      <c r="AD848" s="32"/>
      <c r="AE848" s="32">
        <f t="shared" si="261"/>
        <v>0</v>
      </c>
      <c r="AF848" s="12"/>
      <c r="AG848" s="12"/>
      <c r="AH848" s="12"/>
      <c r="AI848" s="12">
        <f t="shared" si="256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51"/>
        <v>0</v>
      </c>
      <c r="H849" s="12"/>
      <c r="I849" s="12"/>
      <c r="J849" s="12"/>
      <c r="K849" s="12">
        <f t="shared" si="252"/>
        <v>0</v>
      </c>
      <c r="M849" s="10">
        <v>13</v>
      </c>
      <c r="N849" s="30"/>
      <c r="O849" s="31"/>
      <c r="P849" s="32"/>
      <c r="Q849" s="32"/>
      <c r="R849" s="32"/>
      <c r="S849" s="32">
        <f t="shared" si="253"/>
        <v>0</v>
      </c>
      <c r="T849" s="12"/>
      <c r="U849" s="12"/>
      <c r="V849" s="12"/>
      <c r="W849" s="12">
        <f t="shared" si="25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61"/>
        <v>0</v>
      </c>
      <c r="AF849" s="12"/>
      <c r="AG849" s="12"/>
      <c r="AH849" s="12"/>
      <c r="AI849" s="12">
        <f t="shared" si="256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51"/>
        <v>0</v>
      </c>
      <c r="H850" s="12"/>
      <c r="I850" s="12"/>
      <c r="J850" s="12"/>
      <c r="K850" s="12">
        <f t="shared" si="252"/>
        <v>0</v>
      </c>
      <c r="M850" s="10">
        <v>14</v>
      </c>
      <c r="N850" s="30"/>
      <c r="O850" s="31"/>
      <c r="P850" s="32"/>
      <c r="Q850" s="32"/>
      <c r="R850" s="32"/>
      <c r="S850" s="32">
        <f t="shared" si="253"/>
        <v>0</v>
      </c>
      <c r="T850" s="12"/>
      <c r="U850" s="12"/>
      <c r="V850" s="12"/>
      <c r="W850" s="12">
        <f t="shared" si="25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61"/>
        <v>0</v>
      </c>
      <c r="AF850" s="12"/>
      <c r="AG850" s="12"/>
      <c r="AH850" s="12"/>
      <c r="AI850" s="12">
        <f t="shared" si="256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51"/>
        <v>0</v>
      </c>
      <c r="H851" s="12"/>
      <c r="I851" s="12"/>
      <c r="J851" s="12"/>
      <c r="K851" s="12">
        <f t="shared" si="252"/>
        <v>0</v>
      </c>
      <c r="M851" s="10">
        <v>15</v>
      </c>
      <c r="N851" s="30"/>
      <c r="O851" s="31"/>
      <c r="P851" s="32"/>
      <c r="Q851" s="32"/>
      <c r="R851" s="32"/>
      <c r="S851" s="32">
        <f t="shared" si="253"/>
        <v>0</v>
      </c>
      <c r="T851" s="12"/>
      <c r="U851" s="12"/>
      <c r="V851" s="12"/>
      <c r="W851" s="12">
        <f t="shared" si="25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61"/>
        <v>0</v>
      </c>
      <c r="AF851" s="12"/>
      <c r="AG851" s="12"/>
      <c r="AH851" s="12"/>
      <c r="AI851" s="12">
        <f t="shared" si="256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D852" s="32"/>
      <c r="E852" s="32"/>
      <c r="F852" s="32"/>
      <c r="G852" s="32">
        <f t="shared" si="251"/>
        <v>0</v>
      </c>
      <c r="H852" s="12"/>
      <c r="I852" s="12"/>
      <c r="J852" s="12"/>
      <c r="K852" s="12">
        <f t="shared" si="252"/>
        <v>0</v>
      </c>
      <c r="M852" s="10">
        <v>16</v>
      </c>
      <c r="N852" s="30"/>
      <c r="O852" s="11"/>
      <c r="P852" s="32"/>
      <c r="Q852" s="32"/>
      <c r="R852" s="32"/>
      <c r="S852" s="32">
        <f t="shared" si="253"/>
        <v>0</v>
      </c>
      <c r="T852" s="12"/>
      <c r="U852" s="12"/>
      <c r="V852" s="12"/>
      <c r="W852" s="12">
        <f t="shared" si="254"/>
        <v>0</v>
      </c>
      <c r="Y852" s="10">
        <v>16</v>
      </c>
      <c r="AA852" s="11"/>
      <c r="AB852" s="32"/>
      <c r="AC852" s="32"/>
      <c r="AD852" s="32"/>
      <c r="AE852" s="32">
        <f t="shared" si="261"/>
        <v>0</v>
      </c>
      <c r="AF852" s="12"/>
      <c r="AG852" s="12"/>
      <c r="AH852" s="12"/>
      <c r="AI852" s="12">
        <f t="shared" si="256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51"/>
        <v>0</v>
      </c>
      <c r="H853" s="12"/>
      <c r="I853" s="12"/>
      <c r="J853" s="12"/>
      <c r="K853" s="12">
        <f t="shared" si="252"/>
        <v>0</v>
      </c>
      <c r="M853" s="10">
        <v>17</v>
      </c>
      <c r="N853" s="30"/>
      <c r="O853" s="31"/>
      <c r="P853" s="35"/>
      <c r="Q853" s="32"/>
      <c r="R853" s="32"/>
      <c r="S853" s="32">
        <f t="shared" si="253"/>
        <v>0</v>
      </c>
      <c r="T853" s="12"/>
      <c r="U853" s="12"/>
      <c r="V853" s="12"/>
      <c r="W853" s="12">
        <f t="shared" si="25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61"/>
        <v>0</v>
      </c>
      <c r="AF853" s="12"/>
      <c r="AG853" s="12"/>
      <c r="AH853" s="12"/>
      <c r="AI853" s="12">
        <f t="shared" si="256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51"/>
        <v>0</v>
      </c>
      <c r="H854" s="12"/>
      <c r="I854" s="12"/>
      <c r="J854" s="12"/>
      <c r="K854" s="12">
        <f t="shared" si="252"/>
        <v>0</v>
      </c>
      <c r="M854" s="10">
        <v>18</v>
      </c>
      <c r="N854" s="30"/>
      <c r="P854" s="32"/>
      <c r="Q854" s="32"/>
      <c r="R854" s="32"/>
      <c r="S854" s="32">
        <f t="shared" si="253"/>
        <v>0</v>
      </c>
      <c r="T854" s="12"/>
      <c r="U854" s="12"/>
      <c r="V854" s="12"/>
      <c r="W854" s="12">
        <f t="shared" si="25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61"/>
        <v>0</v>
      </c>
      <c r="AF854" s="12"/>
      <c r="AG854" s="12"/>
      <c r="AH854" s="12"/>
      <c r="AI854" s="12">
        <f t="shared" si="256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51"/>
        <v>0</v>
      </c>
      <c r="H855" s="12"/>
      <c r="I855" s="12"/>
      <c r="J855" s="12"/>
      <c r="K855" s="12">
        <f t="shared" si="252"/>
        <v>0</v>
      </c>
      <c r="M855" s="10">
        <v>19</v>
      </c>
      <c r="N855" s="30"/>
      <c r="O855" s="31"/>
      <c r="P855" s="32"/>
      <c r="Q855" s="32"/>
      <c r="R855" s="32"/>
      <c r="S855" s="32">
        <f t="shared" si="253"/>
        <v>0</v>
      </c>
      <c r="T855" s="12"/>
      <c r="U855" s="12"/>
      <c r="V855" s="12"/>
      <c r="W855" s="12">
        <f t="shared" si="25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61"/>
        <v>0</v>
      </c>
      <c r="AF855" s="12"/>
      <c r="AG855" s="12"/>
      <c r="AH855" s="12"/>
      <c r="AI855" s="12">
        <f t="shared" si="256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51"/>
        <v>0</v>
      </c>
      <c r="H856" s="12"/>
      <c r="I856" s="12"/>
      <c r="J856" s="12"/>
      <c r="K856" s="12">
        <f t="shared" si="252"/>
        <v>0</v>
      </c>
      <c r="M856" s="10">
        <v>20</v>
      </c>
      <c r="N856" s="30"/>
      <c r="O856" s="31"/>
      <c r="P856" s="32"/>
      <c r="Q856" s="32"/>
      <c r="R856" s="32"/>
      <c r="S856" s="32">
        <f t="shared" si="253"/>
        <v>0</v>
      </c>
      <c r="T856" s="12"/>
      <c r="U856" s="12"/>
      <c r="V856" s="12"/>
      <c r="W856" s="12">
        <f t="shared" si="254"/>
        <v>0</v>
      </c>
      <c r="Y856" s="10">
        <v>20</v>
      </c>
      <c r="Z856" s="30"/>
      <c r="AB856" s="32"/>
      <c r="AC856" s="32"/>
      <c r="AD856" s="32"/>
      <c r="AE856" s="32">
        <f t="shared" si="261"/>
        <v>0</v>
      </c>
      <c r="AF856" s="12"/>
      <c r="AG856" s="12"/>
      <c r="AH856" s="12"/>
      <c r="AI856" s="12">
        <f t="shared" si="256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51"/>
        <v>0</v>
      </c>
      <c r="H857" s="10"/>
      <c r="I857" s="10"/>
      <c r="J857" s="10"/>
      <c r="K857" s="12">
        <f t="shared" si="252"/>
        <v>0</v>
      </c>
      <c r="M857" s="10">
        <v>21</v>
      </c>
      <c r="N857" s="30"/>
      <c r="O857" s="11"/>
      <c r="P857" s="46"/>
      <c r="Q857" s="31"/>
      <c r="R857" s="31"/>
      <c r="S857" s="32">
        <f t="shared" si="253"/>
        <v>0</v>
      </c>
      <c r="T857" s="10"/>
      <c r="U857" s="10"/>
      <c r="V857" s="10"/>
      <c r="W857" s="12">
        <f t="shared" si="254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61"/>
        <v>0</v>
      </c>
      <c r="AF857" s="10"/>
      <c r="AG857" s="10"/>
      <c r="AH857" s="10"/>
      <c r="AI857" s="12">
        <f t="shared" si="256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51"/>
        <v>0</v>
      </c>
      <c r="H858" s="10"/>
      <c r="I858" s="10"/>
      <c r="J858" s="10"/>
      <c r="K858" s="12">
        <f t="shared" si="252"/>
        <v>0</v>
      </c>
      <c r="M858" s="10">
        <v>22</v>
      </c>
      <c r="N858" s="30"/>
      <c r="O858" s="31"/>
      <c r="P858" s="45"/>
      <c r="Q858" s="31"/>
      <c r="R858" s="31"/>
      <c r="S858" s="32">
        <f t="shared" si="253"/>
        <v>0</v>
      </c>
      <c r="T858" s="10"/>
      <c r="U858" s="10"/>
      <c r="V858" s="10"/>
      <c r="W858" s="12">
        <f t="shared" si="25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61"/>
        <v>0</v>
      </c>
      <c r="AF858" s="10"/>
      <c r="AG858" s="10"/>
      <c r="AH858" s="10"/>
      <c r="AI858" s="12">
        <f t="shared" si="256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51"/>
        <v>0</v>
      </c>
      <c r="H859" s="10"/>
      <c r="I859" s="10"/>
      <c r="J859" s="12"/>
      <c r="K859" s="12">
        <f t="shared" si="252"/>
        <v>0</v>
      </c>
      <c r="M859" s="10">
        <v>23</v>
      </c>
      <c r="N859" s="30"/>
      <c r="O859" s="31"/>
      <c r="P859" s="47"/>
      <c r="S859" s="32">
        <f t="shared" si="253"/>
        <v>0</v>
      </c>
      <c r="T859" s="10"/>
      <c r="U859" s="10"/>
      <c r="V859" s="10"/>
      <c r="W859" s="12">
        <f t="shared" si="254"/>
        <v>0</v>
      </c>
      <c r="Y859" s="10">
        <v>23</v>
      </c>
      <c r="Z859" s="30"/>
      <c r="AA859" s="31"/>
      <c r="AB859" s="47"/>
      <c r="AC859" s="31"/>
      <c r="AE859" s="32">
        <f t="shared" si="261"/>
        <v>0</v>
      </c>
      <c r="AF859" s="10"/>
      <c r="AG859" s="10"/>
      <c r="AH859" s="10"/>
      <c r="AI859" s="12">
        <f t="shared" si="256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51"/>
        <v>0</v>
      </c>
      <c r="H860" s="10"/>
      <c r="I860" s="10"/>
      <c r="J860" s="10"/>
      <c r="K860" s="12">
        <f t="shared" si="252"/>
        <v>0</v>
      </c>
      <c r="M860" s="10">
        <v>24</v>
      </c>
      <c r="N860" s="30"/>
      <c r="O860" s="31"/>
      <c r="P860" s="47"/>
      <c r="Q860" s="31"/>
      <c r="R860" s="31"/>
      <c r="S860" s="32">
        <f t="shared" si="253"/>
        <v>0</v>
      </c>
      <c r="T860" s="10"/>
      <c r="U860" s="10"/>
      <c r="V860" s="10"/>
      <c r="W860" s="12">
        <f t="shared" si="25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61"/>
        <v>0</v>
      </c>
      <c r="AF860" s="10"/>
      <c r="AG860" s="10"/>
      <c r="AH860" s="10"/>
      <c r="AI860" s="12">
        <f t="shared" si="256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51"/>
        <v>0</v>
      </c>
      <c r="H861" s="10"/>
      <c r="I861" s="10"/>
      <c r="J861" s="10"/>
      <c r="K861" s="12">
        <f t="shared" si="252"/>
        <v>0</v>
      </c>
      <c r="M861" s="10">
        <v>25</v>
      </c>
      <c r="N861" s="30"/>
      <c r="O861" s="31"/>
      <c r="P861" s="47"/>
      <c r="Q861" s="31"/>
      <c r="R861" s="31"/>
      <c r="S861" s="32">
        <f t="shared" si="253"/>
        <v>0</v>
      </c>
      <c r="T861" s="10"/>
      <c r="U861" s="10"/>
      <c r="V861" s="10"/>
      <c r="W861" s="12">
        <f t="shared" si="25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61"/>
        <v>0</v>
      </c>
      <c r="AF861" s="10"/>
      <c r="AG861" s="10"/>
      <c r="AH861" s="10"/>
      <c r="AI861" s="12">
        <f t="shared" si="256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51"/>
        <v>0</v>
      </c>
      <c r="H862" s="10"/>
      <c r="I862" s="10"/>
      <c r="J862" s="10"/>
      <c r="K862" s="12">
        <f t="shared" si="252"/>
        <v>0</v>
      </c>
      <c r="M862" s="10">
        <v>26</v>
      </c>
      <c r="N862" s="30"/>
      <c r="O862" s="11"/>
      <c r="P862" s="47"/>
      <c r="Q862" s="31"/>
      <c r="R862" s="31"/>
      <c r="S862" s="32">
        <f t="shared" si="253"/>
        <v>0</v>
      </c>
      <c r="T862" s="10"/>
      <c r="U862" s="10"/>
      <c r="V862" s="10"/>
      <c r="W862" s="12">
        <f t="shared" si="25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61"/>
        <v>0</v>
      </c>
      <c r="AF862" s="10"/>
      <c r="AG862" s="10"/>
      <c r="AH862" s="10"/>
      <c r="AI862" s="12">
        <f t="shared" si="256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51"/>
        <v>0</v>
      </c>
      <c r="H863" s="10"/>
      <c r="I863" s="10"/>
      <c r="J863" s="10"/>
      <c r="K863" s="12">
        <f t="shared" si="252"/>
        <v>0</v>
      </c>
      <c r="M863" s="10">
        <v>27</v>
      </c>
      <c r="N863" s="30"/>
      <c r="O863" s="31"/>
      <c r="P863" s="47"/>
      <c r="Q863" s="31"/>
      <c r="R863" s="31"/>
      <c r="S863" s="32">
        <f t="shared" si="253"/>
        <v>0</v>
      </c>
      <c r="T863" s="10"/>
      <c r="U863" s="10"/>
      <c r="V863" s="10"/>
      <c r="W863" s="12">
        <f t="shared" si="25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61"/>
        <v>0</v>
      </c>
      <c r="AF863" s="10"/>
      <c r="AG863" s="10"/>
      <c r="AH863" s="10"/>
      <c r="AI863" s="12">
        <f t="shared" si="256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51"/>
        <v>0</v>
      </c>
      <c r="H864" s="10"/>
      <c r="I864" s="10"/>
      <c r="J864" s="10"/>
      <c r="K864" s="12">
        <f t="shared" si="252"/>
        <v>0</v>
      </c>
      <c r="M864" s="10">
        <v>28</v>
      </c>
      <c r="N864" s="30"/>
      <c r="O864" s="31"/>
      <c r="P864" s="47"/>
      <c r="Q864" s="31"/>
      <c r="R864" s="31"/>
      <c r="S864" s="32">
        <f t="shared" si="253"/>
        <v>0</v>
      </c>
      <c r="T864" s="10"/>
      <c r="U864" s="10"/>
      <c r="V864" s="10"/>
      <c r="W864" s="12">
        <f t="shared" si="25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61"/>
        <v>0</v>
      </c>
      <c r="AF864" s="10"/>
      <c r="AG864" s="10"/>
      <c r="AH864" s="10"/>
      <c r="AI864" s="12">
        <f t="shared" si="256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51"/>
        <v>0</v>
      </c>
      <c r="H865" s="10"/>
      <c r="I865" s="10"/>
      <c r="J865" s="10"/>
      <c r="K865" s="12">
        <f t="shared" si="252"/>
        <v>0</v>
      </c>
      <c r="M865" s="10">
        <v>29</v>
      </c>
      <c r="N865" s="30"/>
      <c r="O865" s="31"/>
      <c r="P865" s="47"/>
      <c r="Q865" s="31"/>
      <c r="R865" s="31"/>
      <c r="S865" s="32">
        <f t="shared" si="253"/>
        <v>0</v>
      </c>
      <c r="T865" s="10"/>
      <c r="U865" s="10"/>
      <c r="V865" s="10"/>
      <c r="W865" s="12">
        <f t="shared" si="25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61"/>
        <v>0</v>
      </c>
      <c r="AF865" s="10"/>
      <c r="AG865" s="10"/>
      <c r="AH865" s="10"/>
      <c r="AI865" s="12">
        <f t="shared" si="256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51"/>
        <v>0</v>
      </c>
      <c r="H866" s="10"/>
      <c r="I866" s="10"/>
      <c r="J866" s="10"/>
      <c r="K866" s="12">
        <f t="shared" si="252"/>
        <v>0</v>
      </c>
      <c r="M866" s="10">
        <v>30</v>
      </c>
      <c r="N866" s="30"/>
      <c r="O866" s="31"/>
      <c r="P866" s="47"/>
      <c r="Q866" s="31"/>
      <c r="R866" s="31"/>
      <c r="S866" s="32">
        <f t="shared" si="253"/>
        <v>0</v>
      </c>
      <c r="T866" s="10"/>
      <c r="U866" s="10"/>
      <c r="V866" s="10"/>
      <c r="W866" s="12">
        <f t="shared" si="25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61"/>
        <v>0</v>
      </c>
      <c r="AF866" s="10"/>
      <c r="AG866" s="10"/>
      <c r="AH866" s="10"/>
      <c r="AI866" s="12">
        <f t="shared" si="256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51"/>
        <v>0</v>
      </c>
      <c r="H867" s="10"/>
      <c r="I867" s="10"/>
      <c r="J867" s="10"/>
      <c r="K867" s="12">
        <f t="shared" si="252"/>
        <v>0</v>
      </c>
      <c r="M867" s="10">
        <v>31</v>
      </c>
      <c r="N867" s="30"/>
      <c r="O867" s="31"/>
      <c r="P867" s="47"/>
      <c r="Q867" s="31"/>
      <c r="R867" s="31"/>
      <c r="S867" s="32">
        <f t="shared" si="253"/>
        <v>0</v>
      </c>
      <c r="T867" s="10"/>
      <c r="U867" s="10"/>
      <c r="V867" s="10"/>
      <c r="W867" s="12">
        <f t="shared" si="25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61"/>
        <v>0</v>
      </c>
      <c r="AF867" s="10"/>
      <c r="AG867" s="10"/>
      <c r="AH867" s="10"/>
      <c r="AI867" s="12">
        <f t="shared" si="256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51"/>
        <v>0</v>
      </c>
      <c r="H868" s="10"/>
      <c r="I868" s="10"/>
      <c r="J868" s="10"/>
      <c r="K868" s="12">
        <f t="shared" si="252"/>
        <v>0</v>
      </c>
      <c r="M868" s="10">
        <v>32</v>
      </c>
      <c r="N868" s="30"/>
      <c r="O868" s="31"/>
      <c r="P868" s="47"/>
      <c r="Q868" s="31"/>
      <c r="R868" s="31"/>
      <c r="S868" s="32">
        <f t="shared" si="253"/>
        <v>0</v>
      </c>
      <c r="T868" s="10"/>
      <c r="U868" s="10"/>
      <c r="V868" s="10"/>
      <c r="W868" s="12">
        <f t="shared" si="25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61"/>
        <v>0</v>
      </c>
      <c r="AF868" s="10"/>
      <c r="AG868" s="10"/>
      <c r="AH868" s="10"/>
      <c r="AI868" s="12">
        <f t="shared" si="256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51"/>
        <v>0</v>
      </c>
      <c r="H869" s="10"/>
      <c r="I869" s="10"/>
      <c r="J869" s="10"/>
      <c r="K869" s="12">
        <f t="shared" si="252"/>
        <v>0</v>
      </c>
      <c r="M869" s="10">
        <v>33</v>
      </c>
      <c r="N869" s="30"/>
      <c r="O869" s="31"/>
      <c r="P869" s="47"/>
      <c r="Q869" s="31"/>
      <c r="R869" s="31"/>
      <c r="S869" s="32">
        <f t="shared" si="253"/>
        <v>0</v>
      </c>
      <c r="T869" s="10"/>
      <c r="U869" s="10"/>
      <c r="V869" s="10"/>
      <c r="W869" s="12">
        <f t="shared" si="25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61"/>
        <v>0</v>
      </c>
      <c r="AF869" s="10"/>
      <c r="AG869" s="10"/>
      <c r="AH869" s="10"/>
      <c r="AI869" s="12">
        <f t="shared" si="256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51"/>
        <v>0</v>
      </c>
      <c r="H870" s="10"/>
      <c r="I870" s="10"/>
      <c r="J870" s="10"/>
      <c r="K870" s="12">
        <f t="shared" si="252"/>
        <v>0</v>
      </c>
      <c r="M870" s="10">
        <v>34</v>
      </c>
      <c r="N870" s="30"/>
      <c r="O870" s="31"/>
      <c r="P870" s="47"/>
      <c r="Q870" s="31"/>
      <c r="R870" s="31"/>
      <c r="S870" s="32">
        <f t="shared" si="253"/>
        <v>0</v>
      </c>
      <c r="T870" s="10"/>
      <c r="U870" s="10"/>
      <c r="V870" s="10"/>
      <c r="W870" s="12">
        <f t="shared" si="25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61"/>
        <v>0</v>
      </c>
      <c r="AF870" s="10"/>
      <c r="AG870" s="10"/>
      <c r="AH870" s="10"/>
      <c r="AI870" s="12">
        <f t="shared" ref="AI870:AI878" si="262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3"/>
        <v>0</v>
      </c>
      <c r="T871" s="10"/>
      <c r="U871" s="10"/>
      <c r="V871" s="10"/>
      <c r="W871" s="12">
        <f t="shared" si="25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61"/>
        <v>0</v>
      </c>
      <c r="AF871" s="10"/>
      <c r="AG871" s="10"/>
      <c r="AH871" s="10"/>
      <c r="AI871" s="12">
        <f t="shared" si="26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3"/>
        <v>0</v>
      </c>
      <c r="T872" s="10"/>
      <c r="U872" s="10"/>
      <c r="V872" s="10"/>
      <c r="W872" s="12">
        <f t="shared" si="25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61"/>
        <v>0</v>
      </c>
      <c r="AF872" s="10"/>
      <c r="AG872" s="10"/>
      <c r="AH872" s="10"/>
      <c r="AI872" s="12">
        <f t="shared" si="26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3"/>
        <v>0</v>
      </c>
      <c r="T873" s="10"/>
      <c r="U873" s="10"/>
      <c r="V873" s="10"/>
      <c r="W873" s="12">
        <f t="shared" si="25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61"/>
        <v>0</v>
      </c>
      <c r="AF873" s="10"/>
      <c r="AG873" s="10"/>
      <c r="AH873" s="10"/>
      <c r="AI873" s="12">
        <f t="shared" si="26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3"/>
        <v>0</v>
      </c>
      <c r="T874" s="10"/>
      <c r="U874" s="10"/>
      <c r="V874" s="10"/>
      <c r="W874" s="12">
        <f t="shared" si="25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61"/>
        <v>0</v>
      </c>
      <c r="AF874" s="10"/>
      <c r="AG874" s="10"/>
      <c r="AH874" s="10"/>
      <c r="AI874" s="12">
        <f t="shared" si="26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3"/>
        <v>0</v>
      </c>
      <c r="T875" s="10"/>
      <c r="U875" s="10"/>
      <c r="V875" s="10"/>
      <c r="W875" s="12">
        <f t="shared" si="25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61"/>
        <v>0</v>
      </c>
      <c r="AF875" s="10"/>
      <c r="AG875" s="10"/>
      <c r="AH875" s="10"/>
      <c r="AI875" s="12">
        <f t="shared" si="26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5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6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63">SUM(D877:E877)</f>
        <v>0</v>
      </c>
      <c r="H877" s="10"/>
      <c r="I877" s="10"/>
      <c r="J877" s="10"/>
      <c r="K877" s="12">
        <f t="shared" ref="K877" si="264">SUM(G877:J877)</f>
        <v>0</v>
      </c>
      <c r="M877" s="10"/>
      <c r="N877" s="30"/>
      <c r="O877" s="31"/>
      <c r="P877" s="47"/>
      <c r="Q877" s="31"/>
      <c r="R877" s="31"/>
      <c r="S877" s="32">
        <f t="shared" ref="S877" si="265">SUM(P877:Q877)</f>
        <v>0</v>
      </c>
      <c r="T877" s="10"/>
      <c r="U877" s="10"/>
      <c r="V877" s="10"/>
      <c r="W877" s="12">
        <f t="shared" si="254"/>
        <v>0</v>
      </c>
      <c r="Y877" s="10"/>
      <c r="Z877" s="30"/>
      <c r="AA877" s="31"/>
      <c r="AB877" s="47"/>
      <c r="AC877" s="31"/>
      <c r="AD877" s="31"/>
      <c r="AE877" s="32">
        <f t="shared" ref="AE877" si="266">SUM(AB877:AC877)</f>
        <v>0</v>
      </c>
      <c r="AF877" s="10"/>
      <c r="AG877" s="10"/>
      <c r="AH877" s="10"/>
      <c r="AI877" s="12">
        <f t="shared" si="26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5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6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316675</v>
      </c>
      <c r="E880" s="38">
        <f t="shared" ref="E880:F880" si="267">SUM(E837:E877)</f>
        <v>0</v>
      </c>
      <c r="F880" s="38">
        <f t="shared" si="267"/>
        <v>0</v>
      </c>
      <c r="G880" s="38">
        <f>SUM(G837:G879)</f>
        <v>316675</v>
      </c>
      <c r="H880" s="4"/>
      <c r="I880" s="39">
        <f>SUM(I837:I879)</f>
        <v>135</v>
      </c>
      <c r="J880" s="39">
        <f>SUM(J837:J879)</f>
        <v>0</v>
      </c>
      <c r="K880" s="40">
        <f>SUM(K837:K879)</f>
        <v>316810</v>
      </c>
      <c r="N880" s="57"/>
      <c r="O880" s="57"/>
      <c r="P880" s="38">
        <f>SUM(P837:P879)</f>
        <v>247108</v>
      </c>
      <c r="Q880" s="38">
        <f>SUM(Q837:Q861)</f>
        <v>-2130</v>
      </c>
      <c r="R880" s="38">
        <f>SUM(R837:R861)</f>
        <v>0</v>
      </c>
      <c r="S880" s="38">
        <f>SUM(S837:S879)</f>
        <v>244978</v>
      </c>
      <c r="T880" s="4"/>
      <c r="U880" s="41">
        <f>SUM(U837:U879)</f>
        <v>6733.5</v>
      </c>
      <c r="V880" s="41">
        <f>SUM(V837:V861)</f>
        <v>-13320</v>
      </c>
      <c r="W880" s="42">
        <f>SUM(W837:W879)</f>
        <v>238391.5</v>
      </c>
      <c r="Z880" s="57"/>
      <c r="AA880" s="57"/>
      <c r="AB880" s="38">
        <f>SUM(AB837:AB879)</f>
        <v>269027</v>
      </c>
      <c r="AC880" s="38">
        <f>SUM(AC837:AC861)</f>
        <v>-648</v>
      </c>
      <c r="AD880" s="38">
        <f>SUM(AD837:AD861)</f>
        <v>0</v>
      </c>
      <c r="AE880" s="38">
        <f>SUM(AE837:AE879)</f>
        <v>268379</v>
      </c>
      <c r="AF880" s="4"/>
      <c r="AG880" s="41">
        <f>SUM(AG837:AG879)</f>
        <v>12849</v>
      </c>
      <c r="AH880" s="41">
        <f>SUM(AH837:AH861)</f>
        <v>-26331</v>
      </c>
      <c r="AI880" s="42">
        <f>SUM(AI837:AI879)</f>
        <v>254897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M887" t="s">
        <v>55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55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M888" s="21" t="s">
        <v>85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85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20"/>
      <c r="E890" s="120"/>
      <c r="F890" s="91"/>
      <c r="G890" s="91"/>
      <c r="H890" s="62"/>
      <c r="I890" s="120"/>
      <c r="J890" s="120"/>
      <c r="K890" s="121"/>
      <c r="N890" s="25"/>
      <c r="O890" s="26"/>
      <c r="P890" s="119" t="s">
        <v>17</v>
      </c>
      <c r="Q890" s="119"/>
      <c r="R890" s="107"/>
      <c r="S890" s="27"/>
      <c r="U890" s="117" t="s">
        <v>18</v>
      </c>
      <c r="V890" s="118"/>
      <c r="W890" s="115" t="s">
        <v>19</v>
      </c>
      <c r="Z890" s="25"/>
      <c r="AA890" s="26"/>
      <c r="AB890" s="119" t="s">
        <v>17</v>
      </c>
      <c r="AC890" s="119"/>
      <c r="AD890" s="107"/>
      <c r="AE890" s="27"/>
      <c r="AG890" s="117" t="s">
        <v>18</v>
      </c>
      <c r="AH890" s="118"/>
      <c r="AI890" s="115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21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6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6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M892" s="10">
        <v>1</v>
      </c>
      <c r="N892" s="30" t="s">
        <v>86</v>
      </c>
      <c r="O892" s="31">
        <v>10244</v>
      </c>
      <c r="P892" s="32">
        <f>650*75+670*3+622*10+229*3</f>
        <v>57667</v>
      </c>
      <c r="Q892" s="32"/>
      <c r="R892" s="32"/>
      <c r="S892" s="32">
        <f>SUM(P892:Q892)</f>
        <v>57667</v>
      </c>
      <c r="T892" s="12"/>
      <c r="U892" s="12"/>
      <c r="V892" s="12"/>
      <c r="W892" s="12">
        <f>SUM(S892:V892)</f>
        <v>57667</v>
      </c>
      <c r="Y892" s="10">
        <v>1</v>
      </c>
      <c r="Z892" s="30" t="s">
        <v>86</v>
      </c>
      <c r="AA892" s="31">
        <v>10149</v>
      </c>
      <c r="AB892" s="32">
        <f>650*35+622*5+872</f>
        <v>26732</v>
      </c>
      <c r="AC892" s="32"/>
      <c r="AD892" s="32"/>
      <c r="AE892" s="32">
        <f>SUM(AB892:AC892)</f>
        <v>26732</v>
      </c>
      <c r="AF892" s="12"/>
      <c r="AG892" s="12">
        <f>1.5*24+4.5</f>
        <v>40.5</v>
      </c>
      <c r="AH892" s="12"/>
      <c r="AI892" s="12">
        <f>SUM(AE892:AH892)</f>
        <v>26772.5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M893" s="10">
        <v>2</v>
      </c>
      <c r="N893" s="30" t="s">
        <v>86</v>
      </c>
      <c r="O893" s="31">
        <f>O892+1</f>
        <v>10245</v>
      </c>
      <c r="P893" s="32">
        <f>650*15</f>
        <v>9750</v>
      </c>
      <c r="Q893" s="32"/>
      <c r="R893" s="32"/>
      <c r="S893" s="32">
        <f t="shared" ref="S893:S930" si="268">SUM(P893:Q893)</f>
        <v>9750</v>
      </c>
      <c r="T893" s="12"/>
      <c r="U893" s="12">
        <v>405</v>
      </c>
      <c r="V893" s="12"/>
      <c r="W893" s="12">
        <f t="shared" ref="W893:W933" si="269">SUM(S893:V893)</f>
        <v>10155</v>
      </c>
      <c r="Y893" s="10">
        <v>2</v>
      </c>
      <c r="Z893" s="30" t="s">
        <v>86</v>
      </c>
      <c r="AA893" s="31">
        <f>AA892+1</f>
        <v>10150</v>
      </c>
      <c r="AB893" s="32">
        <f>650*40+973+622*10</f>
        <v>33193</v>
      </c>
      <c r="AC893" s="32"/>
      <c r="AD893" s="32"/>
      <c r="AE893" s="32">
        <f t="shared" ref="AE893:AE895" si="270">SUM(AB893:AC893)</f>
        <v>33193</v>
      </c>
      <c r="AF893" s="12"/>
      <c r="AG893" s="12">
        <v>2442</v>
      </c>
      <c r="AH893" s="12"/>
      <c r="AI893" s="12">
        <f t="shared" ref="AI893:AI924" si="271">SUM(AE893:AH893)</f>
        <v>35635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M894" s="10">
        <v>3</v>
      </c>
      <c r="N894" s="30" t="s">
        <v>86</v>
      </c>
      <c r="O894" s="31">
        <f t="shared" ref="O894:O898" si="272">O893+1</f>
        <v>10246</v>
      </c>
      <c r="P894" s="32">
        <f>650*45+622*5+229*2</f>
        <v>32818</v>
      </c>
      <c r="Q894" s="32"/>
      <c r="R894" s="32"/>
      <c r="S894" s="32">
        <f t="shared" si="268"/>
        <v>32818</v>
      </c>
      <c r="T894" s="12"/>
      <c r="U894" s="12"/>
      <c r="V894" s="12">
        <f>-333+-504</f>
        <v>-837</v>
      </c>
      <c r="W894" s="12">
        <f t="shared" si="269"/>
        <v>31981</v>
      </c>
      <c r="Y894" s="10">
        <v>3</v>
      </c>
      <c r="Z894" s="30" t="s">
        <v>86</v>
      </c>
      <c r="AA894" s="31">
        <v>10251</v>
      </c>
      <c r="AB894" s="33">
        <f>650*2+670+622</f>
        <v>2592</v>
      </c>
      <c r="AC894" s="33"/>
      <c r="AD894" s="32"/>
      <c r="AE894" s="32">
        <f t="shared" si="270"/>
        <v>2592</v>
      </c>
      <c r="AF894" s="12"/>
      <c r="AG894" s="12"/>
      <c r="AH894" s="12"/>
      <c r="AI894" s="12">
        <f t="shared" si="271"/>
        <v>2592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M895" s="10">
        <v>4</v>
      </c>
      <c r="N895" s="30" t="s">
        <v>86</v>
      </c>
      <c r="O895" s="31">
        <f t="shared" si="272"/>
        <v>10247</v>
      </c>
      <c r="P895" s="32">
        <f>650*108+229*3</f>
        <v>70887</v>
      </c>
      <c r="Q895" s="32">
        <f>-108*6</f>
        <v>-648</v>
      </c>
      <c r="R895" s="32"/>
      <c r="S895" s="32">
        <f t="shared" si="268"/>
        <v>70239</v>
      </c>
      <c r="T895" s="12"/>
      <c r="U895" s="12">
        <v>108</v>
      </c>
      <c r="V895" s="12"/>
      <c r="W895" s="12">
        <f t="shared" si="269"/>
        <v>70347</v>
      </c>
      <c r="Y895" s="10">
        <v>4</v>
      </c>
      <c r="Z895" s="30" t="s">
        <v>86</v>
      </c>
      <c r="AA895" s="31">
        <f t="shared" ref="AA895:AA900" si="273">AA894+1</f>
        <v>10252</v>
      </c>
      <c r="AB895" s="32">
        <f>650*2</f>
        <v>1300</v>
      </c>
      <c r="AC895" s="32"/>
      <c r="AD895" s="32"/>
      <c r="AE895" s="32">
        <f t="shared" si="270"/>
        <v>1300</v>
      </c>
      <c r="AF895" s="12"/>
      <c r="AG895">
        <v>168</v>
      </c>
      <c r="AH895" s="12"/>
      <c r="AI895" s="12">
        <f t="shared" si="271"/>
        <v>1468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M896" s="10">
        <v>5</v>
      </c>
      <c r="N896" s="30" t="s">
        <v>86</v>
      </c>
      <c r="O896" s="31">
        <f t="shared" si="272"/>
        <v>10248</v>
      </c>
      <c r="P896" s="32">
        <f>650*7+9.5*7</f>
        <v>4616.5</v>
      </c>
      <c r="Q896" s="32"/>
      <c r="R896" s="32"/>
      <c r="S896" s="32">
        <f t="shared" si="268"/>
        <v>4616.5</v>
      </c>
      <c r="T896" s="12"/>
      <c r="U896" s="12"/>
      <c r="V896" s="12"/>
      <c r="W896" s="12">
        <f t="shared" si="269"/>
        <v>4616.5</v>
      </c>
      <c r="Y896" s="10">
        <v>5</v>
      </c>
      <c r="Z896" s="30" t="s">
        <v>86</v>
      </c>
      <c r="AA896" s="31">
        <f t="shared" si="273"/>
        <v>10253</v>
      </c>
      <c r="AB896" s="32">
        <f>650*122+622*26+872*3+650*3</f>
        <v>100038</v>
      </c>
      <c r="AC896" s="32">
        <f>-151*6</f>
        <v>-906</v>
      </c>
      <c r="AD896" s="32"/>
      <c r="AE896" s="32">
        <f t="shared" ref="AE896:AE897" si="274">SUM(AB896:AC896)</f>
        <v>99132</v>
      </c>
      <c r="AF896" s="12"/>
      <c r="AG896" s="12"/>
      <c r="AH896" s="12"/>
      <c r="AI896" s="12">
        <f t="shared" si="271"/>
        <v>99132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M897" s="10">
        <v>6</v>
      </c>
      <c r="N897" s="30" t="s">
        <v>86</v>
      </c>
      <c r="O897" s="31">
        <f t="shared" si="272"/>
        <v>10249</v>
      </c>
      <c r="P897" s="32">
        <f>650*34+670</f>
        <v>22770</v>
      </c>
      <c r="Q897" s="32"/>
      <c r="R897" s="32"/>
      <c r="S897" s="32">
        <f t="shared" si="268"/>
        <v>22770</v>
      </c>
      <c r="T897" s="12"/>
      <c r="U897" s="12"/>
      <c r="V897" s="10"/>
      <c r="W897" s="12">
        <f t="shared" si="269"/>
        <v>22770</v>
      </c>
      <c r="Y897" s="10">
        <v>6</v>
      </c>
      <c r="Z897" s="30" t="s">
        <v>86</v>
      </c>
      <c r="AA897" s="31">
        <f t="shared" si="273"/>
        <v>10254</v>
      </c>
      <c r="AB897" s="32">
        <f>650*100+622*14+229*4</f>
        <v>74624</v>
      </c>
      <c r="AC897" s="32"/>
      <c r="AD897" s="32"/>
      <c r="AE897" s="32">
        <f t="shared" si="274"/>
        <v>74624</v>
      </c>
      <c r="AF897" s="12"/>
      <c r="AG897" s="12"/>
      <c r="AH897" s="10"/>
      <c r="AI897" s="12">
        <f t="shared" si="271"/>
        <v>74624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M898" s="10">
        <v>7</v>
      </c>
      <c r="N898" s="30" t="s">
        <v>86</v>
      </c>
      <c r="O898" s="31">
        <f t="shared" si="272"/>
        <v>10250</v>
      </c>
      <c r="P898" s="32">
        <f>670</f>
        <v>670</v>
      </c>
      <c r="Q898" s="32"/>
      <c r="R898" s="32"/>
      <c r="S898" s="32">
        <f t="shared" si="268"/>
        <v>670</v>
      </c>
      <c r="T898" s="12"/>
      <c r="U898" s="12"/>
      <c r="V898" s="12"/>
      <c r="W898" s="12">
        <f t="shared" si="269"/>
        <v>670</v>
      </c>
      <c r="Y898" s="10">
        <v>7</v>
      </c>
      <c r="Z898" s="30" t="s">
        <v>86</v>
      </c>
      <c r="AA898" s="31">
        <f t="shared" si="273"/>
        <v>10255</v>
      </c>
      <c r="AB898" s="32">
        <f>650*10+670</f>
        <v>7170</v>
      </c>
      <c r="AC898" s="32"/>
      <c r="AD898" s="32"/>
      <c r="AE898" s="32">
        <f>SUM(AB898:AC898)</f>
        <v>7170</v>
      </c>
      <c r="AF898" s="12"/>
      <c r="AG898" s="58"/>
      <c r="AH898" s="12">
        <v>-1221</v>
      </c>
      <c r="AI898" s="12">
        <f t="shared" si="271"/>
        <v>5949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M899" s="10">
        <v>8</v>
      </c>
      <c r="N899" s="30"/>
      <c r="O899" s="11" t="s">
        <v>27</v>
      </c>
      <c r="P899" s="32"/>
      <c r="Q899" s="32"/>
      <c r="R899" s="32"/>
      <c r="S899" s="32">
        <f t="shared" si="268"/>
        <v>0</v>
      </c>
      <c r="T899" s="12"/>
      <c r="U899" s="12"/>
      <c r="V899" s="12"/>
      <c r="W899" s="12">
        <f t="shared" si="269"/>
        <v>0</v>
      </c>
      <c r="Y899" s="10">
        <v>8</v>
      </c>
      <c r="Z899" s="30" t="s">
        <v>86</v>
      </c>
      <c r="AA899" s="31">
        <f t="shared" si="273"/>
        <v>10256</v>
      </c>
      <c r="AB899" s="32">
        <f>650*5+47.5</f>
        <v>3297.5</v>
      </c>
      <c r="AC899" s="32"/>
      <c r="AE899" s="32">
        <f t="shared" ref="AE899:AE930" si="275">SUM(AB899:AC899)</f>
        <v>3297.5</v>
      </c>
      <c r="AF899" s="12"/>
      <c r="AG899" s="12"/>
      <c r="AH899" s="12"/>
      <c r="AI899" s="12">
        <f t="shared" si="271"/>
        <v>3297.5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M900" s="10">
        <v>9</v>
      </c>
      <c r="N900" s="30"/>
      <c r="O900" s="31"/>
      <c r="P900" s="32"/>
      <c r="Q900" s="32"/>
      <c r="R900" s="32"/>
      <c r="S900" s="32">
        <f t="shared" si="268"/>
        <v>0</v>
      </c>
      <c r="T900" s="12"/>
      <c r="U900" s="12"/>
      <c r="V900" s="12"/>
      <c r="W900" s="12">
        <f t="shared" si="269"/>
        <v>0</v>
      </c>
      <c r="Y900" s="10">
        <v>9</v>
      </c>
      <c r="Z900" s="30" t="s">
        <v>86</v>
      </c>
      <c r="AA900" s="31">
        <f t="shared" si="273"/>
        <v>10257</v>
      </c>
      <c r="AB900" s="32">
        <f>650*8</f>
        <v>5200</v>
      </c>
      <c r="AC900" s="32"/>
      <c r="AD900" s="32"/>
      <c r="AE900" s="32">
        <f t="shared" si="275"/>
        <v>5200</v>
      </c>
      <c r="AF900" s="12"/>
      <c r="AH900" s="12">
        <v>-1332</v>
      </c>
      <c r="AI900" s="12">
        <f t="shared" si="271"/>
        <v>3868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M901" s="10">
        <v>10</v>
      </c>
      <c r="N901" s="30"/>
      <c r="O901" s="31"/>
      <c r="P901" s="32"/>
      <c r="Q901" s="32"/>
      <c r="R901" s="32"/>
      <c r="S901" s="32">
        <f t="shared" si="268"/>
        <v>0</v>
      </c>
      <c r="T901" s="12"/>
      <c r="U901" s="12"/>
      <c r="V901" s="12"/>
      <c r="W901" s="12">
        <f t="shared" si="269"/>
        <v>0</v>
      </c>
      <c r="Y901" s="10">
        <v>10</v>
      </c>
      <c r="Z901" s="30"/>
      <c r="AA901" s="11" t="s">
        <v>27</v>
      </c>
      <c r="AB901" s="32"/>
      <c r="AC901" s="32"/>
      <c r="AD901" s="32"/>
      <c r="AE901" s="32">
        <f t="shared" si="275"/>
        <v>0</v>
      </c>
      <c r="AF901" s="12"/>
      <c r="AG901" s="12"/>
      <c r="AH901" s="12"/>
      <c r="AI901" s="12">
        <f t="shared" si="271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M902" s="10">
        <v>11</v>
      </c>
      <c r="N902" s="30"/>
      <c r="O902" s="31"/>
      <c r="P902" s="32"/>
      <c r="Q902" s="32"/>
      <c r="R902" s="32"/>
      <c r="S902" s="32">
        <f t="shared" si="268"/>
        <v>0</v>
      </c>
      <c r="T902" s="12"/>
      <c r="U902" s="12"/>
      <c r="V902" s="12"/>
      <c r="W902" s="12">
        <f t="shared" si="269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75"/>
        <v>0</v>
      </c>
      <c r="AF902" s="12"/>
      <c r="AG902" s="12"/>
      <c r="AH902" s="12"/>
      <c r="AI902" s="12">
        <f t="shared" si="271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M903" s="10">
        <v>12</v>
      </c>
      <c r="N903" s="30"/>
      <c r="O903" s="31"/>
      <c r="P903" s="32"/>
      <c r="Q903" s="32"/>
      <c r="R903" s="32"/>
      <c r="S903" s="32">
        <f t="shared" si="268"/>
        <v>0</v>
      </c>
      <c r="T903" s="12"/>
      <c r="U903" s="12"/>
      <c r="V903" s="12"/>
      <c r="W903" s="12">
        <f t="shared" si="269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75"/>
        <v>0</v>
      </c>
      <c r="AF903" s="12"/>
      <c r="AG903" s="12"/>
      <c r="AH903" s="12"/>
      <c r="AI903" s="12">
        <f t="shared" si="271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M904" s="10">
        <v>13</v>
      </c>
      <c r="N904" s="30"/>
      <c r="O904" s="31"/>
      <c r="P904" s="32"/>
      <c r="Q904" s="32"/>
      <c r="R904" s="32"/>
      <c r="S904" s="32">
        <f t="shared" si="268"/>
        <v>0</v>
      </c>
      <c r="T904" s="12"/>
      <c r="U904" s="12"/>
      <c r="V904" s="12"/>
      <c r="W904" s="12">
        <f t="shared" si="269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75"/>
        <v>0</v>
      </c>
      <c r="AF904" s="12"/>
      <c r="AG904" s="12"/>
      <c r="AH904" s="12"/>
      <c r="AI904" s="12">
        <f t="shared" si="271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M905" s="10">
        <v>14</v>
      </c>
      <c r="N905" s="30"/>
      <c r="O905" s="31"/>
      <c r="P905" s="32"/>
      <c r="Q905" s="32"/>
      <c r="R905" s="32"/>
      <c r="S905" s="32">
        <f t="shared" si="268"/>
        <v>0</v>
      </c>
      <c r="T905" s="12"/>
      <c r="U905" s="12"/>
      <c r="V905" s="12"/>
      <c r="W905" s="12">
        <f t="shared" si="269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75"/>
        <v>0</v>
      </c>
      <c r="AF905" s="12"/>
      <c r="AG905" s="12"/>
      <c r="AH905" s="12"/>
      <c r="AI905" s="12">
        <f t="shared" si="271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M906" s="10">
        <v>15</v>
      </c>
      <c r="N906" s="30"/>
      <c r="O906" s="31"/>
      <c r="P906" s="32"/>
      <c r="Q906" s="32"/>
      <c r="R906" s="32"/>
      <c r="S906" s="32">
        <f t="shared" si="268"/>
        <v>0</v>
      </c>
      <c r="T906" s="12"/>
      <c r="U906" s="12"/>
      <c r="V906" s="12"/>
      <c r="W906" s="12">
        <f t="shared" si="269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75"/>
        <v>0</v>
      </c>
      <c r="AF906" s="12"/>
      <c r="AG906" s="12"/>
      <c r="AH906" s="12"/>
      <c r="AI906" s="12">
        <f t="shared" si="271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M907" s="10">
        <v>16</v>
      </c>
      <c r="N907" s="30"/>
      <c r="O907" s="11"/>
      <c r="P907" s="32"/>
      <c r="Q907" s="32"/>
      <c r="R907" s="32"/>
      <c r="S907" s="32">
        <f t="shared" si="268"/>
        <v>0</v>
      </c>
      <c r="T907" s="12"/>
      <c r="U907" s="12"/>
      <c r="V907" s="12"/>
      <c r="W907" s="12">
        <f t="shared" si="269"/>
        <v>0</v>
      </c>
      <c r="Y907" s="10">
        <v>16</v>
      </c>
      <c r="AA907" s="11"/>
      <c r="AB907" s="32"/>
      <c r="AC907" s="32"/>
      <c r="AD907" s="32"/>
      <c r="AE907" s="32">
        <f t="shared" si="275"/>
        <v>0</v>
      </c>
      <c r="AF907" s="12"/>
      <c r="AG907" s="12"/>
      <c r="AH907" s="12"/>
      <c r="AI907" s="12">
        <f t="shared" si="271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M908" s="10">
        <v>17</v>
      </c>
      <c r="N908" s="30"/>
      <c r="O908" s="31"/>
      <c r="P908" s="35"/>
      <c r="Q908" s="32"/>
      <c r="R908" s="32"/>
      <c r="S908" s="32">
        <f t="shared" si="268"/>
        <v>0</v>
      </c>
      <c r="T908" s="12"/>
      <c r="U908" s="12"/>
      <c r="V908" s="12"/>
      <c r="W908" s="12">
        <f t="shared" si="269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75"/>
        <v>0</v>
      </c>
      <c r="AF908" s="12"/>
      <c r="AG908" s="12"/>
      <c r="AH908" s="12"/>
      <c r="AI908" s="12">
        <f t="shared" si="271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M909" s="10">
        <v>18</v>
      </c>
      <c r="N909" s="30"/>
      <c r="P909" s="32"/>
      <c r="Q909" s="32"/>
      <c r="R909" s="32"/>
      <c r="S909" s="32">
        <f t="shared" si="268"/>
        <v>0</v>
      </c>
      <c r="T909" s="12"/>
      <c r="U909" s="12"/>
      <c r="V909" s="12"/>
      <c r="W909" s="12">
        <f t="shared" si="269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75"/>
        <v>0</v>
      </c>
      <c r="AF909" s="12"/>
      <c r="AG909" s="12"/>
      <c r="AH909" s="12"/>
      <c r="AI909" s="12">
        <f t="shared" si="271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M910" s="10">
        <v>19</v>
      </c>
      <c r="N910" s="30"/>
      <c r="O910" s="31"/>
      <c r="P910" s="32"/>
      <c r="Q910" s="32"/>
      <c r="R910" s="32"/>
      <c r="S910" s="32">
        <f t="shared" si="268"/>
        <v>0</v>
      </c>
      <c r="T910" s="12"/>
      <c r="U910" s="12"/>
      <c r="V910" s="12"/>
      <c r="W910" s="12">
        <f t="shared" si="269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75"/>
        <v>0</v>
      </c>
      <c r="AF910" s="12"/>
      <c r="AG910" s="12"/>
      <c r="AH910" s="12"/>
      <c r="AI910" s="12">
        <f t="shared" si="271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M911" s="10">
        <v>20</v>
      </c>
      <c r="N911" s="30"/>
      <c r="O911" s="31"/>
      <c r="P911" s="32"/>
      <c r="Q911" s="32"/>
      <c r="R911" s="32"/>
      <c r="S911" s="32">
        <f t="shared" si="268"/>
        <v>0</v>
      </c>
      <c r="T911" s="12"/>
      <c r="U911" s="12"/>
      <c r="V911" s="12"/>
      <c r="W911" s="12">
        <f t="shared" si="269"/>
        <v>0</v>
      </c>
      <c r="Y911" s="10">
        <v>20</v>
      </c>
      <c r="Z911" s="30"/>
      <c r="AB911" s="32"/>
      <c r="AC911" s="32"/>
      <c r="AD911" s="32"/>
      <c r="AE911" s="32">
        <f t="shared" si="275"/>
        <v>0</v>
      </c>
      <c r="AF911" s="12"/>
      <c r="AG911" s="12"/>
      <c r="AH911" s="12"/>
      <c r="AI911" s="12">
        <f t="shared" si="271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M912" s="10">
        <v>21</v>
      </c>
      <c r="N912" s="30"/>
      <c r="O912" s="11"/>
      <c r="P912" s="46"/>
      <c r="Q912" s="31"/>
      <c r="R912" s="31"/>
      <c r="S912" s="32">
        <f t="shared" si="268"/>
        <v>0</v>
      </c>
      <c r="T912" s="10"/>
      <c r="U912" s="10"/>
      <c r="V912" s="10"/>
      <c r="W912" s="12">
        <f t="shared" si="269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75"/>
        <v>0</v>
      </c>
      <c r="AF912" s="10"/>
      <c r="AG912" s="10"/>
      <c r="AH912" s="10"/>
      <c r="AI912" s="12">
        <f t="shared" si="271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M913" s="10">
        <v>22</v>
      </c>
      <c r="N913" s="30"/>
      <c r="O913" s="31"/>
      <c r="P913" s="45"/>
      <c r="Q913" s="31"/>
      <c r="R913" s="31"/>
      <c r="S913" s="32">
        <f t="shared" si="268"/>
        <v>0</v>
      </c>
      <c r="T913" s="10"/>
      <c r="U913" s="10"/>
      <c r="V913" s="10"/>
      <c r="W913" s="12">
        <f t="shared" si="269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75"/>
        <v>0</v>
      </c>
      <c r="AF913" s="10"/>
      <c r="AG913" s="10"/>
      <c r="AH913" s="10"/>
      <c r="AI913" s="12">
        <f t="shared" si="271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M914" s="10">
        <v>23</v>
      </c>
      <c r="N914" s="30"/>
      <c r="O914" s="31"/>
      <c r="P914" s="47"/>
      <c r="S914" s="32">
        <f t="shared" si="268"/>
        <v>0</v>
      </c>
      <c r="T914" s="10"/>
      <c r="U914" s="10"/>
      <c r="V914" s="10"/>
      <c r="W914" s="12">
        <f t="shared" si="269"/>
        <v>0</v>
      </c>
      <c r="Y914" s="10">
        <v>23</v>
      </c>
      <c r="Z914" s="30"/>
      <c r="AA914" s="31"/>
      <c r="AB914" s="47"/>
      <c r="AC914" s="31"/>
      <c r="AE914" s="32">
        <f t="shared" si="275"/>
        <v>0</v>
      </c>
      <c r="AF914" s="10"/>
      <c r="AG914" s="10"/>
      <c r="AH914" s="10"/>
      <c r="AI914" s="12">
        <f t="shared" si="271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M915" s="10">
        <v>24</v>
      </c>
      <c r="N915" s="30"/>
      <c r="O915" s="31"/>
      <c r="P915" s="47"/>
      <c r="Q915" s="31"/>
      <c r="R915" s="31"/>
      <c r="S915" s="32">
        <f t="shared" si="268"/>
        <v>0</v>
      </c>
      <c r="T915" s="10"/>
      <c r="U915" s="10"/>
      <c r="V915" s="10"/>
      <c r="W915" s="12">
        <f t="shared" si="269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75"/>
        <v>0</v>
      </c>
      <c r="AF915" s="10"/>
      <c r="AG915" s="10"/>
      <c r="AH915" s="10"/>
      <c r="AI915" s="12">
        <f t="shared" si="271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M916" s="10">
        <v>25</v>
      </c>
      <c r="N916" s="30"/>
      <c r="O916" s="31"/>
      <c r="P916" s="47"/>
      <c r="Q916" s="31"/>
      <c r="R916" s="31"/>
      <c r="S916" s="32">
        <f t="shared" si="268"/>
        <v>0</v>
      </c>
      <c r="T916" s="10"/>
      <c r="U916" s="10"/>
      <c r="V916" s="10"/>
      <c r="W916" s="12">
        <f t="shared" si="269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75"/>
        <v>0</v>
      </c>
      <c r="AF916" s="10"/>
      <c r="AG916" s="10"/>
      <c r="AH916" s="10"/>
      <c r="AI916" s="12">
        <f t="shared" si="271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M917" s="10">
        <v>26</v>
      </c>
      <c r="N917" s="30"/>
      <c r="O917" s="11"/>
      <c r="P917" s="47"/>
      <c r="Q917" s="31"/>
      <c r="R917" s="31"/>
      <c r="S917" s="32">
        <f t="shared" si="268"/>
        <v>0</v>
      </c>
      <c r="T917" s="10"/>
      <c r="U917" s="10"/>
      <c r="V917" s="10"/>
      <c r="W917" s="12">
        <f t="shared" si="269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75"/>
        <v>0</v>
      </c>
      <c r="AF917" s="10"/>
      <c r="AG917" s="10"/>
      <c r="AH917" s="10"/>
      <c r="AI917" s="12">
        <f t="shared" si="271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M918" s="10">
        <v>27</v>
      </c>
      <c r="N918" s="30"/>
      <c r="O918" s="31"/>
      <c r="P918" s="47"/>
      <c r="Q918" s="31"/>
      <c r="R918" s="31"/>
      <c r="S918" s="32">
        <f t="shared" si="268"/>
        <v>0</v>
      </c>
      <c r="T918" s="10"/>
      <c r="U918" s="10"/>
      <c r="V918" s="10"/>
      <c r="W918" s="12">
        <f t="shared" si="269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75"/>
        <v>0</v>
      </c>
      <c r="AF918" s="10"/>
      <c r="AG918" s="10"/>
      <c r="AH918" s="10"/>
      <c r="AI918" s="12">
        <f t="shared" si="271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M919" s="10">
        <v>28</v>
      </c>
      <c r="N919" s="30"/>
      <c r="O919" s="31"/>
      <c r="P919" s="47"/>
      <c r="Q919" s="31"/>
      <c r="R919" s="31"/>
      <c r="S919" s="32">
        <f t="shared" si="268"/>
        <v>0</v>
      </c>
      <c r="T919" s="10"/>
      <c r="U919" s="10"/>
      <c r="V919" s="10"/>
      <c r="W919" s="12">
        <f t="shared" si="269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75"/>
        <v>0</v>
      </c>
      <c r="AF919" s="10"/>
      <c r="AG919" s="10"/>
      <c r="AH919" s="10"/>
      <c r="AI919" s="12">
        <f t="shared" si="271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M920" s="10">
        <v>29</v>
      </c>
      <c r="N920" s="30"/>
      <c r="O920" s="31"/>
      <c r="P920" s="47"/>
      <c r="Q920" s="31"/>
      <c r="R920" s="31"/>
      <c r="S920" s="32">
        <f t="shared" si="268"/>
        <v>0</v>
      </c>
      <c r="T920" s="10"/>
      <c r="U920" s="10"/>
      <c r="V920" s="10"/>
      <c r="W920" s="12">
        <f t="shared" si="269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75"/>
        <v>0</v>
      </c>
      <c r="AF920" s="10"/>
      <c r="AG920" s="10"/>
      <c r="AH920" s="10"/>
      <c r="AI920" s="12">
        <f t="shared" si="271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M921" s="10">
        <v>30</v>
      </c>
      <c r="N921" s="30"/>
      <c r="O921" s="31"/>
      <c r="P921" s="47"/>
      <c r="Q921" s="31"/>
      <c r="R921" s="31"/>
      <c r="S921" s="32">
        <f t="shared" si="268"/>
        <v>0</v>
      </c>
      <c r="T921" s="10"/>
      <c r="U921" s="10"/>
      <c r="V921" s="10"/>
      <c r="W921" s="12">
        <f t="shared" si="269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75"/>
        <v>0</v>
      </c>
      <c r="AF921" s="10"/>
      <c r="AG921" s="10"/>
      <c r="AH921" s="10"/>
      <c r="AI921" s="12">
        <f t="shared" si="271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M922" s="10">
        <v>31</v>
      </c>
      <c r="N922" s="30"/>
      <c r="O922" s="31"/>
      <c r="P922" s="47"/>
      <c r="Q922" s="31"/>
      <c r="R922" s="31"/>
      <c r="S922" s="32">
        <f t="shared" si="268"/>
        <v>0</v>
      </c>
      <c r="T922" s="10"/>
      <c r="U922" s="10"/>
      <c r="V922" s="10"/>
      <c r="W922" s="12">
        <f t="shared" si="269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75"/>
        <v>0</v>
      </c>
      <c r="AF922" s="10"/>
      <c r="AG922" s="10"/>
      <c r="AH922" s="10"/>
      <c r="AI922" s="12">
        <f t="shared" si="271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M923" s="10">
        <v>32</v>
      </c>
      <c r="N923" s="30"/>
      <c r="O923" s="31"/>
      <c r="P923" s="47"/>
      <c r="Q923" s="31"/>
      <c r="R923" s="31"/>
      <c r="S923" s="32">
        <f t="shared" si="268"/>
        <v>0</v>
      </c>
      <c r="T923" s="10"/>
      <c r="U923" s="10"/>
      <c r="V923" s="10"/>
      <c r="W923" s="12">
        <f t="shared" si="269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75"/>
        <v>0</v>
      </c>
      <c r="AF923" s="10"/>
      <c r="AG923" s="10"/>
      <c r="AH923" s="10"/>
      <c r="AI923" s="12">
        <f t="shared" si="271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M924" s="10">
        <v>33</v>
      </c>
      <c r="N924" s="30"/>
      <c r="O924" s="31"/>
      <c r="P924" s="47"/>
      <c r="Q924" s="31"/>
      <c r="R924" s="31"/>
      <c r="S924" s="32">
        <f t="shared" si="268"/>
        <v>0</v>
      </c>
      <c r="T924" s="10"/>
      <c r="U924" s="10"/>
      <c r="V924" s="10"/>
      <c r="W924" s="12">
        <f t="shared" si="269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75"/>
        <v>0</v>
      </c>
      <c r="AF924" s="10"/>
      <c r="AG924" s="10"/>
      <c r="AH924" s="10"/>
      <c r="AI924" s="12">
        <f t="shared" si="271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M925" s="10">
        <v>34</v>
      </c>
      <c r="N925" s="30"/>
      <c r="O925" s="31"/>
      <c r="P925" s="47"/>
      <c r="Q925" s="31"/>
      <c r="R925" s="31"/>
      <c r="S925" s="32">
        <f t="shared" si="268"/>
        <v>0</v>
      </c>
      <c r="T925" s="10"/>
      <c r="U925" s="10"/>
      <c r="V925" s="10"/>
      <c r="W925" s="12">
        <f t="shared" si="269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75"/>
        <v>0</v>
      </c>
      <c r="AF925" s="10"/>
      <c r="AG925" s="10"/>
      <c r="AH925" s="10"/>
      <c r="AI925" s="12">
        <f t="shared" ref="AI925:AI933" si="276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M926" s="10">
        <v>35</v>
      </c>
      <c r="N926" s="30"/>
      <c r="O926" s="31"/>
      <c r="P926" s="47"/>
      <c r="Q926" s="31"/>
      <c r="R926" s="31"/>
      <c r="S926" s="32">
        <f t="shared" si="268"/>
        <v>0</v>
      </c>
      <c r="T926" s="10"/>
      <c r="U926" s="10"/>
      <c r="V926" s="10"/>
      <c r="W926" s="12">
        <f t="shared" si="269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5"/>
        <v>0</v>
      </c>
      <c r="AF926" s="10"/>
      <c r="AG926" s="10"/>
      <c r="AH926" s="10"/>
      <c r="AI926" s="12">
        <f t="shared" si="27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M927" s="10">
        <v>36</v>
      </c>
      <c r="N927" s="30"/>
      <c r="O927" s="31"/>
      <c r="P927" s="47"/>
      <c r="Q927" s="31"/>
      <c r="R927" s="31"/>
      <c r="S927" s="32">
        <f t="shared" si="268"/>
        <v>0</v>
      </c>
      <c r="T927" s="10"/>
      <c r="U927" s="10"/>
      <c r="V927" s="10"/>
      <c r="W927" s="12">
        <f t="shared" si="269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5"/>
        <v>0</v>
      </c>
      <c r="AF927" s="10"/>
      <c r="AG927" s="10"/>
      <c r="AH927" s="10"/>
      <c r="AI927" s="12">
        <f t="shared" si="27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M928" s="10">
        <v>37</v>
      </c>
      <c r="N928" s="30"/>
      <c r="P928" s="47"/>
      <c r="Q928" s="31"/>
      <c r="R928" s="31"/>
      <c r="S928" s="32">
        <f t="shared" si="268"/>
        <v>0</v>
      </c>
      <c r="T928" s="10"/>
      <c r="U928" s="10"/>
      <c r="V928" s="10"/>
      <c r="W928" s="12">
        <f t="shared" si="269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5"/>
        <v>0</v>
      </c>
      <c r="AF928" s="10"/>
      <c r="AG928" s="10"/>
      <c r="AH928" s="10"/>
      <c r="AI928" s="12">
        <f t="shared" si="27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M929" s="10">
        <v>38</v>
      </c>
      <c r="N929" s="30"/>
      <c r="O929" s="31"/>
      <c r="P929" s="47"/>
      <c r="Q929" s="31"/>
      <c r="R929" s="31"/>
      <c r="S929" s="32">
        <f t="shared" si="268"/>
        <v>0</v>
      </c>
      <c r="T929" s="10"/>
      <c r="U929" s="10"/>
      <c r="V929" s="10"/>
      <c r="W929" s="12">
        <f t="shared" si="269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5"/>
        <v>0</v>
      </c>
      <c r="AF929" s="10"/>
      <c r="AG929" s="10"/>
      <c r="AH929" s="10"/>
      <c r="AI929" s="12">
        <f t="shared" si="27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M930" s="10">
        <v>39</v>
      </c>
      <c r="N930" s="30"/>
      <c r="O930" s="31"/>
      <c r="P930" s="47"/>
      <c r="Q930" s="31"/>
      <c r="R930" s="31"/>
      <c r="S930" s="32">
        <f t="shared" si="268"/>
        <v>0</v>
      </c>
      <c r="T930" s="10"/>
      <c r="U930" s="10"/>
      <c r="V930" s="10"/>
      <c r="W930" s="12">
        <f t="shared" si="269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5"/>
        <v>0</v>
      </c>
      <c r="AF930" s="10"/>
      <c r="AG930" s="10"/>
      <c r="AH930" s="10"/>
      <c r="AI930" s="12">
        <f t="shared" si="27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9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M932" s="10"/>
      <c r="N932" s="30"/>
      <c r="O932" s="31"/>
      <c r="P932" s="47"/>
      <c r="Q932" s="31"/>
      <c r="R932" s="31"/>
      <c r="S932" s="32">
        <f t="shared" ref="S932" si="277">SUM(P932:Q932)</f>
        <v>0</v>
      </c>
      <c r="T932" s="10"/>
      <c r="U932" s="10"/>
      <c r="V932" s="10"/>
      <c r="W932" s="12">
        <f t="shared" si="269"/>
        <v>0</v>
      </c>
      <c r="Y932" s="10"/>
      <c r="Z932" s="30"/>
      <c r="AA932" s="31"/>
      <c r="AB932" s="47"/>
      <c r="AC932" s="31"/>
      <c r="AD932" s="31"/>
      <c r="AE932" s="32">
        <f t="shared" ref="AE932" si="278">SUM(AB932:AC932)</f>
        <v>0</v>
      </c>
      <c r="AF932" s="10"/>
      <c r="AG932" s="10"/>
      <c r="AH932" s="10"/>
      <c r="AI932" s="12">
        <f t="shared" si="27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9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N935" s="57"/>
      <c r="O935" s="57"/>
      <c r="P935" s="38">
        <f>SUM(P892:P934)</f>
        <v>199178.5</v>
      </c>
      <c r="Q935" s="38">
        <f>SUM(Q892:Q916)</f>
        <v>-648</v>
      </c>
      <c r="R935" s="38">
        <f>SUM(R892:R916)</f>
        <v>0</v>
      </c>
      <c r="S935" s="38">
        <f>SUM(S892:S934)</f>
        <v>198530.5</v>
      </c>
      <c r="T935" s="4"/>
      <c r="U935" s="41">
        <f>SUM(U892:U934)</f>
        <v>513</v>
      </c>
      <c r="V935" s="41">
        <f>SUM(V892:V916)</f>
        <v>-837</v>
      </c>
      <c r="W935" s="42">
        <f>SUM(W892:W934)</f>
        <v>198206.5</v>
      </c>
      <c r="Z935" s="57"/>
      <c r="AA935" s="57"/>
      <c r="AB935" s="38">
        <f>SUM(AB892:AB934)</f>
        <v>254146.5</v>
      </c>
      <c r="AC935" s="38">
        <f>SUM(AC892:AC916)</f>
        <v>-906</v>
      </c>
      <c r="AD935" s="38">
        <f>SUM(AD892:AD916)</f>
        <v>0</v>
      </c>
      <c r="AE935" s="38">
        <f>SUM(AE892:AE934)</f>
        <v>253240.5</v>
      </c>
      <c r="AF935" s="4"/>
      <c r="AG935" s="41">
        <f>SUM(AG892:AG934)</f>
        <v>2650.5</v>
      </c>
      <c r="AH935" s="41">
        <f>SUM(AH892:AH916)</f>
        <v>-2553</v>
      </c>
      <c r="AI935" s="42">
        <f>SUM(AI892:AI934)</f>
        <v>253338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45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Y942" t="s">
        <v>45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34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19" t="s">
        <v>17</v>
      </c>
      <c r="E945" s="119"/>
      <c r="F945" s="108"/>
      <c r="G945" s="27"/>
      <c r="I945" s="117" t="s">
        <v>18</v>
      </c>
      <c r="J945" s="118"/>
      <c r="K945" s="115" t="s">
        <v>19</v>
      </c>
      <c r="M945" s="62"/>
      <c r="N945" s="65"/>
      <c r="O945" s="88"/>
      <c r="P945" s="120"/>
      <c r="Q945" s="120"/>
      <c r="R945" s="88"/>
      <c r="S945" s="88"/>
      <c r="T945" s="62"/>
      <c r="U945" s="120"/>
      <c r="V945" s="120"/>
      <c r="W945" s="121"/>
      <c r="Z945" s="25"/>
      <c r="AA945" s="26"/>
      <c r="AB945" s="119" t="s">
        <v>17</v>
      </c>
      <c r="AC945" s="119"/>
      <c r="AD945" s="108"/>
      <c r="AE945" s="27"/>
      <c r="AG945" s="117" t="s">
        <v>18</v>
      </c>
      <c r="AH945" s="118"/>
      <c r="AI945" s="115" t="s">
        <v>19</v>
      </c>
      <c r="AK945" s="62"/>
      <c r="AL945" s="65"/>
      <c r="AM945" s="86"/>
      <c r="AN945" s="120"/>
      <c r="AO945" s="120"/>
      <c r="AP945" s="86"/>
      <c r="AQ945" s="86"/>
      <c r="AR945" s="62"/>
      <c r="AS945" s="120"/>
      <c r="AT945" s="120"/>
      <c r="AU945" s="12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6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21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6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2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83">
        <v>10301</v>
      </c>
      <c r="D947" s="32">
        <f>650*8+622*2+9.5*20</f>
        <v>6634</v>
      </c>
      <c r="E947" s="32"/>
      <c r="F947" s="32"/>
      <c r="G947" s="32">
        <f t="shared" ref="G947:G980" si="279">SUM(D947:E947)</f>
        <v>6634</v>
      </c>
      <c r="H947" s="12"/>
      <c r="I947" s="12"/>
      <c r="J947" s="12"/>
      <c r="K947" s="12">
        <f t="shared" ref="K947:K980" si="280">SUM(G947:J947)</f>
        <v>6634</v>
      </c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90</v>
      </c>
      <c r="AA947" s="31">
        <v>10258</v>
      </c>
      <c r="AB947" s="32">
        <f>650*40+670+622*10+229</f>
        <v>33119</v>
      </c>
      <c r="AC947" s="32">
        <f>-51*6</f>
        <v>-306</v>
      </c>
      <c r="AD947" s="32"/>
      <c r="AE947" s="32">
        <f>SUM(AB947:AC947)</f>
        <v>32813</v>
      </c>
      <c r="AF947" s="12"/>
      <c r="AG947" s="12"/>
      <c r="AH947" s="12"/>
      <c r="AI947" s="12">
        <f>SUM(AE947:AH947)</f>
        <v>32813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83">
        <f>C947+1</f>
        <v>10302</v>
      </c>
      <c r="D948" s="32">
        <f>650*18+622*3</f>
        <v>13566</v>
      </c>
      <c r="E948" s="32"/>
      <c r="F948" s="32"/>
      <c r="G948" s="32">
        <f t="shared" si="279"/>
        <v>13566</v>
      </c>
      <c r="H948" s="12"/>
      <c r="I948" s="12"/>
      <c r="J948" s="12">
        <v>-6660</v>
      </c>
      <c r="K948" s="12">
        <f t="shared" si="280"/>
        <v>6906</v>
      </c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90</v>
      </c>
      <c r="AA948" s="31">
        <f>AA947+1</f>
        <v>10259</v>
      </c>
      <c r="AB948" s="32">
        <f>650*75+622*5+872*2+229*2</f>
        <v>54062</v>
      </c>
      <c r="AC948" s="32"/>
      <c r="AD948" s="32"/>
      <c r="AE948" s="32">
        <f t="shared" ref="AE948:AE950" si="281">SUM(AB948:AC948)</f>
        <v>54062</v>
      </c>
      <c r="AF948" s="12"/>
      <c r="AG948" s="12">
        <f>78+9</f>
        <v>87</v>
      </c>
      <c r="AH948" s="12"/>
      <c r="AI948" s="12">
        <f t="shared" ref="AI948:AI979" si="282">SUM(AE948:AH948)</f>
        <v>54149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83">
        <f t="shared" ref="C949:C950" si="283">C948+1</f>
        <v>10303</v>
      </c>
      <c r="D949" s="33">
        <f>650*17+670*3+622*3+9.5*20</f>
        <v>15116</v>
      </c>
      <c r="E949" s="32"/>
      <c r="F949" s="33"/>
      <c r="G949" s="33">
        <f t="shared" si="279"/>
        <v>15116</v>
      </c>
      <c r="H949" s="34"/>
      <c r="I949" s="34"/>
      <c r="J949" s="34"/>
      <c r="K949" s="34">
        <f t="shared" si="280"/>
        <v>15116</v>
      </c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90</v>
      </c>
      <c r="AA949" s="31">
        <f t="shared" ref="AA949:AA953" si="284">AA948+1</f>
        <v>10260</v>
      </c>
      <c r="AB949" s="33">
        <f>650*6+670+622</f>
        <v>5192</v>
      </c>
      <c r="AC949" s="33"/>
      <c r="AD949" s="32"/>
      <c r="AE949" s="32">
        <f t="shared" si="281"/>
        <v>5192</v>
      </c>
      <c r="AF949" s="12"/>
      <c r="AG949" s="12"/>
      <c r="AH949" s="12"/>
      <c r="AI949" s="12">
        <f t="shared" si="282"/>
        <v>5192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83">
        <f t="shared" si="283"/>
        <v>10304</v>
      </c>
      <c r="D950" s="32">
        <f>650*648+229*5</f>
        <v>422345</v>
      </c>
      <c r="E950" s="32">
        <f>-648*6</f>
        <v>-3888</v>
      </c>
      <c r="F950" s="32"/>
      <c r="G950" s="32">
        <f t="shared" si="279"/>
        <v>418457</v>
      </c>
      <c r="H950" s="12"/>
      <c r="I950" s="12">
        <v>7881</v>
      </c>
      <c r="J950" s="12">
        <f>-1560+-1248+-3192+-4452</f>
        <v>-10452</v>
      </c>
      <c r="K950" s="12">
        <f t="shared" si="280"/>
        <v>415886</v>
      </c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90</v>
      </c>
      <c r="AA950" s="31">
        <f t="shared" si="284"/>
        <v>10261</v>
      </c>
      <c r="AB950" s="32">
        <f>650*236+670*11+622*30+1050*2+229*4</f>
        <v>182446</v>
      </c>
      <c r="AC950" s="32">
        <f>-278*6</f>
        <v>-1668</v>
      </c>
      <c r="AD950" s="32"/>
      <c r="AE950" s="32">
        <f t="shared" si="281"/>
        <v>180778</v>
      </c>
      <c r="AF950" s="12"/>
      <c r="AH950" s="12"/>
      <c r="AI950" s="12">
        <f t="shared" si="282"/>
        <v>180778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79"/>
        <v>0</v>
      </c>
      <c r="H951" s="12"/>
      <c r="I951" s="12"/>
      <c r="J951" s="12"/>
      <c r="K951" s="12">
        <f t="shared" si="280"/>
        <v>0</v>
      </c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90</v>
      </c>
      <c r="AA951" s="31">
        <f t="shared" si="284"/>
        <v>10262</v>
      </c>
      <c r="AB951" s="32">
        <f>650*110+622*64+912*3+229*9</f>
        <v>116105</v>
      </c>
      <c r="AC951" s="32">
        <f>-177*6</f>
        <v>-1062</v>
      </c>
      <c r="AD951" s="32"/>
      <c r="AE951" s="32">
        <f t="shared" ref="AE951:AE952" si="285">SUM(AB951:AC951)</f>
        <v>115043</v>
      </c>
      <c r="AF951" s="12"/>
      <c r="AG951" s="12"/>
      <c r="AH951" s="12"/>
      <c r="AI951" s="12">
        <f t="shared" si="282"/>
        <v>115043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3"/>
      <c r="D952" s="32"/>
      <c r="E952" s="32"/>
      <c r="F952" s="32"/>
      <c r="G952" s="32">
        <f t="shared" si="279"/>
        <v>0</v>
      </c>
      <c r="H952" s="12"/>
      <c r="I952" s="12"/>
      <c r="J952" s="12"/>
      <c r="K952" s="12">
        <f t="shared" si="280"/>
        <v>0</v>
      </c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90</v>
      </c>
      <c r="AA952" s="31">
        <f t="shared" si="284"/>
        <v>10263</v>
      </c>
      <c r="AB952" s="32">
        <f>650*2</f>
        <v>1300</v>
      </c>
      <c r="AC952" s="32"/>
      <c r="AD952" s="32"/>
      <c r="AE952" s="32">
        <f t="shared" si="285"/>
        <v>1300</v>
      </c>
      <c r="AF952" s="12"/>
      <c r="AG952" s="12"/>
      <c r="AH952" s="10"/>
      <c r="AI952" s="12">
        <f t="shared" si="282"/>
        <v>1300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3"/>
      <c r="D953" s="32"/>
      <c r="E953" s="32"/>
      <c r="F953" s="32"/>
      <c r="G953" s="32">
        <f t="shared" si="279"/>
        <v>0</v>
      </c>
      <c r="H953" s="12"/>
      <c r="I953" s="12"/>
      <c r="J953" s="12"/>
      <c r="K953" s="12">
        <f t="shared" si="280"/>
        <v>0</v>
      </c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90</v>
      </c>
      <c r="AA953" s="31">
        <f t="shared" si="284"/>
        <v>10264</v>
      </c>
      <c r="AB953" s="32">
        <f>650*10</f>
        <v>6500</v>
      </c>
      <c r="AC953" s="32"/>
      <c r="AD953" s="32"/>
      <c r="AE953" s="32">
        <f>SUM(AB953:AC953)</f>
        <v>6500</v>
      </c>
      <c r="AF953" s="12"/>
      <c r="AG953" s="58"/>
      <c r="AH953" s="12"/>
      <c r="AI953" s="12">
        <f t="shared" si="282"/>
        <v>6500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3"/>
      <c r="D954" s="32"/>
      <c r="E954" s="32"/>
      <c r="F954" s="32"/>
      <c r="G954" s="32">
        <f t="shared" si="279"/>
        <v>0</v>
      </c>
      <c r="H954" s="12"/>
      <c r="I954" s="12"/>
      <c r="J954" s="12"/>
      <c r="K954" s="12">
        <f t="shared" si="280"/>
        <v>0</v>
      </c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/>
      <c r="AA954" s="11" t="s">
        <v>27</v>
      </c>
      <c r="AB954" s="32"/>
      <c r="AC954" s="32"/>
      <c r="AE954" s="32">
        <f t="shared" ref="AE954:AE985" si="286">SUM(AB954:AC954)</f>
        <v>0</v>
      </c>
      <c r="AF954" s="12"/>
      <c r="AG954" s="12"/>
      <c r="AH954" s="12"/>
      <c r="AI954" s="12">
        <f t="shared" si="282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3"/>
      <c r="D955" s="32"/>
      <c r="E955" s="32"/>
      <c r="F955" s="32"/>
      <c r="G955" s="32">
        <f t="shared" si="279"/>
        <v>0</v>
      </c>
      <c r="H955" s="12"/>
      <c r="I955" s="12"/>
      <c r="J955" s="12"/>
      <c r="K955" s="12">
        <f t="shared" si="280"/>
        <v>0</v>
      </c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/>
      <c r="AA955" s="31"/>
      <c r="AB955" s="32"/>
      <c r="AC955" s="32"/>
      <c r="AD955" s="32"/>
      <c r="AE955" s="32">
        <f t="shared" si="286"/>
        <v>0</v>
      </c>
      <c r="AF955" s="12"/>
      <c r="AH955" s="12"/>
      <c r="AI955" s="12">
        <f t="shared" si="282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3"/>
      <c r="D956" s="32"/>
      <c r="E956" s="32"/>
      <c r="F956" s="32"/>
      <c r="G956" s="32">
        <f t="shared" si="279"/>
        <v>0</v>
      </c>
      <c r="H956" s="12"/>
      <c r="I956" s="12"/>
      <c r="J956" s="12"/>
      <c r="K956" s="12">
        <f t="shared" si="280"/>
        <v>0</v>
      </c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/>
      <c r="AA956" s="31"/>
      <c r="AB956" s="32"/>
      <c r="AC956" s="32"/>
      <c r="AD956" s="32"/>
      <c r="AE956" s="32">
        <f t="shared" si="286"/>
        <v>0</v>
      </c>
      <c r="AF956" s="12"/>
      <c r="AG956" s="12"/>
      <c r="AH956" s="12"/>
      <c r="AI956" s="12">
        <f t="shared" si="282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3"/>
      <c r="D957" s="32"/>
      <c r="E957" s="32"/>
      <c r="F957" s="32"/>
      <c r="G957" s="32">
        <f t="shared" si="279"/>
        <v>0</v>
      </c>
      <c r="H957" s="12"/>
      <c r="I957" s="12"/>
      <c r="J957" s="12"/>
      <c r="K957" s="12">
        <f t="shared" si="280"/>
        <v>0</v>
      </c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/>
      <c r="AA957" s="31"/>
      <c r="AB957" s="32"/>
      <c r="AC957" s="32"/>
      <c r="AD957" s="32"/>
      <c r="AE957" s="32">
        <f t="shared" si="286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79"/>
        <v>0</v>
      </c>
      <c r="H958" s="12"/>
      <c r="I958" s="12"/>
      <c r="J958" s="10"/>
      <c r="K958" s="12">
        <f t="shared" si="280"/>
        <v>0</v>
      </c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31"/>
      <c r="AB958" s="32"/>
      <c r="AC958" s="32"/>
      <c r="AD958" s="32"/>
      <c r="AE958" s="32">
        <f t="shared" si="286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79"/>
        <v>0</v>
      </c>
      <c r="H959" s="12"/>
      <c r="I959" s="12"/>
      <c r="J959" s="12"/>
      <c r="K959" s="12">
        <f t="shared" si="280"/>
        <v>0</v>
      </c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86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79"/>
        <v>0</v>
      </c>
      <c r="H960" s="12"/>
      <c r="I960" s="12"/>
      <c r="J960" s="12"/>
      <c r="K960" s="12">
        <f t="shared" si="280"/>
        <v>0</v>
      </c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86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79"/>
        <v>0</v>
      </c>
      <c r="H961" s="12"/>
      <c r="I961" s="12"/>
      <c r="J961" s="12"/>
      <c r="K961" s="12">
        <f t="shared" si="280"/>
        <v>0</v>
      </c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86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D962" s="32"/>
      <c r="E962" s="32"/>
      <c r="F962" s="32"/>
      <c r="G962" s="32">
        <f t="shared" si="279"/>
        <v>0</v>
      </c>
      <c r="H962" s="12"/>
      <c r="I962" s="12"/>
      <c r="J962" s="12"/>
      <c r="K962" s="12">
        <f t="shared" si="280"/>
        <v>0</v>
      </c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AB962" s="32"/>
      <c r="AC962" s="32"/>
      <c r="AD962" s="32"/>
      <c r="AE962" s="32">
        <f t="shared" si="286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79"/>
        <v>0</v>
      </c>
      <c r="H963" s="12"/>
      <c r="I963" s="12"/>
      <c r="J963" s="12"/>
      <c r="K963" s="12">
        <f t="shared" si="280"/>
        <v>0</v>
      </c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86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79"/>
        <v>0</v>
      </c>
      <c r="H964" s="12"/>
      <c r="I964" s="12"/>
      <c r="J964" s="12"/>
      <c r="K964" s="12">
        <f t="shared" si="280"/>
        <v>0</v>
      </c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86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79"/>
        <v>0</v>
      </c>
      <c r="H965" s="12"/>
      <c r="I965" s="12"/>
      <c r="J965" s="12"/>
      <c r="K965" s="12">
        <f t="shared" si="280"/>
        <v>0</v>
      </c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86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79"/>
        <v>0</v>
      </c>
      <c r="H966" s="12"/>
      <c r="I966" s="12"/>
      <c r="J966" s="12"/>
      <c r="K966" s="12">
        <f t="shared" si="280"/>
        <v>0</v>
      </c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86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79"/>
        <v>0</v>
      </c>
      <c r="H967" s="10"/>
      <c r="I967" s="10"/>
      <c r="J967" s="10"/>
      <c r="K967" s="12">
        <f t="shared" si="280"/>
        <v>0</v>
      </c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Y967" s="10">
        <v>21</v>
      </c>
      <c r="Z967" s="30"/>
      <c r="AA967" s="31"/>
      <c r="AB967" s="46"/>
      <c r="AC967" s="31"/>
      <c r="AD967" s="31"/>
      <c r="AE967" s="32">
        <f t="shared" si="286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79"/>
        <v>0</v>
      </c>
      <c r="H968" s="10"/>
      <c r="I968" s="10"/>
      <c r="J968" s="10"/>
      <c r="K968" s="12">
        <f t="shared" si="280"/>
        <v>0</v>
      </c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86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79"/>
        <v>0</v>
      </c>
      <c r="H969" s="10"/>
      <c r="I969" s="10"/>
      <c r="J969" s="12"/>
      <c r="K969" s="12">
        <f t="shared" si="280"/>
        <v>0</v>
      </c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C969" s="31"/>
      <c r="AE969" s="32">
        <f t="shared" si="286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79"/>
        <v>0</v>
      </c>
      <c r="H970" s="10"/>
      <c r="I970" s="10"/>
      <c r="J970" s="10"/>
      <c r="K970" s="12">
        <f t="shared" si="280"/>
        <v>0</v>
      </c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86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79"/>
        <v>0</v>
      </c>
      <c r="H971" s="10"/>
      <c r="I971" s="10"/>
      <c r="J971" s="10"/>
      <c r="K971" s="12">
        <f t="shared" si="280"/>
        <v>0</v>
      </c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86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79"/>
        <v>0</v>
      </c>
      <c r="H972" s="10"/>
      <c r="I972" s="10"/>
      <c r="J972" s="10"/>
      <c r="K972" s="12">
        <f t="shared" si="280"/>
        <v>0</v>
      </c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86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79"/>
        <v>0</v>
      </c>
      <c r="H973" s="10"/>
      <c r="I973" s="10"/>
      <c r="J973" s="10"/>
      <c r="K973" s="12">
        <f t="shared" si="280"/>
        <v>0</v>
      </c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86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79"/>
        <v>0</v>
      </c>
      <c r="H974" s="10"/>
      <c r="I974" s="10"/>
      <c r="J974" s="10"/>
      <c r="K974" s="12">
        <f t="shared" si="280"/>
        <v>0</v>
      </c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86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79"/>
        <v>0</v>
      </c>
      <c r="H975" s="10"/>
      <c r="I975" s="10"/>
      <c r="J975" s="10"/>
      <c r="K975" s="12">
        <f t="shared" si="280"/>
        <v>0</v>
      </c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86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79"/>
        <v>0</v>
      </c>
      <c r="H976" s="10"/>
      <c r="I976" s="10"/>
      <c r="J976" s="10"/>
      <c r="K976" s="12">
        <f t="shared" si="280"/>
        <v>0</v>
      </c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86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9"/>
        <v>0</v>
      </c>
      <c r="H977" s="10"/>
      <c r="I977" s="10"/>
      <c r="J977" s="10"/>
      <c r="K977" s="12">
        <f t="shared" si="280"/>
        <v>0</v>
      </c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86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79"/>
        <v>0</v>
      </c>
      <c r="H978" s="10"/>
      <c r="I978" s="10"/>
      <c r="J978" s="10"/>
      <c r="K978" s="12">
        <f t="shared" si="280"/>
        <v>0</v>
      </c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86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79"/>
        <v>0</v>
      </c>
      <c r="H979" s="10"/>
      <c r="I979" s="10"/>
      <c r="J979" s="10"/>
      <c r="K979" s="12">
        <f t="shared" si="280"/>
        <v>0</v>
      </c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86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79"/>
        <v>0</v>
      </c>
      <c r="H980" s="10"/>
      <c r="I980" s="10"/>
      <c r="J980" s="10"/>
      <c r="K980" s="12">
        <f t="shared" si="280"/>
        <v>0</v>
      </c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86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86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86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86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86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86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90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457661</v>
      </c>
      <c r="E990" s="38">
        <f t="shared" ref="E990:F990" si="291">SUM(E947:E987)</f>
        <v>-3888</v>
      </c>
      <c r="F990" s="38">
        <f t="shared" si="291"/>
        <v>0</v>
      </c>
      <c r="G990" s="38">
        <f>SUM(G947:G989)</f>
        <v>453773</v>
      </c>
      <c r="H990" s="4"/>
      <c r="I990" s="39">
        <f>SUM(I947:I989)</f>
        <v>7881</v>
      </c>
      <c r="J990" s="39">
        <f>SUM(J947:J989)</f>
        <v>-17112</v>
      </c>
      <c r="K990" s="40">
        <f>SUM(K947:K989)</f>
        <v>444542</v>
      </c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398724</v>
      </c>
      <c r="AC990" s="38">
        <f>SUM(AC947:AC971)</f>
        <v>-3036</v>
      </c>
      <c r="AD990" s="38">
        <f>SUM(AD947:AD971)</f>
        <v>0</v>
      </c>
      <c r="AE990" s="38">
        <f>SUM(AE947:AE989)</f>
        <v>395688</v>
      </c>
      <c r="AF990" s="4"/>
      <c r="AG990" s="41">
        <f>SUM(AG947:AG989)</f>
        <v>87</v>
      </c>
      <c r="AH990" s="41">
        <f>SUM(AH947:AH971)</f>
        <v>0</v>
      </c>
      <c r="AI990" s="42">
        <f>SUM(AI947:AI989)</f>
        <v>395775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48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48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48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92</v>
      </c>
      <c r="B998" s="20"/>
      <c r="C998" s="57"/>
      <c r="D998" s="57"/>
      <c r="E998" s="57"/>
      <c r="G998" s="57"/>
      <c r="I998" s="22" t="s">
        <v>16</v>
      </c>
      <c r="J998" s="23" t="s">
        <v>31</v>
      </c>
      <c r="K998" s="24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33</v>
      </c>
      <c r="W998" s="24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34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19" t="s">
        <v>17</v>
      </c>
      <c r="E1000" s="119"/>
      <c r="F1000" s="109"/>
      <c r="G1000" s="27"/>
      <c r="I1000" s="117" t="s">
        <v>18</v>
      </c>
      <c r="J1000" s="118"/>
      <c r="K1000" s="115" t="s">
        <v>19</v>
      </c>
      <c r="N1000" s="25"/>
      <c r="O1000" s="26"/>
      <c r="P1000" s="119" t="s">
        <v>17</v>
      </c>
      <c r="Q1000" s="119"/>
      <c r="R1000" s="109"/>
      <c r="S1000" s="27"/>
      <c r="U1000" s="117" t="s">
        <v>18</v>
      </c>
      <c r="V1000" s="118"/>
      <c r="W1000" s="115" t="s">
        <v>19</v>
      </c>
      <c r="Z1000" s="25"/>
      <c r="AA1000" s="26"/>
      <c r="AB1000" s="119" t="s">
        <v>17</v>
      </c>
      <c r="AC1000" s="119"/>
      <c r="AD1000" s="110"/>
      <c r="AE1000" s="27"/>
      <c r="AG1000" s="117" t="s">
        <v>18</v>
      </c>
      <c r="AH1000" s="118"/>
      <c r="AI1000" s="115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32</v>
      </c>
      <c r="G1001" s="78" t="s">
        <v>24</v>
      </c>
      <c r="I1001" s="29" t="s">
        <v>25</v>
      </c>
      <c r="J1001" s="29" t="s">
        <v>26</v>
      </c>
      <c r="K1001" s="116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16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6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93</v>
      </c>
      <c r="C1002" s="83">
        <v>10305</v>
      </c>
      <c r="D1002" s="32">
        <f>650*4</f>
        <v>2600</v>
      </c>
      <c r="E1002" s="32"/>
      <c r="F1002" s="32"/>
      <c r="G1002" s="32">
        <f t="shared" ref="G1002:G1035" si="292">SUM(D1002:E1002)</f>
        <v>2600</v>
      </c>
      <c r="H1002" s="12"/>
      <c r="I1002" s="12"/>
      <c r="J1002" s="12"/>
      <c r="K1002" s="12">
        <f t="shared" ref="K1002:K1035" si="293">SUM(G1002:J1002)</f>
        <v>2600</v>
      </c>
      <c r="M1002" s="10">
        <v>1</v>
      </c>
      <c r="N1002" s="30" t="s">
        <v>93</v>
      </c>
      <c r="O1002" s="31">
        <v>10200</v>
      </c>
      <c r="P1002" s="32">
        <f>650*30+622*30+229</f>
        <v>38389</v>
      </c>
      <c r="Q1002" s="32"/>
      <c r="R1002" s="32"/>
      <c r="S1002" s="32">
        <f>SUM(P1002:Q1002)</f>
        <v>38389</v>
      </c>
      <c r="T1002" s="12"/>
      <c r="U1002" s="12">
        <v>78</v>
      </c>
      <c r="V1002" s="12"/>
      <c r="W1002" s="12">
        <f>SUM(S1002:V1002)</f>
        <v>38467</v>
      </c>
      <c r="Y1002" s="10">
        <v>1</v>
      </c>
      <c r="Z1002" s="30" t="s">
        <v>93</v>
      </c>
      <c r="AA1002" s="31">
        <v>10266</v>
      </c>
      <c r="AB1002" s="32">
        <f>650*108+622*30+229*4</f>
        <v>89776</v>
      </c>
      <c r="AC1002" s="32">
        <f>-138*6</f>
        <v>-828</v>
      </c>
      <c r="AD1002" s="32"/>
      <c r="AE1002" s="32">
        <f>SUM(AB1002:AC1002)</f>
        <v>88948</v>
      </c>
      <c r="AF1002" s="12"/>
      <c r="AG1002" s="12"/>
      <c r="AH1002" s="12"/>
      <c r="AI1002" s="12">
        <f>SUM(AE1002:AH1002)</f>
        <v>88948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93</v>
      </c>
      <c r="C1003" s="83">
        <f>C1002+1</f>
        <v>10306</v>
      </c>
      <c r="D1003" s="32">
        <f>650*15+622*5</f>
        <v>12860</v>
      </c>
      <c r="E1003" s="32"/>
      <c r="F1003" s="32"/>
      <c r="G1003" s="32">
        <f t="shared" si="292"/>
        <v>12860</v>
      </c>
      <c r="H1003" s="12"/>
      <c r="I1003" s="12">
        <v>270</v>
      </c>
      <c r="J1003" s="12">
        <v>-666</v>
      </c>
      <c r="K1003" s="12">
        <f t="shared" si="293"/>
        <v>12464</v>
      </c>
      <c r="M1003" s="10">
        <v>2</v>
      </c>
      <c r="N1003" s="30" t="s">
        <v>93</v>
      </c>
      <c r="O1003" s="31">
        <v>10351</v>
      </c>
      <c r="P1003" s="32">
        <f>650*108+622*20+229</f>
        <v>82869</v>
      </c>
      <c r="Q1003" s="32">
        <f>-128*6</f>
        <v>-768</v>
      </c>
      <c r="R1003" s="32"/>
      <c r="S1003" s="32">
        <f t="shared" ref="S1003:S1040" si="294">SUM(P1003:Q1003)</f>
        <v>82101</v>
      </c>
      <c r="T1003" s="12"/>
      <c r="U1003" s="12"/>
      <c r="V1003" s="12"/>
      <c r="W1003" s="12">
        <f t="shared" ref="W1003:W1043" si="295">SUM(S1003:V1003)</f>
        <v>82101</v>
      </c>
      <c r="Y1003" s="10">
        <v>2</v>
      </c>
      <c r="Z1003" s="30" t="s">
        <v>93</v>
      </c>
      <c r="AA1003" s="31">
        <f>AA1002+1</f>
        <v>10267</v>
      </c>
      <c r="AB1003" s="32">
        <f>650*324+1050*20+229*10</f>
        <v>233890</v>
      </c>
      <c r="AC1003" s="32">
        <f>-344*6</f>
        <v>-2064</v>
      </c>
      <c r="AD1003" s="32"/>
      <c r="AE1003" s="32">
        <f t="shared" ref="AE1003:AE1005" si="296">SUM(AB1003:AC1003)</f>
        <v>231826</v>
      </c>
      <c r="AF1003" s="12"/>
      <c r="AG1003" s="12">
        <v>36</v>
      </c>
      <c r="AH1003" s="12"/>
      <c r="AI1003" s="12">
        <f t="shared" ref="AI1003:AI1043" si="297">SUM(AE1003:AH1003)</f>
        <v>231862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93</v>
      </c>
      <c r="C1004" s="83">
        <f t="shared" ref="C1004:C1005" si="298">C1003+1</f>
        <v>10307</v>
      </c>
      <c r="D1004" s="33">
        <f>650*16</f>
        <v>10400</v>
      </c>
      <c r="E1004" s="32"/>
      <c r="F1004" s="33"/>
      <c r="G1004" s="33">
        <f t="shared" si="292"/>
        <v>10400</v>
      </c>
      <c r="H1004" s="34"/>
      <c r="I1004" s="34"/>
      <c r="J1004" s="34"/>
      <c r="K1004" s="34">
        <f t="shared" si="293"/>
        <v>10400</v>
      </c>
      <c r="M1004" s="10">
        <v>3</v>
      </c>
      <c r="N1004" s="30" t="s">
        <v>93</v>
      </c>
      <c r="O1004" s="31">
        <v>10353</v>
      </c>
      <c r="P1004" s="32">
        <f>650*540+622*108+872*5+229*30</f>
        <v>429406</v>
      </c>
      <c r="Q1004" s="32">
        <f>-653*6</f>
        <v>-3918</v>
      </c>
      <c r="R1004" s="32"/>
      <c r="S1004" s="32">
        <f t="shared" si="294"/>
        <v>425488</v>
      </c>
      <c r="T1004" s="12"/>
      <c r="U1004" s="12">
        <f>120*3+111*69+78*28</f>
        <v>10203</v>
      </c>
      <c r="V1004" s="12">
        <f>-84+-2604+-504+-31.5+-16.5</f>
        <v>-3240</v>
      </c>
      <c r="W1004" s="12">
        <f t="shared" si="295"/>
        <v>432451</v>
      </c>
      <c r="Y1004" s="10">
        <v>3</v>
      </c>
      <c r="Z1004" s="30" t="s">
        <v>93</v>
      </c>
      <c r="AA1004" s="31">
        <f t="shared" ref="AA1004:AA1006" si="299">AA1003+1</f>
        <v>10268</v>
      </c>
      <c r="AB1004" s="33">
        <f>650*80+670*3+973+622*14+229*4</f>
        <v>64607</v>
      </c>
      <c r="AC1004" s="33">
        <f>-98*6</f>
        <v>-588</v>
      </c>
      <c r="AD1004" s="32"/>
      <c r="AE1004" s="32">
        <f t="shared" si="296"/>
        <v>64019</v>
      </c>
      <c r="AF1004" s="12"/>
      <c r="AG1004" s="12">
        <f>84*11</f>
        <v>924</v>
      </c>
      <c r="AH1004" s="12">
        <f>-78*20</f>
        <v>-1560</v>
      </c>
      <c r="AI1004" s="12">
        <f t="shared" si="297"/>
        <v>63383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93</v>
      </c>
      <c r="C1005" s="83">
        <f t="shared" si="298"/>
        <v>10308</v>
      </c>
      <c r="D1005" s="32">
        <f>650*432+670*10+912*10+1050*5+229*11</f>
        <v>304389</v>
      </c>
      <c r="E1005" s="32">
        <v>-2742</v>
      </c>
      <c r="F1005" s="32"/>
      <c r="G1005" s="32">
        <f t="shared" si="292"/>
        <v>301647</v>
      </c>
      <c r="H1005" s="12"/>
      <c r="I1005" s="12">
        <f>1080+3219+546</f>
        <v>4845</v>
      </c>
      <c r="J1005" s="12">
        <f>-462+-30</f>
        <v>-492</v>
      </c>
      <c r="K1005" s="12">
        <f t="shared" si="293"/>
        <v>306000</v>
      </c>
      <c r="M1005" s="10">
        <v>4</v>
      </c>
      <c r="N1005" s="30" t="s">
        <v>93</v>
      </c>
      <c r="O1005" s="31">
        <f t="shared" ref="O1005" si="300">O1004+1</f>
        <v>10354</v>
      </c>
      <c r="P1005" s="32">
        <f>650*16+670*2+622*2</f>
        <v>12984</v>
      </c>
      <c r="Q1005" s="32"/>
      <c r="R1005" s="32"/>
      <c r="S1005" s="32">
        <f t="shared" si="294"/>
        <v>12984</v>
      </c>
      <c r="T1005" s="12"/>
      <c r="U1005" s="12">
        <v>135</v>
      </c>
      <c r="V1005" s="12"/>
      <c r="W1005" s="12">
        <f t="shared" si="295"/>
        <v>13119</v>
      </c>
      <c r="Y1005" s="10">
        <v>4</v>
      </c>
      <c r="Z1005" s="30" t="s">
        <v>93</v>
      </c>
      <c r="AA1005" s="31">
        <f t="shared" si="299"/>
        <v>10269</v>
      </c>
      <c r="AB1005" s="32">
        <f>650*20+670*10+874*2+229</f>
        <v>21677</v>
      </c>
      <c r="AC1005" s="32"/>
      <c r="AD1005" s="32"/>
      <c r="AE1005" s="32">
        <f t="shared" si="296"/>
        <v>21677</v>
      </c>
      <c r="AF1005" s="12"/>
      <c r="AH1005" s="12"/>
      <c r="AI1005" s="12">
        <f t="shared" si="297"/>
        <v>21677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/>
      <c r="C1006" s="11" t="s">
        <v>27</v>
      </c>
      <c r="D1006" s="32"/>
      <c r="E1006" s="32"/>
      <c r="F1006" s="32"/>
      <c r="G1006" s="32">
        <f t="shared" si="292"/>
        <v>0</v>
      </c>
      <c r="H1006" s="12"/>
      <c r="I1006" s="12"/>
      <c r="J1006" s="12"/>
      <c r="K1006" s="12">
        <f t="shared" si="293"/>
        <v>0</v>
      </c>
      <c r="M1006" s="10">
        <v>5</v>
      </c>
      <c r="N1006" s="30"/>
      <c r="O1006" s="11" t="s">
        <v>27</v>
      </c>
      <c r="P1006" s="32"/>
      <c r="Q1006" s="32"/>
      <c r="R1006" s="32"/>
      <c r="S1006" s="32">
        <f t="shared" si="294"/>
        <v>0</v>
      </c>
      <c r="T1006" s="12"/>
      <c r="U1006" s="12"/>
      <c r="V1006" s="12"/>
      <c r="W1006" s="12">
        <f t="shared" si="295"/>
        <v>0</v>
      </c>
      <c r="Y1006" s="10">
        <v>5</v>
      </c>
      <c r="Z1006" s="30" t="s">
        <v>93</v>
      </c>
      <c r="AA1006" s="31">
        <f t="shared" si="299"/>
        <v>10270</v>
      </c>
      <c r="AB1006" s="32">
        <f>650*8+622*2</f>
        <v>6444</v>
      </c>
      <c r="AC1006" s="32"/>
      <c r="AD1006" s="32"/>
      <c r="AE1006" s="32">
        <f t="shared" ref="AE1006:AE1007" si="301">SUM(AB1006:AC1006)</f>
        <v>6444</v>
      </c>
      <c r="AF1006" s="12"/>
      <c r="AG1006" s="12"/>
      <c r="AH1006" s="12"/>
      <c r="AI1006" s="12">
        <f t="shared" si="297"/>
        <v>6444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83"/>
      <c r="D1007" s="32"/>
      <c r="E1007" s="32"/>
      <c r="F1007" s="32"/>
      <c r="G1007" s="32">
        <f t="shared" si="292"/>
        <v>0</v>
      </c>
      <c r="H1007" s="12"/>
      <c r="I1007" s="12"/>
      <c r="J1007" s="12"/>
      <c r="K1007" s="12">
        <f t="shared" si="293"/>
        <v>0</v>
      </c>
      <c r="M1007" s="10">
        <v>6</v>
      </c>
      <c r="N1007" s="30"/>
      <c r="O1007" s="31"/>
      <c r="P1007" s="32"/>
      <c r="Q1007" s="32"/>
      <c r="R1007" s="32"/>
      <c r="S1007" s="32">
        <f t="shared" si="294"/>
        <v>0</v>
      </c>
      <c r="T1007" s="12"/>
      <c r="U1007" s="12"/>
      <c r="V1007" s="10"/>
      <c r="W1007" s="12">
        <f t="shared" si="295"/>
        <v>0</v>
      </c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si="301"/>
        <v>0</v>
      </c>
      <c r="AF1007" s="12"/>
      <c r="AG1007" s="12"/>
      <c r="AH1007" s="10"/>
      <c r="AI1007" s="12">
        <f t="shared" si="297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83"/>
      <c r="D1008" s="32"/>
      <c r="E1008" s="32"/>
      <c r="F1008" s="32"/>
      <c r="G1008" s="32">
        <f t="shared" si="292"/>
        <v>0</v>
      </c>
      <c r="H1008" s="12"/>
      <c r="I1008" s="12"/>
      <c r="J1008" s="12"/>
      <c r="K1008" s="12">
        <f t="shared" si="293"/>
        <v>0</v>
      </c>
      <c r="M1008" s="10">
        <v>7</v>
      </c>
      <c r="N1008" s="30"/>
      <c r="O1008" s="31"/>
      <c r="P1008" s="32"/>
      <c r="Q1008" s="32"/>
      <c r="R1008" s="32"/>
      <c r="S1008" s="32">
        <f t="shared" si="294"/>
        <v>0</v>
      </c>
      <c r="T1008" s="12"/>
      <c r="U1008" s="12"/>
      <c r="V1008" s="12"/>
      <c r="W1008" s="12">
        <f t="shared" si="295"/>
        <v>0</v>
      </c>
      <c r="Y1008" s="10">
        <v>7</v>
      </c>
      <c r="Z1008" s="30"/>
      <c r="AA1008" s="31"/>
      <c r="AB1008" s="32"/>
      <c r="AC1008" s="32"/>
      <c r="AD1008" s="32"/>
      <c r="AE1008" s="32">
        <f>SUM(AB1008:AC1008)</f>
        <v>0</v>
      </c>
      <c r="AF1008" s="12"/>
      <c r="AG1008" s="58"/>
      <c r="AH1008" s="12"/>
      <c r="AI1008" s="12">
        <f t="shared" si="297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83"/>
      <c r="D1009" s="32"/>
      <c r="E1009" s="32"/>
      <c r="F1009" s="32"/>
      <c r="G1009" s="32">
        <f t="shared" si="292"/>
        <v>0</v>
      </c>
      <c r="H1009" s="12"/>
      <c r="I1009" s="12"/>
      <c r="J1009" s="12"/>
      <c r="K1009" s="12">
        <f t="shared" si="293"/>
        <v>0</v>
      </c>
      <c r="M1009" s="10">
        <v>8</v>
      </c>
      <c r="N1009" s="30"/>
      <c r="P1009" s="32"/>
      <c r="Q1009" s="32"/>
      <c r="R1009" s="32"/>
      <c r="S1009" s="32">
        <f t="shared" si="294"/>
        <v>0</v>
      </c>
      <c r="T1009" s="12"/>
      <c r="U1009" s="12"/>
      <c r="V1009" s="12"/>
      <c r="W1009" s="12">
        <f t="shared" si="295"/>
        <v>0</v>
      </c>
      <c r="Y1009" s="10">
        <v>8</v>
      </c>
      <c r="Z1009" s="30"/>
      <c r="AA1009" s="11"/>
      <c r="AB1009" s="32"/>
      <c r="AC1009" s="32"/>
      <c r="AE1009" s="32">
        <f t="shared" ref="AE1009:AE1040" si="302">SUM(AB1009:AC1009)</f>
        <v>0</v>
      </c>
      <c r="AF1009" s="12"/>
      <c r="AG1009" s="12"/>
      <c r="AH1009" s="12"/>
      <c r="AI1009" s="12">
        <f t="shared" si="297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3"/>
      <c r="D1010" s="32"/>
      <c r="E1010" s="32"/>
      <c r="F1010" s="32"/>
      <c r="G1010" s="32">
        <f t="shared" si="292"/>
        <v>0</v>
      </c>
      <c r="H1010" s="12"/>
      <c r="I1010" s="12"/>
      <c r="J1010" s="12"/>
      <c r="K1010" s="12">
        <f t="shared" si="293"/>
        <v>0</v>
      </c>
      <c r="M1010" s="10">
        <v>9</v>
      </c>
      <c r="N1010" s="30"/>
      <c r="O1010" s="31"/>
      <c r="P1010" s="32"/>
      <c r="Q1010" s="32"/>
      <c r="R1010" s="32"/>
      <c r="S1010" s="32">
        <f t="shared" si="294"/>
        <v>0</v>
      </c>
      <c r="T1010" s="12"/>
      <c r="U1010" s="12"/>
      <c r="V1010" s="12"/>
      <c r="W1010" s="12">
        <f t="shared" si="295"/>
        <v>0</v>
      </c>
      <c r="Y1010" s="10">
        <v>9</v>
      </c>
      <c r="Z1010" s="30"/>
      <c r="AA1010" s="31"/>
      <c r="AB1010" s="32"/>
      <c r="AC1010" s="32"/>
      <c r="AD1010" s="32"/>
      <c r="AE1010" s="32">
        <f t="shared" si="302"/>
        <v>0</v>
      </c>
      <c r="AF1010" s="12"/>
      <c r="AH1010" s="12"/>
      <c r="AI1010" s="12">
        <f t="shared" si="297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3"/>
      <c r="D1011" s="32"/>
      <c r="E1011" s="32"/>
      <c r="F1011" s="32"/>
      <c r="G1011" s="32">
        <f t="shared" si="292"/>
        <v>0</v>
      </c>
      <c r="H1011" s="12"/>
      <c r="I1011" s="12"/>
      <c r="J1011" s="12"/>
      <c r="K1011" s="12">
        <f t="shared" si="293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94"/>
        <v>0</v>
      </c>
      <c r="T1011" s="12"/>
      <c r="U1011" s="12"/>
      <c r="V1011" s="12"/>
      <c r="W1011" s="12">
        <f t="shared" si="295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302"/>
        <v>0</v>
      </c>
      <c r="AF1011" s="12"/>
      <c r="AG1011" s="12"/>
      <c r="AH1011" s="12"/>
      <c r="AI1011" s="12">
        <f t="shared" si="297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83"/>
      <c r="D1012" s="32"/>
      <c r="E1012" s="32"/>
      <c r="F1012" s="32"/>
      <c r="G1012" s="32">
        <f t="shared" si="292"/>
        <v>0</v>
      </c>
      <c r="H1012" s="12"/>
      <c r="I1012" s="12"/>
      <c r="J1012" s="12"/>
      <c r="K1012" s="12">
        <f t="shared" si="293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94"/>
        <v>0</v>
      </c>
      <c r="T1012" s="12"/>
      <c r="U1012" s="12"/>
      <c r="V1012" s="12"/>
      <c r="W1012" s="12">
        <f t="shared" si="295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302"/>
        <v>0</v>
      </c>
      <c r="AF1012" s="12"/>
      <c r="AG1012" s="12"/>
      <c r="AH1012" s="12"/>
      <c r="AI1012" s="12">
        <f t="shared" si="297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C1013" s="83"/>
      <c r="D1013" s="32"/>
      <c r="E1013" s="32"/>
      <c r="F1013" s="32"/>
      <c r="G1013" s="32">
        <f t="shared" si="292"/>
        <v>0</v>
      </c>
      <c r="H1013" s="12"/>
      <c r="I1013" s="12"/>
      <c r="J1013" s="10"/>
      <c r="K1013" s="12">
        <f t="shared" si="293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94"/>
        <v>0</v>
      </c>
      <c r="T1013" s="12"/>
      <c r="U1013" s="12"/>
      <c r="V1013" s="12"/>
      <c r="W1013" s="12">
        <f t="shared" si="295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302"/>
        <v>0</v>
      </c>
      <c r="AF1013" s="12"/>
      <c r="AG1013" s="12"/>
      <c r="AH1013" s="12"/>
      <c r="AI1013" s="12">
        <f t="shared" si="297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3"/>
      <c r="D1014" s="32"/>
      <c r="E1014" s="32"/>
      <c r="F1014" s="32"/>
      <c r="G1014" s="32">
        <f t="shared" si="292"/>
        <v>0</v>
      </c>
      <c r="H1014" s="12"/>
      <c r="I1014" s="12"/>
      <c r="J1014" s="12"/>
      <c r="K1014" s="12">
        <f t="shared" si="293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94"/>
        <v>0</v>
      </c>
      <c r="T1014" s="12"/>
      <c r="U1014" s="12"/>
      <c r="V1014" s="12"/>
      <c r="W1014" s="12">
        <f t="shared" si="295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302"/>
        <v>0</v>
      </c>
      <c r="AF1014" s="12"/>
      <c r="AG1014" s="12"/>
      <c r="AH1014" s="12"/>
      <c r="AI1014" s="12">
        <f t="shared" si="297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3"/>
      <c r="D1015" s="32"/>
      <c r="E1015" s="32"/>
      <c r="F1015" s="32"/>
      <c r="G1015" s="32">
        <f t="shared" si="292"/>
        <v>0</v>
      </c>
      <c r="H1015" s="12"/>
      <c r="I1015" s="12"/>
      <c r="J1015" s="12"/>
      <c r="K1015" s="12">
        <f t="shared" si="293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94"/>
        <v>0</v>
      </c>
      <c r="T1015" s="12"/>
      <c r="U1015" s="12"/>
      <c r="V1015" s="12"/>
      <c r="W1015" s="12">
        <f t="shared" si="295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302"/>
        <v>0</v>
      </c>
      <c r="AF1015" s="12"/>
      <c r="AG1015" s="12"/>
      <c r="AH1015" s="12"/>
      <c r="AI1015" s="12">
        <f t="shared" si="297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3"/>
      <c r="D1016" s="32"/>
      <c r="E1016" s="32"/>
      <c r="F1016" s="32"/>
      <c r="G1016" s="32">
        <f t="shared" si="292"/>
        <v>0</v>
      </c>
      <c r="H1016" s="12"/>
      <c r="I1016" s="12"/>
      <c r="J1016" s="12"/>
      <c r="K1016" s="12">
        <f t="shared" si="293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94"/>
        <v>0</v>
      </c>
      <c r="T1016" s="12"/>
      <c r="U1016" s="12"/>
      <c r="V1016" s="12"/>
      <c r="W1016" s="12">
        <f t="shared" si="295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302"/>
        <v>0</v>
      </c>
      <c r="AF1016" s="12"/>
      <c r="AG1016" s="12"/>
      <c r="AH1016" s="12"/>
      <c r="AI1016" s="12">
        <f t="shared" si="297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11"/>
      <c r="D1017" s="32"/>
      <c r="E1017" s="32"/>
      <c r="F1017" s="32"/>
      <c r="G1017" s="32">
        <f t="shared" si="292"/>
        <v>0</v>
      </c>
      <c r="H1017" s="12"/>
      <c r="I1017" s="12"/>
      <c r="J1017" s="12"/>
      <c r="K1017" s="12">
        <f t="shared" si="293"/>
        <v>0</v>
      </c>
      <c r="M1017" s="10">
        <v>16</v>
      </c>
      <c r="N1017" s="30"/>
      <c r="O1017" s="11"/>
      <c r="P1017" s="32"/>
      <c r="Q1017" s="32"/>
      <c r="R1017" s="32"/>
      <c r="S1017" s="32">
        <f t="shared" si="294"/>
        <v>0</v>
      </c>
      <c r="T1017" s="12"/>
      <c r="U1017" s="12"/>
      <c r="V1017" s="12"/>
      <c r="W1017" s="12">
        <f t="shared" si="295"/>
        <v>0</v>
      </c>
      <c r="Y1017" s="10">
        <v>16</v>
      </c>
      <c r="AB1017" s="32"/>
      <c r="AC1017" s="32"/>
      <c r="AD1017" s="32"/>
      <c r="AE1017" s="32">
        <f t="shared" si="302"/>
        <v>0</v>
      </c>
      <c r="AF1017" s="12"/>
      <c r="AG1017" s="12"/>
      <c r="AH1017" s="12"/>
      <c r="AI1017" s="12">
        <f t="shared" si="297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3"/>
      <c r="D1018" s="32"/>
      <c r="E1018" s="32"/>
      <c r="F1018" s="32"/>
      <c r="G1018" s="32">
        <f t="shared" si="292"/>
        <v>0</v>
      </c>
      <c r="H1018" s="12"/>
      <c r="I1018" s="12"/>
      <c r="J1018" s="12"/>
      <c r="K1018" s="12">
        <f t="shared" si="293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94"/>
        <v>0</v>
      </c>
      <c r="T1018" s="12"/>
      <c r="U1018" s="12"/>
      <c r="V1018" s="12"/>
      <c r="W1018" s="12">
        <f t="shared" si="295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302"/>
        <v>0</v>
      </c>
      <c r="AF1018" s="12"/>
      <c r="AG1018" s="12"/>
      <c r="AH1018" s="12"/>
      <c r="AI1018" s="12">
        <f t="shared" si="297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3"/>
      <c r="D1019" s="32"/>
      <c r="E1019" s="32"/>
      <c r="F1019" s="32"/>
      <c r="G1019" s="32">
        <f t="shared" si="292"/>
        <v>0</v>
      </c>
      <c r="H1019" s="12"/>
      <c r="I1019" s="12"/>
      <c r="J1019" s="12"/>
      <c r="K1019" s="12">
        <f t="shared" si="293"/>
        <v>0</v>
      </c>
      <c r="M1019" s="10">
        <v>18</v>
      </c>
      <c r="N1019" s="30"/>
      <c r="P1019" s="32"/>
      <c r="Q1019" s="32"/>
      <c r="R1019" s="32"/>
      <c r="S1019" s="32">
        <f t="shared" si="294"/>
        <v>0</v>
      </c>
      <c r="T1019" s="12"/>
      <c r="U1019" s="12"/>
      <c r="V1019" s="12"/>
      <c r="W1019" s="12">
        <f t="shared" si="295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302"/>
        <v>0</v>
      </c>
      <c r="AF1019" s="12"/>
      <c r="AG1019" s="12"/>
      <c r="AH1019" s="12"/>
      <c r="AI1019" s="12">
        <f t="shared" si="297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3"/>
      <c r="D1020" s="32"/>
      <c r="E1020" s="32"/>
      <c r="F1020" s="32"/>
      <c r="G1020" s="32">
        <f t="shared" si="292"/>
        <v>0</v>
      </c>
      <c r="H1020" s="12"/>
      <c r="I1020" s="12"/>
      <c r="J1020" s="12"/>
      <c r="K1020" s="12">
        <f t="shared" si="293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94"/>
        <v>0</v>
      </c>
      <c r="T1020" s="12"/>
      <c r="U1020" s="12"/>
      <c r="V1020" s="12"/>
      <c r="W1020" s="12">
        <f t="shared" si="295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302"/>
        <v>0</v>
      </c>
      <c r="AF1020" s="12"/>
      <c r="AG1020" s="12"/>
      <c r="AH1020" s="12"/>
      <c r="AI1020" s="12">
        <f t="shared" si="297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3"/>
      <c r="D1021" s="32"/>
      <c r="E1021" s="32"/>
      <c r="F1021" s="32"/>
      <c r="G1021" s="32">
        <f t="shared" si="292"/>
        <v>0</v>
      </c>
      <c r="H1021" s="12"/>
      <c r="I1021" s="12"/>
      <c r="J1021" s="12"/>
      <c r="K1021" s="12">
        <f t="shared" si="293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94"/>
        <v>0</v>
      </c>
      <c r="T1021" s="12"/>
      <c r="U1021" s="12"/>
      <c r="V1021" s="12"/>
      <c r="W1021" s="12">
        <f t="shared" si="295"/>
        <v>0</v>
      </c>
      <c r="Y1021" s="10">
        <v>20</v>
      </c>
      <c r="Z1021" s="30"/>
      <c r="AB1021" s="32"/>
      <c r="AC1021" s="32"/>
      <c r="AD1021" s="32"/>
      <c r="AE1021" s="32">
        <f t="shared" si="302"/>
        <v>0</v>
      </c>
      <c r="AF1021" s="12"/>
      <c r="AG1021" s="12"/>
      <c r="AH1021" s="12"/>
      <c r="AI1021" s="12">
        <f t="shared" si="297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83"/>
      <c r="D1022" s="32"/>
      <c r="E1022" s="32"/>
      <c r="F1022" s="32"/>
      <c r="G1022" s="32">
        <f t="shared" si="292"/>
        <v>0</v>
      </c>
      <c r="H1022" s="10"/>
      <c r="I1022" s="10"/>
      <c r="J1022" s="10"/>
      <c r="K1022" s="12">
        <f t="shared" si="293"/>
        <v>0</v>
      </c>
      <c r="M1022" s="10">
        <v>21</v>
      </c>
      <c r="N1022" s="30"/>
      <c r="O1022" s="11"/>
      <c r="P1022" s="46"/>
      <c r="Q1022" s="31"/>
      <c r="R1022" s="31"/>
      <c r="S1022" s="32">
        <f t="shared" si="294"/>
        <v>0</v>
      </c>
      <c r="T1022" s="10"/>
      <c r="U1022" s="10"/>
      <c r="V1022" s="10"/>
      <c r="W1022" s="12">
        <f t="shared" si="295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302"/>
        <v>0</v>
      </c>
      <c r="AF1022" s="10"/>
      <c r="AG1022" s="10"/>
      <c r="AH1022" s="10"/>
      <c r="AI1022" s="12">
        <f t="shared" si="297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57"/>
      <c r="D1023" s="32"/>
      <c r="E1023" s="32"/>
      <c r="F1023" s="32"/>
      <c r="G1023" s="32">
        <f t="shared" si="292"/>
        <v>0</v>
      </c>
      <c r="H1023" s="10"/>
      <c r="I1023" s="10"/>
      <c r="J1023" s="10"/>
      <c r="K1023" s="12">
        <f t="shared" si="293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94"/>
        <v>0</v>
      </c>
      <c r="T1023" s="10"/>
      <c r="U1023" s="10"/>
      <c r="V1023" s="10"/>
      <c r="W1023" s="12">
        <f t="shared" si="295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302"/>
        <v>0</v>
      </c>
      <c r="AF1023" s="10"/>
      <c r="AG1023" s="10"/>
      <c r="AH1023" s="10"/>
      <c r="AI1023" s="12">
        <f t="shared" si="297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3"/>
      <c r="D1024" s="32"/>
      <c r="E1024" s="32"/>
      <c r="F1024" s="32"/>
      <c r="G1024" s="32">
        <f t="shared" si="292"/>
        <v>0</v>
      </c>
      <c r="H1024" s="10"/>
      <c r="I1024" s="10"/>
      <c r="J1024" s="12"/>
      <c r="K1024" s="12">
        <f t="shared" si="293"/>
        <v>0</v>
      </c>
      <c r="M1024" s="10">
        <v>23</v>
      </c>
      <c r="N1024" s="30"/>
      <c r="O1024" s="31"/>
      <c r="P1024" s="47"/>
      <c r="S1024" s="32">
        <f t="shared" si="294"/>
        <v>0</v>
      </c>
      <c r="T1024" s="10"/>
      <c r="U1024" s="10"/>
      <c r="V1024" s="10"/>
      <c r="W1024" s="12">
        <f t="shared" si="295"/>
        <v>0</v>
      </c>
      <c r="Y1024" s="10">
        <v>23</v>
      </c>
      <c r="Z1024" s="30"/>
      <c r="AA1024" s="31"/>
      <c r="AB1024" s="47"/>
      <c r="AC1024" s="31"/>
      <c r="AE1024" s="32">
        <f t="shared" si="302"/>
        <v>0</v>
      </c>
      <c r="AF1024" s="10"/>
      <c r="AG1024" s="10"/>
      <c r="AH1024" s="10"/>
      <c r="AI1024" s="12">
        <f t="shared" si="297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83"/>
      <c r="D1025" s="32"/>
      <c r="E1025" s="32"/>
      <c r="F1025" s="32"/>
      <c r="G1025" s="32">
        <f t="shared" si="292"/>
        <v>0</v>
      </c>
      <c r="H1025" s="10"/>
      <c r="I1025" s="10"/>
      <c r="J1025" s="10"/>
      <c r="K1025" s="12">
        <f t="shared" si="293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94"/>
        <v>0</v>
      </c>
      <c r="T1025" s="10"/>
      <c r="U1025" s="10"/>
      <c r="V1025" s="10"/>
      <c r="W1025" s="12">
        <f t="shared" si="295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302"/>
        <v>0</v>
      </c>
      <c r="AF1025" s="10"/>
      <c r="AG1025" s="10"/>
      <c r="AH1025" s="10"/>
      <c r="AI1025" s="12">
        <f t="shared" si="297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83"/>
      <c r="D1026" s="32"/>
      <c r="E1026" s="32"/>
      <c r="F1026" s="32"/>
      <c r="G1026" s="32">
        <f t="shared" si="292"/>
        <v>0</v>
      </c>
      <c r="H1026" s="10"/>
      <c r="I1026" s="10"/>
      <c r="J1026" s="10"/>
      <c r="K1026" s="12">
        <f t="shared" si="293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94"/>
        <v>0</v>
      </c>
      <c r="T1026" s="10"/>
      <c r="U1026" s="10"/>
      <c r="V1026" s="10"/>
      <c r="W1026" s="12">
        <f t="shared" si="295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302"/>
        <v>0</v>
      </c>
      <c r="AF1026" s="10"/>
      <c r="AG1026" s="10"/>
      <c r="AH1026" s="10"/>
      <c r="AI1026" s="12">
        <f t="shared" si="297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83"/>
      <c r="D1027" s="32"/>
      <c r="E1027" s="32"/>
      <c r="F1027" s="32"/>
      <c r="G1027" s="32">
        <f t="shared" si="292"/>
        <v>0</v>
      </c>
      <c r="H1027" s="10"/>
      <c r="I1027" s="10"/>
      <c r="J1027" s="10"/>
      <c r="K1027" s="12">
        <f t="shared" si="293"/>
        <v>0</v>
      </c>
      <c r="M1027" s="10">
        <v>26</v>
      </c>
      <c r="N1027" s="30"/>
      <c r="O1027" s="11"/>
      <c r="P1027" s="47"/>
      <c r="Q1027" s="31"/>
      <c r="R1027" s="31"/>
      <c r="S1027" s="32">
        <f t="shared" si="294"/>
        <v>0</v>
      </c>
      <c r="T1027" s="10"/>
      <c r="U1027" s="10"/>
      <c r="V1027" s="10"/>
      <c r="W1027" s="12">
        <f t="shared" si="295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302"/>
        <v>0</v>
      </c>
      <c r="AF1027" s="10"/>
      <c r="AG1027" s="10"/>
      <c r="AH1027" s="10"/>
      <c r="AI1027" s="12">
        <f t="shared" si="297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83"/>
      <c r="D1028" s="32"/>
      <c r="E1028" s="32"/>
      <c r="F1028" s="32"/>
      <c r="G1028" s="32">
        <f t="shared" si="292"/>
        <v>0</v>
      </c>
      <c r="H1028" s="10"/>
      <c r="I1028" s="10"/>
      <c r="J1028" s="10"/>
      <c r="K1028" s="12">
        <f t="shared" si="293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94"/>
        <v>0</v>
      </c>
      <c r="T1028" s="10"/>
      <c r="U1028" s="10"/>
      <c r="V1028" s="10"/>
      <c r="W1028" s="12">
        <f t="shared" si="295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302"/>
        <v>0</v>
      </c>
      <c r="AF1028" s="10"/>
      <c r="AG1028" s="10"/>
      <c r="AH1028" s="10"/>
      <c r="AI1028" s="12">
        <f t="shared" si="297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83"/>
      <c r="D1029" s="32"/>
      <c r="E1029" s="32"/>
      <c r="F1029" s="32"/>
      <c r="G1029" s="32">
        <f t="shared" si="292"/>
        <v>0</v>
      </c>
      <c r="H1029" s="10"/>
      <c r="I1029" s="10"/>
      <c r="J1029" s="10"/>
      <c r="K1029" s="12">
        <f t="shared" si="293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4"/>
        <v>0</v>
      </c>
      <c r="T1029" s="10"/>
      <c r="U1029" s="10"/>
      <c r="V1029" s="10"/>
      <c r="W1029" s="12">
        <f t="shared" si="295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302"/>
        <v>0</v>
      </c>
      <c r="AF1029" s="10"/>
      <c r="AG1029" s="10"/>
      <c r="AH1029" s="10"/>
      <c r="AI1029" s="12">
        <f t="shared" si="297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83"/>
      <c r="D1030" s="32"/>
      <c r="E1030" s="32"/>
      <c r="F1030" s="32"/>
      <c r="G1030" s="32">
        <f t="shared" si="292"/>
        <v>0</v>
      </c>
      <c r="H1030" s="10"/>
      <c r="I1030" s="10"/>
      <c r="J1030" s="10"/>
      <c r="K1030" s="12">
        <f t="shared" si="293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4"/>
        <v>0</v>
      </c>
      <c r="T1030" s="10"/>
      <c r="U1030" s="10"/>
      <c r="V1030" s="10"/>
      <c r="W1030" s="12">
        <f t="shared" si="295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302"/>
        <v>0</v>
      </c>
      <c r="AF1030" s="10"/>
      <c r="AG1030" s="10"/>
      <c r="AH1030" s="10"/>
      <c r="AI1030" s="12">
        <f t="shared" si="297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83"/>
      <c r="D1031" s="32"/>
      <c r="E1031" s="32"/>
      <c r="F1031" s="32"/>
      <c r="G1031" s="32">
        <f t="shared" si="292"/>
        <v>0</v>
      </c>
      <c r="H1031" s="10"/>
      <c r="I1031" s="10"/>
      <c r="J1031" s="10"/>
      <c r="K1031" s="12">
        <f t="shared" si="293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4"/>
        <v>0</v>
      </c>
      <c r="T1031" s="10"/>
      <c r="U1031" s="10"/>
      <c r="V1031" s="10"/>
      <c r="W1031" s="12">
        <f t="shared" si="295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302"/>
        <v>0</v>
      </c>
      <c r="AF1031" s="10"/>
      <c r="AG1031" s="10"/>
      <c r="AH1031" s="10"/>
      <c r="AI1031" s="12">
        <f t="shared" si="297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11"/>
      <c r="D1032" s="32"/>
      <c r="E1032" s="32"/>
      <c r="F1032" s="32"/>
      <c r="G1032" s="32">
        <f t="shared" si="292"/>
        <v>0</v>
      </c>
      <c r="H1032" s="10"/>
      <c r="I1032" s="10"/>
      <c r="J1032" s="10"/>
      <c r="K1032" s="12">
        <f t="shared" si="293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94"/>
        <v>0</v>
      </c>
      <c r="T1032" s="10"/>
      <c r="U1032" s="10"/>
      <c r="V1032" s="10"/>
      <c r="W1032" s="12">
        <f t="shared" si="295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302"/>
        <v>0</v>
      </c>
      <c r="AF1032" s="10"/>
      <c r="AG1032" s="10"/>
      <c r="AH1032" s="10"/>
      <c r="AI1032" s="12">
        <f t="shared" si="297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83"/>
      <c r="D1033" s="32"/>
      <c r="E1033" s="32"/>
      <c r="F1033" s="32"/>
      <c r="G1033" s="32">
        <f t="shared" si="292"/>
        <v>0</v>
      </c>
      <c r="H1033" s="10"/>
      <c r="I1033" s="10"/>
      <c r="J1033" s="10"/>
      <c r="K1033" s="12">
        <f t="shared" si="293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4"/>
        <v>0</v>
      </c>
      <c r="T1033" s="10"/>
      <c r="U1033" s="10"/>
      <c r="V1033" s="10"/>
      <c r="W1033" s="12">
        <f t="shared" si="295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302"/>
        <v>0</v>
      </c>
      <c r="AF1033" s="10"/>
      <c r="AG1033" s="10"/>
      <c r="AH1033" s="10"/>
      <c r="AI1033" s="12">
        <f t="shared" si="297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3"/>
      <c r="D1034" s="32"/>
      <c r="E1034" s="32"/>
      <c r="F1034" s="32"/>
      <c r="G1034" s="32">
        <f t="shared" si="292"/>
        <v>0</v>
      </c>
      <c r="H1034" s="10"/>
      <c r="I1034" s="10"/>
      <c r="J1034" s="10"/>
      <c r="K1034" s="12">
        <f t="shared" si="293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4"/>
        <v>0</v>
      </c>
      <c r="T1034" s="10"/>
      <c r="U1034" s="10"/>
      <c r="V1034" s="10"/>
      <c r="W1034" s="12">
        <f t="shared" si="295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302"/>
        <v>0</v>
      </c>
      <c r="AF1034" s="10"/>
      <c r="AG1034" s="10"/>
      <c r="AH1034" s="10"/>
      <c r="AI1034" s="12">
        <f t="shared" si="297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3"/>
      <c r="D1035" s="32"/>
      <c r="E1035" s="32"/>
      <c r="F1035" s="32"/>
      <c r="G1035" s="32">
        <f t="shared" si="292"/>
        <v>0</v>
      </c>
      <c r="H1035" s="10"/>
      <c r="I1035" s="10"/>
      <c r="J1035" s="10"/>
      <c r="K1035" s="12">
        <f t="shared" si="293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4"/>
        <v>0</v>
      </c>
      <c r="T1035" s="10"/>
      <c r="U1035" s="10"/>
      <c r="V1035" s="10"/>
      <c r="W1035" s="12">
        <f t="shared" si="295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302"/>
        <v>0</v>
      </c>
      <c r="AF1035" s="10"/>
      <c r="AG1035" s="10"/>
      <c r="AH1035" s="10"/>
      <c r="AI1035" s="12">
        <f t="shared" si="297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4"/>
        <v>0</v>
      </c>
      <c r="T1036" s="10"/>
      <c r="U1036" s="10"/>
      <c r="V1036" s="10"/>
      <c r="W1036" s="12">
        <f t="shared" si="295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302"/>
        <v>0</v>
      </c>
      <c r="AF1036" s="10"/>
      <c r="AG1036" s="10"/>
      <c r="AH1036" s="10"/>
      <c r="AI1036" s="12">
        <f t="shared" si="297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4"/>
        <v>0</v>
      </c>
      <c r="T1037" s="10"/>
      <c r="U1037" s="10"/>
      <c r="V1037" s="10"/>
      <c r="W1037" s="12">
        <f t="shared" si="295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302"/>
        <v>0</v>
      </c>
      <c r="AF1037" s="10"/>
      <c r="AG1037" s="10"/>
      <c r="AH1037" s="10"/>
      <c r="AI1037" s="12">
        <f t="shared" si="297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4"/>
        <v>0</v>
      </c>
      <c r="T1038" s="10"/>
      <c r="U1038" s="10"/>
      <c r="V1038" s="10"/>
      <c r="W1038" s="12">
        <f t="shared" si="295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302"/>
        <v>0</v>
      </c>
      <c r="AF1038" s="10"/>
      <c r="AG1038" s="10"/>
      <c r="AH1038" s="10"/>
      <c r="AI1038" s="12">
        <f t="shared" si="297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4"/>
        <v>0</v>
      </c>
      <c r="T1039" s="10"/>
      <c r="U1039" s="10"/>
      <c r="V1039" s="10"/>
      <c r="W1039" s="12">
        <f t="shared" si="295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302"/>
        <v>0</v>
      </c>
      <c r="AF1039" s="10"/>
      <c r="AG1039" s="10"/>
      <c r="AH1039" s="10"/>
      <c r="AI1039" s="12">
        <f t="shared" si="297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4"/>
        <v>0</v>
      </c>
      <c r="T1040" s="10"/>
      <c r="U1040" s="10"/>
      <c r="V1040" s="10"/>
      <c r="W1040" s="12">
        <f t="shared" si="295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302"/>
        <v>0</v>
      </c>
      <c r="AF1040" s="10"/>
      <c r="AG1040" s="10"/>
      <c r="AH1040" s="10"/>
      <c r="AI1040" s="12">
        <f t="shared" si="297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5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7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3">SUM(D1042:E1042)</f>
        <v>0</v>
      </c>
      <c r="H1042" s="10"/>
      <c r="I1042" s="10"/>
      <c r="J1042" s="10"/>
      <c r="K1042" s="12">
        <f t="shared" ref="K1042" si="304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5">SUM(P1042:Q1042)</f>
        <v>0</v>
      </c>
      <c r="T1042" s="10"/>
      <c r="U1042" s="10"/>
      <c r="V1042" s="10"/>
      <c r="W1042" s="12">
        <f t="shared" si="295"/>
        <v>0</v>
      </c>
      <c r="Y1042" s="10"/>
      <c r="Z1042" s="30"/>
      <c r="AA1042" s="31"/>
      <c r="AB1042" s="47"/>
      <c r="AC1042" s="31"/>
      <c r="AD1042" s="31"/>
      <c r="AE1042" s="32">
        <f t="shared" ref="AE1042" si="306">SUM(AB1042:AC1042)</f>
        <v>0</v>
      </c>
      <c r="AF1042" s="10"/>
      <c r="AG1042" s="10"/>
      <c r="AH1042" s="10"/>
      <c r="AI1042" s="12">
        <f t="shared" si="297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5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7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330249</v>
      </c>
      <c r="E1045" s="38">
        <f t="shared" ref="E1045:F1045" si="307">SUM(E1002:E1042)</f>
        <v>-2742</v>
      </c>
      <c r="F1045" s="38">
        <f t="shared" si="307"/>
        <v>0</v>
      </c>
      <c r="G1045" s="38">
        <f>SUM(G1002:G1044)</f>
        <v>327507</v>
      </c>
      <c r="H1045" s="4"/>
      <c r="I1045" s="39">
        <f>SUM(I1002:I1044)</f>
        <v>5115</v>
      </c>
      <c r="J1045" s="39">
        <f>SUM(J1002:J1044)</f>
        <v>-1158</v>
      </c>
      <c r="K1045" s="40">
        <f>SUM(K1002:K1044)</f>
        <v>331464</v>
      </c>
      <c r="N1045" s="57"/>
      <c r="O1045" s="57"/>
      <c r="P1045" s="38">
        <f>SUM(P1002:P1044)</f>
        <v>563648</v>
      </c>
      <c r="Q1045" s="38">
        <f>SUM(Q1002:Q1026)</f>
        <v>-4686</v>
      </c>
      <c r="R1045" s="38">
        <f>SUM(R1002:R1026)</f>
        <v>0</v>
      </c>
      <c r="S1045" s="38">
        <f>SUM(S1002:S1044)</f>
        <v>558962</v>
      </c>
      <c r="T1045" s="4"/>
      <c r="U1045" s="41">
        <f>SUM(U1002:U1044)</f>
        <v>10416</v>
      </c>
      <c r="V1045" s="41">
        <f>SUM(V1002:V1026)</f>
        <v>-3240</v>
      </c>
      <c r="W1045" s="42">
        <f>SUM(W1002:W1044)</f>
        <v>566138</v>
      </c>
      <c r="Z1045" s="57"/>
      <c r="AA1045" s="57"/>
      <c r="AB1045" s="38">
        <f>SUM(AB1002:AB1044)</f>
        <v>416394</v>
      </c>
      <c r="AC1045" s="38">
        <f>SUM(AC1002:AC1026)</f>
        <v>-3480</v>
      </c>
      <c r="AD1045" s="38">
        <f>SUM(AD1002:AD1026)</f>
        <v>0</v>
      </c>
      <c r="AE1045" s="38">
        <f>SUM(AE1002:AE1044)</f>
        <v>412914</v>
      </c>
      <c r="AF1045" s="4"/>
      <c r="AG1045" s="41">
        <f>SUM(AG1002:AG1044)</f>
        <v>960</v>
      </c>
      <c r="AH1045" s="41">
        <f>SUM(AH1002:AH1026)</f>
        <v>-1560</v>
      </c>
      <c r="AI1045" s="42">
        <f>SUM(AI1002:AI1044)</f>
        <v>412314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20"/>
      <c r="E1055" s="120"/>
      <c r="F1055" s="86"/>
      <c r="G1055" s="86"/>
      <c r="H1055" s="62"/>
      <c r="I1055" s="120"/>
      <c r="J1055" s="120"/>
      <c r="K1055" s="121"/>
      <c r="L1055" s="62"/>
      <c r="M1055" s="62"/>
      <c r="N1055" s="65"/>
      <c r="O1055" s="86"/>
      <c r="P1055" s="120"/>
      <c r="Q1055" s="120"/>
      <c r="R1055" s="86"/>
      <c r="S1055" s="86"/>
      <c r="T1055" s="62"/>
      <c r="U1055" s="120"/>
      <c r="V1055" s="120"/>
      <c r="W1055" s="121"/>
      <c r="X1055" s="62"/>
      <c r="Y1055" s="62"/>
      <c r="Z1055" s="65"/>
      <c r="AA1055" s="86"/>
      <c r="AB1055" s="120"/>
      <c r="AC1055" s="120"/>
      <c r="AD1055" s="86"/>
      <c r="AE1055" s="86"/>
      <c r="AF1055" s="62"/>
      <c r="AG1055" s="120"/>
      <c r="AH1055" s="120"/>
      <c r="AI1055" s="12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21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21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2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20"/>
      <c r="E1110" s="120"/>
      <c r="F1110" s="86"/>
      <c r="G1110" s="86"/>
      <c r="H1110" s="62"/>
      <c r="I1110" s="120"/>
      <c r="J1110" s="120"/>
      <c r="K1110" s="121"/>
      <c r="L1110" s="62"/>
      <c r="M1110" s="62"/>
      <c r="N1110" s="65"/>
      <c r="O1110" s="86"/>
      <c r="P1110" s="120"/>
      <c r="Q1110" s="120"/>
      <c r="R1110" s="86"/>
      <c r="S1110" s="86"/>
      <c r="T1110" s="62"/>
      <c r="U1110" s="120"/>
      <c r="V1110" s="120"/>
      <c r="W1110" s="121"/>
      <c r="X1110" s="62"/>
      <c r="Y1110" s="62"/>
      <c r="Z1110" s="65"/>
      <c r="AA1110" s="86"/>
      <c r="AB1110" s="120"/>
      <c r="AC1110" s="120"/>
      <c r="AD1110" s="86"/>
      <c r="AE1110" s="86"/>
      <c r="AF1110" s="62"/>
      <c r="AG1110" s="120"/>
      <c r="AH1110" s="120"/>
      <c r="AI1110" s="12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21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21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2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20"/>
      <c r="E1165" s="120"/>
      <c r="F1165" s="86"/>
      <c r="G1165" s="86"/>
      <c r="H1165" s="62"/>
      <c r="I1165" s="120"/>
      <c r="J1165" s="120"/>
      <c r="K1165" s="121"/>
      <c r="L1165" s="62"/>
      <c r="M1165" s="62"/>
      <c r="N1165" s="65"/>
      <c r="O1165" s="86"/>
      <c r="P1165" s="120"/>
      <c r="Q1165" s="120"/>
      <c r="R1165" s="86"/>
      <c r="S1165" s="86"/>
      <c r="T1165" s="62"/>
      <c r="U1165" s="120"/>
      <c r="V1165" s="120"/>
      <c r="W1165" s="121"/>
      <c r="X1165" s="62"/>
      <c r="Y1165" s="62"/>
      <c r="Z1165" s="65"/>
      <c r="AA1165" s="86"/>
      <c r="AB1165" s="120"/>
      <c r="AC1165" s="120"/>
      <c r="AD1165" s="86"/>
      <c r="AE1165" s="86"/>
      <c r="AF1165" s="62"/>
      <c r="AG1165" s="120"/>
      <c r="AH1165" s="120"/>
      <c r="AI1165" s="12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21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21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2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20"/>
      <c r="E1221" s="120"/>
      <c r="F1221" s="86"/>
      <c r="G1221" s="86"/>
      <c r="H1221" s="62"/>
      <c r="I1221" s="120"/>
      <c r="J1221" s="120"/>
      <c r="K1221" s="121"/>
      <c r="L1221" s="62"/>
      <c r="M1221" s="62"/>
      <c r="N1221" s="65"/>
      <c r="O1221" s="86"/>
      <c r="P1221" s="120"/>
      <c r="Q1221" s="120"/>
      <c r="R1221" s="86"/>
      <c r="S1221" s="86"/>
      <c r="T1221" s="62"/>
      <c r="U1221" s="120"/>
      <c r="V1221" s="120"/>
      <c r="W1221" s="121"/>
      <c r="X1221" s="62"/>
      <c r="Y1221" s="62"/>
      <c r="Z1221" s="65"/>
      <c r="AA1221" s="86"/>
      <c r="AB1221" s="120"/>
      <c r="AC1221" s="120"/>
      <c r="AD1221" s="86"/>
      <c r="AE1221" s="86"/>
      <c r="AF1221" s="62"/>
      <c r="AG1221" s="120"/>
      <c r="AH1221" s="120"/>
      <c r="AI1221" s="12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21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21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2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20"/>
      <c r="E1283" s="120"/>
      <c r="F1283" s="86"/>
      <c r="G1283" s="86"/>
      <c r="H1283" s="62"/>
      <c r="I1283" s="120"/>
      <c r="J1283" s="120"/>
      <c r="K1283" s="121"/>
      <c r="L1283" s="62"/>
      <c r="M1283" s="62"/>
      <c r="N1283" s="65"/>
      <c r="O1283" s="86"/>
      <c r="P1283" s="120"/>
      <c r="Q1283" s="120"/>
      <c r="R1283" s="86"/>
      <c r="S1283" s="86"/>
      <c r="T1283" s="62"/>
      <c r="U1283" s="120"/>
      <c r="V1283" s="120"/>
      <c r="W1283" s="121"/>
      <c r="X1283" s="62"/>
      <c r="Y1283" s="62"/>
      <c r="Z1283" s="65"/>
      <c r="AA1283" s="86"/>
      <c r="AB1283" s="120"/>
      <c r="AC1283" s="120"/>
      <c r="AD1283" s="86"/>
      <c r="AE1283" s="86"/>
      <c r="AF1283" s="62"/>
      <c r="AG1283" s="120"/>
      <c r="AH1283" s="120"/>
      <c r="AI1283" s="12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21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21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2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2026-04-29T00:59:15Z</dcterms:modified>
</cp:coreProperties>
</file>