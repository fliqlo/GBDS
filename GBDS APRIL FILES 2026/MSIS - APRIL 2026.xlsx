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6D0A74A6-A89E-4462-9014-679F844B5544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06" i="2" l="1"/>
  <c r="AE1006" i="2" s="1"/>
  <c r="AI1006" i="2" s="1"/>
  <c r="AB1005" i="2"/>
  <c r="AG1004" i="2"/>
  <c r="AG1045" i="2" s="1"/>
  <c r="AH1004" i="2"/>
  <c r="AH1045" i="2" s="1"/>
  <c r="AC1004" i="2"/>
  <c r="AB1004" i="2"/>
  <c r="AC1003" i="2"/>
  <c r="AB1003" i="2"/>
  <c r="AC1002" i="2"/>
  <c r="AB1002" i="2"/>
  <c r="AE1002" i="2" s="1"/>
  <c r="AI1002" i="2" s="1"/>
  <c r="AA1003" i="2"/>
  <c r="AA1004" i="2" s="1"/>
  <c r="AA1005" i="2" s="1"/>
  <c r="AA1006" i="2" s="1"/>
  <c r="AE1005" i="2"/>
  <c r="AI1005" i="2" s="1"/>
  <c r="AE1007" i="2"/>
  <c r="AI1007" i="2"/>
  <c r="AE1008" i="2"/>
  <c r="AI1008" i="2"/>
  <c r="AE1009" i="2"/>
  <c r="AI1009" i="2" s="1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/>
  <c r="AE1017" i="2"/>
  <c r="AI1017" i="2" s="1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/>
  <c r="AE1025" i="2"/>
  <c r="AI1025" i="2" s="1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/>
  <c r="AE1033" i="2"/>
  <c r="AI1033" i="2" s="1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/>
  <c r="AI1041" i="2"/>
  <c r="AE1042" i="2"/>
  <c r="AI1042" i="2" s="1"/>
  <c r="AI1043" i="2"/>
  <c r="AD1045" i="2"/>
  <c r="AB1045" i="2" l="1"/>
  <c r="AC1045" i="2"/>
  <c r="AE1003" i="2"/>
  <c r="AI1003" i="2" s="1"/>
  <c r="AE1004" i="2"/>
  <c r="AI1004" i="2" s="1"/>
  <c r="P1005" i="2"/>
  <c r="V1004" i="2"/>
  <c r="U1004" i="2"/>
  <c r="Q1004" i="2"/>
  <c r="Q1045" i="2" s="1"/>
  <c r="P1004" i="2"/>
  <c r="Q1003" i="2"/>
  <c r="P1003" i="2"/>
  <c r="P1002" i="2"/>
  <c r="P1045" i="2" s="1"/>
  <c r="U1045" i="2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W1030" i="2"/>
  <c r="S1030" i="2"/>
  <c r="S1029" i="2"/>
  <c r="W1029" i="2" s="1"/>
  <c r="S1028" i="2"/>
  <c r="W1028" i="2" s="1"/>
  <c r="W1027" i="2"/>
  <c r="S1027" i="2"/>
  <c r="S1026" i="2"/>
  <c r="W1026" i="2" s="1"/>
  <c r="S1025" i="2"/>
  <c r="W1025" i="2" s="1"/>
  <c r="S1024" i="2"/>
  <c r="W1024" i="2" s="1"/>
  <c r="W1023" i="2"/>
  <c r="S1023" i="2"/>
  <c r="W1022" i="2"/>
  <c r="S1022" i="2"/>
  <c r="S1021" i="2"/>
  <c r="W1021" i="2" s="1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W1014" i="2"/>
  <c r="S1014" i="2"/>
  <c r="S1013" i="2"/>
  <c r="W1013" i="2" s="1"/>
  <c r="S1012" i="2"/>
  <c r="W1012" i="2" s="1"/>
  <c r="W1011" i="2"/>
  <c r="S1011" i="2"/>
  <c r="S1010" i="2"/>
  <c r="W1010" i="2" s="1"/>
  <c r="S1009" i="2"/>
  <c r="W1009" i="2" s="1"/>
  <c r="S1008" i="2"/>
  <c r="W1008" i="2" s="1"/>
  <c r="S1007" i="2"/>
  <c r="W1007" i="2" s="1"/>
  <c r="S1006" i="2"/>
  <c r="W1006" i="2" s="1"/>
  <c r="S1005" i="2"/>
  <c r="W1005" i="2" s="1"/>
  <c r="V1045" i="2"/>
  <c r="S1003" i="2"/>
  <c r="W1003" i="2" s="1"/>
  <c r="O1005" i="2"/>
  <c r="J1005" i="2"/>
  <c r="J1045" i="2" s="1"/>
  <c r="I1005" i="2"/>
  <c r="D1005" i="2"/>
  <c r="G1005" i="2" s="1"/>
  <c r="D1004" i="2"/>
  <c r="D1003" i="2"/>
  <c r="D1002" i="2"/>
  <c r="G1002" i="2"/>
  <c r="K1002" i="2" s="1"/>
  <c r="C1003" i="2"/>
  <c r="G1003" i="2"/>
  <c r="K1003" i="2"/>
  <c r="C1004" i="2"/>
  <c r="G1004" i="2"/>
  <c r="K1004" i="2" s="1"/>
  <c r="C1005" i="2"/>
  <c r="E1045" i="2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/>
  <c r="G1012" i="2"/>
  <c r="K1012" i="2" s="1"/>
  <c r="G1013" i="2"/>
  <c r="K1013" i="2" s="1"/>
  <c r="G1014" i="2"/>
  <c r="K1014" i="2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 s="1"/>
  <c r="G1029" i="2"/>
  <c r="K1029" i="2" s="1"/>
  <c r="G1030" i="2"/>
  <c r="K1030" i="2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 s="1"/>
  <c r="F1045" i="2"/>
  <c r="I1045" i="2"/>
  <c r="AI1045" i="2" l="1"/>
  <c r="AE1045" i="2"/>
  <c r="S1004" i="2"/>
  <c r="W1004" i="2" s="1"/>
  <c r="S1002" i="2"/>
  <c r="K1005" i="2"/>
  <c r="K1045" i="2" s="1"/>
  <c r="D1045" i="2"/>
  <c r="G1045" i="2"/>
  <c r="AB953" i="2"/>
  <c r="AE953" i="2" s="1"/>
  <c r="AI953" i="2" s="1"/>
  <c r="AB952" i="2"/>
  <c r="AE952" i="2" s="1"/>
  <c r="AI952" i="2" s="1"/>
  <c r="AC951" i="2"/>
  <c r="AE951" i="2" s="1"/>
  <c r="AI951" i="2" s="1"/>
  <c r="AB951" i="2"/>
  <c r="AC950" i="2"/>
  <c r="AB950" i="2"/>
  <c r="AE950" i="2" s="1"/>
  <c r="AI950" i="2" s="1"/>
  <c r="AB949" i="2"/>
  <c r="AG948" i="2"/>
  <c r="AG990" i="2" s="1"/>
  <c r="AB948" i="2"/>
  <c r="AC947" i="2"/>
  <c r="AB947" i="2"/>
  <c r="AA949" i="2"/>
  <c r="AA950" i="2" s="1"/>
  <c r="AA951" i="2" s="1"/>
  <c r="AA952" i="2" s="1"/>
  <c r="AA953" i="2" s="1"/>
  <c r="AA948" i="2"/>
  <c r="AE948" i="2"/>
  <c r="AI948" i="2" s="1"/>
  <c r="AE949" i="2"/>
  <c r="AI949" i="2"/>
  <c r="AE954" i="2"/>
  <c r="AI954" i="2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/>
  <c r="AE962" i="2"/>
  <c r="AI962" i="2" s="1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 s="1"/>
  <c r="AE981" i="2"/>
  <c r="AI981" i="2"/>
  <c r="AE982" i="2"/>
  <c r="AI982" i="2"/>
  <c r="AE983" i="2"/>
  <c r="AI983" i="2"/>
  <c r="AE984" i="2"/>
  <c r="AI984" i="2"/>
  <c r="AE985" i="2"/>
  <c r="AI985" i="2"/>
  <c r="AI986" i="2"/>
  <c r="AE987" i="2"/>
  <c r="AI987" i="2" s="1"/>
  <c r="AI988" i="2"/>
  <c r="AD990" i="2"/>
  <c r="AH990" i="2"/>
  <c r="J950" i="2"/>
  <c r="J990" i="2" s="1"/>
  <c r="E950" i="2"/>
  <c r="D950" i="2"/>
  <c r="D949" i="2"/>
  <c r="G949" i="2" s="1"/>
  <c r="K949" i="2" s="1"/>
  <c r="D948" i="2"/>
  <c r="D947" i="2"/>
  <c r="G947" i="2" s="1"/>
  <c r="I990" i="2"/>
  <c r="F990" i="2"/>
  <c r="E990" i="2"/>
  <c r="G987" i="2"/>
  <c r="K987" i="2" s="1"/>
  <c r="G980" i="2"/>
  <c r="K980" i="2" s="1"/>
  <c r="G979" i="2"/>
  <c r="K979" i="2" s="1"/>
  <c r="K978" i="2"/>
  <c r="G978" i="2"/>
  <c r="K977" i="2"/>
  <c r="G977" i="2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K970" i="2"/>
  <c r="G970" i="2"/>
  <c r="K969" i="2"/>
  <c r="G969" i="2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K962" i="2"/>
  <c r="G962" i="2"/>
  <c r="G961" i="2"/>
  <c r="K961" i="2" s="1"/>
  <c r="G960" i="2"/>
  <c r="K960" i="2" s="1"/>
  <c r="G959" i="2"/>
  <c r="K959" i="2" s="1"/>
  <c r="G958" i="2"/>
  <c r="K958" i="2" s="1"/>
  <c r="G957" i="2"/>
  <c r="K957" i="2" s="1"/>
  <c r="G956" i="2"/>
  <c r="K956" i="2" s="1"/>
  <c r="G955" i="2"/>
  <c r="K955" i="2" s="1"/>
  <c r="G954" i="2"/>
  <c r="K954" i="2" s="1"/>
  <c r="G953" i="2"/>
  <c r="K953" i="2" s="1"/>
  <c r="G952" i="2"/>
  <c r="K952" i="2" s="1"/>
  <c r="G951" i="2"/>
  <c r="K951" i="2" s="1"/>
  <c r="G950" i="2"/>
  <c r="G948" i="2"/>
  <c r="K948" i="2" s="1"/>
  <c r="C948" i="2"/>
  <c r="C949" i="2" s="1"/>
  <c r="C950" i="2" s="1"/>
  <c r="W1002" i="2" l="1"/>
  <c r="W1045" i="2" s="1"/>
  <c r="S1045" i="2"/>
  <c r="AC990" i="2"/>
  <c r="AB990" i="2"/>
  <c r="AE947" i="2"/>
  <c r="AI947" i="2" s="1"/>
  <c r="AI990" i="2" s="1"/>
  <c r="K950" i="2"/>
  <c r="D990" i="2"/>
  <c r="G990" i="2"/>
  <c r="K947" i="2"/>
  <c r="K990" i="2" s="1"/>
  <c r="AB900" i="2"/>
  <c r="AB899" i="2"/>
  <c r="AE899" i="2" s="1"/>
  <c r="AI899" i="2" s="1"/>
  <c r="AB898" i="2"/>
  <c r="AB897" i="2"/>
  <c r="AE897" i="2" s="1"/>
  <c r="AI897" i="2" s="1"/>
  <c r="AC896" i="2"/>
  <c r="AC935" i="2" s="1"/>
  <c r="AB896" i="2"/>
  <c r="AB895" i="2"/>
  <c r="AE895" i="2" s="1"/>
  <c r="AI895" i="2" s="1"/>
  <c r="AB894" i="2"/>
  <c r="AB893" i="2"/>
  <c r="AG892" i="2"/>
  <c r="AG935" i="2" s="1"/>
  <c r="AB892" i="2"/>
  <c r="AE892" i="2"/>
  <c r="AI892" i="2" s="1"/>
  <c r="AA893" i="2"/>
  <c r="AA895" i="2" s="1"/>
  <c r="AA896" i="2" s="1"/>
  <c r="AA897" i="2" s="1"/>
  <c r="AA898" i="2" s="1"/>
  <c r="AA899" i="2" s="1"/>
  <c r="AA900" i="2" s="1"/>
  <c r="AE894" i="2"/>
  <c r="AI894" i="2"/>
  <c r="AE898" i="2"/>
  <c r="AI898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AH935" i="2"/>
  <c r="P898" i="2"/>
  <c r="S898" i="2" s="1"/>
  <c r="W898" i="2" s="1"/>
  <c r="P897" i="2"/>
  <c r="P935" i="2" s="1"/>
  <c r="P896" i="2"/>
  <c r="Q895" i="2"/>
  <c r="P895" i="2"/>
  <c r="V894" i="2"/>
  <c r="P894" i="2"/>
  <c r="P893" i="2"/>
  <c r="P892" i="2"/>
  <c r="O898" i="2"/>
  <c r="S892" i="2"/>
  <c r="Q935" i="2"/>
  <c r="U935" i="2"/>
  <c r="O893" i="2"/>
  <c r="S893" i="2"/>
  <c r="W893" i="2" s="1"/>
  <c r="O894" i="2"/>
  <c r="O895" i="2" s="1"/>
  <c r="O896" i="2" s="1"/>
  <c r="O897" i="2" s="1"/>
  <c r="S894" i="2"/>
  <c r="W894" i="2" s="1"/>
  <c r="S895" i="2"/>
  <c r="W895" i="2" s="1"/>
  <c r="S896" i="2"/>
  <c r="W896" i="2" s="1"/>
  <c r="S899" i="2"/>
  <c r="W899" i="2"/>
  <c r="S900" i="2"/>
  <c r="W900" i="2"/>
  <c r="S901" i="2"/>
  <c r="W901" i="2" s="1"/>
  <c r="S902" i="2"/>
  <c r="W902" i="2"/>
  <c r="S903" i="2"/>
  <c r="W903" i="2"/>
  <c r="S904" i="2"/>
  <c r="W904" i="2"/>
  <c r="S905" i="2"/>
  <c r="W905" i="2"/>
  <c r="S906" i="2"/>
  <c r="W906" i="2" s="1"/>
  <c r="S907" i="2"/>
  <c r="W907" i="2"/>
  <c r="S908" i="2"/>
  <c r="W908" i="2"/>
  <c r="S909" i="2"/>
  <c r="W909" i="2" s="1"/>
  <c r="S910" i="2"/>
  <c r="W910" i="2"/>
  <c r="S911" i="2"/>
  <c r="W911" i="2"/>
  <c r="S912" i="2"/>
  <c r="W912" i="2"/>
  <c r="S913" i="2"/>
  <c r="W913" i="2"/>
  <c r="S914" i="2"/>
  <c r="W914" i="2" s="1"/>
  <c r="S915" i="2"/>
  <c r="W915" i="2"/>
  <c r="S916" i="2"/>
  <c r="W916" i="2"/>
  <c r="S917" i="2"/>
  <c r="W917" i="2" s="1"/>
  <c r="S918" i="2"/>
  <c r="W918" i="2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 s="1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V935" i="2"/>
  <c r="AE990" i="2" l="1"/>
  <c r="AE896" i="2"/>
  <c r="AI896" i="2" s="1"/>
  <c r="AB935" i="2"/>
  <c r="AE893" i="2"/>
  <c r="AI893" i="2"/>
  <c r="AI935" i="2" s="1"/>
  <c r="AE935" i="2"/>
  <c r="S897" i="2"/>
  <c r="W897" i="2" s="1"/>
  <c r="W892" i="2"/>
  <c r="S935" i="2"/>
  <c r="AG845" i="2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W935" i="2" l="1"/>
  <c r="AI842" i="2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D37" i="1" s="1"/>
  <c r="J38" i="1"/>
  <c r="J39" i="1"/>
  <c r="J40" i="1"/>
  <c r="J30" i="1"/>
  <c r="D30" i="1" s="1"/>
  <c r="J31" i="1"/>
  <c r="D31" i="1" s="1"/>
  <c r="J32" i="1"/>
  <c r="D32" i="1" s="1"/>
  <c r="J33" i="1"/>
  <c r="D33" i="1" s="1"/>
  <c r="J34" i="1"/>
  <c r="D38" i="1"/>
  <c r="D39" i="1"/>
  <c r="A38" i="1" l="1"/>
  <c r="A39" i="1"/>
  <c r="AA13" i="2" l="1"/>
  <c r="J36" i="1" l="1"/>
  <c r="D36" i="1" s="1"/>
  <c r="J27" i="1"/>
  <c r="J29" i="1"/>
  <c r="J22" i="1"/>
  <c r="D22" i="1" s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F33" authorId="0" shapeId="0" xr:uid="{7E8C78CB-FAA1-4B83-AB94-1F8694DA9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6" authorId="0" shapeId="0" xr:uid="{D8213F7F-D081-4757-A744-414424595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892" authorId="0" shapeId="0" xr:uid="{472A397C-87AE-4733-859E-A935B1926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ARACELIE
MANDIH, SINDANGAN</t>
        </r>
      </text>
    </comment>
    <comment ref="AA892" authorId="0" shapeId="0" xr:uid="{643895FA-2D30-47AC-ACD9-00F763DBD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893" authorId="0" shapeId="0" xr:uid="{16B020A4-5090-4412-9942-F87D1332BA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93" authorId="0" shapeId="0" xr:uid="{F85B8BF9-2E52-4077-B5AA-B489FB807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894" authorId="0" shapeId="0" xr:uid="{26707725-D345-4ECC-910E-29F70A52C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4" authorId="0" shapeId="0" xr:uid="{7F4C2B3D-42E7-47E7-AF04-43D4D2551C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895" authorId="0" shapeId="0" xr:uid="{377E4838-D4A7-40E4-8699-E5C3071E2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
MANDIH, SINDANGAN</t>
        </r>
      </text>
    </comment>
    <comment ref="AA895" authorId="0" shapeId="0" xr:uid="{8891E821-0922-4C16-B3DE-ABCA6441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LITO BALBUENA
POB EAST, SALUG</t>
        </r>
      </text>
    </comment>
    <comment ref="O896" authorId="0" shapeId="0" xr:uid="{7812CF74-C500-422F-A960-98849E0F4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896" authorId="0" shapeId="0" xr:uid="{63D6D0BB-A1B7-4A3D-A13A-D77099D343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897" authorId="0" shapeId="0" xr:uid="{45A525EA-D5CC-42DB-B01B-BDF1B5CAE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AA897" authorId="0" shapeId="0" xr:uid="{B54F5888-E34C-4496-8616-137492D80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 EAST, SALUG</t>
        </r>
      </text>
    </comment>
    <comment ref="O898" authorId="0" shapeId="0" xr:uid="{3F1CDE41-A9AE-476F-BD4F-E457F560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AA898" authorId="0" shapeId="0" xr:uid="{7B942ADB-0C59-4804-A914-1A860EC42E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AA899" authorId="0" shapeId="0" xr:uid="{3E72BD7A-371A-4603-82D7-EBC1D4BB8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BOGANOTAN
CARACOL, SALUG</t>
        </r>
      </text>
    </comment>
    <comment ref="AA900" authorId="0" shapeId="0" xr:uid="{9ABFB6DD-D44E-4F50-BC2C-46A01B82E4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CARACOL, SALUG</t>
        </r>
      </text>
    </comment>
    <comment ref="C947" authorId="0" shapeId="0" xr:uid="{92E4AA7C-E4C1-4B06-8340-A2F2D784B8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
GOLEO, SINDANGAN</t>
        </r>
      </text>
    </comment>
    <comment ref="AA947" authorId="0" shapeId="0" xr:uid="{96D926F6-8A4B-4AC0-81FA-F5995EF57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48" authorId="0" shapeId="0" xr:uid="{94E96832-5D11-442F-A3D7-73AE4D46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948" authorId="0" shapeId="0" xr:uid="{53F45130-59B4-4C67-8B5D-9A63302B6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949" authorId="0" shapeId="0" xr:uid="{2F433AC5-DA03-4DA3-A428-900F513F9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949" authorId="0" shapeId="0" xr:uid="{79CB10DD-3C29-49E0-A236-A89D7CC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950" authorId="0" shapeId="0" xr:uid="{4D391DC2-D2CA-40C4-880E-EC74F7E721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950" authorId="0" shapeId="0" xr:uid="{DB62E615-E8BF-4045-B3E8-3CD4857F6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951" authorId="0" shapeId="0" xr:uid="{EB80F550-1B56-4EEE-BF7C-FF2DC84AA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2" authorId="0" shapeId="0" xr:uid="{A359178E-FBB5-48E6-A219-4FCA234D2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3" authorId="0" shapeId="0" xr:uid="{F336F3D8-FAD0-41A3-8677-AB6F4A205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02E8F68C-A703-4393-B28F-053611DA8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1002" authorId="0" shapeId="0" xr:uid="{C0635936-4520-4CEB-90B4-7EB5C288D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002" authorId="0" shapeId="0" xr:uid="{EA7C92F5-8C0E-46E8-9145-FD411B88C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003" authorId="0" shapeId="0" xr:uid="{3BBBED92-8759-45FA-BD66-3AE206815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003" authorId="0" shapeId="0" xr:uid="{967E95BE-8EB6-4819-9440-04AEFFC310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03" authorId="0" shapeId="0" xr:uid="{5DEA3922-E237-48AE-A08C-45B84ABB0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4" authorId="0" shapeId="0" xr:uid="{107E1084-1C47-44DC-AB01-C3FA45C94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04" authorId="0" shapeId="0" xr:uid="{6DC55C6B-09E3-48D3-9A4A-9468AD55A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4" authorId="0" shapeId="0" xr:uid="{E2A408B8-A05D-4AF1-99F3-1C8606780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5" authorId="0" shapeId="0" xr:uid="{86F78676-8832-4D20-99FD-9F3AF52237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
 STORE
POB, SINDANGAN</t>
        </r>
      </text>
    </comment>
    <comment ref="O1005" authorId="0" shapeId="0" xr:uid="{5176E55A-9A57-4B42-8D99-A1C66E83A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MALINAO
POB, BACUNGAN</t>
        </r>
      </text>
    </comment>
    <comment ref="AA1005" authorId="0" shapeId="0" xr:uid="{8193A7A6-044A-4792-93C6-B5D8B6E46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1006" authorId="0" shapeId="0" xr:uid="{A3C5BFA4-5D1A-4B7E-9176-60476018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</commentList>
</comments>
</file>

<file path=xl/sharedStrings.xml><?xml version="1.0" encoding="utf-8"?>
<sst xmlns="http://schemas.openxmlformats.org/spreadsheetml/2006/main" count="1386" uniqueCount="95">
  <si>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</si>
  <si>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</si>
  <si>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</si>
  <si>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</si>
  <si>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</si>
  <si>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</si>
  <si>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</si>
  <si>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</si>
  <si>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</si>
  <si>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</si>
  <si>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</si>
  <si>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</si>
  <si>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</si>
  <si>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</si>
  <si>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</si>
  <si>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</si>
  <si>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</si>
  <si>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</si>
  <si>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</si>
  <si>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</si>
  <si>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</si>
  <si>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</si>
  <si>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</si>
  <si>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</si>
  <si>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</si>
  <si>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</si>
  <si>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</si>
  <si>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</si>
  <si>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</si>
  <si>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</si>
  <si>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</si>
  <si>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</si>
  <si>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</si>
  <si>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</si>
  <si>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</si>
  <si>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</si>
  <si>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</si>
  <si>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</si>
  <si>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</si>
  <si>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</si>
  <si>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</si>
  <si>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</si>
  <si>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</si>
  <si>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</si>
  <si>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</si>
  <si>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</si>
  <si>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</si>
  <si>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</si>
  <si>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</si>
  <si>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</si>
  <si>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</si>
  <si>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</si>
  <si>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</si>
  <si>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</si>
  <si>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</si>
  <si>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</si>
  <si>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</si>
  <si>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</si>
  <si>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</si>
  <si>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</si>
  <si>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</si>
  <si>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</si>
  <si>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</si>
  <si>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</si>
  <si>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</si>
  <si>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</si>
  <si>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</si>
  <si>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</si>
  <si>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</si>
  <si>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</si>
  <si>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</si>
  <si>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</si>
  <si>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</si>
  <si>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</si>
  <si>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</si>
  <si>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</si>
  <si>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</si>
  <si>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</si>
  <si>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</si>
  <si>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</si>
  <si>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</si>
  <si>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</si>
  <si>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</si>
  <si>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</si>
  <si>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</si>
  <si>
    <t>APRIL 24, 2026</t>
  </si>
  <si>
    <t>04/24/2026</t>
  </si>
  <si>
    <t>10226-10236/10191-10193/10129-10139</t>
  </si>
  <si>
    <t>/10244-10250/10149-10257</t>
  </si>
  <si>
    <t>APRIL 27, 2026</t>
  </si>
  <si>
    <t>04/27/2026</t>
  </si>
  <si>
    <t>10301-10304//10258-10264</t>
  </si>
  <si>
    <t>APRIL 28, 2026</t>
  </si>
  <si>
    <t>04/28/2026</t>
  </si>
  <si>
    <t>10305-10308/10200,10351-10354/10266-10270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</si>
</sst>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38" sqref="F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38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3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87</v>
      </c>
      <c r="D31" s="16">
        <f t="shared" si="3"/>
        <v>732308</v>
      </c>
      <c r="E31" s="14"/>
      <c r="F31" s="14">
        <v>205651.5</v>
      </c>
      <c r="G31" s="14">
        <v>221794</v>
      </c>
      <c r="H31" s="14">
        <v>304862.5</v>
      </c>
      <c r="I31" s="14"/>
      <c r="J31" s="17">
        <f t="shared" si="1"/>
        <v>732308</v>
      </c>
    </row>
    <row r="32" spans="1:10" x14ac:dyDescent="0.25">
      <c r="A32" s="10">
        <f t="shared" si="2"/>
        <v>23</v>
      </c>
      <c r="B32" s="11" t="s">
        <v>30</v>
      </c>
      <c r="C32" s="12" t="s">
        <v>84</v>
      </c>
      <c r="D32" s="16">
        <f t="shared" si="3"/>
        <v>830032</v>
      </c>
      <c r="E32" s="15"/>
      <c r="F32" s="15">
        <v>316675</v>
      </c>
      <c r="G32" s="14">
        <v>244978</v>
      </c>
      <c r="H32" s="14">
        <v>268379</v>
      </c>
      <c r="I32" s="54"/>
      <c r="J32" s="17">
        <f t="shared" si="1"/>
        <v>830032</v>
      </c>
    </row>
    <row r="33" spans="1:10" x14ac:dyDescent="0.25">
      <c r="A33" s="10">
        <f t="shared" si="2"/>
        <v>24</v>
      </c>
      <c r="B33" s="43" t="s">
        <v>4</v>
      </c>
      <c r="C33" s="12" t="s">
        <v>88</v>
      </c>
      <c r="D33" s="16">
        <f t="shared" si="3"/>
        <v>451771</v>
      </c>
      <c r="E33" s="15"/>
      <c r="F33" s="15"/>
      <c r="G33" s="14">
        <v>198530.5</v>
      </c>
      <c r="H33" s="14">
        <v>253240.5</v>
      </c>
      <c r="I33" s="14"/>
      <c r="J33" s="17">
        <f t="shared" si="1"/>
        <v>451771</v>
      </c>
    </row>
    <row r="34" spans="1:10" x14ac:dyDescent="0.25">
      <c r="A34" s="10">
        <f>A33+1</f>
        <v>25</v>
      </c>
      <c r="B34" s="56" t="s">
        <v>5</v>
      </c>
      <c r="C34" s="44" t="s">
        <v>60</v>
      </c>
      <c r="D34" s="55" t="s">
        <v>60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 t="s">
        <v>91</v>
      </c>
      <c r="D36" s="16">
        <f t="shared" ref="D36:D39" si="4">J36</f>
        <v>849461</v>
      </c>
      <c r="E36" s="14"/>
      <c r="F36" s="14">
        <v>453773</v>
      </c>
      <c r="G36" s="14"/>
      <c r="H36" s="14">
        <v>395688</v>
      </c>
      <c r="I36" s="14"/>
      <c r="J36" s="17">
        <f t="shared" si="1"/>
        <v>849461</v>
      </c>
    </row>
    <row r="37" spans="1:10" x14ac:dyDescent="0.25">
      <c r="A37" s="10">
        <f t="shared" si="2"/>
        <v>28</v>
      </c>
      <c r="B37" s="43" t="s">
        <v>8</v>
      </c>
      <c r="C37" s="12" t="s">
        <v>94</v>
      </c>
      <c r="D37" s="16">
        <f t="shared" si="4"/>
        <v>1299383</v>
      </c>
      <c r="E37" s="14"/>
      <c r="F37" s="14">
        <v>327507</v>
      </c>
      <c r="G37" s="14">
        <v>558962</v>
      </c>
      <c r="H37" s="14">
        <v>412914</v>
      </c>
      <c r="I37" s="14"/>
      <c r="J37" s="17">
        <f t="shared" si="1"/>
        <v>1299383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18088214.789999999</v>
      </c>
      <c r="J42" s="49">
        <f>SUM(J10:J41)</f>
        <v>18088214.789999999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1021" zoomScale="115" zoomScaleNormal="115" workbookViewId="0">
      <selection activeCell="A1046" sqref="A104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9" t="s">
        <v>17</v>
      </c>
      <c r="E10" s="119"/>
      <c r="F10" s="75"/>
      <c r="G10" s="27"/>
      <c r="I10" s="117" t="s">
        <v>18</v>
      </c>
      <c r="J10" s="118"/>
      <c r="K10" s="115" t="s">
        <v>19</v>
      </c>
      <c r="N10" s="25"/>
      <c r="O10" s="26"/>
      <c r="P10" s="119" t="s">
        <v>17</v>
      </c>
      <c r="Q10" s="119"/>
      <c r="R10" s="75"/>
      <c r="S10" s="27"/>
      <c r="U10" s="117" t="s">
        <v>18</v>
      </c>
      <c r="V10" s="118"/>
      <c r="W10" s="115" t="s">
        <v>19</v>
      </c>
      <c r="Z10" s="25"/>
      <c r="AA10" s="26"/>
      <c r="AB10" s="119" t="s">
        <v>17</v>
      </c>
      <c r="AC10" s="119"/>
      <c r="AD10" s="75"/>
      <c r="AE10" s="27"/>
      <c r="AG10" s="117" t="s">
        <v>18</v>
      </c>
      <c r="AH10" s="118"/>
      <c r="AI10" s="115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6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6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9" t="s">
        <v>17</v>
      </c>
      <c r="E65" s="119"/>
      <c r="F65" s="92"/>
      <c r="G65" s="27"/>
      <c r="I65" s="117" t="s">
        <v>18</v>
      </c>
      <c r="J65" s="118"/>
      <c r="K65" s="115" t="s">
        <v>19</v>
      </c>
      <c r="N65" s="25"/>
      <c r="O65" s="26"/>
      <c r="P65" s="119" t="s">
        <v>17</v>
      </c>
      <c r="Q65" s="119"/>
      <c r="R65" s="93"/>
      <c r="S65" s="27"/>
      <c r="U65" s="117" t="s">
        <v>18</v>
      </c>
      <c r="V65" s="118"/>
      <c r="W65" s="115" t="s">
        <v>19</v>
      </c>
      <c r="Z65" s="25"/>
      <c r="AA65" s="26"/>
      <c r="AB65" s="119" t="s">
        <v>17</v>
      </c>
      <c r="AC65" s="119"/>
      <c r="AD65" s="93"/>
      <c r="AE65" s="27"/>
      <c r="AG65" s="117" t="s">
        <v>18</v>
      </c>
      <c r="AH65" s="118"/>
      <c r="AI65" s="11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6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21"/>
      <c r="AO67" s="121"/>
      <c r="AP67" s="86"/>
      <c r="AQ67" s="62"/>
      <c r="AR67" s="121"/>
      <c r="AS67" s="121"/>
      <c r="AT67" s="12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93"/>
      <c r="G120" s="27"/>
      <c r="I120" s="117" t="s">
        <v>18</v>
      </c>
      <c r="J120" s="118"/>
      <c r="K120" s="115" t="s">
        <v>19</v>
      </c>
      <c r="N120" s="25"/>
      <c r="O120" s="26"/>
      <c r="P120" s="119" t="s">
        <v>17</v>
      </c>
      <c r="Q120" s="119"/>
      <c r="R120" s="93"/>
      <c r="S120" s="27"/>
      <c r="U120" s="117" t="s">
        <v>18</v>
      </c>
      <c r="V120" s="118"/>
      <c r="W120" s="115" t="s">
        <v>19</v>
      </c>
      <c r="Z120" s="25"/>
      <c r="AA120" s="26"/>
      <c r="AB120" s="119" t="s">
        <v>17</v>
      </c>
      <c r="AC120" s="119"/>
      <c r="AD120" s="93"/>
      <c r="AE120" s="27"/>
      <c r="AG120" s="117" t="s">
        <v>18</v>
      </c>
      <c r="AH120" s="118"/>
      <c r="AI120" s="11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9" t="s">
        <v>17</v>
      </c>
      <c r="E175" s="119"/>
      <c r="F175" s="94"/>
      <c r="G175" s="27"/>
      <c r="I175" s="117" t="s">
        <v>18</v>
      </c>
      <c r="J175" s="118"/>
      <c r="K175" s="115" t="s">
        <v>19</v>
      </c>
      <c r="N175" s="25"/>
      <c r="O175" s="26"/>
      <c r="P175" s="119" t="s">
        <v>17</v>
      </c>
      <c r="Q175" s="119"/>
      <c r="R175" s="94"/>
      <c r="S175" s="27"/>
      <c r="U175" s="117" t="s">
        <v>18</v>
      </c>
      <c r="V175" s="118"/>
      <c r="W175" s="115" t="s">
        <v>19</v>
      </c>
      <c r="Z175" s="25"/>
      <c r="AA175" s="26"/>
      <c r="AB175" s="119" t="s">
        <v>17</v>
      </c>
      <c r="AC175" s="119"/>
      <c r="AD175" s="94"/>
      <c r="AE175" s="27"/>
      <c r="AG175" s="117" t="s">
        <v>18</v>
      </c>
      <c r="AH175" s="118"/>
      <c r="AI175" s="11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21"/>
      <c r="AO181" s="121"/>
      <c r="AP181" s="86"/>
      <c r="AQ181" s="62"/>
      <c r="AR181" s="121"/>
      <c r="AS181" s="121"/>
      <c r="AT181" s="12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9" t="s">
        <v>17</v>
      </c>
      <c r="E230" s="119"/>
      <c r="F230" s="95"/>
      <c r="G230" s="27"/>
      <c r="I230" s="117" t="s">
        <v>18</v>
      </c>
      <c r="J230" s="118"/>
      <c r="K230" s="115" t="s">
        <v>19</v>
      </c>
      <c r="N230" s="25"/>
      <c r="O230" s="26"/>
      <c r="P230" s="119" t="s">
        <v>17</v>
      </c>
      <c r="Q230" s="119"/>
      <c r="R230" s="95"/>
      <c r="S230" s="27"/>
      <c r="U230" s="117" t="s">
        <v>18</v>
      </c>
      <c r="V230" s="118"/>
      <c r="W230" s="115" t="s">
        <v>19</v>
      </c>
      <c r="Z230" s="25"/>
      <c r="AA230" s="26"/>
      <c r="AB230" s="119" t="s">
        <v>17</v>
      </c>
      <c r="AC230" s="119"/>
      <c r="AD230" s="95"/>
      <c r="AE230" s="27"/>
      <c r="AG230" s="117" t="s">
        <v>18</v>
      </c>
      <c r="AH230" s="118"/>
      <c r="AI230" s="11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9" t="s">
        <v>17</v>
      </c>
      <c r="E285" s="119"/>
      <c r="F285" s="96"/>
      <c r="G285" s="27"/>
      <c r="I285" s="117" t="s">
        <v>18</v>
      </c>
      <c r="J285" s="118"/>
      <c r="K285" s="115" t="s">
        <v>19</v>
      </c>
      <c r="N285" s="25"/>
      <c r="O285" s="26"/>
      <c r="P285" s="119" t="s">
        <v>17</v>
      </c>
      <c r="Q285" s="119"/>
      <c r="R285" s="96"/>
      <c r="S285" s="27"/>
      <c r="U285" s="117" t="s">
        <v>18</v>
      </c>
      <c r="V285" s="118"/>
      <c r="W285" s="115" t="s">
        <v>19</v>
      </c>
      <c r="Z285" s="25"/>
      <c r="AA285" s="26"/>
      <c r="AB285" s="119" t="s">
        <v>17</v>
      </c>
      <c r="AC285" s="119"/>
      <c r="AD285" s="96"/>
      <c r="AE285" s="27"/>
      <c r="AG285" s="117" t="s">
        <v>18</v>
      </c>
      <c r="AH285" s="118"/>
      <c r="AI285" s="11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97"/>
      <c r="G340" s="27"/>
      <c r="I340" s="117" t="s">
        <v>18</v>
      </c>
      <c r="J340" s="118"/>
      <c r="K340" s="115" t="s">
        <v>19</v>
      </c>
      <c r="N340" s="25"/>
      <c r="O340" s="26"/>
      <c r="P340" s="119" t="s">
        <v>17</v>
      </c>
      <c r="Q340" s="119"/>
      <c r="R340" s="97"/>
      <c r="S340" s="27"/>
      <c r="U340" s="117" t="s">
        <v>18</v>
      </c>
      <c r="V340" s="118"/>
      <c r="W340" s="115" t="s">
        <v>19</v>
      </c>
      <c r="Y340" s="62"/>
      <c r="Z340" s="65"/>
      <c r="AA340" s="91"/>
      <c r="AB340" s="121"/>
      <c r="AC340" s="121"/>
      <c r="AD340" s="91"/>
      <c r="AE340" s="91"/>
      <c r="AF340" s="62"/>
      <c r="AG340" s="121"/>
      <c r="AH340" s="121"/>
      <c r="AI340" s="120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6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20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9" t="s">
        <v>17</v>
      </c>
      <c r="E395" s="119"/>
      <c r="F395" s="98"/>
      <c r="G395" s="27"/>
      <c r="I395" s="117" t="s">
        <v>18</v>
      </c>
      <c r="J395" s="118"/>
      <c r="K395" s="115" t="s">
        <v>19</v>
      </c>
      <c r="N395" s="25"/>
      <c r="O395" s="26"/>
      <c r="P395" s="119" t="s">
        <v>17</v>
      </c>
      <c r="Q395" s="119"/>
      <c r="R395" s="98"/>
      <c r="S395" s="27"/>
      <c r="U395" s="117" t="s">
        <v>18</v>
      </c>
      <c r="V395" s="118"/>
      <c r="W395" s="115" t="s">
        <v>19</v>
      </c>
      <c r="Z395" s="25"/>
      <c r="AA395" s="26"/>
      <c r="AB395" s="119" t="s">
        <v>17</v>
      </c>
      <c r="AC395" s="119"/>
      <c r="AD395" s="98"/>
      <c r="AE395" s="27"/>
      <c r="AG395" s="117" t="s">
        <v>18</v>
      </c>
      <c r="AH395" s="118"/>
      <c r="AI395" s="11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6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9" t="s">
        <v>17</v>
      </c>
      <c r="E450" s="119"/>
      <c r="F450" s="99"/>
      <c r="G450" s="27"/>
      <c r="I450" s="117" t="s">
        <v>18</v>
      </c>
      <c r="J450" s="118"/>
      <c r="K450" s="115" t="s">
        <v>19</v>
      </c>
      <c r="N450" s="25"/>
      <c r="O450" s="26"/>
      <c r="P450" s="119" t="s">
        <v>17</v>
      </c>
      <c r="Q450" s="119"/>
      <c r="R450" s="99"/>
      <c r="S450" s="27"/>
      <c r="U450" s="117" t="s">
        <v>18</v>
      </c>
      <c r="V450" s="118"/>
      <c r="W450" s="115" t="s">
        <v>19</v>
      </c>
      <c r="Z450" s="25"/>
      <c r="AA450" s="26"/>
      <c r="AB450" s="119" t="s">
        <v>17</v>
      </c>
      <c r="AC450" s="119"/>
      <c r="AD450" s="99"/>
      <c r="AE450" s="27"/>
      <c r="AG450" s="117" t="s">
        <v>18</v>
      </c>
      <c r="AH450" s="118"/>
      <c r="AI450" s="11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9" t="s">
        <v>17</v>
      </c>
      <c r="E505" s="119"/>
      <c r="F505" s="100"/>
      <c r="G505" s="27"/>
      <c r="I505" s="117" t="s">
        <v>18</v>
      </c>
      <c r="J505" s="118"/>
      <c r="K505" s="115" t="s">
        <v>19</v>
      </c>
      <c r="N505" s="25"/>
      <c r="O505" s="26"/>
      <c r="P505" s="119" t="s">
        <v>17</v>
      </c>
      <c r="Q505" s="119"/>
      <c r="R505" s="100"/>
      <c r="S505" s="27"/>
      <c r="U505" s="117" t="s">
        <v>18</v>
      </c>
      <c r="V505" s="118"/>
      <c r="W505" s="115" t="s">
        <v>19</v>
      </c>
      <c r="Z505" s="25"/>
      <c r="AA505" s="26"/>
      <c r="AB505" s="119" t="s">
        <v>17</v>
      </c>
      <c r="AC505" s="119"/>
      <c r="AD505" s="100"/>
      <c r="AE505" s="27"/>
      <c r="AG505" s="117" t="s">
        <v>18</v>
      </c>
      <c r="AH505" s="118"/>
      <c r="AI505" s="11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6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9" t="s">
        <v>17</v>
      </c>
      <c r="E560" s="119"/>
      <c r="F560" s="101"/>
      <c r="G560" s="27"/>
      <c r="I560" s="117" t="s">
        <v>18</v>
      </c>
      <c r="J560" s="118"/>
      <c r="K560" s="115" t="s">
        <v>19</v>
      </c>
      <c r="N560" s="25"/>
      <c r="O560" s="26"/>
      <c r="P560" s="119" t="s">
        <v>17</v>
      </c>
      <c r="Q560" s="119"/>
      <c r="R560" s="101"/>
      <c r="S560" s="27"/>
      <c r="U560" s="117" t="s">
        <v>18</v>
      </c>
      <c r="V560" s="118"/>
      <c r="W560" s="115" t="s">
        <v>19</v>
      </c>
      <c r="Z560" s="25"/>
      <c r="AA560" s="26"/>
      <c r="AB560" s="119" t="s">
        <v>17</v>
      </c>
      <c r="AC560" s="119"/>
      <c r="AD560" s="101"/>
      <c r="AE560" s="27"/>
      <c r="AG560" s="117" t="s">
        <v>18</v>
      </c>
      <c r="AH560" s="118"/>
      <c r="AI560" s="11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6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21"/>
      <c r="E615" s="121"/>
      <c r="F615" s="91"/>
      <c r="G615" s="91"/>
      <c r="H615" s="62"/>
      <c r="I615" s="121"/>
      <c r="J615" s="121"/>
      <c r="K615" s="120"/>
      <c r="N615" s="25"/>
      <c r="O615" s="26"/>
      <c r="P615" s="119" t="s">
        <v>17</v>
      </c>
      <c r="Q615" s="119"/>
      <c r="R615" s="102"/>
      <c r="S615" s="27"/>
      <c r="U615" s="117" t="s">
        <v>18</v>
      </c>
      <c r="V615" s="118"/>
      <c r="W615" s="115" t="s">
        <v>19</v>
      </c>
      <c r="Z615" s="25"/>
      <c r="AA615" s="26"/>
      <c r="AB615" s="119" t="s">
        <v>17</v>
      </c>
      <c r="AC615" s="119"/>
      <c r="AD615" s="102"/>
      <c r="AE615" s="27"/>
      <c r="AG615" s="117" t="s">
        <v>18</v>
      </c>
      <c r="AH615" s="118"/>
      <c r="AI615" s="115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20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9" t="s">
        <v>17</v>
      </c>
      <c r="E670" s="119"/>
      <c r="F670" s="103"/>
      <c r="G670" s="27"/>
      <c r="I670" s="117" t="s">
        <v>18</v>
      </c>
      <c r="J670" s="118"/>
      <c r="K670" s="115" t="s">
        <v>19</v>
      </c>
      <c r="N670" s="25"/>
      <c r="O670" s="26"/>
      <c r="P670" s="119" t="s">
        <v>17</v>
      </c>
      <c r="Q670" s="119"/>
      <c r="R670" s="103"/>
      <c r="S670" s="27"/>
      <c r="U670" s="117" t="s">
        <v>18</v>
      </c>
      <c r="V670" s="118"/>
      <c r="W670" s="115" t="s">
        <v>19</v>
      </c>
      <c r="Z670" s="25"/>
      <c r="AA670" s="26"/>
      <c r="AB670" s="119" t="s">
        <v>17</v>
      </c>
      <c r="AC670" s="119"/>
      <c r="AD670" s="103"/>
      <c r="AE670" s="27"/>
      <c r="AG670" s="117" t="s">
        <v>18</v>
      </c>
      <c r="AH670" s="118"/>
      <c r="AI670" s="115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6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6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6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9" t="s">
        <v>17</v>
      </c>
      <c r="E725" s="119"/>
      <c r="F725" s="104"/>
      <c r="G725" s="27"/>
      <c r="I725" s="117" t="s">
        <v>18</v>
      </c>
      <c r="J725" s="118"/>
      <c r="K725" s="115" t="s">
        <v>19</v>
      </c>
      <c r="N725" s="25"/>
      <c r="O725" s="26"/>
      <c r="P725" s="119" t="s">
        <v>17</v>
      </c>
      <c r="Q725" s="119"/>
      <c r="R725" s="104"/>
      <c r="S725" s="27"/>
      <c r="U725" s="117" t="s">
        <v>18</v>
      </c>
      <c r="V725" s="118"/>
      <c r="W725" s="115" t="s">
        <v>19</v>
      </c>
      <c r="Z725" s="25"/>
      <c r="AA725" s="26"/>
      <c r="AB725" s="119" t="s">
        <v>17</v>
      </c>
      <c r="AC725" s="119"/>
      <c r="AD725" s="104"/>
      <c r="AE725" s="27"/>
      <c r="AG725" s="117" t="s">
        <v>18</v>
      </c>
      <c r="AH725" s="118"/>
      <c r="AI725" s="115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6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6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6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9" t="s">
        <v>17</v>
      </c>
      <c r="E780" s="119"/>
      <c r="F780" s="105"/>
      <c r="G780" s="27"/>
      <c r="I780" s="117" t="s">
        <v>18</v>
      </c>
      <c r="J780" s="118"/>
      <c r="K780" s="115" t="s">
        <v>19</v>
      </c>
      <c r="N780" s="25"/>
      <c r="O780" s="26"/>
      <c r="P780" s="119" t="s">
        <v>17</v>
      </c>
      <c r="Q780" s="119"/>
      <c r="R780" s="105"/>
      <c r="S780" s="27"/>
      <c r="U780" s="117" t="s">
        <v>18</v>
      </c>
      <c r="V780" s="118"/>
      <c r="W780" s="115" t="s">
        <v>19</v>
      </c>
      <c r="Z780" s="25"/>
      <c r="AA780" s="26"/>
      <c r="AB780" s="119" t="s">
        <v>17</v>
      </c>
      <c r="AC780" s="119"/>
      <c r="AD780" s="105"/>
      <c r="AE780" s="27"/>
      <c r="AG780" s="117" t="s">
        <v>18</v>
      </c>
      <c r="AH780" s="118"/>
      <c r="AI780" s="115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6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6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6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9" t="s">
        <v>17</v>
      </c>
      <c r="E835" s="119"/>
      <c r="F835" s="106"/>
      <c r="G835" s="27"/>
      <c r="I835" s="117" t="s">
        <v>18</v>
      </c>
      <c r="J835" s="118"/>
      <c r="K835" s="115" t="s">
        <v>19</v>
      </c>
      <c r="N835" s="25"/>
      <c r="O835" s="26"/>
      <c r="P835" s="119" t="s">
        <v>17</v>
      </c>
      <c r="Q835" s="119"/>
      <c r="R835" s="106"/>
      <c r="S835" s="27"/>
      <c r="U835" s="117" t="s">
        <v>18</v>
      </c>
      <c r="V835" s="118"/>
      <c r="W835" s="115" t="s">
        <v>19</v>
      </c>
      <c r="Z835" s="25"/>
      <c r="AA835" s="26"/>
      <c r="AB835" s="119" t="s">
        <v>17</v>
      </c>
      <c r="AC835" s="119"/>
      <c r="AD835" s="106"/>
      <c r="AE835" s="27"/>
      <c r="AG835" s="117" t="s">
        <v>18</v>
      </c>
      <c r="AH835" s="118"/>
      <c r="AI835" s="115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6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6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6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70" si="251">SUM(D837:E837)</f>
        <v>86291</v>
      </c>
      <c r="H837" s="12"/>
      <c r="I837" s="12"/>
      <c r="J837" s="12"/>
      <c r="K837" s="12">
        <f t="shared" ref="K837:K870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75" si="253">SUM(P838:Q838)</f>
        <v>5200</v>
      </c>
      <c r="T838" s="12"/>
      <c r="U838" s="12"/>
      <c r="V838" s="12">
        <v>-1332</v>
      </c>
      <c r="W838" s="12">
        <f t="shared" ref="W838:W878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0" si="255">SUM(AB838:AC838)</f>
        <v>12916</v>
      </c>
      <c r="AF838" s="12"/>
      <c r="AG838" s="12"/>
      <c r="AH838" s="12"/>
      <c r="AI838" s="12">
        <f t="shared" ref="AI838:AI869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43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42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5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2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75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78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F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M887" t="s">
        <v>55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55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M888" s="21" t="s">
        <v>85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85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21"/>
      <c r="E890" s="121"/>
      <c r="F890" s="91"/>
      <c r="G890" s="91"/>
      <c r="H890" s="62"/>
      <c r="I890" s="121"/>
      <c r="J890" s="121"/>
      <c r="K890" s="120"/>
      <c r="N890" s="25"/>
      <c r="O890" s="26"/>
      <c r="P890" s="119" t="s">
        <v>17</v>
      </c>
      <c r="Q890" s="119"/>
      <c r="R890" s="107"/>
      <c r="S890" s="27"/>
      <c r="U890" s="117" t="s">
        <v>18</v>
      </c>
      <c r="V890" s="118"/>
      <c r="W890" s="115" t="s">
        <v>19</v>
      </c>
      <c r="Z890" s="25"/>
      <c r="AA890" s="26"/>
      <c r="AB890" s="119" t="s">
        <v>17</v>
      </c>
      <c r="AC890" s="119"/>
      <c r="AD890" s="107"/>
      <c r="AE890" s="27"/>
      <c r="AG890" s="117" t="s">
        <v>18</v>
      </c>
      <c r="AH890" s="118"/>
      <c r="AI890" s="115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20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6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6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M892" s="10">
        <v>1</v>
      </c>
      <c r="N892" s="30" t="s">
        <v>86</v>
      </c>
      <c r="O892" s="31">
        <v>10244</v>
      </c>
      <c r="P892" s="32">
        <f>650*75+670*3+622*10+229*3</f>
        <v>57667</v>
      </c>
      <c r="Q892" s="32"/>
      <c r="R892" s="32"/>
      <c r="S892" s="32">
        <f>SUM(P892:Q892)</f>
        <v>57667</v>
      </c>
      <c r="T892" s="12"/>
      <c r="U892" s="12"/>
      <c r="V892" s="12"/>
      <c r="W892" s="12">
        <f>SUM(S892:V892)</f>
        <v>57667</v>
      </c>
      <c r="Y892" s="10">
        <v>1</v>
      </c>
      <c r="Z892" s="30" t="s">
        <v>86</v>
      </c>
      <c r="AA892" s="31">
        <v>10149</v>
      </c>
      <c r="AB892" s="32">
        <f>650*35+622*5+872</f>
        <v>26732</v>
      </c>
      <c r="AC892" s="32"/>
      <c r="AD892" s="32"/>
      <c r="AE892" s="32">
        <f>SUM(AB892:AC892)</f>
        <v>26732</v>
      </c>
      <c r="AF892" s="12"/>
      <c r="AG892" s="12">
        <f>1.5*24+4.5</f>
        <v>40.5</v>
      </c>
      <c r="AH892" s="12"/>
      <c r="AI892" s="12">
        <f>SUM(AE892:AH892)</f>
        <v>26772.5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M893" s="10">
        <v>2</v>
      </c>
      <c r="N893" s="30" t="s">
        <v>86</v>
      </c>
      <c r="O893" s="31">
        <f>O892+1</f>
        <v>10245</v>
      </c>
      <c r="P893" s="32">
        <f>650*15</f>
        <v>9750</v>
      </c>
      <c r="Q893" s="32"/>
      <c r="R893" s="32"/>
      <c r="S893" s="32">
        <f t="shared" ref="S893:S930" si="268">SUM(P893:Q893)</f>
        <v>9750</v>
      </c>
      <c r="T893" s="12"/>
      <c r="U893" s="12">
        <v>405</v>
      </c>
      <c r="V893" s="12"/>
      <c r="W893" s="12">
        <f t="shared" ref="W893:W933" si="269">SUM(S893:V893)</f>
        <v>10155</v>
      </c>
      <c r="Y893" s="10">
        <v>2</v>
      </c>
      <c r="Z893" s="30" t="s">
        <v>86</v>
      </c>
      <c r="AA893" s="31">
        <f>AA892+1</f>
        <v>10150</v>
      </c>
      <c r="AB893" s="32">
        <f>650*40+973+622*10</f>
        <v>33193</v>
      </c>
      <c r="AC893" s="32"/>
      <c r="AD893" s="32"/>
      <c r="AE893" s="32">
        <f t="shared" ref="AE893:AE895" si="270">SUM(AB893:AC893)</f>
        <v>33193</v>
      </c>
      <c r="AF893" s="12"/>
      <c r="AG893" s="12">
        <v>2442</v>
      </c>
      <c r="AH893" s="12"/>
      <c r="AI893" s="12">
        <f t="shared" ref="AI893:AI924" si="271">SUM(AE893:AH893)</f>
        <v>35635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M894" s="10">
        <v>3</v>
      </c>
      <c r="N894" s="30" t="s">
        <v>86</v>
      </c>
      <c r="O894" s="31">
        <f t="shared" ref="O894:O898" si="272">O893+1</f>
        <v>10246</v>
      </c>
      <c r="P894" s="32">
        <f>650*45+622*5+229*2</f>
        <v>32818</v>
      </c>
      <c r="Q894" s="32"/>
      <c r="R894" s="32"/>
      <c r="S894" s="32">
        <f t="shared" si="268"/>
        <v>32818</v>
      </c>
      <c r="T894" s="12"/>
      <c r="U894" s="12"/>
      <c r="V894" s="12">
        <f>-333+-504</f>
        <v>-837</v>
      </c>
      <c r="W894" s="12">
        <f t="shared" si="269"/>
        <v>31981</v>
      </c>
      <c r="Y894" s="10">
        <v>3</v>
      </c>
      <c r="Z894" s="30" t="s">
        <v>86</v>
      </c>
      <c r="AA894" s="31">
        <v>10251</v>
      </c>
      <c r="AB894" s="33">
        <f>650*2+670+622</f>
        <v>2592</v>
      </c>
      <c r="AC894" s="33"/>
      <c r="AD894" s="32"/>
      <c r="AE894" s="32">
        <f t="shared" si="270"/>
        <v>2592</v>
      </c>
      <c r="AF894" s="12"/>
      <c r="AG894" s="12"/>
      <c r="AH894" s="12"/>
      <c r="AI894" s="12">
        <f t="shared" si="271"/>
        <v>2592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M895" s="10">
        <v>4</v>
      </c>
      <c r="N895" s="30" t="s">
        <v>86</v>
      </c>
      <c r="O895" s="31">
        <f t="shared" si="272"/>
        <v>10247</v>
      </c>
      <c r="P895" s="32">
        <f>650*108+229*3</f>
        <v>70887</v>
      </c>
      <c r="Q895" s="32">
        <f>-108*6</f>
        <v>-648</v>
      </c>
      <c r="R895" s="32"/>
      <c r="S895" s="32">
        <f t="shared" si="268"/>
        <v>70239</v>
      </c>
      <c r="T895" s="12"/>
      <c r="U895" s="12">
        <v>108</v>
      </c>
      <c r="V895" s="12"/>
      <c r="W895" s="12">
        <f t="shared" si="269"/>
        <v>70347</v>
      </c>
      <c r="Y895" s="10">
        <v>4</v>
      </c>
      <c r="Z895" s="30" t="s">
        <v>86</v>
      </c>
      <c r="AA895" s="31">
        <f t="shared" ref="AA895:AA900" si="273">AA894+1</f>
        <v>10252</v>
      </c>
      <c r="AB895" s="32">
        <f>650*2</f>
        <v>1300</v>
      </c>
      <c r="AC895" s="32"/>
      <c r="AD895" s="32"/>
      <c r="AE895" s="32">
        <f t="shared" si="270"/>
        <v>1300</v>
      </c>
      <c r="AF895" s="12"/>
      <c r="AG895">
        <v>168</v>
      </c>
      <c r="AH895" s="12"/>
      <c r="AI895" s="12">
        <f t="shared" si="271"/>
        <v>1468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M896" s="10">
        <v>5</v>
      </c>
      <c r="N896" s="30" t="s">
        <v>86</v>
      </c>
      <c r="O896" s="31">
        <f t="shared" si="272"/>
        <v>10248</v>
      </c>
      <c r="P896" s="32">
        <f>650*7+9.5*7</f>
        <v>4616.5</v>
      </c>
      <c r="Q896" s="32"/>
      <c r="R896" s="32"/>
      <c r="S896" s="32">
        <f t="shared" si="268"/>
        <v>4616.5</v>
      </c>
      <c r="T896" s="12"/>
      <c r="U896" s="12"/>
      <c r="V896" s="12"/>
      <c r="W896" s="12">
        <f t="shared" si="269"/>
        <v>4616.5</v>
      </c>
      <c r="Y896" s="10">
        <v>5</v>
      </c>
      <c r="Z896" s="30" t="s">
        <v>86</v>
      </c>
      <c r="AA896" s="31">
        <f t="shared" si="273"/>
        <v>10253</v>
      </c>
      <c r="AB896" s="32">
        <f>650*122+622*26+872*3+650*3</f>
        <v>100038</v>
      </c>
      <c r="AC896" s="32">
        <f>-151*6</f>
        <v>-906</v>
      </c>
      <c r="AD896" s="32"/>
      <c r="AE896" s="32">
        <f t="shared" ref="AE896:AE897" si="274">SUM(AB896:AC896)</f>
        <v>99132</v>
      </c>
      <c r="AF896" s="12"/>
      <c r="AG896" s="12"/>
      <c r="AH896" s="12"/>
      <c r="AI896" s="12">
        <f t="shared" si="271"/>
        <v>99132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M897" s="10">
        <v>6</v>
      </c>
      <c r="N897" s="30" t="s">
        <v>86</v>
      </c>
      <c r="O897" s="31">
        <f t="shared" si="272"/>
        <v>10249</v>
      </c>
      <c r="P897" s="32">
        <f>650*34+670</f>
        <v>22770</v>
      </c>
      <c r="Q897" s="32"/>
      <c r="R897" s="32"/>
      <c r="S897" s="32">
        <f t="shared" si="268"/>
        <v>22770</v>
      </c>
      <c r="T897" s="12"/>
      <c r="U897" s="12"/>
      <c r="V897" s="10"/>
      <c r="W897" s="12">
        <f t="shared" si="269"/>
        <v>22770</v>
      </c>
      <c r="Y897" s="10">
        <v>6</v>
      </c>
      <c r="Z897" s="30" t="s">
        <v>86</v>
      </c>
      <c r="AA897" s="31">
        <f t="shared" si="273"/>
        <v>10254</v>
      </c>
      <c r="AB897" s="32">
        <f>650*100+622*14+229*4</f>
        <v>74624</v>
      </c>
      <c r="AC897" s="32"/>
      <c r="AD897" s="32"/>
      <c r="AE897" s="32">
        <f t="shared" si="274"/>
        <v>74624</v>
      </c>
      <c r="AF897" s="12"/>
      <c r="AG897" s="12"/>
      <c r="AH897" s="10"/>
      <c r="AI897" s="12">
        <f t="shared" si="271"/>
        <v>74624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M898" s="10">
        <v>7</v>
      </c>
      <c r="N898" s="30" t="s">
        <v>86</v>
      </c>
      <c r="O898" s="31">
        <f t="shared" si="272"/>
        <v>10250</v>
      </c>
      <c r="P898" s="32">
        <f>670</f>
        <v>670</v>
      </c>
      <c r="Q898" s="32"/>
      <c r="R898" s="32"/>
      <c r="S898" s="32">
        <f t="shared" si="268"/>
        <v>670</v>
      </c>
      <c r="T898" s="12"/>
      <c r="U898" s="12"/>
      <c r="V898" s="12"/>
      <c r="W898" s="12">
        <f t="shared" si="269"/>
        <v>670</v>
      </c>
      <c r="Y898" s="10">
        <v>7</v>
      </c>
      <c r="Z898" s="30" t="s">
        <v>86</v>
      </c>
      <c r="AA898" s="31">
        <f t="shared" si="273"/>
        <v>10255</v>
      </c>
      <c r="AB898" s="32">
        <f>650*10+670</f>
        <v>7170</v>
      </c>
      <c r="AC898" s="32"/>
      <c r="AD898" s="32"/>
      <c r="AE898" s="32">
        <f>SUM(AB898:AC898)</f>
        <v>7170</v>
      </c>
      <c r="AF898" s="12"/>
      <c r="AG898" s="58"/>
      <c r="AH898" s="12">
        <v>-1221</v>
      </c>
      <c r="AI898" s="12">
        <f t="shared" si="271"/>
        <v>5949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M899" s="10">
        <v>8</v>
      </c>
      <c r="N899" s="30"/>
      <c r="O899" s="11" t="s">
        <v>27</v>
      </c>
      <c r="P899" s="32"/>
      <c r="Q899" s="32"/>
      <c r="R899" s="32"/>
      <c r="S899" s="32">
        <f t="shared" si="268"/>
        <v>0</v>
      </c>
      <c r="T899" s="12"/>
      <c r="U899" s="12"/>
      <c r="V899" s="12"/>
      <c r="W899" s="12">
        <f t="shared" si="269"/>
        <v>0</v>
      </c>
      <c r="Y899" s="10">
        <v>8</v>
      </c>
      <c r="Z899" s="30" t="s">
        <v>86</v>
      </c>
      <c r="AA899" s="31">
        <f t="shared" si="273"/>
        <v>10256</v>
      </c>
      <c r="AB899" s="32">
        <f>650*5+47.5</f>
        <v>3297.5</v>
      </c>
      <c r="AC899" s="32"/>
      <c r="AE899" s="32">
        <f t="shared" ref="AE899:AE930" si="275">SUM(AB899:AC899)</f>
        <v>3297.5</v>
      </c>
      <c r="AF899" s="12"/>
      <c r="AG899" s="12"/>
      <c r="AH899" s="12"/>
      <c r="AI899" s="12">
        <f t="shared" si="271"/>
        <v>3297.5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M900" s="10">
        <v>9</v>
      </c>
      <c r="N900" s="30"/>
      <c r="O900" s="31"/>
      <c r="P900" s="32"/>
      <c r="Q900" s="32"/>
      <c r="R900" s="32"/>
      <c r="S900" s="32">
        <f t="shared" si="268"/>
        <v>0</v>
      </c>
      <c r="T900" s="12"/>
      <c r="U900" s="12"/>
      <c r="V900" s="12"/>
      <c r="W900" s="12">
        <f t="shared" si="269"/>
        <v>0</v>
      </c>
      <c r="Y900" s="10">
        <v>9</v>
      </c>
      <c r="Z900" s="30" t="s">
        <v>86</v>
      </c>
      <c r="AA900" s="31">
        <f t="shared" si="273"/>
        <v>10257</v>
      </c>
      <c r="AB900" s="32">
        <f>650*8</f>
        <v>5200</v>
      </c>
      <c r="AC900" s="32"/>
      <c r="AD900" s="32"/>
      <c r="AE900" s="32">
        <f t="shared" si="275"/>
        <v>5200</v>
      </c>
      <c r="AF900" s="12"/>
      <c r="AH900" s="12">
        <v>-1332</v>
      </c>
      <c r="AI900" s="12">
        <f t="shared" si="271"/>
        <v>3868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M901" s="10">
        <v>10</v>
      </c>
      <c r="N901" s="30"/>
      <c r="O901" s="31"/>
      <c r="P901" s="32"/>
      <c r="Q901" s="32"/>
      <c r="R901" s="32"/>
      <c r="S901" s="32">
        <f t="shared" si="268"/>
        <v>0</v>
      </c>
      <c r="T901" s="12"/>
      <c r="U901" s="12"/>
      <c r="V901" s="12"/>
      <c r="W901" s="12">
        <f t="shared" si="269"/>
        <v>0</v>
      </c>
      <c r="Y901" s="10">
        <v>10</v>
      </c>
      <c r="Z901" s="30"/>
      <c r="AA901" s="11" t="s">
        <v>27</v>
      </c>
      <c r="AB901" s="32"/>
      <c r="AC901" s="32"/>
      <c r="AD901" s="32"/>
      <c r="AE901" s="32">
        <f t="shared" si="275"/>
        <v>0</v>
      </c>
      <c r="AF901" s="12"/>
      <c r="AG901" s="12"/>
      <c r="AH901" s="12"/>
      <c r="AI901" s="12">
        <f t="shared" si="271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M902" s="10">
        <v>11</v>
      </c>
      <c r="N902" s="30"/>
      <c r="O902" s="31"/>
      <c r="P902" s="32"/>
      <c r="Q902" s="32"/>
      <c r="R902" s="32"/>
      <c r="S902" s="32">
        <f t="shared" si="268"/>
        <v>0</v>
      </c>
      <c r="T902" s="12"/>
      <c r="U902" s="12"/>
      <c r="V902" s="12"/>
      <c r="W902" s="12">
        <f t="shared" si="269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75"/>
        <v>0</v>
      </c>
      <c r="AF902" s="12"/>
      <c r="AG902" s="12"/>
      <c r="AH902" s="12"/>
      <c r="AI902" s="12">
        <f t="shared" si="271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M903" s="10">
        <v>12</v>
      </c>
      <c r="N903" s="30"/>
      <c r="O903" s="31"/>
      <c r="P903" s="32"/>
      <c r="Q903" s="32"/>
      <c r="R903" s="32"/>
      <c r="S903" s="32">
        <f t="shared" si="268"/>
        <v>0</v>
      </c>
      <c r="T903" s="12"/>
      <c r="U903" s="12"/>
      <c r="V903" s="12"/>
      <c r="W903" s="12">
        <f t="shared" si="269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75"/>
        <v>0</v>
      </c>
      <c r="AF903" s="12"/>
      <c r="AG903" s="12"/>
      <c r="AH903" s="12"/>
      <c r="AI903" s="12">
        <f t="shared" si="271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M904" s="10">
        <v>13</v>
      </c>
      <c r="N904" s="30"/>
      <c r="O904" s="31"/>
      <c r="P904" s="32"/>
      <c r="Q904" s="32"/>
      <c r="R904" s="32"/>
      <c r="S904" s="32">
        <f t="shared" si="268"/>
        <v>0</v>
      </c>
      <c r="T904" s="12"/>
      <c r="U904" s="12"/>
      <c r="V904" s="12"/>
      <c r="W904" s="12">
        <f t="shared" si="269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75"/>
        <v>0</v>
      </c>
      <c r="AF904" s="12"/>
      <c r="AG904" s="12"/>
      <c r="AH904" s="12"/>
      <c r="AI904" s="12">
        <f t="shared" si="271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M905" s="10">
        <v>14</v>
      </c>
      <c r="N905" s="30"/>
      <c r="O905" s="31"/>
      <c r="P905" s="32"/>
      <c r="Q905" s="32"/>
      <c r="R905" s="32"/>
      <c r="S905" s="32">
        <f t="shared" si="268"/>
        <v>0</v>
      </c>
      <c r="T905" s="12"/>
      <c r="U905" s="12"/>
      <c r="V905" s="12"/>
      <c r="W905" s="12">
        <f t="shared" si="269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75"/>
        <v>0</v>
      </c>
      <c r="AF905" s="12"/>
      <c r="AG905" s="12"/>
      <c r="AH905" s="12"/>
      <c r="AI905" s="12">
        <f t="shared" si="271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M906" s="10">
        <v>15</v>
      </c>
      <c r="N906" s="30"/>
      <c r="O906" s="31"/>
      <c r="P906" s="32"/>
      <c r="Q906" s="32"/>
      <c r="R906" s="32"/>
      <c r="S906" s="32">
        <f t="shared" si="268"/>
        <v>0</v>
      </c>
      <c r="T906" s="12"/>
      <c r="U906" s="12"/>
      <c r="V906" s="12"/>
      <c r="W906" s="12">
        <f t="shared" si="269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75"/>
        <v>0</v>
      </c>
      <c r="AF906" s="12"/>
      <c r="AG906" s="12"/>
      <c r="AH906" s="12"/>
      <c r="AI906" s="12">
        <f t="shared" si="271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M907" s="10">
        <v>16</v>
      </c>
      <c r="N907" s="30"/>
      <c r="O907" s="11"/>
      <c r="P907" s="32"/>
      <c r="Q907" s="32"/>
      <c r="R907" s="32"/>
      <c r="S907" s="32">
        <f t="shared" si="268"/>
        <v>0</v>
      </c>
      <c r="T907" s="12"/>
      <c r="U907" s="12"/>
      <c r="V907" s="12"/>
      <c r="W907" s="12">
        <f t="shared" si="269"/>
        <v>0</v>
      </c>
      <c r="Y907" s="10">
        <v>16</v>
      </c>
      <c r="AA907" s="11"/>
      <c r="AB907" s="32"/>
      <c r="AC907" s="32"/>
      <c r="AD907" s="32"/>
      <c r="AE907" s="32">
        <f t="shared" si="275"/>
        <v>0</v>
      </c>
      <c r="AF907" s="12"/>
      <c r="AG907" s="12"/>
      <c r="AH907" s="12"/>
      <c r="AI907" s="12">
        <f t="shared" si="271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M908" s="10">
        <v>17</v>
      </c>
      <c r="N908" s="30"/>
      <c r="O908" s="31"/>
      <c r="P908" s="35"/>
      <c r="Q908" s="32"/>
      <c r="R908" s="32"/>
      <c r="S908" s="32">
        <f t="shared" si="268"/>
        <v>0</v>
      </c>
      <c r="T908" s="12"/>
      <c r="U908" s="12"/>
      <c r="V908" s="12"/>
      <c r="W908" s="12">
        <f t="shared" si="269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75"/>
        <v>0</v>
      </c>
      <c r="AF908" s="12"/>
      <c r="AG908" s="12"/>
      <c r="AH908" s="12"/>
      <c r="AI908" s="12">
        <f t="shared" si="271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M909" s="10">
        <v>18</v>
      </c>
      <c r="N909" s="30"/>
      <c r="P909" s="32"/>
      <c r="Q909" s="32"/>
      <c r="R909" s="32"/>
      <c r="S909" s="32">
        <f t="shared" si="268"/>
        <v>0</v>
      </c>
      <c r="T909" s="12"/>
      <c r="U909" s="12"/>
      <c r="V909" s="12"/>
      <c r="W909" s="12">
        <f t="shared" si="269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75"/>
        <v>0</v>
      </c>
      <c r="AF909" s="12"/>
      <c r="AG909" s="12"/>
      <c r="AH909" s="12"/>
      <c r="AI909" s="12">
        <f t="shared" si="271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M910" s="10">
        <v>19</v>
      </c>
      <c r="N910" s="30"/>
      <c r="O910" s="31"/>
      <c r="P910" s="32"/>
      <c r="Q910" s="32"/>
      <c r="R910" s="32"/>
      <c r="S910" s="32">
        <f t="shared" si="268"/>
        <v>0</v>
      </c>
      <c r="T910" s="12"/>
      <c r="U910" s="12"/>
      <c r="V910" s="12"/>
      <c r="W910" s="12">
        <f t="shared" si="269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75"/>
        <v>0</v>
      </c>
      <c r="AF910" s="12"/>
      <c r="AG910" s="12"/>
      <c r="AH910" s="12"/>
      <c r="AI910" s="12">
        <f t="shared" si="271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M911" s="10">
        <v>20</v>
      </c>
      <c r="N911" s="30"/>
      <c r="O911" s="31"/>
      <c r="P911" s="32"/>
      <c r="Q911" s="32"/>
      <c r="R911" s="32"/>
      <c r="S911" s="32">
        <f t="shared" si="268"/>
        <v>0</v>
      </c>
      <c r="T911" s="12"/>
      <c r="U911" s="12"/>
      <c r="V911" s="12"/>
      <c r="W911" s="12">
        <f t="shared" si="269"/>
        <v>0</v>
      </c>
      <c r="Y911" s="10">
        <v>20</v>
      </c>
      <c r="Z911" s="30"/>
      <c r="AB911" s="32"/>
      <c r="AC911" s="32"/>
      <c r="AD911" s="32"/>
      <c r="AE911" s="32">
        <f t="shared" si="275"/>
        <v>0</v>
      </c>
      <c r="AF911" s="12"/>
      <c r="AG911" s="12"/>
      <c r="AH911" s="12"/>
      <c r="AI911" s="12">
        <f t="shared" si="271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M912" s="10">
        <v>21</v>
      </c>
      <c r="N912" s="30"/>
      <c r="O912" s="11"/>
      <c r="P912" s="46"/>
      <c r="Q912" s="31"/>
      <c r="R912" s="31"/>
      <c r="S912" s="32">
        <f t="shared" si="268"/>
        <v>0</v>
      </c>
      <c r="T912" s="10"/>
      <c r="U912" s="10"/>
      <c r="V912" s="10"/>
      <c r="W912" s="12">
        <f t="shared" si="269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75"/>
        <v>0</v>
      </c>
      <c r="AF912" s="10"/>
      <c r="AG912" s="10"/>
      <c r="AH912" s="10"/>
      <c r="AI912" s="12">
        <f t="shared" si="271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M913" s="10">
        <v>22</v>
      </c>
      <c r="N913" s="30"/>
      <c r="O913" s="31"/>
      <c r="P913" s="45"/>
      <c r="Q913" s="31"/>
      <c r="R913" s="31"/>
      <c r="S913" s="32">
        <f t="shared" si="268"/>
        <v>0</v>
      </c>
      <c r="T913" s="10"/>
      <c r="U913" s="10"/>
      <c r="V913" s="10"/>
      <c r="W913" s="12">
        <f t="shared" si="269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75"/>
        <v>0</v>
      </c>
      <c r="AF913" s="10"/>
      <c r="AG913" s="10"/>
      <c r="AH913" s="10"/>
      <c r="AI913" s="12">
        <f t="shared" si="271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M914" s="10">
        <v>23</v>
      </c>
      <c r="N914" s="30"/>
      <c r="O914" s="31"/>
      <c r="P914" s="47"/>
      <c r="S914" s="32">
        <f t="shared" si="268"/>
        <v>0</v>
      </c>
      <c r="T914" s="10"/>
      <c r="U914" s="10"/>
      <c r="V914" s="10"/>
      <c r="W914" s="12">
        <f t="shared" si="269"/>
        <v>0</v>
      </c>
      <c r="Y914" s="10">
        <v>23</v>
      </c>
      <c r="Z914" s="30"/>
      <c r="AA914" s="31"/>
      <c r="AB914" s="47"/>
      <c r="AC914" s="31"/>
      <c r="AE914" s="32">
        <f t="shared" si="275"/>
        <v>0</v>
      </c>
      <c r="AF914" s="10"/>
      <c r="AG914" s="10"/>
      <c r="AH914" s="10"/>
      <c r="AI914" s="12">
        <f t="shared" si="271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M915" s="10">
        <v>24</v>
      </c>
      <c r="N915" s="30"/>
      <c r="O915" s="31"/>
      <c r="P915" s="47"/>
      <c r="Q915" s="31"/>
      <c r="R915" s="31"/>
      <c r="S915" s="32">
        <f t="shared" si="268"/>
        <v>0</v>
      </c>
      <c r="T915" s="10"/>
      <c r="U915" s="10"/>
      <c r="V915" s="10"/>
      <c r="W915" s="12">
        <f t="shared" si="269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75"/>
        <v>0</v>
      </c>
      <c r="AF915" s="10"/>
      <c r="AG915" s="10"/>
      <c r="AH915" s="10"/>
      <c r="AI915" s="12">
        <f t="shared" si="271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M916" s="10">
        <v>25</v>
      </c>
      <c r="N916" s="30"/>
      <c r="O916" s="31"/>
      <c r="P916" s="47"/>
      <c r="Q916" s="31"/>
      <c r="R916" s="31"/>
      <c r="S916" s="32">
        <f t="shared" si="268"/>
        <v>0</v>
      </c>
      <c r="T916" s="10"/>
      <c r="U916" s="10"/>
      <c r="V916" s="10"/>
      <c r="W916" s="12">
        <f t="shared" si="269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75"/>
        <v>0</v>
      </c>
      <c r="AF916" s="10"/>
      <c r="AG916" s="10"/>
      <c r="AH916" s="10"/>
      <c r="AI916" s="12">
        <f t="shared" si="271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M917" s="10">
        <v>26</v>
      </c>
      <c r="N917" s="30"/>
      <c r="O917" s="11"/>
      <c r="P917" s="47"/>
      <c r="Q917" s="31"/>
      <c r="R917" s="31"/>
      <c r="S917" s="32">
        <f t="shared" si="268"/>
        <v>0</v>
      </c>
      <c r="T917" s="10"/>
      <c r="U917" s="10"/>
      <c r="V917" s="10"/>
      <c r="W917" s="12">
        <f t="shared" si="269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75"/>
        <v>0</v>
      </c>
      <c r="AF917" s="10"/>
      <c r="AG917" s="10"/>
      <c r="AH917" s="10"/>
      <c r="AI917" s="12">
        <f t="shared" si="271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M918" s="10">
        <v>27</v>
      </c>
      <c r="N918" s="30"/>
      <c r="O918" s="31"/>
      <c r="P918" s="47"/>
      <c r="Q918" s="31"/>
      <c r="R918" s="31"/>
      <c r="S918" s="32">
        <f t="shared" si="268"/>
        <v>0</v>
      </c>
      <c r="T918" s="10"/>
      <c r="U918" s="10"/>
      <c r="V918" s="10"/>
      <c r="W918" s="12">
        <f t="shared" si="269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75"/>
        <v>0</v>
      </c>
      <c r="AF918" s="10"/>
      <c r="AG918" s="10"/>
      <c r="AH918" s="10"/>
      <c r="AI918" s="12">
        <f t="shared" si="271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M919" s="10">
        <v>28</v>
      </c>
      <c r="N919" s="30"/>
      <c r="O919" s="31"/>
      <c r="P919" s="47"/>
      <c r="Q919" s="31"/>
      <c r="R919" s="31"/>
      <c r="S919" s="32">
        <f t="shared" si="268"/>
        <v>0</v>
      </c>
      <c r="T919" s="10"/>
      <c r="U919" s="10"/>
      <c r="V919" s="10"/>
      <c r="W919" s="12">
        <f t="shared" si="269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75"/>
        <v>0</v>
      </c>
      <c r="AF919" s="10"/>
      <c r="AG919" s="10"/>
      <c r="AH919" s="10"/>
      <c r="AI919" s="12">
        <f t="shared" si="271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M920" s="10">
        <v>29</v>
      </c>
      <c r="N920" s="30"/>
      <c r="O920" s="31"/>
      <c r="P920" s="47"/>
      <c r="Q920" s="31"/>
      <c r="R920" s="31"/>
      <c r="S920" s="32">
        <f t="shared" si="268"/>
        <v>0</v>
      </c>
      <c r="T920" s="10"/>
      <c r="U920" s="10"/>
      <c r="V920" s="10"/>
      <c r="W920" s="12">
        <f t="shared" si="269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75"/>
        <v>0</v>
      </c>
      <c r="AF920" s="10"/>
      <c r="AG920" s="10"/>
      <c r="AH920" s="10"/>
      <c r="AI920" s="12">
        <f t="shared" si="271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M921" s="10">
        <v>30</v>
      </c>
      <c r="N921" s="30"/>
      <c r="O921" s="31"/>
      <c r="P921" s="47"/>
      <c r="Q921" s="31"/>
      <c r="R921" s="31"/>
      <c r="S921" s="32">
        <f t="shared" si="268"/>
        <v>0</v>
      </c>
      <c r="T921" s="10"/>
      <c r="U921" s="10"/>
      <c r="V921" s="10"/>
      <c r="W921" s="12">
        <f t="shared" si="269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75"/>
        <v>0</v>
      </c>
      <c r="AF921" s="10"/>
      <c r="AG921" s="10"/>
      <c r="AH921" s="10"/>
      <c r="AI921" s="12">
        <f t="shared" si="271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M922" s="10">
        <v>31</v>
      </c>
      <c r="N922" s="30"/>
      <c r="O922" s="31"/>
      <c r="P922" s="47"/>
      <c r="Q922" s="31"/>
      <c r="R922" s="31"/>
      <c r="S922" s="32">
        <f t="shared" si="268"/>
        <v>0</v>
      </c>
      <c r="T922" s="10"/>
      <c r="U922" s="10"/>
      <c r="V922" s="10"/>
      <c r="W922" s="12">
        <f t="shared" si="269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75"/>
        <v>0</v>
      </c>
      <c r="AF922" s="10"/>
      <c r="AG922" s="10"/>
      <c r="AH922" s="10"/>
      <c r="AI922" s="12">
        <f t="shared" si="271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M923" s="10">
        <v>32</v>
      </c>
      <c r="N923" s="30"/>
      <c r="O923" s="31"/>
      <c r="P923" s="47"/>
      <c r="Q923" s="31"/>
      <c r="R923" s="31"/>
      <c r="S923" s="32">
        <f t="shared" si="268"/>
        <v>0</v>
      </c>
      <c r="T923" s="10"/>
      <c r="U923" s="10"/>
      <c r="V923" s="10"/>
      <c r="W923" s="12">
        <f t="shared" si="269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75"/>
        <v>0</v>
      </c>
      <c r="AF923" s="10"/>
      <c r="AG923" s="10"/>
      <c r="AH923" s="10"/>
      <c r="AI923" s="12">
        <f t="shared" si="271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M924" s="10">
        <v>33</v>
      </c>
      <c r="N924" s="30"/>
      <c r="O924" s="31"/>
      <c r="P924" s="47"/>
      <c r="Q924" s="31"/>
      <c r="R924" s="31"/>
      <c r="S924" s="32">
        <f t="shared" si="268"/>
        <v>0</v>
      </c>
      <c r="T924" s="10"/>
      <c r="U924" s="10"/>
      <c r="V924" s="10"/>
      <c r="W924" s="12">
        <f t="shared" si="269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75"/>
        <v>0</v>
      </c>
      <c r="AF924" s="10"/>
      <c r="AG924" s="10"/>
      <c r="AH924" s="10"/>
      <c r="AI924" s="12">
        <f t="shared" si="271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M925" s="10">
        <v>34</v>
      </c>
      <c r="N925" s="30"/>
      <c r="O925" s="31"/>
      <c r="P925" s="47"/>
      <c r="Q925" s="31"/>
      <c r="R925" s="31"/>
      <c r="S925" s="32">
        <f t="shared" si="268"/>
        <v>0</v>
      </c>
      <c r="T925" s="10"/>
      <c r="U925" s="10"/>
      <c r="V925" s="10"/>
      <c r="W925" s="12">
        <f t="shared" si="269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75"/>
        <v>0</v>
      </c>
      <c r="AF925" s="10"/>
      <c r="AG925" s="10"/>
      <c r="AH925" s="10"/>
      <c r="AI925" s="12">
        <f t="shared" ref="AI925:AI933" si="276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M926" s="10">
        <v>35</v>
      </c>
      <c r="N926" s="30"/>
      <c r="O926" s="31"/>
      <c r="P926" s="47"/>
      <c r="Q926" s="31"/>
      <c r="R926" s="31"/>
      <c r="S926" s="32">
        <f t="shared" si="268"/>
        <v>0</v>
      </c>
      <c r="T926" s="10"/>
      <c r="U926" s="10"/>
      <c r="V926" s="10"/>
      <c r="W926" s="12">
        <f t="shared" si="269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5"/>
        <v>0</v>
      </c>
      <c r="AF926" s="10"/>
      <c r="AG926" s="10"/>
      <c r="AH926" s="10"/>
      <c r="AI926" s="12">
        <f t="shared" si="27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M927" s="10">
        <v>36</v>
      </c>
      <c r="N927" s="30"/>
      <c r="O927" s="31"/>
      <c r="P927" s="47"/>
      <c r="Q927" s="31"/>
      <c r="R927" s="31"/>
      <c r="S927" s="32">
        <f t="shared" si="268"/>
        <v>0</v>
      </c>
      <c r="T927" s="10"/>
      <c r="U927" s="10"/>
      <c r="V927" s="10"/>
      <c r="W927" s="12">
        <f t="shared" si="269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5"/>
        <v>0</v>
      </c>
      <c r="AF927" s="10"/>
      <c r="AG927" s="10"/>
      <c r="AH927" s="10"/>
      <c r="AI927" s="12">
        <f t="shared" si="27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M928" s="10">
        <v>37</v>
      </c>
      <c r="N928" s="30"/>
      <c r="P928" s="47"/>
      <c r="Q928" s="31"/>
      <c r="R928" s="31"/>
      <c r="S928" s="32">
        <f t="shared" si="268"/>
        <v>0</v>
      </c>
      <c r="T928" s="10"/>
      <c r="U928" s="10"/>
      <c r="V928" s="10"/>
      <c r="W928" s="12">
        <f t="shared" si="269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5"/>
        <v>0</v>
      </c>
      <c r="AF928" s="10"/>
      <c r="AG928" s="10"/>
      <c r="AH928" s="10"/>
      <c r="AI928" s="12">
        <f t="shared" si="27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M929" s="10">
        <v>38</v>
      </c>
      <c r="N929" s="30"/>
      <c r="O929" s="31"/>
      <c r="P929" s="47"/>
      <c r="Q929" s="31"/>
      <c r="R929" s="31"/>
      <c r="S929" s="32">
        <f t="shared" si="268"/>
        <v>0</v>
      </c>
      <c r="T929" s="10"/>
      <c r="U929" s="10"/>
      <c r="V929" s="10"/>
      <c r="W929" s="12">
        <f t="shared" si="269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5"/>
        <v>0</v>
      </c>
      <c r="AF929" s="10"/>
      <c r="AG929" s="10"/>
      <c r="AH929" s="10"/>
      <c r="AI929" s="12">
        <f t="shared" si="27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M930" s="10">
        <v>39</v>
      </c>
      <c r="N930" s="30"/>
      <c r="O930" s="31"/>
      <c r="P930" s="47"/>
      <c r="Q930" s="31"/>
      <c r="R930" s="31"/>
      <c r="S930" s="32">
        <f t="shared" si="268"/>
        <v>0</v>
      </c>
      <c r="T930" s="10"/>
      <c r="U930" s="10"/>
      <c r="V930" s="10"/>
      <c r="W930" s="12">
        <f t="shared" si="269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5"/>
        <v>0</v>
      </c>
      <c r="AF930" s="10"/>
      <c r="AG930" s="10"/>
      <c r="AH930" s="10"/>
      <c r="AI930" s="12">
        <f t="shared" si="27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9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M932" s="10"/>
      <c r="N932" s="30"/>
      <c r="O932" s="31"/>
      <c r="P932" s="47"/>
      <c r="Q932" s="31"/>
      <c r="R932" s="31"/>
      <c r="S932" s="32">
        <f t="shared" ref="S932" si="277">SUM(P932:Q932)</f>
        <v>0</v>
      </c>
      <c r="T932" s="10"/>
      <c r="U932" s="10"/>
      <c r="V932" s="10"/>
      <c r="W932" s="12">
        <f t="shared" si="269"/>
        <v>0</v>
      </c>
      <c r="Y932" s="10"/>
      <c r="Z932" s="30"/>
      <c r="AA932" s="31"/>
      <c r="AB932" s="47"/>
      <c r="AC932" s="31"/>
      <c r="AD932" s="31"/>
      <c r="AE932" s="32">
        <f t="shared" ref="AE932" si="278">SUM(AB932:AC932)</f>
        <v>0</v>
      </c>
      <c r="AF932" s="10"/>
      <c r="AG932" s="10"/>
      <c r="AH932" s="10"/>
      <c r="AI932" s="12">
        <f t="shared" si="27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9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N935" s="57"/>
      <c r="O935" s="57"/>
      <c r="P935" s="38">
        <f>SUM(P892:P934)</f>
        <v>199178.5</v>
      </c>
      <c r="Q935" s="38">
        <f>SUM(Q892:Q916)</f>
        <v>-648</v>
      </c>
      <c r="R935" s="38">
        <f>SUM(R892:R916)</f>
        <v>0</v>
      </c>
      <c r="S935" s="38">
        <f>SUM(S892:S934)</f>
        <v>198530.5</v>
      </c>
      <c r="T935" s="4"/>
      <c r="U935" s="41">
        <f>SUM(U892:U934)</f>
        <v>513</v>
      </c>
      <c r="V935" s="41">
        <f>SUM(V892:V916)</f>
        <v>-837</v>
      </c>
      <c r="W935" s="42">
        <f>SUM(W892:W934)</f>
        <v>198206.5</v>
      </c>
      <c r="Z935" s="57"/>
      <c r="AA935" s="57"/>
      <c r="AB935" s="38">
        <f>SUM(AB892:AB934)</f>
        <v>254146.5</v>
      </c>
      <c r="AC935" s="38">
        <f>SUM(AC892:AC916)</f>
        <v>-906</v>
      </c>
      <c r="AD935" s="38">
        <f>SUM(AD892:AD916)</f>
        <v>0</v>
      </c>
      <c r="AE935" s="38">
        <f>SUM(AE892:AE934)</f>
        <v>253240.5</v>
      </c>
      <c r="AF935" s="4"/>
      <c r="AG935" s="41">
        <f>SUM(AG892:AG934)</f>
        <v>2650.5</v>
      </c>
      <c r="AH935" s="41">
        <f>SUM(AH892:AH916)</f>
        <v>-2553</v>
      </c>
      <c r="AI935" s="42">
        <f>SUM(AI892:AI934)</f>
        <v>253338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45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Y942" t="s">
        <v>45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34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9" t="s">
        <v>17</v>
      </c>
      <c r="E945" s="119"/>
      <c r="F945" s="108"/>
      <c r="G945" s="27"/>
      <c r="I945" s="117" t="s">
        <v>18</v>
      </c>
      <c r="J945" s="118"/>
      <c r="K945" s="115" t="s">
        <v>19</v>
      </c>
      <c r="M945" s="62"/>
      <c r="N945" s="65"/>
      <c r="O945" s="88"/>
      <c r="P945" s="121"/>
      <c r="Q945" s="121"/>
      <c r="R945" s="88"/>
      <c r="S945" s="88"/>
      <c r="T945" s="62"/>
      <c r="U945" s="121"/>
      <c r="V945" s="121"/>
      <c r="W945" s="120"/>
      <c r="Z945" s="25"/>
      <c r="AA945" s="26"/>
      <c r="AB945" s="119" t="s">
        <v>17</v>
      </c>
      <c r="AC945" s="119"/>
      <c r="AD945" s="108"/>
      <c r="AE945" s="27"/>
      <c r="AG945" s="117" t="s">
        <v>18</v>
      </c>
      <c r="AH945" s="118"/>
      <c r="AI945" s="115" t="s">
        <v>19</v>
      </c>
      <c r="AK945" s="62"/>
      <c r="AL945" s="65"/>
      <c r="AM945" s="86"/>
      <c r="AN945" s="121"/>
      <c r="AO945" s="121"/>
      <c r="AP945" s="86"/>
      <c r="AQ945" s="86"/>
      <c r="AR945" s="62"/>
      <c r="AS945" s="121"/>
      <c r="AT945" s="121"/>
      <c r="AU945" s="120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6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20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6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20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83">
        <v>10301</v>
      </c>
      <c r="D947" s="32">
        <f>650*8+622*2+9.5*20</f>
        <v>6634</v>
      </c>
      <c r="E947" s="32"/>
      <c r="F947" s="32"/>
      <c r="G947" s="32">
        <f t="shared" ref="G947:G980" si="279">SUM(D947:E947)</f>
        <v>6634</v>
      </c>
      <c r="H947" s="12"/>
      <c r="I947" s="12"/>
      <c r="J947" s="12"/>
      <c r="K947" s="12">
        <f t="shared" ref="K947:K980" si="280">SUM(G947:J947)</f>
        <v>6634</v>
      </c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90</v>
      </c>
      <c r="AA947" s="31">
        <v>10258</v>
      </c>
      <c r="AB947" s="32">
        <f>650*40+670+622*10+229</f>
        <v>33119</v>
      </c>
      <c r="AC947" s="32">
        <f>-51*6</f>
        <v>-306</v>
      </c>
      <c r="AD947" s="32"/>
      <c r="AE947" s="32">
        <f>SUM(AB947:AC947)</f>
        <v>32813</v>
      </c>
      <c r="AF947" s="12"/>
      <c r="AG947" s="12"/>
      <c r="AH947" s="12"/>
      <c r="AI947" s="12">
        <f>SUM(AE947:AH947)</f>
        <v>32813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83">
        <f>C947+1</f>
        <v>10302</v>
      </c>
      <c r="D948" s="32">
        <f>650*18+622*3</f>
        <v>13566</v>
      </c>
      <c r="E948" s="32"/>
      <c r="F948" s="32"/>
      <c r="G948" s="32">
        <f t="shared" si="279"/>
        <v>13566</v>
      </c>
      <c r="H948" s="12"/>
      <c r="I948" s="12"/>
      <c r="J948" s="12">
        <v>-6660</v>
      </c>
      <c r="K948" s="12">
        <f t="shared" si="280"/>
        <v>6906</v>
      </c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90</v>
      </c>
      <c r="AA948" s="31">
        <f>AA947+1</f>
        <v>10259</v>
      </c>
      <c r="AB948" s="32">
        <f>650*75+622*5+872*2+229*2</f>
        <v>54062</v>
      </c>
      <c r="AC948" s="32"/>
      <c r="AD948" s="32"/>
      <c r="AE948" s="32">
        <f t="shared" ref="AE948:AE950" si="281">SUM(AB948:AC948)</f>
        <v>54062</v>
      </c>
      <c r="AF948" s="12"/>
      <c r="AG948" s="12">
        <f>78+9</f>
        <v>87</v>
      </c>
      <c r="AH948" s="12"/>
      <c r="AI948" s="12">
        <f t="shared" ref="AI948:AI979" si="282">SUM(AE948:AH948)</f>
        <v>54149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83">
        <f t="shared" ref="C949:C950" si="283">C948+1</f>
        <v>10303</v>
      </c>
      <c r="D949" s="33">
        <f>650*17+670*3+622*3+9.5*20</f>
        <v>15116</v>
      </c>
      <c r="E949" s="32"/>
      <c r="F949" s="33"/>
      <c r="G949" s="33">
        <f t="shared" si="279"/>
        <v>15116</v>
      </c>
      <c r="H949" s="34"/>
      <c r="I949" s="34"/>
      <c r="J949" s="34"/>
      <c r="K949" s="34">
        <f t="shared" si="280"/>
        <v>15116</v>
      </c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90</v>
      </c>
      <c r="AA949" s="31">
        <f t="shared" ref="AA949:AA953" si="284">AA948+1</f>
        <v>10260</v>
      </c>
      <c r="AB949" s="33">
        <f>650*6+670+622</f>
        <v>5192</v>
      </c>
      <c r="AC949" s="33"/>
      <c r="AD949" s="32"/>
      <c r="AE949" s="32">
        <f t="shared" si="281"/>
        <v>5192</v>
      </c>
      <c r="AF949" s="12"/>
      <c r="AG949" s="12"/>
      <c r="AH949" s="12"/>
      <c r="AI949" s="12">
        <f t="shared" si="282"/>
        <v>5192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83">
        <f t="shared" si="283"/>
        <v>10304</v>
      </c>
      <c r="D950" s="32">
        <f>650*648+229*5</f>
        <v>422345</v>
      </c>
      <c r="E950" s="32">
        <f>-648*6</f>
        <v>-3888</v>
      </c>
      <c r="F950" s="32"/>
      <c r="G950" s="32">
        <f t="shared" si="279"/>
        <v>418457</v>
      </c>
      <c r="H950" s="12"/>
      <c r="I950" s="12">
        <v>7881</v>
      </c>
      <c r="J950" s="12">
        <f>-1560+-1248+-3192+-4452</f>
        <v>-10452</v>
      </c>
      <c r="K950" s="12">
        <f t="shared" si="280"/>
        <v>415886</v>
      </c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90</v>
      </c>
      <c r="AA950" s="31">
        <f t="shared" si="284"/>
        <v>10261</v>
      </c>
      <c r="AB950" s="32">
        <f>650*236+670*11+622*30+1050*2+229*4</f>
        <v>182446</v>
      </c>
      <c r="AC950" s="32">
        <f>-278*6</f>
        <v>-1668</v>
      </c>
      <c r="AD950" s="32"/>
      <c r="AE950" s="32">
        <f t="shared" si="281"/>
        <v>180778</v>
      </c>
      <c r="AF950" s="12"/>
      <c r="AH950" s="12"/>
      <c r="AI950" s="12">
        <f t="shared" si="282"/>
        <v>180778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79"/>
        <v>0</v>
      </c>
      <c r="H951" s="12"/>
      <c r="I951" s="12"/>
      <c r="J951" s="12"/>
      <c r="K951" s="12">
        <f t="shared" si="280"/>
        <v>0</v>
      </c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90</v>
      </c>
      <c r="AA951" s="31">
        <f t="shared" si="284"/>
        <v>10262</v>
      </c>
      <c r="AB951" s="32">
        <f>650*110+622*64+912*3+229*9</f>
        <v>116105</v>
      </c>
      <c r="AC951" s="32">
        <f>-177*6</f>
        <v>-1062</v>
      </c>
      <c r="AD951" s="32"/>
      <c r="AE951" s="32">
        <f t="shared" ref="AE951:AE952" si="285">SUM(AB951:AC951)</f>
        <v>115043</v>
      </c>
      <c r="AF951" s="12"/>
      <c r="AG951" s="12"/>
      <c r="AH951" s="12"/>
      <c r="AI951" s="12">
        <f t="shared" si="282"/>
        <v>115043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79"/>
        <v>0</v>
      </c>
      <c r="H952" s="12"/>
      <c r="I952" s="12"/>
      <c r="J952" s="12"/>
      <c r="K952" s="12">
        <f t="shared" si="280"/>
        <v>0</v>
      </c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90</v>
      </c>
      <c r="AA952" s="31">
        <f t="shared" si="284"/>
        <v>10263</v>
      </c>
      <c r="AB952" s="32">
        <f>650*2</f>
        <v>1300</v>
      </c>
      <c r="AC952" s="32"/>
      <c r="AD952" s="32"/>
      <c r="AE952" s="32">
        <f t="shared" si="285"/>
        <v>1300</v>
      </c>
      <c r="AF952" s="12"/>
      <c r="AG952" s="12"/>
      <c r="AH952" s="10"/>
      <c r="AI952" s="12">
        <f t="shared" si="282"/>
        <v>1300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79"/>
        <v>0</v>
      </c>
      <c r="H953" s="12"/>
      <c r="I953" s="12"/>
      <c r="J953" s="12"/>
      <c r="K953" s="12">
        <f t="shared" si="280"/>
        <v>0</v>
      </c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90</v>
      </c>
      <c r="AA953" s="31">
        <f t="shared" si="284"/>
        <v>10264</v>
      </c>
      <c r="AB953" s="32">
        <f>650*10</f>
        <v>6500</v>
      </c>
      <c r="AC953" s="32"/>
      <c r="AD953" s="32"/>
      <c r="AE953" s="32">
        <f>SUM(AB953:AC953)</f>
        <v>6500</v>
      </c>
      <c r="AF953" s="12"/>
      <c r="AG953" s="58"/>
      <c r="AH953" s="12"/>
      <c r="AI953" s="12">
        <f t="shared" si="282"/>
        <v>6500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79"/>
        <v>0</v>
      </c>
      <c r="H954" s="12"/>
      <c r="I954" s="12"/>
      <c r="J954" s="12"/>
      <c r="K954" s="12">
        <f t="shared" si="280"/>
        <v>0</v>
      </c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/>
      <c r="AA954" s="11" t="s">
        <v>27</v>
      </c>
      <c r="AB954" s="32"/>
      <c r="AC954" s="32"/>
      <c r="AE954" s="32">
        <f t="shared" ref="AE954:AE985" si="286">SUM(AB954:AC954)</f>
        <v>0</v>
      </c>
      <c r="AF954" s="12"/>
      <c r="AG954" s="12"/>
      <c r="AH954" s="12"/>
      <c r="AI954" s="12">
        <f t="shared" si="282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79"/>
        <v>0</v>
      </c>
      <c r="H955" s="12"/>
      <c r="I955" s="12"/>
      <c r="J955" s="12"/>
      <c r="K955" s="12">
        <f t="shared" si="280"/>
        <v>0</v>
      </c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/>
      <c r="AA955" s="31"/>
      <c r="AB955" s="32"/>
      <c r="AC955" s="32"/>
      <c r="AD955" s="32"/>
      <c r="AE955" s="32">
        <f t="shared" si="286"/>
        <v>0</v>
      </c>
      <c r="AF955" s="12"/>
      <c r="AH955" s="12"/>
      <c r="AI955" s="12">
        <f t="shared" si="282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79"/>
        <v>0</v>
      </c>
      <c r="H956" s="12"/>
      <c r="I956" s="12"/>
      <c r="J956" s="12"/>
      <c r="K956" s="12">
        <f t="shared" si="280"/>
        <v>0</v>
      </c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/>
      <c r="AA956" s="31"/>
      <c r="AB956" s="32"/>
      <c r="AC956" s="32"/>
      <c r="AD956" s="32"/>
      <c r="AE956" s="32">
        <f t="shared" si="286"/>
        <v>0</v>
      </c>
      <c r="AF956" s="12"/>
      <c r="AG956" s="12"/>
      <c r="AH956" s="12"/>
      <c r="AI956" s="12">
        <f t="shared" si="282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79"/>
        <v>0</v>
      </c>
      <c r="H957" s="12"/>
      <c r="I957" s="12"/>
      <c r="J957" s="12"/>
      <c r="K957" s="12">
        <f t="shared" si="280"/>
        <v>0</v>
      </c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/>
      <c r="AA957" s="31"/>
      <c r="AB957" s="32"/>
      <c r="AC957" s="32"/>
      <c r="AD957" s="32"/>
      <c r="AE957" s="32">
        <f t="shared" si="286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79"/>
        <v>0</v>
      </c>
      <c r="H958" s="12"/>
      <c r="I958" s="12"/>
      <c r="J958" s="10"/>
      <c r="K958" s="12">
        <f t="shared" si="280"/>
        <v>0</v>
      </c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31"/>
      <c r="AB958" s="32"/>
      <c r="AC958" s="32"/>
      <c r="AD958" s="32"/>
      <c r="AE958" s="32">
        <f t="shared" si="286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9"/>
        <v>0</v>
      </c>
      <c r="H959" s="12"/>
      <c r="I959" s="12"/>
      <c r="J959" s="12"/>
      <c r="K959" s="12">
        <f t="shared" si="280"/>
        <v>0</v>
      </c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86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9"/>
        <v>0</v>
      </c>
      <c r="H960" s="12"/>
      <c r="I960" s="12"/>
      <c r="J960" s="12"/>
      <c r="K960" s="12">
        <f t="shared" si="280"/>
        <v>0</v>
      </c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86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79"/>
        <v>0</v>
      </c>
      <c r="H961" s="12"/>
      <c r="I961" s="12"/>
      <c r="J961" s="12"/>
      <c r="K961" s="12">
        <f t="shared" si="280"/>
        <v>0</v>
      </c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86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79"/>
        <v>0</v>
      </c>
      <c r="H962" s="12"/>
      <c r="I962" s="12"/>
      <c r="J962" s="12"/>
      <c r="K962" s="12">
        <f t="shared" si="280"/>
        <v>0</v>
      </c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AB962" s="32"/>
      <c r="AC962" s="32"/>
      <c r="AD962" s="32"/>
      <c r="AE962" s="32">
        <f t="shared" si="286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9"/>
        <v>0</v>
      </c>
      <c r="H963" s="12"/>
      <c r="I963" s="12"/>
      <c r="J963" s="12"/>
      <c r="K963" s="12">
        <f t="shared" si="280"/>
        <v>0</v>
      </c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86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9"/>
        <v>0</v>
      </c>
      <c r="H964" s="12"/>
      <c r="I964" s="12"/>
      <c r="J964" s="12"/>
      <c r="K964" s="12">
        <f t="shared" si="280"/>
        <v>0</v>
      </c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86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9"/>
        <v>0</v>
      </c>
      <c r="H965" s="12"/>
      <c r="I965" s="12"/>
      <c r="J965" s="12"/>
      <c r="K965" s="12">
        <f t="shared" si="280"/>
        <v>0</v>
      </c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86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9"/>
        <v>0</v>
      </c>
      <c r="H966" s="12"/>
      <c r="I966" s="12"/>
      <c r="J966" s="12"/>
      <c r="K966" s="12">
        <f t="shared" si="280"/>
        <v>0</v>
      </c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86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9"/>
        <v>0</v>
      </c>
      <c r="H967" s="10"/>
      <c r="I967" s="10"/>
      <c r="J967" s="10"/>
      <c r="K967" s="12">
        <f t="shared" si="280"/>
        <v>0</v>
      </c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Y967" s="10">
        <v>21</v>
      </c>
      <c r="Z967" s="30"/>
      <c r="AA967" s="31"/>
      <c r="AB967" s="46"/>
      <c r="AC967" s="31"/>
      <c r="AD967" s="31"/>
      <c r="AE967" s="32">
        <f t="shared" si="286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79"/>
        <v>0</v>
      </c>
      <c r="H968" s="10"/>
      <c r="I968" s="10"/>
      <c r="J968" s="10"/>
      <c r="K968" s="12">
        <f t="shared" si="280"/>
        <v>0</v>
      </c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86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9"/>
        <v>0</v>
      </c>
      <c r="H969" s="10"/>
      <c r="I969" s="10"/>
      <c r="J969" s="12"/>
      <c r="K969" s="12">
        <f t="shared" si="280"/>
        <v>0</v>
      </c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C969" s="31"/>
      <c r="AE969" s="32">
        <f t="shared" si="286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9"/>
        <v>0</v>
      </c>
      <c r="H970" s="10"/>
      <c r="I970" s="10"/>
      <c r="J970" s="10"/>
      <c r="K970" s="12">
        <f t="shared" si="280"/>
        <v>0</v>
      </c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86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9"/>
        <v>0</v>
      </c>
      <c r="H971" s="10"/>
      <c r="I971" s="10"/>
      <c r="J971" s="10"/>
      <c r="K971" s="12">
        <f t="shared" si="280"/>
        <v>0</v>
      </c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86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9"/>
        <v>0</v>
      </c>
      <c r="H972" s="10"/>
      <c r="I972" s="10"/>
      <c r="J972" s="10"/>
      <c r="K972" s="12">
        <f t="shared" si="280"/>
        <v>0</v>
      </c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86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9"/>
        <v>0</v>
      </c>
      <c r="H973" s="10"/>
      <c r="I973" s="10"/>
      <c r="J973" s="10"/>
      <c r="K973" s="12">
        <f t="shared" si="280"/>
        <v>0</v>
      </c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86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9"/>
        <v>0</v>
      </c>
      <c r="H974" s="10"/>
      <c r="I974" s="10"/>
      <c r="J974" s="10"/>
      <c r="K974" s="12">
        <f t="shared" si="280"/>
        <v>0</v>
      </c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86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9"/>
        <v>0</v>
      </c>
      <c r="H975" s="10"/>
      <c r="I975" s="10"/>
      <c r="J975" s="10"/>
      <c r="K975" s="12">
        <f t="shared" si="280"/>
        <v>0</v>
      </c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86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79"/>
        <v>0</v>
      </c>
      <c r="H976" s="10"/>
      <c r="I976" s="10"/>
      <c r="J976" s="10"/>
      <c r="K976" s="12">
        <f t="shared" si="280"/>
        <v>0</v>
      </c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86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9"/>
        <v>0</v>
      </c>
      <c r="H977" s="10"/>
      <c r="I977" s="10"/>
      <c r="J977" s="10"/>
      <c r="K977" s="12">
        <f t="shared" si="280"/>
        <v>0</v>
      </c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86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9"/>
        <v>0</v>
      </c>
      <c r="H978" s="10"/>
      <c r="I978" s="10"/>
      <c r="J978" s="10"/>
      <c r="K978" s="12">
        <f t="shared" si="280"/>
        <v>0</v>
      </c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86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9"/>
        <v>0</v>
      </c>
      <c r="H979" s="10"/>
      <c r="I979" s="10"/>
      <c r="J979" s="10"/>
      <c r="K979" s="12">
        <f t="shared" si="280"/>
        <v>0</v>
      </c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86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9"/>
        <v>0</v>
      </c>
      <c r="H980" s="10"/>
      <c r="I980" s="10"/>
      <c r="J980" s="10"/>
      <c r="K980" s="12">
        <f t="shared" si="280"/>
        <v>0</v>
      </c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86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86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86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86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86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86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90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457661</v>
      </c>
      <c r="E990" s="38">
        <f t="shared" ref="E990:F990" si="291">SUM(E947:E987)</f>
        <v>-3888</v>
      </c>
      <c r="F990" s="38">
        <f t="shared" si="291"/>
        <v>0</v>
      </c>
      <c r="G990" s="38">
        <f>SUM(G947:G989)</f>
        <v>453773</v>
      </c>
      <c r="H990" s="4"/>
      <c r="I990" s="39">
        <f>SUM(I947:I989)</f>
        <v>7881</v>
      </c>
      <c r="J990" s="39">
        <f>SUM(J947:J989)</f>
        <v>-17112</v>
      </c>
      <c r="K990" s="40">
        <f>SUM(K947:K989)</f>
        <v>444542</v>
      </c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398724</v>
      </c>
      <c r="AC990" s="38">
        <f>SUM(AC947:AC971)</f>
        <v>-3036</v>
      </c>
      <c r="AD990" s="38">
        <f>SUM(AD947:AD971)</f>
        <v>0</v>
      </c>
      <c r="AE990" s="38">
        <f>SUM(AE947:AE989)</f>
        <v>395688</v>
      </c>
      <c r="AF990" s="4"/>
      <c r="AG990" s="41">
        <f>SUM(AG947:AG989)</f>
        <v>87</v>
      </c>
      <c r="AH990" s="41">
        <f>SUM(AH947:AH971)</f>
        <v>0</v>
      </c>
      <c r="AI990" s="42">
        <f>SUM(AI947:AI989)</f>
        <v>395775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48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48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48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31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19" t="s">
        <v>17</v>
      </c>
      <c r="E1000" s="119"/>
      <c r="F1000" s="109"/>
      <c r="G1000" s="27"/>
      <c r="I1000" s="117" t="s">
        <v>18</v>
      </c>
      <c r="J1000" s="118"/>
      <c r="K1000" s="115" t="s">
        <v>19</v>
      </c>
      <c r="N1000" s="25"/>
      <c r="O1000" s="26"/>
      <c r="P1000" s="119" t="s">
        <v>17</v>
      </c>
      <c r="Q1000" s="119"/>
      <c r="R1000" s="109"/>
      <c r="S1000" s="27"/>
      <c r="U1000" s="117" t="s">
        <v>18</v>
      </c>
      <c r="V1000" s="118"/>
      <c r="W1000" s="115" t="s">
        <v>19</v>
      </c>
      <c r="Z1000" s="25"/>
      <c r="AA1000" s="26"/>
      <c r="AB1000" s="119" t="s">
        <v>17</v>
      </c>
      <c r="AC1000" s="119"/>
      <c r="AD1000" s="110"/>
      <c r="AE1000" s="27"/>
      <c r="AG1000" s="117" t="s">
        <v>18</v>
      </c>
      <c r="AH1000" s="118"/>
      <c r="AI1000" s="115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32</v>
      </c>
      <c r="G1001" s="78" t="s">
        <v>24</v>
      </c>
      <c r="I1001" s="29" t="s">
        <v>25</v>
      </c>
      <c r="J1001" s="29" t="s">
        <v>26</v>
      </c>
      <c r="K1001" s="116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6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6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83">
        <v>10305</v>
      </c>
      <c r="D1002" s="32">
        <f>650*4</f>
        <v>2600</v>
      </c>
      <c r="E1002" s="32"/>
      <c r="F1002" s="32"/>
      <c r="G1002" s="32">
        <f t="shared" ref="G1002:G1035" si="292">SUM(D1002:E1002)</f>
        <v>2600</v>
      </c>
      <c r="H1002" s="12"/>
      <c r="I1002" s="12"/>
      <c r="J1002" s="12"/>
      <c r="K1002" s="12">
        <f t="shared" ref="K1002:K1035" si="293">SUM(G1002:J1002)</f>
        <v>2600</v>
      </c>
      <c r="M1002" s="10">
        <v>1</v>
      </c>
      <c r="N1002" s="30" t="s">
        <v>93</v>
      </c>
      <c r="O1002" s="31">
        <v>10200</v>
      </c>
      <c r="P1002" s="32">
        <f>650*30+622*30+229</f>
        <v>38389</v>
      </c>
      <c r="Q1002" s="32"/>
      <c r="R1002" s="32"/>
      <c r="S1002" s="32">
        <f>SUM(P1002:Q1002)</f>
        <v>38389</v>
      </c>
      <c r="T1002" s="12"/>
      <c r="U1002" s="12">
        <v>78</v>
      </c>
      <c r="V1002" s="12"/>
      <c r="W1002" s="12">
        <f>SUM(S1002:V1002)</f>
        <v>38467</v>
      </c>
      <c r="Y1002" s="10">
        <v>1</v>
      </c>
      <c r="Z1002" s="30" t="s">
        <v>93</v>
      </c>
      <c r="AA1002" s="31">
        <v>10266</v>
      </c>
      <c r="AB1002" s="32">
        <f>650*108+622*30+229*4</f>
        <v>89776</v>
      </c>
      <c r="AC1002" s="32">
        <f>-138*6</f>
        <v>-828</v>
      </c>
      <c r="AD1002" s="32"/>
      <c r="AE1002" s="32">
        <f>SUM(AB1002:AC1002)</f>
        <v>88948</v>
      </c>
      <c r="AF1002" s="12"/>
      <c r="AG1002" s="12"/>
      <c r="AH1002" s="12"/>
      <c r="AI1002" s="12">
        <f>SUM(AE1002:AH1002)</f>
        <v>88948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83">
        <f>C1002+1</f>
        <v>10306</v>
      </c>
      <c r="D1003" s="32">
        <f>650*15+622*5</f>
        <v>12860</v>
      </c>
      <c r="E1003" s="32"/>
      <c r="F1003" s="32"/>
      <c r="G1003" s="32">
        <f t="shared" si="292"/>
        <v>12860</v>
      </c>
      <c r="H1003" s="12"/>
      <c r="I1003" s="12">
        <v>270</v>
      </c>
      <c r="J1003" s="12">
        <v>-666</v>
      </c>
      <c r="K1003" s="12">
        <f t="shared" si="293"/>
        <v>12464</v>
      </c>
      <c r="M1003" s="10">
        <v>2</v>
      </c>
      <c r="N1003" s="30" t="s">
        <v>93</v>
      </c>
      <c r="O1003" s="31">
        <v>10351</v>
      </c>
      <c r="P1003" s="32">
        <f>650*108+622*20+229</f>
        <v>82869</v>
      </c>
      <c r="Q1003" s="32">
        <f>-128*6</f>
        <v>-768</v>
      </c>
      <c r="R1003" s="32"/>
      <c r="S1003" s="32">
        <f t="shared" ref="S1003:S1040" si="294">SUM(P1003:Q1003)</f>
        <v>82101</v>
      </c>
      <c r="T1003" s="12"/>
      <c r="U1003" s="12"/>
      <c r="V1003" s="12"/>
      <c r="W1003" s="12">
        <f t="shared" ref="W1003:W1043" si="295">SUM(S1003:V1003)</f>
        <v>82101</v>
      </c>
      <c r="Y1003" s="10">
        <v>2</v>
      </c>
      <c r="Z1003" s="30" t="s">
        <v>93</v>
      </c>
      <c r="AA1003" s="31">
        <f>AA1002+1</f>
        <v>10267</v>
      </c>
      <c r="AB1003" s="32">
        <f>650*324+1050*20+229*10</f>
        <v>233890</v>
      </c>
      <c r="AC1003" s="32">
        <f>-344*6</f>
        <v>-2064</v>
      </c>
      <c r="AD1003" s="32"/>
      <c r="AE1003" s="32">
        <f t="shared" ref="AE1003:AE1007" si="296">SUM(AB1003:AC1003)</f>
        <v>231826</v>
      </c>
      <c r="AF1003" s="12"/>
      <c r="AG1003" s="12">
        <v>36</v>
      </c>
      <c r="AH1003" s="12"/>
      <c r="AI1003" s="12">
        <f t="shared" ref="AI1003:AI1046" si="297">SUM(AE1003:AH1003)</f>
        <v>231862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83">
        <f t="shared" ref="C1004:C1005" si="298">C1003+1</f>
        <v>10307</v>
      </c>
      <c r="D1004" s="33">
        <f>650*16</f>
        <v>10400</v>
      </c>
      <c r="E1004" s="32"/>
      <c r="F1004" s="33"/>
      <c r="G1004" s="33">
        <f t="shared" si="292"/>
        <v>10400</v>
      </c>
      <c r="H1004" s="34"/>
      <c r="I1004" s="34"/>
      <c r="J1004" s="34"/>
      <c r="K1004" s="34">
        <f t="shared" si="293"/>
        <v>10400</v>
      </c>
      <c r="M1004" s="10">
        <v>3</v>
      </c>
      <c r="N1004" s="30" t="s">
        <v>93</v>
      </c>
      <c r="O1004" s="31">
        <v>10353</v>
      </c>
      <c r="P1004" s="32">
        <f>650*540+622*108+872*5+229*30</f>
        <v>429406</v>
      </c>
      <c r="Q1004" s="32">
        <f>-653*6</f>
        <v>-3918</v>
      </c>
      <c r="R1004" s="32"/>
      <c r="S1004" s="32">
        <f t="shared" si="294"/>
        <v>425488</v>
      </c>
      <c r="T1004" s="12"/>
      <c r="U1004" s="12">
        <f>120*3+111*69+78*28</f>
        <v>10203</v>
      </c>
      <c r="V1004" s="12">
        <f>-84+-2604+-504+-31.5+-16.5</f>
        <v>-3240</v>
      </c>
      <c r="W1004" s="12">
        <f t="shared" si="295"/>
        <v>432451</v>
      </c>
      <c r="Y1004" s="10">
        <v>3</v>
      </c>
      <c r="Z1004" s="30" t="s">
        <v>93</v>
      </c>
      <c r="AA1004" s="31">
        <f t="shared" ref="AA1004:AA1008" si="299">AA1003+1</f>
        <v>10268</v>
      </c>
      <c r="AB1004" s="33">
        <f>650*80+670*3+973+622*14+229*4</f>
        <v>64607</v>
      </c>
      <c r="AC1004" s="33">
        <f>-98*6</f>
        <v>-588</v>
      </c>
      <c r="AD1004" s="32"/>
      <c r="AE1004" s="32">
        <f t="shared" si="296"/>
        <v>64019</v>
      </c>
      <c r="AF1004" s="12"/>
      <c r="AG1004" s="12">
        <f>84*11</f>
        <v>924</v>
      </c>
      <c r="AH1004" s="12">
        <f>-78*20</f>
        <v>-1560</v>
      </c>
      <c r="AI1004" s="12">
        <f t="shared" si="297"/>
        <v>63383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83">
        <f t="shared" si="298"/>
        <v>10308</v>
      </c>
      <c r="D1005" s="32">
        <f>650*432+670*10+912*10+1050*5+229*11</f>
        <v>304389</v>
      </c>
      <c r="E1005" s="32">
        <v>-2742</v>
      </c>
      <c r="F1005" s="32"/>
      <c r="G1005" s="32">
        <f t="shared" si="292"/>
        <v>301647</v>
      </c>
      <c r="H1005" s="12"/>
      <c r="I1005" s="12">
        <f>1080+3219+546</f>
        <v>4845</v>
      </c>
      <c r="J1005" s="12">
        <f>-462+-30</f>
        <v>-492</v>
      </c>
      <c r="K1005" s="12">
        <f t="shared" si="293"/>
        <v>306000</v>
      </c>
      <c r="M1005" s="10">
        <v>4</v>
      </c>
      <c r="N1005" s="30" t="s">
        <v>93</v>
      </c>
      <c r="O1005" s="31">
        <f t="shared" ref="O1005" si="300">O1004+1</f>
        <v>10354</v>
      </c>
      <c r="P1005" s="32">
        <f>650*16+670*2+622*2</f>
        <v>12984</v>
      </c>
      <c r="Q1005" s="32"/>
      <c r="R1005" s="32"/>
      <c r="S1005" s="32">
        <f t="shared" si="294"/>
        <v>12984</v>
      </c>
      <c r="T1005" s="12"/>
      <c r="U1005" s="12">
        <v>135</v>
      </c>
      <c r="V1005" s="12"/>
      <c r="W1005" s="12">
        <f t="shared" si="295"/>
        <v>13119</v>
      </c>
      <c r="Y1005" s="10">
        <v>4</v>
      </c>
      <c r="Z1005" s="30" t="s">
        <v>93</v>
      </c>
      <c r="AA1005" s="31">
        <f t="shared" si="299"/>
        <v>10269</v>
      </c>
      <c r="AB1005" s="32">
        <f>650*20+670*10+874*2+229</f>
        <v>21677</v>
      </c>
      <c r="AC1005" s="32"/>
      <c r="AD1005" s="32"/>
      <c r="AE1005" s="32">
        <f t="shared" si="296"/>
        <v>21677</v>
      </c>
      <c r="AF1005" s="12"/>
      <c r="AH1005" s="12"/>
      <c r="AI1005" s="12">
        <f t="shared" si="297"/>
        <v>21677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/>
      <c r="C1006" s="11" t="s">
        <v>27</v>
      </c>
      <c r="D1006" s="32"/>
      <c r="E1006" s="32"/>
      <c r="F1006" s="32"/>
      <c r="G1006" s="32">
        <f t="shared" si="292"/>
        <v>0</v>
      </c>
      <c r="H1006" s="12"/>
      <c r="I1006" s="12"/>
      <c r="J1006" s="12"/>
      <c r="K1006" s="12">
        <f t="shared" si="293"/>
        <v>0</v>
      </c>
      <c r="M1006" s="10">
        <v>5</v>
      </c>
      <c r="N1006" s="30"/>
      <c r="O1006" s="11" t="s">
        <v>27</v>
      </c>
      <c r="P1006" s="32"/>
      <c r="Q1006" s="32"/>
      <c r="R1006" s="32"/>
      <c r="S1006" s="32">
        <f t="shared" si="294"/>
        <v>0</v>
      </c>
      <c r="T1006" s="12"/>
      <c r="U1006" s="12"/>
      <c r="V1006" s="12"/>
      <c r="W1006" s="12">
        <f t="shared" si="295"/>
        <v>0</v>
      </c>
      <c r="Y1006" s="10">
        <v>5</v>
      </c>
      <c r="Z1006" s="30" t="s">
        <v>93</v>
      </c>
      <c r="AA1006" s="31">
        <f t="shared" si="299"/>
        <v>10270</v>
      </c>
      <c r="AB1006" s="32">
        <f>650*8+622*2</f>
        <v>6444</v>
      </c>
      <c r="AC1006" s="32"/>
      <c r="AD1006" s="32"/>
      <c r="AE1006" s="32">
        <f t="shared" ref="AE1006:AE1008" si="301">SUM(AB1006:AC1006)</f>
        <v>6444</v>
      </c>
      <c r="AF1006" s="12"/>
      <c r="AG1006" s="12"/>
      <c r="AH1006" s="12"/>
      <c r="AI1006" s="12">
        <f t="shared" si="297"/>
        <v>6444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83"/>
      <c r="D1007" s="32"/>
      <c r="E1007" s="32"/>
      <c r="F1007" s="32"/>
      <c r="G1007" s="32">
        <f t="shared" si="292"/>
        <v>0</v>
      </c>
      <c r="H1007" s="12"/>
      <c r="I1007" s="12"/>
      <c r="J1007" s="12"/>
      <c r="K1007" s="12">
        <f t="shared" si="293"/>
        <v>0</v>
      </c>
      <c r="M1007" s="10">
        <v>6</v>
      </c>
      <c r="N1007" s="30"/>
      <c r="O1007" s="31"/>
      <c r="P1007" s="32"/>
      <c r="Q1007" s="32"/>
      <c r="R1007" s="32"/>
      <c r="S1007" s="32">
        <f t="shared" si="294"/>
        <v>0</v>
      </c>
      <c r="T1007" s="12"/>
      <c r="U1007" s="12"/>
      <c r="V1007" s="10"/>
      <c r="W1007" s="12">
        <f t="shared" si="295"/>
        <v>0</v>
      </c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301"/>
        <v>0</v>
      </c>
      <c r="AF1007" s="12"/>
      <c r="AG1007" s="12"/>
      <c r="AH1007" s="10"/>
      <c r="AI1007" s="12">
        <f t="shared" si="297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3"/>
      <c r="D1008" s="32"/>
      <c r="E1008" s="32"/>
      <c r="F1008" s="32"/>
      <c r="G1008" s="32">
        <f t="shared" si="292"/>
        <v>0</v>
      </c>
      <c r="H1008" s="12"/>
      <c r="I1008" s="12"/>
      <c r="J1008" s="12"/>
      <c r="K1008" s="12">
        <f t="shared" si="293"/>
        <v>0</v>
      </c>
      <c r="M1008" s="10">
        <v>7</v>
      </c>
      <c r="N1008" s="30"/>
      <c r="O1008" s="31"/>
      <c r="P1008" s="32"/>
      <c r="Q1008" s="32"/>
      <c r="R1008" s="32"/>
      <c r="S1008" s="32">
        <f t="shared" si="294"/>
        <v>0</v>
      </c>
      <c r="T1008" s="12"/>
      <c r="U1008" s="12"/>
      <c r="V1008" s="12"/>
      <c r="W1008" s="12">
        <f t="shared" si="295"/>
        <v>0</v>
      </c>
      <c r="Y1008" s="10">
        <v>7</v>
      </c>
      <c r="Z1008" s="30"/>
      <c r="AA1008" s="31"/>
      <c r="AB1008" s="32"/>
      <c r="AC1008" s="32"/>
      <c r="AD1008" s="32"/>
      <c r="AE1008" s="32">
        <f>SUM(AB1008:AC1008)</f>
        <v>0</v>
      </c>
      <c r="AF1008" s="12"/>
      <c r="AG1008" s="58"/>
      <c r="AH1008" s="12"/>
      <c r="AI1008" s="12">
        <f t="shared" si="297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3"/>
      <c r="D1009" s="32"/>
      <c r="E1009" s="32"/>
      <c r="F1009" s="32"/>
      <c r="G1009" s="32">
        <f t="shared" si="292"/>
        <v>0</v>
      </c>
      <c r="H1009" s="12"/>
      <c r="I1009" s="12"/>
      <c r="J1009" s="12"/>
      <c r="K1009" s="12">
        <f t="shared" si="293"/>
        <v>0</v>
      </c>
      <c r="M1009" s="10">
        <v>8</v>
      </c>
      <c r="N1009" s="30"/>
      <c r="P1009" s="32"/>
      <c r="Q1009" s="32"/>
      <c r="R1009" s="32"/>
      <c r="S1009" s="32">
        <f t="shared" si="294"/>
        <v>0</v>
      </c>
      <c r="T1009" s="12"/>
      <c r="U1009" s="12"/>
      <c r="V1009" s="12"/>
      <c r="W1009" s="12">
        <f t="shared" si="295"/>
        <v>0</v>
      </c>
      <c r="Y1009" s="10">
        <v>8</v>
      </c>
      <c r="Z1009" s="30"/>
      <c r="AA1009" s="11"/>
      <c r="AB1009" s="32"/>
      <c r="AC1009" s="32"/>
      <c r="AE1009" s="32">
        <f t="shared" ref="AE1009:AE1046" si="302">SUM(AB1009:AC1009)</f>
        <v>0</v>
      </c>
      <c r="AF1009" s="12"/>
      <c r="AG1009" s="12"/>
      <c r="AH1009" s="12"/>
      <c r="AI1009" s="12">
        <f t="shared" si="297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92"/>
        <v>0</v>
      </c>
      <c r="H1010" s="12"/>
      <c r="I1010" s="12"/>
      <c r="J1010" s="12"/>
      <c r="K1010" s="12">
        <f t="shared" si="293"/>
        <v>0</v>
      </c>
      <c r="M1010" s="10">
        <v>9</v>
      </c>
      <c r="N1010" s="30"/>
      <c r="O1010" s="31"/>
      <c r="P1010" s="32"/>
      <c r="Q1010" s="32"/>
      <c r="R1010" s="32"/>
      <c r="S1010" s="32">
        <f t="shared" si="294"/>
        <v>0</v>
      </c>
      <c r="T1010" s="12"/>
      <c r="U1010" s="12"/>
      <c r="V1010" s="12"/>
      <c r="W1010" s="12">
        <f t="shared" si="295"/>
        <v>0</v>
      </c>
      <c r="Y1010" s="10">
        <v>9</v>
      </c>
      <c r="Z1010" s="30"/>
      <c r="AA1010" s="31"/>
      <c r="AB1010" s="32"/>
      <c r="AC1010" s="32"/>
      <c r="AD1010" s="32"/>
      <c r="AE1010" s="32">
        <f t="shared" si="302"/>
        <v>0</v>
      </c>
      <c r="AF1010" s="12"/>
      <c r="AH1010" s="12"/>
      <c r="AI1010" s="12">
        <f t="shared" si="297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92"/>
        <v>0</v>
      </c>
      <c r="H1011" s="12"/>
      <c r="I1011" s="12"/>
      <c r="J1011" s="12"/>
      <c r="K1011" s="12">
        <f t="shared" si="293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4"/>
        <v>0</v>
      </c>
      <c r="T1011" s="12"/>
      <c r="U1011" s="12"/>
      <c r="V1011" s="12"/>
      <c r="W1011" s="12">
        <f t="shared" si="295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302"/>
        <v>0</v>
      </c>
      <c r="AF1011" s="12"/>
      <c r="AG1011" s="12"/>
      <c r="AH1011" s="12"/>
      <c r="AI1011" s="12">
        <f t="shared" si="297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3"/>
      <c r="D1012" s="32"/>
      <c r="E1012" s="32"/>
      <c r="F1012" s="32"/>
      <c r="G1012" s="32">
        <f t="shared" si="292"/>
        <v>0</v>
      </c>
      <c r="H1012" s="12"/>
      <c r="I1012" s="12"/>
      <c r="J1012" s="12"/>
      <c r="K1012" s="12">
        <f t="shared" si="293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4"/>
        <v>0</v>
      </c>
      <c r="T1012" s="12"/>
      <c r="U1012" s="12"/>
      <c r="V1012" s="12"/>
      <c r="W1012" s="12">
        <f t="shared" si="295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302"/>
        <v>0</v>
      </c>
      <c r="AF1012" s="12"/>
      <c r="AG1012" s="12"/>
      <c r="AH1012" s="12"/>
      <c r="AI1012" s="12">
        <f t="shared" si="297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83"/>
      <c r="D1013" s="32"/>
      <c r="E1013" s="32"/>
      <c r="F1013" s="32"/>
      <c r="G1013" s="32">
        <f t="shared" si="292"/>
        <v>0</v>
      </c>
      <c r="H1013" s="12"/>
      <c r="I1013" s="12"/>
      <c r="J1013" s="10"/>
      <c r="K1013" s="12">
        <f t="shared" si="293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4"/>
        <v>0</v>
      </c>
      <c r="T1013" s="12"/>
      <c r="U1013" s="12"/>
      <c r="V1013" s="12"/>
      <c r="W1013" s="12">
        <f t="shared" si="295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302"/>
        <v>0</v>
      </c>
      <c r="AF1013" s="12"/>
      <c r="AG1013" s="12"/>
      <c r="AH1013" s="12"/>
      <c r="AI1013" s="12">
        <f t="shared" si="297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92"/>
        <v>0</v>
      </c>
      <c r="H1014" s="12"/>
      <c r="I1014" s="12"/>
      <c r="J1014" s="12"/>
      <c r="K1014" s="12">
        <f t="shared" si="293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4"/>
        <v>0</v>
      </c>
      <c r="T1014" s="12"/>
      <c r="U1014" s="12"/>
      <c r="V1014" s="12"/>
      <c r="W1014" s="12">
        <f t="shared" si="295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302"/>
        <v>0</v>
      </c>
      <c r="AF1014" s="12"/>
      <c r="AG1014" s="12"/>
      <c r="AH1014" s="12"/>
      <c r="AI1014" s="12">
        <f t="shared" si="297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92"/>
        <v>0</v>
      </c>
      <c r="H1015" s="12"/>
      <c r="I1015" s="12"/>
      <c r="J1015" s="12"/>
      <c r="K1015" s="12">
        <f t="shared" si="293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4"/>
        <v>0</v>
      </c>
      <c r="T1015" s="12"/>
      <c r="U1015" s="12"/>
      <c r="V1015" s="12"/>
      <c r="W1015" s="12">
        <f t="shared" si="295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302"/>
        <v>0</v>
      </c>
      <c r="AF1015" s="12"/>
      <c r="AG1015" s="12"/>
      <c r="AH1015" s="12"/>
      <c r="AI1015" s="12">
        <f t="shared" si="297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92"/>
        <v>0</v>
      </c>
      <c r="H1016" s="12"/>
      <c r="I1016" s="12"/>
      <c r="J1016" s="12"/>
      <c r="K1016" s="12">
        <f t="shared" si="293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4"/>
        <v>0</v>
      </c>
      <c r="T1016" s="12"/>
      <c r="U1016" s="12"/>
      <c r="V1016" s="12"/>
      <c r="W1016" s="12">
        <f t="shared" si="295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302"/>
        <v>0</v>
      </c>
      <c r="AF1016" s="12"/>
      <c r="AG1016" s="12"/>
      <c r="AH1016" s="12"/>
      <c r="AI1016" s="12">
        <f t="shared" si="297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92"/>
        <v>0</v>
      </c>
      <c r="H1017" s="12"/>
      <c r="I1017" s="12"/>
      <c r="J1017" s="12"/>
      <c r="K1017" s="12">
        <f t="shared" si="293"/>
        <v>0</v>
      </c>
      <c r="M1017" s="10">
        <v>16</v>
      </c>
      <c r="N1017" s="30"/>
      <c r="O1017" s="11"/>
      <c r="P1017" s="32"/>
      <c r="Q1017" s="32"/>
      <c r="R1017" s="32"/>
      <c r="S1017" s="32">
        <f t="shared" si="294"/>
        <v>0</v>
      </c>
      <c r="T1017" s="12"/>
      <c r="U1017" s="12"/>
      <c r="V1017" s="12"/>
      <c r="W1017" s="12">
        <f t="shared" si="295"/>
        <v>0</v>
      </c>
      <c r="Y1017" s="10">
        <v>16</v>
      </c>
      <c r="AB1017" s="32"/>
      <c r="AC1017" s="32"/>
      <c r="AD1017" s="32"/>
      <c r="AE1017" s="32">
        <f t="shared" si="302"/>
        <v>0</v>
      </c>
      <c r="AF1017" s="12"/>
      <c r="AG1017" s="12"/>
      <c r="AH1017" s="12"/>
      <c r="AI1017" s="12">
        <f t="shared" si="297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92"/>
        <v>0</v>
      </c>
      <c r="H1018" s="12"/>
      <c r="I1018" s="12"/>
      <c r="J1018" s="12"/>
      <c r="K1018" s="12">
        <f t="shared" si="293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4"/>
        <v>0</v>
      </c>
      <c r="T1018" s="12"/>
      <c r="U1018" s="12"/>
      <c r="V1018" s="12"/>
      <c r="W1018" s="12">
        <f t="shared" si="295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302"/>
        <v>0</v>
      </c>
      <c r="AF1018" s="12"/>
      <c r="AG1018" s="12"/>
      <c r="AH1018" s="12"/>
      <c r="AI1018" s="12">
        <f t="shared" si="297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92"/>
        <v>0</v>
      </c>
      <c r="H1019" s="12"/>
      <c r="I1019" s="12"/>
      <c r="J1019" s="12"/>
      <c r="K1019" s="12">
        <f t="shared" si="293"/>
        <v>0</v>
      </c>
      <c r="M1019" s="10">
        <v>18</v>
      </c>
      <c r="N1019" s="30"/>
      <c r="P1019" s="32"/>
      <c r="Q1019" s="32"/>
      <c r="R1019" s="32"/>
      <c r="S1019" s="32">
        <f t="shared" si="294"/>
        <v>0</v>
      </c>
      <c r="T1019" s="12"/>
      <c r="U1019" s="12"/>
      <c r="V1019" s="12"/>
      <c r="W1019" s="12">
        <f t="shared" si="295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302"/>
        <v>0</v>
      </c>
      <c r="AF1019" s="12"/>
      <c r="AG1019" s="12"/>
      <c r="AH1019" s="12"/>
      <c r="AI1019" s="12">
        <f t="shared" si="297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92"/>
        <v>0</v>
      </c>
      <c r="H1020" s="12"/>
      <c r="I1020" s="12"/>
      <c r="J1020" s="12"/>
      <c r="K1020" s="12">
        <f t="shared" si="293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4"/>
        <v>0</v>
      </c>
      <c r="T1020" s="12"/>
      <c r="U1020" s="12"/>
      <c r="V1020" s="12"/>
      <c r="W1020" s="12">
        <f t="shared" si="295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302"/>
        <v>0</v>
      </c>
      <c r="AF1020" s="12"/>
      <c r="AG1020" s="12"/>
      <c r="AH1020" s="12"/>
      <c r="AI1020" s="12">
        <f t="shared" si="297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92"/>
        <v>0</v>
      </c>
      <c r="H1021" s="12"/>
      <c r="I1021" s="12"/>
      <c r="J1021" s="12"/>
      <c r="K1021" s="12">
        <f t="shared" si="293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4"/>
        <v>0</v>
      </c>
      <c r="T1021" s="12"/>
      <c r="U1021" s="12"/>
      <c r="V1021" s="12"/>
      <c r="W1021" s="12">
        <f t="shared" si="295"/>
        <v>0</v>
      </c>
      <c r="Y1021" s="10">
        <v>20</v>
      </c>
      <c r="Z1021" s="30"/>
      <c r="AB1021" s="32"/>
      <c r="AC1021" s="32"/>
      <c r="AD1021" s="32"/>
      <c r="AE1021" s="32">
        <f t="shared" si="302"/>
        <v>0</v>
      </c>
      <c r="AF1021" s="12"/>
      <c r="AG1021" s="12"/>
      <c r="AH1021" s="12"/>
      <c r="AI1021" s="12">
        <f t="shared" si="297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92"/>
        <v>0</v>
      </c>
      <c r="H1022" s="10"/>
      <c r="I1022" s="10"/>
      <c r="J1022" s="10"/>
      <c r="K1022" s="12">
        <f t="shared" si="293"/>
        <v>0</v>
      </c>
      <c r="M1022" s="10">
        <v>21</v>
      </c>
      <c r="N1022" s="30"/>
      <c r="O1022" s="11"/>
      <c r="P1022" s="46"/>
      <c r="Q1022" s="31"/>
      <c r="R1022" s="31"/>
      <c r="S1022" s="32">
        <f t="shared" si="294"/>
        <v>0</v>
      </c>
      <c r="T1022" s="10"/>
      <c r="U1022" s="10"/>
      <c r="V1022" s="10"/>
      <c r="W1022" s="12">
        <f t="shared" si="295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302"/>
        <v>0</v>
      </c>
      <c r="AF1022" s="10"/>
      <c r="AG1022" s="10"/>
      <c r="AH1022" s="10"/>
      <c r="AI1022" s="12">
        <f t="shared" si="297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57"/>
      <c r="D1023" s="32"/>
      <c r="E1023" s="32"/>
      <c r="F1023" s="32"/>
      <c r="G1023" s="32">
        <f t="shared" si="292"/>
        <v>0</v>
      </c>
      <c r="H1023" s="10"/>
      <c r="I1023" s="10"/>
      <c r="J1023" s="10"/>
      <c r="K1023" s="12">
        <f t="shared" si="293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4"/>
        <v>0</v>
      </c>
      <c r="T1023" s="10"/>
      <c r="U1023" s="10"/>
      <c r="V1023" s="10"/>
      <c r="W1023" s="12">
        <f t="shared" si="295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302"/>
        <v>0</v>
      </c>
      <c r="AF1023" s="10"/>
      <c r="AG1023" s="10"/>
      <c r="AH1023" s="10"/>
      <c r="AI1023" s="12">
        <f t="shared" si="297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92"/>
        <v>0</v>
      </c>
      <c r="H1024" s="10"/>
      <c r="I1024" s="10"/>
      <c r="J1024" s="12"/>
      <c r="K1024" s="12">
        <f t="shared" si="293"/>
        <v>0</v>
      </c>
      <c r="M1024" s="10">
        <v>23</v>
      </c>
      <c r="N1024" s="30"/>
      <c r="O1024" s="31"/>
      <c r="P1024" s="47"/>
      <c r="S1024" s="32">
        <f t="shared" si="294"/>
        <v>0</v>
      </c>
      <c r="T1024" s="10"/>
      <c r="U1024" s="10"/>
      <c r="V1024" s="10"/>
      <c r="W1024" s="12">
        <f t="shared" si="295"/>
        <v>0</v>
      </c>
      <c r="Y1024" s="10">
        <v>23</v>
      </c>
      <c r="Z1024" s="30"/>
      <c r="AA1024" s="31"/>
      <c r="AB1024" s="47"/>
      <c r="AC1024" s="31"/>
      <c r="AE1024" s="32">
        <f t="shared" si="302"/>
        <v>0</v>
      </c>
      <c r="AF1024" s="10"/>
      <c r="AG1024" s="10"/>
      <c r="AH1024" s="10"/>
      <c r="AI1024" s="12">
        <f t="shared" si="297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92"/>
        <v>0</v>
      </c>
      <c r="H1025" s="10"/>
      <c r="I1025" s="10"/>
      <c r="J1025" s="10"/>
      <c r="K1025" s="12">
        <f t="shared" si="293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4"/>
        <v>0</v>
      </c>
      <c r="T1025" s="10"/>
      <c r="U1025" s="10"/>
      <c r="V1025" s="10"/>
      <c r="W1025" s="12">
        <f t="shared" si="295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302"/>
        <v>0</v>
      </c>
      <c r="AF1025" s="10"/>
      <c r="AG1025" s="10"/>
      <c r="AH1025" s="10"/>
      <c r="AI1025" s="12">
        <f t="shared" si="297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92"/>
        <v>0</v>
      </c>
      <c r="H1026" s="10"/>
      <c r="I1026" s="10"/>
      <c r="J1026" s="10"/>
      <c r="K1026" s="12">
        <f t="shared" si="293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94"/>
        <v>0</v>
      </c>
      <c r="T1026" s="10"/>
      <c r="U1026" s="10"/>
      <c r="V1026" s="10"/>
      <c r="W1026" s="12">
        <f t="shared" si="295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302"/>
        <v>0</v>
      </c>
      <c r="AF1026" s="10"/>
      <c r="AG1026" s="10"/>
      <c r="AH1026" s="10"/>
      <c r="AI1026" s="12">
        <f t="shared" si="297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92"/>
        <v>0</v>
      </c>
      <c r="H1027" s="10"/>
      <c r="I1027" s="10"/>
      <c r="J1027" s="10"/>
      <c r="K1027" s="12">
        <f t="shared" si="293"/>
        <v>0</v>
      </c>
      <c r="M1027" s="10">
        <v>26</v>
      </c>
      <c r="N1027" s="30"/>
      <c r="O1027" s="11"/>
      <c r="P1027" s="47"/>
      <c r="Q1027" s="31"/>
      <c r="R1027" s="31"/>
      <c r="S1027" s="32">
        <f t="shared" si="294"/>
        <v>0</v>
      </c>
      <c r="T1027" s="10"/>
      <c r="U1027" s="10"/>
      <c r="V1027" s="10"/>
      <c r="W1027" s="12">
        <f t="shared" si="295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302"/>
        <v>0</v>
      </c>
      <c r="AF1027" s="10"/>
      <c r="AG1027" s="10"/>
      <c r="AH1027" s="10"/>
      <c r="AI1027" s="12">
        <f t="shared" si="297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92"/>
        <v>0</v>
      </c>
      <c r="H1028" s="10"/>
      <c r="I1028" s="10"/>
      <c r="J1028" s="10"/>
      <c r="K1028" s="12">
        <f t="shared" si="293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4"/>
        <v>0</v>
      </c>
      <c r="T1028" s="10"/>
      <c r="U1028" s="10"/>
      <c r="V1028" s="10"/>
      <c r="W1028" s="12">
        <f t="shared" si="295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302"/>
        <v>0</v>
      </c>
      <c r="AF1028" s="10"/>
      <c r="AG1028" s="10"/>
      <c r="AH1028" s="10"/>
      <c r="AI1028" s="12">
        <f t="shared" si="297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92"/>
        <v>0</v>
      </c>
      <c r="H1029" s="10"/>
      <c r="I1029" s="10"/>
      <c r="J1029" s="10"/>
      <c r="K1029" s="12">
        <f t="shared" si="293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4"/>
        <v>0</v>
      </c>
      <c r="T1029" s="10"/>
      <c r="U1029" s="10"/>
      <c r="V1029" s="10"/>
      <c r="W1029" s="12">
        <f t="shared" si="295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302"/>
        <v>0</v>
      </c>
      <c r="AF1029" s="10"/>
      <c r="AG1029" s="10"/>
      <c r="AH1029" s="10"/>
      <c r="AI1029" s="12">
        <f t="shared" si="297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92"/>
        <v>0</v>
      </c>
      <c r="H1030" s="10"/>
      <c r="I1030" s="10"/>
      <c r="J1030" s="10"/>
      <c r="K1030" s="12">
        <f t="shared" si="293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4"/>
        <v>0</v>
      </c>
      <c r="T1030" s="10"/>
      <c r="U1030" s="10"/>
      <c r="V1030" s="10"/>
      <c r="W1030" s="12">
        <f t="shared" si="295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302"/>
        <v>0</v>
      </c>
      <c r="AF1030" s="10"/>
      <c r="AG1030" s="10"/>
      <c r="AH1030" s="10"/>
      <c r="AI1030" s="12">
        <f t="shared" si="297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92"/>
        <v>0</v>
      </c>
      <c r="H1031" s="10"/>
      <c r="I1031" s="10"/>
      <c r="J1031" s="10"/>
      <c r="K1031" s="12">
        <f t="shared" si="293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4"/>
        <v>0</v>
      </c>
      <c r="T1031" s="10"/>
      <c r="U1031" s="10"/>
      <c r="V1031" s="10"/>
      <c r="W1031" s="12">
        <f t="shared" si="295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302"/>
        <v>0</v>
      </c>
      <c r="AF1031" s="10"/>
      <c r="AG1031" s="10"/>
      <c r="AH1031" s="10"/>
      <c r="AI1031" s="12">
        <f t="shared" si="297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92"/>
        <v>0</v>
      </c>
      <c r="H1032" s="10"/>
      <c r="I1032" s="10"/>
      <c r="J1032" s="10"/>
      <c r="K1032" s="12">
        <f t="shared" si="293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4"/>
        <v>0</v>
      </c>
      <c r="T1032" s="10"/>
      <c r="U1032" s="10"/>
      <c r="V1032" s="10"/>
      <c r="W1032" s="12">
        <f t="shared" si="295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302"/>
        <v>0</v>
      </c>
      <c r="AF1032" s="10"/>
      <c r="AG1032" s="10"/>
      <c r="AH1032" s="10"/>
      <c r="AI1032" s="12">
        <f t="shared" si="297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92"/>
        <v>0</v>
      </c>
      <c r="H1033" s="10"/>
      <c r="I1033" s="10"/>
      <c r="J1033" s="10"/>
      <c r="K1033" s="12">
        <f t="shared" si="293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4"/>
        <v>0</v>
      </c>
      <c r="T1033" s="10"/>
      <c r="U1033" s="10"/>
      <c r="V1033" s="10"/>
      <c r="W1033" s="12">
        <f t="shared" si="295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302"/>
        <v>0</v>
      </c>
      <c r="AF1033" s="10"/>
      <c r="AG1033" s="10"/>
      <c r="AH1033" s="10"/>
      <c r="AI1033" s="12">
        <f t="shared" si="297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92"/>
        <v>0</v>
      </c>
      <c r="H1034" s="10"/>
      <c r="I1034" s="10"/>
      <c r="J1034" s="10"/>
      <c r="K1034" s="12">
        <f t="shared" si="293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4"/>
        <v>0</v>
      </c>
      <c r="T1034" s="10"/>
      <c r="U1034" s="10"/>
      <c r="V1034" s="10"/>
      <c r="W1034" s="12">
        <f t="shared" si="295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302"/>
        <v>0</v>
      </c>
      <c r="AF1034" s="10"/>
      <c r="AG1034" s="10"/>
      <c r="AH1034" s="10"/>
      <c r="AI1034" s="12">
        <f t="shared" si="297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92"/>
        <v>0</v>
      </c>
      <c r="H1035" s="10"/>
      <c r="I1035" s="10"/>
      <c r="J1035" s="10"/>
      <c r="K1035" s="12">
        <f t="shared" si="293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4"/>
        <v>0</v>
      </c>
      <c r="T1035" s="10"/>
      <c r="U1035" s="10"/>
      <c r="V1035" s="10"/>
      <c r="W1035" s="12">
        <f t="shared" si="295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302"/>
        <v>0</v>
      </c>
      <c r="AF1035" s="10"/>
      <c r="AG1035" s="10"/>
      <c r="AH1035" s="10"/>
      <c r="AI1035" s="12">
        <f t="shared" si="297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4"/>
        <v>0</v>
      </c>
      <c r="T1036" s="10"/>
      <c r="U1036" s="10"/>
      <c r="V1036" s="10"/>
      <c r="W1036" s="12">
        <f t="shared" si="295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302"/>
        <v>0</v>
      </c>
      <c r="AF1036" s="10"/>
      <c r="AG1036" s="10"/>
      <c r="AH1036" s="10"/>
      <c r="AI1036" s="12">
        <f t="shared" si="297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4"/>
        <v>0</v>
      </c>
      <c r="T1037" s="10"/>
      <c r="U1037" s="10"/>
      <c r="V1037" s="10"/>
      <c r="W1037" s="12">
        <f t="shared" si="295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302"/>
        <v>0</v>
      </c>
      <c r="AF1037" s="10"/>
      <c r="AG1037" s="10"/>
      <c r="AH1037" s="10"/>
      <c r="AI1037" s="12">
        <f t="shared" si="297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4"/>
        <v>0</v>
      </c>
      <c r="T1038" s="10"/>
      <c r="U1038" s="10"/>
      <c r="V1038" s="10"/>
      <c r="W1038" s="12">
        <f t="shared" si="295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302"/>
        <v>0</v>
      </c>
      <c r="AF1038" s="10"/>
      <c r="AG1038" s="10"/>
      <c r="AH1038" s="10"/>
      <c r="AI1038" s="12">
        <f t="shared" si="297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4"/>
        <v>0</v>
      </c>
      <c r="T1039" s="10"/>
      <c r="U1039" s="10"/>
      <c r="V1039" s="10"/>
      <c r="W1039" s="12">
        <f t="shared" si="295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302"/>
        <v>0</v>
      </c>
      <c r="AF1039" s="10"/>
      <c r="AG1039" s="10"/>
      <c r="AH1039" s="10"/>
      <c r="AI1039" s="12">
        <f t="shared" si="297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4"/>
        <v>0</v>
      </c>
      <c r="T1040" s="10"/>
      <c r="U1040" s="10"/>
      <c r="V1040" s="10"/>
      <c r="W1040" s="12">
        <f t="shared" si="295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302"/>
        <v>0</v>
      </c>
      <c r="AF1040" s="10"/>
      <c r="AG1040" s="10"/>
      <c r="AH1040" s="10"/>
      <c r="AI1040" s="12">
        <f t="shared" si="297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5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7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3">SUM(D1042:E1042)</f>
        <v>0</v>
      </c>
      <c r="H1042" s="10"/>
      <c r="I1042" s="10"/>
      <c r="J1042" s="10"/>
      <c r="K1042" s="12">
        <f t="shared" ref="K1042" si="304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5">SUM(P1042:Q1042)</f>
        <v>0</v>
      </c>
      <c r="T1042" s="10"/>
      <c r="U1042" s="10"/>
      <c r="V1042" s="10"/>
      <c r="W1042" s="12">
        <f t="shared" si="295"/>
        <v>0</v>
      </c>
      <c r="Y1042" s="10"/>
      <c r="Z1042" s="30"/>
      <c r="AA1042" s="31"/>
      <c r="AB1042" s="47"/>
      <c r="AC1042" s="31"/>
      <c r="AD1042" s="31"/>
      <c r="AE1042" s="32">
        <f t="shared" ref="AE1042" si="306">SUM(AB1042:AC1042)</f>
        <v>0</v>
      </c>
      <c r="AF1042" s="10"/>
      <c r="AG1042" s="10"/>
      <c r="AH1042" s="10"/>
      <c r="AI1042" s="12">
        <f t="shared" si="297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5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7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330249</v>
      </c>
      <c r="E1045" s="38">
        <f t="shared" ref="E1045:F1045" si="307">SUM(E1002:E1042)</f>
        <v>-2742</v>
      </c>
      <c r="F1045" s="38">
        <f t="shared" si="307"/>
        <v>0</v>
      </c>
      <c r="G1045" s="38">
        <f>SUM(G1002:G1044)</f>
        <v>327507</v>
      </c>
      <c r="H1045" s="4"/>
      <c r="I1045" s="39">
        <f>SUM(I1002:I1044)</f>
        <v>5115</v>
      </c>
      <c r="J1045" s="39">
        <f>SUM(J1002:J1044)</f>
        <v>-1158</v>
      </c>
      <c r="K1045" s="40">
        <f>SUM(K1002:K1044)</f>
        <v>331464</v>
      </c>
      <c r="N1045" s="57"/>
      <c r="O1045" s="57"/>
      <c r="P1045" s="38">
        <f>SUM(P1002:P1044)</f>
        <v>563648</v>
      </c>
      <c r="Q1045" s="38">
        <f>SUM(Q1002:Q1026)</f>
        <v>-4686</v>
      </c>
      <c r="R1045" s="38">
        <f>SUM(R1002:R1026)</f>
        <v>0</v>
      </c>
      <c r="S1045" s="38">
        <f>SUM(S1002:S1044)</f>
        <v>558962</v>
      </c>
      <c r="T1045" s="4"/>
      <c r="U1045" s="41">
        <f>SUM(U1002:U1044)</f>
        <v>10416</v>
      </c>
      <c r="V1045" s="41">
        <f>SUM(V1002:V1026)</f>
        <v>-3240</v>
      </c>
      <c r="W1045" s="42">
        <f>SUM(W1002:W1044)</f>
        <v>566138</v>
      </c>
      <c r="Z1045" s="57"/>
      <c r="AA1045" s="57"/>
      <c r="AB1045" s="38">
        <f>SUM(AB1002:AB1044)</f>
        <v>416394</v>
      </c>
      <c r="AC1045" s="38">
        <f>SUM(AC1002:AC1026)</f>
        <v>-3480</v>
      </c>
      <c r="AD1045" s="38">
        <f>SUM(AD1002:AD1026)</f>
        <v>0</v>
      </c>
      <c r="AE1045" s="38">
        <f>SUM(AE1002:AE1044)</f>
        <v>412914</v>
      </c>
      <c r="AF1045" s="4"/>
      <c r="AG1045" s="41">
        <f>SUM(AG1002:AG1044)</f>
        <v>960</v>
      </c>
      <c r="AH1045" s="41">
        <f>SUM(AH1002:AH1026)</f>
        <v>-1560</v>
      </c>
      <c r="AI1045" s="42">
        <f>SUM(AI1002:AI1044)</f>
        <v>412314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21"/>
      <c r="E1055" s="121"/>
      <c r="F1055" s="86"/>
      <c r="G1055" s="86"/>
      <c r="H1055" s="62"/>
      <c r="I1055" s="121"/>
      <c r="J1055" s="121"/>
      <c r="K1055" s="120"/>
      <c r="L1055" s="62"/>
      <c r="M1055" s="62"/>
      <c r="N1055" s="65"/>
      <c r="O1055" s="86"/>
      <c r="P1055" s="121"/>
      <c r="Q1055" s="121"/>
      <c r="R1055" s="86"/>
      <c r="S1055" s="86"/>
      <c r="T1055" s="62"/>
      <c r="U1055" s="121"/>
      <c r="V1055" s="121"/>
      <c r="W1055" s="120"/>
      <c r="X1055" s="62"/>
      <c r="Y1055" s="62"/>
      <c r="Z1055" s="65"/>
      <c r="AA1055" s="86"/>
      <c r="AB1055" s="121"/>
      <c r="AC1055" s="121"/>
      <c r="AD1055" s="86"/>
      <c r="AE1055" s="86"/>
      <c r="AF1055" s="62"/>
      <c r="AG1055" s="121"/>
      <c r="AH1055" s="121"/>
      <c r="AI1055" s="12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2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2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2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21"/>
      <c r="E1110" s="121"/>
      <c r="F1110" s="86"/>
      <c r="G1110" s="86"/>
      <c r="H1110" s="62"/>
      <c r="I1110" s="121"/>
      <c r="J1110" s="121"/>
      <c r="K1110" s="120"/>
      <c r="L1110" s="62"/>
      <c r="M1110" s="62"/>
      <c r="N1110" s="65"/>
      <c r="O1110" s="86"/>
      <c r="P1110" s="121"/>
      <c r="Q1110" s="121"/>
      <c r="R1110" s="86"/>
      <c r="S1110" s="86"/>
      <c r="T1110" s="62"/>
      <c r="U1110" s="121"/>
      <c r="V1110" s="121"/>
      <c r="W1110" s="120"/>
      <c r="X1110" s="62"/>
      <c r="Y1110" s="62"/>
      <c r="Z1110" s="65"/>
      <c r="AA1110" s="86"/>
      <c r="AB1110" s="121"/>
      <c r="AC1110" s="121"/>
      <c r="AD1110" s="86"/>
      <c r="AE1110" s="86"/>
      <c r="AF1110" s="62"/>
      <c r="AG1110" s="121"/>
      <c r="AH1110" s="121"/>
      <c r="AI1110" s="12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2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2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2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1"/>
      <c r="E1165" s="121"/>
      <c r="F1165" s="86"/>
      <c r="G1165" s="86"/>
      <c r="H1165" s="62"/>
      <c r="I1165" s="121"/>
      <c r="J1165" s="121"/>
      <c r="K1165" s="120"/>
      <c r="L1165" s="62"/>
      <c r="M1165" s="62"/>
      <c r="N1165" s="65"/>
      <c r="O1165" s="86"/>
      <c r="P1165" s="121"/>
      <c r="Q1165" s="121"/>
      <c r="R1165" s="86"/>
      <c r="S1165" s="86"/>
      <c r="T1165" s="62"/>
      <c r="U1165" s="121"/>
      <c r="V1165" s="121"/>
      <c r="W1165" s="120"/>
      <c r="X1165" s="62"/>
      <c r="Y1165" s="62"/>
      <c r="Z1165" s="65"/>
      <c r="AA1165" s="86"/>
      <c r="AB1165" s="121"/>
      <c r="AC1165" s="121"/>
      <c r="AD1165" s="86"/>
      <c r="AE1165" s="86"/>
      <c r="AF1165" s="62"/>
      <c r="AG1165" s="121"/>
      <c r="AH1165" s="121"/>
      <c r="AI1165" s="12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2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2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2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1"/>
      <c r="E1221" s="121"/>
      <c r="F1221" s="86"/>
      <c r="G1221" s="86"/>
      <c r="H1221" s="62"/>
      <c r="I1221" s="121"/>
      <c r="J1221" s="121"/>
      <c r="K1221" s="120"/>
      <c r="L1221" s="62"/>
      <c r="M1221" s="62"/>
      <c r="N1221" s="65"/>
      <c r="O1221" s="86"/>
      <c r="P1221" s="121"/>
      <c r="Q1221" s="121"/>
      <c r="R1221" s="86"/>
      <c r="S1221" s="86"/>
      <c r="T1221" s="62"/>
      <c r="U1221" s="121"/>
      <c r="V1221" s="121"/>
      <c r="W1221" s="120"/>
      <c r="X1221" s="62"/>
      <c r="Y1221" s="62"/>
      <c r="Z1221" s="65"/>
      <c r="AA1221" s="86"/>
      <c r="AB1221" s="121"/>
      <c r="AC1221" s="121"/>
      <c r="AD1221" s="86"/>
      <c r="AE1221" s="86"/>
      <c r="AF1221" s="62"/>
      <c r="AG1221" s="121"/>
      <c r="AH1221" s="121"/>
      <c r="AI1221" s="12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2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2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2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1"/>
      <c r="E1283" s="121"/>
      <c r="F1283" s="86"/>
      <c r="G1283" s="86"/>
      <c r="H1283" s="62"/>
      <c r="I1283" s="121"/>
      <c r="J1283" s="121"/>
      <c r="K1283" s="120"/>
      <c r="L1283" s="62"/>
      <c r="M1283" s="62"/>
      <c r="N1283" s="65"/>
      <c r="O1283" s="86"/>
      <c r="P1283" s="121"/>
      <c r="Q1283" s="121"/>
      <c r="R1283" s="86"/>
      <c r="S1283" s="86"/>
      <c r="T1283" s="62"/>
      <c r="U1283" s="121"/>
      <c r="V1283" s="121"/>
      <c r="W1283" s="120"/>
      <c r="X1283" s="62"/>
      <c r="Y1283" s="62"/>
      <c r="Z1283" s="65"/>
      <c r="AA1283" s="86"/>
      <c r="AB1283" s="121"/>
      <c r="AC1283" s="121"/>
      <c r="AD1283" s="86"/>
      <c r="AE1283" s="86"/>
      <c r="AF1283" s="62"/>
      <c r="AG1283" s="121"/>
      <c r="AH1283" s="121"/>
      <c r="AI1283" s="12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2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2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2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2026-04-29T00:52:20Z</dcterms:modified>
</cp:coreProperties>
</file>