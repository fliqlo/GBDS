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PRIL FILES 2026\"/>
    </mc:Choice>
  </mc:AlternateContent>
  <xr:revisionPtr revIDLastSave="0" documentId="13_ncr:1_{D0B0A2F5-73EE-4629-94AB-352A7C9091FC}" xr6:coauthVersionLast="45" xr6:coauthVersionMax="45" xr10:uidLastSave="{00000000-0000-0000-0000-000000000000}"/>
  <bookViews>
    <workbookView xWindow="-120" yWindow="-120" windowWidth="29040" windowHeight="15840" tabRatio="586" activeTab="1" xr2:uid="{1BECB66F-BB2E-4983-8F6C-4EC307945A01}"/>
  </bookViews>
  <sheets>
    <sheet name="MSIS APRIL" sheetId="1" r:id="rId1"/>
    <sheet name="DSIS | APRIL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1059" i="2" l="1"/>
  <c r="AC1062" i="2" l="1"/>
  <c r="AB1062" i="2"/>
  <c r="AG1061" i="2"/>
  <c r="AC1061" i="2"/>
  <c r="AB1061" i="2"/>
  <c r="AE1061" i="2" s="1"/>
  <c r="AB1060" i="2"/>
  <c r="AE1060" i="2" s="1"/>
  <c r="AI1060" i="2" s="1"/>
  <c r="AG1059" i="2"/>
  <c r="AI1059" i="2" s="1"/>
  <c r="AB1059" i="2"/>
  <c r="AB1058" i="2"/>
  <c r="AH1057" i="2"/>
  <c r="AH1100" i="2" s="1"/>
  <c r="AC1057" i="2"/>
  <c r="AB1057" i="2"/>
  <c r="AE1057" i="2" s="1"/>
  <c r="AA1062" i="2"/>
  <c r="AA1058" i="2"/>
  <c r="AA1059" i="2" s="1"/>
  <c r="AA1060" i="2" s="1"/>
  <c r="AA1061" i="2" s="1"/>
  <c r="AE1059" i="2"/>
  <c r="AI1063" i="2"/>
  <c r="AI1064" i="2"/>
  <c r="AI1065" i="2"/>
  <c r="AI1066" i="2"/>
  <c r="AE1067" i="2"/>
  <c r="AI1067" i="2" s="1"/>
  <c r="AE1068" i="2"/>
  <c r="AI1068" i="2"/>
  <c r="AE1069" i="2"/>
  <c r="AI1069" i="2"/>
  <c r="AE1070" i="2"/>
  <c r="AI1070" i="2"/>
  <c r="AE1071" i="2"/>
  <c r="AI1071" i="2"/>
  <c r="AE1072" i="2"/>
  <c r="AI1072" i="2"/>
  <c r="AE1073" i="2"/>
  <c r="AI1073" i="2"/>
  <c r="AE1074" i="2"/>
  <c r="AI1074" i="2"/>
  <c r="AE1075" i="2"/>
  <c r="AI1075" i="2" s="1"/>
  <c r="AE1076" i="2"/>
  <c r="AI1076" i="2"/>
  <c r="AE1077" i="2"/>
  <c r="AI1077" i="2"/>
  <c r="AE1078" i="2"/>
  <c r="AI1078" i="2"/>
  <c r="AE1079" i="2"/>
  <c r="AI1079" i="2"/>
  <c r="AE1080" i="2"/>
  <c r="AI1080" i="2"/>
  <c r="AE1081" i="2"/>
  <c r="AI1081" i="2"/>
  <c r="AE1082" i="2"/>
  <c r="AI1082" i="2"/>
  <c r="AE1083" i="2"/>
  <c r="AI1083" i="2" s="1"/>
  <c r="AE1084" i="2"/>
  <c r="AI1084" i="2"/>
  <c r="AE1085" i="2"/>
  <c r="AI1085" i="2"/>
  <c r="AE1086" i="2"/>
  <c r="AI1086" i="2"/>
  <c r="AE1087" i="2"/>
  <c r="AI1087" i="2"/>
  <c r="AE1088" i="2"/>
  <c r="AI1088" i="2"/>
  <c r="AE1089" i="2"/>
  <c r="AI1089" i="2"/>
  <c r="AE1090" i="2"/>
  <c r="AI1090" i="2"/>
  <c r="AE1091" i="2"/>
  <c r="AI1091" i="2" s="1"/>
  <c r="AE1092" i="2"/>
  <c r="AI1092" i="2"/>
  <c r="AE1093" i="2"/>
  <c r="AI1093" i="2"/>
  <c r="AE1094" i="2"/>
  <c r="AI1094" i="2"/>
  <c r="AE1095" i="2"/>
  <c r="AI1095" i="2"/>
  <c r="AI1096" i="2"/>
  <c r="AE1097" i="2"/>
  <c r="AI1097" i="2"/>
  <c r="AI1098" i="2"/>
  <c r="AD1100" i="2"/>
  <c r="V1063" i="2"/>
  <c r="P1063" i="2"/>
  <c r="V1062" i="2"/>
  <c r="U1062" i="2"/>
  <c r="Q1062" i="2"/>
  <c r="P1062" i="2"/>
  <c r="V1061" i="2"/>
  <c r="U1061" i="2"/>
  <c r="U1100" i="2" s="1"/>
  <c r="Q1061" i="2"/>
  <c r="P1061" i="2"/>
  <c r="Q1060" i="2"/>
  <c r="P1060" i="2"/>
  <c r="P1059" i="2"/>
  <c r="S1059" i="2" s="1"/>
  <c r="W1059" i="2" s="1"/>
  <c r="P1058" i="2"/>
  <c r="Q1058" i="2"/>
  <c r="S1058" i="2" s="1"/>
  <c r="P1057" i="2"/>
  <c r="S1057" i="2" s="1"/>
  <c r="W1057" i="2" s="1"/>
  <c r="O1059" i="2"/>
  <c r="O1060" i="2" s="1"/>
  <c r="O1061" i="2" s="1"/>
  <c r="O1062" i="2" s="1"/>
  <c r="O1063" i="2" s="1"/>
  <c r="O1058" i="2"/>
  <c r="S1060" i="2"/>
  <c r="W1060" i="2" s="1"/>
  <c r="S1063" i="2"/>
  <c r="W1063" i="2" s="1"/>
  <c r="S1064" i="2"/>
  <c r="W1064" i="2"/>
  <c r="S1065" i="2"/>
  <c r="W1065" i="2" s="1"/>
  <c r="S1066" i="2"/>
  <c r="W1066" i="2"/>
  <c r="S1067" i="2"/>
  <c r="W1067" i="2"/>
  <c r="S1068" i="2"/>
  <c r="W1068" i="2" s="1"/>
  <c r="S1069" i="2"/>
  <c r="W1069" i="2"/>
  <c r="S1070" i="2"/>
  <c r="W1070" i="2" s="1"/>
  <c r="S1071" i="2"/>
  <c r="W1071" i="2"/>
  <c r="S1072" i="2"/>
  <c r="W1072" i="2"/>
  <c r="S1073" i="2"/>
  <c r="W1073" i="2"/>
  <c r="S1074" i="2"/>
  <c r="W1074" i="2"/>
  <c r="S1075" i="2"/>
  <c r="W1075" i="2"/>
  <c r="S1076" i="2"/>
  <c r="W1076" i="2" s="1"/>
  <c r="S1077" i="2"/>
  <c r="W1077" i="2"/>
  <c r="S1078" i="2"/>
  <c r="W1078" i="2" s="1"/>
  <c r="S1079" i="2"/>
  <c r="W1079" i="2"/>
  <c r="S1080" i="2"/>
  <c r="W1080" i="2"/>
  <c r="S1081" i="2"/>
  <c r="W1081" i="2"/>
  <c r="S1082" i="2"/>
  <c r="W1082" i="2"/>
  <c r="S1083" i="2"/>
  <c r="W1083" i="2"/>
  <c r="S1084" i="2"/>
  <c r="W1084" i="2" s="1"/>
  <c r="S1085" i="2"/>
  <c r="W1085" i="2"/>
  <c r="S1086" i="2"/>
  <c r="W1086" i="2" s="1"/>
  <c r="S1087" i="2"/>
  <c r="W1087" i="2"/>
  <c r="S1088" i="2"/>
  <c r="W1088" i="2"/>
  <c r="S1089" i="2"/>
  <c r="W1089" i="2" s="1"/>
  <c r="S1090" i="2"/>
  <c r="W1090" i="2"/>
  <c r="S1091" i="2"/>
  <c r="W1091" i="2"/>
  <c r="S1092" i="2"/>
  <c r="W1092" i="2" s="1"/>
  <c r="S1093" i="2"/>
  <c r="W1093" i="2"/>
  <c r="S1094" i="2"/>
  <c r="W1094" i="2" s="1"/>
  <c r="S1095" i="2"/>
  <c r="W1095" i="2"/>
  <c r="W1096" i="2"/>
  <c r="S1097" i="2"/>
  <c r="W1097" i="2"/>
  <c r="W1098" i="2"/>
  <c r="R1100" i="2"/>
  <c r="D1062" i="2"/>
  <c r="J1061" i="2"/>
  <c r="D1061" i="2"/>
  <c r="D1060" i="2"/>
  <c r="D1058" i="2"/>
  <c r="J1057" i="2"/>
  <c r="I1057" i="2"/>
  <c r="D1057" i="2"/>
  <c r="G1057" i="2"/>
  <c r="K1057" i="2" s="1"/>
  <c r="C1058" i="2"/>
  <c r="C1059" i="2" s="1"/>
  <c r="C1060" i="2" s="1"/>
  <c r="C1061" i="2" s="1"/>
  <c r="C1062" i="2" s="1"/>
  <c r="D1100" i="2"/>
  <c r="G1059" i="2"/>
  <c r="K1059" i="2" s="1"/>
  <c r="G1060" i="2"/>
  <c r="K1060" i="2" s="1"/>
  <c r="I1100" i="2"/>
  <c r="J1100" i="2"/>
  <c r="G1061" i="2"/>
  <c r="K1061" i="2"/>
  <c r="G1062" i="2"/>
  <c r="K1062" i="2"/>
  <c r="G1063" i="2"/>
  <c r="K1063" i="2" s="1"/>
  <c r="G1064" i="2"/>
  <c r="K1064" i="2"/>
  <c r="G1065" i="2"/>
  <c r="K1065" i="2"/>
  <c r="G1066" i="2"/>
  <c r="K1066" i="2"/>
  <c r="G1067" i="2"/>
  <c r="K1067" i="2"/>
  <c r="G1068" i="2"/>
  <c r="K1068" i="2" s="1"/>
  <c r="G1069" i="2"/>
  <c r="K1069" i="2"/>
  <c r="G1070" i="2"/>
  <c r="K1070" i="2"/>
  <c r="G1071" i="2"/>
  <c r="K1071" i="2" s="1"/>
  <c r="G1072" i="2"/>
  <c r="K1072" i="2"/>
  <c r="G1073" i="2"/>
  <c r="K1073" i="2"/>
  <c r="G1074" i="2"/>
  <c r="K1074" i="2"/>
  <c r="G1075" i="2"/>
  <c r="K1075" i="2"/>
  <c r="G1076" i="2"/>
  <c r="K1076" i="2" s="1"/>
  <c r="G1077" i="2"/>
  <c r="K1077" i="2"/>
  <c r="G1078" i="2"/>
  <c r="K1078" i="2"/>
  <c r="G1079" i="2"/>
  <c r="K1079" i="2" s="1"/>
  <c r="G1080" i="2"/>
  <c r="K1080" i="2"/>
  <c r="G1081" i="2"/>
  <c r="K1081" i="2"/>
  <c r="G1082" i="2"/>
  <c r="K1082" i="2"/>
  <c r="G1083" i="2"/>
  <c r="K1083" i="2"/>
  <c r="G1084" i="2"/>
  <c r="K1084" i="2" s="1"/>
  <c r="G1085" i="2"/>
  <c r="K1085" i="2"/>
  <c r="G1086" i="2"/>
  <c r="K1086" i="2"/>
  <c r="G1087" i="2"/>
  <c r="K1087" i="2" s="1"/>
  <c r="G1088" i="2"/>
  <c r="K1088" i="2"/>
  <c r="G1089" i="2"/>
  <c r="K1089" i="2"/>
  <c r="G1090" i="2"/>
  <c r="K1090" i="2"/>
  <c r="G1097" i="2"/>
  <c r="K1097" i="2"/>
  <c r="E1100" i="2"/>
  <c r="F1100" i="2"/>
  <c r="AE1062" i="2" l="1"/>
  <c r="AI1062" i="2" s="1"/>
  <c r="AC1100" i="2"/>
  <c r="AI1061" i="2"/>
  <c r="AG1100" i="2"/>
  <c r="AI1057" i="2"/>
  <c r="AB1100" i="2"/>
  <c r="AE1058" i="2"/>
  <c r="V1100" i="2"/>
  <c r="S1062" i="2"/>
  <c r="W1062" i="2" s="1"/>
  <c r="S1061" i="2"/>
  <c r="W1061" i="2" s="1"/>
  <c r="Q1100" i="2"/>
  <c r="P1100" i="2"/>
  <c r="W1058" i="2"/>
  <c r="G1058" i="2"/>
  <c r="K1058" i="2" s="1"/>
  <c r="K1100" i="2" s="1"/>
  <c r="G1100" i="2"/>
  <c r="AB1006" i="2"/>
  <c r="AE1006" i="2" s="1"/>
  <c r="AI1006" i="2" s="1"/>
  <c r="AB1005" i="2"/>
  <c r="AG1004" i="2"/>
  <c r="AG1045" i="2" s="1"/>
  <c r="AH1004" i="2"/>
  <c r="AH1045" i="2" s="1"/>
  <c r="AC1004" i="2"/>
  <c r="AB1004" i="2"/>
  <c r="AC1003" i="2"/>
  <c r="AB1003" i="2"/>
  <c r="AC1002" i="2"/>
  <c r="AB1002" i="2"/>
  <c r="AE1002" i="2" s="1"/>
  <c r="AI1002" i="2" s="1"/>
  <c r="AA1003" i="2"/>
  <c r="AA1004" i="2" s="1"/>
  <c r="AA1005" i="2" s="1"/>
  <c r="AA1006" i="2" s="1"/>
  <c r="AE1005" i="2"/>
  <c r="AI1005" i="2" s="1"/>
  <c r="AE1007" i="2"/>
  <c r="AI1007" i="2"/>
  <c r="AE1008" i="2"/>
  <c r="AI1008" i="2"/>
  <c r="AE1009" i="2"/>
  <c r="AI1009" i="2" s="1"/>
  <c r="AE1010" i="2"/>
  <c r="AI1010" i="2"/>
  <c r="AE1011" i="2"/>
  <c r="AI1011" i="2"/>
  <c r="AE1012" i="2"/>
  <c r="AI1012" i="2"/>
  <c r="AE1013" i="2"/>
  <c r="AI1013" i="2"/>
  <c r="AE1014" i="2"/>
  <c r="AI1014" i="2"/>
  <c r="AE1015" i="2"/>
  <c r="AI1015" i="2"/>
  <c r="AE1016" i="2"/>
  <c r="AI1016" i="2"/>
  <c r="AE1017" i="2"/>
  <c r="AI1017" i="2" s="1"/>
  <c r="AE1018" i="2"/>
  <c r="AI1018" i="2"/>
  <c r="AE1019" i="2"/>
  <c r="AI1019" i="2"/>
  <c r="AE1020" i="2"/>
  <c r="AI1020" i="2"/>
  <c r="AE1021" i="2"/>
  <c r="AI1021" i="2"/>
  <c r="AE1022" i="2"/>
  <c r="AI1022" i="2"/>
  <c r="AE1023" i="2"/>
  <c r="AI1023" i="2"/>
  <c r="AE1024" i="2"/>
  <c r="AI1024" i="2"/>
  <c r="AE1025" i="2"/>
  <c r="AI1025" i="2" s="1"/>
  <c r="AE1026" i="2"/>
  <c r="AI1026" i="2"/>
  <c r="AE1027" i="2"/>
  <c r="AI1027" i="2"/>
  <c r="AE1028" i="2"/>
  <c r="AI1028" i="2"/>
  <c r="AE1029" i="2"/>
  <c r="AI1029" i="2"/>
  <c r="AE1030" i="2"/>
  <c r="AI1030" i="2"/>
  <c r="AE1031" i="2"/>
  <c r="AI1031" i="2"/>
  <c r="AE1032" i="2"/>
  <c r="AI1032" i="2"/>
  <c r="AE1033" i="2"/>
  <c r="AI1033" i="2" s="1"/>
  <c r="AE1034" i="2"/>
  <c r="AI1034" i="2"/>
  <c r="AE1035" i="2"/>
  <c r="AI1035" i="2"/>
  <c r="AE1036" i="2"/>
  <c r="AI1036" i="2"/>
  <c r="AE1037" i="2"/>
  <c r="AI1037" i="2"/>
  <c r="AE1038" i="2"/>
  <c r="AI1038" i="2"/>
  <c r="AE1039" i="2"/>
  <c r="AI1039" i="2"/>
  <c r="AE1040" i="2"/>
  <c r="AI1040" i="2"/>
  <c r="AI1041" i="2"/>
  <c r="AE1042" i="2"/>
  <c r="AI1042" i="2" s="1"/>
  <c r="AI1043" i="2"/>
  <c r="AD1045" i="2"/>
  <c r="AE1100" i="2" l="1"/>
  <c r="AI1058" i="2"/>
  <c r="AI1100" i="2" s="1"/>
  <c r="W1100" i="2"/>
  <c r="S1100" i="2"/>
  <c r="AB1045" i="2"/>
  <c r="AC1045" i="2"/>
  <c r="AE1003" i="2"/>
  <c r="AI1003" i="2" s="1"/>
  <c r="AE1004" i="2"/>
  <c r="AI1004" i="2" s="1"/>
  <c r="P1005" i="2"/>
  <c r="V1004" i="2"/>
  <c r="U1004" i="2"/>
  <c r="Q1004" i="2"/>
  <c r="Q1045" i="2" s="1"/>
  <c r="P1004" i="2"/>
  <c r="Q1003" i="2"/>
  <c r="P1003" i="2"/>
  <c r="P1002" i="2"/>
  <c r="P1045" i="2" s="1"/>
  <c r="U1045" i="2"/>
  <c r="R1045" i="2"/>
  <c r="W1043" i="2"/>
  <c r="S1042" i="2"/>
  <c r="W1042" i="2" s="1"/>
  <c r="W1041" i="2"/>
  <c r="S1040" i="2"/>
  <c r="W1040" i="2" s="1"/>
  <c r="S1039" i="2"/>
  <c r="W1039" i="2" s="1"/>
  <c r="W1038" i="2"/>
  <c r="S1038" i="2"/>
  <c r="S1037" i="2"/>
  <c r="W1037" i="2" s="1"/>
  <c r="S1036" i="2"/>
  <c r="W1036" i="2" s="1"/>
  <c r="W1035" i="2"/>
  <c r="S1035" i="2"/>
  <c r="S1034" i="2"/>
  <c r="W1034" i="2" s="1"/>
  <c r="S1033" i="2"/>
  <c r="W1033" i="2" s="1"/>
  <c r="S1032" i="2"/>
  <c r="W1032" i="2" s="1"/>
  <c r="S1031" i="2"/>
  <c r="W1031" i="2" s="1"/>
  <c r="W1030" i="2"/>
  <c r="S1030" i="2"/>
  <c r="S1029" i="2"/>
  <c r="W1029" i="2" s="1"/>
  <c r="S1028" i="2"/>
  <c r="W1028" i="2" s="1"/>
  <c r="W1027" i="2"/>
  <c r="S1027" i="2"/>
  <c r="S1026" i="2"/>
  <c r="W1026" i="2" s="1"/>
  <c r="S1025" i="2"/>
  <c r="W1025" i="2" s="1"/>
  <c r="S1024" i="2"/>
  <c r="W1024" i="2" s="1"/>
  <c r="W1023" i="2"/>
  <c r="S1023" i="2"/>
  <c r="W1022" i="2"/>
  <c r="S1022" i="2"/>
  <c r="S1021" i="2"/>
  <c r="W1021" i="2" s="1"/>
  <c r="S1020" i="2"/>
  <c r="W1020" i="2" s="1"/>
  <c r="W1019" i="2"/>
  <c r="S1019" i="2"/>
  <c r="S1018" i="2"/>
  <c r="W1018" i="2" s="1"/>
  <c r="S1017" i="2"/>
  <c r="W1017" i="2" s="1"/>
  <c r="S1016" i="2"/>
  <c r="W1016" i="2" s="1"/>
  <c r="S1015" i="2"/>
  <c r="W1015" i="2" s="1"/>
  <c r="W1014" i="2"/>
  <c r="S1014" i="2"/>
  <c r="S1013" i="2"/>
  <c r="W1013" i="2" s="1"/>
  <c r="S1012" i="2"/>
  <c r="W1012" i="2" s="1"/>
  <c r="W1011" i="2"/>
  <c r="S1011" i="2"/>
  <c r="S1010" i="2"/>
  <c r="W1010" i="2" s="1"/>
  <c r="S1009" i="2"/>
  <c r="W1009" i="2" s="1"/>
  <c r="S1008" i="2"/>
  <c r="W1008" i="2" s="1"/>
  <c r="S1007" i="2"/>
  <c r="W1007" i="2" s="1"/>
  <c r="S1006" i="2"/>
  <c r="W1006" i="2" s="1"/>
  <c r="S1005" i="2"/>
  <c r="W1005" i="2" s="1"/>
  <c r="V1045" i="2"/>
  <c r="S1003" i="2"/>
  <c r="W1003" i="2" s="1"/>
  <c r="O1005" i="2"/>
  <c r="J1005" i="2"/>
  <c r="J1045" i="2" s="1"/>
  <c r="I1005" i="2"/>
  <c r="D1005" i="2"/>
  <c r="G1005" i="2" s="1"/>
  <c r="D1004" i="2"/>
  <c r="D1003" i="2"/>
  <c r="D1002" i="2"/>
  <c r="G1002" i="2"/>
  <c r="K1002" i="2" s="1"/>
  <c r="C1003" i="2"/>
  <c r="G1003" i="2"/>
  <c r="K1003" i="2"/>
  <c r="C1004" i="2"/>
  <c r="G1004" i="2"/>
  <c r="K1004" i="2" s="1"/>
  <c r="C1005" i="2"/>
  <c r="E1045" i="2"/>
  <c r="G1006" i="2"/>
  <c r="K1006" i="2"/>
  <c r="G1007" i="2"/>
  <c r="K1007" i="2"/>
  <c r="G1008" i="2"/>
  <c r="K1008" i="2"/>
  <c r="G1009" i="2"/>
  <c r="K1009" i="2" s="1"/>
  <c r="G1010" i="2"/>
  <c r="K1010" i="2"/>
  <c r="G1011" i="2"/>
  <c r="K1011" i="2"/>
  <c r="G1012" i="2"/>
  <c r="K1012" i="2" s="1"/>
  <c r="G1013" i="2"/>
  <c r="K1013" i="2" s="1"/>
  <c r="G1014" i="2"/>
  <c r="K1014" i="2"/>
  <c r="G1015" i="2"/>
  <c r="K1015" i="2"/>
  <c r="G1016" i="2"/>
  <c r="K1016" i="2"/>
  <c r="G1017" i="2"/>
  <c r="K1017" i="2" s="1"/>
  <c r="G1018" i="2"/>
  <c r="K1018" i="2"/>
  <c r="G1019" i="2"/>
  <c r="K1019" i="2"/>
  <c r="G1020" i="2"/>
  <c r="K1020" i="2" s="1"/>
  <c r="G1021" i="2"/>
  <c r="K1021" i="2" s="1"/>
  <c r="G1022" i="2"/>
  <c r="K1022" i="2"/>
  <c r="G1023" i="2"/>
  <c r="K1023" i="2"/>
  <c r="G1024" i="2"/>
  <c r="K1024" i="2"/>
  <c r="G1025" i="2"/>
  <c r="K1025" i="2" s="1"/>
  <c r="G1026" i="2"/>
  <c r="K1026" i="2"/>
  <c r="G1027" i="2"/>
  <c r="K1027" i="2"/>
  <c r="G1028" i="2"/>
  <c r="K1028" i="2" s="1"/>
  <c r="G1029" i="2"/>
  <c r="K1029" i="2" s="1"/>
  <c r="G1030" i="2"/>
  <c r="K1030" i="2"/>
  <c r="G1031" i="2"/>
  <c r="K1031" i="2"/>
  <c r="G1032" i="2"/>
  <c r="K1032" i="2"/>
  <c r="G1033" i="2"/>
  <c r="K1033" i="2" s="1"/>
  <c r="G1034" i="2"/>
  <c r="K1034" i="2"/>
  <c r="G1035" i="2"/>
  <c r="K1035" i="2"/>
  <c r="G1042" i="2"/>
  <c r="K1042" i="2" s="1"/>
  <c r="F1045" i="2"/>
  <c r="I1045" i="2"/>
  <c r="AI1045" i="2" l="1"/>
  <c r="AE1045" i="2"/>
  <c r="S1004" i="2"/>
  <c r="W1004" i="2" s="1"/>
  <c r="S1002" i="2"/>
  <c r="K1005" i="2"/>
  <c r="K1045" i="2" s="1"/>
  <c r="D1045" i="2"/>
  <c r="G1045" i="2"/>
  <c r="AB953" i="2"/>
  <c r="AE953" i="2" s="1"/>
  <c r="AI953" i="2" s="1"/>
  <c r="AB952" i="2"/>
  <c r="AE952" i="2" s="1"/>
  <c r="AI952" i="2" s="1"/>
  <c r="AC951" i="2"/>
  <c r="AE951" i="2" s="1"/>
  <c r="AI951" i="2" s="1"/>
  <c r="AB951" i="2"/>
  <c r="AC950" i="2"/>
  <c r="AB950" i="2"/>
  <c r="AE950" i="2" s="1"/>
  <c r="AI950" i="2" s="1"/>
  <c r="AB949" i="2"/>
  <c r="AG948" i="2"/>
  <c r="AG990" i="2" s="1"/>
  <c r="AB948" i="2"/>
  <c r="AC947" i="2"/>
  <c r="AB947" i="2"/>
  <c r="AA949" i="2"/>
  <c r="AA950" i="2" s="1"/>
  <c r="AA951" i="2" s="1"/>
  <c r="AA952" i="2" s="1"/>
  <c r="AA953" i="2" s="1"/>
  <c r="AA948" i="2"/>
  <c r="AE948" i="2"/>
  <c r="AI948" i="2" s="1"/>
  <c r="AE949" i="2"/>
  <c r="AI949" i="2"/>
  <c r="AE954" i="2"/>
  <c r="AI954" i="2"/>
  <c r="AE955" i="2"/>
  <c r="AI955" i="2" s="1"/>
  <c r="AE956" i="2"/>
  <c r="AI956" i="2" s="1"/>
  <c r="AE957" i="2"/>
  <c r="AI957" i="2" s="1"/>
  <c r="AE958" i="2"/>
  <c r="AI958" i="2"/>
  <c r="AE959" i="2"/>
  <c r="AI959" i="2"/>
  <c r="AE960" i="2"/>
  <c r="AI960" i="2" s="1"/>
  <c r="AE961" i="2"/>
  <c r="AI961" i="2"/>
  <c r="AE962" i="2"/>
  <c r="AI962" i="2" s="1"/>
  <c r="AE963" i="2"/>
  <c r="AI963" i="2"/>
  <c r="AE964" i="2"/>
  <c r="AI964" i="2" s="1"/>
  <c r="AE965" i="2"/>
  <c r="AI965" i="2"/>
  <c r="AE966" i="2"/>
  <c r="AI966" i="2"/>
  <c r="AE967" i="2"/>
  <c r="AI967" i="2"/>
  <c r="AE968" i="2"/>
  <c r="AI968" i="2"/>
  <c r="AE969" i="2"/>
  <c r="AI969" i="2"/>
  <c r="AE970" i="2"/>
  <c r="AI970" i="2" s="1"/>
  <c r="AE971" i="2"/>
  <c r="AI971" i="2"/>
  <c r="AE972" i="2"/>
  <c r="AI972" i="2" s="1"/>
  <c r="AE973" i="2"/>
  <c r="AI973" i="2"/>
  <c r="AE974" i="2"/>
  <c r="AI974" i="2"/>
  <c r="AE975" i="2"/>
  <c r="AI975" i="2"/>
  <c r="AE976" i="2"/>
  <c r="AI976" i="2"/>
  <c r="AE977" i="2"/>
  <c r="AI977" i="2"/>
  <c r="AE978" i="2"/>
  <c r="AI978" i="2" s="1"/>
  <c r="AE979" i="2"/>
  <c r="AI979" i="2"/>
  <c r="AE980" i="2"/>
  <c r="AI980" i="2" s="1"/>
  <c r="AE981" i="2"/>
  <c r="AI981" i="2"/>
  <c r="AE982" i="2"/>
  <c r="AI982" i="2"/>
  <c r="AE983" i="2"/>
  <c r="AI983" i="2"/>
  <c r="AE984" i="2"/>
  <c r="AI984" i="2"/>
  <c r="AE985" i="2"/>
  <c r="AI985" i="2"/>
  <c r="AI986" i="2"/>
  <c r="AE987" i="2"/>
  <c r="AI987" i="2" s="1"/>
  <c r="AI988" i="2"/>
  <c r="AD990" i="2"/>
  <c r="AH990" i="2"/>
  <c r="J950" i="2"/>
  <c r="J990" i="2" s="1"/>
  <c r="E950" i="2"/>
  <c r="D950" i="2"/>
  <c r="D949" i="2"/>
  <c r="G949" i="2" s="1"/>
  <c r="K949" i="2" s="1"/>
  <c r="D948" i="2"/>
  <c r="D947" i="2"/>
  <c r="G947" i="2" s="1"/>
  <c r="I990" i="2"/>
  <c r="F990" i="2"/>
  <c r="E990" i="2"/>
  <c r="G987" i="2"/>
  <c r="K987" i="2" s="1"/>
  <c r="G980" i="2"/>
  <c r="K980" i="2" s="1"/>
  <c r="G979" i="2"/>
  <c r="K979" i="2" s="1"/>
  <c r="K978" i="2"/>
  <c r="G978" i="2"/>
  <c r="K977" i="2"/>
  <c r="G977" i="2"/>
  <c r="G976" i="2"/>
  <c r="K976" i="2" s="1"/>
  <c r="G975" i="2"/>
  <c r="K975" i="2" s="1"/>
  <c r="G974" i="2"/>
  <c r="K974" i="2" s="1"/>
  <c r="G973" i="2"/>
  <c r="K973" i="2" s="1"/>
  <c r="G972" i="2"/>
  <c r="K972" i="2" s="1"/>
  <c r="G971" i="2"/>
  <c r="K971" i="2" s="1"/>
  <c r="K970" i="2"/>
  <c r="G970" i="2"/>
  <c r="K969" i="2"/>
  <c r="G969" i="2"/>
  <c r="G968" i="2"/>
  <c r="K968" i="2" s="1"/>
  <c r="G967" i="2"/>
  <c r="K967" i="2" s="1"/>
  <c r="G966" i="2"/>
  <c r="K966" i="2" s="1"/>
  <c r="G965" i="2"/>
  <c r="K965" i="2" s="1"/>
  <c r="G964" i="2"/>
  <c r="K964" i="2" s="1"/>
  <c r="G963" i="2"/>
  <c r="K963" i="2" s="1"/>
  <c r="K962" i="2"/>
  <c r="G962" i="2"/>
  <c r="G961" i="2"/>
  <c r="K961" i="2" s="1"/>
  <c r="G960" i="2"/>
  <c r="K960" i="2" s="1"/>
  <c r="G959" i="2"/>
  <c r="K959" i="2" s="1"/>
  <c r="G958" i="2"/>
  <c r="K958" i="2" s="1"/>
  <c r="G957" i="2"/>
  <c r="K957" i="2" s="1"/>
  <c r="G956" i="2"/>
  <c r="K956" i="2" s="1"/>
  <c r="G955" i="2"/>
  <c r="K955" i="2" s="1"/>
  <c r="G954" i="2"/>
  <c r="K954" i="2" s="1"/>
  <c r="G953" i="2"/>
  <c r="K953" i="2" s="1"/>
  <c r="G952" i="2"/>
  <c r="K952" i="2" s="1"/>
  <c r="G951" i="2"/>
  <c r="K951" i="2" s="1"/>
  <c r="G950" i="2"/>
  <c r="G948" i="2"/>
  <c r="K948" i="2" s="1"/>
  <c r="C948" i="2"/>
  <c r="C949" i="2" s="1"/>
  <c r="C950" i="2" s="1"/>
  <c r="W1002" i="2" l="1"/>
  <c r="W1045" i="2" s="1"/>
  <c r="S1045" i="2"/>
  <c r="AC990" i="2"/>
  <c r="AB990" i="2"/>
  <c r="AE947" i="2"/>
  <c r="AI947" i="2" s="1"/>
  <c r="AI990" i="2" s="1"/>
  <c r="K950" i="2"/>
  <c r="D990" i="2"/>
  <c r="G990" i="2"/>
  <c r="K947" i="2"/>
  <c r="K990" i="2" s="1"/>
  <c r="AB900" i="2"/>
  <c r="AB899" i="2"/>
  <c r="AE899" i="2" s="1"/>
  <c r="AI899" i="2" s="1"/>
  <c r="AB898" i="2"/>
  <c r="AB897" i="2"/>
  <c r="AE897" i="2" s="1"/>
  <c r="AI897" i="2" s="1"/>
  <c r="AC896" i="2"/>
  <c r="AC935" i="2" s="1"/>
  <c r="AB896" i="2"/>
  <c r="AB895" i="2"/>
  <c r="AE895" i="2" s="1"/>
  <c r="AI895" i="2" s="1"/>
  <c r="AB894" i="2"/>
  <c r="AB893" i="2"/>
  <c r="AG892" i="2"/>
  <c r="AG935" i="2" s="1"/>
  <c r="AB892" i="2"/>
  <c r="AE892" i="2"/>
  <c r="AI892" i="2" s="1"/>
  <c r="AA893" i="2"/>
  <c r="AA895" i="2" s="1"/>
  <c r="AA896" i="2" s="1"/>
  <c r="AA897" i="2" s="1"/>
  <c r="AA898" i="2" s="1"/>
  <c r="AA899" i="2" s="1"/>
  <c r="AA900" i="2" s="1"/>
  <c r="AE894" i="2"/>
  <c r="AI894" i="2"/>
  <c r="AE898" i="2"/>
  <c r="AI898" i="2" s="1"/>
  <c r="AE900" i="2"/>
  <c r="AI900" i="2" s="1"/>
  <c r="AE901" i="2"/>
  <c r="AI901" i="2" s="1"/>
  <c r="AE902" i="2"/>
  <c r="AI902" i="2"/>
  <c r="AE903" i="2"/>
  <c r="AI903" i="2"/>
  <c r="AE904" i="2"/>
  <c r="AI904" i="2" s="1"/>
  <c r="AE905" i="2"/>
  <c r="AI905" i="2"/>
  <c r="AE906" i="2"/>
  <c r="AI906" i="2"/>
  <c r="AE907" i="2"/>
  <c r="AI907" i="2"/>
  <c r="AE908" i="2"/>
  <c r="AI908" i="2" s="1"/>
  <c r="AE909" i="2"/>
  <c r="AI909" i="2" s="1"/>
  <c r="AE910" i="2"/>
  <c r="AI910" i="2"/>
  <c r="AE911" i="2"/>
  <c r="AI911" i="2" s="1"/>
  <c r="AE912" i="2"/>
  <c r="AI912" i="2"/>
  <c r="AE913" i="2"/>
  <c r="AI913" i="2"/>
  <c r="AE914" i="2"/>
  <c r="AI914" i="2"/>
  <c r="AE915" i="2"/>
  <c r="AI915" i="2"/>
  <c r="AE916" i="2"/>
  <c r="AI916" i="2" s="1"/>
  <c r="AE917" i="2"/>
  <c r="AI917" i="2" s="1"/>
  <c r="AE918" i="2"/>
  <c r="AI918" i="2"/>
  <c r="AE919" i="2"/>
  <c r="AI919" i="2"/>
  <c r="AE920" i="2"/>
  <c r="AI920" i="2"/>
  <c r="AE921" i="2"/>
  <c r="AI921" i="2"/>
  <c r="AE922" i="2"/>
  <c r="AI922" i="2"/>
  <c r="AE923" i="2"/>
  <c r="AI923" i="2"/>
  <c r="AE924" i="2"/>
  <c r="AI924" i="2" s="1"/>
  <c r="AE925" i="2"/>
  <c r="AI925" i="2" s="1"/>
  <c r="AE926" i="2"/>
  <c r="AI926" i="2"/>
  <c r="AE927" i="2"/>
  <c r="AI927" i="2"/>
  <c r="AE928" i="2"/>
  <c r="AI928" i="2"/>
  <c r="AE929" i="2"/>
  <c r="AI929" i="2"/>
  <c r="AE930" i="2"/>
  <c r="AI930" i="2"/>
  <c r="AI931" i="2"/>
  <c r="AE932" i="2"/>
  <c r="AI932" i="2"/>
  <c r="AI933" i="2"/>
  <c r="AD935" i="2"/>
  <c r="AH935" i="2"/>
  <c r="P898" i="2"/>
  <c r="S898" i="2" s="1"/>
  <c r="W898" i="2" s="1"/>
  <c r="P897" i="2"/>
  <c r="P935" i="2" s="1"/>
  <c r="P896" i="2"/>
  <c r="Q895" i="2"/>
  <c r="P895" i="2"/>
  <c r="V894" i="2"/>
  <c r="P894" i="2"/>
  <c r="P893" i="2"/>
  <c r="P892" i="2"/>
  <c r="O898" i="2"/>
  <c r="S892" i="2"/>
  <c r="Q935" i="2"/>
  <c r="U935" i="2"/>
  <c r="O893" i="2"/>
  <c r="S893" i="2"/>
  <c r="W893" i="2" s="1"/>
  <c r="O894" i="2"/>
  <c r="O895" i="2" s="1"/>
  <c r="O896" i="2" s="1"/>
  <c r="O897" i="2" s="1"/>
  <c r="S894" i="2"/>
  <c r="W894" i="2" s="1"/>
  <c r="S895" i="2"/>
  <c r="W895" i="2" s="1"/>
  <c r="S896" i="2"/>
  <c r="W896" i="2" s="1"/>
  <c r="S899" i="2"/>
  <c r="W899" i="2"/>
  <c r="S900" i="2"/>
  <c r="W900" i="2"/>
  <c r="S901" i="2"/>
  <c r="W901" i="2" s="1"/>
  <c r="S902" i="2"/>
  <c r="W902" i="2"/>
  <c r="S903" i="2"/>
  <c r="W903" i="2"/>
  <c r="S904" i="2"/>
  <c r="W904" i="2"/>
  <c r="S905" i="2"/>
  <c r="W905" i="2"/>
  <c r="S906" i="2"/>
  <c r="W906" i="2" s="1"/>
  <c r="S907" i="2"/>
  <c r="W907" i="2"/>
  <c r="S908" i="2"/>
  <c r="W908" i="2"/>
  <c r="S909" i="2"/>
  <c r="W909" i="2" s="1"/>
  <c r="S910" i="2"/>
  <c r="W910" i="2"/>
  <c r="S911" i="2"/>
  <c r="W911" i="2"/>
  <c r="S912" i="2"/>
  <c r="W912" i="2"/>
  <c r="S913" i="2"/>
  <c r="W913" i="2"/>
  <c r="S914" i="2"/>
  <c r="W914" i="2" s="1"/>
  <c r="S915" i="2"/>
  <c r="W915" i="2"/>
  <c r="S916" i="2"/>
  <c r="W916" i="2"/>
  <c r="S917" i="2"/>
  <c r="W917" i="2" s="1"/>
  <c r="S918" i="2"/>
  <c r="W918" i="2"/>
  <c r="S919" i="2"/>
  <c r="W919" i="2"/>
  <c r="S920" i="2"/>
  <c r="W920" i="2"/>
  <c r="S921" i="2"/>
  <c r="W921" i="2"/>
  <c r="S922" i="2"/>
  <c r="W922" i="2" s="1"/>
  <c r="S923" i="2"/>
  <c r="W923" i="2"/>
  <c r="S924" i="2"/>
  <c r="W924" i="2"/>
  <c r="S925" i="2"/>
  <c r="W925" i="2" s="1"/>
  <c r="S926" i="2"/>
  <c r="W926" i="2"/>
  <c r="S927" i="2"/>
  <c r="W927" i="2" s="1"/>
  <c r="S928" i="2"/>
  <c r="W928" i="2"/>
  <c r="S929" i="2"/>
  <c r="W929" i="2"/>
  <c r="S930" i="2"/>
  <c r="W930" i="2" s="1"/>
  <c r="W931" i="2"/>
  <c r="S932" i="2"/>
  <c r="W932" i="2"/>
  <c r="W933" i="2"/>
  <c r="R935" i="2"/>
  <c r="V935" i="2"/>
  <c r="AE990" i="2" l="1"/>
  <c r="AE896" i="2"/>
  <c r="AI896" i="2" s="1"/>
  <c r="AB935" i="2"/>
  <c r="AE893" i="2"/>
  <c r="AI893" i="2"/>
  <c r="AI935" i="2" s="1"/>
  <c r="AE935" i="2"/>
  <c r="S897" i="2"/>
  <c r="W897" i="2" s="1"/>
  <c r="W892" i="2"/>
  <c r="S935" i="2"/>
  <c r="AG845" i="2"/>
  <c r="AB845" i="2"/>
  <c r="AC844" i="2"/>
  <c r="AC880" i="2" s="1"/>
  <c r="AB844" i="2"/>
  <c r="AB843" i="2"/>
  <c r="AE843" i="2" s="1"/>
  <c r="AI843" i="2" s="1"/>
  <c r="AH842" i="2"/>
  <c r="AH880" i="2" s="1"/>
  <c r="AB842" i="2"/>
  <c r="AB841" i="2"/>
  <c r="AB840" i="2"/>
  <c r="AE840" i="2" s="1"/>
  <c r="AI840" i="2" s="1"/>
  <c r="AB839" i="2"/>
  <c r="AE839" i="2" s="1"/>
  <c r="AI839" i="2" s="1"/>
  <c r="AB838" i="2"/>
  <c r="AB837" i="2"/>
  <c r="AE837" i="2"/>
  <c r="AA838" i="2"/>
  <c r="AA839" i="2" s="1"/>
  <c r="AA840" i="2" s="1"/>
  <c r="AA841" i="2" s="1"/>
  <c r="AA842" i="2" s="1"/>
  <c r="AA843" i="2" s="1"/>
  <c r="AA844" i="2" s="1"/>
  <c r="AA845" i="2" s="1"/>
  <c r="AE838" i="2"/>
  <c r="AI838" i="2" s="1"/>
  <c r="AE841" i="2"/>
  <c r="AI841" i="2"/>
  <c r="AE842" i="2"/>
  <c r="AE844" i="2"/>
  <c r="AI844" i="2" s="1"/>
  <c r="AE845" i="2"/>
  <c r="AI845" i="2"/>
  <c r="AE846" i="2"/>
  <c r="AI846" i="2" s="1"/>
  <c r="AE847" i="2"/>
  <c r="AI847" i="2" s="1"/>
  <c r="AE848" i="2"/>
  <c r="AI848" i="2" s="1"/>
  <c r="AE849" i="2"/>
  <c r="AI849" i="2"/>
  <c r="AE850" i="2"/>
  <c r="AI850" i="2"/>
  <c r="AE851" i="2"/>
  <c r="AI851" i="2"/>
  <c r="AE852" i="2"/>
  <c r="AI852" i="2" s="1"/>
  <c r="AE853" i="2"/>
  <c r="AI853" i="2"/>
  <c r="AE854" i="2"/>
  <c r="AI854" i="2"/>
  <c r="AE855" i="2"/>
  <c r="AI855" i="2"/>
  <c r="AE856" i="2"/>
  <c r="AI856" i="2" s="1"/>
  <c r="AE857" i="2"/>
  <c r="AI857" i="2" s="1"/>
  <c r="AE858" i="2"/>
  <c r="AI858" i="2"/>
  <c r="AE859" i="2"/>
  <c r="AI859" i="2"/>
  <c r="AE860" i="2"/>
  <c r="AI860" i="2" s="1"/>
  <c r="AE861" i="2"/>
  <c r="AI861" i="2"/>
  <c r="AE862" i="2"/>
  <c r="AI862" i="2"/>
  <c r="AE863" i="2"/>
  <c r="AI863" i="2"/>
  <c r="AE864" i="2"/>
  <c r="AI864" i="2" s="1"/>
  <c r="AE865" i="2"/>
  <c r="AI865" i="2" s="1"/>
  <c r="AE866" i="2"/>
  <c r="AI866" i="2"/>
  <c r="AE867" i="2"/>
  <c r="AI867" i="2"/>
  <c r="AE868" i="2"/>
  <c r="AI868" i="2" s="1"/>
  <c r="AE869" i="2"/>
  <c r="AI869" i="2"/>
  <c r="AE870" i="2"/>
  <c r="AI870" i="2"/>
  <c r="AE871" i="2"/>
  <c r="AI871" i="2"/>
  <c r="AE872" i="2"/>
  <c r="AI872" i="2" s="1"/>
  <c r="AE873" i="2"/>
  <c r="AI873" i="2" s="1"/>
  <c r="AE874" i="2"/>
  <c r="AI874" i="2"/>
  <c r="AE875" i="2"/>
  <c r="AI875" i="2"/>
  <c r="AI876" i="2"/>
  <c r="AE877" i="2"/>
  <c r="AI877" i="2" s="1"/>
  <c r="AI878" i="2"/>
  <c r="AD880" i="2"/>
  <c r="AG880" i="2"/>
  <c r="P842" i="2"/>
  <c r="S842" i="2" s="1"/>
  <c r="W842" i="2" s="1"/>
  <c r="P841" i="2"/>
  <c r="S841" i="2" s="1"/>
  <c r="W841" i="2" s="1"/>
  <c r="Q840" i="2"/>
  <c r="S840" i="2" s="1"/>
  <c r="W840" i="2" s="1"/>
  <c r="P840" i="2"/>
  <c r="U839" i="2"/>
  <c r="U880" i="2" s="1"/>
  <c r="P839" i="2"/>
  <c r="S839" i="2" s="1"/>
  <c r="P838" i="2"/>
  <c r="U837" i="2"/>
  <c r="P837" i="2"/>
  <c r="Q837" i="2"/>
  <c r="Q880" i="2" s="1"/>
  <c r="O840" i="2"/>
  <c r="O841" i="2" s="1"/>
  <c r="O842" i="2" s="1"/>
  <c r="O838" i="2"/>
  <c r="O839" i="2" s="1"/>
  <c r="S838" i="2"/>
  <c r="W838" i="2" s="1"/>
  <c r="S843" i="2"/>
  <c r="W843" i="2"/>
  <c r="S844" i="2"/>
  <c r="W844" i="2" s="1"/>
  <c r="S845" i="2"/>
  <c r="W845" i="2"/>
  <c r="S846" i="2"/>
  <c r="W846" i="2"/>
  <c r="S847" i="2"/>
  <c r="W847" i="2" s="1"/>
  <c r="S848" i="2"/>
  <c r="W848" i="2"/>
  <c r="S849" i="2"/>
  <c r="W849" i="2"/>
  <c r="S850" i="2"/>
  <c r="W850" i="2" s="1"/>
  <c r="S851" i="2"/>
  <c r="W851" i="2"/>
  <c r="S852" i="2"/>
  <c r="W852" i="2" s="1"/>
  <c r="S853" i="2"/>
  <c r="W853" i="2"/>
  <c r="S854" i="2"/>
  <c r="W854" i="2"/>
  <c r="S855" i="2"/>
  <c r="W855" i="2" s="1"/>
  <c r="S856" i="2"/>
  <c r="W856" i="2"/>
  <c r="S857" i="2"/>
  <c r="W857" i="2"/>
  <c r="S858" i="2"/>
  <c r="W858" i="2" s="1"/>
  <c r="S859" i="2"/>
  <c r="W859" i="2"/>
  <c r="S860" i="2"/>
  <c r="W860" i="2"/>
  <c r="S861" i="2"/>
  <c r="W861" i="2"/>
  <c r="S862" i="2"/>
  <c r="W862" i="2"/>
  <c r="S863" i="2"/>
  <c r="W863" i="2" s="1"/>
  <c r="S864" i="2"/>
  <c r="W864" i="2"/>
  <c r="S865" i="2"/>
  <c r="W865" i="2"/>
  <c r="S866" i="2"/>
  <c r="W866" i="2" s="1"/>
  <c r="S867" i="2"/>
  <c r="W867" i="2"/>
  <c r="S868" i="2"/>
  <c r="W868" i="2"/>
  <c r="S869" i="2"/>
  <c r="W869" i="2"/>
  <c r="S870" i="2"/>
  <c r="W870" i="2"/>
  <c r="S871" i="2"/>
  <c r="W871" i="2" s="1"/>
  <c r="S872" i="2"/>
  <c r="W872" i="2"/>
  <c r="S873" i="2"/>
  <c r="W873" i="2"/>
  <c r="S874" i="2"/>
  <c r="W874" i="2" s="1"/>
  <c r="S875" i="2"/>
  <c r="W875" i="2"/>
  <c r="W876" i="2"/>
  <c r="S877" i="2"/>
  <c r="W877" i="2"/>
  <c r="W878" i="2"/>
  <c r="R880" i="2"/>
  <c r="V880" i="2"/>
  <c r="D843" i="2"/>
  <c r="G843" i="2" s="1"/>
  <c r="K843" i="2" s="1"/>
  <c r="D842" i="2"/>
  <c r="G842" i="2" s="1"/>
  <c r="K842" i="2" s="1"/>
  <c r="D841" i="2"/>
  <c r="D840" i="2"/>
  <c r="G840" i="2" s="1"/>
  <c r="K840" i="2" s="1"/>
  <c r="D839" i="2"/>
  <c r="D838" i="2"/>
  <c r="D837" i="2"/>
  <c r="G837" i="2" s="1"/>
  <c r="C838" i="2"/>
  <c r="C839" i="2" s="1"/>
  <c r="C840" i="2" s="1"/>
  <c r="C841" i="2" s="1"/>
  <c r="C842" i="2" s="1"/>
  <c r="C843" i="2" s="1"/>
  <c r="G838" i="2"/>
  <c r="K838" i="2" s="1"/>
  <c r="G839" i="2"/>
  <c r="K839" i="2" s="1"/>
  <c r="G841" i="2"/>
  <c r="K841" i="2" s="1"/>
  <c r="G844" i="2"/>
  <c r="K844" i="2"/>
  <c r="G845" i="2"/>
  <c r="K845" i="2" s="1"/>
  <c r="G846" i="2"/>
  <c r="K846" i="2" s="1"/>
  <c r="G847" i="2"/>
  <c r="K847" i="2" s="1"/>
  <c r="G848" i="2"/>
  <c r="K848" i="2"/>
  <c r="G849" i="2"/>
  <c r="K849" i="2"/>
  <c r="G850" i="2"/>
  <c r="K850" i="2" s="1"/>
  <c r="G851" i="2"/>
  <c r="K851" i="2" s="1"/>
  <c r="G852" i="2"/>
  <c r="K852" i="2" s="1"/>
  <c r="G853" i="2"/>
  <c r="K853" i="2" s="1"/>
  <c r="G854" i="2"/>
  <c r="K854" i="2" s="1"/>
  <c r="G855" i="2"/>
  <c r="K855" i="2"/>
  <c r="G856" i="2"/>
  <c r="K856" i="2"/>
  <c r="G857" i="2"/>
  <c r="K857" i="2"/>
  <c r="G858" i="2"/>
  <c r="K858" i="2" s="1"/>
  <c r="G859" i="2"/>
  <c r="K859" i="2" s="1"/>
  <c r="G860" i="2"/>
  <c r="K860" i="2" s="1"/>
  <c r="G861" i="2"/>
  <c r="K861" i="2" s="1"/>
  <c r="G862" i="2"/>
  <c r="K862" i="2" s="1"/>
  <c r="G863" i="2"/>
  <c r="K863" i="2"/>
  <c r="G864" i="2"/>
  <c r="K864" i="2"/>
  <c r="G865" i="2"/>
  <c r="K865" i="2"/>
  <c r="G866" i="2"/>
  <c r="K866" i="2" s="1"/>
  <c r="G867" i="2"/>
  <c r="K867" i="2" s="1"/>
  <c r="G868" i="2"/>
  <c r="K868" i="2" s="1"/>
  <c r="G869" i="2"/>
  <c r="K869" i="2" s="1"/>
  <c r="G870" i="2"/>
  <c r="K870" i="2" s="1"/>
  <c r="G877" i="2"/>
  <c r="K877" i="2"/>
  <c r="E880" i="2"/>
  <c r="F880" i="2"/>
  <c r="I880" i="2"/>
  <c r="J880" i="2"/>
  <c r="W935" i="2" l="1"/>
  <c r="AI842" i="2"/>
  <c r="AB880" i="2"/>
  <c r="AI837" i="2"/>
  <c r="AE880" i="2"/>
  <c r="W839" i="2"/>
  <c r="S837" i="2"/>
  <c r="W837" i="2"/>
  <c r="W880" i="2" s="1"/>
  <c r="S880" i="2"/>
  <c r="P880" i="2"/>
  <c r="D880" i="2"/>
  <c r="K837" i="2"/>
  <c r="K880" i="2" s="1"/>
  <c r="G880" i="2"/>
  <c r="AB792" i="2"/>
  <c r="AB791" i="2"/>
  <c r="AE791" i="2" s="1"/>
  <c r="AI791" i="2" s="1"/>
  <c r="AB790" i="2"/>
  <c r="AE790" i="2" s="1"/>
  <c r="AI790" i="2" s="1"/>
  <c r="AB789" i="2"/>
  <c r="AB788" i="2"/>
  <c r="AE788" i="2" s="1"/>
  <c r="AI788" i="2" s="1"/>
  <c r="AC787" i="2"/>
  <c r="AB787" i="2"/>
  <c r="AB786" i="2"/>
  <c r="AE786" i="2" s="1"/>
  <c r="AI786" i="2" s="1"/>
  <c r="AB785" i="2"/>
  <c r="AE785" i="2" s="1"/>
  <c r="AI785" i="2" s="1"/>
  <c r="AG784" i="2"/>
  <c r="AG825" i="2" s="1"/>
  <c r="AB784" i="2"/>
  <c r="AC783" i="2"/>
  <c r="AB783" i="2"/>
  <c r="AC782" i="2"/>
  <c r="AB782" i="2"/>
  <c r="AE782" i="2" s="1"/>
  <c r="AI782" i="2" s="1"/>
  <c r="AA787" i="2"/>
  <c r="AA788" i="2" s="1"/>
  <c r="AA789" i="2" s="1"/>
  <c r="AA790" i="2" s="1"/>
  <c r="AA791" i="2" s="1"/>
  <c r="AA792" i="2" s="1"/>
  <c r="AA783" i="2"/>
  <c r="AA784" i="2" s="1"/>
  <c r="AA785" i="2" s="1"/>
  <c r="AA786" i="2" s="1"/>
  <c r="AE783" i="2"/>
  <c r="AI783" i="2" s="1"/>
  <c r="AE784" i="2"/>
  <c r="AE789" i="2"/>
  <c r="AI789" i="2" s="1"/>
  <c r="AE792" i="2"/>
  <c r="AI792" i="2"/>
  <c r="AE793" i="2"/>
  <c r="AI793" i="2"/>
  <c r="AE794" i="2"/>
  <c r="AI794" i="2" s="1"/>
  <c r="AE795" i="2"/>
  <c r="AI795" i="2"/>
  <c r="AE796" i="2"/>
  <c r="AI796" i="2"/>
  <c r="AE797" i="2"/>
  <c r="AI797" i="2"/>
  <c r="AE798" i="2"/>
  <c r="AI798" i="2"/>
  <c r="AE799" i="2"/>
  <c r="AI799" i="2" s="1"/>
  <c r="AE800" i="2"/>
  <c r="AI800" i="2"/>
  <c r="AE801" i="2"/>
  <c r="AI801" i="2"/>
  <c r="AE802" i="2"/>
  <c r="AI802" i="2" s="1"/>
  <c r="AE803" i="2"/>
  <c r="AI803" i="2"/>
  <c r="AE804" i="2"/>
  <c r="AI804" i="2"/>
  <c r="AE805" i="2"/>
  <c r="AI805" i="2"/>
  <c r="AE806" i="2"/>
  <c r="AI806" i="2"/>
  <c r="AE807" i="2"/>
  <c r="AI807" i="2" s="1"/>
  <c r="AE808" i="2"/>
  <c r="AI808" i="2"/>
  <c r="AE809" i="2"/>
  <c r="AI809" i="2"/>
  <c r="AE810" i="2"/>
  <c r="AI810" i="2" s="1"/>
  <c r="AE811" i="2"/>
  <c r="AI811" i="2"/>
  <c r="AE812" i="2"/>
  <c r="AI812" i="2"/>
  <c r="AE813" i="2"/>
  <c r="AI813" i="2"/>
  <c r="AE814" i="2"/>
  <c r="AI814" i="2"/>
  <c r="AE815" i="2"/>
  <c r="AI815" i="2" s="1"/>
  <c r="AE816" i="2"/>
  <c r="AI816" i="2"/>
  <c r="AE817" i="2"/>
  <c r="AI817" i="2"/>
  <c r="AE818" i="2"/>
  <c r="AI818" i="2" s="1"/>
  <c r="AE819" i="2"/>
  <c r="AI819" i="2"/>
  <c r="AE820" i="2"/>
  <c r="AI820" i="2"/>
  <c r="AI821" i="2"/>
  <c r="AE822" i="2"/>
  <c r="AI822" i="2"/>
  <c r="AI823" i="2"/>
  <c r="AD825" i="2"/>
  <c r="AH825" i="2"/>
  <c r="P784" i="2"/>
  <c r="Q783" i="2"/>
  <c r="P783" i="2"/>
  <c r="P782" i="2"/>
  <c r="S782" i="2" s="1"/>
  <c r="O783" i="2"/>
  <c r="O784" i="2" s="1"/>
  <c r="S784" i="2"/>
  <c r="W784" i="2" s="1"/>
  <c r="S785" i="2"/>
  <c r="W785" i="2" s="1"/>
  <c r="S786" i="2"/>
  <c r="W786" i="2"/>
  <c r="S787" i="2"/>
  <c r="W787" i="2"/>
  <c r="S788" i="2"/>
  <c r="W788" i="2"/>
  <c r="S789" i="2"/>
  <c r="W789" i="2" s="1"/>
  <c r="S790" i="2"/>
  <c r="W790" i="2" s="1"/>
  <c r="S791" i="2"/>
  <c r="W791" i="2"/>
  <c r="S792" i="2"/>
  <c r="W792" i="2" s="1"/>
  <c r="S793" i="2"/>
  <c r="W793" i="2"/>
  <c r="S794" i="2"/>
  <c r="W794" i="2"/>
  <c r="S795" i="2"/>
  <c r="W795" i="2"/>
  <c r="S796" i="2"/>
  <c r="W796" i="2" s="1"/>
  <c r="S797" i="2"/>
  <c r="W797" i="2"/>
  <c r="S798" i="2"/>
  <c r="W798" i="2" s="1"/>
  <c r="S799" i="2"/>
  <c r="W799" i="2"/>
  <c r="S800" i="2"/>
  <c r="W800" i="2" s="1"/>
  <c r="S801" i="2"/>
  <c r="W801" i="2"/>
  <c r="S802" i="2"/>
  <c r="W802" i="2"/>
  <c r="S803" i="2"/>
  <c r="W803" i="2"/>
  <c r="S804" i="2"/>
  <c r="W804" i="2" s="1"/>
  <c r="S805" i="2"/>
  <c r="W805" i="2"/>
  <c r="S806" i="2"/>
  <c r="W806" i="2" s="1"/>
  <c r="S807" i="2"/>
  <c r="W807" i="2"/>
  <c r="S808" i="2"/>
  <c r="W808" i="2" s="1"/>
  <c r="S809" i="2"/>
  <c r="W809" i="2"/>
  <c r="S810" i="2"/>
  <c r="W810" i="2"/>
  <c r="S811" i="2"/>
  <c r="W811" i="2"/>
  <c r="S812" i="2"/>
  <c r="W812" i="2" s="1"/>
  <c r="S813" i="2"/>
  <c r="W813" i="2"/>
  <c r="S814" i="2"/>
  <c r="W814" i="2" s="1"/>
  <c r="S815" i="2"/>
  <c r="W815" i="2"/>
  <c r="S816" i="2"/>
  <c r="W816" i="2" s="1"/>
  <c r="S817" i="2"/>
  <c r="W817" i="2"/>
  <c r="S818" i="2"/>
  <c r="W818" i="2"/>
  <c r="S819" i="2"/>
  <c r="W819" i="2"/>
  <c r="S820" i="2"/>
  <c r="W820" i="2" s="1"/>
  <c r="W821" i="2"/>
  <c r="S822" i="2"/>
  <c r="W822" i="2"/>
  <c r="W823" i="2"/>
  <c r="Q825" i="2"/>
  <c r="R825" i="2"/>
  <c r="U825" i="2"/>
  <c r="V825" i="2"/>
  <c r="D792" i="2"/>
  <c r="G792" i="2" s="1"/>
  <c r="K792" i="2" s="1"/>
  <c r="D791" i="2"/>
  <c r="D790" i="2"/>
  <c r="D789" i="2"/>
  <c r="G789" i="2" s="1"/>
  <c r="K789" i="2" s="1"/>
  <c r="D788" i="2"/>
  <c r="G788" i="2" s="1"/>
  <c r="K788" i="2" s="1"/>
  <c r="D787" i="2"/>
  <c r="G787" i="2" s="1"/>
  <c r="K787" i="2" s="1"/>
  <c r="D786" i="2"/>
  <c r="G786" i="2" s="1"/>
  <c r="K786" i="2" s="1"/>
  <c r="D785" i="2"/>
  <c r="D784" i="2"/>
  <c r="G784" i="2" s="1"/>
  <c r="K784" i="2" s="1"/>
  <c r="D783" i="2"/>
  <c r="G783" i="2" s="1"/>
  <c r="K783" i="2" s="1"/>
  <c r="D782" i="2"/>
  <c r="G782" i="2" s="1"/>
  <c r="C787" i="2"/>
  <c r="C788" i="2" s="1"/>
  <c r="C789" i="2" s="1"/>
  <c r="C790" i="2" s="1"/>
  <c r="C791" i="2" s="1"/>
  <c r="C792" i="2" s="1"/>
  <c r="C783" i="2"/>
  <c r="C784" i="2" s="1"/>
  <c r="C785" i="2" s="1"/>
  <c r="C786" i="2" s="1"/>
  <c r="G785" i="2"/>
  <c r="K785" i="2" s="1"/>
  <c r="I825" i="2"/>
  <c r="J825" i="2"/>
  <c r="G790" i="2"/>
  <c r="K790" i="2" s="1"/>
  <c r="G791" i="2"/>
  <c r="K791" i="2" s="1"/>
  <c r="G793" i="2"/>
  <c r="K793" i="2"/>
  <c r="G794" i="2"/>
  <c r="K794" i="2"/>
  <c r="G795" i="2"/>
  <c r="K795" i="2"/>
  <c r="G796" i="2"/>
  <c r="K796" i="2"/>
  <c r="G797" i="2"/>
  <c r="K797" i="2"/>
  <c r="G798" i="2"/>
  <c r="K798" i="2"/>
  <c r="G799" i="2"/>
  <c r="K799" i="2" s="1"/>
  <c r="G800" i="2"/>
  <c r="K800" i="2"/>
  <c r="G801" i="2"/>
  <c r="K801" i="2"/>
  <c r="G802" i="2"/>
  <c r="K802" i="2"/>
  <c r="G803" i="2"/>
  <c r="K803" i="2" s="1"/>
  <c r="G804" i="2"/>
  <c r="K804" i="2"/>
  <c r="G805" i="2"/>
  <c r="K805" i="2"/>
  <c r="G806" i="2"/>
  <c r="K806" i="2" s="1"/>
  <c r="G807" i="2"/>
  <c r="K807" i="2" s="1"/>
  <c r="G808" i="2"/>
  <c r="K808" i="2"/>
  <c r="G809" i="2"/>
  <c r="K809" i="2"/>
  <c r="G810" i="2"/>
  <c r="K810" i="2"/>
  <c r="G811" i="2"/>
  <c r="K811" i="2"/>
  <c r="G812" i="2"/>
  <c r="K812" i="2"/>
  <c r="G813" i="2"/>
  <c r="K813" i="2"/>
  <c r="G814" i="2"/>
  <c r="K814" i="2"/>
  <c r="G815" i="2"/>
  <c r="K815" i="2" s="1"/>
  <c r="G822" i="2"/>
  <c r="K822" i="2"/>
  <c r="E825" i="2"/>
  <c r="F825" i="2"/>
  <c r="AI880" i="2" l="1"/>
  <c r="AE787" i="2"/>
  <c r="AI787" i="2" s="1"/>
  <c r="AI825" i="2" s="1"/>
  <c r="AC825" i="2"/>
  <c r="AI784" i="2"/>
  <c r="AB825" i="2"/>
  <c r="S783" i="2"/>
  <c r="W783" i="2" s="1"/>
  <c r="W782" i="2"/>
  <c r="S825" i="2"/>
  <c r="P825" i="2"/>
  <c r="D825" i="2"/>
  <c r="G825" i="2"/>
  <c r="K782" i="2"/>
  <c r="K825" i="2" s="1"/>
  <c r="AB727" i="2"/>
  <c r="AE825" i="2" l="1"/>
  <c r="W825" i="2"/>
  <c r="AB731" i="2"/>
  <c r="AB730" i="2"/>
  <c r="AC730" i="2"/>
  <c r="AE730" i="2" s="1"/>
  <c r="AI730" i="2" s="1"/>
  <c r="AC729" i="2"/>
  <c r="AB729" i="2"/>
  <c r="AC728" i="2"/>
  <c r="AB728" i="2"/>
  <c r="AE728" i="2" s="1"/>
  <c r="AI728" i="2" s="1"/>
  <c r="AC727" i="2"/>
  <c r="AA728" i="2"/>
  <c r="AA729" i="2" s="1"/>
  <c r="AA730" i="2" s="1"/>
  <c r="AA731" i="2" s="1"/>
  <c r="AE731" i="2"/>
  <c r="AI731" i="2" s="1"/>
  <c r="AE732" i="2"/>
  <c r="AI732" i="2" s="1"/>
  <c r="AE733" i="2"/>
  <c r="AI733" i="2" s="1"/>
  <c r="AE734" i="2"/>
  <c r="AI734" i="2" s="1"/>
  <c r="AE735" i="2"/>
  <c r="AI735" i="2"/>
  <c r="AE736" i="2"/>
  <c r="AI736" i="2"/>
  <c r="AE737" i="2"/>
  <c r="AI737" i="2"/>
  <c r="AE738" i="2"/>
  <c r="AI738" i="2"/>
  <c r="AE739" i="2"/>
  <c r="AI739" i="2" s="1"/>
  <c r="AE740" i="2"/>
  <c r="AI740" i="2"/>
  <c r="AE741" i="2"/>
  <c r="AI741" i="2"/>
  <c r="AE742" i="2"/>
  <c r="AI742" i="2" s="1"/>
  <c r="AE743" i="2"/>
  <c r="AI743" i="2"/>
  <c r="AE744" i="2"/>
  <c r="AI744" i="2"/>
  <c r="AE745" i="2"/>
  <c r="AI745" i="2"/>
  <c r="AE746" i="2"/>
  <c r="AI746" i="2"/>
  <c r="AE747" i="2"/>
  <c r="AI747" i="2" s="1"/>
  <c r="AE748" i="2"/>
  <c r="AI748" i="2"/>
  <c r="AE749" i="2"/>
  <c r="AI749" i="2"/>
  <c r="AE750" i="2"/>
  <c r="AI750" i="2" s="1"/>
  <c r="AE751" i="2"/>
  <c r="AI751" i="2"/>
  <c r="AE752" i="2"/>
  <c r="AI752" i="2"/>
  <c r="AE753" i="2"/>
  <c r="AI753" i="2"/>
  <c r="AE754" i="2"/>
  <c r="AI754" i="2"/>
  <c r="AE755" i="2"/>
  <c r="AI755" i="2" s="1"/>
  <c r="AE756" i="2"/>
  <c r="AI756" i="2"/>
  <c r="AE757" i="2"/>
  <c r="AI757" i="2"/>
  <c r="AE758" i="2"/>
  <c r="AI758" i="2" s="1"/>
  <c r="AE759" i="2"/>
  <c r="AI759" i="2"/>
  <c r="AE760" i="2"/>
  <c r="AI760" i="2"/>
  <c r="AE761" i="2"/>
  <c r="AI761" i="2"/>
  <c r="AE762" i="2"/>
  <c r="AI762" i="2"/>
  <c r="AE763" i="2"/>
  <c r="AI763" i="2" s="1"/>
  <c r="AE764" i="2"/>
  <c r="AI764" i="2"/>
  <c r="AE765" i="2"/>
  <c r="AI765" i="2"/>
  <c r="AI766" i="2"/>
  <c r="AE767" i="2"/>
  <c r="AI767" i="2"/>
  <c r="AI768" i="2"/>
  <c r="AD770" i="2"/>
  <c r="AG770" i="2"/>
  <c r="AH770" i="2"/>
  <c r="P736" i="2"/>
  <c r="P735" i="2"/>
  <c r="S735" i="2" s="1"/>
  <c r="W735" i="2" s="1"/>
  <c r="P734" i="2"/>
  <c r="P733" i="2"/>
  <c r="S733" i="2" s="1"/>
  <c r="W733" i="2" s="1"/>
  <c r="P732" i="2"/>
  <c r="S732" i="2" s="1"/>
  <c r="W732" i="2" s="1"/>
  <c r="P731" i="2"/>
  <c r="S731" i="2" s="1"/>
  <c r="W731" i="2" s="1"/>
  <c r="P730" i="2"/>
  <c r="S730" i="2" s="1"/>
  <c r="W730" i="2" s="1"/>
  <c r="P729" i="2"/>
  <c r="Q728" i="2"/>
  <c r="Q770" i="2" s="1"/>
  <c r="P728" i="2"/>
  <c r="P727" i="2"/>
  <c r="S727" i="2"/>
  <c r="O728" i="2"/>
  <c r="U770" i="2"/>
  <c r="O729" i="2"/>
  <c r="O730" i="2" s="1"/>
  <c r="O731" i="2" s="1"/>
  <c r="O732" i="2" s="1"/>
  <c r="O733" i="2" s="1"/>
  <c r="O734" i="2" s="1"/>
  <c r="O735" i="2" s="1"/>
  <c r="O736" i="2" s="1"/>
  <c r="S729" i="2"/>
  <c r="W729" i="2"/>
  <c r="S734" i="2"/>
  <c r="W734" i="2" s="1"/>
  <c r="S736" i="2"/>
  <c r="W736" i="2" s="1"/>
  <c r="S737" i="2"/>
  <c r="W737" i="2"/>
  <c r="S738" i="2"/>
  <c r="W738" i="2" s="1"/>
  <c r="S739" i="2"/>
  <c r="W739" i="2"/>
  <c r="S740" i="2"/>
  <c r="W740" i="2" s="1"/>
  <c r="S741" i="2"/>
  <c r="W741" i="2" s="1"/>
  <c r="S742" i="2"/>
  <c r="W742" i="2" s="1"/>
  <c r="S743" i="2"/>
  <c r="W743" i="2"/>
  <c r="S744" i="2"/>
  <c r="W744" i="2"/>
  <c r="S745" i="2"/>
  <c r="W745" i="2"/>
  <c r="S746" i="2"/>
  <c r="W746" i="2" s="1"/>
  <c r="S747" i="2"/>
  <c r="W747" i="2"/>
  <c r="S748" i="2"/>
  <c r="W748" i="2" s="1"/>
  <c r="S749" i="2"/>
  <c r="W749" i="2" s="1"/>
  <c r="S750" i="2"/>
  <c r="W750" i="2" s="1"/>
  <c r="S751" i="2"/>
  <c r="W751" i="2"/>
  <c r="S752" i="2"/>
  <c r="W752" i="2"/>
  <c r="S753" i="2"/>
  <c r="W753" i="2"/>
  <c r="S754" i="2"/>
  <c r="W754" i="2" s="1"/>
  <c r="S755" i="2"/>
  <c r="W755" i="2"/>
  <c r="S756" i="2"/>
  <c r="W756" i="2" s="1"/>
  <c r="S757" i="2"/>
  <c r="W757" i="2" s="1"/>
  <c r="S758" i="2"/>
  <c r="W758" i="2" s="1"/>
  <c r="S759" i="2"/>
  <c r="W759" i="2"/>
  <c r="S760" i="2"/>
  <c r="W760" i="2"/>
  <c r="S761" i="2"/>
  <c r="W761" i="2"/>
  <c r="S762" i="2"/>
  <c r="W762" i="2" s="1"/>
  <c r="S763" i="2"/>
  <c r="W763" i="2"/>
  <c r="S764" i="2"/>
  <c r="W764" i="2" s="1"/>
  <c r="S765" i="2"/>
  <c r="W765" i="2" s="1"/>
  <c r="W766" i="2"/>
  <c r="S767" i="2"/>
  <c r="W767" i="2"/>
  <c r="W768" i="2"/>
  <c r="R770" i="2"/>
  <c r="V770" i="2"/>
  <c r="J731" i="2"/>
  <c r="J770" i="2" s="1"/>
  <c r="I731" i="2"/>
  <c r="E731" i="2"/>
  <c r="E770" i="2" s="1"/>
  <c r="D731" i="2"/>
  <c r="I730" i="2"/>
  <c r="I770" i="2" s="1"/>
  <c r="D730" i="2"/>
  <c r="D729" i="2"/>
  <c r="G729" i="2" s="1"/>
  <c r="K729" i="2" s="1"/>
  <c r="D728" i="2"/>
  <c r="G728" i="2" s="1"/>
  <c r="K728" i="2" s="1"/>
  <c r="D727" i="2"/>
  <c r="G727" i="2"/>
  <c r="C728" i="2"/>
  <c r="C729" i="2" s="1"/>
  <c r="C730" i="2" s="1"/>
  <c r="C731" i="2" s="1"/>
  <c r="G730" i="2"/>
  <c r="G732" i="2"/>
  <c r="K732" i="2" s="1"/>
  <c r="G733" i="2"/>
  <c r="K733" i="2" s="1"/>
  <c r="G734" i="2"/>
  <c r="K734" i="2"/>
  <c r="G735" i="2"/>
  <c r="K735" i="2" s="1"/>
  <c r="G736" i="2"/>
  <c r="K736" i="2" s="1"/>
  <c r="G737" i="2"/>
  <c r="K737" i="2"/>
  <c r="G738" i="2"/>
  <c r="K738" i="2" s="1"/>
  <c r="G739" i="2"/>
  <c r="K739" i="2"/>
  <c r="G740" i="2"/>
  <c r="K740" i="2"/>
  <c r="G741" i="2"/>
  <c r="K741" i="2"/>
  <c r="G742" i="2"/>
  <c r="K742" i="2" s="1"/>
  <c r="G743" i="2"/>
  <c r="K743" i="2"/>
  <c r="G744" i="2"/>
  <c r="K744" i="2"/>
  <c r="G745" i="2"/>
  <c r="K745" i="2"/>
  <c r="G746" i="2"/>
  <c r="K746" i="2" s="1"/>
  <c r="G747" i="2"/>
  <c r="K747" i="2"/>
  <c r="G748" i="2"/>
  <c r="K748" i="2"/>
  <c r="G749" i="2"/>
  <c r="K749" i="2"/>
  <c r="G750" i="2"/>
  <c r="K750" i="2" s="1"/>
  <c r="G751" i="2"/>
  <c r="K751" i="2"/>
  <c r="G752" i="2"/>
  <c r="K752" i="2"/>
  <c r="G753" i="2"/>
  <c r="K753" i="2"/>
  <c r="G754" i="2"/>
  <c r="K754" i="2" s="1"/>
  <c r="G755" i="2"/>
  <c r="K755" i="2"/>
  <c r="G756" i="2"/>
  <c r="K756" i="2"/>
  <c r="G757" i="2"/>
  <c r="K757" i="2"/>
  <c r="G758" i="2"/>
  <c r="K758" i="2" s="1"/>
  <c r="G759" i="2"/>
  <c r="K759" i="2"/>
  <c r="G760" i="2"/>
  <c r="K760" i="2"/>
  <c r="G767" i="2"/>
  <c r="K767" i="2"/>
  <c r="F770" i="2"/>
  <c r="AC770" i="2" l="1"/>
  <c r="AB770" i="2"/>
  <c r="AE727" i="2"/>
  <c r="AI727" i="2" s="1"/>
  <c r="AE729" i="2"/>
  <c r="S728" i="2"/>
  <c r="W728" i="2" s="1"/>
  <c r="W727" i="2"/>
  <c r="S770" i="2"/>
  <c r="P770" i="2"/>
  <c r="G731" i="2"/>
  <c r="K731" i="2" s="1"/>
  <c r="K730" i="2"/>
  <c r="G770" i="2"/>
  <c r="D770" i="2"/>
  <c r="K727" i="2"/>
  <c r="AB679" i="2"/>
  <c r="AH678" i="2"/>
  <c r="AH715" i="2"/>
  <c r="AC678" i="2"/>
  <c r="AC715" i="2" s="1"/>
  <c r="AB678" i="2"/>
  <c r="AG677" i="2"/>
  <c r="AB677" i="2"/>
  <c r="AC676" i="2"/>
  <c r="AE676" i="2" s="1"/>
  <c r="AI676" i="2" s="1"/>
  <c r="AB676" i="2"/>
  <c r="AC675" i="2"/>
  <c r="AB675" i="2"/>
  <c r="AG674" i="2"/>
  <c r="AB674" i="2"/>
  <c r="AB673" i="2"/>
  <c r="AG672" i="2"/>
  <c r="AB672" i="2"/>
  <c r="AE672" i="2" s="1"/>
  <c r="AA673" i="2"/>
  <c r="AA674" i="2" s="1"/>
  <c r="AA675" i="2" s="1"/>
  <c r="AA676" i="2" s="1"/>
  <c r="AA677" i="2" s="1"/>
  <c r="AA678" i="2" s="1"/>
  <c r="AA679" i="2" s="1"/>
  <c r="AE673" i="2"/>
  <c r="AE674" i="2"/>
  <c r="AE677" i="2"/>
  <c r="AI677" i="2" s="1"/>
  <c r="AE679" i="2"/>
  <c r="AI679" i="2" s="1"/>
  <c r="AE680" i="2"/>
  <c r="AI680" i="2" s="1"/>
  <c r="AE681" i="2"/>
  <c r="AI681" i="2"/>
  <c r="AE682" i="2"/>
  <c r="AI682" i="2"/>
  <c r="AE683" i="2"/>
  <c r="AI683" i="2"/>
  <c r="AE684" i="2"/>
  <c r="AI684" i="2" s="1"/>
  <c r="AE685" i="2"/>
  <c r="AI685" i="2"/>
  <c r="AE686" i="2"/>
  <c r="AI686" i="2"/>
  <c r="AE687" i="2"/>
  <c r="AI687" i="2" s="1"/>
  <c r="AE688" i="2"/>
  <c r="AI688" i="2" s="1"/>
  <c r="AE689" i="2"/>
  <c r="AI689" i="2"/>
  <c r="AE690" i="2"/>
  <c r="AI690" i="2"/>
  <c r="AE691" i="2"/>
  <c r="AI691" i="2"/>
  <c r="AE692" i="2"/>
  <c r="AI692" i="2" s="1"/>
  <c r="AE693" i="2"/>
  <c r="AI693" i="2"/>
  <c r="AE694" i="2"/>
  <c r="AI694" i="2"/>
  <c r="AE695" i="2"/>
  <c r="AI695" i="2" s="1"/>
  <c r="AE696" i="2"/>
  <c r="AI696" i="2" s="1"/>
  <c r="AE697" i="2"/>
  <c r="AI697" i="2"/>
  <c r="AE698" i="2"/>
  <c r="AI698" i="2"/>
  <c r="AE699" i="2"/>
  <c r="AI699" i="2"/>
  <c r="AE700" i="2"/>
  <c r="AI700" i="2" s="1"/>
  <c r="AE701" i="2"/>
  <c r="AI701" i="2"/>
  <c r="AE702" i="2"/>
  <c r="AI702" i="2"/>
  <c r="AE703" i="2"/>
  <c r="AI703" i="2" s="1"/>
  <c r="AE704" i="2"/>
  <c r="AI704" i="2" s="1"/>
  <c r="AE705" i="2"/>
  <c r="AI705" i="2"/>
  <c r="AE706" i="2"/>
  <c r="AI706" i="2"/>
  <c r="AE707" i="2"/>
  <c r="AI707" i="2"/>
  <c r="AE708" i="2"/>
  <c r="AI708" i="2" s="1"/>
  <c r="AE709" i="2"/>
  <c r="AI709" i="2"/>
  <c r="AE710" i="2"/>
  <c r="AI710" i="2"/>
  <c r="AI711" i="2"/>
  <c r="AE712" i="2"/>
  <c r="AI712" i="2"/>
  <c r="AI713" i="2"/>
  <c r="AD715" i="2"/>
  <c r="P675" i="2"/>
  <c r="Q674" i="2"/>
  <c r="P674" i="2"/>
  <c r="S674" i="2" s="1"/>
  <c r="U673" i="2"/>
  <c r="U715" i="2" s="1"/>
  <c r="Q673" i="2"/>
  <c r="Q715" i="2" s="1"/>
  <c r="P673" i="2"/>
  <c r="S673" i="2" s="1"/>
  <c r="P672" i="2"/>
  <c r="S672" i="2" s="1"/>
  <c r="W672" i="2" s="1"/>
  <c r="O673" i="2"/>
  <c r="O674" i="2" s="1"/>
  <c r="O675" i="2" s="1"/>
  <c r="S675" i="2"/>
  <c r="W675" i="2" s="1"/>
  <c r="S676" i="2"/>
  <c r="W676" i="2" s="1"/>
  <c r="S677" i="2"/>
  <c r="W677" i="2" s="1"/>
  <c r="S678" i="2"/>
  <c r="W678" i="2"/>
  <c r="S679" i="2"/>
  <c r="W679" i="2"/>
  <c r="S680" i="2"/>
  <c r="W680" i="2" s="1"/>
  <c r="S681" i="2"/>
  <c r="W681" i="2"/>
  <c r="S682" i="2"/>
  <c r="W682" i="2" s="1"/>
  <c r="S683" i="2"/>
  <c r="W683" i="2" s="1"/>
  <c r="S684" i="2"/>
  <c r="W684" i="2" s="1"/>
  <c r="S685" i="2"/>
  <c r="W685" i="2"/>
  <c r="S686" i="2"/>
  <c r="W686" i="2" s="1"/>
  <c r="S687" i="2"/>
  <c r="W687" i="2"/>
  <c r="S688" i="2"/>
  <c r="W688" i="2" s="1"/>
  <c r="S689" i="2"/>
  <c r="W689" i="2" s="1"/>
  <c r="S690" i="2"/>
  <c r="W690" i="2"/>
  <c r="S691" i="2"/>
  <c r="W691" i="2"/>
  <c r="S692" i="2"/>
  <c r="W692" i="2"/>
  <c r="S693" i="2"/>
  <c r="W693" i="2" s="1"/>
  <c r="S694" i="2"/>
  <c r="W694" i="2"/>
  <c r="S695" i="2"/>
  <c r="W695" i="2"/>
  <c r="S696" i="2"/>
  <c r="W696" i="2"/>
  <c r="S697" i="2"/>
  <c r="W697" i="2" s="1"/>
  <c r="S698" i="2"/>
  <c r="W698" i="2"/>
  <c r="S699" i="2"/>
  <c r="W699" i="2"/>
  <c r="S700" i="2"/>
  <c r="W700" i="2"/>
  <c r="S701" i="2"/>
  <c r="W701" i="2" s="1"/>
  <c r="S702" i="2"/>
  <c r="W702" i="2"/>
  <c r="S703" i="2"/>
  <c r="W703" i="2"/>
  <c r="S704" i="2"/>
  <c r="W704" i="2"/>
  <c r="S705" i="2"/>
  <c r="W705" i="2" s="1"/>
  <c r="S706" i="2"/>
  <c r="W706" i="2"/>
  <c r="S707" i="2"/>
  <c r="W707" i="2"/>
  <c r="S708" i="2"/>
  <c r="W708" i="2"/>
  <c r="S709" i="2"/>
  <c r="W709" i="2" s="1"/>
  <c r="S710" i="2"/>
  <c r="W710" i="2"/>
  <c r="W711" i="2"/>
  <c r="S712" i="2"/>
  <c r="W712" i="2"/>
  <c r="W713" i="2"/>
  <c r="R715" i="2"/>
  <c r="V715" i="2"/>
  <c r="D681" i="2"/>
  <c r="G681" i="2" s="1"/>
  <c r="K681" i="2" s="1"/>
  <c r="E680" i="2"/>
  <c r="D680" i="2"/>
  <c r="E679" i="2"/>
  <c r="E715" i="2" s="1"/>
  <c r="D679" i="2"/>
  <c r="J678" i="2"/>
  <c r="D678" i="2"/>
  <c r="D677" i="2"/>
  <c r="G677" i="2" s="1"/>
  <c r="K677" i="2" s="1"/>
  <c r="D676" i="2"/>
  <c r="G676" i="2" s="1"/>
  <c r="K676" i="2" s="1"/>
  <c r="D675" i="2"/>
  <c r="D674" i="2"/>
  <c r="D673" i="2"/>
  <c r="D672" i="2"/>
  <c r="I715" i="2"/>
  <c r="F715" i="2"/>
  <c r="G712" i="2"/>
  <c r="K712" i="2" s="1"/>
  <c r="G705" i="2"/>
  <c r="K705" i="2" s="1"/>
  <c r="G704" i="2"/>
  <c r="K704" i="2" s="1"/>
  <c r="K703" i="2"/>
  <c r="G703" i="2"/>
  <c r="G702" i="2"/>
  <c r="K702" i="2" s="1"/>
  <c r="G701" i="2"/>
  <c r="K701" i="2" s="1"/>
  <c r="K700" i="2"/>
  <c r="G700" i="2"/>
  <c r="K699" i="2"/>
  <c r="G699" i="2"/>
  <c r="G698" i="2"/>
  <c r="K698" i="2" s="1"/>
  <c r="G697" i="2"/>
  <c r="K697" i="2" s="1"/>
  <c r="G696" i="2"/>
  <c r="K696" i="2" s="1"/>
  <c r="K695" i="2"/>
  <c r="G695" i="2"/>
  <c r="G694" i="2"/>
  <c r="K694" i="2" s="1"/>
  <c r="G693" i="2"/>
  <c r="K693" i="2" s="1"/>
  <c r="K692" i="2"/>
  <c r="G692" i="2"/>
  <c r="K691" i="2"/>
  <c r="G691" i="2"/>
  <c r="G690" i="2"/>
  <c r="K690" i="2" s="1"/>
  <c r="G689" i="2"/>
  <c r="K689" i="2" s="1"/>
  <c r="G688" i="2"/>
  <c r="K688" i="2" s="1"/>
  <c r="K687" i="2"/>
  <c r="G687" i="2"/>
  <c r="G686" i="2"/>
  <c r="K686" i="2" s="1"/>
  <c r="G685" i="2"/>
  <c r="K685" i="2" s="1"/>
  <c r="K684" i="2"/>
  <c r="G684" i="2"/>
  <c r="K683" i="2"/>
  <c r="G683" i="2"/>
  <c r="G682" i="2"/>
  <c r="K682" i="2" s="1"/>
  <c r="G680" i="2"/>
  <c r="K680" i="2" s="1"/>
  <c r="G678" i="2"/>
  <c r="K678" i="2" s="1"/>
  <c r="J715" i="2"/>
  <c r="G675" i="2"/>
  <c r="K675" i="2" s="1"/>
  <c r="G674" i="2"/>
  <c r="K674" i="2" s="1"/>
  <c r="G673" i="2"/>
  <c r="K673" i="2" s="1"/>
  <c r="C673" i="2"/>
  <c r="C674" i="2" s="1"/>
  <c r="C675" i="2" s="1"/>
  <c r="C676" i="2" s="1"/>
  <c r="C677" i="2" s="1"/>
  <c r="C678" i="2" s="1"/>
  <c r="C679" i="2" s="1"/>
  <c r="C680" i="2" s="1"/>
  <c r="C681" i="2" s="1"/>
  <c r="AE770" i="2" l="1"/>
  <c r="AI729" i="2"/>
  <c r="AI770" i="2" s="1"/>
  <c r="W770" i="2"/>
  <c r="K770" i="2"/>
  <c r="AE678" i="2"/>
  <c r="AI678" i="2" s="1"/>
  <c r="AE675" i="2"/>
  <c r="AI675" i="2" s="1"/>
  <c r="AI674" i="2"/>
  <c r="AG715" i="2"/>
  <c r="AI672" i="2"/>
  <c r="AB715" i="2"/>
  <c r="AE715" i="2"/>
  <c r="AI673" i="2"/>
  <c r="W673" i="2"/>
  <c r="P715" i="2"/>
  <c r="S715" i="2"/>
  <c r="W674" i="2"/>
  <c r="W715" i="2" s="1"/>
  <c r="G679" i="2"/>
  <c r="K679" i="2" s="1"/>
  <c r="D715" i="2"/>
  <c r="G672" i="2"/>
  <c r="AB625" i="2"/>
  <c r="AH624" i="2"/>
  <c r="AC624" i="2"/>
  <c r="AE624" i="2" s="1"/>
  <c r="AI624" i="2" s="1"/>
  <c r="AB624" i="2"/>
  <c r="AH622" i="2"/>
  <c r="AH660" i="2" s="1"/>
  <c r="AG622" i="2"/>
  <c r="AG660" i="2" s="1"/>
  <c r="AC622" i="2"/>
  <c r="AB622" i="2"/>
  <c r="AE622" i="2" s="1"/>
  <c r="AC621" i="2"/>
  <c r="AE621" i="2" s="1"/>
  <c r="AI621" i="2" s="1"/>
  <c r="AB621" i="2"/>
  <c r="AB620" i="2"/>
  <c r="AE620" i="2" s="1"/>
  <c r="AI620" i="2" s="1"/>
  <c r="AB619" i="2"/>
  <c r="AB618" i="2"/>
  <c r="AE618" i="2" s="1"/>
  <c r="AI618" i="2" s="1"/>
  <c r="AC617" i="2"/>
  <c r="AB617" i="2"/>
  <c r="AA624" i="2"/>
  <c r="AA625" i="2" s="1"/>
  <c r="AA618" i="2"/>
  <c r="AA619" i="2" s="1"/>
  <c r="AA620" i="2" s="1"/>
  <c r="AA621" i="2" s="1"/>
  <c r="AA622" i="2" s="1"/>
  <c r="AA623" i="2" s="1"/>
  <c r="AE619" i="2"/>
  <c r="AI619" i="2" s="1"/>
  <c r="AE623" i="2"/>
  <c r="AI623" i="2" s="1"/>
  <c r="AE625" i="2"/>
  <c r="AI625" i="2" s="1"/>
  <c r="AE626" i="2"/>
  <c r="AI626" i="2" s="1"/>
  <c r="AE627" i="2"/>
  <c r="AI627" i="2" s="1"/>
  <c r="AE628" i="2"/>
  <c r="AI628" i="2" s="1"/>
  <c r="AE629" i="2"/>
  <c r="AI629" i="2"/>
  <c r="AE630" i="2"/>
  <c r="AI630" i="2" s="1"/>
  <c r="AE631" i="2"/>
  <c r="AI631" i="2"/>
  <c r="AE632" i="2"/>
  <c r="AI632" i="2"/>
  <c r="AE633" i="2"/>
  <c r="AI633" i="2"/>
  <c r="AE634" i="2"/>
  <c r="AI634" i="2"/>
  <c r="AE635" i="2"/>
  <c r="AI635" i="2"/>
  <c r="AE636" i="2"/>
  <c r="AI636" i="2" s="1"/>
  <c r="AE637" i="2"/>
  <c r="AI637" i="2"/>
  <c r="AE638" i="2"/>
  <c r="AI638" i="2" s="1"/>
  <c r="AE639" i="2"/>
  <c r="AI639" i="2"/>
  <c r="AE640" i="2"/>
  <c r="AI640" i="2"/>
  <c r="AE641" i="2"/>
  <c r="AI641" i="2"/>
  <c r="AE642" i="2"/>
  <c r="AI642" i="2"/>
  <c r="AE643" i="2"/>
  <c r="AI643" i="2"/>
  <c r="AE644" i="2"/>
  <c r="AI644" i="2" s="1"/>
  <c r="AE645" i="2"/>
  <c r="AI645" i="2"/>
  <c r="AE646" i="2"/>
  <c r="AI646" i="2" s="1"/>
  <c r="AE647" i="2"/>
  <c r="AI647" i="2"/>
  <c r="AE648" i="2"/>
  <c r="AI648" i="2"/>
  <c r="AE649" i="2"/>
  <c r="AI649" i="2"/>
  <c r="AE650" i="2"/>
  <c r="AI650" i="2"/>
  <c r="AE651" i="2"/>
  <c r="AI651" i="2"/>
  <c r="AE652" i="2"/>
  <c r="AI652" i="2" s="1"/>
  <c r="AE653" i="2"/>
  <c r="AI653" i="2"/>
  <c r="AE654" i="2"/>
  <c r="AI654" i="2" s="1"/>
  <c r="AE655" i="2"/>
  <c r="AI655" i="2"/>
  <c r="AI656" i="2"/>
  <c r="AE657" i="2"/>
  <c r="AI657" i="2"/>
  <c r="AI658" i="2"/>
  <c r="AD660" i="2"/>
  <c r="P633" i="2"/>
  <c r="P632" i="2"/>
  <c r="O632" i="2"/>
  <c r="O633" i="2"/>
  <c r="P631" i="2"/>
  <c r="P630" i="2"/>
  <c r="S630" i="2" s="1"/>
  <c r="W630" i="2" s="1"/>
  <c r="P629" i="2"/>
  <c r="P628" i="2"/>
  <c r="P627" i="2"/>
  <c r="S627" i="2" s="1"/>
  <c r="W627" i="2" s="1"/>
  <c r="P626" i="2"/>
  <c r="S626" i="2" s="1"/>
  <c r="W626" i="2" s="1"/>
  <c r="P625" i="2"/>
  <c r="P624" i="2"/>
  <c r="V623" i="2"/>
  <c r="V660" i="2" s="1"/>
  <c r="P623" i="2"/>
  <c r="S623" i="2" s="1"/>
  <c r="P622" i="2"/>
  <c r="S622" i="2" s="1"/>
  <c r="W622" i="2" s="1"/>
  <c r="P621" i="2"/>
  <c r="P620" i="2"/>
  <c r="P619" i="2"/>
  <c r="S619" i="2" s="1"/>
  <c r="W619" i="2" s="1"/>
  <c r="V618" i="2"/>
  <c r="U618" i="2"/>
  <c r="Q618" i="2"/>
  <c r="S618" i="2" s="1"/>
  <c r="P618" i="2"/>
  <c r="P617" i="2"/>
  <c r="O622" i="2"/>
  <c r="O623" i="2" s="1"/>
  <c r="O624" i="2" s="1"/>
  <c r="O625" i="2" s="1"/>
  <c r="O626" i="2" s="1"/>
  <c r="O627" i="2" s="1"/>
  <c r="O628" i="2" s="1"/>
  <c r="O629" i="2" s="1"/>
  <c r="O630" i="2" s="1"/>
  <c r="O631" i="2" s="1"/>
  <c r="S617" i="2"/>
  <c r="O618" i="2"/>
  <c r="O619" i="2" s="1"/>
  <c r="O620" i="2" s="1"/>
  <c r="O621" i="2" s="1"/>
  <c r="S620" i="2"/>
  <c r="W620" i="2" s="1"/>
  <c r="S621" i="2"/>
  <c r="W621" i="2"/>
  <c r="S624" i="2"/>
  <c r="W624" i="2" s="1"/>
  <c r="S625" i="2"/>
  <c r="W625" i="2"/>
  <c r="S628" i="2"/>
  <c r="W628" i="2" s="1"/>
  <c r="S629" i="2"/>
  <c r="W629" i="2"/>
  <c r="S631" i="2"/>
  <c r="W631" i="2" s="1"/>
  <c r="S632" i="2"/>
  <c r="W632" i="2" s="1"/>
  <c r="S633" i="2"/>
  <c r="W633" i="2"/>
  <c r="S634" i="2"/>
  <c r="W634" i="2" s="1"/>
  <c r="S635" i="2"/>
  <c r="W635" i="2" s="1"/>
  <c r="S636" i="2"/>
  <c r="W636" i="2"/>
  <c r="S637" i="2"/>
  <c r="W637" i="2"/>
  <c r="S638" i="2"/>
  <c r="W638" i="2"/>
  <c r="S639" i="2"/>
  <c r="W639" i="2" s="1"/>
  <c r="S640" i="2"/>
  <c r="W640" i="2"/>
  <c r="S641" i="2"/>
  <c r="W641" i="2"/>
  <c r="S642" i="2"/>
  <c r="W642" i="2" s="1"/>
  <c r="S643" i="2"/>
  <c r="W643" i="2" s="1"/>
  <c r="S644" i="2"/>
  <c r="W644" i="2"/>
  <c r="S645" i="2"/>
  <c r="W645" i="2"/>
  <c r="S646" i="2"/>
  <c r="W646" i="2"/>
  <c r="S647" i="2"/>
  <c r="W647" i="2" s="1"/>
  <c r="S648" i="2"/>
  <c r="W648" i="2"/>
  <c r="S649" i="2"/>
  <c r="W649" i="2"/>
  <c r="S650" i="2"/>
  <c r="W650" i="2" s="1"/>
  <c r="S651" i="2"/>
  <c r="W651" i="2" s="1"/>
  <c r="S652" i="2"/>
  <c r="W652" i="2"/>
  <c r="S653" i="2"/>
  <c r="W653" i="2"/>
  <c r="S654" i="2"/>
  <c r="W654" i="2"/>
  <c r="S655" i="2"/>
  <c r="W655" i="2" s="1"/>
  <c r="W656" i="2"/>
  <c r="S657" i="2"/>
  <c r="W657" i="2" s="1"/>
  <c r="W658" i="2"/>
  <c r="R660" i="2"/>
  <c r="U660" i="2"/>
  <c r="AI715" i="2" l="1"/>
  <c r="G715" i="2"/>
  <c r="K672" i="2"/>
  <c r="K715" i="2" s="1"/>
  <c r="AI622" i="2"/>
  <c r="AC660" i="2"/>
  <c r="AB660" i="2"/>
  <c r="AE617" i="2"/>
  <c r="AI617" i="2" s="1"/>
  <c r="AI660" i="2"/>
  <c r="AE660" i="2"/>
  <c r="W623" i="2"/>
  <c r="P660" i="2"/>
  <c r="W618" i="2"/>
  <c r="Q660" i="2"/>
  <c r="S660" i="2"/>
  <c r="W617" i="2"/>
  <c r="W660" i="2"/>
  <c r="AB568" i="2"/>
  <c r="AE568" i="2" s="1"/>
  <c r="AI568" i="2" s="1"/>
  <c r="AB567" i="2"/>
  <c r="AC566" i="2"/>
  <c r="AE566" i="2" s="1"/>
  <c r="AI566" i="2" s="1"/>
  <c r="AB566" i="2"/>
  <c r="AB565" i="2"/>
  <c r="AE565" i="2" s="1"/>
  <c r="AI565" i="2" s="1"/>
  <c r="AG564" i="2"/>
  <c r="AG605" i="2" s="1"/>
  <c r="AB564" i="2"/>
  <c r="AE564" i="2" s="1"/>
  <c r="AC563" i="2"/>
  <c r="AB563" i="2"/>
  <c r="AE563" i="2" s="1"/>
  <c r="AH562" i="2"/>
  <c r="AC562" i="2"/>
  <c r="AB562" i="2"/>
  <c r="AA567" i="2"/>
  <c r="AA568" i="2"/>
  <c r="AA563" i="2"/>
  <c r="AA564" i="2" s="1"/>
  <c r="AA565" i="2" s="1"/>
  <c r="AA566" i="2" s="1"/>
  <c r="AE567" i="2"/>
  <c r="AI567" i="2" s="1"/>
  <c r="AE569" i="2"/>
  <c r="AI569" i="2"/>
  <c r="AE570" i="2"/>
  <c r="AI570" i="2"/>
  <c r="AE571" i="2"/>
  <c r="AI571" i="2"/>
  <c r="AE572" i="2"/>
  <c r="AI572" i="2" s="1"/>
  <c r="AE573" i="2"/>
  <c r="AI573" i="2"/>
  <c r="AE574" i="2"/>
  <c r="AI574" i="2"/>
  <c r="AE575" i="2"/>
  <c r="AI575" i="2"/>
  <c r="AE576" i="2"/>
  <c r="AI576" i="2"/>
  <c r="AE577" i="2"/>
  <c r="AI577" i="2"/>
  <c r="AE578" i="2"/>
  <c r="AI578" i="2"/>
  <c r="AE579" i="2"/>
  <c r="AI579" i="2"/>
  <c r="AE580" i="2"/>
  <c r="AI580" i="2" s="1"/>
  <c r="AE581" i="2"/>
  <c r="AI581" i="2"/>
  <c r="AE582" i="2"/>
  <c r="AI582" i="2"/>
  <c r="AE583" i="2"/>
  <c r="AI583" i="2"/>
  <c r="AE584" i="2"/>
  <c r="AI584" i="2"/>
  <c r="AE585" i="2"/>
  <c r="AI585" i="2"/>
  <c r="AE586" i="2"/>
  <c r="AI586" i="2"/>
  <c r="AE587" i="2"/>
  <c r="AI587" i="2"/>
  <c r="AE588" i="2"/>
  <c r="AI588" i="2" s="1"/>
  <c r="AE589" i="2"/>
  <c r="AI589" i="2"/>
  <c r="AE590" i="2"/>
  <c r="AI590" i="2"/>
  <c r="AE591" i="2"/>
  <c r="AI591" i="2"/>
  <c r="AE592" i="2"/>
  <c r="AI592" i="2"/>
  <c r="AE593" i="2"/>
  <c r="AI593" i="2" s="1"/>
  <c r="AE594" i="2"/>
  <c r="AI594" i="2"/>
  <c r="AE595" i="2"/>
  <c r="AI595" i="2"/>
  <c r="AE596" i="2"/>
  <c r="AI596" i="2" s="1"/>
  <c r="AE597" i="2"/>
  <c r="AI597" i="2"/>
  <c r="AE598" i="2"/>
  <c r="AI598" i="2"/>
  <c r="AE599" i="2"/>
  <c r="AI599" i="2"/>
  <c r="AE600" i="2"/>
  <c r="AI600" i="2"/>
  <c r="AI601" i="2"/>
  <c r="AE602" i="2"/>
  <c r="AI602" i="2"/>
  <c r="AI603" i="2"/>
  <c r="AD605" i="2"/>
  <c r="AH605" i="2"/>
  <c r="P566" i="2"/>
  <c r="P565" i="2"/>
  <c r="V565" i="2"/>
  <c r="S565" i="2"/>
  <c r="W565" i="2" s="1"/>
  <c r="P564" i="2"/>
  <c r="S564" i="2" s="1"/>
  <c r="W564" i="2" s="1"/>
  <c r="Q563" i="2"/>
  <c r="P563" i="2"/>
  <c r="S563" i="2" s="1"/>
  <c r="P562" i="2"/>
  <c r="O565" i="2"/>
  <c r="O566" i="2"/>
  <c r="S562" i="2"/>
  <c r="W562" i="2"/>
  <c r="O563" i="2"/>
  <c r="O564" i="2" s="1"/>
  <c r="S566" i="2"/>
  <c r="W566" i="2" s="1"/>
  <c r="S567" i="2"/>
  <c r="W567" i="2"/>
  <c r="S568" i="2"/>
  <c r="W568" i="2" s="1"/>
  <c r="S569" i="2"/>
  <c r="W569" i="2"/>
  <c r="S570" i="2"/>
  <c r="W570" i="2"/>
  <c r="S571" i="2"/>
  <c r="W571" i="2" s="1"/>
  <c r="S572" i="2"/>
  <c r="W572" i="2" s="1"/>
  <c r="S573" i="2"/>
  <c r="W573" i="2"/>
  <c r="S574" i="2"/>
  <c r="W574" i="2"/>
  <c r="S575" i="2"/>
  <c r="W575" i="2"/>
  <c r="S576" i="2"/>
  <c r="W576" i="2"/>
  <c r="S577" i="2"/>
  <c r="W577" i="2"/>
  <c r="S578" i="2"/>
  <c r="W578" i="2"/>
  <c r="S579" i="2"/>
  <c r="W579" i="2"/>
  <c r="S580" i="2"/>
  <c r="W580" i="2"/>
  <c r="S581" i="2"/>
  <c r="W581" i="2"/>
  <c r="S582" i="2"/>
  <c r="W582" i="2"/>
  <c r="S583" i="2"/>
  <c r="W583" i="2"/>
  <c r="S584" i="2"/>
  <c r="W584" i="2"/>
  <c r="S585" i="2"/>
  <c r="W585" i="2"/>
  <c r="S586" i="2"/>
  <c r="W586" i="2"/>
  <c r="S587" i="2"/>
  <c r="W587" i="2"/>
  <c r="S588" i="2"/>
  <c r="W588" i="2"/>
  <c r="S589" i="2"/>
  <c r="W589" i="2"/>
  <c r="S590" i="2"/>
  <c r="W590" i="2"/>
  <c r="S591" i="2"/>
  <c r="W591" i="2"/>
  <c r="S592" i="2"/>
  <c r="W592" i="2"/>
  <c r="S593" i="2"/>
  <c r="W593" i="2"/>
  <c r="S594" i="2"/>
  <c r="W594" i="2"/>
  <c r="S595" i="2"/>
  <c r="W595" i="2"/>
  <c r="S596" i="2"/>
  <c r="W596" i="2"/>
  <c r="S597" i="2"/>
  <c r="W597" i="2"/>
  <c r="S598" i="2"/>
  <c r="W598" i="2"/>
  <c r="S599" i="2"/>
  <c r="W599" i="2"/>
  <c r="S600" i="2"/>
  <c r="W600" i="2"/>
  <c r="W601" i="2"/>
  <c r="S602" i="2"/>
  <c r="W602" i="2"/>
  <c r="W603" i="2"/>
  <c r="Q605" i="2"/>
  <c r="R605" i="2"/>
  <c r="U605" i="2"/>
  <c r="V605" i="2"/>
  <c r="D571" i="2"/>
  <c r="G571" i="2" s="1"/>
  <c r="K571" i="2" s="1"/>
  <c r="D570" i="2"/>
  <c r="D569" i="2"/>
  <c r="D568" i="2"/>
  <c r="G568" i="2" s="1"/>
  <c r="K568" i="2" s="1"/>
  <c r="D567" i="2"/>
  <c r="G567" i="2" s="1"/>
  <c r="K567" i="2" s="1"/>
  <c r="D566" i="2"/>
  <c r="G566" i="2" s="1"/>
  <c r="K566" i="2" s="1"/>
  <c r="J565" i="2"/>
  <c r="J605" i="2" s="1"/>
  <c r="D565" i="2"/>
  <c r="G565" i="2" s="1"/>
  <c r="I564" i="2"/>
  <c r="D564" i="2"/>
  <c r="G564" i="2" s="1"/>
  <c r="K564" i="2" s="1"/>
  <c r="D563" i="2"/>
  <c r="I562" i="2"/>
  <c r="I605" i="2" s="1"/>
  <c r="D562" i="2"/>
  <c r="C565" i="2"/>
  <c r="C566" i="2" s="1"/>
  <c r="C567" i="2" s="1"/>
  <c r="C568" i="2" s="1"/>
  <c r="C569" i="2" s="1"/>
  <c r="C570" i="2" s="1"/>
  <c r="C571" i="2" s="1"/>
  <c r="C563" i="2"/>
  <c r="G563" i="2"/>
  <c r="K563" i="2" s="1"/>
  <c r="E605" i="2"/>
  <c r="C564" i="2"/>
  <c r="G569" i="2"/>
  <c r="K569" i="2"/>
  <c r="G570" i="2"/>
  <c r="K570" i="2"/>
  <c r="G572" i="2"/>
  <c r="K572" i="2" s="1"/>
  <c r="G573" i="2"/>
  <c r="K573" i="2"/>
  <c r="G574" i="2"/>
  <c r="K574" i="2"/>
  <c r="G575" i="2"/>
  <c r="K575" i="2"/>
  <c r="G576" i="2"/>
  <c r="K576" i="2"/>
  <c r="G577" i="2"/>
  <c r="K577" i="2" s="1"/>
  <c r="G578" i="2"/>
  <c r="K578" i="2"/>
  <c r="G579" i="2"/>
  <c r="K579" i="2"/>
  <c r="G580" i="2"/>
  <c r="K580" i="2" s="1"/>
  <c r="G581" i="2"/>
  <c r="K581" i="2"/>
  <c r="G582" i="2"/>
  <c r="K582" i="2"/>
  <c r="G583" i="2"/>
  <c r="K583" i="2"/>
  <c r="G584" i="2"/>
  <c r="K584" i="2"/>
  <c r="G585" i="2"/>
  <c r="K585" i="2"/>
  <c r="G586" i="2"/>
  <c r="K586" i="2"/>
  <c r="G587" i="2"/>
  <c r="K587" i="2"/>
  <c r="G588" i="2"/>
  <c r="K588" i="2" s="1"/>
  <c r="G589" i="2"/>
  <c r="K589" i="2"/>
  <c r="G590" i="2"/>
  <c r="K590" i="2"/>
  <c r="G591" i="2"/>
  <c r="K591" i="2"/>
  <c r="G592" i="2"/>
  <c r="K592" i="2"/>
  <c r="G593" i="2"/>
  <c r="K593" i="2"/>
  <c r="G594" i="2"/>
  <c r="K594" i="2"/>
  <c r="G595" i="2"/>
  <c r="K595" i="2"/>
  <c r="G602" i="2"/>
  <c r="K602" i="2" s="1"/>
  <c r="F605" i="2"/>
  <c r="AI564" i="2" l="1"/>
  <c r="AC605" i="2"/>
  <c r="AE562" i="2"/>
  <c r="AI562" i="2" s="1"/>
  <c r="AE605" i="2"/>
  <c r="AI563" i="2"/>
  <c r="AB605" i="2"/>
  <c r="P605" i="2"/>
  <c r="W563" i="2"/>
  <c r="W605" i="2" s="1"/>
  <c r="S605" i="2"/>
  <c r="K565" i="2"/>
  <c r="D605" i="2"/>
  <c r="G562" i="2"/>
  <c r="K562" i="2" s="1"/>
  <c r="G605" i="2"/>
  <c r="AB517" i="2"/>
  <c r="AB516" i="2"/>
  <c r="AB515" i="2"/>
  <c r="AE515" i="2" s="1"/>
  <c r="AI515" i="2" s="1"/>
  <c r="AG514" i="2"/>
  <c r="AB514" i="2"/>
  <c r="AE514" i="2" s="1"/>
  <c r="AB513" i="2"/>
  <c r="AE513" i="2"/>
  <c r="AA513" i="2"/>
  <c r="AA514" i="2" s="1"/>
  <c r="AA515" i="2" s="1"/>
  <c r="AA516" i="2" s="1"/>
  <c r="AA517" i="2" s="1"/>
  <c r="AG512" i="2"/>
  <c r="AB512" i="2"/>
  <c r="AE512" i="2" s="1"/>
  <c r="AI512" i="2" s="1"/>
  <c r="AC512" i="2"/>
  <c r="AC550" i="2" s="1"/>
  <c r="AG510" i="2"/>
  <c r="AB510" i="2"/>
  <c r="AG509" i="2"/>
  <c r="AB509" i="2"/>
  <c r="AE509" i="2" s="1"/>
  <c r="AI509" i="2" s="1"/>
  <c r="AC509" i="2"/>
  <c r="AG508" i="2"/>
  <c r="AB508" i="2"/>
  <c r="AB507" i="2"/>
  <c r="AA508" i="2"/>
  <c r="AA509" i="2" s="1"/>
  <c r="AA510" i="2" s="1"/>
  <c r="AA511" i="2" s="1"/>
  <c r="AA512" i="2" s="1"/>
  <c r="AE510" i="2"/>
  <c r="AI510" i="2" s="1"/>
  <c r="AE511" i="2"/>
  <c r="AI511" i="2" s="1"/>
  <c r="AE516" i="2"/>
  <c r="AI516" i="2" s="1"/>
  <c r="AE517" i="2"/>
  <c r="AI517" i="2" s="1"/>
  <c r="AE518" i="2"/>
  <c r="AI518" i="2" s="1"/>
  <c r="AE519" i="2"/>
  <c r="AI519" i="2"/>
  <c r="AE520" i="2"/>
  <c r="AI520" i="2"/>
  <c r="AE521" i="2"/>
  <c r="AI521" i="2"/>
  <c r="AE522" i="2"/>
  <c r="AI522" i="2"/>
  <c r="AE523" i="2"/>
  <c r="AI523" i="2" s="1"/>
  <c r="AE524" i="2"/>
  <c r="AI524" i="2" s="1"/>
  <c r="AE525" i="2"/>
  <c r="AI525" i="2"/>
  <c r="AE526" i="2"/>
  <c r="AI526" i="2" s="1"/>
  <c r="AE527" i="2"/>
  <c r="AI527" i="2"/>
  <c r="AE528" i="2"/>
  <c r="AI528" i="2" s="1"/>
  <c r="AE529" i="2"/>
  <c r="AI529" i="2" s="1"/>
  <c r="AE530" i="2"/>
  <c r="AI530" i="2" s="1"/>
  <c r="AE531" i="2"/>
  <c r="AI531" i="2" s="1"/>
  <c r="AE532" i="2"/>
  <c r="AI532" i="2"/>
  <c r="AE533" i="2"/>
  <c r="AI533" i="2"/>
  <c r="AE534" i="2"/>
  <c r="AI534" i="2" s="1"/>
  <c r="AE535" i="2"/>
  <c r="AI535" i="2"/>
  <c r="AE536" i="2"/>
  <c r="AI536" i="2"/>
  <c r="AE537" i="2"/>
  <c r="AI537" i="2"/>
  <c r="AE538" i="2"/>
  <c r="AI538" i="2"/>
  <c r="AE539" i="2"/>
  <c r="AI539" i="2" s="1"/>
  <c r="AE540" i="2"/>
  <c r="AI540" i="2"/>
  <c r="AE541" i="2"/>
  <c r="AI541" i="2"/>
  <c r="AE542" i="2"/>
  <c r="AI542" i="2" s="1"/>
  <c r="AE543" i="2"/>
  <c r="AI543" i="2"/>
  <c r="AE544" i="2"/>
  <c r="AI544" i="2"/>
  <c r="AE545" i="2"/>
  <c r="AI545" i="2"/>
  <c r="AI546" i="2"/>
  <c r="AE547" i="2"/>
  <c r="AI547" i="2"/>
  <c r="AI548" i="2"/>
  <c r="AD550" i="2"/>
  <c r="AH550" i="2"/>
  <c r="P509" i="2"/>
  <c r="P508" i="2"/>
  <c r="V507" i="2"/>
  <c r="V550" i="2" s="1"/>
  <c r="U507" i="2"/>
  <c r="U550" i="2" s="1"/>
  <c r="Q507" i="2"/>
  <c r="P507" i="2"/>
  <c r="S507" i="2" s="1"/>
  <c r="O508" i="2"/>
  <c r="O509" i="2" s="1"/>
  <c r="S508" i="2"/>
  <c r="W508" i="2" s="1"/>
  <c r="S509" i="2"/>
  <c r="W509" i="2" s="1"/>
  <c r="S510" i="2"/>
  <c r="W510" i="2"/>
  <c r="S511" i="2"/>
  <c r="W511" i="2"/>
  <c r="S512" i="2"/>
  <c r="W512" i="2" s="1"/>
  <c r="S513" i="2"/>
  <c r="W513" i="2" s="1"/>
  <c r="S514" i="2"/>
  <c r="W514" i="2"/>
  <c r="S515" i="2"/>
  <c r="W515" i="2"/>
  <c r="S516" i="2"/>
  <c r="W516" i="2" s="1"/>
  <c r="S517" i="2"/>
  <c r="W517" i="2" s="1"/>
  <c r="S518" i="2"/>
  <c r="W518" i="2"/>
  <c r="S519" i="2"/>
  <c r="W519" i="2"/>
  <c r="S520" i="2"/>
  <c r="W520" i="2"/>
  <c r="S521" i="2"/>
  <c r="W521" i="2"/>
  <c r="S522" i="2"/>
  <c r="W522" i="2"/>
  <c r="S523" i="2"/>
  <c r="W523" i="2"/>
  <c r="S524" i="2"/>
  <c r="W524" i="2"/>
  <c r="S525" i="2"/>
  <c r="W525" i="2" s="1"/>
  <c r="S526" i="2"/>
  <c r="W526" i="2"/>
  <c r="S527" i="2"/>
  <c r="W527" i="2"/>
  <c r="S528" i="2"/>
  <c r="W528" i="2"/>
  <c r="S529" i="2"/>
  <c r="W529" i="2"/>
  <c r="S530" i="2"/>
  <c r="W530" i="2"/>
  <c r="S531" i="2"/>
  <c r="W531" i="2"/>
  <c r="S532" i="2"/>
  <c r="W532" i="2"/>
  <c r="S533" i="2"/>
  <c r="W533" i="2" s="1"/>
  <c r="S534" i="2"/>
  <c r="W534" i="2"/>
  <c r="S535" i="2"/>
  <c r="W535" i="2"/>
  <c r="S536" i="2"/>
  <c r="W536" i="2"/>
  <c r="S537" i="2"/>
  <c r="W537" i="2"/>
  <c r="S538" i="2"/>
  <c r="W538" i="2"/>
  <c r="S539" i="2"/>
  <c r="W539" i="2"/>
  <c r="S540" i="2"/>
  <c r="W540" i="2"/>
  <c r="S541" i="2"/>
  <c r="W541" i="2" s="1"/>
  <c r="S542" i="2"/>
  <c r="W542" i="2"/>
  <c r="S543" i="2"/>
  <c r="W543" i="2"/>
  <c r="S544" i="2"/>
  <c r="W544" i="2"/>
  <c r="S545" i="2"/>
  <c r="W545" i="2"/>
  <c r="W546" i="2"/>
  <c r="S547" i="2"/>
  <c r="W547" i="2" s="1"/>
  <c r="W548" i="2"/>
  <c r="Q550" i="2"/>
  <c r="R550" i="2"/>
  <c r="D509" i="2"/>
  <c r="J508" i="2"/>
  <c r="J550" i="2"/>
  <c r="I508" i="2"/>
  <c r="E508" i="2"/>
  <c r="E550" i="2" s="1"/>
  <c r="D508" i="2"/>
  <c r="I507" i="2"/>
  <c r="D507" i="2"/>
  <c r="G507" i="2"/>
  <c r="C508" i="2"/>
  <c r="C509" i="2" s="1"/>
  <c r="G508" i="2"/>
  <c r="G509" i="2"/>
  <c r="K509" i="2" s="1"/>
  <c r="D550" i="2"/>
  <c r="G511" i="2"/>
  <c r="K511" i="2"/>
  <c r="G512" i="2"/>
  <c r="K512" i="2" s="1"/>
  <c r="G513" i="2"/>
  <c r="K513" i="2"/>
  <c r="G514" i="2"/>
  <c r="K514" i="2" s="1"/>
  <c r="G515" i="2"/>
  <c r="K515" i="2"/>
  <c r="G516" i="2"/>
  <c r="K516" i="2" s="1"/>
  <c r="G517" i="2"/>
  <c r="K517" i="2" s="1"/>
  <c r="G518" i="2"/>
  <c r="K518" i="2" s="1"/>
  <c r="G519" i="2"/>
  <c r="K519" i="2"/>
  <c r="G520" i="2"/>
  <c r="K520" i="2" s="1"/>
  <c r="G521" i="2"/>
  <c r="K521" i="2" s="1"/>
  <c r="G522" i="2"/>
  <c r="K522" i="2"/>
  <c r="G523" i="2"/>
  <c r="K523" i="2"/>
  <c r="G524" i="2"/>
  <c r="K524" i="2" s="1"/>
  <c r="G525" i="2"/>
  <c r="K525" i="2" s="1"/>
  <c r="G526" i="2"/>
  <c r="K526" i="2" s="1"/>
  <c r="G527" i="2"/>
  <c r="K527" i="2"/>
  <c r="G528" i="2"/>
  <c r="K528" i="2"/>
  <c r="G529" i="2"/>
  <c r="K529" i="2" s="1"/>
  <c r="G530" i="2"/>
  <c r="K530" i="2" s="1"/>
  <c r="G531" i="2"/>
  <c r="K531" i="2"/>
  <c r="G532" i="2"/>
  <c r="K532" i="2"/>
  <c r="G533" i="2"/>
  <c r="K533" i="2"/>
  <c r="G534" i="2"/>
  <c r="K534" i="2" s="1"/>
  <c r="G535" i="2"/>
  <c r="K535" i="2"/>
  <c r="G536" i="2"/>
  <c r="K536" i="2"/>
  <c r="G537" i="2"/>
  <c r="K537" i="2" s="1"/>
  <c r="G538" i="2"/>
  <c r="K538" i="2" s="1"/>
  <c r="G539" i="2"/>
  <c r="K539" i="2"/>
  <c r="G540" i="2"/>
  <c r="K540" i="2"/>
  <c r="G547" i="2"/>
  <c r="K547" i="2"/>
  <c r="F550" i="2"/>
  <c r="AI605" i="2" l="1"/>
  <c r="K605" i="2"/>
  <c r="AI514" i="2"/>
  <c r="AI513" i="2"/>
  <c r="AB550" i="2"/>
  <c r="AG550" i="2"/>
  <c r="AE507" i="2"/>
  <c r="AI507" i="2" s="1"/>
  <c r="AE508" i="2"/>
  <c r="W507" i="2"/>
  <c r="P550" i="2"/>
  <c r="W550" i="2"/>
  <c r="S550" i="2"/>
  <c r="K508" i="2"/>
  <c r="I550" i="2"/>
  <c r="G510" i="2"/>
  <c r="K510" i="2" s="1"/>
  <c r="K507" i="2"/>
  <c r="AC457" i="2"/>
  <c r="AB457" i="2"/>
  <c r="AC456" i="2"/>
  <c r="AC495" i="2" s="1"/>
  <c r="AB456" i="2"/>
  <c r="AE456" i="2" s="1"/>
  <c r="AI456" i="2" s="1"/>
  <c r="AG455" i="2"/>
  <c r="AG495" i="2"/>
  <c r="AB455" i="2"/>
  <c r="AB454" i="2"/>
  <c r="AG453" i="2"/>
  <c r="AB453" i="2"/>
  <c r="AE453" i="2" s="1"/>
  <c r="AB452" i="2"/>
  <c r="AE452" i="2"/>
  <c r="AI452" i="2" s="1"/>
  <c r="AA453" i="2"/>
  <c r="AA454" i="2" s="1"/>
  <c r="AA455" i="2" s="1"/>
  <c r="AA456" i="2" s="1"/>
  <c r="AA457" i="2" s="1"/>
  <c r="AE455" i="2"/>
  <c r="AI455" i="2" s="1"/>
  <c r="AE457" i="2"/>
  <c r="AI457" i="2" s="1"/>
  <c r="AE458" i="2"/>
  <c r="AI458" i="2"/>
  <c r="AE459" i="2"/>
  <c r="AI459" i="2" s="1"/>
  <c r="AE460" i="2"/>
  <c r="AI460" i="2"/>
  <c r="AE461" i="2"/>
  <c r="AI461" i="2" s="1"/>
  <c r="AE462" i="2"/>
  <c r="AI462" i="2" s="1"/>
  <c r="AE463" i="2"/>
  <c r="AI463" i="2" s="1"/>
  <c r="AE464" i="2"/>
  <c r="AI464" i="2"/>
  <c r="AE465" i="2"/>
  <c r="AI465" i="2" s="1"/>
  <c r="AE466" i="2"/>
  <c r="AI466" i="2"/>
  <c r="AE467" i="2"/>
  <c r="AI467" i="2"/>
  <c r="AE468" i="2"/>
  <c r="AI468" i="2"/>
  <c r="AE469" i="2"/>
  <c r="AI469" i="2" s="1"/>
  <c r="AE470" i="2"/>
  <c r="AI470" i="2"/>
  <c r="AE471" i="2"/>
  <c r="AI471" i="2" s="1"/>
  <c r="AE472" i="2"/>
  <c r="AI472" i="2"/>
  <c r="AE473" i="2"/>
  <c r="AI473" i="2"/>
  <c r="AE474" i="2"/>
  <c r="AI474" i="2"/>
  <c r="AE475" i="2"/>
  <c r="AI475" i="2"/>
  <c r="AE476" i="2"/>
  <c r="AI476" i="2"/>
  <c r="AE477" i="2"/>
  <c r="AI477" i="2"/>
  <c r="AE478" i="2"/>
  <c r="AI478" i="2"/>
  <c r="AE479" i="2"/>
  <c r="AI479" i="2" s="1"/>
  <c r="AE480" i="2"/>
  <c r="AI480" i="2"/>
  <c r="AE481" i="2"/>
  <c r="AI481" i="2"/>
  <c r="AE482" i="2"/>
  <c r="AI482" i="2"/>
  <c r="AE483" i="2"/>
  <c r="AI483" i="2"/>
  <c r="AE484" i="2"/>
  <c r="AI484" i="2"/>
  <c r="AE485" i="2"/>
  <c r="AI485" i="2"/>
  <c r="AE486" i="2"/>
  <c r="AI486" i="2"/>
  <c r="AE487" i="2"/>
  <c r="AI487" i="2" s="1"/>
  <c r="AE488" i="2"/>
  <c r="AI488" i="2"/>
  <c r="AE489" i="2"/>
  <c r="AI489" i="2"/>
  <c r="AE490" i="2"/>
  <c r="AI490" i="2"/>
  <c r="AI491" i="2"/>
  <c r="AE492" i="2"/>
  <c r="AI492" i="2" s="1"/>
  <c r="AI493" i="2"/>
  <c r="AD495" i="2"/>
  <c r="AH495" i="2"/>
  <c r="P457" i="2"/>
  <c r="S457" i="2" s="1"/>
  <c r="W457" i="2" s="1"/>
  <c r="V456" i="2"/>
  <c r="P456" i="2"/>
  <c r="S456" i="2" s="1"/>
  <c r="W456" i="2" s="1"/>
  <c r="P455" i="2"/>
  <c r="P454" i="2"/>
  <c r="U453" i="2"/>
  <c r="Q453" i="2"/>
  <c r="Q495" i="2" s="1"/>
  <c r="P453" i="2"/>
  <c r="V452" i="2"/>
  <c r="V495" i="2" s="1"/>
  <c r="U452" i="2"/>
  <c r="U495" i="2" s="1"/>
  <c r="Q452" i="2"/>
  <c r="P452" i="2"/>
  <c r="S452" i="2" s="1"/>
  <c r="O453" i="2"/>
  <c r="O454" i="2" s="1"/>
  <c r="O455" i="2" s="1"/>
  <c r="O456" i="2" s="1"/>
  <c r="S454" i="2"/>
  <c r="W454" i="2" s="1"/>
  <c r="S458" i="2"/>
  <c r="W458" i="2"/>
  <c r="S459" i="2"/>
  <c r="W459" i="2" s="1"/>
  <c r="S460" i="2"/>
  <c r="W460" i="2"/>
  <c r="S461" i="2"/>
  <c r="W461" i="2"/>
  <c r="S462" i="2"/>
  <c r="W462" i="2"/>
  <c r="S463" i="2"/>
  <c r="W463" i="2" s="1"/>
  <c r="S464" i="2"/>
  <c r="W464" i="2"/>
  <c r="S465" i="2"/>
  <c r="W465" i="2"/>
  <c r="S466" i="2"/>
  <c r="W466" i="2"/>
  <c r="S467" i="2"/>
  <c r="W467" i="2" s="1"/>
  <c r="S468" i="2"/>
  <c r="W468" i="2"/>
  <c r="S469" i="2"/>
  <c r="W469" i="2" s="1"/>
  <c r="S470" i="2"/>
  <c r="W470" i="2" s="1"/>
  <c r="S471" i="2"/>
  <c r="W471" i="2"/>
  <c r="S472" i="2"/>
  <c r="W472" i="2"/>
  <c r="S473" i="2"/>
  <c r="W473" i="2"/>
  <c r="S474" i="2"/>
  <c r="W474" i="2"/>
  <c r="S475" i="2"/>
  <c r="W475" i="2" s="1"/>
  <c r="S476" i="2"/>
  <c r="W476" i="2"/>
  <c r="S477" i="2"/>
  <c r="W477" i="2"/>
  <c r="S478" i="2"/>
  <c r="W478" i="2"/>
  <c r="S479" i="2"/>
  <c r="W479" i="2"/>
  <c r="S480" i="2"/>
  <c r="W480" i="2"/>
  <c r="S481" i="2"/>
  <c r="W481" i="2"/>
  <c r="S482" i="2"/>
  <c r="W482" i="2"/>
  <c r="S483" i="2"/>
  <c r="W483" i="2" s="1"/>
  <c r="S484" i="2"/>
  <c r="W484" i="2"/>
  <c r="S485" i="2"/>
  <c r="W485" i="2"/>
  <c r="S486" i="2"/>
  <c r="W486" i="2"/>
  <c r="S487" i="2"/>
  <c r="W487" i="2"/>
  <c r="S488" i="2"/>
  <c r="W488" i="2"/>
  <c r="S489" i="2"/>
  <c r="W489" i="2"/>
  <c r="S490" i="2"/>
  <c r="W490" i="2"/>
  <c r="W491" i="2"/>
  <c r="S492" i="2"/>
  <c r="W492" i="2"/>
  <c r="W493" i="2"/>
  <c r="R495" i="2"/>
  <c r="D472" i="2"/>
  <c r="C472" i="2"/>
  <c r="D471" i="2"/>
  <c r="G471" i="2" s="1"/>
  <c r="K471" i="2" s="1"/>
  <c r="D470" i="2"/>
  <c r="D469" i="2"/>
  <c r="G469" i="2" s="1"/>
  <c r="K469" i="2" s="1"/>
  <c r="D468" i="2"/>
  <c r="G468" i="2" s="1"/>
  <c r="K468" i="2" s="1"/>
  <c r="D467" i="2"/>
  <c r="G467" i="2" s="1"/>
  <c r="K467" i="2" s="1"/>
  <c r="D466" i="2"/>
  <c r="G466" i="2" s="1"/>
  <c r="K466" i="2" s="1"/>
  <c r="D465" i="2"/>
  <c r="D464" i="2"/>
  <c r="G464" i="2" s="1"/>
  <c r="K464" i="2" s="1"/>
  <c r="D463" i="2"/>
  <c r="D462" i="2"/>
  <c r="G462" i="2" s="1"/>
  <c r="K462" i="2" s="1"/>
  <c r="D461" i="2"/>
  <c r="G461" i="2" s="1"/>
  <c r="K461" i="2" s="1"/>
  <c r="D460" i="2"/>
  <c r="G460" i="2" s="1"/>
  <c r="K460" i="2" s="1"/>
  <c r="D459" i="2"/>
  <c r="G459" i="2" s="1"/>
  <c r="K459" i="2" s="1"/>
  <c r="D458" i="2"/>
  <c r="G458" i="2" s="1"/>
  <c r="K458" i="2" s="1"/>
  <c r="D457" i="2"/>
  <c r="D456" i="2"/>
  <c r="D455" i="2"/>
  <c r="G455" i="2" s="1"/>
  <c r="D454" i="2"/>
  <c r="D453" i="2"/>
  <c r="E452" i="2"/>
  <c r="E495" i="2" s="1"/>
  <c r="D452" i="2"/>
  <c r="C461" i="2"/>
  <c r="C462" i="2"/>
  <c r="C463" i="2" s="1"/>
  <c r="C464" i="2" s="1"/>
  <c r="C465" i="2" s="1"/>
  <c r="C466" i="2" s="1"/>
  <c r="C467" i="2" s="1"/>
  <c r="C468" i="2" s="1"/>
  <c r="C469" i="2" s="1"/>
  <c r="C470" i="2" s="1"/>
  <c r="C471" i="2" s="1"/>
  <c r="C453" i="2"/>
  <c r="C454" i="2" s="1"/>
  <c r="C455" i="2" s="1"/>
  <c r="C456" i="2" s="1"/>
  <c r="C457" i="2" s="1"/>
  <c r="C458" i="2" s="1"/>
  <c r="C459" i="2" s="1"/>
  <c r="C460" i="2" s="1"/>
  <c r="G453" i="2"/>
  <c r="K453" i="2"/>
  <c r="G454" i="2"/>
  <c r="K454" i="2" s="1"/>
  <c r="G456" i="2"/>
  <c r="K456" i="2"/>
  <c r="G457" i="2"/>
  <c r="K457" i="2" s="1"/>
  <c r="G463" i="2"/>
  <c r="K463" i="2" s="1"/>
  <c r="G465" i="2"/>
  <c r="K465" i="2" s="1"/>
  <c r="G470" i="2"/>
  <c r="K470" i="2" s="1"/>
  <c r="G472" i="2"/>
  <c r="K472" i="2"/>
  <c r="G473" i="2"/>
  <c r="K473" i="2" s="1"/>
  <c r="G474" i="2"/>
  <c r="K474" i="2" s="1"/>
  <c r="G475" i="2"/>
  <c r="K475" i="2" s="1"/>
  <c r="G476" i="2"/>
  <c r="K476" i="2"/>
  <c r="G477" i="2"/>
  <c r="K477" i="2"/>
  <c r="G478" i="2"/>
  <c r="K478" i="2" s="1"/>
  <c r="G479" i="2"/>
  <c r="K479" i="2" s="1"/>
  <c r="G480" i="2"/>
  <c r="K480" i="2"/>
  <c r="G481" i="2"/>
  <c r="K481" i="2"/>
  <c r="G482" i="2"/>
  <c r="K482" i="2" s="1"/>
  <c r="G483" i="2"/>
  <c r="K483" i="2" s="1"/>
  <c r="G484" i="2"/>
  <c r="K484" i="2"/>
  <c r="G485" i="2"/>
  <c r="K485" i="2"/>
  <c r="G492" i="2"/>
  <c r="K492" i="2" s="1"/>
  <c r="F495" i="2"/>
  <c r="I495" i="2"/>
  <c r="J495" i="2"/>
  <c r="AE550" i="2" l="1"/>
  <c r="AI508" i="2"/>
  <c r="AI550" i="2" s="1"/>
  <c r="K550" i="2"/>
  <c r="G550" i="2"/>
  <c r="AI453" i="2"/>
  <c r="AB495" i="2"/>
  <c r="AE454" i="2"/>
  <c r="P495" i="2"/>
  <c r="S453" i="2"/>
  <c r="W453" i="2" s="1"/>
  <c r="W452" i="2"/>
  <c r="S455" i="2"/>
  <c r="W455" i="2" s="1"/>
  <c r="G452" i="2"/>
  <c r="K452" i="2" s="1"/>
  <c r="D495" i="2"/>
  <c r="G495" i="2"/>
  <c r="K455" i="2"/>
  <c r="K495" i="2" s="1"/>
  <c r="AC398" i="2"/>
  <c r="AE495" i="2" l="1"/>
  <c r="AI454" i="2"/>
  <c r="AI495" i="2" s="1"/>
  <c r="W495" i="2"/>
  <c r="S495" i="2"/>
  <c r="AB402" i="2"/>
  <c r="AB401" i="2"/>
  <c r="AC400" i="2"/>
  <c r="AB400" i="2"/>
  <c r="AB399" i="2"/>
  <c r="AB398" i="2"/>
  <c r="AE398" i="2"/>
  <c r="AI398" i="2" s="1"/>
  <c r="AC397" i="2"/>
  <c r="AE397" i="2" s="1"/>
  <c r="AB397" i="2"/>
  <c r="AD440" i="2"/>
  <c r="AI438" i="2"/>
  <c r="AE437" i="2"/>
  <c r="AI437" i="2" s="1"/>
  <c r="AI436" i="2"/>
  <c r="AE435" i="2"/>
  <c r="AI435" i="2" s="1"/>
  <c r="AI434" i="2"/>
  <c r="AE434" i="2"/>
  <c r="AI433" i="2"/>
  <c r="AE433" i="2"/>
  <c r="AE432" i="2"/>
  <c r="AI432" i="2" s="1"/>
  <c r="AI431" i="2"/>
  <c r="AE431" i="2"/>
  <c r="AI430" i="2"/>
  <c r="AE430" i="2"/>
  <c r="AE429" i="2"/>
  <c r="AI429" i="2" s="1"/>
  <c r="AE428" i="2"/>
  <c r="AI428" i="2" s="1"/>
  <c r="AE427" i="2"/>
  <c r="AI427" i="2" s="1"/>
  <c r="AI426" i="2"/>
  <c r="AE426" i="2"/>
  <c r="AI425" i="2"/>
  <c r="AE425" i="2"/>
  <c r="AE424" i="2"/>
  <c r="AI424" i="2" s="1"/>
  <c r="AI423" i="2"/>
  <c r="AE423" i="2"/>
  <c r="AI422" i="2"/>
  <c r="AE422" i="2"/>
  <c r="AE421" i="2"/>
  <c r="AI421" i="2" s="1"/>
  <c r="AE420" i="2"/>
  <c r="AI420" i="2" s="1"/>
  <c r="AE419" i="2"/>
  <c r="AI419" i="2" s="1"/>
  <c r="AI418" i="2"/>
  <c r="AE418" i="2"/>
  <c r="AI417" i="2"/>
  <c r="AE417" i="2"/>
  <c r="AE416" i="2"/>
  <c r="AI416" i="2" s="1"/>
  <c r="AI415" i="2"/>
  <c r="AE415" i="2"/>
  <c r="AI414" i="2"/>
  <c r="AE414" i="2"/>
  <c r="AE413" i="2"/>
  <c r="AI413" i="2" s="1"/>
  <c r="AE412" i="2"/>
  <c r="AI412" i="2" s="1"/>
  <c r="AE411" i="2"/>
  <c r="AI411" i="2" s="1"/>
  <c r="AI410" i="2"/>
  <c r="AE410" i="2"/>
  <c r="AI409" i="2"/>
  <c r="AE409" i="2"/>
  <c r="AE408" i="2"/>
  <c r="AI408" i="2" s="1"/>
  <c r="AE407" i="2"/>
  <c r="AI407" i="2" s="1"/>
  <c r="AE406" i="2"/>
  <c r="AI406" i="2" s="1"/>
  <c r="AE405" i="2"/>
  <c r="AI405" i="2" s="1"/>
  <c r="AE404" i="2"/>
  <c r="AI404" i="2" s="1"/>
  <c r="AH440" i="2"/>
  <c r="AE403" i="2"/>
  <c r="AI403" i="2" s="1"/>
  <c r="AE402" i="2"/>
  <c r="AI402" i="2" s="1"/>
  <c r="AE401" i="2"/>
  <c r="AI401" i="2" s="1"/>
  <c r="AE400" i="2"/>
  <c r="AI400" i="2" s="1"/>
  <c r="AE399" i="2"/>
  <c r="AI399" i="2" s="1"/>
  <c r="AG440" i="2"/>
  <c r="AA398" i="2"/>
  <c r="AA399" i="2" s="1"/>
  <c r="AA400" i="2" s="1"/>
  <c r="AA401" i="2" s="1"/>
  <c r="AA402" i="2" s="1"/>
  <c r="P401" i="2"/>
  <c r="P400" i="2"/>
  <c r="P399" i="2"/>
  <c r="S399" i="2" s="1"/>
  <c r="W399" i="2" s="1"/>
  <c r="Q398" i="2"/>
  <c r="P398" i="2"/>
  <c r="S398" i="2" s="1"/>
  <c r="W398" i="2" s="1"/>
  <c r="P397" i="2"/>
  <c r="S397" i="2"/>
  <c r="W397" i="2"/>
  <c r="O398" i="2"/>
  <c r="O399" i="2" s="1"/>
  <c r="O400" i="2" s="1"/>
  <c r="O401" i="2" s="1"/>
  <c r="S400" i="2"/>
  <c r="W400" i="2" s="1"/>
  <c r="S401" i="2"/>
  <c r="S402" i="2"/>
  <c r="W402" i="2" s="1"/>
  <c r="S403" i="2"/>
  <c r="W403" i="2" s="1"/>
  <c r="S404" i="2"/>
  <c r="W404" i="2" s="1"/>
  <c r="S405" i="2"/>
  <c r="W405" i="2"/>
  <c r="S406" i="2"/>
  <c r="V440" i="2"/>
  <c r="W406" i="2"/>
  <c r="S407" i="2"/>
  <c r="W407" i="2"/>
  <c r="S408" i="2"/>
  <c r="W408" i="2" s="1"/>
  <c r="S409" i="2"/>
  <c r="W409" i="2" s="1"/>
  <c r="S410" i="2"/>
  <c r="W410" i="2"/>
  <c r="S411" i="2"/>
  <c r="W411" i="2"/>
  <c r="S412" i="2"/>
  <c r="W412" i="2"/>
  <c r="S413" i="2"/>
  <c r="W413" i="2"/>
  <c r="S414" i="2"/>
  <c r="W414" i="2"/>
  <c r="S415" i="2"/>
  <c r="W415" i="2"/>
  <c r="S416" i="2"/>
  <c r="W416" i="2" s="1"/>
  <c r="S417" i="2"/>
  <c r="W417" i="2" s="1"/>
  <c r="S418" i="2"/>
  <c r="W418" i="2"/>
  <c r="S419" i="2"/>
  <c r="W419" i="2"/>
  <c r="S420" i="2"/>
  <c r="W420" i="2"/>
  <c r="S421" i="2"/>
  <c r="W421" i="2"/>
  <c r="S422" i="2"/>
  <c r="W422" i="2"/>
  <c r="S423" i="2"/>
  <c r="W423" i="2"/>
  <c r="S424" i="2"/>
  <c r="W424" i="2" s="1"/>
  <c r="S425" i="2"/>
  <c r="W425" i="2" s="1"/>
  <c r="S426" i="2"/>
  <c r="W426" i="2"/>
  <c r="S427" i="2"/>
  <c r="W427" i="2"/>
  <c r="S428" i="2"/>
  <c r="W428" i="2"/>
  <c r="S429" i="2"/>
  <c r="W429" i="2"/>
  <c r="S430" i="2"/>
  <c r="W430" i="2"/>
  <c r="S431" i="2"/>
  <c r="W431" i="2"/>
  <c r="S432" i="2"/>
  <c r="W432" i="2" s="1"/>
  <c r="S433" i="2"/>
  <c r="W433" i="2" s="1"/>
  <c r="S434" i="2"/>
  <c r="W434" i="2"/>
  <c r="S435" i="2"/>
  <c r="W435" i="2"/>
  <c r="W436" i="2"/>
  <c r="S437" i="2"/>
  <c r="W437" i="2"/>
  <c r="W438" i="2"/>
  <c r="Q440" i="2"/>
  <c r="R440" i="2"/>
  <c r="U440" i="2"/>
  <c r="J405" i="2"/>
  <c r="J440" i="2" s="1"/>
  <c r="E405" i="2"/>
  <c r="E440" i="2" s="1"/>
  <c r="D405" i="2"/>
  <c r="G405" i="2" s="1"/>
  <c r="D404" i="2"/>
  <c r="D403" i="2"/>
  <c r="G403" i="2" s="1"/>
  <c r="K403" i="2" s="1"/>
  <c r="D402" i="2"/>
  <c r="D401" i="2"/>
  <c r="G401" i="2" s="1"/>
  <c r="K401" i="2" s="1"/>
  <c r="D400" i="2"/>
  <c r="G400" i="2" s="1"/>
  <c r="K400" i="2" s="1"/>
  <c r="D399" i="2"/>
  <c r="G399" i="2" s="1"/>
  <c r="K399" i="2" s="1"/>
  <c r="D398" i="2"/>
  <c r="D397" i="2"/>
  <c r="C402" i="2"/>
  <c r="C403" i="2" s="1"/>
  <c r="C404" i="2" s="1"/>
  <c r="C405" i="2" s="1"/>
  <c r="G397" i="2"/>
  <c r="C398" i="2"/>
  <c r="C399" i="2" s="1"/>
  <c r="C400" i="2" s="1"/>
  <c r="C401" i="2" s="1"/>
  <c r="I440" i="2"/>
  <c r="G402" i="2"/>
  <c r="K402" i="2" s="1"/>
  <c r="G404" i="2"/>
  <c r="K404" i="2" s="1"/>
  <c r="G406" i="2"/>
  <c r="K406" i="2" s="1"/>
  <c r="G407" i="2"/>
  <c r="K407" i="2" s="1"/>
  <c r="G408" i="2"/>
  <c r="K408" i="2"/>
  <c r="G409" i="2"/>
  <c r="K409" i="2" s="1"/>
  <c r="G410" i="2"/>
  <c r="K410" i="2" s="1"/>
  <c r="G411" i="2"/>
  <c r="K411" i="2"/>
  <c r="G412" i="2"/>
  <c r="K412" i="2" s="1"/>
  <c r="G413" i="2"/>
  <c r="K413" i="2" s="1"/>
  <c r="G414" i="2"/>
  <c r="K414" i="2" s="1"/>
  <c r="G415" i="2"/>
  <c r="K415" i="2" s="1"/>
  <c r="G416" i="2"/>
  <c r="K416" i="2"/>
  <c r="G417" i="2"/>
  <c r="K417" i="2"/>
  <c r="G418" i="2"/>
  <c r="K418" i="2" s="1"/>
  <c r="G419" i="2"/>
  <c r="K419" i="2"/>
  <c r="G420" i="2"/>
  <c r="K420" i="2"/>
  <c r="G421" i="2"/>
  <c r="K421" i="2" s="1"/>
  <c r="G422" i="2"/>
  <c r="K422" i="2"/>
  <c r="G423" i="2"/>
  <c r="K423" i="2" s="1"/>
  <c r="G424" i="2"/>
  <c r="K424" i="2"/>
  <c r="G425" i="2"/>
  <c r="K425" i="2" s="1"/>
  <c r="G426" i="2"/>
  <c r="K426" i="2" s="1"/>
  <c r="G427" i="2"/>
  <c r="K427" i="2"/>
  <c r="G428" i="2"/>
  <c r="K428" i="2"/>
  <c r="G429" i="2"/>
  <c r="K429" i="2" s="1"/>
  <c r="G430" i="2"/>
  <c r="K430" i="2"/>
  <c r="G437" i="2"/>
  <c r="K437" i="2" s="1"/>
  <c r="F440" i="2"/>
  <c r="AC440" i="2" l="1"/>
  <c r="AE440" i="2"/>
  <c r="AI397" i="2"/>
  <c r="AI440" i="2" s="1"/>
  <c r="AB440" i="2"/>
  <c r="P440" i="2"/>
  <c r="W401" i="2"/>
  <c r="W440" i="2" s="1"/>
  <c r="S440" i="2"/>
  <c r="K405" i="2"/>
  <c r="D440" i="2"/>
  <c r="K397" i="2"/>
  <c r="G398" i="2"/>
  <c r="K398" i="2" s="1"/>
  <c r="V351" i="2"/>
  <c r="V385" i="2" s="1"/>
  <c r="U351" i="2"/>
  <c r="Q351" i="2"/>
  <c r="Q385" i="2" s="1"/>
  <c r="P351" i="2"/>
  <c r="U350" i="2"/>
  <c r="P350" i="2"/>
  <c r="S350" i="2" s="1"/>
  <c r="W350" i="2" s="1"/>
  <c r="P349" i="2"/>
  <c r="S349" i="2" s="1"/>
  <c r="W349" i="2" s="1"/>
  <c r="P348" i="2"/>
  <c r="S348" i="2" s="1"/>
  <c r="W348" i="2" s="1"/>
  <c r="P347" i="2"/>
  <c r="S347" i="2" s="1"/>
  <c r="W347" i="2" s="1"/>
  <c r="U346" i="2"/>
  <c r="P346" i="2"/>
  <c r="S346" i="2" s="1"/>
  <c r="W346" i="2" s="1"/>
  <c r="P345" i="2"/>
  <c r="S345" i="2" s="1"/>
  <c r="W345" i="2" s="1"/>
  <c r="P344" i="2"/>
  <c r="S344" i="2" s="1"/>
  <c r="W344" i="2" s="1"/>
  <c r="P343" i="2"/>
  <c r="S343" i="2" s="1"/>
  <c r="W343" i="2" s="1"/>
  <c r="U342" i="2"/>
  <c r="P342" i="2"/>
  <c r="O351" i="2"/>
  <c r="O343" i="2"/>
  <c r="O344" i="2" s="1"/>
  <c r="O345" i="2" s="1"/>
  <c r="O346" i="2" s="1"/>
  <c r="O347" i="2" s="1"/>
  <c r="O348" i="2" s="1"/>
  <c r="O349" i="2" s="1"/>
  <c r="O350" i="2" s="1"/>
  <c r="S352" i="2"/>
  <c r="W352" i="2"/>
  <c r="S353" i="2"/>
  <c r="W353" i="2"/>
  <c r="S354" i="2"/>
  <c r="W354" i="2"/>
  <c r="S355" i="2"/>
  <c r="W355" i="2"/>
  <c r="S356" i="2"/>
  <c r="W356" i="2" s="1"/>
  <c r="S357" i="2"/>
  <c r="W357" i="2"/>
  <c r="S358" i="2"/>
  <c r="W358" i="2" s="1"/>
  <c r="S359" i="2"/>
  <c r="W359" i="2"/>
  <c r="S360" i="2"/>
  <c r="W360" i="2"/>
  <c r="S361" i="2"/>
  <c r="W361" i="2"/>
  <c r="S362" i="2"/>
  <c r="W362" i="2"/>
  <c r="S363" i="2"/>
  <c r="W363" i="2"/>
  <c r="S364" i="2"/>
  <c r="W364" i="2" s="1"/>
  <c r="S365" i="2"/>
  <c r="W365" i="2" s="1"/>
  <c r="S366" i="2"/>
  <c r="W366" i="2" s="1"/>
  <c r="S367" i="2"/>
  <c r="W367" i="2"/>
  <c r="S368" i="2"/>
  <c r="W368" i="2"/>
  <c r="S369" i="2"/>
  <c r="W369" i="2"/>
  <c r="S370" i="2"/>
  <c r="W370" i="2"/>
  <c r="S371" i="2"/>
  <c r="W371" i="2"/>
  <c r="S372" i="2"/>
  <c r="W372" i="2"/>
  <c r="S373" i="2"/>
  <c r="W373" i="2"/>
  <c r="S374" i="2"/>
  <c r="W374" i="2" s="1"/>
  <c r="S375" i="2"/>
  <c r="W375" i="2"/>
  <c r="S376" i="2"/>
  <c r="W376" i="2"/>
  <c r="S377" i="2"/>
  <c r="W377" i="2"/>
  <c r="S378" i="2"/>
  <c r="W378" i="2"/>
  <c r="S379" i="2"/>
  <c r="W379" i="2"/>
  <c r="S380" i="2"/>
  <c r="W380" i="2" s="1"/>
  <c r="W381" i="2"/>
  <c r="S382" i="2"/>
  <c r="W382" i="2" s="1"/>
  <c r="W383" i="2"/>
  <c r="R385" i="2"/>
  <c r="D363" i="2"/>
  <c r="D362" i="2"/>
  <c r="D361" i="2"/>
  <c r="D360" i="2"/>
  <c r="G360" i="2" s="1"/>
  <c r="K360" i="2" s="1"/>
  <c r="D359" i="2"/>
  <c r="G359" i="2" s="1"/>
  <c r="K359" i="2" s="1"/>
  <c r="D358" i="2"/>
  <c r="G358" i="2" s="1"/>
  <c r="K358" i="2" s="1"/>
  <c r="D357" i="2"/>
  <c r="G357" i="2" s="1"/>
  <c r="K357" i="2" s="1"/>
  <c r="D356" i="2"/>
  <c r="D355" i="2"/>
  <c r="G355" i="2" s="1"/>
  <c r="K355" i="2" s="1"/>
  <c r="D354" i="2"/>
  <c r="G354" i="2" s="1"/>
  <c r="K354" i="2" s="1"/>
  <c r="D353" i="2"/>
  <c r="D352" i="2"/>
  <c r="D351" i="2"/>
  <c r="D350" i="2"/>
  <c r="D349" i="2"/>
  <c r="D348" i="2"/>
  <c r="G348" i="2" s="1"/>
  <c r="K348" i="2" s="1"/>
  <c r="D347" i="2"/>
  <c r="I346" i="2"/>
  <c r="D346" i="2"/>
  <c r="D345" i="2"/>
  <c r="I344" i="2"/>
  <c r="D344" i="2"/>
  <c r="D343" i="2"/>
  <c r="G343" i="2" s="1"/>
  <c r="K343" i="2" s="1"/>
  <c r="D342" i="2"/>
  <c r="C343" i="2"/>
  <c r="C344" i="2" s="1"/>
  <c r="C345" i="2" s="1"/>
  <c r="C346" i="2" s="1"/>
  <c r="C348" i="2" s="1"/>
  <c r="C349" i="2" s="1"/>
  <c r="C350" i="2" s="1"/>
  <c r="C351" i="2" s="1"/>
  <c r="C352" i="2" s="1"/>
  <c r="C353" i="2" s="1"/>
  <c r="C354" i="2" s="1"/>
  <c r="C355" i="2" s="1"/>
  <c r="C356" i="2" s="1"/>
  <c r="C357" i="2" s="1"/>
  <c r="C358" i="2" s="1"/>
  <c r="C359" i="2" s="1"/>
  <c r="C360" i="2" s="1"/>
  <c r="C361" i="2" s="1"/>
  <c r="C362" i="2" s="1"/>
  <c r="C363" i="2" s="1"/>
  <c r="G344" i="2"/>
  <c r="G345" i="2"/>
  <c r="K345" i="2" s="1"/>
  <c r="G346" i="2"/>
  <c r="G347" i="2"/>
  <c r="K347" i="2" s="1"/>
  <c r="G349" i="2"/>
  <c r="K349" i="2" s="1"/>
  <c r="G350" i="2"/>
  <c r="K350" i="2" s="1"/>
  <c r="G351" i="2"/>
  <c r="K351" i="2" s="1"/>
  <c r="G352" i="2"/>
  <c r="K352" i="2"/>
  <c r="G353" i="2"/>
  <c r="K353" i="2" s="1"/>
  <c r="G356" i="2"/>
  <c r="K356" i="2"/>
  <c r="G361" i="2"/>
  <c r="K361" i="2" s="1"/>
  <c r="G362" i="2"/>
  <c r="K362" i="2" s="1"/>
  <c r="G363" i="2"/>
  <c r="K363" i="2" s="1"/>
  <c r="G364" i="2"/>
  <c r="K364" i="2"/>
  <c r="G365" i="2"/>
  <c r="K365" i="2"/>
  <c r="G366" i="2"/>
  <c r="K366" i="2"/>
  <c r="G367" i="2"/>
  <c r="K367" i="2"/>
  <c r="G368" i="2"/>
  <c r="K368" i="2" s="1"/>
  <c r="G369" i="2"/>
  <c r="K369" i="2" s="1"/>
  <c r="G370" i="2"/>
  <c r="K370" i="2" s="1"/>
  <c r="G371" i="2"/>
  <c r="K371" i="2"/>
  <c r="G372" i="2"/>
  <c r="K372" i="2"/>
  <c r="G373" i="2"/>
  <c r="K373" i="2" s="1"/>
  <c r="G374" i="2"/>
  <c r="K374" i="2"/>
  <c r="G375" i="2"/>
  <c r="K375" i="2"/>
  <c r="G382" i="2"/>
  <c r="K382" i="2" s="1"/>
  <c r="E385" i="2"/>
  <c r="F385" i="2"/>
  <c r="J385" i="2"/>
  <c r="G440" i="2" l="1"/>
  <c r="K440" i="2"/>
  <c r="U385" i="2"/>
  <c r="S351" i="2"/>
  <c r="W351" i="2" s="1"/>
  <c r="P385" i="2"/>
  <c r="S342" i="2"/>
  <c r="W342" i="2" s="1"/>
  <c r="D385" i="2"/>
  <c r="I385" i="2"/>
  <c r="K346" i="2"/>
  <c r="K344" i="2"/>
  <c r="G342" i="2"/>
  <c r="K342" i="2" s="1"/>
  <c r="K385" i="2"/>
  <c r="G385" i="2"/>
  <c r="AB297" i="2"/>
  <c r="AE297" i="2" s="1"/>
  <c r="AI297" i="2" s="1"/>
  <c r="AB296" i="2"/>
  <c r="AE296" i="2" s="1"/>
  <c r="AI296" i="2" s="1"/>
  <c r="AB295" i="2"/>
  <c r="AE295" i="2" s="1"/>
  <c r="AI295" i="2" s="1"/>
  <c r="AG294" i="2"/>
  <c r="AG330" i="2" s="1"/>
  <c r="AB294" i="2"/>
  <c r="AH293" i="2"/>
  <c r="AB293" i="2"/>
  <c r="AB292" i="2"/>
  <c r="AB291" i="2"/>
  <c r="AG290" i="2"/>
  <c r="AB290" i="2"/>
  <c r="AB289" i="2"/>
  <c r="AG288" i="2"/>
  <c r="AB288" i="2"/>
  <c r="AH287" i="2"/>
  <c r="AH330" i="2"/>
  <c r="AC287" i="2"/>
  <c r="AE287" i="2" s="1"/>
  <c r="AB287" i="2"/>
  <c r="AA294" i="2"/>
  <c r="AA295" i="2" s="1"/>
  <c r="AA296" i="2" s="1"/>
  <c r="AA297" i="2" s="1"/>
  <c r="AA288" i="2"/>
  <c r="AA289" i="2" s="1"/>
  <c r="AA290" i="2" s="1"/>
  <c r="AA291" i="2" s="1"/>
  <c r="AA292" i="2" s="1"/>
  <c r="AA293" i="2" s="1"/>
  <c r="AE288" i="2"/>
  <c r="AI288" i="2" s="1"/>
  <c r="AE289" i="2"/>
  <c r="AI289" i="2" s="1"/>
  <c r="AE290" i="2"/>
  <c r="AI290" i="2" s="1"/>
  <c r="AE291" i="2"/>
  <c r="AI291" i="2" s="1"/>
  <c r="AE292" i="2"/>
  <c r="AI292" i="2" s="1"/>
  <c r="AE293" i="2"/>
  <c r="AI293" i="2" s="1"/>
  <c r="AE294" i="2"/>
  <c r="AE298" i="2"/>
  <c r="AI298" i="2"/>
  <c r="AE299" i="2"/>
  <c r="AI299" i="2"/>
  <c r="AE300" i="2"/>
  <c r="AI300" i="2"/>
  <c r="AE301" i="2"/>
  <c r="AI301" i="2"/>
  <c r="AE302" i="2"/>
  <c r="AI302" i="2"/>
  <c r="AE303" i="2"/>
  <c r="AI303" i="2"/>
  <c r="AE304" i="2"/>
  <c r="AI304" i="2" s="1"/>
  <c r="AE305" i="2"/>
  <c r="AI305" i="2" s="1"/>
  <c r="AE306" i="2"/>
  <c r="AI306" i="2"/>
  <c r="AE307" i="2"/>
  <c r="AI307" i="2"/>
  <c r="AE308" i="2"/>
  <c r="AI308" i="2"/>
  <c r="AE309" i="2"/>
  <c r="AI309" i="2"/>
  <c r="AE310" i="2"/>
  <c r="AI310" i="2"/>
  <c r="AE311" i="2"/>
  <c r="AI311" i="2"/>
  <c r="AE312" i="2"/>
  <c r="AI312" i="2" s="1"/>
  <c r="AE313" i="2"/>
  <c r="AI313" i="2" s="1"/>
  <c r="AE314" i="2"/>
  <c r="AI314" i="2"/>
  <c r="AE315" i="2"/>
  <c r="AI315" i="2"/>
  <c r="AE316" i="2"/>
  <c r="AI316" i="2"/>
  <c r="AE317" i="2"/>
  <c r="AI317" i="2"/>
  <c r="AE318" i="2"/>
  <c r="AI318" i="2"/>
  <c r="AE319" i="2"/>
  <c r="AI319" i="2"/>
  <c r="AE320" i="2"/>
  <c r="AI320" i="2" s="1"/>
  <c r="AE321" i="2"/>
  <c r="AI321" i="2" s="1"/>
  <c r="AE322" i="2"/>
  <c r="AI322" i="2"/>
  <c r="AE323" i="2"/>
  <c r="AI323" i="2"/>
  <c r="AE324" i="2"/>
  <c r="AI324" i="2"/>
  <c r="AE325" i="2"/>
  <c r="AI325" i="2"/>
  <c r="AI326" i="2"/>
  <c r="AE327" i="2"/>
  <c r="AI327" i="2" s="1"/>
  <c r="AI328" i="2"/>
  <c r="AD330" i="2"/>
  <c r="P295" i="2"/>
  <c r="S295" i="2"/>
  <c r="W295" i="2" s="1"/>
  <c r="P294" i="2"/>
  <c r="S294" i="2" s="1"/>
  <c r="W294" i="2" s="1"/>
  <c r="P293" i="2"/>
  <c r="S293" i="2" s="1"/>
  <c r="W293" i="2" s="1"/>
  <c r="P292" i="2"/>
  <c r="P291" i="2"/>
  <c r="S291" i="2" s="1"/>
  <c r="W291" i="2" s="1"/>
  <c r="P290" i="2"/>
  <c r="S290" i="2" s="1"/>
  <c r="W290" i="2" s="1"/>
  <c r="P289" i="2"/>
  <c r="S289" i="2" s="1"/>
  <c r="W289" i="2" s="1"/>
  <c r="Q288" i="2"/>
  <c r="S288" i="2" s="1"/>
  <c r="W288" i="2" s="1"/>
  <c r="P288" i="2"/>
  <c r="P287" i="2"/>
  <c r="S287" i="2" s="1"/>
  <c r="W287" i="2" s="1"/>
  <c r="O294" i="2"/>
  <c r="O295" i="2" s="1"/>
  <c r="O288" i="2"/>
  <c r="O289" i="2" s="1"/>
  <c r="O290" i="2" s="1"/>
  <c r="O291" i="2" s="1"/>
  <c r="O292" i="2" s="1"/>
  <c r="O293" i="2" s="1"/>
  <c r="U330" i="2"/>
  <c r="S292" i="2"/>
  <c r="W292" i="2" s="1"/>
  <c r="V330" i="2"/>
  <c r="S296" i="2"/>
  <c r="W296" i="2" s="1"/>
  <c r="S297" i="2"/>
  <c r="W297" i="2" s="1"/>
  <c r="S298" i="2"/>
  <c r="W298" i="2"/>
  <c r="S299" i="2"/>
  <c r="W299" i="2"/>
  <c r="S300" i="2"/>
  <c r="W300" i="2"/>
  <c r="S301" i="2"/>
  <c r="W301" i="2"/>
  <c r="S302" i="2"/>
  <c r="W302" i="2"/>
  <c r="S303" i="2"/>
  <c r="W303" i="2"/>
  <c r="S304" i="2"/>
  <c r="W304" i="2"/>
  <c r="S305" i="2"/>
  <c r="W305" i="2" s="1"/>
  <c r="S306" i="2"/>
  <c r="W306" i="2"/>
  <c r="S307" i="2"/>
  <c r="W307" i="2"/>
  <c r="S308" i="2"/>
  <c r="W308" i="2"/>
  <c r="S309" i="2"/>
  <c r="W309" i="2" s="1"/>
  <c r="S310" i="2"/>
  <c r="W310" i="2" s="1"/>
  <c r="S311" i="2"/>
  <c r="W311" i="2"/>
  <c r="S312" i="2"/>
  <c r="W312" i="2"/>
  <c r="S313" i="2"/>
  <c r="W313" i="2" s="1"/>
  <c r="S314" i="2"/>
  <c r="W314" i="2"/>
  <c r="S315" i="2"/>
  <c r="W315" i="2"/>
  <c r="S316" i="2"/>
  <c r="W316" i="2"/>
  <c r="S317" i="2"/>
  <c r="W317" i="2"/>
  <c r="S318" i="2"/>
  <c r="W318" i="2"/>
  <c r="S319" i="2"/>
  <c r="W319" i="2"/>
  <c r="S320" i="2"/>
  <c r="W320" i="2"/>
  <c r="S321" i="2"/>
  <c r="W321" i="2" s="1"/>
  <c r="S322" i="2"/>
  <c r="W322" i="2"/>
  <c r="S323" i="2"/>
  <c r="W323" i="2"/>
  <c r="S324" i="2"/>
  <c r="W324" i="2"/>
  <c r="S325" i="2"/>
  <c r="W325" i="2"/>
  <c r="W326" i="2"/>
  <c r="S327" i="2"/>
  <c r="W327" i="2"/>
  <c r="W328" i="2"/>
  <c r="R330" i="2"/>
  <c r="D301" i="2"/>
  <c r="D300" i="2"/>
  <c r="G300" i="2" s="1"/>
  <c r="K300" i="2" s="1"/>
  <c r="D299" i="2"/>
  <c r="G299" i="2" s="1"/>
  <c r="K299" i="2" s="1"/>
  <c r="D298" i="2"/>
  <c r="D297" i="2"/>
  <c r="G297" i="2" s="1"/>
  <c r="K297" i="2" s="1"/>
  <c r="D296" i="2"/>
  <c r="G296" i="2"/>
  <c r="K296" i="2" s="1"/>
  <c r="D295" i="2"/>
  <c r="D294" i="2"/>
  <c r="G294" i="2" s="1"/>
  <c r="K294" i="2" s="1"/>
  <c r="D293" i="2"/>
  <c r="G293" i="2" s="1"/>
  <c r="K293" i="2" s="1"/>
  <c r="D292" i="2"/>
  <c r="G292" i="2" s="1"/>
  <c r="K292" i="2" s="1"/>
  <c r="J291" i="2"/>
  <c r="D291" i="2"/>
  <c r="D290" i="2"/>
  <c r="G290" i="2"/>
  <c r="K290" i="2" s="1"/>
  <c r="D289" i="2"/>
  <c r="D288" i="2"/>
  <c r="G288" i="2" s="1"/>
  <c r="K288" i="2" s="1"/>
  <c r="D287" i="2"/>
  <c r="G287" i="2" s="1"/>
  <c r="C290" i="2"/>
  <c r="C291" i="2" s="1"/>
  <c r="C292" i="2" s="1"/>
  <c r="C293" i="2" s="1"/>
  <c r="C294" i="2" s="1"/>
  <c r="C295" i="2" s="1"/>
  <c r="C296" i="2" s="1"/>
  <c r="C297" i="2" s="1"/>
  <c r="C298" i="2" s="1"/>
  <c r="C299" i="2" s="1"/>
  <c r="C300" i="2" s="1"/>
  <c r="C301" i="2" s="1"/>
  <c r="E330" i="2"/>
  <c r="C288" i="2"/>
  <c r="C289" i="2"/>
  <c r="G289" i="2"/>
  <c r="K289" i="2" s="1"/>
  <c r="G291" i="2"/>
  <c r="K291" i="2" s="1"/>
  <c r="G295" i="2"/>
  <c r="K295" i="2"/>
  <c r="G298" i="2"/>
  <c r="K298" i="2" s="1"/>
  <c r="G301" i="2"/>
  <c r="K301" i="2" s="1"/>
  <c r="G302" i="2"/>
  <c r="K302" i="2"/>
  <c r="G303" i="2"/>
  <c r="K303" i="2"/>
  <c r="G304" i="2"/>
  <c r="K304" i="2"/>
  <c r="G305" i="2"/>
  <c r="K305" i="2"/>
  <c r="G306" i="2"/>
  <c r="K306" i="2"/>
  <c r="G307" i="2"/>
  <c r="K307" i="2" s="1"/>
  <c r="G308" i="2"/>
  <c r="K308" i="2"/>
  <c r="G309" i="2"/>
  <c r="K309" i="2" s="1"/>
  <c r="G310" i="2"/>
  <c r="K310" i="2"/>
  <c r="G311" i="2"/>
  <c r="K311" i="2"/>
  <c r="G312" i="2"/>
  <c r="K312" i="2"/>
  <c r="G313" i="2"/>
  <c r="K313" i="2"/>
  <c r="G314" i="2"/>
  <c r="K314" i="2"/>
  <c r="G315" i="2"/>
  <c r="K315" i="2" s="1"/>
  <c r="G316" i="2"/>
  <c r="K316" i="2"/>
  <c r="G317" i="2"/>
  <c r="K317" i="2" s="1"/>
  <c r="G318" i="2"/>
  <c r="K318" i="2"/>
  <c r="G319" i="2"/>
  <c r="K319" i="2"/>
  <c r="G320" i="2"/>
  <c r="K320" i="2"/>
  <c r="G327" i="2"/>
  <c r="K327" i="2"/>
  <c r="F330" i="2"/>
  <c r="I330" i="2"/>
  <c r="J330" i="2"/>
  <c r="W385" i="2" l="1"/>
  <c r="S385" i="2"/>
  <c r="AI294" i="2"/>
  <c r="AC330" i="2"/>
  <c r="AI287" i="2"/>
  <c r="AI330" i="2" s="1"/>
  <c r="AE330" i="2"/>
  <c r="AB330" i="2"/>
  <c r="Q330" i="2"/>
  <c r="S330" i="2"/>
  <c r="W330" i="2"/>
  <c r="P330" i="2"/>
  <c r="D330" i="2"/>
  <c r="G330" i="2"/>
  <c r="K287" i="2"/>
  <c r="K330" i="2" s="1"/>
  <c r="AB238" i="2"/>
  <c r="AB237" i="2"/>
  <c r="AB236" i="2"/>
  <c r="AH235" i="2"/>
  <c r="AC235" i="2"/>
  <c r="AB235" i="2"/>
  <c r="AC234" i="2"/>
  <c r="AB234" i="2"/>
  <c r="AB233" i="2"/>
  <c r="AE233" i="2" s="1"/>
  <c r="AI233" i="2" s="1"/>
  <c r="AC233" i="2"/>
  <c r="AC232" i="2"/>
  <c r="AB232" i="2"/>
  <c r="AE232" i="2" s="1"/>
  <c r="AA233" i="2"/>
  <c r="AC275" i="2"/>
  <c r="AA234" i="2"/>
  <c r="AE234" i="2"/>
  <c r="AI234" i="2" s="1"/>
  <c r="AA235" i="2"/>
  <c r="AA236" i="2" s="1"/>
  <c r="AA237" i="2" s="1"/>
  <c r="AA238" i="2" s="1"/>
  <c r="AE235" i="2"/>
  <c r="AI235" i="2" s="1"/>
  <c r="AE236" i="2"/>
  <c r="AI236" i="2" s="1"/>
  <c r="AE237" i="2"/>
  <c r="AI237" i="2" s="1"/>
  <c r="AE238" i="2"/>
  <c r="AI238" i="2" s="1"/>
  <c r="AH275" i="2"/>
  <c r="AE239" i="2"/>
  <c r="AI239" i="2" s="1"/>
  <c r="AE240" i="2"/>
  <c r="AI240" i="2"/>
  <c r="AE241" i="2"/>
  <c r="AI241" i="2" s="1"/>
  <c r="AE242" i="2"/>
  <c r="AI242" i="2" s="1"/>
  <c r="AE243" i="2"/>
  <c r="AI243" i="2"/>
  <c r="AE244" i="2"/>
  <c r="AI244" i="2"/>
  <c r="AE245" i="2"/>
  <c r="AI245" i="2"/>
  <c r="AE246" i="2"/>
  <c r="AI246" i="2" s="1"/>
  <c r="AE247" i="2"/>
  <c r="AI247" i="2" s="1"/>
  <c r="AE248" i="2"/>
  <c r="AI248" i="2"/>
  <c r="AE249" i="2"/>
  <c r="AI249" i="2" s="1"/>
  <c r="AE250" i="2"/>
  <c r="AI250" i="2" s="1"/>
  <c r="AE251" i="2"/>
  <c r="AI251" i="2" s="1"/>
  <c r="AE252" i="2"/>
  <c r="AI252" i="2"/>
  <c r="AE253" i="2"/>
  <c r="AI253" i="2"/>
  <c r="AE254" i="2"/>
  <c r="AI254" i="2" s="1"/>
  <c r="AE255" i="2"/>
  <c r="AI255" i="2" s="1"/>
  <c r="AE256" i="2"/>
  <c r="AI256" i="2"/>
  <c r="AE257" i="2"/>
  <c r="AI257" i="2" s="1"/>
  <c r="AE258" i="2"/>
  <c r="AI258" i="2" s="1"/>
  <c r="AE259" i="2"/>
  <c r="AI259" i="2"/>
  <c r="AE260" i="2"/>
  <c r="AI260" i="2"/>
  <c r="AE261" i="2"/>
  <c r="AI261" i="2"/>
  <c r="AE262" i="2"/>
  <c r="AI262" i="2" s="1"/>
  <c r="AE263" i="2"/>
  <c r="AI263" i="2" s="1"/>
  <c r="AE264" i="2"/>
  <c r="AI264" i="2"/>
  <c r="AE265" i="2"/>
  <c r="AI265" i="2" s="1"/>
  <c r="AE266" i="2"/>
  <c r="AI266" i="2" s="1"/>
  <c r="AE267" i="2"/>
  <c r="AI267" i="2"/>
  <c r="AE268" i="2"/>
  <c r="AI268" i="2"/>
  <c r="AE269" i="2"/>
  <c r="AI269" i="2"/>
  <c r="AE270" i="2"/>
  <c r="AI270" i="2" s="1"/>
  <c r="AI271" i="2"/>
  <c r="AE272" i="2"/>
  <c r="AI272" i="2"/>
  <c r="AI273" i="2"/>
  <c r="AD275" i="2"/>
  <c r="AG275" i="2"/>
  <c r="V238" i="2"/>
  <c r="P238" i="2"/>
  <c r="S238" i="2" s="1"/>
  <c r="V237" i="2"/>
  <c r="P237" i="2"/>
  <c r="S237" i="2" s="1"/>
  <c r="Q236" i="2"/>
  <c r="P236" i="2"/>
  <c r="P235" i="2"/>
  <c r="U235" i="2"/>
  <c r="U275" i="2"/>
  <c r="Q234" i="2"/>
  <c r="P234" i="2"/>
  <c r="P233" i="2"/>
  <c r="P232" i="2"/>
  <c r="S232" i="2" s="1"/>
  <c r="W232" i="2" s="1"/>
  <c r="O233" i="2"/>
  <c r="O234" i="2" s="1"/>
  <c r="O235" i="2" s="1"/>
  <c r="O236" i="2" s="1"/>
  <c r="O237" i="2" s="1"/>
  <c r="O238" i="2" s="1"/>
  <c r="S233" i="2"/>
  <c r="S235" i="2"/>
  <c r="S239" i="2"/>
  <c r="W239" i="2" s="1"/>
  <c r="S240" i="2"/>
  <c r="W240" i="2" s="1"/>
  <c r="S241" i="2"/>
  <c r="W241" i="2" s="1"/>
  <c r="S242" i="2"/>
  <c r="W242" i="2" s="1"/>
  <c r="S243" i="2"/>
  <c r="W243" i="2" s="1"/>
  <c r="S244" i="2"/>
  <c r="W244" i="2" s="1"/>
  <c r="S245" i="2"/>
  <c r="W245" i="2"/>
  <c r="S246" i="2"/>
  <c r="W246" i="2"/>
  <c r="S247" i="2"/>
  <c r="W247" i="2"/>
  <c r="S248" i="2"/>
  <c r="W248" i="2"/>
  <c r="S249" i="2"/>
  <c r="W249" i="2"/>
  <c r="S250" i="2"/>
  <c r="W250" i="2"/>
  <c r="S251" i="2"/>
  <c r="W251" i="2"/>
  <c r="S252" i="2"/>
  <c r="W252" i="2" s="1"/>
  <c r="S253" i="2"/>
  <c r="W253" i="2"/>
  <c r="S254" i="2"/>
  <c r="W254" i="2"/>
  <c r="S255" i="2"/>
  <c r="W255" i="2"/>
  <c r="S256" i="2"/>
  <c r="W256" i="2" s="1"/>
  <c r="S257" i="2"/>
  <c r="W257" i="2"/>
  <c r="S258" i="2"/>
  <c r="W258" i="2"/>
  <c r="S259" i="2"/>
  <c r="W259" i="2"/>
  <c r="S260" i="2"/>
  <c r="W260" i="2" s="1"/>
  <c r="S261" i="2"/>
  <c r="W261" i="2" s="1"/>
  <c r="S262" i="2"/>
  <c r="W262" i="2"/>
  <c r="S263" i="2"/>
  <c r="W263" i="2"/>
  <c r="S264" i="2"/>
  <c r="W264" i="2"/>
  <c r="S265" i="2"/>
  <c r="W265" i="2"/>
  <c r="S266" i="2"/>
  <c r="W266" i="2"/>
  <c r="S267" i="2"/>
  <c r="W267" i="2"/>
  <c r="S268" i="2"/>
  <c r="W268" i="2" s="1"/>
  <c r="S269" i="2"/>
  <c r="W269" i="2"/>
  <c r="S270" i="2"/>
  <c r="W270" i="2"/>
  <c r="W271" i="2"/>
  <c r="S272" i="2"/>
  <c r="W272" i="2"/>
  <c r="W273" i="2"/>
  <c r="R275" i="2"/>
  <c r="D234" i="2"/>
  <c r="G234" i="2" s="1"/>
  <c r="K234" i="2" s="1"/>
  <c r="D233" i="2"/>
  <c r="I232" i="2"/>
  <c r="I275" i="2"/>
  <c r="J275" i="2"/>
  <c r="E232" i="2"/>
  <c r="E275" i="2" s="1"/>
  <c r="D232" i="2"/>
  <c r="C233" i="2"/>
  <c r="C234" i="2" s="1"/>
  <c r="G235" i="2"/>
  <c r="K235" i="2" s="1"/>
  <c r="G236" i="2"/>
  <c r="K236" i="2"/>
  <c r="G237" i="2"/>
  <c r="K237" i="2"/>
  <c r="G238" i="2"/>
  <c r="K238" i="2"/>
  <c r="G239" i="2"/>
  <c r="K239" i="2" s="1"/>
  <c r="G240" i="2"/>
  <c r="K240" i="2"/>
  <c r="G241" i="2"/>
  <c r="K241" i="2" s="1"/>
  <c r="G242" i="2"/>
  <c r="K242" i="2"/>
  <c r="G243" i="2"/>
  <c r="K243" i="2" s="1"/>
  <c r="G244" i="2"/>
  <c r="K244" i="2"/>
  <c r="G245" i="2"/>
  <c r="K245" i="2"/>
  <c r="G246" i="2"/>
  <c r="K246" i="2"/>
  <c r="G247" i="2"/>
  <c r="K247" i="2" s="1"/>
  <c r="G248" i="2"/>
  <c r="K248" i="2"/>
  <c r="G249" i="2"/>
  <c r="K249" i="2" s="1"/>
  <c r="G250" i="2"/>
  <c r="K250" i="2"/>
  <c r="G251" i="2"/>
  <c r="K251" i="2" s="1"/>
  <c r="G252" i="2"/>
  <c r="K252" i="2"/>
  <c r="G253" i="2"/>
  <c r="K253" i="2"/>
  <c r="G254" i="2"/>
  <c r="K254" i="2"/>
  <c r="G255" i="2"/>
  <c r="K255" i="2" s="1"/>
  <c r="G256" i="2"/>
  <c r="K256" i="2"/>
  <c r="G257" i="2"/>
  <c r="K257" i="2" s="1"/>
  <c r="G258" i="2"/>
  <c r="K258" i="2"/>
  <c r="G259" i="2"/>
  <c r="K259" i="2" s="1"/>
  <c r="G260" i="2"/>
  <c r="K260" i="2"/>
  <c r="G261" i="2"/>
  <c r="K261" i="2"/>
  <c r="G262" i="2"/>
  <c r="K262" i="2"/>
  <c r="G263" i="2"/>
  <c r="K263" i="2" s="1"/>
  <c r="G264" i="2"/>
  <c r="K264" i="2"/>
  <c r="G265" i="2"/>
  <c r="K265" i="2" s="1"/>
  <c r="G272" i="2"/>
  <c r="K272" i="2" s="1"/>
  <c r="F275" i="2"/>
  <c r="AI232" i="2" l="1"/>
  <c r="AI275" i="2" s="1"/>
  <c r="AE275" i="2"/>
  <c r="AB275" i="2"/>
  <c r="W238" i="2"/>
  <c r="V275" i="2"/>
  <c r="W237" i="2"/>
  <c r="Q275" i="2"/>
  <c r="S236" i="2"/>
  <c r="W236" i="2" s="1"/>
  <c r="W235" i="2"/>
  <c r="S234" i="2"/>
  <c r="W234" i="2" s="1"/>
  <c r="S275" i="2"/>
  <c r="W233" i="2"/>
  <c r="P275" i="2"/>
  <c r="D275" i="2"/>
  <c r="G233" i="2"/>
  <c r="K233" i="2" s="1"/>
  <c r="G232" i="2"/>
  <c r="AE183" i="2"/>
  <c r="AC183" i="2"/>
  <c r="AB183" i="2"/>
  <c r="AH183" i="2"/>
  <c r="AH220" i="2" s="1"/>
  <c r="AH182" i="2"/>
  <c r="AB182" i="2"/>
  <c r="AH181" i="2"/>
  <c r="AG220" i="2"/>
  <c r="AC181" i="2"/>
  <c r="AC220" i="2" s="1"/>
  <c r="AB181" i="2"/>
  <c r="AB180" i="2"/>
  <c r="AE180" i="2" s="1"/>
  <c r="AI180" i="2" s="1"/>
  <c r="AC179" i="2"/>
  <c r="AB179" i="2"/>
  <c r="AC178" i="2"/>
  <c r="AB178" i="2"/>
  <c r="AE178" i="2" s="1"/>
  <c r="AB177" i="2"/>
  <c r="AE177" i="2"/>
  <c r="AI177" i="2" s="1"/>
  <c r="AA178" i="2"/>
  <c r="AA179" i="2"/>
  <c r="AE179" i="2"/>
  <c r="AI179" i="2" s="1"/>
  <c r="AA180" i="2"/>
  <c r="AA181" i="2" s="1"/>
  <c r="AA182" i="2" s="1"/>
  <c r="AA183" i="2" s="1"/>
  <c r="AE182" i="2"/>
  <c r="AI182" i="2" s="1"/>
  <c r="AE184" i="2"/>
  <c r="AI184" i="2" s="1"/>
  <c r="AE185" i="2"/>
  <c r="AI185" i="2"/>
  <c r="AE186" i="2"/>
  <c r="AI186" i="2" s="1"/>
  <c r="AE187" i="2"/>
  <c r="AI187" i="2"/>
  <c r="AE188" i="2"/>
  <c r="AI188" i="2"/>
  <c r="AE189" i="2"/>
  <c r="AI189" i="2"/>
  <c r="AE190" i="2"/>
  <c r="AI190" i="2"/>
  <c r="AE191" i="2"/>
  <c r="AI191" i="2"/>
  <c r="AE192" i="2"/>
  <c r="AI192" i="2"/>
  <c r="AE193" i="2"/>
  <c r="AI193" i="2"/>
  <c r="AE194" i="2"/>
  <c r="AI194" i="2" s="1"/>
  <c r="AE195" i="2"/>
  <c r="AI195" i="2"/>
  <c r="AE196" i="2"/>
  <c r="AI196" i="2"/>
  <c r="AE197" i="2"/>
  <c r="AI197" i="2"/>
  <c r="AE198" i="2"/>
  <c r="AI198" i="2"/>
  <c r="AE199" i="2"/>
  <c r="AI199" i="2"/>
  <c r="AE200" i="2"/>
  <c r="AI200" i="2"/>
  <c r="AE201" i="2"/>
  <c r="AI201" i="2"/>
  <c r="AE202" i="2"/>
  <c r="AI202" i="2" s="1"/>
  <c r="AE203" i="2"/>
  <c r="AI203" i="2"/>
  <c r="AE204" i="2"/>
  <c r="AI204" i="2"/>
  <c r="AE205" i="2"/>
  <c r="AI205" i="2"/>
  <c r="AE206" i="2"/>
  <c r="AI206" i="2"/>
  <c r="AE207" i="2"/>
  <c r="AI207" i="2"/>
  <c r="AE208" i="2"/>
  <c r="AI208" i="2"/>
  <c r="AE209" i="2"/>
  <c r="AI209" i="2"/>
  <c r="AE210" i="2"/>
  <c r="AI210" i="2" s="1"/>
  <c r="AE211" i="2"/>
  <c r="AI211" i="2" s="1"/>
  <c r="AE212" i="2"/>
  <c r="AI212" i="2"/>
  <c r="AE213" i="2"/>
  <c r="AI213" i="2"/>
  <c r="AE214" i="2"/>
  <c r="AI214" i="2"/>
  <c r="AE215" i="2"/>
  <c r="AI215" i="2"/>
  <c r="AI216" i="2"/>
  <c r="AE217" i="2"/>
  <c r="AI217" i="2"/>
  <c r="AI218" i="2"/>
  <c r="AD220" i="2"/>
  <c r="P189" i="2"/>
  <c r="S189" i="2" s="1"/>
  <c r="W189" i="2" s="1"/>
  <c r="P188" i="2"/>
  <c r="S188" i="2" s="1"/>
  <c r="W188" i="2" s="1"/>
  <c r="P187" i="2"/>
  <c r="S187" i="2" s="1"/>
  <c r="W187" i="2" s="1"/>
  <c r="V186" i="2"/>
  <c r="U186" i="2"/>
  <c r="Q186" i="2"/>
  <c r="Q220" i="2" s="1"/>
  <c r="P186" i="2"/>
  <c r="S186" i="2" s="1"/>
  <c r="W186" i="2" s="1"/>
  <c r="P185" i="2"/>
  <c r="P184" i="2"/>
  <c r="S184" i="2" s="1"/>
  <c r="W184" i="2" s="1"/>
  <c r="P183" i="2"/>
  <c r="S183" i="2" s="1"/>
  <c r="W183" i="2" s="1"/>
  <c r="O182" i="2"/>
  <c r="O183" i="2" s="1"/>
  <c r="O184" i="2" s="1"/>
  <c r="O185" i="2" s="1"/>
  <c r="O186" i="2" s="1"/>
  <c r="O187" i="2" s="1"/>
  <c r="O188" i="2" s="1"/>
  <c r="O189" i="2" s="1"/>
  <c r="P182" i="2"/>
  <c r="P181" i="2"/>
  <c r="S181" i="2" s="1"/>
  <c r="W181" i="2" s="1"/>
  <c r="P180" i="2"/>
  <c r="S180" i="2" s="1"/>
  <c r="W180" i="2" s="1"/>
  <c r="P179" i="2"/>
  <c r="P178" i="2"/>
  <c r="P177" i="2"/>
  <c r="S177" i="2"/>
  <c r="W177" i="2" s="1"/>
  <c r="O178" i="2"/>
  <c r="S178" i="2"/>
  <c r="U220" i="2"/>
  <c r="O179" i="2"/>
  <c r="O180" i="2" s="1"/>
  <c r="O181" i="2" s="1"/>
  <c r="S179" i="2"/>
  <c r="W179" i="2" s="1"/>
  <c r="S182" i="2"/>
  <c r="W182" i="2" s="1"/>
  <c r="S185" i="2"/>
  <c r="W185" i="2" s="1"/>
  <c r="S190" i="2"/>
  <c r="W190" i="2" s="1"/>
  <c r="S191" i="2"/>
  <c r="W191" i="2"/>
  <c r="S192" i="2"/>
  <c r="W192" i="2"/>
  <c r="S193" i="2"/>
  <c r="W193" i="2"/>
  <c r="S194" i="2"/>
  <c r="W194" i="2" s="1"/>
  <c r="S195" i="2"/>
  <c r="W195" i="2" s="1"/>
  <c r="S196" i="2"/>
  <c r="W196" i="2"/>
  <c r="S197" i="2"/>
  <c r="W197" i="2" s="1"/>
  <c r="S198" i="2"/>
  <c r="W198" i="2" s="1"/>
  <c r="S199" i="2"/>
  <c r="W199" i="2"/>
  <c r="S200" i="2"/>
  <c r="W200" i="2"/>
  <c r="S201" i="2"/>
  <c r="W201" i="2"/>
  <c r="S202" i="2"/>
  <c r="W202" i="2" s="1"/>
  <c r="S203" i="2"/>
  <c r="W203" i="2" s="1"/>
  <c r="S204" i="2"/>
  <c r="W204" i="2"/>
  <c r="S205" i="2"/>
  <c r="W205" i="2" s="1"/>
  <c r="S206" i="2"/>
  <c r="W206" i="2" s="1"/>
  <c r="S207" i="2"/>
  <c r="W207" i="2"/>
  <c r="S208" i="2"/>
  <c r="W208" i="2"/>
  <c r="S209" i="2"/>
  <c r="W209" i="2"/>
  <c r="S210" i="2"/>
  <c r="W210" i="2" s="1"/>
  <c r="S211" i="2"/>
  <c r="W211" i="2" s="1"/>
  <c r="S212" i="2"/>
  <c r="W212" i="2"/>
  <c r="S213" i="2"/>
  <c r="W213" i="2" s="1"/>
  <c r="S214" i="2"/>
  <c r="W214" i="2" s="1"/>
  <c r="S215" i="2"/>
  <c r="W215" i="2"/>
  <c r="W216" i="2"/>
  <c r="S217" i="2"/>
  <c r="W217" i="2"/>
  <c r="W218" i="2"/>
  <c r="R220" i="2"/>
  <c r="V220" i="2"/>
  <c r="D180" i="2"/>
  <c r="G180" i="2" s="1"/>
  <c r="K180" i="2" s="1"/>
  <c r="D179" i="2"/>
  <c r="G179" i="2" s="1"/>
  <c r="K179" i="2" s="1"/>
  <c r="E178" i="2"/>
  <c r="D178" i="2"/>
  <c r="G178" i="2" s="1"/>
  <c r="K178" i="2" s="1"/>
  <c r="I177" i="2"/>
  <c r="E177" i="2"/>
  <c r="D177" i="2"/>
  <c r="G177" i="2" s="1"/>
  <c r="C178" i="2"/>
  <c r="C179" i="2" s="1"/>
  <c r="C180" i="2" s="1"/>
  <c r="G181" i="2"/>
  <c r="K181" i="2" s="1"/>
  <c r="G182" i="2"/>
  <c r="K182" i="2"/>
  <c r="G183" i="2"/>
  <c r="K183" i="2"/>
  <c r="G184" i="2"/>
  <c r="K184" i="2" s="1"/>
  <c r="G185" i="2"/>
  <c r="K185" i="2" s="1"/>
  <c r="G186" i="2"/>
  <c r="K186" i="2" s="1"/>
  <c r="G187" i="2"/>
  <c r="K187" i="2" s="1"/>
  <c r="G188" i="2"/>
  <c r="K188" i="2"/>
  <c r="G189" i="2"/>
  <c r="K189" i="2"/>
  <c r="G190" i="2"/>
  <c r="K190" i="2"/>
  <c r="G191" i="2"/>
  <c r="K191" i="2" s="1"/>
  <c r="G192" i="2"/>
  <c r="K192" i="2" s="1"/>
  <c r="G193" i="2"/>
  <c r="K193" i="2" s="1"/>
  <c r="G194" i="2"/>
  <c r="K194" i="2" s="1"/>
  <c r="G195" i="2"/>
  <c r="K195" i="2" s="1"/>
  <c r="G196" i="2"/>
  <c r="K196" i="2"/>
  <c r="G197" i="2"/>
  <c r="K197" i="2"/>
  <c r="G198" i="2"/>
  <c r="K198" i="2"/>
  <c r="G199" i="2"/>
  <c r="K199" i="2" s="1"/>
  <c r="G200" i="2"/>
  <c r="K200" i="2" s="1"/>
  <c r="G201" i="2"/>
  <c r="K201" i="2" s="1"/>
  <c r="G202" i="2"/>
  <c r="K202" i="2" s="1"/>
  <c r="G203" i="2"/>
  <c r="K203" i="2" s="1"/>
  <c r="G204" i="2"/>
  <c r="K204" i="2"/>
  <c r="G205" i="2"/>
  <c r="K205" i="2"/>
  <c r="G206" i="2"/>
  <c r="K206" i="2"/>
  <c r="G207" i="2"/>
  <c r="K207" i="2" s="1"/>
  <c r="G208" i="2"/>
  <c r="K208" i="2" s="1"/>
  <c r="G209" i="2"/>
  <c r="K209" i="2" s="1"/>
  <c r="G210" i="2"/>
  <c r="K210" i="2" s="1"/>
  <c r="G217" i="2"/>
  <c r="K217" i="2" s="1"/>
  <c r="F220" i="2"/>
  <c r="I220" i="2"/>
  <c r="J220" i="2"/>
  <c r="W275" i="2" l="1"/>
  <c r="G275" i="2"/>
  <c r="K232" i="2"/>
  <c r="K275" i="2" s="1"/>
  <c r="AI183" i="2"/>
  <c r="AE181" i="2"/>
  <c r="AI181" i="2" s="1"/>
  <c r="AB220" i="2"/>
  <c r="AI178" i="2"/>
  <c r="S220" i="2"/>
  <c r="W178" i="2"/>
  <c r="W220" i="2" s="1"/>
  <c r="P220" i="2"/>
  <c r="E220" i="2"/>
  <c r="K177" i="2"/>
  <c r="K220" i="2" s="1"/>
  <c r="G220" i="2"/>
  <c r="D220" i="2"/>
  <c r="AB127" i="2"/>
  <c r="AE127" i="2" s="1"/>
  <c r="AI127" i="2" s="1"/>
  <c r="AA127" i="2"/>
  <c r="AB126" i="2"/>
  <c r="AB125" i="2"/>
  <c r="AG124" i="2"/>
  <c r="AB124" i="2"/>
  <c r="AB123" i="2"/>
  <c r="AC123" i="2"/>
  <c r="AG165" i="2"/>
  <c r="AI122" i="2"/>
  <c r="AB122" i="2"/>
  <c r="AE122" i="2"/>
  <c r="AA123" i="2"/>
  <c r="AA124" i="2" s="1"/>
  <c r="AA125" i="2" s="1"/>
  <c r="AA126" i="2" s="1"/>
  <c r="AE124" i="2"/>
  <c r="AI124" i="2" s="1"/>
  <c r="AE125" i="2"/>
  <c r="AI125" i="2" s="1"/>
  <c r="AE126" i="2"/>
  <c r="AI126" i="2" s="1"/>
  <c r="AE128" i="2"/>
  <c r="AI128" i="2"/>
  <c r="AE129" i="2"/>
  <c r="AI129" i="2" s="1"/>
  <c r="AE130" i="2"/>
  <c r="AI130" i="2"/>
  <c r="AE131" i="2"/>
  <c r="AI131" i="2"/>
  <c r="AE132" i="2"/>
  <c r="AI132" i="2" s="1"/>
  <c r="AE133" i="2"/>
  <c r="AI133" i="2"/>
  <c r="AE134" i="2"/>
  <c r="AI134" i="2" s="1"/>
  <c r="AE135" i="2"/>
  <c r="AI135" i="2" s="1"/>
  <c r="AE136" i="2"/>
  <c r="AI136" i="2"/>
  <c r="AE137" i="2"/>
  <c r="AI137" i="2" s="1"/>
  <c r="AE138" i="2"/>
  <c r="AI138" i="2"/>
  <c r="AE139" i="2"/>
  <c r="AI139" i="2"/>
  <c r="AE140" i="2"/>
  <c r="AI140" i="2" s="1"/>
  <c r="AE141" i="2"/>
  <c r="AI141" i="2"/>
  <c r="AE142" i="2"/>
  <c r="AI142" i="2" s="1"/>
  <c r="AE143" i="2"/>
  <c r="AI143" i="2" s="1"/>
  <c r="AE144" i="2"/>
  <c r="AI144" i="2"/>
  <c r="AE145" i="2"/>
  <c r="AI145" i="2" s="1"/>
  <c r="AE146" i="2"/>
  <c r="AI146" i="2"/>
  <c r="AE147" i="2"/>
  <c r="AI147" i="2"/>
  <c r="AE148" i="2"/>
  <c r="AI148" i="2" s="1"/>
  <c r="AE149" i="2"/>
  <c r="AI149" i="2"/>
  <c r="AE150" i="2"/>
  <c r="AI150" i="2" s="1"/>
  <c r="AE151" i="2"/>
  <c r="AI151" i="2" s="1"/>
  <c r="AE152" i="2"/>
  <c r="AI152" i="2"/>
  <c r="AE153" i="2"/>
  <c r="AI153" i="2" s="1"/>
  <c r="AE154" i="2"/>
  <c r="AI154" i="2"/>
  <c r="AE155" i="2"/>
  <c r="AI155" i="2"/>
  <c r="AE156" i="2"/>
  <c r="AI156" i="2" s="1"/>
  <c r="AE157" i="2"/>
  <c r="AI157" i="2"/>
  <c r="AE158" i="2"/>
  <c r="AI158" i="2" s="1"/>
  <c r="AE159" i="2"/>
  <c r="AI159" i="2" s="1"/>
  <c r="AE160" i="2"/>
  <c r="AI160" i="2"/>
  <c r="AI161" i="2"/>
  <c r="AE162" i="2"/>
  <c r="AI162" i="2"/>
  <c r="AI163" i="2"/>
  <c r="AC165" i="2"/>
  <c r="AD165" i="2"/>
  <c r="P127" i="2"/>
  <c r="P126" i="2"/>
  <c r="S126" i="2" s="1"/>
  <c r="W126" i="2" s="1"/>
  <c r="P125" i="2"/>
  <c r="Q124" i="2"/>
  <c r="P124" i="2"/>
  <c r="U123" i="2"/>
  <c r="W123" i="2" s="1"/>
  <c r="Q123" i="2"/>
  <c r="P123" i="2"/>
  <c r="P122" i="2"/>
  <c r="S122" i="2" s="1"/>
  <c r="W122" i="2" s="1"/>
  <c r="O126" i="2"/>
  <c r="O123" i="2"/>
  <c r="O124" i="2" s="1"/>
  <c r="O125" i="2" s="1"/>
  <c r="S123" i="2"/>
  <c r="S127" i="2"/>
  <c r="W127" i="2" s="1"/>
  <c r="S128" i="2"/>
  <c r="W128" i="2"/>
  <c r="S129" i="2"/>
  <c r="W129" i="2"/>
  <c r="S130" i="2"/>
  <c r="W130" i="2"/>
  <c r="S131" i="2"/>
  <c r="W131" i="2" s="1"/>
  <c r="S132" i="2"/>
  <c r="W132" i="2"/>
  <c r="S133" i="2"/>
  <c r="W133" i="2"/>
  <c r="S134" i="2"/>
  <c r="W134" i="2"/>
  <c r="S135" i="2"/>
  <c r="W135" i="2"/>
  <c r="S136" i="2"/>
  <c r="W136" i="2"/>
  <c r="S137" i="2"/>
  <c r="W137" i="2"/>
  <c r="S138" i="2"/>
  <c r="W138" i="2"/>
  <c r="S139" i="2"/>
  <c r="W139" i="2"/>
  <c r="S140" i="2"/>
  <c r="W140" i="2"/>
  <c r="S141" i="2"/>
  <c r="W141" i="2"/>
  <c r="S142" i="2"/>
  <c r="W142" i="2"/>
  <c r="S143" i="2"/>
  <c r="W143" i="2"/>
  <c r="S144" i="2"/>
  <c r="W144" i="2"/>
  <c r="S145" i="2"/>
  <c r="W145" i="2"/>
  <c r="S146" i="2"/>
  <c r="W146" i="2"/>
  <c r="S147" i="2"/>
  <c r="W147" i="2"/>
  <c r="S148" i="2"/>
  <c r="W148" i="2"/>
  <c r="S149" i="2"/>
  <c r="W149" i="2"/>
  <c r="S150" i="2"/>
  <c r="W150" i="2"/>
  <c r="S151" i="2"/>
  <c r="W151" i="2"/>
  <c r="S152" i="2"/>
  <c r="W152" i="2"/>
  <c r="S153" i="2"/>
  <c r="W153" i="2"/>
  <c r="S154" i="2"/>
  <c r="W154" i="2"/>
  <c r="S155" i="2"/>
  <c r="W155" i="2"/>
  <c r="S156" i="2"/>
  <c r="W156" i="2"/>
  <c r="S157" i="2"/>
  <c r="W157" i="2"/>
  <c r="S158" i="2"/>
  <c r="W158" i="2"/>
  <c r="S159" i="2"/>
  <c r="W159" i="2"/>
  <c r="S160" i="2"/>
  <c r="W160" i="2"/>
  <c r="W161" i="2"/>
  <c r="S162" i="2"/>
  <c r="W162" i="2" s="1"/>
  <c r="W163" i="2"/>
  <c r="R165" i="2"/>
  <c r="U165" i="2"/>
  <c r="V165" i="2"/>
  <c r="J129" i="2"/>
  <c r="J165" i="2" s="1"/>
  <c r="D129" i="2"/>
  <c r="G129" i="2" s="1"/>
  <c r="K129" i="2" s="1"/>
  <c r="D128" i="2"/>
  <c r="G128" i="2" s="1"/>
  <c r="K128" i="2" s="1"/>
  <c r="I127" i="2"/>
  <c r="E127" i="2"/>
  <c r="D127" i="2"/>
  <c r="G127" i="2" s="1"/>
  <c r="K127" i="2" s="1"/>
  <c r="I126" i="2"/>
  <c r="I165" i="2" s="1"/>
  <c r="E126" i="2"/>
  <c r="D126" i="2"/>
  <c r="G126" i="2" s="1"/>
  <c r="K126" i="2" s="1"/>
  <c r="D125" i="2"/>
  <c r="D124" i="2"/>
  <c r="D123" i="2"/>
  <c r="D122" i="2"/>
  <c r="G122" i="2" s="1"/>
  <c r="K122" i="2" s="1"/>
  <c r="C129" i="2"/>
  <c r="C123" i="2"/>
  <c r="C124" i="2" s="1"/>
  <c r="C125" i="2" s="1"/>
  <c r="C126" i="2" s="1"/>
  <c r="C127" i="2" s="1"/>
  <c r="C128" i="2" s="1"/>
  <c r="G124" i="2"/>
  <c r="K124" i="2" s="1"/>
  <c r="G125" i="2"/>
  <c r="K125" i="2" s="1"/>
  <c r="G130" i="2"/>
  <c r="K130" i="2" s="1"/>
  <c r="G131" i="2"/>
  <c r="K131" i="2"/>
  <c r="G132" i="2"/>
  <c r="K132" i="2"/>
  <c r="G133" i="2"/>
  <c r="K133" i="2"/>
  <c r="G134" i="2"/>
  <c r="K134" i="2"/>
  <c r="G135" i="2"/>
  <c r="K135" i="2"/>
  <c r="G136" i="2"/>
  <c r="K136" i="2"/>
  <c r="G137" i="2"/>
  <c r="K137" i="2"/>
  <c r="G138" i="2"/>
  <c r="K138" i="2" s="1"/>
  <c r="G139" i="2"/>
  <c r="K139" i="2"/>
  <c r="G140" i="2"/>
  <c r="K140" i="2"/>
  <c r="G141" i="2"/>
  <c r="K141" i="2"/>
  <c r="G142" i="2"/>
  <c r="K142" i="2"/>
  <c r="G143" i="2"/>
  <c r="K143" i="2"/>
  <c r="G144" i="2"/>
  <c r="K144" i="2"/>
  <c r="G145" i="2"/>
  <c r="K145" i="2"/>
  <c r="G146" i="2"/>
  <c r="K146" i="2" s="1"/>
  <c r="G147" i="2"/>
  <c r="K147" i="2"/>
  <c r="G148" i="2"/>
  <c r="K148" i="2"/>
  <c r="G149" i="2"/>
  <c r="K149" i="2"/>
  <c r="G150" i="2"/>
  <c r="K150" i="2"/>
  <c r="G151" i="2"/>
  <c r="K151" i="2"/>
  <c r="G152" i="2"/>
  <c r="K152" i="2"/>
  <c r="G153" i="2"/>
  <c r="K153" i="2"/>
  <c r="G154" i="2"/>
  <c r="K154" i="2" s="1"/>
  <c r="G155" i="2"/>
  <c r="K155" i="2"/>
  <c r="G162" i="2"/>
  <c r="K162" i="2"/>
  <c r="E165" i="2"/>
  <c r="F165" i="2"/>
  <c r="AH71" i="2"/>
  <c r="AB71" i="2"/>
  <c r="AE71" i="2" s="1"/>
  <c r="AB70" i="2"/>
  <c r="AB69" i="2"/>
  <c r="AC68" i="2"/>
  <c r="AB68" i="2"/>
  <c r="AC67" i="2"/>
  <c r="AB67" i="2"/>
  <c r="AE67" i="2" s="1"/>
  <c r="AA68" i="2"/>
  <c r="AA69" i="2" s="1"/>
  <c r="AA70" i="2" s="1"/>
  <c r="AA71" i="2" s="1"/>
  <c r="AE68" i="2"/>
  <c r="AI68" i="2" s="1"/>
  <c r="AE69" i="2"/>
  <c r="AI69" i="2" s="1"/>
  <c r="AE70" i="2"/>
  <c r="AI70" i="2" s="1"/>
  <c r="AE72" i="2"/>
  <c r="AI72" i="2"/>
  <c r="AE73" i="2"/>
  <c r="AI73" i="2" s="1"/>
  <c r="AE74" i="2"/>
  <c r="AI74" i="2" s="1"/>
  <c r="AE75" i="2"/>
  <c r="AI75" i="2" s="1"/>
  <c r="AE76" i="2"/>
  <c r="AI76" i="2"/>
  <c r="AE77" i="2"/>
  <c r="AI77" i="2"/>
  <c r="AE78" i="2"/>
  <c r="AI78" i="2"/>
  <c r="AE79" i="2"/>
  <c r="AI79" i="2"/>
  <c r="AE80" i="2"/>
  <c r="AI80" i="2" s="1"/>
  <c r="AE81" i="2"/>
  <c r="AI81" i="2" s="1"/>
  <c r="AE82" i="2"/>
  <c r="AI82" i="2"/>
  <c r="AE83" i="2"/>
  <c r="AI83" i="2" s="1"/>
  <c r="AE84" i="2"/>
  <c r="AI84" i="2"/>
  <c r="AE85" i="2"/>
  <c r="AI85" i="2"/>
  <c r="AE86" i="2"/>
  <c r="AI86" i="2"/>
  <c r="AE87" i="2"/>
  <c r="AI87" i="2"/>
  <c r="AE88" i="2"/>
  <c r="AI88" i="2" s="1"/>
  <c r="AE89" i="2"/>
  <c r="AI89" i="2" s="1"/>
  <c r="AE90" i="2"/>
  <c r="AI90" i="2"/>
  <c r="AE91" i="2"/>
  <c r="AI91" i="2" s="1"/>
  <c r="AE92" i="2"/>
  <c r="AI92" i="2"/>
  <c r="AE93" i="2"/>
  <c r="AI93" i="2"/>
  <c r="AE94" i="2"/>
  <c r="AI94" i="2"/>
  <c r="AE95" i="2"/>
  <c r="AI95" i="2"/>
  <c r="AE96" i="2"/>
  <c r="AI96" i="2" s="1"/>
  <c r="AE97" i="2"/>
  <c r="AI97" i="2" s="1"/>
  <c r="AE98" i="2"/>
  <c r="AI98" i="2"/>
  <c r="AE99" i="2"/>
  <c r="AI99" i="2" s="1"/>
  <c r="AE100" i="2"/>
  <c r="AI100" i="2"/>
  <c r="AE101" i="2"/>
  <c r="AI101" i="2"/>
  <c r="AE102" i="2"/>
  <c r="AI102" i="2"/>
  <c r="AE103" i="2"/>
  <c r="AI103" i="2"/>
  <c r="AE104" i="2"/>
  <c r="AI104" i="2" s="1"/>
  <c r="AE105" i="2"/>
  <c r="AI105" i="2" s="1"/>
  <c r="AI106" i="2"/>
  <c r="AE107" i="2"/>
  <c r="AI107" i="2"/>
  <c r="AI108" i="2"/>
  <c r="AC110" i="2"/>
  <c r="AD110" i="2"/>
  <c r="AG110" i="2"/>
  <c r="AH110" i="2"/>
  <c r="P70" i="2"/>
  <c r="P69" i="2"/>
  <c r="P68" i="2"/>
  <c r="S68" i="2" s="1"/>
  <c r="Q67" i="2"/>
  <c r="Q110" i="2" s="1"/>
  <c r="P67" i="2"/>
  <c r="O68" i="2"/>
  <c r="O69" i="2" s="1"/>
  <c r="O70" i="2" s="1"/>
  <c r="V110" i="2"/>
  <c r="S70" i="2"/>
  <c r="W70" i="2" s="1"/>
  <c r="S71" i="2"/>
  <c r="W71" i="2"/>
  <c r="S72" i="2"/>
  <c r="W72" i="2"/>
  <c r="S73" i="2"/>
  <c r="W73" i="2" s="1"/>
  <c r="S74" i="2"/>
  <c r="W74" i="2" s="1"/>
  <c r="S75" i="2"/>
  <c r="W75" i="2"/>
  <c r="S76" i="2"/>
  <c r="W76" i="2"/>
  <c r="S77" i="2"/>
  <c r="W77" i="2"/>
  <c r="S78" i="2"/>
  <c r="W78" i="2"/>
  <c r="S79" i="2"/>
  <c r="W79" i="2"/>
  <c r="S80" i="2"/>
  <c r="W80" i="2"/>
  <c r="S81" i="2"/>
  <c r="W81" i="2"/>
  <c r="S82" i="2"/>
  <c r="W82" i="2"/>
  <c r="S83" i="2"/>
  <c r="W83" i="2"/>
  <c r="S84" i="2"/>
  <c r="W84" i="2"/>
  <c r="S85" i="2"/>
  <c r="W85" i="2"/>
  <c r="S86" i="2"/>
  <c r="W86" i="2"/>
  <c r="S87" i="2"/>
  <c r="W87" i="2"/>
  <c r="S88" i="2"/>
  <c r="W88" i="2"/>
  <c r="S89" i="2"/>
  <c r="W89" i="2"/>
  <c r="S90" i="2"/>
  <c r="W90" i="2"/>
  <c r="S91" i="2"/>
  <c r="W91" i="2"/>
  <c r="S92" i="2"/>
  <c r="W92" i="2"/>
  <c r="S93" i="2"/>
  <c r="W93" i="2"/>
  <c r="S94" i="2"/>
  <c r="W94" i="2"/>
  <c r="S95" i="2"/>
  <c r="W95" i="2"/>
  <c r="S96" i="2"/>
  <c r="W96" i="2"/>
  <c r="S97" i="2"/>
  <c r="W97" i="2"/>
  <c r="S98" i="2"/>
  <c r="W98" i="2"/>
  <c r="S99" i="2"/>
  <c r="W99" i="2"/>
  <c r="S100" i="2"/>
  <c r="W100" i="2"/>
  <c r="S101" i="2"/>
  <c r="W101" i="2"/>
  <c r="S102" i="2"/>
  <c r="W102" i="2"/>
  <c r="S103" i="2"/>
  <c r="W103" i="2"/>
  <c r="S104" i="2"/>
  <c r="W104" i="2"/>
  <c r="S105" i="2"/>
  <c r="W105" i="2"/>
  <c r="W106" i="2"/>
  <c r="S107" i="2"/>
  <c r="W107" i="2" s="1"/>
  <c r="W108" i="2"/>
  <c r="R110" i="2"/>
  <c r="U110" i="2"/>
  <c r="AI220" i="2" l="1"/>
  <c r="AE220" i="2"/>
  <c r="AB165" i="2"/>
  <c r="AE123" i="2"/>
  <c r="AI123" i="2" s="1"/>
  <c r="AH165" i="2"/>
  <c r="AE165" i="2"/>
  <c r="AI165" i="2"/>
  <c r="S124" i="2"/>
  <c r="W124" i="2" s="1"/>
  <c r="Q165" i="2"/>
  <c r="P165" i="2"/>
  <c r="S125" i="2"/>
  <c r="D165" i="2"/>
  <c r="G123" i="2"/>
  <c r="AI71" i="2"/>
  <c r="AE110" i="2"/>
  <c r="AI67" i="2"/>
  <c r="AI110" i="2" s="1"/>
  <c r="AB110" i="2"/>
  <c r="P110" i="2"/>
  <c r="S67" i="2"/>
  <c r="W67" i="2" s="1"/>
  <c r="W68" i="2"/>
  <c r="S69" i="2"/>
  <c r="W69" i="2" s="1"/>
  <c r="D73" i="2"/>
  <c r="G73" i="2" s="1"/>
  <c r="K73" i="2" s="1"/>
  <c r="D72" i="2"/>
  <c r="G72" i="2" s="1"/>
  <c r="K72" i="2" s="1"/>
  <c r="D71" i="2"/>
  <c r="G71" i="2" s="1"/>
  <c r="K71" i="2" s="1"/>
  <c r="D70" i="2"/>
  <c r="G70" i="2" s="1"/>
  <c r="K70" i="2" s="1"/>
  <c r="D69" i="2"/>
  <c r="D68" i="2"/>
  <c r="I67" i="2"/>
  <c r="E67" i="2"/>
  <c r="E110" i="2" s="1"/>
  <c r="D67" i="2"/>
  <c r="C68" i="2"/>
  <c r="C69" i="2" s="1"/>
  <c r="C70" i="2" s="1"/>
  <c r="C71" i="2" s="1"/>
  <c r="C72" i="2" s="1"/>
  <c r="C73" i="2" s="1"/>
  <c r="G68" i="2"/>
  <c r="K68" i="2" s="1"/>
  <c r="G69" i="2"/>
  <c r="K69" i="2" s="1"/>
  <c r="I110" i="2"/>
  <c r="G74" i="2"/>
  <c r="K74" i="2" s="1"/>
  <c r="G75" i="2"/>
  <c r="K75" i="2" s="1"/>
  <c r="G76" i="2"/>
  <c r="K76" i="2" s="1"/>
  <c r="G77" i="2"/>
  <c r="K77" i="2"/>
  <c r="G78" i="2"/>
  <c r="K78" i="2"/>
  <c r="G79" i="2"/>
  <c r="K79" i="2"/>
  <c r="G80" i="2"/>
  <c r="K80" i="2"/>
  <c r="G81" i="2"/>
  <c r="K81" i="2" s="1"/>
  <c r="G82" i="2"/>
  <c r="K82" i="2"/>
  <c r="G83" i="2"/>
  <c r="K83" i="2"/>
  <c r="G84" i="2"/>
  <c r="K84" i="2"/>
  <c r="G85" i="2"/>
  <c r="K85" i="2"/>
  <c r="G86" i="2"/>
  <c r="K86" i="2"/>
  <c r="G87" i="2"/>
  <c r="K87" i="2"/>
  <c r="G88" i="2"/>
  <c r="K88" i="2"/>
  <c r="G89" i="2"/>
  <c r="K89" i="2" s="1"/>
  <c r="G90" i="2"/>
  <c r="K90" i="2"/>
  <c r="G91" i="2"/>
  <c r="K91" i="2"/>
  <c r="G92" i="2"/>
  <c r="K92" i="2"/>
  <c r="G93" i="2"/>
  <c r="K93" i="2"/>
  <c r="G94" i="2"/>
  <c r="K94" i="2"/>
  <c r="G95" i="2"/>
  <c r="K95" i="2"/>
  <c r="G96" i="2"/>
  <c r="K96" i="2"/>
  <c r="G97" i="2"/>
  <c r="K97" i="2" s="1"/>
  <c r="G98" i="2"/>
  <c r="K98" i="2"/>
  <c r="G99" i="2"/>
  <c r="K99" i="2"/>
  <c r="G100" i="2"/>
  <c r="K100" i="2"/>
  <c r="G107" i="2"/>
  <c r="K107" i="2"/>
  <c r="F110" i="2"/>
  <c r="J110" i="2"/>
  <c r="W125" i="2" l="1"/>
  <c r="W165" i="2" s="1"/>
  <c r="S165" i="2"/>
  <c r="K123" i="2"/>
  <c r="K165" i="2" s="1"/>
  <c r="G165" i="2"/>
  <c r="W110" i="2"/>
  <c r="S110" i="2"/>
  <c r="G67" i="2"/>
  <c r="K67" i="2" s="1"/>
  <c r="K110" i="2" s="1"/>
  <c r="D110" i="2"/>
  <c r="AB20" i="2"/>
  <c r="AB19" i="2"/>
  <c r="AA19" i="2"/>
  <c r="AA20" i="2" s="1"/>
  <c r="AB18" i="2"/>
  <c r="AB17" i="2"/>
  <c r="AG16" i="2"/>
  <c r="AC16" i="2"/>
  <c r="AB16" i="2"/>
  <c r="AB15" i="2"/>
  <c r="AB14" i="2"/>
  <c r="AC13" i="2"/>
  <c r="AB13" i="2"/>
  <c r="AH12" i="2"/>
  <c r="AC12" i="2"/>
  <c r="AB12" i="2"/>
  <c r="P19" i="2"/>
  <c r="V18" i="2"/>
  <c r="P18" i="2"/>
  <c r="P17" i="2"/>
  <c r="P16" i="2"/>
  <c r="V15" i="2"/>
  <c r="P15" i="2"/>
  <c r="V14" i="2"/>
  <c r="P14" i="2"/>
  <c r="U13" i="2"/>
  <c r="Q13" i="2"/>
  <c r="P13" i="2"/>
  <c r="P12" i="2"/>
  <c r="D21" i="2"/>
  <c r="D20" i="2"/>
  <c r="D19" i="2"/>
  <c r="D18" i="2"/>
  <c r="D17" i="2"/>
  <c r="D16" i="2"/>
  <c r="D15" i="2"/>
  <c r="I14" i="2"/>
  <c r="D14" i="2"/>
  <c r="D13" i="2"/>
  <c r="D12" i="2"/>
  <c r="C13" i="2"/>
  <c r="G110" i="2" l="1"/>
  <c r="J10" i="1"/>
  <c r="D10" i="1" s="1"/>
  <c r="J16" i="1"/>
  <c r="D16" i="1" s="1"/>
  <c r="J17" i="1"/>
  <c r="D17" i="1" s="1"/>
  <c r="J18" i="1"/>
  <c r="D18" i="1" s="1"/>
  <c r="J19" i="1"/>
  <c r="D19" i="1" s="1"/>
  <c r="J20" i="1"/>
  <c r="J23" i="1"/>
  <c r="J24" i="1"/>
  <c r="D24" i="1" s="1"/>
  <c r="J25" i="1"/>
  <c r="D25" i="1" s="1"/>
  <c r="J26" i="1"/>
  <c r="D26" i="1" s="1"/>
  <c r="J37" i="1"/>
  <c r="D37" i="1" s="1"/>
  <c r="J38" i="1"/>
  <c r="D38" i="1" s="1"/>
  <c r="J39" i="1"/>
  <c r="J40" i="1"/>
  <c r="J30" i="1"/>
  <c r="D30" i="1" s="1"/>
  <c r="J31" i="1"/>
  <c r="D31" i="1" s="1"/>
  <c r="J32" i="1"/>
  <c r="D32" i="1" s="1"/>
  <c r="J33" i="1"/>
  <c r="D33" i="1" s="1"/>
  <c r="J34" i="1"/>
  <c r="D39" i="1"/>
  <c r="A38" i="1" l="1"/>
  <c r="A39" i="1"/>
  <c r="AA13" i="2" l="1"/>
  <c r="J36" i="1" l="1"/>
  <c r="D36" i="1" s="1"/>
  <c r="J27" i="1"/>
  <c r="J29" i="1"/>
  <c r="J22" i="1"/>
  <c r="D22" i="1" s="1"/>
  <c r="J13" i="1"/>
  <c r="C14" i="2" l="1"/>
  <c r="C15" i="2" s="1"/>
  <c r="C16" i="2" s="1"/>
  <c r="C17" i="2" s="1"/>
  <c r="C18" i="2" s="1"/>
  <c r="C19" i="2" s="1"/>
  <c r="C20" i="2" s="1"/>
  <c r="C21" i="2" s="1"/>
  <c r="D23" i="1" l="1"/>
  <c r="J15" i="1"/>
  <c r="D15" i="1" s="1"/>
  <c r="O13" i="2" l="1"/>
  <c r="O14" i="2" s="1"/>
  <c r="O15" i="2" s="1"/>
  <c r="O16" i="2" s="1"/>
  <c r="O17" i="2" s="1"/>
  <c r="O18" i="2" s="1"/>
  <c r="O19" i="2" s="1"/>
  <c r="J12" i="1"/>
  <c r="J11" i="1"/>
  <c r="D11" i="1" s="1"/>
  <c r="D42" i="1" l="1"/>
  <c r="AA14" i="2" l="1"/>
  <c r="AA15" i="2" s="1"/>
  <c r="AA16" i="2" s="1"/>
  <c r="AA17" i="2" s="1"/>
  <c r="AA18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 s="1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 s="1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F12" authorId="0" shapeId="0" xr:uid="{D83B6510-D543-4B1E-99D2-D83F216749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HOLIDAY - HOLY WEEK</t>
        </r>
      </text>
    </comment>
    <comment ref="G12" authorId="0" shapeId="0" xr:uid="{78C14940-3FCC-4E79-9C03-09B0A3C4E3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HOLIDAY - HOLY WEEK</t>
        </r>
      </text>
    </comment>
    <comment ref="H12" authorId="0" shapeId="0" xr:uid="{3BE1E8D6-9D53-4AC5-9108-3DA942E02F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HOLIDAY - HOLY WEEK</t>
        </r>
      </text>
    </comment>
    <comment ref="F13" authorId="0" shapeId="0" xr:uid="{BC63E165-DC24-4521-9EAA-5E13A9EA8A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HOLIDAY - HOLY WEEK</t>
        </r>
      </text>
    </comment>
    <comment ref="G13" authorId="0" shapeId="0" xr:uid="{853B947B-EBCD-4D5F-A4CE-C46D6C6D70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HOLIDAY - HOLY WEEK</t>
        </r>
      </text>
    </comment>
    <comment ref="H13" authorId="0" shapeId="0" xr:uid="{AE49A86E-1982-4359-998D-B64BDB90DE1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HOLIDAY - HOLY WEEK</t>
        </r>
      </text>
    </comment>
    <comment ref="H19" authorId="0" shapeId="0" xr:uid="{C236C7E3-F864-42AD-8292-ABD3D4DFF7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F20" authorId="0" shapeId="0" xr:uid="{1CF3F1BC-C091-4C74-AEA5-A39F1120E7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DAY OFF
</t>
        </r>
      </text>
    </comment>
    <comment ref="G20" authorId="0" shapeId="0" xr:uid="{27D113C6-213B-462F-B14D-092651A070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DAY OFF
</t>
        </r>
      </text>
    </comment>
    <comment ref="H20" authorId="0" shapeId="0" xr:uid="{D8708153-0F4A-415C-9CD7-097F06A1076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DAY OFF</t>
        </r>
      </text>
    </comment>
    <comment ref="H22" authorId="0" shapeId="0" xr:uid="{A6B97C47-6C3E-42AD-8382-499E185792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DSP:
GINA GRACE LOPEZ</t>
        </r>
      </text>
    </comment>
    <comment ref="F26" authorId="0" shapeId="0" xr:uid="{8EB93DD1-3532-49CE-BB1F-31AB5203DC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F27" authorId="0" shapeId="0" xr:uid="{F440E6DA-6456-4316-8EEA-72B909AA02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DAY OFF</t>
        </r>
      </text>
    </comment>
    <comment ref="G27" authorId="0" shapeId="0" xr:uid="{1FF14377-3BCB-47CD-A392-91D8B21ED9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DAY OFF</t>
        </r>
      </text>
    </comment>
    <comment ref="H27" authorId="0" shapeId="0" xr:uid="{9BA79430-AED7-495F-B7B2-0661541394C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DAY OFF</t>
        </r>
      </text>
    </comment>
    <comment ref="F33" authorId="0" shapeId="0" xr:uid="{7E8C78CB-FAA1-4B83-AB94-1F8694DA98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GA ULAG</t>
        </r>
      </text>
    </comment>
    <comment ref="G36" authorId="0" shapeId="0" xr:uid="{D8213F7F-D081-4757-A744-4144245954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59FDF229-E318-433B-ADEB-9B3248C9A7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SHIRLEY ESTOSATA
PIAO, SINDANGAN</t>
        </r>
      </text>
    </comment>
    <comment ref="O12" authorId="0" shapeId="0" xr:uid="{7B2B1C35-3268-4BC1-BCF7-24FD80A63C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AA12" authorId="0" shapeId="0" xr:uid="{2FB75E0A-F2FD-4436-B194-4FCA85679C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3" authorId="0" shapeId="0" xr:uid="{D004982B-E273-476A-A19E-4322408A77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JOSEPHINE
PIAO, SINDANGAN</t>
        </r>
      </text>
    </comment>
    <comment ref="O13" authorId="0" shapeId="0" xr:uid="{155A3820-6AB5-477A-B926-38E3A7B8F6F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13" authorId="0" shapeId="0" xr:uid="{D1BB12CC-550E-466C-8D99-690228C525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C14" authorId="0" shapeId="0" xr:uid="{03F54386-2C33-4F5D-9FB6-F0565E5AD8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STORE
POB, SIAYAN</t>
        </r>
      </text>
    </comment>
    <comment ref="O14" authorId="0" shapeId="0" xr:uid="{E7A7954F-5132-4908-A09F-A04CE56A4D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14" authorId="0" shapeId="0" xr:uid="{976400C8-1F77-4E5A-AE69-7B12C343C0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15" authorId="0" shapeId="0" xr:uid="{27652EA7-8E85-4D13-809F-8E7EA4D8AD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O15" authorId="0" shapeId="0" xr:uid="{28E0515D-A64C-4920-A4A0-3D95373128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REJAN STORE
MANDIH, SINDANGAN</t>
        </r>
      </text>
    </comment>
    <comment ref="AA15" authorId="0" shapeId="0" xr:uid="{F2BDF2A2-594A-4732-B63E-6CB4A14954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POB EAST, SALUG</t>
        </r>
      </text>
    </comment>
    <comment ref="C16" authorId="0" shapeId="0" xr:uid="{F7A0D51C-35C1-483A-8594-C29BF21E89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LANGAN
POB, SIAYAN</t>
        </r>
      </text>
    </comment>
    <comment ref="O16" authorId="0" shapeId="0" xr:uid="{08BFB0D9-A94E-4E63-8D49-88C579A251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16" authorId="0" shapeId="0" xr:uid="{43AA7862-4BA8-407D-84C9-F48065DD44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17" authorId="0" shapeId="0" xr:uid="{1EE4640C-5533-4F5B-B677-7DEF128DBC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
POB, SIAYAN</t>
        </r>
      </text>
    </comment>
    <comment ref="O17" authorId="0" shapeId="0" xr:uid="{C569C771-0686-4DD8-9F5A-B55650A03A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AA17" authorId="0" shapeId="0" xr:uid="{4A04115B-16F6-43F3-AB2B-ECCBED07D3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JAMS STORE
POB EAST, SALUG</t>
        </r>
      </text>
    </comment>
    <comment ref="C18" authorId="0" shapeId="0" xr:uid="{DF96769F-697E-41AF-A0E3-1FD7AF0500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
POB, SIAYAN</t>
        </r>
      </text>
    </comment>
    <comment ref="O18" authorId="0" shapeId="0" xr:uid="{0914DFDA-4B5D-4A7A-A9D0-E9102E6BCE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18" authorId="0" shapeId="0" xr:uid="{2E9B4ADA-BCB7-46A4-9E53-C13D4EE3CC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 CONVENIENCE STORE
POB EAST, SALUG</t>
        </r>
      </text>
    </comment>
    <comment ref="C19" authorId="0" shapeId="0" xr:uid="{2BCF34C2-22AD-43F0-89A9-A93183620E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O19" authorId="0" shapeId="0" xr:uid="{4B8C16F9-F4D2-4C8C-9469-903E21A394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19" authorId="0" shapeId="0" xr:uid="{28A042F9-5C67-40AF-81ED-65AE646357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POCARO STORE
POB EAT, SALUG</t>
        </r>
      </text>
    </comment>
    <comment ref="C20" authorId="0" shapeId="0" xr:uid="{B7C957BB-B1D7-4112-84BB-64C598F128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AA20" authorId="0" shapeId="0" xr:uid="{8DF01A71-73EB-4EEC-B0BD-B10E492DA8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21" authorId="0" shapeId="0" xr:uid="{34F277B5-6332-41B2-A8D0-7D3546C3F3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BAYAWA
BALOK, SINDANGAN</t>
        </r>
      </text>
    </comment>
    <comment ref="C67" authorId="0" shapeId="0" xr:uid="{FE9ECB9A-0FBC-45C2-973A-6E01784BB5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67" authorId="0" shapeId="0" xr:uid="{13382385-21BD-48F5-A90F-D53F93BDF3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67" authorId="0" shapeId="0" xr:uid="{568CC05B-050C-4B81-9435-87F910CDA3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68" authorId="0" shapeId="0" xr:uid="{286F1982-F3FF-4853-82BF-EC8016C7A7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LINDA JOSEFINA
DISUD, SINDANGAN</t>
        </r>
      </text>
    </comment>
    <comment ref="O68" authorId="0" shapeId="0" xr:uid="{7E7C2C1E-B61A-4C4D-8D2C-7C6D0F1BFA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68" authorId="0" shapeId="0" xr:uid="{1BB95A62-0EE2-4D00-804B-6FFED54617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69" authorId="0" shapeId="0" xr:uid="{DA3F543A-066D-45C4-B1F4-9EC5800F36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VILLARIN
POB, SINDANGAN</t>
        </r>
      </text>
    </comment>
    <comment ref="O69" authorId="0" shapeId="0" xr:uid="{1A5A9B64-EDC5-47EC-B87B-6DFD8D9D6E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AA69" authorId="0" shapeId="0" xr:uid="{ED3C4C91-0AA1-4F2A-BD25-49847268FF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C70" authorId="0" shapeId="0" xr:uid="{BBD576D4-73F5-4062-917B-4389030C37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LOMOCSO
DISUD, SINDANGAN</t>
        </r>
      </text>
    </comment>
    <comment ref="O70" authorId="0" shapeId="0" xr:uid="{2D8BABC8-319C-4F61-8428-C3D13713EB5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70" authorId="0" shapeId="0" xr:uid="{1DCC027C-644E-4CEF-A14A-FB77C641CD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STORE
BAYBAY, LILOY</t>
        </r>
      </text>
    </comment>
    <comment ref="C71" authorId="0" shapeId="0" xr:uid="{9A0711A7-DFE8-41C6-8D19-62E6BC3045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EDWARD
GOLEO, SINDANGAN</t>
        </r>
      </text>
    </comment>
    <comment ref="AA71" authorId="0" shapeId="0" xr:uid="{038DE3B5-0374-4112-9B53-91E062626C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DELIA STORE
LAMAO, LILOY</t>
        </r>
      </text>
    </comment>
    <comment ref="C72" authorId="0" shapeId="0" xr:uid="{FD7F95BF-DDC2-4DE9-9799-5C37EDC3B8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 ASIS, JULIET
DAPAON, SINDANGAN</t>
        </r>
      </text>
    </comment>
    <comment ref="C73" authorId="0" shapeId="0" xr:uid="{C5C7DAFD-CEAB-4D1C-9C8A-501B2F2CE3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LIEZEL BAYAWA
BALOK, SINDANGAN</t>
        </r>
      </text>
    </comment>
    <comment ref="C122" authorId="0" shapeId="0" xr:uid="{302B7380-4BCE-4E1E-B1E6-609B2D0A14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ELMER
POB, SINDANGAN</t>
        </r>
      </text>
    </comment>
    <comment ref="O122" authorId="0" shapeId="0" xr:uid="{483835CF-6B85-4C64-A922-B9205E6650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TALINGA, BACUNGAN</t>
        </r>
      </text>
    </comment>
    <comment ref="AA122" authorId="0" shapeId="0" xr:uid="{F6DEE03A-AD3E-4B8F-8370-7354A7427B2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23" authorId="0" shapeId="0" xr:uid="{ED005A6D-C4EE-4D14-8F44-A814F4DBF39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LIEZEL BAYAWA
BALOK, SINDANGAN</t>
        </r>
      </text>
    </comment>
    <comment ref="O123" authorId="0" shapeId="0" xr:uid="{DE95713C-2DE5-4E63-9E1D-09A9D75C47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A123" authorId="0" shapeId="0" xr:uid="{46432919-14A7-4370-981E-1BDAECC3D8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124" authorId="0" shapeId="0" xr:uid="{949596C3-7A5C-4DB4-B056-9ECCD3B7DE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FERNANDES GLAIZA
DAPAON, SINDANGAN</t>
        </r>
      </text>
    </comment>
    <comment ref="O124" authorId="0" shapeId="0" xr:uid="{6CC7B7CF-A5A0-4588-AAC1-2D49754348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124" authorId="0" shapeId="0" xr:uid="{D2E5A496-28DA-4067-9856-F6449D4E1A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
POB EAST, SALUG</t>
        </r>
      </text>
    </comment>
    <comment ref="C125" authorId="0" shapeId="0" xr:uid="{8B86B0E7-ABE8-4F44-B0D1-831029B6FF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O125" authorId="0" shapeId="0" xr:uid="{C311D419-E189-414A-B699-392B1F0AB2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125" authorId="0" shapeId="0" xr:uid="{EC20496B-506C-432A-9059-0E7798D320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126" authorId="0" shapeId="0" xr:uid="{FAA8B61E-E5D5-4031-BC0A-F27F83C6F5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SINDANGAN</t>
        </r>
      </text>
    </comment>
    <comment ref="O126" authorId="0" shapeId="0" xr:uid="{8B1C58C9-877F-429B-8D0A-520C4D3556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126" authorId="0" shapeId="0" xr:uid="{3F0E232D-2DEA-49AF-B8C1-92747617CD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C127" authorId="0" shapeId="0" xr:uid="{69935222-14FD-4793-8B5E-6DA5867A63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127" authorId="0" shapeId="0" xr:uid="{5C981F4F-7BC4-485D-A4F6-2728B52622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 SINDANGAN</t>
        </r>
      </text>
    </comment>
    <comment ref="AA127" authorId="0" shapeId="0" xr:uid="{07B51470-57BD-4D1D-BCBF-BF3E1BDCB5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BACONG, SALUG</t>
        </r>
      </text>
    </comment>
    <comment ref="C128" authorId="0" shapeId="0" xr:uid="{1D5EC575-3468-4EA9-BDA5-EBCA9FA74C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ZAIRA CACHILA
POB, SINDANGAN</t>
        </r>
      </text>
    </comment>
    <comment ref="C129" authorId="0" shapeId="0" xr:uid="{8302B257-87DA-46C3-9888-89A6593971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JANICE
DICOYONG, SINDANGAN</t>
        </r>
      </text>
    </comment>
    <comment ref="C177" authorId="0" shapeId="0" xr:uid="{8DF94649-1E18-414E-88E3-D747A2491FB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BALAMBAM STORE
GUNYAN, SIAYAN</t>
        </r>
      </text>
    </comment>
    <comment ref="O177" authorId="0" shapeId="0" xr:uid="{019A868A-B8F2-4D8F-8CD2-C7371F550E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SAPAL STORE
TALINGA, BACUNGAN</t>
        </r>
      </text>
    </comment>
    <comment ref="AA177" authorId="0" shapeId="0" xr:uid="{98B74717-EBDB-46C7-B1BA-E78C1360F1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LILOY MAIN OFFICE
BAYBAY, LILOY</t>
        </r>
      </text>
    </comment>
    <comment ref="C178" authorId="0" shapeId="0" xr:uid="{D61EB1B5-D638-4A9E-9C05-E3BA117D97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O178" authorId="0" shapeId="0" xr:uid="{2F0F5482-F94B-4FD0-99D0-755E318160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AA178" authorId="0" shapeId="0" xr:uid="{BC199710-44BE-4B50-8A3A-8DC1A84CB7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179" authorId="0" shapeId="0" xr:uid="{F41DDAC5-0536-408A-8E20-77FEAC7815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JEZIEL PODIOTAN
POB, SIAYAN</t>
        </r>
      </text>
    </comment>
    <comment ref="O179" authorId="0" shapeId="0" xr:uid="{3C8C87CD-3319-4E8D-B123-CA3C8936E5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 STORE
TALINGA, BACUNGAN</t>
        </r>
      </text>
    </comment>
    <comment ref="AA179" authorId="0" shapeId="0" xr:uid="{DE274139-5C5D-4623-A9F5-AF98A183AC0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C180" authorId="0" shapeId="0" xr:uid="{42EAE637-0B88-46DA-8B4E-DB712168BC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DEGURO STORE
BALOK, SINDANGAN</t>
        </r>
      </text>
    </comment>
    <comment ref="O180" authorId="0" shapeId="0" xr:uid="{A41219F5-D9B4-4658-9B4E-A3D1B454A9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BACUNGAN</t>
        </r>
      </text>
    </comment>
    <comment ref="AA180" authorId="0" shapeId="0" xr:uid="{31AF6522-368F-4740-820C-1B59BCF75C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COLEEN
BAYBAY, LILOY</t>
        </r>
      </text>
    </comment>
    <comment ref="O181" authorId="0" shapeId="0" xr:uid="{1A6F86B8-4F7E-4E9B-9539-60E2207097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 KINGS STORE
TALINGA, BACUNGAN</t>
        </r>
      </text>
    </comment>
    <comment ref="AA181" authorId="0" shapeId="0" xr:uid="{10BA3A2B-5236-425C-A8CF-39DB1C1799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O182" authorId="0" shapeId="0" xr:uid="{9158D573-2C47-4367-A25F-E9773EE88E4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SANOPAO STORE
MARAS, SINDANGAN</t>
        </r>
      </text>
    </comment>
    <comment ref="AA182" authorId="0" shapeId="0" xr:uid="{6112A07A-65DE-4679-971D-9D3F4D124F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O183" authorId="0" shapeId="0" xr:uid="{54AC1E5A-881B-4A59-B193-27637560CC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TEOPE
MARAS, SINDANGAN</t>
        </r>
      </text>
    </comment>
    <comment ref="AA183" authorId="0" shapeId="0" xr:uid="{356510BA-A053-4D4C-8B6B-86DDDA2D22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TAN
BAYBAY, LILOY</t>
        </r>
      </text>
    </comment>
    <comment ref="O184" authorId="0" shapeId="0" xr:uid="{6EDD9276-929A-4E93-AC88-8D41E352DD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O185" authorId="0" shapeId="0" xr:uid="{6FC324A7-0FE7-417A-A578-609A3624CB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O186" authorId="0" shapeId="0" xr:uid="{26742ADA-274D-446B-9A0C-F2D869F1AE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O187" authorId="0" shapeId="0" xr:uid="{C67E1333-C5AC-4FCD-9C47-2B272616C8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O188" authorId="0" shapeId="0" xr:uid="{1469F519-C0FC-45FB-B2F8-B431FE093F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O189" authorId="0" shapeId="0" xr:uid="{D769AC15-8E10-41B5-8F5D-33024B8EB4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C232" authorId="0" shapeId="0" xr:uid="{CD5BCB07-92F2-45A3-923D-B9985EDD15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O232" authorId="0" shapeId="0" xr:uid="{1220CFC7-BC08-4962-A041-AB19A1AC8A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TATA MUÑOZ
DATU TANGKILAN, SINDANGAN</t>
        </r>
      </text>
    </comment>
    <comment ref="AA232" authorId="0" shapeId="0" xr:uid="{56DFC1FE-1A18-42D3-B241-05AE893CE18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233" authorId="0" shapeId="0" xr:uid="{B5D163D5-8D0F-419B-BA13-C90702C901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LEE BAGTONG
POB, SIAYAN</t>
        </r>
      </text>
    </comment>
    <comment ref="O233" authorId="0" shapeId="0" xr:uid="{2CD0A69C-FD59-4C4B-B3A1-205B618DB0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AYA STORE
POB, BACUNGAN</t>
        </r>
      </text>
    </comment>
    <comment ref="AA233" authorId="0" shapeId="0" xr:uid="{907F79D8-0F0B-4401-9361-7EF2E80E03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234" authorId="0" shapeId="0" xr:uid="{0DFDDA6B-83D0-4373-8F67-23679512F5E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CROWN HOTEL
RM, SINDANGAN</t>
        </r>
      </text>
    </comment>
    <comment ref="O234" authorId="0" shapeId="0" xr:uid="{7972FE6B-DCB1-4ADD-B4B6-7EF1CAC7FB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234" authorId="0" shapeId="0" xr:uid="{45B1E4BF-4DD3-4325-86B1-CF4BC74711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O235" authorId="0" shapeId="0" xr:uid="{8BC7C5F8-E2D2-4684-A41C-A2BF0E8102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AA235" authorId="0" shapeId="0" xr:uid="{35677AC5-A923-446D-A2B1-D0A74D4A4E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O236" authorId="0" shapeId="0" xr:uid="{4971F01C-771D-4528-BD2C-FF2AFE1AE9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236" authorId="0" shapeId="0" xr:uid="{C286B4AE-AE86-4C0D-94F5-DEA45F0241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O237" authorId="0" shapeId="0" xr:uid="{07968D18-1D13-4112-B2DD-C4ADC40669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AVILLES STORE
MANDIH, SINDANGAN</t>
        </r>
      </text>
    </comment>
    <comment ref="AA237" authorId="0" shapeId="0" xr:uid="{7F9B305A-3CA6-401A-BE44-CCA3131610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O238" authorId="0" shapeId="0" xr:uid="{B06C4B1E-9403-48D4-92F5-DD040E84D0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ALIN STORE
TINAPLAN, SINDANGAN</t>
        </r>
      </text>
    </comment>
    <comment ref="AA238" authorId="0" shapeId="0" xr:uid="{449D54D2-DB0F-4206-9885-B8B9C901AD7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AMIT
BACONG, SALUG</t>
        </r>
      </text>
    </comment>
    <comment ref="C287" authorId="0" shapeId="0" xr:uid="{283762C8-769B-43CF-9625-EB8103A14B8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287" authorId="0" shapeId="0" xr:uid="{F100DC04-232F-4B88-97EA-5E7476FBBF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AA287" authorId="0" shapeId="0" xr:uid="{57715E81-05D4-43C7-BD7B-A662EF900C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</t>
        </r>
      </text>
    </comment>
    <comment ref="C288" authorId="0" shapeId="0" xr:uid="{4F82C9FB-5325-4FEA-89D0-EA40F5D21CD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 STORE
DAGAO, SIAYAN</t>
        </r>
      </text>
    </comment>
    <comment ref="O288" authorId="0" shapeId="0" xr:uid="{547EC162-031F-4F8A-8FF3-C372511905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288" authorId="0" shapeId="0" xr:uid="{326DD867-5050-48DF-B2C6-4731D81D10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289" authorId="0" shapeId="0" xr:uid="{3CA4D8E6-08B0-4D85-8B09-AA9343A07B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FERNANDA CENAS
DAGAO, SIAYAN</t>
        </r>
      </text>
    </comment>
    <comment ref="O289" authorId="0" shapeId="0" xr:uid="{A2220BEA-DDF0-4F88-A43F-65D1ED9F6E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KYRIC ZAI STORE
MARAS, SINDANGAN</t>
        </r>
      </text>
    </comment>
    <comment ref="AA289" authorId="0" shapeId="0" xr:uid="{1278287F-E5DB-4898-B085-13D6CB59EA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JAMS CONSUMER GOODS STORE
POB EAST, SALUG</t>
        </r>
      </text>
    </comment>
    <comment ref="C290" authorId="0" shapeId="0" xr:uid="{7D2EB622-E1D8-4A46-8671-8483097EAB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NORA HUNDO
DAGAO, SINDANGAN</t>
        </r>
      </text>
    </comment>
    <comment ref="O290" authorId="0" shapeId="0" xr:uid="{3634266C-028C-4BD5-A6B0-D9FF931AF3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MARIA FAYE BILLIONES
UPPER INUMAN, SINDANGAN</t>
        </r>
      </text>
    </comment>
    <comment ref="AA290" authorId="0" shapeId="0" xr:uid="{B177C325-39F1-4417-9A5E-B006C5A8A0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GEMINI PHARMACY
POB EAST, SALUG</t>
        </r>
      </text>
    </comment>
    <comment ref="C291" authorId="0" shapeId="0" xr:uid="{BC00553B-0523-42AE-A49C-C5A219DFEE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PIZON, ALEJANDRO
POB, SIAYAN</t>
        </r>
      </text>
    </comment>
    <comment ref="O291" authorId="0" shapeId="0" xr:uid="{5DBC0D46-B495-4C98-A772-D39A97760D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DELIA STORE
POB, SINDANGAN</t>
        </r>
      </text>
    </comment>
    <comment ref="AA291" authorId="0" shapeId="0" xr:uid="{06800AF1-BB30-471A-9A67-864375BD2E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POB EAST, SALUG</t>
        </r>
      </text>
    </comment>
    <comment ref="C292" authorId="0" shapeId="0" xr:uid="{94210B65-4525-4462-960D-AD863B6AA8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CENAS, JONATHAN
POB, SIAYAN</t>
        </r>
      </text>
    </comment>
    <comment ref="O292" authorId="0" shapeId="0" xr:uid="{0327AC23-71AB-492B-988C-CACAD2B1F09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292" authorId="0" shapeId="0" xr:uid="{F545F6E3-F001-4BDB-B36F-0D250490B1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MAÑOZA STORE
POB EAST, SALUG</t>
        </r>
      </text>
    </comment>
    <comment ref="C293" authorId="0" shapeId="0" xr:uid="{49898010-D727-4413-9C5B-FC06736922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O293" authorId="0" shapeId="0" xr:uid="{4679FA9B-B911-449C-844E-F79FCF01B3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293" authorId="0" shapeId="0" xr:uid="{6DB11E3C-0D29-4566-9DBE-40B02E15DF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C294" authorId="0" shapeId="0" xr:uid="{B2CEB217-8406-4675-ACA1-F68BDA6954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JONALYN ABAPO
POB, SIAYAN</t>
        </r>
      </text>
    </comment>
    <comment ref="O294" authorId="0" shapeId="0" xr:uid="{5B05C77A-C67D-46EA-8C97-B1AB53AD08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GERIAN STORE
GOLEO, SINDANGAN</t>
        </r>
      </text>
    </comment>
    <comment ref="AA294" authorId="0" shapeId="0" xr:uid="{0E66B7FE-6DAA-48AE-A2DD-0A121AE608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SARI SARI STORE
BAYBAY, LILOY</t>
        </r>
      </text>
    </comment>
    <comment ref="C295" authorId="0" shapeId="0" xr:uid="{B26F50DF-D64A-40FE-BDB2-07BC55397C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ABORTE
POB, SIAYAN</t>
        </r>
      </text>
    </comment>
    <comment ref="O295" authorId="0" shapeId="0" xr:uid="{01D8CFBF-1A5C-46AF-A5F1-A1C1B5F924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295" authorId="0" shapeId="0" xr:uid="{DCE7B191-6860-4FB6-9B36-D4A20F4360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C296" authorId="0" shapeId="0" xr:uid="{2393C3B1-279F-477F-B938-3CF0C2069D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
POB, SIAYAN</t>
        </r>
      </text>
    </comment>
    <comment ref="AA296" authorId="0" shapeId="0" xr:uid="{D131A0CA-D2EE-4BAE-8272-59E6841283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DELIA STORE
LAMAO, LILOY</t>
        </r>
      </text>
    </comment>
    <comment ref="C297" authorId="0" shapeId="0" xr:uid="{40678EFA-EED0-4F85-98D1-B2CEBEF6AA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TANSO
POB, SIAYAN</t>
        </r>
      </text>
    </comment>
    <comment ref="AA297" authorId="0" shapeId="0" xr:uid="{9794EBDC-E9EC-49AA-BAF2-C73226B9CC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298" authorId="0" shapeId="0" xr:uid="{B8257BC8-ED94-453D-A763-D343887729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KYLA ALUMBRE
POB, SIAYAN</t>
        </r>
      </text>
    </comment>
    <comment ref="C299" authorId="0" shapeId="0" xr:uid="{1206ACB2-AC69-450A-9F07-DCD0B4BF80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ANGELINE DADAN
POB, SIAYAN</t>
        </r>
      </text>
    </comment>
    <comment ref="C300" authorId="0" shapeId="0" xr:uid="{EEE160F2-0B93-44AF-9CE2-12F7851A5F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ARACELIE CARIÑO
POB, SIAYAN</t>
        </r>
      </text>
    </comment>
    <comment ref="C301" authorId="0" shapeId="0" xr:uid="{213C7ADB-A8C5-459B-9194-F17D1EA7A1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LORNALIE BASTASA
GOLEO, SINDANGAN</t>
        </r>
      </text>
    </comment>
    <comment ref="C342" authorId="0" shapeId="0" xr:uid="{994788D6-BFC5-4B73-B63C-0082632899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GERALDINE TEMPORADA
GOLEO, SINDANGAN</t>
        </r>
      </text>
    </comment>
    <comment ref="O342" authorId="0" shapeId="0" xr:uid="{A936E430-87EF-4FD4-A923-192E9006D6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C343" authorId="0" shapeId="0" xr:uid="{AFED95A9-9A0C-4DF8-B1AE-7764F04993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343" authorId="0" shapeId="0" xr:uid="{56648696-3C2E-4E8C-A320-5200C49B2C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SAPIHI STORE
RM, SALUG</t>
        </r>
      </text>
    </comment>
    <comment ref="C344" authorId="0" shapeId="0" xr:uid="{0DD17C84-059A-402F-83E1-9C4DA22C59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BANDICO STORE
GOLEO, SINDANGAN</t>
        </r>
      </text>
    </comment>
    <comment ref="O344" authorId="0" shapeId="0" xr:uid="{65952231-108B-4F8F-9514-D2AEFC2DB4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TALILANG STORE
RM, SALUG</t>
        </r>
      </text>
    </comment>
    <comment ref="C345" authorId="0" shapeId="0" xr:uid="{40D22AE6-9FF4-42D2-9812-7480A72169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DELMER
POB, SINDANGAN</t>
        </r>
      </text>
    </comment>
    <comment ref="O345" authorId="0" shapeId="0" xr:uid="{30CCA287-44DF-4E21-8F06-FB10057DDD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GUMIMAO STORE
RM, SALUG</t>
        </r>
      </text>
    </comment>
    <comment ref="C346" authorId="0" shapeId="0" xr:uid="{B7562414-FF36-4D4D-83D4-676BB96207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DAPAON, SINDANGAN</t>
        </r>
      </text>
    </comment>
    <comment ref="O346" authorId="0" shapeId="0" xr:uid="{B41308FE-C843-4383-A2CD-C3EFF3A335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TALILANG CHERYL
RM, SALUG</t>
        </r>
      </text>
    </comment>
    <comment ref="C347" authorId="0" shapeId="0" xr:uid="{DBD8A0EA-CB06-46F3-B4B0-79B034045A7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DISUD, SINDANGAN</t>
        </r>
      </text>
    </comment>
    <comment ref="O347" authorId="0" shapeId="0" xr:uid="{C2C6C323-0198-40DC-811D-02F12DE1A6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C348" authorId="0" shapeId="0" xr:uid="{E292BC47-0146-4FF6-A958-1633D975C5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CECELIA DAFON
DAPAON, SINDANGAN</t>
        </r>
      </text>
    </comment>
    <comment ref="O348" authorId="0" shapeId="0" xr:uid="{ECBFE8D8-30F6-4FB0-87B4-DB8D5BA987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MINIMART
BOGABONGAN, BACUNGAN</t>
        </r>
      </text>
    </comment>
    <comment ref="C349" authorId="0" shapeId="0" xr:uid="{EC191D9E-96D5-4E05-8190-9E7E8ED3C2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5 WILL'S STORE
DISUD, SINDANGAN</t>
        </r>
      </text>
    </comment>
    <comment ref="O349" authorId="0" shapeId="0" xr:uid="{9AB22BEC-5636-4CE4-AFF2-8BD98B3FAC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RASONABLE
MARAS, SINDANGAN</t>
        </r>
      </text>
    </comment>
    <comment ref="C350" authorId="0" shapeId="0" xr:uid="{7E644374-CDA2-40B4-A34E-B9C6168FE1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ESPARAGUERA, ARLYN
DISUD, SINDANGAN</t>
        </r>
      </text>
    </comment>
    <comment ref="O350" authorId="0" shapeId="0" xr:uid="{6464EECF-BB51-452B-B8D8-C8D1C3BF2D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C351" authorId="0" shapeId="0" xr:uid="{118837D1-759B-4C14-A4EC-8D90CCA180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O351" authorId="0" shapeId="0" xr:uid="{DEF68B1A-D8D5-43BB-BEE2-653F4B30E4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C352" authorId="0" shapeId="0" xr:uid="{06124DA5-936D-4C55-9A58-2C8CFDC654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ROBIN LOMOCSO
DISUD, SINDANGAN</t>
        </r>
      </text>
    </comment>
    <comment ref="C353" authorId="0" shapeId="0" xr:uid="{1FA6CC5D-E40A-4B87-A2D6-82FA9972BE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JOSEFINA LODGE
DISUD, SINDANGAN</t>
        </r>
      </text>
    </comment>
    <comment ref="C354" authorId="0" shapeId="0" xr:uid="{6E079E77-6B63-4C88-889A-8E8B37405D1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CROWN HOTEL
RM, SINDANGAN</t>
        </r>
      </text>
    </comment>
    <comment ref="C355" authorId="0" shapeId="0" xr:uid="{A71E9A49-58DF-409F-A720-5471ED446E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DAWN CATAYAS
POB, SINDANGAN</t>
        </r>
      </text>
    </comment>
    <comment ref="C356" authorId="0" shapeId="0" xr:uid="{192BA4DC-3D08-45FE-AB4D-F81B387FD2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GLORIA GOMEZ
POB, SIAYAN</t>
        </r>
      </text>
    </comment>
    <comment ref="C357" authorId="0" shapeId="0" xr:uid="{C6972EDE-E8F7-4395-8419-91056965F4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GAVIOLA STORE
DAGAO, SIAYAN</t>
        </r>
      </text>
    </comment>
    <comment ref="C358" authorId="0" shapeId="0" xr:uid="{8242B372-CB98-4058-8913-76715EBEE1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MEJORADA VINA
PIAO, SINDANGAN</t>
        </r>
      </text>
    </comment>
    <comment ref="C359" authorId="0" shapeId="0" xr:uid="{A507D366-7E27-4979-BA7A-1109FA48FB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GLEN OMOS CSJ
LABAKID, SINDANGAN</t>
        </r>
      </text>
    </comment>
    <comment ref="C360" authorId="0" shapeId="0" xr:uid="{5200F2C7-5DC6-4F06-8715-3414E4F4EE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
LABAKID, SINDANGAN</t>
        </r>
      </text>
    </comment>
    <comment ref="C361" authorId="0" shapeId="0" xr:uid="{EE79F37D-D0BF-42AD-AD3D-387F7DC0FF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JANICE
DICOYONG, SINDANGAN</t>
        </r>
      </text>
    </comment>
    <comment ref="C362" authorId="0" shapeId="0" xr:uid="{35C65B39-4144-4948-9243-7AFC69E363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GAÑOLON
DICOYONG, SINDANGAN</t>
        </r>
      </text>
    </comment>
    <comment ref="C363" authorId="0" shapeId="0" xr:uid="{21CC0E0C-71FA-409A-BF0A-8525D43F7D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C397" authorId="0" shapeId="0" xr:uid="{CB481FF1-A50C-4CC7-B633-DE01137F89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ANIÑON
DISUD, SINDANGAN</t>
        </r>
      </text>
    </comment>
    <comment ref="O397" authorId="0" shapeId="0" xr:uid="{A0616023-2281-47B5-BE80-55DE42FF2DC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 SINDANGAN</t>
        </r>
      </text>
    </comment>
    <comment ref="AA397" authorId="0" shapeId="0" xr:uid="{F08A5870-1405-4F61-A3B2-8D2D02824A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POB, SALUG</t>
        </r>
      </text>
    </comment>
    <comment ref="C398" authorId="0" shapeId="0" xr:uid="{1646A2CF-6037-48F2-AD46-6471A8F76B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5 WILL STORE
DISUD, SINDANGAN</t>
        </r>
      </text>
    </comment>
    <comment ref="O398" authorId="0" shapeId="0" xr:uid="{81826C34-8EA7-4FEC-A0F6-DDBC988E19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SINDANGAN</t>
        </r>
      </text>
    </comment>
    <comment ref="AA398" authorId="0" shapeId="0" xr:uid="{F428E60C-CBF5-4345-9B4C-995ED755FAC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
POB, SALUG</t>
        </r>
      </text>
    </comment>
    <comment ref="C399" authorId="0" shapeId="0" xr:uid="{D6F90C0F-EA92-40AA-B4F4-1784B193C0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O399" authorId="0" shapeId="0" xr:uid="{0C8A44F6-7918-49AF-855D-EEE701DBB0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 STORE
TALINGA, BACUNGAN</t>
        </r>
      </text>
    </comment>
    <comment ref="AA399" authorId="0" shapeId="0" xr:uid="{0526C0B4-5E97-45F9-B697-112AB97809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POB, SALUG</t>
        </r>
      </text>
    </comment>
    <comment ref="C400" authorId="0" shapeId="0" xr:uid="{97BD9D42-61A3-4612-B309-8A75B9177A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ESTONG STORE
PIAO, SINDANGAN</t>
        </r>
      </text>
    </comment>
    <comment ref="O400" authorId="0" shapeId="0" xr:uid="{610153AE-4D2F-45CC-9B20-927B5727AB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400" authorId="0" shapeId="0" xr:uid="{A0BE2387-E3FF-4DFF-BC50-5F5002746B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TATA EMOTIN
POB, SALUG</t>
        </r>
      </text>
    </comment>
    <comment ref="C401" authorId="0" shapeId="0" xr:uid="{3C875103-DBC5-4E81-9967-311AD06452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
POB, SINDANGAN</t>
        </r>
      </text>
    </comment>
    <comment ref="O401" authorId="0" shapeId="0" xr:uid="{D43FB79D-E4CD-4DC8-AB24-48964C2AD1C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401" authorId="0" shapeId="0" xr:uid="{8F9A4B15-DD50-42DC-BA19-D90E98439F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VERGIE STORE
POB, SALUG</t>
        </r>
      </text>
    </comment>
    <comment ref="C402" authorId="0" shapeId="0" xr:uid="{EA389FF0-7B9A-4998-B661-0A8B82777A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CHILL BEER
DAPAON, SINDANGAN</t>
        </r>
      </text>
    </comment>
    <comment ref="AA402" authorId="0" shapeId="0" xr:uid="{267905C8-7D37-43DF-95A3-3EBED59057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SAPIHI STORE
POB, SALUG</t>
        </r>
      </text>
    </comment>
    <comment ref="C403" authorId="0" shapeId="0" xr:uid="{1246131F-92BD-4CDA-9A2D-109FA4F2F6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FACOMA
POB, SINDANGAN</t>
        </r>
      </text>
    </comment>
    <comment ref="C404" authorId="0" shapeId="0" xr:uid="{9E1FF282-EFC1-476F-91B2-681044D5DD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MANGO LODGE
DAPAON, SINDANGAN</t>
        </r>
      </text>
    </comment>
    <comment ref="C405" authorId="0" shapeId="0" xr:uid="{A50233BA-6433-4DB1-A847-5B36010A89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SINDANGAN</t>
        </r>
      </text>
    </comment>
    <comment ref="C452" authorId="0" shapeId="0" xr:uid="{4764FF4B-A85B-4FDE-B1A1-D56EEE415E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</t>
        </r>
      </text>
    </comment>
    <comment ref="O452" authorId="0" shapeId="0" xr:uid="{99A44F55-503E-41AB-ADB3-ADA457DB1B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452" authorId="0" shapeId="0" xr:uid="{382ADDC9-AD24-4B90-B6B3-FF16C1E5D0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NELMY STORE
KAYOK, LILOY</t>
        </r>
      </text>
    </comment>
    <comment ref="C453" authorId="0" shapeId="0" xr:uid="{F8A1F82E-87F7-43CD-B0B6-949AAAC1EC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JANICE MOLAS
DICOYONG, SINDANGAN</t>
        </r>
      </text>
    </comment>
    <comment ref="O453" authorId="0" shapeId="0" xr:uid="{8394488F-958D-4182-B4DF-9F1F6304CE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453" authorId="0" shapeId="0" xr:uid="{429A68E5-0972-476B-8642-9AE1218DD9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JAZZI STORE
KAYOK, LILOY</t>
        </r>
      </text>
    </comment>
    <comment ref="C454" authorId="0" shapeId="0" xr:uid="{A3839DF1-C040-444E-A516-0213B31DE6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SHIRLEY ESTOSATA
PIAO, SINDANGAN</t>
        </r>
      </text>
    </comment>
    <comment ref="O454" authorId="0" shapeId="0" xr:uid="{F06B5281-58DE-4082-A150-4DA8EB4ED8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ESPAÑOLA STORE
INUMAN, SINDANGAN</t>
        </r>
      </text>
    </comment>
    <comment ref="AA454" authorId="0" shapeId="0" xr:uid="{A457251A-950C-440E-8C93-3C1A0A470A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JANMARY
KAYOK, LILOY</t>
        </r>
      </text>
    </comment>
    <comment ref="C455" authorId="0" shapeId="0" xr:uid="{61C614AC-268C-4E51-9969-FE2D3FE141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JOSEPHINE BONOCAN
PIAO, SINDANGAN</t>
        </r>
      </text>
    </comment>
    <comment ref="O455" authorId="0" shapeId="0" xr:uid="{80076182-B671-4591-98A7-5C3D7345719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455" authorId="0" shapeId="0" xr:uid="{EFB5FA06-0B7F-488C-BA50-851DDC0B98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LOIDA
KAYOK, LILOY</t>
        </r>
      </text>
    </comment>
    <comment ref="C456" authorId="0" shapeId="0" xr:uid="{472D54DF-57DF-42DE-B396-29AA7B4725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RG MOTORPARTS
PIAO, SINDANGAN</t>
        </r>
      </text>
    </comment>
    <comment ref="O456" authorId="0" shapeId="0" xr:uid="{E96D957B-FFDE-4B61-8437-4CD6A43771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AA456" authorId="0" shapeId="0" xr:uid="{C771D9FF-BCC5-47B2-A844-088945E51B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457" authorId="0" shapeId="0" xr:uid="{08E0666F-2541-4D08-830E-B61E7C43212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MAGWATE STORE
LAGAG, SINDANGAN</t>
        </r>
      </text>
    </comment>
    <comment ref="O457" authorId="0" shapeId="0" xr:uid="{2BD4EF91-6F0B-4EFD-9063-839CA5B991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457" authorId="0" shapeId="0" xr:uid="{F6C4624B-DF6A-43DB-9416-2923F8ABBD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</t>
        </r>
      </text>
    </comment>
    <comment ref="C458" authorId="0" shapeId="0" xr:uid="{109FACB1-29A9-42EC-8CD6-46A5D5604F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MAGWATE
LAGAG, SINDANGAN</t>
        </r>
      </text>
    </comment>
    <comment ref="C459" authorId="0" shapeId="0" xr:uid="{71BFADEF-7791-4157-A295-9DEDFA35A6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GUILLERMA
POLAYO, SIAYAN</t>
        </r>
      </text>
    </comment>
    <comment ref="C460" authorId="0" shapeId="0" xr:uid="{72CC7C75-F159-411C-BC71-4537FB28C3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INOSENCIA DULAT
POLAYO, SINDANGAN</t>
        </r>
      </text>
    </comment>
    <comment ref="C461" authorId="0" shapeId="0" xr:uid="{1E83F7FD-EB54-4118-80C3-8B5C3C6ED1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DUMAY
POLAYO, SIAYAN</t>
        </r>
      </text>
    </comment>
    <comment ref="C462" authorId="0" shapeId="0" xr:uid="{72A64BC2-EEED-4F5A-8960-618D5916DF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AGUSTINA ARIPAL
POLAYO, SIAYAN</t>
        </r>
      </text>
    </comment>
    <comment ref="C463" authorId="0" shapeId="0" xr:uid="{2AFF7E4B-F6BB-4F7F-997D-2683FE0885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ALIA
POB, SIAYAN</t>
        </r>
      </text>
    </comment>
    <comment ref="C464" authorId="0" shapeId="0" xr:uid="{B2240587-E858-4BA4-86CD-E7DFC437FE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SAMMY SIBOCO
POB, SIAYAN</t>
        </r>
      </text>
    </comment>
    <comment ref="C465" authorId="0" shapeId="0" xr:uid="{2CA0FEFD-D87F-4E5C-A407-77855D97A0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MARICEL GABATO
POB, SIAYAN</t>
        </r>
      </text>
    </comment>
    <comment ref="C466" authorId="0" shapeId="0" xr:uid="{E14E613A-E1E4-4BB0-A55B-21D8A497E7E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REY ADAZA
POB, SIAYAN</t>
        </r>
      </text>
    </comment>
    <comment ref="C467" authorId="0" shapeId="0" xr:uid="{323B4D55-A2D1-4CD3-B5BB-0BC6BF6912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C468" authorId="0" shapeId="0" xr:uid="{0C3EF886-13B7-483D-8E6B-C9D3786345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 PODIOTAN
POB, SIAYAN</t>
        </r>
      </text>
    </comment>
    <comment ref="C469" authorId="0" shapeId="0" xr:uid="{0D4B37D5-F9A9-4FB9-8150-BC1F0992BC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 AZUCINA
DAGAO, SIAYAN</t>
        </r>
      </text>
    </comment>
    <comment ref="C470" authorId="0" shapeId="0" xr:uid="{D9D158E1-13DD-4597-8AC9-6A8E6A6F82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DAMONSONG STORE
DENOYAN, SIAYAN</t>
        </r>
      </text>
    </comment>
    <comment ref="C471" authorId="0" shapeId="0" xr:uid="{86BF4BBE-14EA-45CC-A72E-9433650625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FELY BANO
DENOYAN, SIAYAN</t>
        </r>
      </text>
    </comment>
    <comment ref="C472" authorId="0" shapeId="0" xr:uid="{87438250-57B8-4D18-92D2-68537CA4962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KAMBINGAN SUTUKIL
DISUD, SINDANGAN</t>
        </r>
      </text>
    </comment>
    <comment ref="C507" authorId="0" shapeId="0" xr:uid="{EE420D0E-E04F-474C-86CA-D96CEF1C5C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RM, SINDANGAN</t>
        </r>
      </text>
    </comment>
    <comment ref="O507" authorId="0" shapeId="0" xr:uid="{1BE74949-3CB0-4D57-8CCD-062DA805B1F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JN &amp; SON STORE
POB, BACUNGAN</t>
        </r>
      </text>
    </comment>
    <comment ref="AA507" authorId="0" shapeId="0" xr:uid="{B3551B64-69D9-443A-9FB5-8C40495615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508" authorId="0" shapeId="0" xr:uid="{F155A28A-BA24-4894-A852-129C83E0FE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TAMPUS STORE
POB, SALUG</t>
        </r>
      </text>
    </comment>
    <comment ref="O508" authorId="0" shapeId="0" xr:uid="{06BB7D1E-CD17-442E-B2B3-FBCEF47687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AA508" authorId="0" shapeId="0" xr:uid="{E1CE885D-C083-4D25-B919-819AAB774A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PACARO STORE
POB EAST, SALUG</t>
        </r>
      </text>
    </comment>
    <comment ref="C509" authorId="0" shapeId="0" xr:uid="{27BC052E-1F94-4524-B812-B41727F475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O509" authorId="0" shapeId="0" xr:uid="{817F65AA-CB33-4318-A00E-48FC19076B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BIBOY'S EATERY
UPPER INUMAN, SINDANGAN</t>
        </r>
      </text>
    </comment>
    <comment ref="AA509" authorId="0" shapeId="0" xr:uid="{1533E046-213A-448B-B449-8FD605E108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AA510" authorId="0" shapeId="0" xr:uid="{EA797388-D6F8-43B9-84A5-7F7CBC67E5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G.B. CONVENIENCE
POB EAST, SALUG</t>
        </r>
      </text>
    </comment>
    <comment ref="AA512" authorId="0" shapeId="0" xr:uid="{505DBE94-E0D9-4A9D-9D86-AD10C7863B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AA513" authorId="0" shapeId="0" xr:uid="{E66E4D79-0454-4AB3-885D-558D342EB3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AA514" authorId="0" shapeId="0" xr:uid="{DC17567D-3197-4A5F-A543-66C9C8A479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AA515" authorId="0" shapeId="0" xr:uid="{F3C511CA-7E90-43C5-9D15-570F23C48C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AA516" authorId="0" shapeId="0" xr:uid="{B7E814A2-702D-47AF-B64F-CA6B33E8DE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EMMA
BACONG, SALUG</t>
        </r>
      </text>
    </comment>
    <comment ref="AA517" authorId="0" shapeId="0" xr:uid="{3D552165-EFC2-4AB2-8DE1-1A6C6C0EEB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GALLEPOSO BAYANI
POB EAST, SALUG</t>
        </r>
      </text>
    </comment>
    <comment ref="C562" authorId="0" shapeId="0" xr:uid="{1DB9DF53-AD0B-42F2-A1AB-4D77F1A39E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JULIET DE ASIS
DAPAON, SINDANGAN</t>
        </r>
      </text>
    </comment>
    <comment ref="O562" authorId="0" shapeId="0" xr:uid="{3FF63A58-7A39-4D28-8D85-FFA336595E7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KEN VARIETY STORE
UPPER INUMAN, SINDANGAN</t>
        </r>
      </text>
    </comment>
    <comment ref="AA562" authorId="0" shapeId="0" xr:uid="{1EE1BE5D-615F-40AA-9192-DA96FFF652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563" authorId="0" shapeId="0" xr:uid="{88A4ADBA-DCAE-4156-BDD3-B37DC4B8C7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PAGLINAWAN
DENOYAN, SIAYAN</t>
        </r>
      </text>
    </comment>
    <comment ref="O563" authorId="0" shapeId="0" xr:uid="{B5DE66E9-67D2-4641-B1E6-581B6695EE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563" authorId="0" shapeId="0" xr:uid="{D46ADE2B-D377-473A-9C97-51CF663301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BAYBAY, LILOY</t>
        </r>
      </text>
    </comment>
    <comment ref="C564" authorId="0" shapeId="0" xr:uid="{ABD9D330-FD0F-49FF-A1BD-2EA2FBA8634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RONALD SABILLO
POB, SIAYAN</t>
        </r>
      </text>
    </comment>
    <comment ref="O564" authorId="0" shapeId="0" xr:uid="{B3E00FBB-D19A-4C89-82AA-1BA2EE24BF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NANCY STORE
POB, BACUNGAN</t>
        </r>
      </text>
    </comment>
    <comment ref="AA564" authorId="0" shapeId="0" xr:uid="{7F782ADF-79F7-4BC5-ADA1-0C8EDF90FA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C565" authorId="0" shapeId="0" xr:uid="{7A875570-19AB-41CD-94E7-559F4A12B2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BENEBEBE STORE
POB, SIAYAN</t>
        </r>
      </text>
    </comment>
    <comment ref="O565" authorId="0" shapeId="0" xr:uid="{377B8594-F350-4CD7-A792-E348629FF8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565" authorId="0" shapeId="0" xr:uid="{B068A11C-A41E-411C-909C-BEE7536143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MARAÑON STORE
VILLA SUICIDAL, LILOY</t>
        </r>
      </text>
    </comment>
    <comment ref="C566" authorId="0" shapeId="0" xr:uid="{9DC0DCF7-C472-41D9-BCA4-9007B11199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POB, SIAYAN</t>
        </r>
      </text>
    </comment>
    <comment ref="O566" authorId="0" shapeId="0" xr:uid="{A42CA737-FDA9-428F-9B61-2ED9660958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INUMAN, SINDANGAN</t>
        </r>
      </text>
    </comment>
    <comment ref="AA566" authorId="0" shapeId="0" xr:uid="{FF53FDEA-4988-455C-9A2E-0FE292D884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567" authorId="0" shapeId="0" xr:uid="{959958CE-97DE-4AA7-BCF2-5576F9CD15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PADIOTAN
POB, SIAYAN</t>
        </r>
      </text>
    </comment>
    <comment ref="AA567" authorId="0" shapeId="0" xr:uid="{2C066240-F387-4032-B55F-6ACE8314C7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VIVIAN 
VILLA SUICIDAL, LILOY</t>
        </r>
      </text>
    </comment>
    <comment ref="C568" authorId="0" shapeId="0" xr:uid="{BF7CD519-613B-491E-8CE8-7D1F980CD9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 ALEJANDRO
POB, SIAYAN</t>
        </r>
      </text>
    </comment>
    <comment ref="AA568" authorId="0" shapeId="0" xr:uid="{FB7A60C5-963E-452F-BEE7-A0D48E6A40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</t>
        </r>
      </text>
    </comment>
    <comment ref="C569" authorId="0" shapeId="0" xr:uid="{BBB2BB6E-7510-497B-91A6-FD009A0866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KK EATERY
POB, SIAYAN</t>
        </r>
      </text>
    </comment>
    <comment ref="C570" authorId="0" shapeId="0" xr:uid="{4347DB42-1B16-4CAE-A7AE-1B4F6A26FC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SIASICO
POB, SIAYAN</t>
        </r>
      </text>
    </comment>
    <comment ref="C571" authorId="0" shapeId="0" xr:uid="{59EE0497-1787-47F6-A840-EFFF0A5A252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MELITINA LADIAGONONG
POLAYO, SIAYAN</t>
        </r>
      </text>
    </comment>
    <comment ref="O617" authorId="0" shapeId="0" xr:uid="{054D4C5C-3FA4-4534-B09F-131C95A4B4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RONEL CAMPOY</t>
        </r>
      </text>
    </comment>
    <comment ref="AA617" authorId="0" shapeId="0" xr:uid="{2169ED7A-A85D-4D4D-830A-C364507500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O618" authorId="0" shapeId="0" xr:uid="{078A8107-9381-4E90-9B51-64FC8E1728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AA618" authorId="0" shapeId="0" xr:uid="{A9CBAF43-EE2F-47CF-9397-698578BB18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O619" authorId="0" shapeId="0" xr:uid="{0A5CB7F7-A7B7-48C6-9865-15547EC8E7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OCEAN GREY BEACH RESORT
TALINGA, SINDANGAN</t>
        </r>
      </text>
    </comment>
    <comment ref="AA619" authorId="0" shapeId="0" xr:uid="{171D61F8-33FE-4B6F-8080-036EF1AB2A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POB EAST, SALUG</t>
        </r>
      </text>
    </comment>
    <comment ref="O620" authorId="0" shapeId="0" xr:uid="{83AAA2D0-3588-4FAA-A816-943DA99629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LIMPAG STORE
TALINGA, BACUNGAN</t>
        </r>
      </text>
    </comment>
    <comment ref="AA620" authorId="0" shapeId="0" xr:uid="{4F30D705-231C-4A3F-B97E-15BD5A78346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MAÑOZA STORE
POB EAST, SALUG</t>
        </r>
      </text>
    </comment>
    <comment ref="O621" authorId="0" shapeId="0" xr:uid="{F1DEEEB7-F22D-4033-AC87-950192541B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BOY LIMPAG
TALINGA, BACUNGAN</t>
        </r>
      </text>
    </comment>
    <comment ref="AA621" authorId="0" shapeId="0" xr:uid="{A84CF4B8-8CF3-4E0D-8883-3107F2FE90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O622" authorId="0" shapeId="0" xr:uid="{69BD0A29-6AB2-4EBA-A170-6259F96C13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BASIA STORE
TALINGA, BACUNGAN</t>
        </r>
      </text>
    </comment>
    <comment ref="AA622" authorId="0" shapeId="0" xr:uid="{D37D151A-5339-47E6-8D06-E4D3940532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O623" authorId="0" shapeId="0" xr:uid="{C9CE10BC-6B68-47C7-8B41-495925D44E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BACUNGAN</t>
        </r>
      </text>
    </comment>
    <comment ref="O624" authorId="0" shapeId="0" xr:uid="{DC7F9120-42EB-4846-BE7C-C4FEFFC3B9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COSEF STORE
TALINGA, BACUNGAN</t>
        </r>
      </text>
    </comment>
    <comment ref="AA624" authorId="0" shapeId="0" xr:uid="{41F819FE-1191-44B4-8E7F-ECE91A2D4C6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JODIS VARIETY STORE
BAYBAY, LILOY</t>
        </r>
      </text>
    </comment>
    <comment ref="O625" authorId="0" shapeId="0" xr:uid="{26EAC8FB-609C-475D-8870-2C019D5ACA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APILAN STORE
MARAS, SINDANGAN</t>
        </r>
      </text>
    </comment>
    <comment ref="AA625" authorId="0" shapeId="0" xr:uid="{5837EC95-3807-4C5B-8AE6-16C4657FB8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PAJUAY
POB EAST, SALUG</t>
        </r>
      </text>
    </comment>
    <comment ref="O626" authorId="0" shapeId="0" xr:uid="{C93C8AEA-2123-422E-BF82-1016036AAB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
MARAS, SINDANGAN</t>
        </r>
      </text>
    </comment>
    <comment ref="O627" authorId="0" shapeId="0" xr:uid="{0F8E7DC9-042F-4C2E-9DE7-8DE4D848C5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SHANES STORE
MARAS, SINDANGAN</t>
        </r>
      </text>
    </comment>
    <comment ref="O628" authorId="0" shapeId="0" xr:uid="{8E780F0F-4FEA-453C-AFBB-57A790E646B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O629" authorId="0" shapeId="0" xr:uid="{6739D788-6EC2-48D6-93BB-ED77DBD760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O630" authorId="0" shapeId="0" xr:uid="{1CEDBF9A-8056-456D-94E2-4C1C155970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O631" authorId="0" shapeId="0" xr:uid="{7F33E0BB-D3D4-4433-AAAA-7AAA3415CF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 SINDANGAN</t>
        </r>
      </text>
    </comment>
    <comment ref="O632" authorId="0" shapeId="0" xr:uid="{CC767089-8DD8-4483-8108-7646893314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O633" authorId="0" shapeId="0" xr:uid="{6084D544-1036-4EE3-9509-BF1DABC4DD1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C672" authorId="0" shapeId="0" xr:uid="{EE249137-0E5B-4255-B276-DADE6BFC13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ELMER
POB, SINDANGAN</t>
        </r>
      </text>
    </comment>
    <comment ref="O672" authorId="0" shapeId="0" xr:uid="{E65259A8-D5F3-486D-B84A-3E1C1EA0BD9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 SINDANGAN</t>
        </r>
      </text>
    </comment>
    <comment ref="AA672" authorId="0" shapeId="0" xr:uid="{0CDDC1FE-D857-43ED-82CF-D0DAB3758D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673" authorId="0" shapeId="0" xr:uid="{6EEDBF01-D24C-4652-BA3A-4728FEEFEA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MAVY'S VARIETY STORE
POB, SINDANGAN</t>
        </r>
      </text>
    </comment>
    <comment ref="O673" authorId="0" shapeId="0" xr:uid="{9CEAC565-DCB0-44FB-A74A-D3B6FBAA41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673" authorId="0" shapeId="0" xr:uid="{3649FAE0-04F3-4FB3-AB82-EF98BB42CD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SALUG GEMINI
POB EAST, SALUG</t>
        </r>
      </text>
    </comment>
    <comment ref="C674" authorId="0" shapeId="0" xr:uid="{5CA8902E-9BED-4CB7-946D-3B05B256D3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O674" authorId="0" shapeId="0" xr:uid="{447ED8E5-B3CD-4431-B4E8-D3667A2AC3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674" authorId="0" shapeId="0" xr:uid="{85682886-72AF-4C5A-815C-5E24F6275A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JAM'S CONSUMER GOODS STORE
POB EAST, SALUG</t>
        </r>
      </text>
    </comment>
    <comment ref="C675" authorId="0" shapeId="0" xr:uid="{8A0F0CC9-7831-4750-9F66-F573D14499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FRONTAL, ANGELICA
DAPAON, SINDANGAN</t>
        </r>
      </text>
    </comment>
    <comment ref="O675" authorId="0" shapeId="0" xr:uid="{617CC7CE-0EEE-42F1-B4C0-098B4CD1B77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AA675" authorId="0" shapeId="0" xr:uid="{FEE9317B-04F8-4F68-97F9-B0F29645D0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C676" authorId="0" shapeId="0" xr:uid="{8BAA38C2-E694-4E1C-B1F5-DFE54C7841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DISUD, SINDANGAN</t>
        </r>
      </text>
    </comment>
    <comment ref="AA676" authorId="0" shapeId="0" xr:uid="{0010194C-1015-4582-AD2B-CACE34A242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C677" authorId="0" shapeId="0" xr:uid="{F601ACBD-22A7-4AE0-920C-21EF68F1ED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LINDA JOSEFINA
DISUD, SINDANGAN</t>
        </r>
      </text>
    </comment>
    <comment ref="AA677" authorId="0" shapeId="0" xr:uid="{416918FD-B8A1-4D21-8D06-D8BC9AD60F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MARY ANN
CANAWAN, SALUG</t>
        </r>
      </text>
    </comment>
    <comment ref="C678" authorId="0" shapeId="0" xr:uid="{14E87277-79FB-4445-8CD2-CD24E9754A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MANGO LODGE
JEFFREY LIM
DAPAON, SINDANGAN</t>
        </r>
      </text>
    </comment>
    <comment ref="AA678" authorId="0" shapeId="0" xr:uid="{23D68FB4-DECA-4AC9-9D70-DA23B4FEBA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679" authorId="0" shapeId="0" xr:uid="{994D4FE2-C7A6-4EBF-8AC9-D923F459D1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</t>
        </r>
      </text>
    </comment>
    <comment ref="AA679" authorId="0" shapeId="0" xr:uid="{6E35A267-CE95-45A4-B5C4-50B1C83A07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</t>
        </r>
      </text>
    </comment>
    <comment ref="C680" authorId="0" shapeId="0" xr:uid="{1D059C99-8E0B-42F4-A75F-106293D365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C681" authorId="0" shapeId="0" xr:uid="{07E8C04B-E1BA-4A83-A9BB-80ECB57CB8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CHIONG
POB, SINDANGAN</t>
        </r>
      </text>
    </comment>
    <comment ref="C727" authorId="0" shapeId="0" xr:uid="{4DBF1874-8AF6-4DDE-BC3E-1A629C0D30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
LABAKID, SINDANGAN</t>
        </r>
      </text>
    </comment>
    <comment ref="O727" authorId="0" shapeId="0" xr:uid="{C99F432D-713F-488A-96C5-AE7825F155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727" authorId="0" shapeId="0" xr:uid="{31EF5975-7242-4EA8-8060-F7A131D902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JODIS VARIETY STORE
BAYBAY, LILOY</t>
        </r>
      </text>
    </comment>
    <comment ref="C728" authorId="0" shapeId="0" xr:uid="{01A4C0DA-07B4-453D-8709-F03C8615DA0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CSJ CONVENIENCE STORE
LABAKID, SINDANGAN</t>
        </r>
      </text>
    </comment>
    <comment ref="O728" authorId="0" shapeId="0" xr:uid="{90AEA734-9619-40D0-A0F2-D6D0A991B6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728" authorId="0" shapeId="0" xr:uid="{82F35B78-ACDB-45E2-8E14-56D93AF544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729" authorId="0" shapeId="0" xr:uid="{2141129C-FBAF-4CAC-AE62-1BE0E4D8C6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AMOD
LABAKID, SINDANGAN</t>
        </r>
      </text>
    </comment>
    <comment ref="O729" authorId="0" shapeId="0" xr:uid="{C8B8C3FA-0087-4BD5-96EA-EE385F6F95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ALN STORE
TINAPLAN, SINDANGAN</t>
        </r>
      </text>
    </comment>
    <comment ref="AA729" authorId="0" shapeId="0" xr:uid="{38754623-478D-4162-AE18-332AFBCCB3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BAYBAY, LILOY</t>
        </r>
      </text>
    </comment>
    <comment ref="C730" authorId="0" shapeId="0" xr:uid="{9DACFC8A-4DA8-4771-BC28-251553D151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GLEN SUMINGGIT
DICOYONG, SINDANGAN</t>
        </r>
      </text>
    </comment>
    <comment ref="O730" authorId="0" shapeId="0" xr:uid="{A01374FF-77B2-4318-91DC-E7F4543BB0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TALINGA, BACUNGAN</t>
        </r>
      </text>
    </comment>
    <comment ref="AA730" authorId="0" shapeId="0" xr:uid="{5F3A8BDF-1A58-4FFD-B9EA-D53D6C56719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731" authorId="0" shapeId="0" xr:uid="{780D7832-E8F2-442A-839C-1D2CD53C4C1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SINDANGAN</t>
        </r>
      </text>
    </comment>
    <comment ref="O731" authorId="0" shapeId="0" xr:uid="{DE0D69ED-93BB-44AD-B8CA-89C4F70713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AA731" authorId="0" shapeId="0" xr:uid="{400B5EEE-7F7F-4665-B420-51A89CA934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BACONG, SALUG</t>
        </r>
      </text>
    </comment>
    <comment ref="O732" authorId="0" shapeId="0" xr:uid="{79BF42AA-A087-46FD-89FE-267BB567AB6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O733" authorId="0" shapeId="0" xr:uid="{7569B0D6-3109-462E-81E0-D32B340A99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FLORENCIA PALALON
MARAS, SINDANGAN</t>
        </r>
      </text>
    </comment>
    <comment ref="O734" authorId="0" shapeId="0" xr:uid="{968F3228-D563-4963-88DC-3B3B2BE074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INUMAN, SINDANGAN</t>
        </r>
      </text>
    </comment>
    <comment ref="O735" authorId="0" shapeId="0" xr:uid="{9D453AF6-B87E-4929-BC2C-90DCF7CAB5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O736" authorId="0" shapeId="0" xr:uid="{6E31CF44-7123-4DCF-BB1B-2A402E3242B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C782" authorId="0" shapeId="0" xr:uid="{61FA044E-E6B9-4D90-9270-335925B72B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DEGULO STORE
BALOK, SINDANGAN</t>
        </r>
      </text>
    </comment>
    <comment ref="O782" authorId="0" shapeId="0" xr:uid="{1BB69AE8-754C-4041-8D92-97C1E6EDB0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ROSCA STORE
MANDIH, SINDANGAN</t>
        </r>
      </text>
    </comment>
    <comment ref="AA782" authorId="0" shapeId="0" xr:uid="{9EB3F8D6-84E3-4EAC-B2DB-AFBE1ABC80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783" authorId="0" shapeId="0" xr:uid="{F14A5E23-C7C0-47CC-96F7-B154079209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LANIE
POB, SIAYAN</t>
        </r>
      </text>
    </comment>
    <comment ref="O783" authorId="0" shapeId="0" xr:uid="{366C71DB-F2C7-4DB4-9C97-A19EDB368D7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783" authorId="0" shapeId="0" xr:uid="{384155DF-21E9-4404-9F0C-1D65B7CC1E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784" authorId="0" shapeId="0" xr:uid="{F167716E-F92E-4EF0-BC73-76DCA7033B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PADIOTAN JESIEL
POB, SIAYAN</t>
        </r>
      </text>
    </comment>
    <comment ref="O784" authorId="0" shapeId="0" xr:uid="{BE93C95D-FB57-457A-8741-D11FC97481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AMORADO STORE
TALINGA, BACUNGAN</t>
        </r>
      </text>
    </comment>
    <comment ref="AA784" authorId="0" shapeId="0" xr:uid="{842EF3D2-3FFA-44D5-BAAE-DE67632FB0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785" authorId="0" shapeId="0" xr:uid="{9391D0F6-2FE6-4347-AF45-9E37BED3F7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FERNANDA CENAS
DAGAO, SIAYAN</t>
        </r>
      </text>
    </comment>
    <comment ref="AA785" authorId="0" shapeId="0" xr:uid="{FD9348AA-A98C-4752-96B4-F9004E7E01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 STORE
POB EAST, SALUG</t>
        </r>
      </text>
    </comment>
    <comment ref="C786" authorId="0" shapeId="0" xr:uid="{AF79F6B1-FE74-449A-9D09-839F2292E0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LEOMAR HUNDO
DAGAO, SIAYAN</t>
        </r>
      </text>
    </comment>
    <comment ref="AA786" authorId="0" shapeId="0" xr:uid="{CFD105AD-2781-4758-BE42-0944C4B2A9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ANABELLE STORE
</t>
        </r>
      </text>
    </comment>
    <comment ref="C787" authorId="0" shapeId="0" xr:uid="{A4365A41-05BA-4B94-BECF-6D19AD6040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
AZUSINA
DAGAO, SIAYAN</t>
        </r>
      </text>
    </comment>
    <comment ref="AA787" authorId="0" shapeId="0" xr:uid="{57FD16F5-F3F6-4118-865F-D14B5DF922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C788" authorId="0" shapeId="0" xr:uid="{E671020E-65C4-4044-A66A-131583193D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DEMETRIO STORE
DAGAO, SIAYAN</t>
        </r>
      </text>
    </comment>
    <comment ref="AA788" authorId="0" shapeId="0" xr:uid="{0CCC53B9-9983-4781-B6FF-DE9F7BCE001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GB CONVENIENCE STORE
POB EAST, SALUG</t>
        </r>
      </text>
    </comment>
    <comment ref="C789" authorId="0" shapeId="0" xr:uid="{92CCC07C-9E5B-4C7C-8CBF-85F895BE56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CATIG, FERLINDA
DENOYAN, SIAYAN</t>
        </r>
      </text>
    </comment>
    <comment ref="AA789" authorId="0" shapeId="0" xr:uid="{5538D1C0-72CF-485D-89DE-3517F31C09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C790" authorId="0" shapeId="0" xr:uid="{4F160B8A-123F-408B-9483-04A37B5922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BONOCAN, JOSEPHINE
PIAO, SINDANGAN</t>
        </r>
      </text>
    </comment>
    <comment ref="AA790" authorId="0" shapeId="0" xr:uid="{1E1D9F21-F8A5-4D33-84D1-FF566820DE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HAMILI
BACONG, SALUG</t>
        </r>
      </text>
    </comment>
    <comment ref="C791" authorId="0" shapeId="0" xr:uid="{2340D3FA-46C6-4964-8E0B-49537FA651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SHIRLEY ESTOSATA
PIAO, SINDANGAN</t>
        </r>
      </text>
    </comment>
    <comment ref="AA791" authorId="0" shapeId="0" xr:uid="{B974971B-245B-44B0-AA06-84698E41AF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792" authorId="0" shapeId="0" xr:uid="{95229C69-5132-4BBD-9AC6-48E6782A9AF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KRYSTEL DAWN CATAYAS
POB, SINDANGAN</t>
        </r>
      </text>
    </comment>
    <comment ref="AA792" authorId="0" shapeId="0" xr:uid="{89BEF62F-CE78-4270-B22C-BBBFE7AFA8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BACONG, SALUG</t>
        </r>
      </text>
    </comment>
    <comment ref="C837" authorId="0" shapeId="0" xr:uid="{9358987C-7303-4759-9678-A716A90571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RM, SINDANGAN</t>
        </r>
      </text>
    </comment>
    <comment ref="O837" authorId="0" shapeId="0" xr:uid="{BF0CC076-AF43-4BD5-88B1-AA18C8AAF0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837" authorId="0" shapeId="0" xr:uid="{9B1BA8BF-5252-4A94-AE3C-F6566B0BAB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CHOLO STORE
BACONG, SALUG</t>
        </r>
      </text>
    </comment>
    <comment ref="C838" authorId="0" shapeId="0" xr:uid="{331E4A68-7A19-41E1-8B5C-68E7FCBE1C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JONATHAN
POB, SIAYAN</t>
        </r>
      </text>
    </comment>
    <comment ref="O838" authorId="0" shapeId="0" xr:uid="{499A09E3-EC8C-49D6-8DF7-00D8FF519B0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BIBOY'S EATERY
UPPER INUMAN, SINDANGAN</t>
        </r>
      </text>
    </comment>
    <comment ref="AA838" authorId="0" shapeId="0" xr:uid="{0F5B666D-AB1E-445D-A8FF-203AE7E534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839" authorId="0" shapeId="0" xr:uid="{A09DB19D-E175-4B54-915F-1F759FB00D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PIZON, ALEJANDRO
POB, SIAYAN</t>
        </r>
      </text>
    </comment>
    <comment ref="O839" authorId="0" shapeId="0" xr:uid="{1538534F-2F8C-46F8-A84E-F6827F2B05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ANDAHAN DEVINA
UPPER INUMAN, SINDANGAN</t>
        </r>
      </text>
    </comment>
    <comment ref="AA839" authorId="0" shapeId="0" xr:uid="{12A18647-5F1B-487D-BF83-714786466D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SARI-SARI STORE
BAYBAY, LILOY</t>
        </r>
      </text>
    </comment>
    <comment ref="C840" authorId="0" shapeId="0" xr:uid="{4E90372D-0A40-4CFA-802E-348C9C988D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FAUNILLAN CRIS
POLAYO, SIAYAN</t>
        </r>
      </text>
    </comment>
    <comment ref="O840" authorId="0" shapeId="0" xr:uid="{24B3E44D-5513-4350-ABF3-8FED27BC69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AA840" authorId="0" shapeId="0" xr:uid="{3FD19A90-E4C6-49C5-A6E1-C78CC425CD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C841" authorId="0" shapeId="0" xr:uid="{5177F034-6AB7-497C-A2C8-CBBEE54D87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DAMONSONG
DENOYAN, SIAYAN</t>
        </r>
      </text>
    </comment>
    <comment ref="O841" authorId="0" shapeId="0" xr:uid="{E85A2C03-DA9E-439E-B11E-DE0782056F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VINA MEJORADA
PIAO, SINDANGAN</t>
        </r>
      </text>
    </comment>
    <comment ref="AA841" authorId="0" shapeId="0" xr:uid="{9CEC2A54-934F-496E-BC7E-BD28AD0387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MSM STORE
BAYBAY, LILOY</t>
        </r>
      </text>
    </comment>
    <comment ref="C842" authorId="0" shapeId="0" xr:uid="{ED223CC5-8218-4D6D-977D-F791146947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O842" authorId="0" shapeId="0" xr:uid="{1AE12E8C-655C-4891-908A-AEBE743ABA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AA842" authorId="0" shapeId="0" xr:uid="{02E07CE1-2A6C-4512-AFE3-FEDBFF0491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 MARRY STORE
KAYOK, LILOY</t>
        </r>
      </text>
    </comment>
    <comment ref="C843" authorId="0" shapeId="0" xr:uid="{99CBEDC0-CCA1-476A-BAD8-88C078366F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JANICE
DICOYONG, SINDANGAN</t>
        </r>
      </text>
    </comment>
    <comment ref="AA843" authorId="0" shapeId="0" xr:uid="{08842C5B-4A36-43EA-B982-06CFB871F1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VIRGIE PAJUAY
POB EAST, SALUG</t>
        </r>
      </text>
    </comment>
    <comment ref="AA844" authorId="0" shapeId="0" xr:uid="{4264F9E9-4F41-4EC1-A785-C80C4D73E4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AA845" authorId="0" shapeId="0" xr:uid="{3A78F7AC-3700-4AE3-8C39-CB09D9DB8A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O892" authorId="0" shapeId="0" xr:uid="{472A397C-87AE-4733-859E-A935B19260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ARACELIE
MANDIH, SINDANGAN</t>
        </r>
      </text>
    </comment>
    <comment ref="AA892" authorId="0" shapeId="0" xr:uid="{643895FA-2D30-47AC-ACD9-00F763DBD5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O893" authorId="0" shapeId="0" xr:uid="{16B020A4-5090-4412-9942-F87D1332BA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893" authorId="0" shapeId="0" xr:uid="{F85B8BF9-2E52-4077-B5AA-B489FB8075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POB EAST, SALUG</t>
        </r>
      </text>
    </comment>
    <comment ref="O894" authorId="0" shapeId="0" xr:uid="{26707725-D345-4ECC-910E-29F70A52C5B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AA894" authorId="0" shapeId="0" xr:uid="{7F4C2B3D-42E7-47E7-AF04-43D4D2551C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RJC STORE
POB EAST, SALUG</t>
        </r>
      </text>
    </comment>
    <comment ref="O895" authorId="0" shapeId="0" xr:uid="{377E4838-D4A7-40E4-8699-E5C3071E26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ALDRIN TOBIAS
MANDIH, SINDANGAN</t>
        </r>
      </text>
    </comment>
    <comment ref="AA895" authorId="0" shapeId="0" xr:uid="{8891E821-0922-4C16-B3DE-ABCA6441A6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LITO BALBUENA
POB EAST, SALUG</t>
        </r>
      </text>
    </comment>
    <comment ref="O896" authorId="0" shapeId="0" xr:uid="{7812CF74-C500-422F-A960-98849E0F445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AA896" authorId="0" shapeId="0" xr:uid="{63D6D0BB-A1B7-4A3D-A13A-D77099D343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O897" authorId="0" shapeId="0" xr:uid="{45A525EA-D5CC-42DB-B01B-BDF1B5CAE8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ELMER
POB, SINDANGAN</t>
        </r>
      </text>
    </comment>
    <comment ref="AA897" authorId="0" shapeId="0" xr:uid="{B54F5888-E34C-4496-8616-137492D80A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ELSIE UY
POB EAST, SALUG</t>
        </r>
      </text>
    </comment>
    <comment ref="O898" authorId="0" shapeId="0" xr:uid="{3F1CDE41-A9AE-476F-BD4F-E457F5604C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JOSEFINA LODGE
DISUD, SINDANGAN</t>
        </r>
      </text>
    </comment>
    <comment ref="AA898" authorId="0" shapeId="0" xr:uid="{7B942ADB-0C59-4804-A914-1A860EC42E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MAÑOZA STORE
POB EAST, SALUG</t>
        </r>
      </text>
    </comment>
    <comment ref="AA899" authorId="0" shapeId="0" xr:uid="{3E72BD7A-371A-4603-82D7-EBC1D4BB88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WENDYL BOGANOTAN
CARACOL, SALUG</t>
        </r>
      </text>
    </comment>
    <comment ref="AA900" authorId="0" shapeId="0" xr:uid="{9ABFB6DD-D44E-4F50-BC2C-46A01B82E4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JENG JENG STORE
CARACOL, SALUG</t>
        </r>
      </text>
    </comment>
    <comment ref="C947" authorId="0" shapeId="0" xr:uid="{92E4AA7C-E4C1-4B06-8340-A2F2D784B8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
GOLEO, SINDANGAN</t>
        </r>
      </text>
    </comment>
    <comment ref="AA947" authorId="0" shapeId="0" xr:uid="{96D926F6-8A4B-4AC0-81FA-F5995EF574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948" authorId="0" shapeId="0" xr:uid="{94E96832-5D11-442F-A3D7-73AE4D4622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JANICE
DICOYONG, SINDANGAN</t>
        </r>
      </text>
    </comment>
    <comment ref="AA948" authorId="0" shapeId="0" xr:uid="{53F45130-59B4-4C67-8B5D-9A63302B63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949" authorId="0" shapeId="0" xr:uid="{2F433AC5-DA03-4DA3-A428-900F513F95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DISUD, SINDANGAN</t>
        </r>
      </text>
    </comment>
    <comment ref="AA949" authorId="0" shapeId="0" xr:uid="{79CB10DD-3C29-49E0-A236-A89D7CC4E9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RJC STORE
POB EAST, SALUG</t>
        </r>
      </text>
    </comment>
    <comment ref="C950" authorId="0" shapeId="0" xr:uid="{4D391DC2-D2CA-40C4-880E-EC74F7E721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AA950" authorId="0" shapeId="0" xr:uid="{DB62E615-E8BF-4045-B3E8-3CD4857F6C3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AA951" authorId="0" shapeId="0" xr:uid="{EB80F550-1B56-4EEE-BF7C-FF2DC84AA1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AA952" authorId="0" shapeId="0" xr:uid="{A359178E-FBB5-48E6-A219-4FCA234D29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AA953" authorId="0" shapeId="0" xr:uid="{F336F3D8-FAD0-41A3-8677-AB6F4A2052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BACONG, SALUG</t>
        </r>
      </text>
    </comment>
    <comment ref="C1002" authorId="0" shapeId="0" xr:uid="{02E8F68C-A703-4393-B28F-053611DA82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FRONTAL, ANGELICA
DAPAON, SINDANGAN</t>
        </r>
      </text>
    </comment>
    <comment ref="O1002" authorId="0" shapeId="0" xr:uid="{C0635936-4520-4CEB-90B4-7EB5C288D7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ALIN STORE
TINAPLAN, SINDANGAN</t>
        </r>
      </text>
    </comment>
    <comment ref="AA1002" authorId="0" shapeId="0" xr:uid="{EA7C92F5-8C0E-46E8-9145-FD411B88CC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C1003" authorId="0" shapeId="0" xr:uid="{3BBBED92-8759-45FA-BD66-3AE2068150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
DAPAON, SINDANGAN</t>
        </r>
      </text>
    </comment>
    <comment ref="O1003" authorId="0" shapeId="0" xr:uid="{967E95BE-8EB6-4819-9440-04AEFFC310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1003" authorId="0" shapeId="0" xr:uid="{5DEA3922-E237-48AE-A08C-45B84ABB0D1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1004" authorId="0" shapeId="0" xr:uid="{107E1084-1C47-44DC-AB01-C3FA45C94E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FACOMA SINDANGAN
POB, SINDANGAN</t>
        </r>
      </text>
    </comment>
    <comment ref="O1004" authorId="0" shapeId="0" xr:uid="{6DC55C6B-09E3-48D3-9A4A-9468AD55AAD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1004" authorId="0" shapeId="0" xr:uid="{E2A408B8-A05D-4AF1-99F3-1C86067808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1005" authorId="0" shapeId="0" xr:uid="{86F78676-8832-4D20-99FD-9F3AF52237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
 STORE
POB, SINDANGAN</t>
        </r>
      </text>
    </comment>
    <comment ref="O1005" authorId="0" shapeId="0" xr:uid="{5176E55A-9A57-4B42-8D99-A1C66E83A13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DARIO MALINAO
POB, BACUNGAN</t>
        </r>
      </text>
    </comment>
    <comment ref="AA1005" authorId="0" shapeId="0" xr:uid="{8193A7A6-044A-4792-93C6-B5D8B6E465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AA1006" authorId="0" shapeId="0" xr:uid="{A3C5BFA4-5D1A-4B7E-9176-604760188F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ALBIOS STORE
KAYOK, LILOY</t>
        </r>
      </text>
    </comment>
    <comment ref="C1057" authorId="0" shapeId="0" xr:uid="{B813A7F2-8784-4FE4-9BF6-2575596B60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CONVENIENCE STORE
POB, SINDANGAN</t>
        </r>
      </text>
    </comment>
    <comment ref="O1057" authorId="0" shapeId="0" xr:uid="{7D198A8D-28E5-4932-93E6-E79C2956EE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1057" authorId="0" shapeId="0" xr:uid="{CF6F2AE7-3EA7-450C-B8E7-96B880A7F1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058" authorId="0" shapeId="0" xr:uid="{8E291F40-163D-41DD-BAF0-1D2A051643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CONVENIENCE STORE
POB, SINDANGAN</t>
        </r>
      </text>
    </comment>
    <comment ref="O1058" authorId="0" shapeId="0" xr:uid="{A6700B49-1530-4108-8CA7-8E07124BFD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1058" authorId="0" shapeId="0" xr:uid="{26CB3158-DB00-45D4-97B6-92D755AA8DF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PACARO STORE
POB EAST, SALUG</t>
        </r>
      </text>
    </comment>
    <comment ref="C1059" authorId="0" shapeId="0" xr:uid="{9B2A25C2-40F7-43DC-BCF5-2AEF20C768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CONVENIENCE STORE
POB, SINDANGAN</t>
        </r>
      </text>
    </comment>
    <comment ref="O1059" authorId="0" shapeId="0" xr:uid="{F11FDCD7-5F72-4D44-A35D-90E5D6223B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AA1059" authorId="0" shapeId="0" xr:uid="{4C7F3DD4-5770-433B-A5D3-34092C9E85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MAÑOSA STORE
POB EAST, SALUG</t>
        </r>
      </text>
    </comment>
    <comment ref="C1060" authorId="0" shapeId="0" xr:uid="{21AA04F2-FC34-40F5-BEBF-1C5DAFDD28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GLEN OMOS
LABAKID, SINDANGAN</t>
        </r>
      </text>
    </comment>
    <comment ref="O1060" authorId="0" shapeId="0" xr:uid="{412BE910-B3E3-4769-BFAE-B039F4B013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1060" authorId="0" shapeId="0" xr:uid="{FA71D71A-18FF-47C9-A4DC-BE5999F9AD9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1061" authorId="0" shapeId="0" xr:uid="{C412B6CD-EBBD-4C55-94FE-E10281B99FC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
LABAKID, SINDANGAN</t>
        </r>
      </text>
    </comment>
    <comment ref="O1061" authorId="0" shapeId="0" xr:uid="{8C8E45C3-C925-4719-902C-6DF4974DF5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JN &amp; SON STORE
POB, BACUNGAN</t>
        </r>
      </text>
    </comment>
    <comment ref="AA1061" authorId="0" shapeId="0" xr:uid="{53795A21-DFAA-48AD-84BE-E10EBD7980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1062" authorId="0" shapeId="0" xr:uid="{E3403004-6EE8-4D43-83AB-FCFC7081251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ELMER
POB, SINDANGAN</t>
        </r>
      </text>
    </comment>
    <comment ref="O1062" authorId="0" shapeId="0" xr:uid="{12A2F521-9E51-44AA-A792-05A0E7DCAC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AA1062" authorId="0" shapeId="0" xr:uid="{20A7A74B-1BD7-4240-AFB9-EAA086BC22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O1063" authorId="0" shapeId="0" xr:uid="{347889F1-A97D-4E50-AD2A-84D01E920A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BAID STORE
TALINGA, BACUNGAN</t>
        </r>
      </text>
    </comment>
  </commentList>
</comments>
</file>

<file path=xl/sharedStrings.xml><?xml version="1.0" encoding="utf-8"?>
<sst xmlns="http://schemas.openxmlformats.org/spreadsheetml/2006/main" count="1466" uniqueCount="98">
  <si>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</si>
  <si>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</si>
  <si>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</si>
  <si>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</si>
  <si>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</si>
  <si>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</si>
  <si>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</si>
  <si>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</si>
  <si>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</si>
  <si>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</si>
  <si>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</si>
  <si>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</si>
  <si>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</si>
  <si>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</si>
  <si>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</si>
  <si>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</si>
  <si>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</si>
  <si>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</si>
  <si>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</si>
  <si>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</si>
  <si>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</si>
  <si>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</si>
  <si>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</si>
  <si>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</si>
  <si>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</si>
  <si>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</si>
  <si>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</si>
  <si>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</si>
  <si>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</si>
  <si>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</si>
  <si>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</si>
  <si>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</si>
  <si>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</si>
  <si>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</si>
  <si>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GICA, GRACE</t>
  </si>
  <si>
    <t>R3</t>
  </si>
  <si>
    <t>R4</t>
  </si>
  <si>
    <t>WEDNESDAY</t>
  </si>
  <si>
    <t>APRIL 2026</t>
  </si>
  <si>
    <t>APRIL 01, 2026</t>
  </si>
  <si>
    <t>9954-9963/9884-9891/9781-9789</t>
  </si>
  <si>
    <t>THURSDAY</t>
  </si>
  <si>
    <t>APRIL 02, 2026</t>
  </si>
  <si>
    <t>HOLIDAY - HOLY WEEK</t>
  </si>
  <si>
    <t>9964-9970/9892-9895/9790-9794</t>
  </si>
  <si>
    <t>MONDAY</t>
  </si>
  <si>
    <t>APRIL 06, 2026</t>
  </si>
  <si>
    <t>9971-9978/9896-9900,10051/9795-9800</t>
  </si>
  <si>
    <t>TUESDAY</t>
  </si>
  <si>
    <t>APRIL 07, 2026</t>
  </si>
  <si>
    <t>9979-9982/10052-10064/10001-10007</t>
  </si>
  <si>
    <t>APRIL 08, 2026</t>
  </si>
  <si>
    <t>9983-9985/10065-10071/10008-10014</t>
  </si>
  <si>
    <t>APRIL 09, 2026</t>
  </si>
  <si>
    <t>9986-10000/10072-10080/10015-10025</t>
  </si>
  <si>
    <t>FRIDAY</t>
  </si>
  <si>
    <t>APRIL 10, 2026</t>
  </si>
  <si>
    <t>9846-9850,9901-9917/10081-10090</t>
  </si>
  <si>
    <t>APRIL 13, 2026</t>
  </si>
  <si>
    <t>04/13/2026</t>
  </si>
  <si>
    <t>DAY OFF</t>
  </si>
  <si>
    <t>9918-9926/10091-10095/10101-10106</t>
  </si>
  <si>
    <t>APRIL 14, 2026</t>
  </si>
  <si>
    <t>04/14/2026</t>
  </si>
  <si>
    <t>9927-9947/10096-10151/10026-10031</t>
  </si>
  <si>
    <t>APRIL 15, 2026</t>
  </si>
  <si>
    <t>04/15/2026</t>
  </si>
  <si>
    <t>9948-9950/10152-10154/10032-10042</t>
  </si>
  <si>
    <t>APRIL 16, 2026</t>
  </si>
  <si>
    <t>04/16/2026</t>
  </si>
  <si>
    <t>10201-10210/10155-10159/10044-10050</t>
  </si>
  <si>
    <t>APRIL 17, 2026</t>
  </si>
  <si>
    <t>04/17/2026</t>
  </si>
  <si>
    <t>/10160-10176/10107-10115</t>
  </si>
  <si>
    <t>APRIL 20, 2026</t>
  </si>
  <si>
    <t>04/20/2026</t>
  </si>
  <si>
    <t>10211-10220/10177-10180/10116-10123</t>
  </si>
  <si>
    <t>APRIL 21, 2026</t>
  </si>
  <si>
    <t>04/21/2026</t>
  </si>
  <si>
    <t>10221-10225/10181-10190/10124-10128</t>
  </si>
  <si>
    <t>APRIL 22, 2026</t>
  </si>
  <si>
    <t>04/22/2026</t>
  </si>
  <si>
    <t>APRIL 23, 2026</t>
  </si>
  <si>
    <t>04/23/2026</t>
  </si>
  <si>
    <t>10237-10243/10194-10199/10140-10148</t>
  </si>
  <si>
    <t>APRIL 24, 2026</t>
  </si>
  <si>
    <t>04/24/2026</t>
  </si>
  <si>
    <t>10226-10236/10191-10193/10129-10139</t>
  </si>
  <si>
    <t>/10244-10250/10149-10257</t>
  </si>
  <si>
    <t>APRIL 27, 2026</t>
  </si>
  <si>
    <t>04/27/2026</t>
  </si>
  <si>
    <t>10301-10304//10258-10264</t>
  </si>
  <si>
    <t>APRIL 28, 2026</t>
  </si>
  <si>
    <t>04/28/2026</t>
  </si>
  <si>
    <t>10305-10308/10200,10351-10354/10266-10270</t>
  </si>
  <si>
    <t>APRIL 29, 2026</t>
  </si>
  <si>
    <t>04/29/2026</t>
  </si>
  <si>
    <t>10309-10314/10355-10361/10271-10276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</si>
</sst>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23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3" fontId="0" fillId="0" borderId="0" xfId="1" applyFont="1" applyFill="1" applyBorder="1" applyAlignment="1"/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opLeftCell="A10" zoomScaleNormal="100" workbookViewId="0">
      <selection activeCell="F39" sqref="F39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12" t="s">
        <v>38</v>
      </c>
      <c r="B6" s="112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35</v>
      </c>
      <c r="I8" s="52" t="s">
        <v>36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56" t="s">
        <v>9</v>
      </c>
      <c r="C10" s="12" t="s">
        <v>40</v>
      </c>
      <c r="D10" s="16">
        <f t="shared" ref="D10:D26" si="0">J10</f>
        <v>1133552.5</v>
      </c>
      <c r="F10" s="14">
        <v>473514</v>
      </c>
      <c r="G10" s="14">
        <v>304214</v>
      </c>
      <c r="H10" s="14">
        <v>355824.5</v>
      </c>
      <c r="I10" s="14"/>
      <c r="J10" s="17">
        <f t="shared" ref="J10:J40" si="1">F10+G10+H10</f>
        <v>1133552.5</v>
      </c>
    </row>
    <row r="11" spans="1:10" x14ac:dyDescent="0.25">
      <c r="A11" s="10">
        <f>A10+1</f>
        <v>2</v>
      </c>
      <c r="B11" s="11" t="s">
        <v>30</v>
      </c>
      <c r="C11" s="12" t="s">
        <v>44</v>
      </c>
      <c r="D11" s="16">
        <f t="shared" si="0"/>
        <v>1009464.5</v>
      </c>
      <c r="F11" s="14">
        <v>276202</v>
      </c>
      <c r="G11" s="14">
        <v>234690.5</v>
      </c>
      <c r="H11" s="14">
        <v>498572</v>
      </c>
      <c r="I11" s="14"/>
      <c r="J11" s="17">
        <f t="shared" si="1"/>
        <v>1009464.5</v>
      </c>
    </row>
    <row r="12" spans="1:10" x14ac:dyDescent="0.25">
      <c r="A12" s="10">
        <f t="shared" ref="A12:A39" si="2">A11+1</f>
        <v>3</v>
      </c>
      <c r="B12" s="43" t="s">
        <v>4</v>
      </c>
      <c r="C12" s="44" t="s">
        <v>43</v>
      </c>
      <c r="D12" s="55" t="s">
        <v>43</v>
      </c>
      <c r="F12" s="14"/>
      <c r="G12" s="14"/>
      <c r="H12" s="14"/>
      <c r="I12" s="14"/>
      <c r="J12" s="17">
        <f t="shared" si="1"/>
        <v>0</v>
      </c>
    </row>
    <row r="13" spans="1:10" x14ac:dyDescent="0.25">
      <c r="A13" s="10">
        <f t="shared" si="2"/>
        <v>4</v>
      </c>
      <c r="B13" s="56" t="s">
        <v>5</v>
      </c>
      <c r="C13" s="44" t="s">
        <v>43</v>
      </c>
      <c r="D13" s="55" t="s">
        <v>43</v>
      </c>
      <c r="F13" s="14"/>
      <c r="G13" s="14"/>
      <c r="H13" s="14"/>
      <c r="I13" s="14"/>
      <c r="J13" s="17">
        <f t="shared" si="1"/>
        <v>0</v>
      </c>
    </row>
    <row r="14" spans="1:10" x14ac:dyDescent="0.25">
      <c r="A14" s="10">
        <f t="shared" si="2"/>
        <v>5</v>
      </c>
      <c r="B14" s="13" t="s">
        <v>6</v>
      </c>
      <c r="C14" s="44" t="s">
        <v>29</v>
      </c>
      <c r="D14" s="55" t="s">
        <v>29</v>
      </c>
      <c r="F14" s="14"/>
      <c r="G14" s="14"/>
      <c r="H14" s="14"/>
      <c r="I14" s="14"/>
      <c r="J14" s="59"/>
    </row>
    <row r="15" spans="1:10" x14ac:dyDescent="0.25">
      <c r="A15" s="10">
        <f t="shared" si="2"/>
        <v>6</v>
      </c>
      <c r="B15" s="11" t="s">
        <v>7</v>
      </c>
      <c r="C15" s="12" t="s">
        <v>47</v>
      </c>
      <c r="D15" s="16">
        <f t="shared" si="0"/>
        <v>1645710.5</v>
      </c>
      <c r="F15" s="14">
        <v>796354.5</v>
      </c>
      <c r="G15" s="14">
        <v>413626</v>
      </c>
      <c r="H15" s="14">
        <v>435730</v>
      </c>
      <c r="I15" s="14"/>
      <c r="J15" s="17">
        <f t="shared" si="1"/>
        <v>1645710.5</v>
      </c>
    </row>
    <row r="16" spans="1:10" x14ac:dyDescent="0.25">
      <c r="A16" s="10">
        <f t="shared" si="2"/>
        <v>7</v>
      </c>
      <c r="B16" s="43" t="s">
        <v>8</v>
      </c>
      <c r="C16" s="12" t="s">
        <v>50</v>
      </c>
      <c r="D16" s="16">
        <f t="shared" si="0"/>
        <v>1327708</v>
      </c>
      <c r="F16" s="14">
        <v>450957</v>
      </c>
      <c r="G16" s="14">
        <v>272534</v>
      </c>
      <c r="H16" s="14">
        <v>604217</v>
      </c>
      <c r="I16" s="14"/>
      <c r="J16" s="17">
        <f t="shared" si="1"/>
        <v>1327708</v>
      </c>
    </row>
    <row r="17" spans="1:10" x14ac:dyDescent="0.25">
      <c r="A17" s="10">
        <f t="shared" si="2"/>
        <v>8</v>
      </c>
      <c r="B17" s="56" t="s">
        <v>9</v>
      </c>
      <c r="C17" s="12" t="s">
        <v>52</v>
      </c>
      <c r="D17" s="16">
        <f t="shared" si="0"/>
        <v>1055430.5</v>
      </c>
      <c r="F17" s="14">
        <v>351843</v>
      </c>
      <c r="G17" s="14">
        <v>242543.5</v>
      </c>
      <c r="H17" s="14">
        <v>461044</v>
      </c>
      <c r="I17" s="14"/>
      <c r="J17" s="17">
        <f t="shared" si="1"/>
        <v>1055430.5</v>
      </c>
    </row>
    <row r="18" spans="1:10" x14ac:dyDescent="0.25">
      <c r="A18" s="10">
        <f t="shared" si="2"/>
        <v>9</v>
      </c>
      <c r="B18" s="11" t="s">
        <v>30</v>
      </c>
      <c r="C18" s="12" t="s">
        <v>54</v>
      </c>
      <c r="D18" s="16">
        <f t="shared" si="0"/>
        <v>964947.5</v>
      </c>
      <c r="F18" s="14">
        <v>364239.5</v>
      </c>
      <c r="G18" s="14">
        <v>217561</v>
      </c>
      <c r="H18" s="14">
        <v>383147</v>
      </c>
      <c r="I18" s="14"/>
      <c r="J18" s="17">
        <f t="shared" si="1"/>
        <v>964947.5</v>
      </c>
    </row>
    <row r="19" spans="1:10" x14ac:dyDescent="0.25">
      <c r="A19" s="10">
        <f t="shared" si="2"/>
        <v>10</v>
      </c>
      <c r="B19" s="43" t="s">
        <v>4</v>
      </c>
      <c r="C19" s="12" t="s">
        <v>57</v>
      </c>
      <c r="D19" s="16">
        <f t="shared" si="0"/>
        <v>535804.79</v>
      </c>
      <c r="F19" s="14">
        <v>250368.29</v>
      </c>
      <c r="G19" s="14">
        <v>285436.5</v>
      </c>
      <c r="H19" s="14"/>
      <c r="I19" s="14"/>
      <c r="J19" s="17">
        <f t="shared" si="1"/>
        <v>535804.79</v>
      </c>
    </row>
    <row r="20" spans="1:10" x14ac:dyDescent="0.25">
      <c r="A20" s="10">
        <f t="shared" si="2"/>
        <v>11</v>
      </c>
      <c r="B20" s="56" t="s">
        <v>5</v>
      </c>
      <c r="C20" s="44" t="s">
        <v>60</v>
      </c>
      <c r="D20" s="55" t="s">
        <v>60</v>
      </c>
      <c r="F20" s="14"/>
      <c r="G20" s="14"/>
      <c r="H20" s="14"/>
      <c r="I20" s="14"/>
      <c r="J20" s="17">
        <f t="shared" si="1"/>
        <v>0</v>
      </c>
    </row>
    <row r="21" spans="1:10" x14ac:dyDescent="0.25">
      <c r="A21" s="10">
        <f t="shared" si="2"/>
        <v>12</v>
      </c>
      <c r="B21" s="13" t="s">
        <v>6</v>
      </c>
      <c r="C21" s="44" t="s">
        <v>29</v>
      </c>
      <c r="D21" s="55" t="s">
        <v>29</v>
      </c>
      <c r="F21" s="14"/>
      <c r="G21" s="14"/>
      <c r="H21" s="14"/>
      <c r="I21" s="14"/>
      <c r="J21" s="59"/>
    </row>
    <row r="22" spans="1:10" x14ac:dyDescent="0.25">
      <c r="A22" s="10">
        <f t="shared" si="2"/>
        <v>13</v>
      </c>
      <c r="B22" s="11" t="s">
        <v>7</v>
      </c>
      <c r="C22" s="12" t="s">
        <v>61</v>
      </c>
      <c r="D22" s="16">
        <f t="shared" si="0"/>
        <v>739506.5</v>
      </c>
      <c r="F22" s="14">
        <v>204208.5</v>
      </c>
      <c r="G22" s="14">
        <v>256980</v>
      </c>
      <c r="H22" s="14">
        <v>278318</v>
      </c>
      <c r="I22" s="14"/>
      <c r="J22" s="17">
        <f t="shared" si="1"/>
        <v>739506.5</v>
      </c>
    </row>
    <row r="23" spans="1:10" x14ac:dyDescent="0.25">
      <c r="A23" s="10">
        <f t="shared" si="2"/>
        <v>14</v>
      </c>
      <c r="B23" s="43" t="s">
        <v>8</v>
      </c>
      <c r="C23" s="12" t="s">
        <v>64</v>
      </c>
      <c r="D23" s="16">
        <f t="shared" si="0"/>
        <v>888651</v>
      </c>
      <c r="F23" s="14">
        <v>231725</v>
      </c>
      <c r="G23" s="14">
        <v>276295</v>
      </c>
      <c r="H23" s="14">
        <v>380631</v>
      </c>
      <c r="I23" s="14"/>
      <c r="J23" s="17">
        <f t="shared" si="1"/>
        <v>888651</v>
      </c>
    </row>
    <row r="24" spans="1:10" x14ac:dyDescent="0.25">
      <c r="A24" s="10">
        <f t="shared" si="2"/>
        <v>15</v>
      </c>
      <c r="B24" s="56" t="s">
        <v>9</v>
      </c>
      <c r="C24" s="12" t="s">
        <v>67</v>
      </c>
      <c r="D24" s="16">
        <f t="shared" si="0"/>
        <v>1036866.5</v>
      </c>
      <c r="F24" s="14">
        <v>322983</v>
      </c>
      <c r="G24" s="14">
        <v>249756</v>
      </c>
      <c r="H24" s="14">
        <v>464127.5</v>
      </c>
      <c r="I24" s="14"/>
      <c r="J24" s="17">
        <f t="shared" si="1"/>
        <v>1036866.5</v>
      </c>
    </row>
    <row r="25" spans="1:10" x14ac:dyDescent="0.25">
      <c r="A25" s="10">
        <f t="shared" si="2"/>
        <v>16</v>
      </c>
      <c r="B25" s="11" t="s">
        <v>30</v>
      </c>
      <c r="C25" s="12" t="s">
        <v>70</v>
      </c>
      <c r="D25" s="16">
        <f t="shared" si="0"/>
        <v>836204</v>
      </c>
      <c r="F25" s="14">
        <v>246523.5</v>
      </c>
      <c r="G25" s="14">
        <v>248686.5</v>
      </c>
      <c r="H25" s="14">
        <v>340994</v>
      </c>
      <c r="I25" s="14"/>
      <c r="J25" s="17">
        <f t="shared" si="1"/>
        <v>836204</v>
      </c>
    </row>
    <row r="26" spans="1:10" x14ac:dyDescent="0.25">
      <c r="A26" s="10">
        <f t="shared" si="2"/>
        <v>17</v>
      </c>
      <c r="B26" s="43" t="s">
        <v>4</v>
      </c>
      <c r="C26" s="12" t="s">
        <v>73</v>
      </c>
      <c r="D26" s="16">
        <f t="shared" si="0"/>
        <v>618236</v>
      </c>
      <c r="F26" s="14"/>
      <c r="G26" s="14">
        <v>233017</v>
      </c>
      <c r="H26" s="14">
        <v>385219</v>
      </c>
      <c r="I26" s="14"/>
      <c r="J26" s="17">
        <f t="shared" si="1"/>
        <v>618236</v>
      </c>
    </row>
    <row r="27" spans="1:10" x14ac:dyDescent="0.25">
      <c r="A27" s="10">
        <f t="shared" si="2"/>
        <v>18</v>
      </c>
      <c r="B27" s="56" t="s">
        <v>5</v>
      </c>
      <c r="C27" s="44" t="s">
        <v>60</v>
      </c>
      <c r="D27" s="55" t="s">
        <v>60</v>
      </c>
      <c r="F27" s="14"/>
      <c r="G27" s="14"/>
      <c r="H27" s="14"/>
      <c r="I27" s="14"/>
      <c r="J27" s="17">
        <f t="shared" si="1"/>
        <v>0</v>
      </c>
    </row>
    <row r="28" spans="1:10" x14ac:dyDescent="0.25">
      <c r="A28" s="10">
        <f t="shared" si="2"/>
        <v>19</v>
      </c>
      <c r="B28" s="13" t="s">
        <v>6</v>
      </c>
      <c r="C28" s="44" t="s">
        <v>29</v>
      </c>
      <c r="D28" s="55" t="s">
        <v>29</v>
      </c>
      <c r="F28" s="14"/>
      <c r="G28" s="14"/>
      <c r="H28" s="14"/>
      <c r="I28" s="14"/>
      <c r="J28" s="59"/>
    </row>
    <row r="29" spans="1:10" x14ac:dyDescent="0.25">
      <c r="A29" s="10">
        <f t="shared" si="2"/>
        <v>20</v>
      </c>
      <c r="B29" s="11" t="s">
        <v>7</v>
      </c>
      <c r="C29" s="12" t="s">
        <v>76</v>
      </c>
      <c r="D29" s="16">
        <v>1127355.5</v>
      </c>
      <c r="F29" s="14">
        <v>464246.5</v>
      </c>
      <c r="G29" s="14">
        <v>327954</v>
      </c>
      <c r="H29" s="14">
        <v>335155</v>
      </c>
      <c r="I29" s="14"/>
      <c r="J29" s="17">
        <f t="shared" si="1"/>
        <v>1127355.5</v>
      </c>
    </row>
    <row r="30" spans="1:10" x14ac:dyDescent="0.25">
      <c r="A30" s="10">
        <f t="shared" si="2"/>
        <v>21</v>
      </c>
      <c r="B30" s="43" t="s">
        <v>8</v>
      </c>
      <c r="C30" s="12" t="s">
        <v>79</v>
      </c>
      <c r="D30" s="16">
        <f t="shared" ref="D30:D33" si="3">J30</f>
        <v>1005822</v>
      </c>
      <c r="F30" s="14">
        <v>373680</v>
      </c>
      <c r="G30" s="14">
        <v>257206</v>
      </c>
      <c r="H30" s="14">
        <v>374936</v>
      </c>
      <c r="I30" s="14"/>
      <c r="J30" s="17">
        <f t="shared" si="1"/>
        <v>1005822</v>
      </c>
    </row>
    <row r="31" spans="1:10" x14ac:dyDescent="0.25">
      <c r="A31" s="10">
        <f t="shared" si="2"/>
        <v>22</v>
      </c>
      <c r="B31" s="56" t="s">
        <v>9</v>
      </c>
      <c r="C31" s="12" t="s">
        <v>87</v>
      </c>
      <c r="D31" s="16">
        <f t="shared" si="3"/>
        <v>732308</v>
      </c>
      <c r="E31" s="14"/>
      <c r="F31" s="14">
        <v>205651.5</v>
      </c>
      <c r="G31" s="14">
        <v>221794</v>
      </c>
      <c r="H31" s="14">
        <v>304862.5</v>
      </c>
      <c r="I31" s="14"/>
      <c r="J31" s="17">
        <f t="shared" si="1"/>
        <v>732308</v>
      </c>
    </row>
    <row r="32" spans="1:10" x14ac:dyDescent="0.25">
      <c r="A32" s="10">
        <f t="shared" si="2"/>
        <v>23</v>
      </c>
      <c r="B32" s="11" t="s">
        <v>30</v>
      </c>
      <c r="C32" s="12" t="s">
        <v>84</v>
      </c>
      <c r="D32" s="16">
        <f t="shared" si="3"/>
        <v>830032</v>
      </c>
      <c r="E32" s="15"/>
      <c r="F32" s="15">
        <v>316675</v>
      </c>
      <c r="G32" s="14">
        <v>244978</v>
      </c>
      <c r="H32" s="14">
        <v>268379</v>
      </c>
      <c r="I32" s="54"/>
      <c r="J32" s="17">
        <f t="shared" si="1"/>
        <v>830032</v>
      </c>
    </row>
    <row r="33" spans="1:10" x14ac:dyDescent="0.25">
      <c r="A33" s="10">
        <f t="shared" si="2"/>
        <v>24</v>
      </c>
      <c r="B33" s="43" t="s">
        <v>4</v>
      </c>
      <c r="C33" s="12" t="s">
        <v>88</v>
      </c>
      <c r="D33" s="16">
        <f t="shared" si="3"/>
        <v>451771</v>
      </c>
      <c r="E33" s="15"/>
      <c r="F33" s="15"/>
      <c r="G33" s="14">
        <v>198530.5</v>
      </c>
      <c r="H33" s="14">
        <v>253240.5</v>
      </c>
      <c r="I33" s="14"/>
      <c r="J33" s="17">
        <f t="shared" si="1"/>
        <v>451771</v>
      </c>
    </row>
    <row r="34" spans="1:10" x14ac:dyDescent="0.25">
      <c r="A34" s="10">
        <f>A33+1</f>
        <v>25</v>
      </c>
      <c r="B34" s="56" t="s">
        <v>5</v>
      </c>
      <c r="C34" s="44" t="s">
        <v>60</v>
      </c>
      <c r="D34" s="55" t="s">
        <v>60</v>
      </c>
      <c r="E34" s="14"/>
      <c r="F34" s="15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13" t="s">
        <v>6</v>
      </c>
      <c r="C35" s="44" t="s">
        <v>29</v>
      </c>
      <c r="D35" s="55" t="s">
        <v>29</v>
      </c>
      <c r="E35" s="14"/>
      <c r="F35" s="14"/>
      <c r="G35" s="14"/>
      <c r="H35" s="14"/>
      <c r="I35" s="14"/>
      <c r="J35" s="59"/>
    </row>
    <row r="36" spans="1:10" x14ac:dyDescent="0.25">
      <c r="A36" s="10">
        <f t="shared" si="2"/>
        <v>27</v>
      </c>
      <c r="B36" s="11" t="s">
        <v>7</v>
      </c>
      <c r="C36" s="12" t="s">
        <v>91</v>
      </c>
      <c r="D36" s="16">
        <f t="shared" ref="D36:D39" si="4">J36</f>
        <v>849461</v>
      </c>
      <c r="E36" s="14"/>
      <c r="F36" s="14">
        <v>453773</v>
      </c>
      <c r="G36" s="14"/>
      <c r="H36" s="14">
        <v>395688</v>
      </c>
      <c r="I36" s="14"/>
      <c r="J36" s="17">
        <f t="shared" si="1"/>
        <v>849461</v>
      </c>
    </row>
    <row r="37" spans="1:10" x14ac:dyDescent="0.25">
      <c r="A37" s="10">
        <f t="shared" si="2"/>
        <v>28</v>
      </c>
      <c r="B37" s="43" t="s">
        <v>8</v>
      </c>
      <c r="C37" s="12" t="s">
        <v>94</v>
      </c>
      <c r="D37" s="16">
        <f t="shared" si="4"/>
        <v>1299383</v>
      </c>
      <c r="E37" s="14"/>
      <c r="F37" s="14">
        <v>327507</v>
      </c>
      <c r="G37" s="14">
        <v>558962</v>
      </c>
      <c r="H37" s="14">
        <v>412914</v>
      </c>
      <c r="I37" s="14"/>
      <c r="J37" s="17">
        <f t="shared" si="1"/>
        <v>1299383</v>
      </c>
    </row>
    <row r="38" spans="1:10" x14ac:dyDescent="0.25">
      <c r="A38" s="10">
        <f t="shared" si="2"/>
        <v>29</v>
      </c>
      <c r="B38" s="56" t="s">
        <v>9</v>
      </c>
      <c r="C38" s="12" t="s">
        <v>97</v>
      </c>
      <c r="D38" s="16">
        <f t="shared" si="4"/>
        <v>1370011</v>
      </c>
      <c r="E38" s="14"/>
      <c r="F38" s="14">
        <v>275839</v>
      </c>
      <c r="G38" s="14">
        <v>733910</v>
      </c>
      <c r="H38" s="14">
        <v>360262</v>
      </c>
      <c r="I38" s="14"/>
      <c r="J38" s="17">
        <f t="shared" si="1"/>
        <v>1370011</v>
      </c>
    </row>
    <row r="39" spans="1:10" x14ac:dyDescent="0.25">
      <c r="A39" s="10">
        <f t="shared" si="2"/>
        <v>30</v>
      </c>
      <c r="B39" s="11" t="s">
        <v>30</v>
      </c>
      <c r="C39" s="12"/>
      <c r="D39" s="16">
        <f t="shared" si="4"/>
        <v>0</v>
      </c>
      <c r="E39" s="14"/>
      <c r="F39" s="14"/>
      <c r="G39" s="14"/>
      <c r="H39" s="14"/>
      <c r="I39" s="14"/>
      <c r="J39" s="17">
        <f t="shared" si="1"/>
        <v>0</v>
      </c>
    </row>
    <row r="40" spans="1:10" x14ac:dyDescent="0.25">
      <c r="A40" s="10"/>
      <c r="B40" s="43"/>
      <c r="C40" s="12"/>
      <c r="D40" s="16"/>
      <c r="E40" s="14"/>
      <c r="F40" s="14"/>
      <c r="G40" s="14"/>
      <c r="H40" s="14"/>
      <c r="I40" s="14"/>
      <c r="J40" s="17">
        <f t="shared" si="1"/>
        <v>0</v>
      </c>
    </row>
    <row r="41" spans="1:10" x14ac:dyDescent="0.25">
      <c r="A41" s="10"/>
      <c r="B41" s="56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13" t="s">
        <v>10</v>
      </c>
      <c r="B42" s="114"/>
      <c r="C42" s="115"/>
      <c r="D42" s="48">
        <f>SUM(D2:D41)</f>
        <v>19458225.789999999</v>
      </c>
      <c r="J42" s="49">
        <f>SUM(J10:J41)</f>
        <v>19458225.789999999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558"/>
  <sheetViews>
    <sheetView tabSelected="1" topLeftCell="A1072" zoomScale="115" zoomScaleNormal="115" workbookViewId="0">
      <selection activeCell="D1059" sqref="D1059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5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37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37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37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39</v>
      </c>
      <c r="B8" s="20"/>
      <c r="C8" s="57"/>
      <c r="D8" s="57"/>
      <c r="E8" s="57"/>
      <c r="G8" s="57"/>
      <c r="I8" s="22" t="s">
        <v>16</v>
      </c>
      <c r="J8" s="23" t="s">
        <v>31</v>
      </c>
      <c r="K8" s="24"/>
      <c r="M8" s="21" t="s">
        <v>39</v>
      </c>
      <c r="N8" s="20"/>
      <c r="O8" s="57"/>
      <c r="P8" s="57"/>
      <c r="Q8" s="57"/>
      <c r="R8" s="57"/>
      <c r="S8" s="57"/>
      <c r="U8" s="22" t="s">
        <v>16</v>
      </c>
      <c r="V8" s="23" t="s">
        <v>33</v>
      </c>
      <c r="W8" s="24"/>
      <c r="Y8" s="21" t="s">
        <v>39</v>
      </c>
      <c r="Z8" s="20"/>
      <c r="AA8" s="57"/>
      <c r="AB8" s="57"/>
      <c r="AC8" s="57"/>
      <c r="AD8" s="57"/>
      <c r="AE8" s="57"/>
      <c r="AG8" s="22" t="s">
        <v>16</v>
      </c>
      <c r="AH8" s="23" t="s">
        <v>34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20" t="s">
        <v>17</v>
      </c>
      <c r="E10" s="120"/>
      <c r="F10" s="75"/>
      <c r="G10" s="27"/>
      <c r="I10" s="118" t="s">
        <v>18</v>
      </c>
      <c r="J10" s="119"/>
      <c r="K10" s="116" t="s">
        <v>19</v>
      </c>
      <c r="N10" s="25"/>
      <c r="O10" s="26"/>
      <c r="P10" s="120" t="s">
        <v>17</v>
      </c>
      <c r="Q10" s="120"/>
      <c r="R10" s="75"/>
      <c r="S10" s="27"/>
      <c r="U10" s="118" t="s">
        <v>18</v>
      </c>
      <c r="V10" s="119"/>
      <c r="W10" s="116" t="s">
        <v>19</v>
      </c>
      <c r="Z10" s="25"/>
      <c r="AA10" s="26"/>
      <c r="AB10" s="120" t="s">
        <v>17</v>
      </c>
      <c r="AC10" s="120"/>
      <c r="AD10" s="75"/>
      <c r="AE10" s="27"/>
      <c r="AG10" s="118" t="s">
        <v>18</v>
      </c>
      <c r="AH10" s="119"/>
      <c r="AI10" s="116" t="s">
        <v>19</v>
      </c>
    </row>
    <row r="11" spans="1:35" ht="30" x14ac:dyDescent="0.25">
      <c r="B11" s="28" t="s">
        <v>20</v>
      </c>
      <c r="C11" s="28" t="s">
        <v>21</v>
      </c>
      <c r="D11" s="77" t="s">
        <v>22</v>
      </c>
      <c r="E11" s="76" t="s">
        <v>23</v>
      </c>
      <c r="F11" s="78" t="s">
        <v>32</v>
      </c>
      <c r="G11" s="78" t="s">
        <v>24</v>
      </c>
      <c r="I11" s="29" t="s">
        <v>25</v>
      </c>
      <c r="J11" s="29" t="s">
        <v>26</v>
      </c>
      <c r="K11" s="117"/>
      <c r="N11" s="28" t="s">
        <v>20</v>
      </c>
      <c r="O11" s="28" t="s">
        <v>21</v>
      </c>
      <c r="P11" s="77" t="s">
        <v>22</v>
      </c>
      <c r="Q11" s="78" t="s">
        <v>23</v>
      </c>
      <c r="R11" s="78" t="s">
        <v>32</v>
      </c>
      <c r="S11" s="78" t="s">
        <v>24</v>
      </c>
      <c r="U11" s="29" t="s">
        <v>25</v>
      </c>
      <c r="V11" s="29" t="s">
        <v>26</v>
      </c>
      <c r="W11" s="117"/>
      <c r="Z11" s="28" t="s">
        <v>20</v>
      </c>
      <c r="AA11" s="28" t="s">
        <v>21</v>
      </c>
      <c r="AB11" s="77" t="s">
        <v>22</v>
      </c>
      <c r="AC11" s="78" t="s">
        <v>23</v>
      </c>
      <c r="AD11" s="78" t="s">
        <v>32</v>
      </c>
      <c r="AE11" s="78" t="s">
        <v>24</v>
      </c>
      <c r="AG11" s="29" t="s">
        <v>25</v>
      </c>
      <c r="AH11" s="29" t="s">
        <v>26</v>
      </c>
      <c r="AI11" s="117"/>
    </row>
    <row r="12" spans="1:35" x14ac:dyDescent="0.25">
      <c r="A12" s="10">
        <v>1</v>
      </c>
      <c r="B12" s="30">
        <v>46026</v>
      </c>
      <c r="C12" s="83">
        <v>9954</v>
      </c>
      <c r="D12" s="32">
        <f>650*6+622*2+9.5*8</f>
        <v>5220</v>
      </c>
      <c r="E12" s="32"/>
      <c r="F12" s="32"/>
      <c r="G12" s="32">
        <f t="shared" ref="G12:G45" si="0">SUM(D12:E12)</f>
        <v>5220</v>
      </c>
      <c r="H12" s="12"/>
      <c r="I12" s="12"/>
      <c r="J12" s="12"/>
      <c r="K12" s="12">
        <f t="shared" ref="K12:K45" si="1">SUM(G12:J12)</f>
        <v>5220</v>
      </c>
      <c r="M12" s="10">
        <v>1</v>
      </c>
      <c r="N12" s="30">
        <v>46026</v>
      </c>
      <c r="O12" s="31">
        <v>9884</v>
      </c>
      <c r="P12" s="32">
        <f>650*19+622*2</f>
        <v>13594</v>
      </c>
      <c r="Q12" s="32"/>
      <c r="R12" s="32"/>
      <c r="S12" s="32">
        <f>SUM(P12:Q12)</f>
        <v>13594</v>
      </c>
      <c r="T12" s="12"/>
      <c r="U12" s="12"/>
      <c r="V12" s="12"/>
      <c r="W12" s="12">
        <f>SUM(S12:V12)</f>
        <v>13594</v>
      </c>
      <c r="Y12" s="10">
        <v>1</v>
      </c>
      <c r="Z12" s="30">
        <v>46026</v>
      </c>
      <c r="AA12" s="31">
        <v>9781</v>
      </c>
      <c r="AB12" s="32">
        <f>650*100+670*8+229*10</f>
        <v>72650</v>
      </c>
      <c r="AC12" s="32">
        <f>-108*6</f>
        <v>-648</v>
      </c>
      <c r="AD12" s="32"/>
      <c r="AE12" s="32">
        <f>SUM(AB12:AC12)</f>
        <v>72002</v>
      </c>
      <c r="AF12" s="12"/>
      <c r="AG12" s="12">
        <v>312</v>
      </c>
      <c r="AH12" s="12">
        <f>-5550</f>
        <v>-5550</v>
      </c>
      <c r="AI12" s="12">
        <f>SUM(AE12:AH12)</f>
        <v>66764</v>
      </c>
    </row>
    <row r="13" spans="1:35" x14ac:dyDescent="0.25">
      <c r="A13" s="10">
        <v>2</v>
      </c>
      <c r="B13" s="30">
        <v>46026</v>
      </c>
      <c r="C13" s="83">
        <f>C12+1</f>
        <v>9955</v>
      </c>
      <c r="D13" s="32">
        <f>650*10+622</f>
        <v>7122</v>
      </c>
      <c r="E13" s="32"/>
      <c r="F13" s="32"/>
      <c r="G13" s="32">
        <f t="shared" si="0"/>
        <v>7122</v>
      </c>
      <c r="H13" s="12"/>
      <c r="I13" s="12"/>
      <c r="J13" s="12"/>
      <c r="K13" s="12">
        <f t="shared" si="1"/>
        <v>7122</v>
      </c>
      <c r="M13" s="10">
        <v>2</v>
      </c>
      <c r="N13" s="30">
        <v>46026</v>
      </c>
      <c r="O13" s="31">
        <f>O12+1</f>
        <v>9885</v>
      </c>
      <c r="P13" s="32">
        <f>650*216+670*10+229*5</f>
        <v>148245</v>
      </c>
      <c r="Q13" s="32">
        <f>-226*6</f>
        <v>-1356</v>
      </c>
      <c r="R13" s="32"/>
      <c r="S13" s="32">
        <f t="shared" ref="S13:S44" si="2">SUM(P13:Q13)</f>
        <v>146889</v>
      </c>
      <c r="T13" s="12"/>
      <c r="U13" s="12">
        <f>2997+312</f>
        <v>3309</v>
      </c>
      <c r="V13" s="12">
        <v>-210</v>
      </c>
      <c r="W13" s="12">
        <f t="shared" ref="W13:W44" si="3">SUM(S13:V13)</f>
        <v>149988</v>
      </c>
      <c r="Y13" s="10">
        <v>2</v>
      </c>
      <c r="Z13" s="30">
        <v>46026</v>
      </c>
      <c r="AA13" s="31">
        <f>AA12+1</f>
        <v>9782</v>
      </c>
      <c r="AB13" s="32">
        <f>650*100+670*5+622*18+229*4</f>
        <v>80462</v>
      </c>
      <c r="AC13" s="32">
        <f>-123*6</f>
        <v>-738</v>
      </c>
      <c r="AD13" s="32"/>
      <c r="AE13" s="32">
        <f t="shared" ref="AE13:AE44" si="4">SUM(AB13:AC13)</f>
        <v>79724</v>
      </c>
      <c r="AF13" s="12"/>
      <c r="AG13" s="12"/>
      <c r="AH13" s="12"/>
      <c r="AI13" s="12">
        <f t="shared" ref="AI13:AI44" si="5">SUM(AE13:AH13)</f>
        <v>79724</v>
      </c>
    </row>
    <row r="14" spans="1:35" x14ac:dyDescent="0.25">
      <c r="A14" s="10">
        <v>3</v>
      </c>
      <c r="B14" s="30">
        <v>46026</v>
      </c>
      <c r="C14" s="83">
        <f t="shared" ref="C14:C21" si="6">C13+1</f>
        <v>9956</v>
      </c>
      <c r="D14" s="33">
        <f>650*216+622*15+229*3</f>
        <v>150417</v>
      </c>
      <c r="E14" s="33"/>
      <c r="F14" s="33"/>
      <c r="G14" s="33">
        <f t="shared" si="0"/>
        <v>150417</v>
      </c>
      <c r="H14" s="34"/>
      <c r="I14" s="34">
        <f>111*10</f>
        <v>1110</v>
      </c>
      <c r="J14" s="34"/>
      <c r="K14" s="34">
        <f t="shared" si="1"/>
        <v>151527</v>
      </c>
      <c r="M14" s="10">
        <v>3</v>
      </c>
      <c r="N14" s="30">
        <v>46026</v>
      </c>
      <c r="O14" s="31">
        <f t="shared" ref="O14:O19" si="7">O13+1</f>
        <v>9886</v>
      </c>
      <c r="P14" s="32">
        <f>650*87+670*3+229</f>
        <v>58789</v>
      </c>
      <c r="Q14" s="32"/>
      <c r="R14" s="32"/>
      <c r="S14" s="32">
        <f t="shared" si="2"/>
        <v>58789</v>
      </c>
      <c r="T14" s="12"/>
      <c r="U14" s="12"/>
      <c r="V14" s="12">
        <f>-111*3</f>
        <v>-333</v>
      </c>
      <c r="W14" s="12">
        <f t="shared" si="3"/>
        <v>58456</v>
      </c>
      <c r="Y14" s="10">
        <v>3</v>
      </c>
      <c r="Z14" s="30">
        <v>46026</v>
      </c>
      <c r="AA14" s="31">
        <f t="shared" ref="AA14:AA20" si="8">AA13+1</f>
        <v>9783</v>
      </c>
      <c r="AB14" s="33">
        <f>650*50+622*7</f>
        <v>36854</v>
      </c>
      <c r="AC14" s="33"/>
      <c r="AD14" s="32"/>
      <c r="AE14" s="32">
        <f t="shared" si="4"/>
        <v>36854</v>
      </c>
      <c r="AF14" s="12"/>
      <c r="AG14" s="12"/>
      <c r="AH14" s="12"/>
      <c r="AI14" s="12">
        <f t="shared" si="5"/>
        <v>36854</v>
      </c>
    </row>
    <row r="15" spans="1:35" x14ac:dyDescent="0.25">
      <c r="A15" s="10">
        <v>4</v>
      </c>
      <c r="B15" s="30">
        <v>46026</v>
      </c>
      <c r="C15" s="83">
        <f t="shared" si="6"/>
        <v>9957</v>
      </c>
      <c r="D15" s="32">
        <f>650*12+622*3</f>
        <v>9666</v>
      </c>
      <c r="E15" s="32"/>
      <c r="F15" s="32"/>
      <c r="G15" s="32">
        <f t="shared" si="0"/>
        <v>9666</v>
      </c>
      <c r="H15" s="12"/>
      <c r="I15" s="12"/>
      <c r="J15" s="12"/>
      <c r="K15" s="12">
        <f t="shared" si="1"/>
        <v>9666</v>
      </c>
      <c r="M15" s="10">
        <v>4</v>
      </c>
      <c r="N15" s="30">
        <v>46026</v>
      </c>
      <c r="O15" s="31">
        <f t="shared" si="7"/>
        <v>9887</v>
      </c>
      <c r="P15" s="32">
        <f>525+872/2+872</f>
        <v>1833</v>
      </c>
      <c r="Q15" s="32"/>
      <c r="R15" s="32"/>
      <c r="S15" s="32">
        <f t="shared" si="2"/>
        <v>1833</v>
      </c>
      <c r="T15" s="12"/>
      <c r="U15" s="12"/>
      <c r="V15" s="12">
        <f>-120*2+-111*7</f>
        <v>-1017</v>
      </c>
      <c r="W15" s="12">
        <f t="shared" si="3"/>
        <v>816</v>
      </c>
      <c r="Y15" s="10">
        <v>4</v>
      </c>
      <c r="Z15" s="30">
        <v>46026</v>
      </c>
      <c r="AA15" s="31">
        <f t="shared" si="8"/>
        <v>9784</v>
      </c>
      <c r="AB15" s="32">
        <f>650*15+670*2+971*2+622*5</f>
        <v>16142</v>
      </c>
      <c r="AC15" s="32"/>
      <c r="AD15" s="32"/>
      <c r="AE15" s="32">
        <f t="shared" si="4"/>
        <v>16142</v>
      </c>
      <c r="AF15" s="12"/>
      <c r="AG15">
        <v>10.5</v>
      </c>
      <c r="AH15" s="12"/>
      <c r="AI15" s="12">
        <f t="shared" si="5"/>
        <v>16152.5</v>
      </c>
    </row>
    <row r="16" spans="1:35" x14ac:dyDescent="0.25">
      <c r="A16" s="10">
        <v>5</v>
      </c>
      <c r="B16" s="30">
        <v>46026</v>
      </c>
      <c r="C16" s="83">
        <f t="shared" si="6"/>
        <v>9958</v>
      </c>
      <c r="D16" s="32">
        <f>650*13+622*2</f>
        <v>9694</v>
      </c>
      <c r="E16" s="32"/>
      <c r="F16" s="32"/>
      <c r="G16" s="32">
        <f t="shared" si="0"/>
        <v>9694</v>
      </c>
      <c r="H16" s="12"/>
      <c r="I16" s="12"/>
      <c r="J16" s="12"/>
      <c r="K16" s="12">
        <f t="shared" si="1"/>
        <v>9694</v>
      </c>
      <c r="M16" s="10">
        <v>5</v>
      </c>
      <c r="N16" s="30">
        <v>46026</v>
      </c>
      <c r="O16" s="31">
        <f t="shared" si="7"/>
        <v>9888</v>
      </c>
      <c r="P16" s="32">
        <f>650*7+9.5*7</f>
        <v>4616.5</v>
      </c>
      <c r="Q16" s="32"/>
      <c r="R16" s="32"/>
      <c r="S16" s="32">
        <f t="shared" si="2"/>
        <v>4616.5</v>
      </c>
      <c r="T16" s="12"/>
      <c r="U16" s="12"/>
      <c r="V16" s="12">
        <v>-666</v>
      </c>
      <c r="W16" s="12">
        <f t="shared" si="3"/>
        <v>3950.5</v>
      </c>
      <c r="Y16" s="10">
        <v>5</v>
      </c>
      <c r="Z16" s="30">
        <v>46026</v>
      </c>
      <c r="AA16" s="31">
        <f t="shared" si="8"/>
        <v>9785</v>
      </c>
      <c r="AB16" s="32">
        <f>650*135+1050*2+872*3+229*5</f>
        <v>93611</v>
      </c>
      <c r="AC16" s="32">
        <f>-140*6</f>
        <v>-840</v>
      </c>
      <c r="AD16" s="32"/>
      <c r="AE16" s="32">
        <f t="shared" ref="AE16:AE21" si="9">SUM(AB16:AC16)</f>
        <v>92771</v>
      </c>
      <c r="AF16" s="12"/>
      <c r="AG16" s="12">
        <f>78*4+1.5*37</f>
        <v>367.5</v>
      </c>
      <c r="AH16" s="12"/>
      <c r="AI16" s="12">
        <f t="shared" si="5"/>
        <v>93138.5</v>
      </c>
    </row>
    <row r="17" spans="1:35" x14ac:dyDescent="0.25">
      <c r="A17" s="10">
        <v>6</v>
      </c>
      <c r="B17" s="30">
        <v>46026</v>
      </c>
      <c r="C17" s="83">
        <f t="shared" si="6"/>
        <v>9959</v>
      </c>
      <c r="D17" s="32">
        <f>650*128+622*20</f>
        <v>95640</v>
      </c>
      <c r="E17" s="32"/>
      <c r="F17" s="32"/>
      <c r="G17" s="32">
        <f t="shared" si="0"/>
        <v>95640</v>
      </c>
      <c r="H17" s="12"/>
      <c r="I17" s="12"/>
      <c r="J17" s="12"/>
      <c r="K17" s="12">
        <f t="shared" si="1"/>
        <v>95640</v>
      </c>
      <c r="M17" s="10">
        <v>6</v>
      </c>
      <c r="N17" s="30">
        <v>46026</v>
      </c>
      <c r="O17" s="31">
        <f t="shared" si="7"/>
        <v>9889</v>
      </c>
      <c r="P17" s="32">
        <f>973*70+1050*3+872*3</f>
        <v>73876</v>
      </c>
      <c r="Q17" s="32"/>
      <c r="R17" s="32"/>
      <c r="S17" s="32">
        <f t="shared" si="2"/>
        <v>73876</v>
      </c>
      <c r="T17" s="12"/>
      <c r="U17" s="12"/>
      <c r="V17" s="10"/>
      <c r="W17" s="12">
        <f t="shared" si="3"/>
        <v>73876</v>
      </c>
      <c r="Y17" s="10">
        <v>6</v>
      </c>
      <c r="Z17" s="30">
        <v>46026</v>
      </c>
      <c r="AA17" s="31">
        <f t="shared" si="8"/>
        <v>9786</v>
      </c>
      <c r="AB17" s="32">
        <f>650*25+229</f>
        <v>16479</v>
      </c>
      <c r="AC17" s="32"/>
      <c r="AD17" s="32"/>
      <c r="AE17" s="32">
        <f t="shared" si="9"/>
        <v>16479</v>
      </c>
      <c r="AF17" s="12"/>
      <c r="AG17" s="12"/>
      <c r="AH17" s="10"/>
      <c r="AI17" s="12">
        <f t="shared" si="5"/>
        <v>16479</v>
      </c>
    </row>
    <row r="18" spans="1:35" x14ac:dyDescent="0.25">
      <c r="A18" s="10">
        <v>7</v>
      </c>
      <c r="B18" s="30">
        <v>46026</v>
      </c>
      <c r="C18" s="83">
        <f t="shared" si="6"/>
        <v>9960</v>
      </c>
      <c r="D18" s="32">
        <f>650*108+622*6</f>
        <v>73932</v>
      </c>
      <c r="E18" s="32"/>
      <c r="F18" s="32"/>
      <c r="G18" s="32">
        <f t="shared" si="0"/>
        <v>73932</v>
      </c>
      <c r="H18" s="12"/>
      <c r="I18" s="12"/>
      <c r="J18" s="12"/>
      <c r="K18" s="12">
        <f t="shared" si="1"/>
        <v>73932</v>
      </c>
      <c r="M18" s="10">
        <v>7</v>
      </c>
      <c r="N18" s="30">
        <v>46026</v>
      </c>
      <c r="O18" s="31">
        <f t="shared" si="7"/>
        <v>9890</v>
      </c>
      <c r="P18" s="32">
        <f>650*5+9.5*5</f>
        <v>3297.5</v>
      </c>
      <c r="Q18" s="32"/>
      <c r="R18" s="32"/>
      <c r="S18" s="32">
        <f t="shared" si="2"/>
        <v>3297.5</v>
      </c>
      <c r="T18" s="12"/>
      <c r="U18" s="12"/>
      <c r="V18" s="12">
        <f>-120*3+-84</f>
        <v>-444</v>
      </c>
      <c r="W18" s="12">
        <f t="shared" si="3"/>
        <v>2853.5</v>
      </c>
      <c r="Y18" s="10">
        <v>7</v>
      </c>
      <c r="Z18" s="30">
        <v>46026</v>
      </c>
      <c r="AA18" s="31">
        <f t="shared" si="8"/>
        <v>9787</v>
      </c>
      <c r="AB18" s="32">
        <f>650*31+670*2+229</f>
        <v>21719</v>
      </c>
      <c r="AC18" s="32"/>
      <c r="AD18" s="32"/>
      <c r="AE18" s="32">
        <f t="shared" si="9"/>
        <v>21719</v>
      </c>
      <c r="AF18" s="12"/>
      <c r="AG18" s="58"/>
      <c r="AH18" s="12"/>
      <c r="AI18" s="12">
        <f t="shared" si="5"/>
        <v>21719</v>
      </c>
    </row>
    <row r="19" spans="1:35" x14ac:dyDescent="0.25">
      <c r="A19" s="10">
        <v>8</v>
      </c>
      <c r="B19" s="30">
        <v>46026</v>
      </c>
      <c r="C19" s="83">
        <f t="shared" si="6"/>
        <v>9961</v>
      </c>
      <c r="D19" s="32">
        <f>650*117+670*3+700*5+622*10+912+1050+872+229*5+500</f>
        <v>92259</v>
      </c>
      <c r="E19" s="32"/>
      <c r="F19" s="32"/>
      <c r="G19" s="32">
        <f t="shared" si="0"/>
        <v>92259</v>
      </c>
      <c r="H19" s="12"/>
      <c r="I19" s="12"/>
      <c r="J19" s="12"/>
      <c r="K19" s="12">
        <f t="shared" si="1"/>
        <v>92259</v>
      </c>
      <c r="M19" s="10">
        <v>8</v>
      </c>
      <c r="N19" s="30">
        <v>46026</v>
      </c>
      <c r="O19" s="31">
        <f t="shared" si="7"/>
        <v>9891</v>
      </c>
      <c r="P19" s="32">
        <f>650*2+9.5*2</f>
        <v>1319</v>
      </c>
      <c r="Q19" s="32"/>
      <c r="R19" s="32"/>
      <c r="S19" s="32">
        <f t="shared" si="2"/>
        <v>1319</v>
      </c>
      <c r="T19" s="12"/>
      <c r="U19" s="12"/>
      <c r="V19" s="12"/>
      <c r="W19" s="12">
        <f t="shared" si="3"/>
        <v>1319</v>
      </c>
      <c r="Y19" s="10">
        <v>8</v>
      </c>
      <c r="Z19" s="30">
        <v>46026</v>
      </c>
      <c r="AA19" s="31">
        <f t="shared" si="8"/>
        <v>9788</v>
      </c>
      <c r="AB19" s="32">
        <f>650*11+622*2+9.5*13</f>
        <v>8517.5</v>
      </c>
      <c r="AC19" s="32"/>
      <c r="AE19" s="32">
        <f t="shared" si="9"/>
        <v>8517.5</v>
      </c>
      <c r="AF19" s="12"/>
      <c r="AG19" s="12">
        <v>157.5</v>
      </c>
      <c r="AH19" s="12"/>
      <c r="AI19" s="12">
        <f t="shared" si="5"/>
        <v>8675</v>
      </c>
    </row>
    <row r="20" spans="1:35" x14ac:dyDescent="0.25">
      <c r="A20" s="10">
        <v>9</v>
      </c>
      <c r="B20" s="30">
        <v>46026</v>
      </c>
      <c r="C20" s="83">
        <f t="shared" si="6"/>
        <v>9962</v>
      </c>
      <c r="D20" s="32">
        <f>650*20</f>
        <v>13000</v>
      </c>
      <c r="E20" s="32"/>
      <c r="F20" s="32"/>
      <c r="G20" s="32">
        <f t="shared" si="0"/>
        <v>13000</v>
      </c>
      <c r="H20" s="12"/>
      <c r="I20" s="12">
        <v>540</v>
      </c>
      <c r="J20" s="12"/>
      <c r="K20" s="12">
        <f t="shared" si="1"/>
        <v>13540</v>
      </c>
      <c r="M20" s="10">
        <v>9</v>
      </c>
      <c r="N20" s="30"/>
      <c r="O20" s="11" t="s">
        <v>27</v>
      </c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>
        <v>46026</v>
      </c>
      <c r="AA20" s="31">
        <f t="shared" si="8"/>
        <v>9789</v>
      </c>
      <c r="AB20">
        <f>650*15+622*3</f>
        <v>11616</v>
      </c>
      <c r="AC20" s="32"/>
      <c r="AD20" s="32"/>
      <c r="AE20" s="32">
        <f t="shared" si="9"/>
        <v>11616</v>
      </c>
      <c r="AF20" s="12"/>
      <c r="AH20" s="12">
        <v>-666</v>
      </c>
      <c r="AI20" s="12">
        <f t="shared" si="5"/>
        <v>10950</v>
      </c>
    </row>
    <row r="21" spans="1:35" x14ac:dyDescent="0.25">
      <c r="A21" s="10">
        <v>10</v>
      </c>
      <c r="B21" s="30">
        <v>46026</v>
      </c>
      <c r="C21" s="83">
        <f t="shared" si="6"/>
        <v>9963</v>
      </c>
      <c r="D21" s="32">
        <f>650*14+622*12</f>
        <v>16564</v>
      </c>
      <c r="E21" s="32"/>
      <c r="F21" s="32"/>
      <c r="G21" s="32">
        <f t="shared" si="0"/>
        <v>16564</v>
      </c>
      <c r="H21" s="12"/>
      <c r="I21" s="12"/>
      <c r="J21" s="12"/>
      <c r="K21" s="12">
        <f t="shared" si="1"/>
        <v>16564</v>
      </c>
      <c r="M21" s="10">
        <v>10</v>
      </c>
      <c r="N21" s="30"/>
      <c r="O21" s="31"/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/>
      <c r="AA21" s="11" t="s">
        <v>27</v>
      </c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/>
      <c r="C22" s="11" t="s">
        <v>27</v>
      </c>
      <c r="D22" s="32"/>
      <c r="E22" s="32"/>
      <c r="F22" s="32"/>
      <c r="G22" s="32">
        <f t="shared" si="0"/>
        <v>0</v>
      </c>
      <c r="H22" s="12"/>
      <c r="I22" s="12"/>
      <c r="J22" s="12"/>
      <c r="K22" s="12">
        <f t="shared" si="1"/>
        <v>0</v>
      </c>
      <c r="M22" s="10">
        <v>11</v>
      </c>
      <c r="N22" s="30"/>
      <c r="O22" s="31"/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A22" s="31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/>
      <c r="C23" s="83"/>
      <c r="D23" s="32"/>
      <c r="E23" s="32"/>
      <c r="F23" s="32"/>
      <c r="G23" s="32">
        <f t="shared" si="0"/>
        <v>0</v>
      </c>
      <c r="H23" s="12"/>
      <c r="I23" s="12"/>
      <c r="J23" s="10"/>
      <c r="K23" s="12">
        <f t="shared" si="1"/>
        <v>0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11"/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83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1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83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83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83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83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83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83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83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83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83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83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83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83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83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83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83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83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83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83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83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83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473514</v>
      </c>
      <c r="E55" s="38">
        <f t="shared" ref="E55:F55" si="18">SUM(E12:E52)</f>
        <v>0</v>
      </c>
      <c r="F55" s="38">
        <f t="shared" si="18"/>
        <v>0</v>
      </c>
      <c r="G55" s="38">
        <f>SUM(G12:G54)</f>
        <v>473514</v>
      </c>
      <c r="H55" s="4"/>
      <c r="I55" s="39">
        <f>SUM(I12:I54)</f>
        <v>1650</v>
      </c>
      <c r="J55" s="39">
        <f>SUM(J12:J54)</f>
        <v>0</v>
      </c>
      <c r="K55" s="40">
        <f>SUM(K12:K54)</f>
        <v>475164</v>
      </c>
      <c r="N55" s="57"/>
      <c r="O55" s="57"/>
      <c r="P55" s="38">
        <f>SUM(P12:P54)</f>
        <v>305570</v>
      </c>
      <c r="Q55" s="38">
        <f>SUM(Q12:Q36)</f>
        <v>-1356</v>
      </c>
      <c r="R55" s="38">
        <f>SUM(R12:R36)</f>
        <v>0</v>
      </c>
      <c r="S55" s="38">
        <f>SUM(S12:S54)</f>
        <v>304214</v>
      </c>
      <c r="T55" s="4"/>
      <c r="U55" s="41">
        <f>SUM(U12:U54)</f>
        <v>3309</v>
      </c>
      <c r="V55" s="41">
        <f>SUM(V12:V36)</f>
        <v>-2670</v>
      </c>
      <c r="W55" s="42">
        <f>SUM(W12:W54)</f>
        <v>304853</v>
      </c>
      <c r="Z55" s="57"/>
      <c r="AA55" s="57"/>
      <c r="AB55" s="38">
        <f>SUM(AB12:AB54)</f>
        <v>358050.5</v>
      </c>
      <c r="AC55" s="38">
        <f>SUM(AC12:AC36)</f>
        <v>-2226</v>
      </c>
      <c r="AD55" s="38">
        <f>SUM(AD12:AD36)</f>
        <v>0</v>
      </c>
      <c r="AE55" s="38">
        <f>SUM(AE12:AE54)</f>
        <v>355824.5</v>
      </c>
      <c r="AF55" s="4"/>
      <c r="AG55" s="41">
        <f>SUM(AG12:AG54)</f>
        <v>847.5</v>
      </c>
      <c r="AH55" s="41">
        <f>SUM(AH12:AH36)</f>
        <v>-6216</v>
      </c>
      <c r="AI55" s="42">
        <f>SUM(AI12:AI54)</f>
        <v>350456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</row>
    <row r="57" spans="1:52" x14ac:dyDescent="0.25">
      <c r="A57" t="s">
        <v>0</v>
      </c>
      <c r="B57" s="57"/>
      <c r="C57" s="57"/>
      <c r="D57" s="57"/>
      <c r="E57" s="57"/>
      <c r="G57" s="57"/>
      <c r="M57" t="s">
        <v>0</v>
      </c>
      <c r="N57" s="57"/>
      <c r="O57" s="57"/>
      <c r="P57" s="57"/>
      <c r="Q57" s="57"/>
      <c r="R57" s="57"/>
      <c r="S57" s="57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</row>
    <row r="58" spans="1:52" x14ac:dyDescent="0.25">
      <c r="A58" t="s">
        <v>28</v>
      </c>
      <c r="B58" s="57"/>
      <c r="C58" s="57"/>
      <c r="D58" s="57"/>
      <c r="E58" s="57"/>
      <c r="G58" s="57"/>
      <c r="M58" t="s">
        <v>28</v>
      </c>
      <c r="N58" s="57"/>
      <c r="O58" s="57"/>
      <c r="P58" s="57"/>
      <c r="Q58" s="57"/>
      <c r="R58" s="57"/>
      <c r="S58" s="57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N59" s="57"/>
      <c r="O59" s="57"/>
      <c r="P59" s="57"/>
      <c r="Q59" s="57"/>
      <c r="R59" s="57"/>
      <c r="S59" s="57"/>
      <c r="Z59" s="57"/>
      <c r="AA59" s="57"/>
      <c r="AB59" s="57"/>
      <c r="AC59" s="57"/>
      <c r="AD59" s="57"/>
      <c r="AE59" s="57"/>
      <c r="AK59" s="62"/>
      <c r="AL59" s="86"/>
      <c r="AM59" s="86"/>
      <c r="AN59" s="86"/>
      <c r="AO59" s="86"/>
      <c r="AP59" s="86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4" t="s">
        <v>14</v>
      </c>
      <c r="N60" s="57"/>
      <c r="O60" s="57"/>
      <c r="P60" s="57"/>
      <c r="Q60" s="57"/>
      <c r="R60" s="57"/>
      <c r="S60" s="57"/>
      <c r="Y60" s="4" t="s">
        <v>14</v>
      </c>
      <c r="Z60" s="57"/>
      <c r="AA60" s="57"/>
      <c r="AB60" s="57"/>
      <c r="AC60" s="57"/>
      <c r="AD60" s="57"/>
      <c r="AE60" s="57"/>
      <c r="AK60" s="62"/>
      <c r="AL60" s="86"/>
      <c r="AM60" s="86"/>
      <c r="AN60" s="86"/>
      <c r="AO60" s="86"/>
      <c r="AP60" s="86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N61" s="57"/>
      <c r="O61" s="57"/>
      <c r="P61" s="57"/>
      <c r="Q61" s="57"/>
      <c r="R61" s="57"/>
      <c r="S61" s="57"/>
      <c r="Z61" s="57"/>
      <c r="AA61" s="57"/>
      <c r="AB61" s="57"/>
      <c r="AC61" s="57"/>
      <c r="AD61" s="57"/>
      <c r="AE61" s="57"/>
      <c r="AK61" s="62"/>
      <c r="AL61" s="86"/>
      <c r="AM61" s="86"/>
      <c r="AN61" s="86"/>
      <c r="AO61" s="86"/>
      <c r="AP61" s="86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41</v>
      </c>
      <c r="B62" s="57"/>
      <c r="C62" s="57"/>
      <c r="D62" s="57"/>
      <c r="E62" s="57"/>
      <c r="G62" s="57"/>
      <c r="I62" s="57" t="s">
        <v>15</v>
      </c>
      <c r="J62" s="19">
        <v>1</v>
      </c>
      <c r="M62" t="s">
        <v>41</v>
      </c>
      <c r="N62" s="57"/>
      <c r="O62" s="57"/>
      <c r="P62" s="57"/>
      <c r="Q62" s="57"/>
      <c r="R62" s="57"/>
      <c r="S62" s="57"/>
      <c r="U62" s="57" t="s">
        <v>15</v>
      </c>
      <c r="V62" s="19">
        <v>2</v>
      </c>
      <c r="Y62" t="s">
        <v>41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6"/>
      <c r="AM62" s="86"/>
      <c r="AN62" s="86"/>
      <c r="AO62" s="86"/>
      <c r="AP62" s="86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42</v>
      </c>
      <c r="B63" s="20"/>
      <c r="C63" s="57"/>
      <c r="D63" s="57"/>
      <c r="E63" s="57"/>
      <c r="G63" s="57"/>
      <c r="I63" s="22" t="s">
        <v>16</v>
      </c>
      <c r="J63" s="23" t="s">
        <v>31</v>
      </c>
      <c r="K63" s="24"/>
      <c r="M63" s="21" t="s">
        <v>42</v>
      </c>
      <c r="N63" s="20"/>
      <c r="O63" s="57"/>
      <c r="P63" s="57"/>
      <c r="Q63" s="57"/>
      <c r="R63" s="57"/>
      <c r="S63" s="57"/>
      <c r="U63" s="22" t="s">
        <v>16</v>
      </c>
      <c r="V63" s="23" t="s">
        <v>33</v>
      </c>
      <c r="W63" s="24"/>
      <c r="Y63" s="21" t="s">
        <v>42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34</v>
      </c>
      <c r="AI63" s="24"/>
      <c r="AK63" s="62"/>
      <c r="AL63" s="86"/>
      <c r="AM63" s="86"/>
      <c r="AN63" s="86"/>
      <c r="AO63" s="86"/>
      <c r="AP63" s="86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N64" s="57"/>
      <c r="O64" s="57"/>
      <c r="P64" s="57"/>
      <c r="Q64" s="57"/>
      <c r="R64" s="57"/>
      <c r="S64" s="57"/>
      <c r="Z64" s="57"/>
      <c r="AA64" s="57"/>
      <c r="AB64" s="57"/>
      <c r="AC64" s="57"/>
      <c r="AD64" s="57"/>
      <c r="AE64" s="57"/>
      <c r="AK64" s="62"/>
      <c r="AL64" s="86"/>
      <c r="AM64" s="86"/>
      <c r="AN64" s="86"/>
      <c r="AO64" s="86"/>
      <c r="AP64" s="86"/>
      <c r="AQ64" s="62"/>
      <c r="AR64" s="86"/>
      <c r="AS64" s="86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B65" s="25"/>
      <c r="C65" s="26"/>
      <c r="D65" s="120" t="s">
        <v>17</v>
      </c>
      <c r="E65" s="120"/>
      <c r="F65" s="92"/>
      <c r="G65" s="27"/>
      <c r="I65" s="118" t="s">
        <v>18</v>
      </c>
      <c r="J65" s="119"/>
      <c r="K65" s="116" t="s">
        <v>19</v>
      </c>
      <c r="N65" s="25"/>
      <c r="O65" s="26"/>
      <c r="P65" s="120" t="s">
        <v>17</v>
      </c>
      <c r="Q65" s="120"/>
      <c r="R65" s="93"/>
      <c r="S65" s="27"/>
      <c r="U65" s="118" t="s">
        <v>18</v>
      </c>
      <c r="V65" s="119"/>
      <c r="W65" s="116" t="s">
        <v>19</v>
      </c>
      <c r="Z65" s="25"/>
      <c r="AA65" s="26"/>
      <c r="AB65" s="120" t="s">
        <v>17</v>
      </c>
      <c r="AC65" s="120"/>
      <c r="AD65" s="93"/>
      <c r="AE65" s="27"/>
      <c r="AG65" s="118" t="s">
        <v>18</v>
      </c>
      <c r="AH65" s="119"/>
      <c r="AI65" s="116" t="s">
        <v>19</v>
      </c>
      <c r="AK65" s="64"/>
      <c r="AL65" s="86"/>
      <c r="AM65" s="86"/>
      <c r="AN65" s="86"/>
      <c r="AO65" s="86"/>
      <c r="AP65" s="86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7" t="s">
        <v>22</v>
      </c>
      <c r="E66" s="76" t="s">
        <v>23</v>
      </c>
      <c r="F66" s="78" t="s">
        <v>32</v>
      </c>
      <c r="G66" s="78" t="s">
        <v>24</v>
      </c>
      <c r="I66" s="29" t="s">
        <v>25</v>
      </c>
      <c r="J66" s="29" t="s">
        <v>26</v>
      </c>
      <c r="K66" s="117"/>
      <c r="N66" s="28" t="s">
        <v>20</v>
      </c>
      <c r="O66" s="28" t="s">
        <v>21</v>
      </c>
      <c r="P66" s="77" t="s">
        <v>22</v>
      </c>
      <c r="Q66" s="78" t="s">
        <v>23</v>
      </c>
      <c r="R66" s="78" t="s">
        <v>32</v>
      </c>
      <c r="S66" s="78" t="s">
        <v>24</v>
      </c>
      <c r="U66" s="29" t="s">
        <v>25</v>
      </c>
      <c r="V66" s="29" t="s">
        <v>26</v>
      </c>
      <c r="W66" s="117"/>
      <c r="Z66" s="28" t="s">
        <v>20</v>
      </c>
      <c r="AA66" s="28" t="s">
        <v>21</v>
      </c>
      <c r="AB66" s="77" t="s">
        <v>22</v>
      </c>
      <c r="AC66" s="78" t="s">
        <v>23</v>
      </c>
      <c r="AD66" s="78" t="s">
        <v>32</v>
      </c>
      <c r="AE66" s="78" t="s">
        <v>24</v>
      </c>
      <c r="AG66" s="29" t="s">
        <v>25</v>
      </c>
      <c r="AH66" s="29" t="s">
        <v>26</v>
      </c>
      <c r="AI66" s="117"/>
      <c r="AK66" s="62"/>
      <c r="AL66" s="86"/>
      <c r="AM66" s="86"/>
      <c r="AN66" s="86"/>
      <c r="AO66" s="86"/>
      <c r="AP66" s="86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46057</v>
      </c>
      <c r="C67" s="83">
        <v>9964</v>
      </c>
      <c r="D67" s="32">
        <f>650*324+229*10</f>
        <v>212890</v>
      </c>
      <c r="E67" s="32">
        <f>-324*6</f>
        <v>-1944</v>
      </c>
      <c r="F67" s="32"/>
      <c r="G67" s="32">
        <f t="shared" ref="G67:G100" si="19">SUM(D67:E67)</f>
        <v>210946</v>
      </c>
      <c r="H67" s="12"/>
      <c r="I67" s="12">
        <f>111*324+78*10</f>
        <v>36744</v>
      </c>
      <c r="J67" s="12"/>
      <c r="K67" s="12">
        <f t="shared" ref="K67:K100" si="20">SUM(G67:J67)</f>
        <v>247690</v>
      </c>
      <c r="M67" s="10">
        <v>1</v>
      </c>
      <c r="N67" s="30">
        <v>46057</v>
      </c>
      <c r="O67" s="31">
        <v>9892</v>
      </c>
      <c r="P67" s="32">
        <f>650*324+1050+229*13+650</f>
        <v>215277</v>
      </c>
      <c r="Q67" s="32">
        <f>-324*6</f>
        <v>-1944</v>
      </c>
      <c r="R67" s="32"/>
      <c r="S67" s="32">
        <f>SUM(P67:Q67)</f>
        <v>213333</v>
      </c>
      <c r="T67" s="12"/>
      <c r="U67" s="12">
        <v>546</v>
      </c>
      <c r="V67" s="12">
        <v>-672</v>
      </c>
      <c r="W67" s="12">
        <f>SUM(S67:V67)</f>
        <v>213207</v>
      </c>
      <c r="Y67" s="10">
        <v>1</v>
      </c>
      <c r="Z67" s="30">
        <v>46057</v>
      </c>
      <c r="AA67" s="31">
        <v>9790</v>
      </c>
      <c r="AB67" s="32">
        <f>650*386+670*25+622*58+650*2+229*16+500*2</f>
        <v>309690</v>
      </c>
      <c r="AC67" s="32">
        <f>-469*6</f>
        <v>-2814</v>
      </c>
      <c r="AD67" s="32"/>
      <c r="AE67" s="32">
        <f>SUM(AB67:AC67)</f>
        <v>306876</v>
      </c>
      <c r="AF67" s="12"/>
      <c r="AG67" s="12"/>
      <c r="AH67" s="12"/>
      <c r="AI67" s="12">
        <f>SUM(AE67:AH67)</f>
        <v>306876</v>
      </c>
      <c r="AK67" s="62"/>
      <c r="AL67" s="65"/>
      <c r="AM67" s="86"/>
      <c r="AN67" s="121"/>
      <c r="AO67" s="121"/>
      <c r="AP67" s="86"/>
      <c r="AQ67" s="62"/>
      <c r="AR67" s="121"/>
      <c r="AS67" s="121"/>
      <c r="AT67" s="122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46057</v>
      </c>
      <c r="C68" s="83">
        <f>C67+1</f>
        <v>9965</v>
      </c>
      <c r="D68" s="32">
        <f>650*27+670*2+622*5+229</f>
        <v>22229</v>
      </c>
      <c r="E68" s="32"/>
      <c r="F68" s="32"/>
      <c r="G68" s="32">
        <f t="shared" si="19"/>
        <v>22229</v>
      </c>
      <c r="H68" s="12"/>
      <c r="I68" s="12"/>
      <c r="J68" s="12"/>
      <c r="K68" s="12">
        <f t="shared" si="20"/>
        <v>22229</v>
      </c>
      <c r="M68" s="10">
        <v>2</v>
      </c>
      <c r="N68" s="30">
        <v>46057</v>
      </c>
      <c r="O68" s="31">
        <f>O67+1</f>
        <v>9893</v>
      </c>
      <c r="P68" s="32">
        <f>650*11+622*5</f>
        <v>10260</v>
      </c>
      <c r="Q68" s="32"/>
      <c r="R68" s="32"/>
      <c r="S68" s="32">
        <f t="shared" ref="S68:S99" si="21">SUM(P68:Q68)</f>
        <v>10260</v>
      </c>
      <c r="T68" s="12"/>
      <c r="U68" s="12">
        <v>31.5</v>
      </c>
      <c r="V68" s="12"/>
      <c r="W68" s="12">
        <f t="shared" ref="W68:W108" si="22">SUM(S68:V68)</f>
        <v>10291.5</v>
      </c>
      <c r="Y68" s="10">
        <v>2</v>
      </c>
      <c r="Z68" s="30">
        <v>46057</v>
      </c>
      <c r="AA68" s="31">
        <f>AA67+1</f>
        <v>9791</v>
      </c>
      <c r="AB68" s="32">
        <f>650*158+670*4+622*11+872*2+229*4</f>
        <v>114882</v>
      </c>
      <c r="AC68" s="32">
        <f>-175*6</f>
        <v>-1050</v>
      </c>
      <c r="AD68" s="32"/>
      <c r="AE68" s="32">
        <f t="shared" ref="AE68:AE70" si="23">SUM(AB68:AC68)</f>
        <v>113832</v>
      </c>
      <c r="AF68" s="12"/>
      <c r="AG68" s="12"/>
      <c r="AH68" s="12"/>
      <c r="AI68" s="12">
        <f t="shared" ref="AI68:AI99" si="24">SUM(AE68:AH68)</f>
        <v>113832</v>
      </c>
      <c r="AK68" s="62"/>
      <c r="AL68" s="86"/>
      <c r="AM68" s="86"/>
      <c r="AN68" s="86"/>
      <c r="AO68" s="85"/>
      <c r="AP68" s="85"/>
      <c r="AQ68" s="62"/>
      <c r="AR68" s="85"/>
      <c r="AS68" s="85"/>
      <c r="AT68" s="122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46057</v>
      </c>
      <c r="C69" s="83">
        <f t="shared" ref="C69:C73" si="25">C68+1</f>
        <v>9966</v>
      </c>
      <c r="D69" s="33">
        <f>650*11+670+622*11</f>
        <v>14662</v>
      </c>
      <c r="E69" s="32"/>
      <c r="F69" s="33"/>
      <c r="G69" s="33">
        <f t="shared" si="19"/>
        <v>14662</v>
      </c>
      <c r="H69" s="34"/>
      <c r="I69" s="34"/>
      <c r="J69" s="34">
        <v>-5439</v>
      </c>
      <c r="K69" s="34">
        <f t="shared" si="20"/>
        <v>9223</v>
      </c>
      <c r="M69" s="10">
        <v>3</v>
      </c>
      <c r="N69" s="30">
        <v>46057</v>
      </c>
      <c r="O69" s="31">
        <f t="shared" ref="O69:O70" si="26">O68+1</f>
        <v>9894</v>
      </c>
      <c r="P69" s="32">
        <f>650*7+9.5*5</f>
        <v>4597.5</v>
      </c>
      <c r="Q69" s="32"/>
      <c r="R69" s="32"/>
      <c r="S69" s="32">
        <f t="shared" si="21"/>
        <v>4597.5</v>
      </c>
      <c r="T69" s="12"/>
      <c r="U69" s="12">
        <v>27</v>
      </c>
      <c r="V69" s="12"/>
      <c r="W69" s="12">
        <f t="shared" si="22"/>
        <v>4624.5</v>
      </c>
      <c r="Y69" s="10">
        <v>3</v>
      </c>
      <c r="Z69" s="30">
        <v>46057</v>
      </c>
      <c r="AA69" s="31">
        <f t="shared" ref="AA69:AA71" si="27">AA68+1</f>
        <v>9792</v>
      </c>
      <c r="AB69" s="33">
        <f>650*50+872*2+229*2</f>
        <v>34702</v>
      </c>
      <c r="AC69" s="33"/>
      <c r="AD69" s="32"/>
      <c r="AE69" s="32">
        <f t="shared" si="23"/>
        <v>34702</v>
      </c>
      <c r="AF69" s="12"/>
      <c r="AG69" s="12">
        <v>156</v>
      </c>
      <c r="AH69" s="12"/>
      <c r="AI69" s="12">
        <f t="shared" si="24"/>
        <v>34858</v>
      </c>
      <c r="AK69" s="62"/>
      <c r="AL69" s="66"/>
      <c r="AM69" s="86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46057</v>
      </c>
      <c r="C70" s="83">
        <f t="shared" si="25"/>
        <v>9967</v>
      </c>
      <c r="D70" s="32">
        <f>670</f>
        <v>670</v>
      </c>
      <c r="E70" s="32"/>
      <c r="F70" s="32"/>
      <c r="G70" s="32">
        <f t="shared" si="19"/>
        <v>670</v>
      </c>
      <c r="H70" s="12"/>
      <c r="I70" s="12"/>
      <c r="J70" s="12"/>
      <c r="K70" s="12">
        <f t="shared" si="20"/>
        <v>670</v>
      </c>
      <c r="M70" s="10">
        <v>4</v>
      </c>
      <c r="N70" s="30">
        <v>46057</v>
      </c>
      <c r="O70" s="31">
        <f t="shared" si="26"/>
        <v>9895</v>
      </c>
      <c r="P70" s="32">
        <f>650*10</f>
        <v>6500</v>
      </c>
      <c r="Q70" s="32"/>
      <c r="R70" s="32"/>
      <c r="S70" s="32">
        <f t="shared" si="21"/>
        <v>6500</v>
      </c>
      <c r="T70" s="12"/>
      <c r="U70" s="12"/>
      <c r="V70" s="12">
        <v>-777</v>
      </c>
      <c r="W70" s="12">
        <f t="shared" si="22"/>
        <v>5723</v>
      </c>
      <c r="Y70" s="10">
        <v>4</v>
      </c>
      <c r="Z70" s="30">
        <v>46057</v>
      </c>
      <c r="AA70" s="31">
        <f t="shared" si="27"/>
        <v>9793</v>
      </c>
      <c r="AB70" s="32">
        <f>650*53+622*7+229*2</f>
        <v>39262</v>
      </c>
      <c r="AC70" s="32"/>
      <c r="AD70" s="32"/>
      <c r="AE70" s="32">
        <f t="shared" si="23"/>
        <v>39262</v>
      </c>
      <c r="AF70" s="12"/>
      <c r="AH70" s="12"/>
      <c r="AI70" s="12">
        <f t="shared" si="24"/>
        <v>39262</v>
      </c>
      <c r="AK70" s="62"/>
      <c r="AL70" s="66"/>
      <c r="AM70" s="86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46057</v>
      </c>
      <c r="C71" s="83">
        <f t="shared" si="25"/>
        <v>9968</v>
      </c>
      <c r="D71" s="32">
        <f>650*3</f>
        <v>1950</v>
      </c>
      <c r="E71" s="32"/>
      <c r="F71" s="32"/>
      <c r="G71" s="32">
        <f t="shared" si="19"/>
        <v>1950</v>
      </c>
      <c r="H71" s="12"/>
      <c r="I71" s="12"/>
      <c r="J71" s="12"/>
      <c r="K71" s="12">
        <f t="shared" si="20"/>
        <v>1950</v>
      </c>
      <c r="M71" s="10">
        <v>5</v>
      </c>
      <c r="N71" s="30"/>
      <c r="O71" s="11" t="s">
        <v>27</v>
      </c>
      <c r="P71" s="32"/>
      <c r="Q71" s="32"/>
      <c r="R71" s="32"/>
      <c r="S71" s="32">
        <f t="shared" si="21"/>
        <v>0</v>
      </c>
      <c r="T71" s="12"/>
      <c r="U71" s="12"/>
      <c r="V71" s="12"/>
      <c r="W71" s="12">
        <f t="shared" si="22"/>
        <v>0</v>
      </c>
      <c r="Y71" s="10">
        <v>5</v>
      </c>
      <c r="Z71" s="30">
        <v>46057</v>
      </c>
      <c r="AA71" s="31">
        <f t="shared" si="27"/>
        <v>9794</v>
      </c>
      <c r="AB71" s="32">
        <f>650*6</f>
        <v>3900</v>
      </c>
      <c r="AC71" s="32"/>
      <c r="AD71" s="32"/>
      <c r="AE71" s="32">
        <f t="shared" ref="AE71:AE76" si="28">SUM(AB71:AC71)</f>
        <v>3900</v>
      </c>
      <c r="AF71" s="12"/>
      <c r="AG71" s="12"/>
      <c r="AH71" s="12">
        <f>-111*10</f>
        <v>-1110</v>
      </c>
      <c r="AI71" s="12">
        <f t="shared" si="24"/>
        <v>2790</v>
      </c>
      <c r="AK71" s="62"/>
      <c r="AL71" s="66"/>
      <c r="AM71" s="86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46057</v>
      </c>
      <c r="C72" s="83">
        <f t="shared" si="25"/>
        <v>9969</v>
      </c>
      <c r="D72" s="32">
        <f>650*36+622*2+229</f>
        <v>24873</v>
      </c>
      <c r="E72" s="32"/>
      <c r="F72" s="32"/>
      <c r="G72" s="32">
        <f t="shared" si="19"/>
        <v>24873</v>
      </c>
      <c r="H72" s="12"/>
      <c r="I72" s="12"/>
      <c r="J72" s="12"/>
      <c r="K72" s="12">
        <f t="shared" si="20"/>
        <v>24873</v>
      </c>
      <c r="M72" s="10">
        <v>6</v>
      </c>
      <c r="N72" s="30"/>
      <c r="O72" s="31"/>
      <c r="P72" s="32"/>
      <c r="Q72" s="32"/>
      <c r="R72" s="32"/>
      <c r="S72" s="32">
        <f t="shared" si="21"/>
        <v>0</v>
      </c>
      <c r="T72" s="12"/>
      <c r="U72" s="12"/>
      <c r="V72" s="10"/>
      <c r="W72" s="12">
        <f t="shared" si="22"/>
        <v>0</v>
      </c>
      <c r="Y72" s="10">
        <v>6</v>
      </c>
      <c r="Z72" s="30"/>
      <c r="AA72" s="11" t="s">
        <v>27</v>
      </c>
      <c r="AB72" s="32"/>
      <c r="AC72" s="32"/>
      <c r="AD72" s="32"/>
      <c r="AE72" s="32">
        <f t="shared" si="28"/>
        <v>0</v>
      </c>
      <c r="AF72" s="12"/>
      <c r="AG72" s="12"/>
      <c r="AH72" s="10"/>
      <c r="AI72" s="12">
        <f t="shared" si="24"/>
        <v>0</v>
      </c>
      <c r="AK72" s="62"/>
      <c r="AL72" s="66"/>
      <c r="AM72" s="86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46057</v>
      </c>
      <c r="C73" s="83">
        <f t="shared" si="25"/>
        <v>9970</v>
      </c>
      <c r="D73" s="32">
        <f>872</f>
        <v>872</v>
      </c>
      <c r="E73" s="32"/>
      <c r="F73" s="32"/>
      <c r="G73" s="32">
        <f t="shared" si="19"/>
        <v>872</v>
      </c>
      <c r="H73" s="12"/>
      <c r="I73" s="12"/>
      <c r="J73" s="12"/>
      <c r="K73" s="12">
        <f t="shared" si="20"/>
        <v>872</v>
      </c>
      <c r="M73" s="10">
        <v>7</v>
      </c>
      <c r="N73" s="30"/>
      <c r="O73" s="31"/>
      <c r="P73" s="32"/>
      <c r="Q73" s="32"/>
      <c r="R73" s="32"/>
      <c r="S73" s="32">
        <f t="shared" si="21"/>
        <v>0</v>
      </c>
      <c r="T73" s="12"/>
      <c r="U73" s="12"/>
      <c r="V73" s="12"/>
      <c r="W73" s="12">
        <f t="shared" si="22"/>
        <v>0</v>
      </c>
      <c r="Y73" s="10">
        <v>7</v>
      </c>
      <c r="Z73" s="30"/>
      <c r="AA73" s="31"/>
      <c r="AB73" s="32"/>
      <c r="AC73" s="32"/>
      <c r="AD73" s="32"/>
      <c r="AE73" s="32">
        <f t="shared" si="28"/>
        <v>0</v>
      </c>
      <c r="AF73" s="12"/>
      <c r="AG73" s="58"/>
      <c r="AH73" s="12"/>
      <c r="AI73" s="12">
        <f t="shared" si="24"/>
        <v>0</v>
      </c>
      <c r="AK73" s="62"/>
      <c r="AL73" s="66"/>
      <c r="AM73" s="86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/>
      <c r="C74" s="11" t="s">
        <v>27</v>
      </c>
      <c r="D74" s="32"/>
      <c r="E74" s="32"/>
      <c r="F74" s="32"/>
      <c r="G74" s="32">
        <f t="shared" si="19"/>
        <v>0</v>
      </c>
      <c r="H74" s="12"/>
      <c r="I74" s="12"/>
      <c r="J74" s="12"/>
      <c r="K74" s="12">
        <f t="shared" si="20"/>
        <v>0</v>
      </c>
      <c r="M74" s="10">
        <v>8</v>
      </c>
      <c r="N74" s="30"/>
      <c r="O74" s="31"/>
      <c r="P74" s="32"/>
      <c r="Q74" s="32"/>
      <c r="R74" s="32"/>
      <c r="S74" s="32">
        <f t="shared" si="21"/>
        <v>0</v>
      </c>
      <c r="T74" s="12"/>
      <c r="U74" s="12"/>
      <c r="V74" s="12"/>
      <c r="W74" s="12">
        <f t="shared" si="22"/>
        <v>0</v>
      </c>
      <c r="Y74" s="10">
        <v>8</v>
      </c>
      <c r="Z74" s="30"/>
      <c r="AA74" s="31"/>
      <c r="AB74" s="32"/>
      <c r="AC74" s="32"/>
      <c r="AE74" s="32">
        <f t="shared" si="28"/>
        <v>0</v>
      </c>
      <c r="AF74" s="12"/>
      <c r="AG74" s="12"/>
      <c r="AH74" s="12"/>
      <c r="AI74" s="12">
        <f t="shared" si="24"/>
        <v>0</v>
      </c>
      <c r="AK74" s="62"/>
      <c r="AL74" s="66"/>
      <c r="AM74" s="86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/>
      <c r="C75" s="83"/>
      <c r="D75" s="32"/>
      <c r="E75" s="32"/>
      <c r="F75" s="32"/>
      <c r="G75" s="32">
        <f t="shared" si="19"/>
        <v>0</v>
      </c>
      <c r="H75" s="12"/>
      <c r="I75" s="12"/>
      <c r="J75" s="12"/>
      <c r="K75" s="12">
        <f t="shared" si="20"/>
        <v>0</v>
      </c>
      <c r="M75" s="10">
        <v>9</v>
      </c>
      <c r="N75" s="30"/>
      <c r="O75" s="11"/>
      <c r="P75" s="32"/>
      <c r="Q75" s="32"/>
      <c r="R75" s="32"/>
      <c r="S75" s="32">
        <f t="shared" si="21"/>
        <v>0</v>
      </c>
      <c r="T75" s="12"/>
      <c r="U75" s="12"/>
      <c r="V75" s="12"/>
      <c r="W75" s="12">
        <f t="shared" si="22"/>
        <v>0</v>
      </c>
      <c r="Y75" s="10">
        <v>9</v>
      </c>
      <c r="Z75" s="30"/>
      <c r="AA75" s="31"/>
      <c r="AC75" s="32"/>
      <c r="AD75" s="32"/>
      <c r="AE75" s="32">
        <f t="shared" si="28"/>
        <v>0</v>
      </c>
      <c r="AF75" s="12"/>
      <c r="AH75" s="12"/>
      <c r="AI75" s="12">
        <f t="shared" si="24"/>
        <v>0</v>
      </c>
      <c r="AK75" s="62"/>
      <c r="AL75" s="66"/>
      <c r="AM75" s="86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/>
      <c r="C76" s="83"/>
      <c r="D76" s="32"/>
      <c r="E76" s="32"/>
      <c r="F76" s="32"/>
      <c r="G76" s="32">
        <f t="shared" si="19"/>
        <v>0</v>
      </c>
      <c r="H76" s="12"/>
      <c r="I76" s="12"/>
      <c r="J76" s="12"/>
      <c r="K76" s="12">
        <f t="shared" si="20"/>
        <v>0</v>
      </c>
      <c r="M76" s="10">
        <v>10</v>
      </c>
      <c r="N76" s="30"/>
      <c r="O76" s="31"/>
      <c r="P76" s="32"/>
      <c r="Q76" s="32"/>
      <c r="R76" s="32"/>
      <c r="S76" s="32">
        <f t="shared" si="21"/>
        <v>0</v>
      </c>
      <c r="T76" s="12"/>
      <c r="U76" s="12"/>
      <c r="V76" s="12"/>
      <c r="W76" s="12">
        <f t="shared" si="22"/>
        <v>0</v>
      </c>
      <c r="Y76" s="10">
        <v>10</v>
      </c>
      <c r="Z76" s="30"/>
      <c r="AA76" s="11"/>
      <c r="AB76" s="32"/>
      <c r="AC76" s="32"/>
      <c r="AD76" s="32"/>
      <c r="AE76" s="32">
        <f t="shared" si="28"/>
        <v>0</v>
      </c>
      <c r="AF76" s="12"/>
      <c r="AG76" s="12"/>
      <c r="AH76" s="12"/>
      <c r="AI76" s="12">
        <f t="shared" si="24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/>
      <c r="C77" s="11"/>
      <c r="D77" s="32"/>
      <c r="E77" s="32"/>
      <c r="F77" s="32"/>
      <c r="G77" s="32">
        <f t="shared" si="19"/>
        <v>0</v>
      </c>
      <c r="H77" s="12"/>
      <c r="I77" s="12"/>
      <c r="J77" s="12"/>
      <c r="K77" s="12">
        <f t="shared" si="20"/>
        <v>0</v>
      </c>
      <c r="M77" s="10">
        <v>11</v>
      </c>
      <c r="N77" s="30"/>
      <c r="O77" s="31"/>
      <c r="P77" s="32"/>
      <c r="Q77" s="32"/>
      <c r="R77" s="32"/>
      <c r="S77" s="32">
        <f t="shared" si="21"/>
        <v>0</v>
      </c>
      <c r="T77" s="12"/>
      <c r="U77" s="12"/>
      <c r="V77" s="12"/>
      <c r="W77" s="12">
        <f t="shared" si="22"/>
        <v>0</v>
      </c>
      <c r="Y77" s="10">
        <v>11</v>
      </c>
      <c r="Z77" s="30"/>
      <c r="AA77" s="31"/>
      <c r="AB77" s="32"/>
      <c r="AC77" s="32"/>
      <c r="AD77" s="32"/>
      <c r="AE77" s="32">
        <f t="shared" ref="AE77:AE99" si="29">SUM(AB77:AC77)</f>
        <v>0</v>
      </c>
      <c r="AF77" s="12"/>
      <c r="AG77" s="12"/>
      <c r="AH77" s="12"/>
      <c r="AI77" s="12">
        <f t="shared" si="24"/>
        <v>0</v>
      </c>
      <c r="AK77" s="62"/>
      <c r="AL77" s="66"/>
      <c r="AM77" s="86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/>
      <c r="C78" s="83"/>
      <c r="D78" s="32"/>
      <c r="E78" s="32"/>
      <c r="F78" s="32"/>
      <c r="G78" s="32">
        <f t="shared" si="19"/>
        <v>0</v>
      </c>
      <c r="H78" s="12"/>
      <c r="I78" s="12"/>
      <c r="J78" s="10"/>
      <c r="K78" s="12">
        <f t="shared" si="20"/>
        <v>0</v>
      </c>
      <c r="M78" s="10">
        <v>12</v>
      </c>
      <c r="N78" s="30"/>
      <c r="O78" s="31"/>
      <c r="P78" s="32"/>
      <c r="Q78" s="32"/>
      <c r="R78" s="32"/>
      <c r="S78" s="32">
        <f t="shared" si="21"/>
        <v>0</v>
      </c>
      <c r="T78" s="12"/>
      <c r="U78" s="12"/>
      <c r="V78" s="12"/>
      <c r="W78" s="12">
        <f t="shared" si="22"/>
        <v>0</v>
      </c>
      <c r="Y78" s="10">
        <v>12</v>
      </c>
      <c r="Z78" s="30"/>
      <c r="AA78" s="31"/>
      <c r="AB78" s="32"/>
      <c r="AC78" s="32"/>
      <c r="AD78" s="32"/>
      <c r="AE78" s="32">
        <f t="shared" si="29"/>
        <v>0</v>
      </c>
      <c r="AF78" s="12"/>
      <c r="AG78" s="12"/>
      <c r="AH78" s="12"/>
      <c r="AI78" s="12">
        <f t="shared" si="24"/>
        <v>0</v>
      </c>
      <c r="AK78" s="62"/>
      <c r="AL78" s="66"/>
      <c r="AM78" s="86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/>
      <c r="C79" s="11"/>
      <c r="D79" s="32"/>
      <c r="E79" s="32"/>
      <c r="F79" s="32"/>
      <c r="G79" s="32">
        <f t="shared" si="19"/>
        <v>0</v>
      </c>
      <c r="H79" s="12"/>
      <c r="I79" s="12"/>
      <c r="J79" s="12"/>
      <c r="K79" s="12">
        <f t="shared" si="20"/>
        <v>0</v>
      </c>
      <c r="M79" s="10">
        <v>13</v>
      </c>
      <c r="N79" s="30"/>
      <c r="O79" s="31"/>
      <c r="P79" s="32"/>
      <c r="Q79" s="32"/>
      <c r="R79" s="32"/>
      <c r="S79" s="32">
        <f t="shared" si="21"/>
        <v>0</v>
      </c>
      <c r="T79" s="12"/>
      <c r="U79" s="12"/>
      <c r="V79" s="12"/>
      <c r="W79" s="12">
        <f t="shared" si="22"/>
        <v>0</v>
      </c>
      <c r="Y79" s="10">
        <v>13</v>
      </c>
      <c r="Z79" s="30"/>
      <c r="AA79" s="31"/>
      <c r="AB79" s="32"/>
      <c r="AC79" s="32"/>
      <c r="AD79" s="32"/>
      <c r="AE79" s="32">
        <f t="shared" si="29"/>
        <v>0</v>
      </c>
      <c r="AF79" s="12"/>
      <c r="AG79" s="12"/>
      <c r="AH79" s="12"/>
      <c r="AI79" s="12">
        <f t="shared" si="24"/>
        <v>0</v>
      </c>
      <c r="AK79" s="62"/>
      <c r="AL79" s="66"/>
      <c r="AM79" s="86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/>
      <c r="C80" s="83"/>
      <c r="D80" s="32"/>
      <c r="E80" s="32"/>
      <c r="F80" s="32"/>
      <c r="G80" s="32">
        <f t="shared" si="19"/>
        <v>0</v>
      </c>
      <c r="H80" s="12"/>
      <c r="I80" s="12"/>
      <c r="J80" s="12"/>
      <c r="K80" s="12">
        <f t="shared" si="20"/>
        <v>0</v>
      </c>
      <c r="M80" s="10">
        <v>14</v>
      </c>
      <c r="N80" s="30"/>
      <c r="O80" s="31"/>
      <c r="P80" s="32"/>
      <c r="Q80" s="32"/>
      <c r="R80" s="32"/>
      <c r="S80" s="32">
        <f t="shared" si="21"/>
        <v>0</v>
      </c>
      <c r="T80" s="12"/>
      <c r="U80" s="12"/>
      <c r="V80" s="12"/>
      <c r="W80" s="12">
        <f t="shared" si="22"/>
        <v>0</v>
      </c>
      <c r="Y80" s="10">
        <v>14</v>
      </c>
      <c r="Z80" s="30"/>
      <c r="AA80" s="11"/>
      <c r="AB80" s="32"/>
      <c r="AC80" s="32"/>
      <c r="AD80" s="32"/>
      <c r="AE80" s="32">
        <f t="shared" si="29"/>
        <v>0</v>
      </c>
      <c r="AF80" s="12"/>
      <c r="AG80" s="12"/>
      <c r="AH80" s="12"/>
      <c r="AI80" s="12">
        <f t="shared" si="24"/>
        <v>0</v>
      </c>
      <c r="AK80" s="62"/>
      <c r="AL80" s="66"/>
      <c r="AM80" s="86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/>
      <c r="C81" s="83"/>
      <c r="D81" s="32"/>
      <c r="E81" s="32"/>
      <c r="F81" s="32"/>
      <c r="G81" s="32">
        <f t="shared" si="19"/>
        <v>0</v>
      </c>
      <c r="H81" s="12"/>
      <c r="I81" s="12"/>
      <c r="J81" s="12"/>
      <c r="K81" s="12">
        <f t="shared" si="20"/>
        <v>0</v>
      </c>
      <c r="M81" s="10">
        <v>15</v>
      </c>
      <c r="N81" s="30"/>
      <c r="O81" s="31"/>
      <c r="P81" s="32"/>
      <c r="Q81" s="32"/>
      <c r="R81" s="32"/>
      <c r="S81" s="32">
        <f t="shared" si="21"/>
        <v>0</v>
      </c>
      <c r="T81" s="12"/>
      <c r="U81" s="12"/>
      <c r="V81" s="12"/>
      <c r="W81" s="12">
        <f t="shared" si="22"/>
        <v>0</v>
      </c>
      <c r="Y81" s="10">
        <v>15</v>
      </c>
      <c r="Z81" s="30"/>
      <c r="AA81" s="31"/>
      <c r="AB81" s="32"/>
      <c r="AC81" s="32"/>
      <c r="AD81" s="32"/>
      <c r="AE81" s="32">
        <f t="shared" si="29"/>
        <v>0</v>
      </c>
      <c r="AF81" s="12"/>
      <c r="AG81" s="12"/>
      <c r="AH81" s="12"/>
      <c r="AI81" s="12">
        <f t="shared" si="24"/>
        <v>0</v>
      </c>
      <c r="AK81" s="62"/>
      <c r="AL81" s="66"/>
      <c r="AM81" s="86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C82" s="83"/>
      <c r="D82" s="32"/>
      <c r="E82" s="32"/>
      <c r="F82" s="32"/>
      <c r="G82" s="32">
        <f t="shared" si="19"/>
        <v>0</v>
      </c>
      <c r="H82" s="12"/>
      <c r="I82" s="12"/>
      <c r="J82" s="12"/>
      <c r="K82" s="12">
        <f t="shared" si="20"/>
        <v>0</v>
      </c>
      <c r="M82" s="10">
        <v>16</v>
      </c>
      <c r="N82" s="30"/>
      <c r="P82" s="32"/>
      <c r="Q82" s="32"/>
      <c r="R82" s="32"/>
      <c r="S82" s="32">
        <f t="shared" si="21"/>
        <v>0</v>
      </c>
      <c r="T82" s="12"/>
      <c r="U82" s="12"/>
      <c r="V82" s="12"/>
      <c r="W82" s="12">
        <f t="shared" si="22"/>
        <v>0</v>
      </c>
      <c r="Y82" s="10">
        <v>16</v>
      </c>
      <c r="Z82" s="30"/>
      <c r="AB82" s="32"/>
      <c r="AC82" s="32"/>
      <c r="AD82" s="32"/>
      <c r="AE82" s="32">
        <f t="shared" si="29"/>
        <v>0</v>
      </c>
      <c r="AF82" s="12"/>
      <c r="AG82" s="12"/>
      <c r="AH82" s="12"/>
      <c r="AI82" s="12">
        <f t="shared" si="24"/>
        <v>0</v>
      </c>
      <c r="AK82" s="62"/>
      <c r="AL82" s="66"/>
      <c r="AM82" s="86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57"/>
      <c r="D83" s="32"/>
      <c r="E83" s="32"/>
      <c r="F83" s="32"/>
      <c r="G83" s="32">
        <f t="shared" si="19"/>
        <v>0</v>
      </c>
      <c r="H83" s="12"/>
      <c r="I83" s="12"/>
      <c r="J83" s="12"/>
      <c r="K83" s="12">
        <f t="shared" si="20"/>
        <v>0</v>
      </c>
      <c r="M83" s="10">
        <v>17</v>
      </c>
      <c r="N83" s="30"/>
      <c r="O83" s="31"/>
      <c r="P83" s="35"/>
      <c r="Q83" s="32"/>
      <c r="R83" s="32"/>
      <c r="S83" s="32">
        <f t="shared" si="21"/>
        <v>0</v>
      </c>
      <c r="T83" s="12"/>
      <c r="U83" s="12"/>
      <c r="V83" s="12"/>
      <c r="W83" s="12">
        <f t="shared" si="22"/>
        <v>0</v>
      </c>
      <c r="Y83" s="10">
        <v>17</v>
      </c>
      <c r="Z83" s="30"/>
      <c r="AA83" s="31"/>
      <c r="AB83" s="35"/>
      <c r="AC83" s="32"/>
      <c r="AD83" s="32"/>
      <c r="AE83" s="32">
        <f t="shared" si="29"/>
        <v>0</v>
      </c>
      <c r="AF83" s="12"/>
      <c r="AG83" s="12"/>
      <c r="AH83" s="12"/>
      <c r="AI83" s="12">
        <f t="shared" si="24"/>
        <v>0</v>
      </c>
      <c r="AK83" s="62"/>
      <c r="AL83" s="66"/>
      <c r="AM83" s="86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57"/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10">
        <v>18</v>
      </c>
      <c r="N84" s="30"/>
      <c r="O84" s="31"/>
      <c r="P84" s="32"/>
      <c r="Q84" s="32"/>
      <c r="R84" s="32"/>
      <c r="S84" s="32">
        <f t="shared" si="21"/>
        <v>0</v>
      </c>
      <c r="T84" s="12"/>
      <c r="U84" s="12"/>
      <c r="V84" s="12"/>
      <c r="W84" s="12">
        <f t="shared" si="22"/>
        <v>0</v>
      </c>
      <c r="Y84" s="10">
        <v>18</v>
      </c>
      <c r="Z84" s="30"/>
      <c r="AA84" s="31"/>
      <c r="AB84" s="32"/>
      <c r="AC84" s="32"/>
      <c r="AD84" s="32"/>
      <c r="AE84" s="32">
        <f t="shared" si="29"/>
        <v>0</v>
      </c>
      <c r="AF84" s="12"/>
      <c r="AG84" s="12"/>
      <c r="AH84" s="12"/>
      <c r="AI84" s="12">
        <f t="shared" si="24"/>
        <v>0</v>
      </c>
      <c r="AK84" s="62"/>
      <c r="AL84" s="66"/>
      <c r="AM84" s="86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83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10">
        <v>19</v>
      </c>
      <c r="N85" s="30"/>
      <c r="O85" s="31"/>
      <c r="P85" s="32"/>
      <c r="Q85" s="32"/>
      <c r="R85" s="32"/>
      <c r="S85" s="32">
        <f t="shared" si="21"/>
        <v>0</v>
      </c>
      <c r="T85" s="12"/>
      <c r="U85" s="12"/>
      <c r="V85" s="12"/>
      <c r="W85" s="12">
        <f t="shared" si="22"/>
        <v>0</v>
      </c>
      <c r="Y85" s="10">
        <v>19</v>
      </c>
      <c r="Z85" s="30"/>
      <c r="AA85" s="31"/>
      <c r="AB85" s="32"/>
      <c r="AC85" s="32"/>
      <c r="AD85" s="32"/>
      <c r="AE85" s="32">
        <f t="shared" si="29"/>
        <v>0</v>
      </c>
      <c r="AF85" s="12"/>
      <c r="AG85" s="12"/>
      <c r="AH85" s="12"/>
      <c r="AI85" s="12">
        <f t="shared" si="24"/>
        <v>0</v>
      </c>
      <c r="AK85" s="62"/>
      <c r="AL85" s="66"/>
      <c r="AM85" s="86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C86" s="83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10">
        <v>20</v>
      </c>
      <c r="N86" s="30"/>
      <c r="O86" s="31"/>
      <c r="P86" s="32"/>
      <c r="Q86" s="32"/>
      <c r="R86" s="32"/>
      <c r="S86" s="32">
        <f t="shared" si="21"/>
        <v>0</v>
      </c>
      <c r="T86" s="12"/>
      <c r="U86" s="12"/>
      <c r="V86" s="12"/>
      <c r="W86" s="12">
        <f t="shared" si="22"/>
        <v>0</v>
      </c>
      <c r="Y86" s="10">
        <v>20</v>
      </c>
      <c r="Z86" s="30"/>
      <c r="AB86" s="32"/>
      <c r="AC86" s="32"/>
      <c r="AD86" s="32"/>
      <c r="AE86" s="32">
        <f t="shared" si="29"/>
        <v>0</v>
      </c>
      <c r="AF86" s="12"/>
      <c r="AG86" s="12"/>
      <c r="AH86" s="12"/>
      <c r="AI86" s="12">
        <f t="shared" si="24"/>
        <v>0</v>
      </c>
      <c r="AK86" s="62"/>
      <c r="AL86" s="66"/>
      <c r="AM86" s="86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83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10">
        <v>21</v>
      </c>
      <c r="N87" s="30"/>
      <c r="O87" s="31"/>
      <c r="P87" s="46"/>
      <c r="Q87" s="31"/>
      <c r="R87" s="31"/>
      <c r="S87" s="32">
        <f t="shared" si="21"/>
        <v>0</v>
      </c>
      <c r="T87" s="10"/>
      <c r="U87" s="10"/>
      <c r="V87" s="10"/>
      <c r="W87" s="12">
        <f t="shared" si="22"/>
        <v>0</v>
      </c>
      <c r="Y87" s="10">
        <v>21</v>
      </c>
      <c r="Z87" s="30"/>
      <c r="AA87" s="31"/>
      <c r="AB87" s="46"/>
      <c r="AC87" s="31"/>
      <c r="AD87" s="31"/>
      <c r="AE87" s="32">
        <f t="shared" si="29"/>
        <v>0</v>
      </c>
      <c r="AF87" s="10"/>
      <c r="AG87" s="10"/>
      <c r="AH87" s="10"/>
      <c r="AI87" s="12">
        <f t="shared" si="24"/>
        <v>0</v>
      </c>
      <c r="AK87" s="62"/>
      <c r="AL87" s="66"/>
      <c r="AM87" s="86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83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10">
        <v>22</v>
      </c>
      <c r="N88" s="30"/>
      <c r="O88" s="31"/>
      <c r="P88" s="45"/>
      <c r="Q88" s="31"/>
      <c r="R88" s="31"/>
      <c r="S88" s="32">
        <f t="shared" si="21"/>
        <v>0</v>
      </c>
      <c r="T88" s="10"/>
      <c r="U88" s="10"/>
      <c r="V88" s="10"/>
      <c r="W88" s="12">
        <f t="shared" si="22"/>
        <v>0</v>
      </c>
      <c r="Y88" s="10">
        <v>22</v>
      </c>
      <c r="Z88" s="30"/>
      <c r="AA88" s="31"/>
      <c r="AB88" s="45"/>
      <c r="AC88" s="31"/>
      <c r="AD88" s="31"/>
      <c r="AE88" s="32">
        <f t="shared" si="29"/>
        <v>0</v>
      </c>
      <c r="AF88" s="10"/>
      <c r="AG88" s="10"/>
      <c r="AH88" s="10"/>
      <c r="AI88" s="12">
        <f t="shared" si="24"/>
        <v>0</v>
      </c>
      <c r="AK88" s="62"/>
      <c r="AL88" s="66"/>
      <c r="AM88" s="86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83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10">
        <v>23</v>
      </c>
      <c r="N89" s="30"/>
      <c r="O89" s="31"/>
      <c r="P89" s="47"/>
      <c r="S89" s="32">
        <f t="shared" si="21"/>
        <v>0</v>
      </c>
      <c r="T89" s="10"/>
      <c r="U89" s="10"/>
      <c r="V89" s="10"/>
      <c r="W89" s="12">
        <f t="shared" si="22"/>
        <v>0</v>
      </c>
      <c r="Y89" s="10">
        <v>23</v>
      </c>
      <c r="Z89" s="30"/>
      <c r="AA89" s="31"/>
      <c r="AB89" s="47"/>
      <c r="AE89" s="32">
        <f t="shared" si="29"/>
        <v>0</v>
      </c>
      <c r="AF89" s="10"/>
      <c r="AG89" s="10"/>
      <c r="AH89" s="10"/>
      <c r="AI89" s="12">
        <f t="shared" si="24"/>
        <v>0</v>
      </c>
      <c r="AK89" s="62"/>
      <c r="AL89" s="66"/>
      <c r="AM89" s="86"/>
      <c r="AN89" s="67"/>
      <c r="AO89" s="86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83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10">
        <v>24</v>
      </c>
      <c r="N90" s="30"/>
      <c r="O90" s="31"/>
      <c r="P90" s="47"/>
      <c r="Q90" s="31"/>
      <c r="R90" s="31"/>
      <c r="S90" s="32">
        <f t="shared" si="21"/>
        <v>0</v>
      </c>
      <c r="T90" s="10"/>
      <c r="U90" s="10"/>
      <c r="V90" s="10"/>
      <c r="W90" s="12">
        <f t="shared" si="22"/>
        <v>0</v>
      </c>
      <c r="Y90" s="10">
        <v>24</v>
      </c>
      <c r="Z90" s="30"/>
      <c r="AA90" s="31"/>
      <c r="AB90" s="47"/>
      <c r="AC90" s="31"/>
      <c r="AD90" s="31"/>
      <c r="AE90" s="32">
        <f t="shared" si="29"/>
        <v>0</v>
      </c>
      <c r="AF90" s="10"/>
      <c r="AG90" s="10"/>
      <c r="AH90" s="10"/>
      <c r="AI90" s="12">
        <f t="shared" si="24"/>
        <v>0</v>
      </c>
      <c r="AK90" s="62"/>
      <c r="AL90" s="66"/>
      <c r="AM90" s="86"/>
      <c r="AN90" s="68"/>
      <c r="AO90" s="86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83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10">
        <v>25</v>
      </c>
      <c r="N91" s="30"/>
      <c r="O91" s="31"/>
      <c r="P91" s="47"/>
      <c r="Q91" s="31"/>
      <c r="R91" s="31"/>
      <c r="S91" s="32">
        <f t="shared" si="21"/>
        <v>0</v>
      </c>
      <c r="T91" s="10"/>
      <c r="U91" s="10"/>
      <c r="V91" s="10"/>
      <c r="W91" s="12">
        <f t="shared" si="22"/>
        <v>0</v>
      </c>
      <c r="Y91" s="10">
        <v>25</v>
      </c>
      <c r="Z91" s="30"/>
      <c r="AA91" s="31"/>
      <c r="AB91" s="47"/>
      <c r="AC91" s="31"/>
      <c r="AD91" s="31"/>
      <c r="AE91" s="32">
        <f t="shared" si="29"/>
        <v>0</v>
      </c>
      <c r="AF91" s="10"/>
      <c r="AG91" s="10"/>
      <c r="AH91" s="10"/>
      <c r="AI91" s="12">
        <f t="shared" si="24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83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10">
        <v>26</v>
      </c>
      <c r="N92" s="30"/>
      <c r="O92" s="31"/>
      <c r="P92" s="47"/>
      <c r="Q92" s="31"/>
      <c r="R92" s="31"/>
      <c r="S92" s="32">
        <f t="shared" si="21"/>
        <v>0</v>
      </c>
      <c r="T92" s="10"/>
      <c r="U92" s="10"/>
      <c r="V92" s="10"/>
      <c r="W92" s="12">
        <f t="shared" si="22"/>
        <v>0</v>
      </c>
      <c r="Y92" s="10">
        <v>26</v>
      </c>
      <c r="Z92" s="30"/>
      <c r="AA92" s="31"/>
      <c r="AB92" s="47"/>
      <c r="AC92" s="31"/>
      <c r="AD92" s="31"/>
      <c r="AE92" s="32">
        <f t="shared" si="29"/>
        <v>0</v>
      </c>
      <c r="AF92" s="10"/>
      <c r="AG92" s="10"/>
      <c r="AH92" s="10"/>
      <c r="AI92" s="12">
        <f t="shared" si="24"/>
        <v>0</v>
      </c>
      <c r="AK92" s="62"/>
      <c r="AL92" s="66"/>
      <c r="AM92" s="86"/>
      <c r="AN92" s="69"/>
      <c r="AO92" s="86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83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10">
        <v>27</v>
      </c>
      <c r="N93" s="30"/>
      <c r="O93" s="31"/>
      <c r="P93" s="47"/>
      <c r="Q93" s="31"/>
      <c r="R93" s="31"/>
      <c r="S93" s="32">
        <f t="shared" si="21"/>
        <v>0</v>
      </c>
      <c r="T93" s="10"/>
      <c r="U93" s="10"/>
      <c r="V93" s="10"/>
      <c r="W93" s="12">
        <f t="shared" si="22"/>
        <v>0</v>
      </c>
      <c r="Y93" s="10">
        <v>27</v>
      </c>
      <c r="Z93" s="30"/>
      <c r="AA93" s="31"/>
      <c r="AB93" s="47"/>
      <c r="AC93" s="31"/>
      <c r="AD93" s="31"/>
      <c r="AE93" s="32">
        <f t="shared" si="29"/>
        <v>0</v>
      </c>
      <c r="AF93" s="10"/>
      <c r="AG93" s="10"/>
      <c r="AH93" s="10"/>
      <c r="AI93" s="12">
        <f t="shared" si="24"/>
        <v>0</v>
      </c>
      <c r="AK93" s="62"/>
      <c r="AL93" s="66"/>
      <c r="AM93" s="86"/>
      <c r="AN93" s="69"/>
      <c r="AO93" s="86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83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10">
        <v>28</v>
      </c>
      <c r="N94" s="30"/>
      <c r="O94" s="31"/>
      <c r="P94" s="47"/>
      <c r="Q94" s="31"/>
      <c r="R94" s="31"/>
      <c r="S94" s="32">
        <f t="shared" si="21"/>
        <v>0</v>
      </c>
      <c r="T94" s="10"/>
      <c r="U94" s="10"/>
      <c r="V94" s="10"/>
      <c r="W94" s="12">
        <f t="shared" si="22"/>
        <v>0</v>
      </c>
      <c r="Y94" s="10">
        <v>28</v>
      </c>
      <c r="Z94" s="30"/>
      <c r="AA94" s="31"/>
      <c r="AB94" s="47"/>
      <c r="AC94" s="31"/>
      <c r="AD94" s="31"/>
      <c r="AE94" s="32">
        <f t="shared" si="29"/>
        <v>0</v>
      </c>
      <c r="AF94" s="10"/>
      <c r="AG94" s="10"/>
      <c r="AH94" s="10"/>
      <c r="AI94" s="12">
        <f t="shared" si="24"/>
        <v>0</v>
      </c>
      <c r="AK94" s="62"/>
      <c r="AL94" s="66"/>
      <c r="AM94" s="62"/>
      <c r="AN94" s="69"/>
      <c r="AO94" s="86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83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10">
        <v>29</v>
      </c>
      <c r="N95" s="30"/>
      <c r="O95" s="31"/>
      <c r="P95" s="47"/>
      <c r="Q95" s="31"/>
      <c r="R95" s="31"/>
      <c r="S95" s="32">
        <f t="shared" si="21"/>
        <v>0</v>
      </c>
      <c r="T95" s="10"/>
      <c r="U95" s="10"/>
      <c r="V95" s="10"/>
      <c r="W95" s="12">
        <f t="shared" si="22"/>
        <v>0</v>
      </c>
      <c r="Y95" s="10">
        <v>29</v>
      </c>
      <c r="Z95" s="30"/>
      <c r="AA95" s="31"/>
      <c r="AB95" s="47"/>
      <c r="AC95" s="31"/>
      <c r="AD95" s="31"/>
      <c r="AE95" s="32">
        <f t="shared" si="29"/>
        <v>0</v>
      </c>
      <c r="AF95" s="10"/>
      <c r="AG95" s="10"/>
      <c r="AH95" s="10"/>
      <c r="AI95" s="12">
        <f t="shared" si="24"/>
        <v>0</v>
      </c>
      <c r="AK95" s="62"/>
      <c r="AL95" s="66"/>
      <c r="AM95" s="86"/>
      <c r="AN95" s="69"/>
      <c r="AO95" s="86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83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10">
        <v>30</v>
      </c>
      <c r="N96" s="30"/>
      <c r="O96" s="31"/>
      <c r="P96" s="47"/>
      <c r="Q96" s="31"/>
      <c r="R96" s="31"/>
      <c r="S96" s="32">
        <f t="shared" si="21"/>
        <v>0</v>
      </c>
      <c r="T96" s="10"/>
      <c r="U96" s="10"/>
      <c r="V96" s="10"/>
      <c r="W96" s="12">
        <f t="shared" si="22"/>
        <v>0</v>
      </c>
      <c r="Y96" s="10">
        <v>30</v>
      </c>
      <c r="Z96" s="30"/>
      <c r="AA96" s="31"/>
      <c r="AB96" s="47"/>
      <c r="AC96" s="31"/>
      <c r="AD96" s="31"/>
      <c r="AE96" s="32">
        <f t="shared" si="29"/>
        <v>0</v>
      </c>
      <c r="AF96" s="10"/>
      <c r="AG96" s="10"/>
      <c r="AH96" s="10"/>
      <c r="AI96" s="12">
        <f t="shared" si="24"/>
        <v>0</v>
      </c>
      <c r="AK96" s="62"/>
      <c r="AL96" s="66"/>
      <c r="AM96" s="86"/>
      <c r="AN96" s="69"/>
      <c r="AO96" s="86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83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10">
        <v>31</v>
      </c>
      <c r="N97" s="30"/>
      <c r="O97" s="31"/>
      <c r="P97" s="47"/>
      <c r="Q97" s="31"/>
      <c r="R97" s="31"/>
      <c r="S97" s="32">
        <f t="shared" si="21"/>
        <v>0</v>
      </c>
      <c r="T97" s="10"/>
      <c r="U97" s="10"/>
      <c r="V97" s="10"/>
      <c r="W97" s="12">
        <f t="shared" si="22"/>
        <v>0</v>
      </c>
      <c r="Y97" s="10">
        <v>31</v>
      </c>
      <c r="Z97" s="30"/>
      <c r="AA97" s="31"/>
      <c r="AB97" s="47"/>
      <c r="AC97" s="31"/>
      <c r="AD97" s="31"/>
      <c r="AE97" s="32">
        <f t="shared" si="29"/>
        <v>0</v>
      </c>
      <c r="AF97" s="10"/>
      <c r="AG97" s="10"/>
      <c r="AH97" s="10"/>
      <c r="AI97" s="12">
        <f t="shared" si="24"/>
        <v>0</v>
      </c>
      <c r="AK97" s="62"/>
      <c r="AL97" s="66"/>
      <c r="AM97" s="86"/>
      <c r="AN97" s="69"/>
      <c r="AO97" s="86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83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10">
        <v>32</v>
      </c>
      <c r="N98" s="30"/>
      <c r="O98" s="31"/>
      <c r="P98" s="47"/>
      <c r="Q98" s="31"/>
      <c r="R98" s="31"/>
      <c r="S98" s="32">
        <f t="shared" si="21"/>
        <v>0</v>
      </c>
      <c r="T98" s="10"/>
      <c r="U98" s="10"/>
      <c r="V98" s="10"/>
      <c r="W98" s="12">
        <f t="shared" si="22"/>
        <v>0</v>
      </c>
      <c r="Y98" s="10">
        <v>32</v>
      </c>
      <c r="Z98" s="30"/>
      <c r="AA98" s="31"/>
      <c r="AB98" s="47"/>
      <c r="AC98" s="31"/>
      <c r="AD98" s="31"/>
      <c r="AE98" s="32">
        <f t="shared" si="29"/>
        <v>0</v>
      </c>
      <c r="AF98" s="10"/>
      <c r="AG98" s="10"/>
      <c r="AH98" s="10"/>
      <c r="AI98" s="12">
        <f t="shared" si="24"/>
        <v>0</v>
      </c>
      <c r="AK98" s="62"/>
      <c r="AL98" s="66"/>
      <c r="AM98" s="86"/>
      <c r="AN98" s="69"/>
      <c r="AO98" s="86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83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10">
        <v>33</v>
      </c>
      <c r="N99" s="30"/>
      <c r="O99" s="31"/>
      <c r="P99" s="47"/>
      <c r="Q99" s="31"/>
      <c r="R99" s="31"/>
      <c r="S99" s="32">
        <f t="shared" si="21"/>
        <v>0</v>
      </c>
      <c r="T99" s="10"/>
      <c r="U99" s="10"/>
      <c r="V99" s="10"/>
      <c r="W99" s="12">
        <f t="shared" si="22"/>
        <v>0</v>
      </c>
      <c r="Y99" s="10">
        <v>33</v>
      </c>
      <c r="Z99" s="30"/>
      <c r="AA99" s="31"/>
      <c r="AB99" s="47"/>
      <c r="AC99" s="31"/>
      <c r="AD99" s="31"/>
      <c r="AE99" s="32">
        <f t="shared" si="29"/>
        <v>0</v>
      </c>
      <c r="AF99" s="10"/>
      <c r="AG99" s="10"/>
      <c r="AH99" s="10"/>
      <c r="AI99" s="12">
        <f t="shared" si="24"/>
        <v>0</v>
      </c>
      <c r="AK99" s="62"/>
      <c r="AL99" s="66"/>
      <c r="AM99" s="86"/>
      <c r="AN99" s="69"/>
      <c r="AO99" s="86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83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10">
        <v>34</v>
      </c>
      <c r="N100" s="30"/>
      <c r="O100" s="31"/>
      <c r="P100" s="47"/>
      <c r="Q100" s="31"/>
      <c r="R100" s="31"/>
      <c r="S100" s="32">
        <f t="shared" ref="S100:S105" si="30">SUM(P100:Q100)</f>
        <v>0</v>
      </c>
      <c r="T100" s="10"/>
      <c r="U100" s="10"/>
      <c r="V100" s="10"/>
      <c r="W100" s="12">
        <f t="shared" si="22"/>
        <v>0</v>
      </c>
      <c r="Y100" s="10">
        <v>34</v>
      </c>
      <c r="Z100" s="30"/>
      <c r="AA100" s="31"/>
      <c r="AB100" s="47"/>
      <c r="AC100" s="31"/>
      <c r="AD100" s="31"/>
      <c r="AE100" s="32">
        <f t="shared" ref="AE100:AE105" si="31">SUM(AB100:AC100)</f>
        <v>0</v>
      </c>
      <c r="AF100" s="10"/>
      <c r="AG100" s="10"/>
      <c r="AH100" s="10"/>
      <c r="AI100" s="12">
        <f t="shared" ref="AI100:AI108" si="32">SUM(AE100:AH100)</f>
        <v>0</v>
      </c>
      <c r="AK100" s="62"/>
      <c r="AL100" s="66"/>
      <c r="AM100" s="86"/>
      <c r="AN100" s="69"/>
      <c r="AO100" s="86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83"/>
      <c r="D101" s="32"/>
      <c r="E101" s="32"/>
      <c r="F101" s="32"/>
      <c r="G101" s="32"/>
      <c r="H101" s="10"/>
      <c r="I101" s="10"/>
      <c r="J101" s="10"/>
      <c r="K101" s="12"/>
      <c r="M101" s="10">
        <v>35</v>
      </c>
      <c r="N101" s="30"/>
      <c r="O101" s="31"/>
      <c r="P101" s="47"/>
      <c r="Q101" s="31"/>
      <c r="R101" s="31"/>
      <c r="S101" s="32">
        <f t="shared" si="30"/>
        <v>0</v>
      </c>
      <c r="T101" s="10"/>
      <c r="U101" s="10"/>
      <c r="V101" s="10"/>
      <c r="W101" s="12">
        <f t="shared" si="22"/>
        <v>0</v>
      </c>
      <c r="Y101" s="10">
        <v>35</v>
      </c>
      <c r="Z101" s="30"/>
      <c r="AA101" s="31"/>
      <c r="AB101" s="47"/>
      <c r="AC101" s="31"/>
      <c r="AD101" s="31"/>
      <c r="AE101" s="32">
        <f t="shared" si="31"/>
        <v>0</v>
      </c>
      <c r="AF101" s="10"/>
      <c r="AG101" s="10"/>
      <c r="AH101" s="10"/>
      <c r="AI101" s="12">
        <f t="shared" si="32"/>
        <v>0</v>
      </c>
      <c r="AK101" s="62"/>
      <c r="AL101" s="66"/>
      <c r="AM101" s="86"/>
      <c r="AN101" s="69"/>
      <c r="AO101" s="86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83"/>
      <c r="D102" s="32"/>
      <c r="E102" s="32"/>
      <c r="F102" s="32"/>
      <c r="G102" s="32"/>
      <c r="H102" s="10"/>
      <c r="I102" s="10"/>
      <c r="J102" s="10"/>
      <c r="K102" s="12"/>
      <c r="M102" s="10">
        <v>36</v>
      </c>
      <c r="N102" s="30"/>
      <c r="O102" s="31"/>
      <c r="P102" s="47"/>
      <c r="Q102" s="31"/>
      <c r="R102" s="31"/>
      <c r="S102" s="32">
        <f t="shared" si="30"/>
        <v>0</v>
      </c>
      <c r="T102" s="10"/>
      <c r="U102" s="10"/>
      <c r="V102" s="10"/>
      <c r="W102" s="12">
        <f t="shared" si="22"/>
        <v>0</v>
      </c>
      <c r="Y102" s="10">
        <v>36</v>
      </c>
      <c r="Z102" s="30"/>
      <c r="AA102" s="31"/>
      <c r="AB102" s="47"/>
      <c r="AC102" s="31"/>
      <c r="AD102" s="31"/>
      <c r="AE102" s="32">
        <f t="shared" si="31"/>
        <v>0</v>
      </c>
      <c r="AF102" s="10"/>
      <c r="AG102" s="10"/>
      <c r="AH102" s="10"/>
      <c r="AI102" s="12">
        <f t="shared" si="32"/>
        <v>0</v>
      </c>
      <c r="AK102" s="62"/>
      <c r="AL102" s="66"/>
      <c r="AM102" s="86"/>
      <c r="AN102" s="69"/>
      <c r="AO102" s="86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10">
        <v>37</v>
      </c>
      <c r="N103" s="30"/>
      <c r="P103" s="47"/>
      <c r="Q103" s="31"/>
      <c r="R103" s="31"/>
      <c r="S103" s="32">
        <f t="shared" si="30"/>
        <v>0</v>
      </c>
      <c r="T103" s="10"/>
      <c r="U103" s="10"/>
      <c r="V103" s="10"/>
      <c r="W103" s="12">
        <f t="shared" si="22"/>
        <v>0</v>
      </c>
      <c r="Y103" s="10">
        <v>37</v>
      </c>
      <c r="Z103" s="30"/>
      <c r="AA103" s="31"/>
      <c r="AB103" s="47"/>
      <c r="AC103" s="31"/>
      <c r="AD103" s="31"/>
      <c r="AE103" s="32">
        <f t="shared" si="31"/>
        <v>0</v>
      </c>
      <c r="AF103" s="10"/>
      <c r="AG103" s="10"/>
      <c r="AH103" s="10"/>
      <c r="AI103" s="12">
        <f t="shared" si="32"/>
        <v>0</v>
      </c>
      <c r="AK103" s="62"/>
      <c r="AL103" s="66"/>
      <c r="AM103" s="86"/>
      <c r="AN103" s="69"/>
      <c r="AO103" s="86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10">
        <v>38</v>
      </c>
      <c r="N104" s="30"/>
      <c r="O104" s="31"/>
      <c r="P104" s="47"/>
      <c r="Q104" s="31"/>
      <c r="R104" s="31"/>
      <c r="S104" s="32">
        <f t="shared" si="30"/>
        <v>0</v>
      </c>
      <c r="T104" s="10"/>
      <c r="U104" s="10"/>
      <c r="V104" s="10"/>
      <c r="W104" s="12">
        <f t="shared" si="22"/>
        <v>0</v>
      </c>
      <c r="Y104" s="10">
        <v>38</v>
      </c>
      <c r="Z104" s="30"/>
      <c r="AA104" s="31"/>
      <c r="AB104" s="47"/>
      <c r="AC104" s="31"/>
      <c r="AD104" s="31"/>
      <c r="AE104" s="32">
        <f t="shared" si="31"/>
        <v>0</v>
      </c>
      <c r="AF104" s="10"/>
      <c r="AG104" s="10"/>
      <c r="AH104" s="10"/>
      <c r="AI104" s="12">
        <f t="shared" si="32"/>
        <v>0</v>
      </c>
      <c r="AK104" s="62"/>
      <c r="AL104" s="66"/>
      <c r="AM104" s="86"/>
      <c r="AN104" s="69"/>
      <c r="AO104" s="86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10">
        <v>39</v>
      </c>
      <c r="N105" s="30"/>
      <c r="O105" s="31"/>
      <c r="P105" s="47"/>
      <c r="Q105" s="31"/>
      <c r="R105" s="31"/>
      <c r="S105" s="32">
        <f t="shared" si="30"/>
        <v>0</v>
      </c>
      <c r="T105" s="10"/>
      <c r="U105" s="10"/>
      <c r="V105" s="10"/>
      <c r="W105" s="12">
        <f t="shared" si="22"/>
        <v>0</v>
      </c>
      <c r="Y105" s="10">
        <v>39</v>
      </c>
      <c r="Z105" s="30"/>
      <c r="AA105" s="31"/>
      <c r="AB105" s="47"/>
      <c r="AC105" s="31"/>
      <c r="AD105" s="31"/>
      <c r="AE105" s="32">
        <f t="shared" si="31"/>
        <v>0</v>
      </c>
      <c r="AF105" s="10"/>
      <c r="AG105" s="10"/>
      <c r="AH105" s="10"/>
      <c r="AI105" s="12">
        <f t="shared" si="32"/>
        <v>0</v>
      </c>
      <c r="AK105" s="62"/>
      <c r="AL105" s="66"/>
      <c r="AM105" s="86"/>
      <c r="AN105" s="69"/>
      <c r="AO105" s="86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10"/>
      <c r="N106" s="30"/>
      <c r="P106" s="47"/>
      <c r="Q106" s="31"/>
      <c r="R106" s="31"/>
      <c r="S106" s="32"/>
      <c r="T106" s="10"/>
      <c r="U106" s="10"/>
      <c r="V106" s="10"/>
      <c r="W106" s="12">
        <f t="shared" si="22"/>
        <v>0</v>
      </c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32"/>
        <v>0</v>
      </c>
      <c r="AK106" s="62"/>
      <c r="AL106" s="66"/>
      <c r="AM106" s="86"/>
      <c r="AN106" s="69"/>
      <c r="AO106" s="86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33">SUM(D107:E107)</f>
        <v>0</v>
      </c>
      <c r="H107" s="10"/>
      <c r="I107" s="10"/>
      <c r="J107" s="10"/>
      <c r="K107" s="12">
        <f t="shared" ref="K107" si="34">SUM(G107:J107)</f>
        <v>0</v>
      </c>
      <c r="M107" s="10"/>
      <c r="N107" s="30"/>
      <c r="O107" s="31"/>
      <c r="P107" s="47"/>
      <c r="Q107" s="31"/>
      <c r="R107" s="31"/>
      <c r="S107" s="32">
        <f t="shared" ref="S107" si="35">SUM(P107:Q107)</f>
        <v>0</v>
      </c>
      <c r="T107" s="10"/>
      <c r="U107" s="10"/>
      <c r="V107" s="10"/>
      <c r="W107" s="12">
        <f t="shared" si="22"/>
        <v>0</v>
      </c>
      <c r="Y107" s="10"/>
      <c r="Z107" s="30"/>
      <c r="AA107" s="31"/>
      <c r="AB107" s="47"/>
      <c r="AC107" s="31"/>
      <c r="AD107" s="31"/>
      <c r="AE107" s="32">
        <f t="shared" ref="AE107" si="36">SUM(AB107:AC107)</f>
        <v>0</v>
      </c>
      <c r="AF107" s="10"/>
      <c r="AG107" s="10"/>
      <c r="AH107" s="10"/>
      <c r="AI107" s="12">
        <f t="shared" si="32"/>
        <v>0</v>
      </c>
      <c r="AK107" s="62"/>
      <c r="AL107" s="66"/>
      <c r="AM107" s="86"/>
      <c r="AN107" s="69"/>
      <c r="AO107" s="86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10"/>
      <c r="N108" s="31"/>
      <c r="O108" s="31"/>
      <c r="P108" s="31"/>
      <c r="Q108" s="31"/>
      <c r="R108" s="31"/>
      <c r="S108" s="31"/>
      <c r="T108" s="10"/>
      <c r="U108" s="10"/>
      <c r="V108" s="10"/>
      <c r="W108" s="12">
        <f t="shared" si="22"/>
        <v>0</v>
      </c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32"/>
        <v>0</v>
      </c>
      <c r="AK108" s="62"/>
      <c r="AL108" s="66"/>
      <c r="AM108" s="62"/>
      <c r="AN108" s="69"/>
      <c r="AO108" s="86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N109" s="57"/>
      <c r="O109" s="57"/>
      <c r="P109" s="36"/>
      <c r="Q109" s="36"/>
      <c r="R109" s="36"/>
      <c r="S109" s="36"/>
      <c r="T109" s="37"/>
      <c r="U109" s="37"/>
      <c r="V109" s="37"/>
      <c r="W109" s="37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6"/>
      <c r="AN109" s="69"/>
      <c r="AO109" s="86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278146</v>
      </c>
      <c r="E110" s="38">
        <f t="shared" ref="E110:F110" si="37">SUM(E67:E107)</f>
        <v>-1944</v>
      </c>
      <c r="F110" s="38">
        <f t="shared" si="37"/>
        <v>0</v>
      </c>
      <c r="G110" s="38">
        <f>SUM(G67:G109)</f>
        <v>276202</v>
      </c>
      <c r="H110" s="4"/>
      <c r="I110" s="39">
        <f>SUM(I67:I109)</f>
        <v>36744</v>
      </c>
      <c r="J110" s="39">
        <f>SUM(J67:J109)</f>
        <v>-5439</v>
      </c>
      <c r="K110" s="40">
        <f>SUM(K67:K109)</f>
        <v>307507</v>
      </c>
      <c r="N110" s="57"/>
      <c r="O110" s="57"/>
      <c r="P110" s="38">
        <f>SUM(P67:P109)</f>
        <v>236634.5</v>
      </c>
      <c r="Q110" s="38">
        <f>SUM(Q67:Q91)</f>
        <v>-1944</v>
      </c>
      <c r="R110" s="38">
        <f>SUM(R67:R91)</f>
        <v>0</v>
      </c>
      <c r="S110" s="38">
        <f>SUM(S67:S109)</f>
        <v>234690.5</v>
      </c>
      <c r="T110" s="4"/>
      <c r="U110" s="41">
        <f>SUM(U67:U109)</f>
        <v>604.5</v>
      </c>
      <c r="V110" s="41">
        <f>SUM(V67:V91)</f>
        <v>-1449</v>
      </c>
      <c r="W110" s="42">
        <f>SUM(W67:W109)</f>
        <v>233846</v>
      </c>
      <c r="Z110" s="57"/>
      <c r="AA110" s="57"/>
      <c r="AB110" s="38">
        <f>SUM(AB67:AB109)</f>
        <v>502436</v>
      </c>
      <c r="AC110" s="38">
        <f>SUM(AC67:AC91)</f>
        <v>-3864</v>
      </c>
      <c r="AD110" s="38">
        <f>SUM(AD67:AD91)</f>
        <v>0</v>
      </c>
      <c r="AE110" s="38">
        <f>SUM(AE67:AE109)</f>
        <v>498572</v>
      </c>
      <c r="AF110" s="4"/>
      <c r="AG110" s="41">
        <f>SUM(AG67:AG109)</f>
        <v>156</v>
      </c>
      <c r="AH110" s="41">
        <f>SUM(AH67:AH91)</f>
        <v>-1110</v>
      </c>
      <c r="AI110" s="42">
        <f>SUM(AI67:AI109)</f>
        <v>497618</v>
      </c>
      <c r="AK110" s="62"/>
      <c r="AL110" s="86"/>
      <c r="AM110" s="86"/>
      <c r="AN110" s="86"/>
      <c r="AO110" s="86"/>
      <c r="AP110" s="86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6"/>
      <c r="AM111" s="86"/>
      <c r="AN111" s="86"/>
      <c r="AO111" s="86"/>
      <c r="AP111" s="86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6"/>
      <c r="AM112" s="86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6"/>
      <c r="AM113" s="86"/>
      <c r="AN113" s="72"/>
      <c r="AO113" s="86"/>
      <c r="AP113" s="86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6"/>
      <c r="AM114" s="86"/>
      <c r="AN114" s="86"/>
      <c r="AO114" s="86"/>
      <c r="AP114" s="86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45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45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45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46</v>
      </c>
      <c r="B118" s="20"/>
      <c r="C118" s="57"/>
      <c r="D118" s="57"/>
      <c r="E118" s="57"/>
      <c r="G118" s="57"/>
      <c r="I118" s="22" t="s">
        <v>16</v>
      </c>
      <c r="J118" s="23" t="s">
        <v>31</v>
      </c>
      <c r="K118" s="24"/>
      <c r="M118" s="21" t="s">
        <v>46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33</v>
      </c>
      <c r="W118" s="24"/>
      <c r="Y118" s="21" t="s">
        <v>46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34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20" t="s">
        <v>17</v>
      </c>
      <c r="E120" s="120"/>
      <c r="F120" s="93"/>
      <c r="G120" s="27"/>
      <c r="I120" s="118" t="s">
        <v>18</v>
      </c>
      <c r="J120" s="119"/>
      <c r="K120" s="116" t="s">
        <v>19</v>
      </c>
      <c r="N120" s="25"/>
      <c r="O120" s="26"/>
      <c r="P120" s="120" t="s">
        <v>17</v>
      </c>
      <c r="Q120" s="120"/>
      <c r="R120" s="93"/>
      <c r="S120" s="27"/>
      <c r="U120" s="118" t="s">
        <v>18</v>
      </c>
      <c r="V120" s="119"/>
      <c r="W120" s="116" t="s">
        <v>19</v>
      </c>
      <c r="Z120" s="25"/>
      <c r="AA120" s="26"/>
      <c r="AB120" s="120" t="s">
        <v>17</v>
      </c>
      <c r="AC120" s="120"/>
      <c r="AD120" s="93"/>
      <c r="AE120" s="27"/>
      <c r="AG120" s="118" t="s">
        <v>18</v>
      </c>
      <c r="AH120" s="119"/>
      <c r="AI120" s="116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7" t="s">
        <v>22</v>
      </c>
      <c r="E121" s="76" t="s">
        <v>23</v>
      </c>
      <c r="F121" s="78" t="s">
        <v>32</v>
      </c>
      <c r="G121" s="78" t="s">
        <v>24</v>
      </c>
      <c r="I121" s="29" t="s">
        <v>25</v>
      </c>
      <c r="J121" s="29" t="s">
        <v>26</v>
      </c>
      <c r="K121" s="117"/>
      <c r="N121" s="28" t="s">
        <v>20</v>
      </c>
      <c r="O121" s="28" t="s">
        <v>21</v>
      </c>
      <c r="P121" s="77" t="s">
        <v>22</v>
      </c>
      <c r="Q121" s="78" t="s">
        <v>23</v>
      </c>
      <c r="R121" s="78" t="s">
        <v>32</v>
      </c>
      <c r="S121" s="78" t="s">
        <v>24</v>
      </c>
      <c r="U121" s="29" t="s">
        <v>25</v>
      </c>
      <c r="V121" s="29" t="s">
        <v>26</v>
      </c>
      <c r="W121" s="117"/>
      <c r="Z121" s="28" t="s">
        <v>20</v>
      </c>
      <c r="AA121" s="28" t="s">
        <v>21</v>
      </c>
      <c r="AB121" s="77" t="s">
        <v>22</v>
      </c>
      <c r="AC121" s="78" t="s">
        <v>23</v>
      </c>
      <c r="AD121" s="78" t="s">
        <v>32</v>
      </c>
      <c r="AE121" s="78" t="s">
        <v>24</v>
      </c>
      <c r="AG121" s="29" t="s">
        <v>25</v>
      </c>
      <c r="AH121" s="29" t="s">
        <v>26</v>
      </c>
      <c r="AI121" s="117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46177</v>
      </c>
      <c r="C122" s="83">
        <v>9971</v>
      </c>
      <c r="D122" s="32">
        <f>650*30</f>
        <v>19500</v>
      </c>
      <c r="E122" s="32"/>
      <c r="F122" s="32"/>
      <c r="G122" s="32">
        <f t="shared" ref="G122:G155" si="38">SUM(D122:E122)</f>
        <v>19500</v>
      </c>
      <c r="H122" s="12"/>
      <c r="I122" s="12"/>
      <c r="J122" s="12">
        <v>-1665</v>
      </c>
      <c r="K122" s="12">
        <f t="shared" ref="K122:K155" si="39">SUM(G122:J122)</f>
        <v>17835</v>
      </c>
      <c r="M122" s="10">
        <v>1</v>
      </c>
      <c r="N122" s="30">
        <v>46177</v>
      </c>
      <c r="O122" s="31">
        <v>9896</v>
      </c>
      <c r="P122" s="32">
        <f>650*50+229*2</f>
        <v>32958</v>
      </c>
      <c r="Q122" s="32"/>
      <c r="R122" s="32"/>
      <c r="S122" s="32">
        <f>SUM(P122:Q122)</f>
        <v>32958</v>
      </c>
      <c r="T122" s="12"/>
      <c r="U122" s="12">
        <v>22.5</v>
      </c>
      <c r="V122" s="12"/>
      <c r="W122" s="12">
        <f>SUM(S122:V122)</f>
        <v>32980.5</v>
      </c>
      <c r="Y122" s="10">
        <v>1</v>
      </c>
      <c r="Z122" s="30">
        <v>46177</v>
      </c>
      <c r="AA122" s="31">
        <v>9795</v>
      </c>
      <c r="AB122" s="32">
        <f>650*216+872*2+229*8</f>
        <v>143976</v>
      </c>
      <c r="AC122" s="32"/>
      <c r="AD122" s="32"/>
      <c r="AE122" s="32">
        <f>SUM(AB122:AC122)</f>
        <v>143976</v>
      </c>
      <c r="AF122" s="12"/>
      <c r="AG122" s="12">
        <v>3</v>
      </c>
      <c r="AH122" s="12">
        <v>-2803.5</v>
      </c>
      <c r="AI122" s="12">
        <f>SUM(AE122:AH122)</f>
        <v>141175.5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46177</v>
      </c>
      <c r="C123" s="83">
        <f>C122+1</f>
        <v>9972</v>
      </c>
      <c r="D123" s="32">
        <f>650*35+622*5</f>
        <v>25860</v>
      </c>
      <c r="E123" s="32"/>
      <c r="F123" s="32"/>
      <c r="G123" s="32">
        <f t="shared" si="38"/>
        <v>25860</v>
      </c>
      <c r="H123" s="12"/>
      <c r="I123" s="12"/>
      <c r="J123" s="12"/>
      <c r="K123" s="12">
        <f t="shared" si="39"/>
        <v>25860</v>
      </c>
      <c r="M123" s="10">
        <v>2</v>
      </c>
      <c r="N123" s="30">
        <v>46177</v>
      </c>
      <c r="O123" s="31">
        <f>O122+1</f>
        <v>9897</v>
      </c>
      <c r="P123" s="32">
        <f>650*150+229*2</f>
        <v>97958</v>
      </c>
      <c r="Q123" s="32">
        <f>-150*6</f>
        <v>-900</v>
      </c>
      <c r="R123" s="32"/>
      <c r="S123" s="32">
        <f t="shared" ref="S123:S154" si="40">SUM(P123:Q123)</f>
        <v>97058</v>
      </c>
      <c r="T123" s="12"/>
      <c r="U123" s="12">
        <f>594+72</f>
        <v>666</v>
      </c>
      <c r="V123" s="12"/>
      <c r="W123" s="12">
        <f t="shared" ref="W123:W163" si="41">SUM(S123:V123)</f>
        <v>97724</v>
      </c>
      <c r="Y123" s="10">
        <v>2</v>
      </c>
      <c r="Z123" s="30">
        <v>46177</v>
      </c>
      <c r="AA123" s="31">
        <f>AA122+1</f>
        <v>9796</v>
      </c>
      <c r="AB123" s="32">
        <f>241*650+670*10+622*60+229*2</f>
        <v>201128</v>
      </c>
      <c r="AC123" s="32">
        <f>-311*6</f>
        <v>-1866</v>
      </c>
      <c r="AD123" s="32"/>
      <c r="AE123" s="32">
        <f t="shared" ref="AE123:AE125" si="42">SUM(AB123:AC123)</f>
        <v>199262</v>
      </c>
      <c r="AF123" s="12"/>
      <c r="AG123" s="12"/>
      <c r="AH123" s="12"/>
      <c r="AI123" s="12">
        <f t="shared" ref="AI123:AI154" si="43">SUM(AE123:AH123)</f>
        <v>199262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46177</v>
      </c>
      <c r="C124" s="83">
        <f t="shared" ref="C124:C129" si="44">C123+1</f>
        <v>9973</v>
      </c>
      <c r="D124" s="33">
        <f>650*5+9.5*5</f>
        <v>3297.5</v>
      </c>
      <c r="E124" s="32"/>
      <c r="F124" s="33"/>
      <c r="G124" s="33">
        <f t="shared" si="38"/>
        <v>3297.5</v>
      </c>
      <c r="H124" s="34"/>
      <c r="I124" s="34"/>
      <c r="J124" s="34"/>
      <c r="K124" s="34">
        <f t="shared" si="39"/>
        <v>3297.5</v>
      </c>
      <c r="M124" s="10">
        <v>3</v>
      </c>
      <c r="N124" s="30">
        <v>46177</v>
      </c>
      <c r="O124" s="31">
        <f t="shared" ref="O124:O126" si="45">O123+1</f>
        <v>9898</v>
      </c>
      <c r="P124" s="32">
        <f>650*301+622*50+229*11</f>
        <v>229269</v>
      </c>
      <c r="Q124" s="32">
        <f>-351*6</f>
        <v>-2106</v>
      </c>
      <c r="R124" s="32"/>
      <c r="S124" s="32">
        <f t="shared" si="40"/>
        <v>227163</v>
      </c>
      <c r="T124" s="12"/>
      <c r="U124" s="12">
        <v>624</v>
      </c>
      <c r="V124" s="12">
        <v>-420</v>
      </c>
      <c r="W124" s="12">
        <f t="shared" si="41"/>
        <v>227367</v>
      </c>
      <c r="Y124" s="10">
        <v>3</v>
      </c>
      <c r="Z124" s="30">
        <v>46177</v>
      </c>
      <c r="AA124" s="31">
        <f t="shared" ref="AA124:AA127" si="46">AA123+1</f>
        <v>9797</v>
      </c>
      <c r="AB124" s="33">
        <f>650*68+670*5+622*10+872</f>
        <v>54642</v>
      </c>
      <c r="AC124" s="33"/>
      <c r="AD124" s="32"/>
      <c r="AE124" s="32">
        <f t="shared" si="42"/>
        <v>54642</v>
      </c>
      <c r="AF124" s="12"/>
      <c r="AG124" s="12">
        <f>222+85.5</f>
        <v>307.5</v>
      </c>
      <c r="AH124" s="12"/>
      <c r="AI124" s="12">
        <f t="shared" si="43"/>
        <v>54949.5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>
        <v>46177</v>
      </c>
      <c r="C125" s="83">
        <f t="shared" si="44"/>
        <v>9974</v>
      </c>
      <c r="D125" s="32">
        <f>650*35+670+622*6</f>
        <v>27152</v>
      </c>
      <c r="E125" s="32"/>
      <c r="F125" s="32"/>
      <c r="G125" s="32">
        <f t="shared" si="38"/>
        <v>27152</v>
      </c>
      <c r="H125" s="12"/>
      <c r="I125" s="12">
        <v>324</v>
      </c>
      <c r="J125" s="12"/>
      <c r="K125" s="12">
        <f t="shared" si="39"/>
        <v>27476</v>
      </c>
      <c r="M125" s="10">
        <v>4</v>
      </c>
      <c r="N125" s="30">
        <v>46177</v>
      </c>
      <c r="O125" s="31">
        <f t="shared" si="45"/>
        <v>9899</v>
      </c>
      <c r="P125" s="32">
        <f>650*42+670*7+622*10+229*3</f>
        <v>38897</v>
      </c>
      <c r="Q125" s="32"/>
      <c r="R125" s="32"/>
      <c r="S125" s="32">
        <f t="shared" si="40"/>
        <v>38897</v>
      </c>
      <c r="T125" s="12"/>
      <c r="U125" s="12"/>
      <c r="V125" s="12">
        <v>-2220</v>
      </c>
      <c r="W125" s="12">
        <f t="shared" si="41"/>
        <v>36677</v>
      </c>
      <c r="Y125" s="10">
        <v>4</v>
      </c>
      <c r="Z125" s="30">
        <v>46177</v>
      </c>
      <c r="AA125" s="31">
        <f t="shared" si="46"/>
        <v>9798</v>
      </c>
      <c r="AB125" s="32">
        <f>670*2+622*7</f>
        <v>5694</v>
      </c>
      <c r="AC125" s="32"/>
      <c r="AD125" s="32"/>
      <c r="AE125" s="32">
        <f t="shared" si="42"/>
        <v>5694</v>
      </c>
      <c r="AF125" s="12"/>
      <c r="AH125" s="12">
        <v>-888</v>
      </c>
      <c r="AI125" s="12">
        <f t="shared" si="43"/>
        <v>4806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>
        <v>46177</v>
      </c>
      <c r="C126" s="83">
        <f t="shared" si="44"/>
        <v>9975</v>
      </c>
      <c r="D126" s="32">
        <f>650*324+622*108+912*10+872*3</f>
        <v>289512</v>
      </c>
      <c r="E126" s="32">
        <f>-445*6</f>
        <v>-2670</v>
      </c>
      <c r="F126" s="32"/>
      <c r="G126" s="32">
        <f t="shared" si="38"/>
        <v>286842</v>
      </c>
      <c r="H126" s="12"/>
      <c r="I126" s="12">
        <f>720+4329</f>
        <v>5049</v>
      </c>
      <c r="J126" s="12"/>
      <c r="K126" s="12">
        <f t="shared" si="39"/>
        <v>291891</v>
      </c>
      <c r="M126" s="10">
        <v>5</v>
      </c>
      <c r="N126" s="30">
        <v>46177</v>
      </c>
      <c r="O126" s="31">
        <f t="shared" si="45"/>
        <v>9900</v>
      </c>
      <c r="P126" s="32">
        <f>650*7</f>
        <v>4550</v>
      </c>
      <c r="Q126" s="32"/>
      <c r="R126" s="32"/>
      <c r="S126" s="32">
        <f t="shared" si="40"/>
        <v>4550</v>
      </c>
      <c r="T126" s="12"/>
      <c r="U126" s="12"/>
      <c r="V126" s="12">
        <v>-444</v>
      </c>
      <c r="W126" s="12">
        <f t="shared" si="41"/>
        <v>4106</v>
      </c>
      <c r="Y126" s="10">
        <v>5</v>
      </c>
      <c r="Z126" s="30">
        <v>46177</v>
      </c>
      <c r="AA126" s="31">
        <f t="shared" si="46"/>
        <v>9799</v>
      </c>
      <c r="AB126" s="32">
        <f>670*2+622*31+912+872</f>
        <v>22406</v>
      </c>
      <c r="AC126" s="32"/>
      <c r="AD126" s="32"/>
      <c r="AE126" s="32">
        <f t="shared" ref="AE126:AE131" si="47">SUM(AB126:AC126)</f>
        <v>22406</v>
      </c>
      <c r="AF126" s="12"/>
      <c r="AG126" s="12">
        <v>28.5</v>
      </c>
      <c r="AH126" s="12"/>
      <c r="AI126" s="12">
        <f t="shared" si="43"/>
        <v>22434.5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>
        <v>46177</v>
      </c>
      <c r="C127" s="83">
        <f t="shared" si="44"/>
        <v>9976</v>
      </c>
      <c r="D127" s="32">
        <f>650*539+108*622+229*17</f>
        <v>421419</v>
      </c>
      <c r="E127" s="32">
        <f>-647*6</f>
        <v>-3882</v>
      </c>
      <c r="F127" s="32"/>
      <c r="G127" s="32">
        <f t="shared" si="38"/>
        <v>417537</v>
      </c>
      <c r="H127" s="12"/>
      <c r="I127" s="12">
        <f>2331+1014</f>
        <v>3345</v>
      </c>
      <c r="J127" s="12">
        <v>-600</v>
      </c>
      <c r="K127" s="12">
        <f t="shared" si="39"/>
        <v>420282</v>
      </c>
      <c r="M127" s="10">
        <v>6</v>
      </c>
      <c r="N127" s="30">
        <v>46177</v>
      </c>
      <c r="O127" s="31">
        <v>10051</v>
      </c>
      <c r="P127" s="32">
        <f>650*20</f>
        <v>13000</v>
      </c>
      <c r="Q127" s="32"/>
      <c r="R127" s="32"/>
      <c r="S127" s="32">
        <f t="shared" si="40"/>
        <v>13000</v>
      </c>
      <c r="T127" s="12"/>
      <c r="U127" s="12">
        <v>2220</v>
      </c>
      <c r="V127" s="10"/>
      <c r="W127" s="12">
        <f t="shared" si="41"/>
        <v>15220</v>
      </c>
      <c r="Y127" s="10">
        <v>6</v>
      </c>
      <c r="Z127" s="30">
        <v>46177</v>
      </c>
      <c r="AA127" s="31">
        <f t="shared" si="46"/>
        <v>9800</v>
      </c>
      <c r="AB127" s="32">
        <f>650*15</f>
        <v>9750</v>
      </c>
      <c r="AC127" s="32"/>
      <c r="AD127" s="32"/>
      <c r="AE127" s="32">
        <f t="shared" si="47"/>
        <v>9750</v>
      </c>
      <c r="AF127" s="12"/>
      <c r="AG127" s="12"/>
      <c r="AH127" s="10"/>
      <c r="AI127" s="12">
        <f t="shared" si="43"/>
        <v>9750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>
        <v>46177</v>
      </c>
      <c r="C128" s="83">
        <f t="shared" si="44"/>
        <v>9977</v>
      </c>
      <c r="D128" s="32">
        <f>650*2</f>
        <v>1300</v>
      </c>
      <c r="E128" s="32"/>
      <c r="F128" s="32"/>
      <c r="G128" s="32">
        <f t="shared" si="38"/>
        <v>1300</v>
      </c>
      <c r="H128" s="12"/>
      <c r="I128" s="12"/>
      <c r="J128" s="12"/>
      <c r="K128" s="12">
        <f t="shared" si="39"/>
        <v>1300</v>
      </c>
      <c r="M128" s="10">
        <v>7</v>
      </c>
      <c r="N128" s="30"/>
      <c r="O128" s="11" t="s">
        <v>27</v>
      </c>
      <c r="P128" s="32"/>
      <c r="Q128" s="32"/>
      <c r="R128" s="32"/>
      <c r="S128" s="32">
        <f t="shared" si="40"/>
        <v>0</v>
      </c>
      <c r="T128" s="12"/>
      <c r="U128" s="12"/>
      <c r="V128" s="12"/>
      <c r="W128" s="12">
        <f t="shared" si="41"/>
        <v>0</v>
      </c>
      <c r="Y128" s="10">
        <v>7</v>
      </c>
      <c r="Z128" s="30"/>
      <c r="AA128" s="11" t="s">
        <v>27</v>
      </c>
      <c r="AB128" s="32"/>
      <c r="AC128" s="32"/>
      <c r="AD128" s="32"/>
      <c r="AE128" s="32">
        <f t="shared" si="47"/>
        <v>0</v>
      </c>
      <c r="AF128" s="12"/>
      <c r="AG128" s="58"/>
      <c r="AH128" s="12"/>
      <c r="AI128" s="12">
        <f t="shared" si="43"/>
        <v>0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>
        <v>46177</v>
      </c>
      <c r="C129" s="83">
        <f t="shared" si="44"/>
        <v>9978</v>
      </c>
      <c r="D129" s="32">
        <f>650*20+622*3</f>
        <v>14866</v>
      </c>
      <c r="E129" s="32"/>
      <c r="F129" s="32"/>
      <c r="G129" s="32">
        <f t="shared" si="38"/>
        <v>14866</v>
      </c>
      <c r="H129" s="12"/>
      <c r="I129" s="12"/>
      <c r="J129" s="12">
        <f>-58*111</f>
        <v>-6438</v>
      </c>
      <c r="K129" s="12">
        <f t="shared" si="39"/>
        <v>8428</v>
      </c>
      <c r="M129" s="10">
        <v>8</v>
      </c>
      <c r="N129" s="30"/>
      <c r="O129" s="31"/>
      <c r="P129" s="32"/>
      <c r="Q129" s="32"/>
      <c r="R129" s="32"/>
      <c r="S129" s="32">
        <f t="shared" si="40"/>
        <v>0</v>
      </c>
      <c r="T129" s="12"/>
      <c r="U129" s="12"/>
      <c r="V129" s="12"/>
      <c r="W129" s="12">
        <f t="shared" si="41"/>
        <v>0</v>
      </c>
      <c r="Y129" s="10">
        <v>8</v>
      </c>
      <c r="Z129" s="30"/>
      <c r="AA129" s="11"/>
      <c r="AB129" s="32"/>
      <c r="AC129" s="32"/>
      <c r="AE129" s="32">
        <f t="shared" si="47"/>
        <v>0</v>
      </c>
      <c r="AF129" s="12"/>
      <c r="AG129" s="12"/>
      <c r="AH129" s="12"/>
      <c r="AI129" s="12">
        <f t="shared" si="43"/>
        <v>0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/>
      <c r="C130" s="11" t="s">
        <v>27</v>
      </c>
      <c r="D130" s="32"/>
      <c r="E130" s="32"/>
      <c r="F130" s="32"/>
      <c r="G130" s="32">
        <f t="shared" si="38"/>
        <v>0</v>
      </c>
      <c r="H130" s="12"/>
      <c r="I130" s="12"/>
      <c r="J130" s="12"/>
      <c r="K130" s="12">
        <f t="shared" si="39"/>
        <v>0</v>
      </c>
      <c r="M130" s="10">
        <v>9</v>
      </c>
      <c r="N130" s="30"/>
      <c r="O130" s="11"/>
      <c r="P130" s="32"/>
      <c r="Q130" s="32"/>
      <c r="R130" s="32"/>
      <c r="S130" s="32">
        <f t="shared" si="40"/>
        <v>0</v>
      </c>
      <c r="T130" s="12"/>
      <c r="U130" s="12"/>
      <c r="V130" s="12"/>
      <c r="W130" s="12">
        <f t="shared" si="41"/>
        <v>0</v>
      </c>
      <c r="Y130" s="10">
        <v>9</v>
      </c>
      <c r="Z130" s="30"/>
      <c r="AA130" s="31"/>
      <c r="AC130" s="32"/>
      <c r="AD130" s="32"/>
      <c r="AE130" s="32">
        <f t="shared" si="47"/>
        <v>0</v>
      </c>
      <c r="AF130" s="12"/>
      <c r="AH130" s="12"/>
      <c r="AI130" s="12">
        <f t="shared" si="43"/>
        <v>0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/>
      <c r="C131" s="83"/>
      <c r="D131" s="32"/>
      <c r="E131" s="32"/>
      <c r="F131" s="32"/>
      <c r="G131" s="32">
        <f t="shared" si="38"/>
        <v>0</v>
      </c>
      <c r="H131" s="12"/>
      <c r="I131" s="12"/>
      <c r="J131" s="12"/>
      <c r="K131" s="12">
        <f t="shared" si="39"/>
        <v>0</v>
      </c>
      <c r="M131" s="10">
        <v>10</v>
      </c>
      <c r="N131" s="30"/>
      <c r="O131" s="31"/>
      <c r="P131" s="32"/>
      <c r="Q131" s="32"/>
      <c r="R131" s="32"/>
      <c r="S131" s="32">
        <f t="shared" si="40"/>
        <v>0</v>
      </c>
      <c r="T131" s="12"/>
      <c r="U131" s="12"/>
      <c r="V131" s="12"/>
      <c r="W131" s="12">
        <f t="shared" si="41"/>
        <v>0</v>
      </c>
      <c r="Y131" s="10">
        <v>10</v>
      </c>
      <c r="Z131" s="30"/>
      <c r="AA131" s="11"/>
      <c r="AB131" s="32"/>
      <c r="AC131" s="32"/>
      <c r="AD131" s="32"/>
      <c r="AE131" s="32">
        <f t="shared" si="47"/>
        <v>0</v>
      </c>
      <c r="AF131" s="12"/>
      <c r="AG131" s="12"/>
      <c r="AH131" s="12"/>
      <c r="AI131" s="12">
        <f t="shared" si="43"/>
        <v>0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/>
      <c r="C132" s="11"/>
      <c r="D132" s="32"/>
      <c r="E132" s="32"/>
      <c r="F132" s="32"/>
      <c r="G132" s="32">
        <f t="shared" si="38"/>
        <v>0</v>
      </c>
      <c r="H132" s="12"/>
      <c r="I132" s="12"/>
      <c r="J132" s="12"/>
      <c r="K132" s="12">
        <f t="shared" si="39"/>
        <v>0</v>
      </c>
      <c r="M132" s="10">
        <v>11</v>
      </c>
      <c r="N132" s="30"/>
      <c r="O132" s="31"/>
      <c r="P132" s="32"/>
      <c r="Q132" s="32"/>
      <c r="R132" s="32"/>
      <c r="S132" s="32">
        <f t="shared" si="40"/>
        <v>0</v>
      </c>
      <c r="T132" s="12"/>
      <c r="U132" s="12"/>
      <c r="V132" s="12"/>
      <c r="W132" s="12">
        <f t="shared" si="41"/>
        <v>0</v>
      </c>
      <c r="Y132" s="10">
        <v>11</v>
      </c>
      <c r="Z132" s="30"/>
      <c r="AA132" s="31"/>
      <c r="AB132" s="32"/>
      <c r="AC132" s="32"/>
      <c r="AD132" s="32"/>
      <c r="AE132" s="32">
        <f t="shared" ref="AE132:AE154" si="48">SUM(AB132:AC132)</f>
        <v>0</v>
      </c>
      <c r="AF132" s="12"/>
      <c r="AG132" s="12"/>
      <c r="AH132" s="12"/>
      <c r="AI132" s="12">
        <f t="shared" si="43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C133" s="83"/>
      <c r="D133" s="32"/>
      <c r="E133" s="32"/>
      <c r="F133" s="32"/>
      <c r="G133" s="32">
        <f t="shared" si="38"/>
        <v>0</v>
      </c>
      <c r="H133" s="12"/>
      <c r="I133" s="12"/>
      <c r="J133" s="10"/>
      <c r="K133" s="12">
        <f t="shared" si="39"/>
        <v>0</v>
      </c>
      <c r="M133" s="10">
        <v>12</v>
      </c>
      <c r="N133" s="30"/>
      <c r="O133" s="31"/>
      <c r="P133" s="32"/>
      <c r="Q133" s="32"/>
      <c r="R133" s="32"/>
      <c r="S133" s="32">
        <f t="shared" si="40"/>
        <v>0</v>
      </c>
      <c r="T133" s="12"/>
      <c r="U133" s="12"/>
      <c r="V133" s="12"/>
      <c r="W133" s="12">
        <f t="shared" si="41"/>
        <v>0</v>
      </c>
      <c r="Y133" s="10">
        <v>12</v>
      </c>
      <c r="Z133" s="30"/>
      <c r="AA133" s="31"/>
      <c r="AB133" s="32"/>
      <c r="AC133" s="32"/>
      <c r="AD133" s="32"/>
      <c r="AE133" s="32">
        <f t="shared" si="48"/>
        <v>0</v>
      </c>
      <c r="AF133" s="12"/>
      <c r="AG133" s="12"/>
      <c r="AH133" s="12"/>
      <c r="AI133" s="12">
        <f t="shared" si="43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11"/>
      <c r="D134" s="32"/>
      <c r="E134" s="32"/>
      <c r="F134" s="32"/>
      <c r="G134" s="32">
        <f t="shared" si="38"/>
        <v>0</v>
      </c>
      <c r="H134" s="12"/>
      <c r="I134" s="12"/>
      <c r="J134" s="12"/>
      <c r="K134" s="12">
        <f t="shared" si="39"/>
        <v>0</v>
      </c>
      <c r="M134" s="10">
        <v>13</v>
      </c>
      <c r="N134" s="30"/>
      <c r="O134" s="31"/>
      <c r="P134" s="32"/>
      <c r="Q134" s="32"/>
      <c r="R134" s="32"/>
      <c r="S134" s="32">
        <f t="shared" si="40"/>
        <v>0</v>
      </c>
      <c r="T134" s="12"/>
      <c r="U134" s="12"/>
      <c r="V134" s="12"/>
      <c r="W134" s="12">
        <f t="shared" si="41"/>
        <v>0</v>
      </c>
      <c r="Y134" s="10">
        <v>13</v>
      </c>
      <c r="Z134" s="30"/>
      <c r="AA134" s="31"/>
      <c r="AB134" s="32"/>
      <c r="AC134" s="32"/>
      <c r="AD134" s="32"/>
      <c r="AE134" s="32">
        <f t="shared" si="48"/>
        <v>0</v>
      </c>
      <c r="AF134" s="12"/>
      <c r="AG134" s="12"/>
      <c r="AH134" s="12"/>
      <c r="AI134" s="12">
        <f t="shared" si="43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C135" s="83"/>
      <c r="D135" s="32"/>
      <c r="E135" s="32"/>
      <c r="F135" s="32"/>
      <c r="G135" s="32">
        <f t="shared" si="38"/>
        <v>0</v>
      </c>
      <c r="H135" s="12"/>
      <c r="I135" s="12"/>
      <c r="J135" s="12"/>
      <c r="K135" s="12">
        <f t="shared" si="39"/>
        <v>0</v>
      </c>
      <c r="M135" s="10">
        <v>14</v>
      </c>
      <c r="N135" s="30"/>
      <c r="O135" s="31"/>
      <c r="P135" s="32"/>
      <c r="Q135" s="32"/>
      <c r="R135" s="32"/>
      <c r="S135" s="32">
        <f t="shared" si="40"/>
        <v>0</v>
      </c>
      <c r="T135" s="12"/>
      <c r="U135" s="12"/>
      <c r="V135" s="12"/>
      <c r="W135" s="12">
        <f t="shared" si="41"/>
        <v>0</v>
      </c>
      <c r="Y135" s="10">
        <v>14</v>
      </c>
      <c r="Z135" s="30"/>
      <c r="AA135" s="11"/>
      <c r="AB135" s="32"/>
      <c r="AC135" s="32"/>
      <c r="AD135" s="32"/>
      <c r="AE135" s="32">
        <f t="shared" si="48"/>
        <v>0</v>
      </c>
      <c r="AF135" s="12"/>
      <c r="AG135" s="12"/>
      <c r="AH135" s="12"/>
      <c r="AI135" s="12">
        <f t="shared" si="43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83"/>
      <c r="D136" s="32"/>
      <c r="E136" s="32"/>
      <c r="F136" s="32"/>
      <c r="G136" s="32">
        <f t="shared" si="38"/>
        <v>0</v>
      </c>
      <c r="H136" s="12"/>
      <c r="I136" s="12"/>
      <c r="J136" s="12"/>
      <c r="K136" s="12">
        <f t="shared" si="39"/>
        <v>0</v>
      </c>
      <c r="M136" s="10">
        <v>15</v>
      </c>
      <c r="N136" s="30"/>
      <c r="O136" s="31"/>
      <c r="P136" s="32"/>
      <c r="Q136" s="32"/>
      <c r="R136" s="32"/>
      <c r="S136" s="32">
        <f t="shared" si="40"/>
        <v>0</v>
      </c>
      <c r="T136" s="12"/>
      <c r="U136" s="12"/>
      <c r="V136" s="12"/>
      <c r="W136" s="12">
        <f t="shared" si="41"/>
        <v>0</v>
      </c>
      <c r="Y136" s="10">
        <v>15</v>
      </c>
      <c r="Z136" s="30"/>
      <c r="AA136" s="31"/>
      <c r="AB136" s="32"/>
      <c r="AC136" s="32"/>
      <c r="AD136" s="32"/>
      <c r="AE136" s="32">
        <f t="shared" si="48"/>
        <v>0</v>
      </c>
      <c r="AF136" s="12"/>
      <c r="AG136" s="12"/>
      <c r="AH136" s="12"/>
      <c r="AI136" s="12">
        <f t="shared" si="43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C137" s="83"/>
      <c r="D137" s="32"/>
      <c r="E137" s="32"/>
      <c r="F137" s="32"/>
      <c r="G137" s="32">
        <f t="shared" si="38"/>
        <v>0</v>
      </c>
      <c r="H137" s="12"/>
      <c r="I137" s="12"/>
      <c r="J137" s="12"/>
      <c r="K137" s="12">
        <f t="shared" si="39"/>
        <v>0</v>
      </c>
      <c r="M137" s="10">
        <v>16</v>
      </c>
      <c r="N137" s="30"/>
      <c r="P137" s="32"/>
      <c r="Q137" s="32"/>
      <c r="R137" s="32"/>
      <c r="S137" s="32">
        <f t="shared" si="40"/>
        <v>0</v>
      </c>
      <c r="T137" s="12"/>
      <c r="U137" s="12"/>
      <c r="V137" s="12"/>
      <c r="W137" s="12">
        <f t="shared" si="41"/>
        <v>0</v>
      </c>
      <c r="Y137" s="10">
        <v>16</v>
      </c>
      <c r="Z137" s="30"/>
      <c r="AB137" s="32"/>
      <c r="AC137" s="32"/>
      <c r="AD137" s="32"/>
      <c r="AE137" s="32">
        <f t="shared" si="48"/>
        <v>0</v>
      </c>
      <c r="AF137" s="12"/>
      <c r="AG137" s="12"/>
      <c r="AH137" s="12"/>
      <c r="AI137" s="12">
        <f t="shared" si="43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57"/>
      <c r="D138" s="32"/>
      <c r="E138" s="32"/>
      <c r="F138" s="32"/>
      <c r="G138" s="32">
        <f t="shared" si="38"/>
        <v>0</v>
      </c>
      <c r="H138" s="12"/>
      <c r="I138" s="12"/>
      <c r="J138" s="12"/>
      <c r="K138" s="12">
        <f t="shared" si="39"/>
        <v>0</v>
      </c>
      <c r="M138" s="10">
        <v>17</v>
      </c>
      <c r="N138" s="30"/>
      <c r="O138" s="31"/>
      <c r="P138" s="35"/>
      <c r="Q138" s="32"/>
      <c r="R138" s="32"/>
      <c r="S138" s="32">
        <f t="shared" si="40"/>
        <v>0</v>
      </c>
      <c r="T138" s="12"/>
      <c r="U138" s="12"/>
      <c r="V138" s="12"/>
      <c r="W138" s="12">
        <f t="shared" si="41"/>
        <v>0</v>
      </c>
      <c r="Y138" s="10">
        <v>17</v>
      </c>
      <c r="Z138" s="30"/>
      <c r="AA138" s="31"/>
      <c r="AB138" s="35"/>
      <c r="AC138" s="32"/>
      <c r="AD138" s="32"/>
      <c r="AE138" s="32">
        <f t="shared" si="48"/>
        <v>0</v>
      </c>
      <c r="AF138" s="12"/>
      <c r="AG138" s="12"/>
      <c r="AH138" s="12"/>
      <c r="AI138" s="12">
        <f t="shared" si="43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57"/>
      <c r="D139" s="32"/>
      <c r="E139" s="32"/>
      <c r="F139" s="32"/>
      <c r="G139" s="32">
        <f t="shared" si="38"/>
        <v>0</v>
      </c>
      <c r="H139" s="12"/>
      <c r="I139" s="12"/>
      <c r="J139" s="12"/>
      <c r="K139" s="12">
        <f t="shared" si="39"/>
        <v>0</v>
      </c>
      <c r="M139" s="10">
        <v>18</v>
      </c>
      <c r="N139" s="30"/>
      <c r="O139" s="31"/>
      <c r="P139" s="32"/>
      <c r="Q139" s="32"/>
      <c r="R139" s="32"/>
      <c r="S139" s="32">
        <f t="shared" si="40"/>
        <v>0</v>
      </c>
      <c r="T139" s="12"/>
      <c r="U139" s="12"/>
      <c r="V139" s="12"/>
      <c r="W139" s="12">
        <f t="shared" si="41"/>
        <v>0</v>
      </c>
      <c r="Y139" s="10">
        <v>18</v>
      </c>
      <c r="Z139" s="30"/>
      <c r="AA139" s="31"/>
      <c r="AB139" s="32"/>
      <c r="AC139" s="32"/>
      <c r="AD139" s="32"/>
      <c r="AE139" s="32">
        <f t="shared" si="48"/>
        <v>0</v>
      </c>
      <c r="AF139" s="12"/>
      <c r="AG139" s="12"/>
      <c r="AH139" s="12"/>
      <c r="AI139" s="12">
        <f t="shared" si="43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83"/>
      <c r="D140" s="32"/>
      <c r="E140" s="32"/>
      <c r="F140" s="32"/>
      <c r="G140" s="32">
        <f t="shared" si="38"/>
        <v>0</v>
      </c>
      <c r="H140" s="12"/>
      <c r="I140" s="12"/>
      <c r="J140" s="12"/>
      <c r="K140" s="12">
        <f t="shared" si="39"/>
        <v>0</v>
      </c>
      <c r="M140" s="10">
        <v>19</v>
      </c>
      <c r="N140" s="30"/>
      <c r="O140" s="31"/>
      <c r="P140" s="32"/>
      <c r="Q140" s="32"/>
      <c r="R140" s="32"/>
      <c r="S140" s="32">
        <f t="shared" si="40"/>
        <v>0</v>
      </c>
      <c r="T140" s="12"/>
      <c r="U140" s="12"/>
      <c r="V140" s="12"/>
      <c r="W140" s="12">
        <f t="shared" si="41"/>
        <v>0</v>
      </c>
      <c r="Y140" s="10">
        <v>19</v>
      </c>
      <c r="Z140" s="30"/>
      <c r="AA140" s="31"/>
      <c r="AB140" s="32"/>
      <c r="AC140" s="32"/>
      <c r="AD140" s="32"/>
      <c r="AE140" s="32">
        <f t="shared" si="48"/>
        <v>0</v>
      </c>
      <c r="AF140" s="12"/>
      <c r="AG140" s="12"/>
      <c r="AH140" s="12"/>
      <c r="AI140" s="12">
        <f t="shared" si="43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83"/>
      <c r="D141" s="32"/>
      <c r="E141" s="32"/>
      <c r="F141" s="32"/>
      <c r="G141" s="32">
        <f t="shared" si="38"/>
        <v>0</v>
      </c>
      <c r="H141" s="12"/>
      <c r="I141" s="12"/>
      <c r="J141" s="12"/>
      <c r="K141" s="12">
        <f t="shared" si="39"/>
        <v>0</v>
      </c>
      <c r="M141" s="10">
        <v>20</v>
      </c>
      <c r="N141" s="30"/>
      <c r="O141" s="31"/>
      <c r="P141" s="32"/>
      <c r="Q141" s="32"/>
      <c r="R141" s="32"/>
      <c r="S141" s="32">
        <f t="shared" si="40"/>
        <v>0</v>
      </c>
      <c r="T141" s="12"/>
      <c r="U141" s="12"/>
      <c r="V141" s="12"/>
      <c r="W141" s="12">
        <f t="shared" si="41"/>
        <v>0</v>
      </c>
      <c r="Y141" s="10">
        <v>20</v>
      </c>
      <c r="Z141" s="30"/>
      <c r="AB141" s="32"/>
      <c r="AC141" s="32"/>
      <c r="AD141" s="32"/>
      <c r="AE141" s="32">
        <f t="shared" si="48"/>
        <v>0</v>
      </c>
      <c r="AF141" s="12"/>
      <c r="AG141" s="12"/>
      <c r="AH141" s="12"/>
      <c r="AI141" s="12">
        <f t="shared" si="43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83"/>
      <c r="D142" s="32"/>
      <c r="E142" s="32"/>
      <c r="F142" s="32"/>
      <c r="G142" s="32">
        <f t="shared" si="38"/>
        <v>0</v>
      </c>
      <c r="H142" s="10"/>
      <c r="I142" s="10"/>
      <c r="J142" s="10"/>
      <c r="K142" s="12">
        <f t="shared" si="39"/>
        <v>0</v>
      </c>
      <c r="M142" s="10">
        <v>21</v>
      </c>
      <c r="N142" s="30"/>
      <c r="O142" s="31"/>
      <c r="P142" s="46"/>
      <c r="Q142" s="31"/>
      <c r="R142" s="31"/>
      <c r="S142" s="32">
        <f t="shared" si="40"/>
        <v>0</v>
      </c>
      <c r="T142" s="10"/>
      <c r="U142" s="10"/>
      <c r="V142" s="10"/>
      <c r="W142" s="12">
        <f t="shared" si="41"/>
        <v>0</v>
      </c>
      <c r="Y142" s="10">
        <v>21</v>
      </c>
      <c r="Z142" s="30"/>
      <c r="AA142" s="31"/>
      <c r="AB142" s="46"/>
      <c r="AC142" s="31"/>
      <c r="AD142" s="31"/>
      <c r="AE142" s="32">
        <f t="shared" si="48"/>
        <v>0</v>
      </c>
      <c r="AF142" s="10"/>
      <c r="AG142" s="10"/>
      <c r="AH142" s="10"/>
      <c r="AI142" s="12">
        <f t="shared" si="43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83"/>
      <c r="D143" s="32"/>
      <c r="E143" s="32"/>
      <c r="F143" s="32"/>
      <c r="G143" s="32">
        <f t="shared" si="38"/>
        <v>0</v>
      </c>
      <c r="H143" s="10"/>
      <c r="I143" s="10"/>
      <c r="J143" s="10"/>
      <c r="K143" s="12">
        <f t="shared" si="39"/>
        <v>0</v>
      </c>
      <c r="M143" s="10">
        <v>22</v>
      </c>
      <c r="N143" s="30"/>
      <c r="O143" s="31"/>
      <c r="P143" s="45"/>
      <c r="Q143" s="31"/>
      <c r="R143" s="31"/>
      <c r="S143" s="32">
        <f t="shared" si="40"/>
        <v>0</v>
      </c>
      <c r="T143" s="10"/>
      <c r="U143" s="10"/>
      <c r="V143" s="10"/>
      <c r="W143" s="12">
        <f t="shared" si="41"/>
        <v>0</v>
      </c>
      <c r="Y143" s="10">
        <v>22</v>
      </c>
      <c r="Z143" s="30"/>
      <c r="AA143" s="31"/>
      <c r="AB143" s="45"/>
      <c r="AC143" s="31"/>
      <c r="AD143" s="31"/>
      <c r="AE143" s="32">
        <f t="shared" si="48"/>
        <v>0</v>
      </c>
      <c r="AF143" s="10"/>
      <c r="AG143" s="10"/>
      <c r="AH143" s="10"/>
      <c r="AI143" s="12">
        <f t="shared" si="43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83"/>
      <c r="D144" s="32"/>
      <c r="E144" s="32"/>
      <c r="F144" s="32"/>
      <c r="G144" s="32">
        <f t="shared" si="38"/>
        <v>0</v>
      </c>
      <c r="H144" s="10"/>
      <c r="I144" s="10"/>
      <c r="J144" s="12"/>
      <c r="K144" s="12">
        <f t="shared" si="39"/>
        <v>0</v>
      </c>
      <c r="M144" s="10">
        <v>23</v>
      </c>
      <c r="N144" s="30"/>
      <c r="O144" s="31"/>
      <c r="P144" s="47"/>
      <c r="S144" s="32">
        <f t="shared" si="40"/>
        <v>0</v>
      </c>
      <c r="T144" s="10"/>
      <c r="U144" s="10"/>
      <c r="V144" s="10"/>
      <c r="W144" s="12">
        <f t="shared" si="41"/>
        <v>0</v>
      </c>
      <c r="Y144" s="10">
        <v>23</v>
      </c>
      <c r="Z144" s="30"/>
      <c r="AA144" s="31"/>
      <c r="AB144" s="47"/>
      <c r="AE144" s="32">
        <f t="shared" si="48"/>
        <v>0</v>
      </c>
      <c r="AF144" s="10"/>
      <c r="AG144" s="10"/>
      <c r="AH144" s="10"/>
      <c r="AI144" s="12">
        <f t="shared" si="43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83"/>
      <c r="D145" s="32"/>
      <c r="E145" s="32"/>
      <c r="F145" s="32"/>
      <c r="G145" s="32">
        <f t="shared" si="38"/>
        <v>0</v>
      </c>
      <c r="H145" s="10"/>
      <c r="I145" s="10"/>
      <c r="J145" s="10"/>
      <c r="K145" s="12">
        <f t="shared" si="39"/>
        <v>0</v>
      </c>
      <c r="M145" s="10">
        <v>24</v>
      </c>
      <c r="N145" s="30"/>
      <c r="O145" s="31"/>
      <c r="P145" s="47"/>
      <c r="Q145" s="31"/>
      <c r="R145" s="31"/>
      <c r="S145" s="32">
        <f t="shared" si="40"/>
        <v>0</v>
      </c>
      <c r="T145" s="10"/>
      <c r="U145" s="10"/>
      <c r="V145" s="10"/>
      <c r="W145" s="12">
        <f t="shared" si="41"/>
        <v>0</v>
      </c>
      <c r="Y145" s="10">
        <v>24</v>
      </c>
      <c r="Z145" s="30"/>
      <c r="AA145" s="31"/>
      <c r="AB145" s="47"/>
      <c r="AC145" s="31"/>
      <c r="AD145" s="31"/>
      <c r="AE145" s="32">
        <f t="shared" si="48"/>
        <v>0</v>
      </c>
      <c r="AF145" s="10"/>
      <c r="AG145" s="10"/>
      <c r="AH145" s="10"/>
      <c r="AI145" s="12">
        <f t="shared" si="43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83"/>
      <c r="D146" s="32"/>
      <c r="E146" s="32"/>
      <c r="F146" s="32"/>
      <c r="G146" s="32">
        <f t="shared" si="38"/>
        <v>0</v>
      </c>
      <c r="H146" s="10"/>
      <c r="I146" s="10"/>
      <c r="J146" s="10"/>
      <c r="K146" s="12">
        <f t="shared" si="39"/>
        <v>0</v>
      </c>
      <c r="M146" s="10">
        <v>25</v>
      </c>
      <c r="N146" s="30"/>
      <c r="O146" s="31"/>
      <c r="P146" s="47"/>
      <c r="Q146" s="31"/>
      <c r="R146" s="31"/>
      <c r="S146" s="32">
        <f t="shared" si="40"/>
        <v>0</v>
      </c>
      <c r="T146" s="10"/>
      <c r="U146" s="10"/>
      <c r="V146" s="10"/>
      <c r="W146" s="12">
        <f t="shared" si="41"/>
        <v>0</v>
      </c>
      <c r="Y146" s="10">
        <v>25</v>
      </c>
      <c r="Z146" s="30"/>
      <c r="AA146" s="31"/>
      <c r="AB146" s="47"/>
      <c r="AC146" s="31"/>
      <c r="AD146" s="31"/>
      <c r="AE146" s="32">
        <f t="shared" si="48"/>
        <v>0</v>
      </c>
      <c r="AF146" s="10"/>
      <c r="AG146" s="10"/>
      <c r="AH146" s="10"/>
      <c r="AI146" s="12">
        <f t="shared" si="43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83"/>
      <c r="D147" s="32"/>
      <c r="E147" s="32"/>
      <c r="F147" s="32"/>
      <c r="G147" s="32">
        <f t="shared" si="38"/>
        <v>0</v>
      </c>
      <c r="H147" s="10"/>
      <c r="I147" s="10"/>
      <c r="J147" s="10"/>
      <c r="K147" s="12">
        <f t="shared" si="39"/>
        <v>0</v>
      </c>
      <c r="M147" s="10">
        <v>26</v>
      </c>
      <c r="N147" s="30"/>
      <c r="O147" s="31"/>
      <c r="P147" s="47"/>
      <c r="Q147" s="31"/>
      <c r="R147" s="31"/>
      <c r="S147" s="32">
        <f t="shared" si="40"/>
        <v>0</v>
      </c>
      <c r="T147" s="10"/>
      <c r="U147" s="10"/>
      <c r="V147" s="10"/>
      <c r="W147" s="12">
        <f t="shared" si="41"/>
        <v>0</v>
      </c>
      <c r="Y147" s="10">
        <v>26</v>
      </c>
      <c r="Z147" s="30"/>
      <c r="AA147" s="31"/>
      <c r="AB147" s="47"/>
      <c r="AC147" s="31"/>
      <c r="AD147" s="31"/>
      <c r="AE147" s="32">
        <f t="shared" si="48"/>
        <v>0</v>
      </c>
      <c r="AF147" s="10"/>
      <c r="AG147" s="10"/>
      <c r="AH147" s="10"/>
      <c r="AI147" s="12">
        <f t="shared" si="43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83"/>
      <c r="D148" s="32"/>
      <c r="E148" s="32"/>
      <c r="F148" s="32"/>
      <c r="G148" s="32">
        <f t="shared" si="38"/>
        <v>0</v>
      </c>
      <c r="H148" s="10"/>
      <c r="I148" s="10"/>
      <c r="J148" s="10"/>
      <c r="K148" s="12">
        <f t="shared" si="39"/>
        <v>0</v>
      </c>
      <c r="M148" s="10">
        <v>27</v>
      </c>
      <c r="N148" s="30"/>
      <c r="O148" s="31"/>
      <c r="P148" s="47"/>
      <c r="Q148" s="31"/>
      <c r="R148" s="31"/>
      <c r="S148" s="32">
        <f t="shared" si="40"/>
        <v>0</v>
      </c>
      <c r="T148" s="10"/>
      <c r="U148" s="10"/>
      <c r="V148" s="10"/>
      <c r="W148" s="12">
        <f t="shared" si="41"/>
        <v>0</v>
      </c>
      <c r="Y148" s="10">
        <v>27</v>
      </c>
      <c r="Z148" s="30"/>
      <c r="AA148" s="31"/>
      <c r="AB148" s="47"/>
      <c r="AC148" s="31"/>
      <c r="AD148" s="31"/>
      <c r="AE148" s="32">
        <f t="shared" si="48"/>
        <v>0</v>
      </c>
      <c r="AF148" s="10"/>
      <c r="AG148" s="10"/>
      <c r="AH148" s="10"/>
      <c r="AI148" s="12">
        <f t="shared" si="43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83"/>
      <c r="D149" s="32"/>
      <c r="E149" s="32"/>
      <c r="F149" s="32"/>
      <c r="G149" s="32">
        <f t="shared" si="38"/>
        <v>0</v>
      </c>
      <c r="H149" s="10"/>
      <c r="I149" s="10"/>
      <c r="J149" s="10"/>
      <c r="K149" s="12">
        <f t="shared" si="39"/>
        <v>0</v>
      </c>
      <c r="M149" s="10">
        <v>28</v>
      </c>
      <c r="N149" s="30"/>
      <c r="O149" s="31"/>
      <c r="P149" s="47"/>
      <c r="Q149" s="31"/>
      <c r="R149" s="31"/>
      <c r="S149" s="32">
        <f t="shared" si="40"/>
        <v>0</v>
      </c>
      <c r="T149" s="10"/>
      <c r="U149" s="10"/>
      <c r="V149" s="10"/>
      <c r="W149" s="12">
        <f t="shared" si="41"/>
        <v>0</v>
      </c>
      <c r="Y149" s="10">
        <v>28</v>
      </c>
      <c r="Z149" s="30"/>
      <c r="AA149" s="31"/>
      <c r="AB149" s="47"/>
      <c r="AC149" s="31"/>
      <c r="AD149" s="31"/>
      <c r="AE149" s="32">
        <f t="shared" si="48"/>
        <v>0</v>
      </c>
      <c r="AF149" s="10"/>
      <c r="AG149" s="10"/>
      <c r="AH149" s="10"/>
      <c r="AI149" s="12">
        <f t="shared" si="43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83"/>
      <c r="D150" s="32"/>
      <c r="E150" s="32"/>
      <c r="F150" s="32"/>
      <c r="G150" s="32">
        <f t="shared" si="38"/>
        <v>0</v>
      </c>
      <c r="H150" s="10"/>
      <c r="I150" s="10"/>
      <c r="J150" s="10"/>
      <c r="K150" s="12">
        <f t="shared" si="39"/>
        <v>0</v>
      </c>
      <c r="M150" s="10">
        <v>29</v>
      </c>
      <c r="N150" s="30"/>
      <c r="O150" s="31"/>
      <c r="P150" s="47"/>
      <c r="Q150" s="31"/>
      <c r="R150" s="31"/>
      <c r="S150" s="32">
        <f t="shared" si="40"/>
        <v>0</v>
      </c>
      <c r="T150" s="10"/>
      <c r="U150" s="10"/>
      <c r="V150" s="10"/>
      <c r="W150" s="12">
        <f t="shared" si="41"/>
        <v>0</v>
      </c>
      <c r="Y150" s="10">
        <v>29</v>
      </c>
      <c r="Z150" s="30"/>
      <c r="AA150" s="31"/>
      <c r="AB150" s="47"/>
      <c r="AC150" s="31"/>
      <c r="AD150" s="31"/>
      <c r="AE150" s="32">
        <f t="shared" si="48"/>
        <v>0</v>
      </c>
      <c r="AF150" s="10"/>
      <c r="AG150" s="10"/>
      <c r="AH150" s="10"/>
      <c r="AI150" s="12">
        <f t="shared" si="43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83"/>
      <c r="D151" s="32"/>
      <c r="E151" s="32"/>
      <c r="F151" s="32"/>
      <c r="G151" s="32">
        <f t="shared" si="38"/>
        <v>0</v>
      </c>
      <c r="H151" s="10"/>
      <c r="I151" s="10"/>
      <c r="J151" s="10"/>
      <c r="K151" s="12">
        <f t="shared" si="39"/>
        <v>0</v>
      </c>
      <c r="M151" s="10">
        <v>30</v>
      </c>
      <c r="N151" s="30"/>
      <c r="O151" s="31"/>
      <c r="P151" s="47"/>
      <c r="Q151" s="31"/>
      <c r="R151" s="31"/>
      <c r="S151" s="32">
        <f t="shared" si="40"/>
        <v>0</v>
      </c>
      <c r="T151" s="10"/>
      <c r="U151" s="10"/>
      <c r="V151" s="10"/>
      <c r="W151" s="12">
        <f t="shared" si="41"/>
        <v>0</v>
      </c>
      <c r="Y151" s="10">
        <v>30</v>
      </c>
      <c r="Z151" s="30"/>
      <c r="AA151" s="31"/>
      <c r="AB151" s="47"/>
      <c r="AC151" s="31"/>
      <c r="AD151" s="31"/>
      <c r="AE151" s="32">
        <f t="shared" si="48"/>
        <v>0</v>
      </c>
      <c r="AF151" s="10"/>
      <c r="AG151" s="10"/>
      <c r="AH151" s="10"/>
      <c r="AI151" s="12">
        <f t="shared" si="43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83"/>
      <c r="D152" s="32"/>
      <c r="E152" s="32"/>
      <c r="F152" s="32"/>
      <c r="G152" s="32">
        <f t="shared" si="38"/>
        <v>0</v>
      </c>
      <c r="H152" s="10"/>
      <c r="I152" s="10"/>
      <c r="J152" s="10"/>
      <c r="K152" s="12">
        <f t="shared" si="39"/>
        <v>0</v>
      </c>
      <c r="M152" s="10">
        <v>31</v>
      </c>
      <c r="N152" s="30"/>
      <c r="O152" s="31"/>
      <c r="P152" s="47"/>
      <c r="Q152" s="31"/>
      <c r="R152" s="31"/>
      <c r="S152" s="32">
        <f t="shared" si="40"/>
        <v>0</v>
      </c>
      <c r="T152" s="10"/>
      <c r="U152" s="10"/>
      <c r="V152" s="10"/>
      <c r="W152" s="12">
        <f t="shared" si="41"/>
        <v>0</v>
      </c>
      <c r="Y152" s="10">
        <v>31</v>
      </c>
      <c r="Z152" s="30"/>
      <c r="AA152" s="31"/>
      <c r="AB152" s="47"/>
      <c r="AC152" s="31"/>
      <c r="AD152" s="31"/>
      <c r="AE152" s="32">
        <f t="shared" si="48"/>
        <v>0</v>
      </c>
      <c r="AF152" s="10"/>
      <c r="AG152" s="10"/>
      <c r="AH152" s="10"/>
      <c r="AI152" s="12">
        <f t="shared" si="43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83"/>
      <c r="D153" s="32"/>
      <c r="E153" s="32"/>
      <c r="F153" s="32"/>
      <c r="G153" s="32">
        <f t="shared" si="38"/>
        <v>0</v>
      </c>
      <c r="H153" s="10"/>
      <c r="I153" s="10"/>
      <c r="J153" s="10"/>
      <c r="K153" s="12">
        <f t="shared" si="39"/>
        <v>0</v>
      </c>
      <c r="M153" s="10">
        <v>32</v>
      </c>
      <c r="N153" s="30"/>
      <c r="O153" s="31"/>
      <c r="P153" s="47"/>
      <c r="Q153" s="31"/>
      <c r="R153" s="31"/>
      <c r="S153" s="32">
        <f t="shared" si="40"/>
        <v>0</v>
      </c>
      <c r="T153" s="10"/>
      <c r="U153" s="10"/>
      <c r="V153" s="10"/>
      <c r="W153" s="12">
        <f t="shared" si="41"/>
        <v>0</v>
      </c>
      <c r="Y153" s="10">
        <v>32</v>
      </c>
      <c r="Z153" s="30"/>
      <c r="AA153" s="31"/>
      <c r="AB153" s="47"/>
      <c r="AC153" s="31"/>
      <c r="AD153" s="31"/>
      <c r="AE153" s="32">
        <f t="shared" si="48"/>
        <v>0</v>
      </c>
      <c r="AF153" s="10"/>
      <c r="AG153" s="10"/>
      <c r="AH153" s="10"/>
      <c r="AI153" s="12">
        <f t="shared" si="43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83"/>
      <c r="D154" s="32"/>
      <c r="E154" s="32"/>
      <c r="F154" s="32"/>
      <c r="G154" s="32">
        <f t="shared" si="38"/>
        <v>0</v>
      </c>
      <c r="H154" s="10"/>
      <c r="I154" s="10"/>
      <c r="J154" s="10"/>
      <c r="K154" s="12">
        <f t="shared" si="39"/>
        <v>0</v>
      </c>
      <c r="M154" s="10">
        <v>33</v>
      </c>
      <c r="N154" s="30"/>
      <c r="O154" s="31"/>
      <c r="P154" s="47"/>
      <c r="Q154" s="31"/>
      <c r="R154" s="31"/>
      <c r="S154" s="32">
        <f t="shared" si="40"/>
        <v>0</v>
      </c>
      <c r="T154" s="10"/>
      <c r="U154" s="10"/>
      <c r="V154" s="10"/>
      <c r="W154" s="12">
        <f t="shared" si="41"/>
        <v>0</v>
      </c>
      <c r="Y154" s="10">
        <v>33</v>
      </c>
      <c r="Z154" s="30"/>
      <c r="AA154" s="31"/>
      <c r="AB154" s="47"/>
      <c r="AC154" s="31"/>
      <c r="AD154" s="31"/>
      <c r="AE154" s="32">
        <f t="shared" si="48"/>
        <v>0</v>
      </c>
      <c r="AF154" s="10"/>
      <c r="AG154" s="10"/>
      <c r="AH154" s="10"/>
      <c r="AI154" s="12">
        <f t="shared" si="43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83"/>
      <c r="D155" s="32"/>
      <c r="E155" s="32"/>
      <c r="F155" s="32"/>
      <c r="G155" s="32">
        <f t="shared" si="38"/>
        <v>0</v>
      </c>
      <c r="H155" s="10"/>
      <c r="I155" s="10"/>
      <c r="J155" s="10"/>
      <c r="K155" s="12">
        <f t="shared" si="39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0" si="49">SUM(P155:Q155)</f>
        <v>0</v>
      </c>
      <c r="T155" s="10"/>
      <c r="U155" s="10"/>
      <c r="V155" s="10"/>
      <c r="W155" s="12">
        <f t="shared" si="41"/>
        <v>0</v>
      </c>
      <c r="Y155" s="10">
        <v>34</v>
      </c>
      <c r="Z155" s="30"/>
      <c r="AA155" s="31"/>
      <c r="AB155" s="47"/>
      <c r="AC155" s="31"/>
      <c r="AD155" s="31"/>
      <c r="AE155" s="32">
        <f t="shared" ref="AE155:AE160" si="50">SUM(AB155:AC155)</f>
        <v>0</v>
      </c>
      <c r="AF155" s="10"/>
      <c r="AG155" s="10"/>
      <c r="AH155" s="10"/>
      <c r="AI155" s="12">
        <f t="shared" ref="AI155:AI163" si="51">SUM(AE155:AH155)</f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83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49"/>
        <v>0</v>
      </c>
      <c r="T156" s="10"/>
      <c r="U156" s="10"/>
      <c r="V156" s="10"/>
      <c r="W156" s="12">
        <f t="shared" si="41"/>
        <v>0</v>
      </c>
      <c r="Y156" s="10">
        <v>35</v>
      </c>
      <c r="Z156" s="30"/>
      <c r="AA156" s="31"/>
      <c r="AB156" s="47"/>
      <c r="AC156" s="31"/>
      <c r="AD156" s="31"/>
      <c r="AE156" s="32">
        <f t="shared" si="50"/>
        <v>0</v>
      </c>
      <c r="AF156" s="10"/>
      <c r="AG156" s="10"/>
      <c r="AH156" s="10"/>
      <c r="AI156" s="12">
        <f t="shared" si="51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83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49"/>
        <v>0</v>
      </c>
      <c r="T157" s="10"/>
      <c r="U157" s="10"/>
      <c r="V157" s="10"/>
      <c r="W157" s="12">
        <f t="shared" si="41"/>
        <v>0</v>
      </c>
      <c r="Y157" s="10">
        <v>36</v>
      </c>
      <c r="Z157" s="30"/>
      <c r="AA157" s="31"/>
      <c r="AB157" s="47"/>
      <c r="AC157" s="31"/>
      <c r="AD157" s="31"/>
      <c r="AE157" s="32">
        <f t="shared" si="50"/>
        <v>0</v>
      </c>
      <c r="AF157" s="10"/>
      <c r="AG157" s="10"/>
      <c r="AH157" s="10"/>
      <c r="AI157" s="12">
        <f t="shared" si="51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49"/>
        <v>0</v>
      </c>
      <c r="T158" s="10"/>
      <c r="U158" s="10"/>
      <c r="V158" s="10"/>
      <c r="W158" s="12">
        <f t="shared" si="41"/>
        <v>0</v>
      </c>
      <c r="Y158" s="10">
        <v>37</v>
      </c>
      <c r="Z158" s="30"/>
      <c r="AA158" s="31"/>
      <c r="AB158" s="47"/>
      <c r="AC158" s="31"/>
      <c r="AD158" s="31"/>
      <c r="AE158" s="32">
        <f t="shared" si="50"/>
        <v>0</v>
      </c>
      <c r="AF158" s="10"/>
      <c r="AG158" s="10"/>
      <c r="AH158" s="10"/>
      <c r="AI158" s="12">
        <f t="shared" si="51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49"/>
        <v>0</v>
      </c>
      <c r="T159" s="10"/>
      <c r="U159" s="10"/>
      <c r="V159" s="10"/>
      <c r="W159" s="12">
        <f t="shared" si="41"/>
        <v>0</v>
      </c>
      <c r="Y159" s="10">
        <v>38</v>
      </c>
      <c r="Z159" s="30"/>
      <c r="AA159" s="31"/>
      <c r="AB159" s="47"/>
      <c r="AC159" s="31"/>
      <c r="AD159" s="31"/>
      <c r="AE159" s="32">
        <f t="shared" si="50"/>
        <v>0</v>
      </c>
      <c r="AF159" s="10"/>
      <c r="AG159" s="10"/>
      <c r="AH159" s="10"/>
      <c r="AI159" s="12">
        <f t="shared" si="51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49"/>
        <v>0</v>
      </c>
      <c r="T160" s="10"/>
      <c r="U160" s="10"/>
      <c r="V160" s="10"/>
      <c r="W160" s="12">
        <f t="shared" si="41"/>
        <v>0</v>
      </c>
      <c r="Y160" s="10">
        <v>39</v>
      </c>
      <c r="Z160" s="30"/>
      <c r="AA160" s="31"/>
      <c r="AB160" s="47"/>
      <c r="AC160" s="31"/>
      <c r="AD160" s="31"/>
      <c r="AE160" s="32">
        <f t="shared" si="50"/>
        <v>0</v>
      </c>
      <c r="AF160" s="10"/>
      <c r="AG160" s="10"/>
      <c r="AH160" s="10"/>
      <c r="AI160" s="12">
        <f t="shared" si="51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41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51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52">SUM(D162:E162)</f>
        <v>0</v>
      </c>
      <c r="H162" s="10"/>
      <c r="I162" s="10"/>
      <c r="J162" s="10"/>
      <c r="K162" s="12">
        <f t="shared" ref="K162" si="53">SUM(G162:J162)</f>
        <v>0</v>
      </c>
      <c r="M162" s="10"/>
      <c r="N162" s="30"/>
      <c r="O162" s="31"/>
      <c r="P162" s="47"/>
      <c r="Q162" s="31"/>
      <c r="R162" s="31"/>
      <c r="S162" s="32">
        <f t="shared" ref="S162" si="54">SUM(P162:Q162)</f>
        <v>0</v>
      </c>
      <c r="T162" s="10"/>
      <c r="U162" s="10"/>
      <c r="V162" s="10"/>
      <c r="W162" s="12">
        <f t="shared" si="41"/>
        <v>0</v>
      </c>
      <c r="Y162" s="10"/>
      <c r="Z162" s="30"/>
      <c r="AA162" s="31"/>
      <c r="AB162" s="47"/>
      <c r="AC162" s="31"/>
      <c r="AD162" s="31"/>
      <c r="AE162" s="32">
        <f t="shared" ref="AE162" si="55">SUM(AB162:AC162)</f>
        <v>0</v>
      </c>
      <c r="AF162" s="10"/>
      <c r="AG162" s="10"/>
      <c r="AH162" s="10"/>
      <c r="AI162" s="12">
        <f t="shared" si="51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41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51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802906.5</v>
      </c>
      <c r="E165" s="38">
        <f t="shared" ref="E165:F165" si="56">SUM(E122:E162)</f>
        <v>-6552</v>
      </c>
      <c r="F165" s="38">
        <f t="shared" si="56"/>
        <v>0</v>
      </c>
      <c r="G165" s="38">
        <f>SUM(G122:G164)</f>
        <v>796354.5</v>
      </c>
      <c r="H165" s="4"/>
      <c r="I165" s="39">
        <f>SUM(I122:I164)</f>
        <v>8718</v>
      </c>
      <c r="J165" s="39">
        <f>SUM(J122:J164)</f>
        <v>-8703</v>
      </c>
      <c r="K165" s="40">
        <f>SUM(K122:K164)</f>
        <v>796369.5</v>
      </c>
      <c r="N165" s="57"/>
      <c r="O165" s="57"/>
      <c r="P165" s="38">
        <f>SUM(P122:P164)</f>
        <v>416632</v>
      </c>
      <c r="Q165" s="38">
        <f>SUM(Q122:Q146)</f>
        <v>-3006</v>
      </c>
      <c r="R165" s="38">
        <f>SUM(R122:R146)</f>
        <v>0</v>
      </c>
      <c r="S165" s="38">
        <f>SUM(S122:S164)</f>
        <v>413626</v>
      </c>
      <c r="T165" s="4"/>
      <c r="U165" s="41">
        <f>SUM(U122:U164)</f>
        <v>3532.5</v>
      </c>
      <c r="V165" s="41">
        <f>SUM(V122:V146)</f>
        <v>-3084</v>
      </c>
      <c r="W165" s="42">
        <f>SUM(W122:W164)</f>
        <v>414074.5</v>
      </c>
      <c r="Z165" s="57"/>
      <c r="AA165" s="57"/>
      <c r="AB165" s="38">
        <f>SUM(AB122:AB164)</f>
        <v>437596</v>
      </c>
      <c r="AC165" s="38">
        <f>SUM(AC122:AC146)</f>
        <v>-1866</v>
      </c>
      <c r="AD165" s="38">
        <f>SUM(AD122:AD146)</f>
        <v>0</v>
      </c>
      <c r="AE165" s="38">
        <f>SUM(AE122:AE164)</f>
        <v>435730</v>
      </c>
      <c r="AF165" s="4"/>
      <c r="AG165" s="41">
        <f>SUM(AG122:AG164)</f>
        <v>339</v>
      </c>
      <c r="AH165" s="41">
        <f>SUM(AH122:AH146)</f>
        <v>-3691.5</v>
      </c>
      <c r="AI165" s="42">
        <f>SUM(AI122:AI164)</f>
        <v>432377.5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48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48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48</v>
      </c>
      <c r="Z172" s="57"/>
      <c r="AA172" s="57"/>
      <c r="AB172" s="57"/>
      <c r="AC172" s="57"/>
      <c r="AD172" s="57"/>
      <c r="AE172" s="57"/>
      <c r="AG172" s="57" t="s">
        <v>15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49</v>
      </c>
      <c r="B173" s="20"/>
      <c r="C173" s="57"/>
      <c r="D173" s="57"/>
      <c r="E173" s="57"/>
      <c r="G173" s="57"/>
      <c r="I173" s="22" t="s">
        <v>16</v>
      </c>
      <c r="J173" s="23" t="s">
        <v>31</v>
      </c>
      <c r="K173" s="24"/>
      <c r="M173" s="21" t="s">
        <v>49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33</v>
      </c>
      <c r="W173" s="24"/>
      <c r="Y173" s="21" t="s">
        <v>49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34</v>
      </c>
      <c r="AI173" s="24"/>
      <c r="AK173" s="62"/>
      <c r="AL173" s="86"/>
      <c r="AM173" s="86"/>
      <c r="AN173" s="86"/>
      <c r="AO173" s="86"/>
      <c r="AP173" s="86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6"/>
      <c r="AM174" s="86"/>
      <c r="AN174" s="86"/>
      <c r="AO174" s="86"/>
      <c r="AP174" s="86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20" t="s">
        <v>17</v>
      </c>
      <c r="E175" s="120"/>
      <c r="F175" s="94"/>
      <c r="G175" s="27"/>
      <c r="I175" s="118" t="s">
        <v>18</v>
      </c>
      <c r="J175" s="119"/>
      <c r="K175" s="116" t="s">
        <v>19</v>
      </c>
      <c r="N175" s="25"/>
      <c r="O175" s="26"/>
      <c r="P175" s="120" t="s">
        <v>17</v>
      </c>
      <c r="Q175" s="120"/>
      <c r="R175" s="94"/>
      <c r="S175" s="27"/>
      <c r="U175" s="118" t="s">
        <v>18</v>
      </c>
      <c r="V175" s="119"/>
      <c r="W175" s="116" t="s">
        <v>19</v>
      </c>
      <c r="Z175" s="25"/>
      <c r="AA175" s="26"/>
      <c r="AB175" s="120" t="s">
        <v>17</v>
      </c>
      <c r="AC175" s="120"/>
      <c r="AD175" s="94"/>
      <c r="AE175" s="27"/>
      <c r="AG175" s="118" t="s">
        <v>18</v>
      </c>
      <c r="AH175" s="119"/>
      <c r="AI175" s="116" t="s">
        <v>19</v>
      </c>
      <c r="AK175" s="62"/>
      <c r="AL175" s="86"/>
      <c r="AM175" s="86"/>
      <c r="AN175" s="86"/>
      <c r="AO175" s="86"/>
      <c r="AP175" s="86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7" t="s">
        <v>22</v>
      </c>
      <c r="E176" s="76" t="s">
        <v>23</v>
      </c>
      <c r="F176" s="78" t="s">
        <v>32</v>
      </c>
      <c r="G176" s="78" t="s">
        <v>24</v>
      </c>
      <c r="I176" s="29" t="s">
        <v>25</v>
      </c>
      <c r="J176" s="29" t="s">
        <v>26</v>
      </c>
      <c r="K176" s="117"/>
      <c r="N176" s="28" t="s">
        <v>20</v>
      </c>
      <c r="O176" s="28" t="s">
        <v>21</v>
      </c>
      <c r="P176" s="77" t="s">
        <v>22</v>
      </c>
      <c r="Q176" s="78" t="s">
        <v>23</v>
      </c>
      <c r="R176" s="78" t="s">
        <v>32</v>
      </c>
      <c r="S176" s="78" t="s">
        <v>24</v>
      </c>
      <c r="U176" s="29" t="s">
        <v>25</v>
      </c>
      <c r="V176" s="29" t="s">
        <v>26</v>
      </c>
      <c r="W176" s="117"/>
      <c r="Z176" s="28" t="s">
        <v>20</v>
      </c>
      <c r="AA176" s="28" t="s">
        <v>21</v>
      </c>
      <c r="AB176" s="77" t="s">
        <v>22</v>
      </c>
      <c r="AC176" s="78" t="s">
        <v>23</v>
      </c>
      <c r="AD176" s="78" t="s">
        <v>32</v>
      </c>
      <c r="AE176" s="78" t="s">
        <v>24</v>
      </c>
      <c r="AG176" s="29" t="s">
        <v>25</v>
      </c>
      <c r="AH176" s="29" t="s">
        <v>26</v>
      </c>
      <c r="AI176" s="117"/>
      <c r="AK176" s="63"/>
      <c r="AL176" s="86"/>
      <c r="AM176" s="86"/>
      <c r="AN176" s="86"/>
      <c r="AO176" s="86"/>
      <c r="AP176" s="86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46207</v>
      </c>
      <c r="C177" s="83">
        <v>9979</v>
      </c>
      <c r="D177" s="32">
        <f>650*324+229*13</f>
        <v>213577</v>
      </c>
      <c r="E177" s="32">
        <f>-324*6</f>
        <v>-1944</v>
      </c>
      <c r="F177" s="32"/>
      <c r="G177" s="32">
        <f t="shared" ref="G177:G210" si="57">SUM(D177:E177)</f>
        <v>211633</v>
      </c>
      <c r="H177" s="12"/>
      <c r="I177" s="12">
        <f>5994+252</f>
        <v>6246</v>
      </c>
      <c r="J177" s="12"/>
      <c r="K177" s="12">
        <f t="shared" ref="K177:K210" si="58">SUM(G177:J177)</f>
        <v>217879</v>
      </c>
      <c r="M177" s="10">
        <v>1</v>
      </c>
      <c r="N177" s="30">
        <v>46207</v>
      </c>
      <c r="O177" s="31">
        <v>10052</v>
      </c>
      <c r="P177" s="32">
        <f>650*5+9.5*5</f>
        <v>3297.5</v>
      </c>
      <c r="Q177" s="32"/>
      <c r="R177" s="32"/>
      <c r="S177" s="32">
        <f>SUM(P177:Q177)</f>
        <v>3297.5</v>
      </c>
      <c r="T177" s="12"/>
      <c r="U177" s="12"/>
      <c r="V177" s="12"/>
      <c r="W177" s="12">
        <f>SUM(S177:V177)</f>
        <v>3297.5</v>
      </c>
      <c r="Y177" s="10">
        <v>1</v>
      </c>
      <c r="Z177" s="30">
        <v>46207</v>
      </c>
      <c r="AA177" s="31">
        <v>10001</v>
      </c>
      <c r="AB177" s="32">
        <f>650*13+15*650</f>
        <v>18200</v>
      </c>
      <c r="AC177" s="32"/>
      <c r="AD177" s="32"/>
      <c r="AE177" s="32">
        <f>SUM(AB177:AC177)</f>
        <v>18200</v>
      </c>
      <c r="AF177" s="12"/>
      <c r="AG177" s="12"/>
      <c r="AH177" s="12"/>
      <c r="AI177" s="12">
        <f>SUM(AE177:AH177)</f>
        <v>18200</v>
      </c>
      <c r="AK177" s="62"/>
      <c r="AL177" s="86"/>
      <c r="AM177" s="86"/>
      <c r="AN177" s="86"/>
      <c r="AO177" s="86"/>
      <c r="AP177" s="86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46207</v>
      </c>
      <c r="C178" s="83">
        <f>C177+1</f>
        <v>9980</v>
      </c>
      <c r="D178" s="32">
        <f>650*216+622*30</f>
        <v>159060</v>
      </c>
      <c r="E178" s="32">
        <f>-246*6</f>
        <v>-1476</v>
      </c>
      <c r="F178" s="32"/>
      <c r="G178" s="32">
        <f t="shared" si="57"/>
        <v>157584</v>
      </c>
      <c r="H178" s="12"/>
      <c r="I178" s="12">
        <v>27306</v>
      </c>
      <c r="J178" s="12"/>
      <c r="K178" s="12">
        <f t="shared" si="58"/>
        <v>184890</v>
      </c>
      <c r="M178" s="10">
        <v>2</v>
      </c>
      <c r="N178" s="30">
        <v>46207</v>
      </c>
      <c r="O178" s="31">
        <f>O177+1</f>
        <v>10053</v>
      </c>
      <c r="P178" s="32">
        <f>650*27+872</f>
        <v>18422</v>
      </c>
      <c r="Q178" s="32"/>
      <c r="R178" s="32"/>
      <c r="S178" s="32">
        <f t="shared" ref="S178:S215" si="59">SUM(P178:Q178)</f>
        <v>18422</v>
      </c>
      <c r="T178" s="12"/>
      <c r="U178" s="12"/>
      <c r="V178" s="12"/>
      <c r="W178" s="12">
        <f t="shared" ref="W178:W218" si="60">SUM(S178:V178)</f>
        <v>18422</v>
      </c>
      <c r="Y178" s="10">
        <v>2</v>
      </c>
      <c r="Z178" s="30">
        <v>46207</v>
      </c>
      <c r="AA178" s="31">
        <f>AA177+1</f>
        <v>10002</v>
      </c>
      <c r="AB178" s="32">
        <f>650*432+670*9+622*108+872*11+229*20+650*3</f>
        <v>370128</v>
      </c>
      <c r="AC178" s="32">
        <f>-560*6</f>
        <v>-3360</v>
      </c>
      <c r="AD178" s="32"/>
      <c r="AE178" s="32">
        <f t="shared" ref="AE178:AE180" si="61">SUM(AB178:AC178)</f>
        <v>366768</v>
      </c>
      <c r="AF178" s="12"/>
      <c r="AG178" s="12"/>
      <c r="AH178" s="12"/>
      <c r="AI178" s="12">
        <f t="shared" ref="AI178:AI209" si="62">SUM(AE178:AH178)</f>
        <v>366768</v>
      </c>
      <c r="AK178" s="62"/>
      <c r="AL178" s="86"/>
      <c r="AM178" s="86"/>
      <c r="AN178" s="86"/>
      <c r="AO178" s="86"/>
      <c r="AP178" s="86"/>
      <c r="AQ178" s="62"/>
      <c r="AR178" s="86"/>
      <c r="AS178" s="86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46207</v>
      </c>
      <c r="C179" s="83">
        <f t="shared" ref="C179:C180" si="63">C178+1</f>
        <v>9981</v>
      </c>
      <c r="D179" s="33">
        <f>650*100+670*5+622*4+912*3+872*3+500*2</f>
        <v>77190</v>
      </c>
      <c r="E179" s="32"/>
      <c r="F179" s="33"/>
      <c r="G179" s="33">
        <f t="shared" si="57"/>
        <v>77190</v>
      </c>
      <c r="H179" s="34"/>
      <c r="I179" s="34">
        <v>360</v>
      </c>
      <c r="J179" s="34">
        <v>-8214</v>
      </c>
      <c r="K179" s="34">
        <f t="shared" si="58"/>
        <v>69336</v>
      </c>
      <c r="M179" s="10">
        <v>3</v>
      </c>
      <c r="N179" s="30">
        <v>46207</v>
      </c>
      <c r="O179" s="31">
        <f t="shared" ref="O179:O189" si="64">O178+1</f>
        <v>10054</v>
      </c>
      <c r="P179" s="32">
        <f>650*35+670+872</f>
        <v>24292</v>
      </c>
      <c r="Q179" s="32"/>
      <c r="R179" s="32"/>
      <c r="S179" s="32">
        <f t="shared" si="59"/>
        <v>24292</v>
      </c>
      <c r="T179" s="12"/>
      <c r="U179" s="12">
        <v>108</v>
      </c>
      <c r="V179" s="12"/>
      <c r="W179" s="12">
        <f t="shared" si="60"/>
        <v>24400</v>
      </c>
      <c r="Y179" s="10">
        <v>3</v>
      </c>
      <c r="Z179" s="30">
        <v>46207</v>
      </c>
      <c r="AA179" s="31">
        <f t="shared" ref="AA179:AA183" si="65">AA178+1</f>
        <v>10003</v>
      </c>
      <c r="AB179" s="33">
        <f>650*108+229*4</f>
        <v>71116</v>
      </c>
      <c r="AC179" s="33">
        <f>-108*6</f>
        <v>-648</v>
      </c>
      <c r="AD179" s="32"/>
      <c r="AE179" s="32">
        <f t="shared" si="61"/>
        <v>70468</v>
      </c>
      <c r="AF179" s="12"/>
      <c r="AG179" s="12"/>
      <c r="AH179" s="12"/>
      <c r="AI179" s="12">
        <f t="shared" si="62"/>
        <v>70468</v>
      </c>
      <c r="AK179" s="64"/>
      <c r="AL179" s="86"/>
      <c r="AM179" s="86"/>
      <c r="AN179" s="86"/>
      <c r="AO179" s="86"/>
      <c r="AP179" s="86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46207</v>
      </c>
      <c r="C180" s="83">
        <f t="shared" si="63"/>
        <v>9982</v>
      </c>
      <c r="D180" s="32">
        <f>650*7</f>
        <v>4550</v>
      </c>
      <c r="E180" s="32"/>
      <c r="F180" s="32"/>
      <c r="G180" s="32">
        <f t="shared" si="57"/>
        <v>4550</v>
      </c>
      <c r="H180" s="12"/>
      <c r="I180" s="12"/>
      <c r="J180" s="12"/>
      <c r="K180" s="12">
        <f t="shared" si="58"/>
        <v>4550</v>
      </c>
      <c r="M180" s="10">
        <v>4</v>
      </c>
      <c r="N180" s="30">
        <v>46207</v>
      </c>
      <c r="O180" s="31">
        <f t="shared" si="64"/>
        <v>10055</v>
      </c>
      <c r="P180" s="32">
        <f>650*23+670+622*2</f>
        <v>16864</v>
      </c>
      <c r="Q180" s="32"/>
      <c r="R180" s="32"/>
      <c r="S180" s="32">
        <f t="shared" si="59"/>
        <v>16864</v>
      </c>
      <c r="T180" s="12"/>
      <c r="U180" s="12">
        <v>54</v>
      </c>
      <c r="V180" s="12"/>
      <c r="W180" s="12">
        <f t="shared" si="60"/>
        <v>16918</v>
      </c>
      <c r="Y180" s="10">
        <v>4</v>
      </c>
      <c r="Z180" s="30">
        <v>46207</v>
      </c>
      <c r="AA180" s="31">
        <f t="shared" si="65"/>
        <v>10004</v>
      </c>
      <c r="AB180" s="32">
        <f>1102</f>
        <v>1102</v>
      </c>
      <c r="AC180" s="32"/>
      <c r="AD180" s="32"/>
      <c r="AE180" s="32">
        <f t="shared" si="61"/>
        <v>1102</v>
      </c>
      <c r="AF180" s="12"/>
      <c r="AH180" s="12"/>
      <c r="AI180" s="12">
        <f t="shared" si="62"/>
        <v>1102</v>
      </c>
      <c r="AK180" s="62"/>
      <c r="AL180" s="86"/>
      <c r="AM180" s="86"/>
      <c r="AN180" s="86"/>
      <c r="AO180" s="86"/>
      <c r="AP180" s="86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/>
      <c r="C181" s="11" t="s">
        <v>27</v>
      </c>
      <c r="D181" s="32"/>
      <c r="E181" s="32"/>
      <c r="F181" s="32"/>
      <c r="G181" s="32">
        <f t="shared" si="57"/>
        <v>0</v>
      </c>
      <c r="H181" s="12"/>
      <c r="I181" s="12"/>
      <c r="J181" s="12"/>
      <c r="K181" s="12">
        <f t="shared" si="58"/>
        <v>0</v>
      </c>
      <c r="M181" s="10">
        <v>5</v>
      </c>
      <c r="N181" s="30">
        <v>46207</v>
      </c>
      <c r="O181" s="31">
        <f t="shared" si="64"/>
        <v>10056</v>
      </c>
      <c r="P181" s="32">
        <f>650*6+9.5*6</f>
        <v>3957</v>
      </c>
      <c r="Q181" s="32"/>
      <c r="R181" s="32"/>
      <c r="S181" s="32">
        <f t="shared" si="59"/>
        <v>3957</v>
      </c>
      <c r="T181" s="12"/>
      <c r="U181" s="12"/>
      <c r="V181" s="12"/>
      <c r="W181" s="12">
        <f t="shared" si="60"/>
        <v>3957</v>
      </c>
      <c r="Y181" s="10">
        <v>5</v>
      </c>
      <c r="Z181" s="30">
        <v>46207</v>
      </c>
      <c r="AA181" s="31">
        <f t="shared" si="65"/>
        <v>10005</v>
      </c>
      <c r="AB181" s="32">
        <f>650*50+229</f>
        <v>32729</v>
      </c>
      <c r="AC181" s="32">
        <f>-50*6</f>
        <v>-300</v>
      </c>
      <c r="AD181" s="32"/>
      <c r="AE181" s="32">
        <f t="shared" ref="AE181:AE186" si="66">SUM(AB181:AC181)</f>
        <v>32429</v>
      </c>
      <c r="AF181" s="12"/>
      <c r="AG181" s="12"/>
      <c r="AH181" s="12">
        <f>-111*20</f>
        <v>-2220</v>
      </c>
      <c r="AI181" s="12">
        <f t="shared" si="62"/>
        <v>30209</v>
      </c>
      <c r="AK181" s="62"/>
      <c r="AL181" s="65"/>
      <c r="AM181" s="86"/>
      <c r="AN181" s="121"/>
      <c r="AO181" s="121"/>
      <c r="AP181" s="86"/>
      <c r="AQ181" s="62"/>
      <c r="AR181" s="121"/>
      <c r="AS181" s="121"/>
      <c r="AT181" s="122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/>
      <c r="C182" s="83"/>
      <c r="D182" s="32"/>
      <c r="E182" s="32"/>
      <c r="F182" s="32"/>
      <c r="G182" s="32">
        <f t="shared" si="57"/>
        <v>0</v>
      </c>
      <c r="H182" s="12"/>
      <c r="I182" s="12"/>
      <c r="J182" s="12"/>
      <c r="K182" s="12">
        <f t="shared" si="58"/>
        <v>0</v>
      </c>
      <c r="M182" s="10">
        <v>6</v>
      </c>
      <c r="N182" s="30">
        <v>46207</v>
      </c>
      <c r="O182" s="31">
        <f t="shared" si="64"/>
        <v>10057</v>
      </c>
      <c r="P182" s="32">
        <f>650*2+670*2+622*2+9.5*4</f>
        <v>3922</v>
      </c>
      <c r="Q182" s="32"/>
      <c r="R182" s="32"/>
      <c r="S182" s="32">
        <f t="shared" si="59"/>
        <v>3922</v>
      </c>
      <c r="T182" s="12"/>
      <c r="U182" s="12">
        <v>27</v>
      </c>
      <c r="V182" s="10"/>
      <c r="W182" s="12">
        <f t="shared" si="60"/>
        <v>3949</v>
      </c>
      <c r="Y182" s="10">
        <v>6</v>
      </c>
      <c r="Z182" s="30">
        <v>46207</v>
      </c>
      <c r="AA182" s="31">
        <f t="shared" si="65"/>
        <v>10006</v>
      </c>
      <c r="AB182" s="32">
        <f>650*66+229*2</f>
        <v>43358</v>
      </c>
      <c r="AC182" s="32"/>
      <c r="AD182" s="32"/>
      <c r="AE182" s="32">
        <f t="shared" si="66"/>
        <v>43358</v>
      </c>
      <c r="AF182" s="12"/>
      <c r="AG182" s="12">
        <v>72</v>
      </c>
      <c r="AH182" s="10">
        <f>-111*20</f>
        <v>-2220</v>
      </c>
      <c r="AI182" s="12">
        <f t="shared" si="62"/>
        <v>41210</v>
      </c>
      <c r="AK182" s="62"/>
      <c r="AL182" s="86"/>
      <c r="AM182" s="86"/>
      <c r="AN182" s="86"/>
      <c r="AO182" s="85"/>
      <c r="AP182" s="85"/>
      <c r="AQ182" s="62"/>
      <c r="AR182" s="85"/>
      <c r="AS182" s="85"/>
      <c r="AT182" s="122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/>
      <c r="C183" s="83"/>
      <c r="D183" s="32"/>
      <c r="E183" s="32"/>
      <c r="F183" s="32"/>
      <c r="G183" s="32">
        <f t="shared" si="57"/>
        <v>0</v>
      </c>
      <c r="H183" s="12"/>
      <c r="I183" s="12"/>
      <c r="J183" s="12"/>
      <c r="K183" s="12">
        <f t="shared" si="58"/>
        <v>0</v>
      </c>
      <c r="M183" s="10">
        <v>7</v>
      </c>
      <c r="N183" s="30">
        <v>46207</v>
      </c>
      <c r="O183" s="31">
        <f t="shared" si="64"/>
        <v>10058</v>
      </c>
      <c r="P183" s="32">
        <f>650*15+9.5*15</f>
        <v>9892.5</v>
      </c>
      <c r="Q183" s="32"/>
      <c r="R183" s="32"/>
      <c r="S183" s="32">
        <f t="shared" si="59"/>
        <v>9892.5</v>
      </c>
      <c r="T183" s="12"/>
      <c r="U183" s="12"/>
      <c r="V183" s="12"/>
      <c r="W183" s="12">
        <f t="shared" si="60"/>
        <v>9892.5</v>
      </c>
      <c r="Y183" s="10">
        <v>7</v>
      </c>
      <c r="Z183" s="30">
        <v>46207</v>
      </c>
      <c r="AA183" s="31">
        <f t="shared" si="65"/>
        <v>10007</v>
      </c>
      <c r="AB183" s="32">
        <f>650*100+1102*6+229*4</f>
        <v>72528</v>
      </c>
      <c r="AC183" s="32">
        <f>-106*6</f>
        <v>-636</v>
      </c>
      <c r="AD183" s="32"/>
      <c r="AE183" s="32">
        <f>SUM(AB183:AC183)</f>
        <v>71892</v>
      </c>
      <c r="AF183" s="12"/>
      <c r="AG183" s="58"/>
      <c r="AH183" s="12">
        <f>-360+-78+-126</f>
        <v>-564</v>
      </c>
      <c r="AI183" s="12">
        <f t="shared" si="62"/>
        <v>71328</v>
      </c>
      <c r="AK183" s="62"/>
      <c r="AL183" s="66"/>
      <c r="AM183" s="86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/>
      <c r="C184" s="83"/>
      <c r="D184" s="32"/>
      <c r="E184" s="32"/>
      <c r="F184" s="32"/>
      <c r="G184" s="32">
        <f t="shared" si="57"/>
        <v>0</v>
      </c>
      <c r="H184" s="12"/>
      <c r="I184" s="12"/>
      <c r="J184" s="12"/>
      <c r="K184" s="12">
        <f t="shared" si="58"/>
        <v>0</v>
      </c>
      <c r="M184" s="10">
        <v>8</v>
      </c>
      <c r="N184" s="30">
        <v>46207</v>
      </c>
      <c r="O184" s="31">
        <f t="shared" si="64"/>
        <v>10059</v>
      </c>
      <c r="P184" s="32">
        <f>650*16+1175+1102+650</f>
        <v>13327</v>
      </c>
      <c r="Q184" s="32"/>
      <c r="R184" s="32"/>
      <c r="S184" s="32">
        <f t="shared" si="59"/>
        <v>13327</v>
      </c>
      <c r="T184" s="12"/>
      <c r="U184" s="12"/>
      <c r="V184" s="12">
        <v>-333</v>
      </c>
      <c r="W184" s="12">
        <f t="shared" si="60"/>
        <v>12994</v>
      </c>
      <c r="Y184" s="10">
        <v>8</v>
      </c>
      <c r="Z184" s="30"/>
      <c r="AA184" s="11" t="s">
        <v>27</v>
      </c>
      <c r="AB184" s="32"/>
      <c r="AC184" s="32"/>
      <c r="AE184" s="32">
        <f t="shared" si="66"/>
        <v>0</v>
      </c>
      <c r="AF184" s="12"/>
      <c r="AG184" s="12"/>
      <c r="AH184" s="12"/>
      <c r="AI184" s="12">
        <f t="shared" si="62"/>
        <v>0</v>
      </c>
      <c r="AK184" s="62"/>
      <c r="AL184" s="66"/>
      <c r="AM184" s="86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/>
      <c r="C185" s="11"/>
      <c r="D185" s="32"/>
      <c r="E185" s="32"/>
      <c r="F185" s="32"/>
      <c r="G185" s="32">
        <f t="shared" si="57"/>
        <v>0</v>
      </c>
      <c r="H185" s="12"/>
      <c r="I185" s="12"/>
      <c r="J185" s="12"/>
      <c r="K185" s="12">
        <f t="shared" si="58"/>
        <v>0</v>
      </c>
      <c r="M185" s="10">
        <v>9</v>
      </c>
      <c r="N185" s="30">
        <v>46207</v>
      </c>
      <c r="O185" s="31">
        <f t="shared" si="64"/>
        <v>10060</v>
      </c>
      <c r="P185" s="32">
        <f>650*4+670</f>
        <v>3270</v>
      </c>
      <c r="Q185" s="32"/>
      <c r="R185" s="32"/>
      <c r="S185" s="32">
        <f t="shared" si="59"/>
        <v>3270</v>
      </c>
      <c r="T185" s="12"/>
      <c r="U185" s="12"/>
      <c r="V185" s="12"/>
      <c r="W185" s="12">
        <f t="shared" si="60"/>
        <v>3270</v>
      </c>
      <c r="Y185" s="10">
        <v>9</v>
      </c>
      <c r="Z185" s="30"/>
      <c r="AA185" s="31"/>
      <c r="AC185" s="32"/>
      <c r="AD185" s="32"/>
      <c r="AE185" s="32">
        <f t="shared" si="66"/>
        <v>0</v>
      </c>
      <c r="AF185" s="12"/>
      <c r="AH185" s="12"/>
      <c r="AI185" s="12">
        <f t="shared" si="62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/>
      <c r="C186" s="83"/>
      <c r="D186" s="32"/>
      <c r="E186" s="32"/>
      <c r="F186" s="32"/>
      <c r="G186" s="32">
        <f t="shared" si="57"/>
        <v>0</v>
      </c>
      <c r="H186" s="12"/>
      <c r="I186" s="12"/>
      <c r="J186" s="12"/>
      <c r="K186" s="12">
        <f t="shared" si="58"/>
        <v>0</v>
      </c>
      <c r="M186" s="10">
        <v>10</v>
      </c>
      <c r="N186" s="30">
        <v>46207</v>
      </c>
      <c r="O186" s="31">
        <f t="shared" si="64"/>
        <v>10061</v>
      </c>
      <c r="P186" s="32">
        <f>650*180+1175+622*20+229*6+650*2</f>
        <v>133289</v>
      </c>
      <c r="Q186" s="32">
        <f>-200*6</f>
        <v>-1200</v>
      </c>
      <c r="R186" s="32"/>
      <c r="S186" s="32">
        <f t="shared" si="59"/>
        <v>132089</v>
      </c>
      <c r="T186" s="12"/>
      <c r="U186" s="12">
        <f>1332+234</f>
        <v>1566</v>
      </c>
      <c r="V186" s="12">
        <f>-1008+-420</f>
        <v>-1428</v>
      </c>
      <c r="W186" s="12">
        <f t="shared" si="60"/>
        <v>132227</v>
      </c>
      <c r="Y186" s="10">
        <v>10</v>
      </c>
      <c r="Z186" s="30"/>
      <c r="AA186" s="31"/>
      <c r="AB186" s="32"/>
      <c r="AC186" s="32"/>
      <c r="AD186" s="32"/>
      <c r="AE186" s="32">
        <f t="shared" si="66"/>
        <v>0</v>
      </c>
      <c r="AF186" s="12"/>
      <c r="AG186" s="12"/>
      <c r="AH186" s="12"/>
      <c r="AI186" s="12">
        <f t="shared" si="62"/>
        <v>0</v>
      </c>
      <c r="AK186" s="62"/>
      <c r="AL186" s="66"/>
      <c r="AM186" s="86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/>
      <c r="C187" s="11"/>
      <c r="D187" s="32"/>
      <c r="E187" s="32"/>
      <c r="F187" s="32"/>
      <c r="G187" s="32">
        <f t="shared" si="57"/>
        <v>0</v>
      </c>
      <c r="H187" s="12"/>
      <c r="I187" s="12"/>
      <c r="J187" s="12"/>
      <c r="K187" s="12">
        <f t="shared" si="58"/>
        <v>0</v>
      </c>
      <c r="M187" s="10">
        <v>11</v>
      </c>
      <c r="N187" s="30">
        <v>46207</v>
      </c>
      <c r="O187" s="31">
        <f t="shared" si="64"/>
        <v>10062</v>
      </c>
      <c r="P187" s="32">
        <f>650*40+670*5+229</f>
        <v>29579</v>
      </c>
      <c r="Q187" s="32"/>
      <c r="R187" s="32"/>
      <c r="S187" s="32">
        <f t="shared" si="59"/>
        <v>29579</v>
      </c>
      <c r="T187" s="12"/>
      <c r="U187" s="12">
        <v>301.5</v>
      </c>
      <c r="V187" s="12"/>
      <c r="W187" s="12">
        <f t="shared" si="60"/>
        <v>29880.5</v>
      </c>
      <c r="Y187" s="10">
        <v>11</v>
      </c>
      <c r="Z187" s="30"/>
      <c r="AA187" s="11"/>
      <c r="AB187" s="32"/>
      <c r="AC187" s="32"/>
      <c r="AD187" s="32"/>
      <c r="AE187" s="32">
        <f t="shared" ref="AE187:AE209" si="67">SUM(AB187:AC187)</f>
        <v>0</v>
      </c>
      <c r="AF187" s="12"/>
      <c r="AG187" s="12"/>
      <c r="AH187" s="12"/>
      <c r="AI187" s="12">
        <f t="shared" si="62"/>
        <v>0</v>
      </c>
      <c r="AK187" s="62"/>
      <c r="AL187" s="66"/>
      <c r="AM187" s="86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83"/>
      <c r="D188" s="32"/>
      <c r="E188" s="32"/>
      <c r="F188" s="32"/>
      <c r="G188" s="32">
        <f t="shared" si="57"/>
        <v>0</v>
      </c>
      <c r="H188" s="12"/>
      <c r="I188" s="12"/>
      <c r="J188" s="10"/>
      <c r="K188" s="12">
        <f t="shared" si="58"/>
        <v>0</v>
      </c>
      <c r="M188" s="10">
        <v>12</v>
      </c>
      <c r="N188" s="30">
        <v>46207</v>
      </c>
      <c r="O188" s="31">
        <f t="shared" si="64"/>
        <v>10063</v>
      </c>
      <c r="P188" s="32">
        <f>650*9</f>
        <v>5850</v>
      </c>
      <c r="Q188" s="32"/>
      <c r="R188" s="32"/>
      <c r="S188" s="32">
        <f t="shared" si="59"/>
        <v>5850</v>
      </c>
      <c r="T188" s="12"/>
      <c r="U188" s="12"/>
      <c r="V188" s="12"/>
      <c r="W188" s="12">
        <f t="shared" si="60"/>
        <v>5850</v>
      </c>
      <c r="Y188" s="10">
        <v>12</v>
      </c>
      <c r="Z188" s="30"/>
      <c r="AA188" s="31"/>
      <c r="AB188" s="32"/>
      <c r="AC188" s="32"/>
      <c r="AD188" s="32"/>
      <c r="AE188" s="32">
        <f t="shared" si="67"/>
        <v>0</v>
      </c>
      <c r="AF188" s="12"/>
      <c r="AG188" s="12"/>
      <c r="AH188" s="12"/>
      <c r="AI188" s="12">
        <f t="shared" si="62"/>
        <v>0</v>
      </c>
      <c r="AK188" s="62"/>
      <c r="AL188" s="66"/>
      <c r="AM188" s="86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11"/>
      <c r="D189" s="32"/>
      <c r="E189" s="32"/>
      <c r="F189" s="32"/>
      <c r="G189" s="32">
        <f t="shared" si="57"/>
        <v>0</v>
      </c>
      <c r="H189" s="12"/>
      <c r="I189" s="12"/>
      <c r="J189" s="12"/>
      <c r="K189" s="12">
        <f t="shared" si="58"/>
        <v>0</v>
      </c>
      <c r="M189" s="10">
        <v>13</v>
      </c>
      <c r="N189" s="30">
        <v>46207</v>
      </c>
      <c r="O189" s="31">
        <f t="shared" si="64"/>
        <v>10064</v>
      </c>
      <c r="P189" s="32">
        <f>650*11+622</f>
        <v>7772</v>
      </c>
      <c r="Q189" s="32"/>
      <c r="R189" s="32"/>
      <c r="S189" s="32">
        <f t="shared" si="59"/>
        <v>7772</v>
      </c>
      <c r="T189" s="12"/>
      <c r="U189" s="12"/>
      <c r="V189" s="12"/>
      <c r="W189" s="12">
        <f t="shared" si="60"/>
        <v>7772</v>
      </c>
      <c r="Y189" s="10">
        <v>13</v>
      </c>
      <c r="Z189" s="30"/>
      <c r="AA189" s="31"/>
      <c r="AB189" s="32"/>
      <c r="AC189" s="32"/>
      <c r="AD189" s="32"/>
      <c r="AE189" s="32">
        <f t="shared" si="67"/>
        <v>0</v>
      </c>
      <c r="AF189" s="12"/>
      <c r="AG189" s="12"/>
      <c r="AH189" s="12"/>
      <c r="AI189" s="12">
        <f t="shared" si="62"/>
        <v>0</v>
      </c>
      <c r="AK189" s="62"/>
      <c r="AL189" s="66"/>
      <c r="AM189" s="86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83"/>
      <c r="D190" s="32"/>
      <c r="E190" s="32"/>
      <c r="F190" s="32"/>
      <c r="G190" s="32">
        <f t="shared" si="57"/>
        <v>0</v>
      </c>
      <c r="H190" s="12"/>
      <c r="I190" s="12"/>
      <c r="J190" s="12"/>
      <c r="K190" s="12">
        <f t="shared" si="58"/>
        <v>0</v>
      </c>
      <c r="M190" s="10">
        <v>14</v>
      </c>
      <c r="N190" s="30"/>
      <c r="O190" s="11" t="s">
        <v>27</v>
      </c>
      <c r="P190" s="32"/>
      <c r="Q190" s="32"/>
      <c r="R190" s="32"/>
      <c r="S190" s="32">
        <f t="shared" si="59"/>
        <v>0</v>
      </c>
      <c r="T190" s="12"/>
      <c r="U190" s="12"/>
      <c r="V190" s="12"/>
      <c r="W190" s="12">
        <f t="shared" si="60"/>
        <v>0</v>
      </c>
      <c r="Y190" s="10">
        <v>14</v>
      </c>
      <c r="Z190" s="30"/>
      <c r="AA190" s="11"/>
      <c r="AB190" s="32"/>
      <c r="AC190" s="32"/>
      <c r="AD190" s="32"/>
      <c r="AE190" s="32">
        <f t="shared" si="67"/>
        <v>0</v>
      </c>
      <c r="AF190" s="12"/>
      <c r="AG190" s="12"/>
      <c r="AH190" s="12"/>
      <c r="AI190" s="12">
        <f t="shared" si="62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83"/>
      <c r="D191" s="32"/>
      <c r="E191" s="32"/>
      <c r="F191" s="32"/>
      <c r="G191" s="32">
        <f t="shared" si="57"/>
        <v>0</v>
      </c>
      <c r="H191" s="12"/>
      <c r="I191" s="12"/>
      <c r="J191" s="12"/>
      <c r="K191" s="12">
        <f t="shared" si="58"/>
        <v>0</v>
      </c>
      <c r="M191" s="10">
        <v>15</v>
      </c>
      <c r="N191" s="30"/>
      <c r="O191" s="31"/>
      <c r="P191" s="32"/>
      <c r="Q191" s="32"/>
      <c r="R191" s="32"/>
      <c r="S191" s="32">
        <f t="shared" si="59"/>
        <v>0</v>
      </c>
      <c r="T191" s="12"/>
      <c r="U191" s="12"/>
      <c r="V191" s="12"/>
      <c r="W191" s="12">
        <f t="shared" si="60"/>
        <v>0</v>
      </c>
      <c r="Y191" s="10">
        <v>15</v>
      </c>
      <c r="Z191" s="30"/>
      <c r="AA191" s="31"/>
      <c r="AB191" s="32"/>
      <c r="AC191" s="32"/>
      <c r="AD191" s="32"/>
      <c r="AE191" s="32">
        <f t="shared" si="67"/>
        <v>0</v>
      </c>
      <c r="AF191" s="12"/>
      <c r="AG191" s="12"/>
      <c r="AH191" s="12"/>
      <c r="AI191" s="12">
        <f t="shared" si="62"/>
        <v>0</v>
      </c>
      <c r="AK191" s="62"/>
      <c r="AL191" s="66"/>
      <c r="AM191" s="86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C192" s="83"/>
      <c r="D192" s="32"/>
      <c r="E192" s="32"/>
      <c r="F192" s="32"/>
      <c r="G192" s="32">
        <f t="shared" si="57"/>
        <v>0</v>
      </c>
      <c r="H192" s="12"/>
      <c r="I192" s="12"/>
      <c r="J192" s="12"/>
      <c r="K192" s="12">
        <f t="shared" si="58"/>
        <v>0</v>
      </c>
      <c r="M192" s="10">
        <v>16</v>
      </c>
      <c r="N192" s="30"/>
      <c r="O192" s="11"/>
      <c r="P192" s="32"/>
      <c r="Q192" s="32"/>
      <c r="R192" s="32"/>
      <c r="S192" s="32">
        <f t="shared" si="59"/>
        <v>0</v>
      </c>
      <c r="T192" s="12"/>
      <c r="U192" s="12"/>
      <c r="V192" s="12"/>
      <c r="W192" s="12">
        <f t="shared" si="60"/>
        <v>0</v>
      </c>
      <c r="Y192" s="10">
        <v>16</v>
      </c>
      <c r="Z192" s="30"/>
      <c r="AB192" s="32"/>
      <c r="AC192" s="32"/>
      <c r="AD192" s="32"/>
      <c r="AE192" s="32">
        <f t="shared" si="67"/>
        <v>0</v>
      </c>
      <c r="AF192" s="12"/>
      <c r="AG192" s="12"/>
      <c r="AH192" s="12"/>
      <c r="AI192" s="12">
        <f t="shared" si="62"/>
        <v>0</v>
      </c>
      <c r="AK192" s="62"/>
      <c r="AL192" s="66"/>
      <c r="AM192" s="86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57"/>
      <c r="D193" s="32"/>
      <c r="E193" s="32"/>
      <c r="F193" s="32"/>
      <c r="G193" s="32">
        <f t="shared" si="57"/>
        <v>0</v>
      </c>
      <c r="H193" s="12"/>
      <c r="I193" s="12"/>
      <c r="J193" s="12"/>
      <c r="K193" s="12">
        <f t="shared" si="58"/>
        <v>0</v>
      </c>
      <c r="M193" s="10">
        <v>17</v>
      </c>
      <c r="N193" s="30"/>
      <c r="O193" s="31"/>
      <c r="P193" s="35"/>
      <c r="Q193" s="32"/>
      <c r="R193" s="32"/>
      <c r="S193" s="32">
        <f t="shared" si="59"/>
        <v>0</v>
      </c>
      <c r="T193" s="12"/>
      <c r="U193" s="12"/>
      <c r="V193" s="12"/>
      <c r="W193" s="12">
        <f t="shared" si="60"/>
        <v>0</v>
      </c>
      <c r="Y193" s="10">
        <v>17</v>
      </c>
      <c r="Z193" s="30"/>
      <c r="AA193" s="31"/>
      <c r="AB193" s="35"/>
      <c r="AC193" s="32"/>
      <c r="AD193" s="32"/>
      <c r="AE193" s="32">
        <f t="shared" si="67"/>
        <v>0</v>
      </c>
      <c r="AF193" s="12"/>
      <c r="AG193" s="12"/>
      <c r="AH193" s="12"/>
      <c r="AI193" s="12">
        <f t="shared" si="62"/>
        <v>0</v>
      </c>
      <c r="AK193" s="62"/>
      <c r="AL193" s="66"/>
      <c r="AM193" s="86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57"/>
      <c r="D194" s="32"/>
      <c r="E194" s="32"/>
      <c r="F194" s="32"/>
      <c r="G194" s="32">
        <f t="shared" si="57"/>
        <v>0</v>
      </c>
      <c r="H194" s="12"/>
      <c r="I194" s="12"/>
      <c r="J194" s="12"/>
      <c r="K194" s="12">
        <f t="shared" si="58"/>
        <v>0</v>
      </c>
      <c r="M194" s="10">
        <v>18</v>
      </c>
      <c r="N194" s="30"/>
      <c r="O194" s="31"/>
      <c r="P194" s="32"/>
      <c r="Q194" s="32"/>
      <c r="R194" s="32"/>
      <c r="S194" s="32">
        <f t="shared" si="59"/>
        <v>0</v>
      </c>
      <c r="T194" s="12"/>
      <c r="U194" s="12"/>
      <c r="V194" s="12"/>
      <c r="W194" s="12">
        <f t="shared" si="60"/>
        <v>0</v>
      </c>
      <c r="Y194" s="10">
        <v>18</v>
      </c>
      <c r="Z194" s="30"/>
      <c r="AA194" s="31"/>
      <c r="AB194" s="32"/>
      <c r="AC194" s="32"/>
      <c r="AD194" s="32"/>
      <c r="AE194" s="32">
        <f t="shared" si="67"/>
        <v>0</v>
      </c>
      <c r="AF194" s="12"/>
      <c r="AG194" s="12"/>
      <c r="AH194" s="12"/>
      <c r="AI194" s="12">
        <f t="shared" si="62"/>
        <v>0</v>
      </c>
      <c r="AK194" s="62"/>
      <c r="AL194" s="66"/>
      <c r="AM194" s="86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83"/>
      <c r="D195" s="32"/>
      <c r="E195" s="32"/>
      <c r="F195" s="32"/>
      <c r="G195" s="32">
        <f t="shared" si="57"/>
        <v>0</v>
      </c>
      <c r="H195" s="12"/>
      <c r="I195" s="12"/>
      <c r="J195" s="12"/>
      <c r="K195" s="12">
        <f t="shared" si="58"/>
        <v>0</v>
      </c>
      <c r="M195" s="10">
        <v>19</v>
      </c>
      <c r="N195" s="30"/>
      <c r="O195" s="31"/>
      <c r="P195" s="32"/>
      <c r="Q195" s="32"/>
      <c r="R195" s="32"/>
      <c r="S195" s="32">
        <f t="shared" si="59"/>
        <v>0</v>
      </c>
      <c r="T195" s="12"/>
      <c r="U195" s="12"/>
      <c r="V195" s="12"/>
      <c r="W195" s="12">
        <f t="shared" si="60"/>
        <v>0</v>
      </c>
      <c r="Y195" s="10">
        <v>19</v>
      </c>
      <c r="Z195" s="30"/>
      <c r="AA195" s="31"/>
      <c r="AB195" s="32"/>
      <c r="AC195" s="32"/>
      <c r="AD195" s="32"/>
      <c r="AE195" s="32">
        <f t="shared" si="67"/>
        <v>0</v>
      </c>
      <c r="AF195" s="12"/>
      <c r="AG195" s="12"/>
      <c r="AH195" s="12"/>
      <c r="AI195" s="12">
        <f t="shared" si="62"/>
        <v>0</v>
      </c>
      <c r="AK195" s="62"/>
      <c r="AL195" s="66"/>
      <c r="AM195" s="86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83"/>
      <c r="D196" s="32"/>
      <c r="E196" s="32"/>
      <c r="F196" s="32"/>
      <c r="G196" s="32">
        <f t="shared" si="57"/>
        <v>0</v>
      </c>
      <c r="H196" s="12"/>
      <c r="I196" s="12"/>
      <c r="J196" s="12"/>
      <c r="K196" s="12">
        <f t="shared" si="58"/>
        <v>0</v>
      </c>
      <c r="M196" s="10">
        <v>20</v>
      </c>
      <c r="N196" s="30"/>
      <c r="O196" s="31"/>
      <c r="P196" s="32"/>
      <c r="Q196" s="32"/>
      <c r="R196" s="32"/>
      <c r="S196" s="32">
        <f t="shared" si="59"/>
        <v>0</v>
      </c>
      <c r="T196" s="12"/>
      <c r="U196" s="12"/>
      <c r="V196" s="12"/>
      <c r="W196" s="12">
        <f t="shared" si="60"/>
        <v>0</v>
      </c>
      <c r="Y196" s="10">
        <v>20</v>
      </c>
      <c r="Z196" s="30"/>
      <c r="AB196" s="32"/>
      <c r="AC196" s="32"/>
      <c r="AD196" s="32"/>
      <c r="AE196" s="32">
        <f t="shared" si="67"/>
        <v>0</v>
      </c>
      <c r="AF196" s="12"/>
      <c r="AG196" s="12"/>
      <c r="AH196" s="12"/>
      <c r="AI196" s="12">
        <f t="shared" si="62"/>
        <v>0</v>
      </c>
      <c r="AK196" s="62"/>
      <c r="AL196" s="66"/>
      <c r="AM196" s="86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83"/>
      <c r="D197" s="32"/>
      <c r="E197" s="32"/>
      <c r="F197" s="32"/>
      <c r="G197" s="32">
        <f t="shared" si="57"/>
        <v>0</v>
      </c>
      <c r="H197" s="10"/>
      <c r="I197" s="10"/>
      <c r="J197" s="10"/>
      <c r="K197" s="12">
        <f t="shared" si="58"/>
        <v>0</v>
      </c>
      <c r="M197" s="10">
        <v>21</v>
      </c>
      <c r="N197" s="30"/>
      <c r="O197" s="31"/>
      <c r="P197" s="46"/>
      <c r="Q197" s="31"/>
      <c r="R197" s="31"/>
      <c r="S197" s="32">
        <f t="shared" si="59"/>
        <v>0</v>
      </c>
      <c r="T197" s="10"/>
      <c r="U197" s="10"/>
      <c r="V197" s="10"/>
      <c r="W197" s="12">
        <f t="shared" si="60"/>
        <v>0</v>
      </c>
      <c r="Y197" s="10">
        <v>21</v>
      </c>
      <c r="Z197" s="30"/>
      <c r="AA197" s="31"/>
      <c r="AB197" s="46"/>
      <c r="AC197" s="31"/>
      <c r="AD197" s="31"/>
      <c r="AE197" s="32">
        <f t="shared" si="67"/>
        <v>0</v>
      </c>
      <c r="AF197" s="10"/>
      <c r="AG197" s="10"/>
      <c r="AH197" s="10"/>
      <c r="AI197" s="12">
        <f t="shared" si="62"/>
        <v>0</v>
      </c>
      <c r="AK197" s="62"/>
      <c r="AL197" s="66"/>
      <c r="AM197" s="86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83"/>
      <c r="D198" s="32"/>
      <c r="E198" s="32"/>
      <c r="F198" s="32"/>
      <c r="G198" s="32">
        <f t="shared" si="57"/>
        <v>0</v>
      </c>
      <c r="H198" s="10"/>
      <c r="I198" s="10"/>
      <c r="J198" s="10"/>
      <c r="K198" s="12">
        <f t="shared" si="58"/>
        <v>0</v>
      </c>
      <c r="M198" s="10">
        <v>22</v>
      </c>
      <c r="N198" s="30"/>
      <c r="O198" s="31"/>
      <c r="P198" s="45"/>
      <c r="Q198" s="31"/>
      <c r="R198" s="31"/>
      <c r="S198" s="32">
        <f t="shared" si="59"/>
        <v>0</v>
      </c>
      <c r="T198" s="10"/>
      <c r="U198" s="10"/>
      <c r="V198" s="10"/>
      <c r="W198" s="12">
        <f t="shared" si="60"/>
        <v>0</v>
      </c>
      <c r="Y198" s="10">
        <v>22</v>
      </c>
      <c r="Z198" s="30"/>
      <c r="AA198" s="31"/>
      <c r="AB198" s="45"/>
      <c r="AC198" s="31"/>
      <c r="AD198" s="31"/>
      <c r="AE198" s="32">
        <f t="shared" si="67"/>
        <v>0</v>
      </c>
      <c r="AF198" s="10"/>
      <c r="AG198" s="10"/>
      <c r="AH198" s="10"/>
      <c r="AI198" s="12">
        <f t="shared" si="62"/>
        <v>0</v>
      </c>
      <c r="AK198" s="62"/>
      <c r="AL198" s="66"/>
      <c r="AM198" s="86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83"/>
      <c r="D199" s="32"/>
      <c r="E199" s="32"/>
      <c r="F199" s="32"/>
      <c r="G199" s="32">
        <f t="shared" si="57"/>
        <v>0</v>
      </c>
      <c r="H199" s="10"/>
      <c r="I199" s="10"/>
      <c r="J199" s="12"/>
      <c r="K199" s="12">
        <f t="shared" si="58"/>
        <v>0</v>
      </c>
      <c r="M199" s="10">
        <v>23</v>
      </c>
      <c r="N199" s="30"/>
      <c r="O199" s="31"/>
      <c r="P199" s="47"/>
      <c r="S199" s="32">
        <f t="shared" si="59"/>
        <v>0</v>
      </c>
      <c r="T199" s="10"/>
      <c r="U199" s="10"/>
      <c r="V199" s="10"/>
      <c r="W199" s="12">
        <f t="shared" si="60"/>
        <v>0</v>
      </c>
      <c r="Y199" s="10">
        <v>23</v>
      </c>
      <c r="Z199" s="30"/>
      <c r="AA199" s="31"/>
      <c r="AB199" s="47"/>
      <c r="AE199" s="32">
        <f t="shared" si="67"/>
        <v>0</v>
      </c>
      <c r="AF199" s="10"/>
      <c r="AG199" s="10"/>
      <c r="AH199" s="10"/>
      <c r="AI199" s="12">
        <f t="shared" si="62"/>
        <v>0</v>
      </c>
      <c r="AK199" s="62"/>
      <c r="AL199" s="66"/>
      <c r="AM199" s="86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83"/>
      <c r="D200" s="32"/>
      <c r="E200" s="32"/>
      <c r="F200" s="32"/>
      <c r="G200" s="32">
        <f t="shared" si="57"/>
        <v>0</v>
      </c>
      <c r="H200" s="10"/>
      <c r="I200" s="10"/>
      <c r="J200" s="10"/>
      <c r="K200" s="12">
        <f t="shared" si="58"/>
        <v>0</v>
      </c>
      <c r="M200" s="10">
        <v>24</v>
      </c>
      <c r="N200" s="30"/>
      <c r="O200" s="31"/>
      <c r="P200" s="47"/>
      <c r="Q200" s="31"/>
      <c r="R200" s="31"/>
      <c r="S200" s="32">
        <f t="shared" si="59"/>
        <v>0</v>
      </c>
      <c r="T200" s="10"/>
      <c r="U200" s="10"/>
      <c r="V200" s="10"/>
      <c r="W200" s="12">
        <f t="shared" si="60"/>
        <v>0</v>
      </c>
      <c r="Y200" s="10">
        <v>24</v>
      </c>
      <c r="Z200" s="30"/>
      <c r="AA200" s="31"/>
      <c r="AB200" s="47"/>
      <c r="AC200" s="31"/>
      <c r="AD200" s="31"/>
      <c r="AE200" s="32">
        <f t="shared" si="67"/>
        <v>0</v>
      </c>
      <c r="AF200" s="10"/>
      <c r="AG200" s="10"/>
      <c r="AH200" s="10"/>
      <c r="AI200" s="12">
        <f t="shared" si="62"/>
        <v>0</v>
      </c>
      <c r="AK200" s="62"/>
      <c r="AL200" s="66"/>
      <c r="AM200" s="86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83"/>
      <c r="D201" s="32"/>
      <c r="E201" s="32"/>
      <c r="F201" s="32"/>
      <c r="G201" s="32">
        <f t="shared" si="57"/>
        <v>0</v>
      </c>
      <c r="H201" s="10"/>
      <c r="I201" s="10"/>
      <c r="J201" s="10"/>
      <c r="K201" s="12">
        <f t="shared" si="58"/>
        <v>0</v>
      </c>
      <c r="M201" s="10">
        <v>25</v>
      </c>
      <c r="N201" s="30"/>
      <c r="O201" s="31"/>
      <c r="P201" s="47"/>
      <c r="Q201" s="31"/>
      <c r="R201" s="31"/>
      <c r="S201" s="32">
        <f t="shared" si="59"/>
        <v>0</v>
      </c>
      <c r="T201" s="10"/>
      <c r="U201" s="10"/>
      <c r="V201" s="10"/>
      <c r="W201" s="12">
        <f t="shared" si="60"/>
        <v>0</v>
      </c>
      <c r="Y201" s="10">
        <v>25</v>
      </c>
      <c r="Z201" s="30"/>
      <c r="AA201" s="31"/>
      <c r="AB201" s="47"/>
      <c r="AC201" s="31"/>
      <c r="AD201" s="31"/>
      <c r="AE201" s="32">
        <f t="shared" si="67"/>
        <v>0</v>
      </c>
      <c r="AF201" s="10"/>
      <c r="AG201" s="10"/>
      <c r="AH201" s="10"/>
      <c r="AI201" s="12">
        <f t="shared" si="62"/>
        <v>0</v>
      </c>
      <c r="AK201" s="62"/>
      <c r="AL201" s="66"/>
      <c r="AM201" s="86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83"/>
      <c r="D202" s="32"/>
      <c r="E202" s="32"/>
      <c r="F202" s="32"/>
      <c r="G202" s="32">
        <f t="shared" si="57"/>
        <v>0</v>
      </c>
      <c r="H202" s="10"/>
      <c r="I202" s="10"/>
      <c r="J202" s="10"/>
      <c r="K202" s="12">
        <f t="shared" si="58"/>
        <v>0</v>
      </c>
      <c r="M202" s="10">
        <v>26</v>
      </c>
      <c r="N202" s="30"/>
      <c r="O202" s="31"/>
      <c r="P202" s="47"/>
      <c r="Q202" s="31"/>
      <c r="R202" s="31"/>
      <c r="S202" s="32">
        <f t="shared" si="59"/>
        <v>0</v>
      </c>
      <c r="T202" s="10"/>
      <c r="U202" s="10"/>
      <c r="V202" s="10"/>
      <c r="W202" s="12">
        <f t="shared" si="60"/>
        <v>0</v>
      </c>
      <c r="Y202" s="10">
        <v>26</v>
      </c>
      <c r="Z202" s="30"/>
      <c r="AA202" s="31"/>
      <c r="AB202" s="47"/>
      <c r="AC202" s="31"/>
      <c r="AD202" s="31"/>
      <c r="AE202" s="32">
        <f t="shared" si="67"/>
        <v>0</v>
      </c>
      <c r="AF202" s="10"/>
      <c r="AG202" s="10"/>
      <c r="AH202" s="10"/>
      <c r="AI202" s="12">
        <f t="shared" si="62"/>
        <v>0</v>
      </c>
      <c r="AK202" s="62"/>
      <c r="AL202" s="66"/>
      <c r="AM202" s="86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83"/>
      <c r="D203" s="32"/>
      <c r="E203" s="32"/>
      <c r="F203" s="32"/>
      <c r="G203" s="32">
        <f t="shared" si="57"/>
        <v>0</v>
      </c>
      <c r="H203" s="10"/>
      <c r="I203" s="10"/>
      <c r="J203" s="10"/>
      <c r="K203" s="12">
        <f t="shared" si="58"/>
        <v>0</v>
      </c>
      <c r="M203" s="10">
        <v>27</v>
      </c>
      <c r="N203" s="30"/>
      <c r="O203" s="31"/>
      <c r="P203" s="47"/>
      <c r="Q203" s="31"/>
      <c r="R203" s="31"/>
      <c r="S203" s="32">
        <f t="shared" si="59"/>
        <v>0</v>
      </c>
      <c r="T203" s="10"/>
      <c r="U203" s="10"/>
      <c r="V203" s="10"/>
      <c r="W203" s="12">
        <f t="shared" si="60"/>
        <v>0</v>
      </c>
      <c r="Y203" s="10">
        <v>27</v>
      </c>
      <c r="Z203" s="30"/>
      <c r="AA203" s="31"/>
      <c r="AB203" s="47"/>
      <c r="AC203" s="31"/>
      <c r="AD203" s="31"/>
      <c r="AE203" s="32">
        <f t="shared" si="67"/>
        <v>0</v>
      </c>
      <c r="AF203" s="10"/>
      <c r="AG203" s="10"/>
      <c r="AH203" s="10"/>
      <c r="AI203" s="12">
        <f t="shared" si="62"/>
        <v>0</v>
      </c>
      <c r="AK203" s="62"/>
      <c r="AL203" s="66"/>
      <c r="AM203" s="86"/>
      <c r="AN203" s="67"/>
      <c r="AO203" s="86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83"/>
      <c r="D204" s="32"/>
      <c r="E204" s="32"/>
      <c r="F204" s="32"/>
      <c r="G204" s="32">
        <f t="shared" si="57"/>
        <v>0</v>
      </c>
      <c r="H204" s="10"/>
      <c r="I204" s="10"/>
      <c r="J204" s="10"/>
      <c r="K204" s="12">
        <f t="shared" si="58"/>
        <v>0</v>
      </c>
      <c r="M204" s="10">
        <v>28</v>
      </c>
      <c r="N204" s="30"/>
      <c r="O204" s="31"/>
      <c r="P204" s="47"/>
      <c r="Q204" s="31"/>
      <c r="R204" s="31"/>
      <c r="S204" s="32">
        <f t="shared" si="59"/>
        <v>0</v>
      </c>
      <c r="T204" s="10"/>
      <c r="U204" s="10"/>
      <c r="V204" s="10"/>
      <c r="W204" s="12">
        <f t="shared" si="60"/>
        <v>0</v>
      </c>
      <c r="Y204" s="10">
        <v>28</v>
      </c>
      <c r="Z204" s="30"/>
      <c r="AA204" s="31"/>
      <c r="AB204" s="47"/>
      <c r="AC204" s="31"/>
      <c r="AD204" s="31"/>
      <c r="AE204" s="32">
        <f t="shared" si="67"/>
        <v>0</v>
      </c>
      <c r="AF204" s="10"/>
      <c r="AG204" s="10"/>
      <c r="AH204" s="10"/>
      <c r="AI204" s="12">
        <f t="shared" si="62"/>
        <v>0</v>
      </c>
      <c r="AK204" s="62"/>
      <c r="AL204" s="66"/>
      <c r="AM204" s="86"/>
      <c r="AN204" s="68"/>
      <c r="AO204" s="86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83"/>
      <c r="D205" s="32"/>
      <c r="E205" s="32"/>
      <c r="F205" s="32"/>
      <c r="G205" s="32">
        <f t="shared" si="57"/>
        <v>0</v>
      </c>
      <c r="H205" s="10"/>
      <c r="I205" s="10"/>
      <c r="J205" s="10"/>
      <c r="K205" s="12">
        <f t="shared" si="58"/>
        <v>0</v>
      </c>
      <c r="M205" s="10">
        <v>29</v>
      </c>
      <c r="N205" s="30"/>
      <c r="O205" s="31"/>
      <c r="P205" s="47"/>
      <c r="Q205" s="31"/>
      <c r="R205" s="31"/>
      <c r="S205" s="32">
        <f t="shared" si="59"/>
        <v>0</v>
      </c>
      <c r="T205" s="10"/>
      <c r="U205" s="10"/>
      <c r="V205" s="10"/>
      <c r="W205" s="12">
        <f t="shared" si="60"/>
        <v>0</v>
      </c>
      <c r="Y205" s="10">
        <v>29</v>
      </c>
      <c r="Z205" s="30"/>
      <c r="AA205" s="31"/>
      <c r="AB205" s="47"/>
      <c r="AC205" s="31"/>
      <c r="AD205" s="31"/>
      <c r="AE205" s="32">
        <f t="shared" si="67"/>
        <v>0</v>
      </c>
      <c r="AF205" s="10"/>
      <c r="AG205" s="10"/>
      <c r="AH205" s="10"/>
      <c r="AI205" s="12">
        <f t="shared" si="62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83"/>
      <c r="D206" s="32"/>
      <c r="E206" s="32"/>
      <c r="F206" s="32"/>
      <c r="G206" s="32">
        <f t="shared" si="57"/>
        <v>0</v>
      </c>
      <c r="H206" s="10"/>
      <c r="I206" s="10"/>
      <c r="J206" s="10"/>
      <c r="K206" s="12">
        <f t="shared" si="58"/>
        <v>0</v>
      </c>
      <c r="M206" s="10">
        <v>30</v>
      </c>
      <c r="N206" s="30"/>
      <c r="O206" s="31"/>
      <c r="P206" s="47"/>
      <c r="Q206" s="31"/>
      <c r="R206" s="31"/>
      <c r="S206" s="32">
        <f t="shared" si="59"/>
        <v>0</v>
      </c>
      <c r="T206" s="10"/>
      <c r="U206" s="10"/>
      <c r="V206" s="10"/>
      <c r="W206" s="12">
        <f t="shared" si="60"/>
        <v>0</v>
      </c>
      <c r="Y206" s="10">
        <v>30</v>
      </c>
      <c r="Z206" s="30"/>
      <c r="AA206" s="31"/>
      <c r="AB206" s="47"/>
      <c r="AC206" s="31"/>
      <c r="AD206" s="31"/>
      <c r="AE206" s="32">
        <f t="shared" si="67"/>
        <v>0</v>
      </c>
      <c r="AF206" s="10"/>
      <c r="AG206" s="10"/>
      <c r="AH206" s="10"/>
      <c r="AI206" s="12">
        <f t="shared" si="62"/>
        <v>0</v>
      </c>
      <c r="AK206" s="62"/>
      <c r="AL206" s="66"/>
      <c r="AM206" s="86"/>
      <c r="AN206" s="69"/>
      <c r="AO206" s="86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83"/>
      <c r="D207" s="32"/>
      <c r="E207" s="32"/>
      <c r="F207" s="32"/>
      <c r="G207" s="32">
        <f t="shared" si="57"/>
        <v>0</v>
      </c>
      <c r="H207" s="10"/>
      <c r="I207" s="10"/>
      <c r="J207" s="10"/>
      <c r="K207" s="12">
        <f t="shared" si="58"/>
        <v>0</v>
      </c>
      <c r="M207" s="10">
        <v>31</v>
      </c>
      <c r="N207" s="30"/>
      <c r="O207" s="31"/>
      <c r="P207" s="47"/>
      <c r="Q207" s="31"/>
      <c r="R207" s="31"/>
      <c r="S207" s="32">
        <f t="shared" si="59"/>
        <v>0</v>
      </c>
      <c r="T207" s="10"/>
      <c r="U207" s="10"/>
      <c r="V207" s="10"/>
      <c r="W207" s="12">
        <f t="shared" si="60"/>
        <v>0</v>
      </c>
      <c r="Y207" s="10">
        <v>31</v>
      </c>
      <c r="Z207" s="30"/>
      <c r="AA207" s="31"/>
      <c r="AB207" s="47"/>
      <c r="AC207" s="31"/>
      <c r="AD207" s="31"/>
      <c r="AE207" s="32">
        <f t="shared" si="67"/>
        <v>0</v>
      </c>
      <c r="AF207" s="10"/>
      <c r="AG207" s="10"/>
      <c r="AH207" s="10"/>
      <c r="AI207" s="12">
        <f t="shared" si="62"/>
        <v>0</v>
      </c>
      <c r="AK207" s="62"/>
      <c r="AL207" s="66"/>
      <c r="AM207" s="86"/>
      <c r="AN207" s="69"/>
      <c r="AO207" s="86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83"/>
      <c r="D208" s="32"/>
      <c r="E208" s="32"/>
      <c r="F208" s="32"/>
      <c r="G208" s="32">
        <f t="shared" si="57"/>
        <v>0</v>
      </c>
      <c r="H208" s="10"/>
      <c r="I208" s="10"/>
      <c r="J208" s="10"/>
      <c r="K208" s="12">
        <f t="shared" si="58"/>
        <v>0</v>
      </c>
      <c r="M208" s="10">
        <v>32</v>
      </c>
      <c r="N208" s="30"/>
      <c r="O208" s="31"/>
      <c r="P208" s="47"/>
      <c r="Q208" s="31"/>
      <c r="R208" s="31"/>
      <c r="S208" s="32">
        <f t="shared" si="59"/>
        <v>0</v>
      </c>
      <c r="T208" s="10"/>
      <c r="U208" s="10"/>
      <c r="V208" s="10"/>
      <c r="W208" s="12">
        <f t="shared" si="60"/>
        <v>0</v>
      </c>
      <c r="Y208" s="10">
        <v>32</v>
      </c>
      <c r="Z208" s="30"/>
      <c r="AA208" s="31"/>
      <c r="AB208" s="47"/>
      <c r="AC208" s="31"/>
      <c r="AD208" s="31"/>
      <c r="AE208" s="32">
        <f t="shared" si="67"/>
        <v>0</v>
      </c>
      <c r="AF208" s="10"/>
      <c r="AG208" s="10"/>
      <c r="AH208" s="10"/>
      <c r="AI208" s="12">
        <f t="shared" si="62"/>
        <v>0</v>
      </c>
      <c r="AK208" s="62"/>
      <c r="AL208" s="66"/>
      <c r="AM208" s="62"/>
      <c r="AN208" s="69"/>
      <c r="AO208" s="86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83"/>
      <c r="D209" s="32"/>
      <c r="E209" s="32"/>
      <c r="F209" s="32"/>
      <c r="G209" s="32">
        <f t="shared" si="57"/>
        <v>0</v>
      </c>
      <c r="H209" s="10"/>
      <c r="I209" s="10"/>
      <c r="J209" s="10"/>
      <c r="K209" s="12">
        <f t="shared" si="58"/>
        <v>0</v>
      </c>
      <c r="M209" s="10">
        <v>33</v>
      </c>
      <c r="N209" s="30"/>
      <c r="O209" s="31"/>
      <c r="P209" s="47"/>
      <c r="Q209" s="31"/>
      <c r="R209" s="31"/>
      <c r="S209" s="32">
        <f t="shared" si="59"/>
        <v>0</v>
      </c>
      <c r="T209" s="10"/>
      <c r="U209" s="10"/>
      <c r="V209" s="10"/>
      <c r="W209" s="12">
        <f t="shared" si="60"/>
        <v>0</v>
      </c>
      <c r="Y209" s="10">
        <v>33</v>
      </c>
      <c r="Z209" s="30"/>
      <c r="AA209" s="31"/>
      <c r="AB209" s="47"/>
      <c r="AC209" s="31"/>
      <c r="AD209" s="31"/>
      <c r="AE209" s="32">
        <f t="shared" si="67"/>
        <v>0</v>
      </c>
      <c r="AF209" s="10"/>
      <c r="AG209" s="10"/>
      <c r="AH209" s="10"/>
      <c r="AI209" s="12">
        <f t="shared" si="62"/>
        <v>0</v>
      </c>
      <c r="AK209" s="62"/>
      <c r="AL209" s="66"/>
      <c r="AM209" s="86"/>
      <c r="AN209" s="69"/>
      <c r="AO209" s="86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83"/>
      <c r="D210" s="32"/>
      <c r="E210" s="32"/>
      <c r="F210" s="32"/>
      <c r="G210" s="32">
        <f t="shared" si="57"/>
        <v>0</v>
      </c>
      <c r="H210" s="10"/>
      <c r="I210" s="10"/>
      <c r="J210" s="10"/>
      <c r="K210" s="12">
        <f t="shared" si="58"/>
        <v>0</v>
      </c>
      <c r="M210" s="10">
        <v>34</v>
      </c>
      <c r="N210" s="30"/>
      <c r="O210" s="31"/>
      <c r="P210" s="47"/>
      <c r="Q210" s="31"/>
      <c r="R210" s="31"/>
      <c r="S210" s="32">
        <f t="shared" si="59"/>
        <v>0</v>
      </c>
      <c r="T210" s="10"/>
      <c r="U210" s="10"/>
      <c r="V210" s="10"/>
      <c r="W210" s="12">
        <f t="shared" si="60"/>
        <v>0</v>
      </c>
      <c r="Y210" s="10">
        <v>34</v>
      </c>
      <c r="Z210" s="30"/>
      <c r="AA210" s="31"/>
      <c r="AB210" s="47"/>
      <c r="AC210" s="31"/>
      <c r="AD210" s="31"/>
      <c r="AE210" s="32">
        <f t="shared" ref="AE210:AE215" si="68">SUM(AB210:AC210)</f>
        <v>0</v>
      </c>
      <c r="AF210" s="10"/>
      <c r="AG210" s="10"/>
      <c r="AH210" s="10"/>
      <c r="AI210" s="12">
        <f t="shared" ref="AI210:AI218" si="69">SUM(AE210:AH210)</f>
        <v>0</v>
      </c>
      <c r="AK210" s="62"/>
      <c r="AL210" s="66"/>
      <c r="AM210" s="86"/>
      <c r="AN210" s="69"/>
      <c r="AO210" s="86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83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59"/>
        <v>0</v>
      </c>
      <c r="T211" s="10"/>
      <c r="U211" s="10"/>
      <c r="V211" s="10"/>
      <c r="W211" s="12">
        <f t="shared" si="60"/>
        <v>0</v>
      </c>
      <c r="Y211" s="10">
        <v>35</v>
      </c>
      <c r="Z211" s="30"/>
      <c r="AA211" s="31"/>
      <c r="AB211" s="47"/>
      <c r="AC211" s="31"/>
      <c r="AD211" s="31"/>
      <c r="AE211" s="32">
        <f t="shared" si="68"/>
        <v>0</v>
      </c>
      <c r="AF211" s="10"/>
      <c r="AG211" s="10"/>
      <c r="AH211" s="10"/>
      <c r="AI211" s="12">
        <f t="shared" si="69"/>
        <v>0</v>
      </c>
      <c r="AK211" s="62"/>
      <c r="AL211" s="66"/>
      <c r="AM211" s="86"/>
      <c r="AN211" s="69"/>
      <c r="AO211" s="86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83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59"/>
        <v>0</v>
      </c>
      <c r="T212" s="10"/>
      <c r="U212" s="10"/>
      <c r="V212" s="10"/>
      <c r="W212" s="12">
        <f t="shared" si="60"/>
        <v>0</v>
      </c>
      <c r="Y212" s="10">
        <v>36</v>
      </c>
      <c r="Z212" s="30"/>
      <c r="AA212" s="31"/>
      <c r="AB212" s="47"/>
      <c r="AC212" s="31"/>
      <c r="AD212" s="31"/>
      <c r="AE212" s="32">
        <f t="shared" si="68"/>
        <v>0</v>
      </c>
      <c r="AF212" s="10"/>
      <c r="AG212" s="10"/>
      <c r="AH212" s="10"/>
      <c r="AI212" s="12">
        <f t="shared" si="69"/>
        <v>0</v>
      </c>
      <c r="AK212" s="62"/>
      <c r="AL212" s="66"/>
      <c r="AM212" s="86"/>
      <c r="AN212" s="69"/>
      <c r="AO212" s="86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59"/>
        <v>0</v>
      </c>
      <c r="T213" s="10"/>
      <c r="U213" s="10"/>
      <c r="V213" s="10"/>
      <c r="W213" s="12">
        <f t="shared" si="60"/>
        <v>0</v>
      </c>
      <c r="Y213" s="10">
        <v>37</v>
      </c>
      <c r="Z213" s="30"/>
      <c r="AA213" s="31"/>
      <c r="AB213" s="47"/>
      <c r="AC213" s="31"/>
      <c r="AD213" s="31"/>
      <c r="AE213" s="32">
        <f t="shared" si="68"/>
        <v>0</v>
      </c>
      <c r="AF213" s="10"/>
      <c r="AG213" s="10"/>
      <c r="AH213" s="10"/>
      <c r="AI213" s="12">
        <f t="shared" si="69"/>
        <v>0</v>
      </c>
      <c r="AK213" s="62"/>
      <c r="AL213" s="66"/>
      <c r="AM213" s="86"/>
      <c r="AN213" s="69"/>
      <c r="AO213" s="86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59"/>
        <v>0</v>
      </c>
      <c r="T214" s="10"/>
      <c r="U214" s="10"/>
      <c r="V214" s="10"/>
      <c r="W214" s="12">
        <f t="shared" si="60"/>
        <v>0</v>
      </c>
      <c r="Y214" s="10">
        <v>38</v>
      </c>
      <c r="Z214" s="30"/>
      <c r="AA214" s="31"/>
      <c r="AB214" s="47"/>
      <c r="AC214" s="31"/>
      <c r="AD214" s="31"/>
      <c r="AE214" s="32">
        <f t="shared" si="68"/>
        <v>0</v>
      </c>
      <c r="AF214" s="10"/>
      <c r="AG214" s="10"/>
      <c r="AH214" s="10"/>
      <c r="AI214" s="12">
        <f t="shared" si="69"/>
        <v>0</v>
      </c>
      <c r="AK214" s="62"/>
      <c r="AL214" s="66"/>
      <c r="AM214" s="86"/>
      <c r="AN214" s="69"/>
      <c r="AO214" s="86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59"/>
        <v>0</v>
      </c>
      <c r="T215" s="10"/>
      <c r="U215" s="10"/>
      <c r="V215" s="10"/>
      <c r="W215" s="12">
        <f t="shared" si="60"/>
        <v>0</v>
      </c>
      <c r="Y215" s="10">
        <v>39</v>
      </c>
      <c r="Z215" s="30"/>
      <c r="AA215" s="31"/>
      <c r="AB215" s="47"/>
      <c r="AC215" s="31"/>
      <c r="AD215" s="31"/>
      <c r="AE215" s="32">
        <f t="shared" si="68"/>
        <v>0</v>
      </c>
      <c r="AF215" s="10"/>
      <c r="AG215" s="10"/>
      <c r="AH215" s="10"/>
      <c r="AI215" s="12">
        <f t="shared" si="69"/>
        <v>0</v>
      </c>
      <c r="AK215" s="62"/>
      <c r="AL215" s="66"/>
      <c r="AM215" s="86"/>
      <c r="AN215" s="69"/>
      <c r="AO215" s="86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60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69"/>
        <v>0</v>
      </c>
      <c r="AK216" s="62"/>
      <c r="AL216" s="66"/>
      <c r="AM216" s="86"/>
      <c r="AN216" s="69"/>
      <c r="AO216" s="86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70">SUM(D217:E217)</f>
        <v>0</v>
      </c>
      <c r="H217" s="10"/>
      <c r="I217" s="10"/>
      <c r="J217" s="10"/>
      <c r="K217" s="12">
        <f t="shared" ref="K217" si="71">SUM(G217:J217)</f>
        <v>0</v>
      </c>
      <c r="M217" s="10"/>
      <c r="N217" s="30"/>
      <c r="O217" s="31"/>
      <c r="P217" s="47"/>
      <c r="Q217" s="31"/>
      <c r="R217" s="31"/>
      <c r="S217" s="32">
        <f t="shared" ref="S217" si="72">SUM(P217:Q217)</f>
        <v>0</v>
      </c>
      <c r="T217" s="10"/>
      <c r="U217" s="10"/>
      <c r="V217" s="10"/>
      <c r="W217" s="12">
        <f t="shared" si="60"/>
        <v>0</v>
      </c>
      <c r="Y217" s="10"/>
      <c r="Z217" s="30"/>
      <c r="AA217" s="31"/>
      <c r="AB217" s="47"/>
      <c r="AC217" s="31"/>
      <c r="AD217" s="31"/>
      <c r="AE217" s="32">
        <f t="shared" ref="AE217" si="73">SUM(AB217:AC217)</f>
        <v>0</v>
      </c>
      <c r="AF217" s="10"/>
      <c r="AG217" s="10"/>
      <c r="AH217" s="10"/>
      <c r="AI217" s="12">
        <f t="shared" si="69"/>
        <v>0</v>
      </c>
      <c r="AK217" s="62"/>
      <c r="AL217" s="66"/>
      <c r="AM217" s="86"/>
      <c r="AN217" s="69"/>
      <c r="AO217" s="86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60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69"/>
        <v>0</v>
      </c>
      <c r="AK218" s="62"/>
      <c r="AL218" s="66"/>
      <c r="AM218" s="86"/>
      <c r="AN218" s="69"/>
      <c r="AO218" s="86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6"/>
      <c r="AN219" s="69"/>
      <c r="AO219" s="86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454377</v>
      </c>
      <c r="E220" s="38">
        <f t="shared" ref="E220:F220" si="74">SUM(E177:E217)</f>
        <v>-3420</v>
      </c>
      <c r="F220" s="38">
        <f t="shared" si="74"/>
        <v>0</v>
      </c>
      <c r="G220" s="38">
        <f>SUM(G177:G219)</f>
        <v>450957</v>
      </c>
      <c r="H220" s="4"/>
      <c r="I220" s="39">
        <f>SUM(I177:I219)</f>
        <v>33912</v>
      </c>
      <c r="J220" s="39">
        <f>SUM(J177:J219)</f>
        <v>-8214</v>
      </c>
      <c r="K220" s="40">
        <f>SUM(K177:K219)</f>
        <v>476655</v>
      </c>
      <c r="N220" s="57"/>
      <c r="O220" s="57"/>
      <c r="P220" s="38">
        <f>SUM(P177:P219)</f>
        <v>273734</v>
      </c>
      <c r="Q220" s="38">
        <f>SUM(Q177:Q201)</f>
        <v>-1200</v>
      </c>
      <c r="R220" s="38">
        <f>SUM(R177:R201)</f>
        <v>0</v>
      </c>
      <c r="S220" s="38">
        <f>SUM(S177:S219)</f>
        <v>272534</v>
      </c>
      <c r="T220" s="4"/>
      <c r="U220" s="41">
        <f>SUM(U177:U219)</f>
        <v>2056.5</v>
      </c>
      <c r="V220" s="41">
        <f>SUM(V177:V201)</f>
        <v>-1761</v>
      </c>
      <c r="W220" s="42">
        <f>SUM(W177:W219)</f>
        <v>272829.5</v>
      </c>
      <c r="Z220" s="57"/>
      <c r="AA220" s="57"/>
      <c r="AB220" s="38">
        <f>SUM(AB177:AB219)</f>
        <v>609161</v>
      </c>
      <c r="AC220" s="38">
        <f>SUM(AC177:AC201)</f>
        <v>-4944</v>
      </c>
      <c r="AD220" s="38">
        <f>SUM(AD177:AD201)</f>
        <v>0</v>
      </c>
      <c r="AE220" s="38">
        <f>SUM(AE177:AE219)</f>
        <v>604217</v>
      </c>
      <c r="AF220" s="4"/>
      <c r="AG220" s="41">
        <f>SUM(AG177:AG219)</f>
        <v>72</v>
      </c>
      <c r="AH220" s="41">
        <f>SUM(AH177:AH201)</f>
        <v>-5004</v>
      </c>
      <c r="AI220" s="42">
        <f>SUM(AI177:AI219)</f>
        <v>599285</v>
      </c>
      <c r="AK220" s="62"/>
      <c r="AL220" s="66"/>
      <c r="AM220" s="86"/>
      <c r="AN220" s="69"/>
      <c r="AO220" s="86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6"/>
      <c r="AN221" s="69"/>
      <c r="AO221" s="86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t="s">
        <v>0</v>
      </c>
      <c r="B222" s="57"/>
      <c r="C222" s="57"/>
      <c r="D222" s="57"/>
      <c r="E222" s="57"/>
      <c r="G222" s="57"/>
      <c r="M222" t="s">
        <v>0</v>
      </c>
      <c r="N222" s="57"/>
      <c r="O222" s="57"/>
      <c r="P222" s="57"/>
      <c r="Q222" s="57"/>
      <c r="R222" s="57"/>
      <c r="S222" s="57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6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t="s">
        <v>28</v>
      </c>
      <c r="B223" s="57"/>
      <c r="C223" s="57"/>
      <c r="D223" s="57"/>
      <c r="E223" s="57"/>
      <c r="G223" s="57"/>
      <c r="M223" t="s">
        <v>28</v>
      </c>
      <c r="N223" s="57"/>
      <c r="O223" s="57"/>
      <c r="P223" s="57"/>
      <c r="Q223" s="57"/>
      <c r="R223" s="57"/>
      <c r="S223" s="57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6"/>
      <c r="AN223" s="69"/>
      <c r="AO223" s="86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B224" s="57"/>
      <c r="C224" s="57"/>
      <c r="D224" s="57"/>
      <c r="E224" s="57"/>
      <c r="G224" s="57"/>
      <c r="N224" s="57"/>
      <c r="O224" s="57"/>
      <c r="P224" s="57"/>
      <c r="Q224" s="57"/>
      <c r="R224" s="57"/>
      <c r="S224" s="57"/>
      <c r="Z224" s="57"/>
      <c r="AA224" s="57"/>
      <c r="AB224" s="57"/>
      <c r="AC224" s="57"/>
      <c r="AD224" s="57"/>
      <c r="AE224" s="57"/>
      <c r="AK224" s="62"/>
      <c r="AL224" s="86"/>
      <c r="AM224" s="86"/>
      <c r="AN224" s="86"/>
      <c r="AO224" s="86"/>
      <c r="AP224" s="86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4" t="s">
        <v>14</v>
      </c>
      <c r="B225" s="57"/>
      <c r="C225" s="57"/>
      <c r="D225" s="57"/>
      <c r="E225" s="57"/>
      <c r="G225" s="57"/>
      <c r="M225" s="4" t="s">
        <v>14</v>
      </c>
      <c r="N225" s="57"/>
      <c r="O225" s="57"/>
      <c r="P225" s="57"/>
      <c r="Q225" s="57"/>
      <c r="R225" s="57"/>
      <c r="S225" s="57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6"/>
      <c r="AM225" s="86"/>
      <c r="AN225" s="86"/>
      <c r="AO225" s="86"/>
      <c r="AP225" s="86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B226" s="57"/>
      <c r="C226" s="57"/>
      <c r="D226" s="57"/>
      <c r="E226" s="57"/>
      <c r="G226" s="57"/>
      <c r="N226" s="57"/>
      <c r="O226" s="57"/>
      <c r="P226" s="57"/>
      <c r="Q226" s="57"/>
      <c r="R226" s="57"/>
      <c r="S226" s="57"/>
      <c r="Z226" s="57"/>
      <c r="AA226" s="57"/>
      <c r="AB226" s="57"/>
      <c r="AC226" s="57"/>
      <c r="AD226" s="57"/>
      <c r="AE226" s="57"/>
      <c r="AK226" s="62"/>
      <c r="AL226" s="86"/>
      <c r="AM226" s="86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t="s">
        <v>37</v>
      </c>
      <c r="B227" s="57"/>
      <c r="C227" s="57"/>
      <c r="D227" s="57"/>
      <c r="E227" s="57"/>
      <c r="G227" s="57"/>
      <c r="I227" s="57" t="s">
        <v>15</v>
      </c>
      <c r="J227" s="19">
        <v>1</v>
      </c>
      <c r="M227" t="s">
        <v>37</v>
      </c>
      <c r="N227" s="57"/>
      <c r="O227" s="57"/>
      <c r="P227" s="57"/>
      <c r="Q227" s="57"/>
      <c r="R227" s="57"/>
      <c r="S227" s="57"/>
      <c r="U227" s="57" t="s">
        <v>15</v>
      </c>
      <c r="V227" s="19">
        <v>2</v>
      </c>
      <c r="Y227" t="s">
        <v>37</v>
      </c>
      <c r="Z227" s="57"/>
      <c r="AA227" s="57"/>
      <c r="AB227" s="57"/>
      <c r="AC227" s="57"/>
      <c r="AD227" s="57"/>
      <c r="AE227" s="57"/>
      <c r="AG227" s="57" t="s">
        <v>15</v>
      </c>
      <c r="AH227" s="20">
        <v>3</v>
      </c>
      <c r="AK227" s="62"/>
      <c r="AL227" s="86"/>
      <c r="AM227" s="86"/>
      <c r="AN227" s="72"/>
      <c r="AO227" s="86"/>
      <c r="AP227" s="86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21" t="s">
        <v>51</v>
      </c>
      <c r="B228" s="20"/>
      <c r="C228" s="57"/>
      <c r="D228" s="57"/>
      <c r="E228" s="57"/>
      <c r="G228" s="57"/>
      <c r="I228" s="22" t="s">
        <v>16</v>
      </c>
      <c r="J228" s="23" t="s">
        <v>31</v>
      </c>
      <c r="K228" s="24"/>
      <c r="M228" s="21" t="s">
        <v>51</v>
      </c>
      <c r="N228" s="20"/>
      <c r="O228" s="57"/>
      <c r="P228" s="57"/>
      <c r="Q228" s="57"/>
      <c r="R228" s="57"/>
      <c r="S228" s="57"/>
      <c r="U228" s="22" t="s">
        <v>16</v>
      </c>
      <c r="V228" s="23" t="s">
        <v>33</v>
      </c>
      <c r="W228" s="24"/>
      <c r="Y228" s="21" t="s">
        <v>51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34</v>
      </c>
      <c r="AI228" s="24"/>
      <c r="AK228" s="62"/>
      <c r="AL228" s="86"/>
      <c r="AM228" s="86"/>
      <c r="AN228" s="86"/>
      <c r="AO228" s="86"/>
      <c r="AP228" s="86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B229" s="57"/>
      <c r="C229" s="57"/>
      <c r="D229" s="57"/>
      <c r="E229" s="57"/>
      <c r="G229" s="57"/>
      <c r="N229" s="57"/>
      <c r="O229" s="57"/>
      <c r="P229" s="57"/>
      <c r="Q229" s="57"/>
      <c r="R229" s="57"/>
      <c r="S229" s="57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B230" s="25"/>
      <c r="C230" s="26"/>
      <c r="D230" s="120" t="s">
        <v>17</v>
      </c>
      <c r="E230" s="120"/>
      <c r="F230" s="95"/>
      <c r="G230" s="27"/>
      <c r="I230" s="118" t="s">
        <v>18</v>
      </c>
      <c r="J230" s="119"/>
      <c r="K230" s="116" t="s">
        <v>19</v>
      </c>
      <c r="N230" s="25"/>
      <c r="O230" s="26"/>
      <c r="P230" s="120" t="s">
        <v>17</v>
      </c>
      <c r="Q230" s="120"/>
      <c r="R230" s="95"/>
      <c r="S230" s="27"/>
      <c r="U230" s="118" t="s">
        <v>18</v>
      </c>
      <c r="V230" s="119"/>
      <c r="W230" s="116" t="s">
        <v>19</v>
      </c>
      <c r="Z230" s="25"/>
      <c r="AA230" s="26"/>
      <c r="AB230" s="120" t="s">
        <v>17</v>
      </c>
      <c r="AC230" s="120"/>
      <c r="AD230" s="95"/>
      <c r="AE230" s="27"/>
      <c r="AG230" s="118" t="s">
        <v>18</v>
      </c>
      <c r="AH230" s="119"/>
      <c r="AI230" s="116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B231" s="28" t="s">
        <v>20</v>
      </c>
      <c r="C231" s="28" t="s">
        <v>21</v>
      </c>
      <c r="D231" s="77" t="s">
        <v>22</v>
      </c>
      <c r="E231" s="76" t="s">
        <v>23</v>
      </c>
      <c r="F231" s="78" t="s">
        <v>32</v>
      </c>
      <c r="G231" s="78" t="s">
        <v>24</v>
      </c>
      <c r="I231" s="29" t="s">
        <v>25</v>
      </c>
      <c r="J231" s="29" t="s">
        <v>26</v>
      </c>
      <c r="K231" s="117"/>
      <c r="N231" s="28" t="s">
        <v>20</v>
      </c>
      <c r="O231" s="28" t="s">
        <v>21</v>
      </c>
      <c r="P231" s="77" t="s">
        <v>22</v>
      </c>
      <c r="Q231" s="78" t="s">
        <v>23</v>
      </c>
      <c r="R231" s="78" t="s">
        <v>32</v>
      </c>
      <c r="S231" s="78" t="s">
        <v>24</v>
      </c>
      <c r="U231" s="29" t="s">
        <v>25</v>
      </c>
      <c r="V231" s="29" t="s">
        <v>26</v>
      </c>
      <c r="W231" s="117"/>
      <c r="Z231" s="28" t="s">
        <v>20</v>
      </c>
      <c r="AA231" s="28" t="s">
        <v>21</v>
      </c>
      <c r="AB231" s="77" t="s">
        <v>22</v>
      </c>
      <c r="AC231" s="78" t="s">
        <v>23</v>
      </c>
      <c r="AD231" s="78" t="s">
        <v>32</v>
      </c>
      <c r="AE231" s="78" t="s">
        <v>24</v>
      </c>
      <c r="AG231" s="29" t="s">
        <v>25</v>
      </c>
      <c r="AH231" s="29" t="s">
        <v>26</v>
      </c>
      <c r="AI231" s="117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10">
        <v>1</v>
      </c>
      <c r="B232" s="30">
        <v>46238</v>
      </c>
      <c r="C232" s="83">
        <v>9983</v>
      </c>
      <c r="D232" s="32">
        <f>650*432+229*15</f>
        <v>284235</v>
      </c>
      <c r="E232" s="32">
        <f>-432*6</f>
        <v>-2592</v>
      </c>
      <c r="F232" s="32"/>
      <c r="G232" s="32">
        <f t="shared" ref="G232:G265" si="75">SUM(D232:E232)</f>
        <v>281643</v>
      </c>
      <c r="H232" s="12"/>
      <c r="I232" s="12">
        <f>48*111+540+85.5</f>
        <v>5953.5</v>
      </c>
      <c r="J232" s="12"/>
      <c r="K232" s="12">
        <f t="shared" ref="K232:K265" si="76">SUM(G232:J232)</f>
        <v>287596.5</v>
      </c>
      <c r="M232" s="10">
        <v>1</v>
      </c>
      <c r="N232" s="30">
        <v>46238</v>
      </c>
      <c r="O232" s="31">
        <v>10065</v>
      </c>
      <c r="P232" s="32">
        <f>650*2+9.5*2</f>
        <v>1319</v>
      </c>
      <c r="Q232" s="32"/>
      <c r="R232" s="32"/>
      <c r="S232" s="32">
        <f>SUM(P232:Q232)</f>
        <v>1319</v>
      </c>
      <c r="T232" s="12"/>
      <c r="U232" s="12"/>
      <c r="V232" s="12">
        <v>-1110</v>
      </c>
      <c r="W232" s="12">
        <f>SUM(S232:V232)</f>
        <v>209</v>
      </c>
      <c r="Y232" s="10">
        <v>1</v>
      </c>
      <c r="Z232" s="30">
        <v>46238</v>
      </c>
      <c r="AA232" s="31">
        <v>10008</v>
      </c>
      <c r="AB232" s="32">
        <f>650*50+622*15+229</f>
        <v>42059</v>
      </c>
      <c r="AC232" s="32">
        <f>-65*6</f>
        <v>-390</v>
      </c>
      <c r="AD232" s="32"/>
      <c r="AE232" s="32">
        <f>SUM(AB232:AC232)</f>
        <v>41669</v>
      </c>
      <c r="AF232" s="12"/>
      <c r="AG232" s="12"/>
      <c r="AH232" s="12"/>
      <c r="AI232" s="12">
        <f>SUM(AE232:AH232)</f>
        <v>41669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10">
        <v>2</v>
      </c>
      <c r="B233" s="30">
        <v>46238</v>
      </c>
      <c r="C233" s="83">
        <f>C232+1</f>
        <v>9984</v>
      </c>
      <c r="D233" s="32">
        <f>650*107</f>
        <v>69550</v>
      </c>
      <c r="E233" s="32"/>
      <c r="F233" s="32"/>
      <c r="G233" s="32">
        <f t="shared" si="75"/>
        <v>69550</v>
      </c>
      <c r="H233" s="12"/>
      <c r="I233" s="12"/>
      <c r="J233" s="12">
        <v>-3219</v>
      </c>
      <c r="K233" s="12">
        <f t="shared" si="76"/>
        <v>66331</v>
      </c>
      <c r="M233" s="10">
        <v>2</v>
      </c>
      <c r="N233" s="30">
        <v>46238</v>
      </c>
      <c r="O233" s="31">
        <f>O232+1</f>
        <v>10066</v>
      </c>
      <c r="P233" s="32">
        <f>650*21+622*3+229</f>
        <v>15745</v>
      </c>
      <c r="Q233" s="32"/>
      <c r="R233" s="32"/>
      <c r="S233" s="32">
        <f t="shared" ref="S233:S270" si="77">SUM(P233:Q233)</f>
        <v>15745</v>
      </c>
      <c r="T233" s="12"/>
      <c r="U233" s="12">
        <v>36</v>
      </c>
      <c r="V233" s="12"/>
      <c r="W233" s="12">
        <f t="shared" ref="W233:W273" si="78">SUM(S233:V233)</f>
        <v>15781</v>
      </c>
      <c r="Y233" s="10">
        <v>2</v>
      </c>
      <c r="Z233" s="30">
        <v>46238</v>
      </c>
      <c r="AA233" s="31">
        <f>AA232+1</f>
        <v>10009</v>
      </c>
      <c r="AB233" s="32">
        <f>650*187+622*20+912*2+872*2+229*4+650*2</f>
        <v>139774</v>
      </c>
      <c r="AC233" s="32">
        <f>-211*6</f>
        <v>-1266</v>
      </c>
      <c r="AD233" s="32"/>
      <c r="AE233" s="32">
        <f t="shared" ref="AE233:AE235" si="79">SUM(AB233:AC233)</f>
        <v>138508</v>
      </c>
      <c r="AF233" s="12"/>
      <c r="AG233" s="12"/>
      <c r="AH233" s="12"/>
      <c r="AI233" s="12">
        <f t="shared" ref="AI233:AI264" si="80">SUM(AE233:AH233)</f>
        <v>138508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10">
        <v>3</v>
      </c>
      <c r="B234" s="30">
        <v>46238</v>
      </c>
      <c r="C234" s="83">
        <f t="shared" ref="C234" si="81">C233+1</f>
        <v>9985</v>
      </c>
      <c r="D234" s="33">
        <f>650</f>
        <v>650</v>
      </c>
      <c r="E234" s="32"/>
      <c r="F234" s="33"/>
      <c r="G234" s="33">
        <f t="shared" si="75"/>
        <v>650</v>
      </c>
      <c r="H234" s="34"/>
      <c r="I234" s="34"/>
      <c r="J234" s="34"/>
      <c r="K234" s="34">
        <f t="shared" si="76"/>
        <v>650</v>
      </c>
      <c r="M234" s="10">
        <v>3</v>
      </c>
      <c r="N234" s="30">
        <v>46238</v>
      </c>
      <c r="O234" s="31">
        <f t="shared" ref="O234:O238" si="82">O233+1</f>
        <v>10067</v>
      </c>
      <c r="P234" s="32">
        <f>650*112+229</f>
        <v>73029</v>
      </c>
      <c r="Q234" s="32">
        <f>-112*6</f>
        <v>-672</v>
      </c>
      <c r="R234" s="32"/>
      <c r="S234" s="32">
        <f t="shared" si="77"/>
        <v>72357</v>
      </c>
      <c r="T234" s="12"/>
      <c r="U234" s="12">
        <v>24</v>
      </c>
      <c r="V234" s="12"/>
      <c r="W234" s="12">
        <f t="shared" si="78"/>
        <v>72381</v>
      </c>
      <c r="Y234" s="10">
        <v>3</v>
      </c>
      <c r="Z234" s="30">
        <v>46238</v>
      </c>
      <c r="AA234" s="31">
        <f t="shared" ref="AA234:AA238" si="83">AA233+1</f>
        <v>10010</v>
      </c>
      <c r="AB234" s="33">
        <f>650*200+670*3+622*50+872*2+229*10</f>
        <v>167144</v>
      </c>
      <c r="AC234" s="33">
        <f>-255*6</f>
        <v>-1530</v>
      </c>
      <c r="AD234" s="32"/>
      <c r="AE234" s="32">
        <f t="shared" si="79"/>
        <v>165614</v>
      </c>
      <c r="AF234" s="12"/>
      <c r="AG234" s="12"/>
      <c r="AH234" s="12"/>
      <c r="AI234" s="12">
        <f t="shared" si="80"/>
        <v>165614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10">
        <v>4</v>
      </c>
      <c r="B235" s="30"/>
      <c r="C235" s="11" t="s">
        <v>27</v>
      </c>
      <c r="D235" s="32"/>
      <c r="E235" s="32"/>
      <c r="F235" s="32"/>
      <c r="G235" s="32">
        <f t="shared" si="75"/>
        <v>0</v>
      </c>
      <c r="H235" s="12"/>
      <c r="I235" s="12"/>
      <c r="J235" s="12"/>
      <c r="K235" s="12">
        <f t="shared" si="76"/>
        <v>0</v>
      </c>
      <c r="M235" s="10">
        <v>4</v>
      </c>
      <c r="N235" s="30">
        <v>46238</v>
      </c>
      <c r="O235" s="31">
        <f t="shared" si="82"/>
        <v>10068</v>
      </c>
      <c r="P235" s="32">
        <f>650*83+622*10+229*2</f>
        <v>60628</v>
      </c>
      <c r="Q235" s="32"/>
      <c r="R235" s="32"/>
      <c r="S235" s="32">
        <f t="shared" si="77"/>
        <v>60628</v>
      </c>
      <c r="T235" s="12"/>
      <c r="U235" s="12">
        <f>1.5*48+4.5*2</f>
        <v>81</v>
      </c>
      <c r="V235" s="12"/>
      <c r="W235" s="12">
        <f t="shared" si="78"/>
        <v>60709</v>
      </c>
      <c r="Y235" s="10">
        <v>4</v>
      </c>
      <c r="Z235" s="30">
        <v>46238</v>
      </c>
      <c r="AA235" s="31">
        <f t="shared" si="83"/>
        <v>10011</v>
      </c>
      <c r="AB235" s="32">
        <f>650*136+670*7+229*5</f>
        <v>94235</v>
      </c>
      <c r="AC235" s="32">
        <f>-143*6</f>
        <v>-858</v>
      </c>
      <c r="AD235" s="32"/>
      <c r="AE235" s="32">
        <f t="shared" si="79"/>
        <v>93377</v>
      </c>
      <c r="AF235" s="12"/>
      <c r="AH235" s="12">
        <f>-78*3</f>
        <v>-234</v>
      </c>
      <c r="AI235" s="12">
        <f t="shared" si="80"/>
        <v>93143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10">
        <v>5</v>
      </c>
      <c r="B236" s="30"/>
      <c r="C236" s="83"/>
      <c r="D236" s="32"/>
      <c r="E236" s="32"/>
      <c r="F236" s="32"/>
      <c r="G236" s="32">
        <f t="shared" si="75"/>
        <v>0</v>
      </c>
      <c r="H236" s="12"/>
      <c r="I236" s="12"/>
      <c r="J236" s="12"/>
      <c r="K236" s="12">
        <f t="shared" si="76"/>
        <v>0</v>
      </c>
      <c r="M236" s="10">
        <v>5</v>
      </c>
      <c r="N236" s="30">
        <v>46238</v>
      </c>
      <c r="O236" s="31">
        <f t="shared" si="82"/>
        <v>10069</v>
      </c>
      <c r="P236" s="32">
        <f>650*108+622*29+229*3</f>
        <v>88925</v>
      </c>
      <c r="Q236" s="32">
        <f>-137*6</f>
        <v>-822</v>
      </c>
      <c r="R236" s="32"/>
      <c r="S236" s="32">
        <f t="shared" si="77"/>
        <v>88103</v>
      </c>
      <c r="T236" s="12"/>
      <c r="U236" s="12">
        <v>156</v>
      </c>
      <c r="V236" s="12">
        <v>-126</v>
      </c>
      <c r="W236" s="12">
        <f t="shared" si="78"/>
        <v>88133</v>
      </c>
      <c r="Y236" s="10">
        <v>5</v>
      </c>
      <c r="Z236" s="30">
        <v>46238</v>
      </c>
      <c r="AA236" s="31">
        <f t="shared" si="83"/>
        <v>10012</v>
      </c>
      <c r="AB236" s="32">
        <f>650*12+622*5</f>
        <v>10910</v>
      </c>
      <c r="AC236" s="32"/>
      <c r="AD236" s="32"/>
      <c r="AE236" s="32">
        <f t="shared" ref="AE236:AE237" si="84">SUM(AB236:AC236)</f>
        <v>10910</v>
      </c>
      <c r="AF236" s="12"/>
      <c r="AG236" s="12"/>
      <c r="AH236" s="12"/>
      <c r="AI236" s="12">
        <f t="shared" si="80"/>
        <v>10910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10">
        <v>6</v>
      </c>
      <c r="B237" s="30"/>
      <c r="C237" s="83"/>
      <c r="D237" s="32"/>
      <c r="E237" s="32"/>
      <c r="F237" s="32"/>
      <c r="G237" s="32">
        <f t="shared" si="75"/>
        <v>0</v>
      </c>
      <c r="H237" s="12"/>
      <c r="I237" s="12"/>
      <c r="J237" s="12"/>
      <c r="K237" s="12">
        <f t="shared" si="76"/>
        <v>0</v>
      </c>
      <c r="M237" s="10">
        <v>6</v>
      </c>
      <c r="N237" s="30">
        <v>46238</v>
      </c>
      <c r="O237" s="31">
        <f t="shared" si="82"/>
        <v>10070</v>
      </c>
      <c r="P237" s="32">
        <f>650+9.5</f>
        <v>659.5</v>
      </c>
      <c r="Q237" s="32"/>
      <c r="R237" s="32"/>
      <c r="S237" s="32">
        <f t="shared" si="77"/>
        <v>659.5</v>
      </c>
      <c r="T237" s="12"/>
      <c r="U237" s="12"/>
      <c r="V237" s="10">
        <f>-120+-111*3+-78*2</f>
        <v>-609</v>
      </c>
      <c r="W237" s="12">
        <f t="shared" si="78"/>
        <v>50.5</v>
      </c>
      <c r="Y237" s="10">
        <v>6</v>
      </c>
      <c r="Z237" s="30">
        <v>46238</v>
      </c>
      <c r="AA237" s="31">
        <f t="shared" si="83"/>
        <v>10013</v>
      </c>
      <c r="AB237" s="32">
        <f>650*12</f>
        <v>7800</v>
      </c>
      <c r="AC237" s="32"/>
      <c r="AD237" s="32"/>
      <c r="AE237" s="32">
        <f t="shared" si="84"/>
        <v>7800</v>
      </c>
      <c r="AF237" s="12"/>
      <c r="AG237" s="12"/>
      <c r="AH237" s="10"/>
      <c r="AI237" s="12">
        <f t="shared" si="80"/>
        <v>7800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10">
        <v>7</v>
      </c>
      <c r="B238" s="30"/>
      <c r="C238" s="83"/>
      <c r="D238" s="32"/>
      <c r="E238" s="32"/>
      <c r="F238" s="32"/>
      <c r="G238" s="32">
        <f t="shared" si="75"/>
        <v>0</v>
      </c>
      <c r="H238" s="12"/>
      <c r="I238" s="12"/>
      <c r="J238" s="12"/>
      <c r="K238" s="12">
        <f t="shared" si="76"/>
        <v>0</v>
      </c>
      <c r="M238" s="10">
        <v>7</v>
      </c>
      <c r="N238" s="30">
        <v>46238</v>
      </c>
      <c r="O238" s="31">
        <f t="shared" si="82"/>
        <v>10071</v>
      </c>
      <c r="P238" s="32">
        <f>622*6</f>
        <v>3732</v>
      </c>
      <c r="Q238" s="32"/>
      <c r="R238" s="32"/>
      <c r="S238" s="32">
        <f t="shared" si="77"/>
        <v>3732</v>
      </c>
      <c r="T238" s="12"/>
      <c r="U238" s="12"/>
      <c r="V238" s="12">
        <f>-111*25</f>
        <v>-2775</v>
      </c>
      <c r="W238" s="12">
        <f t="shared" si="78"/>
        <v>957</v>
      </c>
      <c r="Y238" s="10">
        <v>7</v>
      </c>
      <c r="Z238" s="30">
        <v>46238</v>
      </c>
      <c r="AA238" s="31">
        <f t="shared" si="83"/>
        <v>10014</v>
      </c>
      <c r="AB238" s="32">
        <f>650*2+622*3</f>
        <v>3166</v>
      </c>
      <c r="AC238" s="32"/>
      <c r="AD238" s="32"/>
      <c r="AE238" s="32">
        <f>SUM(AB238:AC238)</f>
        <v>3166</v>
      </c>
      <c r="AF238" s="12"/>
      <c r="AG238" s="58"/>
      <c r="AH238" s="12">
        <v>-777</v>
      </c>
      <c r="AI238" s="12">
        <f t="shared" si="80"/>
        <v>2389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10">
        <v>8</v>
      </c>
      <c r="B239" s="30"/>
      <c r="C239" s="83"/>
      <c r="D239" s="32"/>
      <c r="E239" s="32"/>
      <c r="F239" s="32"/>
      <c r="G239" s="32">
        <f t="shared" si="75"/>
        <v>0</v>
      </c>
      <c r="H239" s="12"/>
      <c r="I239" s="12"/>
      <c r="J239" s="12"/>
      <c r="K239" s="12">
        <f t="shared" si="76"/>
        <v>0</v>
      </c>
      <c r="M239" s="10">
        <v>8</v>
      </c>
      <c r="N239" s="30"/>
      <c r="O239" s="11" t="s">
        <v>27</v>
      </c>
      <c r="P239" s="32"/>
      <c r="Q239" s="32"/>
      <c r="R239" s="32"/>
      <c r="S239" s="32">
        <f t="shared" si="77"/>
        <v>0</v>
      </c>
      <c r="T239" s="12"/>
      <c r="U239" s="12"/>
      <c r="V239" s="12"/>
      <c r="W239" s="12">
        <f t="shared" si="78"/>
        <v>0</v>
      </c>
      <c r="Y239" s="10">
        <v>8</v>
      </c>
      <c r="Z239" s="30"/>
      <c r="AA239" s="11" t="s">
        <v>27</v>
      </c>
      <c r="AB239" s="32"/>
      <c r="AC239" s="32"/>
      <c r="AE239" s="32">
        <f t="shared" ref="AE239:AE241" si="85">SUM(AB239:AC239)</f>
        <v>0</v>
      </c>
      <c r="AF239" s="12"/>
      <c r="AG239" s="12"/>
      <c r="AH239" s="12"/>
      <c r="AI239" s="12">
        <f t="shared" si="80"/>
        <v>0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10">
        <v>9</v>
      </c>
      <c r="B240" s="30"/>
      <c r="C240" s="83"/>
      <c r="D240" s="32"/>
      <c r="E240" s="32"/>
      <c r="F240" s="32"/>
      <c r="G240" s="32">
        <f t="shared" si="75"/>
        <v>0</v>
      </c>
      <c r="H240" s="12"/>
      <c r="I240" s="12"/>
      <c r="J240" s="12"/>
      <c r="K240" s="12">
        <f t="shared" si="76"/>
        <v>0</v>
      </c>
      <c r="M240" s="10">
        <v>9</v>
      </c>
      <c r="N240" s="30"/>
      <c r="O240" s="31"/>
      <c r="P240" s="32"/>
      <c r="Q240" s="32"/>
      <c r="R240" s="32"/>
      <c r="S240" s="32">
        <f t="shared" si="77"/>
        <v>0</v>
      </c>
      <c r="T240" s="12"/>
      <c r="U240" s="12"/>
      <c r="V240" s="12"/>
      <c r="W240" s="12">
        <f t="shared" si="78"/>
        <v>0</v>
      </c>
      <c r="Y240" s="10">
        <v>9</v>
      </c>
      <c r="Z240" s="30"/>
      <c r="AA240" s="31"/>
      <c r="AC240" s="32"/>
      <c r="AD240" s="32"/>
      <c r="AE240" s="32">
        <f t="shared" si="85"/>
        <v>0</v>
      </c>
      <c r="AF240" s="12"/>
      <c r="AH240" s="12"/>
      <c r="AI240" s="12">
        <f t="shared" si="80"/>
        <v>0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10">
        <v>10</v>
      </c>
      <c r="B241" s="30"/>
      <c r="C241" s="83"/>
      <c r="D241" s="32"/>
      <c r="E241" s="32"/>
      <c r="F241" s="32"/>
      <c r="G241" s="32">
        <f t="shared" si="75"/>
        <v>0</v>
      </c>
      <c r="H241" s="12"/>
      <c r="I241" s="12"/>
      <c r="J241" s="12"/>
      <c r="K241" s="12">
        <f t="shared" si="76"/>
        <v>0</v>
      </c>
      <c r="M241" s="10">
        <v>10</v>
      </c>
      <c r="N241" s="30"/>
      <c r="O241" s="31"/>
      <c r="P241" s="32"/>
      <c r="Q241" s="32"/>
      <c r="R241" s="32"/>
      <c r="S241" s="32">
        <f t="shared" si="77"/>
        <v>0</v>
      </c>
      <c r="T241" s="12"/>
      <c r="U241" s="12"/>
      <c r="V241" s="12"/>
      <c r="W241" s="12">
        <f t="shared" si="78"/>
        <v>0</v>
      </c>
      <c r="Y241" s="10">
        <v>10</v>
      </c>
      <c r="Z241" s="30"/>
      <c r="AA241" s="31"/>
      <c r="AB241" s="32"/>
      <c r="AC241" s="32"/>
      <c r="AD241" s="32"/>
      <c r="AE241" s="32">
        <f t="shared" si="85"/>
        <v>0</v>
      </c>
      <c r="AF241" s="12"/>
      <c r="AG241" s="12"/>
      <c r="AH241" s="12"/>
      <c r="AI241" s="12">
        <f t="shared" si="80"/>
        <v>0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10">
        <v>11</v>
      </c>
      <c r="B242" s="30"/>
      <c r="C242" s="11"/>
      <c r="D242" s="32"/>
      <c r="E242" s="32"/>
      <c r="F242" s="32"/>
      <c r="G242" s="32">
        <f t="shared" si="75"/>
        <v>0</v>
      </c>
      <c r="H242" s="12"/>
      <c r="I242" s="12"/>
      <c r="J242" s="12"/>
      <c r="K242" s="12">
        <f t="shared" si="76"/>
        <v>0</v>
      </c>
      <c r="M242" s="10">
        <v>11</v>
      </c>
      <c r="N242" s="30"/>
      <c r="O242" s="31"/>
      <c r="P242" s="32"/>
      <c r="Q242" s="32"/>
      <c r="R242" s="32"/>
      <c r="S242" s="32">
        <f t="shared" si="77"/>
        <v>0</v>
      </c>
      <c r="T242" s="12"/>
      <c r="U242" s="12"/>
      <c r="V242" s="12"/>
      <c r="W242" s="12">
        <f t="shared" si="78"/>
        <v>0</v>
      </c>
      <c r="Y242" s="10">
        <v>11</v>
      </c>
      <c r="Z242" s="30"/>
      <c r="AA242" s="11"/>
      <c r="AB242" s="32"/>
      <c r="AC242" s="32"/>
      <c r="AD242" s="32"/>
      <c r="AE242" s="32">
        <f t="shared" ref="AE242:AE264" si="86">SUM(AB242:AC242)</f>
        <v>0</v>
      </c>
      <c r="AF242" s="12"/>
      <c r="AG242" s="12"/>
      <c r="AH242" s="12"/>
      <c r="AI242" s="12">
        <f t="shared" si="80"/>
        <v>0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10">
        <v>12</v>
      </c>
      <c r="B243" s="30"/>
      <c r="C243" s="83"/>
      <c r="D243" s="32"/>
      <c r="E243" s="32"/>
      <c r="F243" s="32"/>
      <c r="G243" s="32">
        <f t="shared" si="75"/>
        <v>0</v>
      </c>
      <c r="H243" s="12"/>
      <c r="I243" s="12"/>
      <c r="J243" s="10"/>
      <c r="K243" s="12">
        <f t="shared" si="76"/>
        <v>0</v>
      </c>
      <c r="M243" s="10">
        <v>12</v>
      </c>
      <c r="N243" s="30"/>
      <c r="O243" s="31"/>
      <c r="P243" s="32"/>
      <c r="Q243" s="32"/>
      <c r="R243" s="32"/>
      <c r="S243" s="32">
        <f t="shared" si="77"/>
        <v>0</v>
      </c>
      <c r="T243" s="12"/>
      <c r="U243" s="12"/>
      <c r="V243" s="12"/>
      <c r="W243" s="12">
        <f t="shared" si="78"/>
        <v>0</v>
      </c>
      <c r="Y243" s="10">
        <v>12</v>
      </c>
      <c r="Z243" s="30"/>
      <c r="AA243" s="31"/>
      <c r="AB243" s="32"/>
      <c r="AC243" s="32"/>
      <c r="AD243" s="32"/>
      <c r="AE243" s="32">
        <f t="shared" si="86"/>
        <v>0</v>
      </c>
      <c r="AF243" s="12"/>
      <c r="AG243" s="12"/>
      <c r="AH243" s="12"/>
      <c r="AI243" s="12">
        <f t="shared" si="80"/>
        <v>0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10">
        <v>13</v>
      </c>
      <c r="B244" s="30"/>
      <c r="C244" s="11"/>
      <c r="D244" s="32"/>
      <c r="E244" s="32"/>
      <c r="F244" s="32"/>
      <c r="G244" s="32">
        <f t="shared" si="75"/>
        <v>0</v>
      </c>
      <c r="H244" s="12"/>
      <c r="I244" s="12"/>
      <c r="J244" s="12"/>
      <c r="K244" s="12">
        <f t="shared" si="76"/>
        <v>0</v>
      </c>
      <c r="M244" s="10">
        <v>13</v>
      </c>
      <c r="N244" s="30"/>
      <c r="O244" s="31"/>
      <c r="P244" s="32"/>
      <c r="Q244" s="32"/>
      <c r="R244" s="32"/>
      <c r="S244" s="32">
        <f t="shared" si="77"/>
        <v>0</v>
      </c>
      <c r="T244" s="12"/>
      <c r="U244" s="12"/>
      <c r="V244" s="12"/>
      <c r="W244" s="12">
        <f t="shared" si="78"/>
        <v>0</v>
      </c>
      <c r="Y244" s="10">
        <v>13</v>
      </c>
      <c r="Z244" s="30"/>
      <c r="AA244" s="31"/>
      <c r="AB244" s="32"/>
      <c r="AC244" s="32"/>
      <c r="AD244" s="32"/>
      <c r="AE244" s="32">
        <f t="shared" si="86"/>
        <v>0</v>
      </c>
      <c r="AF244" s="12"/>
      <c r="AG244" s="12"/>
      <c r="AH244" s="12"/>
      <c r="AI244" s="12">
        <f t="shared" si="80"/>
        <v>0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10">
        <v>14</v>
      </c>
      <c r="B245" s="30"/>
      <c r="C245" s="83"/>
      <c r="D245" s="32"/>
      <c r="E245" s="32"/>
      <c r="F245" s="32"/>
      <c r="G245" s="32">
        <f t="shared" si="75"/>
        <v>0</v>
      </c>
      <c r="H245" s="12"/>
      <c r="I245" s="12"/>
      <c r="J245" s="12"/>
      <c r="K245" s="12">
        <f t="shared" si="76"/>
        <v>0</v>
      </c>
      <c r="M245" s="10">
        <v>14</v>
      </c>
      <c r="N245" s="30"/>
      <c r="P245" s="32"/>
      <c r="Q245" s="32"/>
      <c r="R245" s="32"/>
      <c r="S245" s="32">
        <f t="shared" si="77"/>
        <v>0</v>
      </c>
      <c r="T245" s="12"/>
      <c r="U245" s="12"/>
      <c r="V245" s="12"/>
      <c r="W245" s="12">
        <f t="shared" si="78"/>
        <v>0</v>
      </c>
      <c r="Y245" s="10">
        <v>14</v>
      </c>
      <c r="Z245" s="30"/>
      <c r="AA245" s="11"/>
      <c r="AB245" s="32"/>
      <c r="AC245" s="32"/>
      <c r="AD245" s="32"/>
      <c r="AE245" s="32">
        <f t="shared" si="86"/>
        <v>0</v>
      </c>
      <c r="AF245" s="12"/>
      <c r="AG245" s="12"/>
      <c r="AH245" s="12"/>
      <c r="AI245" s="12">
        <f t="shared" si="80"/>
        <v>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10">
        <v>15</v>
      </c>
      <c r="B246" s="30"/>
      <c r="C246" s="83"/>
      <c r="D246" s="32"/>
      <c r="E246" s="32"/>
      <c r="F246" s="32"/>
      <c r="G246" s="32">
        <f t="shared" si="75"/>
        <v>0</v>
      </c>
      <c r="H246" s="12"/>
      <c r="I246" s="12"/>
      <c r="J246" s="12"/>
      <c r="K246" s="12">
        <f t="shared" si="76"/>
        <v>0</v>
      </c>
      <c r="M246" s="10">
        <v>15</v>
      </c>
      <c r="N246" s="30"/>
      <c r="O246" s="31"/>
      <c r="P246" s="32"/>
      <c r="Q246" s="32"/>
      <c r="R246" s="32"/>
      <c r="S246" s="32">
        <f t="shared" si="77"/>
        <v>0</v>
      </c>
      <c r="T246" s="12"/>
      <c r="U246" s="12"/>
      <c r="V246" s="12"/>
      <c r="W246" s="12">
        <f t="shared" si="78"/>
        <v>0</v>
      </c>
      <c r="Y246" s="10">
        <v>15</v>
      </c>
      <c r="Z246" s="30"/>
      <c r="AA246" s="31"/>
      <c r="AB246" s="32"/>
      <c r="AC246" s="32"/>
      <c r="AD246" s="32"/>
      <c r="AE246" s="32">
        <f t="shared" si="86"/>
        <v>0</v>
      </c>
      <c r="AF246" s="12"/>
      <c r="AG246" s="12"/>
      <c r="AH246" s="12"/>
      <c r="AI246" s="12">
        <f t="shared" si="80"/>
        <v>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10">
        <v>16</v>
      </c>
      <c r="B247" s="30"/>
      <c r="C247" s="83"/>
      <c r="D247" s="32"/>
      <c r="E247" s="32"/>
      <c r="F247" s="32"/>
      <c r="G247" s="32">
        <f t="shared" si="75"/>
        <v>0</v>
      </c>
      <c r="H247" s="12"/>
      <c r="I247" s="12"/>
      <c r="J247" s="12"/>
      <c r="K247" s="12">
        <f t="shared" si="76"/>
        <v>0</v>
      </c>
      <c r="M247" s="10">
        <v>16</v>
      </c>
      <c r="N247" s="30"/>
      <c r="O247" s="11"/>
      <c r="P247" s="32"/>
      <c r="Q247" s="32"/>
      <c r="R247" s="32"/>
      <c r="S247" s="32">
        <f t="shared" si="77"/>
        <v>0</v>
      </c>
      <c r="T247" s="12"/>
      <c r="U247" s="12"/>
      <c r="V247" s="12"/>
      <c r="W247" s="12">
        <f t="shared" si="78"/>
        <v>0</v>
      </c>
      <c r="Y247" s="10">
        <v>16</v>
      </c>
      <c r="Z247" s="30"/>
      <c r="AB247" s="32"/>
      <c r="AC247" s="32"/>
      <c r="AD247" s="32"/>
      <c r="AE247" s="32">
        <f t="shared" si="86"/>
        <v>0</v>
      </c>
      <c r="AF247" s="12"/>
      <c r="AG247" s="12"/>
      <c r="AH247" s="12"/>
      <c r="AI247" s="12">
        <f t="shared" si="80"/>
        <v>0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10">
        <v>17</v>
      </c>
      <c r="B248" s="30"/>
      <c r="C248" s="57"/>
      <c r="D248" s="32"/>
      <c r="E248" s="32"/>
      <c r="F248" s="32"/>
      <c r="G248" s="32">
        <f t="shared" si="75"/>
        <v>0</v>
      </c>
      <c r="H248" s="12"/>
      <c r="I248" s="12"/>
      <c r="J248" s="12"/>
      <c r="K248" s="12">
        <f t="shared" si="76"/>
        <v>0</v>
      </c>
      <c r="M248" s="10">
        <v>17</v>
      </c>
      <c r="N248" s="30"/>
      <c r="O248" s="31"/>
      <c r="P248" s="35"/>
      <c r="Q248" s="32"/>
      <c r="R248" s="32"/>
      <c r="S248" s="32">
        <f t="shared" si="77"/>
        <v>0</v>
      </c>
      <c r="T248" s="12"/>
      <c r="U248" s="12"/>
      <c r="V248" s="12"/>
      <c r="W248" s="12">
        <f t="shared" si="78"/>
        <v>0</v>
      </c>
      <c r="Y248" s="10">
        <v>17</v>
      </c>
      <c r="Z248" s="30"/>
      <c r="AA248" s="31"/>
      <c r="AB248" s="35"/>
      <c r="AC248" s="32"/>
      <c r="AD248" s="32"/>
      <c r="AE248" s="32">
        <f t="shared" si="86"/>
        <v>0</v>
      </c>
      <c r="AF248" s="12"/>
      <c r="AG248" s="12"/>
      <c r="AH248" s="12"/>
      <c r="AI248" s="12">
        <f t="shared" si="80"/>
        <v>0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10">
        <v>18</v>
      </c>
      <c r="B249" s="30"/>
      <c r="C249" s="57"/>
      <c r="D249" s="32"/>
      <c r="E249" s="32"/>
      <c r="F249" s="32"/>
      <c r="G249" s="32">
        <f t="shared" si="75"/>
        <v>0</v>
      </c>
      <c r="H249" s="12"/>
      <c r="I249" s="12"/>
      <c r="J249" s="12"/>
      <c r="K249" s="12">
        <f t="shared" si="76"/>
        <v>0</v>
      </c>
      <c r="M249" s="10">
        <v>18</v>
      </c>
      <c r="N249" s="30"/>
      <c r="O249" s="31"/>
      <c r="P249" s="32"/>
      <c r="Q249" s="32"/>
      <c r="R249" s="32"/>
      <c r="S249" s="32">
        <f t="shared" si="77"/>
        <v>0</v>
      </c>
      <c r="T249" s="12"/>
      <c r="U249" s="12"/>
      <c r="V249" s="12"/>
      <c r="W249" s="12">
        <f t="shared" si="78"/>
        <v>0</v>
      </c>
      <c r="Y249" s="10">
        <v>18</v>
      </c>
      <c r="Z249" s="30"/>
      <c r="AA249" s="31"/>
      <c r="AB249" s="32"/>
      <c r="AC249" s="32"/>
      <c r="AD249" s="32"/>
      <c r="AE249" s="32">
        <f t="shared" si="86"/>
        <v>0</v>
      </c>
      <c r="AF249" s="12"/>
      <c r="AG249" s="12"/>
      <c r="AH249" s="12"/>
      <c r="AI249" s="12">
        <f t="shared" si="80"/>
        <v>0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10">
        <v>19</v>
      </c>
      <c r="B250" s="30"/>
      <c r="C250" s="83"/>
      <c r="D250" s="32"/>
      <c r="E250" s="32"/>
      <c r="F250" s="32"/>
      <c r="G250" s="32">
        <f t="shared" si="75"/>
        <v>0</v>
      </c>
      <c r="H250" s="12"/>
      <c r="I250" s="12"/>
      <c r="J250" s="12"/>
      <c r="K250" s="12">
        <f t="shared" si="76"/>
        <v>0</v>
      </c>
      <c r="M250" s="10">
        <v>19</v>
      </c>
      <c r="N250" s="30"/>
      <c r="O250" s="31"/>
      <c r="P250" s="32"/>
      <c r="Q250" s="32"/>
      <c r="R250" s="32"/>
      <c r="S250" s="32">
        <f t="shared" si="77"/>
        <v>0</v>
      </c>
      <c r="T250" s="12"/>
      <c r="U250" s="12"/>
      <c r="V250" s="12"/>
      <c r="W250" s="12">
        <f t="shared" si="78"/>
        <v>0</v>
      </c>
      <c r="Y250" s="10">
        <v>19</v>
      </c>
      <c r="Z250" s="30"/>
      <c r="AA250" s="31"/>
      <c r="AB250" s="32"/>
      <c r="AC250" s="32"/>
      <c r="AD250" s="32"/>
      <c r="AE250" s="32">
        <f t="shared" si="86"/>
        <v>0</v>
      </c>
      <c r="AF250" s="12"/>
      <c r="AG250" s="12"/>
      <c r="AH250" s="12"/>
      <c r="AI250" s="12">
        <f t="shared" si="80"/>
        <v>0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10">
        <v>20</v>
      </c>
      <c r="B251" s="30"/>
      <c r="C251" s="83"/>
      <c r="D251" s="32"/>
      <c r="E251" s="32"/>
      <c r="F251" s="32"/>
      <c r="G251" s="32">
        <f t="shared" si="75"/>
        <v>0</v>
      </c>
      <c r="H251" s="12"/>
      <c r="I251" s="12"/>
      <c r="J251" s="12"/>
      <c r="K251" s="12">
        <f t="shared" si="76"/>
        <v>0</v>
      </c>
      <c r="M251" s="10">
        <v>20</v>
      </c>
      <c r="N251" s="30"/>
      <c r="O251" s="31"/>
      <c r="P251" s="32"/>
      <c r="Q251" s="32"/>
      <c r="R251" s="32"/>
      <c r="S251" s="32">
        <f t="shared" si="77"/>
        <v>0</v>
      </c>
      <c r="T251" s="12"/>
      <c r="U251" s="12"/>
      <c r="V251" s="12"/>
      <c r="W251" s="12">
        <f t="shared" si="78"/>
        <v>0</v>
      </c>
      <c r="Y251" s="10">
        <v>20</v>
      </c>
      <c r="Z251" s="30"/>
      <c r="AB251" s="32"/>
      <c r="AC251" s="32"/>
      <c r="AD251" s="32"/>
      <c r="AE251" s="32">
        <f t="shared" si="86"/>
        <v>0</v>
      </c>
      <c r="AF251" s="12"/>
      <c r="AG251" s="12"/>
      <c r="AH251" s="12"/>
      <c r="AI251" s="12">
        <f t="shared" si="80"/>
        <v>0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10">
        <v>21</v>
      </c>
      <c r="B252" s="30"/>
      <c r="C252" s="83"/>
      <c r="D252" s="32"/>
      <c r="E252" s="32"/>
      <c r="F252" s="32"/>
      <c r="G252" s="32">
        <f t="shared" si="75"/>
        <v>0</v>
      </c>
      <c r="H252" s="10"/>
      <c r="I252" s="10"/>
      <c r="J252" s="10"/>
      <c r="K252" s="12">
        <f t="shared" si="76"/>
        <v>0</v>
      </c>
      <c r="M252" s="10">
        <v>21</v>
      </c>
      <c r="N252" s="30"/>
      <c r="O252" s="31"/>
      <c r="P252" s="46"/>
      <c r="Q252" s="31"/>
      <c r="R252" s="31"/>
      <c r="S252" s="32">
        <f t="shared" si="77"/>
        <v>0</v>
      </c>
      <c r="T252" s="10"/>
      <c r="U252" s="10"/>
      <c r="V252" s="10"/>
      <c r="W252" s="12">
        <f t="shared" si="78"/>
        <v>0</v>
      </c>
      <c r="Y252" s="10">
        <v>21</v>
      </c>
      <c r="Z252" s="30"/>
      <c r="AA252" s="31"/>
      <c r="AB252" s="46"/>
      <c r="AC252" s="31"/>
      <c r="AD252" s="31"/>
      <c r="AE252" s="32">
        <f t="shared" si="86"/>
        <v>0</v>
      </c>
      <c r="AF252" s="10"/>
      <c r="AG252" s="10"/>
      <c r="AH252" s="10"/>
      <c r="AI252" s="12">
        <f t="shared" si="80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10">
        <v>22</v>
      </c>
      <c r="B253" s="30"/>
      <c r="C253" s="83"/>
      <c r="D253" s="32"/>
      <c r="E253" s="32"/>
      <c r="F253" s="32"/>
      <c r="G253" s="32">
        <f t="shared" si="75"/>
        <v>0</v>
      </c>
      <c r="H253" s="10"/>
      <c r="I253" s="10"/>
      <c r="J253" s="10"/>
      <c r="K253" s="12">
        <f t="shared" si="76"/>
        <v>0</v>
      </c>
      <c r="M253" s="10">
        <v>22</v>
      </c>
      <c r="N253" s="30"/>
      <c r="O253" s="31"/>
      <c r="P253" s="45"/>
      <c r="Q253" s="31"/>
      <c r="R253" s="31"/>
      <c r="S253" s="32">
        <f t="shared" si="77"/>
        <v>0</v>
      </c>
      <c r="T253" s="10"/>
      <c r="U253" s="10"/>
      <c r="V253" s="10"/>
      <c r="W253" s="12">
        <f t="shared" si="78"/>
        <v>0</v>
      </c>
      <c r="Y253" s="10">
        <v>22</v>
      </c>
      <c r="Z253" s="30"/>
      <c r="AA253" s="31"/>
      <c r="AB253" s="45"/>
      <c r="AC253" s="31"/>
      <c r="AD253" s="31"/>
      <c r="AE253" s="32">
        <f t="shared" si="86"/>
        <v>0</v>
      </c>
      <c r="AF253" s="10"/>
      <c r="AG253" s="10"/>
      <c r="AH253" s="10"/>
      <c r="AI253" s="12">
        <f t="shared" si="80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10">
        <v>23</v>
      </c>
      <c r="B254" s="30"/>
      <c r="C254" s="83"/>
      <c r="D254" s="32"/>
      <c r="E254" s="32"/>
      <c r="F254" s="32"/>
      <c r="G254" s="32">
        <f t="shared" si="75"/>
        <v>0</v>
      </c>
      <c r="H254" s="10"/>
      <c r="I254" s="10"/>
      <c r="J254" s="12"/>
      <c r="K254" s="12">
        <f t="shared" si="76"/>
        <v>0</v>
      </c>
      <c r="M254" s="10">
        <v>23</v>
      </c>
      <c r="N254" s="30"/>
      <c r="O254" s="31"/>
      <c r="P254" s="47"/>
      <c r="S254" s="32">
        <f t="shared" si="77"/>
        <v>0</v>
      </c>
      <c r="T254" s="10"/>
      <c r="U254" s="10"/>
      <c r="V254" s="10"/>
      <c r="W254" s="12">
        <f t="shared" si="78"/>
        <v>0</v>
      </c>
      <c r="Y254" s="10">
        <v>23</v>
      </c>
      <c r="Z254" s="30"/>
      <c r="AA254" s="31"/>
      <c r="AB254" s="47"/>
      <c r="AE254" s="32">
        <f t="shared" si="86"/>
        <v>0</v>
      </c>
      <c r="AF254" s="10"/>
      <c r="AG254" s="10"/>
      <c r="AH254" s="10"/>
      <c r="AI254" s="12">
        <f t="shared" si="80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10">
        <v>24</v>
      </c>
      <c r="B255" s="30"/>
      <c r="C255" s="83"/>
      <c r="D255" s="32"/>
      <c r="E255" s="32"/>
      <c r="F255" s="32"/>
      <c r="G255" s="32">
        <f t="shared" si="75"/>
        <v>0</v>
      </c>
      <c r="H255" s="10"/>
      <c r="I255" s="10"/>
      <c r="J255" s="10"/>
      <c r="K255" s="12">
        <f t="shared" si="76"/>
        <v>0</v>
      </c>
      <c r="M255" s="10">
        <v>24</v>
      </c>
      <c r="N255" s="30"/>
      <c r="O255" s="31"/>
      <c r="P255" s="47"/>
      <c r="Q255" s="31"/>
      <c r="R255" s="31"/>
      <c r="S255" s="32">
        <f t="shared" si="77"/>
        <v>0</v>
      </c>
      <c r="T255" s="10"/>
      <c r="U255" s="10"/>
      <c r="V255" s="10"/>
      <c r="W255" s="12">
        <f t="shared" si="78"/>
        <v>0</v>
      </c>
      <c r="Y255" s="10">
        <v>24</v>
      </c>
      <c r="Z255" s="30"/>
      <c r="AA255" s="31"/>
      <c r="AB255" s="47"/>
      <c r="AC255" s="31"/>
      <c r="AD255" s="31"/>
      <c r="AE255" s="32">
        <f t="shared" si="86"/>
        <v>0</v>
      </c>
      <c r="AF255" s="10"/>
      <c r="AG255" s="10"/>
      <c r="AH255" s="10"/>
      <c r="AI255" s="12">
        <f t="shared" si="80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10">
        <v>25</v>
      </c>
      <c r="B256" s="30"/>
      <c r="C256" s="83"/>
      <c r="D256" s="32"/>
      <c r="E256" s="32"/>
      <c r="F256" s="32"/>
      <c r="G256" s="32">
        <f t="shared" si="75"/>
        <v>0</v>
      </c>
      <c r="H256" s="10"/>
      <c r="I256" s="10"/>
      <c r="J256" s="10"/>
      <c r="K256" s="12">
        <f t="shared" si="76"/>
        <v>0</v>
      </c>
      <c r="M256" s="10">
        <v>25</v>
      </c>
      <c r="N256" s="30"/>
      <c r="O256" s="31"/>
      <c r="P256" s="47"/>
      <c r="Q256" s="31"/>
      <c r="R256" s="31"/>
      <c r="S256" s="32">
        <f t="shared" si="77"/>
        <v>0</v>
      </c>
      <c r="T256" s="10"/>
      <c r="U256" s="10"/>
      <c r="V256" s="10"/>
      <c r="W256" s="12">
        <f t="shared" si="78"/>
        <v>0</v>
      </c>
      <c r="Y256" s="10">
        <v>25</v>
      </c>
      <c r="Z256" s="30"/>
      <c r="AA256" s="31"/>
      <c r="AB256" s="47"/>
      <c r="AC256" s="31"/>
      <c r="AD256" s="31"/>
      <c r="AE256" s="32">
        <f t="shared" si="86"/>
        <v>0</v>
      </c>
      <c r="AF256" s="10"/>
      <c r="AG256" s="10"/>
      <c r="AH256" s="10"/>
      <c r="AI256" s="12">
        <f t="shared" si="80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10">
        <v>26</v>
      </c>
      <c r="B257" s="30"/>
      <c r="C257" s="83"/>
      <c r="D257" s="32"/>
      <c r="E257" s="32"/>
      <c r="F257" s="32"/>
      <c r="G257" s="32">
        <f t="shared" si="75"/>
        <v>0</v>
      </c>
      <c r="H257" s="10"/>
      <c r="I257" s="10"/>
      <c r="J257" s="10"/>
      <c r="K257" s="12">
        <f t="shared" si="76"/>
        <v>0</v>
      </c>
      <c r="M257" s="10">
        <v>26</v>
      </c>
      <c r="N257" s="30"/>
      <c r="O257" s="31"/>
      <c r="P257" s="47"/>
      <c r="Q257" s="31"/>
      <c r="R257" s="31"/>
      <c r="S257" s="32">
        <f t="shared" si="77"/>
        <v>0</v>
      </c>
      <c r="T257" s="10"/>
      <c r="U257" s="10"/>
      <c r="V257" s="10"/>
      <c r="W257" s="12">
        <f t="shared" si="78"/>
        <v>0</v>
      </c>
      <c r="Y257" s="10">
        <v>26</v>
      </c>
      <c r="Z257" s="30"/>
      <c r="AA257" s="31"/>
      <c r="AB257" s="47"/>
      <c r="AC257" s="31"/>
      <c r="AD257" s="31"/>
      <c r="AE257" s="32">
        <f t="shared" si="86"/>
        <v>0</v>
      </c>
      <c r="AF257" s="10"/>
      <c r="AG257" s="10"/>
      <c r="AH257" s="10"/>
      <c r="AI257" s="12">
        <f t="shared" si="80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10">
        <v>27</v>
      </c>
      <c r="B258" s="30"/>
      <c r="C258" s="83"/>
      <c r="D258" s="32"/>
      <c r="E258" s="32"/>
      <c r="F258" s="32"/>
      <c r="G258" s="32">
        <f t="shared" si="75"/>
        <v>0</v>
      </c>
      <c r="H258" s="10"/>
      <c r="I258" s="10"/>
      <c r="J258" s="10"/>
      <c r="K258" s="12">
        <f t="shared" si="76"/>
        <v>0</v>
      </c>
      <c r="M258" s="10">
        <v>27</v>
      </c>
      <c r="N258" s="30"/>
      <c r="O258" s="31"/>
      <c r="P258" s="47"/>
      <c r="Q258" s="31"/>
      <c r="R258" s="31"/>
      <c r="S258" s="32">
        <f t="shared" si="77"/>
        <v>0</v>
      </c>
      <c r="T258" s="10"/>
      <c r="U258" s="10"/>
      <c r="V258" s="10"/>
      <c r="W258" s="12">
        <f t="shared" si="78"/>
        <v>0</v>
      </c>
      <c r="Y258" s="10">
        <v>27</v>
      </c>
      <c r="Z258" s="30"/>
      <c r="AA258" s="31"/>
      <c r="AB258" s="47"/>
      <c r="AC258" s="31"/>
      <c r="AD258" s="31"/>
      <c r="AE258" s="32">
        <f t="shared" si="86"/>
        <v>0</v>
      </c>
      <c r="AF258" s="10"/>
      <c r="AG258" s="10"/>
      <c r="AH258" s="10"/>
      <c r="AI258" s="12">
        <f t="shared" si="80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10">
        <v>28</v>
      </c>
      <c r="B259" s="30"/>
      <c r="C259" s="83"/>
      <c r="D259" s="32"/>
      <c r="E259" s="32"/>
      <c r="F259" s="32"/>
      <c r="G259" s="32">
        <f t="shared" si="75"/>
        <v>0</v>
      </c>
      <c r="H259" s="10"/>
      <c r="I259" s="10"/>
      <c r="J259" s="10"/>
      <c r="K259" s="12">
        <f t="shared" si="76"/>
        <v>0</v>
      </c>
      <c r="M259" s="10">
        <v>28</v>
      </c>
      <c r="N259" s="30"/>
      <c r="O259" s="31"/>
      <c r="P259" s="47"/>
      <c r="Q259" s="31"/>
      <c r="R259" s="31"/>
      <c r="S259" s="32">
        <f t="shared" si="77"/>
        <v>0</v>
      </c>
      <c r="T259" s="10"/>
      <c r="U259" s="10"/>
      <c r="V259" s="10"/>
      <c r="W259" s="12">
        <f t="shared" si="78"/>
        <v>0</v>
      </c>
      <c r="Y259" s="10">
        <v>28</v>
      </c>
      <c r="Z259" s="30"/>
      <c r="AA259" s="31"/>
      <c r="AB259" s="47"/>
      <c r="AC259" s="31"/>
      <c r="AD259" s="31"/>
      <c r="AE259" s="32">
        <f t="shared" si="86"/>
        <v>0</v>
      </c>
      <c r="AF259" s="10"/>
      <c r="AG259" s="10"/>
      <c r="AH259" s="10"/>
      <c r="AI259" s="12">
        <f t="shared" si="80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10">
        <v>29</v>
      </c>
      <c r="B260" s="30"/>
      <c r="C260" s="83"/>
      <c r="D260" s="32"/>
      <c r="E260" s="32"/>
      <c r="F260" s="32"/>
      <c r="G260" s="32">
        <f t="shared" si="75"/>
        <v>0</v>
      </c>
      <c r="H260" s="10"/>
      <c r="I260" s="10"/>
      <c r="J260" s="10"/>
      <c r="K260" s="12">
        <f t="shared" si="76"/>
        <v>0</v>
      </c>
      <c r="M260" s="10">
        <v>29</v>
      </c>
      <c r="N260" s="30"/>
      <c r="O260" s="31"/>
      <c r="P260" s="47"/>
      <c r="Q260" s="31"/>
      <c r="R260" s="31"/>
      <c r="S260" s="32">
        <f t="shared" si="77"/>
        <v>0</v>
      </c>
      <c r="T260" s="10"/>
      <c r="U260" s="10"/>
      <c r="V260" s="10"/>
      <c r="W260" s="12">
        <f t="shared" si="78"/>
        <v>0</v>
      </c>
      <c r="Y260" s="10">
        <v>29</v>
      </c>
      <c r="Z260" s="30"/>
      <c r="AA260" s="31"/>
      <c r="AB260" s="47"/>
      <c r="AC260" s="31"/>
      <c r="AD260" s="31"/>
      <c r="AE260" s="32">
        <f t="shared" si="86"/>
        <v>0</v>
      </c>
      <c r="AF260" s="10"/>
      <c r="AG260" s="10"/>
      <c r="AH260" s="10"/>
      <c r="AI260" s="12">
        <f t="shared" si="80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10">
        <v>30</v>
      </c>
      <c r="B261" s="30"/>
      <c r="C261" s="83"/>
      <c r="D261" s="32"/>
      <c r="E261" s="32"/>
      <c r="F261" s="32"/>
      <c r="G261" s="32">
        <f t="shared" si="75"/>
        <v>0</v>
      </c>
      <c r="H261" s="10"/>
      <c r="I261" s="10"/>
      <c r="J261" s="10"/>
      <c r="K261" s="12">
        <f t="shared" si="76"/>
        <v>0</v>
      </c>
      <c r="M261" s="10">
        <v>30</v>
      </c>
      <c r="N261" s="30"/>
      <c r="O261" s="31"/>
      <c r="P261" s="47"/>
      <c r="Q261" s="31"/>
      <c r="R261" s="31"/>
      <c r="S261" s="32">
        <f t="shared" si="77"/>
        <v>0</v>
      </c>
      <c r="T261" s="10"/>
      <c r="U261" s="10"/>
      <c r="V261" s="10"/>
      <c r="W261" s="12">
        <f t="shared" si="78"/>
        <v>0</v>
      </c>
      <c r="Y261" s="10">
        <v>30</v>
      </c>
      <c r="Z261" s="30"/>
      <c r="AA261" s="31"/>
      <c r="AB261" s="47"/>
      <c r="AC261" s="31"/>
      <c r="AD261" s="31"/>
      <c r="AE261" s="32">
        <f t="shared" si="86"/>
        <v>0</v>
      </c>
      <c r="AF261" s="10"/>
      <c r="AG261" s="10"/>
      <c r="AH261" s="10"/>
      <c r="AI261" s="12">
        <f t="shared" si="80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10">
        <v>31</v>
      </c>
      <c r="B262" s="30"/>
      <c r="C262" s="83"/>
      <c r="D262" s="32"/>
      <c r="E262" s="32"/>
      <c r="F262" s="32"/>
      <c r="G262" s="32">
        <f t="shared" si="75"/>
        <v>0</v>
      </c>
      <c r="H262" s="10"/>
      <c r="I262" s="10"/>
      <c r="J262" s="10"/>
      <c r="K262" s="12">
        <f t="shared" si="76"/>
        <v>0</v>
      </c>
      <c r="M262" s="10">
        <v>31</v>
      </c>
      <c r="N262" s="30"/>
      <c r="O262" s="31"/>
      <c r="P262" s="47"/>
      <c r="Q262" s="31"/>
      <c r="R262" s="31"/>
      <c r="S262" s="32">
        <f t="shared" si="77"/>
        <v>0</v>
      </c>
      <c r="T262" s="10"/>
      <c r="U262" s="10"/>
      <c r="V262" s="10"/>
      <c r="W262" s="12">
        <f t="shared" si="78"/>
        <v>0</v>
      </c>
      <c r="Y262" s="10">
        <v>31</v>
      </c>
      <c r="Z262" s="30"/>
      <c r="AA262" s="31"/>
      <c r="AB262" s="47"/>
      <c r="AC262" s="31"/>
      <c r="AD262" s="31"/>
      <c r="AE262" s="32">
        <f t="shared" si="86"/>
        <v>0</v>
      </c>
      <c r="AF262" s="10"/>
      <c r="AG262" s="10"/>
      <c r="AH262" s="10"/>
      <c r="AI262" s="12">
        <f t="shared" si="80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10">
        <v>32</v>
      </c>
      <c r="B263" s="30"/>
      <c r="C263" s="83"/>
      <c r="D263" s="32"/>
      <c r="E263" s="32"/>
      <c r="F263" s="32"/>
      <c r="G263" s="32">
        <f t="shared" si="75"/>
        <v>0</v>
      </c>
      <c r="H263" s="10"/>
      <c r="I263" s="10"/>
      <c r="J263" s="10"/>
      <c r="K263" s="12">
        <f t="shared" si="76"/>
        <v>0</v>
      </c>
      <c r="M263" s="10">
        <v>32</v>
      </c>
      <c r="N263" s="30"/>
      <c r="O263" s="31"/>
      <c r="P263" s="47"/>
      <c r="Q263" s="31"/>
      <c r="R263" s="31"/>
      <c r="S263" s="32">
        <f t="shared" si="77"/>
        <v>0</v>
      </c>
      <c r="T263" s="10"/>
      <c r="U263" s="10"/>
      <c r="V263" s="10"/>
      <c r="W263" s="12">
        <f t="shared" si="78"/>
        <v>0</v>
      </c>
      <c r="Y263" s="10">
        <v>32</v>
      </c>
      <c r="Z263" s="30"/>
      <c r="AA263" s="31"/>
      <c r="AB263" s="47"/>
      <c r="AC263" s="31"/>
      <c r="AD263" s="31"/>
      <c r="AE263" s="32">
        <f t="shared" si="86"/>
        <v>0</v>
      </c>
      <c r="AF263" s="10"/>
      <c r="AG263" s="10"/>
      <c r="AH263" s="10"/>
      <c r="AI263" s="12">
        <f t="shared" si="80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10">
        <v>33</v>
      </c>
      <c r="B264" s="30"/>
      <c r="C264" s="83"/>
      <c r="D264" s="32"/>
      <c r="E264" s="32"/>
      <c r="F264" s="32"/>
      <c r="G264" s="32">
        <f t="shared" si="75"/>
        <v>0</v>
      </c>
      <c r="H264" s="10"/>
      <c r="I264" s="10"/>
      <c r="J264" s="10"/>
      <c r="K264" s="12">
        <f t="shared" si="76"/>
        <v>0</v>
      </c>
      <c r="M264" s="10">
        <v>33</v>
      </c>
      <c r="N264" s="30"/>
      <c r="O264" s="31"/>
      <c r="P264" s="47"/>
      <c r="Q264" s="31"/>
      <c r="R264" s="31"/>
      <c r="S264" s="32">
        <f t="shared" si="77"/>
        <v>0</v>
      </c>
      <c r="T264" s="10"/>
      <c r="U264" s="10"/>
      <c r="V264" s="10"/>
      <c r="W264" s="12">
        <f t="shared" si="78"/>
        <v>0</v>
      </c>
      <c r="Y264" s="10">
        <v>33</v>
      </c>
      <c r="Z264" s="30"/>
      <c r="AA264" s="31"/>
      <c r="AB264" s="47"/>
      <c r="AC264" s="31"/>
      <c r="AD264" s="31"/>
      <c r="AE264" s="32">
        <f t="shared" si="86"/>
        <v>0</v>
      </c>
      <c r="AF264" s="10"/>
      <c r="AG264" s="10"/>
      <c r="AH264" s="10"/>
      <c r="AI264" s="12">
        <f t="shared" si="80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10"/>
      <c r="B265" s="30"/>
      <c r="C265" s="83"/>
      <c r="D265" s="32"/>
      <c r="E265" s="32"/>
      <c r="F265" s="32"/>
      <c r="G265" s="32">
        <f t="shared" si="75"/>
        <v>0</v>
      </c>
      <c r="H265" s="10"/>
      <c r="I265" s="10"/>
      <c r="J265" s="10"/>
      <c r="K265" s="12">
        <f t="shared" si="76"/>
        <v>0</v>
      </c>
      <c r="M265" s="10">
        <v>34</v>
      </c>
      <c r="N265" s="30"/>
      <c r="O265" s="31"/>
      <c r="P265" s="47"/>
      <c r="Q265" s="31"/>
      <c r="R265" s="31"/>
      <c r="S265" s="32">
        <f t="shared" si="77"/>
        <v>0</v>
      </c>
      <c r="T265" s="10"/>
      <c r="U265" s="10"/>
      <c r="V265" s="10"/>
      <c r="W265" s="12">
        <f t="shared" si="78"/>
        <v>0</v>
      </c>
      <c r="Y265" s="10">
        <v>34</v>
      </c>
      <c r="Z265" s="30"/>
      <c r="AA265" s="31"/>
      <c r="AB265" s="47"/>
      <c r="AC265" s="31"/>
      <c r="AD265" s="31"/>
      <c r="AE265" s="32">
        <f t="shared" ref="AE265:AE270" si="87">SUM(AB265:AC265)</f>
        <v>0</v>
      </c>
      <c r="AF265" s="10"/>
      <c r="AG265" s="10"/>
      <c r="AH265" s="10"/>
      <c r="AI265" s="12">
        <f t="shared" ref="AI265:AI273" si="88">SUM(AE265:AH265)</f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10"/>
      <c r="B266" s="30"/>
      <c r="C266" s="83"/>
      <c r="D266" s="32"/>
      <c r="E266" s="32"/>
      <c r="F266" s="32"/>
      <c r="G266" s="32"/>
      <c r="H266" s="10"/>
      <c r="I266" s="10"/>
      <c r="J266" s="10"/>
      <c r="K266" s="12"/>
      <c r="M266" s="10">
        <v>35</v>
      </c>
      <c r="N266" s="30"/>
      <c r="O266" s="31"/>
      <c r="P266" s="47"/>
      <c r="Q266" s="31"/>
      <c r="R266" s="31"/>
      <c r="S266" s="32">
        <f t="shared" si="77"/>
        <v>0</v>
      </c>
      <c r="T266" s="10"/>
      <c r="U266" s="10"/>
      <c r="V266" s="10"/>
      <c r="W266" s="12">
        <f t="shared" si="78"/>
        <v>0</v>
      </c>
      <c r="Y266" s="10">
        <v>35</v>
      </c>
      <c r="Z266" s="30"/>
      <c r="AA266" s="31"/>
      <c r="AB266" s="47"/>
      <c r="AC266" s="31"/>
      <c r="AD266" s="31"/>
      <c r="AE266" s="32">
        <f t="shared" si="87"/>
        <v>0</v>
      </c>
      <c r="AF266" s="10"/>
      <c r="AG266" s="10"/>
      <c r="AH266" s="10"/>
      <c r="AI266" s="12">
        <f t="shared" si="88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10"/>
      <c r="B267" s="30"/>
      <c r="C267" s="83"/>
      <c r="D267" s="32"/>
      <c r="E267" s="32"/>
      <c r="F267" s="32"/>
      <c r="G267" s="32"/>
      <c r="H267" s="10"/>
      <c r="I267" s="10"/>
      <c r="J267" s="10"/>
      <c r="K267" s="12"/>
      <c r="M267" s="10">
        <v>36</v>
      </c>
      <c r="N267" s="30"/>
      <c r="O267" s="31"/>
      <c r="P267" s="47"/>
      <c r="Q267" s="31"/>
      <c r="R267" s="31"/>
      <c r="S267" s="32">
        <f t="shared" si="77"/>
        <v>0</v>
      </c>
      <c r="T267" s="10"/>
      <c r="U267" s="10"/>
      <c r="V267" s="10"/>
      <c r="W267" s="12">
        <f t="shared" si="78"/>
        <v>0</v>
      </c>
      <c r="Y267" s="10">
        <v>36</v>
      </c>
      <c r="Z267" s="30"/>
      <c r="AA267" s="31"/>
      <c r="AB267" s="47"/>
      <c r="AC267" s="31"/>
      <c r="AD267" s="31"/>
      <c r="AE267" s="32">
        <f t="shared" si="87"/>
        <v>0</v>
      </c>
      <c r="AF267" s="10"/>
      <c r="AG267" s="10"/>
      <c r="AH267" s="10"/>
      <c r="AI267" s="12">
        <f t="shared" si="88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10"/>
      <c r="B268" s="30"/>
      <c r="C268" s="31"/>
      <c r="D268" s="32"/>
      <c r="E268" s="32"/>
      <c r="F268" s="32"/>
      <c r="G268" s="32"/>
      <c r="H268" s="10"/>
      <c r="I268" s="10"/>
      <c r="J268" s="10"/>
      <c r="K268" s="12"/>
      <c r="M268" s="10">
        <v>37</v>
      </c>
      <c r="N268" s="30"/>
      <c r="P268" s="47"/>
      <c r="Q268" s="31"/>
      <c r="R268" s="31"/>
      <c r="S268" s="32">
        <f t="shared" si="77"/>
        <v>0</v>
      </c>
      <c r="T268" s="10"/>
      <c r="U268" s="10"/>
      <c r="V268" s="10"/>
      <c r="W268" s="12">
        <f t="shared" si="78"/>
        <v>0</v>
      </c>
      <c r="Y268" s="10">
        <v>37</v>
      </c>
      <c r="Z268" s="30"/>
      <c r="AA268" s="31"/>
      <c r="AB268" s="47"/>
      <c r="AC268" s="31"/>
      <c r="AD268" s="31"/>
      <c r="AE268" s="32">
        <f t="shared" si="87"/>
        <v>0</v>
      </c>
      <c r="AF268" s="10"/>
      <c r="AG268" s="10"/>
      <c r="AH268" s="10"/>
      <c r="AI268" s="12">
        <f t="shared" si="88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10"/>
      <c r="B269" s="30"/>
      <c r="C269" s="31"/>
      <c r="D269" s="32"/>
      <c r="E269" s="32"/>
      <c r="F269" s="32"/>
      <c r="G269" s="32"/>
      <c r="H269" s="10"/>
      <c r="I269" s="10"/>
      <c r="J269" s="10"/>
      <c r="K269" s="12"/>
      <c r="M269" s="10">
        <v>38</v>
      </c>
      <c r="N269" s="30"/>
      <c r="O269" s="31"/>
      <c r="P269" s="47"/>
      <c r="Q269" s="31"/>
      <c r="R269" s="31"/>
      <c r="S269" s="32">
        <f t="shared" si="77"/>
        <v>0</v>
      </c>
      <c r="T269" s="10"/>
      <c r="U269" s="10"/>
      <c r="V269" s="10"/>
      <c r="W269" s="12">
        <f t="shared" si="78"/>
        <v>0</v>
      </c>
      <c r="Y269" s="10">
        <v>38</v>
      </c>
      <c r="Z269" s="30"/>
      <c r="AA269" s="31"/>
      <c r="AB269" s="47"/>
      <c r="AC269" s="31"/>
      <c r="AD269" s="31"/>
      <c r="AE269" s="32">
        <f t="shared" si="87"/>
        <v>0</v>
      </c>
      <c r="AF269" s="10"/>
      <c r="AG269" s="10"/>
      <c r="AH269" s="10"/>
      <c r="AI269" s="12">
        <f t="shared" si="88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10"/>
      <c r="B270" s="30"/>
      <c r="C270" s="31"/>
      <c r="D270" s="32"/>
      <c r="E270" s="32"/>
      <c r="F270" s="32"/>
      <c r="G270" s="32"/>
      <c r="H270" s="10"/>
      <c r="I270" s="10"/>
      <c r="J270" s="10"/>
      <c r="K270" s="12"/>
      <c r="M270" s="10">
        <v>39</v>
      </c>
      <c r="N270" s="30"/>
      <c r="O270" s="31"/>
      <c r="P270" s="47"/>
      <c r="Q270" s="31"/>
      <c r="R270" s="31"/>
      <c r="S270" s="32">
        <f t="shared" si="77"/>
        <v>0</v>
      </c>
      <c r="T270" s="10"/>
      <c r="U270" s="10"/>
      <c r="V270" s="10"/>
      <c r="W270" s="12">
        <f t="shared" si="78"/>
        <v>0</v>
      </c>
      <c r="Y270" s="10">
        <v>39</v>
      </c>
      <c r="Z270" s="30"/>
      <c r="AA270" s="31"/>
      <c r="AB270" s="47"/>
      <c r="AC270" s="31"/>
      <c r="AD270" s="31"/>
      <c r="AE270" s="32">
        <f t="shared" si="87"/>
        <v>0</v>
      </c>
      <c r="AF270" s="10"/>
      <c r="AG270" s="10"/>
      <c r="AH270" s="10"/>
      <c r="AI270" s="12">
        <f t="shared" si="88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10"/>
      <c r="B271" s="30"/>
      <c r="C271" s="31"/>
      <c r="D271" s="32"/>
      <c r="E271" s="32"/>
      <c r="F271" s="32"/>
      <c r="G271" s="32"/>
      <c r="H271" s="10"/>
      <c r="I271" s="10"/>
      <c r="J271" s="10"/>
      <c r="K271" s="12"/>
      <c r="M271" s="10"/>
      <c r="N271" s="30"/>
      <c r="P271" s="47"/>
      <c r="Q271" s="31"/>
      <c r="R271" s="31"/>
      <c r="S271" s="32"/>
      <c r="T271" s="10"/>
      <c r="U271" s="10"/>
      <c r="V271" s="10"/>
      <c r="W271" s="12">
        <f t="shared" si="78"/>
        <v>0</v>
      </c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88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10"/>
      <c r="B272" s="30"/>
      <c r="C272" s="31"/>
      <c r="D272" s="32"/>
      <c r="E272" s="32"/>
      <c r="F272" s="32"/>
      <c r="G272" s="32">
        <f t="shared" ref="G272" si="89">SUM(D272:E272)</f>
        <v>0</v>
      </c>
      <c r="H272" s="10"/>
      <c r="I272" s="10"/>
      <c r="J272" s="10"/>
      <c r="K272" s="12">
        <f t="shared" ref="K272" si="90">SUM(G272:J272)</f>
        <v>0</v>
      </c>
      <c r="M272" s="10"/>
      <c r="N272" s="30"/>
      <c r="O272" s="31"/>
      <c r="P272" s="47"/>
      <c r="Q272" s="31"/>
      <c r="R272" s="31"/>
      <c r="S272" s="32">
        <f t="shared" ref="S272" si="91">SUM(P272:Q272)</f>
        <v>0</v>
      </c>
      <c r="T272" s="10"/>
      <c r="U272" s="10"/>
      <c r="V272" s="10"/>
      <c r="W272" s="12">
        <f t="shared" si="78"/>
        <v>0</v>
      </c>
      <c r="Y272" s="10"/>
      <c r="Z272" s="30"/>
      <c r="AA272" s="31"/>
      <c r="AB272" s="47"/>
      <c r="AC272" s="31"/>
      <c r="AD272" s="31"/>
      <c r="AE272" s="32">
        <f t="shared" ref="AE272" si="92">SUM(AB272:AC272)</f>
        <v>0</v>
      </c>
      <c r="AF272" s="10"/>
      <c r="AG272" s="10"/>
      <c r="AH272" s="10"/>
      <c r="AI272" s="12">
        <f t="shared" si="88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10"/>
      <c r="B273" s="30"/>
      <c r="C273" s="30"/>
      <c r="D273" s="32"/>
      <c r="E273" s="32"/>
      <c r="F273" s="32"/>
      <c r="G273" s="32"/>
      <c r="H273" s="10"/>
      <c r="I273" s="10"/>
      <c r="J273" s="10"/>
      <c r="K273" s="12"/>
      <c r="M273" s="10"/>
      <c r="N273" s="31"/>
      <c r="O273" s="31"/>
      <c r="P273" s="31"/>
      <c r="Q273" s="31"/>
      <c r="R273" s="31"/>
      <c r="S273" s="31"/>
      <c r="T273" s="10"/>
      <c r="U273" s="10"/>
      <c r="V273" s="10"/>
      <c r="W273" s="12">
        <f t="shared" si="78"/>
        <v>0</v>
      </c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88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B274" s="57"/>
      <c r="C274" s="57"/>
      <c r="D274" s="36"/>
      <c r="E274" s="36"/>
      <c r="F274" s="36"/>
      <c r="G274" s="36"/>
      <c r="H274" s="37"/>
      <c r="I274" s="37"/>
      <c r="J274" s="37"/>
      <c r="K274" s="37"/>
      <c r="N274" s="57"/>
      <c r="O274" s="57"/>
      <c r="P274" s="36"/>
      <c r="Q274" s="36"/>
      <c r="R274" s="36"/>
      <c r="S274" s="36"/>
      <c r="T274" s="37"/>
      <c r="U274" s="37"/>
      <c r="V274" s="37"/>
      <c r="W274" s="37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B275" s="57"/>
      <c r="C275" s="57"/>
      <c r="D275" s="38">
        <f>SUM(D232:D274)</f>
        <v>354435</v>
      </c>
      <c r="E275" s="38">
        <f t="shared" ref="E275:F275" si="93">SUM(E232:E272)</f>
        <v>-2592</v>
      </c>
      <c r="F275" s="38">
        <f t="shared" si="93"/>
        <v>0</v>
      </c>
      <c r="G275" s="38">
        <f>SUM(G232:G274)</f>
        <v>351843</v>
      </c>
      <c r="H275" s="4"/>
      <c r="I275" s="39">
        <f>SUM(I232:I274)</f>
        <v>5953.5</v>
      </c>
      <c r="J275" s="39">
        <f>SUM(J232:J274)</f>
        <v>-3219</v>
      </c>
      <c r="K275" s="40">
        <f>SUM(K232:K274)</f>
        <v>354577.5</v>
      </c>
      <c r="N275" s="57"/>
      <c r="O275" s="57"/>
      <c r="P275" s="38">
        <f>SUM(P232:P274)</f>
        <v>244037.5</v>
      </c>
      <c r="Q275" s="38">
        <f>SUM(Q232:Q256)</f>
        <v>-1494</v>
      </c>
      <c r="R275" s="38">
        <f>SUM(R232:R256)</f>
        <v>0</v>
      </c>
      <c r="S275" s="38">
        <f>SUM(S232:S274)</f>
        <v>242543.5</v>
      </c>
      <c r="T275" s="4"/>
      <c r="U275" s="41">
        <f>SUM(U232:U274)</f>
        <v>297</v>
      </c>
      <c r="V275" s="41">
        <f>SUM(V232:V256)</f>
        <v>-4620</v>
      </c>
      <c r="W275" s="42">
        <f>SUM(W232:W274)</f>
        <v>238220.5</v>
      </c>
      <c r="Z275" s="57"/>
      <c r="AA275" s="57"/>
      <c r="AB275" s="38">
        <f>SUM(AB232:AB274)</f>
        <v>465088</v>
      </c>
      <c r="AC275" s="38">
        <f>SUM(AC232:AC256)</f>
        <v>-4044</v>
      </c>
      <c r="AD275" s="38">
        <f>SUM(AD232:AD256)</f>
        <v>0</v>
      </c>
      <c r="AE275" s="38">
        <f>SUM(AE232:AE274)</f>
        <v>461044</v>
      </c>
      <c r="AF275" s="4"/>
      <c r="AG275" s="41">
        <f>SUM(AG232:AG274)</f>
        <v>0</v>
      </c>
      <c r="AH275" s="41">
        <f>SUM(AH232:AH256)</f>
        <v>-1011</v>
      </c>
      <c r="AI275" s="42">
        <f>SUM(AI232:AI274)</f>
        <v>460033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41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41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41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53</v>
      </c>
      <c r="B283" s="20"/>
      <c r="C283" s="57"/>
      <c r="D283" s="57"/>
      <c r="E283" s="57"/>
      <c r="G283" s="57"/>
      <c r="I283" s="22" t="s">
        <v>16</v>
      </c>
      <c r="J283" s="23" t="s">
        <v>31</v>
      </c>
      <c r="K283" s="24"/>
      <c r="M283" s="21" t="s">
        <v>53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33</v>
      </c>
      <c r="W283" s="24"/>
      <c r="Y283" s="21" t="s">
        <v>53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34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20" t="s">
        <v>17</v>
      </c>
      <c r="E285" s="120"/>
      <c r="F285" s="96"/>
      <c r="G285" s="27"/>
      <c r="I285" s="118" t="s">
        <v>18</v>
      </c>
      <c r="J285" s="119"/>
      <c r="K285" s="116" t="s">
        <v>19</v>
      </c>
      <c r="N285" s="25"/>
      <c r="O285" s="26"/>
      <c r="P285" s="120" t="s">
        <v>17</v>
      </c>
      <c r="Q285" s="120"/>
      <c r="R285" s="96"/>
      <c r="S285" s="27"/>
      <c r="U285" s="118" t="s">
        <v>18</v>
      </c>
      <c r="V285" s="119"/>
      <c r="W285" s="116" t="s">
        <v>19</v>
      </c>
      <c r="Z285" s="25"/>
      <c r="AA285" s="26"/>
      <c r="AB285" s="120" t="s">
        <v>17</v>
      </c>
      <c r="AC285" s="120"/>
      <c r="AD285" s="96"/>
      <c r="AE285" s="27"/>
      <c r="AG285" s="118" t="s">
        <v>18</v>
      </c>
      <c r="AH285" s="119"/>
      <c r="AI285" s="116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7" t="s">
        <v>22</v>
      </c>
      <c r="E286" s="76" t="s">
        <v>23</v>
      </c>
      <c r="F286" s="78" t="s">
        <v>32</v>
      </c>
      <c r="G286" s="78" t="s">
        <v>24</v>
      </c>
      <c r="I286" s="29" t="s">
        <v>25</v>
      </c>
      <c r="J286" s="29" t="s">
        <v>26</v>
      </c>
      <c r="K286" s="117"/>
      <c r="N286" s="28" t="s">
        <v>20</v>
      </c>
      <c r="O286" s="28" t="s">
        <v>21</v>
      </c>
      <c r="P286" s="77" t="s">
        <v>22</v>
      </c>
      <c r="Q286" s="78" t="s">
        <v>23</v>
      </c>
      <c r="R286" s="78" t="s">
        <v>32</v>
      </c>
      <c r="S286" s="78" t="s">
        <v>24</v>
      </c>
      <c r="U286" s="29" t="s">
        <v>25</v>
      </c>
      <c r="V286" s="29" t="s">
        <v>26</v>
      </c>
      <c r="W286" s="117"/>
      <c r="Z286" s="28" t="s">
        <v>20</v>
      </c>
      <c r="AA286" s="28" t="s">
        <v>21</v>
      </c>
      <c r="AB286" s="77" t="s">
        <v>22</v>
      </c>
      <c r="AC286" s="78" t="s">
        <v>23</v>
      </c>
      <c r="AD286" s="78" t="s">
        <v>32</v>
      </c>
      <c r="AE286" s="78" t="s">
        <v>24</v>
      </c>
      <c r="AG286" s="29" t="s">
        <v>25</v>
      </c>
      <c r="AH286" s="29" t="s">
        <v>26</v>
      </c>
      <c r="AI286" s="117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46269</v>
      </c>
      <c r="C287" s="83">
        <v>9986</v>
      </c>
      <c r="D287" s="32">
        <f>650*22+670*2+622*3</f>
        <v>17506</v>
      </c>
      <c r="E287" s="32"/>
      <c r="F287" s="32"/>
      <c r="G287" s="32">
        <f t="shared" ref="G287:G320" si="94">SUM(D287:E287)</f>
        <v>17506</v>
      </c>
      <c r="H287" s="12"/>
      <c r="I287" s="12"/>
      <c r="J287" s="12"/>
      <c r="K287" s="12">
        <f t="shared" ref="K287:K320" si="95">SUM(G287:J287)</f>
        <v>17506</v>
      </c>
      <c r="M287" s="10">
        <v>1</v>
      </c>
      <c r="N287" s="30">
        <v>46269</v>
      </c>
      <c r="O287" s="31">
        <v>10072</v>
      </c>
      <c r="P287" s="32">
        <f>650*20</f>
        <v>13000</v>
      </c>
      <c r="Q287" s="32"/>
      <c r="R287" s="32"/>
      <c r="S287" s="32">
        <f>SUM(P287:Q287)</f>
        <v>13000</v>
      </c>
      <c r="T287" s="12"/>
      <c r="U287" s="12"/>
      <c r="V287" s="12"/>
      <c r="W287" s="12">
        <f>SUM(S287:V287)</f>
        <v>13000</v>
      </c>
      <c r="Y287" s="10">
        <v>1</v>
      </c>
      <c r="Z287" s="30">
        <v>46269</v>
      </c>
      <c r="AA287" s="31">
        <v>10015</v>
      </c>
      <c r="AB287" s="32">
        <f>650*108+229*5</f>
        <v>71345</v>
      </c>
      <c r="AC287" s="32">
        <f>-108*6</f>
        <v>-648</v>
      </c>
      <c r="AD287" s="32"/>
      <c r="AE287" s="32">
        <f>SUM(AB287:AC287)</f>
        <v>70697</v>
      </c>
      <c r="AF287" s="12"/>
      <c r="AG287" s="12"/>
      <c r="AH287" s="12">
        <f>-111*82</f>
        <v>-9102</v>
      </c>
      <c r="AI287" s="12">
        <f>SUM(AE287:AH287)</f>
        <v>61595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46269</v>
      </c>
      <c r="C288" s="83">
        <f>C287+1</f>
        <v>9987</v>
      </c>
      <c r="D288" s="32">
        <f>650*15+872</f>
        <v>10622</v>
      </c>
      <c r="E288" s="32"/>
      <c r="F288" s="32"/>
      <c r="G288" s="32">
        <f t="shared" si="94"/>
        <v>10622</v>
      </c>
      <c r="H288" s="12"/>
      <c r="I288" s="12">
        <v>94.5</v>
      </c>
      <c r="J288" s="12"/>
      <c r="K288" s="12">
        <f t="shared" si="95"/>
        <v>10716.5</v>
      </c>
      <c r="M288" s="10">
        <v>2</v>
      </c>
      <c r="N288" s="30">
        <v>46269</v>
      </c>
      <c r="O288" s="31">
        <f>O287+1</f>
        <v>10073</v>
      </c>
      <c r="P288" s="32">
        <f>650*216+229*10</f>
        <v>142690</v>
      </c>
      <c r="Q288" s="32">
        <f>-216*6</f>
        <v>-1296</v>
      </c>
      <c r="R288" s="32"/>
      <c r="S288" s="32">
        <f t="shared" ref="S288:S325" si="96">SUM(P288:Q288)</f>
        <v>141394</v>
      </c>
      <c r="T288" s="12"/>
      <c r="U288" s="12">
        <v>624</v>
      </c>
      <c r="V288" s="12">
        <v>-336</v>
      </c>
      <c r="W288" s="12">
        <f t="shared" ref="W288:W328" si="97">SUM(S288:V288)</f>
        <v>141682</v>
      </c>
      <c r="Y288" s="10">
        <v>2</v>
      </c>
      <c r="Z288" s="30">
        <v>46269</v>
      </c>
      <c r="AA288" s="31">
        <f>AA287+1</f>
        <v>10016</v>
      </c>
      <c r="AB288" s="32">
        <f>650*75+622*5+229*2</f>
        <v>52318</v>
      </c>
      <c r="AC288" s="32"/>
      <c r="AD288" s="32"/>
      <c r="AE288" s="32">
        <f t="shared" ref="AE288:AE290" si="98">SUM(AB288:AC288)</f>
        <v>52318</v>
      </c>
      <c r="AF288" s="12"/>
      <c r="AG288" s="12">
        <f>3108+162</f>
        <v>3270</v>
      </c>
      <c r="AH288" s="12"/>
      <c r="AI288" s="12">
        <f t="shared" ref="AI288:AI319" si="99">SUM(AE288:AH288)</f>
        <v>55588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46269</v>
      </c>
      <c r="C289" s="83">
        <f t="shared" ref="C289:C301" si="100">C288+1</f>
        <v>9988</v>
      </c>
      <c r="D289" s="33">
        <f>650*58+229</f>
        <v>37929</v>
      </c>
      <c r="E289" s="32"/>
      <c r="F289" s="33"/>
      <c r="G289" s="33">
        <f t="shared" si="94"/>
        <v>37929</v>
      </c>
      <c r="H289" s="34"/>
      <c r="I289" s="34"/>
      <c r="J289" s="34"/>
      <c r="K289" s="34">
        <f t="shared" si="95"/>
        <v>37929</v>
      </c>
      <c r="M289" s="10">
        <v>3</v>
      </c>
      <c r="N289" s="30">
        <v>46269</v>
      </c>
      <c r="O289" s="31">
        <f t="shared" ref="O289:O295" si="101">O288+1</f>
        <v>10074</v>
      </c>
      <c r="P289" s="32">
        <f>650*11+9.5*11</f>
        <v>7254.5</v>
      </c>
      <c r="Q289" s="32"/>
      <c r="R289" s="32"/>
      <c r="S289" s="32">
        <f t="shared" si="96"/>
        <v>7254.5</v>
      </c>
      <c r="T289" s="12"/>
      <c r="U289" s="12"/>
      <c r="V289" s="12">
        <v>-666</v>
      </c>
      <c r="W289" s="12">
        <f t="shared" si="97"/>
        <v>6588.5</v>
      </c>
      <c r="Y289" s="10">
        <v>3</v>
      </c>
      <c r="Z289" s="30">
        <v>46269</v>
      </c>
      <c r="AA289" s="31">
        <f t="shared" ref="AA289:AA297" si="102">AA288+1</f>
        <v>10017</v>
      </c>
      <c r="AB289" s="33">
        <f>650*52+622*10+229*2</f>
        <v>40478</v>
      </c>
      <c r="AC289" s="33"/>
      <c r="AD289" s="32"/>
      <c r="AE289" s="32">
        <f t="shared" si="98"/>
        <v>40478</v>
      </c>
      <c r="AF289" s="12"/>
      <c r="AG289" s="12"/>
      <c r="AH289" s="12"/>
      <c r="AI289" s="12">
        <f t="shared" si="99"/>
        <v>40478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>
        <v>46269</v>
      </c>
      <c r="C290" s="83">
        <f t="shared" si="100"/>
        <v>9989</v>
      </c>
      <c r="D290" s="32">
        <f>650*3+9.5*3</f>
        <v>1978.5</v>
      </c>
      <c r="E290" s="32"/>
      <c r="F290" s="32"/>
      <c r="G290" s="32">
        <f t="shared" si="94"/>
        <v>1978.5</v>
      </c>
      <c r="H290" s="12"/>
      <c r="I290" s="12"/>
      <c r="J290" s="12"/>
      <c r="K290" s="12">
        <f t="shared" si="95"/>
        <v>1978.5</v>
      </c>
      <c r="M290" s="10">
        <v>4</v>
      </c>
      <c r="N290" s="30">
        <v>46269</v>
      </c>
      <c r="O290" s="31">
        <f t="shared" si="101"/>
        <v>10075</v>
      </c>
      <c r="P290" s="32">
        <f>650*6+622+9.5*7</f>
        <v>4588.5</v>
      </c>
      <c r="Q290" s="32"/>
      <c r="R290" s="32"/>
      <c r="S290" s="32">
        <f t="shared" si="96"/>
        <v>4588.5</v>
      </c>
      <c r="T290" s="12"/>
      <c r="U290" s="12"/>
      <c r="V290" s="12"/>
      <c r="W290" s="12">
        <f t="shared" si="97"/>
        <v>4588.5</v>
      </c>
      <c r="Y290" s="10">
        <v>4</v>
      </c>
      <c r="Z290" s="30">
        <v>46269</v>
      </c>
      <c r="AA290" s="31">
        <f t="shared" si="102"/>
        <v>10018</v>
      </c>
      <c r="AB290" s="32">
        <f>650*15+622*5+1050+872*2+229+500</f>
        <v>16383</v>
      </c>
      <c r="AC290" s="32"/>
      <c r="AD290" s="32"/>
      <c r="AE290" s="32">
        <f t="shared" si="98"/>
        <v>16383</v>
      </c>
      <c r="AF290" s="12"/>
      <c r="AG290">
        <f>144+81</f>
        <v>225</v>
      </c>
      <c r="AH290" s="12"/>
      <c r="AI290" s="12">
        <f t="shared" si="99"/>
        <v>16608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>
        <v>46269</v>
      </c>
      <c r="C291" s="83">
        <f t="shared" si="100"/>
        <v>9990</v>
      </c>
      <c r="D291" s="32">
        <f>650*150+622*12</f>
        <v>104964</v>
      </c>
      <c r="E291" s="32"/>
      <c r="F291" s="32"/>
      <c r="G291" s="32">
        <f t="shared" si="94"/>
        <v>104964</v>
      </c>
      <c r="H291" s="12"/>
      <c r="I291" s="12"/>
      <c r="J291" s="12">
        <f>-360+-390</f>
        <v>-750</v>
      </c>
      <c r="K291" s="12">
        <f t="shared" si="95"/>
        <v>104214</v>
      </c>
      <c r="M291" s="10">
        <v>5</v>
      </c>
      <c r="N291" s="30">
        <v>46269</v>
      </c>
      <c r="O291" s="31">
        <f t="shared" si="101"/>
        <v>10076</v>
      </c>
      <c r="P291" s="32">
        <f>650*7+622*3</f>
        <v>6416</v>
      </c>
      <c r="Q291" s="32"/>
      <c r="R291" s="32"/>
      <c r="S291" s="32">
        <f t="shared" si="96"/>
        <v>6416</v>
      </c>
      <c r="T291" s="12"/>
      <c r="U291" s="12"/>
      <c r="V291" s="12"/>
      <c r="W291" s="12">
        <f t="shared" si="97"/>
        <v>6416</v>
      </c>
      <c r="Y291" s="10">
        <v>5</v>
      </c>
      <c r="Z291" s="30">
        <v>46269</v>
      </c>
      <c r="AA291" s="31">
        <f t="shared" si="102"/>
        <v>10019</v>
      </c>
      <c r="AB291" s="32">
        <f>650*21</f>
        <v>13650</v>
      </c>
      <c r="AC291" s="32"/>
      <c r="AD291" s="32"/>
      <c r="AE291" s="32">
        <f t="shared" ref="AE291:AE292" si="103">SUM(AB291:AC291)</f>
        <v>13650</v>
      </c>
      <c r="AF291" s="12"/>
      <c r="AG291" s="12"/>
      <c r="AH291" s="12"/>
      <c r="AI291" s="12">
        <f t="shared" si="99"/>
        <v>13650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>
        <v>46269</v>
      </c>
      <c r="C292" s="83">
        <f t="shared" si="100"/>
        <v>9991</v>
      </c>
      <c r="D292" s="32">
        <f>650*216+229*3</f>
        <v>141087</v>
      </c>
      <c r="E292" s="32"/>
      <c r="F292" s="32"/>
      <c r="G292" s="32">
        <f t="shared" si="94"/>
        <v>141087</v>
      </c>
      <c r="H292" s="12"/>
      <c r="I292" s="12">
        <v>2331</v>
      </c>
      <c r="J292" s="12"/>
      <c r="K292" s="12">
        <f t="shared" si="95"/>
        <v>143418</v>
      </c>
      <c r="M292" s="10">
        <v>6</v>
      </c>
      <c r="N292" s="30">
        <v>46269</v>
      </c>
      <c r="O292" s="31">
        <f t="shared" si="101"/>
        <v>10077</v>
      </c>
      <c r="P292" s="32">
        <f>650*30+622*5+872</f>
        <v>23482</v>
      </c>
      <c r="Q292" s="32"/>
      <c r="R292" s="32"/>
      <c r="S292" s="32">
        <f t="shared" si="96"/>
        <v>23482</v>
      </c>
      <c r="T292" s="12"/>
      <c r="U292" s="12"/>
      <c r="V292" s="10"/>
      <c r="W292" s="12">
        <f t="shared" si="97"/>
        <v>23482</v>
      </c>
      <c r="Y292" s="10">
        <v>6</v>
      </c>
      <c r="Z292" s="30">
        <v>46269</v>
      </c>
      <c r="AA292" s="31">
        <f t="shared" si="102"/>
        <v>10020</v>
      </c>
      <c r="AB292" s="32">
        <f>650*25</f>
        <v>16250</v>
      </c>
      <c r="AC292" s="32"/>
      <c r="AD292" s="32"/>
      <c r="AE292" s="32">
        <f t="shared" si="103"/>
        <v>16250</v>
      </c>
      <c r="AF292" s="12"/>
      <c r="AG292" s="12">
        <v>1110</v>
      </c>
      <c r="AH292" s="10"/>
      <c r="AI292" s="12">
        <f t="shared" si="99"/>
        <v>17360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>
        <v>46269</v>
      </c>
      <c r="C293" s="83">
        <f t="shared" si="100"/>
        <v>9992</v>
      </c>
      <c r="D293" s="32">
        <f>650*25+622*5</f>
        <v>19360</v>
      </c>
      <c r="E293" s="32"/>
      <c r="F293" s="32"/>
      <c r="G293" s="32">
        <f t="shared" si="94"/>
        <v>19360</v>
      </c>
      <c r="H293" s="12"/>
      <c r="I293" s="12">
        <v>432</v>
      </c>
      <c r="J293" s="12"/>
      <c r="K293" s="12">
        <f t="shared" si="95"/>
        <v>19792</v>
      </c>
      <c r="M293" s="10">
        <v>7</v>
      </c>
      <c r="N293" s="30">
        <v>46269</v>
      </c>
      <c r="O293" s="31">
        <f t="shared" si="101"/>
        <v>10078</v>
      </c>
      <c r="P293" s="32">
        <f>650*20+670*2</f>
        <v>14340</v>
      </c>
      <c r="Q293" s="32"/>
      <c r="R293" s="32"/>
      <c r="S293" s="32">
        <f t="shared" si="96"/>
        <v>14340</v>
      </c>
      <c r="T293" s="12"/>
      <c r="U293" s="12"/>
      <c r="V293" s="12"/>
      <c r="W293" s="12">
        <f t="shared" si="97"/>
        <v>14340</v>
      </c>
      <c r="Y293" s="10">
        <v>7</v>
      </c>
      <c r="Z293" s="30">
        <v>46269</v>
      </c>
      <c r="AA293" s="31">
        <f t="shared" si="102"/>
        <v>10021</v>
      </c>
      <c r="AB293" s="32">
        <f>650*108+229*4</f>
        <v>71116</v>
      </c>
      <c r="AC293" s="32">
        <v>-648</v>
      </c>
      <c r="AD293" s="32"/>
      <c r="AE293" s="32">
        <f>SUM(AB293:AC293)</f>
        <v>70468</v>
      </c>
      <c r="AF293" s="12"/>
      <c r="AG293" s="58">
        <v>78</v>
      </c>
      <c r="AH293" s="12">
        <f>-111*92+-120*6</f>
        <v>-10932</v>
      </c>
      <c r="AI293" s="12">
        <f t="shared" si="99"/>
        <v>59614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>
        <v>46269</v>
      </c>
      <c r="C294" s="83">
        <f t="shared" si="100"/>
        <v>9993</v>
      </c>
      <c r="D294" s="32">
        <f>650*5</f>
        <v>3250</v>
      </c>
      <c r="E294" s="32"/>
      <c r="F294" s="32"/>
      <c r="G294" s="32">
        <f t="shared" si="94"/>
        <v>3250</v>
      </c>
      <c r="H294" s="12"/>
      <c r="I294" s="12"/>
      <c r="J294" s="12"/>
      <c r="K294" s="12">
        <f t="shared" si="95"/>
        <v>3250</v>
      </c>
      <c r="M294" s="10">
        <v>8</v>
      </c>
      <c r="N294" s="30">
        <v>46269</v>
      </c>
      <c r="O294" s="31">
        <f t="shared" si="101"/>
        <v>10079</v>
      </c>
      <c r="P294" s="32">
        <f>650*5+622*2</f>
        <v>4494</v>
      </c>
      <c r="Q294" s="32"/>
      <c r="R294" s="32"/>
      <c r="S294" s="32">
        <f t="shared" si="96"/>
        <v>4494</v>
      </c>
      <c r="T294" s="12"/>
      <c r="U294" s="12"/>
      <c r="V294" s="12"/>
      <c r="W294" s="12">
        <f t="shared" si="97"/>
        <v>4494</v>
      </c>
      <c r="Y294" s="10">
        <v>8</v>
      </c>
      <c r="Z294" s="30">
        <v>46269</v>
      </c>
      <c r="AA294" s="31">
        <f t="shared" si="102"/>
        <v>10022</v>
      </c>
      <c r="AB294" s="32">
        <f>650*70+670*30+1175+229*2</f>
        <v>67233</v>
      </c>
      <c r="AC294" s="32"/>
      <c r="AE294" s="32">
        <f t="shared" ref="AE294:AE325" si="104">SUM(AB294:AC294)</f>
        <v>67233</v>
      </c>
      <c r="AF294" s="12"/>
      <c r="AG294" s="12">
        <f>777+135</f>
        <v>912</v>
      </c>
      <c r="AH294" s="12"/>
      <c r="AI294" s="12">
        <f t="shared" si="99"/>
        <v>68145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>
        <v>46269</v>
      </c>
      <c r="C295" s="83">
        <f t="shared" si="100"/>
        <v>9994</v>
      </c>
      <c r="D295" s="32">
        <f>650*10+9.5*10</f>
        <v>6595</v>
      </c>
      <c r="E295" s="32"/>
      <c r="F295" s="32"/>
      <c r="G295" s="32">
        <f t="shared" si="94"/>
        <v>6595</v>
      </c>
      <c r="H295" s="12"/>
      <c r="I295" s="12"/>
      <c r="J295" s="12"/>
      <c r="K295" s="12">
        <f t="shared" si="95"/>
        <v>6595</v>
      </c>
      <c r="M295" s="10">
        <v>9</v>
      </c>
      <c r="N295" s="30">
        <v>46269</v>
      </c>
      <c r="O295" s="31">
        <f t="shared" si="101"/>
        <v>10080</v>
      </c>
      <c r="P295" s="32">
        <f>650*2+670+622</f>
        <v>2592</v>
      </c>
      <c r="Q295" s="32"/>
      <c r="R295" s="32"/>
      <c r="S295" s="32">
        <f t="shared" si="96"/>
        <v>2592</v>
      </c>
      <c r="T295" s="12"/>
      <c r="U295" s="12"/>
      <c r="V295" s="12"/>
      <c r="W295" s="12">
        <f t="shared" si="97"/>
        <v>2592</v>
      </c>
      <c r="Y295" s="10">
        <v>9</v>
      </c>
      <c r="Z295" s="30">
        <v>46269</v>
      </c>
      <c r="AA295" s="31">
        <f t="shared" si="102"/>
        <v>10023</v>
      </c>
      <c r="AB295" s="32">
        <f>650*40+670*2+229*2+500</f>
        <v>28298</v>
      </c>
      <c r="AC295" s="32"/>
      <c r="AD295" s="32"/>
      <c r="AE295" s="32">
        <f t="shared" si="104"/>
        <v>28298</v>
      </c>
      <c r="AF295" s="12"/>
      <c r="AG295">
        <v>81</v>
      </c>
      <c r="AH295" s="12"/>
      <c r="AI295" s="12">
        <f t="shared" si="99"/>
        <v>28379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>
        <v>46269</v>
      </c>
      <c r="C296" s="83">
        <f t="shared" si="100"/>
        <v>9995</v>
      </c>
      <c r="D296" s="32">
        <f>650*10+9.5*10</f>
        <v>6595</v>
      </c>
      <c r="E296" s="32"/>
      <c r="F296" s="32"/>
      <c r="G296" s="32">
        <f t="shared" si="94"/>
        <v>6595</v>
      </c>
      <c r="H296" s="12"/>
      <c r="I296" s="12"/>
      <c r="J296" s="12"/>
      <c r="K296" s="12">
        <f t="shared" si="95"/>
        <v>6595</v>
      </c>
      <c r="M296" s="10">
        <v>10</v>
      </c>
      <c r="N296" s="30"/>
      <c r="O296" s="11" t="s">
        <v>27</v>
      </c>
      <c r="P296" s="32"/>
      <c r="Q296" s="32"/>
      <c r="R296" s="32"/>
      <c r="S296" s="32">
        <f t="shared" si="96"/>
        <v>0</v>
      </c>
      <c r="T296" s="12"/>
      <c r="U296" s="12"/>
      <c r="V296" s="12"/>
      <c r="W296" s="12">
        <f t="shared" si="97"/>
        <v>0</v>
      </c>
      <c r="Y296" s="10">
        <v>10</v>
      </c>
      <c r="Z296" s="30">
        <v>46269</v>
      </c>
      <c r="AA296" s="31">
        <f t="shared" si="102"/>
        <v>10024</v>
      </c>
      <c r="AB296" s="32">
        <f>650*10</f>
        <v>6500</v>
      </c>
      <c r="AC296" s="32"/>
      <c r="AD296" s="32"/>
      <c r="AE296" s="32">
        <f t="shared" si="104"/>
        <v>6500</v>
      </c>
      <c r="AF296" s="12"/>
      <c r="AG296" s="12"/>
      <c r="AH296" s="12">
        <v>-666</v>
      </c>
      <c r="AI296" s="12">
        <f t="shared" si="99"/>
        <v>5834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>
        <v>46269</v>
      </c>
      <c r="C297" s="83">
        <f t="shared" si="100"/>
        <v>9996</v>
      </c>
      <c r="D297" s="32">
        <f>650*4+9.5*4</f>
        <v>2638</v>
      </c>
      <c r="E297" s="32"/>
      <c r="F297" s="32"/>
      <c r="G297" s="32">
        <f t="shared" si="94"/>
        <v>2638</v>
      </c>
      <c r="H297" s="12"/>
      <c r="I297" s="12"/>
      <c r="J297" s="12"/>
      <c r="K297" s="12">
        <f t="shared" si="95"/>
        <v>2638</v>
      </c>
      <c r="M297" s="10">
        <v>11</v>
      </c>
      <c r="N297" s="30"/>
      <c r="O297" s="31"/>
      <c r="P297" s="32"/>
      <c r="Q297" s="32"/>
      <c r="R297" s="32"/>
      <c r="S297" s="32">
        <f t="shared" si="96"/>
        <v>0</v>
      </c>
      <c r="T297" s="12"/>
      <c r="U297" s="12"/>
      <c r="V297" s="12"/>
      <c r="W297" s="12">
        <f t="shared" si="97"/>
        <v>0</v>
      </c>
      <c r="Y297" s="10">
        <v>11</v>
      </c>
      <c r="Z297" s="30">
        <v>46269</v>
      </c>
      <c r="AA297" s="31">
        <f t="shared" si="102"/>
        <v>10025</v>
      </c>
      <c r="AB297" s="32">
        <f>872</f>
        <v>872</v>
      </c>
      <c r="AC297" s="32"/>
      <c r="AD297" s="32"/>
      <c r="AE297" s="32">
        <f t="shared" si="104"/>
        <v>872</v>
      </c>
      <c r="AF297" s="12"/>
      <c r="AG297" s="12"/>
      <c r="AH297" s="12"/>
      <c r="AI297" s="12">
        <f t="shared" si="99"/>
        <v>872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>
        <v>46269</v>
      </c>
      <c r="C298" s="83">
        <f t="shared" si="100"/>
        <v>9997</v>
      </c>
      <c r="D298" s="32">
        <f>650*6</f>
        <v>3900</v>
      </c>
      <c r="E298" s="32"/>
      <c r="F298" s="32"/>
      <c r="G298" s="32">
        <f t="shared" si="94"/>
        <v>3900</v>
      </c>
      <c r="H298" s="12"/>
      <c r="I298" s="12"/>
      <c r="J298" s="10"/>
      <c r="K298" s="12">
        <f t="shared" si="95"/>
        <v>3900</v>
      </c>
      <c r="M298" s="10">
        <v>12</v>
      </c>
      <c r="N298" s="30"/>
      <c r="O298" s="31"/>
      <c r="P298" s="32"/>
      <c r="Q298" s="32"/>
      <c r="R298" s="32"/>
      <c r="S298" s="32">
        <f t="shared" si="96"/>
        <v>0</v>
      </c>
      <c r="T298" s="12"/>
      <c r="U298" s="12"/>
      <c r="V298" s="12"/>
      <c r="W298" s="12">
        <f t="shared" si="97"/>
        <v>0</v>
      </c>
      <c r="Y298" s="10">
        <v>12</v>
      </c>
      <c r="Z298" s="30"/>
      <c r="AA298" s="11" t="s">
        <v>27</v>
      </c>
      <c r="AB298" s="32"/>
      <c r="AC298" s="32"/>
      <c r="AD298" s="32"/>
      <c r="AE298" s="32">
        <f t="shared" si="104"/>
        <v>0</v>
      </c>
      <c r="AF298" s="12"/>
      <c r="AG298" s="12"/>
      <c r="AH298" s="12"/>
      <c r="AI298" s="12">
        <f t="shared" si="99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>
        <v>46269</v>
      </c>
      <c r="C299" s="83">
        <f t="shared" si="100"/>
        <v>9998</v>
      </c>
      <c r="D299" s="32">
        <f>650*5</f>
        <v>3250</v>
      </c>
      <c r="E299" s="32"/>
      <c r="F299" s="32"/>
      <c r="G299" s="32">
        <f t="shared" si="94"/>
        <v>3250</v>
      </c>
      <c r="H299" s="12"/>
      <c r="I299" s="12"/>
      <c r="J299" s="12"/>
      <c r="K299" s="12">
        <f t="shared" si="95"/>
        <v>3250</v>
      </c>
      <c r="M299" s="10">
        <v>13</v>
      </c>
      <c r="N299" s="30"/>
      <c r="O299" s="31"/>
      <c r="P299" s="32"/>
      <c r="Q299" s="32"/>
      <c r="R299" s="32"/>
      <c r="S299" s="32">
        <f t="shared" si="96"/>
        <v>0</v>
      </c>
      <c r="T299" s="12"/>
      <c r="U299" s="12"/>
      <c r="V299" s="12"/>
      <c r="W299" s="12">
        <f t="shared" si="97"/>
        <v>0</v>
      </c>
      <c r="Y299" s="10">
        <v>13</v>
      </c>
      <c r="Z299" s="30"/>
      <c r="AA299" s="31"/>
      <c r="AB299" s="32"/>
      <c r="AC299" s="32"/>
      <c r="AD299" s="32"/>
      <c r="AE299" s="32">
        <f t="shared" si="104"/>
        <v>0</v>
      </c>
      <c r="AF299" s="12"/>
      <c r="AG299" s="12"/>
      <c r="AH299" s="12"/>
      <c r="AI299" s="12">
        <f t="shared" si="99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>
        <v>46269</v>
      </c>
      <c r="C300" s="83">
        <f t="shared" si="100"/>
        <v>9999</v>
      </c>
      <c r="D300" s="32">
        <f>650*5</f>
        <v>3250</v>
      </c>
      <c r="E300" s="32"/>
      <c r="F300" s="32"/>
      <c r="G300" s="32">
        <f t="shared" si="94"/>
        <v>3250</v>
      </c>
      <c r="H300" s="12"/>
      <c r="I300" s="12"/>
      <c r="J300" s="12"/>
      <c r="K300" s="12">
        <f t="shared" si="95"/>
        <v>3250</v>
      </c>
      <c r="M300" s="10">
        <v>14</v>
      </c>
      <c r="N300" s="30"/>
      <c r="O300" s="31"/>
      <c r="P300" s="32"/>
      <c r="Q300" s="32"/>
      <c r="R300" s="32"/>
      <c r="S300" s="32">
        <f t="shared" si="96"/>
        <v>0</v>
      </c>
      <c r="T300" s="12"/>
      <c r="U300" s="12"/>
      <c r="V300" s="12"/>
      <c r="W300" s="12">
        <f t="shared" si="97"/>
        <v>0</v>
      </c>
      <c r="Y300" s="10">
        <v>14</v>
      </c>
      <c r="Z300" s="30"/>
      <c r="AA300" s="31"/>
      <c r="AB300" s="32"/>
      <c r="AC300" s="32"/>
      <c r="AD300" s="32"/>
      <c r="AE300" s="32">
        <f t="shared" si="104"/>
        <v>0</v>
      </c>
      <c r="AF300" s="12"/>
      <c r="AG300" s="12"/>
      <c r="AH300" s="12"/>
      <c r="AI300" s="12">
        <f t="shared" si="99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>
        <v>46269</v>
      </c>
      <c r="C301" s="83">
        <f t="shared" si="100"/>
        <v>10000</v>
      </c>
      <c r="D301" s="32">
        <f>650+872/2+229</f>
        <v>1315</v>
      </c>
      <c r="E301" s="32"/>
      <c r="F301" s="32"/>
      <c r="G301" s="32">
        <f t="shared" si="94"/>
        <v>1315</v>
      </c>
      <c r="H301" s="12"/>
      <c r="I301" s="12"/>
      <c r="J301" s="12"/>
      <c r="K301" s="12">
        <f t="shared" si="95"/>
        <v>1315</v>
      </c>
      <c r="M301" s="10">
        <v>15</v>
      </c>
      <c r="N301" s="30"/>
      <c r="O301" s="31"/>
      <c r="P301" s="32"/>
      <c r="Q301" s="32"/>
      <c r="R301" s="32"/>
      <c r="S301" s="32">
        <f t="shared" si="96"/>
        <v>0</v>
      </c>
      <c r="T301" s="12"/>
      <c r="U301" s="12"/>
      <c r="V301" s="12"/>
      <c r="W301" s="12">
        <f t="shared" si="97"/>
        <v>0</v>
      </c>
      <c r="Y301" s="10">
        <v>15</v>
      </c>
      <c r="Z301" s="30"/>
      <c r="AA301" s="31"/>
      <c r="AB301" s="32"/>
      <c r="AC301" s="32"/>
      <c r="AD301" s="32"/>
      <c r="AE301" s="32">
        <f t="shared" si="104"/>
        <v>0</v>
      </c>
      <c r="AF301" s="12"/>
      <c r="AG301" s="12"/>
      <c r="AH301" s="12"/>
      <c r="AI301" s="12">
        <f t="shared" si="99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C302" s="11" t="s">
        <v>27</v>
      </c>
      <c r="D302" s="32"/>
      <c r="E302" s="32"/>
      <c r="F302" s="32"/>
      <c r="G302" s="32">
        <f t="shared" si="94"/>
        <v>0</v>
      </c>
      <c r="H302" s="12"/>
      <c r="I302" s="12"/>
      <c r="J302" s="12"/>
      <c r="K302" s="12">
        <f t="shared" si="95"/>
        <v>0</v>
      </c>
      <c r="M302" s="10">
        <v>16</v>
      </c>
      <c r="N302" s="30"/>
      <c r="O302" s="31"/>
      <c r="P302" s="32"/>
      <c r="Q302" s="32"/>
      <c r="R302" s="32"/>
      <c r="S302" s="32">
        <f t="shared" si="96"/>
        <v>0</v>
      </c>
      <c r="T302" s="12"/>
      <c r="U302" s="12"/>
      <c r="V302" s="12"/>
      <c r="W302" s="12">
        <f t="shared" si="97"/>
        <v>0</v>
      </c>
      <c r="Y302" s="10">
        <v>16</v>
      </c>
      <c r="AA302" s="11"/>
      <c r="AB302" s="32"/>
      <c r="AC302" s="32"/>
      <c r="AD302" s="32"/>
      <c r="AE302" s="32">
        <f t="shared" si="104"/>
        <v>0</v>
      </c>
      <c r="AF302" s="12"/>
      <c r="AG302" s="12"/>
      <c r="AH302" s="12"/>
      <c r="AI302" s="12">
        <f t="shared" si="99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83"/>
      <c r="D303" s="32"/>
      <c r="E303" s="32"/>
      <c r="F303" s="32"/>
      <c r="G303" s="32">
        <f t="shared" si="94"/>
        <v>0</v>
      </c>
      <c r="H303" s="12"/>
      <c r="I303" s="12"/>
      <c r="J303" s="12"/>
      <c r="K303" s="12">
        <f t="shared" si="95"/>
        <v>0</v>
      </c>
      <c r="M303" s="10">
        <v>17</v>
      </c>
      <c r="N303" s="30"/>
      <c r="O303" s="31"/>
      <c r="P303" s="35"/>
      <c r="Q303" s="32"/>
      <c r="R303" s="32"/>
      <c r="S303" s="32">
        <f t="shared" si="96"/>
        <v>0</v>
      </c>
      <c r="T303" s="12"/>
      <c r="U303" s="12"/>
      <c r="V303" s="12"/>
      <c r="W303" s="12">
        <f t="shared" si="97"/>
        <v>0</v>
      </c>
      <c r="Y303" s="10">
        <v>17</v>
      </c>
      <c r="Z303" s="30"/>
      <c r="AA303" s="31"/>
      <c r="AB303" s="35"/>
      <c r="AC303" s="32"/>
      <c r="AD303" s="32"/>
      <c r="AE303" s="32">
        <f t="shared" si="104"/>
        <v>0</v>
      </c>
      <c r="AF303" s="12"/>
      <c r="AG303" s="12"/>
      <c r="AH303" s="12"/>
      <c r="AI303" s="12">
        <f t="shared" si="99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C304" s="83"/>
      <c r="D304" s="32"/>
      <c r="E304" s="32"/>
      <c r="F304" s="32"/>
      <c r="G304" s="32">
        <f t="shared" si="94"/>
        <v>0</v>
      </c>
      <c r="H304" s="12"/>
      <c r="I304" s="12"/>
      <c r="J304" s="12"/>
      <c r="K304" s="12">
        <f t="shared" si="95"/>
        <v>0</v>
      </c>
      <c r="M304" s="10">
        <v>18</v>
      </c>
      <c r="N304" s="30"/>
      <c r="O304" s="31"/>
      <c r="P304" s="32"/>
      <c r="Q304" s="32"/>
      <c r="R304" s="32"/>
      <c r="S304" s="32">
        <f t="shared" si="96"/>
        <v>0</v>
      </c>
      <c r="T304" s="12"/>
      <c r="U304" s="12"/>
      <c r="V304" s="12"/>
      <c r="W304" s="12">
        <f t="shared" si="97"/>
        <v>0</v>
      </c>
      <c r="Y304" s="10">
        <v>18</v>
      </c>
      <c r="Z304" s="30"/>
      <c r="AA304" s="31"/>
      <c r="AB304" s="32"/>
      <c r="AC304" s="32"/>
      <c r="AD304" s="32"/>
      <c r="AE304" s="32">
        <f t="shared" si="104"/>
        <v>0</v>
      </c>
      <c r="AF304" s="12"/>
      <c r="AG304" s="12"/>
      <c r="AH304" s="12"/>
      <c r="AI304" s="12">
        <f t="shared" si="99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83"/>
      <c r="D305" s="32"/>
      <c r="E305" s="32"/>
      <c r="F305" s="32"/>
      <c r="G305" s="32">
        <f t="shared" si="94"/>
        <v>0</v>
      </c>
      <c r="H305" s="12"/>
      <c r="I305" s="12"/>
      <c r="J305" s="12"/>
      <c r="K305" s="12">
        <f t="shared" si="95"/>
        <v>0</v>
      </c>
      <c r="M305" s="10">
        <v>19</v>
      </c>
      <c r="N305" s="30"/>
      <c r="O305" s="31"/>
      <c r="P305" s="32"/>
      <c r="Q305" s="32"/>
      <c r="R305" s="32"/>
      <c r="S305" s="32">
        <f t="shared" si="96"/>
        <v>0</v>
      </c>
      <c r="T305" s="12"/>
      <c r="U305" s="12"/>
      <c r="V305" s="12"/>
      <c r="W305" s="12">
        <f t="shared" si="97"/>
        <v>0</v>
      </c>
      <c r="Y305" s="10">
        <v>19</v>
      </c>
      <c r="Z305" s="30"/>
      <c r="AA305" s="31"/>
      <c r="AB305" s="32"/>
      <c r="AC305" s="32"/>
      <c r="AD305" s="32"/>
      <c r="AE305" s="32">
        <f t="shared" si="104"/>
        <v>0</v>
      </c>
      <c r="AF305" s="12"/>
      <c r="AG305" s="12"/>
      <c r="AH305" s="12"/>
      <c r="AI305" s="12">
        <f t="shared" si="99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83"/>
      <c r="D306" s="32"/>
      <c r="E306" s="32"/>
      <c r="F306" s="32"/>
      <c r="G306" s="32">
        <f t="shared" si="94"/>
        <v>0</v>
      </c>
      <c r="H306" s="12"/>
      <c r="I306" s="12"/>
      <c r="J306" s="12"/>
      <c r="K306" s="12">
        <f t="shared" si="95"/>
        <v>0</v>
      </c>
      <c r="M306" s="10">
        <v>20</v>
      </c>
      <c r="N306" s="30"/>
      <c r="O306" s="31"/>
      <c r="P306" s="32"/>
      <c r="Q306" s="32"/>
      <c r="R306" s="32"/>
      <c r="S306" s="32">
        <f t="shared" si="96"/>
        <v>0</v>
      </c>
      <c r="T306" s="12"/>
      <c r="U306" s="12"/>
      <c r="V306" s="12"/>
      <c r="W306" s="12">
        <f t="shared" si="97"/>
        <v>0</v>
      </c>
      <c r="Y306" s="10">
        <v>20</v>
      </c>
      <c r="Z306" s="30"/>
      <c r="AB306" s="32"/>
      <c r="AC306" s="32"/>
      <c r="AD306" s="32"/>
      <c r="AE306" s="32">
        <f t="shared" si="104"/>
        <v>0</v>
      </c>
      <c r="AF306" s="12"/>
      <c r="AG306" s="12"/>
      <c r="AH306" s="12"/>
      <c r="AI306" s="12">
        <f t="shared" si="99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83"/>
      <c r="D307" s="32"/>
      <c r="E307" s="32"/>
      <c r="F307" s="32"/>
      <c r="G307" s="32">
        <f t="shared" si="94"/>
        <v>0</v>
      </c>
      <c r="H307" s="10"/>
      <c r="I307" s="10"/>
      <c r="J307" s="10"/>
      <c r="K307" s="12">
        <f t="shared" si="95"/>
        <v>0</v>
      </c>
      <c r="M307" s="10">
        <v>21</v>
      </c>
      <c r="N307" s="30"/>
      <c r="O307" s="11"/>
      <c r="P307" s="46"/>
      <c r="Q307" s="31"/>
      <c r="R307" s="31"/>
      <c r="S307" s="32">
        <f t="shared" si="96"/>
        <v>0</v>
      </c>
      <c r="T307" s="10"/>
      <c r="U307" s="10"/>
      <c r="V307" s="10"/>
      <c r="W307" s="12">
        <f t="shared" si="97"/>
        <v>0</v>
      </c>
      <c r="Y307" s="10">
        <v>21</v>
      </c>
      <c r="Z307" s="30"/>
      <c r="AA307" s="31"/>
      <c r="AB307" s="46"/>
      <c r="AC307" s="31"/>
      <c r="AD307" s="31"/>
      <c r="AE307" s="32">
        <f t="shared" si="104"/>
        <v>0</v>
      </c>
      <c r="AF307" s="10"/>
      <c r="AG307" s="10"/>
      <c r="AH307" s="10"/>
      <c r="AI307" s="12">
        <f t="shared" si="99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83"/>
      <c r="D308" s="32"/>
      <c r="E308" s="32"/>
      <c r="F308" s="32"/>
      <c r="G308" s="32">
        <f t="shared" si="94"/>
        <v>0</v>
      </c>
      <c r="H308" s="10"/>
      <c r="I308" s="10"/>
      <c r="J308" s="10"/>
      <c r="K308" s="12">
        <f t="shared" si="95"/>
        <v>0</v>
      </c>
      <c r="M308" s="10">
        <v>22</v>
      </c>
      <c r="N308" s="30"/>
      <c r="O308" s="31"/>
      <c r="P308" s="45"/>
      <c r="Q308" s="31"/>
      <c r="R308" s="31"/>
      <c r="S308" s="32">
        <f t="shared" si="96"/>
        <v>0</v>
      </c>
      <c r="T308" s="10"/>
      <c r="U308" s="10"/>
      <c r="V308" s="10"/>
      <c r="W308" s="12">
        <f t="shared" si="97"/>
        <v>0</v>
      </c>
      <c r="Y308" s="10">
        <v>22</v>
      </c>
      <c r="Z308" s="30"/>
      <c r="AA308" s="31"/>
      <c r="AB308" s="45"/>
      <c r="AC308" s="31"/>
      <c r="AD308" s="31"/>
      <c r="AE308" s="32">
        <f t="shared" si="104"/>
        <v>0</v>
      </c>
      <c r="AF308" s="10"/>
      <c r="AG308" s="10"/>
      <c r="AH308" s="10"/>
      <c r="AI308" s="12">
        <f t="shared" si="99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83"/>
      <c r="D309" s="32"/>
      <c r="E309" s="32"/>
      <c r="F309" s="32"/>
      <c r="G309" s="32">
        <f t="shared" si="94"/>
        <v>0</v>
      </c>
      <c r="H309" s="10"/>
      <c r="I309" s="10"/>
      <c r="J309" s="12"/>
      <c r="K309" s="12">
        <f t="shared" si="95"/>
        <v>0</v>
      </c>
      <c r="M309" s="10">
        <v>23</v>
      </c>
      <c r="N309" s="30"/>
      <c r="O309" s="31"/>
      <c r="P309" s="47"/>
      <c r="S309" s="32">
        <f t="shared" si="96"/>
        <v>0</v>
      </c>
      <c r="T309" s="10"/>
      <c r="U309" s="10"/>
      <c r="V309" s="10"/>
      <c r="W309" s="12">
        <f t="shared" si="97"/>
        <v>0</v>
      </c>
      <c r="Y309" s="10">
        <v>23</v>
      </c>
      <c r="Z309" s="30"/>
      <c r="AA309" s="31"/>
      <c r="AB309" s="47"/>
      <c r="AE309" s="32">
        <f t="shared" si="104"/>
        <v>0</v>
      </c>
      <c r="AF309" s="10"/>
      <c r="AG309" s="10"/>
      <c r="AH309" s="10"/>
      <c r="AI309" s="12">
        <f t="shared" si="99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83"/>
      <c r="D310" s="32"/>
      <c r="E310" s="32"/>
      <c r="F310" s="32"/>
      <c r="G310" s="32">
        <f t="shared" si="94"/>
        <v>0</v>
      </c>
      <c r="H310" s="10"/>
      <c r="I310" s="10"/>
      <c r="J310" s="10"/>
      <c r="K310" s="12">
        <f t="shared" si="95"/>
        <v>0</v>
      </c>
      <c r="M310" s="10">
        <v>24</v>
      </c>
      <c r="N310" s="30"/>
      <c r="O310" s="31"/>
      <c r="P310" s="47"/>
      <c r="Q310" s="31"/>
      <c r="R310" s="31"/>
      <c r="S310" s="32">
        <f t="shared" si="96"/>
        <v>0</v>
      </c>
      <c r="T310" s="10"/>
      <c r="U310" s="10"/>
      <c r="V310" s="10"/>
      <c r="W310" s="12">
        <f t="shared" si="97"/>
        <v>0</v>
      </c>
      <c r="Y310" s="10">
        <v>24</v>
      </c>
      <c r="Z310" s="30"/>
      <c r="AA310" s="31"/>
      <c r="AB310" s="47"/>
      <c r="AC310" s="31"/>
      <c r="AD310" s="31"/>
      <c r="AE310" s="32">
        <f t="shared" si="104"/>
        <v>0</v>
      </c>
      <c r="AF310" s="10"/>
      <c r="AG310" s="10"/>
      <c r="AH310" s="10"/>
      <c r="AI310" s="12">
        <f t="shared" si="99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83"/>
      <c r="D311" s="32"/>
      <c r="E311" s="32"/>
      <c r="F311" s="32"/>
      <c r="G311" s="32">
        <f t="shared" si="94"/>
        <v>0</v>
      </c>
      <c r="H311" s="10"/>
      <c r="I311" s="10"/>
      <c r="J311" s="10"/>
      <c r="K311" s="12">
        <f t="shared" si="95"/>
        <v>0</v>
      </c>
      <c r="M311" s="10">
        <v>25</v>
      </c>
      <c r="N311" s="30"/>
      <c r="O311" s="31"/>
      <c r="P311" s="47"/>
      <c r="Q311" s="31"/>
      <c r="R311" s="31"/>
      <c r="S311" s="32">
        <f t="shared" si="96"/>
        <v>0</v>
      </c>
      <c r="T311" s="10"/>
      <c r="U311" s="10"/>
      <c r="V311" s="10"/>
      <c r="W311" s="12">
        <f t="shared" si="97"/>
        <v>0</v>
      </c>
      <c r="Y311" s="10">
        <v>25</v>
      </c>
      <c r="Z311" s="30"/>
      <c r="AA311" s="31"/>
      <c r="AB311" s="47"/>
      <c r="AC311" s="31"/>
      <c r="AD311" s="31"/>
      <c r="AE311" s="32">
        <f t="shared" si="104"/>
        <v>0</v>
      </c>
      <c r="AF311" s="10"/>
      <c r="AG311" s="10"/>
      <c r="AH311" s="10"/>
      <c r="AI311" s="12">
        <f t="shared" si="99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83"/>
      <c r="D312" s="32"/>
      <c r="E312" s="32"/>
      <c r="F312" s="32"/>
      <c r="G312" s="32">
        <f t="shared" si="94"/>
        <v>0</v>
      </c>
      <c r="H312" s="10"/>
      <c r="I312" s="10"/>
      <c r="J312" s="10"/>
      <c r="K312" s="12">
        <f t="shared" si="95"/>
        <v>0</v>
      </c>
      <c r="M312" s="10">
        <v>26</v>
      </c>
      <c r="N312" s="30"/>
      <c r="O312" s="31"/>
      <c r="P312" s="47"/>
      <c r="Q312" s="31"/>
      <c r="R312" s="31"/>
      <c r="S312" s="32">
        <f t="shared" si="96"/>
        <v>0</v>
      </c>
      <c r="T312" s="10"/>
      <c r="U312" s="10"/>
      <c r="V312" s="10"/>
      <c r="W312" s="12">
        <f t="shared" si="97"/>
        <v>0</v>
      </c>
      <c r="Y312" s="10">
        <v>26</v>
      </c>
      <c r="Z312" s="30"/>
      <c r="AA312" s="31"/>
      <c r="AB312" s="47"/>
      <c r="AC312" s="31"/>
      <c r="AD312" s="31"/>
      <c r="AE312" s="32">
        <f t="shared" si="104"/>
        <v>0</v>
      </c>
      <c r="AF312" s="10"/>
      <c r="AG312" s="10"/>
      <c r="AH312" s="10"/>
      <c r="AI312" s="12">
        <f t="shared" si="99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83"/>
      <c r="D313" s="32"/>
      <c r="E313" s="32"/>
      <c r="F313" s="32"/>
      <c r="G313" s="32">
        <f t="shared" si="94"/>
        <v>0</v>
      </c>
      <c r="H313" s="10"/>
      <c r="I313" s="10"/>
      <c r="J313" s="10"/>
      <c r="K313" s="12">
        <f t="shared" si="95"/>
        <v>0</v>
      </c>
      <c r="M313" s="10">
        <v>27</v>
      </c>
      <c r="N313" s="30"/>
      <c r="O313" s="31"/>
      <c r="P313" s="47"/>
      <c r="Q313" s="31"/>
      <c r="R313" s="31"/>
      <c r="S313" s="32">
        <f t="shared" si="96"/>
        <v>0</v>
      </c>
      <c r="T313" s="10"/>
      <c r="U313" s="10"/>
      <c r="V313" s="10"/>
      <c r="W313" s="12">
        <f t="shared" si="97"/>
        <v>0</v>
      </c>
      <c r="Y313" s="10">
        <v>27</v>
      </c>
      <c r="Z313" s="30"/>
      <c r="AA313" s="31"/>
      <c r="AB313" s="47"/>
      <c r="AC313" s="31"/>
      <c r="AD313" s="31"/>
      <c r="AE313" s="32">
        <f t="shared" si="104"/>
        <v>0</v>
      </c>
      <c r="AF313" s="10"/>
      <c r="AG313" s="10"/>
      <c r="AH313" s="10"/>
      <c r="AI313" s="12">
        <f t="shared" si="99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83"/>
      <c r="D314" s="32"/>
      <c r="E314" s="32"/>
      <c r="F314" s="32"/>
      <c r="G314" s="32">
        <f t="shared" si="94"/>
        <v>0</v>
      </c>
      <c r="H314" s="10"/>
      <c r="I314" s="10"/>
      <c r="J314" s="10"/>
      <c r="K314" s="12">
        <f t="shared" si="95"/>
        <v>0</v>
      </c>
      <c r="M314" s="10">
        <v>28</v>
      </c>
      <c r="N314" s="30"/>
      <c r="O314" s="31"/>
      <c r="P314" s="47"/>
      <c r="Q314" s="31"/>
      <c r="R314" s="31"/>
      <c r="S314" s="32">
        <f t="shared" si="96"/>
        <v>0</v>
      </c>
      <c r="T314" s="10"/>
      <c r="U314" s="10"/>
      <c r="V314" s="10"/>
      <c r="W314" s="12">
        <f t="shared" si="97"/>
        <v>0</v>
      </c>
      <c r="Y314" s="10">
        <v>28</v>
      </c>
      <c r="Z314" s="30"/>
      <c r="AA314" s="31"/>
      <c r="AB314" s="47"/>
      <c r="AC314" s="31"/>
      <c r="AD314" s="31"/>
      <c r="AE314" s="32">
        <f t="shared" si="104"/>
        <v>0</v>
      </c>
      <c r="AF314" s="10"/>
      <c r="AG314" s="10"/>
      <c r="AH314" s="10"/>
      <c r="AI314" s="12">
        <f t="shared" si="99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83"/>
      <c r="D315" s="32"/>
      <c r="E315" s="32"/>
      <c r="F315" s="32"/>
      <c r="G315" s="32">
        <f t="shared" si="94"/>
        <v>0</v>
      </c>
      <c r="H315" s="10"/>
      <c r="I315" s="10"/>
      <c r="J315" s="10"/>
      <c r="K315" s="12">
        <f t="shared" si="95"/>
        <v>0</v>
      </c>
      <c r="M315" s="10">
        <v>29</v>
      </c>
      <c r="N315" s="30"/>
      <c r="O315" s="31"/>
      <c r="P315" s="47"/>
      <c r="Q315" s="31"/>
      <c r="R315" s="31"/>
      <c r="S315" s="32">
        <f t="shared" si="96"/>
        <v>0</v>
      </c>
      <c r="T315" s="10"/>
      <c r="U315" s="10"/>
      <c r="V315" s="10"/>
      <c r="W315" s="12">
        <f t="shared" si="97"/>
        <v>0</v>
      </c>
      <c r="Y315" s="10">
        <v>29</v>
      </c>
      <c r="Z315" s="30"/>
      <c r="AA315" s="31"/>
      <c r="AB315" s="47"/>
      <c r="AC315" s="31"/>
      <c r="AD315" s="31"/>
      <c r="AE315" s="32">
        <f t="shared" si="104"/>
        <v>0</v>
      </c>
      <c r="AF315" s="10"/>
      <c r="AG315" s="10"/>
      <c r="AH315" s="10"/>
      <c r="AI315" s="12">
        <f t="shared" si="99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83"/>
      <c r="D316" s="32"/>
      <c r="E316" s="32"/>
      <c r="F316" s="32"/>
      <c r="G316" s="32">
        <f t="shared" si="94"/>
        <v>0</v>
      </c>
      <c r="H316" s="10"/>
      <c r="I316" s="10"/>
      <c r="J316" s="10"/>
      <c r="K316" s="12">
        <f t="shared" si="95"/>
        <v>0</v>
      </c>
      <c r="M316" s="10">
        <v>30</v>
      </c>
      <c r="N316" s="30"/>
      <c r="O316" s="31"/>
      <c r="P316" s="47"/>
      <c r="Q316" s="31"/>
      <c r="R316" s="31"/>
      <c r="S316" s="32">
        <f t="shared" si="96"/>
        <v>0</v>
      </c>
      <c r="T316" s="10"/>
      <c r="U316" s="10"/>
      <c r="V316" s="10"/>
      <c r="W316" s="12">
        <f t="shared" si="97"/>
        <v>0</v>
      </c>
      <c r="Y316" s="10">
        <v>30</v>
      </c>
      <c r="Z316" s="30"/>
      <c r="AA316" s="31"/>
      <c r="AB316" s="47"/>
      <c r="AC316" s="31"/>
      <c r="AD316" s="31"/>
      <c r="AE316" s="32">
        <f t="shared" si="104"/>
        <v>0</v>
      </c>
      <c r="AF316" s="10"/>
      <c r="AG316" s="10"/>
      <c r="AH316" s="10"/>
      <c r="AI316" s="12">
        <f t="shared" si="99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83"/>
      <c r="D317" s="32"/>
      <c r="E317" s="32"/>
      <c r="F317" s="32"/>
      <c r="G317" s="32">
        <f t="shared" si="94"/>
        <v>0</v>
      </c>
      <c r="H317" s="10"/>
      <c r="I317" s="10"/>
      <c r="J317" s="10"/>
      <c r="K317" s="12">
        <f t="shared" si="95"/>
        <v>0</v>
      </c>
      <c r="M317" s="10">
        <v>31</v>
      </c>
      <c r="N317" s="30"/>
      <c r="O317" s="31"/>
      <c r="P317" s="47"/>
      <c r="Q317" s="31"/>
      <c r="R317" s="31"/>
      <c r="S317" s="32">
        <f t="shared" si="96"/>
        <v>0</v>
      </c>
      <c r="T317" s="10"/>
      <c r="U317" s="10"/>
      <c r="V317" s="10"/>
      <c r="W317" s="12">
        <f t="shared" si="97"/>
        <v>0</v>
      </c>
      <c r="Y317" s="10">
        <v>31</v>
      </c>
      <c r="Z317" s="30"/>
      <c r="AA317" s="31"/>
      <c r="AB317" s="47"/>
      <c r="AC317" s="31"/>
      <c r="AD317" s="31"/>
      <c r="AE317" s="32">
        <f t="shared" si="104"/>
        <v>0</v>
      </c>
      <c r="AF317" s="10"/>
      <c r="AG317" s="10"/>
      <c r="AH317" s="10"/>
      <c r="AI317" s="12">
        <f t="shared" si="99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83"/>
      <c r="D318" s="32"/>
      <c r="E318" s="32"/>
      <c r="F318" s="32"/>
      <c r="G318" s="32">
        <f t="shared" si="94"/>
        <v>0</v>
      </c>
      <c r="H318" s="10"/>
      <c r="I318" s="10"/>
      <c r="J318" s="10"/>
      <c r="K318" s="12">
        <f t="shared" si="95"/>
        <v>0</v>
      </c>
      <c r="M318" s="10">
        <v>32</v>
      </c>
      <c r="N318" s="30"/>
      <c r="O318" s="31"/>
      <c r="P318" s="47"/>
      <c r="Q318" s="31"/>
      <c r="R318" s="31"/>
      <c r="S318" s="32">
        <f t="shared" si="96"/>
        <v>0</v>
      </c>
      <c r="T318" s="10"/>
      <c r="U318" s="10"/>
      <c r="V318" s="10"/>
      <c r="W318" s="12">
        <f t="shared" si="97"/>
        <v>0</v>
      </c>
      <c r="Y318" s="10">
        <v>32</v>
      </c>
      <c r="Z318" s="30"/>
      <c r="AA318" s="31"/>
      <c r="AB318" s="47"/>
      <c r="AC318" s="31"/>
      <c r="AD318" s="31"/>
      <c r="AE318" s="32">
        <f t="shared" si="104"/>
        <v>0</v>
      </c>
      <c r="AF318" s="10"/>
      <c r="AG318" s="10"/>
      <c r="AH318" s="10"/>
      <c r="AI318" s="12">
        <f t="shared" si="99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83"/>
      <c r="D319" s="32"/>
      <c r="E319" s="32"/>
      <c r="F319" s="32"/>
      <c r="G319" s="32">
        <f t="shared" si="94"/>
        <v>0</v>
      </c>
      <c r="H319" s="10"/>
      <c r="I319" s="10"/>
      <c r="J319" s="10"/>
      <c r="K319" s="12">
        <f t="shared" si="95"/>
        <v>0</v>
      </c>
      <c r="M319" s="10">
        <v>33</v>
      </c>
      <c r="N319" s="30"/>
      <c r="O319" s="31"/>
      <c r="P319" s="47"/>
      <c r="Q319" s="31"/>
      <c r="R319" s="31"/>
      <c r="S319" s="32">
        <f t="shared" si="96"/>
        <v>0</v>
      </c>
      <c r="T319" s="10"/>
      <c r="U319" s="10"/>
      <c r="V319" s="10"/>
      <c r="W319" s="12">
        <f t="shared" si="97"/>
        <v>0</v>
      </c>
      <c r="Y319" s="10">
        <v>33</v>
      </c>
      <c r="Z319" s="30"/>
      <c r="AA319" s="31"/>
      <c r="AB319" s="47"/>
      <c r="AC319" s="31"/>
      <c r="AD319" s="31"/>
      <c r="AE319" s="32">
        <f t="shared" si="104"/>
        <v>0</v>
      </c>
      <c r="AF319" s="10"/>
      <c r="AG319" s="10"/>
      <c r="AH319" s="10"/>
      <c r="AI319" s="12">
        <f t="shared" si="99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83"/>
      <c r="D320" s="32"/>
      <c r="E320" s="32"/>
      <c r="F320" s="32"/>
      <c r="G320" s="32">
        <f t="shared" si="94"/>
        <v>0</v>
      </c>
      <c r="H320" s="10"/>
      <c r="I320" s="10"/>
      <c r="J320" s="10"/>
      <c r="K320" s="12">
        <f t="shared" si="95"/>
        <v>0</v>
      </c>
      <c r="M320" s="10">
        <v>34</v>
      </c>
      <c r="N320" s="30"/>
      <c r="O320" s="31"/>
      <c r="P320" s="47"/>
      <c r="Q320" s="31"/>
      <c r="R320" s="31"/>
      <c r="S320" s="32">
        <f t="shared" si="96"/>
        <v>0</v>
      </c>
      <c r="T320" s="10"/>
      <c r="U320" s="10"/>
      <c r="V320" s="10"/>
      <c r="W320" s="12">
        <f t="shared" si="97"/>
        <v>0</v>
      </c>
      <c r="Y320" s="10">
        <v>34</v>
      </c>
      <c r="Z320" s="30"/>
      <c r="AA320" s="31"/>
      <c r="AB320" s="47"/>
      <c r="AC320" s="31"/>
      <c r="AD320" s="31"/>
      <c r="AE320" s="32">
        <f t="shared" si="104"/>
        <v>0</v>
      </c>
      <c r="AF320" s="10"/>
      <c r="AG320" s="10"/>
      <c r="AH320" s="10"/>
      <c r="AI320" s="12">
        <f t="shared" ref="AI320:AI328" si="105">SUM(AE320:AH320)</f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83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96"/>
        <v>0</v>
      </c>
      <c r="T321" s="10"/>
      <c r="U321" s="10"/>
      <c r="V321" s="10"/>
      <c r="W321" s="12">
        <f t="shared" si="97"/>
        <v>0</v>
      </c>
      <c r="Y321" s="10">
        <v>35</v>
      </c>
      <c r="Z321" s="30"/>
      <c r="AA321" s="31"/>
      <c r="AB321" s="47"/>
      <c r="AC321" s="31"/>
      <c r="AD321" s="31"/>
      <c r="AE321" s="32">
        <f t="shared" si="104"/>
        <v>0</v>
      </c>
      <c r="AF321" s="10"/>
      <c r="AG321" s="10"/>
      <c r="AH321" s="10"/>
      <c r="AI321" s="12">
        <f t="shared" si="105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83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96"/>
        <v>0</v>
      </c>
      <c r="T322" s="10"/>
      <c r="U322" s="10"/>
      <c r="V322" s="10"/>
      <c r="W322" s="12">
        <f t="shared" si="97"/>
        <v>0</v>
      </c>
      <c r="Y322" s="10">
        <v>36</v>
      </c>
      <c r="Z322" s="30"/>
      <c r="AA322" s="31"/>
      <c r="AB322" s="47"/>
      <c r="AC322" s="31"/>
      <c r="AD322" s="31"/>
      <c r="AE322" s="32">
        <f t="shared" si="104"/>
        <v>0</v>
      </c>
      <c r="AF322" s="10"/>
      <c r="AG322" s="10"/>
      <c r="AH322" s="10"/>
      <c r="AI322" s="12">
        <f t="shared" si="105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96"/>
        <v>0</v>
      </c>
      <c r="T323" s="10"/>
      <c r="U323" s="10"/>
      <c r="V323" s="10"/>
      <c r="W323" s="12">
        <f t="shared" si="97"/>
        <v>0</v>
      </c>
      <c r="Y323" s="10">
        <v>37</v>
      </c>
      <c r="Z323" s="30"/>
      <c r="AA323" s="31"/>
      <c r="AB323" s="47"/>
      <c r="AC323" s="31"/>
      <c r="AD323" s="31"/>
      <c r="AE323" s="32">
        <f t="shared" si="104"/>
        <v>0</v>
      </c>
      <c r="AF323" s="10"/>
      <c r="AG323" s="10"/>
      <c r="AH323" s="10"/>
      <c r="AI323" s="12">
        <f t="shared" si="105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96"/>
        <v>0</v>
      </c>
      <c r="T324" s="10"/>
      <c r="U324" s="10"/>
      <c r="V324" s="10"/>
      <c r="W324" s="12">
        <f t="shared" si="97"/>
        <v>0</v>
      </c>
      <c r="Y324" s="10">
        <v>38</v>
      </c>
      <c r="Z324" s="30"/>
      <c r="AA324" s="31"/>
      <c r="AB324" s="47"/>
      <c r="AC324" s="31"/>
      <c r="AD324" s="31"/>
      <c r="AE324" s="32">
        <f t="shared" si="104"/>
        <v>0</v>
      </c>
      <c r="AF324" s="10"/>
      <c r="AG324" s="10"/>
      <c r="AH324" s="10"/>
      <c r="AI324" s="12">
        <f t="shared" si="105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96"/>
        <v>0</v>
      </c>
      <c r="T325" s="10"/>
      <c r="U325" s="10"/>
      <c r="V325" s="10"/>
      <c r="W325" s="12">
        <f t="shared" si="97"/>
        <v>0</v>
      </c>
      <c r="Y325" s="10">
        <v>39</v>
      </c>
      <c r="Z325" s="30"/>
      <c r="AA325" s="31"/>
      <c r="AB325" s="47"/>
      <c r="AC325" s="31"/>
      <c r="AD325" s="31"/>
      <c r="AE325" s="32">
        <f t="shared" si="104"/>
        <v>0</v>
      </c>
      <c r="AF325" s="10"/>
      <c r="AG325" s="10"/>
      <c r="AH325" s="10"/>
      <c r="AI325" s="12">
        <f t="shared" si="105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97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105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106">SUM(D327:E327)</f>
        <v>0</v>
      </c>
      <c r="H327" s="10"/>
      <c r="I327" s="10"/>
      <c r="J327" s="10"/>
      <c r="K327" s="12">
        <f t="shared" ref="K327" si="107">SUM(G327:J327)</f>
        <v>0</v>
      </c>
      <c r="M327" s="10"/>
      <c r="N327" s="30"/>
      <c r="O327" s="31"/>
      <c r="P327" s="47"/>
      <c r="Q327" s="31"/>
      <c r="R327" s="31"/>
      <c r="S327" s="32">
        <f t="shared" ref="S327" si="108">SUM(P327:Q327)</f>
        <v>0</v>
      </c>
      <c r="T327" s="10"/>
      <c r="U327" s="10"/>
      <c r="V327" s="10"/>
      <c r="W327" s="12">
        <f t="shared" si="97"/>
        <v>0</v>
      </c>
      <c r="Y327" s="10"/>
      <c r="Z327" s="30"/>
      <c r="AA327" s="31"/>
      <c r="AB327" s="47"/>
      <c r="AC327" s="31"/>
      <c r="AD327" s="31"/>
      <c r="AE327" s="32">
        <f t="shared" ref="AE327" si="109">SUM(AB327:AC327)</f>
        <v>0</v>
      </c>
      <c r="AF327" s="10"/>
      <c r="AG327" s="10"/>
      <c r="AH327" s="10"/>
      <c r="AI327" s="12">
        <f t="shared" si="105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97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105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364239.5</v>
      </c>
      <c r="E330" s="38">
        <f t="shared" ref="E330:F330" si="110">SUM(E287:E327)</f>
        <v>0</v>
      </c>
      <c r="F330" s="38">
        <f t="shared" si="110"/>
        <v>0</v>
      </c>
      <c r="G330" s="38">
        <f>SUM(G287:G329)</f>
        <v>364239.5</v>
      </c>
      <c r="H330" s="4"/>
      <c r="I330" s="39">
        <f>SUM(I287:I329)</f>
        <v>2857.5</v>
      </c>
      <c r="J330" s="39">
        <f>SUM(J287:J329)</f>
        <v>-750</v>
      </c>
      <c r="K330" s="40">
        <f>SUM(K287:K329)</f>
        <v>366347</v>
      </c>
      <c r="N330" s="57"/>
      <c r="O330" s="57"/>
      <c r="P330" s="38">
        <f>SUM(P287:P329)</f>
        <v>218857</v>
      </c>
      <c r="Q330" s="38">
        <f>SUM(Q287:Q311)</f>
        <v>-1296</v>
      </c>
      <c r="R330" s="38">
        <f>SUM(R287:R311)</f>
        <v>0</v>
      </c>
      <c r="S330" s="38">
        <f>SUM(S287:S329)</f>
        <v>217561</v>
      </c>
      <c r="T330" s="4"/>
      <c r="U330" s="41">
        <f>SUM(U287:U329)</f>
        <v>624</v>
      </c>
      <c r="V330" s="41">
        <f>SUM(V287:V311)</f>
        <v>-1002</v>
      </c>
      <c r="W330" s="42">
        <f>SUM(W287:W329)</f>
        <v>217183</v>
      </c>
      <c r="Z330" s="57"/>
      <c r="AA330" s="57"/>
      <c r="AB330" s="38">
        <f>SUM(AB287:AB329)</f>
        <v>384443</v>
      </c>
      <c r="AC330" s="38">
        <f>SUM(AC287:AC311)</f>
        <v>-1296</v>
      </c>
      <c r="AD330" s="38">
        <f>SUM(AD287:AD311)</f>
        <v>0</v>
      </c>
      <c r="AE330" s="38">
        <f>SUM(AE287:AE329)</f>
        <v>383147</v>
      </c>
      <c r="AF330" s="4"/>
      <c r="AG330" s="41">
        <f>SUM(AG287:AG329)</f>
        <v>5676</v>
      </c>
      <c r="AH330" s="41">
        <f>SUM(AH287:AH311)</f>
        <v>-20700</v>
      </c>
      <c r="AI330" s="42">
        <f>SUM(AI287:AI329)</f>
        <v>368123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t="s">
        <v>0</v>
      </c>
      <c r="B332" s="57"/>
      <c r="C332" s="57"/>
      <c r="D332" s="57"/>
      <c r="E332" s="57"/>
      <c r="G332" s="57"/>
      <c r="M332" t="s">
        <v>0</v>
      </c>
      <c r="N332" s="57"/>
      <c r="O332" s="57"/>
      <c r="P332" s="57"/>
      <c r="Q332" s="57"/>
      <c r="R332" s="57"/>
      <c r="S332" s="57"/>
      <c r="Y332" s="62"/>
      <c r="Z332" s="91"/>
      <c r="AA332" s="91"/>
      <c r="AB332" s="91"/>
      <c r="AC332" s="91"/>
      <c r="AD332" s="91"/>
      <c r="AE332" s="91"/>
      <c r="AF332" s="62"/>
      <c r="AG332" s="62"/>
      <c r="AH332" s="62"/>
      <c r="AI332" s="62"/>
      <c r="AJ332" s="62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t="s">
        <v>28</v>
      </c>
      <c r="B333" s="57"/>
      <c r="C333" s="57"/>
      <c r="D333" s="57"/>
      <c r="E333" s="57"/>
      <c r="G333" s="57"/>
      <c r="M333" t="s">
        <v>28</v>
      </c>
      <c r="N333" s="57"/>
      <c r="O333" s="57"/>
      <c r="P333" s="57"/>
      <c r="Q333" s="57"/>
      <c r="R333" s="57"/>
      <c r="S333" s="57"/>
      <c r="Y333" s="62"/>
      <c r="Z333" s="91"/>
      <c r="AA333" s="91"/>
      <c r="AB333" s="91"/>
      <c r="AC333" s="91"/>
      <c r="AD333" s="91"/>
      <c r="AE333" s="91"/>
      <c r="AF333" s="62"/>
      <c r="AG333" s="62"/>
      <c r="AH333" s="62"/>
      <c r="AI333" s="62"/>
      <c r="AJ333" s="62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B334" s="57"/>
      <c r="C334" s="57"/>
      <c r="D334" s="57"/>
      <c r="E334" s="57"/>
      <c r="G334" s="57"/>
      <c r="N334" s="57"/>
      <c r="O334" s="57"/>
      <c r="P334" s="57"/>
      <c r="Q334" s="57"/>
      <c r="R334" s="57"/>
      <c r="S334" s="57"/>
      <c r="Y334" s="62"/>
      <c r="Z334" s="91"/>
      <c r="AA334" s="91"/>
      <c r="AB334" s="91"/>
      <c r="AC334" s="91"/>
      <c r="AD334" s="91"/>
      <c r="AE334" s="91"/>
      <c r="AF334" s="62"/>
      <c r="AG334" s="62"/>
      <c r="AH334" s="62"/>
      <c r="AI334" s="62"/>
      <c r="AJ334" s="62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4" t="s">
        <v>14</v>
      </c>
      <c r="B335" s="57"/>
      <c r="C335" s="57"/>
      <c r="D335" s="57"/>
      <c r="E335" s="57"/>
      <c r="G335" s="57"/>
      <c r="M335" s="4" t="s">
        <v>14</v>
      </c>
      <c r="N335" s="57"/>
      <c r="O335" s="57"/>
      <c r="P335" s="57"/>
      <c r="Q335" s="57"/>
      <c r="R335" s="57"/>
      <c r="S335" s="57"/>
      <c r="Y335" s="63"/>
      <c r="Z335" s="91"/>
      <c r="AA335" s="91"/>
      <c r="AB335" s="91"/>
      <c r="AC335" s="91"/>
      <c r="AD335" s="91"/>
      <c r="AE335" s="91"/>
      <c r="AF335" s="62"/>
      <c r="AG335" s="62"/>
      <c r="AH335" s="62"/>
      <c r="AI335" s="62"/>
      <c r="AJ335" s="62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B336" s="57"/>
      <c r="C336" s="57"/>
      <c r="D336" s="57"/>
      <c r="E336" s="57"/>
      <c r="G336" s="57"/>
      <c r="N336" s="57"/>
      <c r="O336" s="57"/>
      <c r="P336" s="57"/>
      <c r="Q336" s="57"/>
      <c r="R336" s="57"/>
      <c r="S336" s="57"/>
      <c r="Y336" s="62"/>
      <c r="Z336" s="91"/>
      <c r="AA336" s="91"/>
      <c r="AB336" s="91"/>
      <c r="AC336" s="91"/>
      <c r="AD336" s="91"/>
      <c r="AE336" s="91"/>
      <c r="AF336" s="62"/>
      <c r="AG336" s="62"/>
      <c r="AH336" s="62"/>
      <c r="AI336" s="62"/>
      <c r="AJ336" s="62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t="s">
        <v>55</v>
      </c>
      <c r="B337" s="57"/>
      <c r="C337" s="57"/>
      <c r="D337" s="57"/>
      <c r="E337" s="57"/>
      <c r="G337" s="57"/>
      <c r="I337" s="57" t="s">
        <v>15</v>
      </c>
      <c r="J337" s="19">
        <v>1</v>
      </c>
      <c r="M337" t="s">
        <v>55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s="62"/>
      <c r="Z337" s="91"/>
      <c r="AA337" s="91"/>
      <c r="AB337" s="91"/>
      <c r="AC337" s="91"/>
      <c r="AD337" s="91"/>
      <c r="AE337" s="91"/>
      <c r="AF337" s="62"/>
      <c r="AG337" s="91"/>
      <c r="AH337" s="91"/>
      <c r="AI337" s="62"/>
      <c r="AJ337" s="62"/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21" t="s">
        <v>56</v>
      </c>
      <c r="B338" s="20"/>
      <c r="C338" s="57"/>
      <c r="D338" s="57"/>
      <c r="E338" s="57"/>
      <c r="G338" s="57"/>
      <c r="I338" s="22" t="s">
        <v>16</v>
      </c>
      <c r="J338" s="23" t="s">
        <v>31</v>
      </c>
      <c r="K338" s="24"/>
      <c r="M338" s="21" t="s">
        <v>56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33</v>
      </c>
      <c r="W338" s="24"/>
      <c r="Y338" s="64"/>
      <c r="Z338" s="91"/>
      <c r="AA338" s="91"/>
      <c r="AB338" s="91"/>
      <c r="AC338" s="91"/>
      <c r="AD338" s="91"/>
      <c r="AE338" s="91"/>
      <c r="AF338" s="62"/>
      <c r="AG338" s="65"/>
      <c r="AH338" s="65"/>
      <c r="AI338" s="62"/>
      <c r="AJ338" s="62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B339" s="57"/>
      <c r="C339" s="57"/>
      <c r="D339" s="57"/>
      <c r="E339" s="57"/>
      <c r="G339" s="57"/>
      <c r="N339" s="57"/>
      <c r="O339" s="57"/>
      <c r="P339" s="57"/>
      <c r="Q339" s="57"/>
      <c r="R339" s="57"/>
      <c r="S339" s="57"/>
      <c r="Y339" s="62"/>
      <c r="Z339" s="91"/>
      <c r="AA339" s="91"/>
      <c r="AB339" s="91"/>
      <c r="AC339" s="91"/>
      <c r="AD339" s="91"/>
      <c r="AE339" s="91"/>
      <c r="AF339" s="62"/>
      <c r="AG339" s="62"/>
      <c r="AH339" s="62"/>
      <c r="AI339" s="62"/>
      <c r="AJ339" s="62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B340" s="25"/>
      <c r="C340" s="26"/>
      <c r="D340" s="120" t="s">
        <v>17</v>
      </c>
      <c r="E340" s="120"/>
      <c r="F340" s="97"/>
      <c r="G340" s="27"/>
      <c r="I340" s="118" t="s">
        <v>18</v>
      </c>
      <c r="J340" s="119"/>
      <c r="K340" s="116" t="s">
        <v>19</v>
      </c>
      <c r="N340" s="25"/>
      <c r="O340" s="26"/>
      <c r="P340" s="120" t="s">
        <v>17</v>
      </c>
      <c r="Q340" s="120"/>
      <c r="R340" s="97"/>
      <c r="S340" s="27"/>
      <c r="U340" s="118" t="s">
        <v>18</v>
      </c>
      <c r="V340" s="119"/>
      <c r="W340" s="116" t="s">
        <v>19</v>
      </c>
      <c r="Y340" s="62"/>
      <c r="Z340" s="65"/>
      <c r="AA340" s="91"/>
      <c r="AB340" s="121"/>
      <c r="AC340" s="121"/>
      <c r="AD340" s="91"/>
      <c r="AE340" s="91"/>
      <c r="AF340" s="62"/>
      <c r="AG340" s="121"/>
      <c r="AH340" s="121"/>
      <c r="AI340" s="122"/>
      <c r="AJ340" s="62"/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B341" s="28" t="s">
        <v>20</v>
      </c>
      <c r="C341" s="28" t="s">
        <v>21</v>
      </c>
      <c r="D341" s="77" t="s">
        <v>22</v>
      </c>
      <c r="E341" s="76" t="s">
        <v>23</v>
      </c>
      <c r="F341" s="78" t="s">
        <v>32</v>
      </c>
      <c r="G341" s="78" t="s">
        <v>24</v>
      </c>
      <c r="I341" s="29" t="s">
        <v>25</v>
      </c>
      <c r="J341" s="29" t="s">
        <v>26</v>
      </c>
      <c r="K341" s="117"/>
      <c r="N341" s="28" t="s">
        <v>20</v>
      </c>
      <c r="O341" s="28" t="s">
        <v>21</v>
      </c>
      <c r="P341" s="77" t="s">
        <v>22</v>
      </c>
      <c r="Q341" s="78" t="s">
        <v>23</v>
      </c>
      <c r="R341" s="78" t="s">
        <v>32</v>
      </c>
      <c r="S341" s="78" t="s">
        <v>24</v>
      </c>
      <c r="U341" s="29" t="s">
        <v>25</v>
      </c>
      <c r="V341" s="29" t="s">
        <v>26</v>
      </c>
      <c r="W341" s="117"/>
      <c r="Y341" s="62"/>
      <c r="Z341" s="91"/>
      <c r="AA341" s="91"/>
      <c r="AB341" s="79"/>
      <c r="AC341" s="81"/>
      <c r="AD341" s="81"/>
      <c r="AE341" s="81"/>
      <c r="AF341" s="62"/>
      <c r="AG341" s="90"/>
      <c r="AH341" s="90"/>
      <c r="AI341" s="122"/>
      <c r="AJ341" s="62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10">
        <v>1</v>
      </c>
      <c r="B342" s="30">
        <v>46299</v>
      </c>
      <c r="C342" s="83">
        <v>9846</v>
      </c>
      <c r="D342" s="32">
        <f>650*4+229</f>
        <v>2829</v>
      </c>
      <c r="E342" s="32"/>
      <c r="F342" s="32"/>
      <c r="G342" s="32">
        <f t="shared" ref="G342:G375" si="111">SUM(D342:E342)</f>
        <v>2829</v>
      </c>
      <c r="H342" s="12"/>
      <c r="I342" s="12"/>
      <c r="J342" s="12"/>
      <c r="K342" s="12">
        <f t="shared" ref="K342:K375" si="112">SUM(G342:J342)</f>
        <v>2829</v>
      </c>
      <c r="M342" s="10">
        <v>1</v>
      </c>
      <c r="N342" s="30">
        <v>46299</v>
      </c>
      <c r="O342" s="31">
        <v>10081</v>
      </c>
      <c r="P342" s="32">
        <f>650*88+622*15+229*3</f>
        <v>67217</v>
      </c>
      <c r="Q342" s="32"/>
      <c r="R342" s="32"/>
      <c r="S342" s="32">
        <f>SUM(P342:Q342)</f>
        <v>67217</v>
      </c>
      <c r="T342" s="12"/>
      <c r="U342" s="12">
        <f>81+72</f>
        <v>153</v>
      </c>
      <c r="V342" s="12"/>
      <c r="W342" s="12">
        <f>SUM(S342:V342)</f>
        <v>67370</v>
      </c>
      <c r="Y342" s="62"/>
      <c r="Z342" s="66"/>
      <c r="AA342" s="91"/>
      <c r="AB342" s="60"/>
      <c r="AC342" s="60"/>
      <c r="AD342" s="60"/>
      <c r="AE342" s="60"/>
      <c r="AF342" s="61"/>
      <c r="AG342" s="61"/>
      <c r="AH342" s="61"/>
      <c r="AI342" s="61"/>
      <c r="AJ342" s="62"/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10">
        <v>2</v>
      </c>
      <c r="B343" s="30">
        <v>46299</v>
      </c>
      <c r="C343" s="83">
        <f>C342+1</f>
        <v>9847</v>
      </c>
      <c r="D343" s="32">
        <f>650*2</f>
        <v>1300</v>
      </c>
      <c r="E343" s="32"/>
      <c r="F343" s="32"/>
      <c r="G343" s="32">
        <f t="shared" si="111"/>
        <v>1300</v>
      </c>
      <c r="H343" s="12"/>
      <c r="I343" s="12"/>
      <c r="J343" s="12"/>
      <c r="K343" s="12">
        <f t="shared" si="112"/>
        <v>1300</v>
      </c>
      <c r="M343" s="10">
        <v>2</v>
      </c>
      <c r="N343" s="30">
        <v>46299</v>
      </c>
      <c r="O343" s="31">
        <f>O342+1</f>
        <v>10082</v>
      </c>
      <c r="P343" s="32">
        <f>650*2+670+9.5*2</f>
        <v>1989</v>
      </c>
      <c r="Q343" s="32"/>
      <c r="R343" s="32"/>
      <c r="S343" s="32">
        <f t="shared" ref="S343:S380" si="113">SUM(P343:Q343)</f>
        <v>1989</v>
      </c>
      <c r="T343" s="12"/>
      <c r="U343" s="12"/>
      <c r="V343" s="12">
        <v>-240</v>
      </c>
      <c r="W343" s="12">
        <f t="shared" ref="W343:W383" si="114">SUM(S343:V343)</f>
        <v>1749</v>
      </c>
      <c r="Y343" s="62"/>
      <c r="Z343" s="66"/>
      <c r="AA343" s="91"/>
      <c r="AB343" s="60"/>
      <c r="AC343" s="60"/>
      <c r="AD343" s="60"/>
      <c r="AE343" s="60"/>
      <c r="AF343" s="61"/>
      <c r="AG343" s="61"/>
      <c r="AH343" s="61"/>
      <c r="AI343" s="61"/>
      <c r="AJ343" s="62"/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10">
        <v>3</v>
      </c>
      <c r="B344" s="30">
        <v>46299</v>
      </c>
      <c r="C344" s="83">
        <f t="shared" ref="C344:C363" si="115">C343+1</f>
        <v>9848</v>
      </c>
      <c r="D344" s="33">
        <f>650*4+9.5*4</f>
        <v>2638</v>
      </c>
      <c r="E344" s="32"/>
      <c r="F344" s="33"/>
      <c r="G344" s="33">
        <f t="shared" si="111"/>
        <v>2638</v>
      </c>
      <c r="H344" s="34"/>
      <c r="I344" s="34">
        <f>9+3</f>
        <v>12</v>
      </c>
      <c r="J344" s="34"/>
      <c r="K344" s="34">
        <f t="shared" si="112"/>
        <v>2650</v>
      </c>
      <c r="M344" s="10">
        <v>3</v>
      </c>
      <c r="N344" s="30">
        <v>46299</v>
      </c>
      <c r="O344" s="31">
        <f t="shared" ref="O344:O351" si="116">O343+1</f>
        <v>10083</v>
      </c>
      <c r="P344" s="32">
        <f>650*7+622*2+912+9.5*9</f>
        <v>6791.5</v>
      </c>
      <c r="Q344" s="32"/>
      <c r="R344" s="32"/>
      <c r="S344" s="32">
        <f t="shared" si="113"/>
        <v>6791.5</v>
      </c>
      <c r="T344" s="12"/>
      <c r="U344" s="12"/>
      <c r="V344" s="12">
        <v>-1110</v>
      </c>
      <c r="W344" s="12">
        <f t="shared" si="114"/>
        <v>5681.5</v>
      </c>
      <c r="Y344" s="62"/>
      <c r="Z344" s="66"/>
      <c r="AA344" s="91"/>
      <c r="AB344" s="60"/>
      <c r="AC344" s="60"/>
      <c r="AD344" s="60"/>
      <c r="AE344" s="60"/>
      <c r="AF344" s="61"/>
      <c r="AG344" s="61"/>
      <c r="AH344" s="61"/>
      <c r="AI344" s="61"/>
      <c r="AJ344" s="62"/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10">
        <v>4</v>
      </c>
      <c r="B345" s="30">
        <v>46299</v>
      </c>
      <c r="C345" s="83">
        <f t="shared" si="115"/>
        <v>9849</v>
      </c>
      <c r="D345" s="32">
        <f>650*40+670</f>
        <v>26670</v>
      </c>
      <c r="E345" s="32"/>
      <c r="F345" s="32"/>
      <c r="G345" s="32">
        <f t="shared" si="111"/>
        <v>26670</v>
      </c>
      <c r="H345" s="12"/>
      <c r="I345" s="12">
        <v>135</v>
      </c>
      <c r="J345" s="12"/>
      <c r="K345" s="12">
        <f t="shared" si="112"/>
        <v>26805</v>
      </c>
      <c r="M345" s="10">
        <v>4</v>
      </c>
      <c r="N345" s="30">
        <v>46299</v>
      </c>
      <c r="O345" s="31">
        <f t="shared" si="116"/>
        <v>10084</v>
      </c>
      <c r="P345" s="32">
        <f>650*2+622+9.5*3</f>
        <v>1950.5</v>
      </c>
      <c r="Q345" s="32"/>
      <c r="R345" s="32"/>
      <c r="S345" s="32">
        <f t="shared" si="113"/>
        <v>1950.5</v>
      </c>
      <c r="T345" s="12"/>
      <c r="U345" s="12"/>
      <c r="V345" s="12">
        <v>-168</v>
      </c>
      <c r="W345" s="12">
        <f t="shared" si="114"/>
        <v>1782.5</v>
      </c>
      <c r="Y345" s="62"/>
      <c r="Z345" s="66"/>
      <c r="AA345" s="91"/>
      <c r="AB345" s="60"/>
      <c r="AC345" s="60"/>
      <c r="AD345" s="60"/>
      <c r="AE345" s="60"/>
      <c r="AF345" s="61"/>
      <c r="AG345" s="61"/>
      <c r="AH345" s="61"/>
      <c r="AI345" s="61"/>
      <c r="AJ345" s="62"/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10">
        <v>5</v>
      </c>
      <c r="B346" s="30">
        <v>46299</v>
      </c>
      <c r="C346" s="83">
        <f t="shared" si="115"/>
        <v>9850</v>
      </c>
      <c r="D346" s="32">
        <f>19343.32</f>
        <v>19343.32</v>
      </c>
      <c r="E346" s="32"/>
      <c r="F346" s="32"/>
      <c r="G346" s="32">
        <f t="shared" si="111"/>
        <v>19343.32</v>
      </c>
      <c r="H346" s="12"/>
      <c r="I346" s="12">
        <f>48+45</f>
        <v>93</v>
      </c>
      <c r="J346" s="12"/>
      <c r="K346" s="12">
        <f t="shared" si="112"/>
        <v>19436.32</v>
      </c>
      <c r="M346" s="10">
        <v>5</v>
      </c>
      <c r="N346" s="30">
        <v>46299</v>
      </c>
      <c r="O346" s="31">
        <f t="shared" si="116"/>
        <v>10085</v>
      </c>
      <c r="P346" s="32">
        <f>650*11+670+622*2+872</f>
        <v>9936</v>
      </c>
      <c r="Q346" s="32"/>
      <c r="R346" s="32"/>
      <c r="S346" s="32">
        <f t="shared" si="113"/>
        <v>9936</v>
      </c>
      <c r="T346" s="12"/>
      <c r="U346" s="12">
        <f>120+111</f>
        <v>231</v>
      </c>
      <c r="V346" s="12"/>
      <c r="W346" s="12">
        <f t="shared" si="114"/>
        <v>10167</v>
      </c>
      <c r="Y346" s="62"/>
      <c r="Z346" s="66"/>
      <c r="AA346" s="91"/>
      <c r="AB346" s="60"/>
      <c r="AC346" s="60"/>
      <c r="AD346" s="60"/>
      <c r="AE346" s="60"/>
      <c r="AF346" s="61"/>
      <c r="AG346" s="61"/>
      <c r="AH346" s="61"/>
      <c r="AI346" s="61"/>
      <c r="AJ346" s="62"/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10">
        <v>6</v>
      </c>
      <c r="B347" s="30">
        <v>46299</v>
      </c>
      <c r="C347" s="83">
        <v>9901</v>
      </c>
      <c r="D347" s="32">
        <f>650*13+670*2+622*4+9.5*17</f>
        <v>12439.5</v>
      </c>
      <c r="E347" s="32"/>
      <c r="F347" s="32"/>
      <c r="G347" s="32">
        <f t="shared" si="111"/>
        <v>12439.5</v>
      </c>
      <c r="H347" s="12"/>
      <c r="I347" s="12">
        <v>9</v>
      </c>
      <c r="J347" s="12"/>
      <c r="K347" s="12">
        <f t="shared" si="112"/>
        <v>12448.5</v>
      </c>
      <c r="M347" s="10">
        <v>6</v>
      </c>
      <c r="N347" s="30">
        <v>46299</v>
      </c>
      <c r="O347" s="31">
        <f t="shared" si="116"/>
        <v>10086</v>
      </c>
      <c r="P347" s="32">
        <f>650*12+9.5*12</f>
        <v>7914</v>
      </c>
      <c r="Q347" s="32"/>
      <c r="R347" s="32"/>
      <c r="S347" s="32">
        <f t="shared" si="113"/>
        <v>7914</v>
      </c>
      <c r="T347" s="12"/>
      <c r="U347" s="12"/>
      <c r="V347" s="10"/>
      <c r="W347" s="12">
        <f t="shared" si="114"/>
        <v>7914</v>
      </c>
      <c r="Y347" s="62"/>
      <c r="Z347" s="66"/>
      <c r="AA347" s="91"/>
      <c r="AB347" s="60"/>
      <c r="AC347" s="60"/>
      <c r="AD347" s="60"/>
      <c r="AE347" s="60"/>
      <c r="AF347" s="61"/>
      <c r="AG347" s="61"/>
      <c r="AH347" s="62"/>
      <c r="AI347" s="61"/>
      <c r="AJ347" s="62"/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10">
        <v>7</v>
      </c>
      <c r="B348" s="30">
        <v>46299</v>
      </c>
      <c r="C348" s="83">
        <f t="shared" si="115"/>
        <v>9902</v>
      </c>
      <c r="D348" s="32">
        <f>650*2+9.5*2</f>
        <v>1319</v>
      </c>
      <c r="E348" s="32"/>
      <c r="F348" s="32"/>
      <c r="G348" s="32">
        <f t="shared" si="111"/>
        <v>1319</v>
      </c>
      <c r="H348" s="12"/>
      <c r="I348" s="12"/>
      <c r="J348" s="12"/>
      <c r="K348" s="12">
        <f t="shared" si="112"/>
        <v>1319</v>
      </c>
      <c r="M348" s="10">
        <v>7</v>
      </c>
      <c r="N348" s="30">
        <v>46299</v>
      </c>
      <c r="O348" s="31">
        <f t="shared" si="116"/>
        <v>10087</v>
      </c>
      <c r="P348" s="32">
        <f>650*10+622+9.5*11</f>
        <v>7226.5</v>
      </c>
      <c r="Q348" s="32"/>
      <c r="R348" s="32"/>
      <c r="S348" s="32">
        <f t="shared" si="113"/>
        <v>7226.5</v>
      </c>
      <c r="T348" s="12"/>
      <c r="U348" s="12"/>
      <c r="V348" s="12">
        <v>-1110</v>
      </c>
      <c r="W348" s="12">
        <f t="shared" si="114"/>
        <v>6116.5</v>
      </c>
      <c r="Y348" s="62"/>
      <c r="Z348" s="66"/>
      <c r="AA348" s="91"/>
      <c r="AB348" s="60"/>
      <c r="AC348" s="60"/>
      <c r="AD348" s="60"/>
      <c r="AE348" s="60"/>
      <c r="AF348" s="61"/>
      <c r="AG348" s="61"/>
      <c r="AH348" s="61"/>
      <c r="AI348" s="61"/>
      <c r="AJ348" s="62"/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10">
        <v>8</v>
      </c>
      <c r="B349" s="30">
        <v>46299</v>
      </c>
      <c r="C349" s="83">
        <f t="shared" si="115"/>
        <v>9903</v>
      </c>
      <c r="D349" s="32">
        <f>670</f>
        <v>670</v>
      </c>
      <c r="E349" s="32"/>
      <c r="F349" s="32"/>
      <c r="G349" s="32">
        <f t="shared" si="111"/>
        <v>670</v>
      </c>
      <c r="H349" s="12"/>
      <c r="I349" s="12"/>
      <c r="J349" s="12"/>
      <c r="K349" s="12">
        <f t="shared" si="112"/>
        <v>670</v>
      </c>
      <c r="M349" s="10">
        <v>8</v>
      </c>
      <c r="N349" s="30">
        <v>46299</v>
      </c>
      <c r="O349" s="31">
        <f t="shared" si="116"/>
        <v>10088</v>
      </c>
      <c r="P349" s="32">
        <f>650*8+622+700</f>
        <v>6522</v>
      </c>
      <c r="Q349" s="32"/>
      <c r="R349" s="32"/>
      <c r="S349" s="32">
        <f t="shared" si="113"/>
        <v>6522</v>
      </c>
      <c r="T349" s="12"/>
      <c r="U349" s="12"/>
      <c r="V349" s="12">
        <v>-1998</v>
      </c>
      <c r="W349" s="12">
        <f t="shared" si="114"/>
        <v>4524</v>
      </c>
      <c r="Y349" s="62"/>
      <c r="Z349" s="66"/>
      <c r="AA349" s="91"/>
      <c r="AB349" s="60"/>
      <c r="AC349" s="60"/>
      <c r="AD349" s="62"/>
      <c r="AE349" s="60"/>
      <c r="AF349" s="61"/>
      <c r="AG349" s="61"/>
      <c r="AH349" s="61"/>
      <c r="AI349" s="61"/>
      <c r="AJ349" s="62"/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10">
        <v>9</v>
      </c>
      <c r="B350" s="30">
        <v>46299</v>
      </c>
      <c r="C350" s="83">
        <f t="shared" si="115"/>
        <v>9904</v>
      </c>
      <c r="D350" s="32">
        <f>55.83*9</f>
        <v>502.46999999999997</v>
      </c>
      <c r="E350" s="32"/>
      <c r="F350" s="32"/>
      <c r="G350" s="32">
        <f t="shared" si="111"/>
        <v>502.46999999999997</v>
      </c>
      <c r="H350" s="12"/>
      <c r="I350" s="12"/>
      <c r="J350" s="12"/>
      <c r="K350" s="12">
        <f t="shared" si="112"/>
        <v>502.46999999999997</v>
      </c>
      <c r="M350" s="10">
        <v>9</v>
      </c>
      <c r="N350" s="30">
        <v>46299</v>
      </c>
      <c r="O350" s="31">
        <f t="shared" si="116"/>
        <v>10089</v>
      </c>
      <c r="P350" s="32">
        <f>650*65+622*5+229*4</f>
        <v>46276</v>
      </c>
      <c r="Q350" s="32"/>
      <c r="R350" s="32"/>
      <c r="S350" s="32">
        <f t="shared" si="113"/>
        <v>46276</v>
      </c>
      <c r="T350" s="12"/>
      <c r="U350" s="12">
        <f>13*111+4.5*192</f>
        <v>2307</v>
      </c>
      <c r="V350" s="12"/>
      <c r="W350" s="12">
        <f t="shared" si="114"/>
        <v>48583</v>
      </c>
      <c r="Y350" s="62"/>
      <c r="Z350" s="66"/>
      <c r="AA350" s="91"/>
      <c r="AB350" s="60"/>
      <c r="AC350" s="60"/>
      <c r="AD350" s="60"/>
      <c r="AE350" s="60"/>
      <c r="AF350" s="61"/>
      <c r="AG350" s="62"/>
      <c r="AH350" s="61"/>
      <c r="AI350" s="61"/>
      <c r="AJ350" s="62"/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10">
        <v>10</v>
      </c>
      <c r="B351" s="30">
        <v>46299</v>
      </c>
      <c r="C351" s="83">
        <f t="shared" si="115"/>
        <v>9905</v>
      </c>
      <c r="D351" s="32">
        <f>650*2+229</f>
        <v>1529</v>
      </c>
      <c r="E351" s="32"/>
      <c r="F351" s="32"/>
      <c r="G351" s="32">
        <f t="shared" si="111"/>
        <v>1529</v>
      </c>
      <c r="H351" s="12"/>
      <c r="I351" s="12"/>
      <c r="J351" s="12"/>
      <c r="K351" s="12">
        <f t="shared" si="112"/>
        <v>1529</v>
      </c>
      <c r="M351" s="10">
        <v>10</v>
      </c>
      <c r="N351" s="30">
        <v>46299</v>
      </c>
      <c r="O351" s="31">
        <f t="shared" si="116"/>
        <v>10090</v>
      </c>
      <c r="P351" s="32">
        <f>650*180+622*20+229*6</f>
        <v>130814</v>
      </c>
      <c r="Q351" s="32">
        <f>-200*6</f>
        <v>-1200</v>
      </c>
      <c r="R351" s="32"/>
      <c r="S351" s="32">
        <f t="shared" si="113"/>
        <v>129614</v>
      </c>
      <c r="T351" s="12"/>
      <c r="U351" s="12">
        <f>390+16650</f>
        <v>17040</v>
      </c>
      <c r="V351" s="12">
        <f>-360+-504</f>
        <v>-864</v>
      </c>
      <c r="W351" s="12">
        <f t="shared" si="114"/>
        <v>145790</v>
      </c>
      <c r="Y351" s="62"/>
      <c r="Z351" s="66"/>
      <c r="AA351" s="65"/>
      <c r="AB351" s="60"/>
      <c r="AC351" s="60"/>
      <c r="AD351" s="60"/>
      <c r="AE351" s="60"/>
      <c r="AF351" s="61"/>
      <c r="AG351" s="61"/>
      <c r="AH351" s="61"/>
      <c r="AI351" s="61"/>
      <c r="AJ351" s="62"/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10">
        <v>11</v>
      </c>
      <c r="B352" s="30">
        <v>46299</v>
      </c>
      <c r="C352" s="83">
        <f t="shared" si="115"/>
        <v>9906</v>
      </c>
      <c r="D352" s="32">
        <f>650*4+9.5*4</f>
        <v>2638</v>
      </c>
      <c r="E352" s="32"/>
      <c r="F352" s="32"/>
      <c r="G352" s="32">
        <f t="shared" si="111"/>
        <v>2638</v>
      </c>
      <c r="H352" s="12"/>
      <c r="I352" s="12"/>
      <c r="J352" s="12"/>
      <c r="K352" s="12">
        <f t="shared" si="112"/>
        <v>2638</v>
      </c>
      <c r="M352" s="10">
        <v>11</v>
      </c>
      <c r="N352" s="30"/>
      <c r="O352" s="11" t="s">
        <v>27</v>
      </c>
      <c r="P352" s="32"/>
      <c r="Q352" s="32"/>
      <c r="R352" s="32"/>
      <c r="S352" s="32">
        <f t="shared" si="113"/>
        <v>0</v>
      </c>
      <c r="T352" s="12"/>
      <c r="U352" s="12"/>
      <c r="V352" s="12"/>
      <c r="W352" s="12">
        <f t="shared" si="114"/>
        <v>0</v>
      </c>
      <c r="Y352" s="62"/>
      <c r="Z352" s="66"/>
      <c r="AA352" s="62"/>
      <c r="AB352" s="60"/>
      <c r="AC352" s="60"/>
      <c r="AD352" s="60"/>
      <c r="AE352" s="60"/>
      <c r="AF352" s="61"/>
      <c r="AG352" s="61"/>
      <c r="AH352" s="61"/>
      <c r="AI352" s="61"/>
      <c r="AJ352" s="62"/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10">
        <v>12</v>
      </c>
      <c r="B353" s="30">
        <v>46299</v>
      </c>
      <c r="C353" s="83">
        <f t="shared" si="115"/>
        <v>9907</v>
      </c>
      <c r="D353" s="32">
        <f>622*5</f>
        <v>3110</v>
      </c>
      <c r="E353" s="32"/>
      <c r="F353" s="32"/>
      <c r="G353" s="32">
        <f t="shared" si="111"/>
        <v>3110</v>
      </c>
      <c r="H353" s="12"/>
      <c r="I353" s="12"/>
      <c r="J353" s="10"/>
      <c r="K353" s="12">
        <f t="shared" si="112"/>
        <v>3110</v>
      </c>
      <c r="M353" s="10">
        <v>12</v>
      </c>
      <c r="N353" s="30"/>
      <c r="O353" s="31"/>
      <c r="P353" s="32"/>
      <c r="Q353" s="32"/>
      <c r="R353" s="32"/>
      <c r="S353" s="32">
        <f t="shared" si="113"/>
        <v>0</v>
      </c>
      <c r="T353" s="12"/>
      <c r="U353" s="12"/>
      <c r="V353" s="12"/>
      <c r="W353" s="12">
        <f t="shared" si="114"/>
        <v>0</v>
      </c>
      <c r="Y353" s="62"/>
      <c r="Z353" s="66"/>
      <c r="AA353" s="91"/>
      <c r="AB353" s="60"/>
      <c r="AC353" s="60"/>
      <c r="AD353" s="60"/>
      <c r="AE353" s="60"/>
      <c r="AF353" s="61"/>
      <c r="AG353" s="61"/>
      <c r="AH353" s="61"/>
      <c r="AI353" s="61"/>
      <c r="AJ353" s="62"/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10">
        <v>13</v>
      </c>
      <c r="B354" s="30">
        <v>46299</v>
      </c>
      <c r="C354" s="83">
        <f t="shared" si="115"/>
        <v>9908</v>
      </c>
      <c r="D354" s="32">
        <f>650*8+912+1050+872+650+500</f>
        <v>9184</v>
      </c>
      <c r="E354" s="32"/>
      <c r="F354" s="32"/>
      <c r="G354" s="32">
        <f t="shared" si="111"/>
        <v>9184</v>
      </c>
      <c r="H354" s="12"/>
      <c r="I354" s="12"/>
      <c r="J354" s="12"/>
      <c r="K354" s="12">
        <f t="shared" si="112"/>
        <v>9184</v>
      </c>
      <c r="M354" s="10">
        <v>13</v>
      </c>
      <c r="N354" s="30"/>
      <c r="O354" s="31"/>
      <c r="P354" s="32"/>
      <c r="Q354" s="32"/>
      <c r="R354" s="32"/>
      <c r="S354" s="32">
        <f t="shared" si="113"/>
        <v>0</v>
      </c>
      <c r="T354" s="12"/>
      <c r="U354" s="12"/>
      <c r="V354" s="12"/>
      <c r="W354" s="12">
        <f t="shared" si="114"/>
        <v>0</v>
      </c>
      <c r="Y354" s="62"/>
      <c r="Z354" s="66"/>
      <c r="AA354" s="91"/>
      <c r="AB354" s="60"/>
      <c r="AC354" s="60"/>
      <c r="AD354" s="60"/>
      <c r="AE354" s="60"/>
      <c r="AF354" s="61"/>
      <c r="AG354" s="61"/>
      <c r="AH354" s="61"/>
      <c r="AI354" s="61"/>
      <c r="AJ354" s="62"/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10">
        <v>14</v>
      </c>
      <c r="B355" s="30">
        <v>46299</v>
      </c>
      <c r="C355" s="83">
        <f t="shared" si="115"/>
        <v>9909</v>
      </c>
      <c r="D355" s="32">
        <f>650*17+1175+622*3+650</f>
        <v>14741</v>
      </c>
      <c r="E355" s="32"/>
      <c r="F355" s="32"/>
      <c r="G355" s="32">
        <f t="shared" si="111"/>
        <v>14741</v>
      </c>
      <c r="H355" s="12"/>
      <c r="I355" s="12">
        <v>45</v>
      </c>
      <c r="J355" s="12"/>
      <c r="K355" s="12">
        <f t="shared" si="112"/>
        <v>14786</v>
      </c>
      <c r="M355" s="10">
        <v>14</v>
      </c>
      <c r="N355" s="30"/>
      <c r="O355" s="31"/>
      <c r="P355" s="32"/>
      <c r="Q355" s="32"/>
      <c r="R355" s="32"/>
      <c r="S355" s="32">
        <f t="shared" si="113"/>
        <v>0</v>
      </c>
      <c r="T355" s="12"/>
      <c r="U355" s="12"/>
      <c r="V355" s="12"/>
      <c r="W355" s="12">
        <f t="shared" si="114"/>
        <v>0</v>
      </c>
      <c r="Y355" s="62"/>
      <c r="Z355" s="66"/>
      <c r="AA355" s="91"/>
      <c r="AB355" s="60"/>
      <c r="AC355" s="60"/>
      <c r="AD355" s="60"/>
      <c r="AE355" s="60"/>
      <c r="AF355" s="61"/>
      <c r="AG355" s="61"/>
      <c r="AH355" s="61"/>
      <c r="AI355" s="61"/>
      <c r="AJ355" s="62"/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10">
        <v>15</v>
      </c>
      <c r="B356" s="30">
        <v>46299</v>
      </c>
      <c r="C356" s="83">
        <f t="shared" si="115"/>
        <v>9910</v>
      </c>
      <c r="D356" s="32">
        <f>650*100</f>
        <v>65000</v>
      </c>
      <c r="E356" s="32"/>
      <c r="F356" s="32"/>
      <c r="G356" s="32">
        <f t="shared" si="111"/>
        <v>65000</v>
      </c>
      <c r="H356" s="12"/>
      <c r="I356" s="12"/>
      <c r="J356" s="12"/>
      <c r="K356" s="12">
        <f t="shared" si="112"/>
        <v>65000</v>
      </c>
      <c r="M356" s="10">
        <v>15</v>
      </c>
      <c r="N356" s="30"/>
      <c r="O356" s="31"/>
      <c r="P356" s="32"/>
      <c r="Q356" s="32"/>
      <c r="R356" s="32"/>
      <c r="S356" s="32">
        <f t="shared" si="113"/>
        <v>0</v>
      </c>
      <c r="T356" s="12"/>
      <c r="U356" s="12"/>
      <c r="V356" s="12"/>
      <c r="W356" s="12">
        <f t="shared" si="114"/>
        <v>0</v>
      </c>
      <c r="Y356" s="62"/>
      <c r="Z356" s="66"/>
      <c r="AA356" s="91"/>
      <c r="AB356" s="60"/>
      <c r="AC356" s="60"/>
      <c r="AD356" s="60"/>
      <c r="AE356" s="60"/>
      <c r="AF356" s="61"/>
      <c r="AG356" s="61"/>
      <c r="AH356" s="61"/>
      <c r="AI356" s="61"/>
      <c r="AJ356" s="62"/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10">
        <v>16</v>
      </c>
      <c r="B357" s="30">
        <v>46299</v>
      </c>
      <c r="C357" s="83">
        <f t="shared" si="115"/>
        <v>9911</v>
      </c>
      <c r="D357" s="32">
        <f>650*15+9.5*15</f>
        <v>9892.5</v>
      </c>
      <c r="E357" s="32"/>
      <c r="F357" s="32"/>
      <c r="G357" s="32">
        <f t="shared" si="111"/>
        <v>9892.5</v>
      </c>
      <c r="H357" s="12"/>
      <c r="I357" s="12"/>
      <c r="J357" s="12"/>
      <c r="K357" s="12">
        <f t="shared" si="112"/>
        <v>9892.5</v>
      </c>
      <c r="M357" s="10">
        <v>16</v>
      </c>
      <c r="N357" s="30"/>
      <c r="O357" s="11"/>
      <c r="P357" s="32"/>
      <c r="Q357" s="32"/>
      <c r="R357" s="32"/>
      <c r="S357" s="32">
        <f t="shared" si="113"/>
        <v>0</v>
      </c>
      <c r="T357" s="12"/>
      <c r="U357" s="12"/>
      <c r="V357" s="12"/>
      <c r="W357" s="12">
        <f t="shared" si="114"/>
        <v>0</v>
      </c>
      <c r="Y357" s="62"/>
      <c r="Z357" s="66"/>
      <c r="AA357" s="62"/>
      <c r="AB357" s="60"/>
      <c r="AC357" s="60"/>
      <c r="AD357" s="60"/>
      <c r="AE357" s="60"/>
      <c r="AF357" s="61"/>
      <c r="AG357" s="61"/>
      <c r="AH357" s="61"/>
      <c r="AI357" s="61"/>
      <c r="AJ357" s="62"/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10">
        <v>17</v>
      </c>
      <c r="B358" s="30">
        <v>46299</v>
      </c>
      <c r="C358" s="83">
        <f t="shared" si="115"/>
        <v>9912</v>
      </c>
      <c r="D358" s="32">
        <f>650*11+9.5*11</f>
        <v>7254.5</v>
      </c>
      <c r="E358" s="32"/>
      <c r="F358" s="32"/>
      <c r="G358" s="32">
        <f t="shared" si="111"/>
        <v>7254.5</v>
      </c>
      <c r="H358" s="12"/>
      <c r="I358" s="12"/>
      <c r="J358" s="12"/>
      <c r="K358" s="12">
        <f t="shared" si="112"/>
        <v>7254.5</v>
      </c>
      <c r="M358" s="10">
        <v>17</v>
      </c>
      <c r="N358" s="30"/>
      <c r="O358" s="31"/>
      <c r="P358" s="35"/>
      <c r="Q358" s="32"/>
      <c r="R358" s="32"/>
      <c r="S358" s="32">
        <f t="shared" si="113"/>
        <v>0</v>
      </c>
      <c r="T358" s="12"/>
      <c r="U358" s="12"/>
      <c r="V358" s="12"/>
      <c r="W358" s="12">
        <f t="shared" si="114"/>
        <v>0</v>
      </c>
      <c r="Y358" s="62"/>
      <c r="Z358" s="66"/>
      <c r="AA358" s="91"/>
      <c r="AB358" s="60"/>
      <c r="AC358" s="60"/>
      <c r="AD358" s="60"/>
      <c r="AE358" s="60"/>
      <c r="AF358" s="61"/>
      <c r="AG358" s="61"/>
      <c r="AH358" s="61"/>
      <c r="AI358" s="61"/>
      <c r="AJ358" s="62"/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10">
        <v>18</v>
      </c>
      <c r="B359" s="30">
        <v>46299</v>
      </c>
      <c r="C359" s="83">
        <f t="shared" si="115"/>
        <v>9913</v>
      </c>
      <c r="D359" s="32">
        <f>650*12+622*5+1050+1102*3+650</f>
        <v>15916</v>
      </c>
      <c r="E359" s="32"/>
      <c r="F359" s="32"/>
      <c r="G359" s="32">
        <f t="shared" si="111"/>
        <v>15916</v>
      </c>
      <c r="H359" s="12"/>
      <c r="I359" s="12">
        <v>144</v>
      </c>
      <c r="J359" s="12"/>
      <c r="K359" s="12">
        <f t="shared" si="112"/>
        <v>16060</v>
      </c>
      <c r="M359" s="10">
        <v>18</v>
      </c>
      <c r="N359" s="30"/>
      <c r="O359" s="31"/>
      <c r="P359" s="32"/>
      <c r="Q359" s="32"/>
      <c r="R359" s="32"/>
      <c r="S359" s="32">
        <f t="shared" si="113"/>
        <v>0</v>
      </c>
      <c r="T359" s="12"/>
      <c r="U359" s="12"/>
      <c r="V359" s="12"/>
      <c r="W359" s="12">
        <f t="shared" si="114"/>
        <v>0</v>
      </c>
      <c r="Y359" s="62"/>
      <c r="Z359" s="66"/>
      <c r="AA359" s="91"/>
      <c r="AB359" s="60"/>
      <c r="AC359" s="60"/>
      <c r="AD359" s="60"/>
      <c r="AE359" s="60"/>
      <c r="AF359" s="61"/>
      <c r="AG359" s="61"/>
      <c r="AH359" s="61"/>
      <c r="AI359" s="61"/>
      <c r="AJ359" s="62"/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10">
        <v>19</v>
      </c>
      <c r="B360" s="30">
        <v>46299</v>
      </c>
      <c r="C360" s="83">
        <f t="shared" si="115"/>
        <v>9914</v>
      </c>
      <c r="D360" s="32">
        <f>650*40</f>
        <v>26000</v>
      </c>
      <c r="E360" s="32"/>
      <c r="F360" s="32"/>
      <c r="G360" s="32">
        <f t="shared" si="111"/>
        <v>26000</v>
      </c>
      <c r="H360" s="12"/>
      <c r="I360" s="12">
        <v>63</v>
      </c>
      <c r="J360" s="12"/>
      <c r="K360" s="12">
        <f t="shared" si="112"/>
        <v>26063</v>
      </c>
      <c r="M360" s="10">
        <v>19</v>
      </c>
      <c r="N360" s="30"/>
      <c r="O360" s="31"/>
      <c r="P360" s="32"/>
      <c r="Q360" s="32"/>
      <c r="R360" s="32"/>
      <c r="S360" s="32">
        <f t="shared" si="113"/>
        <v>0</v>
      </c>
      <c r="T360" s="12"/>
      <c r="U360" s="12"/>
      <c r="V360" s="12"/>
      <c r="W360" s="12">
        <f t="shared" si="114"/>
        <v>0</v>
      </c>
      <c r="Y360" s="62"/>
      <c r="Z360" s="66"/>
      <c r="AA360" s="91"/>
      <c r="AB360" s="60"/>
      <c r="AC360" s="60"/>
      <c r="AD360" s="60"/>
      <c r="AE360" s="60"/>
      <c r="AF360" s="61"/>
      <c r="AG360" s="61"/>
      <c r="AH360" s="61"/>
      <c r="AI360" s="61"/>
      <c r="AJ360" s="62"/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10">
        <v>20</v>
      </c>
      <c r="B361" s="30">
        <v>46299</v>
      </c>
      <c r="C361" s="83">
        <f t="shared" si="115"/>
        <v>9915</v>
      </c>
      <c r="D361" s="32">
        <f>650*19+622*2</f>
        <v>13594</v>
      </c>
      <c r="E361" s="32"/>
      <c r="F361" s="32"/>
      <c r="G361" s="32">
        <f t="shared" si="111"/>
        <v>13594</v>
      </c>
      <c r="H361" s="12"/>
      <c r="I361" s="12"/>
      <c r="J361" s="12"/>
      <c r="K361" s="12">
        <f t="shared" si="112"/>
        <v>13594</v>
      </c>
      <c r="M361" s="10">
        <v>20</v>
      </c>
      <c r="N361" s="30"/>
      <c r="O361" s="31"/>
      <c r="P361" s="32"/>
      <c r="Q361" s="32"/>
      <c r="R361" s="32"/>
      <c r="S361" s="32">
        <f t="shared" si="113"/>
        <v>0</v>
      </c>
      <c r="T361" s="12"/>
      <c r="U361" s="12"/>
      <c r="V361" s="12"/>
      <c r="W361" s="12">
        <f t="shared" si="114"/>
        <v>0</v>
      </c>
      <c r="Y361" s="62"/>
      <c r="Z361" s="66"/>
      <c r="AA361" s="62"/>
      <c r="AB361" s="60"/>
      <c r="AC361" s="60"/>
      <c r="AD361" s="60"/>
      <c r="AE361" s="60"/>
      <c r="AF361" s="61"/>
      <c r="AG361" s="61"/>
      <c r="AH361" s="61"/>
      <c r="AI361" s="61"/>
      <c r="AJ361" s="62"/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10">
        <v>21</v>
      </c>
      <c r="B362" s="30">
        <v>46299</v>
      </c>
      <c r="C362" s="83">
        <f t="shared" si="115"/>
        <v>9916</v>
      </c>
      <c r="D362" s="32">
        <f>650*14</f>
        <v>9100</v>
      </c>
      <c r="E362" s="32"/>
      <c r="F362" s="32"/>
      <c r="G362" s="32">
        <f t="shared" si="111"/>
        <v>9100</v>
      </c>
      <c r="H362" s="10"/>
      <c r="I362" s="10"/>
      <c r="J362" s="10"/>
      <c r="K362" s="12">
        <f t="shared" si="112"/>
        <v>9100</v>
      </c>
      <c r="M362" s="10">
        <v>21</v>
      </c>
      <c r="N362" s="30"/>
      <c r="O362" s="11"/>
      <c r="P362" s="46"/>
      <c r="Q362" s="31"/>
      <c r="R362" s="31"/>
      <c r="S362" s="32">
        <f t="shared" si="113"/>
        <v>0</v>
      </c>
      <c r="T362" s="10"/>
      <c r="U362" s="10"/>
      <c r="V362" s="10"/>
      <c r="W362" s="12">
        <f t="shared" si="114"/>
        <v>0</v>
      </c>
      <c r="Y362" s="62"/>
      <c r="Z362" s="66"/>
      <c r="AA362" s="91"/>
      <c r="AB362" s="67"/>
      <c r="AC362" s="91"/>
      <c r="AD362" s="91"/>
      <c r="AE362" s="60"/>
      <c r="AF362" s="62"/>
      <c r="AG362" s="62"/>
      <c r="AH362" s="62"/>
      <c r="AI362" s="61"/>
      <c r="AJ362" s="62"/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10">
        <v>22</v>
      </c>
      <c r="B363" s="30">
        <v>46299</v>
      </c>
      <c r="C363" s="83">
        <f t="shared" si="115"/>
        <v>9917</v>
      </c>
      <c r="D363" s="32">
        <f>912*4+1050</f>
        <v>4698</v>
      </c>
      <c r="E363" s="32"/>
      <c r="F363" s="32"/>
      <c r="G363" s="32">
        <f t="shared" si="111"/>
        <v>4698</v>
      </c>
      <c r="H363" s="10"/>
      <c r="I363" s="10"/>
      <c r="J363" s="10"/>
      <c r="K363" s="12">
        <f t="shared" si="112"/>
        <v>4698</v>
      </c>
      <c r="M363" s="10">
        <v>22</v>
      </c>
      <c r="N363" s="30"/>
      <c r="O363" s="31"/>
      <c r="P363" s="45"/>
      <c r="Q363" s="31"/>
      <c r="R363" s="31"/>
      <c r="S363" s="32">
        <f t="shared" si="113"/>
        <v>0</v>
      </c>
      <c r="T363" s="10"/>
      <c r="U363" s="10"/>
      <c r="V363" s="10"/>
      <c r="W363" s="12">
        <f t="shared" si="114"/>
        <v>0</v>
      </c>
      <c r="Y363" s="62"/>
      <c r="Z363" s="66"/>
      <c r="AA363" s="91"/>
      <c r="AB363" s="68"/>
      <c r="AC363" s="91"/>
      <c r="AD363" s="91"/>
      <c r="AE363" s="60"/>
      <c r="AF363" s="62"/>
      <c r="AG363" s="62"/>
      <c r="AH363" s="62"/>
      <c r="AI363" s="61"/>
      <c r="AJ363" s="62"/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10">
        <v>23</v>
      </c>
      <c r="B364" s="30"/>
      <c r="C364" s="11" t="s">
        <v>27</v>
      </c>
      <c r="D364" s="32"/>
      <c r="E364" s="32"/>
      <c r="F364" s="32"/>
      <c r="G364" s="32">
        <f t="shared" si="111"/>
        <v>0</v>
      </c>
      <c r="H364" s="10"/>
      <c r="I364" s="10"/>
      <c r="J364" s="12"/>
      <c r="K364" s="12">
        <f t="shared" si="112"/>
        <v>0</v>
      </c>
      <c r="M364" s="10">
        <v>23</v>
      </c>
      <c r="N364" s="30"/>
      <c r="O364" s="31"/>
      <c r="P364" s="47"/>
      <c r="S364" s="32">
        <f t="shared" si="113"/>
        <v>0</v>
      </c>
      <c r="T364" s="10"/>
      <c r="U364" s="10"/>
      <c r="V364" s="10"/>
      <c r="W364" s="12">
        <f t="shared" si="114"/>
        <v>0</v>
      </c>
      <c r="Y364" s="62"/>
      <c r="Z364" s="66"/>
      <c r="AA364" s="91"/>
      <c r="AB364" s="69"/>
      <c r="AC364" s="62"/>
      <c r="AD364" s="62"/>
      <c r="AE364" s="60"/>
      <c r="AF364" s="62"/>
      <c r="AG364" s="62"/>
      <c r="AH364" s="62"/>
      <c r="AI364" s="61"/>
      <c r="AJ364" s="62"/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10">
        <v>24</v>
      </c>
      <c r="B365" s="30"/>
      <c r="C365" s="83"/>
      <c r="D365" s="32"/>
      <c r="E365" s="32"/>
      <c r="F365" s="32"/>
      <c r="G365" s="32">
        <f t="shared" si="111"/>
        <v>0</v>
      </c>
      <c r="H365" s="10"/>
      <c r="I365" s="10"/>
      <c r="J365" s="10"/>
      <c r="K365" s="12">
        <f t="shared" si="112"/>
        <v>0</v>
      </c>
      <c r="M365" s="10">
        <v>24</v>
      </c>
      <c r="N365" s="30"/>
      <c r="O365" s="31"/>
      <c r="P365" s="47"/>
      <c r="Q365" s="31"/>
      <c r="R365" s="31"/>
      <c r="S365" s="32">
        <f t="shared" si="113"/>
        <v>0</v>
      </c>
      <c r="T365" s="10"/>
      <c r="U365" s="10"/>
      <c r="V365" s="10"/>
      <c r="W365" s="12">
        <f t="shared" si="114"/>
        <v>0</v>
      </c>
      <c r="Y365" s="62"/>
      <c r="Z365" s="66"/>
      <c r="AA365" s="91"/>
      <c r="AB365" s="69"/>
      <c r="AC365" s="91"/>
      <c r="AD365" s="91"/>
      <c r="AE365" s="60"/>
      <c r="AF365" s="62"/>
      <c r="AG365" s="62"/>
      <c r="AH365" s="62"/>
      <c r="AI365" s="61"/>
      <c r="AJ365" s="62"/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10">
        <v>25</v>
      </c>
      <c r="B366" s="30"/>
      <c r="C366" s="83"/>
      <c r="D366" s="32"/>
      <c r="E366" s="32"/>
      <c r="F366" s="32"/>
      <c r="G366" s="32">
        <f t="shared" si="111"/>
        <v>0</v>
      </c>
      <c r="H366" s="10"/>
      <c r="I366" s="10"/>
      <c r="J366" s="10"/>
      <c r="K366" s="12">
        <f t="shared" si="112"/>
        <v>0</v>
      </c>
      <c r="M366" s="10">
        <v>25</v>
      </c>
      <c r="N366" s="30"/>
      <c r="O366" s="31"/>
      <c r="P366" s="47"/>
      <c r="Q366" s="31"/>
      <c r="R366" s="31"/>
      <c r="S366" s="32">
        <f t="shared" si="113"/>
        <v>0</v>
      </c>
      <c r="T366" s="10"/>
      <c r="U366" s="10"/>
      <c r="V366" s="10"/>
      <c r="W366" s="12">
        <f t="shared" si="114"/>
        <v>0</v>
      </c>
      <c r="Y366" s="62"/>
      <c r="Z366" s="66"/>
      <c r="AA366" s="91"/>
      <c r="AB366" s="69"/>
      <c r="AC366" s="91"/>
      <c r="AD366" s="91"/>
      <c r="AE366" s="60"/>
      <c r="AF366" s="62"/>
      <c r="AG366" s="62"/>
      <c r="AH366" s="62"/>
      <c r="AI366" s="61"/>
      <c r="AJ366" s="62"/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10">
        <v>26</v>
      </c>
      <c r="B367" s="30"/>
      <c r="C367" s="83"/>
      <c r="D367" s="32"/>
      <c r="E367" s="32"/>
      <c r="F367" s="32"/>
      <c r="G367" s="32">
        <f t="shared" si="111"/>
        <v>0</v>
      </c>
      <c r="H367" s="10"/>
      <c r="I367" s="10"/>
      <c r="J367" s="10"/>
      <c r="K367" s="12">
        <f t="shared" si="112"/>
        <v>0</v>
      </c>
      <c r="M367" s="10">
        <v>26</v>
      </c>
      <c r="N367" s="30"/>
      <c r="O367" s="31"/>
      <c r="P367" s="47"/>
      <c r="Q367" s="31"/>
      <c r="R367" s="31"/>
      <c r="S367" s="32">
        <f t="shared" si="113"/>
        <v>0</v>
      </c>
      <c r="T367" s="10"/>
      <c r="U367" s="10"/>
      <c r="V367" s="10"/>
      <c r="W367" s="12">
        <f t="shared" si="114"/>
        <v>0</v>
      </c>
      <c r="Y367" s="62"/>
      <c r="Z367" s="66"/>
      <c r="AA367" s="91"/>
      <c r="AB367" s="69"/>
      <c r="AC367" s="91"/>
      <c r="AD367" s="91"/>
      <c r="AE367" s="60"/>
      <c r="AF367" s="62"/>
      <c r="AG367" s="62"/>
      <c r="AH367" s="62"/>
      <c r="AI367" s="61"/>
      <c r="AJ367" s="62"/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10">
        <v>27</v>
      </c>
      <c r="B368" s="30"/>
      <c r="C368" s="83"/>
      <c r="D368" s="32"/>
      <c r="E368" s="32"/>
      <c r="F368" s="32"/>
      <c r="G368" s="32">
        <f t="shared" si="111"/>
        <v>0</v>
      </c>
      <c r="H368" s="10"/>
      <c r="I368" s="10"/>
      <c r="J368" s="10"/>
      <c r="K368" s="12">
        <f t="shared" si="112"/>
        <v>0</v>
      </c>
      <c r="M368" s="10">
        <v>27</v>
      </c>
      <c r="N368" s="30"/>
      <c r="O368" s="31"/>
      <c r="P368" s="47"/>
      <c r="Q368" s="31"/>
      <c r="R368" s="31"/>
      <c r="S368" s="32">
        <f t="shared" si="113"/>
        <v>0</v>
      </c>
      <c r="T368" s="10"/>
      <c r="U368" s="10"/>
      <c r="V368" s="10"/>
      <c r="W368" s="12">
        <f t="shared" si="114"/>
        <v>0</v>
      </c>
      <c r="Y368" s="62"/>
      <c r="Z368" s="66"/>
      <c r="AA368" s="91"/>
      <c r="AB368" s="69"/>
      <c r="AC368" s="91"/>
      <c r="AD368" s="91"/>
      <c r="AE368" s="60"/>
      <c r="AF368" s="62"/>
      <c r="AG368" s="62"/>
      <c r="AH368" s="62"/>
      <c r="AI368" s="61"/>
      <c r="AJ368" s="62"/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10">
        <v>28</v>
      </c>
      <c r="B369" s="30"/>
      <c r="C369" s="83"/>
      <c r="D369" s="32"/>
      <c r="E369" s="32"/>
      <c r="F369" s="32"/>
      <c r="G369" s="32">
        <f t="shared" si="111"/>
        <v>0</v>
      </c>
      <c r="H369" s="10"/>
      <c r="I369" s="10"/>
      <c r="J369" s="10"/>
      <c r="K369" s="12">
        <f t="shared" si="112"/>
        <v>0</v>
      </c>
      <c r="M369" s="10">
        <v>28</v>
      </c>
      <c r="N369" s="30"/>
      <c r="O369" s="31"/>
      <c r="P369" s="47"/>
      <c r="Q369" s="31"/>
      <c r="R369" s="31"/>
      <c r="S369" s="32">
        <f t="shared" si="113"/>
        <v>0</v>
      </c>
      <c r="T369" s="10"/>
      <c r="U369" s="10"/>
      <c r="V369" s="10"/>
      <c r="W369" s="12">
        <f t="shared" si="114"/>
        <v>0</v>
      </c>
      <c r="Y369" s="62"/>
      <c r="Z369" s="66"/>
      <c r="AA369" s="91"/>
      <c r="AB369" s="69"/>
      <c r="AC369" s="91"/>
      <c r="AD369" s="91"/>
      <c r="AE369" s="60"/>
      <c r="AF369" s="62"/>
      <c r="AG369" s="62"/>
      <c r="AH369" s="62"/>
      <c r="AI369" s="61"/>
      <c r="AJ369" s="62"/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10">
        <v>29</v>
      </c>
      <c r="B370" s="30"/>
      <c r="C370" s="83"/>
      <c r="D370" s="32"/>
      <c r="E370" s="32"/>
      <c r="F370" s="32"/>
      <c r="G370" s="32">
        <f t="shared" si="111"/>
        <v>0</v>
      </c>
      <c r="H370" s="10"/>
      <c r="I370" s="10"/>
      <c r="J370" s="10"/>
      <c r="K370" s="12">
        <f t="shared" si="112"/>
        <v>0</v>
      </c>
      <c r="M370" s="10">
        <v>29</v>
      </c>
      <c r="N370" s="30"/>
      <c r="O370" s="31"/>
      <c r="P370" s="47"/>
      <c r="Q370" s="31"/>
      <c r="R370" s="31"/>
      <c r="S370" s="32">
        <f t="shared" si="113"/>
        <v>0</v>
      </c>
      <c r="T370" s="10"/>
      <c r="U370" s="10"/>
      <c r="V370" s="10"/>
      <c r="W370" s="12">
        <f t="shared" si="114"/>
        <v>0</v>
      </c>
      <c r="Y370" s="62"/>
      <c r="Z370" s="66"/>
      <c r="AA370" s="91"/>
      <c r="AB370" s="69"/>
      <c r="AC370" s="91"/>
      <c r="AD370" s="91"/>
      <c r="AE370" s="60"/>
      <c r="AF370" s="62"/>
      <c r="AG370" s="62"/>
      <c r="AH370" s="62"/>
      <c r="AI370" s="61"/>
      <c r="AJ370" s="62"/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10">
        <v>30</v>
      </c>
      <c r="B371" s="30"/>
      <c r="C371" s="83"/>
      <c r="D371" s="32"/>
      <c r="E371" s="32"/>
      <c r="F371" s="32"/>
      <c r="G371" s="32">
        <f t="shared" si="111"/>
        <v>0</v>
      </c>
      <c r="H371" s="10"/>
      <c r="I371" s="10"/>
      <c r="J371" s="10"/>
      <c r="K371" s="12">
        <f t="shared" si="112"/>
        <v>0</v>
      </c>
      <c r="M371" s="10">
        <v>30</v>
      </c>
      <c r="N371" s="30"/>
      <c r="O371" s="31"/>
      <c r="P371" s="47"/>
      <c r="Q371" s="31"/>
      <c r="R371" s="31"/>
      <c r="S371" s="32">
        <f t="shared" si="113"/>
        <v>0</v>
      </c>
      <c r="T371" s="10"/>
      <c r="U371" s="10"/>
      <c r="V371" s="10"/>
      <c r="W371" s="12">
        <f t="shared" si="114"/>
        <v>0</v>
      </c>
      <c r="Y371" s="62"/>
      <c r="Z371" s="66"/>
      <c r="AA371" s="91"/>
      <c r="AB371" s="69"/>
      <c r="AC371" s="91"/>
      <c r="AD371" s="91"/>
      <c r="AE371" s="60"/>
      <c r="AF371" s="62"/>
      <c r="AG371" s="62"/>
      <c r="AH371" s="62"/>
      <c r="AI371" s="61"/>
      <c r="AJ371" s="62"/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10">
        <v>31</v>
      </c>
      <c r="B372" s="30"/>
      <c r="C372" s="11"/>
      <c r="D372" s="32"/>
      <c r="E372" s="32"/>
      <c r="F372" s="32"/>
      <c r="G372" s="32">
        <f t="shared" si="111"/>
        <v>0</v>
      </c>
      <c r="H372" s="10"/>
      <c r="I372" s="10"/>
      <c r="J372" s="10"/>
      <c r="K372" s="12">
        <f t="shared" si="112"/>
        <v>0</v>
      </c>
      <c r="M372" s="10">
        <v>31</v>
      </c>
      <c r="N372" s="30"/>
      <c r="O372" s="31"/>
      <c r="P372" s="47"/>
      <c r="Q372" s="31"/>
      <c r="R372" s="31"/>
      <c r="S372" s="32">
        <f t="shared" si="113"/>
        <v>0</v>
      </c>
      <c r="T372" s="10"/>
      <c r="U372" s="10"/>
      <c r="V372" s="10"/>
      <c r="W372" s="12">
        <f t="shared" si="114"/>
        <v>0</v>
      </c>
      <c r="Y372" s="62"/>
      <c r="Z372" s="66"/>
      <c r="AA372" s="91"/>
      <c r="AB372" s="69"/>
      <c r="AC372" s="91"/>
      <c r="AD372" s="91"/>
      <c r="AE372" s="60"/>
      <c r="AF372" s="62"/>
      <c r="AG372" s="62"/>
      <c r="AH372" s="62"/>
      <c r="AI372" s="61"/>
      <c r="AJ372" s="62"/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10">
        <v>32</v>
      </c>
      <c r="B373" s="30"/>
      <c r="C373" s="83"/>
      <c r="D373" s="32"/>
      <c r="E373" s="32"/>
      <c r="F373" s="32"/>
      <c r="G373" s="32">
        <f t="shared" si="111"/>
        <v>0</v>
      </c>
      <c r="H373" s="10"/>
      <c r="I373" s="10"/>
      <c r="J373" s="10"/>
      <c r="K373" s="12">
        <f t="shared" si="112"/>
        <v>0</v>
      </c>
      <c r="M373" s="10">
        <v>32</v>
      </c>
      <c r="N373" s="30"/>
      <c r="O373" s="31"/>
      <c r="P373" s="47"/>
      <c r="Q373" s="31"/>
      <c r="R373" s="31"/>
      <c r="S373" s="32">
        <f t="shared" si="113"/>
        <v>0</v>
      </c>
      <c r="T373" s="10"/>
      <c r="U373" s="10"/>
      <c r="V373" s="10"/>
      <c r="W373" s="12">
        <f t="shared" si="114"/>
        <v>0</v>
      </c>
      <c r="Y373" s="62"/>
      <c r="Z373" s="66"/>
      <c r="AA373" s="91"/>
      <c r="AB373" s="69"/>
      <c r="AC373" s="91"/>
      <c r="AD373" s="91"/>
      <c r="AE373" s="60"/>
      <c r="AF373" s="62"/>
      <c r="AG373" s="62"/>
      <c r="AH373" s="62"/>
      <c r="AI373" s="61"/>
      <c r="AJ373" s="62"/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10">
        <v>33</v>
      </c>
      <c r="B374" s="30"/>
      <c r="C374" s="83"/>
      <c r="D374" s="32"/>
      <c r="E374" s="32"/>
      <c r="F374" s="32"/>
      <c r="G374" s="32">
        <f t="shared" si="111"/>
        <v>0</v>
      </c>
      <c r="H374" s="10"/>
      <c r="I374" s="10"/>
      <c r="J374" s="10"/>
      <c r="K374" s="12">
        <f t="shared" si="112"/>
        <v>0</v>
      </c>
      <c r="M374" s="10">
        <v>33</v>
      </c>
      <c r="N374" s="30"/>
      <c r="O374" s="31"/>
      <c r="P374" s="47"/>
      <c r="Q374" s="31"/>
      <c r="R374" s="31"/>
      <c r="S374" s="32">
        <f t="shared" si="113"/>
        <v>0</v>
      </c>
      <c r="T374" s="10"/>
      <c r="U374" s="10"/>
      <c r="V374" s="10"/>
      <c r="W374" s="12">
        <f t="shared" si="114"/>
        <v>0</v>
      </c>
      <c r="Y374" s="62"/>
      <c r="Z374" s="66"/>
      <c r="AA374" s="91"/>
      <c r="AB374" s="69"/>
      <c r="AC374" s="91"/>
      <c r="AD374" s="91"/>
      <c r="AE374" s="60"/>
      <c r="AF374" s="62"/>
      <c r="AG374" s="62"/>
      <c r="AH374" s="62"/>
      <c r="AI374" s="61"/>
      <c r="AJ374" s="62"/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10"/>
      <c r="B375" s="30"/>
      <c r="C375" s="83"/>
      <c r="D375" s="32"/>
      <c r="E375" s="32"/>
      <c r="F375" s="32"/>
      <c r="G375" s="32">
        <f t="shared" si="111"/>
        <v>0</v>
      </c>
      <c r="H375" s="10"/>
      <c r="I375" s="10"/>
      <c r="J375" s="10"/>
      <c r="K375" s="12">
        <f t="shared" si="112"/>
        <v>0</v>
      </c>
      <c r="M375" s="10">
        <v>34</v>
      </c>
      <c r="N375" s="30"/>
      <c r="O375" s="31"/>
      <c r="P375" s="47"/>
      <c r="Q375" s="31"/>
      <c r="R375" s="31"/>
      <c r="S375" s="32">
        <f t="shared" si="113"/>
        <v>0</v>
      </c>
      <c r="T375" s="10"/>
      <c r="U375" s="10"/>
      <c r="V375" s="10"/>
      <c r="W375" s="12">
        <f t="shared" si="114"/>
        <v>0</v>
      </c>
      <c r="Y375" s="62"/>
      <c r="Z375" s="66"/>
      <c r="AA375" s="91"/>
      <c r="AB375" s="69"/>
      <c r="AC375" s="91"/>
      <c r="AD375" s="91"/>
      <c r="AE375" s="60"/>
      <c r="AF375" s="62"/>
      <c r="AG375" s="62"/>
      <c r="AH375" s="62"/>
      <c r="AI375" s="61"/>
      <c r="AJ375" s="62"/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10"/>
      <c r="B376" s="30"/>
      <c r="C376" s="83"/>
      <c r="D376" s="32"/>
      <c r="E376" s="32"/>
      <c r="F376" s="32"/>
      <c r="G376" s="32"/>
      <c r="H376" s="10"/>
      <c r="I376" s="10"/>
      <c r="J376" s="10"/>
      <c r="K376" s="12"/>
      <c r="M376" s="10">
        <v>35</v>
      </c>
      <c r="N376" s="30"/>
      <c r="O376" s="31"/>
      <c r="P376" s="47"/>
      <c r="Q376" s="31"/>
      <c r="R376" s="31"/>
      <c r="S376" s="32">
        <f t="shared" si="113"/>
        <v>0</v>
      </c>
      <c r="T376" s="10"/>
      <c r="U376" s="10"/>
      <c r="V376" s="10"/>
      <c r="W376" s="12">
        <f t="shared" si="114"/>
        <v>0</v>
      </c>
      <c r="Y376" s="62"/>
      <c r="Z376" s="66"/>
      <c r="AA376" s="91"/>
      <c r="AB376" s="69"/>
      <c r="AC376" s="91"/>
      <c r="AD376" s="91"/>
      <c r="AE376" s="60"/>
      <c r="AF376" s="62"/>
      <c r="AG376" s="62"/>
      <c r="AH376" s="62"/>
      <c r="AI376" s="61"/>
      <c r="AJ376" s="62"/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10"/>
      <c r="B377" s="30"/>
      <c r="C377" s="83"/>
      <c r="D377" s="32"/>
      <c r="E377" s="32"/>
      <c r="F377" s="32"/>
      <c r="G377" s="32"/>
      <c r="H377" s="10"/>
      <c r="I377" s="10"/>
      <c r="J377" s="10"/>
      <c r="K377" s="12"/>
      <c r="M377" s="10">
        <v>36</v>
      </c>
      <c r="N377" s="30"/>
      <c r="O377" s="31"/>
      <c r="P377" s="47"/>
      <c r="Q377" s="31"/>
      <c r="R377" s="31"/>
      <c r="S377" s="32">
        <f t="shared" si="113"/>
        <v>0</v>
      </c>
      <c r="T377" s="10"/>
      <c r="U377" s="10"/>
      <c r="V377" s="10"/>
      <c r="W377" s="12">
        <f t="shared" si="114"/>
        <v>0</v>
      </c>
      <c r="Y377" s="62"/>
      <c r="Z377" s="66"/>
      <c r="AA377" s="91"/>
      <c r="AB377" s="69"/>
      <c r="AC377" s="91"/>
      <c r="AD377" s="91"/>
      <c r="AE377" s="60"/>
      <c r="AF377" s="62"/>
      <c r="AG377" s="62"/>
      <c r="AH377" s="62"/>
      <c r="AI377" s="61"/>
      <c r="AJ377" s="62"/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10"/>
      <c r="B378" s="30"/>
      <c r="C378" s="31"/>
      <c r="D378" s="32"/>
      <c r="E378" s="32"/>
      <c r="F378" s="32"/>
      <c r="G378" s="32"/>
      <c r="H378" s="10"/>
      <c r="I378" s="10"/>
      <c r="J378" s="10"/>
      <c r="K378" s="12"/>
      <c r="M378" s="10">
        <v>37</v>
      </c>
      <c r="N378" s="30"/>
      <c r="P378" s="47"/>
      <c r="Q378" s="31"/>
      <c r="R378" s="31"/>
      <c r="S378" s="32">
        <f t="shared" si="113"/>
        <v>0</v>
      </c>
      <c r="T378" s="10"/>
      <c r="U378" s="10"/>
      <c r="V378" s="10"/>
      <c r="W378" s="12">
        <f t="shared" si="114"/>
        <v>0</v>
      </c>
      <c r="Y378" s="62"/>
      <c r="Z378" s="66"/>
      <c r="AA378" s="91"/>
      <c r="AB378" s="69"/>
      <c r="AC378" s="91"/>
      <c r="AD378" s="91"/>
      <c r="AE378" s="60"/>
      <c r="AF378" s="62"/>
      <c r="AG378" s="62"/>
      <c r="AH378" s="62"/>
      <c r="AI378" s="61"/>
      <c r="AJ378" s="62"/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10"/>
      <c r="B379" s="30"/>
      <c r="C379" s="31"/>
      <c r="D379" s="32"/>
      <c r="E379" s="32"/>
      <c r="F379" s="32"/>
      <c r="G379" s="32"/>
      <c r="H379" s="10"/>
      <c r="I379" s="10"/>
      <c r="J379" s="10"/>
      <c r="K379" s="12"/>
      <c r="M379" s="10">
        <v>38</v>
      </c>
      <c r="N379" s="30"/>
      <c r="O379" s="31"/>
      <c r="P379" s="47"/>
      <c r="Q379" s="31"/>
      <c r="R379" s="31"/>
      <c r="S379" s="32">
        <f t="shared" si="113"/>
        <v>0</v>
      </c>
      <c r="T379" s="10"/>
      <c r="U379" s="10"/>
      <c r="V379" s="10"/>
      <c r="W379" s="12">
        <f t="shared" si="114"/>
        <v>0</v>
      </c>
      <c r="Y379" s="62"/>
      <c r="Z379" s="66"/>
      <c r="AA379" s="91"/>
      <c r="AB379" s="69"/>
      <c r="AC379" s="91"/>
      <c r="AD379" s="91"/>
      <c r="AE379" s="60"/>
      <c r="AF379" s="62"/>
      <c r="AG379" s="62"/>
      <c r="AH379" s="62"/>
      <c r="AI379" s="61"/>
      <c r="AJ379" s="62"/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10"/>
      <c r="B380" s="30"/>
      <c r="C380" s="31"/>
      <c r="D380" s="32"/>
      <c r="E380" s="32"/>
      <c r="F380" s="32"/>
      <c r="G380" s="32"/>
      <c r="H380" s="10"/>
      <c r="I380" s="10"/>
      <c r="J380" s="10"/>
      <c r="K380" s="12"/>
      <c r="M380" s="10">
        <v>39</v>
      </c>
      <c r="N380" s="30"/>
      <c r="O380" s="31"/>
      <c r="P380" s="47"/>
      <c r="Q380" s="31"/>
      <c r="R380" s="31"/>
      <c r="S380" s="32">
        <f t="shared" si="113"/>
        <v>0</v>
      </c>
      <c r="T380" s="10"/>
      <c r="U380" s="10"/>
      <c r="V380" s="10"/>
      <c r="W380" s="12">
        <f t="shared" si="114"/>
        <v>0</v>
      </c>
      <c r="Y380" s="62"/>
      <c r="Z380" s="66"/>
      <c r="AA380" s="91"/>
      <c r="AB380" s="69"/>
      <c r="AC380" s="91"/>
      <c r="AD380" s="91"/>
      <c r="AE380" s="60"/>
      <c r="AF380" s="62"/>
      <c r="AG380" s="62"/>
      <c r="AH380" s="62"/>
      <c r="AI380" s="61"/>
      <c r="AJ380" s="62"/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10"/>
      <c r="B381" s="30"/>
      <c r="C381" s="31"/>
      <c r="D381" s="32"/>
      <c r="E381" s="32"/>
      <c r="F381" s="32"/>
      <c r="G381" s="32"/>
      <c r="H381" s="10"/>
      <c r="I381" s="10"/>
      <c r="J381" s="10"/>
      <c r="K381" s="12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114"/>
        <v>0</v>
      </c>
      <c r="Y381" s="62"/>
      <c r="Z381" s="66"/>
      <c r="AA381" s="62"/>
      <c r="AB381" s="69"/>
      <c r="AC381" s="91"/>
      <c r="AD381" s="91"/>
      <c r="AE381" s="60"/>
      <c r="AF381" s="62"/>
      <c r="AG381" s="62"/>
      <c r="AH381" s="62"/>
      <c r="AI381" s="61"/>
      <c r="AJ381" s="62"/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10"/>
      <c r="B382" s="30"/>
      <c r="C382" s="31"/>
      <c r="D382" s="32"/>
      <c r="E382" s="32"/>
      <c r="F382" s="32"/>
      <c r="G382" s="32">
        <f t="shared" ref="G382" si="117">SUM(D382:E382)</f>
        <v>0</v>
      </c>
      <c r="H382" s="10"/>
      <c r="I382" s="10"/>
      <c r="J382" s="10"/>
      <c r="K382" s="12">
        <f t="shared" ref="K382" si="118">SUM(G382:J382)</f>
        <v>0</v>
      </c>
      <c r="M382" s="10"/>
      <c r="N382" s="30"/>
      <c r="O382" s="31"/>
      <c r="P382" s="47"/>
      <c r="Q382" s="31"/>
      <c r="R382" s="31"/>
      <c r="S382" s="32">
        <f t="shared" ref="S382" si="119">SUM(P382:Q382)</f>
        <v>0</v>
      </c>
      <c r="T382" s="10"/>
      <c r="U382" s="10"/>
      <c r="V382" s="10"/>
      <c r="W382" s="12">
        <f t="shared" si="114"/>
        <v>0</v>
      </c>
      <c r="Y382" s="62"/>
      <c r="Z382" s="66"/>
      <c r="AA382" s="91"/>
      <c r="AB382" s="69"/>
      <c r="AC382" s="91"/>
      <c r="AD382" s="91"/>
      <c r="AE382" s="60"/>
      <c r="AF382" s="62"/>
      <c r="AG382" s="62"/>
      <c r="AH382" s="62"/>
      <c r="AI382" s="61"/>
      <c r="AJ382" s="62"/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10"/>
      <c r="B383" s="30"/>
      <c r="C383" s="30"/>
      <c r="D383" s="32"/>
      <c r="E383" s="32"/>
      <c r="F383" s="32"/>
      <c r="G383" s="32"/>
      <c r="H383" s="10"/>
      <c r="I383" s="10"/>
      <c r="J383" s="10"/>
      <c r="K383" s="12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114"/>
        <v>0</v>
      </c>
      <c r="Y383" s="62"/>
      <c r="Z383" s="91"/>
      <c r="AA383" s="91"/>
      <c r="AB383" s="91"/>
      <c r="AC383" s="91"/>
      <c r="AD383" s="91"/>
      <c r="AE383" s="91"/>
      <c r="AF383" s="62"/>
      <c r="AG383" s="62"/>
      <c r="AH383" s="62"/>
      <c r="AI383" s="61"/>
      <c r="AJ383" s="62"/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B384" s="57"/>
      <c r="C384" s="57"/>
      <c r="D384" s="36"/>
      <c r="E384" s="36"/>
      <c r="F384" s="36"/>
      <c r="G384" s="36"/>
      <c r="H384" s="37"/>
      <c r="I384" s="37"/>
      <c r="J384" s="37"/>
      <c r="K384" s="37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Y384" s="62"/>
      <c r="Z384" s="91"/>
      <c r="AA384" s="91"/>
      <c r="AB384" s="91"/>
      <c r="AC384" s="91"/>
      <c r="AD384" s="91"/>
      <c r="AE384" s="91"/>
      <c r="AF384" s="62"/>
      <c r="AG384" s="62"/>
      <c r="AH384" s="62"/>
      <c r="AI384" s="62"/>
      <c r="AJ384" s="62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B385" s="57"/>
      <c r="C385" s="57"/>
      <c r="D385" s="38">
        <f>SUM(D342:D384)</f>
        <v>250368.29</v>
      </c>
      <c r="E385" s="38">
        <f t="shared" ref="E385:F385" si="120">SUM(E342:E382)</f>
        <v>0</v>
      </c>
      <c r="F385" s="38">
        <f t="shared" si="120"/>
        <v>0</v>
      </c>
      <c r="G385" s="38">
        <f>SUM(G342:G384)</f>
        <v>250368.29</v>
      </c>
      <c r="H385" s="4"/>
      <c r="I385" s="39">
        <f>SUM(I342:I384)</f>
        <v>501</v>
      </c>
      <c r="J385" s="39">
        <f>SUM(J342:J384)</f>
        <v>0</v>
      </c>
      <c r="K385" s="40">
        <f>SUM(K342:K384)</f>
        <v>250869.29</v>
      </c>
      <c r="N385" s="57"/>
      <c r="O385" s="57"/>
      <c r="P385" s="38">
        <f>SUM(P342:P384)</f>
        <v>286636.5</v>
      </c>
      <c r="Q385" s="38">
        <f>SUM(Q342:Q366)</f>
        <v>-1200</v>
      </c>
      <c r="R385" s="38">
        <f>SUM(R342:R366)</f>
        <v>0</v>
      </c>
      <c r="S385" s="38">
        <f>SUM(S342:S384)</f>
        <v>285436.5</v>
      </c>
      <c r="T385" s="4"/>
      <c r="U385" s="41">
        <f>SUM(U342:U384)</f>
        <v>19731</v>
      </c>
      <c r="V385" s="41">
        <f>SUM(V342:V366)</f>
        <v>-5490</v>
      </c>
      <c r="W385" s="42">
        <f>SUM(W342:W384)</f>
        <v>299677.5</v>
      </c>
      <c r="Y385" s="62"/>
      <c r="Z385" s="91"/>
      <c r="AA385" s="91"/>
      <c r="AB385" s="70"/>
      <c r="AC385" s="70"/>
      <c r="AD385" s="70"/>
      <c r="AE385" s="70"/>
      <c r="AF385" s="63"/>
      <c r="AG385" s="71"/>
      <c r="AH385" s="71"/>
      <c r="AI385" s="71"/>
      <c r="AJ385" s="62"/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t="s">
        <v>0</v>
      </c>
      <c r="B387" s="57"/>
      <c r="C387" s="57"/>
      <c r="D387" s="57"/>
      <c r="E387" s="57"/>
      <c r="G387" s="57"/>
      <c r="M387" t="s">
        <v>0</v>
      </c>
      <c r="N387" s="57"/>
      <c r="O387" s="57"/>
      <c r="P387" s="57"/>
      <c r="Q387" s="57"/>
      <c r="R387" s="57"/>
      <c r="S387" s="57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t="s">
        <v>28</v>
      </c>
      <c r="B388" s="57"/>
      <c r="C388" s="57"/>
      <c r="D388" s="57"/>
      <c r="E388" s="57"/>
      <c r="G388" s="57"/>
      <c r="M388" t="s">
        <v>28</v>
      </c>
      <c r="N388" s="57"/>
      <c r="O388" s="57"/>
      <c r="P388" s="57"/>
      <c r="Q388" s="57"/>
      <c r="R388" s="57"/>
      <c r="S388" s="57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B389" s="57"/>
      <c r="C389" s="57"/>
      <c r="D389" s="57"/>
      <c r="E389" s="57"/>
      <c r="G389" s="57"/>
      <c r="N389" s="57"/>
      <c r="O389" s="57"/>
      <c r="P389" s="57"/>
      <c r="Q389" s="57"/>
      <c r="R389" s="57"/>
      <c r="S389" s="57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4" t="s">
        <v>14</v>
      </c>
      <c r="B390" s="57"/>
      <c r="C390" s="57"/>
      <c r="D390" s="57"/>
      <c r="E390" s="57"/>
      <c r="G390" s="57"/>
      <c r="M390" s="4" t="s">
        <v>14</v>
      </c>
      <c r="N390" s="57"/>
      <c r="O390" s="57"/>
      <c r="P390" s="57"/>
      <c r="Q390" s="57"/>
      <c r="R390" s="57"/>
      <c r="S390" s="57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B391" s="57"/>
      <c r="C391" s="57"/>
      <c r="D391" s="57"/>
      <c r="E391" s="57"/>
      <c r="G391" s="57"/>
      <c r="N391" s="57"/>
      <c r="O391" s="57"/>
      <c r="P391" s="57"/>
      <c r="Q391" s="57"/>
      <c r="R391" s="57"/>
      <c r="S391" s="57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t="s">
        <v>45</v>
      </c>
      <c r="B392" s="57"/>
      <c r="C392" s="57"/>
      <c r="D392" s="57"/>
      <c r="E392" s="57"/>
      <c r="G392" s="57"/>
      <c r="I392" s="57" t="s">
        <v>15</v>
      </c>
      <c r="J392" s="19">
        <v>1</v>
      </c>
      <c r="M392" t="s">
        <v>45</v>
      </c>
      <c r="N392" s="57"/>
      <c r="O392" s="57"/>
      <c r="P392" s="57"/>
      <c r="Q392" s="57"/>
      <c r="R392" s="57"/>
      <c r="S392" s="57"/>
      <c r="U392" s="57" t="s">
        <v>15</v>
      </c>
      <c r="V392" s="19">
        <v>2</v>
      </c>
      <c r="Y392" t="s">
        <v>45</v>
      </c>
      <c r="Z392" s="57"/>
      <c r="AA392" s="57"/>
      <c r="AB392" s="57"/>
      <c r="AC392" s="57"/>
      <c r="AD392" s="57"/>
      <c r="AE392" s="57"/>
      <c r="AG392" s="57" t="s">
        <v>15</v>
      </c>
      <c r="AH392" s="20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21" t="s">
        <v>58</v>
      </c>
      <c r="B393" s="20"/>
      <c r="C393" s="57"/>
      <c r="D393" s="57"/>
      <c r="E393" s="57"/>
      <c r="G393" s="57"/>
      <c r="I393" s="22" t="s">
        <v>16</v>
      </c>
      <c r="J393" s="23" t="s">
        <v>31</v>
      </c>
      <c r="K393" s="24"/>
      <c r="M393" s="21" t="s">
        <v>58</v>
      </c>
      <c r="N393" s="20"/>
      <c r="O393" s="57"/>
      <c r="P393" s="57"/>
      <c r="Q393" s="57"/>
      <c r="R393" s="57"/>
      <c r="S393" s="57"/>
      <c r="U393" s="22" t="s">
        <v>16</v>
      </c>
      <c r="V393" s="23" t="s">
        <v>33</v>
      </c>
      <c r="W393" s="24"/>
      <c r="Y393" s="21" t="s">
        <v>58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34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B394" s="57"/>
      <c r="C394" s="57"/>
      <c r="D394" s="57"/>
      <c r="E394" s="57"/>
      <c r="G394" s="57"/>
      <c r="N394" s="57"/>
      <c r="O394" s="57"/>
      <c r="P394" s="57"/>
      <c r="Q394" s="57"/>
      <c r="R394" s="57"/>
      <c r="S394" s="57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B395" s="25"/>
      <c r="C395" s="26"/>
      <c r="D395" s="120" t="s">
        <v>17</v>
      </c>
      <c r="E395" s="120"/>
      <c r="F395" s="98"/>
      <c r="G395" s="27"/>
      <c r="I395" s="118" t="s">
        <v>18</v>
      </c>
      <c r="J395" s="119"/>
      <c r="K395" s="116" t="s">
        <v>19</v>
      </c>
      <c r="N395" s="25"/>
      <c r="O395" s="26"/>
      <c r="P395" s="120" t="s">
        <v>17</v>
      </c>
      <c r="Q395" s="120"/>
      <c r="R395" s="98"/>
      <c r="S395" s="27"/>
      <c r="U395" s="118" t="s">
        <v>18</v>
      </c>
      <c r="V395" s="119"/>
      <c r="W395" s="116" t="s">
        <v>19</v>
      </c>
      <c r="Z395" s="25"/>
      <c r="AA395" s="26"/>
      <c r="AB395" s="120" t="s">
        <v>17</v>
      </c>
      <c r="AC395" s="120"/>
      <c r="AD395" s="98"/>
      <c r="AE395" s="27"/>
      <c r="AG395" s="118" t="s">
        <v>18</v>
      </c>
      <c r="AH395" s="119"/>
      <c r="AI395" s="116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B396" s="28" t="s">
        <v>20</v>
      </c>
      <c r="C396" s="28" t="s">
        <v>21</v>
      </c>
      <c r="D396" s="77" t="s">
        <v>22</v>
      </c>
      <c r="E396" s="76" t="s">
        <v>23</v>
      </c>
      <c r="F396" s="78" t="s">
        <v>32</v>
      </c>
      <c r="G396" s="78" t="s">
        <v>24</v>
      </c>
      <c r="I396" s="29" t="s">
        <v>25</v>
      </c>
      <c r="J396" s="29" t="s">
        <v>26</v>
      </c>
      <c r="K396" s="117"/>
      <c r="N396" s="28" t="s">
        <v>20</v>
      </c>
      <c r="O396" s="28" t="s">
        <v>21</v>
      </c>
      <c r="P396" s="77" t="s">
        <v>22</v>
      </c>
      <c r="Q396" s="78" t="s">
        <v>23</v>
      </c>
      <c r="R396" s="78" t="s">
        <v>32</v>
      </c>
      <c r="S396" s="78" t="s">
        <v>24</v>
      </c>
      <c r="U396" s="29" t="s">
        <v>25</v>
      </c>
      <c r="V396" s="29" t="s">
        <v>26</v>
      </c>
      <c r="W396" s="117"/>
      <c r="Z396" s="28" t="s">
        <v>20</v>
      </c>
      <c r="AA396" s="28" t="s">
        <v>21</v>
      </c>
      <c r="AB396" s="77" t="s">
        <v>22</v>
      </c>
      <c r="AC396" s="78" t="s">
        <v>23</v>
      </c>
      <c r="AD396" s="78" t="s">
        <v>32</v>
      </c>
      <c r="AE396" s="78" t="s">
        <v>24</v>
      </c>
      <c r="AG396" s="29" t="s">
        <v>25</v>
      </c>
      <c r="AH396" s="29" t="s">
        <v>26</v>
      </c>
      <c r="AI396" s="117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10">
        <v>1</v>
      </c>
      <c r="B397" s="30" t="s">
        <v>59</v>
      </c>
      <c r="C397" s="83">
        <v>9918</v>
      </c>
      <c r="D397" s="32">
        <f>650*5</f>
        <v>3250</v>
      </c>
      <c r="E397" s="32"/>
      <c r="F397" s="32"/>
      <c r="G397" s="32">
        <f t="shared" ref="G397:G430" si="121">SUM(D397:E397)</f>
        <v>3250</v>
      </c>
      <c r="H397" s="12"/>
      <c r="I397" s="12"/>
      <c r="J397" s="12"/>
      <c r="K397" s="12">
        <f t="shared" ref="K397:K430" si="122">SUM(G397:J397)</f>
        <v>3250</v>
      </c>
      <c r="M397" s="10">
        <v>1</v>
      </c>
      <c r="N397" s="30" t="s">
        <v>59</v>
      </c>
      <c r="O397" s="31">
        <v>10091</v>
      </c>
      <c r="P397" s="32">
        <f>650*10+622*2+9.5*10</f>
        <v>7839</v>
      </c>
      <c r="Q397" s="32"/>
      <c r="R397" s="32"/>
      <c r="S397" s="32">
        <f>SUM(P397:Q397)</f>
        <v>7839</v>
      </c>
      <c r="T397" s="12"/>
      <c r="U397" s="12"/>
      <c r="V397" s="12"/>
      <c r="W397" s="12">
        <f>SUM(S397:V397)</f>
        <v>7839</v>
      </c>
      <c r="Y397" s="10">
        <v>1</v>
      </c>
      <c r="Z397" s="30" t="s">
        <v>59</v>
      </c>
      <c r="AA397" s="31">
        <v>10101</v>
      </c>
      <c r="AB397" s="32">
        <f>650*25+622*5</f>
        <v>19360</v>
      </c>
      <c r="AC397" s="32">
        <f>-30*6</f>
        <v>-180</v>
      </c>
      <c r="AD397" s="32"/>
      <c r="AE397" s="32">
        <f>SUM(AB397:AC397)</f>
        <v>19180</v>
      </c>
      <c r="AF397" s="12"/>
      <c r="AG397" s="12"/>
      <c r="AH397" s="12"/>
      <c r="AI397" s="12">
        <f>SUM(AE397:AH397)</f>
        <v>19180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10">
        <v>2</v>
      </c>
      <c r="B398" s="30" t="s">
        <v>59</v>
      </c>
      <c r="C398" s="83">
        <f>C397+1</f>
        <v>9919</v>
      </c>
      <c r="D398" s="32">
        <f>650*6+9.5*6</f>
        <v>3957</v>
      </c>
      <c r="E398" s="32"/>
      <c r="F398" s="32"/>
      <c r="G398" s="32">
        <f t="shared" si="121"/>
        <v>3957</v>
      </c>
      <c r="H398" s="12"/>
      <c r="I398" s="12"/>
      <c r="J398" s="12"/>
      <c r="K398" s="12">
        <f t="shared" si="122"/>
        <v>3957</v>
      </c>
      <c r="M398" s="10">
        <v>2</v>
      </c>
      <c r="N398" s="30" t="s">
        <v>59</v>
      </c>
      <c r="O398" s="31">
        <f>O397+1</f>
        <v>10092</v>
      </c>
      <c r="P398" s="32">
        <f>650*324+229*15</f>
        <v>214035</v>
      </c>
      <c r="Q398" s="32">
        <f>-324*6</f>
        <v>-1944</v>
      </c>
      <c r="R398" s="32"/>
      <c r="S398" s="32">
        <f t="shared" ref="S398:S435" si="123">SUM(P398:Q398)</f>
        <v>212091</v>
      </c>
      <c r="T398" s="12"/>
      <c r="U398" s="12">
        <v>936</v>
      </c>
      <c r="V398" s="12">
        <v>-504</v>
      </c>
      <c r="W398" s="12">
        <f t="shared" ref="W398:W438" si="124">SUM(S398:V398)</f>
        <v>212523</v>
      </c>
      <c r="Y398" s="10">
        <v>2</v>
      </c>
      <c r="Z398" s="30" t="s">
        <v>59</v>
      </c>
      <c r="AA398" s="31">
        <f>AA397+1</f>
        <v>10102</v>
      </c>
      <c r="AB398" s="32">
        <f>650*132+670*5+622*44+229*3</f>
        <v>117205</v>
      </c>
      <c r="AC398" s="32">
        <f>-181*6</f>
        <v>-1086</v>
      </c>
      <c r="AD398" s="32"/>
      <c r="AE398" s="32">
        <f t="shared" ref="AE398:AE400" si="125">SUM(AB398:AC398)</f>
        <v>116119</v>
      </c>
      <c r="AF398" s="12"/>
      <c r="AG398" s="12">
        <v>234</v>
      </c>
      <c r="AH398" s="12">
        <v>-252</v>
      </c>
      <c r="AI398" s="12">
        <f t="shared" ref="AI398:AI429" si="126">SUM(AE398:AH398)</f>
        <v>116101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10">
        <v>3</v>
      </c>
      <c r="B399" s="30" t="s">
        <v>59</v>
      </c>
      <c r="C399" s="83">
        <f t="shared" ref="C399:C405" si="127">C398+1</f>
        <v>9920</v>
      </c>
      <c r="D399" s="33">
        <f>650*15</f>
        <v>9750</v>
      </c>
      <c r="E399" s="32"/>
      <c r="F399" s="33"/>
      <c r="G399" s="33">
        <f t="shared" si="121"/>
        <v>9750</v>
      </c>
      <c r="H399" s="34"/>
      <c r="I399" s="34"/>
      <c r="J399" s="34"/>
      <c r="K399" s="34">
        <f t="shared" si="122"/>
        <v>9750</v>
      </c>
      <c r="M399" s="10">
        <v>3</v>
      </c>
      <c r="N399" s="30" t="s">
        <v>59</v>
      </c>
      <c r="O399" s="31">
        <f t="shared" ref="O399:O401" si="128">O398+1</f>
        <v>10093</v>
      </c>
      <c r="P399" s="32">
        <f>650*14</f>
        <v>9100</v>
      </c>
      <c r="Q399" s="32"/>
      <c r="R399" s="32"/>
      <c r="S399" s="32">
        <f t="shared" si="123"/>
        <v>9100</v>
      </c>
      <c r="T399" s="12"/>
      <c r="U399" s="12">
        <v>27</v>
      </c>
      <c r="V399" s="12"/>
      <c r="W399" s="12">
        <f t="shared" si="124"/>
        <v>9127</v>
      </c>
      <c r="Y399" s="10">
        <v>3</v>
      </c>
      <c r="Z399" s="30" t="s">
        <v>59</v>
      </c>
      <c r="AA399" s="31">
        <f t="shared" ref="AA399:AA402" si="129">AA398+1</f>
        <v>10103</v>
      </c>
      <c r="AB399" s="33">
        <f>650*70+622*8+872</f>
        <v>51348</v>
      </c>
      <c r="AC399" s="33"/>
      <c r="AD399" s="32"/>
      <c r="AE399" s="32">
        <f t="shared" si="125"/>
        <v>51348</v>
      </c>
      <c r="AF399" s="12"/>
      <c r="AG399" s="12"/>
      <c r="AH399" s="12"/>
      <c r="AI399" s="12">
        <f t="shared" si="126"/>
        <v>51348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10">
        <v>4</v>
      </c>
      <c r="B400" s="30" t="s">
        <v>59</v>
      </c>
      <c r="C400" s="83">
        <f t="shared" si="127"/>
        <v>9921</v>
      </c>
      <c r="D400" s="32">
        <f>650*11</f>
        <v>7150</v>
      </c>
      <c r="E400" s="32"/>
      <c r="F400" s="32"/>
      <c r="G400" s="32">
        <f t="shared" si="121"/>
        <v>7150</v>
      </c>
      <c r="H400" s="12"/>
      <c r="I400" s="12"/>
      <c r="J400" s="12"/>
      <c r="K400" s="12">
        <f t="shared" si="122"/>
        <v>7150</v>
      </c>
      <c r="M400" s="10">
        <v>4</v>
      </c>
      <c r="N400" s="30" t="s">
        <v>59</v>
      </c>
      <c r="O400" s="31">
        <f t="shared" si="128"/>
        <v>10094</v>
      </c>
      <c r="P400" s="32">
        <f>650*19+622*10+872</f>
        <v>19442</v>
      </c>
      <c r="Q400" s="32"/>
      <c r="R400" s="32"/>
      <c r="S400" s="32">
        <f t="shared" si="123"/>
        <v>19442</v>
      </c>
      <c r="T400" s="12"/>
      <c r="U400" s="12">
        <v>36</v>
      </c>
      <c r="V400" s="12"/>
      <c r="W400" s="12">
        <f t="shared" si="124"/>
        <v>19478</v>
      </c>
      <c r="Y400" s="10">
        <v>4</v>
      </c>
      <c r="Z400" s="30" t="s">
        <v>59</v>
      </c>
      <c r="AA400" s="31">
        <f t="shared" si="129"/>
        <v>10104</v>
      </c>
      <c r="AB400" s="32">
        <f>650*100+670*9+229*4</f>
        <v>71946</v>
      </c>
      <c r="AC400" s="32">
        <f>-109*6</f>
        <v>-654</v>
      </c>
      <c r="AD400" s="32"/>
      <c r="AE400" s="32">
        <f t="shared" si="125"/>
        <v>71292</v>
      </c>
      <c r="AF400" s="12"/>
      <c r="AH400" s="12"/>
      <c r="AI400" s="12">
        <f t="shared" si="126"/>
        <v>71292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10">
        <v>5</v>
      </c>
      <c r="B401" s="30" t="s">
        <v>59</v>
      </c>
      <c r="C401" s="83">
        <f t="shared" si="127"/>
        <v>9922</v>
      </c>
      <c r="D401" s="32">
        <f>650*23</f>
        <v>14950</v>
      </c>
      <c r="E401" s="32"/>
      <c r="F401" s="32"/>
      <c r="G401" s="32">
        <f t="shared" si="121"/>
        <v>14950</v>
      </c>
      <c r="H401" s="12"/>
      <c r="I401" s="12"/>
      <c r="J401" s="12"/>
      <c r="K401" s="12">
        <f t="shared" si="122"/>
        <v>14950</v>
      </c>
      <c r="M401" s="10">
        <v>5</v>
      </c>
      <c r="N401" s="30" t="s">
        <v>59</v>
      </c>
      <c r="O401" s="31">
        <f t="shared" si="128"/>
        <v>10095</v>
      </c>
      <c r="P401" s="32">
        <f>650*8+622+872*3+9.5*2</f>
        <v>8457</v>
      </c>
      <c r="Q401" s="32"/>
      <c r="R401" s="32"/>
      <c r="S401" s="32">
        <f t="shared" si="123"/>
        <v>8457</v>
      </c>
      <c r="T401" s="12"/>
      <c r="U401" s="12"/>
      <c r="V401" s="12">
        <v>-444</v>
      </c>
      <c r="W401" s="12">
        <f t="shared" si="124"/>
        <v>8013</v>
      </c>
      <c r="Y401" s="10">
        <v>5</v>
      </c>
      <c r="Z401" s="30" t="s">
        <v>59</v>
      </c>
      <c r="AA401" s="31">
        <f t="shared" si="129"/>
        <v>10105</v>
      </c>
      <c r="AB401" s="32">
        <f>650*10</f>
        <v>6500</v>
      </c>
      <c r="AC401" s="32"/>
      <c r="AD401" s="32"/>
      <c r="AE401" s="32">
        <f t="shared" ref="AE401:AE402" si="130">SUM(AB401:AC401)</f>
        <v>6500</v>
      </c>
      <c r="AF401" s="12"/>
      <c r="AG401" s="12"/>
      <c r="AH401" s="12"/>
      <c r="AI401" s="12">
        <f t="shared" si="126"/>
        <v>6500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10">
        <v>6</v>
      </c>
      <c r="B402" s="30" t="s">
        <v>59</v>
      </c>
      <c r="C402" s="83">
        <f t="shared" si="127"/>
        <v>9923</v>
      </c>
      <c r="D402" s="32">
        <f>650*5+9.5*5</f>
        <v>3297.5</v>
      </c>
      <c r="E402" s="32"/>
      <c r="F402" s="32"/>
      <c r="G402" s="32">
        <f t="shared" si="121"/>
        <v>3297.5</v>
      </c>
      <c r="H402" s="12"/>
      <c r="I402" s="12"/>
      <c r="J402" s="12"/>
      <c r="K402" s="12">
        <f t="shared" si="122"/>
        <v>3297.5</v>
      </c>
      <c r="M402" s="10">
        <v>6</v>
      </c>
      <c r="N402" s="30"/>
      <c r="O402" s="11" t="s">
        <v>27</v>
      </c>
      <c r="P402" s="32"/>
      <c r="Q402" s="32"/>
      <c r="R402" s="32"/>
      <c r="S402" s="32">
        <f t="shared" si="123"/>
        <v>0</v>
      </c>
      <c r="T402" s="12"/>
      <c r="U402" s="12"/>
      <c r="V402" s="10"/>
      <c r="W402" s="12">
        <f t="shared" si="124"/>
        <v>0</v>
      </c>
      <c r="Y402" s="10">
        <v>6</v>
      </c>
      <c r="Z402" s="30" t="s">
        <v>59</v>
      </c>
      <c r="AA402" s="31">
        <f t="shared" si="129"/>
        <v>10106</v>
      </c>
      <c r="AB402" s="32">
        <f>650*21+229</f>
        <v>13879</v>
      </c>
      <c r="AC402" s="32"/>
      <c r="AD402" s="32"/>
      <c r="AE402" s="32">
        <f t="shared" si="130"/>
        <v>13879</v>
      </c>
      <c r="AF402" s="12"/>
      <c r="AG402" s="12"/>
      <c r="AH402" s="10"/>
      <c r="AI402" s="12">
        <f t="shared" si="126"/>
        <v>13879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10">
        <v>7</v>
      </c>
      <c r="B403" s="30" t="s">
        <v>59</v>
      </c>
      <c r="C403" s="83">
        <f t="shared" si="127"/>
        <v>9924</v>
      </c>
      <c r="D403" s="32">
        <f>650*30</f>
        <v>19500</v>
      </c>
      <c r="E403" s="32"/>
      <c r="F403" s="32"/>
      <c r="G403" s="32">
        <f t="shared" si="121"/>
        <v>19500</v>
      </c>
      <c r="H403" s="12"/>
      <c r="I403" s="12"/>
      <c r="J403" s="12"/>
      <c r="K403" s="12">
        <f t="shared" si="122"/>
        <v>19500</v>
      </c>
      <c r="M403" s="10">
        <v>7</v>
      </c>
      <c r="N403" s="30"/>
      <c r="O403" s="31"/>
      <c r="P403" s="32"/>
      <c r="Q403" s="32"/>
      <c r="R403" s="32"/>
      <c r="S403" s="32">
        <f t="shared" si="123"/>
        <v>0</v>
      </c>
      <c r="T403" s="12"/>
      <c r="U403" s="12"/>
      <c r="V403" s="12"/>
      <c r="W403" s="12">
        <f t="shared" si="124"/>
        <v>0</v>
      </c>
      <c r="Y403" s="10">
        <v>7</v>
      </c>
      <c r="Z403" s="30"/>
      <c r="AA403" s="11" t="s">
        <v>27</v>
      </c>
      <c r="AB403" s="32"/>
      <c r="AC403" s="32"/>
      <c r="AD403" s="32"/>
      <c r="AE403" s="32">
        <f>SUM(AB403:AC403)</f>
        <v>0</v>
      </c>
      <c r="AF403" s="12"/>
      <c r="AG403" s="58"/>
      <c r="AH403" s="12"/>
      <c r="AI403" s="12">
        <f t="shared" si="126"/>
        <v>0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10">
        <v>8</v>
      </c>
      <c r="B404" s="30" t="s">
        <v>59</v>
      </c>
      <c r="C404" s="83">
        <f t="shared" si="127"/>
        <v>9925</v>
      </c>
      <c r="D404" s="32">
        <f>650*5</f>
        <v>3250</v>
      </c>
      <c r="E404" s="32"/>
      <c r="F404" s="32"/>
      <c r="G404" s="32">
        <f t="shared" si="121"/>
        <v>3250</v>
      </c>
      <c r="H404" s="12"/>
      <c r="I404" s="12"/>
      <c r="J404" s="12"/>
      <c r="K404" s="12">
        <f t="shared" si="122"/>
        <v>3250</v>
      </c>
      <c r="M404" s="10">
        <v>8</v>
      </c>
      <c r="N404" s="30"/>
      <c r="O404" s="31"/>
      <c r="P404" s="32"/>
      <c r="Q404" s="32"/>
      <c r="R404" s="32"/>
      <c r="S404" s="32">
        <f t="shared" si="123"/>
        <v>0</v>
      </c>
      <c r="T404" s="12"/>
      <c r="U404" s="12"/>
      <c r="V404" s="12"/>
      <c r="W404" s="12">
        <f t="shared" si="124"/>
        <v>0</v>
      </c>
      <c r="Y404" s="10">
        <v>8</v>
      </c>
      <c r="Z404" s="30"/>
      <c r="AA404" s="31"/>
      <c r="AB404" s="32"/>
      <c r="AC404" s="32"/>
      <c r="AE404" s="32">
        <f t="shared" ref="AE404:AE435" si="131">SUM(AB404:AC404)</f>
        <v>0</v>
      </c>
      <c r="AF404" s="12"/>
      <c r="AG404" s="12"/>
      <c r="AH404" s="12"/>
      <c r="AI404" s="12">
        <f t="shared" si="126"/>
        <v>0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10">
        <v>9</v>
      </c>
      <c r="B405" s="30" t="s">
        <v>59</v>
      </c>
      <c r="C405" s="83">
        <f t="shared" si="127"/>
        <v>9926</v>
      </c>
      <c r="D405" s="32">
        <f>650*216</f>
        <v>140400</v>
      </c>
      <c r="E405" s="32">
        <f>-216*6</f>
        <v>-1296</v>
      </c>
      <c r="F405" s="32"/>
      <c r="G405" s="32">
        <f t="shared" si="121"/>
        <v>139104</v>
      </c>
      <c r="H405" s="12"/>
      <c r="I405" s="12"/>
      <c r="J405" s="12">
        <f>-120*9+-132*111+-84*3+-4.5*2+-1.5*5</f>
        <v>-16000.5</v>
      </c>
      <c r="K405" s="12">
        <f t="shared" si="122"/>
        <v>123103.5</v>
      </c>
      <c r="M405" s="10">
        <v>9</v>
      </c>
      <c r="N405" s="30"/>
      <c r="O405" s="31"/>
      <c r="P405" s="32"/>
      <c r="Q405" s="32"/>
      <c r="R405" s="32"/>
      <c r="S405" s="32">
        <f t="shared" si="123"/>
        <v>0</v>
      </c>
      <c r="T405" s="12"/>
      <c r="U405" s="12"/>
      <c r="V405" s="12"/>
      <c r="W405" s="12">
        <f t="shared" si="124"/>
        <v>0</v>
      </c>
      <c r="Y405" s="10">
        <v>9</v>
      </c>
      <c r="Z405" s="30"/>
      <c r="AA405" s="31"/>
      <c r="AB405" s="32"/>
      <c r="AC405" s="32"/>
      <c r="AD405" s="32"/>
      <c r="AE405" s="32">
        <f t="shared" si="131"/>
        <v>0</v>
      </c>
      <c r="AF405" s="12"/>
      <c r="AH405" s="12"/>
      <c r="AI405" s="12">
        <f t="shared" si="126"/>
        <v>0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10">
        <v>10</v>
      </c>
      <c r="B406" s="30"/>
      <c r="C406" s="11" t="s">
        <v>27</v>
      </c>
      <c r="D406" s="32"/>
      <c r="E406" s="32"/>
      <c r="F406" s="32"/>
      <c r="G406" s="32">
        <f t="shared" si="121"/>
        <v>0</v>
      </c>
      <c r="H406" s="12"/>
      <c r="I406" s="12"/>
      <c r="J406" s="12"/>
      <c r="K406" s="12">
        <f t="shared" si="122"/>
        <v>0</v>
      </c>
      <c r="M406" s="10">
        <v>10</v>
      </c>
      <c r="N406" s="30"/>
      <c r="O406" s="31"/>
      <c r="P406" s="32"/>
      <c r="Q406" s="32"/>
      <c r="R406" s="32"/>
      <c r="S406" s="32">
        <f t="shared" si="123"/>
        <v>0</v>
      </c>
      <c r="T406" s="12"/>
      <c r="U406" s="12"/>
      <c r="V406" s="12"/>
      <c r="W406" s="12">
        <f t="shared" si="124"/>
        <v>0</v>
      </c>
      <c r="Y406" s="10">
        <v>10</v>
      </c>
      <c r="Z406" s="30"/>
      <c r="AA406" s="31"/>
      <c r="AB406" s="32"/>
      <c r="AC406" s="32"/>
      <c r="AD406" s="32"/>
      <c r="AE406" s="32">
        <f t="shared" si="131"/>
        <v>0</v>
      </c>
      <c r="AF406" s="12"/>
      <c r="AG406" s="12"/>
      <c r="AH406" s="12"/>
      <c r="AI406" s="12">
        <f t="shared" si="126"/>
        <v>0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10">
        <v>11</v>
      </c>
      <c r="B407" s="30"/>
      <c r="C407" s="83"/>
      <c r="D407" s="32"/>
      <c r="E407" s="32"/>
      <c r="F407" s="32"/>
      <c r="G407" s="32">
        <f t="shared" si="121"/>
        <v>0</v>
      </c>
      <c r="H407" s="12"/>
      <c r="I407" s="12"/>
      <c r="J407" s="12"/>
      <c r="K407" s="12">
        <f t="shared" si="122"/>
        <v>0</v>
      </c>
      <c r="M407" s="10">
        <v>11</v>
      </c>
      <c r="N407" s="30"/>
      <c r="O407" s="11"/>
      <c r="P407" s="32"/>
      <c r="Q407" s="32"/>
      <c r="R407" s="32"/>
      <c r="S407" s="32">
        <f t="shared" si="123"/>
        <v>0</v>
      </c>
      <c r="T407" s="12"/>
      <c r="U407" s="12"/>
      <c r="V407" s="12"/>
      <c r="W407" s="12">
        <f t="shared" si="124"/>
        <v>0</v>
      </c>
      <c r="Y407" s="10">
        <v>11</v>
      </c>
      <c r="Z407" s="30"/>
      <c r="AA407" s="31"/>
      <c r="AB407" s="32"/>
      <c r="AC407" s="32"/>
      <c r="AD407" s="32"/>
      <c r="AE407" s="32">
        <f t="shared" si="131"/>
        <v>0</v>
      </c>
      <c r="AF407" s="12"/>
      <c r="AG407" s="12"/>
      <c r="AH407" s="12"/>
      <c r="AI407" s="12">
        <f t="shared" si="126"/>
        <v>0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10">
        <v>12</v>
      </c>
      <c r="B408" s="30"/>
      <c r="C408" s="83"/>
      <c r="D408" s="32"/>
      <c r="E408" s="32"/>
      <c r="F408" s="32"/>
      <c r="G408" s="32">
        <f t="shared" si="121"/>
        <v>0</v>
      </c>
      <c r="H408" s="12"/>
      <c r="I408" s="12"/>
      <c r="J408" s="10"/>
      <c r="K408" s="12">
        <f t="shared" si="122"/>
        <v>0</v>
      </c>
      <c r="M408" s="10">
        <v>12</v>
      </c>
      <c r="N408" s="30"/>
      <c r="O408" s="31"/>
      <c r="P408" s="32"/>
      <c r="Q408" s="32"/>
      <c r="R408" s="32"/>
      <c r="S408" s="32">
        <f t="shared" si="123"/>
        <v>0</v>
      </c>
      <c r="T408" s="12"/>
      <c r="U408" s="12"/>
      <c r="V408" s="12"/>
      <c r="W408" s="12">
        <f t="shared" si="124"/>
        <v>0</v>
      </c>
      <c r="Y408" s="10">
        <v>12</v>
      </c>
      <c r="Z408" s="30"/>
      <c r="AA408" s="11"/>
      <c r="AB408" s="32"/>
      <c r="AC408" s="32"/>
      <c r="AD408" s="32"/>
      <c r="AE408" s="32">
        <f t="shared" si="131"/>
        <v>0</v>
      </c>
      <c r="AF408" s="12"/>
      <c r="AG408" s="12"/>
      <c r="AH408" s="12"/>
      <c r="AI408" s="12">
        <f t="shared" si="126"/>
        <v>0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10">
        <v>13</v>
      </c>
      <c r="B409" s="30"/>
      <c r="C409" s="83"/>
      <c r="D409" s="32"/>
      <c r="E409" s="32"/>
      <c r="F409" s="32"/>
      <c r="G409" s="32">
        <f t="shared" si="121"/>
        <v>0</v>
      </c>
      <c r="H409" s="12"/>
      <c r="I409" s="12"/>
      <c r="J409" s="12"/>
      <c r="K409" s="12">
        <f t="shared" si="122"/>
        <v>0</v>
      </c>
      <c r="M409" s="10">
        <v>13</v>
      </c>
      <c r="N409" s="30"/>
      <c r="O409" s="31"/>
      <c r="P409" s="32"/>
      <c r="Q409" s="32"/>
      <c r="R409" s="32"/>
      <c r="S409" s="32">
        <f t="shared" si="123"/>
        <v>0</v>
      </c>
      <c r="T409" s="12"/>
      <c r="U409" s="12"/>
      <c r="V409" s="12"/>
      <c r="W409" s="12">
        <f t="shared" si="124"/>
        <v>0</v>
      </c>
      <c r="Y409" s="10">
        <v>13</v>
      </c>
      <c r="Z409" s="30"/>
      <c r="AA409" s="31"/>
      <c r="AB409" s="32"/>
      <c r="AC409" s="32"/>
      <c r="AD409" s="32"/>
      <c r="AE409" s="32">
        <f t="shared" si="131"/>
        <v>0</v>
      </c>
      <c r="AF409" s="12"/>
      <c r="AG409" s="12"/>
      <c r="AH409" s="12"/>
      <c r="AI409" s="12">
        <f t="shared" si="126"/>
        <v>0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10">
        <v>14</v>
      </c>
      <c r="B410" s="30"/>
      <c r="C410" s="83"/>
      <c r="D410" s="32"/>
      <c r="E410" s="32"/>
      <c r="F410" s="32"/>
      <c r="G410" s="32">
        <f t="shared" si="121"/>
        <v>0</v>
      </c>
      <c r="H410" s="12"/>
      <c r="I410" s="12"/>
      <c r="J410" s="12"/>
      <c r="K410" s="12">
        <f t="shared" si="122"/>
        <v>0</v>
      </c>
      <c r="M410" s="10">
        <v>14</v>
      </c>
      <c r="N410" s="30"/>
      <c r="O410" s="31"/>
      <c r="P410" s="32"/>
      <c r="Q410" s="32"/>
      <c r="R410" s="32"/>
      <c r="S410" s="32">
        <f t="shared" si="123"/>
        <v>0</v>
      </c>
      <c r="T410" s="12"/>
      <c r="U410" s="12"/>
      <c r="V410" s="12"/>
      <c r="W410" s="12">
        <f t="shared" si="124"/>
        <v>0</v>
      </c>
      <c r="Y410" s="10">
        <v>14</v>
      </c>
      <c r="Z410" s="30"/>
      <c r="AA410" s="31"/>
      <c r="AB410" s="32"/>
      <c r="AC410" s="32"/>
      <c r="AD410" s="32"/>
      <c r="AE410" s="32">
        <f t="shared" si="131"/>
        <v>0</v>
      </c>
      <c r="AF410" s="12"/>
      <c r="AG410" s="12"/>
      <c r="AH410" s="12"/>
      <c r="AI410" s="12">
        <f t="shared" si="126"/>
        <v>0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10">
        <v>15</v>
      </c>
      <c r="B411" s="30"/>
      <c r="C411" s="83"/>
      <c r="D411" s="32"/>
      <c r="E411" s="32"/>
      <c r="F411" s="32"/>
      <c r="G411" s="32">
        <f t="shared" si="121"/>
        <v>0</v>
      </c>
      <c r="H411" s="12"/>
      <c r="I411" s="12"/>
      <c r="J411" s="12"/>
      <c r="K411" s="12">
        <f t="shared" si="122"/>
        <v>0</v>
      </c>
      <c r="M411" s="10">
        <v>15</v>
      </c>
      <c r="N411" s="30"/>
      <c r="O411" s="31"/>
      <c r="P411" s="32"/>
      <c r="Q411" s="32"/>
      <c r="R411" s="32"/>
      <c r="S411" s="32">
        <f t="shared" si="123"/>
        <v>0</v>
      </c>
      <c r="T411" s="12"/>
      <c r="U411" s="12"/>
      <c r="V411" s="12"/>
      <c r="W411" s="12">
        <f t="shared" si="124"/>
        <v>0</v>
      </c>
      <c r="Y411" s="10">
        <v>15</v>
      </c>
      <c r="Z411" s="30"/>
      <c r="AA411" s="31"/>
      <c r="AB411" s="32"/>
      <c r="AC411" s="32"/>
      <c r="AD411" s="32"/>
      <c r="AE411" s="32">
        <f t="shared" si="131"/>
        <v>0</v>
      </c>
      <c r="AF411" s="12"/>
      <c r="AG411" s="12"/>
      <c r="AH411" s="12"/>
      <c r="AI411" s="12">
        <f t="shared" si="126"/>
        <v>0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10">
        <v>16</v>
      </c>
      <c r="B412" s="30"/>
      <c r="C412" s="83"/>
      <c r="D412" s="32"/>
      <c r="E412" s="32"/>
      <c r="F412" s="32"/>
      <c r="G412" s="32">
        <f t="shared" si="121"/>
        <v>0</v>
      </c>
      <c r="H412" s="12"/>
      <c r="I412" s="12"/>
      <c r="J412" s="12"/>
      <c r="K412" s="12">
        <f t="shared" si="122"/>
        <v>0</v>
      </c>
      <c r="M412" s="10">
        <v>16</v>
      </c>
      <c r="N412" s="30"/>
      <c r="O412" s="11"/>
      <c r="P412" s="32"/>
      <c r="Q412" s="32"/>
      <c r="R412" s="32"/>
      <c r="S412" s="32">
        <f t="shared" si="123"/>
        <v>0</v>
      </c>
      <c r="T412" s="12"/>
      <c r="U412" s="12"/>
      <c r="V412" s="12"/>
      <c r="W412" s="12">
        <f t="shared" si="124"/>
        <v>0</v>
      </c>
      <c r="Y412" s="10">
        <v>16</v>
      </c>
      <c r="AA412" s="11"/>
      <c r="AB412" s="32"/>
      <c r="AC412" s="32"/>
      <c r="AD412" s="32"/>
      <c r="AE412" s="32">
        <f t="shared" si="131"/>
        <v>0</v>
      </c>
      <c r="AF412" s="12"/>
      <c r="AG412" s="12"/>
      <c r="AH412" s="12"/>
      <c r="AI412" s="12">
        <f t="shared" si="126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10">
        <v>17</v>
      </c>
      <c r="B413" s="30"/>
      <c r="C413" s="83"/>
      <c r="D413" s="32"/>
      <c r="E413" s="32"/>
      <c r="F413" s="32"/>
      <c r="G413" s="32">
        <f t="shared" si="121"/>
        <v>0</v>
      </c>
      <c r="H413" s="12"/>
      <c r="I413" s="12"/>
      <c r="J413" s="12"/>
      <c r="K413" s="12">
        <f t="shared" si="122"/>
        <v>0</v>
      </c>
      <c r="M413" s="10">
        <v>17</v>
      </c>
      <c r="N413" s="30"/>
      <c r="O413" s="31"/>
      <c r="P413" s="35"/>
      <c r="Q413" s="32"/>
      <c r="R413" s="32"/>
      <c r="S413" s="32">
        <f t="shared" si="123"/>
        <v>0</v>
      </c>
      <c r="T413" s="12"/>
      <c r="U413" s="12"/>
      <c r="V413" s="12"/>
      <c r="W413" s="12">
        <f t="shared" si="124"/>
        <v>0</v>
      </c>
      <c r="Y413" s="10">
        <v>17</v>
      </c>
      <c r="Z413" s="30"/>
      <c r="AA413" s="31"/>
      <c r="AB413" s="35"/>
      <c r="AC413" s="32"/>
      <c r="AD413" s="32"/>
      <c r="AE413" s="32">
        <f t="shared" si="131"/>
        <v>0</v>
      </c>
      <c r="AF413" s="12"/>
      <c r="AG413" s="12"/>
      <c r="AH413" s="12"/>
      <c r="AI413" s="12">
        <f t="shared" si="126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10">
        <v>18</v>
      </c>
      <c r="B414" s="30"/>
      <c r="C414" s="83"/>
      <c r="D414" s="32"/>
      <c r="E414" s="32"/>
      <c r="F414" s="32"/>
      <c r="G414" s="32">
        <f t="shared" si="121"/>
        <v>0</v>
      </c>
      <c r="H414" s="12"/>
      <c r="I414" s="12"/>
      <c r="J414" s="12"/>
      <c r="K414" s="12">
        <f t="shared" si="122"/>
        <v>0</v>
      </c>
      <c r="M414" s="10">
        <v>18</v>
      </c>
      <c r="N414" s="30"/>
      <c r="O414" s="31"/>
      <c r="P414" s="32"/>
      <c r="Q414" s="32"/>
      <c r="R414" s="32"/>
      <c r="S414" s="32">
        <f t="shared" si="123"/>
        <v>0</v>
      </c>
      <c r="T414" s="12"/>
      <c r="U414" s="12"/>
      <c r="V414" s="12"/>
      <c r="W414" s="12">
        <f t="shared" si="124"/>
        <v>0</v>
      </c>
      <c r="Y414" s="10">
        <v>18</v>
      </c>
      <c r="Z414" s="30"/>
      <c r="AA414" s="31"/>
      <c r="AB414" s="32"/>
      <c r="AC414" s="32"/>
      <c r="AD414" s="32"/>
      <c r="AE414" s="32">
        <f t="shared" si="131"/>
        <v>0</v>
      </c>
      <c r="AF414" s="12"/>
      <c r="AG414" s="12"/>
      <c r="AH414" s="12"/>
      <c r="AI414" s="12">
        <f t="shared" si="126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10">
        <v>19</v>
      </c>
      <c r="B415" s="30"/>
      <c r="C415" s="83"/>
      <c r="D415" s="32"/>
      <c r="E415" s="32"/>
      <c r="F415" s="32"/>
      <c r="G415" s="32">
        <f t="shared" si="121"/>
        <v>0</v>
      </c>
      <c r="H415" s="12"/>
      <c r="I415" s="12"/>
      <c r="J415" s="12"/>
      <c r="K415" s="12">
        <f t="shared" si="122"/>
        <v>0</v>
      </c>
      <c r="M415" s="10">
        <v>19</v>
      </c>
      <c r="N415" s="30"/>
      <c r="O415" s="31"/>
      <c r="P415" s="32"/>
      <c r="Q415" s="32"/>
      <c r="R415" s="32"/>
      <c r="S415" s="32">
        <f t="shared" si="123"/>
        <v>0</v>
      </c>
      <c r="T415" s="12"/>
      <c r="U415" s="12"/>
      <c r="V415" s="12"/>
      <c r="W415" s="12">
        <f t="shared" si="124"/>
        <v>0</v>
      </c>
      <c r="Y415" s="10">
        <v>19</v>
      </c>
      <c r="Z415" s="30"/>
      <c r="AA415" s="31"/>
      <c r="AB415" s="32"/>
      <c r="AC415" s="32"/>
      <c r="AD415" s="32"/>
      <c r="AE415" s="32">
        <f t="shared" si="131"/>
        <v>0</v>
      </c>
      <c r="AF415" s="12"/>
      <c r="AG415" s="12"/>
      <c r="AH415" s="12"/>
      <c r="AI415" s="12">
        <f t="shared" si="126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10">
        <v>20</v>
      </c>
      <c r="B416" s="30"/>
      <c r="C416" s="83"/>
      <c r="D416" s="32"/>
      <c r="E416" s="32"/>
      <c r="F416" s="32"/>
      <c r="G416" s="32">
        <f t="shared" si="121"/>
        <v>0</v>
      </c>
      <c r="H416" s="12"/>
      <c r="I416" s="12"/>
      <c r="J416" s="12"/>
      <c r="K416" s="12">
        <f t="shared" si="122"/>
        <v>0</v>
      </c>
      <c r="M416" s="10">
        <v>20</v>
      </c>
      <c r="N416" s="30"/>
      <c r="O416" s="31"/>
      <c r="P416" s="32"/>
      <c r="Q416" s="32"/>
      <c r="R416" s="32"/>
      <c r="S416" s="32">
        <f t="shared" si="123"/>
        <v>0</v>
      </c>
      <c r="T416" s="12"/>
      <c r="U416" s="12"/>
      <c r="V416" s="12"/>
      <c r="W416" s="12">
        <f t="shared" si="124"/>
        <v>0</v>
      </c>
      <c r="Y416" s="10">
        <v>20</v>
      </c>
      <c r="Z416" s="30"/>
      <c r="AB416" s="32"/>
      <c r="AC416" s="32"/>
      <c r="AD416" s="32"/>
      <c r="AE416" s="32">
        <f t="shared" si="131"/>
        <v>0</v>
      </c>
      <c r="AF416" s="12"/>
      <c r="AG416" s="12"/>
      <c r="AH416" s="12"/>
      <c r="AI416" s="12">
        <f t="shared" si="126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10">
        <v>21</v>
      </c>
      <c r="B417" s="30"/>
      <c r="C417" s="83"/>
      <c r="D417" s="32"/>
      <c r="E417" s="32"/>
      <c r="F417" s="32"/>
      <c r="G417" s="32">
        <f t="shared" si="121"/>
        <v>0</v>
      </c>
      <c r="H417" s="10"/>
      <c r="I417" s="10"/>
      <c r="J417" s="10"/>
      <c r="K417" s="12">
        <f t="shared" si="122"/>
        <v>0</v>
      </c>
      <c r="M417" s="10">
        <v>21</v>
      </c>
      <c r="N417" s="30"/>
      <c r="O417" s="11"/>
      <c r="P417" s="46"/>
      <c r="Q417" s="31"/>
      <c r="R417" s="31"/>
      <c r="S417" s="32">
        <f t="shared" si="123"/>
        <v>0</v>
      </c>
      <c r="T417" s="10"/>
      <c r="U417" s="10"/>
      <c r="V417" s="10"/>
      <c r="W417" s="12">
        <f t="shared" si="124"/>
        <v>0</v>
      </c>
      <c r="Y417" s="10">
        <v>21</v>
      </c>
      <c r="Z417" s="30"/>
      <c r="AA417" s="31"/>
      <c r="AB417" s="46"/>
      <c r="AC417" s="31"/>
      <c r="AD417" s="31"/>
      <c r="AE417" s="32">
        <f t="shared" si="131"/>
        <v>0</v>
      </c>
      <c r="AF417" s="10"/>
      <c r="AG417" s="10"/>
      <c r="AH417" s="10"/>
      <c r="AI417" s="12">
        <f t="shared" si="126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10">
        <v>22</v>
      </c>
      <c r="B418" s="30"/>
      <c r="C418" s="83"/>
      <c r="D418" s="32"/>
      <c r="E418" s="32"/>
      <c r="F418" s="32"/>
      <c r="G418" s="32">
        <f t="shared" si="121"/>
        <v>0</v>
      </c>
      <c r="H418" s="10"/>
      <c r="I418" s="10"/>
      <c r="J418" s="10"/>
      <c r="K418" s="12">
        <f t="shared" si="122"/>
        <v>0</v>
      </c>
      <c r="M418" s="10">
        <v>22</v>
      </c>
      <c r="N418" s="30"/>
      <c r="O418" s="31"/>
      <c r="P418" s="45"/>
      <c r="Q418" s="31"/>
      <c r="R418" s="31"/>
      <c r="S418" s="32">
        <f t="shared" si="123"/>
        <v>0</v>
      </c>
      <c r="T418" s="10"/>
      <c r="U418" s="10"/>
      <c r="V418" s="10"/>
      <c r="W418" s="12">
        <f t="shared" si="124"/>
        <v>0</v>
      </c>
      <c r="Y418" s="10">
        <v>22</v>
      </c>
      <c r="Z418" s="30"/>
      <c r="AA418" s="31"/>
      <c r="AB418" s="45"/>
      <c r="AC418" s="31"/>
      <c r="AD418" s="31"/>
      <c r="AE418" s="32">
        <f t="shared" si="131"/>
        <v>0</v>
      </c>
      <c r="AF418" s="10"/>
      <c r="AG418" s="10"/>
      <c r="AH418" s="10"/>
      <c r="AI418" s="12">
        <f t="shared" si="126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10">
        <v>23</v>
      </c>
      <c r="B419" s="30"/>
      <c r="C419" s="11"/>
      <c r="D419" s="32"/>
      <c r="E419" s="32"/>
      <c r="F419" s="32"/>
      <c r="G419" s="32">
        <f t="shared" si="121"/>
        <v>0</v>
      </c>
      <c r="H419" s="10"/>
      <c r="I419" s="10"/>
      <c r="J419" s="12"/>
      <c r="K419" s="12">
        <f t="shared" si="122"/>
        <v>0</v>
      </c>
      <c r="M419" s="10">
        <v>23</v>
      </c>
      <c r="N419" s="30"/>
      <c r="O419" s="31"/>
      <c r="P419" s="47"/>
      <c r="S419" s="32">
        <f t="shared" si="123"/>
        <v>0</v>
      </c>
      <c r="T419" s="10"/>
      <c r="U419" s="10"/>
      <c r="V419" s="10"/>
      <c r="W419" s="12">
        <f t="shared" si="124"/>
        <v>0</v>
      </c>
      <c r="Y419" s="10">
        <v>23</v>
      </c>
      <c r="Z419" s="30"/>
      <c r="AA419" s="31"/>
      <c r="AB419" s="47"/>
      <c r="AE419" s="32">
        <f t="shared" si="131"/>
        <v>0</v>
      </c>
      <c r="AF419" s="10"/>
      <c r="AG419" s="10"/>
      <c r="AH419" s="10"/>
      <c r="AI419" s="12">
        <f t="shared" si="126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10">
        <v>24</v>
      </c>
      <c r="B420" s="30"/>
      <c r="C420" s="83"/>
      <c r="D420" s="32"/>
      <c r="E420" s="32"/>
      <c r="F420" s="32"/>
      <c r="G420" s="32">
        <f t="shared" si="121"/>
        <v>0</v>
      </c>
      <c r="H420" s="10"/>
      <c r="I420" s="10"/>
      <c r="J420" s="10"/>
      <c r="K420" s="12">
        <f t="shared" si="122"/>
        <v>0</v>
      </c>
      <c r="M420" s="10">
        <v>24</v>
      </c>
      <c r="N420" s="30"/>
      <c r="O420" s="31"/>
      <c r="P420" s="47"/>
      <c r="Q420" s="31"/>
      <c r="R420" s="31"/>
      <c r="S420" s="32">
        <f t="shared" si="123"/>
        <v>0</v>
      </c>
      <c r="T420" s="10"/>
      <c r="U420" s="10"/>
      <c r="V420" s="10"/>
      <c r="W420" s="12">
        <f t="shared" si="124"/>
        <v>0</v>
      </c>
      <c r="Y420" s="10">
        <v>24</v>
      </c>
      <c r="Z420" s="30"/>
      <c r="AA420" s="31"/>
      <c r="AB420" s="47"/>
      <c r="AC420" s="31"/>
      <c r="AD420" s="31"/>
      <c r="AE420" s="32">
        <f t="shared" si="131"/>
        <v>0</v>
      </c>
      <c r="AF420" s="10"/>
      <c r="AG420" s="10"/>
      <c r="AH420" s="10"/>
      <c r="AI420" s="12">
        <f t="shared" si="126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10">
        <v>25</v>
      </c>
      <c r="B421" s="30"/>
      <c r="C421" s="83"/>
      <c r="D421" s="32"/>
      <c r="E421" s="32"/>
      <c r="F421" s="32"/>
      <c r="G421" s="32">
        <f t="shared" si="121"/>
        <v>0</v>
      </c>
      <c r="H421" s="10"/>
      <c r="I421" s="10"/>
      <c r="J421" s="10"/>
      <c r="K421" s="12">
        <f t="shared" si="122"/>
        <v>0</v>
      </c>
      <c r="M421" s="10">
        <v>25</v>
      </c>
      <c r="N421" s="30"/>
      <c r="O421" s="31"/>
      <c r="P421" s="47"/>
      <c r="Q421" s="31"/>
      <c r="R421" s="31"/>
      <c r="S421" s="32">
        <f t="shared" si="123"/>
        <v>0</v>
      </c>
      <c r="T421" s="10"/>
      <c r="U421" s="10"/>
      <c r="V421" s="10"/>
      <c r="W421" s="12">
        <f t="shared" si="124"/>
        <v>0</v>
      </c>
      <c r="Y421" s="10">
        <v>25</v>
      </c>
      <c r="Z421" s="30"/>
      <c r="AA421" s="31"/>
      <c r="AB421" s="47"/>
      <c r="AC421" s="31"/>
      <c r="AD421" s="31"/>
      <c r="AE421" s="32">
        <f t="shared" si="131"/>
        <v>0</v>
      </c>
      <c r="AF421" s="10"/>
      <c r="AG421" s="10"/>
      <c r="AH421" s="10"/>
      <c r="AI421" s="12">
        <f t="shared" si="126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10">
        <v>26</v>
      </c>
      <c r="B422" s="30"/>
      <c r="C422" s="83"/>
      <c r="D422" s="32"/>
      <c r="E422" s="32"/>
      <c r="F422" s="32"/>
      <c r="G422" s="32">
        <f t="shared" si="121"/>
        <v>0</v>
      </c>
      <c r="H422" s="10"/>
      <c r="I422" s="10"/>
      <c r="J422" s="10"/>
      <c r="K422" s="12">
        <f t="shared" si="122"/>
        <v>0</v>
      </c>
      <c r="M422" s="10">
        <v>26</v>
      </c>
      <c r="N422" s="30"/>
      <c r="O422" s="31"/>
      <c r="P422" s="47"/>
      <c r="Q422" s="31"/>
      <c r="R422" s="31"/>
      <c r="S422" s="32">
        <f t="shared" si="123"/>
        <v>0</v>
      </c>
      <c r="T422" s="10"/>
      <c r="U422" s="10"/>
      <c r="V422" s="10"/>
      <c r="W422" s="12">
        <f t="shared" si="124"/>
        <v>0</v>
      </c>
      <c r="Y422" s="10">
        <v>26</v>
      </c>
      <c r="Z422" s="30"/>
      <c r="AA422" s="31"/>
      <c r="AB422" s="47"/>
      <c r="AC422" s="31"/>
      <c r="AD422" s="31"/>
      <c r="AE422" s="32">
        <f t="shared" si="131"/>
        <v>0</v>
      </c>
      <c r="AF422" s="10"/>
      <c r="AG422" s="10"/>
      <c r="AH422" s="10"/>
      <c r="AI422" s="12">
        <f t="shared" si="126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10">
        <v>27</v>
      </c>
      <c r="B423" s="30"/>
      <c r="C423" s="83"/>
      <c r="D423" s="32"/>
      <c r="E423" s="32"/>
      <c r="F423" s="32"/>
      <c r="G423" s="32">
        <f t="shared" si="121"/>
        <v>0</v>
      </c>
      <c r="H423" s="10"/>
      <c r="I423" s="10"/>
      <c r="J423" s="10"/>
      <c r="K423" s="12">
        <f t="shared" si="122"/>
        <v>0</v>
      </c>
      <c r="M423" s="10">
        <v>27</v>
      </c>
      <c r="N423" s="30"/>
      <c r="O423" s="31"/>
      <c r="P423" s="47"/>
      <c r="Q423" s="31"/>
      <c r="R423" s="31"/>
      <c r="S423" s="32">
        <f t="shared" si="123"/>
        <v>0</v>
      </c>
      <c r="T423" s="10"/>
      <c r="U423" s="10"/>
      <c r="V423" s="10"/>
      <c r="W423" s="12">
        <f t="shared" si="124"/>
        <v>0</v>
      </c>
      <c r="Y423" s="10">
        <v>27</v>
      </c>
      <c r="Z423" s="30"/>
      <c r="AA423" s="31"/>
      <c r="AB423" s="47"/>
      <c r="AC423" s="31"/>
      <c r="AD423" s="31"/>
      <c r="AE423" s="32">
        <f t="shared" si="131"/>
        <v>0</v>
      </c>
      <c r="AF423" s="10"/>
      <c r="AG423" s="10"/>
      <c r="AH423" s="10"/>
      <c r="AI423" s="12">
        <f t="shared" si="126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10">
        <v>28</v>
      </c>
      <c r="B424" s="30"/>
      <c r="C424" s="83"/>
      <c r="D424" s="32"/>
      <c r="E424" s="32"/>
      <c r="F424" s="32"/>
      <c r="G424" s="32">
        <f t="shared" si="121"/>
        <v>0</v>
      </c>
      <c r="H424" s="10"/>
      <c r="I424" s="10"/>
      <c r="J424" s="10"/>
      <c r="K424" s="12">
        <f t="shared" si="122"/>
        <v>0</v>
      </c>
      <c r="M424" s="10">
        <v>28</v>
      </c>
      <c r="N424" s="30"/>
      <c r="O424" s="31"/>
      <c r="P424" s="47"/>
      <c r="Q424" s="31"/>
      <c r="R424" s="31"/>
      <c r="S424" s="32">
        <f t="shared" si="123"/>
        <v>0</v>
      </c>
      <c r="T424" s="10"/>
      <c r="U424" s="10"/>
      <c r="V424" s="10"/>
      <c r="W424" s="12">
        <f t="shared" si="124"/>
        <v>0</v>
      </c>
      <c r="Y424" s="10">
        <v>28</v>
      </c>
      <c r="Z424" s="30"/>
      <c r="AA424" s="31"/>
      <c r="AB424" s="47"/>
      <c r="AC424" s="31"/>
      <c r="AD424" s="31"/>
      <c r="AE424" s="32">
        <f t="shared" si="131"/>
        <v>0</v>
      </c>
      <c r="AF424" s="10"/>
      <c r="AG424" s="10"/>
      <c r="AH424" s="10"/>
      <c r="AI424" s="12">
        <f t="shared" si="126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10">
        <v>29</v>
      </c>
      <c r="B425" s="30"/>
      <c r="C425" s="83"/>
      <c r="D425" s="32"/>
      <c r="E425" s="32"/>
      <c r="F425" s="32"/>
      <c r="G425" s="32">
        <f t="shared" si="121"/>
        <v>0</v>
      </c>
      <c r="H425" s="10"/>
      <c r="I425" s="10"/>
      <c r="J425" s="10"/>
      <c r="K425" s="12">
        <f t="shared" si="122"/>
        <v>0</v>
      </c>
      <c r="M425" s="10">
        <v>29</v>
      </c>
      <c r="N425" s="30"/>
      <c r="O425" s="31"/>
      <c r="P425" s="47"/>
      <c r="Q425" s="31"/>
      <c r="R425" s="31"/>
      <c r="S425" s="32">
        <f t="shared" si="123"/>
        <v>0</v>
      </c>
      <c r="T425" s="10"/>
      <c r="U425" s="10"/>
      <c r="V425" s="10"/>
      <c r="W425" s="12">
        <f t="shared" si="124"/>
        <v>0</v>
      </c>
      <c r="Y425" s="10">
        <v>29</v>
      </c>
      <c r="Z425" s="30"/>
      <c r="AA425" s="31"/>
      <c r="AB425" s="47"/>
      <c r="AC425" s="31"/>
      <c r="AD425" s="31"/>
      <c r="AE425" s="32">
        <f t="shared" si="131"/>
        <v>0</v>
      </c>
      <c r="AF425" s="10"/>
      <c r="AG425" s="10"/>
      <c r="AH425" s="10"/>
      <c r="AI425" s="12">
        <f t="shared" si="126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10">
        <v>30</v>
      </c>
      <c r="B426" s="30"/>
      <c r="C426" s="83"/>
      <c r="D426" s="32"/>
      <c r="E426" s="32"/>
      <c r="F426" s="32"/>
      <c r="G426" s="32">
        <f t="shared" si="121"/>
        <v>0</v>
      </c>
      <c r="H426" s="10"/>
      <c r="I426" s="10"/>
      <c r="J426" s="10"/>
      <c r="K426" s="12">
        <f t="shared" si="122"/>
        <v>0</v>
      </c>
      <c r="M426" s="10">
        <v>30</v>
      </c>
      <c r="N426" s="30"/>
      <c r="O426" s="31"/>
      <c r="P426" s="47"/>
      <c r="Q426" s="31"/>
      <c r="R426" s="31"/>
      <c r="S426" s="32">
        <f t="shared" si="123"/>
        <v>0</v>
      </c>
      <c r="T426" s="10"/>
      <c r="U426" s="10"/>
      <c r="V426" s="10"/>
      <c r="W426" s="12">
        <f t="shared" si="124"/>
        <v>0</v>
      </c>
      <c r="Y426" s="10">
        <v>30</v>
      </c>
      <c r="Z426" s="30"/>
      <c r="AA426" s="31"/>
      <c r="AB426" s="47"/>
      <c r="AC426" s="31"/>
      <c r="AD426" s="31"/>
      <c r="AE426" s="32">
        <f t="shared" si="131"/>
        <v>0</v>
      </c>
      <c r="AF426" s="10"/>
      <c r="AG426" s="10"/>
      <c r="AH426" s="10"/>
      <c r="AI426" s="12">
        <f t="shared" si="126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10">
        <v>31</v>
      </c>
      <c r="B427" s="30"/>
      <c r="C427" s="11"/>
      <c r="D427" s="32"/>
      <c r="E427" s="32"/>
      <c r="F427" s="32"/>
      <c r="G427" s="32">
        <f t="shared" si="121"/>
        <v>0</v>
      </c>
      <c r="H427" s="10"/>
      <c r="I427" s="10"/>
      <c r="J427" s="10"/>
      <c r="K427" s="12">
        <f t="shared" si="122"/>
        <v>0</v>
      </c>
      <c r="M427" s="10">
        <v>31</v>
      </c>
      <c r="N427" s="30"/>
      <c r="O427" s="31"/>
      <c r="P427" s="47"/>
      <c r="Q427" s="31"/>
      <c r="R427" s="31"/>
      <c r="S427" s="32">
        <f t="shared" si="123"/>
        <v>0</v>
      </c>
      <c r="T427" s="10"/>
      <c r="U427" s="10"/>
      <c r="V427" s="10"/>
      <c r="W427" s="12">
        <f t="shared" si="124"/>
        <v>0</v>
      </c>
      <c r="Y427" s="10">
        <v>31</v>
      </c>
      <c r="Z427" s="30"/>
      <c r="AA427" s="31"/>
      <c r="AB427" s="47"/>
      <c r="AC427" s="31"/>
      <c r="AD427" s="31"/>
      <c r="AE427" s="32">
        <f t="shared" si="131"/>
        <v>0</v>
      </c>
      <c r="AF427" s="10"/>
      <c r="AG427" s="10"/>
      <c r="AH427" s="10"/>
      <c r="AI427" s="12">
        <f t="shared" si="126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10">
        <v>32</v>
      </c>
      <c r="B428" s="30"/>
      <c r="C428" s="83"/>
      <c r="D428" s="32"/>
      <c r="E428" s="32"/>
      <c r="F428" s="32"/>
      <c r="G428" s="32">
        <f t="shared" si="121"/>
        <v>0</v>
      </c>
      <c r="H428" s="10"/>
      <c r="I428" s="10"/>
      <c r="J428" s="10"/>
      <c r="K428" s="12">
        <f t="shared" si="122"/>
        <v>0</v>
      </c>
      <c r="M428" s="10">
        <v>32</v>
      </c>
      <c r="N428" s="30"/>
      <c r="O428" s="31"/>
      <c r="P428" s="47"/>
      <c r="Q428" s="31"/>
      <c r="R428" s="31"/>
      <c r="S428" s="32">
        <f t="shared" si="123"/>
        <v>0</v>
      </c>
      <c r="T428" s="10"/>
      <c r="U428" s="10"/>
      <c r="V428" s="10"/>
      <c r="W428" s="12">
        <f t="shared" si="124"/>
        <v>0</v>
      </c>
      <c r="Y428" s="10">
        <v>32</v>
      </c>
      <c r="Z428" s="30"/>
      <c r="AA428" s="31"/>
      <c r="AB428" s="47"/>
      <c r="AC428" s="31"/>
      <c r="AD428" s="31"/>
      <c r="AE428" s="32">
        <f t="shared" si="131"/>
        <v>0</v>
      </c>
      <c r="AF428" s="10"/>
      <c r="AG428" s="10"/>
      <c r="AH428" s="10"/>
      <c r="AI428" s="12">
        <f t="shared" si="126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10">
        <v>33</v>
      </c>
      <c r="B429" s="30"/>
      <c r="C429" s="83"/>
      <c r="D429" s="32"/>
      <c r="E429" s="32"/>
      <c r="F429" s="32"/>
      <c r="G429" s="32">
        <f t="shared" si="121"/>
        <v>0</v>
      </c>
      <c r="H429" s="10"/>
      <c r="I429" s="10"/>
      <c r="J429" s="10"/>
      <c r="K429" s="12">
        <f t="shared" si="122"/>
        <v>0</v>
      </c>
      <c r="M429" s="10">
        <v>33</v>
      </c>
      <c r="N429" s="30"/>
      <c r="O429" s="31"/>
      <c r="P429" s="47"/>
      <c r="Q429" s="31"/>
      <c r="R429" s="31"/>
      <c r="S429" s="32">
        <f t="shared" si="123"/>
        <v>0</v>
      </c>
      <c r="T429" s="10"/>
      <c r="U429" s="10"/>
      <c r="V429" s="10"/>
      <c r="W429" s="12">
        <f t="shared" si="124"/>
        <v>0</v>
      </c>
      <c r="Y429" s="10">
        <v>33</v>
      </c>
      <c r="Z429" s="30"/>
      <c r="AA429" s="31"/>
      <c r="AB429" s="47"/>
      <c r="AC429" s="31"/>
      <c r="AD429" s="31"/>
      <c r="AE429" s="32">
        <f t="shared" si="131"/>
        <v>0</v>
      </c>
      <c r="AF429" s="10"/>
      <c r="AG429" s="10"/>
      <c r="AH429" s="10"/>
      <c r="AI429" s="12">
        <f t="shared" si="126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10"/>
      <c r="B430" s="30"/>
      <c r="C430" s="83"/>
      <c r="D430" s="32"/>
      <c r="E430" s="32"/>
      <c r="F430" s="32"/>
      <c r="G430" s="32">
        <f t="shared" si="121"/>
        <v>0</v>
      </c>
      <c r="H430" s="10"/>
      <c r="I430" s="10"/>
      <c r="J430" s="10"/>
      <c r="K430" s="12">
        <f t="shared" si="122"/>
        <v>0</v>
      </c>
      <c r="M430" s="10">
        <v>34</v>
      </c>
      <c r="N430" s="30"/>
      <c r="O430" s="31"/>
      <c r="P430" s="47"/>
      <c r="Q430" s="31"/>
      <c r="R430" s="31"/>
      <c r="S430" s="32">
        <f t="shared" si="123"/>
        <v>0</v>
      </c>
      <c r="T430" s="10"/>
      <c r="U430" s="10"/>
      <c r="V430" s="10"/>
      <c r="W430" s="12">
        <f t="shared" si="124"/>
        <v>0</v>
      </c>
      <c r="Y430" s="10">
        <v>34</v>
      </c>
      <c r="Z430" s="30"/>
      <c r="AA430" s="31"/>
      <c r="AB430" s="47"/>
      <c r="AC430" s="31"/>
      <c r="AD430" s="31"/>
      <c r="AE430" s="32">
        <f t="shared" si="131"/>
        <v>0</v>
      </c>
      <c r="AF430" s="10"/>
      <c r="AG430" s="10"/>
      <c r="AH430" s="10"/>
      <c r="AI430" s="12">
        <f t="shared" ref="AI430:AI438" si="132">SUM(AE430:AH430)</f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10"/>
      <c r="B431" s="30"/>
      <c r="C431" s="83"/>
      <c r="D431" s="32"/>
      <c r="E431" s="32"/>
      <c r="F431" s="32"/>
      <c r="G431" s="32"/>
      <c r="H431" s="10"/>
      <c r="I431" s="10"/>
      <c r="J431" s="10"/>
      <c r="K431" s="12"/>
      <c r="M431" s="10">
        <v>35</v>
      </c>
      <c r="N431" s="30"/>
      <c r="O431" s="31"/>
      <c r="P431" s="47"/>
      <c r="Q431" s="31"/>
      <c r="R431" s="31"/>
      <c r="S431" s="32">
        <f t="shared" si="123"/>
        <v>0</v>
      </c>
      <c r="T431" s="10"/>
      <c r="U431" s="10"/>
      <c r="V431" s="10"/>
      <c r="W431" s="12">
        <f t="shared" si="124"/>
        <v>0</v>
      </c>
      <c r="Y431" s="10">
        <v>35</v>
      </c>
      <c r="Z431" s="30"/>
      <c r="AA431" s="31"/>
      <c r="AB431" s="47"/>
      <c r="AC431" s="31"/>
      <c r="AD431" s="31"/>
      <c r="AE431" s="32">
        <f t="shared" si="131"/>
        <v>0</v>
      </c>
      <c r="AF431" s="10"/>
      <c r="AG431" s="10"/>
      <c r="AH431" s="10"/>
      <c r="AI431" s="12">
        <f t="shared" si="132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10"/>
      <c r="B432" s="30"/>
      <c r="C432" s="83"/>
      <c r="D432" s="32"/>
      <c r="E432" s="32"/>
      <c r="F432" s="32"/>
      <c r="G432" s="32"/>
      <c r="H432" s="10"/>
      <c r="I432" s="10"/>
      <c r="J432" s="10"/>
      <c r="K432" s="12"/>
      <c r="M432" s="10">
        <v>36</v>
      </c>
      <c r="N432" s="30"/>
      <c r="O432" s="31"/>
      <c r="P432" s="47"/>
      <c r="Q432" s="31"/>
      <c r="R432" s="31"/>
      <c r="S432" s="32">
        <f t="shared" si="123"/>
        <v>0</v>
      </c>
      <c r="T432" s="10"/>
      <c r="U432" s="10"/>
      <c r="V432" s="10"/>
      <c r="W432" s="12">
        <f t="shared" si="124"/>
        <v>0</v>
      </c>
      <c r="Y432" s="10">
        <v>36</v>
      </c>
      <c r="Z432" s="30"/>
      <c r="AA432" s="31"/>
      <c r="AB432" s="47"/>
      <c r="AC432" s="31"/>
      <c r="AD432" s="31"/>
      <c r="AE432" s="32">
        <f t="shared" si="131"/>
        <v>0</v>
      </c>
      <c r="AF432" s="10"/>
      <c r="AG432" s="10"/>
      <c r="AH432" s="10"/>
      <c r="AI432" s="12">
        <f t="shared" si="132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10"/>
      <c r="B433" s="30"/>
      <c r="C433" s="31"/>
      <c r="D433" s="32"/>
      <c r="E433" s="32"/>
      <c r="F433" s="32"/>
      <c r="G433" s="32"/>
      <c r="H433" s="10"/>
      <c r="I433" s="10"/>
      <c r="J433" s="10"/>
      <c r="K433" s="12"/>
      <c r="M433" s="10">
        <v>37</v>
      </c>
      <c r="N433" s="30"/>
      <c r="P433" s="47"/>
      <c r="Q433" s="31"/>
      <c r="R433" s="31"/>
      <c r="S433" s="32">
        <f t="shared" si="123"/>
        <v>0</v>
      </c>
      <c r="T433" s="10"/>
      <c r="U433" s="10"/>
      <c r="V433" s="10"/>
      <c r="W433" s="12">
        <f t="shared" si="124"/>
        <v>0</v>
      </c>
      <c r="Y433" s="10">
        <v>37</v>
      </c>
      <c r="Z433" s="30"/>
      <c r="AA433" s="31"/>
      <c r="AB433" s="47"/>
      <c r="AC433" s="31"/>
      <c r="AD433" s="31"/>
      <c r="AE433" s="32">
        <f t="shared" si="131"/>
        <v>0</v>
      </c>
      <c r="AF433" s="10"/>
      <c r="AG433" s="10"/>
      <c r="AH433" s="10"/>
      <c r="AI433" s="12">
        <f t="shared" si="132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10"/>
      <c r="B434" s="30"/>
      <c r="C434" s="31"/>
      <c r="D434" s="32"/>
      <c r="E434" s="32"/>
      <c r="F434" s="32"/>
      <c r="G434" s="32"/>
      <c r="H434" s="10"/>
      <c r="I434" s="10"/>
      <c r="J434" s="10"/>
      <c r="K434" s="12"/>
      <c r="M434" s="10">
        <v>38</v>
      </c>
      <c r="N434" s="30"/>
      <c r="O434" s="31"/>
      <c r="P434" s="47"/>
      <c r="Q434" s="31"/>
      <c r="R434" s="31"/>
      <c r="S434" s="32">
        <f t="shared" si="123"/>
        <v>0</v>
      </c>
      <c r="T434" s="10"/>
      <c r="U434" s="10"/>
      <c r="V434" s="10"/>
      <c r="W434" s="12">
        <f t="shared" si="124"/>
        <v>0</v>
      </c>
      <c r="Y434" s="10">
        <v>38</v>
      </c>
      <c r="Z434" s="30"/>
      <c r="AA434" s="31"/>
      <c r="AB434" s="47"/>
      <c r="AC434" s="31"/>
      <c r="AD434" s="31"/>
      <c r="AE434" s="32">
        <f t="shared" si="131"/>
        <v>0</v>
      </c>
      <c r="AF434" s="10"/>
      <c r="AG434" s="10"/>
      <c r="AH434" s="10"/>
      <c r="AI434" s="12">
        <f t="shared" si="132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10"/>
      <c r="B435" s="30"/>
      <c r="C435" s="31"/>
      <c r="D435" s="32"/>
      <c r="E435" s="32"/>
      <c r="F435" s="32"/>
      <c r="G435" s="32"/>
      <c r="H435" s="10"/>
      <c r="I435" s="10"/>
      <c r="J435" s="10"/>
      <c r="K435" s="12"/>
      <c r="M435" s="10">
        <v>39</v>
      </c>
      <c r="N435" s="30"/>
      <c r="O435" s="31"/>
      <c r="P435" s="47"/>
      <c r="Q435" s="31"/>
      <c r="R435" s="31"/>
      <c r="S435" s="32">
        <f t="shared" si="123"/>
        <v>0</v>
      </c>
      <c r="T435" s="10"/>
      <c r="U435" s="10"/>
      <c r="V435" s="10"/>
      <c r="W435" s="12">
        <f t="shared" si="124"/>
        <v>0</v>
      </c>
      <c r="Y435" s="10">
        <v>39</v>
      </c>
      <c r="Z435" s="30"/>
      <c r="AA435" s="31"/>
      <c r="AB435" s="47"/>
      <c r="AC435" s="31"/>
      <c r="AD435" s="31"/>
      <c r="AE435" s="32">
        <f t="shared" si="131"/>
        <v>0</v>
      </c>
      <c r="AF435" s="10"/>
      <c r="AG435" s="10"/>
      <c r="AH435" s="10"/>
      <c r="AI435" s="12">
        <f t="shared" si="132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10"/>
      <c r="B436" s="30"/>
      <c r="C436" s="31"/>
      <c r="D436" s="32"/>
      <c r="E436" s="32"/>
      <c r="F436" s="32"/>
      <c r="G436" s="32"/>
      <c r="H436" s="10"/>
      <c r="I436" s="10"/>
      <c r="J436" s="10"/>
      <c r="K436" s="12"/>
      <c r="M436" s="10"/>
      <c r="N436" s="30"/>
      <c r="P436" s="47"/>
      <c r="Q436" s="31"/>
      <c r="R436" s="31"/>
      <c r="S436" s="32"/>
      <c r="T436" s="10"/>
      <c r="U436" s="10"/>
      <c r="V436" s="10"/>
      <c r="W436" s="12">
        <f t="shared" si="124"/>
        <v>0</v>
      </c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32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10"/>
      <c r="B437" s="30"/>
      <c r="C437" s="31"/>
      <c r="D437" s="32"/>
      <c r="E437" s="32"/>
      <c r="F437" s="32"/>
      <c r="G437" s="32">
        <f t="shared" ref="G437" si="133">SUM(D437:E437)</f>
        <v>0</v>
      </c>
      <c r="H437" s="10"/>
      <c r="I437" s="10"/>
      <c r="J437" s="10"/>
      <c r="K437" s="12">
        <f t="shared" ref="K437" si="134">SUM(G437:J437)</f>
        <v>0</v>
      </c>
      <c r="M437" s="10"/>
      <c r="N437" s="30"/>
      <c r="O437" s="31"/>
      <c r="P437" s="47"/>
      <c r="Q437" s="31"/>
      <c r="R437" s="31"/>
      <c r="S437" s="32">
        <f t="shared" ref="S437" si="135">SUM(P437:Q437)</f>
        <v>0</v>
      </c>
      <c r="T437" s="10"/>
      <c r="U437" s="10"/>
      <c r="V437" s="10"/>
      <c r="W437" s="12">
        <f t="shared" si="124"/>
        <v>0</v>
      </c>
      <c r="Y437" s="10"/>
      <c r="Z437" s="30"/>
      <c r="AA437" s="31"/>
      <c r="AB437" s="47"/>
      <c r="AC437" s="31"/>
      <c r="AD437" s="31"/>
      <c r="AE437" s="32">
        <f t="shared" ref="AE437" si="136">SUM(AB437:AC437)</f>
        <v>0</v>
      </c>
      <c r="AF437" s="10"/>
      <c r="AG437" s="10"/>
      <c r="AH437" s="10"/>
      <c r="AI437" s="12">
        <f t="shared" si="132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10"/>
      <c r="B438" s="30"/>
      <c r="C438" s="30"/>
      <c r="D438" s="32"/>
      <c r="E438" s="32"/>
      <c r="F438" s="32"/>
      <c r="G438" s="32"/>
      <c r="H438" s="10"/>
      <c r="I438" s="10"/>
      <c r="J438" s="10"/>
      <c r="K438" s="12"/>
      <c r="M438" s="10"/>
      <c r="N438" s="31"/>
      <c r="O438" s="31"/>
      <c r="P438" s="31"/>
      <c r="Q438" s="31"/>
      <c r="R438" s="31"/>
      <c r="S438" s="31"/>
      <c r="T438" s="10"/>
      <c r="U438" s="10"/>
      <c r="V438" s="10"/>
      <c r="W438" s="12">
        <f t="shared" si="124"/>
        <v>0</v>
      </c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32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B439" s="57"/>
      <c r="C439" s="57"/>
      <c r="D439" s="36"/>
      <c r="E439" s="36"/>
      <c r="F439" s="36"/>
      <c r="G439" s="36"/>
      <c r="H439" s="37"/>
      <c r="I439" s="37"/>
      <c r="J439" s="37"/>
      <c r="K439" s="37"/>
      <c r="N439" s="57"/>
      <c r="O439" s="57"/>
      <c r="P439" s="36"/>
      <c r="Q439" s="36"/>
      <c r="R439" s="36"/>
      <c r="S439" s="36"/>
      <c r="T439" s="37"/>
      <c r="U439" s="37"/>
      <c r="V439" s="37"/>
      <c r="W439" s="37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B440" s="57"/>
      <c r="C440" s="57"/>
      <c r="D440" s="38">
        <f>SUM(D397:D439)</f>
        <v>205504.5</v>
      </c>
      <c r="E440" s="38">
        <f t="shared" ref="E440:F440" si="137">SUM(E397:E437)</f>
        <v>-1296</v>
      </c>
      <c r="F440" s="38">
        <f t="shared" si="137"/>
        <v>0</v>
      </c>
      <c r="G440" s="38">
        <f>SUM(G397:G439)</f>
        <v>204208.5</v>
      </c>
      <c r="H440" s="4"/>
      <c r="I440" s="39">
        <f>SUM(I397:I439)</f>
        <v>0</v>
      </c>
      <c r="J440" s="39">
        <f>SUM(J397:J439)</f>
        <v>-16000.5</v>
      </c>
      <c r="K440" s="40">
        <f>SUM(K397:K439)</f>
        <v>188208</v>
      </c>
      <c r="N440" s="57"/>
      <c r="O440" s="57"/>
      <c r="P440" s="38">
        <f>SUM(P397:P439)</f>
        <v>258873</v>
      </c>
      <c r="Q440" s="38">
        <f>SUM(Q397:Q421)</f>
        <v>-1944</v>
      </c>
      <c r="R440" s="38">
        <f>SUM(R397:R421)</f>
        <v>0</v>
      </c>
      <c r="S440" s="38">
        <f>SUM(S397:S439)</f>
        <v>256929</v>
      </c>
      <c r="T440" s="4"/>
      <c r="U440" s="41">
        <f>SUM(U397:U439)</f>
        <v>999</v>
      </c>
      <c r="V440" s="41">
        <f>SUM(V397:V421)</f>
        <v>-948</v>
      </c>
      <c r="W440" s="42">
        <f>SUM(W397:W439)</f>
        <v>256980</v>
      </c>
      <c r="Z440" s="57"/>
      <c r="AA440" s="57"/>
      <c r="AB440" s="38">
        <f>SUM(AB397:AB439)</f>
        <v>280238</v>
      </c>
      <c r="AC440" s="38">
        <f>SUM(AC397:AC421)</f>
        <v>-1920</v>
      </c>
      <c r="AD440" s="38">
        <f>SUM(AD397:AD421)</f>
        <v>0</v>
      </c>
      <c r="AE440" s="38">
        <f>SUM(AE397:AE439)</f>
        <v>278318</v>
      </c>
      <c r="AF440" s="4"/>
      <c r="AG440" s="41">
        <f>SUM(AG397:AG439)</f>
        <v>234</v>
      </c>
      <c r="AH440" s="41">
        <f>SUM(AH397:AH421)</f>
        <v>-252</v>
      </c>
      <c r="AI440" s="42">
        <f>SUM(AI397:AI439)</f>
        <v>278300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t="s">
        <v>0</v>
      </c>
      <c r="B442" s="57"/>
      <c r="C442" s="57"/>
      <c r="D442" s="57"/>
      <c r="E442" s="57"/>
      <c r="G442" s="57"/>
      <c r="M442" t="s">
        <v>0</v>
      </c>
      <c r="N442" s="57"/>
      <c r="O442" s="57"/>
      <c r="P442" s="57"/>
      <c r="Q442" s="57"/>
      <c r="R442" s="57"/>
      <c r="S442" s="57"/>
      <c r="Y442" t="s">
        <v>0</v>
      </c>
      <c r="Z442" s="57"/>
      <c r="AA442" s="57"/>
      <c r="AB442" s="57"/>
      <c r="AC442" s="57"/>
      <c r="AD442" s="57"/>
      <c r="AE442" s="57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t="s">
        <v>28</v>
      </c>
      <c r="B443" s="57"/>
      <c r="C443" s="57"/>
      <c r="D443" s="57"/>
      <c r="E443" s="57"/>
      <c r="G443" s="57"/>
      <c r="M443" t="s">
        <v>28</v>
      </c>
      <c r="N443" s="57"/>
      <c r="O443" s="57"/>
      <c r="P443" s="57"/>
      <c r="Q443" s="57"/>
      <c r="R443" s="57"/>
      <c r="S443" s="57"/>
      <c r="Y443" t="s">
        <v>28</v>
      </c>
      <c r="Z443" s="57"/>
      <c r="AA443" s="57"/>
      <c r="AB443" s="57"/>
      <c r="AC443" s="57"/>
      <c r="AD443" s="57"/>
      <c r="AE443" s="57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B444" s="57"/>
      <c r="C444" s="57"/>
      <c r="D444" s="57"/>
      <c r="E444" s="57"/>
      <c r="G444" s="57"/>
      <c r="N444" s="57"/>
      <c r="O444" s="57"/>
      <c r="P444" s="57"/>
      <c r="Q444" s="57"/>
      <c r="R444" s="57"/>
      <c r="S444" s="57"/>
      <c r="Z444" s="57"/>
      <c r="AA444" s="57"/>
      <c r="AB444" s="57"/>
      <c r="AC444" s="57"/>
      <c r="AD444" s="57"/>
      <c r="AE444" s="57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4" t="s">
        <v>14</v>
      </c>
      <c r="B445" s="57"/>
      <c r="C445" s="57"/>
      <c r="D445" s="57"/>
      <c r="E445" s="57"/>
      <c r="G445" s="57"/>
      <c r="M445" s="4" t="s">
        <v>14</v>
      </c>
      <c r="N445" s="57"/>
      <c r="O445" s="57"/>
      <c r="P445" s="57"/>
      <c r="Q445" s="57"/>
      <c r="R445" s="57"/>
      <c r="S445" s="57"/>
      <c r="Y445" s="4" t="s">
        <v>14</v>
      </c>
      <c r="Z445" s="57"/>
      <c r="AA445" s="57"/>
      <c r="AB445" s="57"/>
      <c r="AC445" s="57"/>
      <c r="AD445" s="57"/>
      <c r="AE445" s="57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B446" s="57"/>
      <c r="C446" s="57"/>
      <c r="D446" s="57"/>
      <c r="E446" s="57"/>
      <c r="G446" s="57"/>
      <c r="N446" s="57"/>
      <c r="O446" s="57"/>
      <c r="P446" s="57"/>
      <c r="Q446" s="57"/>
      <c r="R446" s="57"/>
      <c r="S446" s="57"/>
      <c r="Z446" s="57"/>
      <c r="AA446" s="57"/>
      <c r="AB446" s="57"/>
      <c r="AC446" s="57"/>
      <c r="AD446" s="57"/>
      <c r="AE446" s="57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t="s">
        <v>48</v>
      </c>
      <c r="B447" s="57"/>
      <c r="C447" s="57"/>
      <c r="D447" s="57"/>
      <c r="E447" s="57"/>
      <c r="G447" s="57"/>
      <c r="I447" s="57" t="s">
        <v>15</v>
      </c>
      <c r="J447" s="19">
        <v>1</v>
      </c>
      <c r="M447" t="s">
        <v>48</v>
      </c>
      <c r="N447" s="57"/>
      <c r="O447" s="57"/>
      <c r="P447" s="57"/>
      <c r="Q447" s="57"/>
      <c r="R447" s="57"/>
      <c r="S447" s="57"/>
      <c r="U447" s="57" t="s">
        <v>15</v>
      </c>
      <c r="V447" s="19">
        <v>2</v>
      </c>
      <c r="Y447" t="s">
        <v>48</v>
      </c>
      <c r="Z447" s="57"/>
      <c r="AA447" s="57"/>
      <c r="AB447" s="57"/>
      <c r="AC447" s="57"/>
      <c r="AD447" s="57"/>
      <c r="AE447" s="57"/>
      <c r="AG447" s="57" t="s">
        <v>15</v>
      </c>
      <c r="AH447" s="20">
        <v>3</v>
      </c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21" t="s">
        <v>62</v>
      </c>
      <c r="B448" s="20"/>
      <c r="C448" s="57"/>
      <c r="D448" s="57"/>
      <c r="E448" s="57"/>
      <c r="G448" s="57"/>
      <c r="I448" s="22" t="s">
        <v>16</v>
      </c>
      <c r="J448" s="23" t="s">
        <v>31</v>
      </c>
      <c r="K448" s="24"/>
      <c r="M448" s="21" t="s">
        <v>62</v>
      </c>
      <c r="N448" s="20"/>
      <c r="O448" s="57"/>
      <c r="P448" s="57"/>
      <c r="Q448" s="57"/>
      <c r="R448" s="57"/>
      <c r="S448" s="57"/>
      <c r="U448" s="22" t="s">
        <v>16</v>
      </c>
      <c r="V448" s="23" t="s">
        <v>33</v>
      </c>
      <c r="W448" s="24"/>
      <c r="Y448" s="21" t="s">
        <v>62</v>
      </c>
      <c r="Z448" s="20"/>
      <c r="AA448" s="57"/>
      <c r="AB448" s="57"/>
      <c r="AC448" s="57"/>
      <c r="AD448" s="57"/>
      <c r="AE448" s="57"/>
      <c r="AG448" s="22" t="s">
        <v>16</v>
      </c>
      <c r="AH448" s="23" t="s">
        <v>34</v>
      </c>
      <c r="AI448" s="24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B449" s="57"/>
      <c r="C449" s="57"/>
      <c r="D449" s="57"/>
      <c r="E449" s="57"/>
      <c r="G449" s="57"/>
      <c r="N449" s="57"/>
      <c r="O449" s="57"/>
      <c r="P449" s="57"/>
      <c r="Q449" s="57"/>
      <c r="R449" s="57"/>
      <c r="S449" s="57"/>
      <c r="Z449" s="57"/>
      <c r="AA449" s="57"/>
      <c r="AB449" s="57"/>
      <c r="AC449" s="57"/>
      <c r="AD449" s="57"/>
      <c r="AE449" s="57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B450" s="25"/>
      <c r="C450" s="26"/>
      <c r="D450" s="120" t="s">
        <v>17</v>
      </c>
      <c r="E450" s="120"/>
      <c r="F450" s="99"/>
      <c r="G450" s="27"/>
      <c r="I450" s="118" t="s">
        <v>18</v>
      </c>
      <c r="J450" s="119"/>
      <c r="K450" s="116" t="s">
        <v>19</v>
      </c>
      <c r="N450" s="25"/>
      <c r="O450" s="26"/>
      <c r="P450" s="120" t="s">
        <v>17</v>
      </c>
      <c r="Q450" s="120"/>
      <c r="R450" s="99"/>
      <c r="S450" s="27"/>
      <c r="U450" s="118" t="s">
        <v>18</v>
      </c>
      <c r="V450" s="119"/>
      <c r="W450" s="116" t="s">
        <v>19</v>
      </c>
      <c r="Z450" s="25"/>
      <c r="AA450" s="26"/>
      <c r="AB450" s="120" t="s">
        <v>17</v>
      </c>
      <c r="AC450" s="120"/>
      <c r="AD450" s="99"/>
      <c r="AE450" s="27"/>
      <c r="AG450" s="118" t="s">
        <v>18</v>
      </c>
      <c r="AH450" s="119"/>
      <c r="AI450" s="116" t="s">
        <v>19</v>
      </c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ht="30" x14ac:dyDescent="0.25">
      <c r="B451" s="28" t="s">
        <v>20</v>
      </c>
      <c r="C451" s="28" t="s">
        <v>21</v>
      </c>
      <c r="D451" s="77" t="s">
        <v>22</v>
      </c>
      <c r="E451" s="76" t="s">
        <v>23</v>
      </c>
      <c r="F451" s="78" t="s">
        <v>32</v>
      </c>
      <c r="G451" s="78" t="s">
        <v>24</v>
      </c>
      <c r="I451" s="29" t="s">
        <v>25</v>
      </c>
      <c r="J451" s="29" t="s">
        <v>26</v>
      </c>
      <c r="K451" s="117"/>
      <c r="N451" s="28" t="s">
        <v>20</v>
      </c>
      <c r="O451" s="28" t="s">
        <v>21</v>
      </c>
      <c r="P451" s="77" t="s">
        <v>22</v>
      </c>
      <c r="Q451" s="78" t="s">
        <v>23</v>
      </c>
      <c r="R451" s="78" t="s">
        <v>32</v>
      </c>
      <c r="S451" s="78" t="s">
        <v>24</v>
      </c>
      <c r="U451" s="29" t="s">
        <v>25</v>
      </c>
      <c r="V451" s="29" t="s">
        <v>26</v>
      </c>
      <c r="W451" s="117"/>
      <c r="Z451" s="28" t="s">
        <v>20</v>
      </c>
      <c r="AA451" s="28" t="s">
        <v>21</v>
      </c>
      <c r="AB451" s="77" t="s">
        <v>22</v>
      </c>
      <c r="AC451" s="78" t="s">
        <v>23</v>
      </c>
      <c r="AD451" s="78" t="s">
        <v>32</v>
      </c>
      <c r="AE451" s="78" t="s">
        <v>24</v>
      </c>
      <c r="AG451" s="29" t="s">
        <v>25</v>
      </c>
      <c r="AH451" s="29" t="s">
        <v>26</v>
      </c>
      <c r="AI451" s="117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10">
        <v>1</v>
      </c>
      <c r="B452" s="30" t="s">
        <v>63</v>
      </c>
      <c r="C452" s="83">
        <v>9927</v>
      </c>
      <c r="D452" s="32">
        <f>650*10</f>
        <v>6500</v>
      </c>
      <c r="E452" s="32">
        <f>-10*6</f>
        <v>-60</v>
      </c>
      <c r="F452" s="32"/>
      <c r="G452" s="32">
        <f t="shared" ref="G452:G485" si="138">SUM(D452:E452)</f>
        <v>6440</v>
      </c>
      <c r="H452" s="12"/>
      <c r="I452" s="12"/>
      <c r="J452" s="12"/>
      <c r="K452" s="12">
        <f t="shared" ref="K452:K485" si="139">SUM(G452:J452)</f>
        <v>6440</v>
      </c>
      <c r="M452" s="10">
        <v>1</v>
      </c>
      <c r="N452" s="30" t="s">
        <v>63</v>
      </c>
      <c r="O452" s="31">
        <v>10096</v>
      </c>
      <c r="P452" s="32">
        <f>650*216+622*20+229*6</f>
        <v>154214</v>
      </c>
      <c r="Q452" s="32">
        <f>-236*6</f>
        <v>-1416</v>
      </c>
      <c r="R452" s="32"/>
      <c r="S452" s="32">
        <f>SUM(P452:Q452)</f>
        <v>152798</v>
      </c>
      <c r="T452" s="12"/>
      <c r="U452" s="12">
        <f>78*6</f>
        <v>468</v>
      </c>
      <c r="V452" s="12">
        <f>-42*4</f>
        <v>-168</v>
      </c>
      <c r="W452" s="12">
        <f>SUM(S452:V452)</f>
        <v>153098</v>
      </c>
      <c r="Y452" s="10">
        <v>1</v>
      </c>
      <c r="Z452" s="30" t="s">
        <v>63</v>
      </c>
      <c r="AA452" s="31">
        <v>10026</v>
      </c>
      <c r="AB452" s="32">
        <f>650*10+9.5*10</f>
        <v>6595</v>
      </c>
      <c r="AC452" s="32"/>
      <c r="AD452" s="32"/>
      <c r="AE452" s="32">
        <f>SUM(AB452:AC452)</f>
        <v>6595</v>
      </c>
      <c r="AF452" s="12"/>
      <c r="AG452" s="12"/>
      <c r="AH452" s="12"/>
      <c r="AI452" s="12">
        <f>SUM(AE452:AH452)</f>
        <v>6595</v>
      </c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10">
        <v>2</v>
      </c>
      <c r="B453" s="30" t="s">
        <v>63</v>
      </c>
      <c r="C453" s="83">
        <f>C452+1</f>
        <v>9928</v>
      </c>
      <c r="D453" s="32">
        <f>650*18+622*3</f>
        <v>13566</v>
      </c>
      <c r="E453" s="32"/>
      <c r="F453" s="32"/>
      <c r="G453" s="32">
        <f t="shared" si="138"/>
        <v>13566</v>
      </c>
      <c r="H453" s="12"/>
      <c r="I453" s="12"/>
      <c r="J453" s="12"/>
      <c r="K453" s="12">
        <f t="shared" si="139"/>
        <v>13566</v>
      </c>
      <c r="M453" s="10">
        <v>2</v>
      </c>
      <c r="N453" s="30" t="s">
        <v>63</v>
      </c>
      <c r="O453" s="31">
        <f>O452+1</f>
        <v>10097</v>
      </c>
      <c r="P453" s="32">
        <f>650*128+670*5+622*12+229*2</f>
        <v>94472</v>
      </c>
      <c r="Q453" s="32">
        <f>-145*6</f>
        <v>-870</v>
      </c>
      <c r="R453" s="32"/>
      <c r="S453" s="32">
        <f t="shared" ref="S453:S490" si="140">SUM(P453:Q453)</f>
        <v>93602</v>
      </c>
      <c r="T453" s="12"/>
      <c r="U453" s="12">
        <f>324+72</f>
        <v>396</v>
      </c>
      <c r="V453" s="12"/>
      <c r="W453" s="12">
        <f t="shared" ref="W453:W493" si="141">SUM(S453:V453)</f>
        <v>93998</v>
      </c>
      <c r="Y453" s="10">
        <v>2</v>
      </c>
      <c r="Z453" s="30" t="s">
        <v>63</v>
      </c>
      <c r="AA453" s="31">
        <f>AA452+1</f>
        <v>10027</v>
      </c>
      <c r="AB453" s="32">
        <f>650*32+622*5+229*2</f>
        <v>24368</v>
      </c>
      <c r="AC453" s="32"/>
      <c r="AD453" s="32"/>
      <c r="AE453" s="32">
        <f t="shared" ref="AE453:AE455" si="142">SUM(AB453:AC453)</f>
        <v>24368</v>
      </c>
      <c r="AF453" s="12"/>
      <c r="AG453" s="12">
        <f>94.5+39</f>
        <v>133.5</v>
      </c>
      <c r="AH453" s="12"/>
      <c r="AI453" s="12">
        <f t="shared" ref="AI453:AI484" si="143">SUM(AE453:AH453)</f>
        <v>24501.5</v>
      </c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10">
        <v>3</v>
      </c>
      <c r="B454" s="30" t="s">
        <v>63</v>
      </c>
      <c r="C454" s="83">
        <f t="shared" ref="C454:C472" si="144">C453+1</f>
        <v>9929</v>
      </c>
      <c r="D454" s="33">
        <f>650*13+670*2+622*4+912+9.5*17</f>
        <v>13351.5</v>
      </c>
      <c r="E454" s="32"/>
      <c r="F454" s="33"/>
      <c r="G454" s="33">
        <f t="shared" si="138"/>
        <v>13351.5</v>
      </c>
      <c r="H454" s="34"/>
      <c r="I454" s="34"/>
      <c r="J454" s="34"/>
      <c r="K454" s="34">
        <f t="shared" si="139"/>
        <v>13351.5</v>
      </c>
      <c r="M454" s="10">
        <v>3</v>
      </c>
      <c r="N454" s="30" t="s">
        <v>63</v>
      </c>
      <c r="O454" s="31">
        <f t="shared" ref="O454:O456" si="145">O453+1</f>
        <v>10098</v>
      </c>
      <c r="P454" s="32">
        <f>650*22+622*5+229*3</f>
        <v>18097</v>
      </c>
      <c r="Q454" s="32"/>
      <c r="R454" s="32"/>
      <c r="S454" s="32">
        <f t="shared" si="140"/>
        <v>18097</v>
      </c>
      <c r="T454" s="12"/>
      <c r="U454" s="12"/>
      <c r="V454" s="12">
        <v>-1332</v>
      </c>
      <c r="W454" s="12">
        <f t="shared" si="141"/>
        <v>16765</v>
      </c>
      <c r="Y454" s="10">
        <v>3</v>
      </c>
      <c r="Z454" s="30" t="s">
        <v>63</v>
      </c>
      <c r="AA454" s="31">
        <f t="shared" ref="AA454:AA457" si="146">AA453+1</f>
        <v>10028</v>
      </c>
      <c r="AB454" s="33">
        <f>650*7+622*3+9.5*10</f>
        <v>6511</v>
      </c>
      <c r="AC454" s="33"/>
      <c r="AD454" s="32"/>
      <c r="AE454" s="32">
        <f t="shared" si="142"/>
        <v>6511</v>
      </c>
      <c r="AF454" s="12"/>
      <c r="AG454" s="12"/>
      <c r="AH454" s="12"/>
      <c r="AI454" s="12">
        <f t="shared" si="143"/>
        <v>6511</v>
      </c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10">
        <v>4</v>
      </c>
      <c r="B455" s="30" t="s">
        <v>63</v>
      </c>
      <c r="C455" s="83">
        <f t="shared" si="144"/>
        <v>9930</v>
      </c>
      <c r="D455" s="32">
        <f>650*10+670+9.5*10</f>
        <v>7265</v>
      </c>
      <c r="E455" s="32"/>
      <c r="F455" s="32"/>
      <c r="G455" s="32">
        <f t="shared" si="138"/>
        <v>7265</v>
      </c>
      <c r="H455" s="12"/>
      <c r="I455" s="12"/>
      <c r="J455" s="12"/>
      <c r="K455" s="12">
        <f t="shared" si="139"/>
        <v>7265</v>
      </c>
      <c r="M455" s="10">
        <v>4</v>
      </c>
      <c r="N455" s="30" t="s">
        <v>63</v>
      </c>
      <c r="O455" s="31">
        <f t="shared" si="145"/>
        <v>10099</v>
      </c>
      <c r="P455" s="32">
        <f>650*2+9.5*2</f>
        <v>1319</v>
      </c>
      <c r="Q455" s="32"/>
      <c r="R455" s="32"/>
      <c r="S455" s="32">
        <f t="shared" si="140"/>
        <v>1319</v>
      </c>
      <c r="T455" s="12"/>
      <c r="U455" s="12"/>
      <c r="V455" s="12"/>
      <c r="W455" s="12">
        <f t="shared" si="141"/>
        <v>1319</v>
      </c>
      <c r="Y455" s="10">
        <v>4</v>
      </c>
      <c r="Z455" s="30" t="s">
        <v>63</v>
      </c>
      <c r="AA455" s="31">
        <f t="shared" si="146"/>
        <v>10029</v>
      </c>
      <c r="AB455" s="32">
        <f>650*20+622*10+229</f>
        <v>19449</v>
      </c>
      <c r="AC455" s="32"/>
      <c r="AD455" s="32"/>
      <c r="AE455" s="32">
        <f t="shared" si="142"/>
        <v>19449</v>
      </c>
      <c r="AF455" s="12"/>
      <c r="AG455">
        <f>30*111+78</f>
        <v>3408</v>
      </c>
      <c r="AH455" s="12"/>
      <c r="AI455" s="12">
        <f t="shared" si="143"/>
        <v>22857</v>
      </c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10">
        <v>5</v>
      </c>
      <c r="B456" s="30" t="s">
        <v>63</v>
      </c>
      <c r="C456" s="83">
        <f t="shared" si="144"/>
        <v>9931</v>
      </c>
      <c r="D456" s="32">
        <f>650*3+9.5*3</f>
        <v>1978.5</v>
      </c>
      <c r="E456" s="32"/>
      <c r="F456" s="32"/>
      <c r="G456" s="32">
        <f t="shared" si="138"/>
        <v>1978.5</v>
      </c>
      <c r="H456" s="12"/>
      <c r="I456" s="12"/>
      <c r="J456" s="12"/>
      <c r="K456" s="12">
        <f t="shared" si="139"/>
        <v>1978.5</v>
      </c>
      <c r="M456" s="10">
        <v>5</v>
      </c>
      <c r="N456" s="30" t="s">
        <v>63</v>
      </c>
      <c r="O456" s="31">
        <f t="shared" si="145"/>
        <v>10100</v>
      </c>
      <c r="P456" s="32">
        <f>650*8+670+622*2+9.5*10</f>
        <v>7209</v>
      </c>
      <c r="Q456" s="32"/>
      <c r="R456" s="32"/>
      <c r="S456" s="32">
        <f t="shared" si="140"/>
        <v>7209</v>
      </c>
      <c r="T456" s="12"/>
      <c r="U456" s="12"/>
      <c r="V456" s="12">
        <f>-111*12</f>
        <v>-1332</v>
      </c>
      <c r="W456" s="12">
        <f t="shared" si="141"/>
        <v>5877</v>
      </c>
      <c r="Y456" s="10">
        <v>5</v>
      </c>
      <c r="Z456" s="30" t="s">
        <v>63</v>
      </c>
      <c r="AA456" s="31">
        <f t="shared" si="146"/>
        <v>10030</v>
      </c>
      <c r="AB456" s="32">
        <f>650*255+670*20+650*5+622*54+1050*20+872*4+12*229+500*4</f>
        <v>245224</v>
      </c>
      <c r="AC456" s="32">
        <f>-353*6</f>
        <v>-2118</v>
      </c>
      <c r="AD456" s="32"/>
      <c r="AE456" s="32">
        <f t="shared" ref="AE456:AE457" si="147">SUM(AB456:AC456)</f>
        <v>243106</v>
      </c>
      <c r="AF456" s="12"/>
      <c r="AG456" s="12"/>
      <c r="AH456" s="12"/>
      <c r="AI456" s="12">
        <f t="shared" si="143"/>
        <v>243106</v>
      </c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10">
        <v>6</v>
      </c>
      <c r="B457" s="30" t="s">
        <v>63</v>
      </c>
      <c r="C457" s="83">
        <f t="shared" si="144"/>
        <v>9932</v>
      </c>
      <c r="D457" s="32">
        <f>650*5+622+9.5*6+500</f>
        <v>4429</v>
      </c>
      <c r="E457" s="32"/>
      <c r="F457" s="32"/>
      <c r="G457" s="32">
        <f t="shared" si="138"/>
        <v>4429</v>
      </c>
      <c r="H457" s="12"/>
      <c r="I457" s="12"/>
      <c r="J457" s="12"/>
      <c r="K457" s="12">
        <f t="shared" si="139"/>
        <v>4429</v>
      </c>
      <c r="M457" s="10">
        <v>6</v>
      </c>
      <c r="N457" s="30" t="s">
        <v>63</v>
      </c>
      <c r="O457" s="31">
        <v>10151</v>
      </c>
      <c r="P457" s="32">
        <f>650*4+670</f>
        <v>3270</v>
      </c>
      <c r="Q457" s="32"/>
      <c r="R457" s="32"/>
      <c r="S457" s="32">
        <f t="shared" si="140"/>
        <v>3270</v>
      </c>
      <c r="T457" s="12"/>
      <c r="U457" s="12"/>
      <c r="V457" s="10">
        <v>-1332</v>
      </c>
      <c r="W457" s="12">
        <f t="shared" si="141"/>
        <v>1938</v>
      </c>
      <c r="Y457" s="10">
        <v>6</v>
      </c>
      <c r="Z457" s="30" t="s">
        <v>63</v>
      </c>
      <c r="AA457" s="31">
        <f t="shared" si="146"/>
        <v>10031</v>
      </c>
      <c r="AB457" s="32">
        <f>650*108+670*10+622*5+872+229*2</f>
        <v>81340</v>
      </c>
      <c r="AC457" s="32">
        <f>-123*6</f>
        <v>-738</v>
      </c>
      <c r="AD457" s="32"/>
      <c r="AE457" s="32">
        <f t="shared" si="147"/>
        <v>80602</v>
      </c>
      <c r="AF457" s="12"/>
      <c r="AG457" s="12">
        <v>504</v>
      </c>
      <c r="AH457" s="10"/>
      <c r="AI457" s="12">
        <f t="shared" si="143"/>
        <v>81106</v>
      </c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10">
        <v>7</v>
      </c>
      <c r="B458" s="30" t="s">
        <v>63</v>
      </c>
      <c r="C458" s="83">
        <f t="shared" si="144"/>
        <v>9933</v>
      </c>
      <c r="D458" s="32">
        <f>650*6+9.5*6</f>
        <v>3957</v>
      </c>
      <c r="E458" s="32"/>
      <c r="F458" s="32"/>
      <c r="G458" s="32">
        <f t="shared" si="138"/>
        <v>3957</v>
      </c>
      <c r="H458" s="12"/>
      <c r="I458" s="12"/>
      <c r="J458" s="12"/>
      <c r="K458" s="12">
        <f t="shared" si="139"/>
        <v>3957</v>
      </c>
      <c r="M458" s="10">
        <v>7</v>
      </c>
      <c r="N458" s="30"/>
      <c r="O458" s="11" t="s">
        <v>27</v>
      </c>
      <c r="P458" s="32"/>
      <c r="Q458" s="32"/>
      <c r="R458" s="32"/>
      <c r="S458" s="32">
        <f t="shared" si="140"/>
        <v>0</v>
      </c>
      <c r="T458" s="12"/>
      <c r="U458" s="12"/>
      <c r="V458" s="12"/>
      <c r="W458" s="12">
        <f t="shared" si="141"/>
        <v>0</v>
      </c>
      <c r="Y458" s="10">
        <v>7</v>
      </c>
      <c r="Z458" s="30"/>
      <c r="AA458" s="11" t="s">
        <v>27</v>
      </c>
      <c r="AB458" s="32"/>
      <c r="AC458" s="32"/>
      <c r="AD458" s="32"/>
      <c r="AE458" s="32">
        <f>SUM(AB458:AC458)</f>
        <v>0</v>
      </c>
      <c r="AF458" s="12"/>
      <c r="AG458" s="58"/>
      <c r="AH458" s="12"/>
      <c r="AI458" s="12">
        <f t="shared" si="143"/>
        <v>0</v>
      </c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10">
        <v>8</v>
      </c>
      <c r="B459" s="30" t="s">
        <v>63</v>
      </c>
      <c r="C459" s="83">
        <f t="shared" si="144"/>
        <v>9934</v>
      </c>
      <c r="D459" s="32">
        <f>650*12+9.5*12</f>
        <v>7914</v>
      </c>
      <c r="E459" s="32"/>
      <c r="F459" s="32"/>
      <c r="G459" s="32">
        <f t="shared" si="138"/>
        <v>7914</v>
      </c>
      <c r="H459" s="12"/>
      <c r="I459" s="12"/>
      <c r="J459" s="12"/>
      <c r="K459" s="12">
        <f t="shared" si="139"/>
        <v>7914</v>
      </c>
      <c r="M459" s="10">
        <v>8</v>
      </c>
      <c r="N459" s="30"/>
      <c r="O459" s="31"/>
      <c r="P459" s="32"/>
      <c r="Q459" s="32"/>
      <c r="R459" s="32"/>
      <c r="S459" s="32">
        <f t="shared" si="140"/>
        <v>0</v>
      </c>
      <c r="T459" s="12"/>
      <c r="U459" s="12"/>
      <c r="V459" s="12"/>
      <c r="W459" s="12">
        <f t="shared" si="141"/>
        <v>0</v>
      </c>
      <c r="Y459" s="10">
        <v>8</v>
      </c>
      <c r="Z459" s="30"/>
      <c r="AA459" s="31"/>
      <c r="AB459" s="32"/>
      <c r="AC459" s="32"/>
      <c r="AE459" s="32">
        <f t="shared" ref="AE459:AE490" si="148">SUM(AB459:AC459)</f>
        <v>0</v>
      </c>
      <c r="AF459" s="12"/>
      <c r="AG459" s="12"/>
      <c r="AH459" s="12"/>
      <c r="AI459" s="12">
        <f t="shared" si="143"/>
        <v>0</v>
      </c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10">
        <v>9</v>
      </c>
      <c r="B460" s="30" t="s">
        <v>63</v>
      </c>
      <c r="C460" s="83">
        <f t="shared" si="144"/>
        <v>9935</v>
      </c>
      <c r="D460" s="32">
        <f>650*6+622+9.5*7</f>
        <v>4588.5</v>
      </c>
      <c r="E460" s="32"/>
      <c r="F460" s="32"/>
      <c r="G460" s="32">
        <f t="shared" si="138"/>
        <v>4588.5</v>
      </c>
      <c r="H460" s="12"/>
      <c r="I460" s="12"/>
      <c r="J460" s="12"/>
      <c r="K460" s="12">
        <f t="shared" si="139"/>
        <v>4588.5</v>
      </c>
      <c r="M460" s="10">
        <v>9</v>
      </c>
      <c r="N460" s="30"/>
      <c r="O460" s="31"/>
      <c r="P460" s="32"/>
      <c r="Q460" s="32"/>
      <c r="R460" s="32"/>
      <c r="S460" s="32">
        <f t="shared" si="140"/>
        <v>0</v>
      </c>
      <c r="T460" s="12"/>
      <c r="U460" s="12"/>
      <c r="V460" s="12"/>
      <c r="W460" s="12">
        <f t="shared" si="141"/>
        <v>0</v>
      </c>
      <c r="Y460" s="10">
        <v>9</v>
      </c>
      <c r="Z460" s="30"/>
      <c r="AA460" s="31"/>
      <c r="AB460" s="32"/>
      <c r="AC460" s="32"/>
      <c r="AD460" s="32"/>
      <c r="AE460" s="32">
        <f t="shared" si="148"/>
        <v>0</v>
      </c>
      <c r="AF460" s="12"/>
      <c r="AH460" s="12"/>
      <c r="AI460" s="12">
        <f t="shared" si="143"/>
        <v>0</v>
      </c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10">
        <v>10</v>
      </c>
      <c r="B461" s="30" t="s">
        <v>63</v>
      </c>
      <c r="C461" s="83">
        <f t="shared" si="144"/>
        <v>9936</v>
      </c>
      <c r="D461" s="32">
        <f>650*4+9.5*4</f>
        <v>2638</v>
      </c>
      <c r="E461" s="32"/>
      <c r="F461" s="32"/>
      <c r="G461" s="32">
        <f t="shared" si="138"/>
        <v>2638</v>
      </c>
      <c r="H461" s="12"/>
      <c r="I461" s="12"/>
      <c r="J461" s="12"/>
      <c r="K461" s="12">
        <f t="shared" si="139"/>
        <v>2638</v>
      </c>
      <c r="M461" s="10">
        <v>10</v>
      </c>
      <c r="N461" s="30"/>
      <c r="O461" s="31"/>
      <c r="P461" s="32"/>
      <c r="Q461" s="32"/>
      <c r="R461" s="32"/>
      <c r="S461" s="32">
        <f t="shared" si="140"/>
        <v>0</v>
      </c>
      <c r="T461" s="12"/>
      <c r="U461" s="12"/>
      <c r="V461" s="12"/>
      <c r="W461" s="12">
        <f t="shared" si="141"/>
        <v>0</v>
      </c>
      <c r="Y461" s="10">
        <v>10</v>
      </c>
      <c r="Z461" s="30"/>
      <c r="AA461" s="31"/>
      <c r="AB461" s="32"/>
      <c r="AC461" s="32"/>
      <c r="AD461" s="32"/>
      <c r="AE461" s="32">
        <f t="shared" si="148"/>
        <v>0</v>
      </c>
      <c r="AF461" s="12"/>
      <c r="AG461" s="12"/>
      <c r="AH461" s="12"/>
      <c r="AI461" s="12">
        <f t="shared" si="143"/>
        <v>0</v>
      </c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10">
        <v>11</v>
      </c>
      <c r="B462" s="30" t="s">
        <v>63</v>
      </c>
      <c r="C462" s="83">
        <f t="shared" si="144"/>
        <v>9937</v>
      </c>
      <c r="D462" s="32">
        <f>650*5+622+9.5*6</f>
        <v>3929</v>
      </c>
      <c r="E462" s="32"/>
      <c r="F462" s="32"/>
      <c r="G462" s="32">
        <f t="shared" si="138"/>
        <v>3929</v>
      </c>
      <c r="H462" s="12"/>
      <c r="I462" s="12"/>
      <c r="J462" s="12"/>
      <c r="K462" s="12">
        <f t="shared" si="139"/>
        <v>3929</v>
      </c>
      <c r="M462" s="10">
        <v>11</v>
      </c>
      <c r="N462" s="30"/>
      <c r="O462" s="31"/>
      <c r="P462" s="32"/>
      <c r="Q462" s="32"/>
      <c r="R462" s="32"/>
      <c r="S462" s="32">
        <f t="shared" si="140"/>
        <v>0</v>
      </c>
      <c r="T462" s="12"/>
      <c r="U462" s="12"/>
      <c r="V462" s="12"/>
      <c r="W462" s="12">
        <f t="shared" si="141"/>
        <v>0</v>
      </c>
      <c r="Y462" s="10">
        <v>11</v>
      </c>
      <c r="Z462" s="30"/>
      <c r="AA462" s="31"/>
      <c r="AB462" s="32"/>
      <c r="AC462" s="32"/>
      <c r="AD462" s="32"/>
      <c r="AE462" s="32">
        <f t="shared" si="148"/>
        <v>0</v>
      </c>
      <c r="AF462" s="12"/>
      <c r="AG462" s="12"/>
      <c r="AH462" s="12"/>
      <c r="AI462" s="12">
        <f t="shared" si="143"/>
        <v>0</v>
      </c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10">
        <v>12</v>
      </c>
      <c r="B463" s="30" t="s">
        <v>63</v>
      </c>
      <c r="C463" s="83">
        <f t="shared" si="144"/>
        <v>9938</v>
      </c>
      <c r="D463" s="32">
        <f>650*30+670+622*10+229+650</f>
        <v>27269</v>
      </c>
      <c r="E463" s="32"/>
      <c r="F463" s="32"/>
      <c r="G463" s="32">
        <f t="shared" si="138"/>
        <v>27269</v>
      </c>
      <c r="H463" s="12"/>
      <c r="I463" s="12"/>
      <c r="J463" s="10"/>
      <c r="K463" s="12">
        <f t="shared" si="139"/>
        <v>27269</v>
      </c>
      <c r="M463" s="10">
        <v>12</v>
      </c>
      <c r="N463" s="30"/>
      <c r="O463" s="31"/>
      <c r="P463" s="32"/>
      <c r="Q463" s="32"/>
      <c r="R463" s="32"/>
      <c r="S463" s="32">
        <f t="shared" si="140"/>
        <v>0</v>
      </c>
      <c r="T463" s="12"/>
      <c r="U463" s="12"/>
      <c r="V463" s="12"/>
      <c r="W463" s="12">
        <f t="shared" si="141"/>
        <v>0</v>
      </c>
      <c r="Y463" s="10">
        <v>12</v>
      </c>
      <c r="Z463" s="30"/>
      <c r="AA463" s="31"/>
      <c r="AB463" s="32"/>
      <c r="AC463" s="32"/>
      <c r="AD463" s="32"/>
      <c r="AE463" s="32">
        <f t="shared" si="148"/>
        <v>0</v>
      </c>
      <c r="AF463" s="12"/>
      <c r="AG463" s="12"/>
      <c r="AH463" s="12"/>
      <c r="AI463" s="12">
        <f t="shared" si="143"/>
        <v>0</v>
      </c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10">
        <v>13</v>
      </c>
      <c r="B464" s="30" t="s">
        <v>63</v>
      </c>
      <c r="C464" s="83">
        <f t="shared" si="144"/>
        <v>9939</v>
      </c>
      <c r="D464" s="32">
        <f>650</f>
        <v>650</v>
      </c>
      <c r="E464" s="32"/>
      <c r="F464" s="32"/>
      <c r="G464" s="32">
        <f t="shared" si="138"/>
        <v>650</v>
      </c>
      <c r="H464" s="12"/>
      <c r="I464" s="12"/>
      <c r="J464" s="12"/>
      <c r="K464" s="12">
        <f t="shared" si="139"/>
        <v>650</v>
      </c>
      <c r="M464" s="10">
        <v>13</v>
      </c>
      <c r="N464" s="30"/>
      <c r="O464" s="31"/>
      <c r="P464" s="32"/>
      <c r="Q464" s="32"/>
      <c r="R464" s="32"/>
      <c r="S464" s="32">
        <f t="shared" si="140"/>
        <v>0</v>
      </c>
      <c r="T464" s="12"/>
      <c r="U464" s="12"/>
      <c r="V464" s="12"/>
      <c r="W464" s="12">
        <f t="shared" si="141"/>
        <v>0</v>
      </c>
      <c r="Y464" s="10">
        <v>13</v>
      </c>
      <c r="Z464" s="30"/>
      <c r="AA464" s="31"/>
      <c r="AB464" s="32"/>
      <c r="AC464" s="32"/>
      <c r="AD464" s="32"/>
      <c r="AE464" s="32">
        <f t="shared" si="148"/>
        <v>0</v>
      </c>
      <c r="AF464" s="12"/>
      <c r="AG464" s="12"/>
      <c r="AH464" s="12"/>
      <c r="AI464" s="12">
        <f t="shared" si="143"/>
        <v>0</v>
      </c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10">
        <v>14</v>
      </c>
      <c r="B465" s="30" t="s">
        <v>63</v>
      </c>
      <c r="C465" s="83">
        <f t="shared" si="144"/>
        <v>9940</v>
      </c>
      <c r="D465" s="32">
        <f>650*27</f>
        <v>17550</v>
      </c>
      <c r="E465" s="32"/>
      <c r="F465" s="32"/>
      <c r="G465" s="32">
        <f t="shared" si="138"/>
        <v>17550</v>
      </c>
      <c r="H465" s="12"/>
      <c r="I465" s="12">
        <v>162</v>
      </c>
      <c r="J465" s="12"/>
      <c r="K465" s="12">
        <f t="shared" si="139"/>
        <v>17712</v>
      </c>
      <c r="M465" s="10">
        <v>14</v>
      </c>
      <c r="N465" s="30"/>
      <c r="O465" s="31"/>
      <c r="P465" s="32"/>
      <c r="Q465" s="32"/>
      <c r="R465" s="32"/>
      <c r="S465" s="32">
        <f t="shared" si="140"/>
        <v>0</v>
      </c>
      <c r="T465" s="12"/>
      <c r="U465" s="12"/>
      <c r="V465" s="12"/>
      <c r="W465" s="12">
        <f t="shared" si="141"/>
        <v>0</v>
      </c>
      <c r="Y465" s="10">
        <v>14</v>
      </c>
      <c r="Z465" s="30"/>
      <c r="AA465" s="31"/>
      <c r="AB465" s="32"/>
      <c r="AC465" s="32"/>
      <c r="AD465" s="32"/>
      <c r="AE465" s="32">
        <f t="shared" si="148"/>
        <v>0</v>
      </c>
      <c r="AF465" s="12"/>
      <c r="AG465" s="12"/>
      <c r="AH465" s="12"/>
      <c r="AI465" s="12">
        <f t="shared" si="143"/>
        <v>0</v>
      </c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10">
        <v>15</v>
      </c>
      <c r="B466" s="30" t="s">
        <v>63</v>
      </c>
      <c r="C466" s="83">
        <f t="shared" si="144"/>
        <v>9941</v>
      </c>
      <c r="D466" s="32">
        <f>650*12+670+872+500</f>
        <v>9842</v>
      </c>
      <c r="E466" s="32"/>
      <c r="F466" s="32"/>
      <c r="G466" s="32">
        <f t="shared" si="138"/>
        <v>9842</v>
      </c>
      <c r="H466" s="12"/>
      <c r="I466" s="12">
        <v>16.5</v>
      </c>
      <c r="J466" s="12"/>
      <c r="K466" s="12">
        <f t="shared" si="139"/>
        <v>9858.5</v>
      </c>
      <c r="M466" s="10">
        <v>15</v>
      </c>
      <c r="N466" s="30"/>
      <c r="O466" s="31"/>
      <c r="P466" s="32"/>
      <c r="Q466" s="32"/>
      <c r="R466" s="32"/>
      <c r="S466" s="32">
        <f t="shared" si="140"/>
        <v>0</v>
      </c>
      <c r="T466" s="12"/>
      <c r="U466" s="12"/>
      <c r="V466" s="12"/>
      <c r="W466" s="12">
        <f t="shared" si="141"/>
        <v>0</v>
      </c>
      <c r="Y466" s="10">
        <v>15</v>
      </c>
      <c r="Z466" s="30"/>
      <c r="AA466" s="31"/>
      <c r="AB466" s="32"/>
      <c r="AC466" s="32"/>
      <c r="AD466" s="32"/>
      <c r="AE466" s="32">
        <f t="shared" si="148"/>
        <v>0</v>
      </c>
      <c r="AF466" s="12"/>
      <c r="AG466" s="12"/>
      <c r="AH466" s="12"/>
      <c r="AI466" s="12">
        <f t="shared" si="143"/>
        <v>0</v>
      </c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10">
        <v>16</v>
      </c>
      <c r="B467" s="30" t="s">
        <v>63</v>
      </c>
      <c r="C467" s="83">
        <f t="shared" si="144"/>
        <v>9942</v>
      </c>
      <c r="D467" s="32">
        <f>650*9+872</f>
        <v>6722</v>
      </c>
      <c r="E467" s="32"/>
      <c r="F467" s="32"/>
      <c r="G467" s="32">
        <f t="shared" si="138"/>
        <v>6722</v>
      </c>
      <c r="H467" s="12"/>
      <c r="I467" s="12"/>
      <c r="J467" s="12"/>
      <c r="K467" s="12">
        <f t="shared" si="139"/>
        <v>6722</v>
      </c>
      <c r="M467" s="10">
        <v>16</v>
      </c>
      <c r="N467" s="30"/>
      <c r="O467" s="31"/>
      <c r="P467" s="32"/>
      <c r="Q467" s="32"/>
      <c r="R467" s="32"/>
      <c r="S467" s="32">
        <f t="shared" si="140"/>
        <v>0</v>
      </c>
      <c r="T467" s="12"/>
      <c r="U467" s="12"/>
      <c r="V467" s="12"/>
      <c r="W467" s="12">
        <f t="shared" si="141"/>
        <v>0</v>
      </c>
      <c r="Y467" s="10">
        <v>16</v>
      </c>
      <c r="AA467" s="11"/>
      <c r="AB467" s="32"/>
      <c r="AC467" s="32"/>
      <c r="AD467" s="32"/>
      <c r="AE467" s="32">
        <f t="shared" si="148"/>
        <v>0</v>
      </c>
      <c r="AF467" s="12"/>
      <c r="AG467" s="12"/>
      <c r="AH467" s="12"/>
      <c r="AI467" s="12">
        <f t="shared" si="143"/>
        <v>0</v>
      </c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10">
        <v>17</v>
      </c>
      <c r="B468" s="30" t="s">
        <v>63</v>
      </c>
      <c r="C468" s="83">
        <f t="shared" si="144"/>
        <v>9943</v>
      </c>
      <c r="D468" s="32">
        <f>650*122+670*5</f>
        <v>82650</v>
      </c>
      <c r="E468" s="32"/>
      <c r="F468" s="32"/>
      <c r="G468" s="32">
        <f t="shared" si="138"/>
        <v>82650</v>
      </c>
      <c r="H468" s="12"/>
      <c r="I468" s="12"/>
      <c r="J468" s="12"/>
      <c r="K468" s="12">
        <f t="shared" si="139"/>
        <v>82650</v>
      </c>
      <c r="M468" s="10">
        <v>17</v>
      </c>
      <c r="N468" s="30"/>
      <c r="O468" s="31"/>
      <c r="P468" s="35"/>
      <c r="Q468" s="32"/>
      <c r="R468" s="32"/>
      <c r="S468" s="32">
        <f t="shared" si="140"/>
        <v>0</v>
      </c>
      <c r="T468" s="12"/>
      <c r="U468" s="12"/>
      <c r="V468" s="12"/>
      <c r="W468" s="12">
        <f t="shared" si="141"/>
        <v>0</v>
      </c>
      <c r="Y468" s="10">
        <v>17</v>
      </c>
      <c r="Z468" s="30"/>
      <c r="AA468" s="31"/>
      <c r="AB468" s="35"/>
      <c r="AC468" s="32"/>
      <c r="AD468" s="32"/>
      <c r="AE468" s="32">
        <f t="shared" si="148"/>
        <v>0</v>
      </c>
      <c r="AF468" s="12"/>
      <c r="AG468" s="12"/>
      <c r="AH468" s="12"/>
      <c r="AI468" s="12">
        <f t="shared" si="143"/>
        <v>0</v>
      </c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10">
        <v>18</v>
      </c>
      <c r="B469" s="30" t="s">
        <v>63</v>
      </c>
      <c r="C469" s="83">
        <f t="shared" si="144"/>
        <v>9944</v>
      </c>
      <c r="D469" s="32">
        <f>650*16</f>
        <v>10400</v>
      </c>
      <c r="E469" s="32"/>
      <c r="F469" s="32"/>
      <c r="G469" s="32">
        <f t="shared" si="138"/>
        <v>10400</v>
      </c>
      <c r="H469" s="12"/>
      <c r="I469" s="12"/>
      <c r="J469" s="12"/>
      <c r="K469" s="12">
        <f t="shared" si="139"/>
        <v>10400</v>
      </c>
      <c r="M469" s="10">
        <v>18</v>
      </c>
      <c r="N469" s="30"/>
      <c r="O469" s="31"/>
      <c r="P469" s="32"/>
      <c r="Q469" s="32"/>
      <c r="R469" s="32"/>
      <c r="S469" s="32">
        <f t="shared" si="140"/>
        <v>0</v>
      </c>
      <c r="T469" s="12"/>
      <c r="U469" s="12"/>
      <c r="V469" s="12"/>
      <c r="W469" s="12">
        <f t="shared" si="141"/>
        <v>0</v>
      </c>
      <c r="Y469" s="10">
        <v>18</v>
      </c>
      <c r="Z469" s="30"/>
      <c r="AA469" s="31"/>
      <c r="AB469" s="32"/>
      <c r="AC469" s="32"/>
      <c r="AD469" s="32"/>
      <c r="AE469" s="32">
        <f t="shared" si="148"/>
        <v>0</v>
      </c>
      <c r="AF469" s="12"/>
      <c r="AG469" s="12"/>
      <c r="AH469" s="12"/>
      <c r="AI469" s="12">
        <f t="shared" si="143"/>
        <v>0</v>
      </c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10">
        <v>19</v>
      </c>
      <c r="B470" s="30" t="s">
        <v>63</v>
      </c>
      <c r="C470" s="83">
        <f t="shared" si="144"/>
        <v>9945</v>
      </c>
      <c r="D470" s="32">
        <f>650*5+9.5*5</f>
        <v>3297.5</v>
      </c>
      <c r="E470" s="32"/>
      <c r="F470" s="32"/>
      <c r="G470" s="32">
        <f t="shared" si="138"/>
        <v>3297.5</v>
      </c>
      <c r="H470" s="12"/>
      <c r="I470" s="12"/>
      <c r="J470" s="12"/>
      <c r="K470" s="12">
        <f t="shared" si="139"/>
        <v>3297.5</v>
      </c>
      <c r="M470" s="10">
        <v>19</v>
      </c>
      <c r="N470" s="30"/>
      <c r="O470" s="31"/>
      <c r="P470" s="32"/>
      <c r="Q470" s="32"/>
      <c r="R470" s="32"/>
      <c r="S470" s="32">
        <f t="shared" si="140"/>
        <v>0</v>
      </c>
      <c r="T470" s="12"/>
      <c r="U470" s="12"/>
      <c r="V470" s="12"/>
      <c r="W470" s="12">
        <f t="shared" si="141"/>
        <v>0</v>
      </c>
      <c r="Y470" s="10">
        <v>19</v>
      </c>
      <c r="Z470" s="30"/>
      <c r="AA470" s="31"/>
      <c r="AB470" s="32"/>
      <c r="AC470" s="32"/>
      <c r="AD470" s="32"/>
      <c r="AE470" s="32">
        <f t="shared" si="148"/>
        <v>0</v>
      </c>
      <c r="AF470" s="12"/>
      <c r="AG470" s="12"/>
      <c r="AH470" s="12"/>
      <c r="AI470" s="12">
        <f t="shared" si="143"/>
        <v>0</v>
      </c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10">
        <v>20</v>
      </c>
      <c r="B471" s="30" t="s">
        <v>63</v>
      </c>
      <c r="C471" s="83">
        <f t="shared" si="144"/>
        <v>9946</v>
      </c>
      <c r="D471" s="32">
        <f>650*4+9.5*4</f>
        <v>2638</v>
      </c>
      <c r="E471" s="32"/>
      <c r="F471" s="32"/>
      <c r="G471" s="32">
        <f t="shared" si="138"/>
        <v>2638</v>
      </c>
      <c r="H471" s="12"/>
      <c r="I471" s="12"/>
      <c r="J471" s="12"/>
      <c r="K471" s="12">
        <f t="shared" si="139"/>
        <v>2638</v>
      </c>
      <c r="M471" s="10">
        <v>20</v>
      </c>
      <c r="N471" s="30"/>
      <c r="O471" s="31"/>
      <c r="P471" s="32"/>
      <c r="Q471" s="32"/>
      <c r="R471" s="32"/>
      <c r="S471" s="32">
        <f t="shared" si="140"/>
        <v>0</v>
      </c>
      <c r="T471" s="12"/>
      <c r="U471" s="12"/>
      <c r="V471" s="12"/>
      <c r="W471" s="12">
        <f t="shared" si="141"/>
        <v>0</v>
      </c>
      <c r="Y471" s="10">
        <v>20</v>
      </c>
      <c r="Z471" s="30"/>
      <c r="AB471" s="32"/>
      <c r="AC471" s="32"/>
      <c r="AD471" s="32"/>
      <c r="AE471" s="32">
        <f t="shared" si="148"/>
        <v>0</v>
      </c>
      <c r="AF471" s="12"/>
      <c r="AG471" s="12"/>
      <c r="AH471" s="12"/>
      <c r="AI471" s="12">
        <f t="shared" si="143"/>
        <v>0</v>
      </c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10">
        <v>21</v>
      </c>
      <c r="B472" s="30" t="s">
        <v>63</v>
      </c>
      <c r="C472" s="83">
        <f t="shared" si="144"/>
        <v>9947</v>
      </c>
      <c r="D472" s="32">
        <f>650</f>
        <v>650</v>
      </c>
      <c r="E472" s="32"/>
      <c r="F472" s="32"/>
      <c r="G472" s="32">
        <f t="shared" si="138"/>
        <v>650</v>
      </c>
      <c r="H472" s="10"/>
      <c r="I472" s="10"/>
      <c r="J472" s="10"/>
      <c r="K472" s="12">
        <f t="shared" si="139"/>
        <v>650</v>
      </c>
      <c r="M472" s="10">
        <v>21</v>
      </c>
      <c r="N472" s="30"/>
      <c r="O472" s="11"/>
      <c r="P472" s="46"/>
      <c r="Q472" s="31"/>
      <c r="R472" s="31"/>
      <c r="S472" s="32">
        <f t="shared" si="140"/>
        <v>0</v>
      </c>
      <c r="T472" s="10"/>
      <c r="U472" s="10"/>
      <c r="V472" s="10"/>
      <c r="W472" s="12">
        <f t="shared" si="141"/>
        <v>0</v>
      </c>
      <c r="Y472" s="10">
        <v>21</v>
      </c>
      <c r="Z472" s="30"/>
      <c r="AA472" s="31"/>
      <c r="AB472" s="46"/>
      <c r="AC472" s="31"/>
      <c r="AD472" s="31"/>
      <c r="AE472" s="32">
        <f t="shared" si="148"/>
        <v>0</v>
      </c>
      <c r="AF472" s="10"/>
      <c r="AG472" s="10"/>
      <c r="AH472" s="10"/>
      <c r="AI472" s="12">
        <f t="shared" si="143"/>
        <v>0</v>
      </c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10">
        <v>22</v>
      </c>
      <c r="B473" s="30"/>
      <c r="C473" s="11" t="s">
        <v>27</v>
      </c>
      <c r="D473" s="32"/>
      <c r="E473" s="32"/>
      <c r="F473" s="32"/>
      <c r="G473" s="32">
        <f t="shared" si="138"/>
        <v>0</v>
      </c>
      <c r="H473" s="10"/>
      <c r="I473" s="10"/>
      <c r="J473" s="10"/>
      <c r="K473" s="12">
        <f t="shared" si="139"/>
        <v>0</v>
      </c>
      <c r="M473" s="10">
        <v>22</v>
      </c>
      <c r="N473" s="30"/>
      <c r="O473" s="31"/>
      <c r="P473" s="45"/>
      <c r="Q473" s="31"/>
      <c r="R473" s="31"/>
      <c r="S473" s="32">
        <f t="shared" si="140"/>
        <v>0</v>
      </c>
      <c r="T473" s="10"/>
      <c r="U473" s="10"/>
      <c r="V473" s="10"/>
      <c r="W473" s="12">
        <f t="shared" si="141"/>
        <v>0</v>
      </c>
      <c r="Y473" s="10">
        <v>22</v>
      </c>
      <c r="Z473" s="30"/>
      <c r="AA473" s="31"/>
      <c r="AB473" s="45"/>
      <c r="AC473" s="31"/>
      <c r="AD473" s="31"/>
      <c r="AE473" s="32">
        <f t="shared" si="148"/>
        <v>0</v>
      </c>
      <c r="AF473" s="10"/>
      <c r="AG473" s="10"/>
      <c r="AH473" s="10"/>
      <c r="AI473" s="12">
        <f t="shared" si="143"/>
        <v>0</v>
      </c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10">
        <v>23</v>
      </c>
      <c r="B474" s="30"/>
      <c r="C474" s="83"/>
      <c r="D474" s="32"/>
      <c r="E474" s="32"/>
      <c r="F474" s="32"/>
      <c r="G474" s="32">
        <f t="shared" si="138"/>
        <v>0</v>
      </c>
      <c r="H474" s="10"/>
      <c r="I474" s="10"/>
      <c r="J474" s="12"/>
      <c r="K474" s="12">
        <f t="shared" si="139"/>
        <v>0</v>
      </c>
      <c r="M474" s="10">
        <v>23</v>
      </c>
      <c r="N474" s="30"/>
      <c r="O474" s="31"/>
      <c r="P474" s="47"/>
      <c r="S474" s="32">
        <f t="shared" si="140"/>
        <v>0</v>
      </c>
      <c r="T474" s="10"/>
      <c r="U474" s="10"/>
      <c r="V474" s="10"/>
      <c r="W474" s="12">
        <f t="shared" si="141"/>
        <v>0</v>
      </c>
      <c r="Y474" s="10">
        <v>23</v>
      </c>
      <c r="Z474" s="30"/>
      <c r="AA474" s="31"/>
      <c r="AB474" s="47"/>
      <c r="AE474" s="32">
        <f t="shared" si="148"/>
        <v>0</v>
      </c>
      <c r="AF474" s="10"/>
      <c r="AG474" s="10"/>
      <c r="AH474" s="10"/>
      <c r="AI474" s="12">
        <f t="shared" si="143"/>
        <v>0</v>
      </c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10">
        <v>24</v>
      </c>
      <c r="B475" s="30"/>
      <c r="C475" s="83"/>
      <c r="D475" s="32"/>
      <c r="E475" s="32"/>
      <c r="F475" s="32"/>
      <c r="G475" s="32">
        <f t="shared" si="138"/>
        <v>0</v>
      </c>
      <c r="H475" s="10"/>
      <c r="I475" s="10"/>
      <c r="J475" s="10"/>
      <c r="K475" s="12">
        <f t="shared" si="139"/>
        <v>0</v>
      </c>
      <c r="M475" s="10">
        <v>24</v>
      </c>
      <c r="N475" s="30"/>
      <c r="O475" s="31"/>
      <c r="P475" s="47"/>
      <c r="Q475" s="31"/>
      <c r="R475" s="31"/>
      <c r="S475" s="32">
        <f t="shared" si="140"/>
        <v>0</v>
      </c>
      <c r="T475" s="10"/>
      <c r="U475" s="10"/>
      <c r="V475" s="10"/>
      <c r="W475" s="12">
        <f t="shared" si="141"/>
        <v>0</v>
      </c>
      <c r="Y475" s="10">
        <v>24</v>
      </c>
      <c r="Z475" s="30"/>
      <c r="AA475" s="31"/>
      <c r="AB475" s="47"/>
      <c r="AC475" s="31"/>
      <c r="AD475" s="31"/>
      <c r="AE475" s="32">
        <f t="shared" si="148"/>
        <v>0</v>
      </c>
      <c r="AF475" s="10"/>
      <c r="AG475" s="10"/>
      <c r="AH475" s="10"/>
      <c r="AI475" s="12">
        <f t="shared" si="143"/>
        <v>0</v>
      </c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10">
        <v>25</v>
      </c>
      <c r="B476" s="30"/>
      <c r="C476" s="83"/>
      <c r="D476" s="32"/>
      <c r="E476" s="32"/>
      <c r="F476" s="32"/>
      <c r="G476" s="32">
        <f t="shared" si="138"/>
        <v>0</v>
      </c>
      <c r="H476" s="10"/>
      <c r="I476" s="10"/>
      <c r="J476" s="10"/>
      <c r="K476" s="12">
        <f t="shared" si="139"/>
        <v>0</v>
      </c>
      <c r="M476" s="10">
        <v>25</v>
      </c>
      <c r="N476" s="30"/>
      <c r="O476" s="31"/>
      <c r="P476" s="47"/>
      <c r="Q476" s="31"/>
      <c r="R476" s="31"/>
      <c r="S476" s="32">
        <f t="shared" si="140"/>
        <v>0</v>
      </c>
      <c r="T476" s="10"/>
      <c r="U476" s="10"/>
      <c r="V476" s="10"/>
      <c r="W476" s="12">
        <f t="shared" si="141"/>
        <v>0</v>
      </c>
      <c r="Y476" s="10">
        <v>25</v>
      </c>
      <c r="Z476" s="30"/>
      <c r="AA476" s="31"/>
      <c r="AB476" s="47"/>
      <c r="AC476" s="31"/>
      <c r="AD476" s="31"/>
      <c r="AE476" s="32">
        <f t="shared" si="148"/>
        <v>0</v>
      </c>
      <c r="AF476" s="10"/>
      <c r="AG476" s="10"/>
      <c r="AH476" s="10"/>
      <c r="AI476" s="12">
        <f t="shared" si="143"/>
        <v>0</v>
      </c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10">
        <v>26</v>
      </c>
      <c r="B477" s="30"/>
      <c r="C477" s="83"/>
      <c r="D477" s="32"/>
      <c r="E477" s="32"/>
      <c r="F477" s="32"/>
      <c r="G477" s="32">
        <f t="shared" si="138"/>
        <v>0</v>
      </c>
      <c r="H477" s="10"/>
      <c r="I477" s="10"/>
      <c r="J477" s="10"/>
      <c r="K477" s="12">
        <f t="shared" si="139"/>
        <v>0</v>
      </c>
      <c r="M477" s="10">
        <v>26</v>
      </c>
      <c r="N477" s="30"/>
      <c r="O477" s="31"/>
      <c r="P477" s="47"/>
      <c r="Q477" s="31"/>
      <c r="R477" s="31"/>
      <c r="S477" s="32">
        <f t="shared" si="140"/>
        <v>0</v>
      </c>
      <c r="T477" s="10"/>
      <c r="U477" s="10"/>
      <c r="V477" s="10"/>
      <c r="W477" s="12">
        <f t="shared" si="141"/>
        <v>0</v>
      </c>
      <c r="Y477" s="10">
        <v>26</v>
      </c>
      <c r="Z477" s="30"/>
      <c r="AA477" s="31"/>
      <c r="AB477" s="47"/>
      <c r="AC477" s="31"/>
      <c r="AD477" s="31"/>
      <c r="AE477" s="32">
        <f t="shared" si="148"/>
        <v>0</v>
      </c>
      <c r="AF477" s="10"/>
      <c r="AG477" s="10"/>
      <c r="AH477" s="10"/>
      <c r="AI477" s="12">
        <f t="shared" si="143"/>
        <v>0</v>
      </c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10">
        <v>27</v>
      </c>
      <c r="B478" s="30"/>
      <c r="C478" s="83"/>
      <c r="D478" s="32"/>
      <c r="E478" s="32"/>
      <c r="F478" s="32"/>
      <c r="G478" s="32">
        <f t="shared" si="138"/>
        <v>0</v>
      </c>
      <c r="H478" s="10"/>
      <c r="I478" s="10"/>
      <c r="J478" s="10"/>
      <c r="K478" s="12">
        <f t="shared" si="139"/>
        <v>0</v>
      </c>
      <c r="M478" s="10">
        <v>27</v>
      </c>
      <c r="N478" s="30"/>
      <c r="O478" s="31"/>
      <c r="P478" s="47"/>
      <c r="Q478" s="31"/>
      <c r="R478" s="31"/>
      <c r="S478" s="32">
        <f t="shared" si="140"/>
        <v>0</v>
      </c>
      <c r="T478" s="10"/>
      <c r="U478" s="10"/>
      <c r="V478" s="10"/>
      <c r="W478" s="12">
        <f t="shared" si="141"/>
        <v>0</v>
      </c>
      <c r="Y478" s="10">
        <v>27</v>
      </c>
      <c r="Z478" s="30"/>
      <c r="AA478" s="31"/>
      <c r="AB478" s="47"/>
      <c r="AC478" s="31"/>
      <c r="AD478" s="31"/>
      <c r="AE478" s="32">
        <f t="shared" si="148"/>
        <v>0</v>
      </c>
      <c r="AF478" s="10"/>
      <c r="AG478" s="10"/>
      <c r="AH478" s="10"/>
      <c r="AI478" s="12">
        <f t="shared" si="143"/>
        <v>0</v>
      </c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10">
        <v>28</v>
      </c>
      <c r="B479" s="30"/>
      <c r="C479" s="83"/>
      <c r="D479" s="32"/>
      <c r="E479" s="32"/>
      <c r="F479" s="32"/>
      <c r="G479" s="32">
        <f t="shared" si="138"/>
        <v>0</v>
      </c>
      <c r="H479" s="10"/>
      <c r="I479" s="10"/>
      <c r="J479" s="10"/>
      <c r="K479" s="12">
        <f t="shared" si="139"/>
        <v>0</v>
      </c>
      <c r="M479" s="10">
        <v>28</v>
      </c>
      <c r="N479" s="30"/>
      <c r="O479" s="31"/>
      <c r="P479" s="47"/>
      <c r="Q479" s="31"/>
      <c r="R479" s="31"/>
      <c r="S479" s="32">
        <f t="shared" si="140"/>
        <v>0</v>
      </c>
      <c r="T479" s="10"/>
      <c r="U479" s="10"/>
      <c r="V479" s="10"/>
      <c r="W479" s="12">
        <f t="shared" si="141"/>
        <v>0</v>
      </c>
      <c r="Y479" s="10">
        <v>28</v>
      </c>
      <c r="Z479" s="30"/>
      <c r="AA479" s="31"/>
      <c r="AB479" s="47"/>
      <c r="AC479" s="31"/>
      <c r="AD479" s="31"/>
      <c r="AE479" s="32">
        <f t="shared" si="148"/>
        <v>0</v>
      </c>
      <c r="AF479" s="10"/>
      <c r="AG479" s="10"/>
      <c r="AH479" s="10"/>
      <c r="AI479" s="12">
        <f t="shared" si="143"/>
        <v>0</v>
      </c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10">
        <v>29</v>
      </c>
      <c r="B480" s="30"/>
      <c r="C480" s="83"/>
      <c r="D480" s="32"/>
      <c r="E480" s="32"/>
      <c r="F480" s="32"/>
      <c r="G480" s="32">
        <f t="shared" si="138"/>
        <v>0</v>
      </c>
      <c r="H480" s="10"/>
      <c r="I480" s="10"/>
      <c r="J480" s="10"/>
      <c r="K480" s="12">
        <f t="shared" si="139"/>
        <v>0</v>
      </c>
      <c r="M480" s="10">
        <v>29</v>
      </c>
      <c r="N480" s="30"/>
      <c r="O480" s="31"/>
      <c r="P480" s="47"/>
      <c r="Q480" s="31"/>
      <c r="R480" s="31"/>
      <c r="S480" s="32">
        <f t="shared" si="140"/>
        <v>0</v>
      </c>
      <c r="T480" s="10"/>
      <c r="U480" s="10"/>
      <c r="V480" s="10"/>
      <c r="W480" s="12">
        <f t="shared" si="141"/>
        <v>0</v>
      </c>
      <c r="Y480" s="10">
        <v>29</v>
      </c>
      <c r="Z480" s="30"/>
      <c r="AA480" s="31"/>
      <c r="AB480" s="47"/>
      <c r="AC480" s="31"/>
      <c r="AD480" s="31"/>
      <c r="AE480" s="32">
        <f t="shared" si="148"/>
        <v>0</v>
      </c>
      <c r="AF480" s="10"/>
      <c r="AG480" s="10"/>
      <c r="AH480" s="10"/>
      <c r="AI480" s="12">
        <f t="shared" si="143"/>
        <v>0</v>
      </c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10">
        <v>30</v>
      </c>
      <c r="B481" s="30"/>
      <c r="C481" s="83"/>
      <c r="D481" s="32"/>
      <c r="E481" s="32"/>
      <c r="F481" s="32"/>
      <c r="G481" s="32">
        <f t="shared" si="138"/>
        <v>0</v>
      </c>
      <c r="H481" s="10"/>
      <c r="I481" s="10"/>
      <c r="J481" s="10"/>
      <c r="K481" s="12">
        <f t="shared" si="139"/>
        <v>0</v>
      </c>
      <c r="M481" s="10">
        <v>30</v>
      </c>
      <c r="N481" s="30"/>
      <c r="O481" s="31"/>
      <c r="P481" s="47"/>
      <c r="Q481" s="31"/>
      <c r="R481" s="31"/>
      <c r="S481" s="32">
        <f t="shared" si="140"/>
        <v>0</v>
      </c>
      <c r="T481" s="10"/>
      <c r="U481" s="10"/>
      <c r="V481" s="10"/>
      <c r="W481" s="12">
        <f t="shared" si="141"/>
        <v>0</v>
      </c>
      <c r="Y481" s="10">
        <v>30</v>
      </c>
      <c r="Z481" s="30"/>
      <c r="AA481" s="31"/>
      <c r="AB481" s="47"/>
      <c r="AC481" s="31"/>
      <c r="AD481" s="31"/>
      <c r="AE481" s="32">
        <f t="shared" si="148"/>
        <v>0</v>
      </c>
      <c r="AF481" s="10"/>
      <c r="AG481" s="10"/>
      <c r="AH481" s="10"/>
      <c r="AI481" s="12">
        <f t="shared" si="143"/>
        <v>0</v>
      </c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10">
        <v>31</v>
      </c>
      <c r="B482" s="30"/>
      <c r="C482" s="11"/>
      <c r="D482" s="32"/>
      <c r="E482" s="32"/>
      <c r="F482" s="32"/>
      <c r="G482" s="32">
        <f t="shared" si="138"/>
        <v>0</v>
      </c>
      <c r="H482" s="10"/>
      <c r="I482" s="10"/>
      <c r="J482" s="10"/>
      <c r="K482" s="12">
        <f t="shared" si="139"/>
        <v>0</v>
      </c>
      <c r="M482" s="10">
        <v>31</v>
      </c>
      <c r="N482" s="30"/>
      <c r="O482" s="31"/>
      <c r="P482" s="47"/>
      <c r="Q482" s="31"/>
      <c r="R482" s="31"/>
      <c r="S482" s="32">
        <f t="shared" si="140"/>
        <v>0</v>
      </c>
      <c r="T482" s="10"/>
      <c r="U482" s="10"/>
      <c r="V482" s="10"/>
      <c r="W482" s="12">
        <f t="shared" si="141"/>
        <v>0</v>
      </c>
      <c r="Y482" s="10">
        <v>31</v>
      </c>
      <c r="Z482" s="30"/>
      <c r="AA482" s="31"/>
      <c r="AB482" s="47"/>
      <c r="AC482" s="31"/>
      <c r="AD482" s="31"/>
      <c r="AE482" s="32">
        <f t="shared" si="148"/>
        <v>0</v>
      </c>
      <c r="AF482" s="10"/>
      <c r="AG482" s="10"/>
      <c r="AH482" s="10"/>
      <c r="AI482" s="12">
        <f t="shared" si="143"/>
        <v>0</v>
      </c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10">
        <v>32</v>
      </c>
      <c r="B483" s="30"/>
      <c r="C483" s="83"/>
      <c r="D483" s="32"/>
      <c r="E483" s="32"/>
      <c r="F483" s="32"/>
      <c r="G483" s="32">
        <f t="shared" si="138"/>
        <v>0</v>
      </c>
      <c r="H483" s="10"/>
      <c r="I483" s="10"/>
      <c r="J483" s="10"/>
      <c r="K483" s="12">
        <f t="shared" si="139"/>
        <v>0</v>
      </c>
      <c r="M483" s="10">
        <v>32</v>
      </c>
      <c r="N483" s="30"/>
      <c r="O483" s="31"/>
      <c r="P483" s="47"/>
      <c r="Q483" s="31"/>
      <c r="R483" s="31"/>
      <c r="S483" s="32">
        <f t="shared" si="140"/>
        <v>0</v>
      </c>
      <c r="T483" s="10"/>
      <c r="U483" s="10"/>
      <c r="V483" s="10"/>
      <c r="W483" s="12">
        <f t="shared" si="141"/>
        <v>0</v>
      </c>
      <c r="Y483" s="10">
        <v>32</v>
      </c>
      <c r="Z483" s="30"/>
      <c r="AA483" s="31"/>
      <c r="AB483" s="47"/>
      <c r="AC483" s="31"/>
      <c r="AD483" s="31"/>
      <c r="AE483" s="32">
        <f t="shared" si="148"/>
        <v>0</v>
      </c>
      <c r="AF483" s="10"/>
      <c r="AG483" s="10"/>
      <c r="AH483" s="10"/>
      <c r="AI483" s="12">
        <f t="shared" si="143"/>
        <v>0</v>
      </c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10">
        <v>33</v>
      </c>
      <c r="B484" s="30"/>
      <c r="C484" s="83"/>
      <c r="D484" s="32"/>
      <c r="E484" s="32"/>
      <c r="F484" s="32"/>
      <c r="G484" s="32">
        <f t="shared" si="138"/>
        <v>0</v>
      </c>
      <c r="H484" s="10"/>
      <c r="I484" s="10"/>
      <c r="J484" s="10"/>
      <c r="K484" s="12">
        <f t="shared" si="139"/>
        <v>0</v>
      </c>
      <c r="M484" s="10">
        <v>33</v>
      </c>
      <c r="N484" s="30"/>
      <c r="O484" s="31"/>
      <c r="P484" s="47"/>
      <c r="Q484" s="31"/>
      <c r="R484" s="31"/>
      <c r="S484" s="32">
        <f t="shared" si="140"/>
        <v>0</v>
      </c>
      <c r="T484" s="10"/>
      <c r="U484" s="10"/>
      <c r="V484" s="10"/>
      <c r="W484" s="12">
        <f t="shared" si="141"/>
        <v>0</v>
      </c>
      <c r="Y484" s="10">
        <v>33</v>
      </c>
      <c r="Z484" s="30"/>
      <c r="AA484" s="31"/>
      <c r="AB484" s="47"/>
      <c r="AC484" s="31"/>
      <c r="AD484" s="31"/>
      <c r="AE484" s="32">
        <f t="shared" si="148"/>
        <v>0</v>
      </c>
      <c r="AF484" s="10"/>
      <c r="AG484" s="10"/>
      <c r="AH484" s="10"/>
      <c r="AI484" s="12">
        <f t="shared" si="143"/>
        <v>0</v>
      </c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10"/>
      <c r="B485" s="30"/>
      <c r="C485" s="83"/>
      <c r="D485" s="32"/>
      <c r="E485" s="32"/>
      <c r="F485" s="32"/>
      <c r="G485" s="32">
        <f t="shared" si="138"/>
        <v>0</v>
      </c>
      <c r="H485" s="10"/>
      <c r="I485" s="10"/>
      <c r="J485" s="10"/>
      <c r="K485" s="12">
        <f t="shared" si="139"/>
        <v>0</v>
      </c>
      <c r="M485" s="10">
        <v>34</v>
      </c>
      <c r="N485" s="30"/>
      <c r="O485" s="31"/>
      <c r="P485" s="47"/>
      <c r="Q485" s="31"/>
      <c r="R485" s="31"/>
      <c r="S485" s="32">
        <f t="shared" si="140"/>
        <v>0</v>
      </c>
      <c r="T485" s="10"/>
      <c r="U485" s="10"/>
      <c r="V485" s="10"/>
      <c r="W485" s="12">
        <f t="shared" si="141"/>
        <v>0</v>
      </c>
      <c r="Y485" s="10">
        <v>34</v>
      </c>
      <c r="Z485" s="30"/>
      <c r="AA485" s="31"/>
      <c r="AB485" s="47"/>
      <c r="AC485" s="31"/>
      <c r="AD485" s="31"/>
      <c r="AE485" s="32">
        <f t="shared" si="148"/>
        <v>0</v>
      </c>
      <c r="AF485" s="10"/>
      <c r="AG485" s="10"/>
      <c r="AH485" s="10"/>
      <c r="AI485" s="12">
        <f t="shared" ref="AI485:AI493" si="149">SUM(AE485:AH485)</f>
        <v>0</v>
      </c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10"/>
      <c r="B486" s="30"/>
      <c r="C486" s="83"/>
      <c r="D486" s="32"/>
      <c r="E486" s="32"/>
      <c r="F486" s="32"/>
      <c r="G486" s="32"/>
      <c r="H486" s="10"/>
      <c r="I486" s="10"/>
      <c r="J486" s="10"/>
      <c r="K486" s="12"/>
      <c r="M486" s="10">
        <v>35</v>
      </c>
      <c r="N486" s="30"/>
      <c r="O486" s="31"/>
      <c r="P486" s="47"/>
      <c r="Q486" s="31"/>
      <c r="R486" s="31"/>
      <c r="S486" s="32">
        <f t="shared" si="140"/>
        <v>0</v>
      </c>
      <c r="T486" s="10"/>
      <c r="U486" s="10"/>
      <c r="V486" s="10"/>
      <c r="W486" s="12">
        <f t="shared" si="141"/>
        <v>0</v>
      </c>
      <c r="Y486" s="10">
        <v>35</v>
      </c>
      <c r="Z486" s="30"/>
      <c r="AA486" s="31"/>
      <c r="AB486" s="47"/>
      <c r="AC486" s="31"/>
      <c r="AD486" s="31"/>
      <c r="AE486" s="32">
        <f t="shared" si="148"/>
        <v>0</v>
      </c>
      <c r="AF486" s="10"/>
      <c r="AG486" s="10"/>
      <c r="AH486" s="10"/>
      <c r="AI486" s="12">
        <f t="shared" si="149"/>
        <v>0</v>
      </c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10"/>
      <c r="B487" s="30"/>
      <c r="C487" s="83"/>
      <c r="D487" s="32"/>
      <c r="E487" s="32"/>
      <c r="F487" s="32"/>
      <c r="G487" s="32"/>
      <c r="H487" s="10"/>
      <c r="I487" s="10"/>
      <c r="J487" s="10"/>
      <c r="K487" s="12"/>
      <c r="M487" s="10">
        <v>36</v>
      </c>
      <c r="N487" s="30"/>
      <c r="O487" s="31"/>
      <c r="P487" s="47"/>
      <c r="Q487" s="31"/>
      <c r="R487" s="31"/>
      <c r="S487" s="32">
        <f t="shared" si="140"/>
        <v>0</v>
      </c>
      <c r="T487" s="10"/>
      <c r="U487" s="10"/>
      <c r="V487" s="10"/>
      <c r="W487" s="12">
        <f t="shared" si="141"/>
        <v>0</v>
      </c>
      <c r="Y487" s="10">
        <v>36</v>
      </c>
      <c r="Z487" s="30"/>
      <c r="AA487" s="31"/>
      <c r="AB487" s="47"/>
      <c r="AC487" s="31"/>
      <c r="AD487" s="31"/>
      <c r="AE487" s="32">
        <f t="shared" si="148"/>
        <v>0</v>
      </c>
      <c r="AF487" s="10"/>
      <c r="AG487" s="10"/>
      <c r="AH487" s="10"/>
      <c r="AI487" s="12">
        <f t="shared" si="149"/>
        <v>0</v>
      </c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10"/>
      <c r="B488" s="30"/>
      <c r="C488" s="31"/>
      <c r="D488" s="32"/>
      <c r="E488" s="32"/>
      <c r="F488" s="32"/>
      <c r="G488" s="32"/>
      <c r="H488" s="10"/>
      <c r="I488" s="10"/>
      <c r="J488" s="10"/>
      <c r="K488" s="12"/>
      <c r="M488" s="10">
        <v>37</v>
      </c>
      <c r="N488" s="30"/>
      <c r="P488" s="47"/>
      <c r="Q488" s="31"/>
      <c r="R488" s="31"/>
      <c r="S488" s="32">
        <f t="shared" si="140"/>
        <v>0</v>
      </c>
      <c r="T488" s="10"/>
      <c r="U488" s="10"/>
      <c r="V488" s="10"/>
      <c r="W488" s="12">
        <f t="shared" si="141"/>
        <v>0</v>
      </c>
      <c r="Y488" s="10">
        <v>37</v>
      </c>
      <c r="Z488" s="30"/>
      <c r="AA488" s="31"/>
      <c r="AB488" s="47"/>
      <c r="AC488" s="31"/>
      <c r="AD488" s="31"/>
      <c r="AE488" s="32">
        <f t="shared" si="148"/>
        <v>0</v>
      </c>
      <c r="AF488" s="10"/>
      <c r="AG488" s="10"/>
      <c r="AH488" s="10"/>
      <c r="AI488" s="12">
        <f t="shared" si="149"/>
        <v>0</v>
      </c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10"/>
      <c r="B489" s="30"/>
      <c r="C489" s="31"/>
      <c r="D489" s="32"/>
      <c r="E489" s="32"/>
      <c r="F489" s="32"/>
      <c r="G489" s="32"/>
      <c r="H489" s="10"/>
      <c r="I489" s="10"/>
      <c r="J489" s="10"/>
      <c r="K489" s="12"/>
      <c r="M489" s="10">
        <v>38</v>
      </c>
      <c r="N489" s="30"/>
      <c r="O489" s="31"/>
      <c r="P489" s="47"/>
      <c r="Q489" s="31"/>
      <c r="R489" s="31"/>
      <c r="S489" s="32">
        <f t="shared" si="140"/>
        <v>0</v>
      </c>
      <c r="T489" s="10"/>
      <c r="U489" s="10"/>
      <c r="V489" s="10"/>
      <c r="W489" s="12">
        <f t="shared" si="141"/>
        <v>0</v>
      </c>
      <c r="Y489" s="10">
        <v>38</v>
      </c>
      <c r="Z489" s="30"/>
      <c r="AA489" s="31"/>
      <c r="AB489" s="47"/>
      <c r="AC489" s="31"/>
      <c r="AD489" s="31"/>
      <c r="AE489" s="32">
        <f t="shared" si="148"/>
        <v>0</v>
      </c>
      <c r="AF489" s="10"/>
      <c r="AG489" s="10"/>
      <c r="AH489" s="10"/>
      <c r="AI489" s="12">
        <f t="shared" si="149"/>
        <v>0</v>
      </c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10"/>
      <c r="B490" s="30"/>
      <c r="C490" s="31"/>
      <c r="D490" s="32"/>
      <c r="E490" s="32"/>
      <c r="F490" s="32"/>
      <c r="G490" s="32"/>
      <c r="H490" s="10"/>
      <c r="I490" s="10"/>
      <c r="J490" s="10"/>
      <c r="K490" s="12"/>
      <c r="M490" s="10">
        <v>39</v>
      </c>
      <c r="N490" s="30"/>
      <c r="O490" s="31"/>
      <c r="P490" s="47"/>
      <c r="Q490" s="31"/>
      <c r="R490" s="31"/>
      <c r="S490" s="32">
        <f t="shared" si="140"/>
        <v>0</v>
      </c>
      <c r="T490" s="10"/>
      <c r="U490" s="10"/>
      <c r="V490" s="10"/>
      <c r="W490" s="12">
        <f t="shared" si="141"/>
        <v>0</v>
      </c>
      <c r="Y490" s="10">
        <v>39</v>
      </c>
      <c r="Z490" s="30"/>
      <c r="AA490" s="31"/>
      <c r="AB490" s="47"/>
      <c r="AC490" s="31"/>
      <c r="AD490" s="31"/>
      <c r="AE490" s="32">
        <f t="shared" si="148"/>
        <v>0</v>
      </c>
      <c r="AF490" s="10"/>
      <c r="AG490" s="10"/>
      <c r="AH490" s="10"/>
      <c r="AI490" s="12">
        <f t="shared" si="149"/>
        <v>0</v>
      </c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10"/>
      <c r="B491" s="30"/>
      <c r="C491" s="31"/>
      <c r="D491" s="32"/>
      <c r="E491" s="32"/>
      <c r="F491" s="32"/>
      <c r="G491" s="32"/>
      <c r="H491" s="10"/>
      <c r="I491" s="10"/>
      <c r="J491" s="10"/>
      <c r="K491" s="12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141"/>
        <v>0</v>
      </c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149"/>
        <v>0</v>
      </c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10"/>
      <c r="B492" s="30"/>
      <c r="C492" s="31"/>
      <c r="D492" s="32"/>
      <c r="E492" s="32"/>
      <c r="F492" s="32"/>
      <c r="G492" s="32">
        <f t="shared" ref="G492" si="150">SUM(D492:E492)</f>
        <v>0</v>
      </c>
      <c r="H492" s="10"/>
      <c r="I492" s="10"/>
      <c r="J492" s="10"/>
      <c r="K492" s="12">
        <f t="shared" ref="K492" si="151">SUM(G492:J492)</f>
        <v>0</v>
      </c>
      <c r="M492" s="10"/>
      <c r="N492" s="30"/>
      <c r="O492" s="31"/>
      <c r="P492" s="47"/>
      <c r="Q492" s="31"/>
      <c r="R492" s="31"/>
      <c r="S492" s="32">
        <f t="shared" ref="S492" si="152">SUM(P492:Q492)</f>
        <v>0</v>
      </c>
      <c r="T492" s="10"/>
      <c r="U492" s="10"/>
      <c r="V492" s="10"/>
      <c r="W492" s="12">
        <f t="shared" si="141"/>
        <v>0</v>
      </c>
      <c r="Y492" s="10"/>
      <c r="Z492" s="30"/>
      <c r="AA492" s="31"/>
      <c r="AB492" s="47"/>
      <c r="AC492" s="31"/>
      <c r="AD492" s="31"/>
      <c r="AE492" s="32">
        <f t="shared" ref="AE492" si="153">SUM(AB492:AC492)</f>
        <v>0</v>
      </c>
      <c r="AF492" s="10"/>
      <c r="AG492" s="10"/>
      <c r="AH492" s="10"/>
      <c r="AI492" s="12">
        <f t="shared" si="149"/>
        <v>0</v>
      </c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10"/>
      <c r="B493" s="30"/>
      <c r="C493" s="30"/>
      <c r="D493" s="32"/>
      <c r="E493" s="32"/>
      <c r="F493" s="32"/>
      <c r="G493" s="32"/>
      <c r="H493" s="10"/>
      <c r="I493" s="10"/>
      <c r="J493" s="10"/>
      <c r="K493" s="12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141"/>
        <v>0</v>
      </c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149"/>
        <v>0</v>
      </c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B494" s="57"/>
      <c r="C494" s="57"/>
      <c r="D494" s="36"/>
      <c r="E494" s="36"/>
      <c r="F494" s="36"/>
      <c r="G494" s="36"/>
      <c r="H494" s="37"/>
      <c r="I494" s="37"/>
      <c r="J494" s="37"/>
      <c r="K494" s="37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B495" s="57"/>
      <c r="C495" s="57"/>
      <c r="D495" s="38">
        <f>SUM(D452:D494)</f>
        <v>231785</v>
      </c>
      <c r="E495" s="38">
        <f t="shared" ref="E495:F495" si="154">SUM(E452:E492)</f>
        <v>-60</v>
      </c>
      <c r="F495" s="38">
        <f t="shared" si="154"/>
        <v>0</v>
      </c>
      <c r="G495" s="38">
        <f>SUM(G452:G494)</f>
        <v>231725</v>
      </c>
      <c r="H495" s="4"/>
      <c r="I495" s="39">
        <f>SUM(I452:I494)</f>
        <v>178.5</v>
      </c>
      <c r="J495" s="39">
        <f>SUM(J452:J494)</f>
        <v>0</v>
      </c>
      <c r="K495" s="40">
        <f>SUM(K452:K494)</f>
        <v>231903.5</v>
      </c>
      <c r="N495" s="57"/>
      <c r="O495" s="57"/>
      <c r="P495" s="38">
        <f>SUM(P452:P494)</f>
        <v>278581</v>
      </c>
      <c r="Q495" s="38">
        <f>SUM(Q452:Q476)</f>
        <v>-2286</v>
      </c>
      <c r="R495" s="38">
        <f>SUM(R452:R476)</f>
        <v>0</v>
      </c>
      <c r="S495" s="38">
        <f>SUM(S452:S494)</f>
        <v>276295</v>
      </c>
      <c r="T495" s="4"/>
      <c r="U495" s="41">
        <f>SUM(U452:U494)</f>
        <v>864</v>
      </c>
      <c r="V495" s="41">
        <f>SUM(V452:V476)</f>
        <v>-4164</v>
      </c>
      <c r="W495" s="42">
        <f>SUM(W452:W494)</f>
        <v>272995</v>
      </c>
      <c r="Z495" s="57"/>
      <c r="AA495" s="57"/>
      <c r="AB495" s="38">
        <f>SUM(AB452:AB494)</f>
        <v>383487</v>
      </c>
      <c r="AC495" s="38">
        <f>SUM(AC452:AC476)</f>
        <v>-2856</v>
      </c>
      <c r="AD495" s="38">
        <f>SUM(AD452:AD476)</f>
        <v>0</v>
      </c>
      <c r="AE495" s="38">
        <f>SUM(AE452:AE494)</f>
        <v>380631</v>
      </c>
      <c r="AF495" s="4"/>
      <c r="AG495" s="41">
        <f>SUM(AG452:AG494)</f>
        <v>4045.5</v>
      </c>
      <c r="AH495" s="41">
        <f>SUM(AH452:AH476)</f>
        <v>0</v>
      </c>
      <c r="AI495" s="42">
        <f>SUM(AI452:AI494)</f>
        <v>384676.5</v>
      </c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t="s">
        <v>0</v>
      </c>
      <c r="B497" s="57"/>
      <c r="C497" s="57"/>
      <c r="D497" s="57"/>
      <c r="E497" s="57"/>
      <c r="G497" s="57"/>
      <c r="M497" t="s">
        <v>0</v>
      </c>
      <c r="N497" s="57"/>
      <c r="O497" s="57"/>
      <c r="P497" s="57"/>
      <c r="Q497" s="57"/>
      <c r="R497" s="57"/>
      <c r="S497" s="57"/>
      <c r="Y497" t="s">
        <v>0</v>
      </c>
      <c r="Z497" s="57"/>
      <c r="AA497" s="57"/>
      <c r="AB497" s="57"/>
      <c r="AC497" s="57"/>
      <c r="AD497" s="57"/>
      <c r="AE497" s="57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t="s">
        <v>28</v>
      </c>
      <c r="B498" s="57"/>
      <c r="C498" s="57"/>
      <c r="D498" s="57"/>
      <c r="E498" s="57"/>
      <c r="G498" s="57"/>
      <c r="M498" t="s">
        <v>28</v>
      </c>
      <c r="N498" s="57"/>
      <c r="O498" s="57"/>
      <c r="P498" s="57"/>
      <c r="Q498" s="57"/>
      <c r="R498" s="57"/>
      <c r="S498" s="57"/>
      <c r="Y498" t="s">
        <v>28</v>
      </c>
      <c r="Z498" s="57"/>
      <c r="AA498" s="57"/>
      <c r="AB498" s="57"/>
      <c r="AC498" s="57"/>
      <c r="AD498" s="57"/>
      <c r="AE498" s="57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B499" s="57"/>
      <c r="C499" s="57"/>
      <c r="D499" s="57"/>
      <c r="E499" s="57"/>
      <c r="G499" s="57"/>
      <c r="N499" s="57"/>
      <c r="O499" s="57"/>
      <c r="P499" s="57"/>
      <c r="Q499" s="57"/>
      <c r="R499" s="57"/>
      <c r="S499" s="57"/>
      <c r="Z499" s="57"/>
      <c r="AA499" s="57"/>
      <c r="AB499" s="57"/>
      <c r="AC499" s="57"/>
      <c r="AD499" s="57"/>
      <c r="AE499" s="57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4" t="s">
        <v>14</v>
      </c>
      <c r="B500" s="57"/>
      <c r="C500" s="57"/>
      <c r="D500" s="57"/>
      <c r="E500" s="57"/>
      <c r="G500" s="57"/>
      <c r="M500" s="4" t="s">
        <v>14</v>
      </c>
      <c r="N500" s="57"/>
      <c r="O500" s="57"/>
      <c r="P500" s="57"/>
      <c r="Q500" s="57"/>
      <c r="R500" s="57"/>
      <c r="S500" s="57"/>
      <c r="Y500" s="4" t="s">
        <v>14</v>
      </c>
      <c r="Z500" s="57"/>
      <c r="AA500" s="57"/>
      <c r="AB500" s="57"/>
      <c r="AC500" s="57"/>
      <c r="AD500" s="57"/>
      <c r="AE500" s="57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B501" s="57"/>
      <c r="C501" s="57"/>
      <c r="D501" s="57"/>
      <c r="E501" s="57"/>
      <c r="G501" s="57"/>
      <c r="N501" s="57"/>
      <c r="O501" s="57"/>
      <c r="P501" s="57"/>
      <c r="Q501" s="57"/>
      <c r="R501" s="57"/>
      <c r="S501" s="57"/>
      <c r="Z501" s="57"/>
      <c r="AA501" s="57"/>
      <c r="AB501" s="57"/>
      <c r="AC501" s="57"/>
      <c r="AD501" s="57"/>
      <c r="AE501" s="57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t="s">
        <v>37</v>
      </c>
      <c r="B502" s="57"/>
      <c r="C502" s="57"/>
      <c r="D502" s="57"/>
      <c r="E502" s="57"/>
      <c r="G502" s="57"/>
      <c r="I502" s="57" t="s">
        <v>15</v>
      </c>
      <c r="J502" s="19">
        <v>1</v>
      </c>
      <c r="M502" t="s">
        <v>37</v>
      </c>
      <c r="N502" s="57"/>
      <c r="O502" s="57"/>
      <c r="P502" s="57"/>
      <c r="Q502" s="57"/>
      <c r="R502" s="57"/>
      <c r="S502" s="57"/>
      <c r="U502" s="57" t="s">
        <v>15</v>
      </c>
      <c r="V502" s="19">
        <v>2</v>
      </c>
      <c r="Y502" t="s">
        <v>37</v>
      </c>
      <c r="Z502" s="57"/>
      <c r="AA502" s="57"/>
      <c r="AB502" s="57"/>
      <c r="AC502" s="57"/>
      <c r="AD502" s="57"/>
      <c r="AE502" s="57"/>
      <c r="AG502" s="57" t="s">
        <v>15</v>
      </c>
      <c r="AH502" s="20">
        <v>3</v>
      </c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21" t="s">
        <v>65</v>
      </c>
      <c r="B503" s="20"/>
      <c r="C503" s="57"/>
      <c r="D503" s="57"/>
      <c r="E503" s="57"/>
      <c r="G503" s="57"/>
      <c r="I503" s="22" t="s">
        <v>16</v>
      </c>
      <c r="J503" s="23" t="s">
        <v>31</v>
      </c>
      <c r="K503" s="24"/>
      <c r="M503" s="21" t="s">
        <v>65</v>
      </c>
      <c r="N503" s="20"/>
      <c r="O503" s="57"/>
      <c r="P503" s="57"/>
      <c r="Q503" s="57"/>
      <c r="R503" s="57"/>
      <c r="S503" s="57"/>
      <c r="U503" s="22" t="s">
        <v>16</v>
      </c>
      <c r="V503" s="23" t="s">
        <v>33</v>
      </c>
      <c r="W503" s="24"/>
      <c r="Y503" s="21" t="s">
        <v>65</v>
      </c>
      <c r="Z503" s="20"/>
      <c r="AA503" s="57"/>
      <c r="AB503" s="57"/>
      <c r="AC503" s="57"/>
      <c r="AD503" s="57"/>
      <c r="AE503" s="57"/>
      <c r="AG503" s="22" t="s">
        <v>16</v>
      </c>
      <c r="AH503" s="23" t="s">
        <v>34</v>
      </c>
      <c r="AI503" s="24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B504" s="57"/>
      <c r="C504" s="57"/>
      <c r="D504" s="57"/>
      <c r="E504" s="57"/>
      <c r="G504" s="57"/>
      <c r="N504" s="57"/>
      <c r="O504" s="57"/>
      <c r="P504" s="57"/>
      <c r="Q504" s="57"/>
      <c r="R504" s="57"/>
      <c r="S504" s="57"/>
      <c r="Z504" s="57"/>
      <c r="AA504" s="57"/>
      <c r="AB504" s="57"/>
      <c r="AC504" s="57"/>
      <c r="AD504" s="57"/>
      <c r="AE504" s="57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B505" s="25"/>
      <c r="C505" s="26"/>
      <c r="D505" s="120" t="s">
        <v>17</v>
      </c>
      <c r="E505" s="120"/>
      <c r="F505" s="100"/>
      <c r="G505" s="27"/>
      <c r="I505" s="118" t="s">
        <v>18</v>
      </c>
      <c r="J505" s="119"/>
      <c r="K505" s="116" t="s">
        <v>19</v>
      </c>
      <c r="N505" s="25"/>
      <c r="O505" s="26"/>
      <c r="P505" s="120" t="s">
        <v>17</v>
      </c>
      <c r="Q505" s="120"/>
      <c r="R505" s="100"/>
      <c r="S505" s="27"/>
      <c r="U505" s="118" t="s">
        <v>18</v>
      </c>
      <c r="V505" s="119"/>
      <c r="W505" s="116" t="s">
        <v>19</v>
      </c>
      <c r="Z505" s="25"/>
      <c r="AA505" s="26"/>
      <c r="AB505" s="120" t="s">
        <v>17</v>
      </c>
      <c r="AC505" s="120"/>
      <c r="AD505" s="100"/>
      <c r="AE505" s="27"/>
      <c r="AG505" s="118" t="s">
        <v>18</v>
      </c>
      <c r="AH505" s="119"/>
      <c r="AI505" s="116" t="s">
        <v>19</v>
      </c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ht="30" x14ac:dyDescent="0.25">
      <c r="B506" s="28" t="s">
        <v>20</v>
      </c>
      <c r="C506" s="28" t="s">
        <v>21</v>
      </c>
      <c r="D506" s="77" t="s">
        <v>22</v>
      </c>
      <c r="E506" s="76" t="s">
        <v>23</v>
      </c>
      <c r="F506" s="78" t="s">
        <v>32</v>
      </c>
      <c r="G506" s="78" t="s">
        <v>24</v>
      </c>
      <c r="I506" s="29" t="s">
        <v>25</v>
      </c>
      <c r="J506" s="29" t="s">
        <v>26</v>
      </c>
      <c r="K506" s="117"/>
      <c r="N506" s="28" t="s">
        <v>20</v>
      </c>
      <c r="O506" s="28" t="s">
        <v>21</v>
      </c>
      <c r="P506" s="77" t="s">
        <v>22</v>
      </c>
      <c r="Q506" s="78" t="s">
        <v>23</v>
      </c>
      <c r="R506" s="78" t="s">
        <v>32</v>
      </c>
      <c r="S506" s="78" t="s">
        <v>24</v>
      </c>
      <c r="U506" s="29" t="s">
        <v>25</v>
      </c>
      <c r="V506" s="29" t="s">
        <v>26</v>
      </c>
      <c r="W506" s="117"/>
      <c r="Z506" s="28" t="s">
        <v>20</v>
      </c>
      <c r="AA506" s="28" t="s">
        <v>21</v>
      </c>
      <c r="AB506" s="77" t="s">
        <v>22</v>
      </c>
      <c r="AC506" s="78" t="s">
        <v>23</v>
      </c>
      <c r="AD506" s="78" t="s">
        <v>32</v>
      </c>
      <c r="AE506" s="78" t="s">
        <v>24</v>
      </c>
      <c r="AG506" s="29" t="s">
        <v>25</v>
      </c>
      <c r="AH506" s="29" t="s">
        <v>26</v>
      </c>
      <c r="AI506" s="117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10">
        <v>1</v>
      </c>
      <c r="B507" s="30" t="s">
        <v>66</v>
      </c>
      <c r="C507" s="83">
        <v>9948</v>
      </c>
      <c r="D507" s="32">
        <f>650*115+670*4+700*5+622*10+1050+872+229*5+650</f>
        <v>90867</v>
      </c>
      <c r="E507" s="32"/>
      <c r="F507" s="32"/>
      <c r="G507" s="32">
        <f t="shared" ref="G507:G540" si="155">SUM(D507:E507)</f>
        <v>90867</v>
      </c>
      <c r="H507" s="12"/>
      <c r="I507" s="12">
        <f>78*5</f>
        <v>390</v>
      </c>
      <c r="J507" s="12"/>
      <c r="K507" s="12">
        <f t="shared" ref="K507:K540" si="156">SUM(G507:J507)</f>
        <v>91257</v>
      </c>
      <c r="M507" s="10">
        <v>1</v>
      </c>
      <c r="N507" s="30" t="s">
        <v>66</v>
      </c>
      <c r="O507" s="31">
        <v>10152</v>
      </c>
      <c r="P507" s="32">
        <f>650*300+973*5+622*30+229*13</f>
        <v>221502</v>
      </c>
      <c r="Q507" s="32">
        <f>-335*6</f>
        <v>-2010</v>
      </c>
      <c r="R507" s="32"/>
      <c r="S507" s="32">
        <f>SUM(P507:Q507)</f>
        <v>219492</v>
      </c>
      <c r="T507" s="12"/>
      <c r="U507" s="12">
        <f>858+120</f>
        <v>978</v>
      </c>
      <c r="V507" s="12">
        <f>-4329+-84+-252</f>
        <v>-4665</v>
      </c>
      <c r="W507" s="12">
        <f>SUM(S507:V507)</f>
        <v>215805</v>
      </c>
      <c r="Y507" s="10">
        <v>1</v>
      </c>
      <c r="Z507" s="30" t="s">
        <v>66</v>
      </c>
      <c r="AA507" s="31">
        <v>10032</v>
      </c>
      <c r="AB507" s="32">
        <f>650*158+622*58+872+229*5</f>
        <v>140793</v>
      </c>
      <c r="AC507" s="32"/>
      <c r="AD507" s="32"/>
      <c r="AE507" s="32">
        <f>SUM(AB507:AC507)</f>
        <v>140793</v>
      </c>
      <c r="AF507" s="12"/>
      <c r="AG507" s="12">
        <v>9657</v>
      </c>
      <c r="AH507" s="12"/>
      <c r="AI507" s="12">
        <f>SUM(AE507:AH507)</f>
        <v>150450</v>
      </c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10">
        <v>2</v>
      </c>
      <c r="B508" s="30" t="s">
        <v>66</v>
      </c>
      <c r="C508" s="83">
        <f>C507+1</f>
        <v>9949</v>
      </c>
      <c r="D508" s="32">
        <f>650*216+670*20+912*10+229*9+650</f>
        <v>165631</v>
      </c>
      <c r="E508" s="32">
        <f>-246*6</f>
        <v>-1476</v>
      </c>
      <c r="F508" s="32"/>
      <c r="G508" s="32">
        <f t="shared" si="155"/>
        <v>164155</v>
      </c>
      <c r="H508" s="12"/>
      <c r="I508" s="12">
        <f>111*110+78*8</f>
        <v>12834</v>
      </c>
      <c r="J508" s="12">
        <f>-84+-336+-30+-9</f>
        <v>-459</v>
      </c>
      <c r="K508" s="12">
        <f t="shared" si="156"/>
        <v>176530</v>
      </c>
      <c r="M508" s="10">
        <v>2</v>
      </c>
      <c r="N508" s="30" t="s">
        <v>66</v>
      </c>
      <c r="O508" s="31">
        <f>O507+1</f>
        <v>10153</v>
      </c>
      <c r="P508" s="32">
        <f>650*35+670+622*5+912+872</f>
        <v>28314</v>
      </c>
      <c r="Q508" s="32"/>
      <c r="R508" s="32"/>
      <c r="S508" s="32">
        <f t="shared" ref="S508:S545" si="157">SUM(P508:Q508)</f>
        <v>28314</v>
      </c>
      <c r="T508" s="12"/>
      <c r="U508" s="12">
        <v>135</v>
      </c>
      <c r="V508" s="12">
        <v>-555</v>
      </c>
      <c r="W508" s="12">
        <f t="shared" ref="W508:W548" si="158">SUM(S508:V508)</f>
        <v>27894</v>
      </c>
      <c r="Y508" s="10">
        <v>2</v>
      </c>
      <c r="Z508" s="30" t="s">
        <v>66</v>
      </c>
      <c r="AA508" s="31">
        <f>AA507+1</f>
        <v>10033</v>
      </c>
      <c r="AB508" s="32">
        <f>650*10+670+622+9.5*11</f>
        <v>7896.5</v>
      </c>
      <c r="AC508" s="32"/>
      <c r="AD508" s="32"/>
      <c r="AE508" s="32">
        <f t="shared" ref="AE508:AE510" si="159">SUM(AB508:AC508)</f>
        <v>7896.5</v>
      </c>
      <c r="AF508" s="12"/>
      <c r="AG508" s="12">
        <f>94.5+6.75</f>
        <v>101.25</v>
      </c>
      <c r="AH508" s="12"/>
      <c r="AI508" s="12">
        <f t="shared" ref="AI508:AI539" si="160">SUM(AE508:AH508)</f>
        <v>7997.75</v>
      </c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10">
        <v>3</v>
      </c>
      <c r="B509" s="30" t="s">
        <v>66</v>
      </c>
      <c r="C509" s="83">
        <f t="shared" ref="C509" si="161">C508+1</f>
        <v>9950</v>
      </c>
      <c r="D509" s="33">
        <f>973*65+1050*2+872*3</f>
        <v>67961</v>
      </c>
      <c r="E509" s="32"/>
      <c r="F509" s="33"/>
      <c r="G509" s="33">
        <f t="shared" si="155"/>
        <v>67961</v>
      </c>
      <c r="H509" s="34"/>
      <c r="I509" s="34"/>
      <c r="J509" s="34"/>
      <c r="K509" s="34">
        <f t="shared" si="156"/>
        <v>67961</v>
      </c>
      <c r="M509" s="10">
        <v>3</v>
      </c>
      <c r="N509" s="30" t="s">
        <v>66</v>
      </c>
      <c r="O509" s="31">
        <f t="shared" ref="O509" si="162">O508+1</f>
        <v>10154</v>
      </c>
      <c r="P509" s="32">
        <f>650*3</f>
        <v>1950</v>
      </c>
      <c r="Q509" s="32"/>
      <c r="R509" s="32"/>
      <c r="S509" s="32">
        <f t="shared" si="157"/>
        <v>1950</v>
      </c>
      <c r="T509" s="12"/>
      <c r="U509" s="12"/>
      <c r="V509" s="12"/>
      <c r="W509" s="12">
        <f t="shared" si="158"/>
        <v>1950</v>
      </c>
      <c r="Y509" s="10">
        <v>3</v>
      </c>
      <c r="Z509" s="30" t="s">
        <v>66</v>
      </c>
      <c r="AA509" s="31">
        <f t="shared" ref="AA509:AA517" si="163">AA508+1</f>
        <v>10034</v>
      </c>
      <c r="AB509" s="33">
        <f>650*90+670*5+622*20+229*6+650*3</f>
        <v>77614</v>
      </c>
      <c r="AC509" s="33">
        <f>-115*6</f>
        <v>-690</v>
      </c>
      <c r="AD509" s="32"/>
      <c r="AE509" s="32">
        <f t="shared" si="159"/>
        <v>76924</v>
      </c>
      <c r="AF509" s="12"/>
      <c r="AG509" s="12">
        <f>12*1.5</f>
        <v>18</v>
      </c>
      <c r="AH509" s="12"/>
      <c r="AI509" s="12">
        <f t="shared" si="160"/>
        <v>76942</v>
      </c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10">
        <v>4</v>
      </c>
      <c r="B510" s="30"/>
      <c r="C510" s="11" t="s">
        <v>27</v>
      </c>
      <c r="D510" s="32"/>
      <c r="E510" s="32"/>
      <c r="F510" s="32"/>
      <c r="G510" s="32">
        <f t="shared" si="155"/>
        <v>0</v>
      </c>
      <c r="H510" s="12"/>
      <c r="I510" s="12"/>
      <c r="J510" s="12"/>
      <c r="K510" s="12">
        <f t="shared" si="156"/>
        <v>0</v>
      </c>
      <c r="M510" s="10">
        <v>4</v>
      </c>
      <c r="N510" s="30"/>
      <c r="O510" s="11" t="s">
        <v>27</v>
      </c>
      <c r="P510" s="32"/>
      <c r="Q510" s="32"/>
      <c r="R510" s="32"/>
      <c r="S510" s="32">
        <f t="shared" si="157"/>
        <v>0</v>
      </c>
      <c r="T510" s="12"/>
      <c r="U510" s="12"/>
      <c r="V510" s="12"/>
      <c r="W510" s="12">
        <f t="shared" si="158"/>
        <v>0</v>
      </c>
      <c r="Y510" s="10">
        <v>4</v>
      </c>
      <c r="Z510" s="30" t="s">
        <v>66</v>
      </c>
      <c r="AA510" s="31">
        <f t="shared" si="163"/>
        <v>10035</v>
      </c>
      <c r="AB510" s="32">
        <f>650*27+670*6+872*3+229+500</f>
        <v>24915</v>
      </c>
      <c r="AC510" s="32"/>
      <c r="AD510" s="32"/>
      <c r="AE510" s="32">
        <f t="shared" si="159"/>
        <v>24915</v>
      </c>
      <c r="AF510" s="12"/>
      <c r="AG510">
        <f>111+1.5*12</f>
        <v>129</v>
      </c>
      <c r="AH510" s="12"/>
      <c r="AI510" s="12">
        <f t="shared" si="160"/>
        <v>25044</v>
      </c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10">
        <v>5</v>
      </c>
      <c r="B511" s="30"/>
      <c r="C511" s="83"/>
      <c r="D511" s="32"/>
      <c r="E511" s="32"/>
      <c r="F511" s="32"/>
      <c r="G511" s="32">
        <f t="shared" si="155"/>
        <v>0</v>
      </c>
      <c r="H511" s="12"/>
      <c r="I511" s="12"/>
      <c r="J511" s="12"/>
      <c r="K511" s="12">
        <f t="shared" si="156"/>
        <v>0</v>
      </c>
      <c r="M511" s="10">
        <v>5</v>
      </c>
      <c r="N511" s="30"/>
      <c r="O511" s="31"/>
      <c r="P511" s="32"/>
      <c r="Q511" s="32"/>
      <c r="R511" s="32"/>
      <c r="S511" s="32">
        <f t="shared" si="157"/>
        <v>0</v>
      </c>
      <c r="T511" s="12"/>
      <c r="U511" s="12"/>
      <c r="V511" s="12"/>
      <c r="W511" s="12">
        <f t="shared" si="158"/>
        <v>0</v>
      </c>
      <c r="Y511" s="10">
        <v>5</v>
      </c>
      <c r="Z511" s="30" t="s">
        <v>66</v>
      </c>
      <c r="AA511" s="31">
        <f t="shared" si="163"/>
        <v>10036</v>
      </c>
      <c r="AB511" s="32"/>
      <c r="AC511" s="32"/>
      <c r="AD511" s="32"/>
      <c r="AE511" s="32">
        <f t="shared" ref="AE511:AE512" si="164">SUM(AB511:AC511)</f>
        <v>0</v>
      </c>
      <c r="AF511" s="12"/>
      <c r="AG511" s="12"/>
      <c r="AH511" s="12"/>
      <c r="AI511" s="12">
        <f t="shared" si="160"/>
        <v>0</v>
      </c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10">
        <v>6</v>
      </c>
      <c r="B512" s="30"/>
      <c r="C512" s="83"/>
      <c r="D512" s="32"/>
      <c r="E512" s="32"/>
      <c r="F512" s="32"/>
      <c r="G512" s="32">
        <f t="shared" si="155"/>
        <v>0</v>
      </c>
      <c r="H512" s="12"/>
      <c r="I512" s="12"/>
      <c r="J512" s="12"/>
      <c r="K512" s="12">
        <f t="shared" si="156"/>
        <v>0</v>
      </c>
      <c r="M512" s="10">
        <v>6</v>
      </c>
      <c r="N512" s="30"/>
      <c r="O512" s="31"/>
      <c r="P512" s="32"/>
      <c r="Q512" s="32"/>
      <c r="R512" s="32"/>
      <c r="S512" s="32">
        <f t="shared" si="157"/>
        <v>0</v>
      </c>
      <c r="T512" s="12"/>
      <c r="U512" s="12"/>
      <c r="V512" s="10"/>
      <c r="W512" s="12">
        <f t="shared" si="158"/>
        <v>0</v>
      </c>
      <c r="Y512" s="10">
        <v>6</v>
      </c>
      <c r="Z512" s="30" t="s">
        <v>66</v>
      </c>
      <c r="AA512" s="31">
        <f t="shared" si="163"/>
        <v>10037</v>
      </c>
      <c r="AB512" s="32">
        <f>650*80+670*8+622*12+1050+229*3</f>
        <v>66561</v>
      </c>
      <c r="AC512" s="32">
        <f>-101*6</f>
        <v>-606</v>
      </c>
      <c r="AD512" s="32"/>
      <c r="AE512" s="32">
        <f t="shared" si="164"/>
        <v>65955</v>
      </c>
      <c r="AF512" s="12"/>
      <c r="AG512" s="12">
        <f>31*111+2.25*84</f>
        <v>3630</v>
      </c>
      <c r="AH512" s="10"/>
      <c r="AI512" s="12">
        <f t="shared" si="160"/>
        <v>69585</v>
      </c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10">
        <v>7</v>
      </c>
      <c r="B513" s="30"/>
      <c r="C513" s="83"/>
      <c r="D513" s="32"/>
      <c r="E513" s="32"/>
      <c r="F513" s="32"/>
      <c r="G513" s="32">
        <f t="shared" si="155"/>
        <v>0</v>
      </c>
      <c r="H513" s="12"/>
      <c r="I513" s="12"/>
      <c r="J513" s="12"/>
      <c r="K513" s="12">
        <f t="shared" si="156"/>
        <v>0</v>
      </c>
      <c r="M513" s="10">
        <v>7</v>
      </c>
      <c r="N513" s="30"/>
      <c r="O513" s="31"/>
      <c r="P513" s="32"/>
      <c r="Q513" s="32"/>
      <c r="R513" s="32"/>
      <c r="S513" s="32">
        <f t="shared" si="157"/>
        <v>0</v>
      </c>
      <c r="T513" s="12"/>
      <c r="U513" s="12"/>
      <c r="V513" s="12"/>
      <c r="W513" s="12">
        <f t="shared" si="158"/>
        <v>0</v>
      </c>
      <c r="Y513" s="10">
        <v>7</v>
      </c>
      <c r="Z513" s="30" t="s">
        <v>66</v>
      </c>
      <c r="AA513" s="31">
        <f t="shared" si="163"/>
        <v>10038</v>
      </c>
      <c r="AB513" s="32">
        <f>650*108+622*20</f>
        <v>82640</v>
      </c>
      <c r="AC513" s="32">
        <v>-768</v>
      </c>
      <c r="AD513" s="32"/>
      <c r="AE513" s="32">
        <f>SUM(AB513:AC513)</f>
        <v>81872</v>
      </c>
      <c r="AF513" s="12"/>
      <c r="AG513" s="58"/>
      <c r="AH513" s="12"/>
      <c r="AI513" s="12">
        <f t="shared" si="160"/>
        <v>81872</v>
      </c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10">
        <v>8</v>
      </c>
      <c r="B514" s="30"/>
      <c r="C514" s="83"/>
      <c r="D514" s="32"/>
      <c r="E514" s="32"/>
      <c r="F514" s="32"/>
      <c r="G514" s="32">
        <f t="shared" si="155"/>
        <v>0</v>
      </c>
      <c r="H514" s="12"/>
      <c r="I514" s="12"/>
      <c r="J514" s="12"/>
      <c r="K514" s="12">
        <f t="shared" si="156"/>
        <v>0</v>
      </c>
      <c r="M514" s="10">
        <v>8</v>
      </c>
      <c r="N514" s="30"/>
      <c r="O514" s="31"/>
      <c r="P514" s="32"/>
      <c r="Q514" s="32"/>
      <c r="R514" s="32"/>
      <c r="S514" s="32">
        <f t="shared" si="157"/>
        <v>0</v>
      </c>
      <c r="T514" s="12"/>
      <c r="U514" s="12"/>
      <c r="V514" s="12"/>
      <c r="W514" s="12">
        <f t="shared" si="158"/>
        <v>0</v>
      </c>
      <c r="Y514" s="10">
        <v>8</v>
      </c>
      <c r="Z514" s="30" t="s">
        <v>66</v>
      </c>
      <c r="AA514" s="31">
        <f t="shared" si="163"/>
        <v>10039</v>
      </c>
      <c r="AB514" s="32">
        <f>650*26+229</f>
        <v>17129</v>
      </c>
      <c r="AC514" s="32"/>
      <c r="AE514" s="32">
        <f t="shared" ref="AE514:AE545" si="165">SUM(AB514:AC514)</f>
        <v>17129</v>
      </c>
      <c r="AF514" s="12"/>
      <c r="AG514" s="12">
        <f>4.5*20+2.25*3</f>
        <v>96.75</v>
      </c>
      <c r="AH514" s="12"/>
      <c r="AI514" s="12">
        <f t="shared" si="160"/>
        <v>17225.75</v>
      </c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10">
        <v>9</v>
      </c>
      <c r="B515" s="30"/>
      <c r="C515" s="83"/>
      <c r="D515" s="32"/>
      <c r="E515" s="32"/>
      <c r="F515" s="32"/>
      <c r="G515" s="32">
        <f t="shared" si="155"/>
        <v>0</v>
      </c>
      <c r="H515" s="12"/>
      <c r="I515" s="12"/>
      <c r="J515" s="12"/>
      <c r="K515" s="12">
        <f t="shared" si="156"/>
        <v>0</v>
      </c>
      <c r="M515" s="10">
        <v>9</v>
      </c>
      <c r="N515" s="30"/>
      <c r="O515" s="31"/>
      <c r="P515" s="32"/>
      <c r="Q515" s="32"/>
      <c r="R515" s="32"/>
      <c r="S515" s="32">
        <f t="shared" si="157"/>
        <v>0</v>
      </c>
      <c r="T515" s="12"/>
      <c r="U515" s="12"/>
      <c r="V515" s="12"/>
      <c r="W515" s="12">
        <f t="shared" si="158"/>
        <v>0</v>
      </c>
      <c r="Y515" s="10">
        <v>9</v>
      </c>
      <c r="Z515" s="30" t="s">
        <v>66</v>
      </c>
      <c r="AA515" s="31">
        <f t="shared" si="163"/>
        <v>10040</v>
      </c>
      <c r="AB515" s="32">
        <f>650*26+229</f>
        <v>17129</v>
      </c>
      <c r="AC515" s="32"/>
      <c r="AD515" s="32"/>
      <c r="AE515" s="32">
        <f t="shared" si="165"/>
        <v>17129</v>
      </c>
      <c r="AF515" s="12"/>
      <c r="AH515" s="12">
        <v>-1332</v>
      </c>
      <c r="AI515" s="12">
        <f t="shared" si="160"/>
        <v>15797</v>
      </c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10">
        <v>10</v>
      </c>
      <c r="B516" s="30"/>
      <c r="C516" s="83"/>
      <c r="D516" s="32"/>
      <c r="E516" s="32"/>
      <c r="F516" s="32"/>
      <c r="G516" s="32">
        <f t="shared" si="155"/>
        <v>0</v>
      </c>
      <c r="H516" s="12"/>
      <c r="I516" s="12"/>
      <c r="J516" s="12"/>
      <c r="K516" s="12">
        <f t="shared" si="156"/>
        <v>0</v>
      </c>
      <c r="M516" s="10">
        <v>10</v>
      </c>
      <c r="N516" s="30"/>
      <c r="O516" s="31"/>
      <c r="P516" s="32"/>
      <c r="Q516" s="32"/>
      <c r="R516" s="32"/>
      <c r="S516" s="32">
        <f t="shared" si="157"/>
        <v>0</v>
      </c>
      <c r="T516" s="12"/>
      <c r="U516" s="12"/>
      <c r="V516" s="12"/>
      <c r="W516" s="12">
        <f t="shared" si="158"/>
        <v>0</v>
      </c>
      <c r="Y516" s="10">
        <v>10</v>
      </c>
      <c r="Z516" s="30" t="s">
        <v>66</v>
      </c>
      <c r="AA516" s="31">
        <f t="shared" si="163"/>
        <v>10041</v>
      </c>
      <c r="AB516" s="32">
        <f>650*2</f>
        <v>1300</v>
      </c>
      <c r="AC516" s="32"/>
      <c r="AD516" s="32"/>
      <c r="AE516" s="32">
        <f t="shared" si="165"/>
        <v>1300</v>
      </c>
      <c r="AF516" s="12"/>
      <c r="AG516" s="12"/>
      <c r="AH516" s="12"/>
      <c r="AI516" s="12">
        <f t="shared" si="160"/>
        <v>1300</v>
      </c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10">
        <v>11</v>
      </c>
      <c r="B517" s="30"/>
      <c r="C517" s="83"/>
      <c r="D517" s="32"/>
      <c r="E517" s="32"/>
      <c r="F517" s="32"/>
      <c r="G517" s="32">
        <f t="shared" si="155"/>
        <v>0</v>
      </c>
      <c r="H517" s="12"/>
      <c r="I517" s="12"/>
      <c r="J517" s="12"/>
      <c r="K517" s="12">
        <f t="shared" si="156"/>
        <v>0</v>
      </c>
      <c r="M517" s="10">
        <v>11</v>
      </c>
      <c r="N517" s="30"/>
      <c r="O517" s="31"/>
      <c r="P517" s="32"/>
      <c r="Q517" s="32"/>
      <c r="R517" s="32"/>
      <c r="S517" s="32">
        <f t="shared" si="157"/>
        <v>0</v>
      </c>
      <c r="T517" s="12"/>
      <c r="U517" s="12"/>
      <c r="V517" s="12"/>
      <c r="W517" s="12">
        <f t="shared" si="158"/>
        <v>0</v>
      </c>
      <c r="Y517" s="10">
        <v>11</v>
      </c>
      <c r="Z517" s="30" t="s">
        <v>66</v>
      </c>
      <c r="AA517" s="31">
        <f t="shared" si="163"/>
        <v>10042</v>
      </c>
      <c r="AB517" s="32">
        <f>650*35+622*12</f>
        <v>30214</v>
      </c>
      <c r="AC517" s="32"/>
      <c r="AD517" s="32"/>
      <c r="AE517" s="32">
        <f t="shared" si="165"/>
        <v>30214</v>
      </c>
      <c r="AF517" s="12"/>
      <c r="AG517" s="12"/>
      <c r="AH517" s="12"/>
      <c r="AI517" s="12">
        <f t="shared" si="160"/>
        <v>30214</v>
      </c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10">
        <v>12</v>
      </c>
      <c r="B518" s="30"/>
      <c r="C518" s="83"/>
      <c r="D518" s="32"/>
      <c r="E518" s="32"/>
      <c r="F518" s="32"/>
      <c r="G518" s="32">
        <f t="shared" si="155"/>
        <v>0</v>
      </c>
      <c r="H518" s="12"/>
      <c r="I518" s="12"/>
      <c r="J518" s="10"/>
      <c r="K518" s="12">
        <f t="shared" si="156"/>
        <v>0</v>
      </c>
      <c r="M518" s="10">
        <v>12</v>
      </c>
      <c r="N518" s="30"/>
      <c r="O518" s="31"/>
      <c r="P518" s="32"/>
      <c r="Q518" s="32"/>
      <c r="R518" s="32"/>
      <c r="S518" s="32">
        <f t="shared" si="157"/>
        <v>0</v>
      </c>
      <c r="T518" s="12"/>
      <c r="U518" s="12"/>
      <c r="V518" s="12"/>
      <c r="W518" s="12">
        <f t="shared" si="158"/>
        <v>0</v>
      </c>
      <c r="Y518" s="10">
        <v>12</v>
      </c>
      <c r="Z518" s="30"/>
      <c r="AA518" s="11" t="s">
        <v>27</v>
      </c>
      <c r="AB518" s="32"/>
      <c r="AC518" s="32"/>
      <c r="AD518" s="32"/>
      <c r="AE518" s="32">
        <f t="shared" si="165"/>
        <v>0</v>
      </c>
      <c r="AF518" s="12"/>
      <c r="AG518" s="12"/>
      <c r="AH518" s="12"/>
      <c r="AI518" s="12">
        <f t="shared" si="160"/>
        <v>0</v>
      </c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10">
        <v>13</v>
      </c>
      <c r="B519" s="30"/>
      <c r="C519" s="83"/>
      <c r="D519" s="32"/>
      <c r="E519" s="32"/>
      <c r="F519" s="32"/>
      <c r="G519" s="32">
        <f t="shared" si="155"/>
        <v>0</v>
      </c>
      <c r="H519" s="12"/>
      <c r="I519" s="12"/>
      <c r="J519" s="12"/>
      <c r="K519" s="12">
        <f t="shared" si="156"/>
        <v>0</v>
      </c>
      <c r="M519" s="10">
        <v>13</v>
      </c>
      <c r="N519" s="30"/>
      <c r="O519" s="31"/>
      <c r="P519" s="32"/>
      <c r="Q519" s="32"/>
      <c r="R519" s="32"/>
      <c r="S519" s="32">
        <f t="shared" si="157"/>
        <v>0</v>
      </c>
      <c r="T519" s="12"/>
      <c r="U519" s="12"/>
      <c r="V519" s="12"/>
      <c r="W519" s="12">
        <f t="shared" si="158"/>
        <v>0</v>
      </c>
      <c r="Y519" s="10">
        <v>13</v>
      </c>
      <c r="Z519" s="30"/>
      <c r="AA519" s="11"/>
      <c r="AB519" s="32"/>
      <c r="AC519" s="32"/>
      <c r="AD519" s="32"/>
      <c r="AE519" s="32">
        <f t="shared" si="165"/>
        <v>0</v>
      </c>
      <c r="AF519" s="12"/>
      <c r="AG519" s="12"/>
      <c r="AH519" s="12"/>
      <c r="AI519" s="12">
        <f t="shared" si="160"/>
        <v>0</v>
      </c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10">
        <v>14</v>
      </c>
      <c r="B520" s="30"/>
      <c r="C520" s="83"/>
      <c r="D520" s="32"/>
      <c r="E520" s="32"/>
      <c r="F520" s="32"/>
      <c r="G520" s="32">
        <f t="shared" si="155"/>
        <v>0</v>
      </c>
      <c r="H520" s="12"/>
      <c r="I520" s="12"/>
      <c r="J520" s="12"/>
      <c r="K520" s="12">
        <f t="shared" si="156"/>
        <v>0</v>
      </c>
      <c r="M520" s="10">
        <v>14</v>
      </c>
      <c r="N520" s="30"/>
      <c r="O520" s="31"/>
      <c r="P520" s="32"/>
      <c r="Q520" s="32"/>
      <c r="R520" s="32"/>
      <c r="S520" s="32">
        <f t="shared" si="157"/>
        <v>0</v>
      </c>
      <c r="T520" s="12"/>
      <c r="U520" s="12"/>
      <c r="V520" s="12"/>
      <c r="W520" s="12">
        <f t="shared" si="158"/>
        <v>0</v>
      </c>
      <c r="Y520" s="10">
        <v>14</v>
      </c>
      <c r="Z520" s="30"/>
      <c r="AA520" s="31"/>
      <c r="AB520" s="32"/>
      <c r="AC520" s="32"/>
      <c r="AD520" s="32"/>
      <c r="AE520" s="32">
        <f t="shared" si="165"/>
        <v>0</v>
      </c>
      <c r="AF520" s="12"/>
      <c r="AG520" s="12"/>
      <c r="AH520" s="12"/>
      <c r="AI520" s="12">
        <f t="shared" si="160"/>
        <v>0</v>
      </c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10">
        <v>15</v>
      </c>
      <c r="B521" s="30"/>
      <c r="C521" s="83"/>
      <c r="D521" s="32"/>
      <c r="E521" s="32"/>
      <c r="F521" s="32"/>
      <c r="G521" s="32">
        <f t="shared" si="155"/>
        <v>0</v>
      </c>
      <c r="H521" s="12"/>
      <c r="I521" s="12"/>
      <c r="J521" s="12"/>
      <c r="K521" s="12">
        <f t="shared" si="156"/>
        <v>0</v>
      </c>
      <c r="M521" s="10">
        <v>15</v>
      </c>
      <c r="N521" s="30"/>
      <c r="O521" s="31"/>
      <c r="P521" s="32"/>
      <c r="Q521" s="32"/>
      <c r="R521" s="32"/>
      <c r="S521" s="32">
        <f t="shared" si="157"/>
        <v>0</v>
      </c>
      <c r="T521" s="12"/>
      <c r="U521" s="12"/>
      <c r="V521" s="12"/>
      <c r="W521" s="12">
        <f t="shared" si="158"/>
        <v>0</v>
      </c>
      <c r="Y521" s="10">
        <v>15</v>
      </c>
      <c r="Z521" s="30"/>
      <c r="AA521" s="31"/>
      <c r="AB521" s="32"/>
      <c r="AC521" s="32"/>
      <c r="AD521" s="32"/>
      <c r="AE521" s="32">
        <f t="shared" si="165"/>
        <v>0</v>
      </c>
      <c r="AF521" s="12"/>
      <c r="AG521" s="12"/>
      <c r="AH521" s="12"/>
      <c r="AI521" s="12">
        <f t="shared" si="160"/>
        <v>0</v>
      </c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10">
        <v>16</v>
      </c>
      <c r="B522" s="30"/>
      <c r="C522" s="83"/>
      <c r="D522" s="32"/>
      <c r="E522" s="32"/>
      <c r="F522" s="32"/>
      <c r="G522" s="32">
        <f t="shared" si="155"/>
        <v>0</v>
      </c>
      <c r="H522" s="12"/>
      <c r="I522" s="12"/>
      <c r="J522" s="12"/>
      <c r="K522" s="12">
        <f t="shared" si="156"/>
        <v>0</v>
      </c>
      <c r="M522" s="10">
        <v>16</v>
      </c>
      <c r="N522" s="30"/>
      <c r="O522" s="11"/>
      <c r="P522" s="32"/>
      <c r="Q522" s="32"/>
      <c r="R522" s="32"/>
      <c r="S522" s="32">
        <f t="shared" si="157"/>
        <v>0</v>
      </c>
      <c r="T522" s="12"/>
      <c r="U522" s="12"/>
      <c r="V522" s="12"/>
      <c r="W522" s="12">
        <f t="shared" si="158"/>
        <v>0</v>
      </c>
      <c r="Y522" s="10">
        <v>16</v>
      </c>
      <c r="AA522" s="11"/>
      <c r="AB522" s="32"/>
      <c r="AC522" s="32"/>
      <c r="AD522" s="32"/>
      <c r="AE522" s="32">
        <f t="shared" si="165"/>
        <v>0</v>
      </c>
      <c r="AF522" s="12"/>
      <c r="AG522" s="12"/>
      <c r="AH522" s="12"/>
      <c r="AI522" s="12">
        <f t="shared" si="160"/>
        <v>0</v>
      </c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10">
        <v>17</v>
      </c>
      <c r="B523" s="30"/>
      <c r="C523" s="83"/>
      <c r="D523" s="32"/>
      <c r="E523" s="32"/>
      <c r="F523" s="32"/>
      <c r="G523" s="32">
        <f t="shared" si="155"/>
        <v>0</v>
      </c>
      <c r="H523" s="12"/>
      <c r="I523" s="12"/>
      <c r="J523" s="12"/>
      <c r="K523" s="12">
        <f t="shared" si="156"/>
        <v>0</v>
      </c>
      <c r="M523" s="10">
        <v>17</v>
      </c>
      <c r="N523" s="30"/>
      <c r="O523" s="31"/>
      <c r="P523" s="35"/>
      <c r="Q523" s="32"/>
      <c r="R523" s="32"/>
      <c r="S523" s="32">
        <f t="shared" si="157"/>
        <v>0</v>
      </c>
      <c r="T523" s="12"/>
      <c r="U523" s="12"/>
      <c r="V523" s="12"/>
      <c r="W523" s="12">
        <f t="shared" si="158"/>
        <v>0</v>
      </c>
      <c r="Y523" s="10">
        <v>17</v>
      </c>
      <c r="Z523" s="30"/>
      <c r="AA523" s="31"/>
      <c r="AB523" s="35"/>
      <c r="AC523" s="32"/>
      <c r="AD523" s="32"/>
      <c r="AE523" s="32">
        <f t="shared" si="165"/>
        <v>0</v>
      </c>
      <c r="AF523" s="12"/>
      <c r="AG523" s="12"/>
      <c r="AH523" s="12"/>
      <c r="AI523" s="12">
        <f t="shared" si="160"/>
        <v>0</v>
      </c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10">
        <v>18</v>
      </c>
      <c r="B524" s="30"/>
      <c r="C524" s="83"/>
      <c r="D524" s="32"/>
      <c r="E524" s="32"/>
      <c r="F524" s="32"/>
      <c r="G524" s="32">
        <f t="shared" si="155"/>
        <v>0</v>
      </c>
      <c r="H524" s="12"/>
      <c r="I524" s="12"/>
      <c r="J524" s="12"/>
      <c r="K524" s="12">
        <f t="shared" si="156"/>
        <v>0</v>
      </c>
      <c r="M524" s="10">
        <v>18</v>
      </c>
      <c r="N524" s="30"/>
      <c r="O524" s="31"/>
      <c r="P524" s="32"/>
      <c r="Q524" s="32"/>
      <c r="R524" s="32"/>
      <c r="S524" s="32">
        <f t="shared" si="157"/>
        <v>0</v>
      </c>
      <c r="T524" s="12"/>
      <c r="U524" s="12"/>
      <c r="V524" s="12"/>
      <c r="W524" s="12">
        <f t="shared" si="158"/>
        <v>0</v>
      </c>
      <c r="Y524" s="10">
        <v>18</v>
      </c>
      <c r="Z524" s="30"/>
      <c r="AA524" s="31"/>
      <c r="AB524" s="32"/>
      <c r="AC524" s="32"/>
      <c r="AD524" s="32"/>
      <c r="AE524" s="32">
        <f t="shared" si="165"/>
        <v>0</v>
      </c>
      <c r="AF524" s="12"/>
      <c r="AG524" s="12"/>
      <c r="AH524" s="12"/>
      <c r="AI524" s="12">
        <f t="shared" si="160"/>
        <v>0</v>
      </c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10">
        <v>19</v>
      </c>
      <c r="B525" s="30"/>
      <c r="C525" s="83"/>
      <c r="D525" s="32"/>
      <c r="E525" s="32"/>
      <c r="F525" s="32"/>
      <c r="G525" s="32">
        <f t="shared" si="155"/>
        <v>0</v>
      </c>
      <c r="H525" s="12"/>
      <c r="I525" s="12"/>
      <c r="J525" s="12"/>
      <c r="K525" s="12">
        <f t="shared" si="156"/>
        <v>0</v>
      </c>
      <c r="M525" s="10">
        <v>19</v>
      </c>
      <c r="N525" s="30"/>
      <c r="O525" s="31"/>
      <c r="P525" s="32"/>
      <c r="Q525" s="32"/>
      <c r="R525" s="32"/>
      <c r="S525" s="32">
        <f t="shared" si="157"/>
        <v>0</v>
      </c>
      <c r="T525" s="12"/>
      <c r="U525" s="12"/>
      <c r="V525" s="12"/>
      <c r="W525" s="12">
        <f t="shared" si="158"/>
        <v>0</v>
      </c>
      <c r="Y525" s="10">
        <v>19</v>
      </c>
      <c r="Z525" s="30"/>
      <c r="AA525" s="31"/>
      <c r="AB525" s="32"/>
      <c r="AC525" s="32"/>
      <c r="AD525" s="32"/>
      <c r="AE525" s="32">
        <f t="shared" si="165"/>
        <v>0</v>
      </c>
      <c r="AF525" s="12"/>
      <c r="AG525" s="12"/>
      <c r="AH525" s="12"/>
      <c r="AI525" s="12">
        <f t="shared" si="160"/>
        <v>0</v>
      </c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10">
        <v>20</v>
      </c>
      <c r="B526" s="30"/>
      <c r="C526" s="83"/>
      <c r="D526" s="32"/>
      <c r="E526" s="32"/>
      <c r="F526" s="32"/>
      <c r="G526" s="32">
        <f t="shared" si="155"/>
        <v>0</v>
      </c>
      <c r="H526" s="12"/>
      <c r="I526" s="12"/>
      <c r="J526" s="12"/>
      <c r="K526" s="12">
        <f t="shared" si="156"/>
        <v>0</v>
      </c>
      <c r="M526" s="10">
        <v>20</v>
      </c>
      <c r="N526" s="30"/>
      <c r="O526" s="31"/>
      <c r="P526" s="32"/>
      <c r="Q526" s="32"/>
      <c r="R526" s="32"/>
      <c r="S526" s="32">
        <f t="shared" si="157"/>
        <v>0</v>
      </c>
      <c r="T526" s="12"/>
      <c r="U526" s="12"/>
      <c r="V526" s="12"/>
      <c r="W526" s="12">
        <f t="shared" si="158"/>
        <v>0</v>
      </c>
      <c r="Y526" s="10">
        <v>20</v>
      </c>
      <c r="Z526" s="30"/>
      <c r="AB526" s="32"/>
      <c r="AC526" s="32"/>
      <c r="AD526" s="32"/>
      <c r="AE526" s="32">
        <f t="shared" si="165"/>
        <v>0</v>
      </c>
      <c r="AF526" s="12"/>
      <c r="AG526" s="12"/>
      <c r="AH526" s="12"/>
      <c r="AI526" s="12">
        <f t="shared" si="160"/>
        <v>0</v>
      </c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10">
        <v>21</v>
      </c>
      <c r="B527" s="30"/>
      <c r="C527" s="83"/>
      <c r="D527" s="32"/>
      <c r="E527" s="32"/>
      <c r="F527" s="32"/>
      <c r="G527" s="32">
        <f t="shared" si="155"/>
        <v>0</v>
      </c>
      <c r="H527" s="10"/>
      <c r="I527" s="10"/>
      <c r="J527" s="10"/>
      <c r="K527" s="12">
        <f t="shared" si="156"/>
        <v>0</v>
      </c>
      <c r="M527" s="10">
        <v>21</v>
      </c>
      <c r="N527" s="30"/>
      <c r="O527" s="11"/>
      <c r="P527" s="46"/>
      <c r="Q527" s="31"/>
      <c r="R527" s="31"/>
      <c r="S527" s="32">
        <f t="shared" si="157"/>
        <v>0</v>
      </c>
      <c r="T527" s="10"/>
      <c r="U527" s="10"/>
      <c r="V527" s="10"/>
      <c r="W527" s="12">
        <f t="shared" si="158"/>
        <v>0</v>
      </c>
      <c r="Y527" s="10">
        <v>21</v>
      </c>
      <c r="Z527" s="30"/>
      <c r="AA527" s="31"/>
      <c r="AB527" s="46"/>
      <c r="AC527" s="31"/>
      <c r="AD527" s="31"/>
      <c r="AE527" s="32">
        <f t="shared" si="165"/>
        <v>0</v>
      </c>
      <c r="AF527" s="10"/>
      <c r="AG527" s="10"/>
      <c r="AH527" s="10"/>
      <c r="AI527" s="12">
        <f t="shared" si="160"/>
        <v>0</v>
      </c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10">
        <v>22</v>
      </c>
      <c r="B528" s="30"/>
      <c r="D528" s="32"/>
      <c r="E528" s="32"/>
      <c r="F528" s="32"/>
      <c r="G528" s="32">
        <f t="shared" si="155"/>
        <v>0</v>
      </c>
      <c r="H528" s="10"/>
      <c r="I528" s="10"/>
      <c r="J528" s="10"/>
      <c r="K528" s="12">
        <f t="shared" si="156"/>
        <v>0</v>
      </c>
      <c r="M528" s="10">
        <v>22</v>
      </c>
      <c r="N528" s="30"/>
      <c r="O528" s="31"/>
      <c r="P528" s="45"/>
      <c r="Q528" s="31"/>
      <c r="R528" s="31"/>
      <c r="S528" s="32">
        <f t="shared" si="157"/>
        <v>0</v>
      </c>
      <c r="T528" s="10"/>
      <c r="U528" s="10"/>
      <c r="V528" s="10"/>
      <c r="W528" s="12">
        <f t="shared" si="158"/>
        <v>0</v>
      </c>
      <c r="Y528" s="10">
        <v>22</v>
      </c>
      <c r="Z528" s="30"/>
      <c r="AA528" s="31"/>
      <c r="AB528" s="45"/>
      <c r="AC528" s="31"/>
      <c r="AD528" s="31"/>
      <c r="AE528" s="32">
        <f t="shared" si="165"/>
        <v>0</v>
      </c>
      <c r="AF528" s="10"/>
      <c r="AG528" s="10"/>
      <c r="AH528" s="10"/>
      <c r="AI528" s="12">
        <f t="shared" si="160"/>
        <v>0</v>
      </c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10">
        <v>23</v>
      </c>
      <c r="B529" s="30"/>
      <c r="C529" s="83"/>
      <c r="D529" s="32"/>
      <c r="E529" s="32"/>
      <c r="F529" s="32"/>
      <c r="G529" s="32">
        <f t="shared" si="155"/>
        <v>0</v>
      </c>
      <c r="H529" s="10"/>
      <c r="I529" s="10"/>
      <c r="J529" s="12"/>
      <c r="K529" s="12">
        <f t="shared" si="156"/>
        <v>0</v>
      </c>
      <c r="M529" s="10">
        <v>23</v>
      </c>
      <c r="N529" s="30"/>
      <c r="O529" s="31"/>
      <c r="P529" s="47"/>
      <c r="S529" s="32">
        <f t="shared" si="157"/>
        <v>0</v>
      </c>
      <c r="T529" s="10"/>
      <c r="U529" s="10"/>
      <c r="V529" s="10"/>
      <c r="W529" s="12">
        <f t="shared" si="158"/>
        <v>0</v>
      </c>
      <c r="Y529" s="10">
        <v>23</v>
      </c>
      <c r="Z529" s="30"/>
      <c r="AA529" s="31"/>
      <c r="AB529" s="47"/>
      <c r="AC529" s="31"/>
      <c r="AE529" s="32">
        <f t="shared" si="165"/>
        <v>0</v>
      </c>
      <c r="AF529" s="10"/>
      <c r="AG529" s="10"/>
      <c r="AH529" s="10"/>
      <c r="AI529" s="12">
        <f t="shared" si="160"/>
        <v>0</v>
      </c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10">
        <v>24</v>
      </c>
      <c r="B530" s="30"/>
      <c r="C530" s="83"/>
      <c r="D530" s="32"/>
      <c r="E530" s="32"/>
      <c r="F530" s="32"/>
      <c r="G530" s="32">
        <f t="shared" si="155"/>
        <v>0</v>
      </c>
      <c r="H530" s="10"/>
      <c r="I530" s="10"/>
      <c r="J530" s="10"/>
      <c r="K530" s="12">
        <f t="shared" si="156"/>
        <v>0</v>
      </c>
      <c r="M530" s="10">
        <v>24</v>
      </c>
      <c r="N530" s="30"/>
      <c r="O530" s="31"/>
      <c r="P530" s="47"/>
      <c r="Q530" s="31"/>
      <c r="R530" s="31"/>
      <c r="S530" s="32">
        <f t="shared" si="157"/>
        <v>0</v>
      </c>
      <c r="T530" s="10"/>
      <c r="U530" s="10"/>
      <c r="V530" s="10"/>
      <c r="W530" s="12">
        <f t="shared" si="158"/>
        <v>0</v>
      </c>
      <c r="Y530" s="10">
        <v>24</v>
      </c>
      <c r="Z530" s="30"/>
      <c r="AA530" s="31"/>
      <c r="AB530" s="47"/>
      <c r="AC530" s="31"/>
      <c r="AD530" s="31"/>
      <c r="AE530" s="32">
        <f t="shared" si="165"/>
        <v>0</v>
      </c>
      <c r="AF530" s="10"/>
      <c r="AG530" s="10"/>
      <c r="AH530" s="10"/>
      <c r="AI530" s="12">
        <f t="shared" si="160"/>
        <v>0</v>
      </c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10">
        <v>25</v>
      </c>
      <c r="B531" s="30"/>
      <c r="C531" s="83"/>
      <c r="D531" s="32"/>
      <c r="E531" s="32"/>
      <c r="F531" s="32"/>
      <c r="G531" s="32">
        <f t="shared" si="155"/>
        <v>0</v>
      </c>
      <c r="H531" s="10"/>
      <c r="I531" s="10"/>
      <c r="J531" s="10"/>
      <c r="K531" s="12">
        <f t="shared" si="156"/>
        <v>0</v>
      </c>
      <c r="M531" s="10">
        <v>25</v>
      </c>
      <c r="N531" s="30"/>
      <c r="O531" s="31"/>
      <c r="P531" s="47"/>
      <c r="Q531" s="31"/>
      <c r="R531" s="31"/>
      <c r="S531" s="32">
        <f t="shared" si="157"/>
        <v>0</v>
      </c>
      <c r="T531" s="10"/>
      <c r="U531" s="10"/>
      <c r="V531" s="10"/>
      <c r="W531" s="12">
        <f t="shared" si="158"/>
        <v>0</v>
      </c>
      <c r="Y531" s="10">
        <v>25</v>
      </c>
      <c r="Z531" s="30"/>
      <c r="AA531" s="31"/>
      <c r="AB531" s="47"/>
      <c r="AC531" s="31"/>
      <c r="AD531" s="31"/>
      <c r="AE531" s="32">
        <f t="shared" si="165"/>
        <v>0</v>
      </c>
      <c r="AF531" s="10"/>
      <c r="AG531" s="10"/>
      <c r="AH531" s="10"/>
      <c r="AI531" s="12">
        <f t="shared" si="160"/>
        <v>0</v>
      </c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10">
        <v>26</v>
      </c>
      <c r="B532" s="30"/>
      <c r="C532" s="83"/>
      <c r="D532" s="32"/>
      <c r="E532" s="32"/>
      <c r="F532" s="32"/>
      <c r="G532" s="32">
        <f t="shared" si="155"/>
        <v>0</v>
      </c>
      <c r="H532" s="10"/>
      <c r="I532" s="10"/>
      <c r="J532" s="10"/>
      <c r="K532" s="12">
        <f t="shared" si="156"/>
        <v>0</v>
      </c>
      <c r="M532" s="10">
        <v>26</v>
      </c>
      <c r="N532" s="30"/>
      <c r="O532" s="31"/>
      <c r="P532" s="47"/>
      <c r="Q532" s="31"/>
      <c r="R532" s="31"/>
      <c r="S532" s="32">
        <f t="shared" si="157"/>
        <v>0</v>
      </c>
      <c r="T532" s="10"/>
      <c r="U532" s="10"/>
      <c r="V532" s="10"/>
      <c r="W532" s="12">
        <f t="shared" si="158"/>
        <v>0</v>
      </c>
      <c r="Y532" s="10">
        <v>26</v>
      </c>
      <c r="Z532" s="30"/>
      <c r="AA532" s="31"/>
      <c r="AB532" s="47"/>
      <c r="AC532" s="31"/>
      <c r="AD532" s="31"/>
      <c r="AE532" s="32">
        <f t="shared" si="165"/>
        <v>0</v>
      </c>
      <c r="AF532" s="10"/>
      <c r="AG532" s="10"/>
      <c r="AH532" s="10"/>
      <c r="AI532" s="12">
        <f t="shared" si="160"/>
        <v>0</v>
      </c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10">
        <v>27</v>
      </c>
      <c r="B533" s="30"/>
      <c r="C533" s="83"/>
      <c r="D533" s="32"/>
      <c r="E533" s="32"/>
      <c r="F533" s="32"/>
      <c r="G533" s="32">
        <f t="shared" si="155"/>
        <v>0</v>
      </c>
      <c r="H533" s="10"/>
      <c r="I533" s="10"/>
      <c r="J533" s="10"/>
      <c r="K533" s="12">
        <f t="shared" si="156"/>
        <v>0</v>
      </c>
      <c r="M533" s="10">
        <v>27</v>
      </c>
      <c r="N533" s="30"/>
      <c r="O533" s="31"/>
      <c r="P533" s="47"/>
      <c r="Q533" s="31"/>
      <c r="R533" s="31"/>
      <c r="S533" s="32">
        <f t="shared" si="157"/>
        <v>0</v>
      </c>
      <c r="T533" s="10"/>
      <c r="U533" s="10"/>
      <c r="V533" s="10"/>
      <c r="W533" s="12">
        <f t="shared" si="158"/>
        <v>0</v>
      </c>
      <c r="Y533" s="10">
        <v>27</v>
      </c>
      <c r="Z533" s="30"/>
      <c r="AA533" s="31"/>
      <c r="AB533" s="47"/>
      <c r="AC533" s="31"/>
      <c r="AD533" s="31"/>
      <c r="AE533" s="32">
        <f t="shared" si="165"/>
        <v>0</v>
      </c>
      <c r="AF533" s="10"/>
      <c r="AG533" s="10"/>
      <c r="AH533" s="10"/>
      <c r="AI533" s="12">
        <f t="shared" si="160"/>
        <v>0</v>
      </c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10">
        <v>28</v>
      </c>
      <c r="B534" s="30"/>
      <c r="C534" s="83"/>
      <c r="D534" s="32"/>
      <c r="E534" s="32"/>
      <c r="F534" s="32"/>
      <c r="G534" s="32">
        <f t="shared" si="155"/>
        <v>0</v>
      </c>
      <c r="H534" s="10"/>
      <c r="I534" s="10"/>
      <c r="J534" s="10"/>
      <c r="K534" s="12">
        <f t="shared" si="156"/>
        <v>0</v>
      </c>
      <c r="M534" s="10">
        <v>28</v>
      </c>
      <c r="N534" s="30"/>
      <c r="O534" s="31"/>
      <c r="P534" s="47"/>
      <c r="Q534" s="31"/>
      <c r="R534" s="31"/>
      <c r="S534" s="32">
        <f t="shared" si="157"/>
        <v>0</v>
      </c>
      <c r="T534" s="10"/>
      <c r="U534" s="10"/>
      <c r="V534" s="10"/>
      <c r="W534" s="12">
        <f t="shared" si="158"/>
        <v>0</v>
      </c>
      <c r="Y534" s="10">
        <v>28</v>
      </c>
      <c r="Z534" s="30"/>
      <c r="AA534" s="31"/>
      <c r="AB534" s="47"/>
      <c r="AC534" s="31"/>
      <c r="AD534" s="31"/>
      <c r="AE534" s="32">
        <f t="shared" si="165"/>
        <v>0</v>
      </c>
      <c r="AF534" s="10"/>
      <c r="AG534" s="10"/>
      <c r="AH534" s="10"/>
      <c r="AI534" s="12">
        <f t="shared" si="160"/>
        <v>0</v>
      </c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10">
        <v>29</v>
      </c>
      <c r="B535" s="30"/>
      <c r="C535" s="83"/>
      <c r="D535" s="32"/>
      <c r="E535" s="32"/>
      <c r="F535" s="32"/>
      <c r="G535" s="32">
        <f t="shared" si="155"/>
        <v>0</v>
      </c>
      <c r="H535" s="10"/>
      <c r="I535" s="10"/>
      <c r="J535" s="10"/>
      <c r="K535" s="12">
        <f t="shared" si="156"/>
        <v>0</v>
      </c>
      <c r="M535" s="10">
        <v>29</v>
      </c>
      <c r="N535" s="30"/>
      <c r="O535" s="31"/>
      <c r="P535" s="47"/>
      <c r="Q535" s="31"/>
      <c r="R535" s="31"/>
      <c r="S535" s="32">
        <f t="shared" si="157"/>
        <v>0</v>
      </c>
      <c r="T535" s="10"/>
      <c r="U535" s="10"/>
      <c r="V535" s="10"/>
      <c r="W535" s="12">
        <f t="shared" si="158"/>
        <v>0</v>
      </c>
      <c r="Y535" s="10">
        <v>29</v>
      </c>
      <c r="Z535" s="30"/>
      <c r="AA535" s="31"/>
      <c r="AB535" s="47"/>
      <c r="AC535" s="31"/>
      <c r="AD535" s="31"/>
      <c r="AE535" s="32">
        <f t="shared" si="165"/>
        <v>0</v>
      </c>
      <c r="AF535" s="10"/>
      <c r="AG535" s="10"/>
      <c r="AH535" s="10"/>
      <c r="AI535" s="12">
        <f t="shared" si="160"/>
        <v>0</v>
      </c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10">
        <v>30</v>
      </c>
      <c r="B536" s="30"/>
      <c r="C536" s="83"/>
      <c r="D536" s="32"/>
      <c r="E536" s="32"/>
      <c r="F536" s="32"/>
      <c r="G536" s="32">
        <f t="shared" si="155"/>
        <v>0</v>
      </c>
      <c r="H536" s="10"/>
      <c r="I536" s="10"/>
      <c r="J536" s="10"/>
      <c r="K536" s="12">
        <f t="shared" si="156"/>
        <v>0</v>
      </c>
      <c r="M536" s="10">
        <v>30</v>
      </c>
      <c r="N536" s="30"/>
      <c r="O536" s="31"/>
      <c r="P536" s="47"/>
      <c r="Q536" s="31"/>
      <c r="R536" s="31"/>
      <c r="S536" s="32">
        <f t="shared" si="157"/>
        <v>0</v>
      </c>
      <c r="T536" s="10"/>
      <c r="U536" s="10"/>
      <c r="V536" s="10"/>
      <c r="W536" s="12">
        <f t="shared" si="158"/>
        <v>0</v>
      </c>
      <c r="Y536" s="10">
        <v>30</v>
      </c>
      <c r="Z536" s="30"/>
      <c r="AA536" s="31"/>
      <c r="AB536" s="47"/>
      <c r="AC536" s="31"/>
      <c r="AD536" s="31"/>
      <c r="AE536" s="32">
        <f t="shared" si="165"/>
        <v>0</v>
      </c>
      <c r="AF536" s="10"/>
      <c r="AG536" s="10"/>
      <c r="AH536" s="10"/>
      <c r="AI536" s="12">
        <f t="shared" si="160"/>
        <v>0</v>
      </c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10">
        <v>31</v>
      </c>
      <c r="B537" s="30"/>
      <c r="C537" s="11"/>
      <c r="D537" s="32"/>
      <c r="E537" s="32"/>
      <c r="F537" s="32"/>
      <c r="G537" s="32">
        <f t="shared" si="155"/>
        <v>0</v>
      </c>
      <c r="H537" s="10"/>
      <c r="I537" s="10"/>
      <c r="J537" s="10"/>
      <c r="K537" s="12">
        <f t="shared" si="156"/>
        <v>0</v>
      </c>
      <c r="M537" s="10">
        <v>31</v>
      </c>
      <c r="N537" s="30"/>
      <c r="O537" s="31"/>
      <c r="P537" s="47"/>
      <c r="Q537" s="31"/>
      <c r="R537" s="31"/>
      <c r="S537" s="32">
        <f t="shared" si="157"/>
        <v>0</v>
      </c>
      <c r="T537" s="10"/>
      <c r="U537" s="10"/>
      <c r="V537" s="10"/>
      <c r="W537" s="12">
        <f t="shared" si="158"/>
        <v>0</v>
      </c>
      <c r="Y537" s="10">
        <v>31</v>
      </c>
      <c r="Z537" s="30"/>
      <c r="AA537" s="31"/>
      <c r="AB537" s="47"/>
      <c r="AC537" s="31"/>
      <c r="AD537" s="31"/>
      <c r="AE537" s="32">
        <f t="shared" si="165"/>
        <v>0</v>
      </c>
      <c r="AF537" s="10"/>
      <c r="AG537" s="10"/>
      <c r="AH537" s="10"/>
      <c r="AI537" s="12">
        <f t="shared" si="160"/>
        <v>0</v>
      </c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10">
        <v>32</v>
      </c>
      <c r="B538" s="30"/>
      <c r="C538" s="83"/>
      <c r="D538" s="32"/>
      <c r="E538" s="32"/>
      <c r="F538" s="32"/>
      <c r="G538" s="32">
        <f t="shared" si="155"/>
        <v>0</v>
      </c>
      <c r="H538" s="10"/>
      <c r="I538" s="10"/>
      <c r="J538" s="10"/>
      <c r="K538" s="12">
        <f t="shared" si="156"/>
        <v>0</v>
      </c>
      <c r="M538" s="10">
        <v>32</v>
      </c>
      <c r="N538" s="30"/>
      <c r="O538" s="31"/>
      <c r="P538" s="47"/>
      <c r="Q538" s="31"/>
      <c r="R538" s="31"/>
      <c r="S538" s="32">
        <f t="shared" si="157"/>
        <v>0</v>
      </c>
      <c r="T538" s="10"/>
      <c r="U538" s="10"/>
      <c r="V538" s="10"/>
      <c r="W538" s="12">
        <f t="shared" si="158"/>
        <v>0</v>
      </c>
      <c r="Y538" s="10">
        <v>32</v>
      </c>
      <c r="Z538" s="30"/>
      <c r="AA538" s="31"/>
      <c r="AB538" s="47"/>
      <c r="AC538" s="31"/>
      <c r="AD538" s="31"/>
      <c r="AE538" s="32">
        <f t="shared" si="165"/>
        <v>0</v>
      </c>
      <c r="AF538" s="10"/>
      <c r="AG538" s="10"/>
      <c r="AH538" s="10"/>
      <c r="AI538" s="12">
        <f t="shared" si="160"/>
        <v>0</v>
      </c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10">
        <v>33</v>
      </c>
      <c r="B539" s="30"/>
      <c r="C539" s="83"/>
      <c r="D539" s="32"/>
      <c r="E539" s="32"/>
      <c r="F539" s="32"/>
      <c r="G539" s="32">
        <f t="shared" si="155"/>
        <v>0</v>
      </c>
      <c r="H539" s="10"/>
      <c r="I539" s="10"/>
      <c r="J539" s="10"/>
      <c r="K539" s="12">
        <f t="shared" si="156"/>
        <v>0</v>
      </c>
      <c r="M539" s="10">
        <v>33</v>
      </c>
      <c r="N539" s="30"/>
      <c r="O539" s="31"/>
      <c r="P539" s="47"/>
      <c r="Q539" s="31"/>
      <c r="R539" s="31"/>
      <c r="S539" s="32">
        <f t="shared" si="157"/>
        <v>0</v>
      </c>
      <c r="T539" s="10"/>
      <c r="U539" s="10"/>
      <c r="V539" s="10"/>
      <c r="W539" s="12">
        <f t="shared" si="158"/>
        <v>0</v>
      </c>
      <c r="Y539" s="10">
        <v>33</v>
      </c>
      <c r="Z539" s="30"/>
      <c r="AA539" s="31"/>
      <c r="AB539" s="47"/>
      <c r="AC539" s="31"/>
      <c r="AD539" s="31"/>
      <c r="AE539" s="32">
        <f t="shared" si="165"/>
        <v>0</v>
      </c>
      <c r="AF539" s="10"/>
      <c r="AG539" s="10"/>
      <c r="AH539" s="10"/>
      <c r="AI539" s="12">
        <f t="shared" si="160"/>
        <v>0</v>
      </c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10"/>
      <c r="B540" s="30"/>
      <c r="C540" s="83"/>
      <c r="D540" s="32"/>
      <c r="E540" s="32"/>
      <c r="F540" s="32"/>
      <c r="G540" s="32">
        <f t="shared" si="155"/>
        <v>0</v>
      </c>
      <c r="H540" s="10"/>
      <c r="I540" s="10"/>
      <c r="J540" s="10"/>
      <c r="K540" s="12">
        <f t="shared" si="156"/>
        <v>0</v>
      </c>
      <c r="M540" s="10">
        <v>34</v>
      </c>
      <c r="N540" s="30"/>
      <c r="O540" s="31"/>
      <c r="P540" s="47"/>
      <c r="Q540" s="31"/>
      <c r="R540" s="31"/>
      <c r="S540" s="32">
        <f t="shared" si="157"/>
        <v>0</v>
      </c>
      <c r="T540" s="10"/>
      <c r="U540" s="10"/>
      <c r="V540" s="10"/>
      <c r="W540" s="12">
        <f t="shared" si="158"/>
        <v>0</v>
      </c>
      <c r="Y540" s="10">
        <v>34</v>
      </c>
      <c r="Z540" s="30"/>
      <c r="AA540" s="31"/>
      <c r="AB540" s="47"/>
      <c r="AC540" s="31"/>
      <c r="AD540" s="31"/>
      <c r="AE540" s="32">
        <f t="shared" si="165"/>
        <v>0</v>
      </c>
      <c r="AF540" s="10"/>
      <c r="AG540" s="10"/>
      <c r="AH540" s="10"/>
      <c r="AI540" s="12">
        <f t="shared" ref="AI540:AI548" si="166">SUM(AE540:AH540)</f>
        <v>0</v>
      </c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10"/>
      <c r="B541" s="30"/>
      <c r="C541" s="83"/>
      <c r="D541" s="32"/>
      <c r="E541" s="32"/>
      <c r="F541" s="32"/>
      <c r="G541" s="32"/>
      <c r="H541" s="10"/>
      <c r="I541" s="10"/>
      <c r="J541" s="10"/>
      <c r="K541" s="12"/>
      <c r="M541" s="10">
        <v>35</v>
      </c>
      <c r="N541" s="30"/>
      <c r="O541" s="31"/>
      <c r="P541" s="47"/>
      <c r="Q541" s="31"/>
      <c r="R541" s="31"/>
      <c r="S541" s="32">
        <f t="shared" si="157"/>
        <v>0</v>
      </c>
      <c r="T541" s="10"/>
      <c r="U541" s="10"/>
      <c r="V541" s="10"/>
      <c r="W541" s="12">
        <f t="shared" si="158"/>
        <v>0</v>
      </c>
      <c r="Y541" s="10">
        <v>35</v>
      </c>
      <c r="Z541" s="30"/>
      <c r="AA541" s="31"/>
      <c r="AB541" s="47"/>
      <c r="AC541" s="31"/>
      <c r="AD541" s="31"/>
      <c r="AE541" s="32">
        <f t="shared" si="165"/>
        <v>0</v>
      </c>
      <c r="AF541" s="10"/>
      <c r="AG541" s="10"/>
      <c r="AH541" s="10"/>
      <c r="AI541" s="12">
        <f t="shared" si="166"/>
        <v>0</v>
      </c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10"/>
      <c r="B542" s="30"/>
      <c r="C542" s="83"/>
      <c r="D542" s="32"/>
      <c r="E542" s="32"/>
      <c r="F542" s="32"/>
      <c r="G542" s="32"/>
      <c r="H542" s="10"/>
      <c r="I542" s="10"/>
      <c r="J542" s="10"/>
      <c r="K542" s="12"/>
      <c r="M542" s="10">
        <v>36</v>
      </c>
      <c r="N542" s="30"/>
      <c r="O542" s="31"/>
      <c r="P542" s="47"/>
      <c r="Q542" s="31"/>
      <c r="R542" s="31"/>
      <c r="S542" s="32">
        <f t="shared" si="157"/>
        <v>0</v>
      </c>
      <c r="T542" s="10"/>
      <c r="U542" s="10"/>
      <c r="V542" s="10"/>
      <c r="W542" s="12">
        <f t="shared" si="158"/>
        <v>0</v>
      </c>
      <c r="Y542" s="10">
        <v>36</v>
      </c>
      <c r="Z542" s="30"/>
      <c r="AA542" s="31"/>
      <c r="AB542" s="47"/>
      <c r="AC542" s="31"/>
      <c r="AD542" s="31"/>
      <c r="AE542" s="32">
        <f t="shared" si="165"/>
        <v>0</v>
      </c>
      <c r="AF542" s="10"/>
      <c r="AG542" s="10"/>
      <c r="AH542" s="10"/>
      <c r="AI542" s="12">
        <f t="shared" si="166"/>
        <v>0</v>
      </c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10"/>
      <c r="B543" s="30"/>
      <c r="C543" s="31"/>
      <c r="D543" s="32"/>
      <c r="E543" s="32"/>
      <c r="F543" s="32"/>
      <c r="G543" s="32"/>
      <c r="H543" s="10"/>
      <c r="I543" s="10"/>
      <c r="J543" s="10"/>
      <c r="K543" s="12"/>
      <c r="M543" s="10">
        <v>37</v>
      </c>
      <c r="N543" s="30"/>
      <c r="P543" s="47"/>
      <c r="Q543" s="31"/>
      <c r="R543" s="31"/>
      <c r="S543" s="32">
        <f t="shared" si="157"/>
        <v>0</v>
      </c>
      <c r="T543" s="10"/>
      <c r="U543" s="10"/>
      <c r="V543" s="10"/>
      <c r="W543" s="12">
        <f t="shared" si="158"/>
        <v>0</v>
      </c>
      <c r="Y543" s="10">
        <v>37</v>
      </c>
      <c r="Z543" s="30"/>
      <c r="AA543" s="31"/>
      <c r="AB543" s="47"/>
      <c r="AC543" s="31"/>
      <c r="AD543" s="31"/>
      <c r="AE543" s="32">
        <f t="shared" si="165"/>
        <v>0</v>
      </c>
      <c r="AF543" s="10"/>
      <c r="AG543" s="10"/>
      <c r="AH543" s="10"/>
      <c r="AI543" s="12">
        <f t="shared" si="166"/>
        <v>0</v>
      </c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10"/>
      <c r="B544" s="30"/>
      <c r="C544" s="31"/>
      <c r="D544" s="32"/>
      <c r="E544" s="32"/>
      <c r="F544" s="32"/>
      <c r="G544" s="32"/>
      <c r="H544" s="10"/>
      <c r="I544" s="10"/>
      <c r="J544" s="10"/>
      <c r="K544" s="12"/>
      <c r="M544" s="10">
        <v>38</v>
      </c>
      <c r="N544" s="30"/>
      <c r="O544" s="31"/>
      <c r="P544" s="47"/>
      <c r="Q544" s="31"/>
      <c r="R544" s="31"/>
      <c r="S544" s="32">
        <f t="shared" si="157"/>
        <v>0</v>
      </c>
      <c r="T544" s="10"/>
      <c r="U544" s="10"/>
      <c r="V544" s="10"/>
      <c r="W544" s="12">
        <f t="shared" si="158"/>
        <v>0</v>
      </c>
      <c r="Y544" s="10">
        <v>38</v>
      </c>
      <c r="Z544" s="30"/>
      <c r="AA544" s="31"/>
      <c r="AB544" s="47"/>
      <c r="AC544" s="31"/>
      <c r="AD544" s="31"/>
      <c r="AE544" s="32">
        <f t="shared" si="165"/>
        <v>0</v>
      </c>
      <c r="AF544" s="10"/>
      <c r="AG544" s="10"/>
      <c r="AH544" s="10"/>
      <c r="AI544" s="12">
        <f t="shared" si="166"/>
        <v>0</v>
      </c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10"/>
      <c r="B545" s="30"/>
      <c r="C545" s="31"/>
      <c r="D545" s="32"/>
      <c r="E545" s="32"/>
      <c r="F545" s="32"/>
      <c r="G545" s="32"/>
      <c r="H545" s="10"/>
      <c r="I545" s="10"/>
      <c r="J545" s="10"/>
      <c r="K545" s="12"/>
      <c r="M545" s="10">
        <v>39</v>
      </c>
      <c r="N545" s="30"/>
      <c r="O545" s="31"/>
      <c r="P545" s="47"/>
      <c r="Q545" s="31"/>
      <c r="R545" s="31"/>
      <c r="S545" s="32">
        <f t="shared" si="157"/>
        <v>0</v>
      </c>
      <c r="T545" s="10"/>
      <c r="U545" s="10"/>
      <c r="V545" s="10"/>
      <c r="W545" s="12">
        <f t="shared" si="158"/>
        <v>0</v>
      </c>
      <c r="Y545" s="10">
        <v>39</v>
      </c>
      <c r="Z545" s="30"/>
      <c r="AA545" s="31"/>
      <c r="AB545" s="47"/>
      <c r="AC545" s="31"/>
      <c r="AD545" s="31"/>
      <c r="AE545" s="32">
        <f t="shared" si="165"/>
        <v>0</v>
      </c>
      <c r="AF545" s="10"/>
      <c r="AG545" s="10"/>
      <c r="AH545" s="10"/>
      <c r="AI545" s="12">
        <f t="shared" si="166"/>
        <v>0</v>
      </c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10"/>
      <c r="B546" s="30"/>
      <c r="C546" s="31"/>
      <c r="D546" s="32"/>
      <c r="E546" s="32"/>
      <c r="F546" s="32"/>
      <c r="G546" s="32"/>
      <c r="H546" s="10"/>
      <c r="I546" s="10"/>
      <c r="J546" s="10"/>
      <c r="K546" s="12"/>
      <c r="M546" s="10"/>
      <c r="N546" s="30"/>
      <c r="P546" s="47"/>
      <c r="Q546" s="31"/>
      <c r="R546" s="31"/>
      <c r="S546" s="32"/>
      <c r="T546" s="10"/>
      <c r="U546" s="10"/>
      <c r="V546" s="10"/>
      <c r="W546" s="12">
        <f t="shared" si="158"/>
        <v>0</v>
      </c>
      <c r="Y546" s="10"/>
      <c r="Z546" s="30"/>
      <c r="AB546" s="47"/>
      <c r="AC546" s="31"/>
      <c r="AD546" s="31"/>
      <c r="AE546" s="32"/>
      <c r="AF546" s="10"/>
      <c r="AG546" s="10"/>
      <c r="AH546" s="10"/>
      <c r="AI546" s="12">
        <f t="shared" si="166"/>
        <v>0</v>
      </c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10"/>
      <c r="B547" s="30"/>
      <c r="C547" s="31"/>
      <c r="D547" s="32"/>
      <c r="E547" s="32"/>
      <c r="F547" s="32"/>
      <c r="G547" s="32">
        <f t="shared" ref="G547" si="167">SUM(D547:E547)</f>
        <v>0</v>
      </c>
      <c r="H547" s="10"/>
      <c r="I547" s="10"/>
      <c r="J547" s="10"/>
      <c r="K547" s="12">
        <f t="shared" ref="K547" si="168">SUM(G547:J547)</f>
        <v>0</v>
      </c>
      <c r="M547" s="10"/>
      <c r="N547" s="30"/>
      <c r="O547" s="31"/>
      <c r="P547" s="47"/>
      <c r="Q547" s="31"/>
      <c r="R547" s="31"/>
      <c r="S547" s="32">
        <f t="shared" ref="S547" si="169">SUM(P547:Q547)</f>
        <v>0</v>
      </c>
      <c r="T547" s="10"/>
      <c r="U547" s="10"/>
      <c r="V547" s="10"/>
      <c r="W547" s="12">
        <f t="shared" si="158"/>
        <v>0</v>
      </c>
      <c r="Y547" s="10"/>
      <c r="Z547" s="30"/>
      <c r="AA547" s="31"/>
      <c r="AB547" s="47"/>
      <c r="AC547" s="31"/>
      <c r="AD547" s="31"/>
      <c r="AE547" s="32">
        <f t="shared" ref="AE547" si="170">SUM(AB547:AC547)</f>
        <v>0</v>
      </c>
      <c r="AF547" s="10"/>
      <c r="AG547" s="10"/>
      <c r="AH547" s="10"/>
      <c r="AI547" s="12">
        <f t="shared" si="166"/>
        <v>0</v>
      </c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10"/>
      <c r="B548" s="30"/>
      <c r="C548" s="30"/>
      <c r="D548" s="32"/>
      <c r="E548" s="32"/>
      <c r="F548" s="32"/>
      <c r="G548" s="32"/>
      <c r="H548" s="10"/>
      <c r="I548" s="10"/>
      <c r="J548" s="10"/>
      <c r="K548" s="12"/>
      <c r="M548" s="10"/>
      <c r="N548" s="31"/>
      <c r="O548" s="31"/>
      <c r="P548" s="31"/>
      <c r="Q548" s="31"/>
      <c r="R548" s="31"/>
      <c r="S548" s="31"/>
      <c r="T548" s="10"/>
      <c r="U548" s="10"/>
      <c r="V548" s="10"/>
      <c r="W548" s="12">
        <f t="shared" si="158"/>
        <v>0</v>
      </c>
      <c r="Y548" s="10"/>
      <c r="Z548" s="31"/>
      <c r="AA548" s="31"/>
      <c r="AB548" s="31"/>
      <c r="AC548" s="31"/>
      <c r="AD548" s="31"/>
      <c r="AE548" s="31"/>
      <c r="AF548" s="10"/>
      <c r="AG548" s="10"/>
      <c r="AH548" s="10"/>
      <c r="AI548" s="12">
        <f t="shared" si="166"/>
        <v>0</v>
      </c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B549" s="57"/>
      <c r="C549" s="57"/>
      <c r="D549" s="36"/>
      <c r="E549" s="36"/>
      <c r="F549" s="36"/>
      <c r="G549" s="36"/>
      <c r="H549" s="37"/>
      <c r="I549" s="37"/>
      <c r="J549" s="37"/>
      <c r="K549" s="37"/>
      <c r="N549" s="57"/>
      <c r="O549" s="57"/>
      <c r="P549" s="36"/>
      <c r="Q549" s="36"/>
      <c r="R549" s="36"/>
      <c r="S549" s="36"/>
      <c r="T549" s="37"/>
      <c r="U549" s="37"/>
      <c r="V549" s="37"/>
      <c r="W549" s="37"/>
      <c r="Z549" s="57"/>
      <c r="AA549" s="57"/>
      <c r="AB549" s="36"/>
      <c r="AC549" s="36"/>
      <c r="AD549" s="36"/>
      <c r="AE549" s="36"/>
      <c r="AF549" s="37"/>
      <c r="AG549" s="37"/>
      <c r="AH549" s="37"/>
      <c r="AI549" s="37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B550" s="57"/>
      <c r="C550" s="57"/>
      <c r="D550" s="38">
        <f>SUM(D507:D549)</f>
        <v>324459</v>
      </c>
      <c r="E550" s="38">
        <f t="shared" ref="E550:F550" si="171">SUM(E507:E547)</f>
        <v>-1476</v>
      </c>
      <c r="F550" s="38">
        <f t="shared" si="171"/>
        <v>0</v>
      </c>
      <c r="G550" s="38">
        <f>SUM(G507:G549)</f>
        <v>322983</v>
      </c>
      <c r="H550" s="4"/>
      <c r="I550" s="39">
        <f>SUM(I507:I549)</f>
        <v>13224</v>
      </c>
      <c r="J550" s="39">
        <f>SUM(J507:J549)</f>
        <v>-459</v>
      </c>
      <c r="K550" s="40">
        <f>SUM(K507:K549)</f>
        <v>335748</v>
      </c>
      <c r="N550" s="57"/>
      <c r="O550" s="57"/>
      <c r="P550" s="38">
        <f>SUM(P507:P549)</f>
        <v>251766</v>
      </c>
      <c r="Q550" s="38">
        <f>SUM(Q507:Q531)</f>
        <v>-2010</v>
      </c>
      <c r="R550" s="38">
        <f>SUM(R507:R531)</f>
        <v>0</v>
      </c>
      <c r="S550" s="38">
        <f>SUM(S507:S549)</f>
        <v>249756</v>
      </c>
      <c r="T550" s="4"/>
      <c r="U550" s="41">
        <f>SUM(U507:U549)</f>
        <v>1113</v>
      </c>
      <c r="V550" s="41">
        <f>SUM(V507:V531)</f>
        <v>-5220</v>
      </c>
      <c r="W550" s="42">
        <f>SUM(W507:W549)</f>
        <v>245649</v>
      </c>
      <c r="Z550" s="57"/>
      <c r="AA550" s="57"/>
      <c r="AB550" s="38">
        <f>SUM(AB507:AB549)</f>
        <v>466191.5</v>
      </c>
      <c r="AC550" s="38">
        <f>SUM(AC507:AC531)</f>
        <v>-2064</v>
      </c>
      <c r="AD550" s="38">
        <f>SUM(AD507:AD531)</f>
        <v>0</v>
      </c>
      <c r="AE550" s="38">
        <f>SUM(AE507:AE549)</f>
        <v>464127.5</v>
      </c>
      <c r="AF550" s="4"/>
      <c r="AG550" s="41">
        <f>SUM(AG507:AG549)</f>
        <v>13632</v>
      </c>
      <c r="AH550" s="41">
        <f>SUM(AH507:AH531)</f>
        <v>-1332</v>
      </c>
      <c r="AI550" s="42">
        <f>SUM(AI507:AI549)</f>
        <v>476427.5</v>
      </c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t="s">
        <v>0</v>
      </c>
      <c r="B552" s="57"/>
      <c r="C552" s="57"/>
      <c r="D552" s="57"/>
      <c r="E552" s="57"/>
      <c r="G552" s="57"/>
      <c r="M552" t="s">
        <v>0</v>
      </c>
      <c r="N552" s="57"/>
      <c r="O552" s="57"/>
      <c r="P552" s="57"/>
      <c r="Q552" s="57"/>
      <c r="R552" s="57"/>
      <c r="S552" s="57"/>
      <c r="Y552" t="s">
        <v>0</v>
      </c>
      <c r="Z552" s="57"/>
      <c r="AA552" s="57"/>
      <c r="AB552" s="57"/>
      <c r="AC552" s="57"/>
      <c r="AD552" s="57"/>
      <c r="AE552" s="57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t="s">
        <v>28</v>
      </c>
      <c r="B553" s="57"/>
      <c r="C553" s="57"/>
      <c r="D553" s="57"/>
      <c r="E553" s="57"/>
      <c r="G553" s="57"/>
      <c r="M553" t="s">
        <v>28</v>
      </c>
      <c r="N553" s="57"/>
      <c r="O553" s="57"/>
      <c r="P553" s="57"/>
      <c r="Q553" s="57"/>
      <c r="R553" s="57"/>
      <c r="S553" s="57"/>
      <c r="Y553" t="s">
        <v>28</v>
      </c>
      <c r="Z553" s="57"/>
      <c r="AA553" s="57"/>
      <c r="AB553" s="57"/>
      <c r="AC553" s="57"/>
      <c r="AD553" s="57"/>
      <c r="AE553" s="57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B554" s="57"/>
      <c r="C554" s="57"/>
      <c r="D554" s="57"/>
      <c r="E554" s="57"/>
      <c r="G554" s="57"/>
      <c r="N554" s="57"/>
      <c r="O554" s="57"/>
      <c r="P554" s="57"/>
      <c r="Q554" s="57"/>
      <c r="R554" s="57"/>
      <c r="S554" s="57"/>
      <c r="Z554" s="57"/>
      <c r="AA554" s="57"/>
      <c r="AB554" s="57"/>
      <c r="AC554" s="57"/>
      <c r="AD554" s="57"/>
      <c r="AE554" s="57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4" t="s">
        <v>14</v>
      </c>
      <c r="B555" s="57"/>
      <c r="C555" s="57"/>
      <c r="D555" s="57"/>
      <c r="E555" s="57"/>
      <c r="G555" s="57"/>
      <c r="M555" s="4" t="s">
        <v>14</v>
      </c>
      <c r="N555" s="57"/>
      <c r="O555" s="57"/>
      <c r="P555" s="57"/>
      <c r="Q555" s="57"/>
      <c r="R555" s="57"/>
      <c r="S555" s="57"/>
      <c r="Y555" s="4" t="s">
        <v>14</v>
      </c>
      <c r="Z555" s="57"/>
      <c r="AA555" s="57"/>
      <c r="AB555" s="57"/>
      <c r="AC555" s="57"/>
      <c r="AD555" s="57"/>
      <c r="AE555" s="57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B556" s="57"/>
      <c r="C556" s="57"/>
      <c r="D556" s="57"/>
      <c r="E556" s="57"/>
      <c r="G556" s="57"/>
      <c r="N556" s="57"/>
      <c r="O556" s="57"/>
      <c r="P556" s="57"/>
      <c r="Q556" s="57"/>
      <c r="R556" s="57"/>
      <c r="S556" s="57"/>
      <c r="Z556" s="57"/>
      <c r="AA556" s="57"/>
      <c r="AB556" s="57"/>
      <c r="AC556" s="57"/>
      <c r="AD556" s="57"/>
      <c r="AE556" s="57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t="s">
        <v>41</v>
      </c>
      <c r="B557" s="57"/>
      <c r="C557" s="57"/>
      <c r="D557" s="57"/>
      <c r="E557" s="57"/>
      <c r="G557" s="57"/>
      <c r="I557" s="57" t="s">
        <v>15</v>
      </c>
      <c r="J557" s="19">
        <v>1</v>
      </c>
      <c r="M557" t="s">
        <v>41</v>
      </c>
      <c r="N557" s="57"/>
      <c r="O557" s="57"/>
      <c r="P557" s="57"/>
      <c r="Q557" s="57"/>
      <c r="R557" s="57"/>
      <c r="S557" s="57"/>
      <c r="U557" s="57" t="s">
        <v>15</v>
      </c>
      <c r="V557" s="19">
        <v>2</v>
      </c>
      <c r="Y557" t="s">
        <v>41</v>
      </c>
      <c r="Z557" s="57"/>
      <c r="AA557" s="57"/>
      <c r="AB557" s="57"/>
      <c r="AC557" s="57"/>
      <c r="AD557" s="57"/>
      <c r="AE557" s="57"/>
      <c r="AG557" s="57" t="s">
        <v>15</v>
      </c>
      <c r="AH557" s="20">
        <v>3</v>
      </c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21" t="s">
        <v>68</v>
      </c>
      <c r="B558" s="20"/>
      <c r="C558" s="57"/>
      <c r="D558" s="57"/>
      <c r="E558" s="57"/>
      <c r="G558" s="57"/>
      <c r="I558" s="22" t="s">
        <v>16</v>
      </c>
      <c r="J558" s="23" t="s">
        <v>31</v>
      </c>
      <c r="K558" s="24"/>
      <c r="M558" s="21" t="s">
        <v>68</v>
      </c>
      <c r="N558" s="20"/>
      <c r="O558" s="57"/>
      <c r="P558" s="57"/>
      <c r="Q558" s="57"/>
      <c r="R558" s="57"/>
      <c r="S558" s="57"/>
      <c r="U558" s="22" t="s">
        <v>16</v>
      </c>
      <c r="V558" s="23" t="s">
        <v>33</v>
      </c>
      <c r="W558" s="24"/>
      <c r="Y558" s="21" t="s">
        <v>68</v>
      </c>
      <c r="Z558" s="20"/>
      <c r="AA558" s="57"/>
      <c r="AB558" s="57"/>
      <c r="AC558" s="57"/>
      <c r="AD558" s="57"/>
      <c r="AE558" s="57"/>
      <c r="AG558" s="22" t="s">
        <v>16</v>
      </c>
      <c r="AH558" s="23" t="s">
        <v>34</v>
      </c>
      <c r="AI558" s="24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B559" s="57"/>
      <c r="C559" s="57"/>
      <c r="D559" s="57"/>
      <c r="E559" s="57"/>
      <c r="G559" s="57"/>
      <c r="N559" s="57"/>
      <c r="O559" s="57"/>
      <c r="P559" s="57"/>
      <c r="Q559" s="57"/>
      <c r="R559" s="57"/>
      <c r="S559" s="57"/>
      <c r="Z559" s="57"/>
      <c r="AA559" s="57"/>
      <c r="AB559" s="57"/>
      <c r="AC559" s="57"/>
      <c r="AD559" s="57"/>
      <c r="AE559" s="57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B560" s="25"/>
      <c r="C560" s="26"/>
      <c r="D560" s="120" t="s">
        <v>17</v>
      </c>
      <c r="E560" s="120"/>
      <c r="F560" s="101"/>
      <c r="G560" s="27"/>
      <c r="I560" s="118" t="s">
        <v>18</v>
      </c>
      <c r="J560" s="119"/>
      <c r="K560" s="116" t="s">
        <v>19</v>
      </c>
      <c r="N560" s="25"/>
      <c r="O560" s="26"/>
      <c r="P560" s="120" t="s">
        <v>17</v>
      </c>
      <c r="Q560" s="120"/>
      <c r="R560" s="101"/>
      <c r="S560" s="27"/>
      <c r="U560" s="118" t="s">
        <v>18</v>
      </c>
      <c r="V560" s="119"/>
      <c r="W560" s="116" t="s">
        <v>19</v>
      </c>
      <c r="Z560" s="25"/>
      <c r="AA560" s="26"/>
      <c r="AB560" s="120" t="s">
        <v>17</v>
      </c>
      <c r="AC560" s="120"/>
      <c r="AD560" s="101"/>
      <c r="AE560" s="27"/>
      <c r="AG560" s="118" t="s">
        <v>18</v>
      </c>
      <c r="AH560" s="119"/>
      <c r="AI560" s="116" t="s">
        <v>19</v>
      </c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ht="30" x14ac:dyDescent="0.25">
      <c r="B561" s="28" t="s">
        <v>20</v>
      </c>
      <c r="C561" s="28" t="s">
        <v>21</v>
      </c>
      <c r="D561" s="77" t="s">
        <v>22</v>
      </c>
      <c r="E561" s="76" t="s">
        <v>23</v>
      </c>
      <c r="F561" s="78" t="s">
        <v>32</v>
      </c>
      <c r="G561" s="78" t="s">
        <v>24</v>
      </c>
      <c r="I561" s="29" t="s">
        <v>25</v>
      </c>
      <c r="J561" s="29" t="s">
        <v>26</v>
      </c>
      <c r="K561" s="117"/>
      <c r="N561" s="28" t="s">
        <v>20</v>
      </c>
      <c r="O561" s="28" t="s">
        <v>21</v>
      </c>
      <c r="P561" s="77" t="s">
        <v>22</v>
      </c>
      <c r="Q561" s="78" t="s">
        <v>23</v>
      </c>
      <c r="R561" s="78" t="s">
        <v>32</v>
      </c>
      <c r="S561" s="78" t="s">
        <v>24</v>
      </c>
      <c r="U561" s="29" t="s">
        <v>25</v>
      </c>
      <c r="V561" s="29" t="s">
        <v>26</v>
      </c>
      <c r="W561" s="117"/>
      <c r="Z561" s="28" t="s">
        <v>20</v>
      </c>
      <c r="AA561" s="28" t="s">
        <v>21</v>
      </c>
      <c r="AB561" s="77" t="s">
        <v>22</v>
      </c>
      <c r="AC561" s="78" t="s">
        <v>23</v>
      </c>
      <c r="AD561" s="78" t="s">
        <v>32</v>
      </c>
      <c r="AE561" s="78" t="s">
        <v>24</v>
      </c>
      <c r="AG561" s="29" t="s">
        <v>25</v>
      </c>
      <c r="AH561" s="29" t="s">
        <v>26</v>
      </c>
      <c r="AI561" s="117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10">
        <v>1</v>
      </c>
      <c r="B562" s="30" t="s">
        <v>69</v>
      </c>
      <c r="C562" s="83">
        <v>10201</v>
      </c>
      <c r="D562" s="32">
        <f>650*44+700+622*5+229</f>
        <v>32639</v>
      </c>
      <c r="E562" s="32"/>
      <c r="F562" s="32"/>
      <c r="G562" s="32">
        <f t="shared" ref="G562:G595" si="172">SUM(D562:E562)</f>
        <v>32639</v>
      </c>
      <c r="H562" s="12"/>
      <c r="I562" s="12">
        <f>888+112.5</f>
        <v>1000.5</v>
      </c>
      <c r="J562" s="12"/>
      <c r="K562" s="12">
        <f t="shared" ref="K562:K595" si="173">SUM(G562:J562)</f>
        <v>33639.5</v>
      </c>
      <c r="M562" s="10">
        <v>1</v>
      </c>
      <c r="N562" s="30" t="s">
        <v>69</v>
      </c>
      <c r="O562" s="31">
        <v>10155</v>
      </c>
      <c r="P562" s="32">
        <f>650*5+9.5*5</f>
        <v>3297.5</v>
      </c>
      <c r="Q562" s="32"/>
      <c r="R562" s="32"/>
      <c r="S562" s="32">
        <f>SUM(P562:Q562)</f>
        <v>3297.5</v>
      </c>
      <c r="T562" s="12"/>
      <c r="U562" s="12"/>
      <c r="V562" s="12">
        <v>-1110</v>
      </c>
      <c r="W562" s="12">
        <f>SUM(S562:V562)</f>
        <v>2187.5</v>
      </c>
      <c r="Y562" s="10">
        <v>1</v>
      </c>
      <c r="Z562" s="30" t="s">
        <v>69</v>
      </c>
      <c r="AA562" s="31">
        <v>10044</v>
      </c>
      <c r="AB562" s="32">
        <f>650*243+670*15+229*8</f>
        <v>169832</v>
      </c>
      <c r="AC562" s="32">
        <f>-258*6</f>
        <v>-1548</v>
      </c>
      <c r="AD562" s="32"/>
      <c r="AE562" s="32">
        <f>SUM(AB562:AC562)</f>
        <v>168284</v>
      </c>
      <c r="AF562" s="12"/>
      <c r="AG562" s="12"/>
      <c r="AH562" s="12">
        <f>-42*14</f>
        <v>-588</v>
      </c>
      <c r="AI562" s="12">
        <f>SUM(AE562:AH562)</f>
        <v>167696</v>
      </c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10">
        <v>2</v>
      </c>
      <c r="B563" s="30" t="s">
        <v>69</v>
      </c>
      <c r="C563" s="83">
        <f>C562+1</f>
        <v>10202</v>
      </c>
      <c r="D563" s="32">
        <f>650+9.5</f>
        <v>659.5</v>
      </c>
      <c r="E563" s="32"/>
      <c r="F563" s="32"/>
      <c r="G563" s="32">
        <f t="shared" si="172"/>
        <v>659.5</v>
      </c>
      <c r="H563" s="12"/>
      <c r="I563" s="12"/>
      <c r="J563" s="12"/>
      <c r="K563" s="12">
        <f t="shared" si="173"/>
        <v>659.5</v>
      </c>
      <c r="M563" s="10">
        <v>2</v>
      </c>
      <c r="N563" s="30" t="s">
        <v>69</v>
      </c>
      <c r="O563" s="31">
        <f>O562+1</f>
        <v>10156</v>
      </c>
      <c r="P563" s="32">
        <f>650*216+622*40+229*10</f>
        <v>167570</v>
      </c>
      <c r="Q563" s="32">
        <f>-256*6</f>
        <v>-1536</v>
      </c>
      <c r="R563" s="32"/>
      <c r="S563" s="32">
        <f t="shared" ref="S563:S600" si="174">SUM(P563:Q563)</f>
        <v>166034</v>
      </c>
      <c r="T563" s="12"/>
      <c r="U563" s="12">
        <v>702</v>
      </c>
      <c r="V563" s="12">
        <v>-420</v>
      </c>
      <c r="W563" s="12">
        <f t="shared" ref="W563:W603" si="175">SUM(S563:V563)</f>
        <v>166316</v>
      </c>
      <c r="Y563" s="10">
        <v>2</v>
      </c>
      <c r="Z563" s="30" t="s">
        <v>69</v>
      </c>
      <c r="AA563" s="31">
        <f>AA562+1</f>
        <v>10045</v>
      </c>
      <c r="AB563" s="32">
        <f>650*108+229*4</f>
        <v>71116</v>
      </c>
      <c r="AC563" s="32">
        <f>-108*6</f>
        <v>-648</v>
      </c>
      <c r="AD563" s="32"/>
      <c r="AE563" s="32">
        <f t="shared" ref="AE563:AE565" si="176">SUM(AB563:AC563)</f>
        <v>70468</v>
      </c>
      <c r="AF563" s="12"/>
      <c r="AG563" s="12"/>
      <c r="AH563" s="12"/>
      <c r="AI563" s="12">
        <f t="shared" ref="AI563:AI594" si="177">SUM(AE563:AH563)</f>
        <v>70468</v>
      </c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10">
        <v>3</v>
      </c>
      <c r="B564" s="30" t="s">
        <v>69</v>
      </c>
      <c r="C564" s="83">
        <f t="shared" ref="C564:C571" si="178">C563+1</f>
        <v>10203</v>
      </c>
      <c r="D564" s="33">
        <f>650*30+622*2+1050+872+229+500</f>
        <v>23395</v>
      </c>
      <c r="E564" s="32"/>
      <c r="F564" s="33"/>
      <c r="G564" s="33">
        <f t="shared" si="172"/>
        <v>23395</v>
      </c>
      <c r="H564" s="34"/>
      <c r="I564" s="34">
        <f>42+4.5</f>
        <v>46.5</v>
      </c>
      <c r="J564" s="34"/>
      <c r="K564" s="34">
        <f t="shared" si="173"/>
        <v>23441.5</v>
      </c>
      <c r="M564" s="10">
        <v>3</v>
      </c>
      <c r="N564" s="30" t="s">
        <v>69</v>
      </c>
      <c r="O564" s="31">
        <f t="shared" ref="O564:O566" si="179">O563+1</f>
        <v>10157</v>
      </c>
      <c r="P564" s="32">
        <f>650*45</f>
        <v>29250</v>
      </c>
      <c r="Q564" s="32"/>
      <c r="R564" s="32"/>
      <c r="S564" s="32">
        <f t="shared" si="174"/>
        <v>29250</v>
      </c>
      <c r="T564" s="12"/>
      <c r="U564" s="12">
        <v>72</v>
      </c>
      <c r="V564" s="12"/>
      <c r="W564" s="12">
        <f t="shared" si="175"/>
        <v>29322</v>
      </c>
      <c r="Y564" s="10">
        <v>3</v>
      </c>
      <c r="Z564" s="30" t="s">
        <v>69</v>
      </c>
      <c r="AA564" s="31">
        <f t="shared" ref="AA564:AA568" si="180">AA563+1</f>
        <v>10046</v>
      </c>
      <c r="AB564" s="33">
        <f>650*30+912+1050+872+229*2+650+500</f>
        <v>23942</v>
      </c>
      <c r="AC564" s="33"/>
      <c r="AD564" s="32"/>
      <c r="AE564" s="32">
        <f t="shared" si="176"/>
        <v>23942</v>
      </c>
      <c r="AF564" s="12"/>
      <c r="AG564" s="12">
        <f>4.5*6+2.25*3</f>
        <v>33.75</v>
      </c>
      <c r="AH564" s="12"/>
      <c r="AI564" s="12">
        <f t="shared" si="177"/>
        <v>23975.75</v>
      </c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10">
        <v>4</v>
      </c>
      <c r="B565" s="30" t="s">
        <v>69</v>
      </c>
      <c r="C565" s="83">
        <f t="shared" si="178"/>
        <v>10204</v>
      </c>
      <c r="D565" s="32">
        <f>650*20+670*2+700*3+622*3+650</f>
        <v>18956</v>
      </c>
      <c r="E565" s="32"/>
      <c r="F565" s="32"/>
      <c r="G565" s="32">
        <f t="shared" si="172"/>
        <v>18956</v>
      </c>
      <c r="H565" s="12"/>
      <c r="I565" s="12"/>
      <c r="J565" s="12">
        <f>-111*11+-4*120</f>
        <v>-1701</v>
      </c>
      <c r="K565" s="12">
        <f t="shared" si="173"/>
        <v>17255</v>
      </c>
      <c r="M565" s="10">
        <v>4</v>
      </c>
      <c r="N565" s="30" t="s">
        <v>69</v>
      </c>
      <c r="O565" s="31">
        <f t="shared" si="179"/>
        <v>10158</v>
      </c>
      <c r="P565" s="32">
        <f>650*50+670*2+622*18+912+1050+872+229*4</f>
        <v>48786</v>
      </c>
      <c r="Q565" s="32"/>
      <c r="R565" s="32"/>
      <c r="S565" s="32">
        <f t="shared" si="174"/>
        <v>48786</v>
      </c>
      <c r="T565" s="12"/>
      <c r="U565" s="12"/>
      <c r="V565" s="12">
        <f>-120+-78</f>
        <v>-198</v>
      </c>
      <c r="W565" s="12">
        <f t="shared" si="175"/>
        <v>48588</v>
      </c>
      <c r="Y565" s="10">
        <v>4</v>
      </c>
      <c r="Z565" s="30" t="s">
        <v>69</v>
      </c>
      <c r="AA565" s="31">
        <f t="shared" si="180"/>
        <v>10047</v>
      </c>
      <c r="AB565" s="32">
        <f>650*20+670+622*10+229*2</f>
        <v>20348</v>
      </c>
      <c r="AC565" s="32"/>
      <c r="AD565" s="32"/>
      <c r="AE565" s="32">
        <f t="shared" si="176"/>
        <v>20348</v>
      </c>
      <c r="AF565" s="12"/>
      <c r="AH565" s="12"/>
      <c r="AI565" s="12">
        <f t="shared" si="177"/>
        <v>20348</v>
      </c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10">
        <v>5</v>
      </c>
      <c r="B566" s="30" t="s">
        <v>69</v>
      </c>
      <c r="C566" s="83">
        <f t="shared" si="178"/>
        <v>10205</v>
      </c>
      <c r="D566" s="32">
        <f>650*90+622*20+229*4</f>
        <v>71856</v>
      </c>
      <c r="E566" s="32"/>
      <c r="F566" s="32"/>
      <c r="G566" s="32">
        <f t="shared" si="172"/>
        <v>71856</v>
      </c>
      <c r="H566" s="12"/>
      <c r="I566" s="12"/>
      <c r="J566" s="12"/>
      <c r="K566" s="12">
        <f t="shared" si="173"/>
        <v>71856</v>
      </c>
      <c r="M566" s="10">
        <v>5</v>
      </c>
      <c r="N566" s="30" t="s">
        <v>69</v>
      </c>
      <c r="O566" s="31">
        <f t="shared" si="179"/>
        <v>10159</v>
      </c>
      <c r="P566" s="32">
        <f>650*2+9.5*2</f>
        <v>1319</v>
      </c>
      <c r="Q566" s="32"/>
      <c r="R566" s="32"/>
      <c r="S566" s="32">
        <f t="shared" si="174"/>
        <v>1319</v>
      </c>
      <c r="T566" s="12"/>
      <c r="U566" s="12"/>
      <c r="V566" s="12">
        <v>-444</v>
      </c>
      <c r="W566" s="12">
        <f t="shared" si="175"/>
        <v>875</v>
      </c>
      <c r="Y566" s="10">
        <v>5</v>
      </c>
      <c r="Z566" s="30" t="s">
        <v>69</v>
      </c>
      <c r="AA566" s="31">
        <f t="shared" si="180"/>
        <v>10048</v>
      </c>
      <c r="AB566" s="32">
        <f>650*42+670*3+622*5</f>
        <v>32420</v>
      </c>
      <c r="AC566" s="32">
        <f>-50*6</f>
        <v>-300</v>
      </c>
      <c r="AD566" s="32"/>
      <c r="AE566" s="32">
        <f t="shared" ref="AE566:AE567" si="181">SUM(AB566:AC566)</f>
        <v>32120</v>
      </c>
      <c r="AF566" s="12"/>
      <c r="AG566" s="12"/>
      <c r="AH566" s="12"/>
      <c r="AI566" s="12">
        <f t="shared" si="177"/>
        <v>32120</v>
      </c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10">
        <v>6</v>
      </c>
      <c r="B567" s="30" t="s">
        <v>69</v>
      </c>
      <c r="C567" s="83">
        <f t="shared" si="178"/>
        <v>10206</v>
      </c>
      <c r="D567" s="32">
        <f>650*35+622*15</f>
        <v>32080</v>
      </c>
      <c r="E567" s="32"/>
      <c r="F567" s="32"/>
      <c r="G567" s="32">
        <f t="shared" si="172"/>
        <v>32080</v>
      </c>
      <c r="H567" s="12"/>
      <c r="I567" s="12">
        <v>1332</v>
      </c>
      <c r="J567" s="12"/>
      <c r="K567" s="12">
        <f t="shared" si="173"/>
        <v>33412</v>
      </c>
      <c r="M567" s="10">
        <v>6</v>
      </c>
      <c r="N567" s="30"/>
      <c r="O567" s="11" t="s">
        <v>27</v>
      </c>
      <c r="P567" s="32"/>
      <c r="Q567" s="32"/>
      <c r="R567" s="32"/>
      <c r="S567" s="32">
        <f t="shared" si="174"/>
        <v>0</v>
      </c>
      <c r="T567" s="12"/>
      <c r="U567" s="12"/>
      <c r="V567" s="10"/>
      <c r="W567" s="12">
        <f t="shared" si="175"/>
        <v>0</v>
      </c>
      <c r="Y567" s="10">
        <v>6</v>
      </c>
      <c r="Z567" s="30" t="s">
        <v>69</v>
      </c>
      <c r="AA567" s="31">
        <f t="shared" si="180"/>
        <v>10049</v>
      </c>
      <c r="AB567" s="32">
        <f>650*10</f>
        <v>6500</v>
      </c>
      <c r="AC567" s="32"/>
      <c r="AD567" s="32"/>
      <c r="AE567" s="32">
        <f t="shared" si="181"/>
        <v>6500</v>
      </c>
      <c r="AF567" s="12"/>
      <c r="AG567" s="12"/>
      <c r="AH567" s="10"/>
      <c r="AI567" s="12">
        <f t="shared" si="177"/>
        <v>6500</v>
      </c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10">
        <v>7</v>
      </c>
      <c r="B568" s="30" t="s">
        <v>69</v>
      </c>
      <c r="C568" s="83">
        <f t="shared" si="178"/>
        <v>10207</v>
      </c>
      <c r="D568" s="32">
        <f>650*95+700</f>
        <v>62450</v>
      </c>
      <c r="E568" s="32"/>
      <c r="F568" s="32"/>
      <c r="G568" s="32">
        <f t="shared" si="172"/>
        <v>62450</v>
      </c>
      <c r="H568" s="12"/>
      <c r="I568" s="12"/>
      <c r="J568" s="12"/>
      <c r="K568" s="12">
        <f t="shared" si="173"/>
        <v>62450</v>
      </c>
      <c r="M568" s="10">
        <v>7</v>
      </c>
      <c r="N568" s="30"/>
      <c r="O568" s="31"/>
      <c r="P568" s="32"/>
      <c r="Q568" s="32"/>
      <c r="R568" s="32"/>
      <c r="S568" s="32">
        <f t="shared" si="174"/>
        <v>0</v>
      </c>
      <c r="T568" s="12"/>
      <c r="U568" s="12"/>
      <c r="V568" s="12"/>
      <c r="W568" s="12">
        <f t="shared" si="175"/>
        <v>0</v>
      </c>
      <c r="Y568" s="10">
        <v>7</v>
      </c>
      <c r="Z568" s="30" t="s">
        <v>69</v>
      </c>
      <c r="AA568" s="31">
        <f t="shared" si="180"/>
        <v>10050</v>
      </c>
      <c r="AB568" s="32">
        <f>650*24+622*6</f>
        <v>19332</v>
      </c>
      <c r="AC568" s="32"/>
      <c r="AD568" s="32"/>
      <c r="AE568" s="32">
        <f>SUM(AB568:AC568)</f>
        <v>19332</v>
      </c>
      <c r="AF568" s="12"/>
      <c r="AG568" s="58"/>
      <c r="AH568" s="12">
        <v>-555</v>
      </c>
      <c r="AI568" s="12">
        <f t="shared" si="177"/>
        <v>18777</v>
      </c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10">
        <v>8</v>
      </c>
      <c r="B569" s="30" t="s">
        <v>69</v>
      </c>
      <c r="C569" s="83">
        <f t="shared" si="178"/>
        <v>10208</v>
      </c>
      <c r="D569" s="32">
        <f>650+500</f>
        <v>1150</v>
      </c>
      <c r="E569" s="32"/>
      <c r="F569" s="32"/>
      <c r="G569" s="32">
        <f t="shared" si="172"/>
        <v>1150</v>
      </c>
      <c r="H569" s="12"/>
      <c r="I569" s="12"/>
      <c r="J569" s="12"/>
      <c r="K569" s="12">
        <f t="shared" si="173"/>
        <v>1150</v>
      </c>
      <c r="M569" s="10">
        <v>8</v>
      </c>
      <c r="N569" s="30"/>
      <c r="O569" s="31"/>
      <c r="P569" s="32"/>
      <c r="Q569" s="32"/>
      <c r="R569" s="32"/>
      <c r="S569" s="32">
        <f t="shared" si="174"/>
        <v>0</v>
      </c>
      <c r="T569" s="12"/>
      <c r="U569" s="12"/>
      <c r="V569" s="12"/>
      <c r="W569" s="12">
        <f t="shared" si="175"/>
        <v>0</v>
      </c>
      <c r="Y569" s="10">
        <v>8</v>
      </c>
      <c r="Z569" s="30"/>
      <c r="AA569" s="11" t="s">
        <v>27</v>
      </c>
      <c r="AB569" s="32"/>
      <c r="AC569" s="32"/>
      <c r="AE569" s="32">
        <f t="shared" ref="AE569:AE600" si="182">SUM(AB569:AC569)</f>
        <v>0</v>
      </c>
      <c r="AF569" s="12"/>
      <c r="AG569" s="12"/>
      <c r="AH569" s="12"/>
      <c r="AI569" s="12">
        <f t="shared" si="177"/>
        <v>0</v>
      </c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10">
        <v>9</v>
      </c>
      <c r="B570" s="30" t="s">
        <v>69</v>
      </c>
      <c r="C570" s="83">
        <f t="shared" si="178"/>
        <v>10209</v>
      </c>
      <c r="D570" s="32">
        <f>650*2+9.5*2</f>
        <v>1319</v>
      </c>
      <c r="E570" s="32"/>
      <c r="F570" s="32"/>
      <c r="G570" s="32">
        <f t="shared" si="172"/>
        <v>1319</v>
      </c>
      <c r="H570" s="12"/>
      <c r="I570" s="12"/>
      <c r="J570" s="12"/>
      <c r="K570" s="12">
        <f t="shared" si="173"/>
        <v>1319</v>
      </c>
      <c r="M570" s="10">
        <v>9</v>
      </c>
      <c r="N570" s="30"/>
      <c r="O570" s="31"/>
      <c r="P570" s="32"/>
      <c r="Q570" s="32"/>
      <c r="R570" s="32"/>
      <c r="S570" s="32">
        <f t="shared" si="174"/>
        <v>0</v>
      </c>
      <c r="T570" s="12"/>
      <c r="U570" s="12"/>
      <c r="V570" s="12"/>
      <c r="W570" s="12">
        <f t="shared" si="175"/>
        <v>0</v>
      </c>
      <c r="Y570" s="10">
        <v>9</v>
      </c>
      <c r="Z570" s="30"/>
      <c r="AA570" s="31"/>
      <c r="AB570" s="32"/>
      <c r="AC570" s="32"/>
      <c r="AD570" s="32"/>
      <c r="AE570" s="32">
        <f t="shared" si="182"/>
        <v>0</v>
      </c>
      <c r="AF570" s="12"/>
      <c r="AH570" s="12"/>
      <c r="AI570" s="12">
        <f t="shared" si="177"/>
        <v>0</v>
      </c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10">
        <v>10</v>
      </c>
      <c r="B571" s="30" t="s">
        <v>69</v>
      </c>
      <c r="C571" s="83">
        <f t="shared" si="178"/>
        <v>10210</v>
      </c>
      <c r="D571" s="32">
        <f>650*2+700+19</f>
        <v>2019</v>
      </c>
      <c r="E571" s="32"/>
      <c r="F571" s="32"/>
      <c r="G571" s="32">
        <f t="shared" si="172"/>
        <v>2019</v>
      </c>
      <c r="H571" s="12"/>
      <c r="I571" s="12"/>
      <c r="J571" s="12"/>
      <c r="K571" s="12">
        <f t="shared" si="173"/>
        <v>2019</v>
      </c>
      <c r="M571" s="10">
        <v>10</v>
      </c>
      <c r="N571" s="30"/>
      <c r="O571" s="31"/>
      <c r="P571" s="32"/>
      <c r="Q571" s="32"/>
      <c r="R571" s="32"/>
      <c r="S571" s="32">
        <f t="shared" si="174"/>
        <v>0</v>
      </c>
      <c r="T571" s="12"/>
      <c r="U571" s="12"/>
      <c r="V571" s="12"/>
      <c r="W571" s="12">
        <f t="shared" si="175"/>
        <v>0</v>
      </c>
      <c r="Y571" s="10">
        <v>10</v>
      </c>
      <c r="Z571" s="30"/>
      <c r="AA571" s="31"/>
      <c r="AB571" s="32"/>
      <c r="AC571" s="32"/>
      <c r="AD571" s="32"/>
      <c r="AE571" s="32">
        <f t="shared" si="182"/>
        <v>0</v>
      </c>
      <c r="AF571" s="12"/>
      <c r="AG571" s="12"/>
      <c r="AH571" s="12"/>
      <c r="AI571" s="12">
        <f t="shared" si="177"/>
        <v>0</v>
      </c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10">
        <v>11</v>
      </c>
      <c r="B572" s="30"/>
      <c r="C572" s="11" t="s">
        <v>27</v>
      </c>
      <c r="D572" s="32"/>
      <c r="E572" s="32"/>
      <c r="F572" s="32"/>
      <c r="G572" s="32">
        <f t="shared" si="172"/>
        <v>0</v>
      </c>
      <c r="H572" s="12"/>
      <c r="I572" s="12"/>
      <c r="J572" s="12"/>
      <c r="K572" s="12">
        <f t="shared" si="173"/>
        <v>0</v>
      </c>
      <c r="M572" s="10">
        <v>11</v>
      </c>
      <c r="N572" s="30"/>
      <c r="O572" s="31"/>
      <c r="P572" s="32"/>
      <c r="Q572" s="32"/>
      <c r="R572" s="32"/>
      <c r="S572" s="32">
        <f t="shared" si="174"/>
        <v>0</v>
      </c>
      <c r="T572" s="12"/>
      <c r="U572" s="12"/>
      <c r="V572" s="12"/>
      <c r="W572" s="12">
        <f t="shared" si="175"/>
        <v>0</v>
      </c>
      <c r="Y572" s="10">
        <v>11</v>
      </c>
      <c r="Z572" s="30"/>
      <c r="AA572" s="31"/>
      <c r="AB572" s="32"/>
      <c r="AC572" s="32"/>
      <c r="AD572" s="32"/>
      <c r="AE572" s="32">
        <f t="shared" si="182"/>
        <v>0</v>
      </c>
      <c r="AF572" s="12"/>
      <c r="AG572" s="12"/>
      <c r="AH572" s="12"/>
      <c r="AI572" s="12">
        <f t="shared" si="177"/>
        <v>0</v>
      </c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10">
        <v>12</v>
      </c>
      <c r="B573" s="30"/>
      <c r="C573" s="83"/>
      <c r="D573" s="32"/>
      <c r="E573" s="32"/>
      <c r="F573" s="32"/>
      <c r="G573" s="32">
        <f t="shared" si="172"/>
        <v>0</v>
      </c>
      <c r="H573" s="12"/>
      <c r="I573" s="12"/>
      <c r="J573" s="10"/>
      <c r="K573" s="12">
        <f t="shared" si="173"/>
        <v>0</v>
      </c>
      <c r="M573" s="10">
        <v>12</v>
      </c>
      <c r="N573" s="30"/>
      <c r="O573" s="31"/>
      <c r="P573" s="32"/>
      <c r="Q573" s="32"/>
      <c r="R573" s="32"/>
      <c r="S573" s="32">
        <f t="shared" si="174"/>
        <v>0</v>
      </c>
      <c r="T573" s="12"/>
      <c r="U573" s="12"/>
      <c r="V573" s="12"/>
      <c r="W573" s="12">
        <f t="shared" si="175"/>
        <v>0</v>
      </c>
      <c r="Y573" s="10">
        <v>12</v>
      </c>
      <c r="Z573" s="30"/>
      <c r="AA573" s="31"/>
      <c r="AB573" s="32"/>
      <c r="AC573" s="32"/>
      <c r="AD573" s="32"/>
      <c r="AE573" s="32">
        <f t="shared" si="182"/>
        <v>0</v>
      </c>
      <c r="AF573" s="12"/>
      <c r="AG573" s="12"/>
      <c r="AH573" s="12"/>
      <c r="AI573" s="12">
        <f t="shared" si="177"/>
        <v>0</v>
      </c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10">
        <v>13</v>
      </c>
      <c r="B574" s="30"/>
      <c r="C574" s="83"/>
      <c r="D574" s="32"/>
      <c r="E574" s="32"/>
      <c r="F574" s="32"/>
      <c r="G574" s="32">
        <f t="shared" si="172"/>
        <v>0</v>
      </c>
      <c r="H574" s="12"/>
      <c r="I574" s="12"/>
      <c r="J574" s="12"/>
      <c r="K574" s="12">
        <f t="shared" si="173"/>
        <v>0</v>
      </c>
      <c r="M574" s="10">
        <v>13</v>
      </c>
      <c r="N574" s="30"/>
      <c r="O574" s="31"/>
      <c r="P574" s="32"/>
      <c r="Q574" s="32"/>
      <c r="R574" s="32"/>
      <c r="S574" s="32">
        <f t="shared" si="174"/>
        <v>0</v>
      </c>
      <c r="T574" s="12"/>
      <c r="U574" s="12"/>
      <c r="V574" s="12"/>
      <c r="W574" s="12">
        <f t="shared" si="175"/>
        <v>0</v>
      </c>
      <c r="Y574" s="10">
        <v>13</v>
      </c>
      <c r="Z574" s="30"/>
      <c r="AA574" s="31"/>
      <c r="AB574" s="32"/>
      <c r="AC574" s="32"/>
      <c r="AD574" s="32"/>
      <c r="AE574" s="32">
        <f t="shared" si="182"/>
        <v>0</v>
      </c>
      <c r="AF574" s="12"/>
      <c r="AG574" s="12"/>
      <c r="AH574" s="12"/>
      <c r="AI574" s="12">
        <f t="shared" si="177"/>
        <v>0</v>
      </c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10">
        <v>14</v>
      </c>
      <c r="B575" s="30"/>
      <c r="C575" s="83"/>
      <c r="D575" s="32"/>
      <c r="E575" s="32"/>
      <c r="F575" s="32"/>
      <c r="G575" s="32">
        <f t="shared" si="172"/>
        <v>0</v>
      </c>
      <c r="H575" s="12"/>
      <c r="I575" s="12"/>
      <c r="J575" s="12"/>
      <c r="K575" s="12">
        <f t="shared" si="173"/>
        <v>0</v>
      </c>
      <c r="M575" s="10">
        <v>14</v>
      </c>
      <c r="N575" s="30"/>
      <c r="O575" s="31"/>
      <c r="P575" s="32"/>
      <c r="Q575" s="32"/>
      <c r="R575" s="32"/>
      <c r="S575" s="32">
        <f t="shared" si="174"/>
        <v>0</v>
      </c>
      <c r="T575" s="12"/>
      <c r="U575" s="12"/>
      <c r="V575" s="12"/>
      <c r="W575" s="12">
        <f t="shared" si="175"/>
        <v>0</v>
      </c>
      <c r="Y575" s="10">
        <v>14</v>
      </c>
      <c r="Z575" s="30"/>
      <c r="AA575" s="31"/>
      <c r="AB575" s="32"/>
      <c r="AC575" s="32"/>
      <c r="AD575" s="32"/>
      <c r="AE575" s="32">
        <f t="shared" si="182"/>
        <v>0</v>
      </c>
      <c r="AF575" s="12"/>
      <c r="AG575" s="12"/>
      <c r="AH575" s="12"/>
      <c r="AI575" s="12">
        <f t="shared" si="177"/>
        <v>0</v>
      </c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10">
        <v>15</v>
      </c>
      <c r="B576" s="30"/>
      <c r="C576" s="83"/>
      <c r="D576" s="32"/>
      <c r="E576" s="32"/>
      <c r="F576" s="32"/>
      <c r="G576" s="32">
        <f t="shared" si="172"/>
        <v>0</v>
      </c>
      <c r="H576" s="12"/>
      <c r="I576" s="12"/>
      <c r="J576" s="12"/>
      <c r="K576" s="12">
        <f t="shared" si="173"/>
        <v>0</v>
      </c>
      <c r="M576" s="10">
        <v>15</v>
      </c>
      <c r="N576" s="30"/>
      <c r="O576" s="31"/>
      <c r="P576" s="32"/>
      <c r="Q576" s="32"/>
      <c r="R576" s="32"/>
      <c r="S576" s="32">
        <f t="shared" si="174"/>
        <v>0</v>
      </c>
      <c r="T576" s="12"/>
      <c r="U576" s="12"/>
      <c r="V576" s="12"/>
      <c r="W576" s="12">
        <f t="shared" si="175"/>
        <v>0</v>
      </c>
      <c r="Y576" s="10">
        <v>15</v>
      </c>
      <c r="Z576" s="30"/>
      <c r="AA576" s="11"/>
      <c r="AB576" s="32"/>
      <c r="AC576" s="32"/>
      <c r="AD576" s="32"/>
      <c r="AE576" s="32">
        <f t="shared" si="182"/>
        <v>0</v>
      </c>
      <c r="AF576" s="12"/>
      <c r="AG576" s="12"/>
      <c r="AH576" s="12"/>
      <c r="AI576" s="12">
        <f t="shared" si="177"/>
        <v>0</v>
      </c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10">
        <v>16</v>
      </c>
      <c r="B577" s="30"/>
      <c r="C577" s="83"/>
      <c r="D577" s="32"/>
      <c r="E577" s="32"/>
      <c r="F577" s="32"/>
      <c r="G577" s="32">
        <f t="shared" si="172"/>
        <v>0</v>
      </c>
      <c r="H577" s="12"/>
      <c r="I577" s="12"/>
      <c r="J577" s="12"/>
      <c r="K577" s="12">
        <f t="shared" si="173"/>
        <v>0</v>
      </c>
      <c r="M577" s="10">
        <v>16</v>
      </c>
      <c r="N577" s="30"/>
      <c r="O577" s="11"/>
      <c r="P577" s="32"/>
      <c r="Q577" s="32"/>
      <c r="R577" s="32"/>
      <c r="S577" s="32">
        <f t="shared" si="174"/>
        <v>0</v>
      </c>
      <c r="T577" s="12"/>
      <c r="U577" s="12"/>
      <c r="V577" s="12"/>
      <c r="W577" s="12">
        <f t="shared" si="175"/>
        <v>0</v>
      </c>
      <c r="Y577" s="10">
        <v>16</v>
      </c>
      <c r="AA577" s="11"/>
      <c r="AB577" s="32"/>
      <c r="AC577" s="32"/>
      <c r="AD577" s="32"/>
      <c r="AE577" s="32">
        <f t="shared" si="182"/>
        <v>0</v>
      </c>
      <c r="AF577" s="12"/>
      <c r="AG577" s="12"/>
      <c r="AH577" s="12"/>
      <c r="AI577" s="12">
        <f t="shared" si="177"/>
        <v>0</v>
      </c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10">
        <v>17</v>
      </c>
      <c r="B578" s="30"/>
      <c r="C578" s="83"/>
      <c r="D578" s="32"/>
      <c r="E578" s="32"/>
      <c r="F578" s="32"/>
      <c r="G578" s="32">
        <f t="shared" si="172"/>
        <v>0</v>
      </c>
      <c r="H578" s="12"/>
      <c r="I578" s="12"/>
      <c r="J578" s="12"/>
      <c r="K578" s="12">
        <f t="shared" si="173"/>
        <v>0</v>
      </c>
      <c r="M578" s="10">
        <v>17</v>
      </c>
      <c r="N578" s="30"/>
      <c r="O578" s="31"/>
      <c r="P578" s="35"/>
      <c r="Q578" s="32"/>
      <c r="R578" s="32"/>
      <c r="S578" s="32">
        <f t="shared" si="174"/>
        <v>0</v>
      </c>
      <c r="T578" s="12"/>
      <c r="U578" s="12"/>
      <c r="V578" s="12"/>
      <c r="W578" s="12">
        <f t="shared" si="175"/>
        <v>0</v>
      </c>
      <c r="Y578" s="10">
        <v>17</v>
      </c>
      <c r="Z578" s="30"/>
      <c r="AA578" s="31"/>
      <c r="AB578" s="35"/>
      <c r="AC578" s="32"/>
      <c r="AD578" s="32"/>
      <c r="AE578" s="32">
        <f t="shared" si="182"/>
        <v>0</v>
      </c>
      <c r="AF578" s="12"/>
      <c r="AG578" s="12"/>
      <c r="AH578" s="12"/>
      <c r="AI578" s="12">
        <f t="shared" si="177"/>
        <v>0</v>
      </c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10">
        <v>18</v>
      </c>
      <c r="B579" s="30"/>
      <c r="C579" s="83"/>
      <c r="D579" s="32"/>
      <c r="E579" s="32"/>
      <c r="F579" s="32"/>
      <c r="G579" s="32">
        <f t="shared" si="172"/>
        <v>0</v>
      </c>
      <c r="H579" s="12"/>
      <c r="I579" s="12"/>
      <c r="J579" s="12"/>
      <c r="K579" s="12">
        <f t="shared" si="173"/>
        <v>0</v>
      </c>
      <c r="M579" s="10">
        <v>18</v>
      </c>
      <c r="N579" s="30"/>
      <c r="O579" s="31"/>
      <c r="P579" s="32"/>
      <c r="Q579" s="32"/>
      <c r="R579" s="32"/>
      <c r="S579" s="32">
        <f t="shared" si="174"/>
        <v>0</v>
      </c>
      <c r="T579" s="12"/>
      <c r="U579" s="12"/>
      <c r="V579" s="12"/>
      <c r="W579" s="12">
        <f t="shared" si="175"/>
        <v>0</v>
      </c>
      <c r="Y579" s="10">
        <v>18</v>
      </c>
      <c r="Z579" s="30"/>
      <c r="AA579" s="31"/>
      <c r="AB579" s="32"/>
      <c r="AC579" s="32"/>
      <c r="AD579" s="32"/>
      <c r="AE579" s="32">
        <f t="shared" si="182"/>
        <v>0</v>
      </c>
      <c r="AF579" s="12"/>
      <c r="AG579" s="12"/>
      <c r="AH579" s="12"/>
      <c r="AI579" s="12">
        <f t="shared" si="177"/>
        <v>0</v>
      </c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10">
        <v>19</v>
      </c>
      <c r="B580" s="30"/>
      <c r="C580" s="83"/>
      <c r="D580" s="32"/>
      <c r="E580" s="32"/>
      <c r="F580" s="32"/>
      <c r="G580" s="32">
        <f t="shared" si="172"/>
        <v>0</v>
      </c>
      <c r="H580" s="12"/>
      <c r="I580" s="12"/>
      <c r="J580" s="12"/>
      <c r="K580" s="12">
        <f t="shared" si="173"/>
        <v>0</v>
      </c>
      <c r="M580" s="10">
        <v>19</v>
      </c>
      <c r="N580" s="30"/>
      <c r="O580" s="31"/>
      <c r="P580" s="32"/>
      <c r="Q580" s="32"/>
      <c r="R580" s="32"/>
      <c r="S580" s="32">
        <f t="shared" si="174"/>
        <v>0</v>
      </c>
      <c r="T580" s="12"/>
      <c r="U580" s="12"/>
      <c r="V580" s="12"/>
      <c r="W580" s="12">
        <f t="shared" si="175"/>
        <v>0</v>
      </c>
      <c r="Y580" s="10">
        <v>19</v>
      </c>
      <c r="Z580" s="30"/>
      <c r="AA580" s="31"/>
      <c r="AB580" s="32"/>
      <c r="AC580" s="32"/>
      <c r="AD580" s="32"/>
      <c r="AE580" s="32">
        <f t="shared" si="182"/>
        <v>0</v>
      </c>
      <c r="AF580" s="12"/>
      <c r="AG580" s="12"/>
      <c r="AH580" s="12"/>
      <c r="AI580" s="12">
        <f t="shared" si="177"/>
        <v>0</v>
      </c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10">
        <v>20</v>
      </c>
      <c r="B581" s="30"/>
      <c r="C581" s="83"/>
      <c r="D581" s="32"/>
      <c r="E581" s="32"/>
      <c r="F581" s="32"/>
      <c r="G581" s="32">
        <f t="shared" si="172"/>
        <v>0</v>
      </c>
      <c r="H581" s="12"/>
      <c r="I581" s="12"/>
      <c r="J581" s="12"/>
      <c r="K581" s="12">
        <f t="shared" si="173"/>
        <v>0</v>
      </c>
      <c r="M581" s="10">
        <v>20</v>
      </c>
      <c r="N581" s="30"/>
      <c r="O581" s="31"/>
      <c r="P581" s="32"/>
      <c r="Q581" s="32"/>
      <c r="R581" s="32"/>
      <c r="S581" s="32">
        <f t="shared" si="174"/>
        <v>0</v>
      </c>
      <c r="T581" s="12"/>
      <c r="U581" s="12"/>
      <c r="V581" s="12"/>
      <c r="W581" s="12">
        <f t="shared" si="175"/>
        <v>0</v>
      </c>
      <c r="Y581" s="10">
        <v>20</v>
      </c>
      <c r="Z581" s="30"/>
      <c r="AB581" s="32"/>
      <c r="AC581" s="32"/>
      <c r="AD581" s="32"/>
      <c r="AE581" s="32">
        <f t="shared" si="182"/>
        <v>0</v>
      </c>
      <c r="AF581" s="12"/>
      <c r="AG581" s="12"/>
      <c r="AH581" s="12"/>
      <c r="AI581" s="12">
        <f t="shared" si="177"/>
        <v>0</v>
      </c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10">
        <v>21</v>
      </c>
      <c r="B582" s="30"/>
      <c r="C582" s="83"/>
      <c r="D582" s="32"/>
      <c r="E582" s="32"/>
      <c r="F582" s="32"/>
      <c r="G582" s="32">
        <f t="shared" si="172"/>
        <v>0</v>
      </c>
      <c r="H582" s="10"/>
      <c r="I582" s="10"/>
      <c r="J582" s="10"/>
      <c r="K582" s="12">
        <f t="shared" si="173"/>
        <v>0</v>
      </c>
      <c r="M582" s="10">
        <v>21</v>
      </c>
      <c r="N582" s="30"/>
      <c r="O582" s="11"/>
      <c r="P582" s="46"/>
      <c r="Q582" s="31"/>
      <c r="R582" s="31"/>
      <c r="S582" s="32">
        <f t="shared" si="174"/>
        <v>0</v>
      </c>
      <c r="T582" s="10"/>
      <c r="U582" s="10"/>
      <c r="V582" s="10"/>
      <c r="W582" s="12">
        <f t="shared" si="175"/>
        <v>0</v>
      </c>
      <c r="Y582" s="10">
        <v>21</v>
      </c>
      <c r="Z582" s="30"/>
      <c r="AA582" s="31"/>
      <c r="AB582" s="46"/>
      <c r="AC582" s="31"/>
      <c r="AD582" s="31"/>
      <c r="AE582" s="32">
        <f t="shared" si="182"/>
        <v>0</v>
      </c>
      <c r="AF582" s="10"/>
      <c r="AG582" s="10"/>
      <c r="AH582" s="10"/>
      <c r="AI582" s="12">
        <f t="shared" si="177"/>
        <v>0</v>
      </c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10">
        <v>22</v>
      </c>
      <c r="B583" s="30"/>
      <c r="C583" s="57"/>
      <c r="D583" s="32"/>
      <c r="E583" s="32"/>
      <c r="F583" s="32"/>
      <c r="G583" s="32">
        <f t="shared" si="172"/>
        <v>0</v>
      </c>
      <c r="H583" s="10"/>
      <c r="I583" s="10"/>
      <c r="J583" s="10"/>
      <c r="K583" s="12">
        <f t="shared" si="173"/>
        <v>0</v>
      </c>
      <c r="M583" s="10">
        <v>22</v>
      </c>
      <c r="N583" s="30"/>
      <c r="O583" s="31"/>
      <c r="P583" s="45"/>
      <c r="Q583" s="31"/>
      <c r="R583" s="31"/>
      <c r="S583" s="32">
        <f t="shared" si="174"/>
        <v>0</v>
      </c>
      <c r="T583" s="10"/>
      <c r="U583" s="10"/>
      <c r="V583" s="10"/>
      <c r="W583" s="12">
        <f t="shared" si="175"/>
        <v>0</v>
      </c>
      <c r="Y583" s="10">
        <v>22</v>
      </c>
      <c r="Z583" s="30"/>
      <c r="AA583" s="31"/>
      <c r="AB583" s="45"/>
      <c r="AC583" s="31"/>
      <c r="AD583" s="31"/>
      <c r="AE583" s="32">
        <f t="shared" si="182"/>
        <v>0</v>
      </c>
      <c r="AF583" s="10"/>
      <c r="AG583" s="10"/>
      <c r="AH583" s="10"/>
      <c r="AI583" s="12">
        <f t="shared" si="177"/>
        <v>0</v>
      </c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10">
        <v>23</v>
      </c>
      <c r="B584" s="30"/>
      <c r="C584" s="83"/>
      <c r="D584" s="32"/>
      <c r="E584" s="32"/>
      <c r="F584" s="32"/>
      <c r="G584" s="32">
        <f t="shared" si="172"/>
        <v>0</v>
      </c>
      <c r="H584" s="10"/>
      <c r="I584" s="10"/>
      <c r="J584" s="12"/>
      <c r="K584" s="12">
        <f t="shared" si="173"/>
        <v>0</v>
      </c>
      <c r="M584" s="10">
        <v>23</v>
      </c>
      <c r="N584" s="30"/>
      <c r="O584" s="31"/>
      <c r="P584" s="47"/>
      <c r="S584" s="32">
        <f t="shared" si="174"/>
        <v>0</v>
      </c>
      <c r="T584" s="10"/>
      <c r="U584" s="10"/>
      <c r="V584" s="10"/>
      <c r="W584" s="12">
        <f t="shared" si="175"/>
        <v>0</v>
      </c>
      <c r="Y584" s="10">
        <v>23</v>
      </c>
      <c r="Z584" s="30"/>
      <c r="AA584" s="31"/>
      <c r="AB584" s="47"/>
      <c r="AC584" s="31"/>
      <c r="AE584" s="32">
        <f t="shared" si="182"/>
        <v>0</v>
      </c>
      <c r="AF584" s="10"/>
      <c r="AG584" s="10"/>
      <c r="AH584" s="10"/>
      <c r="AI584" s="12">
        <f t="shared" si="177"/>
        <v>0</v>
      </c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10">
        <v>24</v>
      </c>
      <c r="B585" s="30"/>
      <c r="C585" s="83"/>
      <c r="D585" s="32"/>
      <c r="E585" s="32"/>
      <c r="F585" s="32"/>
      <c r="G585" s="32">
        <f t="shared" si="172"/>
        <v>0</v>
      </c>
      <c r="H585" s="10"/>
      <c r="I585" s="10"/>
      <c r="J585" s="10"/>
      <c r="K585" s="12">
        <f t="shared" si="173"/>
        <v>0</v>
      </c>
      <c r="M585" s="10">
        <v>24</v>
      </c>
      <c r="N585" s="30"/>
      <c r="O585" s="31"/>
      <c r="P585" s="47"/>
      <c r="Q585" s="31"/>
      <c r="R585" s="31"/>
      <c r="S585" s="32">
        <f t="shared" si="174"/>
        <v>0</v>
      </c>
      <c r="T585" s="10"/>
      <c r="U585" s="10"/>
      <c r="V585" s="10"/>
      <c r="W585" s="12">
        <f t="shared" si="175"/>
        <v>0</v>
      </c>
      <c r="Y585" s="10">
        <v>24</v>
      </c>
      <c r="Z585" s="30"/>
      <c r="AA585" s="31"/>
      <c r="AB585" s="47"/>
      <c r="AC585" s="31"/>
      <c r="AD585" s="31"/>
      <c r="AE585" s="32">
        <f t="shared" si="182"/>
        <v>0</v>
      </c>
      <c r="AF585" s="10"/>
      <c r="AG585" s="10"/>
      <c r="AH585" s="10"/>
      <c r="AI585" s="12">
        <f t="shared" si="177"/>
        <v>0</v>
      </c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10">
        <v>25</v>
      </c>
      <c r="B586" s="30"/>
      <c r="C586" s="83"/>
      <c r="D586" s="32"/>
      <c r="E586" s="32"/>
      <c r="F586" s="32"/>
      <c r="G586" s="32">
        <f t="shared" si="172"/>
        <v>0</v>
      </c>
      <c r="H586" s="10"/>
      <c r="I586" s="10"/>
      <c r="J586" s="10"/>
      <c r="K586" s="12">
        <f t="shared" si="173"/>
        <v>0</v>
      </c>
      <c r="M586" s="10">
        <v>25</v>
      </c>
      <c r="N586" s="30"/>
      <c r="O586" s="31"/>
      <c r="P586" s="47"/>
      <c r="Q586" s="31"/>
      <c r="R586" s="31"/>
      <c r="S586" s="32">
        <f t="shared" si="174"/>
        <v>0</v>
      </c>
      <c r="T586" s="10"/>
      <c r="U586" s="10"/>
      <c r="V586" s="10"/>
      <c r="W586" s="12">
        <f t="shared" si="175"/>
        <v>0</v>
      </c>
      <c r="Y586" s="10">
        <v>25</v>
      </c>
      <c r="Z586" s="30"/>
      <c r="AA586" s="31"/>
      <c r="AB586" s="47"/>
      <c r="AC586" s="31"/>
      <c r="AD586" s="31"/>
      <c r="AE586" s="32">
        <f t="shared" si="182"/>
        <v>0</v>
      </c>
      <c r="AF586" s="10"/>
      <c r="AG586" s="10"/>
      <c r="AH586" s="10"/>
      <c r="AI586" s="12">
        <f t="shared" si="177"/>
        <v>0</v>
      </c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10">
        <v>26</v>
      </c>
      <c r="B587" s="30"/>
      <c r="C587" s="83"/>
      <c r="D587" s="32"/>
      <c r="E587" s="32"/>
      <c r="F587" s="32"/>
      <c r="G587" s="32">
        <f t="shared" si="172"/>
        <v>0</v>
      </c>
      <c r="H587" s="10"/>
      <c r="I587" s="10"/>
      <c r="J587" s="10"/>
      <c r="K587" s="12">
        <f t="shared" si="173"/>
        <v>0</v>
      </c>
      <c r="M587" s="10">
        <v>26</v>
      </c>
      <c r="N587" s="30"/>
      <c r="O587" s="31"/>
      <c r="P587" s="47"/>
      <c r="Q587" s="31"/>
      <c r="R587" s="31"/>
      <c r="S587" s="32">
        <f t="shared" si="174"/>
        <v>0</v>
      </c>
      <c r="T587" s="10"/>
      <c r="U587" s="10"/>
      <c r="V587" s="10"/>
      <c r="W587" s="12">
        <f t="shared" si="175"/>
        <v>0</v>
      </c>
      <c r="Y587" s="10">
        <v>26</v>
      </c>
      <c r="Z587" s="30"/>
      <c r="AA587" s="31"/>
      <c r="AB587" s="47"/>
      <c r="AC587" s="31"/>
      <c r="AD587" s="31"/>
      <c r="AE587" s="32">
        <f t="shared" si="182"/>
        <v>0</v>
      </c>
      <c r="AF587" s="10"/>
      <c r="AG587" s="10"/>
      <c r="AH587" s="10"/>
      <c r="AI587" s="12">
        <f t="shared" si="177"/>
        <v>0</v>
      </c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10">
        <v>27</v>
      </c>
      <c r="B588" s="30"/>
      <c r="C588" s="83"/>
      <c r="D588" s="32"/>
      <c r="E588" s="32"/>
      <c r="F588" s="32"/>
      <c r="G588" s="32">
        <f t="shared" si="172"/>
        <v>0</v>
      </c>
      <c r="H588" s="10"/>
      <c r="I588" s="10"/>
      <c r="J588" s="10"/>
      <c r="K588" s="12">
        <f t="shared" si="173"/>
        <v>0</v>
      </c>
      <c r="M588" s="10">
        <v>27</v>
      </c>
      <c r="N588" s="30"/>
      <c r="O588" s="31"/>
      <c r="P588" s="47"/>
      <c r="Q588" s="31"/>
      <c r="R588" s="31"/>
      <c r="S588" s="32">
        <f t="shared" si="174"/>
        <v>0</v>
      </c>
      <c r="T588" s="10"/>
      <c r="U588" s="10"/>
      <c r="V588" s="10"/>
      <c r="W588" s="12">
        <f t="shared" si="175"/>
        <v>0</v>
      </c>
      <c r="Y588" s="10">
        <v>27</v>
      </c>
      <c r="Z588" s="30"/>
      <c r="AA588" s="31"/>
      <c r="AB588" s="47"/>
      <c r="AC588" s="31"/>
      <c r="AD588" s="31"/>
      <c r="AE588" s="32">
        <f t="shared" si="182"/>
        <v>0</v>
      </c>
      <c r="AF588" s="10"/>
      <c r="AG588" s="10"/>
      <c r="AH588" s="10"/>
      <c r="AI588" s="12">
        <f t="shared" si="177"/>
        <v>0</v>
      </c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10">
        <v>28</v>
      </c>
      <c r="B589" s="30"/>
      <c r="C589" s="83"/>
      <c r="D589" s="32"/>
      <c r="E589" s="32"/>
      <c r="F589" s="32"/>
      <c r="G589" s="32">
        <f t="shared" si="172"/>
        <v>0</v>
      </c>
      <c r="H589" s="10"/>
      <c r="I589" s="10"/>
      <c r="J589" s="10"/>
      <c r="K589" s="12">
        <f t="shared" si="173"/>
        <v>0</v>
      </c>
      <c r="M589" s="10">
        <v>28</v>
      </c>
      <c r="N589" s="30"/>
      <c r="O589" s="31"/>
      <c r="P589" s="47"/>
      <c r="Q589" s="31"/>
      <c r="R589" s="31"/>
      <c r="S589" s="32">
        <f t="shared" si="174"/>
        <v>0</v>
      </c>
      <c r="T589" s="10"/>
      <c r="U589" s="10"/>
      <c r="V589" s="10"/>
      <c r="W589" s="12">
        <f t="shared" si="175"/>
        <v>0</v>
      </c>
      <c r="Y589" s="10">
        <v>28</v>
      </c>
      <c r="Z589" s="30"/>
      <c r="AA589" s="31"/>
      <c r="AB589" s="47"/>
      <c r="AC589" s="31"/>
      <c r="AD589" s="31"/>
      <c r="AE589" s="32">
        <f t="shared" si="182"/>
        <v>0</v>
      </c>
      <c r="AF589" s="10"/>
      <c r="AG589" s="10"/>
      <c r="AH589" s="10"/>
      <c r="AI589" s="12">
        <f t="shared" si="177"/>
        <v>0</v>
      </c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10">
        <v>29</v>
      </c>
      <c r="B590" s="30"/>
      <c r="C590" s="83"/>
      <c r="D590" s="32"/>
      <c r="E590" s="32"/>
      <c r="F590" s="32"/>
      <c r="G590" s="32">
        <f t="shared" si="172"/>
        <v>0</v>
      </c>
      <c r="H590" s="10"/>
      <c r="I590" s="10"/>
      <c r="J590" s="10"/>
      <c r="K590" s="12">
        <f t="shared" si="173"/>
        <v>0</v>
      </c>
      <c r="M590" s="10">
        <v>29</v>
      </c>
      <c r="N590" s="30"/>
      <c r="O590" s="31"/>
      <c r="P590" s="47"/>
      <c r="Q590" s="31"/>
      <c r="R590" s="31"/>
      <c r="S590" s="32">
        <f t="shared" si="174"/>
        <v>0</v>
      </c>
      <c r="T590" s="10"/>
      <c r="U590" s="10"/>
      <c r="V590" s="10"/>
      <c r="W590" s="12">
        <f t="shared" si="175"/>
        <v>0</v>
      </c>
      <c r="Y590" s="10">
        <v>29</v>
      </c>
      <c r="Z590" s="30"/>
      <c r="AA590" s="31"/>
      <c r="AB590" s="47"/>
      <c r="AC590" s="31"/>
      <c r="AD590" s="31"/>
      <c r="AE590" s="32">
        <f t="shared" si="182"/>
        <v>0</v>
      </c>
      <c r="AF590" s="10"/>
      <c r="AG590" s="10"/>
      <c r="AH590" s="10"/>
      <c r="AI590" s="12">
        <f t="shared" si="177"/>
        <v>0</v>
      </c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10">
        <v>30</v>
      </c>
      <c r="B591" s="30"/>
      <c r="C591" s="83"/>
      <c r="D591" s="32"/>
      <c r="E591" s="32"/>
      <c r="F591" s="32"/>
      <c r="G591" s="32">
        <f t="shared" si="172"/>
        <v>0</v>
      </c>
      <c r="H591" s="10"/>
      <c r="I591" s="10"/>
      <c r="J591" s="10"/>
      <c r="K591" s="12">
        <f t="shared" si="173"/>
        <v>0</v>
      </c>
      <c r="M591" s="10">
        <v>30</v>
      </c>
      <c r="N591" s="30"/>
      <c r="O591" s="31"/>
      <c r="P591" s="47"/>
      <c r="Q591" s="31"/>
      <c r="R591" s="31"/>
      <c r="S591" s="32">
        <f t="shared" si="174"/>
        <v>0</v>
      </c>
      <c r="T591" s="10"/>
      <c r="U591" s="10"/>
      <c r="V591" s="10"/>
      <c r="W591" s="12">
        <f t="shared" si="175"/>
        <v>0</v>
      </c>
      <c r="Y591" s="10">
        <v>30</v>
      </c>
      <c r="Z591" s="30"/>
      <c r="AA591" s="31"/>
      <c r="AB591" s="47"/>
      <c r="AC591" s="31"/>
      <c r="AD591" s="31"/>
      <c r="AE591" s="32">
        <f t="shared" si="182"/>
        <v>0</v>
      </c>
      <c r="AF591" s="10"/>
      <c r="AG591" s="10"/>
      <c r="AH591" s="10"/>
      <c r="AI591" s="12">
        <f t="shared" si="177"/>
        <v>0</v>
      </c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10">
        <v>31</v>
      </c>
      <c r="B592" s="30"/>
      <c r="C592" s="11"/>
      <c r="D592" s="32"/>
      <c r="E592" s="32"/>
      <c r="F592" s="32"/>
      <c r="G592" s="32">
        <f t="shared" si="172"/>
        <v>0</v>
      </c>
      <c r="H592" s="10"/>
      <c r="I592" s="10"/>
      <c r="J592" s="10"/>
      <c r="K592" s="12">
        <f t="shared" si="173"/>
        <v>0</v>
      </c>
      <c r="M592" s="10">
        <v>31</v>
      </c>
      <c r="N592" s="30"/>
      <c r="O592" s="31"/>
      <c r="P592" s="47"/>
      <c r="Q592" s="31"/>
      <c r="R592" s="31"/>
      <c r="S592" s="32">
        <f t="shared" si="174"/>
        <v>0</v>
      </c>
      <c r="T592" s="10"/>
      <c r="U592" s="10"/>
      <c r="V592" s="10"/>
      <c r="W592" s="12">
        <f t="shared" si="175"/>
        <v>0</v>
      </c>
      <c r="Y592" s="10">
        <v>31</v>
      </c>
      <c r="Z592" s="30"/>
      <c r="AA592" s="31"/>
      <c r="AB592" s="47"/>
      <c r="AC592" s="31"/>
      <c r="AD592" s="31"/>
      <c r="AE592" s="32">
        <f t="shared" si="182"/>
        <v>0</v>
      </c>
      <c r="AF592" s="10"/>
      <c r="AG592" s="10"/>
      <c r="AH592" s="10"/>
      <c r="AI592" s="12">
        <f t="shared" si="177"/>
        <v>0</v>
      </c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10">
        <v>32</v>
      </c>
      <c r="B593" s="30"/>
      <c r="C593" s="83"/>
      <c r="D593" s="32"/>
      <c r="E593" s="32"/>
      <c r="F593" s="32"/>
      <c r="G593" s="32">
        <f t="shared" si="172"/>
        <v>0</v>
      </c>
      <c r="H593" s="10"/>
      <c r="I593" s="10"/>
      <c r="J593" s="10"/>
      <c r="K593" s="12">
        <f t="shared" si="173"/>
        <v>0</v>
      </c>
      <c r="M593" s="10">
        <v>32</v>
      </c>
      <c r="N593" s="30"/>
      <c r="O593" s="31"/>
      <c r="P593" s="47"/>
      <c r="Q593" s="31"/>
      <c r="R593" s="31"/>
      <c r="S593" s="32">
        <f t="shared" si="174"/>
        <v>0</v>
      </c>
      <c r="T593" s="10"/>
      <c r="U593" s="10"/>
      <c r="V593" s="10"/>
      <c r="W593" s="12">
        <f t="shared" si="175"/>
        <v>0</v>
      </c>
      <c r="Y593" s="10">
        <v>32</v>
      </c>
      <c r="Z593" s="30"/>
      <c r="AA593" s="31"/>
      <c r="AB593" s="47"/>
      <c r="AC593" s="31"/>
      <c r="AD593" s="31"/>
      <c r="AE593" s="32">
        <f t="shared" si="182"/>
        <v>0</v>
      </c>
      <c r="AF593" s="10"/>
      <c r="AG593" s="10"/>
      <c r="AH593" s="10"/>
      <c r="AI593" s="12">
        <f t="shared" si="177"/>
        <v>0</v>
      </c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10">
        <v>33</v>
      </c>
      <c r="B594" s="30"/>
      <c r="C594" s="83"/>
      <c r="D594" s="32"/>
      <c r="E594" s="32"/>
      <c r="F594" s="32"/>
      <c r="G594" s="32">
        <f t="shared" si="172"/>
        <v>0</v>
      </c>
      <c r="H594" s="10"/>
      <c r="I594" s="10"/>
      <c r="J594" s="10"/>
      <c r="K594" s="12">
        <f t="shared" si="173"/>
        <v>0</v>
      </c>
      <c r="M594" s="10">
        <v>33</v>
      </c>
      <c r="N594" s="30"/>
      <c r="O594" s="31"/>
      <c r="P594" s="47"/>
      <c r="Q594" s="31"/>
      <c r="R594" s="31"/>
      <c r="S594" s="32">
        <f t="shared" si="174"/>
        <v>0</v>
      </c>
      <c r="T594" s="10"/>
      <c r="U594" s="10"/>
      <c r="V594" s="10"/>
      <c r="W594" s="12">
        <f t="shared" si="175"/>
        <v>0</v>
      </c>
      <c r="Y594" s="10">
        <v>33</v>
      </c>
      <c r="Z594" s="30"/>
      <c r="AA594" s="31"/>
      <c r="AB594" s="47"/>
      <c r="AC594" s="31"/>
      <c r="AD594" s="31"/>
      <c r="AE594" s="32">
        <f t="shared" si="182"/>
        <v>0</v>
      </c>
      <c r="AF594" s="10"/>
      <c r="AG594" s="10"/>
      <c r="AH594" s="10"/>
      <c r="AI594" s="12">
        <f t="shared" si="177"/>
        <v>0</v>
      </c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10"/>
      <c r="B595" s="30"/>
      <c r="C595" s="83"/>
      <c r="D595" s="32"/>
      <c r="E595" s="32"/>
      <c r="F595" s="32"/>
      <c r="G595" s="32">
        <f t="shared" si="172"/>
        <v>0</v>
      </c>
      <c r="H595" s="10"/>
      <c r="I595" s="10"/>
      <c r="J595" s="10"/>
      <c r="K595" s="12">
        <f t="shared" si="173"/>
        <v>0</v>
      </c>
      <c r="M595" s="10">
        <v>34</v>
      </c>
      <c r="N595" s="30"/>
      <c r="O595" s="31"/>
      <c r="P595" s="47"/>
      <c r="Q595" s="31"/>
      <c r="R595" s="31"/>
      <c r="S595" s="32">
        <f t="shared" si="174"/>
        <v>0</v>
      </c>
      <c r="T595" s="10"/>
      <c r="U595" s="10"/>
      <c r="V595" s="10"/>
      <c r="W595" s="12">
        <f t="shared" si="175"/>
        <v>0</v>
      </c>
      <c r="Y595" s="10">
        <v>34</v>
      </c>
      <c r="Z595" s="30"/>
      <c r="AA595" s="31"/>
      <c r="AB595" s="47"/>
      <c r="AC595" s="31"/>
      <c r="AD595" s="31"/>
      <c r="AE595" s="32">
        <f t="shared" si="182"/>
        <v>0</v>
      </c>
      <c r="AF595" s="10"/>
      <c r="AG595" s="10"/>
      <c r="AH595" s="10"/>
      <c r="AI595" s="12">
        <f t="shared" ref="AI595:AI603" si="183">SUM(AE595:AH595)</f>
        <v>0</v>
      </c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10"/>
      <c r="B596" s="30"/>
      <c r="C596" s="83"/>
      <c r="D596" s="32"/>
      <c r="E596" s="32"/>
      <c r="F596" s="32"/>
      <c r="G596" s="32"/>
      <c r="H596" s="10"/>
      <c r="I596" s="10"/>
      <c r="J596" s="10"/>
      <c r="K596" s="12"/>
      <c r="M596" s="10">
        <v>35</v>
      </c>
      <c r="N596" s="30"/>
      <c r="O596" s="31"/>
      <c r="P596" s="47"/>
      <c r="Q596" s="31"/>
      <c r="R596" s="31"/>
      <c r="S596" s="32">
        <f t="shared" si="174"/>
        <v>0</v>
      </c>
      <c r="T596" s="10"/>
      <c r="U596" s="10"/>
      <c r="V596" s="10"/>
      <c r="W596" s="12">
        <f t="shared" si="175"/>
        <v>0</v>
      </c>
      <c r="Y596" s="10">
        <v>35</v>
      </c>
      <c r="Z596" s="30"/>
      <c r="AA596" s="31"/>
      <c r="AB596" s="47"/>
      <c r="AC596" s="31"/>
      <c r="AD596" s="31"/>
      <c r="AE596" s="32">
        <f t="shared" si="182"/>
        <v>0</v>
      </c>
      <c r="AF596" s="10"/>
      <c r="AG596" s="10"/>
      <c r="AH596" s="10"/>
      <c r="AI596" s="12">
        <f t="shared" si="183"/>
        <v>0</v>
      </c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10"/>
      <c r="B597" s="30"/>
      <c r="C597" s="83"/>
      <c r="D597" s="32"/>
      <c r="E597" s="32"/>
      <c r="F597" s="32"/>
      <c r="G597" s="32"/>
      <c r="H597" s="10"/>
      <c r="I597" s="10"/>
      <c r="J597" s="10"/>
      <c r="K597" s="12"/>
      <c r="M597" s="10">
        <v>36</v>
      </c>
      <c r="N597" s="30"/>
      <c r="O597" s="31"/>
      <c r="P597" s="47"/>
      <c r="Q597" s="31"/>
      <c r="R597" s="31"/>
      <c r="S597" s="32">
        <f t="shared" si="174"/>
        <v>0</v>
      </c>
      <c r="T597" s="10"/>
      <c r="U597" s="10"/>
      <c r="V597" s="10"/>
      <c r="W597" s="12">
        <f t="shared" si="175"/>
        <v>0</v>
      </c>
      <c r="Y597" s="10">
        <v>36</v>
      </c>
      <c r="Z597" s="30"/>
      <c r="AA597" s="31"/>
      <c r="AB597" s="47"/>
      <c r="AC597" s="31"/>
      <c r="AD597" s="31"/>
      <c r="AE597" s="32">
        <f t="shared" si="182"/>
        <v>0</v>
      </c>
      <c r="AF597" s="10"/>
      <c r="AG597" s="10"/>
      <c r="AH597" s="10"/>
      <c r="AI597" s="12">
        <f t="shared" si="183"/>
        <v>0</v>
      </c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10"/>
      <c r="B598" s="30"/>
      <c r="C598" s="31"/>
      <c r="D598" s="32"/>
      <c r="E598" s="32"/>
      <c r="F598" s="32"/>
      <c r="G598" s="32"/>
      <c r="H598" s="10"/>
      <c r="I598" s="10"/>
      <c r="J598" s="10"/>
      <c r="K598" s="12"/>
      <c r="M598" s="10">
        <v>37</v>
      </c>
      <c r="N598" s="30"/>
      <c r="P598" s="47"/>
      <c r="Q598" s="31"/>
      <c r="R598" s="31"/>
      <c r="S598" s="32">
        <f t="shared" si="174"/>
        <v>0</v>
      </c>
      <c r="T598" s="10"/>
      <c r="U598" s="10"/>
      <c r="V598" s="10"/>
      <c r="W598" s="12">
        <f t="shared" si="175"/>
        <v>0</v>
      </c>
      <c r="Y598" s="10">
        <v>37</v>
      </c>
      <c r="Z598" s="30"/>
      <c r="AA598" s="31"/>
      <c r="AB598" s="47"/>
      <c r="AC598" s="31"/>
      <c r="AD598" s="31"/>
      <c r="AE598" s="32">
        <f t="shared" si="182"/>
        <v>0</v>
      </c>
      <c r="AF598" s="10"/>
      <c r="AG598" s="10"/>
      <c r="AH598" s="10"/>
      <c r="AI598" s="12">
        <f t="shared" si="183"/>
        <v>0</v>
      </c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10"/>
      <c r="B599" s="30"/>
      <c r="C599" s="31"/>
      <c r="D599" s="32"/>
      <c r="E599" s="32"/>
      <c r="F599" s="32"/>
      <c r="G599" s="32"/>
      <c r="H599" s="10"/>
      <c r="I599" s="10"/>
      <c r="J599" s="10"/>
      <c r="K599" s="12"/>
      <c r="M599" s="10">
        <v>38</v>
      </c>
      <c r="N599" s="30"/>
      <c r="O599" s="31"/>
      <c r="P599" s="47"/>
      <c r="Q599" s="31"/>
      <c r="R599" s="31"/>
      <c r="S599" s="32">
        <f t="shared" si="174"/>
        <v>0</v>
      </c>
      <c r="T599" s="10"/>
      <c r="U599" s="10"/>
      <c r="V599" s="10"/>
      <c r="W599" s="12">
        <f t="shared" si="175"/>
        <v>0</v>
      </c>
      <c r="Y599" s="10">
        <v>38</v>
      </c>
      <c r="Z599" s="30"/>
      <c r="AA599" s="31"/>
      <c r="AB599" s="47"/>
      <c r="AC599" s="31"/>
      <c r="AD599" s="31"/>
      <c r="AE599" s="32">
        <f t="shared" si="182"/>
        <v>0</v>
      </c>
      <c r="AF599" s="10"/>
      <c r="AG599" s="10"/>
      <c r="AH599" s="10"/>
      <c r="AI599" s="12">
        <f t="shared" si="183"/>
        <v>0</v>
      </c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10"/>
      <c r="B600" s="30"/>
      <c r="C600" s="31"/>
      <c r="D600" s="32"/>
      <c r="E600" s="32"/>
      <c r="F600" s="32"/>
      <c r="G600" s="32"/>
      <c r="H600" s="10"/>
      <c r="I600" s="10"/>
      <c r="J600" s="10"/>
      <c r="K600" s="12"/>
      <c r="M600" s="10">
        <v>39</v>
      </c>
      <c r="N600" s="30"/>
      <c r="O600" s="31"/>
      <c r="P600" s="47"/>
      <c r="Q600" s="31"/>
      <c r="R600" s="31"/>
      <c r="S600" s="32">
        <f t="shared" si="174"/>
        <v>0</v>
      </c>
      <c r="T600" s="10"/>
      <c r="U600" s="10"/>
      <c r="V600" s="10"/>
      <c r="W600" s="12">
        <f t="shared" si="175"/>
        <v>0</v>
      </c>
      <c r="Y600" s="10">
        <v>39</v>
      </c>
      <c r="Z600" s="30"/>
      <c r="AA600" s="31"/>
      <c r="AB600" s="47"/>
      <c r="AC600" s="31"/>
      <c r="AD600" s="31"/>
      <c r="AE600" s="32">
        <f t="shared" si="182"/>
        <v>0</v>
      </c>
      <c r="AF600" s="10"/>
      <c r="AG600" s="10"/>
      <c r="AH600" s="10"/>
      <c r="AI600" s="12">
        <f t="shared" si="183"/>
        <v>0</v>
      </c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10"/>
      <c r="B601" s="30"/>
      <c r="C601" s="31"/>
      <c r="D601" s="32"/>
      <c r="E601" s="32"/>
      <c r="F601" s="32"/>
      <c r="G601" s="32"/>
      <c r="H601" s="10"/>
      <c r="I601" s="10"/>
      <c r="J601" s="10"/>
      <c r="K601" s="12"/>
      <c r="M601" s="10"/>
      <c r="N601" s="30"/>
      <c r="P601" s="47"/>
      <c r="Q601" s="31"/>
      <c r="R601" s="31"/>
      <c r="S601" s="32"/>
      <c r="T601" s="10"/>
      <c r="U601" s="10"/>
      <c r="V601" s="10"/>
      <c r="W601" s="12">
        <f t="shared" si="175"/>
        <v>0</v>
      </c>
      <c r="Y601" s="10"/>
      <c r="Z601" s="30"/>
      <c r="AB601" s="47"/>
      <c r="AC601" s="31"/>
      <c r="AD601" s="31"/>
      <c r="AE601" s="32"/>
      <c r="AF601" s="10"/>
      <c r="AG601" s="10"/>
      <c r="AH601" s="10"/>
      <c r="AI601" s="12">
        <f t="shared" si="183"/>
        <v>0</v>
      </c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10"/>
      <c r="B602" s="30"/>
      <c r="C602" s="31"/>
      <c r="D602" s="32"/>
      <c r="E602" s="32"/>
      <c r="F602" s="32"/>
      <c r="G602" s="32">
        <f t="shared" ref="G602" si="184">SUM(D602:E602)</f>
        <v>0</v>
      </c>
      <c r="H602" s="10"/>
      <c r="I602" s="10"/>
      <c r="J602" s="10"/>
      <c r="K602" s="12">
        <f t="shared" ref="K602" si="185">SUM(G602:J602)</f>
        <v>0</v>
      </c>
      <c r="M602" s="10"/>
      <c r="N602" s="30"/>
      <c r="O602" s="31"/>
      <c r="P602" s="47"/>
      <c r="Q602" s="31"/>
      <c r="R602" s="31"/>
      <c r="S602" s="32">
        <f t="shared" ref="S602" si="186">SUM(P602:Q602)</f>
        <v>0</v>
      </c>
      <c r="T602" s="10"/>
      <c r="U602" s="10"/>
      <c r="V602" s="10"/>
      <c r="W602" s="12">
        <f t="shared" si="175"/>
        <v>0</v>
      </c>
      <c r="Y602" s="10"/>
      <c r="Z602" s="30"/>
      <c r="AA602" s="31"/>
      <c r="AB602" s="47"/>
      <c r="AC602" s="31"/>
      <c r="AD602" s="31"/>
      <c r="AE602" s="32">
        <f t="shared" ref="AE602" si="187">SUM(AB602:AC602)</f>
        <v>0</v>
      </c>
      <c r="AF602" s="10"/>
      <c r="AG602" s="10"/>
      <c r="AH602" s="10"/>
      <c r="AI602" s="12">
        <f t="shared" si="183"/>
        <v>0</v>
      </c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10"/>
      <c r="B603" s="30"/>
      <c r="C603" s="30"/>
      <c r="D603" s="32"/>
      <c r="E603" s="32"/>
      <c r="F603" s="32"/>
      <c r="G603" s="32"/>
      <c r="H603" s="10"/>
      <c r="I603" s="10"/>
      <c r="J603" s="10"/>
      <c r="K603" s="12"/>
      <c r="M603" s="10"/>
      <c r="N603" s="31"/>
      <c r="O603" s="31"/>
      <c r="P603" s="31"/>
      <c r="Q603" s="31"/>
      <c r="R603" s="31"/>
      <c r="S603" s="31"/>
      <c r="T603" s="10"/>
      <c r="U603" s="10"/>
      <c r="V603" s="10"/>
      <c r="W603" s="12">
        <f t="shared" si="175"/>
        <v>0</v>
      </c>
      <c r="Y603" s="10"/>
      <c r="Z603" s="31"/>
      <c r="AA603" s="31"/>
      <c r="AB603" s="31"/>
      <c r="AC603" s="31"/>
      <c r="AD603" s="31"/>
      <c r="AE603" s="31"/>
      <c r="AF603" s="10"/>
      <c r="AG603" s="10"/>
      <c r="AH603" s="10"/>
      <c r="AI603" s="12">
        <f t="shared" si="183"/>
        <v>0</v>
      </c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B604" s="57"/>
      <c r="C604" s="57"/>
      <c r="D604" s="36"/>
      <c r="E604" s="36"/>
      <c r="F604" s="36"/>
      <c r="G604" s="36"/>
      <c r="H604" s="37"/>
      <c r="I604" s="37"/>
      <c r="J604" s="37"/>
      <c r="K604" s="37"/>
      <c r="N604" s="57"/>
      <c r="O604" s="57"/>
      <c r="P604" s="36"/>
      <c r="Q604" s="36"/>
      <c r="R604" s="36"/>
      <c r="S604" s="36"/>
      <c r="T604" s="37"/>
      <c r="U604" s="37"/>
      <c r="V604" s="37"/>
      <c r="W604" s="37"/>
      <c r="Z604" s="57"/>
      <c r="AA604" s="57"/>
      <c r="AB604" s="36"/>
      <c r="AC604" s="36"/>
      <c r="AD604" s="36"/>
      <c r="AE604" s="36"/>
      <c r="AF604" s="37"/>
      <c r="AG604" s="37"/>
      <c r="AH604" s="37"/>
      <c r="AI604" s="37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B605" s="57"/>
      <c r="C605" s="57"/>
      <c r="D605" s="38">
        <f>SUM(D562:D604)</f>
        <v>246523.5</v>
      </c>
      <c r="E605" s="38">
        <f t="shared" ref="E605:F605" si="188">SUM(E562:E602)</f>
        <v>0</v>
      </c>
      <c r="F605" s="38">
        <f t="shared" si="188"/>
        <v>0</v>
      </c>
      <c r="G605" s="38">
        <f>SUM(G562:G604)</f>
        <v>246523.5</v>
      </c>
      <c r="H605" s="4"/>
      <c r="I605" s="39">
        <f>SUM(I562:I604)</f>
        <v>2379</v>
      </c>
      <c r="J605" s="39">
        <f>SUM(J562:J604)</f>
        <v>-1701</v>
      </c>
      <c r="K605" s="40">
        <f>SUM(K562:K604)</f>
        <v>247201.5</v>
      </c>
      <c r="N605" s="57"/>
      <c r="O605" s="57"/>
      <c r="P605" s="38">
        <f>SUM(P562:P604)</f>
        <v>250222.5</v>
      </c>
      <c r="Q605" s="38">
        <f>SUM(Q562:Q586)</f>
        <v>-1536</v>
      </c>
      <c r="R605" s="38">
        <f>SUM(R562:R586)</f>
        <v>0</v>
      </c>
      <c r="S605" s="38">
        <f>SUM(S562:S604)</f>
        <v>248686.5</v>
      </c>
      <c r="T605" s="4"/>
      <c r="U605" s="41">
        <f>SUM(U562:U604)</f>
        <v>774</v>
      </c>
      <c r="V605" s="41">
        <f>SUM(V562:V586)</f>
        <v>-2172</v>
      </c>
      <c r="W605" s="42">
        <f>SUM(W562:W604)</f>
        <v>247288.5</v>
      </c>
      <c r="Z605" s="57"/>
      <c r="AA605" s="57"/>
      <c r="AB605" s="38">
        <f>SUM(AB562:AB604)</f>
        <v>343490</v>
      </c>
      <c r="AC605" s="38">
        <f>SUM(AC562:AC586)</f>
        <v>-2496</v>
      </c>
      <c r="AD605" s="38">
        <f>SUM(AD562:AD586)</f>
        <v>0</v>
      </c>
      <c r="AE605" s="38">
        <f>SUM(AE562:AE604)</f>
        <v>340994</v>
      </c>
      <c r="AF605" s="4"/>
      <c r="AG605" s="41">
        <f>SUM(AG562:AG604)</f>
        <v>33.75</v>
      </c>
      <c r="AH605" s="41">
        <f>SUM(AH562:AH586)</f>
        <v>-1143</v>
      </c>
      <c r="AI605" s="42">
        <f>SUM(AI562:AI604)</f>
        <v>339884.75</v>
      </c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s="62"/>
      <c r="B607" s="91"/>
      <c r="C607" s="91"/>
      <c r="D607" s="91"/>
      <c r="E607" s="91"/>
      <c r="F607" s="91"/>
      <c r="G607" s="91"/>
      <c r="H607" s="62"/>
      <c r="I607" s="62"/>
      <c r="J607" s="62"/>
      <c r="K607" s="62"/>
      <c r="M607" t="s">
        <v>0</v>
      </c>
      <c r="N607" s="57"/>
      <c r="O607" s="57"/>
      <c r="P607" s="57"/>
      <c r="Q607" s="57"/>
      <c r="R607" s="57"/>
      <c r="S607" s="57"/>
      <c r="Y607" t="s">
        <v>0</v>
      </c>
      <c r="Z607" s="57"/>
      <c r="AA607" s="57"/>
      <c r="AB607" s="57"/>
      <c r="AC607" s="57"/>
      <c r="AD607" s="57"/>
      <c r="AE607" s="57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s="62"/>
      <c r="B608" s="91"/>
      <c r="C608" s="91"/>
      <c r="D608" s="91"/>
      <c r="E608" s="91"/>
      <c r="F608" s="91"/>
      <c r="G608" s="91"/>
      <c r="H608" s="62"/>
      <c r="I608" s="62"/>
      <c r="J608" s="62"/>
      <c r="K608" s="62"/>
      <c r="M608" t="s">
        <v>28</v>
      </c>
      <c r="N608" s="57"/>
      <c r="O608" s="57"/>
      <c r="P608" s="57"/>
      <c r="Q608" s="57"/>
      <c r="R608" s="57"/>
      <c r="S608" s="57"/>
      <c r="Y608" t="s">
        <v>28</v>
      </c>
      <c r="Z608" s="57"/>
      <c r="AA608" s="57"/>
      <c r="AB608" s="57"/>
      <c r="AC608" s="57"/>
      <c r="AD608" s="57"/>
      <c r="AE608" s="57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A609" s="62"/>
      <c r="B609" s="91"/>
      <c r="C609" s="91"/>
      <c r="D609" s="91"/>
      <c r="E609" s="91"/>
      <c r="F609" s="91"/>
      <c r="G609" s="91"/>
      <c r="H609" s="62"/>
      <c r="I609" s="62"/>
      <c r="J609" s="62"/>
      <c r="K609" s="62"/>
      <c r="N609" s="57"/>
      <c r="O609" s="57"/>
      <c r="P609" s="57"/>
      <c r="Q609" s="57"/>
      <c r="R609" s="57"/>
      <c r="S609" s="57"/>
      <c r="Z609" s="57"/>
      <c r="AA609" s="57"/>
      <c r="AB609" s="57"/>
      <c r="AC609" s="57"/>
      <c r="AD609" s="57"/>
      <c r="AE609" s="57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63"/>
      <c r="B610" s="91"/>
      <c r="C610" s="91"/>
      <c r="D610" s="91"/>
      <c r="E610" s="91"/>
      <c r="F610" s="91"/>
      <c r="G610" s="91"/>
      <c r="H610" s="62"/>
      <c r="I610" s="62"/>
      <c r="J610" s="62"/>
      <c r="K610" s="62"/>
      <c r="M610" s="4" t="s">
        <v>14</v>
      </c>
      <c r="N610" s="57"/>
      <c r="O610" s="57"/>
      <c r="P610" s="57"/>
      <c r="Q610" s="57"/>
      <c r="R610" s="57"/>
      <c r="S610" s="57"/>
      <c r="Y610" s="4" t="s">
        <v>14</v>
      </c>
      <c r="Z610" s="57"/>
      <c r="AA610" s="57"/>
      <c r="AB610" s="57"/>
      <c r="AC610" s="57"/>
      <c r="AD610" s="57"/>
      <c r="AE610" s="57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A611" s="62"/>
      <c r="B611" s="91"/>
      <c r="C611" s="91"/>
      <c r="D611" s="91"/>
      <c r="E611" s="91"/>
      <c r="F611" s="91"/>
      <c r="G611" s="91"/>
      <c r="H611" s="62"/>
      <c r="I611" s="62"/>
      <c r="J611" s="62"/>
      <c r="K611" s="62"/>
      <c r="N611" s="57"/>
      <c r="O611" s="57"/>
      <c r="P611" s="57"/>
      <c r="Q611" s="57"/>
      <c r="R611" s="57"/>
      <c r="S611" s="57"/>
      <c r="Z611" s="57"/>
      <c r="AA611" s="57"/>
      <c r="AB611" s="57"/>
      <c r="AC611" s="57"/>
      <c r="AD611" s="57"/>
      <c r="AE611" s="57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s="62"/>
      <c r="B612" s="91"/>
      <c r="C612" s="91"/>
      <c r="D612" s="91"/>
      <c r="E612" s="91"/>
      <c r="F612" s="91"/>
      <c r="G612" s="91"/>
      <c r="H612" s="62"/>
      <c r="I612" s="91"/>
      <c r="J612" s="73"/>
      <c r="K612" s="62"/>
      <c r="M612" t="s">
        <v>55</v>
      </c>
      <c r="N612" s="57"/>
      <c r="O612" s="57"/>
      <c r="P612" s="57"/>
      <c r="Q612" s="57"/>
      <c r="R612" s="57"/>
      <c r="S612" s="57"/>
      <c r="U612" s="57" t="s">
        <v>15</v>
      </c>
      <c r="V612" s="19">
        <v>2</v>
      </c>
      <c r="Y612" t="s">
        <v>55</v>
      </c>
      <c r="Z612" s="57"/>
      <c r="AA612" s="57"/>
      <c r="AB612" s="57"/>
      <c r="AC612" s="57"/>
      <c r="AD612" s="57"/>
      <c r="AE612" s="57"/>
      <c r="AG612" s="57" t="s">
        <v>15</v>
      </c>
      <c r="AH612" s="20">
        <v>3</v>
      </c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64"/>
      <c r="B613" s="91"/>
      <c r="C613" s="91"/>
      <c r="D613" s="91"/>
      <c r="E613" s="91"/>
      <c r="F613" s="91"/>
      <c r="G613" s="91"/>
      <c r="H613" s="62"/>
      <c r="I613" s="65"/>
      <c r="J613" s="65"/>
      <c r="K613" s="62"/>
      <c r="M613" s="21" t="s">
        <v>71</v>
      </c>
      <c r="N613" s="20"/>
      <c r="O613" s="57"/>
      <c r="P613" s="57"/>
      <c r="Q613" s="57"/>
      <c r="R613" s="57"/>
      <c r="S613" s="57"/>
      <c r="U613" s="22" t="s">
        <v>16</v>
      </c>
      <c r="V613" s="23" t="s">
        <v>33</v>
      </c>
      <c r="W613" s="24"/>
      <c r="Y613" s="21" t="s">
        <v>71</v>
      </c>
      <c r="Z613" s="20"/>
      <c r="AA613" s="57"/>
      <c r="AB613" s="57"/>
      <c r="AC613" s="57"/>
      <c r="AD613" s="57"/>
      <c r="AE613" s="57"/>
      <c r="AG613" s="22" t="s">
        <v>16</v>
      </c>
      <c r="AH613" s="23" t="s">
        <v>34</v>
      </c>
      <c r="AI613" s="24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A614" s="62"/>
      <c r="B614" s="91"/>
      <c r="C614" s="91"/>
      <c r="D614" s="91"/>
      <c r="E614" s="91"/>
      <c r="F614" s="91"/>
      <c r="G614" s="91"/>
      <c r="H614" s="62"/>
      <c r="I614" s="62"/>
      <c r="J614" s="62"/>
      <c r="K614" s="62"/>
      <c r="N614" s="57"/>
      <c r="O614" s="57"/>
      <c r="P614" s="57"/>
      <c r="Q614" s="57"/>
      <c r="R614" s="57"/>
      <c r="S614" s="57"/>
      <c r="Z614" s="57"/>
      <c r="AA614" s="57"/>
      <c r="AB614" s="57"/>
      <c r="AC614" s="57"/>
      <c r="AD614" s="57"/>
      <c r="AE614" s="57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A615" s="62"/>
      <c r="B615" s="65"/>
      <c r="C615" s="91"/>
      <c r="D615" s="121"/>
      <c r="E615" s="121"/>
      <c r="F615" s="91"/>
      <c r="G615" s="91"/>
      <c r="H615" s="62"/>
      <c r="I615" s="121"/>
      <c r="J615" s="121"/>
      <c r="K615" s="122"/>
      <c r="N615" s="25"/>
      <c r="O615" s="26"/>
      <c r="P615" s="120" t="s">
        <v>17</v>
      </c>
      <c r="Q615" s="120"/>
      <c r="R615" s="102"/>
      <c r="S615" s="27"/>
      <c r="U615" s="118" t="s">
        <v>18</v>
      </c>
      <c r="V615" s="119"/>
      <c r="W615" s="116" t="s">
        <v>19</v>
      </c>
      <c r="Z615" s="25"/>
      <c r="AA615" s="26"/>
      <c r="AB615" s="120" t="s">
        <v>17</v>
      </c>
      <c r="AC615" s="120"/>
      <c r="AD615" s="102"/>
      <c r="AE615" s="27"/>
      <c r="AG615" s="118" t="s">
        <v>18</v>
      </c>
      <c r="AH615" s="119"/>
      <c r="AI615" s="116" t="s">
        <v>19</v>
      </c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ht="30" x14ac:dyDescent="0.25">
      <c r="A616" s="62"/>
      <c r="B616" s="91"/>
      <c r="C616" s="91"/>
      <c r="D616" s="79"/>
      <c r="E616" s="80"/>
      <c r="F616" s="81"/>
      <c r="G616" s="81"/>
      <c r="H616" s="62"/>
      <c r="I616" s="90"/>
      <c r="J616" s="90"/>
      <c r="K616" s="122"/>
      <c r="N616" s="28" t="s">
        <v>20</v>
      </c>
      <c r="O616" s="28" t="s">
        <v>21</v>
      </c>
      <c r="P616" s="77" t="s">
        <v>22</v>
      </c>
      <c r="Q616" s="78" t="s">
        <v>23</v>
      </c>
      <c r="R616" s="78" t="s">
        <v>32</v>
      </c>
      <c r="S616" s="78" t="s">
        <v>24</v>
      </c>
      <c r="U616" s="29" t="s">
        <v>25</v>
      </c>
      <c r="V616" s="29" t="s">
        <v>26</v>
      </c>
      <c r="W616" s="117"/>
      <c r="Z616" s="28" t="s">
        <v>20</v>
      </c>
      <c r="AA616" s="28" t="s">
        <v>21</v>
      </c>
      <c r="AB616" s="77" t="s">
        <v>22</v>
      </c>
      <c r="AC616" s="78" t="s">
        <v>23</v>
      </c>
      <c r="AD616" s="78" t="s">
        <v>32</v>
      </c>
      <c r="AE616" s="78" t="s">
        <v>24</v>
      </c>
      <c r="AG616" s="29" t="s">
        <v>25</v>
      </c>
      <c r="AH616" s="29" t="s">
        <v>26</v>
      </c>
      <c r="AI616" s="117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62"/>
      <c r="B617" s="66"/>
      <c r="C617" s="84"/>
      <c r="D617" s="60"/>
      <c r="E617" s="60"/>
      <c r="F617" s="60"/>
      <c r="G617" s="60"/>
      <c r="H617" s="61"/>
      <c r="I617" s="61"/>
      <c r="J617" s="61"/>
      <c r="K617" s="61"/>
      <c r="M617" s="10">
        <v>1</v>
      </c>
      <c r="N617" s="30" t="s">
        <v>72</v>
      </c>
      <c r="O617" s="31">
        <v>10160</v>
      </c>
      <c r="P617" s="32">
        <f>650*12+9.5*12</f>
        <v>7914</v>
      </c>
      <c r="Q617" s="32"/>
      <c r="R617" s="32"/>
      <c r="S617" s="32">
        <f>SUM(P617:Q617)</f>
        <v>7914</v>
      </c>
      <c r="T617" s="12"/>
      <c r="U617" s="12"/>
      <c r="V617" s="12"/>
      <c r="W617" s="12">
        <f>SUM(S617:V617)</f>
        <v>7914</v>
      </c>
      <c r="Y617" s="10">
        <v>1</v>
      </c>
      <c r="Z617" s="30" t="s">
        <v>72</v>
      </c>
      <c r="AA617" s="31">
        <v>10107</v>
      </c>
      <c r="AB617" s="32">
        <f>650*40+622*10+229</f>
        <v>32449</v>
      </c>
      <c r="AC617" s="32">
        <f>-50*6</f>
        <v>-300</v>
      </c>
      <c r="AD617" s="32"/>
      <c r="AE617" s="32">
        <f>SUM(AB617:AC617)</f>
        <v>32149</v>
      </c>
      <c r="AF617" s="12"/>
      <c r="AG617" s="12"/>
      <c r="AH617" s="12"/>
      <c r="AI617" s="12">
        <f>SUM(AE617:AH617)</f>
        <v>32149</v>
      </c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62"/>
      <c r="B618" s="66"/>
      <c r="C618" s="84"/>
      <c r="D618" s="60"/>
      <c r="E618" s="60"/>
      <c r="F618" s="60"/>
      <c r="G618" s="60"/>
      <c r="H618" s="61"/>
      <c r="I618" s="61"/>
      <c r="J618" s="61"/>
      <c r="K618" s="61"/>
      <c r="M618" s="10">
        <v>2</v>
      </c>
      <c r="N618" s="30" t="s">
        <v>72</v>
      </c>
      <c r="O618" s="31">
        <f>O617+1</f>
        <v>10161</v>
      </c>
      <c r="P618" s="32">
        <f>650*180+622*20+229*6+650*2</f>
        <v>132114</v>
      </c>
      <c r="Q618" s="32">
        <f>-200*6</f>
        <v>-1200</v>
      </c>
      <c r="R618" s="32"/>
      <c r="S618" s="32">
        <f t="shared" ref="S618:S655" si="189">SUM(P618:Q618)</f>
        <v>130914</v>
      </c>
      <c r="T618" s="12"/>
      <c r="U618" s="12">
        <f>312+3219</f>
        <v>3531</v>
      </c>
      <c r="V618" s="12">
        <f>-420+-210</f>
        <v>-630</v>
      </c>
      <c r="W618" s="12">
        <f t="shared" ref="W618:W658" si="190">SUM(S618:V618)</f>
        <v>133815</v>
      </c>
      <c r="Y618" s="10">
        <v>2</v>
      </c>
      <c r="Z618" s="30" t="s">
        <v>72</v>
      </c>
      <c r="AA618" s="31">
        <f>AA617+1</f>
        <v>10108</v>
      </c>
      <c r="AB618" s="32">
        <f>650*45+622*5</f>
        <v>32360</v>
      </c>
      <c r="AC618" s="32"/>
      <c r="AD618" s="32"/>
      <c r="AE618" s="32">
        <f t="shared" ref="AE618:AE620" si="191">SUM(AB618:AC618)</f>
        <v>32360</v>
      </c>
      <c r="AF618" s="12"/>
      <c r="AG618" s="12">
        <v>58.5</v>
      </c>
      <c r="AH618" s="12"/>
      <c r="AI618" s="12">
        <f t="shared" ref="AI618:AI649" si="192">SUM(AE618:AH618)</f>
        <v>32418.5</v>
      </c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62"/>
      <c r="B619" s="66"/>
      <c r="C619" s="84"/>
      <c r="D619" s="60"/>
      <c r="E619" s="60"/>
      <c r="F619" s="60"/>
      <c r="G619" s="60"/>
      <c r="H619" s="61"/>
      <c r="I619" s="61"/>
      <c r="J619" s="61"/>
      <c r="K619" s="61"/>
      <c r="M619" s="10">
        <v>3</v>
      </c>
      <c r="N619" s="30" t="s">
        <v>72</v>
      </c>
      <c r="O619" s="31">
        <f t="shared" ref="O619:O633" si="193">O618+1</f>
        <v>10162</v>
      </c>
      <c r="P619" s="32">
        <f>650*10+872+9.5*10</f>
        <v>7467</v>
      </c>
      <c r="Q619" s="32"/>
      <c r="R619" s="32"/>
      <c r="S619" s="32">
        <f t="shared" si="189"/>
        <v>7467</v>
      </c>
      <c r="T619" s="12"/>
      <c r="U619" s="12"/>
      <c r="V619" s="12"/>
      <c r="W619" s="12">
        <f t="shared" si="190"/>
        <v>7467</v>
      </c>
      <c r="Y619" s="10">
        <v>3</v>
      </c>
      <c r="Z619" s="30" t="s">
        <v>72</v>
      </c>
      <c r="AA619" s="31">
        <f t="shared" ref="AA619:AA625" si="194">AA618+1</f>
        <v>10109</v>
      </c>
      <c r="AB619" s="33">
        <f>650*14+670+973*2</f>
        <v>11716</v>
      </c>
      <c r="AC619" s="33"/>
      <c r="AD619" s="32"/>
      <c r="AE619" s="32">
        <f t="shared" si="191"/>
        <v>11716</v>
      </c>
      <c r="AF619" s="12"/>
      <c r="AG619" s="12"/>
      <c r="AH619" s="12"/>
      <c r="AI619" s="12">
        <f t="shared" si="192"/>
        <v>11716</v>
      </c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62"/>
      <c r="B620" s="66"/>
      <c r="C620" s="84"/>
      <c r="D620" s="60"/>
      <c r="E620" s="60"/>
      <c r="F620" s="60"/>
      <c r="G620" s="60"/>
      <c r="H620" s="61"/>
      <c r="I620" s="61"/>
      <c r="J620" s="61"/>
      <c r="K620" s="61"/>
      <c r="M620" s="10">
        <v>4</v>
      </c>
      <c r="N620" s="30" t="s">
        <v>72</v>
      </c>
      <c r="O620" s="31">
        <f t="shared" si="193"/>
        <v>10163</v>
      </c>
      <c r="P620" s="32">
        <f>650*14+9.5*14</f>
        <v>9233</v>
      </c>
      <c r="Q620" s="32"/>
      <c r="R620" s="32"/>
      <c r="S620" s="32">
        <f t="shared" si="189"/>
        <v>9233</v>
      </c>
      <c r="T620" s="12"/>
      <c r="U620" s="12"/>
      <c r="V620" s="12"/>
      <c r="W620" s="12">
        <f t="shared" si="190"/>
        <v>9233</v>
      </c>
      <c r="Y620" s="10">
        <v>4</v>
      </c>
      <c r="Z620" s="30" t="s">
        <v>72</v>
      </c>
      <c r="AA620" s="31">
        <f t="shared" si="194"/>
        <v>10110</v>
      </c>
      <c r="AB620" s="32">
        <f>12*650+229</f>
        <v>8029</v>
      </c>
      <c r="AC620" s="32"/>
      <c r="AD620" s="32"/>
      <c r="AE620" s="32">
        <f t="shared" si="191"/>
        <v>8029</v>
      </c>
      <c r="AF620" s="12"/>
      <c r="AH620" s="12">
        <v>-1332</v>
      </c>
      <c r="AI620" s="12">
        <f t="shared" si="192"/>
        <v>6697</v>
      </c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62"/>
      <c r="B621" s="66"/>
      <c r="C621" s="84"/>
      <c r="D621" s="60"/>
      <c r="E621" s="60"/>
      <c r="F621" s="60"/>
      <c r="G621" s="60"/>
      <c r="H621" s="61"/>
      <c r="I621" s="61"/>
      <c r="J621" s="61"/>
      <c r="K621" s="61"/>
      <c r="M621" s="10">
        <v>5</v>
      </c>
      <c r="N621" s="30" t="s">
        <v>72</v>
      </c>
      <c r="O621" s="31">
        <f t="shared" si="193"/>
        <v>10164</v>
      </c>
      <c r="P621" s="32">
        <f>650*5+47.5</f>
        <v>3297.5</v>
      </c>
      <c r="Q621" s="32"/>
      <c r="R621" s="32"/>
      <c r="S621" s="32">
        <f t="shared" si="189"/>
        <v>3297.5</v>
      </c>
      <c r="T621" s="12"/>
      <c r="U621" s="12"/>
      <c r="V621" s="12"/>
      <c r="W621" s="12">
        <f t="shared" si="190"/>
        <v>3297.5</v>
      </c>
      <c r="Y621" s="10">
        <v>5</v>
      </c>
      <c r="Z621" s="30" t="s">
        <v>72</v>
      </c>
      <c r="AA621" s="31">
        <f t="shared" si="194"/>
        <v>10111</v>
      </c>
      <c r="AB621" s="32">
        <f>108*650+229*2</f>
        <v>70658</v>
      </c>
      <c r="AC621" s="32">
        <f>-108*6</f>
        <v>-648</v>
      </c>
      <c r="AD621" s="32"/>
      <c r="AE621" s="32">
        <f t="shared" ref="AE621:AE622" si="195">SUM(AB621:AC621)</f>
        <v>70010</v>
      </c>
      <c r="AF621" s="12"/>
      <c r="AG621" s="12"/>
      <c r="AH621" s="12"/>
      <c r="AI621" s="12">
        <f t="shared" si="192"/>
        <v>70010</v>
      </c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62"/>
      <c r="B622" s="66"/>
      <c r="C622" s="84"/>
      <c r="D622" s="60"/>
      <c r="E622" s="60"/>
      <c r="F622" s="60"/>
      <c r="G622" s="60"/>
      <c r="H622" s="61"/>
      <c r="I622" s="61"/>
      <c r="J622" s="61"/>
      <c r="K622" s="61"/>
      <c r="M622" s="10">
        <v>6</v>
      </c>
      <c r="N622" s="30" t="s">
        <v>72</v>
      </c>
      <c r="O622" s="31">
        <f t="shared" si="193"/>
        <v>10165</v>
      </c>
      <c r="P622" s="32">
        <f>650*8+9.5*8</f>
        <v>5276</v>
      </c>
      <c r="Q622" s="32"/>
      <c r="R622" s="32"/>
      <c r="S622" s="32">
        <f t="shared" si="189"/>
        <v>5276</v>
      </c>
      <c r="T622" s="12"/>
      <c r="U622" s="12"/>
      <c r="V622" s="10"/>
      <c r="W622" s="12">
        <f t="shared" si="190"/>
        <v>5276</v>
      </c>
      <c r="Y622" s="10">
        <v>6</v>
      </c>
      <c r="Z622" s="30" t="s">
        <v>72</v>
      </c>
      <c r="AA622" s="31">
        <f t="shared" si="194"/>
        <v>10112</v>
      </c>
      <c r="AB622" s="32">
        <f>650*216+670*10+872*3+229*9+500</f>
        <v>152277</v>
      </c>
      <c r="AC622" s="32">
        <f>-229*6</f>
        <v>-1374</v>
      </c>
      <c r="AD622" s="32"/>
      <c r="AE622" s="32">
        <f t="shared" si="195"/>
        <v>150903</v>
      </c>
      <c r="AF622" s="12"/>
      <c r="AG622" s="12">
        <f>111*131+78*9</f>
        <v>15243</v>
      </c>
      <c r="AH622" s="10">
        <f>-120*11+-84*4+-84*28</f>
        <v>-4008</v>
      </c>
      <c r="AI622" s="12">
        <f t="shared" si="192"/>
        <v>162138</v>
      </c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62"/>
      <c r="B623" s="66"/>
      <c r="C623" s="84"/>
      <c r="D623" s="60"/>
      <c r="E623" s="60"/>
      <c r="F623" s="60"/>
      <c r="G623" s="60"/>
      <c r="H623" s="61"/>
      <c r="I623" s="61"/>
      <c r="J623" s="61"/>
      <c r="K623" s="61"/>
      <c r="M623" s="10">
        <v>7</v>
      </c>
      <c r="N623" s="30" t="s">
        <v>72</v>
      </c>
      <c r="O623" s="31">
        <f t="shared" si="193"/>
        <v>10166</v>
      </c>
      <c r="P623" s="32">
        <f>650*21+670+622*2+9.5*5</f>
        <v>15611.5</v>
      </c>
      <c r="Q623" s="32"/>
      <c r="R623" s="32"/>
      <c r="S623" s="32">
        <f t="shared" si="189"/>
        <v>15611.5</v>
      </c>
      <c r="T623" s="12"/>
      <c r="U623" s="12"/>
      <c r="V623" s="12">
        <f>-111+-78</f>
        <v>-189</v>
      </c>
      <c r="W623" s="12">
        <f t="shared" si="190"/>
        <v>15422.5</v>
      </c>
      <c r="Y623" s="10">
        <v>7</v>
      </c>
      <c r="Z623" s="30" t="s">
        <v>72</v>
      </c>
      <c r="AA623" s="31">
        <f t="shared" si="194"/>
        <v>10113</v>
      </c>
      <c r="AB623" s="32"/>
      <c r="AC623" s="32"/>
      <c r="AD623" s="32"/>
      <c r="AE623" s="32">
        <f>SUM(AB623:AC623)</f>
        <v>0</v>
      </c>
      <c r="AF623" s="12"/>
      <c r="AG623" s="58"/>
      <c r="AH623" s="12"/>
      <c r="AI623" s="12">
        <f t="shared" si="192"/>
        <v>0</v>
      </c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62"/>
      <c r="B624" s="66"/>
      <c r="C624" s="84"/>
      <c r="D624" s="60"/>
      <c r="E624" s="60"/>
      <c r="F624" s="60"/>
      <c r="G624" s="60"/>
      <c r="H624" s="61"/>
      <c r="I624" s="61"/>
      <c r="J624" s="61"/>
      <c r="K624" s="61"/>
      <c r="M624" s="10">
        <v>8</v>
      </c>
      <c r="N624" s="30" t="s">
        <v>72</v>
      </c>
      <c r="O624" s="31">
        <f t="shared" si="193"/>
        <v>10167</v>
      </c>
      <c r="P624" s="32">
        <f>650*2+9.5*2</f>
        <v>1319</v>
      </c>
      <c r="Q624" s="32"/>
      <c r="R624" s="32"/>
      <c r="S624" s="32">
        <f t="shared" si="189"/>
        <v>1319</v>
      </c>
      <c r="T624" s="12"/>
      <c r="U624" s="12"/>
      <c r="V624" s="12"/>
      <c r="W624" s="12">
        <f t="shared" si="190"/>
        <v>1319</v>
      </c>
      <c r="Y624" s="10">
        <v>8</v>
      </c>
      <c r="Z624" s="30" t="s">
        <v>72</v>
      </c>
      <c r="AA624" s="31">
        <f t="shared" si="194"/>
        <v>10114</v>
      </c>
      <c r="AB624" s="32">
        <f>650*100+912+229*4+650</f>
        <v>67478</v>
      </c>
      <c r="AC624" s="32">
        <f>-101*6</f>
        <v>-606</v>
      </c>
      <c r="AE624" s="32">
        <f t="shared" ref="AE624:AE655" si="196">SUM(AB624:AC624)</f>
        <v>66872</v>
      </c>
      <c r="AF624" s="12"/>
      <c r="AG624" s="12"/>
      <c r="AH624" s="12">
        <f>-840+-5550+-1998</f>
        <v>-8388</v>
      </c>
      <c r="AI624" s="12">
        <f t="shared" si="192"/>
        <v>58484</v>
      </c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62"/>
      <c r="B625" s="66"/>
      <c r="C625" s="65"/>
      <c r="D625" s="60"/>
      <c r="E625" s="60"/>
      <c r="F625" s="60"/>
      <c r="G625" s="60"/>
      <c r="H625" s="61"/>
      <c r="I625" s="61"/>
      <c r="J625" s="61"/>
      <c r="K625" s="61"/>
      <c r="M625" s="10">
        <v>9</v>
      </c>
      <c r="N625" s="30" t="s">
        <v>72</v>
      </c>
      <c r="O625" s="31">
        <f t="shared" si="193"/>
        <v>10168</v>
      </c>
      <c r="P625" s="32">
        <f>650*2+9.5*2</f>
        <v>1319</v>
      </c>
      <c r="Q625" s="32"/>
      <c r="R625" s="32"/>
      <c r="S625" s="32">
        <f t="shared" si="189"/>
        <v>1319</v>
      </c>
      <c r="T625" s="12"/>
      <c r="U625" s="12"/>
      <c r="V625" s="12"/>
      <c r="W625" s="12">
        <f t="shared" si="190"/>
        <v>1319</v>
      </c>
      <c r="Y625" s="10">
        <v>9</v>
      </c>
      <c r="Z625" s="30" t="s">
        <v>72</v>
      </c>
      <c r="AA625" s="31">
        <f t="shared" si="194"/>
        <v>10115</v>
      </c>
      <c r="AB625" s="32">
        <f>650*11+670*9</f>
        <v>13180</v>
      </c>
      <c r="AC625" s="32"/>
      <c r="AD625" s="32"/>
      <c r="AE625" s="32">
        <f t="shared" si="196"/>
        <v>13180</v>
      </c>
      <c r="AF625" s="12"/>
      <c r="AH625" s="12"/>
      <c r="AI625" s="12">
        <f t="shared" si="192"/>
        <v>13180</v>
      </c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62"/>
      <c r="B626" s="66"/>
      <c r="C626" s="84"/>
      <c r="D626" s="60"/>
      <c r="E626" s="60"/>
      <c r="F626" s="60"/>
      <c r="G626" s="60"/>
      <c r="H626" s="61"/>
      <c r="I626" s="61"/>
      <c r="J626" s="61"/>
      <c r="K626" s="61"/>
      <c r="M626" s="10">
        <v>10</v>
      </c>
      <c r="N626" s="30" t="s">
        <v>72</v>
      </c>
      <c r="O626" s="31">
        <f t="shared" si="193"/>
        <v>10169</v>
      </c>
      <c r="P626" s="32">
        <f>650*4+670+622*2+9.5*6</f>
        <v>4571</v>
      </c>
      <c r="Q626" s="32"/>
      <c r="R626" s="32"/>
      <c r="S626" s="32">
        <f t="shared" si="189"/>
        <v>4571</v>
      </c>
      <c r="T626" s="12"/>
      <c r="U626" s="12"/>
      <c r="V626" s="12"/>
      <c r="W626" s="12">
        <f t="shared" si="190"/>
        <v>4571</v>
      </c>
      <c r="Y626" s="10">
        <v>10</v>
      </c>
      <c r="Z626" s="30"/>
      <c r="AA626" s="11" t="s">
        <v>27</v>
      </c>
      <c r="AB626" s="32"/>
      <c r="AC626" s="32"/>
      <c r="AD626" s="32"/>
      <c r="AE626" s="32">
        <f t="shared" si="196"/>
        <v>0</v>
      </c>
      <c r="AF626" s="12"/>
      <c r="AG626" s="12"/>
      <c r="AH626" s="12"/>
      <c r="AI626" s="12">
        <f t="shared" si="192"/>
        <v>0</v>
      </c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62"/>
      <c r="B627" s="66"/>
      <c r="C627" s="84"/>
      <c r="D627" s="60"/>
      <c r="E627" s="60"/>
      <c r="F627" s="60"/>
      <c r="G627" s="60"/>
      <c r="H627" s="61"/>
      <c r="I627" s="61"/>
      <c r="J627" s="61"/>
      <c r="K627" s="61"/>
      <c r="M627" s="10">
        <v>11</v>
      </c>
      <c r="N627" s="30" t="s">
        <v>72</v>
      </c>
      <c r="O627" s="31">
        <f t="shared" si="193"/>
        <v>10170</v>
      </c>
      <c r="P627" s="32">
        <f>650*3+622*3+9.5*6</f>
        <v>3873</v>
      </c>
      <c r="Q627" s="32"/>
      <c r="R627" s="32"/>
      <c r="S627" s="32">
        <f t="shared" si="189"/>
        <v>3873</v>
      </c>
      <c r="T627" s="12"/>
      <c r="U627" s="12"/>
      <c r="V627" s="12"/>
      <c r="W627" s="12">
        <f t="shared" si="190"/>
        <v>3873</v>
      </c>
      <c r="Y627" s="10">
        <v>11</v>
      </c>
      <c r="Z627" s="30"/>
      <c r="AA627" s="31"/>
      <c r="AB627" s="32"/>
      <c r="AC627" s="32"/>
      <c r="AD627" s="32"/>
      <c r="AE627" s="32">
        <f t="shared" si="196"/>
        <v>0</v>
      </c>
      <c r="AF627" s="12"/>
      <c r="AG627" s="12"/>
      <c r="AH627" s="12"/>
      <c r="AI627" s="12">
        <f t="shared" si="192"/>
        <v>0</v>
      </c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62"/>
      <c r="B628" s="66"/>
      <c r="C628" s="91"/>
      <c r="D628" s="60"/>
      <c r="E628" s="60"/>
      <c r="F628" s="60"/>
      <c r="G628" s="60"/>
      <c r="H628" s="61"/>
      <c r="I628" s="61"/>
      <c r="J628" s="62"/>
      <c r="K628" s="61"/>
      <c r="M628" s="10">
        <v>12</v>
      </c>
      <c r="N628" s="30" t="s">
        <v>72</v>
      </c>
      <c r="O628" s="31">
        <f t="shared" si="193"/>
        <v>10171</v>
      </c>
      <c r="P628" s="32">
        <f>650*16</f>
        <v>10400</v>
      </c>
      <c r="Q628" s="32"/>
      <c r="R628" s="32"/>
      <c r="S628" s="32">
        <f t="shared" si="189"/>
        <v>10400</v>
      </c>
      <c r="T628" s="12"/>
      <c r="U628" s="12">
        <v>63</v>
      </c>
      <c r="V628" s="12"/>
      <c r="W628" s="12">
        <f t="shared" si="190"/>
        <v>10463</v>
      </c>
      <c r="Y628" s="10">
        <v>12</v>
      </c>
      <c r="Z628" s="30"/>
      <c r="AA628" s="31"/>
      <c r="AB628" s="32"/>
      <c r="AC628" s="32"/>
      <c r="AD628" s="32"/>
      <c r="AE628" s="32">
        <f t="shared" si="196"/>
        <v>0</v>
      </c>
      <c r="AF628" s="12"/>
      <c r="AG628" s="12"/>
      <c r="AH628" s="12"/>
      <c r="AI628" s="12">
        <f t="shared" si="192"/>
        <v>0</v>
      </c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62"/>
      <c r="B629" s="66"/>
      <c r="C629" s="84"/>
      <c r="D629" s="60"/>
      <c r="E629" s="60"/>
      <c r="F629" s="60"/>
      <c r="G629" s="60"/>
      <c r="H629" s="61"/>
      <c r="I629" s="61"/>
      <c r="J629" s="61"/>
      <c r="K629" s="61"/>
      <c r="M629" s="10">
        <v>13</v>
      </c>
      <c r="N629" s="30" t="s">
        <v>72</v>
      </c>
      <c r="O629" s="31">
        <f t="shared" si="193"/>
        <v>10172</v>
      </c>
      <c r="P629" s="32">
        <f>650*6</f>
        <v>3900</v>
      </c>
      <c r="Q629" s="32"/>
      <c r="R629" s="32"/>
      <c r="S629" s="32">
        <f t="shared" si="189"/>
        <v>3900</v>
      </c>
      <c r="T629" s="12"/>
      <c r="U629" s="12"/>
      <c r="V629" s="12"/>
      <c r="W629" s="12">
        <f t="shared" si="190"/>
        <v>3900</v>
      </c>
      <c r="Y629" s="10">
        <v>13</v>
      </c>
      <c r="Z629" s="30"/>
      <c r="AA629" s="31"/>
      <c r="AB629" s="32"/>
      <c r="AC629" s="32"/>
      <c r="AD629" s="32"/>
      <c r="AE629" s="32">
        <f t="shared" si="196"/>
        <v>0</v>
      </c>
      <c r="AF629" s="12"/>
      <c r="AG629" s="12"/>
      <c r="AH629" s="12"/>
      <c r="AI629" s="12">
        <f t="shared" si="192"/>
        <v>0</v>
      </c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62"/>
      <c r="B630" s="66"/>
      <c r="C630" s="84"/>
      <c r="D630" s="60"/>
      <c r="E630" s="60"/>
      <c r="F630" s="60"/>
      <c r="G630" s="60"/>
      <c r="H630" s="61"/>
      <c r="I630" s="61"/>
      <c r="J630" s="61"/>
      <c r="K630" s="61"/>
      <c r="M630" s="10">
        <v>14</v>
      </c>
      <c r="N630" s="30" t="s">
        <v>72</v>
      </c>
      <c r="O630" s="31">
        <f t="shared" si="193"/>
        <v>10173</v>
      </c>
      <c r="P630" s="32">
        <f>650*11</f>
        <v>7150</v>
      </c>
      <c r="Q630" s="32"/>
      <c r="R630" s="32"/>
      <c r="S630" s="32">
        <f t="shared" si="189"/>
        <v>7150</v>
      </c>
      <c r="T630" s="12"/>
      <c r="U630" s="12"/>
      <c r="V630" s="12"/>
      <c r="W630" s="12">
        <f t="shared" si="190"/>
        <v>7150</v>
      </c>
      <c r="Y630" s="10">
        <v>14</v>
      </c>
      <c r="Z630" s="30"/>
      <c r="AA630" s="31"/>
      <c r="AB630" s="32"/>
      <c r="AC630" s="32"/>
      <c r="AD630" s="32"/>
      <c r="AE630" s="32">
        <f t="shared" si="196"/>
        <v>0</v>
      </c>
      <c r="AF630" s="12"/>
      <c r="AG630" s="12"/>
      <c r="AH630" s="12"/>
      <c r="AI630" s="12">
        <f t="shared" si="192"/>
        <v>0</v>
      </c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62"/>
      <c r="B631" s="66"/>
      <c r="C631" s="84"/>
      <c r="D631" s="60"/>
      <c r="E631" s="60"/>
      <c r="F631" s="60"/>
      <c r="G631" s="60"/>
      <c r="H631" s="61"/>
      <c r="I631" s="61"/>
      <c r="J631" s="61"/>
      <c r="K631" s="61"/>
      <c r="M631" s="10">
        <v>15</v>
      </c>
      <c r="N631" s="30" t="s">
        <v>72</v>
      </c>
      <c r="O631" s="31">
        <f t="shared" si="193"/>
        <v>10174</v>
      </c>
      <c r="P631" s="32">
        <f>650*7+622</f>
        <v>5172</v>
      </c>
      <c r="Q631" s="32"/>
      <c r="R631" s="32"/>
      <c r="S631" s="32">
        <f t="shared" si="189"/>
        <v>5172</v>
      </c>
      <c r="T631" s="12"/>
      <c r="U631" s="12"/>
      <c r="V631" s="12"/>
      <c r="W631" s="12">
        <f t="shared" si="190"/>
        <v>5172</v>
      </c>
      <c r="Y631" s="10">
        <v>15</v>
      </c>
      <c r="Z631" s="30"/>
      <c r="AA631" s="31"/>
      <c r="AB631" s="32"/>
      <c r="AC631" s="32"/>
      <c r="AD631" s="32"/>
      <c r="AE631" s="32">
        <f t="shared" si="196"/>
        <v>0</v>
      </c>
      <c r="AF631" s="12"/>
      <c r="AG631" s="12"/>
      <c r="AH631" s="12"/>
      <c r="AI631" s="12">
        <f t="shared" si="192"/>
        <v>0</v>
      </c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62"/>
      <c r="B632" s="66"/>
      <c r="C632" s="84"/>
      <c r="D632" s="60"/>
      <c r="E632" s="60"/>
      <c r="F632" s="60"/>
      <c r="G632" s="60"/>
      <c r="H632" s="61"/>
      <c r="I632" s="61"/>
      <c r="J632" s="61"/>
      <c r="K632" s="61"/>
      <c r="M632" s="10">
        <v>16</v>
      </c>
      <c r="N632" s="30" t="s">
        <v>72</v>
      </c>
      <c r="O632" s="31">
        <f t="shared" si="193"/>
        <v>10175</v>
      </c>
      <c r="P632" s="32">
        <f>650*21</f>
        <v>13650</v>
      </c>
      <c r="Q632" s="32"/>
      <c r="R632" s="32"/>
      <c r="S632" s="32">
        <f t="shared" si="189"/>
        <v>13650</v>
      </c>
      <c r="T632" s="12"/>
      <c r="U632" s="12"/>
      <c r="V632" s="12"/>
      <c r="W632" s="12">
        <f t="shared" si="190"/>
        <v>13650</v>
      </c>
      <c r="Y632" s="10">
        <v>16</v>
      </c>
      <c r="AB632" s="32"/>
      <c r="AC632" s="32"/>
      <c r="AD632" s="32"/>
      <c r="AE632" s="32">
        <f t="shared" si="196"/>
        <v>0</v>
      </c>
      <c r="AF632" s="12"/>
      <c r="AG632" s="12"/>
      <c r="AH632" s="12"/>
      <c r="AI632" s="12">
        <f t="shared" si="192"/>
        <v>0</v>
      </c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62"/>
      <c r="B633" s="66"/>
      <c r="C633" s="84"/>
      <c r="D633" s="60"/>
      <c r="E633" s="60"/>
      <c r="F633" s="60"/>
      <c r="G633" s="60"/>
      <c r="H633" s="61"/>
      <c r="I633" s="61"/>
      <c r="J633" s="61"/>
      <c r="K633" s="61"/>
      <c r="M633" s="10">
        <v>17</v>
      </c>
      <c r="N633" s="30" t="s">
        <v>72</v>
      </c>
      <c r="O633" s="31">
        <f t="shared" si="193"/>
        <v>10176</v>
      </c>
      <c r="P633" s="35">
        <f>650*3</f>
        <v>1950</v>
      </c>
      <c r="Q633" s="32"/>
      <c r="R633" s="32"/>
      <c r="S633" s="32">
        <f t="shared" si="189"/>
        <v>1950</v>
      </c>
      <c r="T633" s="12"/>
      <c r="U633" s="12"/>
      <c r="V633" s="12"/>
      <c r="W633" s="12">
        <f t="shared" si="190"/>
        <v>1950</v>
      </c>
      <c r="Y633" s="10">
        <v>17</v>
      </c>
      <c r="Z633" s="30"/>
      <c r="AA633" s="31"/>
      <c r="AB633" s="35"/>
      <c r="AC633" s="32"/>
      <c r="AD633" s="32"/>
      <c r="AE633" s="32">
        <f t="shared" si="196"/>
        <v>0</v>
      </c>
      <c r="AF633" s="12"/>
      <c r="AG633" s="12"/>
      <c r="AH633" s="12"/>
      <c r="AI633" s="12">
        <f t="shared" si="192"/>
        <v>0</v>
      </c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62"/>
      <c r="B634" s="66"/>
      <c r="C634" s="84"/>
      <c r="D634" s="60"/>
      <c r="E634" s="60"/>
      <c r="F634" s="60"/>
      <c r="G634" s="60"/>
      <c r="H634" s="61"/>
      <c r="I634" s="61"/>
      <c r="J634" s="61"/>
      <c r="K634" s="61"/>
      <c r="M634" s="10">
        <v>18</v>
      </c>
      <c r="N634" s="30"/>
      <c r="O634" s="11" t="s">
        <v>27</v>
      </c>
      <c r="P634" s="32"/>
      <c r="Q634" s="32"/>
      <c r="R634" s="32"/>
      <c r="S634" s="32">
        <f t="shared" si="189"/>
        <v>0</v>
      </c>
      <c r="T634" s="12"/>
      <c r="U634" s="12"/>
      <c r="V634" s="12"/>
      <c r="W634" s="12">
        <f t="shared" si="190"/>
        <v>0</v>
      </c>
      <c r="Y634" s="10">
        <v>18</v>
      </c>
      <c r="Z634" s="30"/>
      <c r="AA634" s="31"/>
      <c r="AB634" s="32"/>
      <c r="AC634" s="32"/>
      <c r="AD634" s="32"/>
      <c r="AE634" s="32">
        <f t="shared" si="196"/>
        <v>0</v>
      </c>
      <c r="AF634" s="12"/>
      <c r="AG634" s="12"/>
      <c r="AH634" s="12"/>
      <c r="AI634" s="12">
        <f t="shared" si="192"/>
        <v>0</v>
      </c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62"/>
      <c r="B635" s="66"/>
      <c r="C635" s="84"/>
      <c r="D635" s="60"/>
      <c r="E635" s="60"/>
      <c r="F635" s="60"/>
      <c r="G635" s="60"/>
      <c r="H635" s="61"/>
      <c r="I635" s="61"/>
      <c r="J635" s="61"/>
      <c r="K635" s="61"/>
      <c r="M635" s="10">
        <v>19</v>
      </c>
      <c r="N635" s="30"/>
      <c r="O635" s="31"/>
      <c r="P635" s="32"/>
      <c r="Q635" s="32"/>
      <c r="R635" s="32"/>
      <c r="S635" s="32">
        <f t="shared" si="189"/>
        <v>0</v>
      </c>
      <c r="T635" s="12"/>
      <c r="U635" s="12"/>
      <c r="V635" s="12"/>
      <c r="W635" s="12">
        <f t="shared" si="190"/>
        <v>0</v>
      </c>
      <c r="Y635" s="10">
        <v>19</v>
      </c>
      <c r="Z635" s="30"/>
      <c r="AA635" s="31"/>
      <c r="AB635" s="32"/>
      <c r="AC635" s="32"/>
      <c r="AD635" s="32"/>
      <c r="AE635" s="32">
        <f t="shared" si="196"/>
        <v>0</v>
      </c>
      <c r="AF635" s="12"/>
      <c r="AG635" s="12"/>
      <c r="AH635" s="12"/>
      <c r="AI635" s="12">
        <f t="shared" si="192"/>
        <v>0</v>
      </c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62"/>
      <c r="B636" s="66"/>
      <c r="C636" s="84"/>
      <c r="D636" s="60"/>
      <c r="E636" s="60"/>
      <c r="F636" s="60"/>
      <c r="G636" s="60"/>
      <c r="H636" s="61"/>
      <c r="I636" s="61"/>
      <c r="J636" s="61"/>
      <c r="K636" s="61"/>
      <c r="M636" s="10">
        <v>20</v>
      </c>
      <c r="N636" s="30"/>
      <c r="O636" s="31"/>
      <c r="P636" s="32"/>
      <c r="Q636" s="32"/>
      <c r="R636" s="32"/>
      <c r="S636" s="32">
        <f t="shared" si="189"/>
        <v>0</v>
      </c>
      <c r="T636" s="12"/>
      <c r="U636" s="12"/>
      <c r="V636" s="12"/>
      <c r="W636" s="12">
        <f t="shared" si="190"/>
        <v>0</v>
      </c>
      <c r="Y636" s="10">
        <v>20</v>
      </c>
      <c r="Z636" s="30"/>
      <c r="AB636" s="32"/>
      <c r="AC636" s="32"/>
      <c r="AD636" s="32"/>
      <c r="AE636" s="32">
        <f t="shared" si="196"/>
        <v>0</v>
      </c>
      <c r="AF636" s="12"/>
      <c r="AG636" s="12"/>
      <c r="AH636" s="12"/>
      <c r="AI636" s="12">
        <f t="shared" si="192"/>
        <v>0</v>
      </c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62"/>
      <c r="B637" s="66"/>
      <c r="C637" s="65"/>
      <c r="D637" s="60"/>
      <c r="E637" s="60"/>
      <c r="F637" s="60"/>
      <c r="G637" s="60"/>
      <c r="H637" s="62"/>
      <c r="I637" s="62"/>
      <c r="J637" s="62"/>
      <c r="K637" s="61"/>
      <c r="M637" s="10">
        <v>21</v>
      </c>
      <c r="N637" s="30"/>
      <c r="O637" s="31"/>
      <c r="P637" s="46"/>
      <c r="Q637" s="31"/>
      <c r="R637" s="31"/>
      <c r="S637" s="32">
        <f t="shared" si="189"/>
        <v>0</v>
      </c>
      <c r="T637" s="10"/>
      <c r="U637" s="10"/>
      <c r="V637" s="10"/>
      <c r="W637" s="12">
        <f t="shared" si="190"/>
        <v>0</v>
      </c>
      <c r="Y637" s="10">
        <v>21</v>
      </c>
      <c r="Z637" s="30"/>
      <c r="AA637" s="31"/>
      <c r="AB637" s="46"/>
      <c r="AC637" s="31"/>
      <c r="AD637" s="31"/>
      <c r="AE637" s="32">
        <f t="shared" si="196"/>
        <v>0</v>
      </c>
      <c r="AF637" s="10"/>
      <c r="AG637" s="10"/>
      <c r="AH637" s="10"/>
      <c r="AI637" s="12">
        <f t="shared" si="192"/>
        <v>0</v>
      </c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62"/>
      <c r="B638" s="66"/>
      <c r="C638" s="91"/>
      <c r="D638" s="60"/>
      <c r="E638" s="60"/>
      <c r="F638" s="60"/>
      <c r="G638" s="60"/>
      <c r="H638" s="62"/>
      <c r="I638" s="62"/>
      <c r="J638" s="62"/>
      <c r="K638" s="61"/>
      <c r="M638" s="10">
        <v>22</v>
      </c>
      <c r="N638" s="30"/>
      <c r="O638" s="31"/>
      <c r="P638" s="45"/>
      <c r="Q638" s="31"/>
      <c r="R638" s="31"/>
      <c r="S638" s="32">
        <f t="shared" si="189"/>
        <v>0</v>
      </c>
      <c r="T638" s="10"/>
      <c r="U638" s="10"/>
      <c r="V638" s="10"/>
      <c r="W638" s="12">
        <f t="shared" si="190"/>
        <v>0</v>
      </c>
      <c r="Y638" s="10">
        <v>22</v>
      </c>
      <c r="Z638" s="30"/>
      <c r="AA638" s="31"/>
      <c r="AB638" s="45"/>
      <c r="AC638" s="31"/>
      <c r="AD638" s="31"/>
      <c r="AE638" s="32">
        <f t="shared" si="196"/>
        <v>0</v>
      </c>
      <c r="AF638" s="10"/>
      <c r="AG638" s="10"/>
      <c r="AH638" s="10"/>
      <c r="AI638" s="12">
        <f t="shared" si="192"/>
        <v>0</v>
      </c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62"/>
      <c r="B639" s="66"/>
      <c r="C639" s="84"/>
      <c r="D639" s="60"/>
      <c r="E639" s="60"/>
      <c r="F639" s="60"/>
      <c r="G639" s="60"/>
      <c r="H639" s="62"/>
      <c r="I639" s="62"/>
      <c r="J639" s="61"/>
      <c r="K639" s="61"/>
      <c r="M639" s="10">
        <v>23</v>
      </c>
      <c r="N639" s="30"/>
      <c r="O639" s="31"/>
      <c r="P639" s="47"/>
      <c r="S639" s="32">
        <f t="shared" si="189"/>
        <v>0</v>
      </c>
      <c r="T639" s="10"/>
      <c r="U639" s="10"/>
      <c r="V639" s="10"/>
      <c r="W639" s="12">
        <f t="shared" si="190"/>
        <v>0</v>
      </c>
      <c r="Y639" s="10">
        <v>23</v>
      </c>
      <c r="Z639" s="30"/>
      <c r="AA639" s="31"/>
      <c r="AB639" s="47"/>
      <c r="AC639" s="31"/>
      <c r="AE639" s="32">
        <f t="shared" si="196"/>
        <v>0</v>
      </c>
      <c r="AF639" s="10"/>
      <c r="AG639" s="10"/>
      <c r="AH639" s="10"/>
      <c r="AI639" s="12">
        <f t="shared" si="192"/>
        <v>0</v>
      </c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62"/>
      <c r="B640" s="66"/>
      <c r="C640" s="84"/>
      <c r="D640" s="60"/>
      <c r="E640" s="60"/>
      <c r="F640" s="60"/>
      <c r="G640" s="60"/>
      <c r="H640" s="62"/>
      <c r="I640" s="62"/>
      <c r="J640" s="62"/>
      <c r="K640" s="61"/>
      <c r="M640" s="10">
        <v>24</v>
      </c>
      <c r="N640" s="30"/>
      <c r="O640" s="31"/>
      <c r="P640" s="47"/>
      <c r="Q640" s="31"/>
      <c r="R640" s="31"/>
      <c r="S640" s="32">
        <f t="shared" si="189"/>
        <v>0</v>
      </c>
      <c r="T640" s="10"/>
      <c r="U640" s="10"/>
      <c r="V640" s="10"/>
      <c r="W640" s="12">
        <f t="shared" si="190"/>
        <v>0</v>
      </c>
      <c r="Y640" s="10">
        <v>24</v>
      </c>
      <c r="Z640" s="30"/>
      <c r="AA640" s="31"/>
      <c r="AB640" s="47"/>
      <c r="AC640" s="31"/>
      <c r="AD640" s="31"/>
      <c r="AE640" s="32">
        <f t="shared" si="196"/>
        <v>0</v>
      </c>
      <c r="AF640" s="10"/>
      <c r="AG640" s="10"/>
      <c r="AH640" s="10"/>
      <c r="AI640" s="12">
        <f t="shared" si="192"/>
        <v>0</v>
      </c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62"/>
      <c r="B641" s="66"/>
      <c r="C641" s="84"/>
      <c r="D641" s="60"/>
      <c r="E641" s="60"/>
      <c r="F641" s="60"/>
      <c r="G641" s="60"/>
      <c r="H641" s="62"/>
      <c r="I641" s="62"/>
      <c r="J641" s="62"/>
      <c r="K641" s="61"/>
      <c r="M641" s="10">
        <v>25</v>
      </c>
      <c r="N641" s="30"/>
      <c r="O641" s="31"/>
      <c r="P641" s="47"/>
      <c r="Q641" s="31"/>
      <c r="R641" s="31"/>
      <c r="S641" s="32">
        <f t="shared" si="189"/>
        <v>0</v>
      </c>
      <c r="T641" s="10"/>
      <c r="U641" s="10"/>
      <c r="V641" s="10"/>
      <c r="W641" s="12">
        <f t="shared" si="190"/>
        <v>0</v>
      </c>
      <c r="Y641" s="10">
        <v>25</v>
      </c>
      <c r="Z641" s="30"/>
      <c r="AA641" s="31"/>
      <c r="AB641" s="47"/>
      <c r="AC641" s="31"/>
      <c r="AD641" s="31"/>
      <c r="AE641" s="32">
        <f t="shared" si="196"/>
        <v>0</v>
      </c>
      <c r="AF641" s="10"/>
      <c r="AG641" s="10"/>
      <c r="AH641" s="10"/>
      <c r="AI641" s="12">
        <f t="shared" si="192"/>
        <v>0</v>
      </c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62"/>
      <c r="B642" s="66"/>
      <c r="C642" s="84"/>
      <c r="D642" s="60"/>
      <c r="E642" s="60"/>
      <c r="F642" s="60"/>
      <c r="G642" s="60"/>
      <c r="H642" s="62"/>
      <c r="I642" s="62"/>
      <c r="J642" s="62"/>
      <c r="K642" s="61"/>
      <c r="M642" s="10">
        <v>26</v>
      </c>
      <c r="N642" s="30"/>
      <c r="O642" s="11"/>
      <c r="P642" s="47"/>
      <c r="Q642" s="31"/>
      <c r="R642" s="31"/>
      <c r="S642" s="32">
        <f t="shared" si="189"/>
        <v>0</v>
      </c>
      <c r="T642" s="10"/>
      <c r="U642" s="10"/>
      <c r="V642" s="10"/>
      <c r="W642" s="12">
        <f t="shared" si="190"/>
        <v>0</v>
      </c>
      <c r="Y642" s="10">
        <v>26</v>
      </c>
      <c r="Z642" s="30"/>
      <c r="AA642" s="31"/>
      <c r="AB642" s="47"/>
      <c r="AC642" s="31"/>
      <c r="AD642" s="31"/>
      <c r="AE642" s="32">
        <f t="shared" si="196"/>
        <v>0</v>
      </c>
      <c r="AF642" s="10"/>
      <c r="AG642" s="10"/>
      <c r="AH642" s="10"/>
      <c r="AI642" s="12">
        <f t="shared" si="192"/>
        <v>0</v>
      </c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62"/>
      <c r="B643" s="66"/>
      <c r="C643" s="84"/>
      <c r="D643" s="60"/>
      <c r="E643" s="60"/>
      <c r="F643" s="60"/>
      <c r="G643" s="60"/>
      <c r="H643" s="62"/>
      <c r="I643" s="62"/>
      <c r="J643" s="62"/>
      <c r="K643" s="61"/>
      <c r="M643" s="10">
        <v>27</v>
      </c>
      <c r="N643" s="30"/>
      <c r="O643" s="31"/>
      <c r="P643" s="47"/>
      <c r="Q643" s="31"/>
      <c r="R643" s="31"/>
      <c r="S643" s="32">
        <f t="shared" si="189"/>
        <v>0</v>
      </c>
      <c r="T643" s="10"/>
      <c r="U643" s="10"/>
      <c r="V643" s="10"/>
      <c r="W643" s="12">
        <f t="shared" si="190"/>
        <v>0</v>
      </c>
      <c r="Y643" s="10">
        <v>27</v>
      </c>
      <c r="Z643" s="30"/>
      <c r="AA643" s="31"/>
      <c r="AB643" s="47"/>
      <c r="AC643" s="31"/>
      <c r="AD643" s="31"/>
      <c r="AE643" s="32">
        <f t="shared" si="196"/>
        <v>0</v>
      </c>
      <c r="AF643" s="10"/>
      <c r="AG643" s="10"/>
      <c r="AH643" s="10"/>
      <c r="AI643" s="12">
        <f t="shared" si="192"/>
        <v>0</v>
      </c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62"/>
      <c r="B644" s="66"/>
      <c r="C644" s="84"/>
      <c r="D644" s="60"/>
      <c r="E644" s="60"/>
      <c r="F644" s="60"/>
      <c r="G644" s="60"/>
      <c r="H644" s="62"/>
      <c r="I644" s="62"/>
      <c r="J644" s="62"/>
      <c r="K644" s="61"/>
      <c r="M644" s="10">
        <v>28</v>
      </c>
      <c r="N644" s="30"/>
      <c r="O644" s="31"/>
      <c r="P644" s="47"/>
      <c r="Q644" s="31"/>
      <c r="R644" s="31"/>
      <c r="S644" s="32">
        <f t="shared" si="189"/>
        <v>0</v>
      </c>
      <c r="T644" s="10"/>
      <c r="U644" s="10"/>
      <c r="V644" s="10"/>
      <c r="W644" s="12">
        <f t="shared" si="190"/>
        <v>0</v>
      </c>
      <c r="Y644" s="10">
        <v>28</v>
      </c>
      <c r="Z644" s="30"/>
      <c r="AA644" s="31"/>
      <c r="AB644" s="47"/>
      <c r="AC644" s="31"/>
      <c r="AD644" s="31"/>
      <c r="AE644" s="32">
        <f t="shared" si="196"/>
        <v>0</v>
      </c>
      <c r="AF644" s="10"/>
      <c r="AG644" s="10"/>
      <c r="AH644" s="10"/>
      <c r="AI644" s="12">
        <f t="shared" si="192"/>
        <v>0</v>
      </c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62"/>
      <c r="B645" s="66"/>
      <c r="C645" s="84"/>
      <c r="D645" s="60"/>
      <c r="E645" s="60"/>
      <c r="F645" s="60"/>
      <c r="G645" s="60"/>
      <c r="H645" s="62"/>
      <c r="I645" s="62"/>
      <c r="J645" s="62"/>
      <c r="K645" s="61"/>
      <c r="M645" s="10">
        <v>29</v>
      </c>
      <c r="N645" s="30"/>
      <c r="O645" s="31"/>
      <c r="P645" s="47"/>
      <c r="Q645" s="31"/>
      <c r="R645" s="31"/>
      <c r="S645" s="32">
        <f t="shared" si="189"/>
        <v>0</v>
      </c>
      <c r="T645" s="10"/>
      <c r="U645" s="10"/>
      <c r="V645" s="10"/>
      <c r="W645" s="12">
        <f t="shared" si="190"/>
        <v>0</v>
      </c>
      <c r="Y645" s="10">
        <v>29</v>
      </c>
      <c r="Z645" s="30"/>
      <c r="AA645" s="31"/>
      <c r="AB645" s="47"/>
      <c r="AC645" s="31"/>
      <c r="AD645" s="31"/>
      <c r="AE645" s="32">
        <f t="shared" si="196"/>
        <v>0</v>
      </c>
      <c r="AF645" s="10"/>
      <c r="AG645" s="10"/>
      <c r="AH645" s="10"/>
      <c r="AI645" s="12">
        <f t="shared" si="192"/>
        <v>0</v>
      </c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62"/>
      <c r="B646" s="66"/>
      <c r="C646" s="84"/>
      <c r="D646" s="60"/>
      <c r="E646" s="60"/>
      <c r="F646" s="60"/>
      <c r="G646" s="60"/>
      <c r="H646" s="62"/>
      <c r="I646" s="62"/>
      <c r="J646" s="62"/>
      <c r="K646" s="61"/>
      <c r="M646" s="10">
        <v>30</v>
      </c>
      <c r="N646" s="30"/>
      <c r="O646" s="31"/>
      <c r="P646" s="47"/>
      <c r="Q646" s="31"/>
      <c r="R646" s="31"/>
      <c r="S646" s="32">
        <f t="shared" si="189"/>
        <v>0</v>
      </c>
      <c r="T646" s="10"/>
      <c r="U646" s="10"/>
      <c r="V646" s="10"/>
      <c r="W646" s="12">
        <f t="shared" si="190"/>
        <v>0</v>
      </c>
      <c r="Y646" s="10">
        <v>30</v>
      </c>
      <c r="Z646" s="30"/>
      <c r="AA646" s="31"/>
      <c r="AB646" s="47"/>
      <c r="AC646" s="31"/>
      <c r="AD646" s="31"/>
      <c r="AE646" s="32">
        <f t="shared" si="196"/>
        <v>0</v>
      </c>
      <c r="AF646" s="10"/>
      <c r="AG646" s="10"/>
      <c r="AH646" s="10"/>
      <c r="AI646" s="12">
        <f t="shared" si="192"/>
        <v>0</v>
      </c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62"/>
      <c r="B647" s="66"/>
      <c r="C647" s="84"/>
      <c r="D647" s="60"/>
      <c r="E647" s="60"/>
      <c r="F647" s="60"/>
      <c r="G647" s="60"/>
      <c r="H647" s="62"/>
      <c r="I647" s="62"/>
      <c r="J647" s="62"/>
      <c r="K647" s="61"/>
      <c r="M647" s="10">
        <v>31</v>
      </c>
      <c r="N647" s="30"/>
      <c r="O647" s="31"/>
      <c r="P647" s="47"/>
      <c r="Q647" s="31"/>
      <c r="R647" s="31"/>
      <c r="S647" s="32">
        <f t="shared" si="189"/>
        <v>0</v>
      </c>
      <c r="T647" s="10"/>
      <c r="U647" s="10"/>
      <c r="V647" s="10"/>
      <c r="W647" s="12">
        <f t="shared" si="190"/>
        <v>0</v>
      </c>
      <c r="Y647" s="10">
        <v>31</v>
      </c>
      <c r="Z647" s="30"/>
      <c r="AA647" s="31"/>
      <c r="AB647" s="47"/>
      <c r="AC647" s="31"/>
      <c r="AD647" s="31"/>
      <c r="AE647" s="32">
        <f t="shared" si="196"/>
        <v>0</v>
      </c>
      <c r="AF647" s="10"/>
      <c r="AG647" s="10"/>
      <c r="AH647" s="10"/>
      <c r="AI647" s="12">
        <f t="shared" si="192"/>
        <v>0</v>
      </c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62"/>
      <c r="B648" s="66"/>
      <c r="C648" s="84"/>
      <c r="D648" s="60"/>
      <c r="E648" s="60"/>
      <c r="F648" s="60"/>
      <c r="G648" s="60"/>
      <c r="H648" s="62"/>
      <c r="I648" s="62"/>
      <c r="J648" s="62"/>
      <c r="K648" s="61"/>
      <c r="M648" s="10">
        <v>32</v>
      </c>
      <c r="N648" s="30"/>
      <c r="O648" s="31"/>
      <c r="P648" s="47"/>
      <c r="Q648" s="31"/>
      <c r="R648" s="31"/>
      <c r="S648" s="32">
        <f t="shared" si="189"/>
        <v>0</v>
      </c>
      <c r="T648" s="10"/>
      <c r="U648" s="10"/>
      <c r="V648" s="10"/>
      <c r="W648" s="12">
        <f t="shared" si="190"/>
        <v>0</v>
      </c>
      <c r="Y648" s="10">
        <v>32</v>
      </c>
      <c r="Z648" s="30"/>
      <c r="AA648" s="31"/>
      <c r="AB648" s="47"/>
      <c r="AC648" s="31"/>
      <c r="AD648" s="31"/>
      <c r="AE648" s="32">
        <f t="shared" si="196"/>
        <v>0</v>
      </c>
      <c r="AF648" s="10"/>
      <c r="AG648" s="10"/>
      <c r="AH648" s="10"/>
      <c r="AI648" s="12">
        <f t="shared" si="192"/>
        <v>0</v>
      </c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62"/>
      <c r="B649" s="66"/>
      <c r="C649" s="84"/>
      <c r="D649" s="60"/>
      <c r="E649" s="60"/>
      <c r="F649" s="60"/>
      <c r="G649" s="60"/>
      <c r="H649" s="62"/>
      <c r="I649" s="62"/>
      <c r="J649" s="62"/>
      <c r="K649" s="61"/>
      <c r="M649" s="10">
        <v>33</v>
      </c>
      <c r="N649" s="30"/>
      <c r="O649" s="31"/>
      <c r="P649" s="47"/>
      <c r="Q649" s="31"/>
      <c r="R649" s="31"/>
      <c r="S649" s="32">
        <f t="shared" si="189"/>
        <v>0</v>
      </c>
      <c r="T649" s="10"/>
      <c r="U649" s="10"/>
      <c r="V649" s="10"/>
      <c r="W649" s="12">
        <f t="shared" si="190"/>
        <v>0</v>
      </c>
      <c r="Y649" s="10">
        <v>33</v>
      </c>
      <c r="Z649" s="30"/>
      <c r="AA649" s="31"/>
      <c r="AB649" s="47"/>
      <c r="AC649" s="31"/>
      <c r="AD649" s="31"/>
      <c r="AE649" s="32">
        <f t="shared" si="196"/>
        <v>0</v>
      </c>
      <c r="AF649" s="10"/>
      <c r="AG649" s="10"/>
      <c r="AH649" s="10"/>
      <c r="AI649" s="12">
        <f t="shared" si="192"/>
        <v>0</v>
      </c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62"/>
      <c r="B650" s="66"/>
      <c r="C650" s="84"/>
      <c r="D650" s="60"/>
      <c r="E650" s="60"/>
      <c r="F650" s="60"/>
      <c r="G650" s="60"/>
      <c r="H650" s="62"/>
      <c r="I650" s="62"/>
      <c r="J650" s="62"/>
      <c r="K650" s="61"/>
      <c r="M650" s="10">
        <v>34</v>
      </c>
      <c r="N650" s="30"/>
      <c r="O650" s="31"/>
      <c r="P650" s="47"/>
      <c r="Q650" s="31"/>
      <c r="R650" s="31"/>
      <c r="S650" s="32">
        <f t="shared" si="189"/>
        <v>0</v>
      </c>
      <c r="T650" s="10"/>
      <c r="U650" s="10"/>
      <c r="V650" s="10"/>
      <c r="W650" s="12">
        <f t="shared" si="190"/>
        <v>0</v>
      </c>
      <c r="Y650" s="10">
        <v>34</v>
      </c>
      <c r="Z650" s="30"/>
      <c r="AA650" s="31"/>
      <c r="AB650" s="47"/>
      <c r="AC650" s="31"/>
      <c r="AD650" s="31"/>
      <c r="AE650" s="32">
        <f t="shared" si="196"/>
        <v>0</v>
      </c>
      <c r="AF650" s="10"/>
      <c r="AG650" s="10"/>
      <c r="AH650" s="10"/>
      <c r="AI650" s="12">
        <f t="shared" ref="AI650:AI658" si="197">SUM(AE650:AH650)</f>
        <v>0</v>
      </c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62"/>
      <c r="B651" s="66"/>
      <c r="C651" s="84"/>
      <c r="D651" s="60"/>
      <c r="E651" s="60"/>
      <c r="F651" s="60"/>
      <c r="G651" s="60"/>
      <c r="H651" s="62"/>
      <c r="I651" s="62"/>
      <c r="J651" s="62"/>
      <c r="K651" s="61"/>
      <c r="M651" s="10">
        <v>35</v>
      </c>
      <c r="N651" s="30"/>
      <c r="O651" s="31"/>
      <c r="P651" s="47"/>
      <c r="Q651" s="31"/>
      <c r="R651" s="31"/>
      <c r="S651" s="32">
        <f t="shared" si="189"/>
        <v>0</v>
      </c>
      <c r="T651" s="10"/>
      <c r="U651" s="10"/>
      <c r="V651" s="10"/>
      <c r="W651" s="12">
        <f t="shared" si="190"/>
        <v>0</v>
      </c>
      <c r="Y651" s="10">
        <v>35</v>
      </c>
      <c r="Z651" s="30"/>
      <c r="AA651" s="31"/>
      <c r="AB651" s="47"/>
      <c r="AC651" s="31"/>
      <c r="AD651" s="31"/>
      <c r="AE651" s="32">
        <f t="shared" si="196"/>
        <v>0</v>
      </c>
      <c r="AF651" s="10"/>
      <c r="AG651" s="10"/>
      <c r="AH651" s="10"/>
      <c r="AI651" s="12">
        <f t="shared" si="197"/>
        <v>0</v>
      </c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62"/>
      <c r="B652" s="66"/>
      <c r="C652" s="84"/>
      <c r="D652" s="60"/>
      <c r="E652" s="60"/>
      <c r="F652" s="60"/>
      <c r="G652" s="60"/>
      <c r="H652" s="62"/>
      <c r="I652" s="62"/>
      <c r="J652" s="62"/>
      <c r="K652" s="61"/>
      <c r="M652" s="10">
        <v>36</v>
      </c>
      <c r="N652" s="30"/>
      <c r="O652" s="31"/>
      <c r="P652" s="47"/>
      <c r="Q652" s="31"/>
      <c r="R652" s="31"/>
      <c r="S652" s="32">
        <f t="shared" si="189"/>
        <v>0</v>
      </c>
      <c r="T652" s="10"/>
      <c r="U652" s="10"/>
      <c r="V652" s="10"/>
      <c r="W652" s="12">
        <f t="shared" si="190"/>
        <v>0</v>
      </c>
      <c r="Y652" s="10">
        <v>36</v>
      </c>
      <c r="Z652" s="30"/>
      <c r="AA652" s="31"/>
      <c r="AB652" s="47"/>
      <c r="AC652" s="31"/>
      <c r="AD652" s="31"/>
      <c r="AE652" s="32">
        <f t="shared" si="196"/>
        <v>0</v>
      </c>
      <c r="AF652" s="10"/>
      <c r="AG652" s="10"/>
      <c r="AH652" s="10"/>
      <c r="AI652" s="12">
        <f t="shared" si="197"/>
        <v>0</v>
      </c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62"/>
      <c r="B653" s="66"/>
      <c r="C653" s="91"/>
      <c r="D653" s="60"/>
      <c r="E653" s="60"/>
      <c r="F653" s="60"/>
      <c r="G653" s="60"/>
      <c r="H653" s="62"/>
      <c r="I653" s="62"/>
      <c r="J653" s="62"/>
      <c r="K653" s="61"/>
      <c r="M653" s="10">
        <v>37</v>
      </c>
      <c r="N653" s="30"/>
      <c r="P653" s="47"/>
      <c r="Q653" s="31"/>
      <c r="R653" s="31"/>
      <c r="S653" s="32">
        <f t="shared" si="189"/>
        <v>0</v>
      </c>
      <c r="T653" s="10"/>
      <c r="U653" s="10"/>
      <c r="V653" s="10"/>
      <c r="W653" s="12">
        <f t="shared" si="190"/>
        <v>0</v>
      </c>
      <c r="Y653" s="10">
        <v>37</v>
      </c>
      <c r="Z653" s="30"/>
      <c r="AA653" s="31"/>
      <c r="AB653" s="47"/>
      <c r="AC653" s="31"/>
      <c r="AD653" s="31"/>
      <c r="AE653" s="32">
        <f t="shared" si="196"/>
        <v>0</v>
      </c>
      <c r="AF653" s="10"/>
      <c r="AG653" s="10"/>
      <c r="AH653" s="10"/>
      <c r="AI653" s="12">
        <f t="shared" si="197"/>
        <v>0</v>
      </c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62"/>
      <c r="B654" s="66"/>
      <c r="C654" s="91"/>
      <c r="D654" s="60"/>
      <c r="E654" s="60"/>
      <c r="F654" s="60"/>
      <c r="G654" s="60"/>
      <c r="H654" s="62"/>
      <c r="I654" s="62"/>
      <c r="J654" s="62"/>
      <c r="K654" s="61"/>
      <c r="M654" s="10">
        <v>38</v>
      </c>
      <c r="N654" s="30"/>
      <c r="O654" s="31"/>
      <c r="P654" s="47"/>
      <c r="Q654" s="31"/>
      <c r="R654" s="31"/>
      <c r="S654" s="32">
        <f t="shared" si="189"/>
        <v>0</v>
      </c>
      <c r="T654" s="10"/>
      <c r="U654" s="10"/>
      <c r="V654" s="10"/>
      <c r="W654" s="12">
        <f t="shared" si="190"/>
        <v>0</v>
      </c>
      <c r="Y654" s="10">
        <v>38</v>
      </c>
      <c r="Z654" s="30"/>
      <c r="AA654" s="31"/>
      <c r="AB654" s="47"/>
      <c r="AC654" s="31"/>
      <c r="AD654" s="31"/>
      <c r="AE654" s="32">
        <f t="shared" si="196"/>
        <v>0</v>
      </c>
      <c r="AF654" s="10"/>
      <c r="AG654" s="10"/>
      <c r="AH654" s="10"/>
      <c r="AI654" s="12">
        <f t="shared" si="197"/>
        <v>0</v>
      </c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62"/>
      <c r="B655" s="66"/>
      <c r="C655" s="91"/>
      <c r="D655" s="60"/>
      <c r="E655" s="60"/>
      <c r="F655" s="60"/>
      <c r="G655" s="60"/>
      <c r="H655" s="62"/>
      <c r="I655" s="62"/>
      <c r="J655" s="62"/>
      <c r="K655" s="61"/>
      <c r="M655" s="10">
        <v>39</v>
      </c>
      <c r="N655" s="30"/>
      <c r="O655" s="31"/>
      <c r="P655" s="47"/>
      <c r="Q655" s="31"/>
      <c r="R655" s="31"/>
      <c r="S655" s="32">
        <f t="shared" si="189"/>
        <v>0</v>
      </c>
      <c r="T655" s="10"/>
      <c r="U655" s="10"/>
      <c r="V655" s="10"/>
      <c r="W655" s="12">
        <f t="shared" si="190"/>
        <v>0</v>
      </c>
      <c r="Y655" s="10">
        <v>39</v>
      </c>
      <c r="Z655" s="30"/>
      <c r="AA655" s="31"/>
      <c r="AB655" s="47"/>
      <c r="AC655" s="31"/>
      <c r="AD655" s="31"/>
      <c r="AE655" s="32">
        <f t="shared" si="196"/>
        <v>0</v>
      </c>
      <c r="AF655" s="10"/>
      <c r="AG655" s="10"/>
      <c r="AH655" s="10"/>
      <c r="AI655" s="12">
        <f t="shared" si="197"/>
        <v>0</v>
      </c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62"/>
      <c r="B656" s="66"/>
      <c r="C656" s="91"/>
      <c r="D656" s="60"/>
      <c r="E656" s="60"/>
      <c r="F656" s="60"/>
      <c r="G656" s="60"/>
      <c r="H656" s="62"/>
      <c r="I656" s="62"/>
      <c r="J656" s="62"/>
      <c r="K656" s="61"/>
      <c r="M656" s="10"/>
      <c r="N656" s="30"/>
      <c r="P656" s="47"/>
      <c r="Q656" s="31"/>
      <c r="R656" s="31"/>
      <c r="S656" s="32"/>
      <c r="T656" s="10"/>
      <c r="U656" s="10"/>
      <c r="V656" s="10"/>
      <c r="W656" s="12">
        <f t="shared" si="190"/>
        <v>0</v>
      </c>
      <c r="Y656" s="10"/>
      <c r="Z656" s="30"/>
      <c r="AB656" s="47"/>
      <c r="AC656" s="31"/>
      <c r="AD656" s="31"/>
      <c r="AE656" s="32"/>
      <c r="AF656" s="10"/>
      <c r="AG656" s="10"/>
      <c r="AH656" s="10"/>
      <c r="AI656" s="12">
        <f t="shared" si="197"/>
        <v>0</v>
      </c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62"/>
      <c r="B657" s="66"/>
      <c r="C657" s="91"/>
      <c r="D657" s="60"/>
      <c r="E657" s="60"/>
      <c r="F657" s="60"/>
      <c r="G657" s="60"/>
      <c r="H657" s="62"/>
      <c r="I657" s="62"/>
      <c r="J657" s="62"/>
      <c r="K657" s="61"/>
      <c r="M657" s="10"/>
      <c r="N657" s="30"/>
      <c r="O657" s="31"/>
      <c r="P657" s="47"/>
      <c r="Q657" s="31"/>
      <c r="R657" s="31"/>
      <c r="S657" s="32">
        <f t="shared" ref="S657" si="198">SUM(P657:Q657)</f>
        <v>0</v>
      </c>
      <c r="T657" s="10"/>
      <c r="U657" s="10"/>
      <c r="V657" s="10"/>
      <c r="W657" s="12">
        <f t="shared" si="190"/>
        <v>0</v>
      </c>
      <c r="Y657" s="10"/>
      <c r="Z657" s="30"/>
      <c r="AA657" s="31"/>
      <c r="AB657" s="47"/>
      <c r="AC657" s="31"/>
      <c r="AD657" s="31"/>
      <c r="AE657" s="32">
        <f t="shared" ref="AE657" si="199">SUM(AB657:AC657)</f>
        <v>0</v>
      </c>
      <c r="AF657" s="10"/>
      <c r="AG657" s="10"/>
      <c r="AH657" s="10"/>
      <c r="AI657" s="12">
        <f t="shared" si="197"/>
        <v>0</v>
      </c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62"/>
      <c r="B658" s="66"/>
      <c r="C658" s="66"/>
      <c r="D658" s="60"/>
      <c r="E658" s="60"/>
      <c r="F658" s="60"/>
      <c r="G658" s="60"/>
      <c r="H658" s="62"/>
      <c r="I658" s="62"/>
      <c r="J658" s="62"/>
      <c r="K658" s="61"/>
      <c r="M658" s="10"/>
      <c r="N658" s="31"/>
      <c r="O658" s="31"/>
      <c r="P658" s="31"/>
      <c r="Q658" s="31"/>
      <c r="R658" s="31"/>
      <c r="S658" s="31"/>
      <c r="T658" s="10"/>
      <c r="U658" s="10"/>
      <c r="V658" s="10"/>
      <c r="W658" s="12">
        <f t="shared" si="190"/>
        <v>0</v>
      </c>
      <c r="Y658" s="10"/>
      <c r="Z658" s="31"/>
      <c r="AA658" s="31"/>
      <c r="AB658" s="31"/>
      <c r="AC658" s="31"/>
      <c r="AD658" s="31"/>
      <c r="AE658" s="31"/>
      <c r="AF658" s="10"/>
      <c r="AG658" s="10"/>
      <c r="AH658" s="10"/>
      <c r="AI658" s="12">
        <f t="shared" si="197"/>
        <v>0</v>
      </c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A659" s="62"/>
      <c r="B659" s="91"/>
      <c r="C659" s="91"/>
      <c r="D659" s="91"/>
      <c r="E659" s="91"/>
      <c r="F659" s="91"/>
      <c r="G659" s="91"/>
      <c r="H659" s="62"/>
      <c r="I659" s="62"/>
      <c r="J659" s="62"/>
      <c r="K659" s="62"/>
      <c r="N659" s="57"/>
      <c r="O659" s="57"/>
      <c r="P659" s="36"/>
      <c r="Q659" s="36"/>
      <c r="R659" s="36"/>
      <c r="S659" s="36"/>
      <c r="T659" s="37"/>
      <c r="U659" s="37"/>
      <c r="V659" s="37"/>
      <c r="W659" s="37"/>
      <c r="Z659" s="57"/>
      <c r="AA659" s="57"/>
      <c r="AB659" s="36"/>
      <c r="AC659" s="36"/>
      <c r="AD659" s="36"/>
      <c r="AE659" s="36"/>
      <c r="AF659" s="37"/>
      <c r="AG659" s="37"/>
      <c r="AH659" s="37"/>
      <c r="AI659" s="37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A660" s="62"/>
      <c r="B660" s="91"/>
      <c r="C660" s="91"/>
      <c r="D660" s="70"/>
      <c r="E660" s="70"/>
      <c r="F660" s="70"/>
      <c r="G660" s="70"/>
      <c r="H660" s="63"/>
      <c r="I660" s="70"/>
      <c r="J660" s="70"/>
      <c r="K660" s="70"/>
      <c r="N660" s="57"/>
      <c r="O660" s="57"/>
      <c r="P660" s="38">
        <f>SUM(P617:P659)</f>
        <v>234217</v>
      </c>
      <c r="Q660" s="38">
        <f>SUM(Q617:Q641)</f>
        <v>-1200</v>
      </c>
      <c r="R660" s="38">
        <f>SUM(R617:R641)</f>
        <v>0</v>
      </c>
      <c r="S660" s="38">
        <f>SUM(S617:S659)</f>
        <v>233017</v>
      </c>
      <c r="T660" s="4"/>
      <c r="U660" s="41">
        <f>SUM(U617:U659)</f>
        <v>3594</v>
      </c>
      <c r="V660" s="41">
        <f>SUM(V617:V641)</f>
        <v>-819</v>
      </c>
      <c r="W660" s="42">
        <f>SUM(W617:W659)</f>
        <v>235792</v>
      </c>
      <c r="Z660" s="57"/>
      <c r="AA660" s="57"/>
      <c r="AB660" s="38">
        <f>SUM(AB617:AB659)</f>
        <v>388147</v>
      </c>
      <c r="AC660" s="38">
        <f>SUM(AC617:AC641)</f>
        <v>-2928</v>
      </c>
      <c r="AD660" s="38">
        <f>SUM(AD617:AD641)</f>
        <v>0</v>
      </c>
      <c r="AE660" s="38">
        <f>SUM(AE617:AE659)</f>
        <v>385219</v>
      </c>
      <c r="AF660" s="4"/>
      <c r="AG660" s="41">
        <f>SUM(AG617:AG659)</f>
        <v>15301.5</v>
      </c>
      <c r="AH660" s="41">
        <f>SUM(AH617:AH641)</f>
        <v>-13728</v>
      </c>
      <c r="AI660" s="42">
        <f>SUM(AI617:AI659)</f>
        <v>386792.5</v>
      </c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t="s">
        <v>0</v>
      </c>
      <c r="B662" s="57"/>
      <c r="C662" s="57"/>
      <c r="D662" s="57"/>
      <c r="E662" s="57"/>
      <c r="G662" s="57"/>
      <c r="M662" t="s">
        <v>0</v>
      </c>
      <c r="N662" s="57"/>
      <c r="O662" s="57"/>
      <c r="P662" s="57"/>
      <c r="Q662" s="57"/>
      <c r="R662" s="57"/>
      <c r="S662" s="57"/>
      <c r="Y662" t="s">
        <v>0</v>
      </c>
      <c r="Z662" s="57"/>
      <c r="AA662" s="57"/>
      <c r="AB662" s="57"/>
      <c r="AC662" s="57"/>
      <c r="AD662" s="57"/>
      <c r="AE662" s="57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t="s">
        <v>28</v>
      </c>
      <c r="B663" s="57"/>
      <c r="C663" s="57"/>
      <c r="D663" s="57"/>
      <c r="E663" s="57"/>
      <c r="G663" s="57"/>
      <c r="M663" t="s">
        <v>28</v>
      </c>
      <c r="N663" s="57"/>
      <c r="O663" s="57"/>
      <c r="P663" s="57"/>
      <c r="Q663" s="57"/>
      <c r="R663" s="57"/>
      <c r="S663" s="57"/>
      <c r="Y663" t="s">
        <v>28</v>
      </c>
      <c r="Z663" s="57"/>
      <c r="AA663" s="57"/>
      <c r="AB663" s="57"/>
      <c r="AC663" s="57"/>
      <c r="AD663" s="57"/>
      <c r="AE663" s="57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B664" s="57"/>
      <c r="C664" s="57"/>
      <c r="D664" s="57"/>
      <c r="E664" s="57"/>
      <c r="G664" s="57"/>
      <c r="N664" s="57"/>
      <c r="O664" s="57"/>
      <c r="P664" s="57"/>
      <c r="Q664" s="57"/>
      <c r="R664" s="57"/>
      <c r="S664" s="57"/>
      <c r="Z664" s="57"/>
      <c r="AA664" s="57"/>
      <c r="AB664" s="57"/>
      <c r="AC664" s="57"/>
      <c r="AD664" s="57"/>
      <c r="AE664" s="57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4" t="s">
        <v>14</v>
      </c>
      <c r="B665" s="57"/>
      <c r="C665" s="57"/>
      <c r="D665" s="57"/>
      <c r="E665" s="57"/>
      <c r="G665" s="57"/>
      <c r="M665" s="4" t="s">
        <v>14</v>
      </c>
      <c r="N665" s="57"/>
      <c r="O665" s="57"/>
      <c r="P665" s="57"/>
      <c r="Q665" s="57"/>
      <c r="R665" s="57"/>
      <c r="S665" s="57"/>
      <c r="Y665" s="4" t="s">
        <v>14</v>
      </c>
      <c r="Z665" s="57"/>
      <c r="AA665" s="57"/>
      <c r="AB665" s="57"/>
      <c r="AC665" s="57"/>
      <c r="AD665" s="57"/>
      <c r="AE665" s="57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B666" s="57"/>
      <c r="C666" s="57"/>
      <c r="D666" s="57"/>
      <c r="E666" s="57"/>
      <c r="G666" s="57"/>
      <c r="N666" s="57"/>
      <c r="O666" s="57"/>
      <c r="P666" s="57"/>
      <c r="Q666" s="57"/>
      <c r="R666" s="57"/>
      <c r="S666" s="57"/>
      <c r="Z666" s="57"/>
      <c r="AA666" s="57"/>
      <c r="AB666" s="57"/>
      <c r="AC666" s="57"/>
      <c r="AD666" s="57"/>
      <c r="AE666" s="57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t="s">
        <v>45</v>
      </c>
      <c r="B667" s="57"/>
      <c r="C667" s="57"/>
      <c r="D667" s="57"/>
      <c r="E667" s="57"/>
      <c r="G667" s="57"/>
      <c r="I667" s="57" t="s">
        <v>15</v>
      </c>
      <c r="J667" s="19">
        <v>1</v>
      </c>
      <c r="M667" t="s">
        <v>45</v>
      </c>
      <c r="N667" s="57"/>
      <c r="O667" s="57"/>
      <c r="P667" s="57"/>
      <c r="Q667" s="57"/>
      <c r="R667" s="57"/>
      <c r="S667" s="57"/>
      <c r="U667" s="57" t="s">
        <v>15</v>
      </c>
      <c r="V667" s="19">
        <v>2</v>
      </c>
      <c r="Y667" t="s">
        <v>45</v>
      </c>
      <c r="Z667" s="57"/>
      <c r="AA667" s="57"/>
      <c r="AB667" s="57"/>
      <c r="AC667" s="57"/>
      <c r="AD667" s="57"/>
      <c r="AE667" s="57"/>
      <c r="AG667" s="57" t="s">
        <v>15</v>
      </c>
      <c r="AH667" s="20">
        <v>3</v>
      </c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21" t="s">
        <v>74</v>
      </c>
      <c r="B668" s="20"/>
      <c r="C668" s="57"/>
      <c r="D668" s="57"/>
      <c r="E668" s="57"/>
      <c r="G668" s="57"/>
      <c r="I668" s="22" t="s">
        <v>16</v>
      </c>
      <c r="J668" s="23" t="s">
        <v>31</v>
      </c>
      <c r="K668" s="24"/>
      <c r="M668" s="21" t="s">
        <v>74</v>
      </c>
      <c r="N668" s="20"/>
      <c r="O668" s="57"/>
      <c r="P668" s="57"/>
      <c r="Q668" s="57"/>
      <c r="R668" s="57"/>
      <c r="S668" s="57"/>
      <c r="U668" s="22" t="s">
        <v>16</v>
      </c>
      <c r="V668" s="23" t="s">
        <v>33</v>
      </c>
      <c r="W668" s="24"/>
      <c r="Y668" s="21" t="s">
        <v>74</v>
      </c>
      <c r="Z668" s="20"/>
      <c r="AA668" s="57"/>
      <c r="AB668" s="57"/>
      <c r="AC668" s="57"/>
      <c r="AD668" s="57"/>
      <c r="AE668" s="57"/>
      <c r="AG668" s="22" t="s">
        <v>16</v>
      </c>
      <c r="AH668" s="23" t="s">
        <v>34</v>
      </c>
      <c r="AI668" s="24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B669" s="57"/>
      <c r="C669" s="57"/>
      <c r="D669" s="57"/>
      <c r="E669" s="57"/>
      <c r="G669" s="57"/>
      <c r="N669" s="57"/>
      <c r="O669" s="57"/>
      <c r="P669" s="57"/>
      <c r="Q669" s="57"/>
      <c r="R669" s="57"/>
      <c r="S669" s="57"/>
      <c r="Z669" s="57"/>
      <c r="AA669" s="57"/>
      <c r="AB669" s="57"/>
      <c r="AC669" s="57"/>
      <c r="AD669" s="57"/>
      <c r="AE669" s="57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B670" s="25"/>
      <c r="C670" s="26"/>
      <c r="D670" s="120" t="s">
        <v>17</v>
      </c>
      <c r="E670" s="120"/>
      <c r="F670" s="103"/>
      <c r="G670" s="27"/>
      <c r="I670" s="118" t="s">
        <v>18</v>
      </c>
      <c r="J670" s="119"/>
      <c r="K670" s="116" t="s">
        <v>19</v>
      </c>
      <c r="N670" s="25"/>
      <c r="O670" s="26"/>
      <c r="P670" s="120" t="s">
        <v>17</v>
      </c>
      <c r="Q670" s="120"/>
      <c r="R670" s="103"/>
      <c r="S670" s="27"/>
      <c r="U670" s="118" t="s">
        <v>18</v>
      </c>
      <c r="V670" s="119"/>
      <c r="W670" s="116" t="s">
        <v>19</v>
      </c>
      <c r="Z670" s="25"/>
      <c r="AA670" s="26"/>
      <c r="AB670" s="120" t="s">
        <v>17</v>
      </c>
      <c r="AC670" s="120"/>
      <c r="AD670" s="103"/>
      <c r="AE670" s="27"/>
      <c r="AG670" s="118" t="s">
        <v>18</v>
      </c>
      <c r="AH670" s="119"/>
      <c r="AI670" s="116" t="s">
        <v>19</v>
      </c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ht="30" x14ac:dyDescent="0.25">
      <c r="B671" s="28" t="s">
        <v>20</v>
      </c>
      <c r="C671" s="28" t="s">
        <v>21</v>
      </c>
      <c r="D671" s="77" t="s">
        <v>22</v>
      </c>
      <c r="E671" s="76" t="s">
        <v>23</v>
      </c>
      <c r="F671" s="78" t="s">
        <v>32</v>
      </c>
      <c r="G671" s="78" t="s">
        <v>24</v>
      </c>
      <c r="I671" s="29" t="s">
        <v>25</v>
      </c>
      <c r="J671" s="29" t="s">
        <v>26</v>
      </c>
      <c r="K671" s="117"/>
      <c r="N671" s="28" t="s">
        <v>20</v>
      </c>
      <c r="O671" s="28" t="s">
        <v>21</v>
      </c>
      <c r="P671" s="77" t="s">
        <v>22</v>
      </c>
      <c r="Q671" s="78" t="s">
        <v>23</v>
      </c>
      <c r="R671" s="78" t="s">
        <v>32</v>
      </c>
      <c r="S671" s="78" t="s">
        <v>24</v>
      </c>
      <c r="U671" s="29" t="s">
        <v>25</v>
      </c>
      <c r="V671" s="29" t="s">
        <v>26</v>
      </c>
      <c r="W671" s="117"/>
      <c r="Z671" s="28" t="s">
        <v>20</v>
      </c>
      <c r="AA671" s="28" t="s">
        <v>21</v>
      </c>
      <c r="AB671" s="77" t="s">
        <v>22</v>
      </c>
      <c r="AC671" s="78" t="s">
        <v>23</v>
      </c>
      <c r="AD671" s="78" t="s">
        <v>32</v>
      </c>
      <c r="AE671" s="78" t="s">
        <v>24</v>
      </c>
      <c r="AG671" s="29" t="s">
        <v>25</v>
      </c>
      <c r="AH671" s="29" t="s">
        <v>26</v>
      </c>
      <c r="AI671" s="117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10">
        <v>1</v>
      </c>
      <c r="B672" s="30" t="s">
        <v>75</v>
      </c>
      <c r="C672" s="83">
        <v>10211</v>
      </c>
      <c r="D672" s="32">
        <f>650*60+670*2+622*5</f>
        <v>43450</v>
      </c>
      <c r="E672" s="32"/>
      <c r="F672" s="32"/>
      <c r="G672" s="32">
        <f t="shared" ref="G672:G705" si="200">SUM(D672:E672)</f>
        <v>43450</v>
      </c>
      <c r="H672" s="12"/>
      <c r="I672" s="12">
        <v>171</v>
      </c>
      <c r="J672" s="12"/>
      <c r="K672" s="12">
        <f t="shared" ref="K672:K705" si="201">SUM(G672:J672)</f>
        <v>43621</v>
      </c>
      <c r="M672" s="10">
        <v>1</v>
      </c>
      <c r="N672" s="30" t="s">
        <v>75</v>
      </c>
      <c r="O672" s="31">
        <v>10177</v>
      </c>
      <c r="P672" s="32">
        <f>650*20+622+872</f>
        <v>14494</v>
      </c>
      <c r="Q672" s="32"/>
      <c r="R672" s="32"/>
      <c r="S672" s="32">
        <f>SUM(P672:Q672)</f>
        <v>14494</v>
      </c>
      <c r="T672" s="12"/>
      <c r="U672" s="12"/>
      <c r="V672" s="12"/>
      <c r="W672" s="12">
        <f>SUM(S672:V672)</f>
        <v>14494</v>
      </c>
      <c r="Y672" s="10">
        <v>1</v>
      </c>
      <c r="Z672" s="30" t="s">
        <v>75</v>
      </c>
      <c r="AA672" s="31">
        <v>10116</v>
      </c>
      <c r="AB672" s="32">
        <f>650*90+670*5+622*13</f>
        <v>69936</v>
      </c>
      <c r="AC672" s="32"/>
      <c r="AD672" s="32"/>
      <c r="AE672" s="32">
        <f>SUM(AB672:AC672)</f>
        <v>69936</v>
      </c>
      <c r="AF672" s="12"/>
      <c r="AG672" s="12">
        <f>2331+4.5*20</f>
        <v>2421</v>
      </c>
      <c r="AH672" s="12"/>
      <c r="AI672" s="12">
        <f>SUM(AE672:AH672)</f>
        <v>72357</v>
      </c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10">
        <v>2</v>
      </c>
      <c r="B673" s="30" t="s">
        <v>75</v>
      </c>
      <c r="C673" s="83">
        <f>C672+1</f>
        <v>10212</v>
      </c>
      <c r="D673" s="32">
        <f>650*7+670+229+650*2</f>
        <v>6749</v>
      </c>
      <c r="E673" s="32"/>
      <c r="F673" s="32"/>
      <c r="G673" s="32">
        <f t="shared" si="200"/>
        <v>6749</v>
      </c>
      <c r="H673" s="12"/>
      <c r="I673" s="12"/>
      <c r="J673" s="12"/>
      <c r="K673" s="12">
        <f t="shared" si="201"/>
        <v>6749</v>
      </c>
      <c r="M673" s="10">
        <v>2</v>
      </c>
      <c r="N673" s="30" t="s">
        <v>75</v>
      </c>
      <c r="O673" s="31">
        <f>O672+1</f>
        <v>10178</v>
      </c>
      <c r="P673" s="32">
        <f>650*130+622*20+229*2</f>
        <v>97398</v>
      </c>
      <c r="Q673" s="32">
        <f>-150*6</f>
        <v>-900</v>
      </c>
      <c r="R673" s="32"/>
      <c r="S673" s="32">
        <f t="shared" ref="S673:S710" si="202">SUM(P673:Q673)</f>
        <v>96498</v>
      </c>
      <c r="T673" s="12"/>
      <c r="U673" s="12">
        <f>111*15+72</f>
        <v>1737</v>
      </c>
      <c r="V673" s="12"/>
      <c r="W673" s="12">
        <f t="shared" ref="W673:W713" si="203">SUM(S673:V673)</f>
        <v>98235</v>
      </c>
      <c r="Y673" s="10">
        <v>2</v>
      </c>
      <c r="Z673" s="30" t="s">
        <v>75</v>
      </c>
      <c r="AA673" s="31">
        <f>AA672+1</f>
        <v>10117</v>
      </c>
      <c r="AB673" s="32">
        <f>650*8</f>
        <v>5200</v>
      </c>
      <c r="AC673" s="32"/>
      <c r="AD673" s="32"/>
      <c r="AE673" s="32">
        <f t="shared" ref="AE673:AE675" si="204">SUM(AB673:AC673)</f>
        <v>5200</v>
      </c>
      <c r="AF673" s="12"/>
      <c r="AG673" s="12"/>
      <c r="AH673" s="12"/>
      <c r="AI673" s="12">
        <f t="shared" ref="AI673:AI704" si="205">SUM(AE673:AH673)</f>
        <v>5200</v>
      </c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10">
        <v>3</v>
      </c>
      <c r="B674" s="30" t="s">
        <v>75</v>
      </c>
      <c r="C674" s="83">
        <f t="shared" ref="C674:C681" si="206">C673+1</f>
        <v>10213</v>
      </c>
      <c r="D674" s="33">
        <f>650*23+622*5</f>
        <v>18060</v>
      </c>
      <c r="E674" s="32"/>
      <c r="F674" s="33"/>
      <c r="G674" s="33">
        <f t="shared" si="200"/>
        <v>18060</v>
      </c>
      <c r="H674" s="34"/>
      <c r="I674" s="34">
        <v>270</v>
      </c>
      <c r="J674" s="34"/>
      <c r="K674" s="34">
        <f t="shared" si="201"/>
        <v>18330</v>
      </c>
      <c r="M674" s="10">
        <v>3</v>
      </c>
      <c r="N674" s="30" t="s">
        <v>75</v>
      </c>
      <c r="O674" s="31">
        <f t="shared" ref="O674:O675" si="207">O673+1</f>
        <v>10179</v>
      </c>
      <c r="P674" s="32">
        <f>650*216+670*5+622*108+1102*2+229*14+650*2</f>
        <v>217636</v>
      </c>
      <c r="Q674" s="32">
        <f>-329*6</f>
        <v>-1974</v>
      </c>
      <c r="R674" s="32"/>
      <c r="S674" s="32">
        <f t="shared" si="202"/>
        <v>215662</v>
      </c>
      <c r="T674" s="12"/>
      <c r="U674" s="12">
        <v>702</v>
      </c>
      <c r="V674" s="12">
        <v>-672</v>
      </c>
      <c r="W674" s="12">
        <f t="shared" si="203"/>
        <v>215692</v>
      </c>
      <c r="Y674" s="10">
        <v>3</v>
      </c>
      <c r="Z674" s="30" t="s">
        <v>75</v>
      </c>
      <c r="AA674" s="31">
        <f t="shared" ref="AA674:AA679" si="208">AA673+1</f>
        <v>10118</v>
      </c>
      <c r="AB674" s="33">
        <f>650*45+622*5+229*2</f>
        <v>32818</v>
      </c>
      <c r="AC674" s="33"/>
      <c r="AD674" s="32"/>
      <c r="AE674" s="32">
        <f t="shared" si="204"/>
        <v>32818</v>
      </c>
      <c r="AF674" s="12"/>
      <c r="AG674" s="12">
        <f>333+72</f>
        <v>405</v>
      </c>
      <c r="AH674" s="12"/>
      <c r="AI674" s="12">
        <f t="shared" si="205"/>
        <v>33223</v>
      </c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10">
        <v>4</v>
      </c>
      <c r="B675" s="30" t="s">
        <v>75</v>
      </c>
      <c r="C675" s="83">
        <f t="shared" si="206"/>
        <v>10214</v>
      </c>
      <c r="D675" s="32">
        <f>650*2</f>
        <v>1300</v>
      </c>
      <c r="E675" s="32"/>
      <c r="F675" s="32"/>
      <c r="G675" s="32">
        <f t="shared" si="200"/>
        <v>1300</v>
      </c>
      <c r="H675" s="12"/>
      <c r="I675" s="12"/>
      <c r="J675" s="12"/>
      <c r="K675" s="12">
        <f t="shared" si="201"/>
        <v>1300</v>
      </c>
      <c r="M675" s="10">
        <v>4</v>
      </c>
      <c r="N675" s="30" t="s">
        <v>75</v>
      </c>
      <c r="O675" s="31">
        <f t="shared" si="207"/>
        <v>10180</v>
      </c>
      <c r="P675" s="32">
        <f>650*2</f>
        <v>1300</v>
      </c>
      <c r="Q675" s="32"/>
      <c r="R675" s="32"/>
      <c r="S675" s="32">
        <f t="shared" si="202"/>
        <v>1300</v>
      </c>
      <c r="T675" s="12"/>
      <c r="U675" s="12"/>
      <c r="V675" s="12"/>
      <c r="W675" s="12">
        <f t="shared" si="203"/>
        <v>1300</v>
      </c>
      <c r="Y675" s="10">
        <v>4</v>
      </c>
      <c r="Z675" s="30" t="s">
        <v>75</v>
      </c>
      <c r="AA675" s="31">
        <f t="shared" si="208"/>
        <v>10119</v>
      </c>
      <c r="AB675" s="32">
        <f>650*80+670*10+622*10+1050*2+229*3</f>
        <v>67707</v>
      </c>
      <c r="AC675" s="32">
        <f>-102*6</f>
        <v>-612</v>
      </c>
      <c r="AD675" s="32"/>
      <c r="AE675" s="32">
        <f t="shared" si="204"/>
        <v>67095</v>
      </c>
      <c r="AF675" s="12"/>
      <c r="AG675">
        <v>4551</v>
      </c>
      <c r="AH675" s="12"/>
      <c r="AI675" s="12">
        <f t="shared" si="205"/>
        <v>71646</v>
      </c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10">
        <v>5</v>
      </c>
      <c r="B676" s="30" t="s">
        <v>75</v>
      </c>
      <c r="C676" s="83">
        <f t="shared" si="206"/>
        <v>10215</v>
      </c>
      <c r="D676" s="32">
        <f>650*17+670*3+622*2+9.5*19</f>
        <v>14484.5</v>
      </c>
      <c r="E676" s="32"/>
      <c r="F676" s="32"/>
      <c r="G676" s="32">
        <f t="shared" si="200"/>
        <v>14484.5</v>
      </c>
      <c r="H676" s="12"/>
      <c r="I676" s="12">
        <v>27</v>
      </c>
      <c r="J676" s="12"/>
      <c r="K676" s="12">
        <f t="shared" si="201"/>
        <v>14511.5</v>
      </c>
      <c r="M676" s="10">
        <v>5</v>
      </c>
      <c r="N676" s="30"/>
      <c r="O676" s="11" t="s">
        <v>27</v>
      </c>
      <c r="P676" s="32"/>
      <c r="Q676" s="32"/>
      <c r="R676" s="32"/>
      <c r="S676" s="32">
        <f t="shared" si="202"/>
        <v>0</v>
      </c>
      <c r="T676" s="12"/>
      <c r="U676" s="12"/>
      <c r="V676" s="12"/>
      <c r="W676" s="12">
        <f t="shared" si="203"/>
        <v>0</v>
      </c>
      <c r="Y676" s="10">
        <v>5</v>
      </c>
      <c r="Z676" s="30" t="s">
        <v>75</v>
      </c>
      <c r="AA676" s="31">
        <f t="shared" si="208"/>
        <v>10120</v>
      </c>
      <c r="AB676" s="32">
        <f>650*50+622*50+229*2+650*2</f>
        <v>65358</v>
      </c>
      <c r="AC676" s="32">
        <f>-100*6</f>
        <v>-600</v>
      </c>
      <c r="AD676" s="32"/>
      <c r="AE676" s="32">
        <f t="shared" ref="AE676:AE677" si="209">SUM(AB676:AC676)</f>
        <v>64758</v>
      </c>
      <c r="AF676" s="12"/>
      <c r="AG676" s="12"/>
      <c r="AH676" s="12"/>
      <c r="AI676" s="12">
        <f t="shared" si="205"/>
        <v>64758</v>
      </c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10">
        <v>6</v>
      </c>
      <c r="B677" s="30" t="s">
        <v>75</v>
      </c>
      <c r="C677" s="83">
        <f t="shared" si="206"/>
        <v>10216</v>
      </c>
      <c r="D677" s="32">
        <f>650*15+670*2+1050</f>
        <v>12140</v>
      </c>
      <c r="E677" s="32"/>
      <c r="F677" s="32"/>
      <c r="G677" s="32">
        <f t="shared" si="200"/>
        <v>12140</v>
      </c>
      <c r="H677" s="12"/>
      <c r="I677" s="12"/>
      <c r="J677" s="12"/>
      <c r="K677" s="12">
        <f t="shared" si="201"/>
        <v>12140</v>
      </c>
      <c r="M677" s="10">
        <v>6</v>
      </c>
      <c r="N677" s="30"/>
      <c r="O677" s="31"/>
      <c r="P677" s="32"/>
      <c r="Q677" s="32"/>
      <c r="R677" s="32"/>
      <c r="S677" s="32">
        <f t="shared" si="202"/>
        <v>0</v>
      </c>
      <c r="T677" s="12"/>
      <c r="U677" s="12"/>
      <c r="V677" s="10"/>
      <c r="W677" s="12">
        <f t="shared" si="203"/>
        <v>0</v>
      </c>
      <c r="Y677" s="10">
        <v>6</v>
      </c>
      <c r="Z677" s="30" t="s">
        <v>75</v>
      </c>
      <c r="AA677" s="31">
        <f t="shared" si="208"/>
        <v>10121</v>
      </c>
      <c r="AB677" s="32">
        <f>650*6</f>
        <v>3900</v>
      </c>
      <c r="AC677" s="32"/>
      <c r="AD677" s="32"/>
      <c r="AE677" s="32">
        <f t="shared" si="209"/>
        <v>3900</v>
      </c>
      <c r="AF677" s="12"/>
      <c r="AG677" s="12">
        <f>111*1</f>
        <v>111</v>
      </c>
      <c r="AH677" s="10"/>
      <c r="AI677" s="12">
        <f t="shared" si="205"/>
        <v>4011</v>
      </c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10">
        <v>7</v>
      </c>
      <c r="B678" s="30" t="s">
        <v>75</v>
      </c>
      <c r="C678" s="83">
        <f t="shared" si="206"/>
        <v>10217</v>
      </c>
      <c r="D678" s="32">
        <f>650*21</f>
        <v>13650</v>
      </c>
      <c r="E678" s="32"/>
      <c r="F678" s="32"/>
      <c r="G678" s="32">
        <f t="shared" si="200"/>
        <v>13650</v>
      </c>
      <c r="H678" s="12"/>
      <c r="I678" s="12"/>
      <c r="J678" s="12">
        <f>-480+-8325</f>
        <v>-8805</v>
      </c>
      <c r="K678" s="12">
        <f t="shared" si="201"/>
        <v>4845</v>
      </c>
      <c r="M678" s="10">
        <v>7</v>
      </c>
      <c r="N678" s="30"/>
      <c r="O678" s="31"/>
      <c r="P678" s="32"/>
      <c r="Q678" s="32"/>
      <c r="R678" s="32"/>
      <c r="S678" s="32">
        <f t="shared" si="202"/>
        <v>0</v>
      </c>
      <c r="T678" s="12"/>
      <c r="U678" s="12"/>
      <c r="V678" s="12"/>
      <c r="W678" s="12">
        <f t="shared" si="203"/>
        <v>0</v>
      </c>
      <c r="Y678" s="10">
        <v>7</v>
      </c>
      <c r="Z678" s="30" t="s">
        <v>75</v>
      </c>
      <c r="AA678" s="31">
        <f t="shared" si="208"/>
        <v>10122</v>
      </c>
      <c r="AB678" s="32">
        <f>650*108+622*16+229*10</f>
        <v>82442</v>
      </c>
      <c r="AC678" s="32">
        <f>-124*6</f>
        <v>-744</v>
      </c>
      <c r="AD678" s="32"/>
      <c r="AE678" s="32">
        <f>SUM(AB678:AC678)</f>
        <v>81698</v>
      </c>
      <c r="AF678" s="12"/>
      <c r="AG678" s="58"/>
      <c r="AH678" s="12">
        <f>-111*112</f>
        <v>-12432</v>
      </c>
      <c r="AI678" s="12">
        <f t="shared" si="205"/>
        <v>69266</v>
      </c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10">
        <v>8</v>
      </c>
      <c r="B679" s="30" t="s">
        <v>75</v>
      </c>
      <c r="C679" s="83">
        <f t="shared" si="206"/>
        <v>10218</v>
      </c>
      <c r="D679" s="32">
        <f>650*5+622*3</f>
        <v>5116</v>
      </c>
      <c r="E679" s="32">
        <f>-8*6</f>
        <v>-48</v>
      </c>
      <c r="F679" s="32"/>
      <c r="G679" s="32">
        <f t="shared" si="200"/>
        <v>5068</v>
      </c>
      <c r="H679" s="12"/>
      <c r="I679" s="12"/>
      <c r="J679" s="12"/>
      <c r="K679" s="12">
        <f t="shared" si="201"/>
        <v>5068</v>
      </c>
      <c r="M679" s="10">
        <v>8</v>
      </c>
      <c r="N679" s="30"/>
      <c r="O679" s="31"/>
      <c r="P679" s="32"/>
      <c r="Q679" s="32"/>
      <c r="R679" s="32"/>
      <c r="S679" s="32">
        <f t="shared" si="202"/>
        <v>0</v>
      </c>
      <c r="T679" s="12"/>
      <c r="U679" s="12"/>
      <c r="V679" s="12"/>
      <c r="W679" s="12">
        <f t="shared" si="203"/>
        <v>0</v>
      </c>
      <c r="Y679" s="10">
        <v>8</v>
      </c>
      <c r="Z679" s="30" t="s">
        <v>75</v>
      </c>
      <c r="AA679" s="31">
        <f t="shared" si="208"/>
        <v>10123</v>
      </c>
      <c r="AB679" s="32">
        <f>650*15</f>
        <v>9750</v>
      </c>
      <c r="AC679" s="32"/>
      <c r="AE679" s="32">
        <f t="shared" ref="AE679:AE710" si="210">SUM(AB679:AC679)</f>
        <v>9750</v>
      </c>
      <c r="AF679" s="12"/>
      <c r="AG679" s="12"/>
      <c r="AH679" s="12"/>
      <c r="AI679" s="12">
        <f t="shared" si="205"/>
        <v>9750</v>
      </c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10">
        <v>9</v>
      </c>
      <c r="B680" s="30" t="s">
        <v>75</v>
      </c>
      <c r="C680" s="83">
        <f t="shared" si="206"/>
        <v>10219</v>
      </c>
      <c r="D680" s="32">
        <f>650*432+622*108+872*4</f>
        <v>351464</v>
      </c>
      <c r="E680" s="32">
        <f>-544*6</f>
        <v>-3264</v>
      </c>
      <c r="F680" s="32"/>
      <c r="G680" s="32">
        <f t="shared" si="200"/>
        <v>348200</v>
      </c>
      <c r="H680" s="12"/>
      <c r="I680" s="12"/>
      <c r="J680" s="12">
        <v>-11988</v>
      </c>
      <c r="K680" s="12">
        <f t="shared" si="201"/>
        <v>336212</v>
      </c>
      <c r="M680" s="10">
        <v>9</v>
      </c>
      <c r="N680" s="30"/>
      <c r="O680" s="31"/>
      <c r="P680" s="32"/>
      <c r="Q680" s="32"/>
      <c r="R680" s="32"/>
      <c r="S680" s="32">
        <f t="shared" si="202"/>
        <v>0</v>
      </c>
      <c r="T680" s="12"/>
      <c r="U680" s="12"/>
      <c r="V680" s="12"/>
      <c r="W680" s="12">
        <f t="shared" si="203"/>
        <v>0</v>
      </c>
      <c r="Y680" s="10">
        <v>9</v>
      </c>
      <c r="Z680" s="30"/>
      <c r="AA680" s="11" t="s">
        <v>27</v>
      </c>
      <c r="AB680" s="32"/>
      <c r="AC680" s="32"/>
      <c r="AD680" s="32"/>
      <c r="AE680" s="32">
        <f t="shared" si="210"/>
        <v>0</v>
      </c>
      <c r="AF680" s="12"/>
      <c r="AH680" s="12"/>
      <c r="AI680" s="12">
        <f t="shared" si="205"/>
        <v>0</v>
      </c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10">
        <v>10</v>
      </c>
      <c r="B681" s="30" t="s">
        <v>75</v>
      </c>
      <c r="C681" s="83">
        <f t="shared" si="206"/>
        <v>10220</v>
      </c>
      <c r="D681" s="32">
        <f>229*5</f>
        <v>1145</v>
      </c>
      <c r="E681" s="32"/>
      <c r="F681" s="32"/>
      <c r="G681" s="32">
        <f t="shared" si="200"/>
        <v>1145</v>
      </c>
      <c r="H681" s="12"/>
      <c r="I681" s="12"/>
      <c r="J681" s="12"/>
      <c r="K681" s="12">
        <f t="shared" si="201"/>
        <v>1145</v>
      </c>
      <c r="M681" s="10">
        <v>10</v>
      </c>
      <c r="N681" s="30"/>
      <c r="O681" s="31"/>
      <c r="P681" s="32"/>
      <c r="Q681" s="32"/>
      <c r="R681" s="32"/>
      <c r="S681" s="32">
        <f t="shared" si="202"/>
        <v>0</v>
      </c>
      <c r="T681" s="12"/>
      <c r="U681" s="12"/>
      <c r="V681" s="12"/>
      <c r="W681" s="12">
        <f t="shared" si="203"/>
        <v>0</v>
      </c>
      <c r="Y681" s="10">
        <v>10</v>
      </c>
      <c r="Z681" s="30"/>
      <c r="AB681" s="32"/>
      <c r="AC681" s="32"/>
      <c r="AD681" s="32"/>
      <c r="AE681" s="32">
        <f t="shared" si="210"/>
        <v>0</v>
      </c>
      <c r="AF681" s="12"/>
      <c r="AG681" s="12"/>
      <c r="AH681" s="12"/>
      <c r="AI681" s="12">
        <f t="shared" si="205"/>
        <v>0</v>
      </c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10">
        <v>11</v>
      </c>
      <c r="B682" s="30"/>
      <c r="C682" s="11" t="s">
        <v>27</v>
      </c>
      <c r="D682" s="32"/>
      <c r="E682" s="32"/>
      <c r="F682" s="32"/>
      <c r="G682" s="32">
        <f t="shared" si="200"/>
        <v>0</v>
      </c>
      <c r="H682" s="12"/>
      <c r="I682" s="12"/>
      <c r="J682" s="12"/>
      <c r="K682" s="12">
        <f t="shared" si="201"/>
        <v>0</v>
      </c>
      <c r="M682" s="10">
        <v>11</v>
      </c>
      <c r="N682" s="30"/>
      <c r="O682" s="31"/>
      <c r="P682" s="32"/>
      <c r="Q682" s="32"/>
      <c r="R682" s="32"/>
      <c r="S682" s="32">
        <f t="shared" si="202"/>
        <v>0</v>
      </c>
      <c r="T682" s="12"/>
      <c r="U682" s="12"/>
      <c r="V682" s="12"/>
      <c r="W682" s="12">
        <f t="shared" si="203"/>
        <v>0</v>
      </c>
      <c r="Y682" s="10">
        <v>11</v>
      </c>
      <c r="Z682" s="30"/>
      <c r="AA682" s="31"/>
      <c r="AB682" s="32"/>
      <c r="AC682" s="32"/>
      <c r="AD682" s="32"/>
      <c r="AE682" s="32">
        <f t="shared" si="210"/>
        <v>0</v>
      </c>
      <c r="AF682" s="12"/>
      <c r="AG682" s="12"/>
      <c r="AH682" s="12"/>
      <c r="AI682" s="12">
        <f t="shared" si="205"/>
        <v>0</v>
      </c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10">
        <v>12</v>
      </c>
      <c r="B683" s="30"/>
      <c r="C683" s="83"/>
      <c r="D683" s="32"/>
      <c r="E683" s="32"/>
      <c r="F683" s="32"/>
      <c r="G683" s="32">
        <f t="shared" si="200"/>
        <v>0</v>
      </c>
      <c r="H683" s="12"/>
      <c r="I683" s="12"/>
      <c r="J683" s="10"/>
      <c r="K683" s="12">
        <f t="shared" si="201"/>
        <v>0</v>
      </c>
      <c r="M683" s="10">
        <v>12</v>
      </c>
      <c r="N683" s="30"/>
      <c r="O683" s="31"/>
      <c r="P683" s="32"/>
      <c r="Q683" s="32"/>
      <c r="R683" s="32"/>
      <c r="S683" s="32">
        <f t="shared" si="202"/>
        <v>0</v>
      </c>
      <c r="T683" s="12"/>
      <c r="U683" s="12"/>
      <c r="V683" s="12"/>
      <c r="W683" s="12">
        <f t="shared" si="203"/>
        <v>0</v>
      </c>
      <c r="Y683" s="10">
        <v>12</v>
      </c>
      <c r="Z683" s="30"/>
      <c r="AA683" s="31"/>
      <c r="AB683" s="32"/>
      <c r="AC683" s="32"/>
      <c r="AD683" s="32"/>
      <c r="AE683" s="32">
        <f t="shared" si="210"/>
        <v>0</v>
      </c>
      <c r="AF683" s="12"/>
      <c r="AG683" s="12"/>
      <c r="AH683" s="12"/>
      <c r="AI683" s="12">
        <f t="shared" si="205"/>
        <v>0</v>
      </c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10">
        <v>13</v>
      </c>
      <c r="B684" s="30"/>
      <c r="C684" s="83"/>
      <c r="D684" s="32"/>
      <c r="E684" s="32"/>
      <c r="F684" s="32"/>
      <c r="G684" s="32">
        <f t="shared" si="200"/>
        <v>0</v>
      </c>
      <c r="H684" s="12"/>
      <c r="I684" s="12"/>
      <c r="J684" s="12"/>
      <c r="K684" s="12">
        <f t="shared" si="201"/>
        <v>0</v>
      </c>
      <c r="M684" s="10">
        <v>13</v>
      </c>
      <c r="N684" s="30"/>
      <c r="O684" s="31"/>
      <c r="P684" s="32"/>
      <c r="Q684" s="32"/>
      <c r="R684" s="32"/>
      <c r="S684" s="32">
        <f t="shared" si="202"/>
        <v>0</v>
      </c>
      <c r="T684" s="12"/>
      <c r="U684" s="12"/>
      <c r="V684" s="12"/>
      <c r="W684" s="12">
        <f t="shared" si="203"/>
        <v>0</v>
      </c>
      <c r="Y684" s="10">
        <v>13</v>
      </c>
      <c r="Z684" s="30"/>
      <c r="AA684" s="31"/>
      <c r="AB684" s="32"/>
      <c r="AC684" s="32"/>
      <c r="AD684" s="32"/>
      <c r="AE684" s="32">
        <f t="shared" si="210"/>
        <v>0</v>
      </c>
      <c r="AF684" s="12"/>
      <c r="AG684" s="12"/>
      <c r="AH684" s="12"/>
      <c r="AI684" s="12">
        <f t="shared" si="205"/>
        <v>0</v>
      </c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10">
        <v>14</v>
      </c>
      <c r="B685" s="30"/>
      <c r="C685" s="83"/>
      <c r="D685" s="32"/>
      <c r="E685" s="32"/>
      <c r="F685" s="32"/>
      <c r="G685" s="32">
        <f t="shared" si="200"/>
        <v>0</v>
      </c>
      <c r="H685" s="12"/>
      <c r="I685" s="12"/>
      <c r="J685" s="12"/>
      <c r="K685" s="12">
        <f t="shared" si="201"/>
        <v>0</v>
      </c>
      <c r="M685" s="10">
        <v>14</v>
      </c>
      <c r="N685" s="30"/>
      <c r="O685" s="31"/>
      <c r="P685" s="32"/>
      <c r="Q685" s="32"/>
      <c r="R685" s="32"/>
      <c r="S685" s="32">
        <f t="shared" si="202"/>
        <v>0</v>
      </c>
      <c r="T685" s="12"/>
      <c r="U685" s="12"/>
      <c r="V685" s="12"/>
      <c r="W685" s="12">
        <f t="shared" si="203"/>
        <v>0</v>
      </c>
      <c r="Y685" s="10">
        <v>14</v>
      </c>
      <c r="Z685" s="30"/>
      <c r="AA685" s="31"/>
      <c r="AB685" s="32"/>
      <c r="AC685" s="32"/>
      <c r="AD685" s="32"/>
      <c r="AE685" s="32">
        <f t="shared" si="210"/>
        <v>0</v>
      </c>
      <c r="AF685" s="12"/>
      <c r="AG685" s="12"/>
      <c r="AH685" s="12"/>
      <c r="AI685" s="12">
        <f t="shared" si="205"/>
        <v>0</v>
      </c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10">
        <v>15</v>
      </c>
      <c r="B686" s="30"/>
      <c r="C686" s="83"/>
      <c r="D686" s="32"/>
      <c r="E686" s="32"/>
      <c r="F686" s="32"/>
      <c r="G686" s="32">
        <f t="shared" si="200"/>
        <v>0</v>
      </c>
      <c r="H686" s="12"/>
      <c r="I686" s="12"/>
      <c r="J686" s="12"/>
      <c r="K686" s="12">
        <f t="shared" si="201"/>
        <v>0</v>
      </c>
      <c r="M686" s="10">
        <v>15</v>
      </c>
      <c r="N686" s="30"/>
      <c r="O686" s="31"/>
      <c r="P686" s="32"/>
      <c r="Q686" s="32"/>
      <c r="R686" s="32"/>
      <c r="S686" s="32">
        <f t="shared" si="202"/>
        <v>0</v>
      </c>
      <c r="T686" s="12"/>
      <c r="U686" s="12"/>
      <c r="V686" s="12"/>
      <c r="W686" s="12">
        <f t="shared" si="203"/>
        <v>0</v>
      </c>
      <c r="Y686" s="10">
        <v>15</v>
      </c>
      <c r="Z686" s="30"/>
      <c r="AA686" s="31"/>
      <c r="AB686" s="32"/>
      <c r="AC686" s="32"/>
      <c r="AD686" s="32"/>
      <c r="AE686" s="32">
        <f t="shared" si="210"/>
        <v>0</v>
      </c>
      <c r="AF686" s="12"/>
      <c r="AG686" s="12"/>
      <c r="AH686" s="12"/>
      <c r="AI686" s="12">
        <f t="shared" si="205"/>
        <v>0</v>
      </c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10">
        <v>16</v>
      </c>
      <c r="B687" s="30"/>
      <c r="D687" s="32"/>
      <c r="E687" s="32"/>
      <c r="F687" s="32"/>
      <c r="G687" s="32">
        <f t="shared" si="200"/>
        <v>0</v>
      </c>
      <c r="H687" s="12"/>
      <c r="I687" s="12"/>
      <c r="J687" s="12"/>
      <c r="K687" s="12">
        <f t="shared" si="201"/>
        <v>0</v>
      </c>
      <c r="M687" s="10">
        <v>16</v>
      </c>
      <c r="N687" s="30"/>
      <c r="O687" s="31"/>
      <c r="P687" s="32"/>
      <c r="Q687" s="32"/>
      <c r="R687" s="32"/>
      <c r="S687" s="32">
        <f t="shared" si="202"/>
        <v>0</v>
      </c>
      <c r="T687" s="12"/>
      <c r="U687" s="12"/>
      <c r="V687" s="12"/>
      <c r="W687" s="12">
        <f t="shared" si="203"/>
        <v>0</v>
      </c>
      <c r="Y687" s="10">
        <v>16</v>
      </c>
      <c r="AB687" s="32"/>
      <c r="AC687" s="32"/>
      <c r="AD687" s="32"/>
      <c r="AE687" s="32">
        <f t="shared" si="210"/>
        <v>0</v>
      </c>
      <c r="AF687" s="12"/>
      <c r="AG687" s="12"/>
      <c r="AH687" s="12"/>
      <c r="AI687" s="12">
        <f t="shared" si="205"/>
        <v>0</v>
      </c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10">
        <v>17</v>
      </c>
      <c r="B688" s="30"/>
      <c r="C688" s="83"/>
      <c r="D688" s="32"/>
      <c r="E688" s="32"/>
      <c r="F688" s="32"/>
      <c r="G688" s="32">
        <f t="shared" si="200"/>
        <v>0</v>
      </c>
      <c r="H688" s="12"/>
      <c r="I688" s="12"/>
      <c r="J688" s="12"/>
      <c r="K688" s="12">
        <f t="shared" si="201"/>
        <v>0</v>
      </c>
      <c r="M688" s="10">
        <v>17</v>
      </c>
      <c r="N688" s="30"/>
      <c r="O688" s="31"/>
      <c r="P688" s="35"/>
      <c r="Q688" s="32"/>
      <c r="R688" s="32"/>
      <c r="S688" s="32">
        <f t="shared" si="202"/>
        <v>0</v>
      </c>
      <c r="T688" s="12"/>
      <c r="U688" s="12"/>
      <c r="V688" s="12"/>
      <c r="W688" s="12">
        <f t="shared" si="203"/>
        <v>0</v>
      </c>
      <c r="Y688" s="10">
        <v>17</v>
      </c>
      <c r="Z688" s="30"/>
      <c r="AA688" s="31"/>
      <c r="AB688" s="35"/>
      <c r="AC688" s="32"/>
      <c r="AD688" s="32"/>
      <c r="AE688" s="32">
        <f t="shared" si="210"/>
        <v>0</v>
      </c>
      <c r="AF688" s="12"/>
      <c r="AG688" s="12"/>
      <c r="AH688" s="12"/>
      <c r="AI688" s="12">
        <f t="shared" si="205"/>
        <v>0</v>
      </c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10">
        <v>18</v>
      </c>
      <c r="B689" s="30"/>
      <c r="C689" s="83"/>
      <c r="D689" s="32"/>
      <c r="E689" s="32"/>
      <c r="F689" s="32"/>
      <c r="G689" s="32">
        <f t="shared" si="200"/>
        <v>0</v>
      </c>
      <c r="H689" s="12"/>
      <c r="I689" s="12"/>
      <c r="J689" s="12"/>
      <c r="K689" s="12">
        <f t="shared" si="201"/>
        <v>0</v>
      </c>
      <c r="M689" s="10">
        <v>18</v>
      </c>
      <c r="N689" s="30"/>
      <c r="P689" s="32"/>
      <c r="Q689" s="32"/>
      <c r="R689" s="32"/>
      <c r="S689" s="32">
        <f t="shared" si="202"/>
        <v>0</v>
      </c>
      <c r="T689" s="12"/>
      <c r="U689" s="12"/>
      <c r="V689" s="12"/>
      <c r="W689" s="12">
        <f t="shared" si="203"/>
        <v>0</v>
      </c>
      <c r="Y689" s="10">
        <v>18</v>
      </c>
      <c r="Z689" s="30"/>
      <c r="AA689" s="31"/>
      <c r="AB689" s="32"/>
      <c r="AC689" s="32"/>
      <c r="AD689" s="32"/>
      <c r="AE689" s="32">
        <f t="shared" si="210"/>
        <v>0</v>
      </c>
      <c r="AF689" s="12"/>
      <c r="AG689" s="12"/>
      <c r="AH689" s="12"/>
      <c r="AI689" s="12">
        <f t="shared" si="205"/>
        <v>0</v>
      </c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10">
        <v>19</v>
      </c>
      <c r="B690" s="30"/>
      <c r="C690" s="83"/>
      <c r="D690" s="32"/>
      <c r="E690" s="32"/>
      <c r="F690" s="32"/>
      <c r="G690" s="32">
        <f t="shared" si="200"/>
        <v>0</v>
      </c>
      <c r="H690" s="12"/>
      <c r="I690" s="12"/>
      <c r="J690" s="12"/>
      <c r="K690" s="12">
        <f t="shared" si="201"/>
        <v>0</v>
      </c>
      <c r="M690" s="10">
        <v>19</v>
      </c>
      <c r="N690" s="30"/>
      <c r="O690" s="31"/>
      <c r="P690" s="32"/>
      <c r="Q690" s="32"/>
      <c r="R690" s="32"/>
      <c r="S690" s="32">
        <f t="shared" si="202"/>
        <v>0</v>
      </c>
      <c r="T690" s="12"/>
      <c r="U690" s="12"/>
      <c r="V690" s="12"/>
      <c r="W690" s="12">
        <f t="shared" si="203"/>
        <v>0</v>
      </c>
      <c r="Y690" s="10">
        <v>19</v>
      </c>
      <c r="Z690" s="30"/>
      <c r="AA690" s="31"/>
      <c r="AB690" s="32"/>
      <c r="AC690" s="32"/>
      <c r="AD690" s="32"/>
      <c r="AE690" s="32">
        <f t="shared" si="210"/>
        <v>0</v>
      </c>
      <c r="AF690" s="12"/>
      <c r="AG690" s="12"/>
      <c r="AH690" s="12"/>
      <c r="AI690" s="12">
        <f t="shared" si="205"/>
        <v>0</v>
      </c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10">
        <v>20</v>
      </c>
      <c r="B691" s="30"/>
      <c r="C691" s="83"/>
      <c r="D691" s="32"/>
      <c r="E691" s="32"/>
      <c r="F691" s="32"/>
      <c r="G691" s="32">
        <f t="shared" si="200"/>
        <v>0</v>
      </c>
      <c r="H691" s="12"/>
      <c r="I691" s="12"/>
      <c r="J691" s="12"/>
      <c r="K691" s="12">
        <f t="shared" si="201"/>
        <v>0</v>
      </c>
      <c r="M691" s="10">
        <v>20</v>
      </c>
      <c r="N691" s="30"/>
      <c r="O691" s="31"/>
      <c r="P691" s="32"/>
      <c r="Q691" s="32"/>
      <c r="R691" s="32"/>
      <c r="S691" s="32">
        <f t="shared" si="202"/>
        <v>0</v>
      </c>
      <c r="T691" s="12"/>
      <c r="U691" s="12"/>
      <c r="V691" s="12"/>
      <c r="W691" s="12">
        <f t="shared" si="203"/>
        <v>0</v>
      </c>
      <c r="Y691" s="10">
        <v>20</v>
      </c>
      <c r="Z691" s="30"/>
      <c r="AB691" s="32"/>
      <c r="AC691" s="32"/>
      <c r="AD691" s="32"/>
      <c r="AE691" s="32">
        <f t="shared" si="210"/>
        <v>0</v>
      </c>
      <c r="AF691" s="12"/>
      <c r="AG691" s="12"/>
      <c r="AH691" s="12"/>
      <c r="AI691" s="12">
        <f t="shared" si="205"/>
        <v>0</v>
      </c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10">
        <v>21</v>
      </c>
      <c r="B692" s="30"/>
      <c r="C692" s="83"/>
      <c r="D692" s="32"/>
      <c r="E692" s="32"/>
      <c r="F692" s="32"/>
      <c r="G692" s="32">
        <f t="shared" si="200"/>
        <v>0</v>
      </c>
      <c r="H692" s="10"/>
      <c r="I692" s="10"/>
      <c r="J692" s="10"/>
      <c r="K692" s="12">
        <f t="shared" si="201"/>
        <v>0</v>
      </c>
      <c r="M692" s="10">
        <v>21</v>
      </c>
      <c r="N692" s="30"/>
      <c r="O692" s="31"/>
      <c r="P692" s="46"/>
      <c r="Q692" s="31"/>
      <c r="R692" s="31"/>
      <c r="S692" s="32">
        <f t="shared" si="202"/>
        <v>0</v>
      </c>
      <c r="T692" s="10"/>
      <c r="U692" s="10"/>
      <c r="V692" s="10"/>
      <c r="W692" s="12">
        <f t="shared" si="203"/>
        <v>0</v>
      </c>
      <c r="Y692" s="10">
        <v>21</v>
      </c>
      <c r="Z692" s="30"/>
      <c r="AA692" s="31"/>
      <c r="AB692" s="46"/>
      <c r="AC692" s="31"/>
      <c r="AD692" s="31"/>
      <c r="AE692" s="32">
        <f t="shared" si="210"/>
        <v>0</v>
      </c>
      <c r="AF692" s="10"/>
      <c r="AG692" s="10"/>
      <c r="AH692" s="10"/>
      <c r="AI692" s="12">
        <f t="shared" si="205"/>
        <v>0</v>
      </c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10">
        <v>22</v>
      </c>
      <c r="B693" s="30"/>
      <c r="C693" s="57"/>
      <c r="D693" s="32"/>
      <c r="E693" s="32"/>
      <c r="F693" s="32"/>
      <c r="G693" s="32">
        <f t="shared" si="200"/>
        <v>0</v>
      </c>
      <c r="H693" s="10"/>
      <c r="I693" s="10"/>
      <c r="J693" s="10"/>
      <c r="K693" s="12">
        <f t="shared" si="201"/>
        <v>0</v>
      </c>
      <c r="M693" s="10">
        <v>22</v>
      </c>
      <c r="N693" s="30"/>
      <c r="O693" s="31"/>
      <c r="P693" s="45"/>
      <c r="Q693" s="31"/>
      <c r="R693" s="31"/>
      <c r="S693" s="32">
        <f t="shared" si="202"/>
        <v>0</v>
      </c>
      <c r="T693" s="10"/>
      <c r="U693" s="10"/>
      <c r="V693" s="10"/>
      <c r="W693" s="12">
        <f t="shared" si="203"/>
        <v>0</v>
      </c>
      <c r="Y693" s="10">
        <v>22</v>
      </c>
      <c r="Z693" s="30"/>
      <c r="AA693" s="31"/>
      <c r="AB693" s="45"/>
      <c r="AC693" s="31"/>
      <c r="AD693" s="31"/>
      <c r="AE693" s="32">
        <f t="shared" si="210"/>
        <v>0</v>
      </c>
      <c r="AF693" s="10"/>
      <c r="AG693" s="10"/>
      <c r="AH693" s="10"/>
      <c r="AI693" s="12">
        <f t="shared" si="205"/>
        <v>0</v>
      </c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10">
        <v>23</v>
      </c>
      <c r="B694" s="30"/>
      <c r="C694" s="83"/>
      <c r="D694" s="32"/>
      <c r="E694" s="32"/>
      <c r="F694" s="32"/>
      <c r="G694" s="32">
        <f t="shared" si="200"/>
        <v>0</v>
      </c>
      <c r="H694" s="10"/>
      <c r="I694" s="10"/>
      <c r="J694" s="12"/>
      <c r="K694" s="12">
        <f t="shared" si="201"/>
        <v>0</v>
      </c>
      <c r="M694" s="10">
        <v>23</v>
      </c>
      <c r="N694" s="30"/>
      <c r="O694" s="31"/>
      <c r="P694" s="47"/>
      <c r="S694" s="32">
        <f t="shared" si="202"/>
        <v>0</v>
      </c>
      <c r="T694" s="10"/>
      <c r="U694" s="10"/>
      <c r="V694" s="10"/>
      <c r="W694" s="12">
        <f t="shared" si="203"/>
        <v>0</v>
      </c>
      <c r="Y694" s="10">
        <v>23</v>
      </c>
      <c r="Z694" s="30"/>
      <c r="AA694" s="31"/>
      <c r="AB694" s="47"/>
      <c r="AC694" s="31"/>
      <c r="AE694" s="32">
        <f t="shared" si="210"/>
        <v>0</v>
      </c>
      <c r="AF694" s="10"/>
      <c r="AG694" s="10"/>
      <c r="AH694" s="10"/>
      <c r="AI694" s="12">
        <f t="shared" si="205"/>
        <v>0</v>
      </c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10">
        <v>24</v>
      </c>
      <c r="B695" s="30"/>
      <c r="C695" s="83"/>
      <c r="D695" s="32"/>
      <c r="E695" s="32"/>
      <c r="F695" s="32"/>
      <c r="G695" s="32">
        <f t="shared" si="200"/>
        <v>0</v>
      </c>
      <c r="H695" s="10"/>
      <c r="I695" s="10"/>
      <c r="J695" s="10"/>
      <c r="K695" s="12">
        <f t="shared" si="201"/>
        <v>0</v>
      </c>
      <c r="M695" s="10">
        <v>24</v>
      </c>
      <c r="N695" s="30"/>
      <c r="O695" s="31"/>
      <c r="P695" s="47"/>
      <c r="Q695" s="31"/>
      <c r="R695" s="31"/>
      <c r="S695" s="32">
        <f t="shared" si="202"/>
        <v>0</v>
      </c>
      <c r="T695" s="10"/>
      <c r="U695" s="10"/>
      <c r="V695" s="10"/>
      <c r="W695" s="12">
        <f t="shared" si="203"/>
        <v>0</v>
      </c>
      <c r="Y695" s="10">
        <v>24</v>
      </c>
      <c r="Z695" s="30"/>
      <c r="AA695" s="31"/>
      <c r="AB695" s="47"/>
      <c r="AC695" s="31"/>
      <c r="AD695" s="31"/>
      <c r="AE695" s="32">
        <f t="shared" si="210"/>
        <v>0</v>
      </c>
      <c r="AF695" s="10"/>
      <c r="AG695" s="10"/>
      <c r="AH695" s="10"/>
      <c r="AI695" s="12">
        <f t="shared" si="205"/>
        <v>0</v>
      </c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10">
        <v>25</v>
      </c>
      <c r="B696" s="30"/>
      <c r="C696" s="83"/>
      <c r="D696" s="32"/>
      <c r="E696" s="32"/>
      <c r="F696" s="32"/>
      <c r="G696" s="32">
        <f t="shared" si="200"/>
        <v>0</v>
      </c>
      <c r="H696" s="10"/>
      <c r="I696" s="10"/>
      <c r="J696" s="10"/>
      <c r="K696" s="12">
        <f t="shared" si="201"/>
        <v>0</v>
      </c>
      <c r="M696" s="10">
        <v>25</v>
      </c>
      <c r="N696" s="30"/>
      <c r="O696" s="31"/>
      <c r="P696" s="47"/>
      <c r="Q696" s="31"/>
      <c r="R696" s="31"/>
      <c r="S696" s="32">
        <f t="shared" si="202"/>
        <v>0</v>
      </c>
      <c r="T696" s="10"/>
      <c r="U696" s="10"/>
      <c r="V696" s="10"/>
      <c r="W696" s="12">
        <f t="shared" si="203"/>
        <v>0</v>
      </c>
      <c r="Y696" s="10">
        <v>25</v>
      </c>
      <c r="Z696" s="30"/>
      <c r="AA696" s="31"/>
      <c r="AB696" s="47"/>
      <c r="AC696" s="31"/>
      <c r="AD696" s="31"/>
      <c r="AE696" s="32">
        <f t="shared" si="210"/>
        <v>0</v>
      </c>
      <c r="AF696" s="10"/>
      <c r="AG696" s="10"/>
      <c r="AH696" s="10"/>
      <c r="AI696" s="12">
        <f t="shared" si="205"/>
        <v>0</v>
      </c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10">
        <v>26</v>
      </c>
      <c r="B697" s="30"/>
      <c r="C697" s="83"/>
      <c r="D697" s="32"/>
      <c r="E697" s="32"/>
      <c r="F697" s="32"/>
      <c r="G697" s="32">
        <f t="shared" si="200"/>
        <v>0</v>
      </c>
      <c r="H697" s="10"/>
      <c r="I697" s="10"/>
      <c r="J697" s="10"/>
      <c r="K697" s="12">
        <f t="shared" si="201"/>
        <v>0</v>
      </c>
      <c r="M697" s="10">
        <v>26</v>
      </c>
      <c r="N697" s="30"/>
      <c r="O697" s="11"/>
      <c r="P697" s="47"/>
      <c r="Q697" s="31"/>
      <c r="R697" s="31"/>
      <c r="S697" s="32">
        <f t="shared" si="202"/>
        <v>0</v>
      </c>
      <c r="T697" s="10"/>
      <c r="U697" s="10"/>
      <c r="V697" s="10"/>
      <c r="W697" s="12">
        <f t="shared" si="203"/>
        <v>0</v>
      </c>
      <c r="Y697" s="10">
        <v>26</v>
      </c>
      <c r="Z697" s="30"/>
      <c r="AA697" s="31"/>
      <c r="AB697" s="47"/>
      <c r="AC697" s="31"/>
      <c r="AD697" s="31"/>
      <c r="AE697" s="32">
        <f t="shared" si="210"/>
        <v>0</v>
      </c>
      <c r="AF697" s="10"/>
      <c r="AG697" s="10"/>
      <c r="AH697" s="10"/>
      <c r="AI697" s="12">
        <f t="shared" si="205"/>
        <v>0</v>
      </c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10">
        <v>27</v>
      </c>
      <c r="B698" s="30"/>
      <c r="C698" s="83"/>
      <c r="D698" s="32"/>
      <c r="E698" s="32"/>
      <c r="F698" s="32"/>
      <c r="G698" s="32">
        <f t="shared" si="200"/>
        <v>0</v>
      </c>
      <c r="H698" s="10"/>
      <c r="I698" s="10"/>
      <c r="J698" s="10"/>
      <c r="K698" s="12">
        <f t="shared" si="201"/>
        <v>0</v>
      </c>
      <c r="M698" s="10">
        <v>27</v>
      </c>
      <c r="N698" s="30"/>
      <c r="O698" s="31"/>
      <c r="P698" s="47"/>
      <c r="Q698" s="31"/>
      <c r="R698" s="31"/>
      <c r="S698" s="32">
        <f t="shared" si="202"/>
        <v>0</v>
      </c>
      <c r="T698" s="10"/>
      <c r="U698" s="10"/>
      <c r="V698" s="10"/>
      <c r="W698" s="12">
        <f t="shared" si="203"/>
        <v>0</v>
      </c>
      <c r="Y698" s="10">
        <v>27</v>
      </c>
      <c r="Z698" s="30"/>
      <c r="AA698" s="31"/>
      <c r="AB698" s="47"/>
      <c r="AC698" s="31"/>
      <c r="AD698" s="31"/>
      <c r="AE698" s="32">
        <f t="shared" si="210"/>
        <v>0</v>
      </c>
      <c r="AF698" s="10"/>
      <c r="AG698" s="10"/>
      <c r="AH698" s="10"/>
      <c r="AI698" s="12">
        <f t="shared" si="205"/>
        <v>0</v>
      </c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10">
        <v>28</v>
      </c>
      <c r="B699" s="30"/>
      <c r="C699" s="83"/>
      <c r="D699" s="32"/>
      <c r="E699" s="32"/>
      <c r="F699" s="32"/>
      <c r="G699" s="32">
        <f t="shared" si="200"/>
        <v>0</v>
      </c>
      <c r="H699" s="10"/>
      <c r="I699" s="10"/>
      <c r="J699" s="10"/>
      <c r="K699" s="12">
        <f t="shared" si="201"/>
        <v>0</v>
      </c>
      <c r="M699" s="10">
        <v>28</v>
      </c>
      <c r="N699" s="30"/>
      <c r="O699" s="31"/>
      <c r="P699" s="47"/>
      <c r="Q699" s="31"/>
      <c r="R699" s="31"/>
      <c r="S699" s="32">
        <f t="shared" si="202"/>
        <v>0</v>
      </c>
      <c r="T699" s="10"/>
      <c r="U699" s="10"/>
      <c r="V699" s="10"/>
      <c r="W699" s="12">
        <f t="shared" si="203"/>
        <v>0</v>
      </c>
      <c r="Y699" s="10">
        <v>28</v>
      </c>
      <c r="Z699" s="30"/>
      <c r="AA699" s="31"/>
      <c r="AB699" s="47"/>
      <c r="AC699" s="31"/>
      <c r="AD699" s="31"/>
      <c r="AE699" s="32">
        <f t="shared" si="210"/>
        <v>0</v>
      </c>
      <c r="AF699" s="10"/>
      <c r="AG699" s="10"/>
      <c r="AH699" s="10"/>
      <c r="AI699" s="12">
        <f t="shared" si="205"/>
        <v>0</v>
      </c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10">
        <v>29</v>
      </c>
      <c r="B700" s="30"/>
      <c r="C700" s="83"/>
      <c r="D700" s="32"/>
      <c r="E700" s="32"/>
      <c r="F700" s="32"/>
      <c r="G700" s="32">
        <f t="shared" si="200"/>
        <v>0</v>
      </c>
      <c r="H700" s="10"/>
      <c r="I700" s="10"/>
      <c r="J700" s="10"/>
      <c r="K700" s="12">
        <f t="shared" si="201"/>
        <v>0</v>
      </c>
      <c r="M700" s="10">
        <v>29</v>
      </c>
      <c r="N700" s="30"/>
      <c r="O700" s="31"/>
      <c r="P700" s="47"/>
      <c r="Q700" s="31"/>
      <c r="R700" s="31"/>
      <c r="S700" s="32">
        <f t="shared" si="202"/>
        <v>0</v>
      </c>
      <c r="T700" s="10"/>
      <c r="U700" s="10"/>
      <c r="V700" s="10"/>
      <c r="W700" s="12">
        <f t="shared" si="203"/>
        <v>0</v>
      </c>
      <c r="Y700" s="10">
        <v>29</v>
      </c>
      <c r="Z700" s="30"/>
      <c r="AA700" s="31"/>
      <c r="AB700" s="47"/>
      <c r="AC700" s="31"/>
      <c r="AD700" s="31"/>
      <c r="AE700" s="32">
        <f t="shared" si="210"/>
        <v>0</v>
      </c>
      <c r="AF700" s="10"/>
      <c r="AG700" s="10"/>
      <c r="AH700" s="10"/>
      <c r="AI700" s="12">
        <f t="shared" si="205"/>
        <v>0</v>
      </c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10">
        <v>30</v>
      </c>
      <c r="B701" s="30"/>
      <c r="C701" s="83"/>
      <c r="D701" s="32"/>
      <c r="E701" s="32"/>
      <c r="F701" s="32"/>
      <c r="G701" s="32">
        <f t="shared" si="200"/>
        <v>0</v>
      </c>
      <c r="H701" s="10"/>
      <c r="I701" s="10"/>
      <c r="J701" s="10"/>
      <c r="K701" s="12">
        <f t="shared" si="201"/>
        <v>0</v>
      </c>
      <c r="M701" s="10">
        <v>30</v>
      </c>
      <c r="N701" s="30"/>
      <c r="O701" s="31"/>
      <c r="P701" s="47"/>
      <c r="Q701" s="31"/>
      <c r="R701" s="31"/>
      <c r="S701" s="32">
        <f t="shared" si="202"/>
        <v>0</v>
      </c>
      <c r="T701" s="10"/>
      <c r="U701" s="10"/>
      <c r="V701" s="10"/>
      <c r="W701" s="12">
        <f t="shared" si="203"/>
        <v>0</v>
      </c>
      <c r="Y701" s="10">
        <v>30</v>
      </c>
      <c r="Z701" s="30"/>
      <c r="AA701" s="31"/>
      <c r="AB701" s="47"/>
      <c r="AC701" s="31"/>
      <c r="AD701" s="31"/>
      <c r="AE701" s="32">
        <f t="shared" si="210"/>
        <v>0</v>
      </c>
      <c r="AF701" s="10"/>
      <c r="AG701" s="10"/>
      <c r="AH701" s="10"/>
      <c r="AI701" s="12">
        <f t="shared" si="205"/>
        <v>0</v>
      </c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10">
        <v>31</v>
      </c>
      <c r="B702" s="30"/>
      <c r="C702" s="11"/>
      <c r="D702" s="32"/>
      <c r="E702" s="32"/>
      <c r="F702" s="32"/>
      <c r="G702" s="32">
        <f t="shared" si="200"/>
        <v>0</v>
      </c>
      <c r="H702" s="10"/>
      <c r="I702" s="10"/>
      <c r="J702" s="10"/>
      <c r="K702" s="12">
        <f t="shared" si="201"/>
        <v>0</v>
      </c>
      <c r="M702" s="10">
        <v>31</v>
      </c>
      <c r="N702" s="30"/>
      <c r="O702" s="31"/>
      <c r="P702" s="47"/>
      <c r="Q702" s="31"/>
      <c r="R702" s="31"/>
      <c r="S702" s="32">
        <f t="shared" si="202"/>
        <v>0</v>
      </c>
      <c r="T702" s="10"/>
      <c r="U702" s="10"/>
      <c r="V702" s="10"/>
      <c r="W702" s="12">
        <f t="shared" si="203"/>
        <v>0</v>
      </c>
      <c r="Y702" s="10">
        <v>31</v>
      </c>
      <c r="Z702" s="30"/>
      <c r="AA702" s="31"/>
      <c r="AB702" s="47"/>
      <c r="AC702" s="31"/>
      <c r="AD702" s="31"/>
      <c r="AE702" s="32">
        <f t="shared" si="210"/>
        <v>0</v>
      </c>
      <c r="AF702" s="10"/>
      <c r="AG702" s="10"/>
      <c r="AH702" s="10"/>
      <c r="AI702" s="12">
        <f t="shared" si="205"/>
        <v>0</v>
      </c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10">
        <v>32</v>
      </c>
      <c r="B703" s="30"/>
      <c r="C703" s="83"/>
      <c r="D703" s="32"/>
      <c r="E703" s="32"/>
      <c r="F703" s="32"/>
      <c r="G703" s="32">
        <f t="shared" si="200"/>
        <v>0</v>
      </c>
      <c r="H703" s="10"/>
      <c r="I703" s="10"/>
      <c r="J703" s="10"/>
      <c r="K703" s="12">
        <f t="shared" si="201"/>
        <v>0</v>
      </c>
      <c r="M703" s="10">
        <v>32</v>
      </c>
      <c r="N703" s="30"/>
      <c r="O703" s="31"/>
      <c r="P703" s="47"/>
      <c r="Q703" s="31"/>
      <c r="R703" s="31"/>
      <c r="S703" s="32">
        <f t="shared" si="202"/>
        <v>0</v>
      </c>
      <c r="T703" s="10"/>
      <c r="U703" s="10"/>
      <c r="V703" s="10"/>
      <c r="W703" s="12">
        <f t="shared" si="203"/>
        <v>0</v>
      </c>
      <c r="Y703" s="10">
        <v>32</v>
      </c>
      <c r="Z703" s="30"/>
      <c r="AA703" s="31"/>
      <c r="AB703" s="47"/>
      <c r="AC703" s="31"/>
      <c r="AD703" s="31"/>
      <c r="AE703" s="32">
        <f t="shared" si="210"/>
        <v>0</v>
      </c>
      <c r="AF703" s="10"/>
      <c r="AG703" s="10"/>
      <c r="AH703" s="10"/>
      <c r="AI703" s="12">
        <f t="shared" si="205"/>
        <v>0</v>
      </c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10">
        <v>33</v>
      </c>
      <c r="B704" s="30"/>
      <c r="C704" s="83"/>
      <c r="D704" s="32"/>
      <c r="E704" s="32"/>
      <c r="F704" s="32"/>
      <c r="G704" s="32">
        <f t="shared" si="200"/>
        <v>0</v>
      </c>
      <c r="H704" s="10"/>
      <c r="I704" s="10"/>
      <c r="J704" s="10"/>
      <c r="K704" s="12">
        <f t="shared" si="201"/>
        <v>0</v>
      </c>
      <c r="M704" s="10">
        <v>33</v>
      </c>
      <c r="N704" s="30"/>
      <c r="O704" s="31"/>
      <c r="P704" s="47"/>
      <c r="Q704" s="31"/>
      <c r="R704" s="31"/>
      <c r="S704" s="32">
        <f t="shared" si="202"/>
        <v>0</v>
      </c>
      <c r="T704" s="10"/>
      <c r="U704" s="10"/>
      <c r="V704" s="10"/>
      <c r="W704" s="12">
        <f t="shared" si="203"/>
        <v>0</v>
      </c>
      <c r="Y704" s="10">
        <v>33</v>
      </c>
      <c r="Z704" s="30"/>
      <c r="AA704" s="31"/>
      <c r="AB704" s="47"/>
      <c r="AC704" s="31"/>
      <c r="AD704" s="31"/>
      <c r="AE704" s="32">
        <f t="shared" si="210"/>
        <v>0</v>
      </c>
      <c r="AF704" s="10"/>
      <c r="AG704" s="10"/>
      <c r="AH704" s="10"/>
      <c r="AI704" s="12">
        <f t="shared" si="205"/>
        <v>0</v>
      </c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10"/>
      <c r="B705" s="30"/>
      <c r="C705" s="83"/>
      <c r="D705" s="32"/>
      <c r="E705" s="32"/>
      <c r="F705" s="32"/>
      <c r="G705" s="32">
        <f t="shared" si="200"/>
        <v>0</v>
      </c>
      <c r="H705" s="10"/>
      <c r="I705" s="10"/>
      <c r="J705" s="10"/>
      <c r="K705" s="12">
        <f t="shared" si="201"/>
        <v>0</v>
      </c>
      <c r="M705" s="10">
        <v>34</v>
      </c>
      <c r="N705" s="30"/>
      <c r="O705" s="31"/>
      <c r="P705" s="47"/>
      <c r="Q705" s="31"/>
      <c r="R705" s="31"/>
      <c r="S705" s="32">
        <f t="shared" si="202"/>
        <v>0</v>
      </c>
      <c r="T705" s="10"/>
      <c r="U705" s="10"/>
      <c r="V705" s="10"/>
      <c r="W705" s="12">
        <f t="shared" si="203"/>
        <v>0</v>
      </c>
      <c r="Y705" s="10">
        <v>34</v>
      </c>
      <c r="Z705" s="30"/>
      <c r="AA705" s="31"/>
      <c r="AB705" s="47"/>
      <c r="AC705" s="31"/>
      <c r="AD705" s="31"/>
      <c r="AE705" s="32">
        <f t="shared" si="210"/>
        <v>0</v>
      </c>
      <c r="AF705" s="10"/>
      <c r="AG705" s="10"/>
      <c r="AH705" s="10"/>
      <c r="AI705" s="12">
        <f t="shared" ref="AI705:AI713" si="211">SUM(AE705:AH705)</f>
        <v>0</v>
      </c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10"/>
      <c r="B706" s="30"/>
      <c r="C706" s="83"/>
      <c r="D706" s="32"/>
      <c r="E706" s="32"/>
      <c r="F706" s="32"/>
      <c r="G706" s="32"/>
      <c r="H706" s="10"/>
      <c r="I706" s="10"/>
      <c r="J706" s="10"/>
      <c r="K706" s="12"/>
      <c r="M706" s="10">
        <v>35</v>
      </c>
      <c r="N706" s="30"/>
      <c r="O706" s="31"/>
      <c r="P706" s="47"/>
      <c r="Q706" s="31"/>
      <c r="R706" s="31"/>
      <c r="S706" s="32">
        <f t="shared" si="202"/>
        <v>0</v>
      </c>
      <c r="T706" s="10"/>
      <c r="U706" s="10"/>
      <c r="V706" s="10"/>
      <c r="W706" s="12">
        <f t="shared" si="203"/>
        <v>0</v>
      </c>
      <c r="Y706" s="10">
        <v>35</v>
      </c>
      <c r="Z706" s="30"/>
      <c r="AA706" s="31"/>
      <c r="AB706" s="47"/>
      <c r="AC706" s="31"/>
      <c r="AD706" s="31"/>
      <c r="AE706" s="32">
        <f t="shared" si="210"/>
        <v>0</v>
      </c>
      <c r="AF706" s="10"/>
      <c r="AG706" s="10"/>
      <c r="AH706" s="10"/>
      <c r="AI706" s="12">
        <f t="shared" si="211"/>
        <v>0</v>
      </c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10"/>
      <c r="B707" s="30"/>
      <c r="C707" s="83"/>
      <c r="D707" s="32"/>
      <c r="E707" s="32"/>
      <c r="F707" s="32"/>
      <c r="G707" s="32"/>
      <c r="H707" s="10"/>
      <c r="I707" s="10"/>
      <c r="J707" s="10"/>
      <c r="K707" s="12"/>
      <c r="M707" s="10">
        <v>36</v>
      </c>
      <c r="N707" s="30"/>
      <c r="O707" s="31"/>
      <c r="P707" s="47"/>
      <c r="Q707" s="31"/>
      <c r="R707" s="31"/>
      <c r="S707" s="32">
        <f t="shared" si="202"/>
        <v>0</v>
      </c>
      <c r="T707" s="10"/>
      <c r="U707" s="10"/>
      <c r="V707" s="10"/>
      <c r="W707" s="12">
        <f t="shared" si="203"/>
        <v>0</v>
      </c>
      <c r="Y707" s="10">
        <v>36</v>
      </c>
      <c r="Z707" s="30"/>
      <c r="AA707" s="31"/>
      <c r="AB707" s="47"/>
      <c r="AC707" s="31"/>
      <c r="AD707" s="31"/>
      <c r="AE707" s="32">
        <f t="shared" si="210"/>
        <v>0</v>
      </c>
      <c r="AF707" s="10"/>
      <c r="AG707" s="10"/>
      <c r="AH707" s="10"/>
      <c r="AI707" s="12">
        <f t="shared" si="211"/>
        <v>0</v>
      </c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10"/>
      <c r="B708" s="30"/>
      <c r="C708" s="31"/>
      <c r="D708" s="32"/>
      <c r="E708" s="32"/>
      <c r="F708" s="32"/>
      <c r="G708" s="32"/>
      <c r="H708" s="10"/>
      <c r="I708" s="10"/>
      <c r="J708" s="10"/>
      <c r="K708" s="12"/>
      <c r="M708" s="10">
        <v>37</v>
      </c>
      <c r="N708" s="30"/>
      <c r="P708" s="47"/>
      <c r="Q708" s="31"/>
      <c r="R708" s="31"/>
      <c r="S708" s="32">
        <f t="shared" si="202"/>
        <v>0</v>
      </c>
      <c r="T708" s="10"/>
      <c r="U708" s="10"/>
      <c r="V708" s="10"/>
      <c r="W708" s="12">
        <f t="shared" si="203"/>
        <v>0</v>
      </c>
      <c r="Y708" s="10">
        <v>37</v>
      </c>
      <c r="Z708" s="30"/>
      <c r="AA708" s="31"/>
      <c r="AB708" s="47"/>
      <c r="AC708" s="31"/>
      <c r="AD708" s="31"/>
      <c r="AE708" s="32">
        <f t="shared" si="210"/>
        <v>0</v>
      </c>
      <c r="AF708" s="10"/>
      <c r="AG708" s="10"/>
      <c r="AH708" s="10"/>
      <c r="AI708" s="12">
        <f t="shared" si="211"/>
        <v>0</v>
      </c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10"/>
      <c r="B709" s="30"/>
      <c r="C709" s="31"/>
      <c r="D709" s="32"/>
      <c r="E709" s="32"/>
      <c r="F709" s="32"/>
      <c r="G709" s="32"/>
      <c r="H709" s="10"/>
      <c r="I709" s="10"/>
      <c r="J709" s="10"/>
      <c r="K709" s="12"/>
      <c r="M709" s="10">
        <v>38</v>
      </c>
      <c r="N709" s="30"/>
      <c r="O709" s="31"/>
      <c r="P709" s="47"/>
      <c r="Q709" s="31"/>
      <c r="R709" s="31"/>
      <c r="S709" s="32">
        <f t="shared" si="202"/>
        <v>0</v>
      </c>
      <c r="T709" s="10"/>
      <c r="U709" s="10"/>
      <c r="V709" s="10"/>
      <c r="W709" s="12">
        <f t="shared" si="203"/>
        <v>0</v>
      </c>
      <c r="Y709" s="10">
        <v>38</v>
      </c>
      <c r="Z709" s="30"/>
      <c r="AA709" s="31"/>
      <c r="AB709" s="47"/>
      <c r="AC709" s="31"/>
      <c r="AD709" s="31"/>
      <c r="AE709" s="32">
        <f t="shared" si="210"/>
        <v>0</v>
      </c>
      <c r="AF709" s="10"/>
      <c r="AG709" s="10"/>
      <c r="AH709" s="10"/>
      <c r="AI709" s="12">
        <f t="shared" si="211"/>
        <v>0</v>
      </c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10"/>
      <c r="B710" s="30"/>
      <c r="C710" s="31"/>
      <c r="D710" s="32"/>
      <c r="E710" s="32"/>
      <c r="F710" s="32"/>
      <c r="G710" s="32"/>
      <c r="H710" s="10"/>
      <c r="I710" s="10"/>
      <c r="J710" s="10"/>
      <c r="K710" s="12"/>
      <c r="M710" s="10">
        <v>39</v>
      </c>
      <c r="N710" s="30"/>
      <c r="O710" s="31"/>
      <c r="P710" s="47"/>
      <c r="Q710" s="31"/>
      <c r="R710" s="31"/>
      <c r="S710" s="32">
        <f t="shared" si="202"/>
        <v>0</v>
      </c>
      <c r="T710" s="10"/>
      <c r="U710" s="10"/>
      <c r="V710" s="10"/>
      <c r="W710" s="12">
        <f t="shared" si="203"/>
        <v>0</v>
      </c>
      <c r="Y710" s="10">
        <v>39</v>
      </c>
      <c r="Z710" s="30"/>
      <c r="AA710" s="31"/>
      <c r="AB710" s="47"/>
      <c r="AC710" s="31"/>
      <c r="AD710" s="31"/>
      <c r="AE710" s="32">
        <f t="shared" si="210"/>
        <v>0</v>
      </c>
      <c r="AF710" s="10"/>
      <c r="AG710" s="10"/>
      <c r="AH710" s="10"/>
      <c r="AI710" s="12">
        <f t="shared" si="211"/>
        <v>0</v>
      </c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10"/>
      <c r="B711" s="30"/>
      <c r="C711" s="31"/>
      <c r="D711" s="32"/>
      <c r="E711" s="32"/>
      <c r="F711" s="32"/>
      <c r="G711" s="32"/>
      <c r="H711" s="10"/>
      <c r="I711" s="10"/>
      <c r="J711" s="10"/>
      <c r="K711" s="12"/>
      <c r="M711" s="10"/>
      <c r="N711" s="30"/>
      <c r="P711" s="47"/>
      <c r="Q711" s="31"/>
      <c r="R711" s="31"/>
      <c r="S711" s="32"/>
      <c r="T711" s="10"/>
      <c r="U711" s="10"/>
      <c r="V711" s="10"/>
      <c r="W711" s="12">
        <f t="shared" si="203"/>
        <v>0</v>
      </c>
      <c r="Y711" s="10"/>
      <c r="Z711" s="30"/>
      <c r="AB711" s="47"/>
      <c r="AC711" s="31"/>
      <c r="AD711" s="31"/>
      <c r="AE711" s="32"/>
      <c r="AF711" s="10"/>
      <c r="AG711" s="10"/>
      <c r="AH711" s="10"/>
      <c r="AI711" s="12">
        <f t="shared" si="211"/>
        <v>0</v>
      </c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10"/>
      <c r="B712" s="30"/>
      <c r="C712" s="31"/>
      <c r="D712" s="32"/>
      <c r="E712" s="32"/>
      <c r="F712" s="32"/>
      <c r="G712" s="32">
        <f t="shared" ref="G712" si="212">SUM(D712:E712)</f>
        <v>0</v>
      </c>
      <c r="H712" s="10"/>
      <c r="I712" s="10"/>
      <c r="J712" s="10"/>
      <c r="K712" s="12">
        <f t="shared" ref="K712" si="213">SUM(G712:J712)</f>
        <v>0</v>
      </c>
      <c r="M712" s="10"/>
      <c r="N712" s="30"/>
      <c r="O712" s="31"/>
      <c r="P712" s="47"/>
      <c r="Q712" s="31"/>
      <c r="R712" s="31"/>
      <c r="S712" s="32">
        <f t="shared" ref="S712" si="214">SUM(P712:Q712)</f>
        <v>0</v>
      </c>
      <c r="T712" s="10"/>
      <c r="U712" s="10"/>
      <c r="V712" s="10"/>
      <c r="W712" s="12">
        <f t="shared" si="203"/>
        <v>0</v>
      </c>
      <c r="Y712" s="10"/>
      <c r="Z712" s="30"/>
      <c r="AA712" s="31"/>
      <c r="AB712" s="47"/>
      <c r="AC712" s="31"/>
      <c r="AD712" s="31"/>
      <c r="AE712" s="32">
        <f t="shared" ref="AE712" si="215">SUM(AB712:AC712)</f>
        <v>0</v>
      </c>
      <c r="AF712" s="10"/>
      <c r="AG712" s="10"/>
      <c r="AH712" s="10"/>
      <c r="AI712" s="12">
        <f t="shared" si="211"/>
        <v>0</v>
      </c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10"/>
      <c r="B713" s="30"/>
      <c r="C713" s="30"/>
      <c r="D713" s="32"/>
      <c r="E713" s="32"/>
      <c r="F713" s="32"/>
      <c r="G713" s="32"/>
      <c r="H713" s="10"/>
      <c r="I713" s="10"/>
      <c r="J713" s="10"/>
      <c r="K713" s="12"/>
      <c r="M713" s="10"/>
      <c r="N713" s="31"/>
      <c r="O713" s="31"/>
      <c r="P713" s="31"/>
      <c r="Q713" s="31"/>
      <c r="R713" s="31"/>
      <c r="S713" s="31"/>
      <c r="T713" s="10"/>
      <c r="U713" s="10"/>
      <c r="V713" s="10"/>
      <c r="W713" s="12">
        <f t="shared" si="203"/>
        <v>0</v>
      </c>
      <c r="Y713" s="10"/>
      <c r="Z713" s="31"/>
      <c r="AA713" s="31"/>
      <c r="AB713" s="31"/>
      <c r="AC713" s="31"/>
      <c r="AD713" s="31"/>
      <c r="AE713" s="31"/>
      <c r="AF713" s="10"/>
      <c r="AG713" s="10"/>
      <c r="AH713" s="10"/>
      <c r="AI713" s="12">
        <f t="shared" si="211"/>
        <v>0</v>
      </c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B714" s="57"/>
      <c r="C714" s="57"/>
      <c r="D714" s="36"/>
      <c r="E714" s="36"/>
      <c r="F714" s="36"/>
      <c r="G714" s="36"/>
      <c r="H714" s="37"/>
      <c r="I714" s="37"/>
      <c r="J714" s="37"/>
      <c r="K714" s="37"/>
      <c r="N714" s="57"/>
      <c r="O714" s="57"/>
      <c r="P714" s="36"/>
      <c r="Q714" s="36"/>
      <c r="R714" s="36"/>
      <c r="S714" s="36"/>
      <c r="T714" s="37"/>
      <c r="U714" s="37"/>
      <c r="V714" s="37"/>
      <c r="W714" s="37"/>
      <c r="Z714" s="57"/>
      <c r="AA714" s="57"/>
      <c r="AB714" s="36"/>
      <c r="AC714" s="36"/>
      <c r="AD714" s="36"/>
      <c r="AE714" s="36"/>
      <c r="AF714" s="37"/>
      <c r="AG714" s="37"/>
      <c r="AH714" s="37"/>
      <c r="AI714" s="37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B715" s="57"/>
      <c r="C715" s="57"/>
      <c r="D715" s="38">
        <f>SUM(D672:D714)</f>
        <v>467558.5</v>
      </c>
      <c r="E715" s="38">
        <f t="shared" ref="E715:F715" si="216">SUM(E672:E712)</f>
        <v>-3312</v>
      </c>
      <c r="F715" s="38">
        <f t="shared" si="216"/>
        <v>0</v>
      </c>
      <c r="G715" s="38">
        <f>SUM(G672:G714)</f>
        <v>464246.5</v>
      </c>
      <c r="H715" s="4"/>
      <c r="I715" s="39">
        <f>SUM(I672:I714)</f>
        <v>468</v>
      </c>
      <c r="J715" s="39">
        <f>SUM(J672:J714)</f>
        <v>-20793</v>
      </c>
      <c r="K715" s="40">
        <f>SUM(K672:K714)</f>
        <v>443921.5</v>
      </c>
      <c r="N715" s="57"/>
      <c r="O715" s="57"/>
      <c r="P715" s="38">
        <f>SUM(P672:P714)</f>
        <v>330828</v>
      </c>
      <c r="Q715" s="38">
        <f>SUM(Q672:Q696)</f>
        <v>-2874</v>
      </c>
      <c r="R715" s="38">
        <f>SUM(R672:R696)</f>
        <v>0</v>
      </c>
      <c r="S715" s="38">
        <f>SUM(S672:S714)</f>
        <v>327954</v>
      </c>
      <c r="T715" s="4"/>
      <c r="U715" s="41">
        <f>SUM(U672:U714)</f>
        <v>2439</v>
      </c>
      <c r="V715" s="41">
        <f>SUM(V672:V696)</f>
        <v>-672</v>
      </c>
      <c r="W715" s="42">
        <f>SUM(W672:W714)</f>
        <v>329721</v>
      </c>
      <c r="Z715" s="57"/>
      <c r="AA715" s="57"/>
      <c r="AB715" s="38">
        <f>SUM(AB672:AB714)</f>
        <v>337111</v>
      </c>
      <c r="AC715" s="38">
        <f>SUM(AC672:AC696)</f>
        <v>-1956</v>
      </c>
      <c r="AD715" s="38">
        <f>SUM(AD672:AD696)</f>
        <v>0</v>
      </c>
      <c r="AE715" s="38">
        <f>SUM(AE672:AE714)</f>
        <v>335155</v>
      </c>
      <c r="AF715" s="4"/>
      <c r="AG715" s="41">
        <f>SUM(AG672:AG714)</f>
        <v>7488</v>
      </c>
      <c r="AH715" s="41">
        <f>SUM(AH672:AH696)</f>
        <v>-12432</v>
      </c>
      <c r="AI715" s="42">
        <f>SUM(AI672:AI714)</f>
        <v>330211</v>
      </c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Y716" s="18"/>
      <c r="Z716" s="18"/>
      <c r="AA716" s="18"/>
      <c r="AB716" s="18"/>
      <c r="AC716" s="18"/>
      <c r="AD716" s="18"/>
      <c r="AE716" s="18"/>
      <c r="AF716" s="18"/>
      <c r="AG716" s="18"/>
      <c r="AH716" s="18"/>
      <c r="AI716" s="18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t="s">
        <v>0</v>
      </c>
      <c r="B717" s="57"/>
      <c r="C717" s="57"/>
      <c r="D717" s="57"/>
      <c r="E717" s="57"/>
      <c r="G717" s="57"/>
      <c r="M717" t="s">
        <v>0</v>
      </c>
      <c r="N717" s="57"/>
      <c r="O717" s="57"/>
      <c r="P717" s="57"/>
      <c r="Q717" s="57"/>
      <c r="R717" s="57"/>
      <c r="S717" s="57"/>
      <c r="Y717" t="s">
        <v>0</v>
      </c>
      <c r="Z717" s="57"/>
      <c r="AA717" s="57"/>
      <c r="AB717" s="57"/>
      <c r="AC717" s="57"/>
      <c r="AD717" s="57"/>
      <c r="AE717" s="57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t="s">
        <v>28</v>
      </c>
      <c r="B718" s="57"/>
      <c r="C718" s="57"/>
      <c r="D718" s="57"/>
      <c r="E718" s="57"/>
      <c r="G718" s="57"/>
      <c r="M718" t="s">
        <v>28</v>
      </c>
      <c r="N718" s="57"/>
      <c r="O718" s="57"/>
      <c r="P718" s="57"/>
      <c r="Q718" s="57"/>
      <c r="R718" s="57"/>
      <c r="S718" s="57"/>
      <c r="Y718" t="s">
        <v>28</v>
      </c>
      <c r="Z718" s="57"/>
      <c r="AA718" s="57"/>
      <c r="AB718" s="57"/>
      <c r="AC718" s="57"/>
      <c r="AD718" s="57"/>
      <c r="AE718" s="57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B719" s="57"/>
      <c r="C719" s="57"/>
      <c r="D719" s="57"/>
      <c r="E719" s="57"/>
      <c r="G719" s="57"/>
      <c r="N719" s="57"/>
      <c r="O719" s="57"/>
      <c r="P719" s="57"/>
      <c r="Q719" s="57"/>
      <c r="R719" s="57"/>
      <c r="S719" s="57"/>
      <c r="Z719" s="57"/>
      <c r="AA719" s="57"/>
      <c r="AB719" s="57"/>
      <c r="AC719" s="57"/>
      <c r="AD719" s="57"/>
      <c r="AE719" s="57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4" t="s">
        <v>14</v>
      </c>
      <c r="B720" s="57"/>
      <c r="C720" s="57"/>
      <c r="D720" s="57"/>
      <c r="E720" s="57"/>
      <c r="G720" s="57"/>
      <c r="M720" s="4" t="s">
        <v>14</v>
      </c>
      <c r="N720" s="57"/>
      <c r="O720" s="57"/>
      <c r="P720" s="57"/>
      <c r="Q720" s="57"/>
      <c r="R720" s="57"/>
      <c r="S720" s="57"/>
      <c r="Y720" s="4" t="s">
        <v>14</v>
      </c>
      <c r="Z720" s="57"/>
      <c r="AA720" s="57"/>
      <c r="AB720" s="57"/>
      <c r="AC720" s="57"/>
      <c r="AD720" s="57"/>
      <c r="AE720" s="57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B721" s="57"/>
      <c r="C721" s="57"/>
      <c r="D721" s="57"/>
      <c r="E721" s="57"/>
      <c r="G721" s="57"/>
      <c r="N721" s="57"/>
      <c r="O721" s="57"/>
      <c r="P721" s="57"/>
      <c r="Q721" s="57"/>
      <c r="R721" s="57"/>
      <c r="S721" s="57"/>
      <c r="Z721" s="57"/>
      <c r="AA721" s="57"/>
      <c r="AB721" s="57"/>
      <c r="AC721" s="57"/>
      <c r="AD721" s="57"/>
      <c r="AE721" s="57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t="s">
        <v>48</v>
      </c>
      <c r="B722" s="57"/>
      <c r="C722" s="57"/>
      <c r="D722" s="57"/>
      <c r="E722" s="57"/>
      <c r="G722" s="57"/>
      <c r="I722" s="57" t="s">
        <v>15</v>
      </c>
      <c r="J722" s="19">
        <v>1</v>
      </c>
      <c r="M722" t="s">
        <v>48</v>
      </c>
      <c r="N722" s="57"/>
      <c r="O722" s="57"/>
      <c r="P722" s="57"/>
      <c r="Q722" s="57"/>
      <c r="R722" s="57"/>
      <c r="S722" s="57"/>
      <c r="U722" s="57" t="s">
        <v>15</v>
      </c>
      <c r="V722" s="19">
        <v>2</v>
      </c>
      <c r="Y722" t="s">
        <v>48</v>
      </c>
      <c r="Z722" s="57"/>
      <c r="AA722" s="57"/>
      <c r="AB722" s="57"/>
      <c r="AC722" s="57"/>
      <c r="AD722" s="57"/>
      <c r="AE722" s="57"/>
      <c r="AG722" s="57" t="s">
        <v>15</v>
      </c>
      <c r="AH722" s="20">
        <v>3</v>
      </c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21" t="s">
        <v>77</v>
      </c>
      <c r="B723" s="20"/>
      <c r="C723" s="57"/>
      <c r="D723" s="57"/>
      <c r="E723" s="57"/>
      <c r="G723" s="57"/>
      <c r="I723" s="22" t="s">
        <v>16</v>
      </c>
      <c r="J723" s="23" t="s">
        <v>31</v>
      </c>
      <c r="K723" s="24"/>
      <c r="M723" s="21" t="s">
        <v>77</v>
      </c>
      <c r="N723" s="20"/>
      <c r="O723" s="57"/>
      <c r="P723" s="57"/>
      <c r="Q723" s="57"/>
      <c r="R723" s="57"/>
      <c r="S723" s="57"/>
      <c r="U723" s="22" t="s">
        <v>16</v>
      </c>
      <c r="V723" s="23" t="s">
        <v>33</v>
      </c>
      <c r="W723" s="24"/>
      <c r="Y723" s="21" t="s">
        <v>77</v>
      </c>
      <c r="Z723" s="20"/>
      <c r="AA723" s="57"/>
      <c r="AB723" s="57"/>
      <c r="AC723" s="57"/>
      <c r="AD723" s="57"/>
      <c r="AE723" s="57"/>
      <c r="AG723" s="22" t="s">
        <v>16</v>
      </c>
      <c r="AH723" s="23" t="s">
        <v>34</v>
      </c>
      <c r="AI723" s="24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B724" s="57"/>
      <c r="C724" s="57"/>
      <c r="D724" s="57"/>
      <c r="E724" s="57"/>
      <c r="G724" s="57"/>
      <c r="N724" s="57"/>
      <c r="O724" s="57"/>
      <c r="P724" s="57"/>
      <c r="Q724" s="57"/>
      <c r="R724" s="57"/>
      <c r="S724" s="57"/>
      <c r="Z724" s="57"/>
      <c r="AA724" s="57"/>
      <c r="AB724" s="57"/>
      <c r="AC724" s="57"/>
      <c r="AD724" s="57"/>
      <c r="AE724" s="57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B725" s="25"/>
      <c r="C725" s="26"/>
      <c r="D725" s="120" t="s">
        <v>17</v>
      </c>
      <c r="E725" s="120"/>
      <c r="F725" s="104"/>
      <c r="G725" s="27"/>
      <c r="I725" s="118" t="s">
        <v>18</v>
      </c>
      <c r="J725" s="119"/>
      <c r="K725" s="116" t="s">
        <v>19</v>
      </c>
      <c r="N725" s="25"/>
      <c r="O725" s="26"/>
      <c r="P725" s="120" t="s">
        <v>17</v>
      </c>
      <c r="Q725" s="120"/>
      <c r="R725" s="104"/>
      <c r="S725" s="27"/>
      <c r="U725" s="118" t="s">
        <v>18</v>
      </c>
      <c r="V725" s="119"/>
      <c r="W725" s="116" t="s">
        <v>19</v>
      </c>
      <c r="Z725" s="25"/>
      <c r="AA725" s="26"/>
      <c r="AB725" s="120" t="s">
        <v>17</v>
      </c>
      <c r="AC725" s="120"/>
      <c r="AD725" s="104"/>
      <c r="AE725" s="27"/>
      <c r="AG725" s="118" t="s">
        <v>18</v>
      </c>
      <c r="AH725" s="119"/>
      <c r="AI725" s="116" t="s">
        <v>19</v>
      </c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ht="30" x14ac:dyDescent="0.25">
      <c r="B726" s="28" t="s">
        <v>20</v>
      </c>
      <c r="C726" s="28" t="s">
        <v>21</v>
      </c>
      <c r="D726" s="77" t="s">
        <v>22</v>
      </c>
      <c r="E726" s="76" t="s">
        <v>23</v>
      </c>
      <c r="F726" s="78" t="s">
        <v>32</v>
      </c>
      <c r="G726" s="78" t="s">
        <v>24</v>
      </c>
      <c r="I726" s="29" t="s">
        <v>25</v>
      </c>
      <c r="J726" s="29" t="s">
        <v>26</v>
      </c>
      <c r="K726" s="117"/>
      <c r="N726" s="28" t="s">
        <v>20</v>
      </c>
      <c r="O726" s="28" t="s">
        <v>21</v>
      </c>
      <c r="P726" s="77" t="s">
        <v>22</v>
      </c>
      <c r="Q726" s="78" t="s">
        <v>23</v>
      </c>
      <c r="R726" s="78" t="s">
        <v>32</v>
      </c>
      <c r="S726" s="78" t="s">
        <v>24</v>
      </c>
      <c r="U726" s="29" t="s">
        <v>25</v>
      </c>
      <c r="V726" s="29" t="s">
        <v>26</v>
      </c>
      <c r="W726" s="117"/>
      <c r="Z726" s="28" t="s">
        <v>20</v>
      </c>
      <c r="AA726" s="28" t="s">
        <v>21</v>
      </c>
      <c r="AB726" s="77" t="s">
        <v>22</v>
      </c>
      <c r="AC726" s="78" t="s">
        <v>23</v>
      </c>
      <c r="AD726" s="78" t="s">
        <v>32</v>
      </c>
      <c r="AE726" s="78" t="s">
        <v>24</v>
      </c>
      <c r="AG726" s="29" t="s">
        <v>25</v>
      </c>
      <c r="AH726" s="29" t="s">
        <v>26</v>
      </c>
      <c r="AI726" s="117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10">
        <v>1</v>
      </c>
      <c r="B727" s="30" t="s">
        <v>78</v>
      </c>
      <c r="C727" s="83">
        <v>10221</v>
      </c>
      <c r="D727" s="32">
        <f>650*22+670*2+622*10</f>
        <v>21860</v>
      </c>
      <c r="E727" s="32"/>
      <c r="F727" s="32"/>
      <c r="G727" s="32">
        <f t="shared" ref="G727:G760" si="217">SUM(D727:E727)</f>
        <v>21860</v>
      </c>
      <c r="H727" s="12"/>
      <c r="I727" s="12"/>
      <c r="J727" s="12"/>
      <c r="K727" s="12">
        <f t="shared" ref="K727:K760" si="218">SUM(G727:J727)</f>
        <v>21860</v>
      </c>
      <c r="M727" s="10">
        <v>1</v>
      </c>
      <c r="N727" s="30" t="s">
        <v>78</v>
      </c>
      <c r="O727" s="31">
        <v>10181</v>
      </c>
      <c r="P727" s="32">
        <f>650*15+622*10+872</f>
        <v>16842</v>
      </c>
      <c r="Q727" s="32"/>
      <c r="R727" s="32"/>
      <c r="S727" s="32">
        <f>SUM(P727:Q727)</f>
        <v>16842</v>
      </c>
      <c r="T727" s="12"/>
      <c r="U727" s="12"/>
      <c r="V727" s="12">
        <v>-1332</v>
      </c>
      <c r="W727" s="12">
        <f>SUM(S727:V727)</f>
        <v>15510</v>
      </c>
      <c r="Y727" s="10">
        <v>1</v>
      </c>
      <c r="Z727" s="30" t="s">
        <v>78</v>
      </c>
      <c r="AA727" s="31">
        <v>10124</v>
      </c>
      <c r="AB727" s="32">
        <f>650*50+912*2+1102*2+872+229*2+650*3</f>
        <v>39808</v>
      </c>
      <c r="AC727" s="32">
        <f>-55*6</f>
        <v>-330</v>
      </c>
      <c r="AD727" s="32"/>
      <c r="AE727" s="32">
        <f>SUM(AB727:AC727)</f>
        <v>39478</v>
      </c>
      <c r="AF727" s="12"/>
      <c r="AG727" s="12"/>
      <c r="AH727" s="12"/>
      <c r="AI727" s="12">
        <f>SUM(AE727:AH727)</f>
        <v>39478</v>
      </c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10">
        <v>2</v>
      </c>
      <c r="B728" s="30" t="s">
        <v>78</v>
      </c>
      <c r="C728" s="83">
        <f>C727+1</f>
        <v>10222</v>
      </c>
      <c r="D728" s="32">
        <f>650*15+1175*6+1102*4+650*5</f>
        <v>24458</v>
      </c>
      <c r="E728" s="32"/>
      <c r="F728" s="32"/>
      <c r="G728" s="32">
        <f t="shared" si="217"/>
        <v>24458</v>
      </c>
      <c r="H728" s="12"/>
      <c r="I728" s="12"/>
      <c r="J728" s="12"/>
      <c r="K728" s="12">
        <f t="shared" si="218"/>
        <v>24458</v>
      </c>
      <c r="M728" s="10">
        <v>2</v>
      </c>
      <c r="N728" s="30" t="s">
        <v>78</v>
      </c>
      <c r="O728" s="31">
        <f>O727+1</f>
        <v>10182</v>
      </c>
      <c r="P728" s="32">
        <f>650*216+670*6+229*5</f>
        <v>145565</v>
      </c>
      <c r="Q728" s="32">
        <f>-222*6</f>
        <v>-1332</v>
      </c>
      <c r="R728" s="32"/>
      <c r="S728" s="32">
        <f t="shared" ref="S728:S765" si="219">SUM(P728:Q728)</f>
        <v>144233</v>
      </c>
      <c r="T728" s="12"/>
      <c r="U728" s="12">
        <v>180</v>
      </c>
      <c r="V728" s="12"/>
      <c r="W728" s="12">
        <f t="shared" ref="W728:W768" si="220">SUM(S728:V728)</f>
        <v>144413</v>
      </c>
      <c r="Y728" s="10">
        <v>2</v>
      </c>
      <c r="Z728" s="30" t="s">
        <v>78</v>
      </c>
      <c r="AA728" s="31">
        <f>AA727+1</f>
        <v>10125</v>
      </c>
      <c r="AB728" s="32">
        <f>650*166+670*50+973*3+622*50+500*2+872*21+229*9+650*20</f>
        <v>209792</v>
      </c>
      <c r="AC728" s="32">
        <f>-290*6</f>
        <v>-1740</v>
      </c>
      <c r="AD728" s="32"/>
      <c r="AE728" s="32">
        <f t="shared" ref="AE728:AE730" si="221">SUM(AB728:AC728)</f>
        <v>208052</v>
      </c>
      <c r="AF728" s="12"/>
      <c r="AG728" s="12"/>
      <c r="AH728" s="12"/>
      <c r="AI728" s="12">
        <f t="shared" ref="AI728:AI759" si="222">SUM(AE728:AH728)</f>
        <v>208052</v>
      </c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10">
        <v>3</v>
      </c>
      <c r="B729" s="30" t="s">
        <v>78</v>
      </c>
      <c r="C729" s="83">
        <f t="shared" ref="C729:C731" si="223">C728+1</f>
        <v>10223</v>
      </c>
      <c r="D729" s="33">
        <f>650*11</f>
        <v>7150</v>
      </c>
      <c r="E729" s="32"/>
      <c r="F729" s="33"/>
      <c r="G729" s="33">
        <f t="shared" si="217"/>
        <v>7150</v>
      </c>
      <c r="H729" s="34"/>
      <c r="I729" s="34"/>
      <c r="J729" s="34"/>
      <c r="K729" s="34">
        <f t="shared" si="218"/>
        <v>7150</v>
      </c>
      <c r="M729" s="10">
        <v>3</v>
      </c>
      <c r="N729" s="30" t="s">
        <v>78</v>
      </c>
      <c r="O729" s="31">
        <f t="shared" ref="O729:O736" si="224">O728+1</f>
        <v>10183</v>
      </c>
      <c r="P729" s="32">
        <f>650*20</f>
        <v>13000</v>
      </c>
      <c r="Q729" s="32"/>
      <c r="R729" s="32"/>
      <c r="S729" s="32">
        <f t="shared" si="219"/>
        <v>13000</v>
      </c>
      <c r="T729" s="12"/>
      <c r="U729" s="12">
        <v>13.5</v>
      </c>
      <c r="V729" s="12"/>
      <c r="W729" s="12">
        <f t="shared" si="220"/>
        <v>13013.5</v>
      </c>
      <c r="Y729" s="10">
        <v>3</v>
      </c>
      <c r="Z729" s="30" t="s">
        <v>78</v>
      </c>
      <c r="AA729" s="31">
        <f t="shared" ref="AA729:AA731" si="225">AA728+1</f>
        <v>10126</v>
      </c>
      <c r="AB729" s="33">
        <f>650*108+229*4</f>
        <v>71116</v>
      </c>
      <c r="AC729" s="33">
        <f>-108*6</f>
        <v>-648</v>
      </c>
      <c r="AD729" s="32"/>
      <c r="AE729" s="32">
        <f t="shared" si="221"/>
        <v>70468</v>
      </c>
      <c r="AF729" s="12"/>
      <c r="AG729" s="12"/>
      <c r="AH729" s="12"/>
      <c r="AI729" s="12">
        <f t="shared" si="222"/>
        <v>70468</v>
      </c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10">
        <v>4</v>
      </c>
      <c r="B730" s="30" t="s">
        <v>78</v>
      </c>
      <c r="C730" s="83">
        <f t="shared" si="223"/>
        <v>10224</v>
      </c>
      <c r="D730" s="32">
        <f>650*50</f>
        <v>32500</v>
      </c>
      <c r="E730" s="32"/>
      <c r="F730" s="32"/>
      <c r="G730" s="32">
        <f t="shared" si="217"/>
        <v>32500</v>
      </c>
      <c r="H730" s="12"/>
      <c r="I730" s="12">
        <f>32*111</f>
        <v>3552</v>
      </c>
      <c r="J730" s="12"/>
      <c r="K730" s="12">
        <f t="shared" si="218"/>
        <v>36052</v>
      </c>
      <c r="M730" s="10">
        <v>4</v>
      </c>
      <c r="N730" s="30" t="s">
        <v>78</v>
      </c>
      <c r="O730" s="31">
        <f t="shared" si="224"/>
        <v>10184</v>
      </c>
      <c r="P730" s="32">
        <f>650*60+622*10+229*2</f>
        <v>45678</v>
      </c>
      <c r="Q730" s="32"/>
      <c r="R730" s="32"/>
      <c r="S730" s="32">
        <f t="shared" si="219"/>
        <v>45678</v>
      </c>
      <c r="T730" s="12"/>
      <c r="U730" s="12">
        <v>54</v>
      </c>
      <c r="V730" s="12"/>
      <c r="W730" s="12">
        <f t="shared" si="220"/>
        <v>45732</v>
      </c>
      <c r="Y730" s="10">
        <v>4</v>
      </c>
      <c r="Z730" s="30" t="s">
        <v>78</v>
      </c>
      <c r="AA730" s="31">
        <f t="shared" si="225"/>
        <v>10127</v>
      </c>
      <c r="AB730" s="32">
        <f>650*65+622*7+912</f>
        <v>47516</v>
      </c>
      <c r="AC730" s="32">
        <f>-73*6</f>
        <v>-438</v>
      </c>
      <c r="AD730" s="32"/>
      <c r="AE730" s="32">
        <f t="shared" si="221"/>
        <v>47078</v>
      </c>
      <c r="AF730" s="12"/>
      <c r="AH730" s="12"/>
      <c r="AI730" s="12">
        <f t="shared" si="222"/>
        <v>47078</v>
      </c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10">
        <v>5</v>
      </c>
      <c r="B731" s="30" t="s">
        <v>78</v>
      </c>
      <c r="C731" s="83">
        <f t="shared" si="223"/>
        <v>10225</v>
      </c>
      <c r="D731" s="32">
        <f>650*324+973*5+622*108+650*2+229*17+500*5</f>
        <v>290334</v>
      </c>
      <c r="E731" s="32">
        <f>-437*6</f>
        <v>-2622</v>
      </c>
      <c r="F731" s="32"/>
      <c r="G731" s="32">
        <f t="shared" si="217"/>
        <v>287712</v>
      </c>
      <c r="H731" s="12"/>
      <c r="I731" s="12">
        <f>5883+780</f>
        <v>6663</v>
      </c>
      <c r="J731" s="12">
        <f>-600+-1470+-21</f>
        <v>-2091</v>
      </c>
      <c r="K731" s="12">
        <f t="shared" si="218"/>
        <v>292284</v>
      </c>
      <c r="M731" s="10">
        <v>5</v>
      </c>
      <c r="N731" s="30" t="s">
        <v>78</v>
      </c>
      <c r="O731" s="31">
        <f t="shared" si="224"/>
        <v>10185</v>
      </c>
      <c r="P731" s="32">
        <f>650*20</f>
        <v>13000</v>
      </c>
      <c r="Q731" s="32"/>
      <c r="R731" s="32"/>
      <c r="S731" s="32">
        <f t="shared" si="219"/>
        <v>13000</v>
      </c>
      <c r="T731" s="12"/>
      <c r="U731" s="12">
        <v>168</v>
      </c>
      <c r="V731" s="12"/>
      <c r="W731" s="12">
        <f t="shared" si="220"/>
        <v>13168</v>
      </c>
      <c r="Y731" s="10">
        <v>5</v>
      </c>
      <c r="Z731" s="30" t="s">
        <v>78</v>
      </c>
      <c r="AA731" s="31">
        <f t="shared" si="225"/>
        <v>10128</v>
      </c>
      <c r="AB731" s="32">
        <f>650*15</f>
        <v>9750</v>
      </c>
      <c r="AC731" s="32"/>
      <c r="AD731" s="32"/>
      <c r="AE731" s="32">
        <f t="shared" ref="AE731:AE732" si="226">SUM(AB731:AC731)</f>
        <v>9750</v>
      </c>
      <c r="AF731" s="12"/>
      <c r="AG731" s="12"/>
      <c r="AH731" s="12"/>
      <c r="AI731" s="12">
        <f t="shared" si="222"/>
        <v>9750</v>
      </c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10">
        <v>6</v>
      </c>
      <c r="B732" s="30"/>
      <c r="C732" s="11" t="s">
        <v>27</v>
      </c>
      <c r="D732" s="32"/>
      <c r="E732" s="32"/>
      <c r="F732" s="32"/>
      <c r="G732" s="32">
        <f t="shared" si="217"/>
        <v>0</v>
      </c>
      <c r="H732" s="12"/>
      <c r="I732" s="12"/>
      <c r="J732" s="12"/>
      <c r="K732" s="12">
        <f t="shared" si="218"/>
        <v>0</v>
      </c>
      <c r="M732" s="10">
        <v>6</v>
      </c>
      <c r="N732" s="30" t="s">
        <v>78</v>
      </c>
      <c r="O732" s="31">
        <f t="shared" si="224"/>
        <v>10186</v>
      </c>
      <c r="P732" s="32">
        <f>650*14+622+872</f>
        <v>10594</v>
      </c>
      <c r="Q732" s="32"/>
      <c r="R732" s="32"/>
      <c r="S732" s="32">
        <f t="shared" si="219"/>
        <v>10594</v>
      </c>
      <c r="T732" s="12"/>
      <c r="U732" s="12"/>
      <c r="V732" s="10">
        <v>-1332</v>
      </c>
      <c r="W732" s="12">
        <f t="shared" si="220"/>
        <v>9262</v>
      </c>
      <c r="Y732" s="10">
        <v>6</v>
      </c>
      <c r="Z732" s="30"/>
      <c r="AA732" s="11" t="s">
        <v>27</v>
      </c>
      <c r="AB732" s="32"/>
      <c r="AC732" s="32"/>
      <c r="AD732" s="32"/>
      <c r="AE732" s="32">
        <f t="shared" si="226"/>
        <v>0</v>
      </c>
      <c r="AF732" s="12"/>
      <c r="AG732" s="12"/>
      <c r="AH732" s="10"/>
      <c r="AI732" s="12">
        <f t="shared" si="222"/>
        <v>0</v>
      </c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10">
        <v>7</v>
      </c>
      <c r="B733" s="30"/>
      <c r="C733" s="83"/>
      <c r="D733" s="32"/>
      <c r="E733" s="32"/>
      <c r="F733" s="32"/>
      <c r="G733" s="32">
        <f t="shared" si="217"/>
        <v>0</v>
      </c>
      <c r="H733" s="12"/>
      <c r="I733" s="12"/>
      <c r="J733" s="12"/>
      <c r="K733" s="12">
        <f t="shared" si="218"/>
        <v>0</v>
      </c>
      <c r="M733" s="10">
        <v>7</v>
      </c>
      <c r="N733" s="30" t="s">
        <v>78</v>
      </c>
      <c r="O733" s="31">
        <f t="shared" si="224"/>
        <v>10187</v>
      </c>
      <c r="P733" s="32">
        <f>650*12+9.5*13</f>
        <v>7923.5</v>
      </c>
      <c r="Q733" s="32"/>
      <c r="R733" s="32"/>
      <c r="S733" s="32">
        <f t="shared" si="219"/>
        <v>7923.5</v>
      </c>
      <c r="T733" s="12"/>
      <c r="U733" s="12"/>
      <c r="V733" s="12"/>
      <c r="W733" s="12">
        <f t="shared" si="220"/>
        <v>7923.5</v>
      </c>
      <c r="Y733" s="10">
        <v>7</v>
      </c>
      <c r="Z733" s="30"/>
      <c r="AA733" s="31"/>
      <c r="AB733" s="32"/>
      <c r="AC733" s="32"/>
      <c r="AD733" s="32"/>
      <c r="AE733" s="32">
        <f>SUM(AB733:AC733)</f>
        <v>0</v>
      </c>
      <c r="AF733" s="12"/>
      <c r="AG733" s="58"/>
      <c r="AH733" s="12"/>
      <c r="AI733" s="12">
        <f t="shared" si="222"/>
        <v>0</v>
      </c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10">
        <v>8</v>
      </c>
      <c r="B734" s="30"/>
      <c r="C734" s="83"/>
      <c r="D734" s="32"/>
      <c r="E734" s="32"/>
      <c r="F734" s="32"/>
      <c r="G734" s="32">
        <f t="shared" si="217"/>
        <v>0</v>
      </c>
      <c r="H734" s="12"/>
      <c r="I734" s="12"/>
      <c r="J734" s="12"/>
      <c r="K734" s="12">
        <f t="shared" si="218"/>
        <v>0</v>
      </c>
      <c r="M734" s="10">
        <v>8</v>
      </c>
      <c r="N734" s="30" t="s">
        <v>78</v>
      </c>
      <c r="O734" s="31">
        <f t="shared" si="224"/>
        <v>10188</v>
      </c>
      <c r="P734" s="32">
        <f>650*2+9.5*2</f>
        <v>1319</v>
      </c>
      <c r="Q734" s="32"/>
      <c r="R734" s="32"/>
      <c r="S734" s="32">
        <f t="shared" si="219"/>
        <v>1319</v>
      </c>
      <c r="T734" s="12"/>
      <c r="U734" s="12">
        <v>36</v>
      </c>
      <c r="V734" s="12"/>
      <c r="W734" s="12">
        <f t="shared" si="220"/>
        <v>1355</v>
      </c>
      <c r="Y734" s="10">
        <v>8</v>
      </c>
      <c r="Z734" s="30"/>
      <c r="AA734" s="31"/>
      <c r="AB734" s="32"/>
      <c r="AC734" s="32"/>
      <c r="AE734" s="32">
        <f t="shared" ref="AE734:AE765" si="227">SUM(AB734:AC734)</f>
        <v>0</v>
      </c>
      <c r="AF734" s="12"/>
      <c r="AG734" s="12"/>
      <c r="AH734" s="12"/>
      <c r="AI734" s="12">
        <f t="shared" si="222"/>
        <v>0</v>
      </c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10">
        <v>9</v>
      </c>
      <c r="B735" s="30"/>
      <c r="C735" s="83"/>
      <c r="D735" s="32"/>
      <c r="E735" s="32"/>
      <c r="F735" s="32"/>
      <c r="G735" s="32">
        <f t="shared" si="217"/>
        <v>0</v>
      </c>
      <c r="H735" s="12"/>
      <c r="I735" s="12"/>
      <c r="J735" s="12"/>
      <c r="K735" s="12">
        <f t="shared" si="218"/>
        <v>0</v>
      </c>
      <c r="M735" s="10">
        <v>9</v>
      </c>
      <c r="N735" s="30" t="s">
        <v>78</v>
      </c>
      <c r="O735" s="31">
        <f t="shared" si="224"/>
        <v>10189</v>
      </c>
      <c r="P735" s="32">
        <f>650*5+9.5*5</f>
        <v>3297.5</v>
      </c>
      <c r="Q735" s="32"/>
      <c r="R735" s="32"/>
      <c r="S735" s="32">
        <f t="shared" si="219"/>
        <v>3297.5</v>
      </c>
      <c r="T735" s="12"/>
      <c r="U735" s="12"/>
      <c r="V735" s="12"/>
      <c r="W735" s="12">
        <f t="shared" si="220"/>
        <v>3297.5</v>
      </c>
      <c r="Y735" s="10">
        <v>9</v>
      </c>
      <c r="Z735" s="30"/>
      <c r="AA735" s="11"/>
      <c r="AB735" s="32"/>
      <c r="AC735" s="32"/>
      <c r="AD735" s="32"/>
      <c r="AE735" s="32">
        <f t="shared" si="227"/>
        <v>0</v>
      </c>
      <c r="AF735" s="12"/>
      <c r="AH735" s="12"/>
      <c r="AI735" s="12">
        <f t="shared" si="222"/>
        <v>0</v>
      </c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10">
        <v>10</v>
      </c>
      <c r="B736" s="30"/>
      <c r="C736" s="83"/>
      <c r="D736" s="32"/>
      <c r="E736" s="32"/>
      <c r="F736" s="32"/>
      <c r="G736" s="32">
        <f t="shared" si="217"/>
        <v>0</v>
      </c>
      <c r="H736" s="12"/>
      <c r="I736" s="12"/>
      <c r="J736" s="12"/>
      <c r="K736" s="12">
        <f t="shared" si="218"/>
        <v>0</v>
      </c>
      <c r="M736" s="10">
        <v>10</v>
      </c>
      <c r="N736" s="30" t="s">
        <v>78</v>
      </c>
      <c r="O736" s="31">
        <f t="shared" si="224"/>
        <v>10190</v>
      </c>
      <c r="P736" s="32">
        <f>650*2+9.5*2</f>
        <v>1319</v>
      </c>
      <c r="Q736" s="32"/>
      <c r="R736" s="32"/>
      <c r="S736" s="32">
        <f t="shared" si="219"/>
        <v>1319</v>
      </c>
      <c r="T736" s="12"/>
      <c r="U736" s="12"/>
      <c r="V736" s="12"/>
      <c r="W736" s="12">
        <f t="shared" si="220"/>
        <v>1319</v>
      </c>
      <c r="Y736" s="10">
        <v>10</v>
      </c>
      <c r="Z736" s="30"/>
      <c r="AB736" s="32"/>
      <c r="AC736" s="32"/>
      <c r="AD736" s="32"/>
      <c r="AE736" s="32">
        <f t="shared" si="227"/>
        <v>0</v>
      </c>
      <c r="AF736" s="12"/>
      <c r="AG736" s="12"/>
      <c r="AH736" s="12"/>
      <c r="AI736" s="12">
        <f t="shared" si="222"/>
        <v>0</v>
      </c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10">
        <v>11</v>
      </c>
      <c r="B737" s="30"/>
      <c r="C737" s="83"/>
      <c r="D737" s="32"/>
      <c r="E737" s="32"/>
      <c r="F737" s="32"/>
      <c r="G737" s="32">
        <f t="shared" si="217"/>
        <v>0</v>
      </c>
      <c r="H737" s="12"/>
      <c r="I737" s="12"/>
      <c r="J737" s="12"/>
      <c r="K737" s="12">
        <f t="shared" si="218"/>
        <v>0</v>
      </c>
      <c r="M737" s="10">
        <v>11</v>
      </c>
      <c r="N737" s="30"/>
      <c r="O737" s="11" t="s">
        <v>27</v>
      </c>
      <c r="P737" s="32"/>
      <c r="Q737" s="32"/>
      <c r="R737" s="32"/>
      <c r="S737" s="32">
        <f t="shared" si="219"/>
        <v>0</v>
      </c>
      <c r="T737" s="12"/>
      <c r="U737" s="12"/>
      <c r="V737" s="12"/>
      <c r="W737" s="12">
        <f t="shared" si="220"/>
        <v>0</v>
      </c>
      <c r="Y737" s="10">
        <v>11</v>
      </c>
      <c r="Z737" s="30"/>
      <c r="AA737" s="31"/>
      <c r="AB737" s="32"/>
      <c r="AC737" s="32"/>
      <c r="AD737" s="32"/>
      <c r="AE737" s="32">
        <f t="shared" si="227"/>
        <v>0</v>
      </c>
      <c r="AF737" s="12"/>
      <c r="AG737" s="12"/>
      <c r="AH737" s="12"/>
      <c r="AI737" s="12">
        <f t="shared" si="222"/>
        <v>0</v>
      </c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10">
        <v>12</v>
      </c>
      <c r="B738" s="30"/>
      <c r="C738" s="83"/>
      <c r="D738" s="32"/>
      <c r="E738" s="32"/>
      <c r="F738" s="32"/>
      <c r="G738" s="32">
        <f t="shared" si="217"/>
        <v>0</v>
      </c>
      <c r="H738" s="12"/>
      <c r="I738" s="12"/>
      <c r="J738" s="10"/>
      <c r="K738" s="12">
        <f t="shared" si="218"/>
        <v>0</v>
      </c>
      <c r="M738" s="10">
        <v>12</v>
      </c>
      <c r="N738" s="30"/>
      <c r="O738" s="31"/>
      <c r="P738" s="32"/>
      <c r="Q738" s="32"/>
      <c r="R738" s="32"/>
      <c r="S738" s="32">
        <f t="shared" si="219"/>
        <v>0</v>
      </c>
      <c r="T738" s="12"/>
      <c r="U738" s="12"/>
      <c r="V738" s="12"/>
      <c r="W738" s="12">
        <f t="shared" si="220"/>
        <v>0</v>
      </c>
      <c r="Y738" s="10">
        <v>12</v>
      </c>
      <c r="Z738" s="30"/>
      <c r="AA738" s="31"/>
      <c r="AB738" s="32"/>
      <c r="AC738" s="32"/>
      <c r="AD738" s="32"/>
      <c r="AE738" s="32">
        <f t="shared" si="227"/>
        <v>0</v>
      </c>
      <c r="AF738" s="12"/>
      <c r="AG738" s="12"/>
      <c r="AH738" s="12"/>
      <c r="AI738" s="12">
        <f t="shared" si="222"/>
        <v>0</v>
      </c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10">
        <v>13</v>
      </c>
      <c r="B739" s="30"/>
      <c r="C739" s="83"/>
      <c r="D739" s="32"/>
      <c r="E739" s="32"/>
      <c r="F739" s="32"/>
      <c r="G739" s="32">
        <f t="shared" si="217"/>
        <v>0</v>
      </c>
      <c r="H739" s="12"/>
      <c r="I739" s="12"/>
      <c r="J739" s="12"/>
      <c r="K739" s="12">
        <f t="shared" si="218"/>
        <v>0</v>
      </c>
      <c r="M739" s="10">
        <v>13</v>
      </c>
      <c r="N739" s="30"/>
      <c r="O739" s="31"/>
      <c r="P739" s="32"/>
      <c r="Q739" s="32"/>
      <c r="R739" s="32"/>
      <c r="S739" s="32">
        <f t="shared" si="219"/>
        <v>0</v>
      </c>
      <c r="T739" s="12"/>
      <c r="U739" s="12"/>
      <c r="V739" s="12"/>
      <c r="W739" s="12">
        <f t="shared" si="220"/>
        <v>0</v>
      </c>
      <c r="Y739" s="10">
        <v>13</v>
      </c>
      <c r="Z739" s="30"/>
      <c r="AA739" s="31"/>
      <c r="AB739" s="32"/>
      <c r="AC739" s="32"/>
      <c r="AD739" s="32"/>
      <c r="AE739" s="32">
        <f t="shared" si="227"/>
        <v>0</v>
      </c>
      <c r="AF739" s="12"/>
      <c r="AG739" s="12"/>
      <c r="AH739" s="12"/>
      <c r="AI739" s="12">
        <f t="shared" si="222"/>
        <v>0</v>
      </c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10">
        <v>14</v>
      </c>
      <c r="B740" s="30"/>
      <c r="C740" s="83"/>
      <c r="D740" s="32"/>
      <c r="E740" s="32"/>
      <c r="F740" s="32"/>
      <c r="G740" s="32">
        <f t="shared" si="217"/>
        <v>0</v>
      </c>
      <c r="H740" s="12"/>
      <c r="I740" s="12"/>
      <c r="J740" s="12"/>
      <c r="K740" s="12">
        <f t="shared" si="218"/>
        <v>0</v>
      </c>
      <c r="M740" s="10">
        <v>14</v>
      </c>
      <c r="N740" s="30"/>
      <c r="O740" s="31"/>
      <c r="P740" s="32"/>
      <c r="Q740" s="32"/>
      <c r="R740" s="32"/>
      <c r="S740" s="32">
        <f t="shared" si="219"/>
        <v>0</v>
      </c>
      <c r="T740" s="12"/>
      <c r="U740" s="12"/>
      <c r="V740" s="12"/>
      <c r="W740" s="12">
        <f t="shared" si="220"/>
        <v>0</v>
      </c>
      <c r="Y740" s="10">
        <v>14</v>
      </c>
      <c r="Z740" s="30"/>
      <c r="AA740" s="31"/>
      <c r="AB740" s="32"/>
      <c r="AC740" s="32"/>
      <c r="AD740" s="32"/>
      <c r="AE740" s="32">
        <f t="shared" si="227"/>
        <v>0</v>
      </c>
      <c r="AF740" s="12"/>
      <c r="AG740" s="12"/>
      <c r="AH740" s="12"/>
      <c r="AI740" s="12">
        <f t="shared" si="222"/>
        <v>0</v>
      </c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10">
        <v>15</v>
      </c>
      <c r="B741" s="30"/>
      <c r="C741" s="83"/>
      <c r="D741" s="32"/>
      <c r="E741" s="32"/>
      <c r="F741" s="32"/>
      <c r="G741" s="32">
        <f t="shared" si="217"/>
        <v>0</v>
      </c>
      <c r="H741" s="12"/>
      <c r="I741" s="12"/>
      <c r="J741" s="12"/>
      <c r="K741" s="12">
        <f t="shared" si="218"/>
        <v>0</v>
      </c>
      <c r="M741" s="10">
        <v>15</v>
      </c>
      <c r="N741" s="30"/>
      <c r="O741" s="31"/>
      <c r="P741" s="32"/>
      <c r="Q741" s="32"/>
      <c r="R741" s="32"/>
      <c r="S741" s="32">
        <f t="shared" si="219"/>
        <v>0</v>
      </c>
      <c r="T741" s="12"/>
      <c r="U741" s="12"/>
      <c r="V741" s="12"/>
      <c r="W741" s="12">
        <f t="shared" si="220"/>
        <v>0</v>
      </c>
      <c r="Y741" s="10">
        <v>15</v>
      </c>
      <c r="Z741" s="30"/>
      <c r="AA741" s="31"/>
      <c r="AB741" s="32"/>
      <c r="AC741" s="32"/>
      <c r="AD741" s="32"/>
      <c r="AE741" s="32">
        <f t="shared" si="227"/>
        <v>0</v>
      </c>
      <c r="AF741" s="12"/>
      <c r="AG741" s="12"/>
      <c r="AH741" s="12"/>
      <c r="AI741" s="12">
        <f t="shared" si="222"/>
        <v>0</v>
      </c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10">
        <v>16</v>
      </c>
      <c r="B742" s="30"/>
      <c r="C742" s="11"/>
      <c r="D742" s="32"/>
      <c r="E742" s="32"/>
      <c r="F742" s="32"/>
      <c r="G742" s="32">
        <f t="shared" si="217"/>
        <v>0</v>
      </c>
      <c r="H742" s="12"/>
      <c r="I742" s="12"/>
      <c r="J742" s="12"/>
      <c r="K742" s="12">
        <f t="shared" si="218"/>
        <v>0</v>
      </c>
      <c r="M742" s="10">
        <v>16</v>
      </c>
      <c r="N742" s="30"/>
      <c r="O742" s="11"/>
      <c r="P742" s="32"/>
      <c r="Q742" s="32"/>
      <c r="R742" s="32"/>
      <c r="S742" s="32">
        <f t="shared" si="219"/>
        <v>0</v>
      </c>
      <c r="T742" s="12"/>
      <c r="U742" s="12"/>
      <c r="V742" s="12"/>
      <c r="W742" s="12">
        <f t="shared" si="220"/>
        <v>0</v>
      </c>
      <c r="Y742" s="10">
        <v>16</v>
      </c>
      <c r="AB742" s="32"/>
      <c r="AC742" s="32"/>
      <c r="AD742" s="32"/>
      <c r="AE742" s="32">
        <f t="shared" si="227"/>
        <v>0</v>
      </c>
      <c r="AF742" s="12"/>
      <c r="AG742" s="12"/>
      <c r="AH742" s="12"/>
      <c r="AI742" s="12">
        <f t="shared" si="222"/>
        <v>0</v>
      </c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10">
        <v>17</v>
      </c>
      <c r="B743" s="30"/>
      <c r="C743" s="83"/>
      <c r="D743" s="32"/>
      <c r="E743" s="32"/>
      <c r="F743" s="32"/>
      <c r="G743" s="32">
        <f t="shared" si="217"/>
        <v>0</v>
      </c>
      <c r="H743" s="12"/>
      <c r="I743" s="12"/>
      <c r="J743" s="12"/>
      <c r="K743" s="12">
        <f t="shared" si="218"/>
        <v>0</v>
      </c>
      <c r="M743" s="10">
        <v>17</v>
      </c>
      <c r="N743" s="30"/>
      <c r="O743" s="31"/>
      <c r="P743" s="35"/>
      <c r="Q743" s="32"/>
      <c r="R743" s="32"/>
      <c r="S743" s="32">
        <f t="shared" si="219"/>
        <v>0</v>
      </c>
      <c r="T743" s="12"/>
      <c r="U743" s="12"/>
      <c r="V743" s="12"/>
      <c r="W743" s="12">
        <f t="shared" si="220"/>
        <v>0</v>
      </c>
      <c r="Y743" s="10">
        <v>17</v>
      </c>
      <c r="Z743" s="30"/>
      <c r="AA743" s="31"/>
      <c r="AB743" s="35"/>
      <c r="AC743" s="32"/>
      <c r="AD743" s="32"/>
      <c r="AE743" s="32">
        <f t="shared" si="227"/>
        <v>0</v>
      </c>
      <c r="AF743" s="12"/>
      <c r="AG743" s="12"/>
      <c r="AH743" s="12"/>
      <c r="AI743" s="12">
        <f t="shared" si="222"/>
        <v>0</v>
      </c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10">
        <v>18</v>
      </c>
      <c r="B744" s="30"/>
      <c r="C744" s="83"/>
      <c r="D744" s="32"/>
      <c r="E744" s="32"/>
      <c r="F744" s="32"/>
      <c r="G744" s="32">
        <f t="shared" si="217"/>
        <v>0</v>
      </c>
      <c r="H744" s="12"/>
      <c r="I744" s="12"/>
      <c r="J744" s="12"/>
      <c r="K744" s="12">
        <f t="shared" si="218"/>
        <v>0</v>
      </c>
      <c r="M744" s="10">
        <v>18</v>
      </c>
      <c r="N744" s="30"/>
      <c r="P744" s="32"/>
      <c r="Q744" s="32"/>
      <c r="R744" s="32"/>
      <c r="S744" s="32">
        <f t="shared" si="219"/>
        <v>0</v>
      </c>
      <c r="T744" s="12"/>
      <c r="U744" s="12"/>
      <c r="V744" s="12"/>
      <c r="W744" s="12">
        <f t="shared" si="220"/>
        <v>0</v>
      </c>
      <c r="Y744" s="10">
        <v>18</v>
      </c>
      <c r="Z744" s="30"/>
      <c r="AA744" s="31"/>
      <c r="AB744" s="32"/>
      <c r="AC744" s="32"/>
      <c r="AD744" s="32"/>
      <c r="AE744" s="32">
        <f t="shared" si="227"/>
        <v>0</v>
      </c>
      <c r="AF744" s="12"/>
      <c r="AG744" s="12"/>
      <c r="AH744" s="12"/>
      <c r="AI744" s="12">
        <f t="shared" si="222"/>
        <v>0</v>
      </c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10">
        <v>19</v>
      </c>
      <c r="B745" s="30"/>
      <c r="C745" s="83"/>
      <c r="D745" s="32"/>
      <c r="E745" s="32"/>
      <c r="F745" s="32"/>
      <c r="G745" s="32">
        <f t="shared" si="217"/>
        <v>0</v>
      </c>
      <c r="H745" s="12"/>
      <c r="I745" s="12"/>
      <c r="J745" s="12"/>
      <c r="K745" s="12">
        <f t="shared" si="218"/>
        <v>0</v>
      </c>
      <c r="M745" s="10">
        <v>19</v>
      </c>
      <c r="N745" s="30"/>
      <c r="O745" s="31"/>
      <c r="P745" s="32"/>
      <c r="Q745" s="32"/>
      <c r="R745" s="32"/>
      <c r="S745" s="32">
        <f t="shared" si="219"/>
        <v>0</v>
      </c>
      <c r="T745" s="12"/>
      <c r="U745" s="12"/>
      <c r="V745" s="12"/>
      <c r="W745" s="12">
        <f t="shared" si="220"/>
        <v>0</v>
      </c>
      <c r="Y745" s="10">
        <v>19</v>
      </c>
      <c r="Z745" s="30"/>
      <c r="AA745" s="31"/>
      <c r="AB745" s="32"/>
      <c r="AC745" s="32"/>
      <c r="AD745" s="32"/>
      <c r="AE745" s="32">
        <f t="shared" si="227"/>
        <v>0</v>
      </c>
      <c r="AF745" s="12"/>
      <c r="AG745" s="12"/>
      <c r="AH745" s="12"/>
      <c r="AI745" s="12">
        <f t="shared" si="222"/>
        <v>0</v>
      </c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10">
        <v>20</v>
      </c>
      <c r="B746" s="30"/>
      <c r="C746" s="83"/>
      <c r="D746" s="32"/>
      <c r="E746" s="32"/>
      <c r="F746" s="32"/>
      <c r="G746" s="32">
        <f t="shared" si="217"/>
        <v>0</v>
      </c>
      <c r="H746" s="12"/>
      <c r="I746" s="12"/>
      <c r="J746" s="12"/>
      <c r="K746" s="12">
        <f t="shared" si="218"/>
        <v>0</v>
      </c>
      <c r="M746" s="10">
        <v>20</v>
      </c>
      <c r="N746" s="30"/>
      <c r="O746" s="31"/>
      <c r="P746" s="32"/>
      <c r="Q746" s="32"/>
      <c r="R746" s="32"/>
      <c r="S746" s="32">
        <f t="shared" si="219"/>
        <v>0</v>
      </c>
      <c r="T746" s="12"/>
      <c r="U746" s="12"/>
      <c r="V746" s="12"/>
      <c r="W746" s="12">
        <f t="shared" si="220"/>
        <v>0</v>
      </c>
      <c r="Y746" s="10">
        <v>20</v>
      </c>
      <c r="Z746" s="30"/>
      <c r="AB746" s="32"/>
      <c r="AC746" s="32"/>
      <c r="AD746" s="32"/>
      <c r="AE746" s="32">
        <f t="shared" si="227"/>
        <v>0</v>
      </c>
      <c r="AF746" s="12"/>
      <c r="AG746" s="12"/>
      <c r="AH746" s="12"/>
      <c r="AI746" s="12">
        <f t="shared" si="222"/>
        <v>0</v>
      </c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10">
        <v>21</v>
      </c>
      <c r="B747" s="30"/>
      <c r="C747" s="83"/>
      <c r="D747" s="32"/>
      <c r="E747" s="32"/>
      <c r="F747" s="32"/>
      <c r="G747" s="32">
        <f t="shared" si="217"/>
        <v>0</v>
      </c>
      <c r="H747" s="10"/>
      <c r="I747" s="10"/>
      <c r="J747" s="10"/>
      <c r="K747" s="12">
        <f t="shared" si="218"/>
        <v>0</v>
      </c>
      <c r="M747" s="10">
        <v>21</v>
      </c>
      <c r="N747" s="30"/>
      <c r="O747" s="31"/>
      <c r="P747" s="46"/>
      <c r="Q747" s="31"/>
      <c r="R747" s="31"/>
      <c r="S747" s="32">
        <f t="shared" si="219"/>
        <v>0</v>
      </c>
      <c r="T747" s="10"/>
      <c r="U747" s="10"/>
      <c r="V747" s="10"/>
      <c r="W747" s="12">
        <f t="shared" si="220"/>
        <v>0</v>
      </c>
      <c r="Y747" s="10">
        <v>21</v>
      </c>
      <c r="Z747" s="30"/>
      <c r="AA747" s="31"/>
      <c r="AB747" s="46"/>
      <c r="AC747" s="31"/>
      <c r="AD747" s="31"/>
      <c r="AE747" s="32">
        <f t="shared" si="227"/>
        <v>0</v>
      </c>
      <c r="AF747" s="10"/>
      <c r="AG747" s="10"/>
      <c r="AH747" s="10"/>
      <c r="AI747" s="12">
        <f t="shared" si="222"/>
        <v>0</v>
      </c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10">
        <v>22</v>
      </c>
      <c r="B748" s="30"/>
      <c r="C748" s="57"/>
      <c r="D748" s="32"/>
      <c r="E748" s="32"/>
      <c r="F748" s="32"/>
      <c r="G748" s="32">
        <f t="shared" si="217"/>
        <v>0</v>
      </c>
      <c r="H748" s="10"/>
      <c r="I748" s="10"/>
      <c r="J748" s="10"/>
      <c r="K748" s="12">
        <f t="shared" si="218"/>
        <v>0</v>
      </c>
      <c r="M748" s="10">
        <v>22</v>
      </c>
      <c r="N748" s="30"/>
      <c r="O748" s="31"/>
      <c r="P748" s="45"/>
      <c r="Q748" s="31"/>
      <c r="R748" s="31"/>
      <c r="S748" s="32">
        <f t="shared" si="219"/>
        <v>0</v>
      </c>
      <c r="T748" s="10"/>
      <c r="U748" s="10"/>
      <c r="V748" s="10"/>
      <c r="W748" s="12">
        <f t="shared" si="220"/>
        <v>0</v>
      </c>
      <c r="Y748" s="10">
        <v>22</v>
      </c>
      <c r="Z748" s="30"/>
      <c r="AA748" s="31"/>
      <c r="AB748" s="45"/>
      <c r="AC748" s="31"/>
      <c r="AD748" s="31"/>
      <c r="AE748" s="32">
        <f t="shared" si="227"/>
        <v>0</v>
      </c>
      <c r="AF748" s="10"/>
      <c r="AG748" s="10"/>
      <c r="AH748" s="10"/>
      <c r="AI748" s="12">
        <f t="shared" si="222"/>
        <v>0</v>
      </c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10">
        <v>23</v>
      </c>
      <c r="B749" s="30"/>
      <c r="C749" s="83"/>
      <c r="D749" s="32"/>
      <c r="E749" s="32"/>
      <c r="F749" s="32"/>
      <c r="G749" s="32">
        <f t="shared" si="217"/>
        <v>0</v>
      </c>
      <c r="H749" s="10"/>
      <c r="I749" s="10"/>
      <c r="J749" s="12"/>
      <c r="K749" s="12">
        <f t="shared" si="218"/>
        <v>0</v>
      </c>
      <c r="M749" s="10">
        <v>23</v>
      </c>
      <c r="N749" s="30"/>
      <c r="O749" s="31"/>
      <c r="P749" s="47"/>
      <c r="S749" s="32">
        <f t="shared" si="219"/>
        <v>0</v>
      </c>
      <c r="T749" s="10"/>
      <c r="U749" s="10"/>
      <c r="V749" s="10"/>
      <c r="W749" s="12">
        <f t="shared" si="220"/>
        <v>0</v>
      </c>
      <c r="Y749" s="10">
        <v>23</v>
      </c>
      <c r="Z749" s="30"/>
      <c r="AA749" s="31"/>
      <c r="AB749" s="47"/>
      <c r="AC749" s="31"/>
      <c r="AE749" s="32">
        <f t="shared" si="227"/>
        <v>0</v>
      </c>
      <c r="AF749" s="10"/>
      <c r="AG749" s="10"/>
      <c r="AH749" s="10"/>
      <c r="AI749" s="12">
        <f t="shared" si="222"/>
        <v>0</v>
      </c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10">
        <v>24</v>
      </c>
      <c r="B750" s="30"/>
      <c r="C750" s="83"/>
      <c r="D750" s="32"/>
      <c r="E750" s="32"/>
      <c r="F750" s="32"/>
      <c r="G750" s="32">
        <f t="shared" si="217"/>
        <v>0</v>
      </c>
      <c r="H750" s="10"/>
      <c r="I750" s="10"/>
      <c r="J750" s="10"/>
      <c r="K750" s="12">
        <f t="shared" si="218"/>
        <v>0</v>
      </c>
      <c r="M750" s="10">
        <v>24</v>
      </c>
      <c r="N750" s="30"/>
      <c r="O750" s="31"/>
      <c r="P750" s="47"/>
      <c r="Q750" s="31"/>
      <c r="R750" s="31"/>
      <c r="S750" s="32">
        <f t="shared" si="219"/>
        <v>0</v>
      </c>
      <c r="T750" s="10"/>
      <c r="U750" s="10"/>
      <c r="V750" s="10"/>
      <c r="W750" s="12">
        <f t="shared" si="220"/>
        <v>0</v>
      </c>
      <c r="Y750" s="10">
        <v>24</v>
      </c>
      <c r="Z750" s="30"/>
      <c r="AA750" s="31"/>
      <c r="AB750" s="47"/>
      <c r="AC750" s="31"/>
      <c r="AD750" s="31"/>
      <c r="AE750" s="32">
        <f t="shared" si="227"/>
        <v>0</v>
      </c>
      <c r="AF750" s="10"/>
      <c r="AG750" s="10"/>
      <c r="AH750" s="10"/>
      <c r="AI750" s="12">
        <f t="shared" si="222"/>
        <v>0</v>
      </c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10">
        <v>25</v>
      </c>
      <c r="B751" s="30"/>
      <c r="C751" s="83"/>
      <c r="D751" s="32"/>
      <c r="E751" s="32"/>
      <c r="F751" s="32"/>
      <c r="G751" s="32">
        <f t="shared" si="217"/>
        <v>0</v>
      </c>
      <c r="H751" s="10"/>
      <c r="I751" s="10"/>
      <c r="J751" s="10"/>
      <c r="K751" s="12">
        <f t="shared" si="218"/>
        <v>0</v>
      </c>
      <c r="M751" s="10">
        <v>25</v>
      </c>
      <c r="N751" s="30"/>
      <c r="O751" s="31"/>
      <c r="P751" s="47"/>
      <c r="Q751" s="31"/>
      <c r="R751" s="31"/>
      <c r="S751" s="32">
        <f t="shared" si="219"/>
        <v>0</v>
      </c>
      <c r="T751" s="10"/>
      <c r="U751" s="10"/>
      <c r="V751" s="10"/>
      <c r="W751" s="12">
        <f t="shared" si="220"/>
        <v>0</v>
      </c>
      <c r="Y751" s="10">
        <v>25</v>
      </c>
      <c r="Z751" s="30"/>
      <c r="AA751" s="31"/>
      <c r="AB751" s="47"/>
      <c r="AC751" s="31"/>
      <c r="AD751" s="31"/>
      <c r="AE751" s="32">
        <f t="shared" si="227"/>
        <v>0</v>
      </c>
      <c r="AF751" s="10"/>
      <c r="AG751" s="10"/>
      <c r="AH751" s="10"/>
      <c r="AI751" s="12">
        <f t="shared" si="222"/>
        <v>0</v>
      </c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10">
        <v>26</v>
      </c>
      <c r="B752" s="30"/>
      <c r="C752" s="83"/>
      <c r="D752" s="32"/>
      <c r="E752" s="32"/>
      <c r="F752" s="32"/>
      <c r="G752" s="32">
        <f t="shared" si="217"/>
        <v>0</v>
      </c>
      <c r="H752" s="10"/>
      <c r="I752" s="10"/>
      <c r="J752" s="10"/>
      <c r="K752" s="12">
        <f t="shared" si="218"/>
        <v>0</v>
      </c>
      <c r="M752" s="10">
        <v>26</v>
      </c>
      <c r="N752" s="30"/>
      <c r="O752" s="11"/>
      <c r="P752" s="47"/>
      <c r="Q752" s="31"/>
      <c r="R752" s="31"/>
      <c r="S752" s="32">
        <f t="shared" si="219"/>
        <v>0</v>
      </c>
      <c r="T752" s="10"/>
      <c r="U752" s="10"/>
      <c r="V752" s="10"/>
      <c r="W752" s="12">
        <f t="shared" si="220"/>
        <v>0</v>
      </c>
      <c r="Y752" s="10">
        <v>26</v>
      </c>
      <c r="Z752" s="30"/>
      <c r="AA752" s="31"/>
      <c r="AB752" s="47"/>
      <c r="AC752" s="31"/>
      <c r="AD752" s="31"/>
      <c r="AE752" s="32">
        <f t="shared" si="227"/>
        <v>0</v>
      </c>
      <c r="AF752" s="10"/>
      <c r="AG752" s="10"/>
      <c r="AH752" s="10"/>
      <c r="AI752" s="12">
        <f t="shared" si="222"/>
        <v>0</v>
      </c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10">
        <v>27</v>
      </c>
      <c r="B753" s="30"/>
      <c r="C753" s="83"/>
      <c r="D753" s="32"/>
      <c r="E753" s="32"/>
      <c r="F753" s="32"/>
      <c r="G753" s="32">
        <f t="shared" si="217"/>
        <v>0</v>
      </c>
      <c r="H753" s="10"/>
      <c r="I753" s="10"/>
      <c r="J753" s="10"/>
      <c r="K753" s="12">
        <f t="shared" si="218"/>
        <v>0</v>
      </c>
      <c r="M753" s="10">
        <v>27</v>
      </c>
      <c r="N753" s="30"/>
      <c r="O753" s="31"/>
      <c r="P753" s="47"/>
      <c r="Q753" s="31"/>
      <c r="R753" s="31"/>
      <c r="S753" s="32">
        <f t="shared" si="219"/>
        <v>0</v>
      </c>
      <c r="T753" s="10"/>
      <c r="U753" s="10"/>
      <c r="V753" s="10"/>
      <c r="W753" s="12">
        <f t="shared" si="220"/>
        <v>0</v>
      </c>
      <c r="Y753" s="10">
        <v>27</v>
      </c>
      <c r="Z753" s="30"/>
      <c r="AA753" s="31"/>
      <c r="AB753" s="47"/>
      <c r="AC753" s="31"/>
      <c r="AD753" s="31"/>
      <c r="AE753" s="32">
        <f t="shared" si="227"/>
        <v>0</v>
      </c>
      <c r="AF753" s="10"/>
      <c r="AG753" s="10"/>
      <c r="AH753" s="10"/>
      <c r="AI753" s="12">
        <f t="shared" si="222"/>
        <v>0</v>
      </c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10">
        <v>28</v>
      </c>
      <c r="B754" s="30"/>
      <c r="C754" s="83"/>
      <c r="D754" s="32"/>
      <c r="E754" s="32"/>
      <c r="F754" s="32"/>
      <c r="G754" s="32">
        <f t="shared" si="217"/>
        <v>0</v>
      </c>
      <c r="H754" s="10"/>
      <c r="I754" s="10"/>
      <c r="J754" s="10"/>
      <c r="K754" s="12">
        <f t="shared" si="218"/>
        <v>0</v>
      </c>
      <c r="M754" s="10">
        <v>28</v>
      </c>
      <c r="N754" s="30"/>
      <c r="O754" s="31"/>
      <c r="P754" s="47"/>
      <c r="Q754" s="31"/>
      <c r="R754" s="31"/>
      <c r="S754" s="32">
        <f t="shared" si="219"/>
        <v>0</v>
      </c>
      <c r="T754" s="10"/>
      <c r="U754" s="10"/>
      <c r="V754" s="10"/>
      <c r="W754" s="12">
        <f t="shared" si="220"/>
        <v>0</v>
      </c>
      <c r="Y754" s="10">
        <v>28</v>
      </c>
      <c r="Z754" s="30"/>
      <c r="AA754" s="31"/>
      <c r="AB754" s="47"/>
      <c r="AC754" s="31"/>
      <c r="AD754" s="31"/>
      <c r="AE754" s="32">
        <f t="shared" si="227"/>
        <v>0</v>
      </c>
      <c r="AF754" s="10"/>
      <c r="AG754" s="10"/>
      <c r="AH754" s="10"/>
      <c r="AI754" s="12">
        <f t="shared" si="222"/>
        <v>0</v>
      </c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10">
        <v>29</v>
      </c>
      <c r="B755" s="30"/>
      <c r="C755" s="83"/>
      <c r="D755" s="32"/>
      <c r="E755" s="32"/>
      <c r="F755" s="32"/>
      <c r="G755" s="32">
        <f t="shared" si="217"/>
        <v>0</v>
      </c>
      <c r="H755" s="10"/>
      <c r="I755" s="10"/>
      <c r="J755" s="10"/>
      <c r="K755" s="12">
        <f t="shared" si="218"/>
        <v>0</v>
      </c>
      <c r="M755" s="10">
        <v>29</v>
      </c>
      <c r="N755" s="30"/>
      <c r="O755" s="31"/>
      <c r="P755" s="47"/>
      <c r="Q755" s="31"/>
      <c r="R755" s="31"/>
      <c r="S755" s="32">
        <f t="shared" si="219"/>
        <v>0</v>
      </c>
      <c r="T755" s="10"/>
      <c r="U755" s="10"/>
      <c r="V755" s="10"/>
      <c r="W755" s="12">
        <f t="shared" si="220"/>
        <v>0</v>
      </c>
      <c r="Y755" s="10">
        <v>29</v>
      </c>
      <c r="Z755" s="30"/>
      <c r="AA755" s="31"/>
      <c r="AB755" s="47"/>
      <c r="AC755" s="31"/>
      <c r="AD755" s="31"/>
      <c r="AE755" s="32">
        <f t="shared" si="227"/>
        <v>0</v>
      </c>
      <c r="AF755" s="10"/>
      <c r="AG755" s="10"/>
      <c r="AH755" s="10"/>
      <c r="AI755" s="12">
        <f t="shared" si="222"/>
        <v>0</v>
      </c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10">
        <v>30</v>
      </c>
      <c r="B756" s="30"/>
      <c r="C756" s="83"/>
      <c r="D756" s="32"/>
      <c r="E756" s="32"/>
      <c r="F756" s="32"/>
      <c r="G756" s="32">
        <f t="shared" si="217"/>
        <v>0</v>
      </c>
      <c r="H756" s="10"/>
      <c r="I756" s="10"/>
      <c r="J756" s="10"/>
      <c r="K756" s="12">
        <f t="shared" si="218"/>
        <v>0</v>
      </c>
      <c r="M756" s="10">
        <v>30</v>
      </c>
      <c r="N756" s="30"/>
      <c r="O756" s="31"/>
      <c r="P756" s="47"/>
      <c r="Q756" s="31"/>
      <c r="R756" s="31"/>
      <c r="S756" s="32">
        <f t="shared" si="219"/>
        <v>0</v>
      </c>
      <c r="T756" s="10"/>
      <c r="U756" s="10"/>
      <c r="V756" s="10"/>
      <c r="W756" s="12">
        <f t="shared" si="220"/>
        <v>0</v>
      </c>
      <c r="Y756" s="10">
        <v>30</v>
      </c>
      <c r="Z756" s="30"/>
      <c r="AA756" s="31"/>
      <c r="AB756" s="47"/>
      <c r="AC756" s="31"/>
      <c r="AD756" s="31"/>
      <c r="AE756" s="32">
        <f t="shared" si="227"/>
        <v>0</v>
      </c>
      <c r="AF756" s="10"/>
      <c r="AG756" s="10"/>
      <c r="AH756" s="10"/>
      <c r="AI756" s="12">
        <f t="shared" si="222"/>
        <v>0</v>
      </c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10">
        <v>31</v>
      </c>
      <c r="B757" s="30"/>
      <c r="C757" s="11"/>
      <c r="D757" s="32"/>
      <c r="E757" s="32"/>
      <c r="F757" s="32"/>
      <c r="G757" s="32">
        <f t="shared" si="217"/>
        <v>0</v>
      </c>
      <c r="H757" s="10"/>
      <c r="I757" s="10"/>
      <c r="J757" s="10"/>
      <c r="K757" s="12">
        <f t="shared" si="218"/>
        <v>0</v>
      </c>
      <c r="M757" s="10">
        <v>31</v>
      </c>
      <c r="N757" s="30"/>
      <c r="O757" s="31"/>
      <c r="P757" s="47"/>
      <c r="Q757" s="31"/>
      <c r="R757" s="31"/>
      <c r="S757" s="32">
        <f t="shared" si="219"/>
        <v>0</v>
      </c>
      <c r="T757" s="10"/>
      <c r="U757" s="10"/>
      <c r="V757" s="10"/>
      <c r="W757" s="12">
        <f t="shared" si="220"/>
        <v>0</v>
      </c>
      <c r="Y757" s="10">
        <v>31</v>
      </c>
      <c r="Z757" s="30"/>
      <c r="AA757" s="31"/>
      <c r="AB757" s="47"/>
      <c r="AC757" s="31"/>
      <c r="AD757" s="31"/>
      <c r="AE757" s="32">
        <f t="shared" si="227"/>
        <v>0</v>
      </c>
      <c r="AF757" s="10"/>
      <c r="AG757" s="10"/>
      <c r="AH757" s="10"/>
      <c r="AI757" s="12">
        <f t="shared" si="222"/>
        <v>0</v>
      </c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10">
        <v>32</v>
      </c>
      <c r="B758" s="30"/>
      <c r="C758" s="83"/>
      <c r="D758" s="32"/>
      <c r="E758" s="32"/>
      <c r="F758" s="32"/>
      <c r="G758" s="32">
        <f t="shared" si="217"/>
        <v>0</v>
      </c>
      <c r="H758" s="10"/>
      <c r="I758" s="10"/>
      <c r="J758" s="10"/>
      <c r="K758" s="12">
        <f t="shared" si="218"/>
        <v>0</v>
      </c>
      <c r="M758" s="10">
        <v>32</v>
      </c>
      <c r="N758" s="30"/>
      <c r="O758" s="31"/>
      <c r="P758" s="47"/>
      <c r="Q758" s="31"/>
      <c r="R758" s="31"/>
      <c r="S758" s="32">
        <f t="shared" si="219"/>
        <v>0</v>
      </c>
      <c r="T758" s="10"/>
      <c r="U758" s="10"/>
      <c r="V758" s="10"/>
      <c r="W758" s="12">
        <f t="shared" si="220"/>
        <v>0</v>
      </c>
      <c r="Y758" s="10">
        <v>32</v>
      </c>
      <c r="Z758" s="30"/>
      <c r="AA758" s="31"/>
      <c r="AB758" s="47"/>
      <c r="AC758" s="31"/>
      <c r="AD758" s="31"/>
      <c r="AE758" s="32">
        <f t="shared" si="227"/>
        <v>0</v>
      </c>
      <c r="AF758" s="10"/>
      <c r="AG758" s="10"/>
      <c r="AH758" s="10"/>
      <c r="AI758" s="12">
        <f t="shared" si="222"/>
        <v>0</v>
      </c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10">
        <v>33</v>
      </c>
      <c r="B759" s="30"/>
      <c r="C759" s="83"/>
      <c r="D759" s="32"/>
      <c r="E759" s="32"/>
      <c r="F759" s="32"/>
      <c r="G759" s="32">
        <f t="shared" si="217"/>
        <v>0</v>
      </c>
      <c r="H759" s="10"/>
      <c r="I759" s="10"/>
      <c r="J759" s="10"/>
      <c r="K759" s="12">
        <f t="shared" si="218"/>
        <v>0</v>
      </c>
      <c r="M759" s="10">
        <v>33</v>
      </c>
      <c r="N759" s="30"/>
      <c r="O759" s="31"/>
      <c r="P759" s="47"/>
      <c r="Q759" s="31"/>
      <c r="R759" s="31"/>
      <c r="S759" s="32">
        <f t="shared" si="219"/>
        <v>0</v>
      </c>
      <c r="T759" s="10"/>
      <c r="U759" s="10"/>
      <c r="V759" s="10"/>
      <c r="W759" s="12">
        <f t="shared" si="220"/>
        <v>0</v>
      </c>
      <c r="Y759" s="10">
        <v>33</v>
      </c>
      <c r="Z759" s="30"/>
      <c r="AA759" s="31"/>
      <c r="AB759" s="47"/>
      <c r="AC759" s="31"/>
      <c r="AD759" s="31"/>
      <c r="AE759" s="32">
        <f t="shared" si="227"/>
        <v>0</v>
      </c>
      <c r="AF759" s="10"/>
      <c r="AG759" s="10"/>
      <c r="AH759" s="10"/>
      <c r="AI759" s="12">
        <f t="shared" si="222"/>
        <v>0</v>
      </c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10"/>
      <c r="B760" s="30"/>
      <c r="C760" s="83"/>
      <c r="D760" s="32"/>
      <c r="E760" s="32"/>
      <c r="F760" s="32"/>
      <c r="G760" s="32">
        <f t="shared" si="217"/>
        <v>0</v>
      </c>
      <c r="H760" s="10"/>
      <c r="I760" s="10"/>
      <c r="J760" s="10"/>
      <c r="K760" s="12">
        <f t="shared" si="218"/>
        <v>0</v>
      </c>
      <c r="M760" s="10">
        <v>34</v>
      </c>
      <c r="N760" s="30"/>
      <c r="O760" s="31"/>
      <c r="P760" s="47"/>
      <c r="Q760" s="31"/>
      <c r="R760" s="31"/>
      <c r="S760" s="32">
        <f t="shared" si="219"/>
        <v>0</v>
      </c>
      <c r="T760" s="10"/>
      <c r="U760" s="10"/>
      <c r="V760" s="10"/>
      <c r="W760" s="12">
        <f t="shared" si="220"/>
        <v>0</v>
      </c>
      <c r="Y760" s="10">
        <v>34</v>
      </c>
      <c r="Z760" s="30"/>
      <c r="AA760" s="31"/>
      <c r="AB760" s="47"/>
      <c r="AC760" s="31"/>
      <c r="AD760" s="31"/>
      <c r="AE760" s="32">
        <f t="shared" si="227"/>
        <v>0</v>
      </c>
      <c r="AF760" s="10"/>
      <c r="AG760" s="10"/>
      <c r="AH760" s="10"/>
      <c r="AI760" s="12">
        <f t="shared" ref="AI760:AI768" si="228">SUM(AE760:AH760)</f>
        <v>0</v>
      </c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10"/>
      <c r="B761" s="30"/>
      <c r="C761" s="83"/>
      <c r="D761" s="32"/>
      <c r="E761" s="32"/>
      <c r="F761" s="32"/>
      <c r="G761" s="32"/>
      <c r="H761" s="10"/>
      <c r="I761" s="10"/>
      <c r="J761" s="10"/>
      <c r="K761" s="12"/>
      <c r="M761" s="10">
        <v>35</v>
      </c>
      <c r="N761" s="30"/>
      <c r="O761" s="31"/>
      <c r="P761" s="47"/>
      <c r="Q761" s="31"/>
      <c r="R761" s="31"/>
      <c r="S761" s="32">
        <f t="shared" si="219"/>
        <v>0</v>
      </c>
      <c r="T761" s="10"/>
      <c r="U761" s="10"/>
      <c r="V761" s="10"/>
      <c r="W761" s="12">
        <f t="shared" si="220"/>
        <v>0</v>
      </c>
      <c r="Y761" s="10">
        <v>35</v>
      </c>
      <c r="Z761" s="30"/>
      <c r="AA761" s="31"/>
      <c r="AB761" s="47"/>
      <c r="AC761" s="31"/>
      <c r="AD761" s="31"/>
      <c r="AE761" s="32">
        <f t="shared" si="227"/>
        <v>0</v>
      </c>
      <c r="AF761" s="10"/>
      <c r="AG761" s="10"/>
      <c r="AH761" s="10"/>
      <c r="AI761" s="12">
        <f t="shared" si="228"/>
        <v>0</v>
      </c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10"/>
      <c r="B762" s="30"/>
      <c r="C762" s="83"/>
      <c r="D762" s="32"/>
      <c r="E762" s="32"/>
      <c r="F762" s="32"/>
      <c r="G762" s="32"/>
      <c r="H762" s="10"/>
      <c r="I762" s="10"/>
      <c r="J762" s="10"/>
      <c r="K762" s="12"/>
      <c r="M762" s="10">
        <v>36</v>
      </c>
      <c r="N762" s="30"/>
      <c r="O762" s="31"/>
      <c r="P762" s="47"/>
      <c r="Q762" s="31"/>
      <c r="R762" s="31"/>
      <c r="S762" s="32">
        <f t="shared" si="219"/>
        <v>0</v>
      </c>
      <c r="T762" s="10"/>
      <c r="U762" s="10"/>
      <c r="V762" s="10"/>
      <c r="W762" s="12">
        <f t="shared" si="220"/>
        <v>0</v>
      </c>
      <c r="Y762" s="10">
        <v>36</v>
      </c>
      <c r="Z762" s="30"/>
      <c r="AA762" s="31"/>
      <c r="AB762" s="47"/>
      <c r="AC762" s="31"/>
      <c r="AD762" s="31"/>
      <c r="AE762" s="32">
        <f t="shared" si="227"/>
        <v>0</v>
      </c>
      <c r="AF762" s="10"/>
      <c r="AG762" s="10"/>
      <c r="AH762" s="10"/>
      <c r="AI762" s="12">
        <f t="shared" si="228"/>
        <v>0</v>
      </c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10"/>
      <c r="B763" s="30"/>
      <c r="C763" s="31"/>
      <c r="D763" s="32"/>
      <c r="E763" s="32"/>
      <c r="F763" s="32"/>
      <c r="G763" s="32"/>
      <c r="H763" s="10"/>
      <c r="I763" s="10"/>
      <c r="J763" s="10"/>
      <c r="K763" s="12"/>
      <c r="M763" s="10">
        <v>37</v>
      </c>
      <c r="N763" s="30"/>
      <c r="P763" s="47"/>
      <c r="Q763" s="31"/>
      <c r="R763" s="31"/>
      <c r="S763" s="32">
        <f t="shared" si="219"/>
        <v>0</v>
      </c>
      <c r="T763" s="10"/>
      <c r="U763" s="10"/>
      <c r="V763" s="10"/>
      <c r="W763" s="12">
        <f t="shared" si="220"/>
        <v>0</v>
      </c>
      <c r="Y763" s="10">
        <v>37</v>
      </c>
      <c r="Z763" s="30"/>
      <c r="AA763" s="31"/>
      <c r="AB763" s="47"/>
      <c r="AC763" s="31"/>
      <c r="AD763" s="31"/>
      <c r="AE763" s="32">
        <f t="shared" si="227"/>
        <v>0</v>
      </c>
      <c r="AF763" s="10"/>
      <c r="AG763" s="10"/>
      <c r="AH763" s="10"/>
      <c r="AI763" s="12">
        <f t="shared" si="228"/>
        <v>0</v>
      </c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10"/>
      <c r="B764" s="30"/>
      <c r="C764" s="31"/>
      <c r="D764" s="32"/>
      <c r="E764" s="32"/>
      <c r="F764" s="32"/>
      <c r="G764" s="32"/>
      <c r="H764" s="10"/>
      <c r="I764" s="10"/>
      <c r="J764" s="10"/>
      <c r="K764" s="12"/>
      <c r="M764" s="10">
        <v>38</v>
      </c>
      <c r="N764" s="30"/>
      <c r="O764" s="31"/>
      <c r="P764" s="47"/>
      <c r="Q764" s="31"/>
      <c r="R764" s="31"/>
      <c r="S764" s="32">
        <f t="shared" si="219"/>
        <v>0</v>
      </c>
      <c r="T764" s="10"/>
      <c r="U764" s="10"/>
      <c r="V764" s="10"/>
      <c r="W764" s="12">
        <f t="shared" si="220"/>
        <v>0</v>
      </c>
      <c r="Y764" s="10">
        <v>38</v>
      </c>
      <c r="Z764" s="30"/>
      <c r="AA764" s="31"/>
      <c r="AB764" s="47"/>
      <c r="AC764" s="31"/>
      <c r="AD764" s="31"/>
      <c r="AE764" s="32">
        <f t="shared" si="227"/>
        <v>0</v>
      </c>
      <c r="AF764" s="10"/>
      <c r="AG764" s="10"/>
      <c r="AH764" s="10"/>
      <c r="AI764" s="12">
        <f t="shared" si="228"/>
        <v>0</v>
      </c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10"/>
      <c r="B765" s="30"/>
      <c r="C765" s="31"/>
      <c r="D765" s="32"/>
      <c r="E765" s="32"/>
      <c r="F765" s="32"/>
      <c r="G765" s="32"/>
      <c r="H765" s="10"/>
      <c r="I765" s="10"/>
      <c r="J765" s="10"/>
      <c r="K765" s="12"/>
      <c r="M765" s="10">
        <v>39</v>
      </c>
      <c r="N765" s="30"/>
      <c r="O765" s="31"/>
      <c r="P765" s="47"/>
      <c r="Q765" s="31"/>
      <c r="R765" s="31"/>
      <c r="S765" s="32">
        <f t="shared" si="219"/>
        <v>0</v>
      </c>
      <c r="T765" s="10"/>
      <c r="U765" s="10"/>
      <c r="V765" s="10"/>
      <c r="W765" s="12">
        <f t="shared" si="220"/>
        <v>0</v>
      </c>
      <c r="Y765" s="10">
        <v>39</v>
      </c>
      <c r="Z765" s="30"/>
      <c r="AA765" s="31"/>
      <c r="AB765" s="47"/>
      <c r="AC765" s="31"/>
      <c r="AD765" s="31"/>
      <c r="AE765" s="32">
        <f t="shared" si="227"/>
        <v>0</v>
      </c>
      <c r="AF765" s="10"/>
      <c r="AG765" s="10"/>
      <c r="AH765" s="10"/>
      <c r="AI765" s="12">
        <f t="shared" si="228"/>
        <v>0</v>
      </c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10"/>
      <c r="B766" s="30"/>
      <c r="C766" s="31"/>
      <c r="D766" s="32"/>
      <c r="E766" s="32"/>
      <c r="F766" s="32"/>
      <c r="G766" s="32"/>
      <c r="H766" s="10"/>
      <c r="I766" s="10"/>
      <c r="J766" s="10"/>
      <c r="K766" s="12"/>
      <c r="M766" s="10"/>
      <c r="N766" s="30"/>
      <c r="P766" s="47"/>
      <c r="Q766" s="31"/>
      <c r="R766" s="31"/>
      <c r="S766" s="32"/>
      <c r="T766" s="10"/>
      <c r="U766" s="10"/>
      <c r="V766" s="10"/>
      <c r="W766" s="12">
        <f t="shared" si="220"/>
        <v>0</v>
      </c>
      <c r="Y766" s="10"/>
      <c r="Z766" s="30"/>
      <c r="AB766" s="47"/>
      <c r="AC766" s="31"/>
      <c r="AD766" s="31"/>
      <c r="AE766" s="32"/>
      <c r="AF766" s="10"/>
      <c r="AG766" s="10"/>
      <c r="AH766" s="10"/>
      <c r="AI766" s="12">
        <f t="shared" si="228"/>
        <v>0</v>
      </c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10"/>
      <c r="B767" s="30"/>
      <c r="C767" s="31"/>
      <c r="D767" s="32"/>
      <c r="E767" s="32"/>
      <c r="F767" s="32"/>
      <c r="G767" s="32">
        <f t="shared" ref="G767" si="229">SUM(D767:E767)</f>
        <v>0</v>
      </c>
      <c r="H767" s="10"/>
      <c r="I767" s="10"/>
      <c r="J767" s="10"/>
      <c r="K767" s="12">
        <f t="shared" ref="K767" si="230">SUM(G767:J767)</f>
        <v>0</v>
      </c>
      <c r="M767" s="10"/>
      <c r="N767" s="30"/>
      <c r="O767" s="31"/>
      <c r="P767" s="47"/>
      <c r="Q767" s="31"/>
      <c r="R767" s="31"/>
      <c r="S767" s="32">
        <f t="shared" ref="S767" si="231">SUM(P767:Q767)</f>
        <v>0</v>
      </c>
      <c r="T767" s="10"/>
      <c r="U767" s="10"/>
      <c r="V767" s="10"/>
      <c r="W767" s="12">
        <f t="shared" si="220"/>
        <v>0</v>
      </c>
      <c r="Y767" s="10"/>
      <c r="Z767" s="30"/>
      <c r="AA767" s="31"/>
      <c r="AB767" s="47"/>
      <c r="AC767" s="31"/>
      <c r="AD767" s="31"/>
      <c r="AE767" s="32">
        <f t="shared" ref="AE767" si="232">SUM(AB767:AC767)</f>
        <v>0</v>
      </c>
      <c r="AF767" s="10"/>
      <c r="AG767" s="10"/>
      <c r="AH767" s="10"/>
      <c r="AI767" s="12">
        <f t="shared" si="228"/>
        <v>0</v>
      </c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10"/>
      <c r="B768" s="30"/>
      <c r="C768" s="30"/>
      <c r="D768" s="32"/>
      <c r="E768" s="32"/>
      <c r="F768" s="32"/>
      <c r="G768" s="32"/>
      <c r="H768" s="10"/>
      <c r="I768" s="10"/>
      <c r="J768" s="10"/>
      <c r="K768" s="12"/>
      <c r="M768" s="10"/>
      <c r="N768" s="31"/>
      <c r="O768" s="31"/>
      <c r="P768" s="31"/>
      <c r="Q768" s="31"/>
      <c r="R768" s="31"/>
      <c r="S768" s="31"/>
      <c r="T768" s="10"/>
      <c r="U768" s="10"/>
      <c r="V768" s="10"/>
      <c r="W768" s="12">
        <f t="shared" si="220"/>
        <v>0</v>
      </c>
      <c r="Y768" s="10"/>
      <c r="Z768" s="31"/>
      <c r="AA768" s="31"/>
      <c r="AB768" s="31"/>
      <c r="AC768" s="31"/>
      <c r="AD768" s="31"/>
      <c r="AE768" s="31"/>
      <c r="AF768" s="10"/>
      <c r="AG768" s="10"/>
      <c r="AH768" s="10"/>
      <c r="AI768" s="12">
        <f t="shared" si="228"/>
        <v>0</v>
      </c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B769" s="57"/>
      <c r="C769" s="57"/>
      <c r="D769" s="36"/>
      <c r="E769" s="36"/>
      <c r="F769" s="36"/>
      <c r="G769" s="36"/>
      <c r="H769" s="37"/>
      <c r="I769" s="37"/>
      <c r="J769" s="37"/>
      <c r="K769" s="37"/>
      <c r="N769" s="57"/>
      <c r="O769" s="57"/>
      <c r="P769" s="36"/>
      <c r="Q769" s="36"/>
      <c r="R769" s="36"/>
      <c r="S769" s="36"/>
      <c r="T769" s="37"/>
      <c r="U769" s="37"/>
      <c r="V769" s="37"/>
      <c r="W769" s="37"/>
      <c r="Z769" s="57"/>
      <c r="AA769" s="57"/>
      <c r="AB769" s="36"/>
      <c r="AC769" s="36"/>
      <c r="AD769" s="36"/>
      <c r="AE769" s="36"/>
      <c r="AF769" s="37"/>
      <c r="AG769" s="37"/>
      <c r="AH769" s="37"/>
      <c r="AI769" s="37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B770" s="57"/>
      <c r="C770" s="57"/>
      <c r="D770" s="38">
        <f>SUM(D727:D769)</f>
        <v>376302</v>
      </c>
      <c r="E770" s="38">
        <f t="shared" ref="E770:F770" si="233">SUM(E727:E767)</f>
        <v>-2622</v>
      </c>
      <c r="F770" s="38">
        <f t="shared" si="233"/>
        <v>0</v>
      </c>
      <c r="G770" s="38">
        <f>SUM(G727:G769)</f>
        <v>373680</v>
      </c>
      <c r="H770" s="4"/>
      <c r="I770" s="39">
        <f>SUM(I727:I769)</f>
        <v>10215</v>
      </c>
      <c r="J770" s="39">
        <f>SUM(J727:J769)</f>
        <v>-2091</v>
      </c>
      <c r="K770" s="40">
        <f>SUM(K727:K769)</f>
        <v>381804</v>
      </c>
      <c r="N770" s="57"/>
      <c r="O770" s="57"/>
      <c r="P770" s="38">
        <f>SUM(P727:P769)</f>
        <v>258538</v>
      </c>
      <c r="Q770" s="38">
        <f>SUM(Q727:Q751)</f>
        <v>-1332</v>
      </c>
      <c r="R770" s="38">
        <f>SUM(R727:R751)</f>
        <v>0</v>
      </c>
      <c r="S770" s="38">
        <f>SUM(S727:S769)</f>
        <v>257206</v>
      </c>
      <c r="T770" s="4"/>
      <c r="U770" s="41">
        <f>SUM(U727:U769)</f>
        <v>451.5</v>
      </c>
      <c r="V770" s="41">
        <f>SUM(V727:V751)</f>
        <v>-2664</v>
      </c>
      <c r="W770" s="42">
        <f>SUM(W727:W769)</f>
        <v>254993.5</v>
      </c>
      <c r="Z770" s="57"/>
      <c r="AA770" s="57"/>
      <c r="AB770" s="38">
        <f>SUM(AB727:AB769)</f>
        <v>377982</v>
      </c>
      <c r="AC770" s="38">
        <f>SUM(AC727:AC751)</f>
        <v>-3156</v>
      </c>
      <c r="AD770" s="38">
        <f>SUM(AD727:AD751)</f>
        <v>0</v>
      </c>
      <c r="AE770" s="38">
        <f>SUM(AE727:AE769)</f>
        <v>374826</v>
      </c>
      <c r="AF770" s="4"/>
      <c r="AG770" s="41">
        <f>SUM(AG727:AG769)</f>
        <v>0</v>
      </c>
      <c r="AH770" s="41">
        <f>SUM(AH727:AH751)</f>
        <v>0</v>
      </c>
      <c r="AI770" s="42">
        <f>SUM(AI727:AI769)</f>
        <v>374826</v>
      </c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Y771" s="18"/>
      <c r="Z771" s="18"/>
      <c r="AA771" s="18"/>
      <c r="AB771" s="18"/>
      <c r="AC771" s="18"/>
      <c r="AD771" s="18"/>
      <c r="AE771" s="18"/>
      <c r="AF771" s="18"/>
      <c r="AG771" s="18"/>
      <c r="AH771" s="18"/>
      <c r="AI771" s="18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t="s">
        <v>0</v>
      </c>
      <c r="B772" s="57"/>
      <c r="C772" s="57"/>
      <c r="D772" s="57"/>
      <c r="E772" s="57"/>
      <c r="G772" s="57"/>
      <c r="M772" t="s">
        <v>0</v>
      </c>
      <c r="N772" s="57"/>
      <c r="O772" s="57"/>
      <c r="P772" s="57"/>
      <c r="Q772" s="57"/>
      <c r="R772" s="57"/>
      <c r="S772" s="57"/>
      <c r="Y772" t="s">
        <v>0</v>
      </c>
      <c r="Z772" s="57"/>
      <c r="AA772" s="57"/>
      <c r="AB772" s="57"/>
      <c r="AC772" s="57"/>
      <c r="AD772" s="57"/>
      <c r="AE772" s="57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t="s">
        <v>28</v>
      </c>
      <c r="B773" s="57"/>
      <c r="C773" s="57"/>
      <c r="D773" s="57"/>
      <c r="E773" s="57"/>
      <c r="G773" s="57"/>
      <c r="M773" t="s">
        <v>28</v>
      </c>
      <c r="N773" s="57"/>
      <c r="O773" s="57"/>
      <c r="P773" s="57"/>
      <c r="Q773" s="57"/>
      <c r="R773" s="57"/>
      <c r="S773" s="57"/>
      <c r="Y773" t="s">
        <v>28</v>
      </c>
      <c r="Z773" s="57"/>
      <c r="AA773" s="57"/>
      <c r="AB773" s="57"/>
      <c r="AC773" s="57"/>
      <c r="AD773" s="57"/>
      <c r="AE773" s="57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B774" s="57"/>
      <c r="C774" s="57"/>
      <c r="D774" s="57"/>
      <c r="E774" s="57"/>
      <c r="G774" s="57"/>
      <c r="N774" s="57"/>
      <c r="O774" s="57"/>
      <c r="P774" s="57"/>
      <c r="Q774" s="57"/>
      <c r="R774" s="57"/>
      <c r="S774" s="57"/>
      <c r="Z774" s="57"/>
      <c r="AA774" s="57"/>
      <c r="AB774" s="57"/>
      <c r="AC774" s="57"/>
      <c r="AD774" s="57"/>
      <c r="AE774" s="57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4" t="s">
        <v>14</v>
      </c>
      <c r="B775" s="57"/>
      <c r="C775" s="57"/>
      <c r="D775" s="57"/>
      <c r="E775" s="57"/>
      <c r="G775" s="57"/>
      <c r="M775" s="4" t="s">
        <v>14</v>
      </c>
      <c r="N775" s="57"/>
      <c r="O775" s="57"/>
      <c r="P775" s="57"/>
      <c r="Q775" s="57"/>
      <c r="R775" s="57"/>
      <c r="S775" s="57"/>
      <c r="Y775" s="4" t="s">
        <v>14</v>
      </c>
      <c r="Z775" s="57"/>
      <c r="AA775" s="57"/>
      <c r="AB775" s="57"/>
      <c r="AC775" s="57"/>
      <c r="AD775" s="57"/>
      <c r="AE775" s="57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B776" s="57"/>
      <c r="C776" s="57"/>
      <c r="D776" s="57"/>
      <c r="E776" s="57"/>
      <c r="G776" s="57"/>
      <c r="N776" s="57"/>
      <c r="O776" s="57"/>
      <c r="P776" s="57"/>
      <c r="Q776" s="57"/>
      <c r="R776" s="57"/>
      <c r="S776" s="57"/>
      <c r="Z776" s="57"/>
      <c r="AA776" s="57"/>
      <c r="AB776" s="57"/>
      <c r="AC776" s="57"/>
      <c r="AD776" s="57"/>
      <c r="AE776" s="57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t="s">
        <v>37</v>
      </c>
      <c r="B777" s="57"/>
      <c r="C777" s="57"/>
      <c r="D777" s="57"/>
      <c r="E777" s="57"/>
      <c r="G777" s="57"/>
      <c r="I777" s="57" t="s">
        <v>15</v>
      </c>
      <c r="J777" s="19">
        <v>1</v>
      </c>
      <c r="M777" t="s">
        <v>37</v>
      </c>
      <c r="N777" s="57"/>
      <c r="O777" s="57"/>
      <c r="P777" s="57"/>
      <c r="Q777" s="57"/>
      <c r="R777" s="57"/>
      <c r="S777" s="57"/>
      <c r="U777" s="57" t="s">
        <v>15</v>
      </c>
      <c r="V777" s="19">
        <v>2</v>
      </c>
      <c r="Y777" t="s">
        <v>37</v>
      </c>
      <c r="Z777" s="57"/>
      <c r="AA777" s="57"/>
      <c r="AB777" s="57"/>
      <c r="AC777" s="57"/>
      <c r="AD777" s="57"/>
      <c r="AE777" s="57"/>
      <c r="AG777" s="57" t="s">
        <v>15</v>
      </c>
      <c r="AH777" s="20">
        <v>3</v>
      </c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21" t="s">
        <v>80</v>
      </c>
      <c r="B778" s="20"/>
      <c r="C778" s="57"/>
      <c r="D778" s="57"/>
      <c r="E778" s="57"/>
      <c r="G778" s="57"/>
      <c r="I778" s="22" t="s">
        <v>16</v>
      </c>
      <c r="J778" s="23" t="s">
        <v>31</v>
      </c>
      <c r="K778" s="24"/>
      <c r="M778" s="21" t="s">
        <v>80</v>
      </c>
      <c r="N778" s="20"/>
      <c r="O778" s="57"/>
      <c r="P778" s="57"/>
      <c r="Q778" s="57"/>
      <c r="R778" s="57"/>
      <c r="S778" s="57"/>
      <c r="U778" s="22" t="s">
        <v>16</v>
      </c>
      <c r="V778" s="23" t="s">
        <v>33</v>
      </c>
      <c r="W778" s="24"/>
      <c r="Y778" s="21" t="s">
        <v>80</v>
      </c>
      <c r="Z778" s="20"/>
      <c r="AA778" s="57"/>
      <c r="AB778" s="57"/>
      <c r="AC778" s="57"/>
      <c r="AD778" s="57"/>
      <c r="AE778" s="57"/>
      <c r="AG778" s="22" t="s">
        <v>16</v>
      </c>
      <c r="AH778" s="23" t="s">
        <v>34</v>
      </c>
      <c r="AI778" s="24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B779" s="57"/>
      <c r="C779" s="57"/>
      <c r="D779" s="57"/>
      <c r="E779" s="57"/>
      <c r="G779" s="57"/>
      <c r="N779" s="57"/>
      <c r="O779" s="57"/>
      <c r="P779" s="57"/>
      <c r="Q779" s="57"/>
      <c r="R779" s="57"/>
      <c r="S779" s="57"/>
      <c r="Z779" s="57"/>
      <c r="AA779" s="57"/>
      <c r="AB779" s="57"/>
      <c r="AC779" s="57"/>
      <c r="AD779" s="57"/>
      <c r="AE779" s="57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B780" s="25"/>
      <c r="C780" s="26"/>
      <c r="D780" s="120" t="s">
        <v>17</v>
      </c>
      <c r="E780" s="120"/>
      <c r="F780" s="105"/>
      <c r="G780" s="27"/>
      <c r="I780" s="118" t="s">
        <v>18</v>
      </c>
      <c r="J780" s="119"/>
      <c r="K780" s="116" t="s">
        <v>19</v>
      </c>
      <c r="N780" s="25"/>
      <c r="O780" s="26"/>
      <c r="P780" s="120" t="s">
        <v>17</v>
      </c>
      <c r="Q780" s="120"/>
      <c r="R780" s="105"/>
      <c r="S780" s="27"/>
      <c r="U780" s="118" t="s">
        <v>18</v>
      </c>
      <c r="V780" s="119"/>
      <c r="W780" s="116" t="s">
        <v>19</v>
      </c>
      <c r="Z780" s="25"/>
      <c r="AA780" s="26"/>
      <c r="AB780" s="120" t="s">
        <v>17</v>
      </c>
      <c r="AC780" s="120"/>
      <c r="AD780" s="105"/>
      <c r="AE780" s="27"/>
      <c r="AG780" s="118" t="s">
        <v>18</v>
      </c>
      <c r="AH780" s="119"/>
      <c r="AI780" s="116" t="s">
        <v>19</v>
      </c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ht="30" x14ac:dyDescent="0.25">
      <c r="B781" s="28" t="s">
        <v>20</v>
      </c>
      <c r="C781" s="28" t="s">
        <v>21</v>
      </c>
      <c r="D781" s="77" t="s">
        <v>22</v>
      </c>
      <c r="E781" s="76" t="s">
        <v>23</v>
      </c>
      <c r="F781" s="78" t="s">
        <v>32</v>
      </c>
      <c r="G781" s="78" t="s">
        <v>24</v>
      </c>
      <c r="I781" s="29" t="s">
        <v>25</v>
      </c>
      <c r="J781" s="29" t="s">
        <v>26</v>
      </c>
      <c r="K781" s="117"/>
      <c r="N781" s="28" t="s">
        <v>20</v>
      </c>
      <c r="O781" s="28" t="s">
        <v>21</v>
      </c>
      <c r="P781" s="77" t="s">
        <v>22</v>
      </c>
      <c r="Q781" s="78" t="s">
        <v>23</v>
      </c>
      <c r="R781" s="78" t="s">
        <v>32</v>
      </c>
      <c r="S781" s="78" t="s">
        <v>24</v>
      </c>
      <c r="U781" s="29" t="s">
        <v>25</v>
      </c>
      <c r="V781" s="29" t="s">
        <v>26</v>
      </c>
      <c r="W781" s="117"/>
      <c r="Z781" s="28" t="s">
        <v>20</v>
      </c>
      <c r="AA781" s="28" t="s">
        <v>21</v>
      </c>
      <c r="AB781" s="77" t="s">
        <v>22</v>
      </c>
      <c r="AC781" s="78" t="s">
        <v>23</v>
      </c>
      <c r="AD781" s="78" t="s">
        <v>32</v>
      </c>
      <c r="AE781" s="78" t="s">
        <v>24</v>
      </c>
      <c r="AG781" s="29" t="s">
        <v>25</v>
      </c>
      <c r="AH781" s="29" t="s">
        <v>26</v>
      </c>
      <c r="AI781" s="117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10">
        <v>1</v>
      </c>
      <c r="B782" s="30" t="s">
        <v>81</v>
      </c>
      <c r="C782" s="83">
        <v>10226</v>
      </c>
      <c r="D782" s="32">
        <f>650*15+9.5*15</f>
        <v>9892.5</v>
      </c>
      <c r="E782" s="32"/>
      <c r="F782" s="32"/>
      <c r="G782" s="32">
        <f t="shared" ref="G782:G815" si="234">SUM(D782:E782)</f>
        <v>9892.5</v>
      </c>
      <c r="H782" s="12"/>
      <c r="I782" s="12"/>
      <c r="J782" s="12"/>
      <c r="K782" s="12">
        <f t="shared" ref="K782:K815" si="235">SUM(G782:J782)</f>
        <v>9892.5</v>
      </c>
      <c r="M782" s="10">
        <v>1</v>
      </c>
      <c r="N782" s="30" t="s">
        <v>81</v>
      </c>
      <c r="O782" s="31">
        <v>10191</v>
      </c>
      <c r="P782" s="32">
        <f>650*7+670*2+622*2+912*2+9.5*9</f>
        <v>9043.5</v>
      </c>
      <c r="Q782" s="32"/>
      <c r="R782" s="32"/>
      <c r="S782" s="32">
        <f>SUM(P782:Q782)</f>
        <v>9043.5</v>
      </c>
      <c r="T782" s="12"/>
      <c r="U782" s="12"/>
      <c r="V782" s="12">
        <v>-333</v>
      </c>
      <c r="W782" s="12">
        <f>SUM(S782:V782)</f>
        <v>8710.5</v>
      </c>
      <c r="Y782" s="10">
        <v>1</v>
      </c>
      <c r="Z782" s="30" t="s">
        <v>81</v>
      </c>
      <c r="AA782" s="31">
        <v>10129</v>
      </c>
      <c r="AB782" s="32">
        <f>650*40+622*10+229</f>
        <v>32449</v>
      </c>
      <c r="AC782" s="32">
        <f>-50*6</f>
        <v>-300</v>
      </c>
      <c r="AD782" s="32"/>
      <c r="AE782" s="32">
        <f>SUM(AB782:AC782)</f>
        <v>32149</v>
      </c>
      <c r="AF782" s="12"/>
      <c r="AG782" s="12"/>
      <c r="AH782" s="12"/>
      <c r="AI782" s="12">
        <f>SUM(AE782:AH782)</f>
        <v>32149</v>
      </c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10">
        <v>2</v>
      </c>
      <c r="B783" s="30" t="s">
        <v>81</v>
      </c>
      <c r="C783" s="83">
        <f>C782+1</f>
        <v>10227</v>
      </c>
      <c r="D783" s="32">
        <f>650*21+622*4+650*2</f>
        <v>17438</v>
      </c>
      <c r="E783" s="32"/>
      <c r="F783" s="32"/>
      <c r="G783" s="32">
        <f t="shared" si="234"/>
        <v>17438</v>
      </c>
      <c r="H783" s="12"/>
      <c r="I783" s="12"/>
      <c r="J783" s="12"/>
      <c r="K783" s="12">
        <f t="shared" si="235"/>
        <v>17438</v>
      </c>
      <c r="M783" s="10">
        <v>2</v>
      </c>
      <c r="N783" s="30" t="s">
        <v>81</v>
      </c>
      <c r="O783" s="31">
        <f>O782+1</f>
        <v>10192</v>
      </c>
      <c r="P783" s="32">
        <f>650*324+229*15</f>
        <v>214035</v>
      </c>
      <c r="Q783" s="32">
        <f>-324*6</f>
        <v>-1944</v>
      </c>
      <c r="R783" s="32"/>
      <c r="S783" s="32">
        <f t="shared" ref="S783:S820" si="236">SUM(P783:Q783)</f>
        <v>212091</v>
      </c>
      <c r="T783" s="12"/>
      <c r="U783" s="12">
        <v>1092</v>
      </c>
      <c r="V783" s="12">
        <v>-378</v>
      </c>
      <c r="W783" s="12">
        <f t="shared" ref="W783:W823" si="237">SUM(S783:V783)</f>
        <v>212805</v>
      </c>
      <c r="Y783" s="10">
        <v>2</v>
      </c>
      <c r="Z783" s="30" t="s">
        <v>81</v>
      </c>
      <c r="AA783" s="31">
        <f>AA782+1</f>
        <v>10130</v>
      </c>
      <c r="AB783" s="32">
        <f>650*150+622*36+872*2+229*5+650*2</f>
        <v>124081</v>
      </c>
      <c r="AC783" s="32">
        <f>-188*6</f>
        <v>-1128</v>
      </c>
      <c r="AD783" s="32"/>
      <c r="AE783" s="32">
        <f t="shared" ref="AE783:AE785" si="238">SUM(AB783:AC783)</f>
        <v>122953</v>
      </c>
      <c r="AF783" s="12"/>
      <c r="AG783" s="12">
        <v>108</v>
      </c>
      <c r="AH783" s="12"/>
      <c r="AI783" s="12">
        <f t="shared" ref="AI783:AI814" si="239">SUM(AE783:AH783)</f>
        <v>123061</v>
      </c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10">
        <v>3</v>
      </c>
      <c r="B784" s="30" t="s">
        <v>81</v>
      </c>
      <c r="C784" s="83">
        <f t="shared" ref="C784:C792" si="240">C783+1</f>
        <v>10228</v>
      </c>
      <c r="D784" s="33">
        <f>650*120+670*5+622*18</f>
        <v>92546</v>
      </c>
      <c r="E784" s="32"/>
      <c r="F784" s="33"/>
      <c r="G784" s="33">
        <f t="shared" si="234"/>
        <v>92546</v>
      </c>
      <c r="H784" s="34"/>
      <c r="I784" s="34"/>
      <c r="J784" s="34"/>
      <c r="K784" s="34">
        <f t="shared" si="235"/>
        <v>92546</v>
      </c>
      <c r="M784" s="10">
        <v>3</v>
      </c>
      <c r="N784" s="30" t="s">
        <v>81</v>
      </c>
      <c r="O784" s="31">
        <f t="shared" ref="O784" si="241">O783+1</f>
        <v>10193</v>
      </c>
      <c r="P784" s="32">
        <f>650+9.5</f>
        <v>659.5</v>
      </c>
      <c r="Q784" s="32"/>
      <c r="R784" s="32"/>
      <c r="S784" s="32">
        <f t="shared" si="236"/>
        <v>659.5</v>
      </c>
      <c r="T784" s="12"/>
      <c r="U784" s="12"/>
      <c r="V784" s="12"/>
      <c r="W784" s="12">
        <f t="shared" si="237"/>
        <v>659.5</v>
      </c>
      <c r="Y784" s="10">
        <v>3</v>
      </c>
      <c r="Z784" s="30" t="s">
        <v>81</v>
      </c>
      <c r="AA784" s="31">
        <f t="shared" ref="AA784:AA792" si="242">AA783+1</f>
        <v>10131</v>
      </c>
      <c r="AB784" s="33">
        <f>650*59+622*5+872*2+229*2</f>
        <v>43662</v>
      </c>
      <c r="AC784" s="33"/>
      <c r="AD784" s="32"/>
      <c r="AE784" s="32">
        <f t="shared" si="238"/>
        <v>43662</v>
      </c>
      <c r="AF784" s="12"/>
      <c r="AG784" s="12">
        <f>120+2664</f>
        <v>2784</v>
      </c>
      <c r="AH784" s="12"/>
      <c r="AI784" s="12">
        <f t="shared" si="239"/>
        <v>46446</v>
      </c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10">
        <v>4</v>
      </c>
      <c r="B785" s="30" t="s">
        <v>81</v>
      </c>
      <c r="C785" s="83">
        <f t="shared" si="240"/>
        <v>10229</v>
      </c>
      <c r="D785" s="32">
        <f>650*22+622*5</f>
        <v>17410</v>
      </c>
      <c r="E785" s="32"/>
      <c r="F785" s="32"/>
      <c r="G785" s="32">
        <f t="shared" si="234"/>
        <v>17410</v>
      </c>
      <c r="H785" s="12"/>
      <c r="I785" s="12"/>
      <c r="J785" s="12"/>
      <c r="K785" s="12">
        <f t="shared" si="235"/>
        <v>17410</v>
      </c>
      <c r="M785" s="10">
        <v>4</v>
      </c>
      <c r="N785" s="30"/>
      <c r="O785" s="11" t="s">
        <v>27</v>
      </c>
      <c r="P785" s="32"/>
      <c r="Q785" s="32"/>
      <c r="R785" s="32"/>
      <c r="S785" s="32">
        <f t="shared" si="236"/>
        <v>0</v>
      </c>
      <c r="T785" s="12"/>
      <c r="U785" s="12"/>
      <c r="V785" s="12"/>
      <c r="W785" s="12">
        <f t="shared" si="237"/>
        <v>0</v>
      </c>
      <c r="Y785" s="10">
        <v>4</v>
      </c>
      <c r="Z785" s="30" t="s">
        <v>81</v>
      </c>
      <c r="AA785" s="31">
        <f t="shared" si="242"/>
        <v>10132</v>
      </c>
      <c r="AB785" s="32">
        <f>650*5+9.5*5</f>
        <v>3297.5</v>
      </c>
      <c r="AC785" s="32"/>
      <c r="AD785" s="32"/>
      <c r="AE785" s="32">
        <f t="shared" si="238"/>
        <v>3297.5</v>
      </c>
      <c r="AF785" s="12"/>
      <c r="AH785" s="12"/>
      <c r="AI785" s="12">
        <f t="shared" si="239"/>
        <v>3297.5</v>
      </c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10">
        <v>5</v>
      </c>
      <c r="B786" s="30" t="s">
        <v>81</v>
      </c>
      <c r="C786" s="83">
        <f t="shared" si="240"/>
        <v>10230</v>
      </c>
      <c r="D786" s="32">
        <f>650*3+670*2</f>
        <v>3290</v>
      </c>
      <c r="E786" s="32"/>
      <c r="F786" s="32"/>
      <c r="G786" s="32">
        <f t="shared" si="234"/>
        <v>3290</v>
      </c>
      <c r="H786" s="12"/>
      <c r="I786" s="12"/>
      <c r="J786" s="12"/>
      <c r="K786" s="12">
        <f t="shared" si="235"/>
        <v>3290</v>
      </c>
      <c r="M786" s="10">
        <v>5</v>
      </c>
      <c r="N786" s="30"/>
      <c r="O786" s="31"/>
      <c r="P786" s="32"/>
      <c r="Q786" s="32"/>
      <c r="R786" s="32"/>
      <c r="S786" s="32">
        <f t="shared" si="236"/>
        <v>0</v>
      </c>
      <c r="T786" s="12"/>
      <c r="U786" s="12"/>
      <c r="V786" s="12"/>
      <c r="W786" s="12">
        <f t="shared" si="237"/>
        <v>0</v>
      </c>
      <c r="Y786" s="10">
        <v>5</v>
      </c>
      <c r="Z786" s="30" t="s">
        <v>81</v>
      </c>
      <c r="AA786" s="31">
        <f t="shared" si="242"/>
        <v>10133</v>
      </c>
      <c r="AB786" s="32">
        <f>650*6+670*7</f>
        <v>8590</v>
      </c>
      <c r="AC786" s="32"/>
      <c r="AD786" s="32"/>
      <c r="AE786" s="32">
        <f t="shared" ref="AE786:AE787" si="243">SUM(AB786:AC786)</f>
        <v>8590</v>
      </c>
      <c r="AF786" s="12"/>
      <c r="AG786" s="12"/>
      <c r="AH786" s="12">
        <v>-1776</v>
      </c>
      <c r="AI786" s="12">
        <f t="shared" si="239"/>
        <v>6814</v>
      </c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10">
        <v>6</v>
      </c>
      <c r="B787" s="30" t="s">
        <v>81</v>
      </c>
      <c r="C787" s="83">
        <f t="shared" si="240"/>
        <v>10231</v>
      </c>
      <c r="D787" s="32">
        <f>650*27+622*3</f>
        <v>19416</v>
      </c>
      <c r="E787" s="32"/>
      <c r="F787" s="32"/>
      <c r="G787" s="32">
        <f t="shared" si="234"/>
        <v>19416</v>
      </c>
      <c r="H787" s="12"/>
      <c r="I787" s="12">
        <v>162</v>
      </c>
      <c r="J787" s="12"/>
      <c r="K787" s="12">
        <f t="shared" si="235"/>
        <v>19578</v>
      </c>
      <c r="M787" s="10">
        <v>6</v>
      </c>
      <c r="N787" s="30"/>
      <c r="O787" s="31"/>
      <c r="P787" s="32"/>
      <c r="Q787" s="32"/>
      <c r="R787" s="32"/>
      <c r="S787" s="32">
        <f t="shared" si="236"/>
        <v>0</v>
      </c>
      <c r="T787" s="12"/>
      <c r="U787" s="12"/>
      <c r="V787" s="10"/>
      <c r="W787" s="12">
        <f t="shared" si="237"/>
        <v>0</v>
      </c>
      <c r="Y787" s="10">
        <v>6</v>
      </c>
      <c r="Z787" s="30" t="s">
        <v>81</v>
      </c>
      <c r="AA787" s="31">
        <f t="shared" si="242"/>
        <v>10134</v>
      </c>
      <c r="AB787" s="32">
        <f>650*25+670*5+622*25+229*2</f>
        <v>35608</v>
      </c>
      <c r="AC787" s="32">
        <f>-55*6</f>
        <v>-330</v>
      </c>
      <c r="AD787" s="32"/>
      <c r="AE787" s="32">
        <f t="shared" si="243"/>
        <v>35278</v>
      </c>
      <c r="AF787" s="12"/>
      <c r="AG787" s="12"/>
      <c r="AH787" s="10"/>
      <c r="AI787" s="12">
        <f t="shared" si="239"/>
        <v>35278</v>
      </c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10">
        <v>7</v>
      </c>
      <c r="B788" s="30" t="s">
        <v>81</v>
      </c>
      <c r="C788" s="83">
        <f t="shared" si="240"/>
        <v>10232</v>
      </c>
      <c r="D788" s="32">
        <f>650*6+670*2+500</f>
        <v>5740</v>
      </c>
      <c r="E788" s="32"/>
      <c r="F788" s="32"/>
      <c r="G788" s="32">
        <f t="shared" si="234"/>
        <v>5740</v>
      </c>
      <c r="H788" s="12"/>
      <c r="I788" s="12">
        <v>108</v>
      </c>
      <c r="J788" s="12"/>
      <c r="K788" s="12">
        <f t="shared" si="235"/>
        <v>5848</v>
      </c>
      <c r="M788" s="10">
        <v>7</v>
      </c>
      <c r="N788" s="30"/>
      <c r="O788" s="31"/>
      <c r="P788" s="32"/>
      <c r="Q788" s="32"/>
      <c r="R788" s="32"/>
      <c r="S788" s="32">
        <f t="shared" si="236"/>
        <v>0</v>
      </c>
      <c r="T788" s="12"/>
      <c r="U788" s="12"/>
      <c r="V788" s="12"/>
      <c r="W788" s="12">
        <f t="shared" si="237"/>
        <v>0</v>
      </c>
      <c r="Y788" s="10">
        <v>7</v>
      </c>
      <c r="Z788" s="30" t="s">
        <v>81</v>
      </c>
      <c r="AA788" s="31">
        <f t="shared" si="242"/>
        <v>10135</v>
      </c>
      <c r="AB788" s="32">
        <f>650*2+670*4+622*8+912</f>
        <v>9868</v>
      </c>
      <c r="AC788" s="32"/>
      <c r="AD788" s="32"/>
      <c r="AE788" s="32">
        <f>SUM(AB788:AC788)</f>
        <v>9868</v>
      </c>
      <c r="AF788" s="12"/>
      <c r="AG788" s="58"/>
      <c r="AH788" s="12"/>
      <c r="AI788" s="12">
        <f t="shared" si="239"/>
        <v>9868</v>
      </c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10">
        <v>8</v>
      </c>
      <c r="B789" s="30" t="s">
        <v>81</v>
      </c>
      <c r="C789" s="83">
        <f t="shared" si="240"/>
        <v>10233</v>
      </c>
      <c r="D789" s="32">
        <f>650*20+229</f>
        <v>13229</v>
      </c>
      <c r="E789" s="32"/>
      <c r="F789" s="32"/>
      <c r="G789" s="32">
        <f t="shared" si="234"/>
        <v>13229</v>
      </c>
      <c r="H789" s="12"/>
      <c r="I789" s="12"/>
      <c r="J789" s="12"/>
      <c r="K789" s="12">
        <f t="shared" si="235"/>
        <v>13229</v>
      </c>
      <c r="M789" s="10">
        <v>8</v>
      </c>
      <c r="N789" s="30"/>
      <c r="O789" s="31"/>
      <c r="P789" s="32"/>
      <c r="Q789" s="32"/>
      <c r="R789" s="32"/>
      <c r="S789" s="32">
        <f t="shared" si="236"/>
        <v>0</v>
      </c>
      <c r="T789" s="12"/>
      <c r="U789" s="12"/>
      <c r="V789" s="12"/>
      <c r="W789" s="12">
        <f t="shared" si="237"/>
        <v>0</v>
      </c>
      <c r="Y789" s="10">
        <v>8</v>
      </c>
      <c r="Z789" s="30" t="s">
        <v>81</v>
      </c>
      <c r="AA789" s="31">
        <f t="shared" si="242"/>
        <v>10136</v>
      </c>
      <c r="AB789" s="32">
        <f>650*25+670*4+622*16+229</f>
        <v>29111</v>
      </c>
      <c r="AC789" s="32"/>
      <c r="AE789" s="32">
        <f t="shared" ref="AE789:AE820" si="244">SUM(AB789:AC789)</f>
        <v>29111</v>
      </c>
      <c r="AF789" s="12"/>
      <c r="AG789" s="12"/>
      <c r="AH789" s="12"/>
      <c r="AI789" s="12">
        <f t="shared" si="239"/>
        <v>29111</v>
      </c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10">
        <v>9</v>
      </c>
      <c r="B790" s="30" t="s">
        <v>81</v>
      </c>
      <c r="C790" s="83">
        <f t="shared" si="240"/>
        <v>10234</v>
      </c>
      <c r="D790" s="32">
        <f>650*15+670*2</f>
        <v>11090</v>
      </c>
      <c r="E790" s="32"/>
      <c r="F790" s="32"/>
      <c r="G790" s="32">
        <f t="shared" si="234"/>
        <v>11090</v>
      </c>
      <c r="H790" s="12"/>
      <c r="I790" s="12"/>
      <c r="J790" s="12"/>
      <c r="K790" s="12">
        <f t="shared" si="235"/>
        <v>11090</v>
      </c>
      <c r="M790" s="10">
        <v>9</v>
      </c>
      <c r="N790" s="30"/>
      <c r="O790" s="31"/>
      <c r="P790" s="32"/>
      <c r="Q790" s="32"/>
      <c r="R790" s="32"/>
      <c r="S790" s="32">
        <f t="shared" si="236"/>
        <v>0</v>
      </c>
      <c r="T790" s="12"/>
      <c r="U790" s="12"/>
      <c r="V790" s="12"/>
      <c r="W790" s="12">
        <f t="shared" si="237"/>
        <v>0</v>
      </c>
      <c r="Y790" s="10">
        <v>9</v>
      </c>
      <c r="Z790" s="30" t="s">
        <v>81</v>
      </c>
      <c r="AA790" s="31">
        <f t="shared" si="242"/>
        <v>10137</v>
      </c>
      <c r="AB790" s="32">
        <f>650*4+622*2</f>
        <v>3844</v>
      </c>
      <c r="AC790" s="32"/>
      <c r="AD790" s="32"/>
      <c r="AE790" s="32">
        <f t="shared" si="244"/>
        <v>3844</v>
      </c>
      <c r="AF790" s="12"/>
      <c r="AH790" s="12"/>
      <c r="AI790" s="12">
        <f t="shared" si="239"/>
        <v>3844</v>
      </c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10">
        <v>10</v>
      </c>
      <c r="B791" s="30" t="s">
        <v>81</v>
      </c>
      <c r="C791" s="83">
        <f t="shared" si="240"/>
        <v>10235</v>
      </c>
      <c r="D791" s="32">
        <f>650*5</f>
        <v>3250</v>
      </c>
      <c r="E791" s="32"/>
      <c r="F791" s="32"/>
      <c r="G791" s="32">
        <f t="shared" si="234"/>
        <v>3250</v>
      </c>
      <c r="H791" s="12"/>
      <c r="I791" s="12"/>
      <c r="J791" s="12"/>
      <c r="K791" s="12">
        <f t="shared" si="235"/>
        <v>3250</v>
      </c>
      <c r="M791" s="10">
        <v>10</v>
      </c>
      <c r="N791" s="30"/>
      <c r="O791" s="31"/>
      <c r="P791" s="32"/>
      <c r="Q791" s="32"/>
      <c r="R791" s="32"/>
      <c r="S791" s="32">
        <f t="shared" si="236"/>
        <v>0</v>
      </c>
      <c r="T791" s="12"/>
      <c r="U791" s="12"/>
      <c r="V791" s="12"/>
      <c r="W791" s="12">
        <f t="shared" si="237"/>
        <v>0</v>
      </c>
      <c r="Y791" s="10">
        <v>10</v>
      </c>
      <c r="Z791" s="30" t="s">
        <v>81</v>
      </c>
      <c r="AA791" s="31">
        <f t="shared" si="242"/>
        <v>10138</v>
      </c>
      <c r="AB791" s="32">
        <f>650*15+622*5</f>
        <v>12860</v>
      </c>
      <c r="AC791" s="32"/>
      <c r="AD791" s="32"/>
      <c r="AE791" s="32">
        <f t="shared" si="244"/>
        <v>12860</v>
      </c>
      <c r="AF791" s="12"/>
      <c r="AG791" s="12">
        <v>45</v>
      </c>
      <c r="AH791" s="12"/>
      <c r="AI791" s="12">
        <f t="shared" si="239"/>
        <v>12905</v>
      </c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10">
        <v>11</v>
      </c>
      <c r="B792" s="30" t="s">
        <v>81</v>
      </c>
      <c r="C792" s="83">
        <f t="shared" si="240"/>
        <v>10236</v>
      </c>
      <c r="D792" s="32">
        <f>650*19</f>
        <v>12350</v>
      </c>
      <c r="E792" s="32"/>
      <c r="F792" s="32"/>
      <c r="G792" s="32">
        <f t="shared" si="234"/>
        <v>12350</v>
      </c>
      <c r="H792" s="12"/>
      <c r="I792" s="12"/>
      <c r="J792" s="12"/>
      <c r="K792" s="12">
        <f t="shared" si="235"/>
        <v>12350</v>
      </c>
      <c r="M792" s="10">
        <v>11</v>
      </c>
      <c r="N792" s="30"/>
      <c r="P792" s="32"/>
      <c r="Q792" s="32"/>
      <c r="R792" s="32"/>
      <c r="S792" s="32">
        <f t="shared" si="236"/>
        <v>0</v>
      </c>
      <c r="T792" s="12"/>
      <c r="U792" s="12"/>
      <c r="V792" s="12"/>
      <c r="W792" s="12">
        <f t="shared" si="237"/>
        <v>0</v>
      </c>
      <c r="Y792" s="10">
        <v>11</v>
      </c>
      <c r="Z792" s="30" t="s">
        <v>81</v>
      </c>
      <c r="AA792" s="31">
        <f t="shared" si="242"/>
        <v>10139</v>
      </c>
      <c r="AB792" s="32">
        <f>650*5</f>
        <v>3250</v>
      </c>
      <c r="AC792" s="32"/>
      <c r="AD792" s="32"/>
      <c r="AE792" s="32">
        <f t="shared" si="244"/>
        <v>3250</v>
      </c>
      <c r="AF792" s="12"/>
      <c r="AG792" s="12"/>
      <c r="AH792" s="12"/>
      <c r="AI792" s="12">
        <f t="shared" si="239"/>
        <v>3250</v>
      </c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10">
        <v>12</v>
      </c>
      <c r="B793" s="30"/>
      <c r="C793" s="11" t="s">
        <v>27</v>
      </c>
      <c r="D793" s="32"/>
      <c r="E793" s="32"/>
      <c r="F793" s="32"/>
      <c r="G793" s="32">
        <f t="shared" si="234"/>
        <v>0</v>
      </c>
      <c r="H793" s="12"/>
      <c r="I793" s="12"/>
      <c r="J793" s="10"/>
      <c r="K793" s="12">
        <f t="shared" si="235"/>
        <v>0</v>
      </c>
      <c r="M793" s="10">
        <v>12</v>
      </c>
      <c r="N793" s="30"/>
      <c r="O793" s="31"/>
      <c r="P793" s="32"/>
      <c r="Q793" s="32"/>
      <c r="R793" s="32"/>
      <c r="S793" s="32">
        <f t="shared" si="236"/>
        <v>0</v>
      </c>
      <c r="T793" s="12"/>
      <c r="U793" s="12"/>
      <c r="V793" s="12"/>
      <c r="W793" s="12">
        <f t="shared" si="237"/>
        <v>0</v>
      </c>
      <c r="Y793" s="10">
        <v>12</v>
      </c>
      <c r="Z793" s="30"/>
      <c r="AA793" s="11" t="s">
        <v>27</v>
      </c>
      <c r="AB793" s="32"/>
      <c r="AC793" s="32"/>
      <c r="AD793" s="32"/>
      <c r="AE793" s="32">
        <f t="shared" si="244"/>
        <v>0</v>
      </c>
      <c r="AF793" s="12"/>
      <c r="AG793" s="12"/>
      <c r="AH793" s="12"/>
      <c r="AI793" s="12">
        <f t="shared" si="239"/>
        <v>0</v>
      </c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10">
        <v>13</v>
      </c>
      <c r="B794" s="30"/>
      <c r="C794" s="83"/>
      <c r="D794" s="32"/>
      <c r="E794" s="32"/>
      <c r="F794" s="32"/>
      <c r="G794" s="32">
        <f t="shared" si="234"/>
        <v>0</v>
      </c>
      <c r="H794" s="12"/>
      <c r="I794" s="12"/>
      <c r="J794" s="12"/>
      <c r="K794" s="12">
        <f t="shared" si="235"/>
        <v>0</v>
      </c>
      <c r="M794" s="10">
        <v>13</v>
      </c>
      <c r="N794" s="30"/>
      <c r="O794" s="31"/>
      <c r="P794" s="32"/>
      <c r="Q794" s="32"/>
      <c r="R794" s="32"/>
      <c r="S794" s="32">
        <f t="shared" si="236"/>
        <v>0</v>
      </c>
      <c r="T794" s="12"/>
      <c r="U794" s="12"/>
      <c r="V794" s="12"/>
      <c r="W794" s="12">
        <f t="shared" si="237"/>
        <v>0</v>
      </c>
      <c r="Y794" s="10">
        <v>13</v>
      </c>
      <c r="Z794" s="30"/>
      <c r="AA794" s="31"/>
      <c r="AB794" s="32"/>
      <c r="AC794" s="32"/>
      <c r="AD794" s="32"/>
      <c r="AE794" s="32">
        <f t="shared" si="244"/>
        <v>0</v>
      </c>
      <c r="AF794" s="12"/>
      <c r="AG794" s="12"/>
      <c r="AH794" s="12"/>
      <c r="AI794" s="12">
        <f t="shared" si="239"/>
        <v>0</v>
      </c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10">
        <v>14</v>
      </c>
      <c r="B795" s="30"/>
      <c r="C795" s="83"/>
      <c r="D795" s="32"/>
      <c r="E795" s="32"/>
      <c r="F795" s="32"/>
      <c r="G795" s="32">
        <f t="shared" si="234"/>
        <v>0</v>
      </c>
      <c r="H795" s="12"/>
      <c r="I795" s="12"/>
      <c r="J795" s="12"/>
      <c r="K795" s="12">
        <f t="shared" si="235"/>
        <v>0</v>
      </c>
      <c r="M795" s="10">
        <v>14</v>
      </c>
      <c r="N795" s="30"/>
      <c r="O795" s="31"/>
      <c r="P795" s="32"/>
      <c r="Q795" s="32"/>
      <c r="R795" s="32"/>
      <c r="S795" s="32">
        <f t="shared" si="236"/>
        <v>0</v>
      </c>
      <c r="T795" s="12"/>
      <c r="U795" s="12"/>
      <c r="V795" s="12"/>
      <c r="W795" s="12">
        <f t="shared" si="237"/>
        <v>0</v>
      </c>
      <c r="Y795" s="10">
        <v>14</v>
      </c>
      <c r="Z795" s="30"/>
      <c r="AA795" s="31"/>
      <c r="AB795" s="32"/>
      <c r="AC795" s="32"/>
      <c r="AD795" s="32"/>
      <c r="AE795" s="32">
        <f t="shared" si="244"/>
        <v>0</v>
      </c>
      <c r="AF795" s="12"/>
      <c r="AG795" s="12"/>
      <c r="AH795" s="12"/>
      <c r="AI795" s="12">
        <f t="shared" si="239"/>
        <v>0</v>
      </c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10">
        <v>15</v>
      </c>
      <c r="B796" s="30"/>
      <c r="C796" s="83"/>
      <c r="D796" s="32"/>
      <c r="E796" s="32"/>
      <c r="F796" s="32"/>
      <c r="G796" s="32">
        <f t="shared" si="234"/>
        <v>0</v>
      </c>
      <c r="H796" s="12"/>
      <c r="I796" s="12"/>
      <c r="J796" s="12"/>
      <c r="K796" s="12">
        <f t="shared" si="235"/>
        <v>0</v>
      </c>
      <c r="M796" s="10">
        <v>15</v>
      </c>
      <c r="N796" s="30"/>
      <c r="O796" s="31"/>
      <c r="P796" s="32"/>
      <c r="Q796" s="32"/>
      <c r="R796" s="32"/>
      <c r="S796" s="32">
        <f t="shared" si="236"/>
        <v>0</v>
      </c>
      <c r="T796" s="12"/>
      <c r="U796" s="12"/>
      <c r="V796" s="12"/>
      <c r="W796" s="12">
        <f t="shared" si="237"/>
        <v>0</v>
      </c>
      <c r="Y796" s="10">
        <v>15</v>
      </c>
      <c r="Z796" s="30"/>
      <c r="AA796" s="31"/>
      <c r="AB796" s="32"/>
      <c r="AC796" s="32"/>
      <c r="AD796" s="32"/>
      <c r="AE796" s="32">
        <f t="shared" si="244"/>
        <v>0</v>
      </c>
      <c r="AF796" s="12"/>
      <c r="AG796" s="12"/>
      <c r="AH796" s="12"/>
      <c r="AI796" s="12">
        <f t="shared" si="239"/>
        <v>0</v>
      </c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10">
        <v>16</v>
      </c>
      <c r="B797" s="30"/>
      <c r="C797" s="11"/>
      <c r="D797" s="32"/>
      <c r="E797" s="32"/>
      <c r="F797" s="32"/>
      <c r="G797" s="32">
        <f t="shared" si="234"/>
        <v>0</v>
      </c>
      <c r="H797" s="12"/>
      <c r="I797" s="12"/>
      <c r="J797" s="12"/>
      <c r="K797" s="12">
        <f t="shared" si="235"/>
        <v>0</v>
      </c>
      <c r="M797" s="10">
        <v>16</v>
      </c>
      <c r="N797" s="30"/>
      <c r="O797" s="11"/>
      <c r="P797" s="32"/>
      <c r="Q797" s="32"/>
      <c r="R797" s="32"/>
      <c r="S797" s="32">
        <f t="shared" si="236"/>
        <v>0</v>
      </c>
      <c r="T797" s="12"/>
      <c r="U797" s="12"/>
      <c r="V797" s="12"/>
      <c r="W797" s="12">
        <f t="shared" si="237"/>
        <v>0</v>
      </c>
      <c r="Y797" s="10">
        <v>16</v>
      </c>
      <c r="AA797" s="11"/>
      <c r="AB797" s="32"/>
      <c r="AC797" s="32"/>
      <c r="AD797" s="32"/>
      <c r="AE797" s="32">
        <f t="shared" si="244"/>
        <v>0</v>
      </c>
      <c r="AF797" s="12"/>
      <c r="AG797" s="12"/>
      <c r="AH797" s="12"/>
      <c r="AI797" s="12">
        <f t="shared" si="239"/>
        <v>0</v>
      </c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10">
        <v>17</v>
      </c>
      <c r="B798" s="30"/>
      <c r="C798" s="83"/>
      <c r="D798" s="32"/>
      <c r="E798" s="32"/>
      <c r="F798" s="32"/>
      <c r="G798" s="32">
        <f t="shared" si="234"/>
        <v>0</v>
      </c>
      <c r="H798" s="12"/>
      <c r="I798" s="12"/>
      <c r="J798" s="12"/>
      <c r="K798" s="12">
        <f t="shared" si="235"/>
        <v>0</v>
      </c>
      <c r="M798" s="10">
        <v>17</v>
      </c>
      <c r="N798" s="30"/>
      <c r="O798" s="31"/>
      <c r="P798" s="35"/>
      <c r="Q798" s="32"/>
      <c r="R798" s="32"/>
      <c r="S798" s="32">
        <f t="shared" si="236"/>
        <v>0</v>
      </c>
      <c r="T798" s="12"/>
      <c r="U798" s="12"/>
      <c r="V798" s="12"/>
      <c r="W798" s="12">
        <f t="shared" si="237"/>
        <v>0</v>
      </c>
      <c r="Y798" s="10">
        <v>17</v>
      </c>
      <c r="Z798" s="30"/>
      <c r="AA798" s="31"/>
      <c r="AB798" s="35"/>
      <c r="AC798" s="32"/>
      <c r="AD798" s="32"/>
      <c r="AE798" s="32">
        <f t="shared" si="244"/>
        <v>0</v>
      </c>
      <c r="AF798" s="12"/>
      <c r="AG798" s="12"/>
      <c r="AH798" s="12"/>
      <c r="AI798" s="12">
        <f t="shared" si="239"/>
        <v>0</v>
      </c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10">
        <v>18</v>
      </c>
      <c r="B799" s="30"/>
      <c r="C799" s="83"/>
      <c r="D799" s="32"/>
      <c r="E799" s="32"/>
      <c r="F799" s="32"/>
      <c r="G799" s="32">
        <f t="shared" si="234"/>
        <v>0</v>
      </c>
      <c r="H799" s="12"/>
      <c r="I799" s="12"/>
      <c r="J799" s="12"/>
      <c r="K799" s="12">
        <f t="shared" si="235"/>
        <v>0</v>
      </c>
      <c r="M799" s="10">
        <v>18</v>
      </c>
      <c r="N799" s="30"/>
      <c r="P799" s="32"/>
      <c r="Q799" s="32"/>
      <c r="R799" s="32"/>
      <c r="S799" s="32">
        <f t="shared" si="236"/>
        <v>0</v>
      </c>
      <c r="T799" s="12"/>
      <c r="U799" s="12"/>
      <c r="V799" s="12"/>
      <c r="W799" s="12">
        <f t="shared" si="237"/>
        <v>0</v>
      </c>
      <c r="Y799" s="10">
        <v>18</v>
      </c>
      <c r="Z799" s="30"/>
      <c r="AA799" s="31"/>
      <c r="AB799" s="32"/>
      <c r="AC799" s="32"/>
      <c r="AD799" s="32"/>
      <c r="AE799" s="32">
        <f t="shared" si="244"/>
        <v>0</v>
      </c>
      <c r="AF799" s="12"/>
      <c r="AG799" s="12"/>
      <c r="AH799" s="12"/>
      <c r="AI799" s="12">
        <f t="shared" si="239"/>
        <v>0</v>
      </c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10">
        <v>19</v>
      </c>
      <c r="B800" s="30"/>
      <c r="C800" s="83"/>
      <c r="D800" s="32"/>
      <c r="E800" s="32"/>
      <c r="F800" s="32"/>
      <c r="G800" s="32">
        <f t="shared" si="234"/>
        <v>0</v>
      </c>
      <c r="H800" s="12"/>
      <c r="I800" s="12"/>
      <c r="J800" s="12"/>
      <c r="K800" s="12">
        <f t="shared" si="235"/>
        <v>0</v>
      </c>
      <c r="M800" s="10">
        <v>19</v>
      </c>
      <c r="N800" s="30"/>
      <c r="O800" s="31"/>
      <c r="P800" s="32"/>
      <c r="Q800" s="32"/>
      <c r="R800" s="32"/>
      <c r="S800" s="32">
        <f t="shared" si="236"/>
        <v>0</v>
      </c>
      <c r="T800" s="12"/>
      <c r="U800" s="12"/>
      <c r="V800" s="12"/>
      <c r="W800" s="12">
        <f t="shared" si="237"/>
        <v>0</v>
      </c>
      <c r="Y800" s="10">
        <v>19</v>
      </c>
      <c r="Z800" s="30"/>
      <c r="AA800" s="31"/>
      <c r="AB800" s="32"/>
      <c r="AC800" s="32"/>
      <c r="AD800" s="32"/>
      <c r="AE800" s="32">
        <f t="shared" si="244"/>
        <v>0</v>
      </c>
      <c r="AF800" s="12"/>
      <c r="AG800" s="12"/>
      <c r="AH800" s="12"/>
      <c r="AI800" s="12">
        <f t="shared" si="239"/>
        <v>0</v>
      </c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10">
        <v>20</v>
      </c>
      <c r="B801" s="30"/>
      <c r="C801" s="83"/>
      <c r="D801" s="32"/>
      <c r="E801" s="32"/>
      <c r="F801" s="32"/>
      <c r="G801" s="32">
        <f t="shared" si="234"/>
        <v>0</v>
      </c>
      <c r="H801" s="12"/>
      <c r="I801" s="12"/>
      <c r="J801" s="12"/>
      <c r="K801" s="12">
        <f t="shared" si="235"/>
        <v>0</v>
      </c>
      <c r="M801" s="10">
        <v>20</v>
      </c>
      <c r="N801" s="30"/>
      <c r="O801" s="31"/>
      <c r="P801" s="32"/>
      <c r="Q801" s="32"/>
      <c r="R801" s="32"/>
      <c r="S801" s="32">
        <f t="shared" si="236"/>
        <v>0</v>
      </c>
      <c r="T801" s="12"/>
      <c r="U801" s="12"/>
      <c r="V801" s="12"/>
      <c r="W801" s="12">
        <f t="shared" si="237"/>
        <v>0</v>
      </c>
      <c r="Y801" s="10">
        <v>20</v>
      </c>
      <c r="Z801" s="30"/>
      <c r="AB801" s="32"/>
      <c r="AC801" s="32"/>
      <c r="AD801" s="32"/>
      <c r="AE801" s="32">
        <f t="shared" si="244"/>
        <v>0</v>
      </c>
      <c r="AF801" s="12"/>
      <c r="AG801" s="12"/>
      <c r="AH801" s="12"/>
      <c r="AI801" s="12">
        <f t="shared" si="239"/>
        <v>0</v>
      </c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10">
        <v>21</v>
      </c>
      <c r="B802" s="30"/>
      <c r="C802" s="83"/>
      <c r="D802" s="32"/>
      <c r="E802" s="32"/>
      <c r="F802" s="32"/>
      <c r="G802" s="32">
        <f t="shared" si="234"/>
        <v>0</v>
      </c>
      <c r="H802" s="10"/>
      <c r="I802" s="10"/>
      <c r="J802" s="10"/>
      <c r="K802" s="12">
        <f t="shared" si="235"/>
        <v>0</v>
      </c>
      <c r="M802" s="10">
        <v>21</v>
      </c>
      <c r="N802" s="30"/>
      <c r="O802" s="11"/>
      <c r="P802" s="46"/>
      <c r="Q802" s="31"/>
      <c r="R802" s="31"/>
      <c r="S802" s="32">
        <f t="shared" si="236"/>
        <v>0</v>
      </c>
      <c r="T802" s="10"/>
      <c r="U802" s="10"/>
      <c r="V802" s="10"/>
      <c r="W802" s="12">
        <f t="shared" si="237"/>
        <v>0</v>
      </c>
      <c r="Y802" s="10">
        <v>21</v>
      </c>
      <c r="Z802" s="30"/>
      <c r="AA802" s="31"/>
      <c r="AB802" s="46"/>
      <c r="AC802" s="31"/>
      <c r="AD802" s="31"/>
      <c r="AE802" s="32">
        <f t="shared" si="244"/>
        <v>0</v>
      </c>
      <c r="AF802" s="10"/>
      <c r="AG802" s="10"/>
      <c r="AH802" s="10"/>
      <c r="AI802" s="12">
        <f t="shared" si="239"/>
        <v>0</v>
      </c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10">
        <v>22</v>
      </c>
      <c r="B803" s="30"/>
      <c r="C803" s="57"/>
      <c r="D803" s="32"/>
      <c r="E803" s="32"/>
      <c r="F803" s="32"/>
      <c r="G803" s="32">
        <f t="shared" si="234"/>
        <v>0</v>
      </c>
      <c r="H803" s="10"/>
      <c r="I803" s="10"/>
      <c r="J803" s="10"/>
      <c r="K803" s="12">
        <f t="shared" si="235"/>
        <v>0</v>
      </c>
      <c r="M803" s="10">
        <v>22</v>
      </c>
      <c r="N803" s="30"/>
      <c r="O803" s="31"/>
      <c r="P803" s="45"/>
      <c r="Q803" s="31"/>
      <c r="R803" s="31"/>
      <c r="S803" s="32">
        <f t="shared" si="236"/>
        <v>0</v>
      </c>
      <c r="T803" s="10"/>
      <c r="U803" s="10"/>
      <c r="V803" s="10"/>
      <c r="W803" s="12">
        <f t="shared" si="237"/>
        <v>0</v>
      </c>
      <c r="Y803" s="10">
        <v>22</v>
      </c>
      <c r="Z803" s="30"/>
      <c r="AA803" s="31"/>
      <c r="AB803" s="45"/>
      <c r="AC803" s="31"/>
      <c r="AD803" s="31"/>
      <c r="AE803" s="32">
        <f t="shared" si="244"/>
        <v>0</v>
      </c>
      <c r="AF803" s="10"/>
      <c r="AG803" s="10"/>
      <c r="AH803" s="10"/>
      <c r="AI803" s="12">
        <f t="shared" si="239"/>
        <v>0</v>
      </c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10">
        <v>23</v>
      </c>
      <c r="B804" s="30"/>
      <c r="C804" s="83"/>
      <c r="D804" s="32"/>
      <c r="E804" s="32"/>
      <c r="F804" s="32"/>
      <c r="G804" s="32">
        <f t="shared" si="234"/>
        <v>0</v>
      </c>
      <c r="H804" s="10"/>
      <c r="I804" s="10"/>
      <c r="J804" s="12"/>
      <c r="K804" s="12">
        <f t="shared" si="235"/>
        <v>0</v>
      </c>
      <c r="M804" s="10">
        <v>23</v>
      </c>
      <c r="N804" s="30"/>
      <c r="O804" s="31"/>
      <c r="P804" s="47"/>
      <c r="S804" s="32">
        <f t="shared" si="236"/>
        <v>0</v>
      </c>
      <c r="T804" s="10"/>
      <c r="U804" s="10"/>
      <c r="V804" s="10"/>
      <c r="W804" s="12">
        <f t="shared" si="237"/>
        <v>0</v>
      </c>
      <c r="Y804" s="10">
        <v>23</v>
      </c>
      <c r="Z804" s="30"/>
      <c r="AA804" s="31"/>
      <c r="AB804" s="47"/>
      <c r="AC804" s="31"/>
      <c r="AE804" s="32">
        <f t="shared" si="244"/>
        <v>0</v>
      </c>
      <c r="AF804" s="10"/>
      <c r="AG804" s="10"/>
      <c r="AH804" s="10"/>
      <c r="AI804" s="12">
        <f t="shared" si="239"/>
        <v>0</v>
      </c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10">
        <v>24</v>
      </c>
      <c r="B805" s="30"/>
      <c r="C805" s="83"/>
      <c r="D805" s="32"/>
      <c r="E805" s="32"/>
      <c r="F805" s="32"/>
      <c r="G805" s="32">
        <f t="shared" si="234"/>
        <v>0</v>
      </c>
      <c r="H805" s="10"/>
      <c r="I805" s="10"/>
      <c r="J805" s="10"/>
      <c r="K805" s="12">
        <f t="shared" si="235"/>
        <v>0</v>
      </c>
      <c r="M805" s="10">
        <v>24</v>
      </c>
      <c r="N805" s="30"/>
      <c r="O805" s="31"/>
      <c r="P805" s="47"/>
      <c r="Q805" s="31"/>
      <c r="R805" s="31"/>
      <c r="S805" s="32">
        <f t="shared" si="236"/>
        <v>0</v>
      </c>
      <c r="T805" s="10"/>
      <c r="U805" s="10"/>
      <c r="V805" s="10"/>
      <c r="W805" s="12">
        <f t="shared" si="237"/>
        <v>0</v>
      </c>
      <c r="Y805" s="10">
        <v>24</v>
      </c>
      <c r="Z805" s="30"/>
      <c r="AA805" s="31"/>
      <c r="AB805" s="47"/>
      <c r="AC805" s="31"/>
      <c r="AD805" s="31"/>
      <c r="AE805" s="32">
        <f t="shared" si="244"/>
        <v>0</v>
      </c>
      <c r="AF805" s="10"/>
      <c r="AG805" s="10"/>
      <c r="AH805" s="10"/>
      <c r="AI805" s="12">
        <f t="shared" si="239"/>
        <v>0</v>
      </c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10">
        <v>25</v>
      </c>
      <c r="B806" s="30"/>
      <c r="C806" s="83"/>
      <c r="D806" s="32"/>
      <c r="E806" s="32"/>
      <c r="F806" s="32"/>
      <c r="G806" s="32">
        <f t="shared" si="234"/>
        <v>0</v>
      </c>
      <c r="H806" s="10"/>
      <c r="I806" s="10"/>
      <c r="J806" s="10"/>
      <c r="K806" s="12">
        <f t="shared" si="235"/>
        <v>0</v>
      </c>
      <c r="M806" s="10">
        <v>25</v>
      </c>
      <c r="N806" s="30"/>
      <c r="O806" s="31"/>
      <c r="P806" s="47"/>
      <c r="Q806" s="31"/>
      <c r="R806" s="31"/>
      <c r="S806" s="32">
        <f t="shared" si="236"/>
        <v>0</v>
      </c>
      <c r="T806" s="10"/>
      <c r="U806" s="10"/>
      <c r="V806" s="10"/>
      <c r="W806" s="12">
        <f t="shared" si="237"/>
        <v>0</v>
      </c>
      <c r="Y806" s="10">
        <v>25</v>
      </c>
      <c r="Z806" s="30"/>
      <c r="AA806" s="31"/>
      <c r="AB806" s="47"/>
      <c r="AC806" s="31"/>
      <c r="AD806" s="31"/>
      <c r="AE806" s="32">
        <f t="shared" si="244"/>
        <v>0</v>
      </c>
      <c r="AF806" s="10"/>
      <c r="AG806" s="10"/>
      <c r="AH806" s="10"/>
      <c r="AI806" s="12">
        <f t="shared" si="239"/>
        <v>0</v>
      </c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10">
        <v>26</v>
      </c>
      <c r="B807" s="30"/>
      <c r="C807" s="83"/>
      <c r="D807" s="32"/>
      <c r="E807" s="32"/>
      <c r="F807" s="32"/>
      <c r="G807" s="32">
        <f t="shared" si="234"/>
        <v>0</v>
      </c>
      <c r="H807" s="10"/>
      <c r="I807" s="10"/>
      <c r="J807" s="10"/>
      <c r="K807" s="12">
        <f t="shared" si="235"/>
        <v>0</v>
      </c>
      <c r="M807" s="10">
        <v>26</v>
      </c>
      <c r="N807" s="30"/>
      <c r="O807" s="11"/>
      <c r="P807" s="47"/>
      <c r="Q807" s="31"/>
      <c r="R807" s="31"/>
      <c r="S807" s="32">
        <f t="shared" si="236"/>
        <v>0</v>
      </c>
      <c r="T807" s="10"/>
      <c r="U807" s="10"/>
      <c r="V807" s="10"/>
      <c r="W807" s="12">
        <f t="shared" si="237"/>
        <v>0</v>
      </c>
      <c r="Y807" s="10">
        <v>26</v>
      </c>
      <c r="Z807" s="30"/>
      <c r="AA807" s="31"/>
      <c r="AB807" s="47"/>
      <c r="AC807" s="31"/>
      <c r="AD807" s="31"/>
      <c r="AE807" s="32">
        <f t="shared" si="244"/>
        <v>0</v>
      </c>
      <c r="AF807" s="10"/>
      <c r="AG807" s="10"/>
      <c r="AH807" s="10"/>
      <c r="AI807" s="12">
        <f t="shared" si="239"/>
        <v>0</v>
      </c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10">
        <v>27</v>
      </c>
      <c r="B808" s="30"/>
      <c r="C808" s="83"/>
      <c r="D808" s="32"/>
      <c r="E808" s="32"/>
      <c r="F808" s="32"/>
      <c r="G808" s="32">
        <f t="shared" si="234"/>
        <v>0</v>
      </c>
      <c r="H808" s="10"/>
      <c r="I808" s="10"/>
      <c r="J808" s="10"/>
      <c r="K808" s="12">
        <f t="shared" si="235"/>
        <v>0</v>
      </c>
      <c r="M808" s="10">
        <v>27</v>
      </c>
      <c r="N808" s="30"/>
      <c r="O808" s="31"/>
      <c r="P808" s="47"/>
      <c r="Q808" s="31"/>
      <c r="R808" s="31"/>
      <c r="S808" s="32">
        <f t="shared" si="236"/>
        <v>0</v>
      </c>
      <c r="T808" s="10"/>
      <c r="U808" s="10"/>
      <c r="V808" s="10"/>
      <c r="W808" s="12">
        <f t="shared" si="237"/>
        <v>0</v>
      </c>
      <c r="Y808" s="10">
        <v>27</v>
      </c>
      <c r="Z808" s="30"/>
      <c r="AA808" s="31"/>
      <c r="AB808" s="47"/>
      <c r="AC808" s="31"/>
      <c r="AD808" s="31"/>
      <c r="AE808" s="32">
        <f t="shared" si="244"/>
        <v>0</v>
      </c>
      <c r="AF808" s="10"/>
      <c r="AG808" s="10"/>
      <c r="AH808" s="10"/>
      <c r="AI808" s="12">
        <f t="shared" si="239"/>
        <v>0</v>
      </c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10">
        <v>28</v>
      </c>
      <c r="B809" s="30"/>
      <c r="C809" s="83"/>
      <c r="D809" s="32"/>
      <c r="E809" s="32"/>
      <c r="F809" s="32"/>
      <c r="G809" s="32">
        <f t="shared" si="234"/>
        <v>0</v>
      </c>
      <c r="H809" s="10"/>
      <c r="I809" s="10"/>
      <c r="J809" s="10"/>
      <c r="K809" s="12">
        <f t="shared" si="235"/>
        <v>0</v>
      </c>
      <c r="M809" s="10">
        <v>28</v>
      </c>
      <c r="N809" s="30"/>
      <c r="O809" s="31"/>
      <c r="P809" s="47"/>
      <c r="Q809" s="31"/>
      <c r="R809" s="31"/>
      <c r="S809" s="32">
        <f t="shared" si="236"/>
        <v>0</v>
      </c>
      <c r="T809" s="10"/>
      <c r="U809" s="10"/>
      <c r="V809" s="10"/>
      <c r="W809" s="12">
        <f t="shared" si="237"/>
        <v>0</v>
      </c>
      <c r="Y809" s="10">
        <v>28</v>
      </c>
      <c r="Z809" s="30"/>
      <c r="AA809" s="31"/>
      <c r="AB809" s="47"/>
      <c r="AC809" s="31"/>
      <c r="AD809" s="31"/>
      <c r="AE809" s="32">
        <f t="shared" si="244"/>
        <v>0</v>
      </c>
      <c r="AF809" s="10"/>
      <c r="AG809" s="10"/>
      <c r="AH809" s="10"/>
      <c r="AI809" s="12">
        <f t="shared" si="239"/>
        <v>0</v>
      </c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10">
        <v>29</v>
      </c>
      <c r="B810" s="30"/>
      <c r="C810" s="83"/>
      <c r="D810" s="32"/>
      <c r="E810" s="32"/>
      <c r="F810" s="32"/>
      <c r="G810" s="32">
        <f t="shared" si="234"/>
        <v>0</v>
      </c>
      <c r="H810" s="10"/>
      <c r="I810" s="10"/>
      <c r="J810" s="10"/>
      <c r="K810" s="12">
        <f t="shared" si="235"/>
        <v>0</v>
      </c>
      <c r="M810" s="10">
        <v>29</v>
      </c>
      <c r="N810" s="30"/>
      <c r="O810" s="31"/>
      <c r="P810" s="47"/>
      <c r="Q810" s="31"/>
      <c r="R810" s="31"/>
      <c r="S810" s="32">
        <f t="shared" si="236"/>
        <v>0</v>
      </c>
      <c r="T810" s="10"/>
      <c r="U810" s="10"/>
      <c r="V810" s="10"/>
      <c r="W810" s="12">
        <f t="shared" si="237"/>
        <v>0</v>
      </c>
      <c r="Y810" s="10">
        <v>29</v>
      </c>
      <c r="Z810" s="30"/>
      <c r="AA810" s="31"/>
      <c r="AB810" s="47"/>
      <c r="AC810" s="31"/>
      <c r="AD810" s="31"/>
      <c r="AE810" s="32">
        <f t="shared" si="244"/>
        <v>0</v>
      </c>
      <c r="AF810" s="10"/>
      <c r="AG810" s="10"/>
      <c r="AH810" s="10"/>
      <c r="AI810" s="12">
        <f t="shared" si="239"/>
        <v>0</v>
      </c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10">
        <v>30</v>
      </c>
      <c r="B811" s="30"/>
      <c r="C811" s="83"/>
      <c r="D811" s="32"/>
      <c r="E811" s="32"/>
      <c r="F811" s="32"/>
      <c r="G811" s="32">
        <f t="shared" si="234"/>
        <v>0</v>
      </c>
      <c r="H811" s="10"/>
      <c r="I811" s="10"/>
      <c r="J811" s="10"/>
      <c r="K811" s="12">
        <f t="shared" si="235"/>
        <v>0</v>
      </c>
      <c r="M811" s="10">
        <v>30</v>
      </c>
      <c r="N811" s="30"/>
      <c r="O811" s="31"/>
      <c r="P811" s="47"/>
      <c r="Q811" s="31"/>
      <c r="R811" s="31"/>
      <c r="S811" s="32">
        <f t="shared" si="236"/>
        <v>0</v>
      </c>
      <c r="T811" s="10"/>
      <c r="U811" s="10"/>
      <c r="V811" s="10"/>
      <c r="W811" s="12">
        <f t="shared" si="237"/>
        <v>0</v>
      </c>
      <c r="Y811" s="10">
        <v>30</v>
      </c>
      <c r="Z811" s="30"/>
      <c r="AA811" s="31"/>
      <c r="AB811" s="47"/>
      <c r="AC811" s="31"/>
      <c r="AD811" s="31"/>
      <c r="AE811" s="32">
        <f t="shared" si="244"/>
        <v>0</v>
      </c>
      <c r="AF811" s="10"/>
      <c r="AG811" s="10"/>
      <c r="AH811" s="10"/>
      <c r="AI811" s="12">
        <f t="shared" si="239"/>
        <v>0</v>
      </c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10">
        <v>31</v>
      </c>
      <c r="B812" s="30"/>
      <c r="C812" s="11"/>
      <c r="D812" s="32"/>
      <c r="E812" s="32"/>
      <c r="F812" s="32"/>
      <c r="G812" s="32">
        <f t="shared" si="234"/>
        <v>0</v>
      </c>
      <c r="H812" s="10"/>
      <c r="I812" s="10"/>
      <c r="J812" s="10"/>
      <c r="K812" s="12">
        <f t="shared" si="235"/>
        <v>0</v>
      </c>
      <c r="M812" s="10">
        <v>31</v>
      </c>
      <c r="N812" s="30"/>
      <c r="O812" s="31"/>
      <c r="P812" s="47"/>
      <c r="Q812" s="31"/>
      <c r="R812" s="31"/>
      <c r="S812" s="32">
        <f t="shared" si="236"/>
        <v>0</v>
      </c>
      <c r="T812" s="10"/>
      <c r="U812" s="10"/>
      <c r="V812" s="10"/>
      <c r="W812" s="12">
        <f t="shared" si="237"/>
        <v>0</v>
      </c>
      <c r="Y812" s="10">
        <v>31</v>
      </c>
      <c r="Z812" s="30"/>
      <c r="AA812" s="31"/>
      <c r="AB812" s="47"/>
      <c r="AC812" s="31"/>
      <c r="AD812" s="31"/>
      <c r="AE812" s="32">
        <f t="shared" si="244"/>
        <v>0</v>
      </c>
      <c r="AF812" s="10"/>
      <c r="AG812" s="10"/>
      <c r="AH812" s="10"/>
      <c r="AI812" s="12">
        <f t="shared" si="239"/>
        <v>0</v>
      </c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10">
        <v>32</v>
      </c>
      <c r="B813" s="30"/>
      <c r="C813" s="83"/>
      <c r="D813" s="32"/>
      <c r="E813" s="32"/>
      <c r="F813" s="32"/>
      <c r="G813" s="32">
        <f t="shared" si="234"/>
        <v>0</v>
      </c>
      <c r="H813" s="10"/>
      <c r="I813" s="10"/>
      <c r="J813" s="10"/>
      <c r="K813" s="12">
        <f t="shared" si="235"/>
        <v>0</v>
      </c>
      <c r="M813" s="10">
        <v>32</v>
      </c>
      <c r="N813" s="30"/>
      <c r="O813" s="31"/>
      <c r="P813" s="47"/>
      <c r="Q813" s="31"/>
      <c r="R813" s="31"/>
      <c r="S813" s="32">
        <f t="shared" si="236"/>
        <v>0</v>
      </c>
      <c r="T813" s="10"/>
      <c r="U813" s="10"/>
      <c r="V813" s="10"/>
      <c r="W813" s="12">
        <f t="shared" si="237"/>
        <v>0</v>
      </c>
      <c r="Y813" s="10">
        <v>32</v>
      </c>
      <c r="Z813" s="30"/>
      <c r="AA813" s="31"/>
      <c r="AB813" s="47"/>
      <c r="AC813" s="31"/>
      <c r="AD813" s="31"/>
      <c r="AE813" s="32">
        <f t="shared" si="244"/>
        <v>0</v>
      </c>
      <c r="AF813" s="10"/>
      <c r="AG813" s="10"/>
      <c r="AH813" s="10"/>
      <c r="AI813" s="12">
        <f t="shared" si="239"/>
        <v>0</v>
      </c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10">
        <v>33</v>
      </c>
      <c r="B814" s="30"/>
      <c r="C814" s="83"/>
      <c r="D814" s="32"/>
      <c r="E814" s="32"/>
      <c r="F814" s="32"/>
      <c r="G814" s="32">
        <f t="shared" si="234"/>
        <v>0</v>
      </c>
      <c r="H814" s="10"/>
      <c r="I814" s="10"/>
      <c r="J814" s="10"/>
      <c r="K814" s="12">
        <f t="shared" si="235"/>
        <v>0</v>
      </c>
      <c r="M814" s="10">
        <v>33</v>
      </c>
      <c r="N814" s="30"/>
      <c r="O814" s="31"/>
      <c r="P814" s="47"/>
      <c r="Q814" s="31"/>
      <c r="R814" s="31"/>
      <c r="S814" s="32">
        <f t="shared" si="236"/>
        <v>0</v>
      </c>
      <c r="T814" s="10"/>
      <c r="U814" s="10"/>
      <c r="V814" s="10"/>
      <c r="W814" s="12">
        <f t="shared" si="237"/>
        <v>0</v>
      </c>
      <c r="Y814" s="10">
        <v>33</v>
      </c>
      <c r="Z814" s="30"/>
      <c r="AA814" s="31"/>
      <c r="AB814" s="47"/>
      <c r="AC814" s="31"/>
      <c r="AD814" s="31"/>
      <c r="AE814" s="32">
        <f t="shared" si="244"/>
        <v>0</v>
      </c>
      <c r="AF814" s="10"/>
      <c r="AG814" s="10"/>
      <c r="AH814" s="10"/>
      <c r="AI814" s="12">
        <f t="shared" si="239"/>
        <v>0</v>
      </c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10"/>
      <c r="B815" s="30"/>
      <c r="C815" s="83"/>
      <c r="D815" s="32"/>
      <c r="E815" s="32"/>
      <c r="F815" s="32"/>
      <c r="G815" s="32">
        <f t="shared" si="234"/>
        <v>0</v>
      </c>
      <c r="H815" s="10"/>
      <c r="I815" s="10"/>
      <c r="J815" s="10"/>
      <c r="K815" s="12">
        <f t="shared" si="235"/>
        <v>0</v>
      </c>
      <c r="M815" s="10">
        <v>34</v>
      </c>
      <c r="N815" s="30"/>
      <c r="O815" s="31"/>
      <c r="P815" s="47"/>
      <c r="Q815" s="31"/>
      <c r="R815" s="31"/>
      <c r="S815" s="32">
        <f t="shared" si="236"/>
        <v>0</v>
      </c>
      <c r="T815" s="10"/>
      <c r="U815" s="10"/>
      <c r="V815" s="10"/>
      <c r="W815" s="12">
        <f t="shared" si="237"/>
        <v>0</v>
      </c>
      <c r="Y815" s="10">
        <v>34</v>
      </c>
      <c r="Z815" s="30"/>
      <c r="AA815" s="31"/>
      <c r="AB815" s="47"/>
      <c r="AC815" s="31"/>
      <c r="AD815" s="31"/>
      <c r="AE815" s="32">
        <f t="shared" si="244"/>
        <v>0</v>
      </c>
      <c r="AF815" s="10"/>
      <c r="AG815" s="10"/>
      <c r="AH815" s="10"/>
      <c r="AI815" s="12">
        <f t="shared" ref="AI815:AI823" si="245">SUM(AE815:AH815)</f>
        <v>0</v>
      </c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10"/>
      <c r="B816" s="30"/>
      <c r="C816" s="83"/>
      <c r="D816" s="32"/>
      <c r="E816" s="32"/>
      <c r="F816" s="32"/>
      <c r="G816" s="32"/>
      <c r="H816" s="10"/>
      <c r="I816" s="10"/>
      <c r="J816" s="10"/>
      <c r="K816" s="12"/>
      <c r="M816" s="10">
        <v>35</v>
      </c>
      <c r="N816" s="30"/>
      <c r="O816" s="31"/>
      <c r="P816" s="47"/>
      <c r="Q816" s="31"/>
      <c r="R816" s="31"/>
      <c r="S816" s="32">
        <f t="shared" si="236"/>
        <v>0</v>
      </c>
      <c r="T816" s="10"/>
      <c r="U816" s="10"/>
      <c r="V816" s="10"/>
      <c r="W816" s="12">
        <f t="shared" si="237"/>
        <v>0</v>
      </c>
      <c r="Y816" s="10">
        <v>35</v>
      </c>
      <c r="Z816" s="30"/>
      <c r="AA816" s="31"/>
      <c r="AB816" s="47"/>
      <c r="AC816" s="31"/>
      <c r="AD816" s="31"/>
      <c r="AE816" s="32">
        <f t="shared" si="244"/>
        <v>0</v>
      </c>
      <c r="AF816" s="10"/>
      <c r="AG816" s="10"/>
      <c r="AH816" s="10"/>
      <c r="AI816" s="12">
        <f t="shared" si="245"/>
        <v>0</v>
      </c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10"/>
      <c r="B817" s="30"/>
      <c r="C817" s="83"/>
      <c r="D817" s="32"/>
      <c r="E817" s="32"/>
      <c r="F817" s="32"/>
      <c r="G817" s="32"/>
      <c r="H817" s="10"/>
      <c r="I817" s="10"/>
      <c r="J817" s="10"/>
      <c r="K817" s="12"/>
      <c r="M817" s="10">
        <v>36</v>
      </c>
      <c r="N817" s="30"/>
      <c r="O817" s="31"/>
      <c r="P817" s="47"/>
      <c r="Q817" s="31"/>
      <c r="R817" s="31"/>
      <c r="S817" s="32">
        <f t="shared" si="236"/>
        <v>0</v>
      </c>
      <c r="T817" s="10"/>
      <c r="U817" s="10"/>
      <c r="V817" s="10"/>
      <c r="W817" s="12">
        <f t="shared" si="237"/>
        <v>0</v>
      </c>
      <c r="Y817" s="10">
        <v>36</v>
      </c>
      <c r="Z817" s="30"/>
      <c r="AA817" s="31"/>
      <c r="AB817" s="47"/>
      <c r="AC817" s="31"/>
      <c r="AD817" s="31"/>
      <c r="AE817" s="32">
        <f t="shared" si="244"/>
        <v>0</v>
      </c>
      <c r="AF817" s="10"/>
      <c r="AG817" s="10"/>
      <c r="AH817" s="10"/>
      <c r="AI817" s="12">
        <f t="shared" si="245"/>
        <v>0</v>
      </c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10"/>
      <c r="B818" s="30"/>
      <c r="C818" s="31"/>
      <c r="D818" s="32"/>
      <c r="E818" s="32"/>
      <c r="F818" s="32"/>
      <c r="G818" s="32"/>
      <c r="H818" s="10"/>
      <c r="I818" s="10"/>
      <c r="J818" s="10"/>
      <c r="K818" s="12"/>
      <c r="M818" s="10">
        <v>37</v>
      </c>
      <c r="N818" s="30"/>
      <c r="P818" s="47"/>
      <c r="Q818" s="31"/>
      <c r="R818" s="31"/>
      <c r="S818" s="32">
        <f t="shared" si="236"/>
        <v>0</v>
      </c>
      <c r="T818" s="10"/>
      <c r="U818" s="10"/>
      <c r="V818" s="10"/>
      <c r="W818" s="12">
        <f t="shared" si="237"/>
        <v>0</v>
      </c>
      <c r="Y818" s="10">
        <v>37</v>
      </c>
      <c r="Z818" s="30"/>
      <c r="AA818" s="31"/>
      <c r="AB818" s="47"/>
      <c r="AC818" s="31"/>
      <c r="AD818" s="31"/>
      <c r="AE818" s="32">
        <f t="shared" si="244"/>
        <v>0</v>
      </c>
      <c r="AF818" s="10"/>
      <c r="AG818" s="10"/>
      <c r="AH818" s="10"/>
      <c r="AI818" s="12">
        <f t="shared" si="245"/>
        <v>0</v>
      </c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10"/>
      <c r="B819" s="30"/>
      <c r="C819" s="31"/>
      <c r="D819" s="32"/>
      <c r="E819" s="32"/>
      <c r="F819" s="32"/>
      <c r="G819" s="32"/>
      <c r="H819" s="10"/>
      <c r="I819" s="10"/>
      <c r="J819" s="10"/>
      <c r="K819" s="12"/>
      <c r="M819" s="10">
        <v>38</v>
      </c>
      <c r="N819" s="30"/>
      <c r="O819" s="31"/>
      <c r="P819" s="47"/>
      <c r="Q819" s="31"/>
      <c r="R819" s="31"/>
      <c r="S819" s="32">
        <f t="shared" si="236"/>
        <v>0</v>
      </c>
      <c r="T819" s="10"/>
      <c r="U819" s="10"/>
      <c r="V819" s="10"/>
      <c r="W819" s="12">
        <f t="shared" si="237"/>
        <v>0</v>
      </c>
      <c r="Y819" s="10">
        <v>38</v>
      </c>
      <c r="Z819" s="30"/>
      <c r="AA819" s="31"/>
      <c r="AB819" s="47"/>
      <c r="AC819" s="31"/>
      <c r="AD819" s="31"/>
      <c r="AE819" s="32">
        <f t="shared" si="244"/>
        <v>0</v>
      </c>
      <c r="AF819" s="10"/>
      <c r="AG819" s="10"/>
      <c r="AH819" s="10"/>
      <c r="AI819" s="12">
        <f t="shared" si="245"/>
        <v>0</v>
      </c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10"/>
      <c r="B820" s="30"/>
      <c r="C820" s="31"/>
      <c r="D820" s="32"/>
      <c r="E820" s="32"/>
      <c r="F820" s="32"/>
      <c r="G820" s="32"/>
      <c r="H820" s="10"/>
      <c r="I820" s="10"/>
      <c r="J820" s="10"/>
      <c r="K820" s="12"/>
      <c r="M820" s="10">
        <v>39</v>
      </c>
      <c r="N820" s="30"/>
      <c r="O820" s="31"/>
      <c r="P820" s="47"/>
      <c r="Q820" s="31"/>
      <c r="R820" s="31"/>
      <c r="S820" s="32">
        <f t="shared" si="236"/>
        <v>0</v>
      </c>
      <c r="T820" s="10"/>
      <c r="U820" s="10"/>
      <c r="V820" s="10"/>
      <c r="W820" s="12">
        <f t="shared" si="237"/>
        <v>0</v>
      </c>
      <c r="Y820" s="10">
        <v>39</v>
      </c>
      <c r="Z820" s="30"/>
      <c r="AA820" s="31"/>
      <c r="AB820" s="47"/>
      <c r="AC820" s="31"/>
      <c r="AD820" s="31"/>
      <c r="AE820" s="32">
        <f t="shared" si="244"/>
        <v>0</v>
      </c>
      <c r="AF820" s="10"/>
      <c r="AG820" s="10"/>
      <c r="AH820" s="10"/>
      <c r="AI820" s="12">
        <f t="shared" si="245"/>
        <v>0</v>
      </c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10"/>
      <c r="B821" s="30"/>
      <c r="C821" s="31"/>
      <c r="D821" s="32"/>
      <c r="E821" s="32"/>
      <c r="F821" s="32"/>
      <c r="G821" s="32"/>
      <c r="H821" s="10"/>
      <c r="I821" s="10"/>
      <c r="J821" s="10"/>
      <c r="K821" s="12"/>
      <c r="M821" s="10"/>
      <c r="N821" s="30"/>
      <c r="P821" s="47"/>
      <c r="Q821" s="31"/>
      <c r="R821" s="31"/>
      <c r="S821" s="32"/>
      <c r="T821" s="10"/>
      <c r="U821" s="10"/>
      <c r="V821" s="10"/>
      <c r="W821" s="12">
        <f t="shared" si="237"/>
        <v>0</v>
      </c>
      <c r="Y821" s="10"/>
      <c r="Z821" s="30"/>
      <c r="AB821" s="47"/>
      <c r="AC821" s="31"/>
      <c r="AD821" s="31"/>
      <c r="AE821" s="32"/>
      <c r="AF821" s="10"/>
      <c r="AG821" s="10"/>
      <c r="AH821" s="10"/>
      <c r="AI821" s="12">
        <f t="shared" si="245"/>
        <v>0</v>
      </c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10"/>
      <c r="B822" s="30"/>
      <c r="C822" s="31"/>
      <c r="D822" s="32"/>
      <c r="E822" s="32"/>
      <c r="F822" s="32"/>
      <c r="G822" s="32">
        <f t="shared" ref="G822" si="246">SUM(D822:E822)</f>
        <v>0</v>
      </c>
      <c r="H822" s="10"/>
      <c r="I822" s="10"/>
      <c r="J822" s="10"/>
      <c r="K822" s="12">
        <f t="shared" ref="K822" si="247">SUM(G822:J822)</f>
        <v>0</v>
      </c>
      <c r="M822" s="10"/>
      <c r="N822" s="30"/>
      <c r="O822" s="31"/>
      <c r="P822" s="47"/>
      <c r="Q822" s="31"/>
      <c r="R822" s="31"/>
      <c r="S822" s="32">
        <f t="shared" ref="S822" si="248">SUM(P822:Q822)</f>
        <v>0</v>
      </c>
      <c r="T822" s="10"/>
      <c r="U822" s="10"/>
      <c r="V822" s="10"/>
      <c r="W822" s="12">
        <f t="shared" si="237"/>
        <v>0</v>
      </c>
      <c r="Y822" s="10"/>
      <c r="Z822" s="30"/>
      <c r="AA822" s="31"/>
      <c r="AB822" s="47"/>
      <c r="AC822" s="31"/>
      <c r="AD822" s="31"/>
      <c r="AE822" s="32">
        <f t="shared" ref="AE822" si="249">SUM(AB822:AC822)</f>
        <v>0</v>
      </c>
      <c r="AF822" s="10"/>
      <c r="AG822" s="10"/>
      <c r="AH822" s="10"/>
      <c r="AI822" s="12">
        <f t="shared" si="245"/>
        <v>0</v>
      </c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10"/>
      <c r="B823" s="30"/>
      <c r="C823" s="30"/>
      <c r="D823" s="32"/>
      <c r="E823" s="32"/>
      <c r="F823" s="32"/>
      <c r="G823" s="32"/>
      <c r="H823" s="10"/>
      <c r="I823" s="10"/>
      <c r="J823" s="10"/>
      <c r="K823" s="12"/>
      <c r="M823" s="10"/>
      <c r="N823" s="31"/>
      <c r="O823" s="31"/>
      <c r="P823" s="31"/>
      <c r="Q823" s="31"/>
      <c r="R823" s="31"/>
      <c r="S823" s="31"/>
      <c r="T823" s="10"/>
      <c r="U823" s="10"/>
      <c r="V823" s="10"/>
      <c r="W823" s="12">
        <f t="shared" si="237"/>
        <v>0</v>
      </c>
      <c r="Y823" s="10"/>
      <c r="Z823" s="31"/>
      <c r="AA823" s="31"/>
      <c r="AB823" s="31"/>
      <c r="AC823" s="31"/>
      <c r="AD823" s="31"/>
      <c r="AE823" s="31"/>
      <c r="AF823" s="10"/>
      <c r="AG823" s="10"/>
      <c r="AH823" s="10"/>
      <c r="AI823" s="12">
        <f t="shared" si="245"/>
        <v>0</v>
      </c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B824" s="57"/>
      <c r="C824" s="57"/>
      <c r="D824" s="36"/>
      <c r="E824" s="36"/>
      <c r="F824" s="36"/>
      <c r="G824" s="36"/>
      <c r="H824" s="37"/>
      <c r="I824" s="37"/>
      <c r="J824" s="37"/>
      <c r="K824" s="37"/>
      <c r="N824" s="57"/>
      <c r="O824" s="57"/>
      <c r="P824" s="36"/>
      <c r="Q824" s="36"/>
      <c r="R824" s="36"/>
      <c r="S824" s="36"/>
      <c r="T824" s="37"/>
      <c r="U824" s="37"/>
      <c r="V824" s="37"/>
      <c r="W824" s="37"/>
      <c r="Z824" s="57"/>
      <c r="AA824" s="57"/>
      <c r="AB824" s="36"/>
      <c r="AC824" s="36"/>
      <c r="AD824" s="36"/>
      <c r="AE824" s="36"/>
      <c r="AF824" s="37"/>
      <c r="AG824" s="37"/>
      <c r="AH824" s="37"/>
      <c r="AI824" s="37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B825" s="57"/>
      <c r="C825" s="57"/>
      <c r="D825" s="38">
        <f>SUM(D782:D824)</f>
        <v>205651.5</v>
      </c>
      <c r="E825" s="38">
        <f t="shared" ref="E825:F825" si="250">SUM(E782:E822)</f>
        <v>0</v>
      </c>
      <c r="F825" s="38">
        <f t="shared" si="250"/>
        <v>0</v>
      </c>
      <c r="G825" s="38">
        <f>SUM(G782:G824)</f>
        <v>205651.5</v>
      </c>
      <c r="H825" s="4"/>
      <c r="I825" s="39">
        <f>SUM(I782:I824)</f>
        <v>270</v>
      </c>
      <c r="J825" s="39">
        <f>SUM(J782:J824)</f>
        <v>0</v>
      </c>
      <c r="K825" s="40">
        <f>SUM(K782:K824)</f>
        <v>205921.5</v>
      </c>
      <c r="N825" s="57"/>
      <c r="O825" s="57"/>
      <c r="P825" s="38">
        <f>SUM(P782:P824)</f>
        <v>223738</v>
      </c>
      <c r="Q825" s="38">
        <f>SUM(Q782:Q806)</f>
        <v>-1944</v>
      </c>
      <c r="R825" s="38">
        <f>SUM(R782:R806)</f>
        <v>0</v>
      </c>
      <c r="S825" s="38">
        <f>SUM(S782:S824)</f>
        <v>221794</v>
      </c>
      <c r="T825" s="4"/>
      <c r="U825" s="41">
        <f>SUM(U782:U824)</f>
        <v>1092</v>
      </c>
      <c r="V825" s="41">
        <f>SUM(V782:V806)</f>
        <v>-711</v>
      </c>
      <c r="W825" s="42">
        <f>SUM(W782:W824)</f>
        <v>222175</v>
      </c>
      <c r="Z825" s="57"/>
      <c r="AA825" s="57"/>
      <c r="AB825" s="38">
        <f>SUM(AB782:AB824)</f>
        <v>306620.5</v>
      </c>
      <c r="AC825" s="38">
        <f>SUM(AC782:AC806)</f>
        <v>-1758</v>
      </c>
      <c r="AD825" s="38">
        <f>SUM(AD782:AD806)</f>
        <v>0</v>
      </c>
      <c r="AE825" s="38">
        <f>SUM(AE782:AE824)</f>
        <v>304862.5</v>
      </c>
      <c r="AF825" s="4"/>
      <c r="AG825" s="41">
        <f>SUM(AG782:AG824)</f>
        <v>2937</v>
      </c>
      <c r="AH825" s="41">
        <f>SUM(AH782:AH806)</f>
        <v>-1776</v>
      </c>
      <c r="AI825" s="42">
        <f>SUM(AI782:AI824)</f>
        <v>306023.5</v>
      </c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18"/>
      <c r="B826" s="18"/>
      <c r="C826" s="18"/>
      <c r="D826" s="18"/>
      <c r="E826" s="18"/>
      <c r="F826" s="18"/>
      <c r="G826" s="18"/>
      <c r="H826" s="18"/>
      <c r="I826" s="18"/>
      <c r="J826" s="18"/>
      <c r="K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Y826" s="18"/>
      <c r="Z826" s="18"/>
      <c r="AA826" s="18"/>
      <c r="AB826" s="18"/>
      <c r="AC826" s="18"/>
      <c r="AD826" s="18"/>
      <c r="AE826" s="18"/>
      <c r="AF826" s="18"/>
      <c r="AG826" s="18"/>
      <c r="AH826" s="18"/>
      <c r="AI826" s="18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t="s">
        <v>0</v>
      </c>
      <c r="B827" s="57"/>
      <c r="C827" s="57"/>
      <c r="D827" s="57"/>
      <c r="E827" s="57"/>
      <c r="G827" s="57"/>
      <c r="M827" t="s">
        <v>0</v>
      </c>
      <c r="N827" s="57"/>
      <c r="O827" s="57"/>
      <c r="P827" s="57"/>
      <c r="Q827" s="57"/>
      <c r="R827" s="57"/>
      <c r="S827" s="57"/>
      <c r="Y827" t="s">
        <v>0</v>
      </c>
      <c r="Z827" s="57"/>
      <c r="AA827" s="57"/>
      <c r="AB827" s="57"/>
      <c r="AC827" s="57"/>
      <c r="AD827" s="57"/>
      <c r="AE827" s="57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t="s">
        <v>28</v>
      </c>
      <c r="B828" s="57"/>
      <c r="C828" s="57"/>
      <c r="D828" s="57"/>
      <c r="E828" s="57"/>
      <c r="G828" s="57"/>
      <c r="M828" t="s">
        <v>28</v>
      </c>
      <c r="N828" s="57"/>
      <c r="O828" s="57"/>
      <c r="P828" s="57"/>
      <c r="Q828" s="57"/>
      <c r="R828" s="57"/>
      <c r="S828" s="57"/>
      <c r="Y828" t="s">
        <v>28</v>
      </c>
      <c r="Z828" s="57"/>
      <c r="AA828" s="57"/>
      <c r="AB828" s="57"/>
      <c r="AC828" s="57"/>
      <c r="AD828" s="57"/>
      <c r="AE828" s="57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B829" s="57"/>
      <c r="C829" s="57"/>
      <c r="D829" s="57"/>
      <c r="E829" s="57"/>
      <c r="G829" s="57"/>
      <c r="N829" s="57"/>
      <c r="O829" s="57"/>
      <c r="P829" s="57"/>
      <c r="Q829" s="57"/>
      <c r="R829" s="57"/>
      <c r="S829" s="57"/>
      <c r="Z829" s="57"/>
      <c r="AA829" s="57"/>
      <c r="AB829" s="57"/>
      <c r="AC829" s="57"/>
      <c r="AD829" s="57"/>
      <c r="AE829" s="57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4" t="s">
        <v>14</v>
      </c>
      <c r="B830" s="57"/>
      <c r="C830" s="57"/>
      <c r="D830" s="57"/>
      <c r="E830" s="57"/>
      <c r="G830" s="57"/>
      <c r="M830" s="4" t="s">
        <v>14</v>
      </c>
      <c r="N830" s="57"/>
      <c r="O830" s="57"/>
      <c r="P830" s="57"/>
      <c r="Q830" s="57"/>
      <c r="R830" s="57"/>
      <c r="S830" s="57"/>
      <c r="Y830" s="4" t="s">
        <v>14</v>
      </c>
      <c r="Z830" s="57"/>
      <c r="AA830" s="57"/>
      <c r="AB830" s="57"/>
      <c r="AC830" s="57"/>
      <c r="AD830" s="57"/>
      <c r="AE830" s="57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B831" s="57"/>
      <c r="C831" s="57"/>
      <c r="D831" s="57"/>
      <c r="E831" s="57"/>
      <c r="G831" s="57"/>
      <c r="N831" s="57"/>
      <c r="O831" s="57"/>
      <c r="P831" s="57"/>
      <c r="Q831" s="57"/>
      <c r="R831" s="57"/>
      <c r="S831" s="57"/>
      <c r="Z831" s="57"/>
      <c r="AA831" s="57"/>
      <c r="AB831" s="57"/>
      <c r="AC831" s="57"/>
      <c r="AD831" s="57"/>
      <c r="AE831" s="57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t="s">
        <v>41</v>
      </c>
      <c r="B832" s="57"/>
      <c r="C832" s="57"/>
      <c r="D832" s="57"/>
      <c r="E832" s="57"/>
      <c r="G832" s="57"/>
      <c r="I832" s="57" t="s">
        <v>15</v>
      </c>
      <c r="J832" s="19">
        <v>1</v>
      </c>
      <c r="M832" t="s">
        <v>41</v>
      </c>
      <c r="N832" s="57"/>
      <c r="O832" s="57"/>
      <c r="P832" s="57"/>
      <c r="Q832" s="57"/>
      <c r="R832" s="57"/>
      <c r="S832" s="57"/>
      <c r="U832" s="57" t="s">
        <v>15</v>
      </c>
      <c r="V832" s="19">
        <v>2</v>
      </c>
      <c r="Y832" t="s">
        <v>41</v>
      </c>
      <c r="Z832" s="57"/>
      <c r="AA832" s="57"/>
      <c r="AB832" s="57"/>
      <c r="AC832" s="57"/>
      <c r="AD832" s="57"/>
      <c r="AE832" s="57"/>
      <c r="AG832" s="57" t="s">
        <v>15</v>
      </c>
      <c r="AH832" s="20">
        <v>3</v>
      </c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21" t="s">
        <v>82</v>
      </c>
      <c r="B833" s="20"/>
      <c r="C833" s="57"/>
      <c r="D833" s="57"/>
      <c r="E833" s="57"/>
      <c r="G833" s="57"/>
      <c r="I833" s="22" t="s">
        <v>16</v>
      </c>
      <c r="J833" s="23" t="s">
        <v>31</v>
      </c>
      <c r="K833" s="24"/>
      <c r="M833" s="21" t="s">
        <v>82</v>
      </c>
      <c r="N833" s="20"/>
      <c r="O833" s="57"/>
      <c r="P833" s="57"/>
      <c r="Q833" s="57"/>
      <c r="R833" s="57"/>
      <c r="S833" s="57"/>
      <c r="U833" s="22" t="s">
        <v>16</v>
      </c>
      <c r="V833" s="23" t="s">
        <v>33</v>
      </c>
      <c r="W833" s="24"/>
      <c r="Y833" s="21" t="s">
        <v>82</v>
      </c>
      <c r="Z833" s="20"/>
      <c r="AA833" s="57"/>
      <c r="AB833" s="57"/>
      <c r="AC833" s="57"/>
      <c r="AD833" s="57"/>
      <c r="AE833" s="57"/>
      <c r="AG833" s="22" t="s">
        <v>16</v>
      </c>
      <c r="AH833" s="23" t="s">
        <v>34</v>
      </c>
      <c r="AI833" s="24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B834" s="57"/>
      <c r="C834" s="57"/>
      <c r="D834" s="57"/>
      <c r="E834" s="57"/>
      <c r="G834" s="57"/>
      <c r="N834" s="57"/>
      <c r="O834" s="57"/>
      <c r="P834" s="57"/>
      <c r="Q834" s="57"/>
      <c r="R834" s="57"/>
      <c r="S834" s="57"/>
      <c r="Z834" s="57"/>
      <c r="AA834" s="57"/>
      <c r="AB834" s="57"/>
      <c r="AC834" s="57"/>
      <c r="AD834" s="57"/>
      <c r="AE834" s="57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B835" s="25"/>
      <c r="C835" s="26"/>
      <c r="D835" s="120" t="s">
        <v>17</v>
      </c>
      <c r="E835" s="120"/>
      <c r="F835" s="106"/>
      <c r="G835" s="27"/>
      <c r="I835" s="118" t="s">
        <v>18</v>
      </c>
      <c r="J835" s="119"/>
      <c r="K835" s="116" t="s">
        <v>19</v>
      </c>
      <c r="N835" s="25"/>
      <c r="O835" s="26"/>
      <c r="P835" s="120" t="s">
        <v>17</v>
      </c>
      <c r="Q835" s="120"/>
      <c r="R835" s="106"/>
      <c r="S835" s="27"/>
      <c r="U835" s="118" t="s">
        <v>18</v>
      </c>
      <c r="V835" s="119"/>
      <c r="W835" s="116" t="s">
        <v>19</v>
      </c>
      <c r="Z835" s="25"/>
      <c r="AA835" s="26"/>
      <c r="AB835" s="120" t="s">
        <v>17</v>
      </c>
      <c r="AC835" s="120"/>
      <c r="AD835" s="106"/>
      <c r="AE835" s="27"/>
      <c r="AG835" s="118" t="s">
        <v>18</v>
      </c>
      <c r="AH835" s="119"/>
      <c r="AI835" s="116" t="s">
        <v>19</v>
      </c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ht="30" x14ac:dyDescent="0.25">
      <c r="B836" s="28" t="s">
        <v>20</v>
      </c>
      <c r="C836" s="28" t="s">
        <v>21</v>
      </c>
      <c r="D836" s="77" t="s">
        <v>22</v>
      </c>
      <c r="E836" s="76" t="s">
        <v>23</v>
      </c>
      <c r="F836" s="78" t="s">
        <v>32</v>
      </c>
      <c r="G836" s="78" t="s">
        <v>24</v>
      </c>
      <c r="I836" s="29" t="s">
        <v>25</v>
      </c>
      <c r="J836" s="29" t="s">
        <v>26</v>
      </c>
      <c r="K836" s="117"/>
      <c r="N836" s="28" t="s">
        <v>20</v>
      </c>
      <c r="O836" s="28" t="s">
        <v>21</v>
      </c>
      <c r="P836" s="77" t="s">
        <v>22</v>
      </c>
      <c r="Q836" s="78" t="s">
        <v>23</v>
      </c>
      <c r="R836" s="78" t="s">
        <v>32</v>
      </c>
      <c r="S836" s="78" t="s">
        <v>24</v>
      </c>
      <c r="U836" s="29" t="s">
        <v>25</v>
      </c>
      <c r="V836" s="29" t="s">
        <v>26</v>
      </c>
      <c r="W836" s="117"/>
      <c r="Z836" s="28" t="s">
        <v>20</v>
      </c>
      <c r="AA836" s="28" t="s">
        <v>21</v>
      </c>
      <c r="AB836" s="77" t="s">
        <v>22</v>
      </c>
      <c r="AC836" s="78" t="s">
        <v>23</v>
      </c>
      <c r="AD836" s="78" t="s">
        <v>32</v>
      </c>
      <c r="AE836" s="78" t="s">
        <v>24</v>
      </c>
      <c r="AG836" s="29" t="s">
        <v>25</v>
      </c>
      <c r="AH836" s="29" t="s">
        <v>26</v>
      </c>
      <c r="AI836" s="117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10">
        <v>1</v>
      </c>
      <c r="B837" s="30" t="s">
        <v>83</v>
      </c>
      <c r="C837" s="83">
        <v>10237</v>
      </c>
      <c r="D837" s="32">
        <f>650*119+670*5+973+1824+1050+1744</f>
        <v>86291</v>
      </c>
      <c r="E837" s="32"/>
      <c r="F837" s="32"/>
      <c r="G837" s="32">
        <f t="shared" ref="G837:G870" si="251">SUM(D837:E837)</f>
        <v>86291</v>
      </c>
      <c r="H837" s="12"/>
      <c r="I837" s="12"/>
      <c r="J837" s="12"/>
      <c r="K837" s="12">
        <f t="shared" ref="K837:K870" si="252">SUM(G837:J837)</f>
        <v>86291</v>
      </c>
      <c r="M837" s="10">
        <v>1</v>
      </c>
      <c r="N837" s="30" t="s">
        <v>83</v>
      </c>
      <c r="O837" s="31">
        <v>10194</v>
      </c>
      <c r="P837" s="32">
        <f>650*120+670*5+622*30+229*2</f>
        <v>100468</v>
      </c>
      <c r="Q837" s="32">
        <f>-155*6</f>
        <v>-930</v>
      </c>
      <c r="R837" s="32"/>
      <c r="S837" s="32">
        <f>SUM(P837:Q837)</f>
        <v>99538</v>
      </c>
      <c r="T837" s="12"/>
      <c r="U837" s="12">
        <f>6549+72</f>
        <v>6621</v>
      </c>
      <c r="V837" s="12"/>
      <c r="W837" s="12">
        <f>SUM(S837:V837)</f>
        <v>106159</v>
      </c>
      <c r="Y837" s="10">
        <v>1</v>
      </c>
      <c r="Z837" s="30" t="s">
        <v>83</v>
      </c>
      <c r="AA837" s="31">
        <v>10140</v>
      </c>
      <c r="AB837" s="32">
        <f>650*14+670+622*3</f>
        <v>11636</v>
      </c>
      <c r="AC837" s="32"/>
      <c r="AD837" s="32"/>
      <c r="AE837" s="32">
        <f>SUM(AB837:AC837)</f>
        <v>11636</v>
      </c>
      <c r="AF837" s="12"/>
      <c r="AG837" s="12"/>
      <c r="AH837" s="12"/>
      <c r="AI837" s="12">
        <f>SUM(AE837:AH837)</f>
        <v>11636</v>
      </c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10">
        <v>2</v>
      </c>
      <c r="B838" s="30" t="s">
        <v>83</v>
      </c>
      <c r="C838" s="83">
        <f>C837+1</f>
        <v>10238</v>
      </c>
      <c r="D838" s="32">
        <f>650*111+229*2</f>
        <v>72608</v>
      </c>
      <c r="E838" s="32"/>
      <c r="F838" s="32"/>
      <c r="G838" s="32">
        <f t="shared" si="251"/>
        <v>72608</v>
      </c>
      <c r="H838" s="12"/>
      <c r="I838" s="12"/>
      <c r="J838" s="12"/>
      <c r="K838" s="12">
        <f t="shared" si="252"/>
        <v>72608</v>
      </c>
      <c r="M838" s="10">
        <v>2</v>
      </c>
      <c r="N838" s="30" t="s">
        <v>83</v>
      </c>
      <c r="O838" s="31">
        <f>O837+1</f>
        <v>10195</v>
      </c>
      <c r="P838" s="32">
        <f>650*8</f>
        <v>5200</v>
      </c>
      <c r="Q838" s="32"/>
      <c r="R838" s="32"/>
      <c r="S838" s="32">
        <f t="shared" ref="S838:S875" si="253">SUM(P838:Q838)</f>
        <v>5200</v>
      </c>
      <c r="T838" s="12"/>
      <c r="U838" s="12"/>
      <c r="V838" s="12">
        <v>-1332</v>
      </c>
      <c r="W838" s="12">
        <f t="shared" ref="W838:W878" si="254">SUM(S838:V838)</f>
        <v>3868</v>
      </c>
      <c r="Y838" s="10">
        <v>2</v>
      </c>
      <c r="Z838" s="30" t="s">
        <v>83</v>
      </c>
      <c r="AA838" s="31">
        <f>AA837+1</f>
        <v>10141</v>
      </c>
      <c r="AB838" s="32">
        <f>650*17+622*3</f>
        <v>12916</v>
      </c>
      <c r="AC838" s="32"/>
      <c r="AD838" s="32"/>
      <c r="AE838" s="32">
        <f t="shared" ref="AE838:AE840" si="255">SUM(AB838:AC838)</f>
        <v>12916</v>
      </c>
      <c r="AF838" s="12"/>
      <c r="AG838" s="12"/>
      <c r="AH838" s="12"/>
      <c r="AI838" s="12">
        <f t="shared" ref="AI838:AI869" si="256">SUM(AE838:AH838)</f>
        <v>12916</v>
      </c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10">
        <v>3</v>
      </c>
      <c r="B839" s="30" t="s">
        <v>83</v>
      </c>
      <c r="C839" s="83">
        <f t="shared" ref="C839:C843" si="257">C838+1</f>
        <v>10239</v>
      </c>
      <c r="D839" s="33">
        <f>650*101+650*2</f>
        <v>66950</v>
      </c>
      <c r="E839" s="32"/>
      <c r="F839" s="33"/>
      <c r="G839" s="33">
        <f t="shared" si="251"/>
        <v>66950</v>
      </c>
      <c r="H839" s="34"/>
      <c r="I839" s="34">
        <v>135</v>
      </c>
      <c r="J839" s="34"/>
      <c r="K839" s="34">
        <f t="shared" si="252"/>
        <v>67085</v>
      </c>
      <c r="M839" s="10">
        <v>3</v>
      </c>
      <c r="N839" s="30" t="s">
        <v>83</v>
      </c>
      <c r="O839" s="31">
        <f t="shared" ref="O839:O842" si="258">O838+1</f>
        <v>10196</v>
      </c>
      <c r="P839" s="32">
        <f>650*6+9.5*6</f>
        <v>3957</v>
      </c>
      <c r="Q839" s="32"/>
      <c r="R839" s="32"/>
      <c r="S839" s="32">
        <f t="shared" si="253"/>
        <v>3957</v>
      </c>
      <c r="T839" s="12"/>
      <c r="U839" s="12">
        <f>4.5*25</f>
        <v>112.5</v>
      </c>
      <c r="V839" s="12"/>
      <c r="W839" s="12">
        <f t="shared" si="254"/>
        <v>4069.5</v>
      </c>
      <c r="Y839" s="10">
        <v>3</v>
      </c>
      <c r="Z839" s="30" t="s">
        <v>83</v>
      </c>
      <c r="AA839" s="31">
        <f t="shared" ref="AA839:AA845" si="259">AA838+1</f>
        <v>10142</v>
      </c>
      <c r="AB839" s="33">
        <f>650*60+670*10+229*2</f>
        <v>46158</v>
      </c>
      <c r="AC839" s="33"/>
      <c r="AD839" s="32"/>
      <c r="AE839" s="32">
        <f t="shared" si="255"/>
        <v>46158</v>
      </c>
      <c r="AF839" s="12"/>
      <c r="AG839" s="12"/>
      <c r="AH839" s="12"/>
      <c r="AI839" s="12">
        <f t="shared" si="256"/>
        <v>46158</v>
      </c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10">
        <v>4</v>
      </c>
      <c r="B840" s="30" t="s">
        <v>83</v>
      </c>
      <c r="C840" s="83">
        <f t="shared" si="257"/>
        <v>10240</v>
      </c>
      <c r="D840" s="32">
        <f>650*3</f>
        <v>1950</v>
      </c>
      <c r="E840" s="32"/>
      <c r="F840" s="32"/>
      <c r="G840" s="32">
        <f t="shared" si="251"/>
        <v>1950</v>
      </c>
      <c r="H840" s="12"/>
      <c r="I840" s="12"/>
      <c r="J840" s="12"/>
      <c r="K840" s="12">
        <f t="shared" si="252"/>
        <v>1950</v>
      </c>
      <c r="M840" s="10">
        <v>4</v>
      </c>
      <c r="N840" s="30" t="s">
        <v>83</v>
      </c>
      <c r="O840" s="31">
        <f t="shared" si="258"/>
        <v>10197</v>
      </c>
      <c r="P840" s="32">
        <f>650*180+622*20+229*3+650*2</f>
        <v>131427</v>
      </c>
      <c r="Q840" s="32">
        <f>-200*6</f>
        <v>-1200</v>
      </c>
      <c r="R840" s="32"/>
      <c r="S840" s="32">
        <f t="shared" si="253"/>
        <v>130227</v>
      </c>
      <c r="T840" s="12"/>
      <c r="U840" s="12"/>
      <c r="V840" s="12">
        <v>-9435</v>
      </c>
      <c r="W840" s="12">
        <f t="shared" si="254"/>
        <v>120792</v>
      </c>
      <c r="Y840" s="10">
        <v>4</v>
      </c>
      <c r="Z840" s="30" t="s">
        <v>83</v>
      </c>
      <c r="AA840" s="31">
        <f t="shared" si="259"/>
        <v>10143</v>
      </c>
      <c r="AB840" s="32">
        <f>650*37+912*2+1050*2+872*2+229*2+500*2</f>
        <v>31176</v>
      </c>
      <c r="AC840" s="32"/>
      <c r="AD840" s="32"/>
      <c r="AE840" s="32">
        <f t="shared" si="255"/>
        <v>31176</v>
      </c>
      <c r="AF840" s="12"/>
      <c r="AG840">
        <v>81</v>
      </c>
      <c r="AH840" s="12"/>
      <c r="AI840" s="12">
        <f t="shared" si="256"/>
        <v>31257</v>
      </c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10">
        <v>5</v>
      </c>
      <c r="B841" s="30" t="s">
        <v>83</v>
      </c>
      <c r="C841" s="83">
        <f t="shared" si="257"/>
        <v>10241</v>
      </c>
      <c r="D841" s="32">
        <f>650*2+700*3</f>
        <v>3400</v>
      </c>
      <c r="E841" s="32"/>
      <c r="F841" s="32"/>
      <c r="G841" s="32">
        <f t="shared" si="251"/>
        <v>3400</v>
      </c>
      <c r="H841" s="12"/>
      <c r="I841" s="12"/>
      <c r="J841" s="12"/>
      <c r="K841" s="12">
        <f t="shared" si="252"/>
        <v>3400</v>
      </c>
      <c r="M841" s="10">
        <v>5</v>
      </c>
      <c r="N841" s="30" t="s">
        <v>83</v>
      </c>
      <c r="O841" s="31">
        <f t="shared" si="258"/>
        <v>10198</v>
      </c>
      <c r="P841" s="32">
        <f>650*2+670+622*2+872</f>
        <v>4086</v>
      </c>
      <c r="Q841" s="32"/>
      <c r="R841" s="32"/>
      <c r="S841" s="32">
        <f t="shared" si="253"/>
        <v>4086</v>
      </c>
      <c r="T841" s="12"/>
      <c r="U841" s="12"/>
      <c r="V841" s="12">
        <v>-1554</v>
      </c>
      <c r="W841" s="12">
        <f t="shared" si="254"/>
        <v>2532</v>
      </c>
      <c r="Y841" s="10">
        <v>5</v>
      </c>
      <c r="Z841" s="30" t="s">
        <v>83</v>
      </c>
      <c r="AA841" s="31">
        <f t="shared" si="259"/>
        <v>10144</v>
      </c>
      <c r="AB841" s="32">
        <f>650*11+9.5*11</f>
        <v>7254.5</v>
      </c>
      <c r="AC841" s="32"/>
      <c r="AD841" s="32"/>
      <c r="AE841" s="32">
        <f t="shared" ref="AE841:AE842" si="260">SUM(AB841:AC841)</f>
        <v>7254.5</v>
      </c>
      <c r="AF841" s="12"/>
      <c r="AG841" s="12"/>
      <c r="AH841" s="12"/>
      <c r="AI841" s="12">
        <f t="shared" si="256"/>
        <v>7254.5</v>
      </c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10">
        <v>6</v>
      </c>
      <c r="B842" s="30" t="s">
        <v>83</v>
      </c>
      <c r="C842" s="83">
        <f t="shared" si="257"/>
        <v>10242</v>
      </c>
      <c r="D842" s="32">
        <f>973*70+1050*3</f>
        <v>71260</v>
      </c>
      <c r="E842" s="32"/>
      <c r="F842" s="32"/>
      <c r="G842" s="32">
        <f t="shared" si="251"/>
        <v>71260</v>
      </c>
      <c r="H842" s="12"/>
      <c r="I842" s="12"/>
      <c r="J842" s="12"/>
      <c r="K842" s="12">
        <f t="shared" si="252"/>
        <v>71260</v>
      </c>
      <c r="M842" s="10">
        <v>6</v>
      </c>
      <c r="N842" s="30" t="s">
        <v>83</v>
      </c>
      <c r="O842" s="31">
        <f t="shared" si="258"/>
        <v>10199</v>
      </c>
      <c r="P842" s="32">
        <f>650*2+670</f>
        <v>1970</v>
      </c>
      <c r="Q842" s="32"/>
      <c r="R842" s="32"/>
      <c r="S842" s="32">
        <f t="shared" si="253"/>
        <v>1970</v>
      </c>
      <c r="T842" s="12"/>
      <c r="U842" s="12"/>
      <c r="V842" s="10">
        <v>-999</v>
      </c>
      <c r="W842" s="12">
        <f t="shared" si="254"/>
        <v>971</v>
      </c>
      <c r="Y842" s="10">
        <v>6</v>
      </c>
      <c r="Z842" s="30" t="s">
        <v>83</v>
      </c>
      <c r="AA842" s="31">
        <f t="shared" si="259"/>
        <v>10145</v>
      </c>
      <c r="AB842" s="32">
        <f>650*5+670+9.5*5</f>
        <v>3967.5</v>
      </c>
      <c r="AC842" s="32"/>
      <c r="AD842" s="32"/>
      <c r="AE842" s="32">
        <f t="shared" si="260"/>
        <v>3967.5</v>
      </c>
      <c r="AF842" s="12"/>
      <c r="AG842" s="12"/>
      <c r="AH842" s="10">
        <f>-78+-108</f>
        <v>-186</v>
      </c>
      <c r="AI842" s="12">
        <f t="shared" si="256"/>
        <v>3781.5</v>
      </c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10">
        <v>7</v>
      </c>
      <c r="B843" s="30" t="s">
        <v>83</v>
      </c>
      <c r="C843" s="83">
        <f t="shared" si="257"/>
        <v>10243</v>
      </c>
      <c r="D843" s="32">
        <f>650*19+622*3</f>
        <v>14216</v>
      </c>
      <c r="E843" s="32"/>
      <c r="F843" s="32"/>
      <c r="G843" s="32">
        <f t="shared" si="251"/>
        <v>14216</v>
      </c>
      <c r="H843" s="12"/>
      <c r="I843" s="12"/>
      <c r="J843" s="12"/>
      <c r="K843" s="12">
        <f t="shared" si="252"/>
        <v>14216</v>
      </c>
      <c r="M843" s="10">
        <v>7</v>
      </c>
      <c r="N843" s="30"/>
      <c r="O843" s="11" t="s">
        <v>27</v>
      </c>
      <c r="P843" s="32"/>
      <c r="Q843" s="32"/>
      <c r="R843" s="32"/>
      <c r="S843" s="32">
        <f t="shared" si="253"/>
        <v>0</v>
      </c>
      <c r="T843" s="12"/>
      <c r="U843" s="12"/>
      <c r="V843" s="12"/>
      <c r="W843" s="12">
        <f t="shared" si="254"/>
        <v>0</v>
      </c>
      <c r="Y843" s="10">
        <v>7</v>
      </c>
      <c r="Z843" s="30" t="s">
        <v>83</v>
      </c>
      <c r="AA843" s="31">
        <f t="shared" si="259"/>
        <v>10146</v>
      </c>
      <c r="AB843" s="32">
        <f>650*20+229</f>
        <v>13229</v>
      </c>
      <c r="AC843" s="32"/>
      <c r="AD843" s="32"/>
      <c r="AE843" s="32">
        <f>SUM(AB843:AC843)</f>
        <v>13229</v>
      </c>
      <c r="AF843" s="12"/>
      <c r="AG843" s="58"/>
      <c r="AH843" s="12"/>
      <c r="AI843" s="12">
        <f t="shared" si="256"/>
        <v>13229</v>
      </c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10">
        <v>8</v>
      </c>
      <c r="B844" s="30"/>
      <c r="C844" s="11" t="s">
        <v>27</v>
      </c>
      <c r="D844" s="32"/>
      <c r="E844" s="32"/>
      <c r="F844" s="32"/>
      <c r="G844" s="32">
        <f t="shared" si="251"/>
        <v>0</v>
      </c>
      <c r="H844" s="12"/>
      <c r="I844" s="12"/>
      <c r="J844" s="12"/>
      <c r="K844" s="12">
        <f t="shared" si="252"/>
        <v>0</v>
      </c>
      <c r="M844" s="10">
        <v>8</v>
      </c>
      <c r="N844" s="30"/>
      <c r="O844" s="31"/>
      <c r="P844" s="32"/>
      <c r="Q844" s="32"/>
      <c r="R844" s="32"/>
      <c r="S844" s="32">
        <f t="shared" si="253"/>
        <v>0</v>
      </c>
      <c r="T844" s="12"/>
      <c r="U844" s="12"/>
      <c r="V844" s="12"/>
      <c r="W844" s="12">
        <f t="shared" si="254"/>
        <v>0</v>
      </c>
      <c r="Y844" s="10">
        <v>8</v>
      </c>
      <c r="Z844" s="30" t="s">
        <v>83</v>
      </c>
      <c r="AA844" s="31">
        <f t="shared" si="259"/>
        <v>10147</v>
      </c>
      <c r="AB844" s="32">
        <f>650*108</f>
        <v>70200</v>
      </c>
      <c r="AC844" s="32">
        <f>-108*6</f>
        <v>-648</v>
      </c>
      <c r="AE844" s="32">
        <f t="shared" ref="AE844:AE875" si="261">SUM(AB844:AC844)</f>
        <v>69552</v>
      </c>
      <c r="AF844" s="12"/>
      <c r="AG844" s="12"/>
      <c r="AH844" s="12">
        <v>-26145</v>
      </c>
      <c r="AI844" s="12">
        <f t="shared" si="256"/>
        <v>43407</v>
      </c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10">
        <v>9</v>
      </c>
      <c r="B845" s="30"/>
      <c r="C845" s="83"/>
      <c r="D845" s="32"/>
      <c r="E845" s="32"/>
      <c r="F845" s="32"/>
      <c r="G845" s="32">
        <f t="shared" si="251"/>
        <v>0</v>
      </c>
      <c r="H845" s="12"/>
      <c r="I845" s="12"/>
      <c r="J845" s="12"/>
      <c r="K845" s="12">
        <f t="shared" si="252"/>
        <v>0</v>
      </c>
      <c r="M845" s="10">
        <v>9</v>
      </c>
      <c r="N845" s="30"/>
      <c r="O845" s="31"/>
      <c r="P845" s="32"/>
      <c r="Q845" s="32"/>
      <c r="R845" s="32"/>
      <c r="S845" s="32">
        <f t="shared" si="253"/>
        <v>0</v>
      </c>
      <c r="T845" s="12"/>
      <c r="U845" s="12"/>
      <c r="V845" s="12"/>
      <c r="W845" s="12">
        <f t="shared" si="254"/>
        <v>0</v>
      </c>
      <c r="Y845" s="10">
        <v>9</v>
      </c>
      <c r="Z845" s="30" t="s">
        <v>83</v>
      </c>
      <c r="AA845" s="31">
        <f t="shared" si="259"/>
        <v>10148</v>
      </c>
      <c r="AB845" s="32">
        <f>650*108+229*10</f>
        <v>72490</v>
      </c>
      <c r="AC845" s="32"/>
      <c r="AD845" s="32"/>
      <c r="AE845" s="32">
        <f t="shared" si="261"/>
        <v>72490</v>
      </c>
      <c r="AF845" s="12"/>
      <c r="AG845">
        <f>111*108+78*10</f>
        <v>12768</v>
      </c>
      <c r="AH845" s="12"/>
      <c r="AI845" s="12">
        <f t="shared" si="256"/>
        <v>85258</v>
      </c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10">
        <v>10</v>
      </c>
      <c r="B846" s="30"/>
      <c r="C846" s="83"/>
      <c r="D846" s="32"/>
      <c r="E846" s="32"/>
      <c r="F846" s="32"/>
      <c r="G846" s="32">
        <f t="shared" si="251"/>
        <v>0</v>
      </c>
      <c r="H846" s="12"/>
      <c r="I846" s="12"/>
      <c r="J846" s="12"/>
      <c r="K846" s="12">
        <f t="shared" si="252"/>
        <v>0</v>
      </c>
      <c r="M846" s="10">
        <v>10</v>
      </c>
      <c r="N846" s="30"/>
      <c r="O846" s="31"/>
      <c r="P846" s="32"/>
      <c r="Q846" s="32"/>
      <c r="R846" s="32"/>
      <c r="S846" s="32">
        <f t="shared" si="253"/>
        <v>0</v>
      </c>
      <c r="T846" s="12"/>
      <c r="U846" s="12"/>
      <c r="V846" s="12"/>
      <c r="W846" s="12">
        <f t="shared" si="254"/>
        <v>0</v>
      </c>
      <c r="Y846" s="10">
        <v>10</v>
      </c>
      <c r="Z846" s="30"/>
      <c r="AA846" s="11" t="s">
        <v>27</v>
      </c>
      <c r="AB846" s="32"/>
      <c r="AC846" s="32"/>
      <c r="AD846" s="32"/>
      <c r="AE846" s="32">
        <f t="shared" si="261"/>
        <v>0</v>
      </c>
      <c r="AF846" s="12"/>
      <c r="AG846" s="12"/>
      <c r="AH846" s="12"/>
      <c r="AI846" s="12">
        <f t="shared" si="256"/>
        <v>0</v>
      </c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10">
        <v>11</v>
      </c>
      <c r="B847" s="30"/>
      <c r="C847" s="83"/>
      <c r="D847" s="32"/>
      <c r="E847" s="32"/>
      <c r="F847" s="32"/>
      <c r="G847" s="32">
        <f t="shared" si="251"/>
        <v>0</v>
      </c>
      <c r="H847" s="12"/>
      <c r="I847" s="12"/>
      <c r="J847" s="12"/>
      <c r="K847" s="12">
        <f t="shared" si="252"/>
        <v>0</v>
      </c>
      <c r="M847" s="10">
        <v>11</v>
      </c>
      <c r="N847" s="30"/>
      <c r="O847" s="31"/>
      <c r="P847" s="32"/>
      <c r="Q847" s="32"/>
      <c r="R847" s="32"/>
      <c r="S847" s="32">
        <f t="shared" si="253"/>
        <v>0</v>
      </c>
      <c r="T847" s="12"/>
      <c r="U847" s="12"/>
      <c r="V847" s="12"/>
      <c r="W847" s="12">
        <f t="shared" si="254"/>
        <v>0</v>
      </c>
      <c r="Y847" s="10">
        <v>11</v>
      </c>
      <c r="Z847" s="30"/>
      <c r="AA847" s="31"/>
      <c r="AB847" s="32"/>
      <c r="AC847" s="32"/>
      <c r="AD847" s="32"/>
      <c r="AE847" s="32">
        <f t="shared" si="261"/>
        <v>0</v>
      </c>
      <c r="AF847" s="12"/>
      <c r="AG847" s="12"/>
      <c r="AH847" s="12"/>
      <c r="AI847" s="12">
        <f t="shared" si="256"/>
        <v>0</v>
      </c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10">
        <v>12</v>
      </c>
      <c r="B848" s="30"/>
      <c r="C848" s="83"/>
      <c r="D848" s="32"/>
      <c r="E848" s="32"/>
      <c r="F848" s="32"/>
      <c r="G848" s="32">
        <f t="shared" si="251"/>
        <v>0</v>
      </c>
      <c r="H848" s="12"/>
      <c r="I848" s="12"/>
      <c r="J848" s="10"/>
      <c r="K848" s="12">
        <f t="shared" si="252"/>
        <v>0</v>
      </c>
      <c r="M848" s="10">
        <v>12</v>
      </c>
      <c r="N848" s="30"/>
      <c r="O848" s="31"/>
      <c r="P848" s="32"/>
      <c r="Q848" s="32"/>
      <c r="R848" s="32"/>
      <c r="S848" s="32">
        <f t="shared" si="253"/>
        <v>0</v>
      </c>
      <c r="T848" s="12"/>
      <c r="U848" s="12"/>
      <c r="V848" s="12"/>
      <c r="W848" s="12">
        <f t="shared" si="254"/>
        <v>0</v>
      </c>
      <c r="Y848" s="10">
        <v>12</v>
      </c>
      <c r="Z848" s="30"/>
      <c r="AA848" s="11"/>
      <c r="AB848" s="32"/>
      <c r="AC848" s="32"/>
      <c r="AD848" s="32"/>
      <c r="AE848" s="32">
        <f t="shared" si="261"/>
        <v>0</v>
      </c>
      <c r="AF848" s="12"/>
      <c r="AG848" s="12"/>
      <c r="AH848" s="12"/>
      <c r="AI848" s="12">
        <f t="shared" si="256"/>
        <v>0</v>
      </c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10">
        <v>13</v>
      </c>
      <c r="B849" s="30"/>
      <c r="C849" s="83"/>
      <c r="D849" s="32"/>
      <c r="E849" s="32"/>
      <c r="F849" s="32"/>
      <c r="G849" s="32">
        <f t="shared" si="251"/>
        <v>0</v>
      </c>
      <c r="H849" s="12"/>
      <c r="I849" s="12"/>
      <c r="J849" s="12"/>
      <c r="K849" s="12">
        <f t="shared" si="252"/>
        <v>0</v>
      </c>
      <c r="M849" s="10">
        <v>13</v>
      </c>
      <c r="N849" s="30"/>
      <c r="O849" s="31"/>
      <c r="P849" s="32"/>
      <c r="Q849" s="32"/>
      <c r="R849" s="32"/>
      <c r="S849" s="32">
        <f t="shared" si="253"/>
        <v>0</v>
      </c>
      <c r="T849" s="12"/>
      <c r="U849" s="12"/>
      <c r="V849" s="12"/>
      <c r="W849" s="12">
        <f t="shared" si="254"/>
        <v>0</v>
      </c>
      <c r="Y849" s="10">
        <v>13</v>
      </c>
      <c r="Z849" s="30"/>
      <c r="AA849" s="31"/>
      <c r="AB849" s="32"/>
      <c r="AC849" s="32"/>
      <c r="AD849" s="32"/>
      <c r="AE849" s="32">
        <f t="shared" si="261"/>
        <v>0</v>
      </c>
      <c r="AF849" s="12"/>
      <c r="AG849" s="12"/>
      <c r="AH849" s="12"/>
      <c r="AI849" s="12">
        <f t="shared" si="256"/>
        <v>0</v>
      </c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10">
        <v>14</v>
      </c>
      <c r="B850" s="30"/>
      <c r="C850" s="83"/>
      <c r="D850" s="32"/>
      <c r="E850" s="32"/>
      <c r="F850" s="32"/>
      <c r="G850" s="32">
        <f t="shared" si="251"/>
        <v>0</v>
      </c>
      <c r="H850" s="12"/>
      <c r="I850" s="12"/>
      <c r="J850" s="12"/>
      <c r="K850" s="12">
        <f t="shared" si="252"/>
        <v>0</v>
      </c>
      <c r="M850" s="10">
        <v>14</v>
      </c>
      <c r="N850" s="30"/>
      <c r="O850" s="31"/>
      <c r="P850" s="32"/>
      <c r="Q850" s="32"/>
      <c r="R850" s="32"/>
      <c r="S850" s="32">
        <f t="shared" si="253"/>
        <v>0</v>
      </c>
      <c r="T850" s="12"/>
      <c r="U850" s="12"/>
      <c r="V850" s="12"/>
      <c r="W850" s="12">
        <f t="shared" si="254"/>
        <v>0</v>
      </c>
      <c r="Y850" s="10">
        <v>14</v>
      </c>
      <c r="Z850" s="30"/>
      <c r="AA850" s="31"/>
      <c r="AB850" s="32"/>
      <c r="AC850" s="32"/>
      <c r="AD850" s="32"/>
      <c r="AE850" s="32">
        <f t="shared" si="261"/>
        <v>0</v>
      </c>
      <c r="AF850" s="12"/>
      <c r="AG850" s="12"/>
      <c r="AH850" s="12"/>
      <c r="AI850" s="12">
        <f t="shared" si="256"/>
        <v>0</v>
      </c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10">
        <v>15</v>
      </c>
      <c r="B851" s="30"/>
      <c r="C851" s="83"/>
      <c r="D851" s="32"/>
      <c r="E851" s="32"/>
      <c r="F851" s="32"/>
      <c r="G851" s="32">
        <f t="shared" si="251"/>
        <v>0</v>
      </c>
      <c r="H851" s="12"/>
      <c r="I851" s="12"/>
      <c r="J851" s="12"/>
      <c r="K851" s="12">
        <f t="shared" si="252"/>
        <v>0</v>
      </c>
      <c r="M851" s="10">
        <v>15</v>
      </c>
      <c r="N851" s="30"/>
      <c r="O851" s="31"/>
      <c r="P851" s="32"/>
      <c r="Q851" s="32"/>
      <c r="R851" s="32"/>
      <c r="S851" s="32">
        <f t="shared" si="253"/>
        <v>0</v>
      </c>
      <c r="T851" s="12"/>
      <c r="U851" s="12"/>
      <c r="V851" s="12"/>
      <c r="W851" s="12">
        <f t="shared" si="254"/>
        <v>0</v>
      </c>
      <c r="Y851" s="10">
        <v>15</v>
      </c>
      <c r="Z851" s="30"/>
      <c r="AA851" s="31"/>
      <c r="AB851" s="32"/>
      <c r="AC851" s="32"/>
      <c r="AD851" s="32"/>
      <c r="AE851" s="32">
        <f t="shared" si="261"/>
        <v>0</v>
      </c>
      <c r="AF851" s="12"/>
      <c r="AG851" s="12"/>
      <c r="AH851" s="12"/>
      <c r="AI851" s="12">
        <f t="shared" si="256"/>
        <v>0</v>
      </c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10">
        <v>16</v>
      </c>
      <c r="B852" s="30"/>
      <c r="D852" s="32"/>
      <c r="E852" s="32"/>
      <c r="F852" s="32"/>
      <c r="G852" s="32">
        <f t="shared" si="251"/>
        <v>0</v>
      </c>
      <c r="H852" s="12"/>
      <c r="I852" s="12"/>
      <c r="J852" s="12"/>
      <c r="K852" s="12">
        <f t="shared" si="252"/>
        <v>0</v>
      </c>
      <c r="M852" s="10">
        <v>16</v>
      </c>
      <c r="N852" s="30"/>
      <c r="O852" s="11"/>
      <c r="P852" s="32"/>
      <c r="Q852" s="32"/>
      <c r="R852" s="32"/>
      <c r="S852" s="32">
        <f t="shared" si="253"/>
        <v>0</v>
      </c>
      <c r="T852" s="12"/>
      <c r="U852" s="12"/>
      <c r="V852" s="12"/>
      <c r="W852" s="12">
        <f t="shared" si="254"/>
        <v>0</v>
      </c>
      <c r="Y852" s="10">
        <v>16</v>
      </c>
      <c r="AA852" s="11"/>
      <c r="AB852" s="32"/>
      <c r="AC852" s="32"/>
      <c r="AD852" s="32"/>
      <c r="AE852" s="32">
        <f t="shared" si="261"/>
        <v>0</v>
      </c>
      <c r="AF852" s="12"/>
      <c r="AG852" s="12"/>
      <c r="AH852" s="12"/>
      <c r="AI852" s="12">
        <f t="shared" si="256"/>
        <v>0</v>
      </c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10">
        <v>17</v>
      </c>
      <c r="B853" s="30"/>
      <c r="C853" s="83"/>
      <c r="D853" s="32"/>
      <c r="E853" s="32"/>
      <c r="F853" s="32"/>
      <c r="G853" s="32">
        <f t="shared" si="251"/>
        <v>0</v>
      </c>
      <c r="H853" s="12"/>
      <c r="I853" s="12"/>
      <c r="J853" s="12"/>
      <c r="K853" s="12">
        <f t="shared" si="252"/>
        <v>0</v>
      </c>
      <c r="M853" s="10">
        <v>17</v>
      </c>
      <c r="N853" s="30"/>
      <c r="O853" s="31"/>
      <c r="P853" s="35"/>
      <c r="Q853" s="32"/>
      <c r="R853" s="32"/>
      <c r="S853" s="32">
        <f t="shared" si="253"/>
        <v>0</v>
      </c>
      <c r="T853" s="12"/>
      <c r="U853" s="12"/>
      <c r="V853" s="12"/>
      <c r="W853" s="12">
        <f t="shared" si="254"/>
        <v>0</v>
      </c>
      <c r="Y853" s="10">
        <v>17</v>
      </c>
      <c r="Z853" s="30"/>
      <c r="AA853" s="31"/>
      <c r="AB853" s="35"/>
      <c r="AC853" s="32"/>
      <c r="AD853" s="32"/>
      <c r="AE853" s="32">
        <f t="shared" si="261"/>
        <v>0</v>
      </c>
      <c r="AF853" s="12"/>
      <c r="AG853" s="12"/>
      <c r="AH853" s="12"/>
      <c r="AI853" s="12">
        <f t="shared" si="256"/>
        <v>0</v>
      </c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10">
        <v>18</v>
      </c>
      <c r="B854" s="30"/>
      <c r="C854" s="83"/>
      <c r="D854" s="32"/>
      <c r="E854" s="32"/>
      <c r="F854" s="32"/>
      <c r="G854" s="32">
        <f t="shared" si="251"/>
        <v>0</v>
      </c>
      <c r="H854" s="12"/>
      <c r="I854" s="12"/>
      <c r="J854" s="12"/>
      <c r="K854" s="12">
        <f t="shared" si="252"/>
        <v>0</v>
      </c>
      <c r="M854" s="10">
        <v>18</v>
      </c>
      <c r="N854" s="30"/>
      <c r="P854" s="32"/>
      <c r="Q854" s="32"/>
      <c r="R854" s="32"/>
      <c r="S854" s="32">
        <f t="shared" si="253"/>
        <v>0</v>
      </c>
      <c r="T854" s="12"/>
      <c r="U854" s="12"/>
      <c r="V854" s="12"/>
      <c r="W854" s="12">
        <f t="shared" si="254"/>
        <v>0</v>
      </c>
      <c r="Y854" s="10">
        <v>18</v>
      </c>
      <c r="Z854" s="30"/>
      <c r="AA854" s="31"/>
      <c r="AB854" s="32"/>
      <c r="AC854" s="32"/>
      <c r="AD854" s="32"/>
      <c r="AE854" s="32">
        <f t="shared" si="261"/>
        <v>0</v>
      </c>
      <c r="AF854" s="12"/>
      <c r="AG854" s="12"/>
      <c r="AH854" s="12"/>
      <c r="AI854" s="12">
        <f t="shared" si="256"/>
        <v>0</v>
      </c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10">
        <v>19</v>
      </c>
      <c r="B855" s="30"/>
      <c r="C855" s="83"/>
      <c r="D855" s="32"/>
      <c r="E855" s="32"/>
      <c r="F855" s="32"/>
      <c r="G855" s="32">
        <f t="shared" si="251"/>
        <v>0</v>
      </c>
      <c r="H855" s="12"/>
      <c r="I855" s="12"/>
      <c r="J855" s="12"/>
      <c r="K855" s="12">
        <f t="shared" si="252"/>
        <v>0</v>
      </c>
      <c r="M855" s="10">
        <v>19</v>
      </c>
      <c r="N855" s="30"/>
      <c r="O855" s="31"/>
      <c r="P855" s="32"/>
      <c r="Q855" s="32"/>
      <c r="R855" s="32"/>
      <c r="S855" s="32">
        <f t="shared" si="253"/>
        <v>0</v>
      </c>
      <c r="T855" s="12"/>
      <c r="U855" s="12"/>
      <c r="V855" s="12"/>
      <c r="W855" s="12">
        <f t="shared" si="254"/>
        <v>0</v>
      </c>
      <c r="Y855" s="10">
        <v>19</v>
      </c>
      <c r="Z855" s="30"/>
      <c r="AA855" s="31"/>
      <c r="AB855" s="32"/>
      <c r="AC855" s="32"/>
      <c r="AD855" s="32"/>
      <c r="AE855" s="32">
        <f t="shared" si="261"/>
        <v>0</v>
      </c>
      <c r="AF855" s="12"/>
      <c r="AG855" s="12"/>
      <c r="AH855" s="12"/>
      <c r="AI855" s="12">
        <f t="shared" si="256"/>
        <v>0</v>
      </c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10">
        <v>20</v>
      </c>
      <c r="B856" s="30"/>
      <c r="C856" s="83"/>
      <c r="D856" s="32"/>
      <c r="E856" s="32"/>
      <c r="F856" s="32"/>
      <c r="G856" s="32">
        <f t="shared" si="251"/>
        <v>0</v>
      </c>
      <c r="H856" s="12"/>
      <c r="I856" s="12"/>
      <c r="J856" s="12"/>
      <c r="K856" s="12">
        <f t="shared" si="252"/>
        <v>0</v>
      </c>
      <c r="M856" s="10">
        <v>20</v>
      </c>
      <c r="N856" s="30"/>
      <c r="O856" s="31"/>
      <c r="P856" s="32"/>
      <c r="Q856" s="32"/>
      <c r="R856" s="32"/>
      <c r="S856" s="32">
        <f t="shared" si="253"/>
        <v>0</v>
      </c>
      <c r="T856" s="12"/>
      <c r="U856" s="12"/>
      <c r="V856" s="12"/>
      <c r="W856" s="12">
        <f t="shared" si="254"/>
        <v>0</v>
      </c>
      <c r="Y856" s="10">
        <v>20</v>
      </c>
      <c r="Z856" s="30"/>
      <c r="AB856" s="32"/>
      <c r="AC856" s="32"/>
      <c r="AD856" s="32"/>
      <c r="AE856" s="32">
        <f t="shared" si="261"/>
        <v>0</v>
      </c>
      <c r="AF856" s="12"/>
      <c r="AG856" s="12"/>
      <c r="AH856" s="12"/>
      <c r="AI856" s="12">
        <f t="shared" si="256"/>
        <v>0</v>
      </c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10">
        <v>21</v>
      </c>
      <c r="B857" s="30"/>
      <c r="C857" s="83"/>
      <c r="D857" s="32"/>
      <c r="E857" s="32"/>
      <c r="F857" s="32"/>
      <c r="G857" s="32">
        <f t="shared" si="251"/>
        <v>0</v>
      </c>
      <c r="H857" s="10"/>
      <c r="I857" s="10"/>
      <c r="J857" s="10"/>
      <c r="K857" s="12">
        <f t="shared" si="252"/>
        <v>0</v>
      </c>
      <c r="M857" s="10">
        <v>21</v>
      </c>
      <c r="N857" s="30"/>
      <c r="O857" s="11"/>
      <c r="P857" s="46"/>
      <c r="Q857" s="31"/>
      <c r="R857" s="31"/>
      <c r="S857" s="32">
        <f t="shared" si="253"/>
        <v>0</v>
      </c>
      <c r="T857" s="10"/>
      <c r="U857" s="10"/>
      <c r="V857" s="10"/>
      <c r="W857" s="12">
        <f t="shared" si="254"/>
        <v>0</v>
      </c>
      <c r="Y857" s="10">
        <v>21</v>
      </c>
      <c r="Z857" s="30"/>
      <c r="AA857" s="31"/>
      <c r="AB857" s="46"/>
      <c r="AC857" s="31"/>
      <c r="AD857" s="31"/>
      <c r="AE857" s="32">
        <f t="shared" si="261"/>
        <v>0</v>
      </c>
      <c r="AF857" s="10"/>
      <c r="AG857" s="10"/>
      <c r="AH857" s="10"/>
      <c r="AI857" s="12">
        <f t="shared" si="256"/>
        <v>0</v>
      </c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10">
        <v>22</v>
      </c>
      <c r="B858" s="30"/>
      <c r="C858" s="57"/>
      <c r="D858" s="32"/>
      <c r="E858" s="32"/>
      <c r="F858" s="32"/>
      <c r="G858" s="32">
        <f t="shared" si="251"/>
        <v>0</v>
      </c>
      <c r="H858" s="10"/>
      <c r="I858" s="10"/>
      <c r="J858" s="10"/>
      <c r="K858" s="12">
        <f t="shared" si="252"/>
        <v>0</v>
      </c>
      <c r="M858" s="10">
        <v>22</v>
      </c>
      <c r="N858" s="30"/>
      <c r="O858" s="31"/>
      <c r="P858" s="45"/>
      <c r="Q858" s="31"/>
      <c r="R858" s="31"/>
      <c r="S858" s="32">
        <f t="shared" si="253"/>
        <v>0</v>
      </c>
      <c r="T858" s="10"/>
      <c r="U858" s="10"/>
      <c r="V858" s="10"/>
      <c r="W858" s="12">
        <f t="shared" si="254"/>
        <v>0</v>
      </c>
      <c r="Y858" s="10">
        <v>22</v>
      </c>
      <c r="Z858" s="30"/>
      <c r="AA858" s="31"/>
      <c r="AB858" s="45"/>
      <c r="AC858" s="31"/>
      <c r="AD858" s="31"/>
      <c r="AE858" s="32">
        <f t="shared" si="261"/>
        <v>0</v>
      </c>
      <c r="AF858" s="10"/>
      <c r="AG858" s="10"/>
      <c r="AH858" s="10"/>
      <c r="AI858" s="12">
        <f t="shared" si="256"/>
        <v>0</v>
      </c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10">
        <v>23</v>
      </c>
      <c r="B859" s="30"/>
      <c r="C859" s="83"/>
      <c r="D859" s="32"/>
      <c r="E859" s="32"/>
      <c r="F859" s="32"/>
      <c r="G859" s="32">
        <f t="shared" si="251"/>
        <v>0</v>
      </c>
      <c r="H859" s="10"/>
      <c r="I859" s="10"/>
      <c r="J859" s="12"/>
      <c r="K859" s="12">
        <f t="shared" si="252"/>
        <v>0</v>
      </c>
      <c r="M859" s="10">
        <v>23</v>
      </c>
      <c r="N859" s="30"/>
      <c r="O859" s="31"/>
      <c r="P859" s="47"/>
      <c r="S859" s="32">
        <f t="shared" si="253"/>
        <v>0</v>
      </c>
      <c r="T859" s="10"/>
      <c r="U859" s="10"/>
      <c r="V859" s="10"/>
      <c r="W859" s="12">
        <f t="shared" si="254"/>
        <v>0</v>
      </c>
      <c r="Y859" s="10">
        <v>23</v>
      </c>
      <c r="Z859" s="30"/>
      <c r="AA859" s="31"/>
      <c r="AB859" s="47"/>
      <c r="AC859" s="31"/>
      <c r="AE859" s="32">
        <f t="shared" si="261"/>
        <v>0</v>
      </c>
      <c r="AF859" s="10"/>
      <c r="AG859" s="10"/>
      <c r="AH859" s="10"/>
      <c r="AI859" s="12">
        <f t="shared" si="256"/>
        <v>0</v>
      </c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10">
        <v>24</v>
      </c>
      <c r="B860" s="30"/>
      <c r="C860" s="83"/>
      <c r="D860" s="32"/>
      <c r="E860" s="32"/>
      <c r="F860" s="32"/>
      <c r="G860" s="32">
        <f t="shared" si="251"/>
        <v>0</v>
      </c>
      <c r="H860" s="10"/>
      <c r="I860" s="10"/>
      <c r="J860" s="10"/>
      <c r="K860" s="12">
        <f t="shared" si="252"/>
        <v>0</v>
      </c>
      <c r="M860" s="10">
        <v>24</v>
      </c>
      <c r="N860" s="30"/>
      <c r="O860" s="31"/>
      <c r="P860" s="47"/>
      <c r="Q860" s="31"/>
      <c r="R860" s="31"/>
      <c r="S860" s="32">
        <f t="shared" si="253"/>
        <v>0</v>
      </c>
      <c r="T860" s="10"/>
      <c r="U860" s="10"/>
      <c r="V860" s="10"/>
      <c r="W860" s="12">
        <f t="shared" si="254"/>
        <v>0</v>
      </c>
      <c r="Y860" s="10">
        <v>24</v>
      </c>
      <c r="Z860" s="30"/>
      <c r="AA860" s="31"/>
      <c r="AB860" s="47"/>
      <c r="AC860" s="31"/>
      <c r="AD860" s="31"/>
      <c r="AE860" s="32">
        <f t="shared" si="261"/>
        <v>0</v>
      </c>
      <c r="AF860" s="10"/>
      <c r="AG860" s="10"/>
      <c r="AH860" s="10"/>
      <c r="AI860" s="12">
        <f t="shared" si="256"/>
        <v>0</v>
      </c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10">
        <v>25</v>
      </c>
      <c r="B861" s="30"/>
      <c r="C861" s="83"/>
      <c r="D861" s="32"/>
      <c r="E861" s="32"/>
      <c r="F861" s="32"/>
      <c r="G861" s="32">
        <f t="shared" si="251"/>
        <v>0</v>
      </c>
      <c r="H861" s="10"/>
      <c r="I861" s="10"/>
      <c r="J861" s="10"/>
      <c r="K861" s="12">
        <f t="shared" si="252"/>
        <v>0</v>
      </c>
      <c r="M861" s="10">
        <v>25</v>
      </c>
      <c r="N861" s="30"/>
      <c r="O861" s="31"/>
      <c r="P861" s="47"/>
      <c r="Q861" s="31"/>
      <c r="R861" s="31"/>
      <c r="S861" s="32">
        <f t="shared" si="253"/>
        <v>0</v>
      </c>
      <c r="T861" s="10"/>
      <c r="U861" s="10"/>
      <c r="V861" s="10"/>
      <c r="W861" s="12">
        <f t="shared" si="254"/>
        <v>0</v>
      </c>
      <c r="Y861" s="10">
        <v>25</v>
      </c>
      <c r="Z861" s="30"/>
      <c r="AA861" s="31"/>
      <c r="AB861" s="47"/>
      <c r="AC861" s="31"/>
      <c r="AD861" s="31"/>
      <c r="AE861" s="32">
        <f t="shared" si="261"/>
        <v>0</v>
      </c>
      <c r="AF861" s="10"/>
      <c r="AG861" s="10"/>
      <c r="AH861" s="10"/>
      <c r="AI861" s="12">
        <f t="shared" si="256"/>
        <v>0</v>
      </c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10">
        <v>26</v>
      </c>
      <c r="B862" s="30"/>
      <c r="C862" s="83"/>
      <c r="D862" s="32"/>
      <c r="E862" s="32"/>
      <c r="F862" s="32"/>
      <c r="G862" s="32">
        <f t="shared" si="251"/>
        <v>0</v>
      </c>
      <c r="H862" s="10"/>
      <c r="I862" s="10"/>
      <c r="J862" s="10"/>
      <c r="K862" s="12">
        <f t="shared" si="252"/>
        <v>0</v>
      </c>
      <c r="M862" s="10">
        <v>26</v>
      </c>
      <c r="N862" s="30"/>
      <c r="O862" s="11"/>
      <c r="P862" s="47"/>
      <c r="Q862" s="31"/>
      <c r="R862" s="31"/>
      <c r="S862" s="32">
        <f t="shared" si="253"/>
        <v>0</v>
      </c>
      <c r="T862" s="10"/>
      <c r="U862" s="10"/>
      <c r="V862" s="10"/>
      <c r="W862" s="12">
        <f t="shared" si="254"/>
        <v>0</v>
      </c>
      <c r="Y862" s="10">
        <v>26</v>
      </c>
      <c r="Z862" s="30"/>
      <c r="AA862" s="31"/>
      <c r="AB862" s="47"/>
      <c r="AC862" s="31"/>
      <c r="AD862" s="31"/>
      <c r="AE862" s="32">
        <f t="shared" si="261"/>
        <v>0</v>
      </c>
      <c r="AF862" s="10"/>
      <c r="AG862" s="10"/>
      <c r="AH862" s="10"/>
      <c r="AI862" s="12">
        <f t="shared" si="256"/>
        <v>0</v>
      </c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10">
        <v>27</v>
      </c>
      <c r="B863" s="30"/>
      <c r="C863" s="83"/>
      <c r="D863" s="32"/>
      <c r="E863" s="32"/>
      <c r="F863" s="32"/>
      <c r="G863" s="32">
        <f t="shared" si="251"/>
        <v>0</v>
      </c>
      <c r="H863" s="10"/>
      <c r="I863" s="10"/>
      <c r="J863" s="10"/>
      <c r="K863" s="12">
        <f t="shared" si="252"/>
        <v>0</v>
      </c>
      <c r="M863" s="10">
        <v>27</v>
      </c>
      <c r="N863" s="30"/>
      <c r="O863" s="31"/>
      <c r="P863" s="47"/>
      <c r="Q863" s="31"/>
      <c r="R863" s="31"/>
      <c r="S863" s="32">
        <f t="shared" si="253"/>
        <v>0</v>
      </c>
      <c r="T863" s="10"/>
      <c r="U863" s="10"/>
      <c r="V863" s="10"/>
      <c r="W863" s="12">
        <f t="shared" si="254"/>
        <v>0</v>
      </c>
      <c r="Y863" s="10">
        <v>27</v>
      </c>
      <c r="Z863" s="30"/>
      <c r="AA863" s="31"/>
      <c r="AB863" s="47"/>
      <c r="AC863" s="31"/>
      <c r="AD863" s="31"/>
      <c r="AE863" s="32">
        <f t="shared" si="261"/>
        <v>0</v>
      </c>
      <c r="AF863" s="10"/>
      <c r="AG863" s="10"/>
      <c r="AH863" s="10"/>
      <c r="AI863" s="12">
        <f t="shared" si="256"/>
        <v>0</v>
      </c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10">
        <v>28</v>
      </c>
      <c r="B864" s="30"/>
      <c r="C864" s="83"/>
      <c r="D864" s="32"/>
      <c r="E864" s="32"/>
      <c r="F864" s="32"/>
      <c r="G864" s="32">
        <f t="shared" si="251"/>
        <v>0</v>
      </c>
      <c r="H864" s="10"/>
      <c r="I864" s="10"/>
      <c r="J864" s="10"/>
      <c r="K864" s="12">
        <f t="shared" si="252"/>
        <v>0</v>
      </c>
      <c r="M864" s="10">
        <v>28</v>
      </c>
      <c r="N864" s="30"/>
      <c r="O864" s="31"/>
      <c r="P864" s="47"/>
      <c r="Q864" s="31"/>
      <c r="R864" s="31"/>
      <c r="S864" s="32">
        <f t="shared" si="253"/>
        <v>0</v>
      </c>
      <c r="T864" s="10"/>
      <c r="U864" s="10"/>
      <c r="V864" s="10"/>
      <c r="W864" s="12">
        <f t="shared" si="254"/>
        <v>0</v>
      </c>
      <c r="Y864" s="10">
        <v>28</v>
      </c>
      <c r="Z864" s="30"/>
      <c r="AA864" s="31"/>
      <c r="AB864" s="47"/>
      <c r="AC864" s="31"/>
      <c r="AD864" s="31"/>
      <c r="AE864" s="32">
        <f t="shared" si="261"/>
        <v>0</v>
      </c>
      <c r="AF864" s="10"/>
      <c r="AG864" s="10"/>
      <c r="AH864" s="10"/>
      <c r="AI864" s="12">
        <f t="shared" si="256"/>
        <v>0</v>
      </c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10">
        <v>29</v>
      </c>
      <c r="B865" s="30"/>
      <c r="C865" s="83"/>
      <c r="D865" s="32"/>
      <c r="E865" s="32"/>
      <c r="F865" s="32"/>
      <c r="G865" s="32">
        <f t="shared" si="251"/>
        <v>0</v>
      </c>
      <c r="H865" s="10"/>
      <c r="I865" s="10"/>
      <c r="J865" s="10"/>
      <c r="K865" s="12">
        <f t="shared" si="252"/>
        <v>0</v>
      </c>
      <c r="M865" s="10">
        <v>29</v>
      </c>
      <c r="N865" s="30"/>
      <c r="O865" s="31"/>
      <c r="P865" s="47"/>
      <c r="Q865" s="31"/>
      <c r="R865" s="31"/>
      <c r="S865" s="32">
        <f t="shared" si="253"/>
        <v>0</v>
      </c>
      <c r="T865" s="10"/>
      <c r="U865" s="10"/>
      <c r="V865" s="10"/>
      <c r="W865" s="12">
        <f t="shared" si="254"/>
        <v>0</v>
      </c>
      <c r="Y865" s="10">
        <v>29</v>
      </c>
      <c r="Z865" s="30"/>
      <c r="AA865" s="31"/>
      <c r="AB865" s="47"/>
      <c r="AC865" s="31"/>
      <c r="AD865" s="31"/>
      <c r="AE865" s="32">
        <f t="shared" si="261"/>
        <v>0</v>
      </c>
      <c r="AF865" s="10"/>
      <c r="AG865" s="10"/>
      <c r="AH865" s="10"/>
      <c r="AI865" s="12">
        <f t="shared" si="256"/>
        <v>0</v>
      </c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10">
        <v>30</v>
      </c>
      <c r="B866" s="30"/>
      <c r="C866" s="83"/>
      <c r="D866" s="32"/>
      <c r="E866" s="32"/>
      <c r="F866" s="32"/>
      <c r="G866" s="32">
        <f t="shared" si="251"/>
        <v>0</v>
      </c>
      <c r="H866" s="10"/>
      <c r="I866" s="10"/>
      <c r="J866" s="10"/>
      <c r="K866" s="12">
        <f t="shared" si="252"/>
        <v>0</v>
      </c>
      <c r="M866" s="10">
        <v>30</v>
      </c>
      <c r="N866" s="30"/>
      <c r="O866" s="31"/>
      <c r="P866" s="47"/>
      <c r="Q866" s="31"/>
      <c r="R866" s="31"/>
      <c r="S866" s="32">
        <f t="shared" si="253"/>
        <v>0</v>
      </c>
      <c r="T866" s="10"/>
      <c r="U866" s="10"/>
      <c r="V866" s="10"/>
      <c r="W866" s="12">
        <f t="shared" si="254"/>
        <v>0</v>
      </c>
      <c r="Y866" s="10">
        <v>30</v>
      </c>
      <c r="Z866" s="30"/>
      <c r="AA866" s="31"/>
      <c r="AB866" s="47"/>
      <c r="AC866" s="31"/>
      <c r="AD866" s="31"/>
      <c r="AE866" s="32">
        <f t="shared" si="261"/>
        <v>0</v>
      </c>
      <c r="AF866" s="10"/>
      <c r="AG866" s="10"/>
      <c r="AH866" s="10"/>
      <c r="AI866" s="12">
        <f t="shared" si="256"/>
        <v>0</v>
      </c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10">
        <v>31</v>
      </c>
      <c r="B867" s="30"/>
      <c r="C867" s="11"/>
      <c r="D867" s="32"/>
      <c r="E867" s="32"/>
      <c r="F867" s="32"/>
      <c r="G867" s="32">
        <f t="shared" si="251"/>
        <v>0</v>
      </c>
      <c r="H867" s="10"/>
      <c r="I867" s="10"/>
      <c r="J867" s="10"/>
      <c r="K867" s="12">
        <f t="shared" si="252"/>
        <v>0</v>
      </c>
      <c r="M867" s="10">
        <v>31</v>
      </c>
      <c r="N867" s="30"/>
      <c r="O867" s="31"/>
      <c r="P867" s="47"/>
      <c r="Q867" s="31"/>
      <c r="R867" s="31"/>
      <c r="S867" s="32">
        <f t="shared" si="253"/>
        <v>0</v>
      </c>
      <c r="T867" s="10"/>
      <c r="U867" s="10"/>
      <c r="V867" s="10"/>
      <c r="W867" s="12">
        <f t="shared" si="254"/>
        <v>0</v>
      </c>
      <c r="Y867" s="10">
        <v>31</v>
      </c>
      <c r="Z867" s="30"/>
      <c r="AA867" s="31"/>
      <c r="AB867" s="47"/>
      <c r="AC867" s="31"/>
      <c r="AD867" s="31"/>
      <c r="AE867" s="32">
        <f t="shared" si="261"/>
        <v>0</v>
      </c>
      <c r="AF867" s="10"/>
      <c r="AG867" s="10"/>
      <c r="AH867" s="10"/>
      <c r="AI867" s="12">
        <f t="shared" si="256"/>
        <v>0</v>
      </c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10">
        <v>32</v>
      </c>
      <c r="B868" s="30"/>
      <c r="C868" s="83"/>
      <c r="D868" s="32"/>
      <c r="E868" s="32"/>
      <c r="F868" s="32"/>
      <c r="G868" s="32">
        <f t="shared" si="251"/>
        <v>0</v>
      </c>
      <c r="H868" s="10"/>
      <c r="I868" s="10"/>
      <c r="J868" s="10"/>
      <c r="K868" s="12">
        <f t="shared" si="252"/>
        <v>0</v>
      </c>
      <c r="M868" s="10">
        <v>32</v>
      </c>
      <c r="N868" s="30"/>
      <c r="O868" s="31"/>
      <c r="P868" s="47"/>
      <c r="Q868" s="31"/>
      <c r="R868" s="31"/>
      <c r="S868" s="32">
        <f t="shared" si="253"/>
        <v>0</v>
      </c>
      <c r="T868" s="10"/>
      <c r="U868" s="10"/>
      <c r="V868" s="10"/>
      <c r="W868" s="12">
        <f t="shared" si="254"/>
        <v>0</v>
      </c>
      <c r="Y868" s="10">
        <v>32</v>
      </c>
      <c r="Z868" s="30"/>
      <c r="AA868" s="31"/>
      <c r="AB868" s="47"/>
      <c r="AC868" s="31"/>
      <c r="AD868" s="31"/>
      <c r="AE868" s="32">
        <f t="shared" si="261"/>
        <v>0</v>
      </c>
      <c r="AF868" s="10"/>
      <c r="AG868" s="10"/>
      <c r="AH868" s="10"/>
      <c r="AI868" s="12">
        <f t="shared" si="256"/>
        <v>0</v>
      </c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10">
        <v>33</v>
      </c>
      <c r="B869" s="30"/>
      <c r="C869" s="83"/>
      <c r="D869" s="32"/>
      <c r="E869" s="32"/>
      <c r="F869" s="32"/>
      <c r="G869" s="32">
        <f t="shared" si="251"/>
        <v>0</v>
      </c>
      <c r="H869" s="10"/>
      <c r="I869" s="10"/>
      <c r="J869" s="10"/>
      <c r="K869" s="12">
        <f t="shared" si="252"/>
        <v>0</v>
      </c>
      <c r="M869" s="10">
        <v>33</v>
      </c>
      <c r="N869" s="30"/>
      <c r="O869" s="31"/>
      <c r="P869" s="47"/>
      <c r="Q869" s="31"/>
      <c r="R869" s="31"/>
      <c r="S869" s="32">
        <f t="shared" si="253"/>
        <v>0</v>
      </c>
      <c r="T869" s="10"/>
      <c r="U869" s="10"/>
      <c r="V869" s="10"/>
      <c r="W869" s="12">
        <f t="shared" si="254"/>
        <v>0</v>
      </c>
      <c r="Y869" s="10">
        <v>33</v>
      </c>
      <c r="Z869" s="30"/>
      <c r="AA869" s="31"/>
      <c r="AB869" s="47"/>
      <c r="AC869" s="31"/>
      <c r="AD869" s="31"/>
      <c r="AE869" s="32">
        <f t="shared" si="261"/>
        <v>0</v>
      </c>
      <c r="AF869" s="10"/>
      <c r="AG869" s="10"/>
      <c r="AH869" s="10"/>
      <c r="AI869" s="12">
        <f t="shared" si="256"/>
        <v>0</v>
      </c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10"/>
      <c r="B870" s="30"/>
      <c r="C870" s="83"/>
      <c r="D870" s="32"/>
      <c r="E870" s="32"/>
      <c r="F870" s="32"/>
      <c r="G870" s="32">
        <f t="shared" si="251"/>
        <v>0</v>
      </c>
      <c r="H870" s="10"/>
      <c r="I870" s="10"/>
      <c r="J870" s="10"/>
      <c r="K870" s="12">
        <f t="shared" si="252"/>
        <v>0</v>
      </c>
      <c r="M870" s="10">
        <v>34</v>
      </c>
      <c r="N870" s="30"/>
      <c r="O870" s="31"/>
      <c r="P870" s="47"/>
      <c r="Q870" s="31"/>
      <c r="R870" s="31"/>
      <c r="S870" s="32">
        <f t="shared" si="253"/>
        <v>0</v>
      </c>
      <c r="T870" s="10"/>
      <c r="U870" s="10"/>
      <c r="V870" s="10"/>
      <c r="W870" s="12">
        <f t="shared" si="254"/>
        <v>0</v>
      </c>
      <c r="Y870" s="10">
        <v>34</v>
      </c>
      <c r="Z870" s="30"/>
      <c r="AA870" s="31"/>
      <c r="AB870" s="47"/>
      <c r="AC870" s="31"/>
      <c r="AD870" s="31"/>
      <c r="AE870" s="32">
        <f t="shared" si="261"/>
        <v>0</v>
      </c>
      <c r="AF870" s="10"/>
      <c r="AG870" s="10"/>
      <c r="AH870" s="10"/>
      <c r="AI870" s="12">
        <f t="shared" ref="AI870:AI878" si="262">SUM(AE870:AH870)</f>
        <v>0</v>
      </c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10"/>
      <c r="B871" s="30"/>
      <c r="C871" s="83"/>
      <c r="D871" s="32"/>
      <c r="E871" s="32"/>
      <c r="F871" s="32"/>
      <c r="G871" s="32"/>
      <c r="H871" s="10"/>
      <c r="I871" s="10"/>
      <c r="J871" s="10"/>
      <c r="K871" s="12"/>
      <c r="M871" s="10">
        <v>35</v>
      </c>
      <c r="N871" s="30"/>
      <c r="O871" s="31"/>
      <c r="P871" s="47"/>
      <c r="Q871" s="31"/>
      <c r="R871" s="31"/>
      <c r="S871" s="32">
        <f t="shared" si="253"/>
        <v>0</v>
      </c>
      <c r="T871" s="10"/>
      <c r="U871" s="10"/>
      <c r="V871" s="10"/>
      <c r="W871" s="12">
        <f t="shared" si="254"/>
        <v>0</v>
      </c>
      <c r="Y871" s="10">
        <v>35</v>
      </c>
      <c r="Z871" s="30"/>
      <c r="AA871" s="31"/>
      <c r="AB871" s="47"/>
      <c r="AC871" s="31"/>
      <c r="AD871" s="31"/>
      <c r="AE871" s="32">
        <f t="shared" si="261"/>
        <v>0</v>
      </c>
      <c r="AF871" s="10"/>
      <c r="AG871" s="10"/>
      <c r="AH871" s="10"/>
      <c r="AI871" s="12">
        <f t="shared" si="262"/>
        <v>0</v>
      </c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10"/>
      <c r="B872" s="30"/>
      <c r="C872" s="83"/>
      <c r="D872" s="32"/>
      <c r="E872" s="32"/>
      <c r="F872" s="32"/>
      <c r="G872" s="32"/>
      <c r="H872" s="10"/>
      <c r="I872" s="10"/>
      <c r="J872" s="10"/>
      <c r="K872" s="12"/>
      <c r="M872" s="10">
        <v>36</v>
      </c>
      <c r="N872" s="30"/>
      <c r="O872" s="31"/>
      <c r="P872" s="47"/>
      <c r="Q872" s="31"/>
      <c r="R872" s="31"/>
      <c r="S872" s="32">
        <f t="shared" si="253"/>
        <v>0</v>
      </c>
      <c r="T872" s="10"/>
      <c r="U872" s="10"/>
      <c r="V872" s="10"/>
      <c r="W872" s="12">
        <f t="shared" si="254"/>
        <v>0</v>
      </c>
      <c r="Y872" s="10">
        <v>36</v>
      </c>
      <c r="Z872" s="30"/>
      <c r="AA872" s="31"/>
      <c r="AB872" s="47"/>
      <c r="AC872" s="31"/>
      <c r="AD872" s="31"/>
      <c r="AE872" s="32">
        <f t="shared" si="261"/>
        <v>0</v>
      </c>
      <c r="AF872" s="10"/>
      <c r="AG872" s="10"/>
      <c r="AH872" s="10"/>
      <c r="AI872" s="12">
        <f t="shared" si="262"/>
        <v>0</v>
      </c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10"/>
      <c r="B873" s="30"/>
      <c r="C873" s="31"/>
      <c r="D873" s="32"/>
      <c r="E873" s="32"/>
      <c r="F873" s="32"/>
      <c r="G873" s="32"/>
      <c r="H873" s="10"/>
      <c r="I873" s="10"/>
      <c r="J873" s="10"/>
      <c r="K873" s="12"/>
      <c r="M873" s="10">
        <v>37</v>
      </c>
      <c r="N873" s="30"/>
      <c r="P873" s="47"/>
      <c r="Q873" s="31"/>
      <c r="R873" s="31"/>
      <c r="S873" s="32">
        <f t="shared" si="253"/>
        <v>0</v>
      </c>
      <c r="T873" s="10"/>
      <c r="U873" s="10"/>
      <c r="V873" s="10"/>
      <c r="W873" s="12">
        <f t="shared" si="254"/>
        <v>0</v>
      </c>
      <c r="Y873" s="10">
        <v>37</v>
      </c>
      <c r="Z873" s="30"/>
      <c r="AA873" s="31"/>
      <c r="AB873" s="47"/>
      <c r="AC873" s="31"/>
      <c r="AD873" s="31"/>
      <c r="AE873" s="32">
        <f t="shared" si="261"/>
        <v>0</v>
      </c>
      <c r="AF873" s="10"/>
      <c r="AG873" s="10"/>
      <c r="AH873" s="10"/>
      <c r="AI873" s="12">
        <f t="shared" si="262"/>
        <v>0</v>
      </c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10"/>
      <c r="B874" s="30"/>
      <c r="C874" s="31"/>
      <c r="D874" s="32"/>
      <c r="E874" s="32"/>
      <c r="F874" s="32"/>
      <c r="G874" s="32"/>
      <c r="H874" s="10"/>
      <c r="I874" s="10"/>
      <c r="J874" s="10"/>
      <c r="K874" s="12"/>
      <c r="M874" s="10">
        <v>38</v>
      </c>
      <c r="N874" s="30"/>
      <c r="O874" s="31"/>
      <c r="P874" s="47"/>
      <c r="Q874" s="31"/>
      <c r="R874" s="31"/>
      <c r="S874" s="32">
        <f t="shared" si="253"/>
        <v>0</v>
      </c>
      <c r="T874" s="10"/>
      <c r="U874" s="10"/>
      <c r="V874" s="10"/>
      <c r="W874" s="12">
        <f t="shared" si="254"/>
        <v>0</v>
      </c>
      <c r="Y874" s="10">
        <v>38</v>
      </c>
      <c r="Z874" s="30"/>
      <c r="AA874" s="31"/>
      <c r="AB874" s="47"/>
      <c r="AC874" s="31"/>
      <c r="AD874" s="31"/>
      <c r="AE874" s="32">
        <f t="shared" si="261"/>
        <v>0</v>
      </c>
      <c r="AF874" s="10"/>
      <c r="AG874" s="10"/>
      <c r="AH874" s="10"/>
      <c r="AI874" s="12">
        <f t="shared" si="262"/>
        <v>0</v>
      </c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10"/>
      <c r="B875" s="30"/>
      <c r="C875" s="31"/>
      <c r="D875" s="32"/>
      <c r="E875" s="32"/>
      <c r="F875" s="32"/>
      <c r="G875" s="32"/>
      <c r="H875" s="10"/>
      <c r="I875" s="10"/>
      <c r="J875" s="10"/>
      <c r="K875" s="12"/>
      <c r="M875" s="10">
        <v>39</v>
      </c>
      <c r="N875" s="30"/>
      <c r="O875" s="31"/>
      <c r="P875" s="47"/>
      <c r="Q875" s="31"/>
      <c r="R875" s="31"/>
      <c r="S875" s="32">
        <f t="shared" si="253"/>
        <v>0</v>
      </c>
      <c r="T875" s="10"/>
      <c r="U875" s="10"/>
      <c r="V875" s="10"/>
      <c r="W875" s="12">
        <f t="shared" si="254"/>
        <v>0</v>
      </c>
      <c r="Y875" s="10">
        <v>39</v>
      </c>
      <c r="Z875" s="30"/>
      <c r="AA875" s="31"/>
      <c r="AB875" s="47"/>
      <c r="AC875" s="31"/>
      <c r="AD875" s="31"/>
      <c r="AE875" s="32">
        <f t="shared" si="261"/>
        <v>0</v>
      </c>
      <c r="AF875" s="10"/>
      <c r="AG875" s="10"/>
      <c r="AH875" s="10"/>
      <c r="AI875" s="12">
        <f t="shared" si="262"/>
        <v>0</v>
      </c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10"/>
      <c r="B876" s="30"/>
      <c r="C876" s="31"/>
      <c r="D876" s="32"/>
      <c r="E876" s="32"/>
      <c r="F876" s="32"/>
      <c r="G876" s="32"/>
      <c r="H876" s="10"/>
      <c r="I876" s="10"/>
      <c r="J876" s="10"/>
      <c r="K876" s="12"/>
      <c r="M876" s="10"/>
      <c r="N876" s="30"/>
      <c r="P876" s="47"/>
      <c r="Q876" s="31"/>
      <c r="R876" s="31"/>
      <c r="S876" s="32"/>
      <c r="T876" s="10"/>
      <c r="U876" s="10"/>
      <c r="V876" s="10"/>
      <c r="W876" s="12">
        <f t="shared" si="254"/>
        <v>0</v>
      </c>
      <c r="Y876" s="10"/>
      <c r="Z876" s="30"/>
      <c r="AB876" s="47"/>
      <c r="AC876" s="31"/>
      <c r="AD876" s="31"/>
      <c r="AE876" s="32"/>
      <c r="AF876" s="10"/>
      <c r="AG876" s="10"/>
      <c r="AH876" s="10"/>
      <c r="AI876" s="12">
        <f t="shared" si="262"/>
        <v>0</v>
      </c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10"/>
      <c r="B877" s="30"/>
      <c r="C877" s="31"/>
      <c r="D877" s="32"/>
      <c r="E877" s="32"/>
      <c r="F877" s="32"/>
      <c r="G877" s="32">
        <f t="shared" ref="G877" si="263">SUM(D877:E877)</f>
        <v>0</v>
      </c>
      <c r="H877" s="10"/>
      <c r="I877" s="10"/>
      <c r="J877" s="10"/>
      <c r="K877" s="12">
        <f t="shared" ref="K877" si="264">SUM(G877:J877)</f>
        <v>0</v>
      </c>
      <c r="M877" s="10"/>
      <c r="N877" s="30"/>
      <c r="O877" s="31"/>
      <c r="P877" s="47"/>
      <c r="Q877" s="31"/>
      <c r="R877" s="31"/>
      <c r="S877" s="32">
        <f t="shared" ref="S877" si="265">SUM(P877:Q877)</f>
        <v>0</v>
      </c>
      <c r="T877" s="10"/>
      <c r="U877" s="10"/>
      <c r="V877" s="10"/>
      <c r="W877" s="12">
        <f t="shared" si="254"/>
        <v>0</v>
      </c>
      <c r="Y877" s="10"/>
      <c r="Z877" s="30"/>
      <c r="AA877" s="31"/>
      <c r="AB877" s="47"/>
      <c r="AC877" s="31"/>
      <c r="AD877" s="31"/>
      <c r="AE877" s="32">
        <f t="shared" ref="AE877" si="266">SUM(AB877:AC877)</f>
        <v>0</v>
      </c>
      <c r="AF877" s="10"/>
      <c r="AG877" s="10"/>
      <c r="AH877" s="10"/>
      <c r="AI877" s="12">
        <f t="shared" si="262"/>
        <v>0</v>
      </c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10"/>
      <c r="B878" s="30"/>
      <c r="C878" s="30"/>
      <c r="D878" s="32"/>
      <c r="E878" s="32"/>
      <c r="F878" s="32"/>
      <c r="G878" s="32"/>
      <c r="H878" s="10"/>
      <c r="I878" s="10"/>
      <c r="J878" s="10"/>
      <c r="K878" s="12"/>
      <c r="M878" s="10"/>
      <c r="N878" s="31"/>
      <c r="O878" s="31"/>
      <c r="P878" s="31"/>
      <c r="Q878" s="31"/>
      <c r="R878" s="31"/>
      <c r="S878" s="31"/>
      <c r="T878" s="10"/>
      <c r="U878" s="10"/>
      <c r="V878" s="10"/>
      <c r="W878" s="12">
        <f t="shared" si="254"/>
        <v>0</v>
      </c>
      <c r="Y878" s="10"/>
      <c r="Z878" s="31"/>
      <c r="AA878" s="31"/>
      <c r="AB878" s="31"/>
      <c r="AC878" s="31"/>
      <c r="AD878" s="31"/>
      <c r="AE878" s="31"/>
      <c r="AF878" s="10"/>
      <c r="AG878" s="10"/>
      <c r="AH878" s="10"/>
      <c r="AI878" s="12">
        <f t="shared" si="262"/>
        <v>0</v>
      </c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B879" s="57"/>
      <c r="C879" s="57"/>
      <c r="D879" s="36"/>
      <c r="E879" s="36"/>
      <c r="F879" s="36"/>
      <c r="G879" s="36"/>
      <c r="H879" s="37"/>
      <c r="I879" s="37"/>
      <c r="J879" s="37"/>
      <c r="K879" s="37"/>
      <c r="N879" s="57"/>
      <c r="O879" s="57"/>
      <c r="P879" s="36"/>
      <c r="Q879" s="36"/>
      <c r="R879" s="36"/>
      <c r="S879" s="36"/>
      <c r="T879" s="37"/>
      <c r="U879" s="37"/>
      <c r="V879" s="37"/>
      <c r="W879" s="37"/>
      <c r="Z879" s="57"/>
      <c r="AA879" s="57"/>
      <c r="AB879" s="36"/>
      <c r="AC879" s="36"/>
      <c r="AD879" s="36"/>
      <c r="AE879" s="36"/>
      <c r="AF879" s="37"/>
      <c r="AG879" s="37"/>
      <c r="AH879" s="37"/>
      <c r="AI879" s="37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B880" s="57"/>
      <c r="C880" s="57"/>
      <c r="D880" s="38">
        <f>SUM(D837:D879)</f>
        <v>316675</v>
      </c>
      <c r="E880" s="38">
        <f t="shared" ref="E880:F880" si="267">SUM(E837:E877)</f>
        <v>0</v>
      </c>
      <c r="F880" s="38">
        <f t="shared" si="267"/>
        <v>0</v>
      </c>
      <c r="G880" s="38">
        <f>SUM(G837:G879)</f>
        <v>316675</v>
      </c>
      <c r="H880" s="4"/>
      <c r="I880" s="39">
        <f>SUM(I837:I879)</f>
        <v>135</v>
      </c>
      <c r="J880" s="39">
        <f>SUM(J837:J879)</f>
        <v>0</v>
      </c>
      <c r="K880" s="40">
        <f>SUM(K837:K879)</f>
        <v>316810</v>
      </c>
      <c r="N880" s="57"/>
      <c r="O880" s="57"/>
      <c r="P880" s="38">
        <f>SUM(P837:P879)</f>
        <v>247108</v>
      </c>
      <c r="Q880" s="38">
        <f>SUM(Q837:Q861)</f>
        <v>-2130</v>
      </c>
      <c r="R880" s="38">
        <f>SUM(R837:R861)</f>
        <v>0</v>
      </c>
      <c r="S880" s="38">
        <f>SUM(S837:S879)</f>
        <v>244978</v>
      </c>
      <c r="T880" s="4"/>
      <c r="U880" s="41">
        <f>SUM(U837:U879)</f>
        <v>6733.5</v>
      </c>
      <c r="V880" s="41">
        <f>SUM(V837:V861)</f>
        <v>-13320</v>
      </c>
      <c r="W880" s="42">
        <f>SUM(W837:W879)</f>
        <v>238391.5</v>
      </c>
      <c r="Z880" s="57"/>
      <c r="AA880" s="57"/>
      <c r="AB880" s="38">
        <f>SUM(AB837:AB879)</f>
        <v>269027</v>
      </c>
      <c r="AC880" s="38">
        <f>SUM(AC837:AC861)</f>
        <v>-648</v>
      </c>
      <c r="AD880" s="38">
        <f>SUM(AD837:AD861)</f>
        <v>0</v>
      </c>
      <c r="AE880" s="38">
        <f>SUM(AE837:AE879)</f>
        <v>268379</v>
      </c>
      <c r="AF880" s="4"/>
      <c r="AG880" s="41">
        <f>SUM(AG837:AG879)</f>
        <v>12849</v>
      </c>
      <c r="AH880" s="41">
        <f>SUM(AH837:AH861)</f>
        <v>-26331</v>
      </c>
      <c r="AI880" s="42">
        <f>SUM(AI837:AI879)</f>
        <v>254897</v>
      </c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18"/>
      <c r="B881" s="18"/>
      <c r="C881" s="18"/>
      <c r="D881" s="18"/>
      <c r="E881" s="18"/>
      <c r="F881" s="18"/>
      <c r="G881" s="18"/>
      <c r="H881" s="18"/>
      <c r="I881" s="18"/>
      <c r="J881" s="18"/>
      <c r="K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Y881" s="18"/>
      <c r="Z881" s="18"/>
      <c r="AA881" s="18"/>
      <c r="AB881" s="18"/>
      <c r="AC881" s="18"/>
      <c r="AD881" s="18"/>
      <c r="AE881" s="18"/>
      <c r="AF881" s="18"/>
      <c r="AG881" s="18"/>
      <c r="AH881" s="18"/>
      <c r="AI881" s="18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91"/>
      <c r="C882" s="91"/>
      <c r="D882" s="91"/>
      <c r="E882" s="91"/>
      <c r="F882" s="91"/>
      <c r="G882" s="91"/>
      <c r="H882" s="62"/>
      <c r="I882" s="62"/>
      <c r="J882" s="62"/>
      <c r="K882" s="62"/>
      <c r="M882" t="s">
        <v>0</v>
      </c>
      <c r="N882" s="57"/>
      <c r="O882" s="57"/>
      <c r="P882" s="57"/>
      <c r="Q882" s="57"/>
      <c r="R882" s="57"/>
      <c r="S882" s="57"/>
      <c r="Y882" t="s">
        <v>0</v>
      </c>
      <c r="Z882" s="57"/>
      <c r="AA882" s="57"/>
      <c r="AB882" s="57"/>
      <c r="AC882" s="57"/>
      <c r="AD882" s="57"/>
      <c r="AE882" s="57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91"/>
      <c r="C883" s="91"/>
      <c r="D883" s="91"/>
      <c r="E883" s="91"/>
      <c r="F883" s="91"/>
      <c r="G883" s="91"/>
      <c r="H883" s="62"/>
      <c r="I883" s="62"/>
      <c r="J883" s="62"/>
      <c r="K883" s="62"/>
      <c r="M883" t="s">
        <v>28</v>
      </c>
      <c r="N883" s="57"/>
      <c r="O883" s="57"/>
      <c r="P883" s="57"/>
      <c r="Q883" s="57"/>
      <c r="R883" s="57"/>
      <c r="S883" s="57"/>
      <c r="Y883" t="s">
        <v>28</v>
      </c>
      <c r="Z883" s="57"/>
      <c r="AA883" s="57"/>
      <c r="AB883" s="57"/>
      <c r="AC883" s="57"/>
      <c r="AD883" s="57"/>
      <c r="AE883" s="57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2"/>
      <c r="B884" s="91"/>
      <c r="C884" s="91"/>
      <c r="D884" s="91"/>
      <c r="E884" s="91"/>
      <c r="F884" s="91"/>
      <c r="G884" s="91"/>
      <c r="H884" s="62"/>
      <c r="I884" s="62"/>
      <c r="J884" s="62"/>
      <c r="K884" s="62"/>
      <c r="N884" s="57"/>
      <c r="O884" s="57"/>
      <c r="P884" s="57"/>
      <c r="Q884" s="57"/>
      <c r="R884" s="57"/>
      <c r="S884" s="57"/>
      <c r="Z884" s="57"/>
      <c r="AA884" s="57"/>
      <c r="AB884" s="57"/>
      <c r="AC884" s="57"/>
      <c r="AD884" s="57"/>
      <c r="AE884" s="57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3"/>
      <c r="B885" s="91"/>
      <c r="C885" s="91"/>
      <c r="D885" s="91"/>
      <c r="E885" s="91"/>
      <c r="F885" s="91"/>
      <c r="G885" s="91"/>
      <c r="H885" s="62"/>
      <c r="I885" s="62"/>
      <c r="J885" s="62"/>
      <c r="K885" s="62"/>
      <c r="M885" s="4" t="s">
        <v>14</v>
      </c>
      <c r="N885" s="57"/>
      <c r="O885" s="57"/>
      <c r="P885" s="57"/>
      <c r="Q885" s="57"/>
      <c r="R885" s="57"/>
      <c r="S885" s="57"/>
      <c r="Y885" s="4" t="s">
        <v>14</v>
      </c>
      <c r="Z885" s="57"/>
      <c r="AA885" s="57"/>
      <c r="AB885" s="57"/>
      <c r="AC885" s="57"/>
      <c r="AD885" s="57"/>
      <c r="AE885" s="57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62"/>
      <c r="B886" s="91"/>
      <c r="C886" s="91"/>
      <c r="D886" s="91"/>
      <c r="E886" s="91"/>
      <c r="F886" s="91"/>
      <c r="G886" s="91"/>
      <c r="H886" s="62"/>
      <c r="I886" s="62"/>
      <c r="J886" s="62"/>
      <c r="K886" s="62"/>
      <c r="N886" s="57"/>
      <c r="O886" s="57"/>
      <c r="P886" s="57"/>
      <c r="Q886" s="57"/>
      <c r="R886" s="57"/>
      <c r="S886" s="57"/>
      <c r="Z886" s="57"/>
      <c r="AA886" s="57"/>
      <c r="AB886" s="57"/>
      <c r="AC886" s="57"/>
      <c r="AD886" s="57"/>
      <c r="AE886" s="57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s="62"/>
      <c r="B887" s="91"/>
      <c r="C887" s="91"/>
      <c r="D887" s="91"/>
      <c r="E887" s="91"/>
      <c r="F887" s="91"/>
      <c r="G887" s="91"/>
      <c r="H887" s="62"/>
      <c r="I887" s="91"/>
      <c r="J887" s="73"/>
      <c r="K887" s="62"/>
      <c r="M887" t="s">
        <v>55</v>
      </c>
      <c r="N887" s="57"/>
      <c r="O887" s="57"/>
      <c r="P887" s="57"/>
      <c r="Q887" s="57"/>
      <c r="R887" s="57"/>
      <c r="S887" s="57"/>
      <c r="U887" s="57" t="s">
        <v>15</v>
      </c>
      <c r="V887" s="19">
        <v>2</v>
      </c>
      <c r="Y887" t="s">
        <v>55</v>
      </c>
      <c r="Z887" s="57"/>
      <c r="AA887" s="57"/>
      <c r="AB887" s="57"/>
      <c r="AC887" s="57"/>
      <c r="AD887" s="57"/>
      <c r="AE887" s="57"/>
      <c r="AG887" s="57" t="s">
        <v>15</v>
      </c>
      <c r="AH887" s="20">
        <v>3</v>
      </c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4"/>
      <c r="B888" s="91"/>
      <c r="C888" s="91"/>
      <c r="D888" s="91"/>
      <c r="E888" s="91"/>
      <c r="F888" s="91"/>
      <c r="G888" s="91"/>
      <c r="H888" s="62"/>
      <c r="I888" s="65"/>
      <c r="J888" s="65"/>
      <c r="K888" s="62"/>
      <c r="M888" s="21" t="s">
        <v>85</v>
      </c>
      <c r="N888" s="20"/>
      <c r="O888" s="57"/>
      <c r="P888" s="57"/>
      <c r="Q888" s="57"/>
      <c r="R888" s="57"/>
      <c r="S888" s="57"/>
      <c r="U888" s="22" t="s">
        <v>16</v>
      </c>
      <c r="V888" s="23" t="s">
        <v>33</v>
      </c>
      <c r="W888" s="24"/>
      <c r="Y888" s="21" t="s">
        <v>85</v>
      </c>
      <c r="Z888" s="20"/>
      <c r="AA888" s="57"/>
      <c r="AB888" s="57"/>
      <c r="AC888" s="57"/>
      <c r="AD888" s="57"/>
      <c r="AE888" s="57"/>
      <c r="AG888" s="22" t="s">
        <v>16</v>
      </c>
      <c r="AH888" s="23" t="s">
        <v>34</v>
      </c>
      <c r="AI888" s="24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91"/>
      <c r="C889" s="91"/>
      <c r="D889" s="91"/>
      <c r="E889" s="91"/>
      <c r="F889" s="91"/>
      <c r="G889" s="91"/>
      <c r="H889" s="62"/>
      <c r="I889" s="62"/>
      <c r="J889" s="62"/>
      <c r="K889" s="62"/>
      <c r="N889" s="57"/>
      <c r="O889" s="57"/>
      <c r="P889" s="57"/>
      <c r="Q889" s="57"/>
      <c r="R889" s="57"/>
      <c r="S889" s="57"/>
      <c r="Z889" s="57"/>
      <c r="AA889" s="57"/>
      <c r="AB889" s="57"/>
      <c r="AC889" s="57"/>
      <c r="AD889" s="57"/>
      <c r="AE889" s="57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65"/>
      <c r="C890" s="91"/>
      <c r="D890" s="121"/>
      <c r="E890" s="121"/>
      <c r="F890" s="91"/>
      <c r="G890" s="91"/>
      <c r="H890" s="62"/>
      <c r="I890" s="121"/>
      <c r="J890" s="121"/>
      <c r="K890" s="122"/>
      <c r="N890" s="25"/>
      <c r="O890" s="26"/>
      <c r="P890" s="120" t="s">
        <v>17</v>
      </c>
      <c r="Q890" s="120"/>
      <c r="R890" s="107"/>
      <c r="S890" s="27"/>
      <c r="U890" s="118" t="s">
        <v>18</v>
      </c>
      <c r="V890" s="119"/>
      <c r="W890" s="116" t="s">
        <v>19</v>
      </c>
      <c r="Z890" s="25"/>
      <c r="AA890" s="26"/>
      <c r="AB890" s="120" t="s">
        <v>17</v>
      </c>
      <c r="AC890" s="120"/>
      <c r="AD890" s="107"/>
      <c r="AE890" s="27"/>
      <c r="AG890" s="118" t="s">
        <v>18</v>
      </c>
      <c r="AH890" s="119"/>
      <c r="AI890" s="116" t="s">
        <v>19</v>
      </c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ht="30" x14ac:dyDescent="0.25">
      <c r="A891" s="62"/>
      <c r="B891" s="91"/>
      <c r="C891" s="91"/>
      <c r="D891" s="79"/>
      <c r="E891" s="80"/>
      <c r="F891" s="81"/>
      <c r="G891" s="81"/>
      <c r="H891" s="62"/>
      <c r="I891" s="90"/>
      <c r="J891" s="90"/>
      <c r="K891" s="122"/>
      <c r="N891" s="28" t="s">
        <v>20</v>
      </c>
      <c r="O891" s="28" t="s">
        <v>21</v>
      </c>
      <c r="P891" s="77" t="s">
        <v>22</v>
      </c>
      <c r="Q891" s="78" t="s">
        <v>23</v>
      </c>
      <c r="R891" s="78" t="s">
        <v>32</v>
      </c>
      <c r="S891" s="78" t="s">
        <v>24</v>
      </c>
      <c r="U891" s="29" t="s">
        <v>25</v>
      </c>
      <c r="V891" s="29" t="s">
        <v>26</v>
      </c>
      <c r="W891" s="117"/>
      <c r="Z891" s="28" t="s">
        <v>20</v>
      </c>
      <c r="AA891" s="28" t="s">
        <v>21</v>
      </c>
      <c r="AB891" s="77" t="s">
        <v>22</v>
      </c>
      <c r="AC891" s="78" t="s">
        <v>23</v>
      </c>
      <c r="AD891" s="78" t="s">
        <v>32</v>
      </c>
      <c r="AE891" s="78" t="s">
        <v>24</v>
      </c>
      <c r="AG891" s="29" t="s">
        <v>25</v>
      </c>
      <c r="AH891" s="29" t="s">
        <v>26</v>
      </c>
      <c r="AI891" s="117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84"/>
      <c r="D892" s="60"/>
      <c r="E892" s="60"/>
      <c r="F892" s="60"/>
      <c r="G892" s="60"/>
      <c r="H892" s="61"/>
      <c r="I892" s="61"/>
      <c r="J892" s="61"/>
      <c r="K892" s="61"/>
      <c r="M892" s="10">
        <v>1</v>
      </c>
      <c r="N892" s="30" t="s">
        <v>86</v>
      </c>
      <c r="O892" s="31">
        <v>10244</v>
      </c>
      <c r="P892" s="32">
        <f>650*75+670*3+622*10+229*3</f>
        <v>57667</v>
      </c>
      <c r="Q892" s="32"/>
      <c r="R892" s="32"/>
      <c r="S892" s="32">
        <f>SUM(P892:Q892)</f>
        <v>57667</v>
      </c>
      <c r="T892" s="12"/>
      <c r="U892" s="12"/>
      <c r="V892" s="12"/>
      <c r="W892" s="12">
        <f>SUM(S892:V892)</f>
        <v>57667</v>
      </c>
      <c r="Y892" s="10">
        <v>1</v>
      </c>
      <c r="Z892" s="30" t="s">
        <v>86</v>
      </c>
      <c r="AA892" s="31">
        <v>10149</v>
      </c>
      <c r="AB892" s="32">
        <f>650*35+622*5+872</f>
        <v>26732</v>
      </c>
      <c r="AC892" s="32"/>
      <c r="AD892" s="32"/>
      <c r="AE892" s="32">
        <f>SUM(AB892:AC892)</f>
        <v>26732</v>
      </c>
      <c r="AF892" s="12"/>
      <c r="AG892" s="12">
        <f>1.5*24+4.5</f>
        <v>40.5</v>
      </c>
      <c r="AH892" s="12"/>
      <c r="AI892" s="12">
        <f>SUM(AE892:AH892)</f>
        <v>26772.5</v>
      </c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84"/>
      <c r="D893" s="60"/>
      <c r="E893" s="60"/>
      <c r="F893" s="60"/>
      <c r="G893" s="60"/>
      <c r="H893" s="61"/>
      <c r="I893" s="61"/>
      <c r="J893" s="61"/>
      <c r="K893" s="61"/>
      <c r="M893" s="10">
        <v>2</v>
      </c>
      <c r="N893" s="30" t="s">
        <v>86</v>
      </c>
      <c r="O893" s="31">
        <f>O892+1</f>
        <v>10245</v>
      </c>
      <c r="P893" s="32">
        <f>650*15</f>
        <v>9750</v>
      </c>
      <c r="Q893" s="32"/>
      <c r="R893" s="32"/>
      <c r="S893" s="32">
        <f t="shared" ref="S893:S930" si="268">SUM(P893:Q893)</f>
        <v>9750</v>
      </c>
      <c r="T893" s="12"/>
      <c r="U893" s="12">
        <v>405</v>
      </c>
      <c r="V893" s="12"/>
      <c r="W893" s="12">
        <f t="shared" ref="W893:W933" si="269">SUM(S893:V893)</f>
        <v>10155</v>
      </c>
      <c r="Y893" s="10">
        <v>2</v>
      </c>
      <c r="Z893" s="30" t="s">
        <v>86</v>
      </c>
      <c r="AA893" s="31">
        <f>AA892+1</f>
        <v>10150</v>
      </c>
      <c r="AB893" s="32">
        <f>650*40+973+622*10</f>
        <v>33193</v>
      </c>
      <c r="AC893" s="32"/>
      <c r="AD893" s="32"/>
      <c r="AE893" s="32">
        <f t="shared" ref="AE893:AE895" si="270">SUM(AB893:AC893)</f>
        <v>33193</v>
      </c>
      <c r="AF893" s="12"/>
      <c r="AG893" s="12">
        <v>2442</v>
      </c>
      <c r="AH893" s="12"/>
      <c r="AI893" s="12">
        <f t="shared" ref="AI893:AI924" si="271">SUM(AE893:AH893)</f>
        <v>35635</v>
      </c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84"/>
      <c r="D894" s="60"/>
      <c r="E894" s="60"/>
      <c r="F894" s="60"/>
      <c r="G894" s="60"/>
      <c r="H894" s="61"/>
      <c r="I894" s="61"/>
      <c r="J894" s="61"/>
      <c r="K894" s="61"/>
      <c r="M894" s="10">
        <v>3</v>
      </c>
      <c r="N894" s="30" t="s">
        <v>86</v>
      </c>
      <c r="O894" s="31">
        <f t="shared" ref="O894:O898" si="272">O893+1</f>
        <v>10246</v>
      </c>
      <c r="P894" s="32">
        <f>650*45+622*5+229*2</f>
        <v>32818</v>
      </c>
      <c r="Q894" s="32"/>
      <c r="R894" s="32"/>
      <c r="S894" s="32">
        <f t="shared" si="268"/>
        <v>32818</v>
      </c>
      <c r="T894" s="12"/>
      <c r="U894" s="12"/>
      <c r="V894" s="12">
        <f>-333+-504</f>
        <v>-837</v>
      </c>
      <c r="W894" s="12">
        <f t="shared" si="269"/>
        <v>31981</v>
      </c>
      <c r="Y894" s="10">
        <v>3</v>
      </c>
      <c r="Z894" s="30" t="s">
        <v>86</v>
      </c>
      <c r="AA894" s="31">
        <v>10251</v>
      </c>
      <c r="AB894" s="33">
        <f>650*2+670+622</f>
        <v>2592</v>
      </c>
      <c r="AC894" s="33"/>
      <c r="AD894" s="32"/>
      <c r="AE894" s="32">
        <f t="shared" si="270"/>
        <v>2592</v>
      </c>
      <c r="AF894" s="12"/>
      <c r="AG894" s="12"/>
      <c r="AH894" s="12"/>
      <c r="AI894" s="12">
        <f t="shared" si="271"/>
        <v>2592</v>
      </c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84"/>
      <c r="D895" s="60"/>
      <c r="E895" s="60"/>
      <c r="F895" s="60"/>
      <c r="G895" s="60"/>
      <c r="H895" s="61"/>
      <c r="I895" s="61"/>
      <c r="J895" s="61"/>
      <c r="K895" s="61"/>
      <c r="M895" s="10">
        <v>4</v>
      </c>
      <c r="N895" s="30" t="s">
        <v>86</v>
      </c>
      <c r="O895" s="31">
        <f t="shared" si="272"/>
        <v>10247</v>
      </c>
      <c r="P895" s="32">
        <f>650*108+229*3</f>
        <v>70887</v>
      </c>
      <c r="Q895" s="32">
        <f>-108*6</f>
        <v>-648</v>
      </c>
      <c r="R895" s="32"/>
      <c r="S895" s="32">
        <f t="shared" si="268"/>
        <v>70239</v>
      </c>
      <c r="T895" s="12"/>
      <c r="U895" s="12">
        <v>108</v>
      </c>
      <c r="V895" s="12"/>
      <c r="W895" s="12">
        <f t="shared" si="269"/>
        <v>70347</v>
      </c>
      <c r="Y895" s="10">
        <v>4</v>
      </c>
      <c r="Z895" s="30" t="s">
        <v>86</v>
      </c>
      <c r="AA895" s="31">
        <f t="shared" ref="AA895:AA900" si="273">AA894+1</f>
        <v>10252</v>
      </c>
      <c r="AB895" s="32">
        <f>650*2</f>
        <v>1300</v>
      </c>
      <c r="AC895" s="32"/>
      <c r="AD895" s="32"/>
      <c r="AE895" s="32">
        <f t="shared" si="270"/>
        <v>1300</v>
      </c>
      <c r="AF895" s="12"/>
      <c r="AG895">
        <v>168</v>
      </c>
      <c r="AH895" s="12"/>
      <c r="AI895" s="12">
        <f t="shared" si="271"/>
        <v>1468</v>
      </c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84"/>
      <c r="D896" s="60"/>
      <c r="E896" s="60"/>
      <c r="F896" s="60"/>
      <c r="G896" s="60"/>
      <c r="H896" s="61"/>
      <c r="I896" s="61"/>
      <c r="J896" s="61"/>
      <c r="K896" s="61"/>
      <c r="M896" s="10">
        <v>5</v>
      </c>
      <c r="N896" s="30" t="s">
        <v>86</v>
      </c>
      <c r="O896" s="31">
        <f t="shared" si="272"/>
        <v>10248</v>
      </c>
      <c r="P896" s="32">
        <f>650*7+9.5*7</f>
        <v>4616.5</v>
      </c>
      <c r="Q896" s="32"/>
      <c r="R896" s="32"/>
      <c r="S896" s="32">
        <f t="shared" si="268"/>
        <v>4616.5</v>
      </c>
      <c r="T896" s="12"/>
      <c r="U896" s="12"/>
      <c r="V896" s="12"/>
      <c r="W896" s="12">
        <f t="shared" si="269"/>
        <v>4616.5</v>
      </c>
      <c r="Y896" s="10">
        <v>5</v>
      </c>
      <c r="Z896" s="30" t="s">
        <v>86</v>
      </c>
      <c r="AA896" s="31">
        <f t="shared" si="273"/>
        <v>10253</v>
      </c>
      <c r="AB896" s="32">
        <f>650*122+622*26+872*3+650*3</f>
        <v>100038</v>
      </c>
      <c r="AC896" s="32">
        <f>-151*6</f>
        <v>-906</v>
      </c>
      <c r="AD896" s="32"/>
      <c r="AE896" s="32">
        <f t="shared" ref="AE896:AE897" si="274">SUM(AB896:AC896)</f>
        <v>99132</v>
      </c>
      <c r="AF896" s="12"/>
      <c r="AG896" s="12"/>
      <c r="AH896" s="12"/>
      <c r="AI896" s="12">
        <f t="shared" si="271"/>
        <v>99132</v>
      </c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84"/>
      <c r="D897" s="60"/>
      <c r="E897" s="60"/>
      <c r="F897" s="60"/>
      <c r="G897" s="60"/>
      <c r="H897" s="61"/>
      <c r="I897" s="61"/>
      <c r="J897" s="61"/>
      <c r="K897" s="61"/>
      <c r="M897" s="10">
        <v>6</v>
      </c>
      <c r="N897" s="30" t="s">
        <v>86</v>
      </c>
      <c r="O897" s="31">
        <f t="shared" si="272"/>
        <v>10249</v>
      </c>
      <c r="P897" s="32">
        <f>650*34+670</f>
        <v>22770</v>
      </c>
      <c r="Q897" s="32"/>
      <c r="R897" s="32"/>
      <c r="S897" s="32">
        <f t="shared" si="268"/>
        <v>22770</v>
      </c>
      <c r="T897" s="12"/>
      <c r="U897" s="12"/>
      <c r="V897" s="10"/>
      <c r="W897" s="12">
        <f t="shared" si="269"/>
        <v>22770</v>
      </c>
      <c r="Y897" s="10">
        <v>6</v>
      </c>
      <c r="Z897" s="30" t="s">
        <v>86</v>
      </c>
      <c r="AA897" s="31">
        <f t="shared" si="273"/>
        <v>10254</v>
      </c>
      <c r="AB897" s="32">
        <f>650*100+622*14+229*4</f>
        <v>74624</v>
      </c>
      <c r="AC897" s="32"/>
      <c r="AD897" s="32"/>
      <c r="AE897" s="32">
        <f t="shared" si="274"/>
        <v>74624</v>
      </c>
      <c r="AF897" s="12"/>
      <c r="AG897" s="12"/>
      <c r="AH897" s="10"/>
      <c r="AI897" s="12">
        <f t="shared" si="271"/>
        <v>74624</v>
      </c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84"/>
      <c r="D898" s="60"/>
      <c r="E898" s="60"/>
      <c r="F898" s="60"/>
      <c r="G898" s="60"/>
      <c r="H898" s="61"/>
      <c r="I898" s="61"/>
      <c r="J898" s="61"/>
      <c r="K898" s="61"/>
      <c r="M898" s="10">
        <v>7</v>
      </c>
      <c r="N898" s="30" t="s">
        <v>86</v>
      </c>
      <c r="O898" s="31">
        <f t="shared" si="272"/>
        <v>10250</v>
      </c>
      <c r="P898" s="32">
        <f>670</f>
        <v>670</v>
      </c>
      <c r="Q898" s="32"/>
      <c r="R898" s="32"/>
      <c r="S898" s="32">
        <f t="shared" si="268"/>
        <v>670</v>
      </c>
      <c r="T898" s="12"/>
      <c r="U898" s="12"/>
      <c r="V898" s="12"/>
      <c r="W898" s="12">
        <f t="shared" si="269"/>
        <v>670</v>
      </c>
      <c r="Y898" s="10">
        <v>7</v>
      </c>
      <c r="Z898" s="30" t="s">
        <v>86</v>
      </c>
      <c r="AA898" s="31">
        <f t="shared" si="273"/>
        <v>10255</v>
      </c>
      <c r="AB898" s="32">
        <f>650*10+670</f>
        <v>7170</v>
      </c>
      <c r="AC898" s="32"/>
      <c r="AD898" s="32"/>
      <c r="AE898" s="32">
        <f>SUM(AB898:AC898)</f>
        <v>7170</v>
      </c>
      <c r="AF898" s="12"/>
      <c r="AG898" s="58"/>
      <c r="AH898" s="12">
        <v>-1221</v>
      </c>
      <c r="AI898" s="12">
        <f t="shared" si="271"/>
        <v>5949</v>
      </c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84"/>
      <c r="D899" s="60"/>
      <c r="E899" s="60"/>
      <c r="F899" s="60"/>
      <c r="G899" s="60"/>
      <c r="H899" s="61"/>
      <c r="I899" s="61"/>
      <c r="J899" s="61"/>
      <c r="K899" s="61"/>
      <c r="M899" s="10">
        <v>8</v>
      </c>
      <c r="N899" s="30"/>
      <c r="O899" s="11" t="s">
        <v>27</v>
      </c>
      <c r="P899" s="32"/>
      <c r="Q899" s="32"/>
      <c r="R899" s="32"/>
      <c r="S899" s="32">
        <f t="shared" si="268"/>
        <v>0</v>
      </c>
      <c r="T899" s="12"/>
      <c r="U899" s="12"/>
      <c r="V899" s="12"/>
      <c r="W899" s="12">
        <f t="shared" si="269"/>
        <v>0</v>
      </c>
      <c r="Y899" s="10">
        <v>8</v>
      </c>
      <c r="Z899" s="30" t="s">
        <v>86</v>
      </c>
      <c r="AA899" s="31">
        <f t="shared" si="273"/>
        <v>10256</v>
      </c>
      <c r="AB899" s="32">
        <f>650*5+47.5</f>
        <v>3297.5</v>
      </c>
      <c r="AC899" s="32"/>
      <c r="AE899" s="32">
        <f t="shared" ref="AE899:AE930" si="275">SUM(AB899:AC899)</f>
        <v>3297.5</v>
      </c>
      <c r="AF899" s="12"/>
      <c r="AG899" s="12"/>
      <c r="AH899" s="12"/>
      <c r="AI899" s="12">
        <f t="shared" si="271"/>
        <v>3297.5</v>
      </c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84"/>
      <c r="D900" s="60"/>
      <c r="E900" s="60"/>
      <c r="F900" s="60"/>
      <c r="G900" s="60"/>
      <c r="H900" s="61"/>
      <c r="I900" s="61"/>
      <c r="J900" s="61"/>
      <c r="K900" s="61"/>
      <c r="M900" s="10">
        <v>9</v>
      </c>
      <c r="N900" s="30"/>
      <c r="O900" s="31"/>
      <c r="P900" s="32"/>
      <c r="Q900" s="32"/>
      <c r="R900" s="32"/>
      <c r="S900" s="32">
        <f t="shared" si="268"/>
        <v>0</v>
      </c>
      <c r="T900" s="12"/>
      <c r="U900" s="12"/>
      <c r="V900" s="12"/>
      <c r="W900" s="12">
        <f t="shared" si="269"/>
        <v>0</v>
      </c>
      <c r="Y900" s="10">
        <v>9</v>
      </c>
      <c r="Z900" s="30" t="s">
        <v>86</v>
      </c>
      <c r="AA900" s="31">
        <f t="shared" si="273"/>
        <v>10257</v>
      </c>
      <c r="AB900" s="32">
        <f>650*8</f>
        <v>5200</v>
      </c>
      <c r="AC900" s="32"/>
      <c r="AD900" s="32"/>
      <c r="AE900" s="32">
        <f t="shared" si="275"/>
        <v>5200</v>
      </c>
      <c r="AF900" s="12"/>
      <c r="AH900" s="12">
        <v>-1332</v>
      </c>
      <c r="AI900" s="12">
        <f t="shared" si="271"/>
        <v>3868</v>
      </c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84"/>
      <c r="D901" s="60"/>
      <c r="E901" s="60"/>
      <c r="F901" s="60"/>
      <c r="G901" s="60"/>
      <c r="H901" s="61"/>
      <c r="I901" s="61"/>
      <c r="J901" s="61"/>
      <c r="K901" s="61"/>
      <c r="M901" s="10">
        <v>10</v>
      </c>
      <c r="N901" s="30"/>
      <c r="O901" s="31"/>
      <c r="P901" s="32"/>
      <c r="Q901" s="32"/>
      <c r="R901" s="32"/>
      <c r="S901" s="32">
        <f t="shared" si="268"/>
        <v>0</v>
      </c>
      <c r="T901" s="12"/>
      <c r="U901" s="12"/>
      <c r="V901" s="12"/>
      <c r="W901" s="12">
        <f t="shared" si="269"/>
        <v>0</v>
      </c>
      <c r="Y901" s="10">
        <v>10</v>
      </c>
      <c r="Z901" s="30"/>
      <c r="AA901" s="11" t="s">
        <v>27</v>
      </c>
      <c r="AB901" s="32"/>
      <c r="AC901" s="32"/>
      <c r="AD901" s="32"/>
      <c r="AE901" s="32">
        <f t="shared" si="275"/>
        <v>0</v>
      </c>
      <c r="AF901" s="12"/>
      <c r="AG901" s="12"/>
      <c r="AH901" s="12"/>
      <c r="AI901" s="12">
        <f t="shared" si="271"/>
        <v>0</v>
      </c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84"/>
      <c r="D902" s="60"/>
      <c r="E902" s="60"/>
      <c r="F902" s="60"/>
      <c r="G902" s="60"/>
      <c r="H902" s="61"/>
      <c r="I902" s="61"/>
      <c r="J902" s="61"/>
      <c r="K902" s="61"/>
      <c r="M902" s="10">
        <v>11</v>
      </c>
      <c r="N902" s="30"/>
      <c r="O902" s="31"/>
      <c r="P902" s="32"/>
      <c r="Q902" s="32"/>
      <c r="R902" s="32"/>
      <c r="S902" s="32">
        <f t="shared" si="268"/>
        <v>0</v>
      </c>
      <c r="T902" s="12"/>
      <c r="U902" s="12"/>
      <c r="V902" s="12"/>
      <c r="W902" s="12">
        <f t="shared" si="269"/>
        <v>0</v>
      </c>
      <c r="Y902" s="10">
        <v>11</v>
      </c>
      <c r="Z902" s="30"/>
      <c r="AA902" s="31"/>
      <c r="AB902" s="32"/>
      <c r="AC902" s="32"/>
      <c r="AD902" s="32"/>
      <c r="AE902" s="32">
        <f t="shared" si="275"/>
        <v>0</v>
      </c>
      <c r="AF902" s="12"/>
      <c r="AG902" s="12"/>
      <c r="AH902" s="12"/>
      <c r="AI902" s="12">
        <f t="shared" si="271"/>
        <v>0</v>
      </c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84"/>
      <c r="D903" s="60"/>
      <c r="E903" s="60"/>
      <c r="F903" s="60"/>
      <c r="G903" s="60"/>
      <c r="H903" s="61"/>
      <c r="I903" s="61"/>
      <c r="J903" s="62"/>
      <c r="K903" s="61"/>
      <c r="M903" s="10">
        <v>12</v>
      </c>
      <c r="N903" s="30"/>
      <c r="O903" s="31"/>
      <c r="P903" s="32"/>
      <c r="Q903" s="32"/>
      <c r="R903" s="32"/>
      <c r="S903" s="32">
        <f t="shared" si="268"/>
        <v>0</v>
      </c>
      <c r="T903" s="12"/>
      <c r="U903" s="12"/>
      <c r="V903" s="12"/>
      <c r="W903" s="12">
        <f t="shared" si="269"/>
        <v>0</v>
      </c>
      <c r="Y903" s="10">
        <v>12</v>
      </c>
      <c r="Z903" s="30"/>
      <c r="AA903" s="31"/>
      <c r="AB903" s="32"/>
      <c r="AC903" s="32"/>
      <c r="AD903" s="32"/>
      <c r="AE903" s="32">
        <f t="shared" si="275"/>
        <v>0</v>
      </c>
      <c r="AF903" s="12"/>
      <c r="AG903" s="12"/>
      <c r="AH903" s="12"/>
      <c r="AI903" s="12">
        <f t="shared" si="271"/>
        <v>0</v>
      </c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65"/>
      <c r="D904" s="60"/>
      <c r="E904" s="60"/>
      <c r="F904" s="60"/>
      <c r="G904" s="60"/>
      <c r="H904" s="61"/>
      <c r="I904" s="61"/>
      <c r="J904" s="61"/>
      <c r="K904" s="61"/>
      <c r="M904" s="10">
        <v>13</v>
      </c>
      <c r="N904" s="30"/>
      <c r="O904" s="31"/>
      <c r="P904" s="32"/>
      <c r="Q904" s="32"/>
      <c r="R904" s="32"/>
      <c r="S904" s="32">
        <f t="shared" si="268"/>
        <v>0</v>
      </c>
      <c r="T904" s="12"/>
      <c r="U904" s="12"/>
      <c r="V904" s="12"/>
      <c r="W904" s="12">
        <f t="shared" si="269"/>
        <v>0</v>
      </c>
      <c r="Y904" s="10">
        <v>13</v>
      </c>
      <c r="Z904" s="30"/>
      <c r="AA904" s="31"/>
      <c r="AB904" s="32"/>
      <c r="AC904" s="32"/>
      <c r="AD904" s="32"/>
      <c r="AE904" s="32">
        <f t="shared" si="275"/>
        <v>0</v>
      </c>
      <c r="AF904" s="12"/>
      <c r="AG904" s="12"/>
      <c r="AH904" s="12"/>
      <c r="AI904" s="12">
        <f t="shared" si="271"/>
        <v>0</v>
      </c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84"/>
      <c r="D905" s="60"/>
      <c r="E905" s="60"/>
      <c r="F905" s="60"/>
      <c r="G905" s="60"/>
      <c r="H905" s="61"/>
      <c r="I905" s="61"/>
      <c r="J905" s="61"/>
      <c r="K905" s="61"/>
      <c r="M905" s="10">
        <v>14</v>
      </c>
      <c r="N905" s="30"/>
      <c r="O905" s="31"/>
      <c r="P905" s="32"/>
      <c r="Q905" s="32"/>
      <c r="R905" s="32"/>
      <c r="S905" s="32">
        <f t="shared" si="268"/>
        <v>0</v>
      </c>
      <c r="T905" s="12"/>
      <c r="U905" s="12"/>
      <c r="V905" s="12"/>
      <c r="W905" s="12">
        <f t="shared" si="269"/>
        <v>0</v>
      </c>
      <c r="Y905" s="10">
        <v>14</v>
      </c>
      <c r="Z905" s="30"/>
      <c r="AA905" s="31"/>
      <c r="AB905" s="32"/>
      <c r="AC905" s="32"/>
      <c r="AD905" s="32"/>
      <c r="AE905" s="32">
        <f t="shared" si="275"/>
        <v>0</v>
      </c>
      <c r="AF905" s="12"/>
      <c r="AG905" s="12"/>
      <c r="AH905" s="12"/>
      <c r="AI905" s="12">
        <f t="shared" si="271"/>
        <v>0</v>
      </c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84"/>
      <c r="D906" s="60"/>
      <c r="E906" s="60"/>
      <c r="F906" s="60"/>
      <c r="G906" s="60"/>
      <c r="H906" s="61"/>
      <c r="I906" s="61"/>
      <c r="J906" s="61"/>
      <c r="K906" s="61"/>
      <c r="M906" s="10">
        <v>15</v>
      </c>
      <c r="N906" s="30"/>
      <c r="O906" s="31"/>
      <c r="P906" s="32"/>
      <c r="Q906" s="32"/>
      <c r="R906" s="32"/>
      <c r="S906" s="32">
        <f t="shared" si="268"/>
        <v>0</v>
      </c>
      <c r="T906" s="12"/>
      <c r="U906" s="12"/>
      <c r="V906" s="12"/>
      <c r="W906" s="12">
        <f t="shared" si="269"/>
        <v>0</v>
      </c>
      <c r="Y906" s="10">
        <v>15</v>
      </c>
      <c r="Z906" s="30"/>
      <c r="AA906" s="31"/>
      <c r="AB906" s="32"/>
      <c r="AC906" s="32"/>
      <c r="AD906" s="32"/>
      <c r="AE906" s="32">
        <f t="shared" si="275"/>
        <v>0</v>
      </c>
      <c r="AF906" s="12"/>
      <c r="AG906" s="12"/>
      <c r="AH906" s="12"/>
      <c r="AI906" s="12">
        <f t="shared" si="271"/>
        <v>0</v>
      </c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65"/>
      <c r="D907" s="60"/>
      <c r="E907" s="60"/>
      <c r="F907" s="60"/>
      <c r="G907" s="60"/>
      <c r="H907" s="61"/>
      <c r="I907" s="61"/>
      <c r="J907" s="61"/>
      <c r="K907" s="61"/>
      <c r="M907" s="10">
        <v>16</v>
      </c>
      <c r="N907" s="30"/>
      <c r="O907" s="11"/>
      <c r="P907" s="32"/>
      <c r="Q907" s="32"/>
      <c r="R907" s="32"/>
      <c r="S907" s="32">
        <f t="shared" si="268"/>
        <v>0</v>
      </c>
      <c r="T907" s="12"/>
      <c r="U907" s="12"/>
      <c r="V907" s="12"/>
      <c r="W907" s="12">
        <f t="shared" si="269"/>
        <v>0</v>
      </c>
      <c r="Y907" s="10">
        <v>16</v>
      </c>
      <c r="AA907" s="11"/>
      <c r="AB907" s="32"/>
      <c r="AC907" s="32"/>
      <c r="AD907" s="32"/>
      <c r="AE907" s="32">
        <f t="shared" si="275"/>
        <v>0</v>
      </c>
      <c r="AF907" s="12"/>
      <c r="AG907" s="12"/>
      <c r="AH907" s="12"/>
      <c r="AI907" s="12">
        <f t="shared" si="271"/>
        <v>0</v>
      </c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84"/>
      <c r="D908" s="60"/>
      <c r="E908" s="60"/>
      <c r="F908" s="60"/>
      <c r="G908" s="60"/>
      <c r="H908" s="61"/>
      <c r="I908" s="61"/>
      <c r="J908" s="61"/>
      <c r="K908" s="61"/>
      <c r="M908" s="10">
        <v>17</v>
      </c>
      <c r="N908" s="30"/>
      <c r="O908" s="31"/>
      <c r="P908" s="35"/>
      <c r="Q908" s="32"/>
      <c r="R908" s="32"/>
      <c r="S908" s="32">
        <f t="shared" si="268"/>
        <v>0</v>
      </c>
      <c r="T908" s="12"/>
      <c r="U908" s="12"/>
      <c r="V908" s="12"/>
      <c r="W908" s="12">
        <f t="shared" si="269"/>
        <v>0</v>
      </c>
      <c r="Y908" s="10">
        <v>17</v>
      </c>
      <c r="Z908" s="30"/>
      <c r="AA908" s="31"/>
      <c r="AB908" s="35"/>
      <c r="AC908" s="32"/>
      <c r="AD908" s="32"/>
      <c r="AE908" s="32">
        <f t="shared" si="275"/>
        <v>0</v>
      </c>
      <c r="AF908" s="12"/>
      <c r="AG908" s="12"/>
      <c r="AH908" s="12"/>
      <c r="AI908" s="12">
        <f t="shared" si="271"/>
        <v>0</v>
      </c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84"/>
      <c r="D909" s="60"/>
      <c r="E909" s="60"/>
      <c r="F909" s="60"/>
      <c r="G909" s="60"/>
      <c r="H909" s="61"/>
      <c r="I909" s="61"/>
      <c r="J909" s="61"/>
      <c r="K909" s="61"/>
      <c r="M909" s="10">
        <v>18</v>
      </c>
      <c r="N909" s="30"/>
      <c r="P909" s="32"/>
      <c r="Q909" s="32"/>
      <c r="R909" s="32"/>
      <c r="S909" s="32">
        <f t="shared" si="268"/>
        <v>0</v>
      </c>
      <c r="T909" s="12"/>
      <c r="U909" s="12"/>
      <c r="V909" s="12"/>
      <c r="W909" s="12">
        <f t="shared" si="269"/>
        <v>0</v>
      </c>
      <c r="Y909" s="10">
        <v>18</v>
      </c>
      <c r="Z909" s="30"/>
      <c r="AA909" s="31"/>
      <c r="AB909" s="32"/>
      <c r="AC909" s="32"/>
      <c r="AD909" s="32"/>
      <c r="AE909" s="32">
        <f t="shared" si="275"/>
        <v>0</v>
      </c>
      <c r="AF909" s="12"/>
      <c r="AG909" s="12"/>
      <c r="AH909" s="12"/>
      <c r="AI909" s="12">
        <f t="shared" si="271"/>
        <v>0</v>
      </c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84"/>
      <c r="D910" s="60"/>
      <c r="E910" s="60"/>
      <c r="F910" s="60"/>
      <c r="G910" s="60"/>
      <c r="H910" s="61"/>
      <c r="I910" s="61"/>
      <c r="J910" s="61"/>
      <c r="K910" s="61"/>
      <c r="M910" s="10">
        <v>19</v>
      </c>
      <c r="N910" s="30"/>
      <c r="O910" s="31"/>
      <c r="P910" s="32"/>
      <c r="Q910" s="32"/>
      <c r="R910" s="32"/>
      <c r="S910" s="32">
        <f t="shared" si="268"/>
        <v>0</v>
      </c>
      <c r="T910" s="12"/>
      <c r="U910" s="12"/>
      <c r="V910" s="12"/>
      <c r="W910" s="12">
        <f t="shared" si="269"/>
        <v>0</v>
      </c>
      <c r="Y910" s="10">
        <v>19</v>
      </c>
      <c r="Z910" s="30"/>
      <c r="AA910" s="31"/>
      <c r="AB910" s="32"/>
      <c r="AC910" s="32"/>
      <c r="AD910" s="32"/>
      <c r="AE910" s="32">
        <f t="shared" si="275"/>
        <v>0</v>
      </c>
      <c r="AF910" s="12"/>
      <c r="AG910" s="12"/>
      <c r="AH910" s="12"/>
      <c r="AI910" s="12">
        <f t="shared" si="271"/>
        <v>0</v>
      </c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84"/>
      <c r="D911" s="60"/>
      <c r="E911" s="60"/>
      <c r="F911" s="60"/>
      <c r="G911" s="60"/>
      <c r="H911" s="61"/>
      <c r="I911" s="61"/>
      <c r="J911" s="61"/>
      <c r="K911" s="61"/>
      <c r="M911" s="10">
        <v>20</v>
      </c>
      <c r="N911" s="30"/>
      <c r="O911" s="31"/>
      <c r="P911" s="32"/>
      <c r="Q911" s="32"/>
      <c r="R911" s="32"/>
      <c r="S911" s="32">
        <f t="shared" si="268"/>
        <v>0</v>
      </c>
      <c r="T911" s="12"/>
      <c r="U911" s="12"/>
      <c r="V911" s="12"/>
      <c r="W911" s="12">
        <f t="shared" si="269"/>
        <v>0</v>
      </c>
      <c r="Y911" s="10">
        <v>20</v>
      </c>
      <c r="Z911" s="30"/>
      <c r="AB911" s="32"/>
      <c r="AC911" s="32"/>
      <c r="AD911" s="32"/>
      <c r="AE911" s="32">
        <f t="shared" si="275"/>
        <v>0</v>
      </c>
      <c r="AF911" s="12"/>
      <c r="AG911" s="12"/>
      <c r="AH911" s="12"/>
      <c r="AI911" s="12">
        <f t="shared" si="271"/>
        <v>0</v>
      </c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91"/>
      <c r="D912" s="60"/>
      <c r="E912" s="60"/>
      <c r="F912" s="60"/>
      <c r="G912" s="60"/>
      <c r="H912" s="62"/>
      <c r="I912" s="62"/>
      <c r="J912" s="62"/>
      <c r="K912" s="61"/>
      <c r="M912" s="10">
        <v>21</v>
      </c>
      <c r="N912" s="30"/>
      <c r="O912" s="11"/>
      <c r="P912" s="46"/>
      <c r="Q912" s="31"/>
      <c r="R912" s="31"/>
      <c r="S912" s="32">
        <f t="shared" si="268"/>
        <v>0</v>
      </c>
      <c r="T912" s="10"/>
      <c r="U912" s="10"/>
      <c r="V912" s="10"/>
      <c r="W912" s="12">
        <f t="shared" si="269"/>
        <v>0</v>
      </c>
      <c r="Y912" s="10">
        <v>21</v>
      </c>
      <c r="Z912" s="30"/>
      <c r="AA912" s="31"/>
      <c r="AB912" s="46"/>
      <c r="AC912" s="31"/>
      <c r="AD912" s="31"/>
      <c r="AE912" s="32">
        <f t="shared" si="275"/>
        <v>0</v>
      </c>
      <c r="AF912" s="10"/>
      <c r="AG912" s="10"/>
      <c r="AH912" s="10"/>
      <c r="AI912" s="12">
        <f t="shared" si="271"/>
        <v>0</v>
      </c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91"/>
      <c r="D913" s="60"/>
      <c r="E913" s="60"/>
      <c r="F913" s="60"/>
      <c r="G913" s="60"/>
      <c r="H913" s="62"/>
      <c r="I913" s="62"/>
      <c r="J913" s="62"/>
      <c r="K913" s="61"/>
      <c r="M913" s="10">
        <v>22</v>
      </c>
      <c r="N913" s="30"/>
      <c r="O913" s="31"/>
      <c r="P913" s="45"/>
      <c r="Q913" s="31"/>
      <c r="R913" s="31"/>
      <c r="S913" s="32">
        <f t="shared" si="268"/>
        <v>0</v>
      </c>
      <c r="T913" s="10"/>
      <c r="U913" s="10"/>
      <c r="V913" s="10"/>
      <c r="W913" s="12">
        <f t="shared" si="269"/>
        <v>0</v>
      </c>
      <c r="Y913" s="10">
        <v>22</v>
      </c>
      <c r="Z913" s="30"/>
      <c r="AA913" s="31"/>
      <c r="AB913" s="45"/>
      <c r="AC913" s="31"/>
      <c r="AD913" s="31"/>
      <c r="AE913" s="32">
        <f t="shared" si="275"/>
        <v>0</v>
      </c>
      <c r="AF913" s="10"/>
      <c r="AG913" s="10"/>
      <c r="AH913" s="10"/>
      <c r="AI913" s="12">
        <f t="shared" si="271"/>
        <v>0</v>
      </c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84"/>
      <c r="D914" s="60"/>
      <c r="E914" s="60"/>
      <c r="F914" s="60"/>
      <c r="G914" s="60"/>
      <c r="H914" s="62"/>
      <c r="I914" s="62"/>
      <c r="J914" s="61"/>
      <c r="K914" s="61"/>
      <c r="M914" s="10">
        <v>23</v>
      </c>
      <c r="N914" s="30"/>
      <c r="O914" s="31"/>
      <c r="P914" s="47"/>
      <c r="S914" s="32">
        <f t="shared" si="268"/>
        <v>0</v>
      </c>
      <c r="T914" s="10"/>
      <c r="U914" s="10"/>
      <c r="V914" s="10"/>
      <c r="W914" s="12">
        <f t="shared" si="269"/>
        <v>0</v>
      </c>
      <c r="Y914" s="10">
        <v>23</v>
      </c>
      <c r="Z914" s="30"/>
      <c r="AA914" s="31"/>
      <c r="AB914" s="47"/>
      <c r="AC914" s="31"/>
      <c r="AE914" s="32">
        <f t="shared" si="275"/>
        <v>0</v>
      </c>
      <c r="AF914" s="10"/>
      <c r="AG914" s="10"/>
      <c r="AH914" s="10"/>
      <c r="AI914" s="12">
        <f t="shared" si="271"/>
        <v>0</v>
      </c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84"/>
      <c r="D915" s="60"/>
      <c r="E915" s="60"/>
      <c r="F915" s="60"/>
      <c r="G915" s="60"/>
      <c r="H915" s="62"/>
      <c r="I915" s="62"/>
      <c r="J915" s="62"/>
      <c r="K915" s="61"/>
      <c r="M915" s="10">
        <v>24</v>
      </c>
      <c r="N915" s="30"/>
      <c r="O915" s="31"/>
      <c r="P915" s="47"/>
      <c r="Q915" s="31"/>
      <c r="R915" s="31"/>
      <c r="S915" s="32">
        <f t="shared" si="268"/>
        <v>0</v>
      </c>
      <c r="T915" s="10"/>
      <c r="U915" s="10"/>
      <c r="V915" s="10"/>
      <c r="W915" s="12">
        <f t="shared" si="269"/>
        <v>0</v>
      </c>
      <c r="Y915" s="10">
        <v>24</v>
      </c>
      <c r="Z915" s="30"/>
      <c r="AA915" s="31"/>
      <c r="AB915" s="47"/>
      <c r="AC915" s="31"/>
      <c r="AD915" s="31"/>
      <c r="AE915" s="32">
        <f t="shared" si="275"/>
        <v>0</v>
      </c>
      <c r="AF915" s="10"/>
      <c r="AG915" s="10"/>
      <c r="AH915" s="10"/>
      <c r="AI915" s="12">
        <f t="shared" si="271"/>
        <v>0</v>
      </c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84"/>
      <c r="D916" s="60"/>
      <c r="E916" s="60"/>
      <c r="F916" s="60"/>
      <c r="G916" s="60"/>
      <c r="H916" s="62"/>
      <c r="I916" s="62"/>
      <c r="J916" s="62"/>
      <c r="K916" s="61"/>
      <c r="M916" s="10">
        <v>25</v>
      </c>
      <c r="N916" s="30"/>
      <c r="O916" s="31"/>
      <c r="P916" s="47"/>
      <c r="Q916" s="31"/>
      <c r="R916" s="31"/>
      <c r="S916" s="32">
        <f t="shared" si="268"/>
        <v>0</v>
      </c>
      <c r="T916" s="10"/>
      <c r="U916" s="10"/>
      <c r="V916" s="10"/>
      <c r="W916" s="12">
        <f t="shared" si="269"/>
        <v>0</v>
      </c>
      <c r="Y916" s="10">
        <v>25</v>
      </c>
      <c r="Z916" s="30"/>
      <c r="AA916" s="31"/>
      <c r="AB916" s="47"/>
      <c r="AC916" s="31"/>
      <c r="AD916" s="31"/>
      <c r="AE916" s="32">
        <f t="shared" si="275"/>
        <v>0</v>
      </c>
      <c r="AF916" s="10"/>
      <c r="AG916" s="10"/>
      <c r="AH916" s="10"/>
      <c r="AI916" s="12">
        <f t="shared" si="271"/>
        <v>0</v>
      </c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84"/>
      <c r="D917" s="60"/>
      <c r="E917" s="60"/>
      <c r="F917" s="60"/>
      <c r="G917" s="60"/>
      <c r="H917" s="62"/>
      <c r="I917" s="62"/>
      <c r="J917" s="62"/>
      <c r="K917" s="61"/>
      <c r="M917" s="10">
        <v>26</v>
      </c>
      <c r="N917" s="30"/>
      <c r="O917" s="11"/>
      <c r="P917" s="47"/>
      <c r="Q917" s="31"/>
      <c r="R917" s="31"/>
      <c r="S917" s="32">
        <f t="shared" si="268"/>
        <v>0</v>
      </c>
      <c r="T917" s="10"/>
      <c r="U917" s="10"/>
      <c r="V917" s="10"/>
      <c r="W917" s="12">
        <f t="shared" si="269"/>
        <v>0</v>
      </c>
      <c r="Y917" s="10">
        <v>26</v>
      </c>
      <c r="Z917" s="30"/>
      <c r="AA917" s="31"/>
      <c r="AB917" s="47"/>
      <c r="AC917" s="31"/>
      <c r="AD917" s="31"/>
      <c r="AE917" s="32">
        <f t="shared" si="275"/>
        <v>0</v>
      </c>
      <c r="AF917" s="10"/>
      <c r="AG917" s="10"/>
      <c r="AH917" s="10"/>
      <c r="AI917" s="12">
        <f t="shared" si="271"/>
        <v>0</v>
      </c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84"/>
      <c r="D918" s="60"/>
      <c r="E918" s="60"/>
      <c r="F918" s="60"/>
      <c r="G918" s="60"/>
      <c r="H918" s="62"/>
      <c r="I918" s="62"/>
      <c r="J918" s="62"/>
      <c r="K918" s="61"/>
      <c r="M918" s="10">
        <v>27</v>
      </c>
      <c r="N918" s="30"/>
      <c r="O918" s="31"/>
      <c r="P918" s="47"/>
      <c r="Q918" s="31"/>
      <c r="R918" s="31"/>
      <c r="S918" s="32">
        <f t="shared" si="268"/>
        <v>0</v>
      </c>
      <c r="T918" s="10"/>
      <c r="U918" s="10"/>
      <c r="V918" s="10"/>
      <c r="W918" s="12">
        <f t="shared" si="269"/>
        <v>0</v>
      </c>
      <c r="Y918" s="10">
        <v>27</v>
      </c>
      <c r="Z918" s="30"/>
      <c r="AA918" s="31"/>
      <c r="AB918" s="47"/>
      <c r="AC918" s="31"/>
      <c r="AD918" s="31"/>
      <c r="AE918" s="32">
        <f t="shared" si="275"/>
        <v>0</v>
      </c>
      <c r="AF918" s="10"/>
      <c r="AG918" s="10"/>
      <c r="AH918" s="10"/>
      <c r="AI918" s="12">
        <f t="shared" si="271"/>
        <v>0</v>
      </c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84"/>
      <c r="D919" s="60"/>
      <c r="E919" s="60"/>
      <c r="F919" s="60"/>
      <c r="G919" s="60"/>
      <c r="H919" s="62"/>
      <c r="I919" s="62"/>
      <c r="J919" s="62"/>
      <c r="K919" s="61"/>
      <c r="M919" s="10">
        <v>28</v>
      </c>
      <c r="N919" s="30"/>
      <c r="O919" s="31"/>
      <c r="P919" s="47"/>
      <c r="Q919" s="31"/>
      <c r="R919" s="31"/>
      <c r="S919" s="32">
        <f t="shared" si="268"/>
        <v>0</v>
      </c>
      <c r="T919" s="10"/>
      <c r="U919" s="10"/>
      <c r="V919" s="10"/>
      <c r="W919" s="12">
        <f t="shared" si="269"/>
        <v>0</v>
      </c>
      <c r="Y919" s="10">
        <v>28</v>
      </c>
      <c r="Z919" s="30"/>
      <c r="AA919" s="31"/>
      <c r="AB919" s="47"/>
      <c r="AC919" s="31"/>
      <c r="AD919" s="31"/>
      <c r="AE919" s="32">
        <f t="shared" si="275"/>
        <v>0</v>
      </c>
      <c r="AF919" s="10"/>
      <c r="AG919" s="10"/>
      <c r="AH919" s="10"/>
      <c r="AI919" s="12">
        <f t="shared" si="271"/>
        <v>0</v>
      </c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84"/>
      <c r="D920" s="60"/>
      <c r="E920" s="60"/>
      <c r="F920" s="60"/>
      <c r="G920" s="60"/>
      <c r="H920" s="62"/>
      <c r="I920" s="62"/>
      <c r="J920" s="62"/>
      <c r="K920" s="61"/>
      <c r="M920" s="10">
        <v>29</v>
      </c>
      <c r="N920" s="30"/>
      <c r="O920" s="31"/>
      <c r="P920" s="47"/>
      <c r="Q920" s="31"/>
      <c r="R920" s="31"/>
      <c r="S920" s="32">
        <f t="shared" si="268"/>
        <v>0</v>
      </c>
      <c r="T920" s="10"/>
      <c r="U920" s="10"/>
      <c r="V920" s="10"/>
      <c r="W920" s="12">
        <f t="shared" si="269"/>
        <v>0</v>
      </c>
      <c r="Y920" s="10">
        <v>29</v>
      </c>
      <c r="Z920" s="30"/>
      <c r="AA920" s="31"/>
      <c r="AB920" s="47"/>
      <c r="AC920" s="31"/>
      <c r="AD920" s="31"/>
      <c r="AE920" s="32">
        <f t="shared" si="275"/>
        <v>0</v>
      </c>
      <c r="AF920" s="10"/>
      <c r="AG920" s="10"/>
      <c r="AH920" s="10"/>
      <c r="AI920" s="12">
        <f t="shared" si="271"/>
        <v>0</v>
      </c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84"/>
      <c r="D921" s="60"/>
      <c r="E921" s="60"/>
      <c r="F921" s="60"/>
      <c r="G921" s="60"/>
      <c r="H921" s="62"/>
      <c r="I921" s="62"/>
      <c r="J921" s="62"/>
      <c r="K921" s="61"/>
      <c r="M921" s="10">
        <v>30</v>
      </c>
      <c r="N921" s="30"/>
      <c r="O921" s="31"/>
      <c r="P921" s="47"/>
      <c r="Q921" s="31"/>
      <c r="R921" s="31"/>
      <c r="S921" s="32">
        <f t="shared" si="268"/>
        <v>0</v>
      </c>
      <c r="T921" s="10"/>
      <c r="U921" s="10"/>
      <c r="V921" s="10"/>
      <c r="W921" s="12">
        <f t="shared" si="269"/>
        <v>0</v>
      </c>
      <c r="Y921" s="10">
        <v>30</v>
      </c>
      <c r="Z921" s="30"/>
      <c r="AA921" s="31"/>
      <c r="AB921" s="47"/>
      <c r="AC921" s="31"/>
      <c r="AD921" s="31"/>
      <c r="AE921" s="32">
        <f t="shared" si="275"/>
        <v>0</v>
      </c>
      <c r="AF921" s="10"/>
      <c r="AG921" s="10"/>
      <c r="AH921" s="10"/>
      <c r="AI921" s="12">
        <f t="shared" si="271"/>
        <v>0</v>
      </c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84"/>
      <c r="D922" s="60"/>
      <c r="E922" s="60"/>
      <c r="F922" s="60"/>
      <c r="G922" s="60"/>
      <c r="H922" s="62"/>
      <c r="I922" s="62"/>
      <c r="J922" s="62"/>
      <c r="K922" s="61"/>
      <c r="M922" s="10">
        <v>31</v>
      </c>
      <c r="N922" s="30"/>
      <c r="O922" s="31"/>
      <c r="P922" s="47"/>
      <c r="Q922" s="31"/>
      <c r="R922" s="31"/>
      <c r="S922" s="32">
        <f t="shared" si="268"/>
        <v>0</v>
      </c>
      <c r="T922" s="10"/>
      <c r="U922" s="10"/>
      <c r="V922" s="10"/>
      <c r="W922" s="12">
        <f t="shared" si="269"/>
        <v>0</v>
      </c>
      <c r="Y922" s="10">
        <v>31</v>
      </c>
      <c r="Z922" s="30"/>
      <c r="AA922" s="31"/>
      <c r="AB922" s="47"/>
      <c r="AC922" s="31"/>
      <c r="AD922" s="31"/>
      <c r="AE922" s="32">
        <f t="shared" si="275"/>
        <v>0</v>
      </c>
      <c r="AF922" s="10"/>
      <c r="AG922" s="10"/>
      <c r="AH922" s="10"/>
      <c r="AI922" s="12">
        <f t="shared" si="271"/>
        <v>0</v>
      </c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84"/>
      <c r="D923" s="60"/>
      <c r="E923" s="60"/>
      <c r="F923" s="60"/>
      <c r="G923" s="60"/>
      <c r="H923" s="62"/>
      <c r="I923" s="62"/>
      <c r="J923" s="62"/>
      <c r="K923" s="61"/>
      <c r="M923" s="10">
        <v>32</v>
      </c>
      <c r="N923" s="30"/>
      <c r="O923" s="31"/>
      <c r="P923" s="47"/>
      <c r="Q923" s="31"/>
      <c r="R923" s="31"/>
      <c r="S923" s="32">
        <f t="shared" si="268"/>
        <v>0</v>
      </c>
      <c r="T923" s="10"/>
      <c r="U923" s="10"/>
      <c r="V923" s="10"/>
      <c r="W923" s="12">
        <f t="shared" si="269"/>
        <v>0</v>
      </c>
      <c r="Y923" s="10">
        <v>32</v>
      </c>
      <c r="Z923" s="30"/>
      <c r="AA923" s="31"/>
      <c r="AB923" s="47"/>
      <c r="AC923" s="31"/>
      <c r="AD923" s="31"/>
      <c r="AE923" s="32">
        <f t="shared" si="275"/>
        <v>0</v>
      </c>
      <c r="AF923" s="10"/>
      <c r="AG923" s="10"/>
      <c r="AH923" s="10"/>
      <c r="AI923" s="12">
        <f t="shared" si="271"/>
        <v>0</v>
      </c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84"/>
      <c r="D924" s="60"/>
      <c r="E924" s="60"/>
      <c r="F924" s="60"/>
      <c r="G924" s="60"/>
      <c r="H924" s="62"/>
      <c r="I924" s="62"/>
      <c r="J924" s="62"/>
      <c r="K924" s="61"/>
      <c r="M924" s="10">
        <v>33</v>
      </c>
      <c r="N924" s="30"/>
      <c r="O924" s="31"/>
      <c r="P924" s="47"/>
      <c r="Q924" s="31"/>
      <c r="R924" s="31"/>
      <c r="S924" s="32">
        <f t="shared" si="268"/>
        <v>0</v>
      </c>
      <c r="T924" s="10"/>
      <c r="U924" s="10"/>
      <c r="V924" s="10"/>
      <c r="W924" s="12">
        <f t="shared" si="269"/>
        <v>0</v>
      </c>
      <c r="Y924" s="10">
        <v>33</v>
      </c>
      <c r="Z924" s="30"/>
      <c r="AA924" s="31"/>
      <c r="AB924" s="47"/>
      <c r="AC924" s="31"/>
      <c r="AD924" s="31"/>
      <c r="AE924" s="32">
        <f t="shared" si="275"/>
        <v>0</v>
      </c>
      <c r="AF924" s="10"/>
      <c r="AG924" s="10"/>
      <c r="AH924" s="10"/>
      <c r="AI924" s="12">
        <f t="shared" si="271"/>
        <v>0</v>
      </c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84"/>
      <c r="D925" s="60"/>
      <c r="E925" s="60"/>
      <c r="F925" s="60"/>
      <c r="G925" s="60"/>
      <c r="H925" s="62"/>
      <c r="I925" s="62"/>
      <c r="J925" s="62"/>
      <c r="K925" s="61"/>
      <c r="M925" s="10">
        <v>34</v>
      </c>
      <c r="N925" s="30"/>
      <c r="O925" s="31"/>
      <c r="P925" s="47"/>
      <c r="Q925" s="31"/>
      <c r="R925" s="31"/>
      <c r="S925" s="32">
        <f t="shared" si="268"/>
        <v>0</v>
      </c>
      <c r="T925" s="10"/>
      <c r="U925" s="10"/>
      <c r="V925" s="10"/>
      <c r="W925" s="12">
        <f t="shared" si="269"/>
        <v>0</v>
      </c>
      <c r="Y925" s="10">
        <v>34</v>
      </c>
      <c r="Z925" s="30"/>
      <c r="AA925" s="31"/>
      <c r="AB925" s="47"/>
      <c r="AC925" s="31"/>
      <c r="AD925" s="31"/>
      <c r="AE925" s="32">
        <f t="shared" si="275"/>
        <v>0</v>
      </c>
      <c r="AF925" s="10"/>
      <c r="AG925" s="10"/>
      <c r="AH925" s="10"/>
      <c r="AI925" s="12">
        <f t="shared" ref="AI925:AI933" si="276">SUM(AE925:AH925)</f>
        <v>0</v>
      </c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84"/>
      <c r="D926" s="60"/>
      <c r="E926" s="60"/>
      <c r="F926" s="60"/>
      <c r="G926" s="60"/>
      <c r="H926" s="62"/>
      <c r="I926" s="62"/>
      <c r="J926" s="62"/>
      <c r="K926" s="61"/>
      <c r="M926" s="10">
        <v>35</v>
      </c>
      <c r="N926" s="30"/>
      <c r="O926" s="31"/>
      <c r="P926" s="47"/>
      <c r="Q926" s="31"/>
      <c r="R926" s="31"/>
      <c r="S926" s="32">
        <f t="shared" si="268"/>
        <v>0</v>
      </c>
      <c r="T926" s="10"/>
      <c r="U926" s="10"/>
      <c r="V926" s="10"/>
      <c r="W926" s="12">
        <f t="shared" si="269"/>
        <v>0</v>
      </c>
      <c r="Y926" s="10">
        <v>35</v>
      </c>
      <c r="Z926" s="30"/>
      <c r="AA926" s="31"/>
      <c r="AB926" s="47"/>
      <c r="AC926" s="31"/>
      <c r="AD926" s="31"/>
      <c r="AE926" s="32">
        <f t="shared" si="275"/>
        <v>0</v>
      </c>
      <c r="AF926" s="10"/>
      <c r="AG926" s="10"/>
      <c r="AH926" s="10"/>
      <c r="AI926" s="12">
        <f t="shared" si="276"/>
        <v>0</v>
      </c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84"/>
      <c r="D927" s="60"/>
      <c r="E927" s="60"/>
      <c r="F927" s="60"/>
      <c r="G927" s="60"/>
      <c r="H927" s="62"/>
      <c r="I927" s="62"/>
      <c r="J927" s="62"/>
      <c r="K927" s="61"/>
      <c r="M927" s="10">
        <v>36</v>
      </c>
      <c r="N927" s="30"/>
      <c r="O927" s="31"/>
      <c r="P927" s="47"/>
      <c r="Q927" s="31"/>
      <c r="R927" s="31"/>
      <c r="S927" s="32">
        <f t="shared" si="268"/>
        <v>0</v>
      </c>
      <c r="T927" s="10"/>
      <c r="U927" s="10"/>
      <c r="V927" s="10"/>
      <c r="W927" s="12">
        <f t="shared" si="269"/>
        <v>0</v>
      </c>
      <c r="Y927" s="10">
        <v>36</v>
      </c>
      <c r="Z927" s="30"/>
      <c r="AA927" s="31"/>
      <c r="AB927" s="47"/>
      <c r="AC927" s="31"/>
      <c r="AD927" s="31"/>
      <c r="AE927" s="32">
        <f t="shared" si="275"/>
        <v>0</v>
      </c>
      <c r="AF927" s="10"/>
      <c r="AG927" s="10"/>
      <c r="AH927" s="10"/>
      <c r="AI927" s="12">
        <f t="shared" si="276"/>
        <v>0</v>
      </c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91"/>
      <c r="D928" s="60"/>
      <c r="E928" s="60"/>
      <c r="F928" s="60"/>
      <c r="G928" s="60"/>
      <c r="H928" s="62"/>
      <c r="I928" s="62"/>
      <c r="J928" s="62"/>
      <c r="K928" s="61"/>
      <c r="M928" s="10">
        <v>37</v>
      </c>
      <c r="N928" s="30"/>
      <c r="P928" s="47"/>
      <c r="Q928" s="31"/>
      <c r="R928" s="31"/>
      <c r="S928" s="32">
        <f t="shared" si="268"/>
        <v>0</v>
      </c>
      <c r="T928" s="10"/>
      <c r="U928" s="10"/>
      <c r="V928" s="10"/>
      <c r="W928" s="12">
        <f t="shared" si="269"/>
        <v>0</v>
      </c>
      <c r="Y928" s="10">
        <v>37</v>
      </c>
      <c r="Z928" s="30"/>
      <c r="AA928" s="31"/>
      <c r="AB928" s="47"/>
      <c r="AC928" s="31"/>
      <c r="AD928" s="31"/>
      <c r="AE928" s="32">
        <f t="shared" si="275"/>
        <v>0</v>
      </c>
      <c r="AF928" s="10"/>
      <c r="AG928" s="10"/>
      <c r="AH928" s="10"/>
      <c r="AI928" s="12">
        <f t="shared" si="276"/>
        <v>0</v>
      </c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91"/>
      <c r="D929" s="60"/>
      <c r="E929" s="60"/>
      <c r="F929" s="60"/>
      <c r="G929" s="60"/>
      <c r="H929" s="62"/>
      <c r="I929" s="62"/>
      <c r="J929" s="62"/>
      <c r="K929" s="61"/>
      <c r="M929" s="10">
        <v>38</v>
      </c>
      <c r="N929" s="30"/>
      <c r="O929" s="31"/>
      <c r="P929" s="47"/>
      <c r="Q929" s="31"/>
      <c r="R929" s="31"/>
      <c r="S929" s="32">
        <f t="shared" si="268"/>
        <v>0</v>
      </c>
      <c r="T929" s="10"/>
      <c r="U929" s="10"/>
      <c r="V929" s="10"/>
      <c r="W929" s="12">
        <f t="shared" si="269"/>
        <v>0</v>
      </c>
      <c r="Y929" s="10">
        <v>38</v>
      </c>
      <c r="Z929" s="30"/>
      <c r="AA929" s="31"/>
      <c r="AB929" s="47"/>
      <c r="AC929" s="31"/>
      <c r="AD929" s="31"/>
      <c r="AE929" s="32">
        <f t="shared" si="275"/>
        <v>0</v>
      </c>
      <c r="AF929" s="10"/>
      <c r="AG929" s="10"/>
      <c r="AH929" s="10"/>
      <c r="AI929" s="12">
        <f t="shared" si="276"/>
        <v>0</v>
      </c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91"/>
      <c r="D930" s="60"/>
      <c r="E930" s="60"/>
      <c r="F930" s="60"/>
      <c r="G930" s="60"/>
      <c r="H930" s="62"/>
      <c r="I930" s="62"/>
      <c r="J930" s="62"/>
      <c r="K930" s="61"/>
      <c r="M930" s="10">
        <v>39</v>
      </c>
      <c r="N930" s="30"/>
      <c r="O930" s="31"/>
      <c r="P930" s="47"/>
      <c r="Q930" s="31"/>
      <c r="R930" s="31"/>
      <c r="S930" s="32">
        <f t="shared" si="268"/>
        <v>0</v>
      </c>
      <c r="T930" s="10"/>
      <c r="U930" s="10"/>
      <c r="V930" s="10"/>
      <c r="W930" s="12">
        <f t="shared" si="269"/>
        <v>0</v>
      </c>
      <c r="Y930" s="10">
        <v>39</v>
      </c>
      <c r="Z930" s="30"/>
      <c r="AA930" s="31"/>
      <c r="AB930" s="47"/>
      <c r="AC930" s="31"/>
      <c r="AD930" s="31"/>
      <c r="AE930" s="32">
        <f t="shared" si="275"/>
        <v>0</v>
      </c>
      <c r="AF930" s="10"/>
      <c r="AG930" s="10"/>
      <c r="AH930" s="10"/>
      <c r="AI930" s="12">
        <f t="shared" si="276"/>
        <v>0</v>
      </c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91"/>
      <c r="D931" s="60"/>
      <c r="E931" s="60"/>
      <c r="F931" s="60"/>
      <c r="G931" s="60"/>
      <c r="H931" s="62"/>
      <c r="I931" s="62"/>
      <c r="J931" s="62"/>
      <c r="K931" s="61"/>
      <c r="M931" s="10"/>
      <c r="N931" s="30"/>
      <c r="P931" s="47"/>
      <c r="Q931" s="31"/>
      <c r="R931" s="31"/>
      <c r="S931" s="32"/>
      <c r="T931" s="10"/>
      <c r="U931" s="10"/>
      <c r="V931" s="10"/>
      <c r="W931" s="12">
        <f t="shared" si="269"/>
        <v>0</v>
      </c>
      <c r="Y931" s="10"/>
      <c r="Z931" s="30"/>
      <c r="AB931" s="47"/>
      <c r="AC931" s="31"/>
      <c r="AD931" s="31"/>
      <c r="AE931" s="32"/>
      <c r="AF931" s="10"/>
      <c r="AG931" s="10"/>
      <c r="AH931" s="10"/>
      <c r="AI931" s="12">
        <f t="shared" si="276"/>
        <v>0</v>
      </c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91"/>
      <c r="D932" s="60"/>
      <c r="E932" s="60"/>
      <c r="F932" s="60"/>
      <c r="G932" s="60"/>
      <c r="H932" s="62"/>
      <c r="I932" s="62"/>
      <c r="J932" s="62"/>
      <c r="K932" s="61"/>
      <c r="M932" s="10"/>
      <c r="N932" s="30"/>
      <c r="O932" s="31"/>
      <c r="P932" s="47"/>
      <c r="Q932" s="31"/>
      <c r="R932" s="31"/>
      <c r="S932" s="32">
        <f t="shared" ref="S932" si="277">SUM(P932:Q932)</f>
        <v>0</v>
      </c>
      <c r="T932" s="10"/>
      <c r="U932" s="10"/>
      <c r="V932" s="10"/>
      <c r="W932" s="12">
        <f t="shared" si="269"/>
        <v>0</v>
      </c>
      <c r="Y932" s="10"/>
      <c r="Z932" s="30"/>
      <c r="AA932" s="31"/>
      <c r="AB932" s="47"/>
      <c r="AC932" s="31"/>
      <c r="AD932" s="31"/>
      <c r="AE932" s="32">
        <f t="shared" ref="AE932" si="278">SUM(AB932:AC932)</f>
        <v>0</v>
      </c>
      <c r="AF932" s="10"/>
      <c r="AG932" s="10"/>
      <c r="AH932" s="10"/>
      <c r="AI932" s="12">
        <f t="shared" si="276"/>
        <v>0</v>
      </c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66"/>
      <c r="C933" s="66"/>
      <c r="D933" s="60"/>
      <c r="E933" s="60"/>
      <c r="F933" s="60"/>
      <c r="G933" s="60"/>
      <c r="H933" s="62"/>
      <c r="I933" s="62"/>
      <c r="J933" s="62"/>
      <c r="K933" s="61"/>
      <c r="M933" s="10"/>
      <c r="N933" s="31"/>
      <c r="O933" s="31"/>
      <c r="P933" s="31"/>
      <c r="Q933" s="31"/>
      <c r="R933" s="31"/>
      <c r="S933" s="31"/>
      <c r="T933" s="10"/>
      <c r="U933" s="10"/>
      <c r="V933" s="10"/>
      <c r="W933" s="12">
        <f t="shared" si="269"/>
        <v>0</v>
      </c>
      <c r="Y933" s="10"/>
      <c r="Z933" s="31"/>
      <c r="AA933" s="31"/>
      <c r="AB933" s="31"/>
      <c r="AC933" s="31"/>
      <c r="AD933" s="31"/>
      <c r="AE933" s="31"/>
      <c r="AF933" s="10"/>
      <c r="AG933" s="10"/>
      <c r="AH933" s="10"/>
      <c r="AI933" s="12">
        <f t="shared" si="276"/>
        <v>0</v>
      </c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91"/>
      <c r="C934" s="91"/>
      <c r="D934" s="91"/>
      <c r="E934" s="91"/>
      <c r="F934" s="91"/>
      <c r="G934" s="91"/>
      <c r="H934" s="62"/>
      <c r="I934" s="62"/>
      <c r="J934" s="62"/>
      <c r="K934" s="62"/>
      <c r="N934" s="57"/>
      <c r="O934" s="57"/>
      <c r="P934" s="36"/>
      <c r="Q934" s="36"/>
      <c r="R934" s="36"/>
      <c r="S934" s="36"/>
      <c r="T934" s="37"/>
      <c r="U934" s="37"/>
      <c r="V934" s="37"/>
      <c r="W934" s="37"/>
      <c r="Z934" s="57"/>
      <c r="AA934" s="57"/>
      <c r="AB934" s="36"/>
      <c r="AC934" s="36"/>
      <c r="AD934" s="36"/>
      <c r="AE934" s="36"/>
      <c r="AF934" s="37"/>
      <c r="AG934" s="37"/>
      <c r="AH934" s="37"/>
      <c r="AI934" s="37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91"/>
      <c r="C935" s="91"/>
      <c r="D935" s="70"/>
      <c r="E935" s="70"/>
      <c r="F935" s="70"/>
      <c r="G935" s="70"/>
      <c r="H935" s="63"/>
      <c r="I935" s="70"/>
      <c r="J935" s="70"/>
      <c r="K935" s="70"/>
      <c r="N935" s="57"/>
      <c r="O935" s="57"/>
      <c r="P935" s="38">
        <f>SUM(P892:P934)</f>
        <v>199178.5</v>
      </c>
      <c r="Q935" s="38">
        <f>SUM(Q892:Q916)</f>
        <v>-648</v>
      </c>
      <c r="R935" s="38">
        <f>SUM(R892:R916)</f>
        <v>0</v>
      </c>
      <c r="S935" s="38">
        <f>SUM(S892:S934)</f>
        <v>198530.5</v>
      </c>
      <c r="T935" s="4"/>
      <c r="U935" s="41">
        <f>SUM(U892:U934)</f>
        <v>513</v>
      </c>
      <c r="V935" s="41">
        <f>SUM(V892:V916)</f>
        <v>-837</v>
      </c>
      <c r="W935" s="42">
        <f>SUM(W892:W934)</f>
        <v>198206.5</v>
      </c>
      <c r="Z935" s="57"/>
      <c r="AA935" s="57"/>
      <c r="AB935" s="38">
        <f>SUM(AB892:AB934)</f>
        <v>254146.5</v>
      </c>
      <c r="AC935" s="38">
        <f>SUM(AC892:AC916)</f>
        <v>-906</v>
      </c>
      <c r="AD935" s="38">
        <f>SUM(AD892:AD916)</f>
        <v>0</v>
      </c>
      <c r="AE935" s="38">
        <f>SUM(AE892:AE934)</f>
        <v>253240.5</v>
      </c>
      <c r="AF935" s="4"/>
      <c r="AG935" s="41">
        <f>SUM(AG892:AG934)</f>
        <v>2650.5</v>
      </c>
      <c r="AH935" s="41">
        <f>SUM(AH892:AH916)</f>
        <v>-2553</v>
      </c>
      <c r="AI935" s="42">
        <f>SUM(AI892:AI934)</f>
        <v>253338</v>
      </c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18"/>
      <c r="B936" s="18"/>
      <c r="C936" s="18"/>
      <c r="D936" s="18"/>
      <c r="E936" s="18"/>
      <c r="F936" s="18"/>
      <c r="G936" s="18"/>
      <c r="H936" s="18"/>
      <c r="I936" s="18"/>
      <c r="J936" s="18"/>
      <c r="K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Y936" s="18"/>
      <c r="Z936" s="18"/>
      <c r="AA936" s="18"/>
      <c r="AB936" s="18"/>
      <c r="AC936" s="18"/>
      <c r="AD936" s="18"/>
      <c r="AE936" s="18"/>
      <c r="AF936" s="18"/>
      <c r="AG936" s="18"/>
      <c r="AH936" s="18"/>
      <c r="AI936" s="18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t="s">
        <v>0</v>
      </c>
      <c r="B937" s="57"/>
      <c r="C937" s="57"/>
      <c r="D937" s="57"/>
      <c r="E937" s="57"/>
      <c r="G937" s="57"/>
      <c r="M937" s="62"/>
      <c r="N937" s="88"/>
      <c r="O937" s="88"/>
      <c r="P937" s="88"/>
      <c r="Q937" s="88"/>
      <c r="R937" s="88"/>
      <c r="S937" s="88"/>
      <c r="T937" s="62"/>
      <c r="U937" s="62"/>
      <c r="V937" s="62"/>
      <c r="W937" s="62"/>
      <c r="Y937" t="s">
        <v>0</v>
      </c>
      <c r="Z937" s="57"/>
      <c r="AA937" s="57"/>
      <c r="AB937" s="57"/>
      <c r="AC937" s="57"/>
      <c r="AD937" s="57"/>
      <c r="AE937" s="57"/>
      <c r="AK937" s="62"/>
      <c r="AL937" s="86"/>
      <c r="AM937" s="86"/>
      <c r="AN937" s="86"/>
      <c r="AO937" s="86"/>
      <c r="AP937" s="86"/>
      <c r="AQ937" s="86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t="s">
        <v>28</v>
      </c>
      <c r="B938" s="57"/>
      <c r="C938" s="57"/>
      <c r="D938" s="57"/>
      <c r="E938" s="57"/>
      <c r="G938" s="57"/>
      <c r="M938" s="62"/>
      <c r="N938" s="88"/>
      <c r="O938" s="88"/>
      <c r="P938" s="88"/>
      <c r="Q938" s="88"/>
      <c r="R938" s="88"/>
      <c r="S938" s="88"/>
      <c r="T938" s="62"/>
      <c r="U938" s="62"/>
      <c r="V938" s="62"/>
      <c r="W938" s="62"/>
      <c r="Y938" t="s">
        <v>28</v>
      </c>
      <c r="Z938" s="57"/>
      <c r="AA938" s="57"/>
      <c r="AB938" s="57"/>
      <c r="AC938" s="57"/>
      <c r="AD938" s="57"/>
      <c r="AE938" s="57"/>
      <c r="AK938" s="62"/>
      <c r="AL938" s="86"/>
      <c r="AM938" s="86"/>
      <c r="AN938" s="86"/>
      <c r="AO938" s="86"/>
      <c r="AP938" s="86"/>
      <c r="AQ938" s="86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B939" s="57"/>
      <c r="C939" s="57"/>
      <c r="D939" s="57"/>
      <c r="E939" s="57"/>
      <c r="G939" s="57"/>
      <c r="M939" s="62"/>
      <c r="N939" s="88"/>
      <c r="O939" s="88"/>
      <c r="P939" s="88"/>
      <c r="Q939" s="88"/>
      <c r="R939" s="88"/>
      <c r="S939" s="88"/>
      <c r="T939" s="62"/>
      <c r="U939" s="62"/>
      <c r="V939" s="62"/>
      <c r="W939" s="62"/>
      <c r="Z939" s="57"/>
      <c r="AA939" s="57"/>
      <c r="AB939" s="57"/>
      <c r="AC939" s="57"/>
      <c r="AD939" s="57"/>
      <c r="AE939" s="57"/>
      <c r="AK939" s="62"/>
      <c r="AL939" s="86"/>
      <c r="AM939" s="86"/>
      <c r="AN939" s="86"/>
      <c r="AO939" s="86"/>
      <c r="AP939" s="86"/>
      <c r="AQ939" s="86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4" t="s">
        <v>14</v>
      </c>
      <c r="B940" s="57"/>
      <c r="C940" s="57"/>
      <c r="D940" s="57"/>
      <c r="E940" s="57"/>
      <c r="G940" s="57"/>
      <c r="M940" s="63"/>
      <c r="N940" s="88"/>
      <c r="O940" s="88"/>
      <c r="P940" s="88"/>
      <c r="Q940" s="88"/>
      <c r="R940" s="88"/>
      <c r="S940" s="88"/>
      <c r="T940" s="62"/>
      <c r="U940" s="62"/>
      <c r="V940" s="62"/>
      <c r="W940" s="62"/>
      <c r="Y940" s="4" t="s">
        <v>14</v>
      </c>
      <c r="Z940" s="57"/>
      <c r="AA940" s="57"/>
      <c r="AB940" s="57"/>
      <c r="AC940" s="57"/>
      <c r="AD940" s="57"/>
      <c r="AE940" s="57"/>
      <c r="AK940" s="63"/>
      <c r="AL940" s="86"/>
      <c r="AM940" s="86"/>
      <c r="AN940" s="86"/>
      <c r="AO940" s="86"/>
      <c r="AP940" s="86"/>
      <c r="AQ940" s="86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B941" s="57"/>
      <c r="C941" s="57"/>
      <c r="D941" s="57"/>
      <c r="E941" s="57"/>
      <c r="G941" s="57"/>
      <c r="M941" s="62"/>
      <c r="N941" s="88"/>
      <c r="O941" s="88"/>
      <c r="P941" s="88"/>
      <c r="Q941" s="88"/>
      <c r="R941" s="88"/>
      <c r="S941" s="88"/>
      <c r="T941" s="62"/>
      <c r="U941" s="62"/>
      <c r="V941" s="62"/>
      <c r="W941" s="62"/>
      <c r="Z941" s="57"/>
      <c r="AA941" s="57"/>
      <c r="AB941" s="57"/>
      <c r="AC941" s="57"/>
      <c r="AD941" s="57"/>
      <c r="AE941" s="57"/>
      <c r="AK941" s="62"/>
      <c r="AL941" s="86"/>
      <c r="AM941" s="86"/>
      <c r="AN941" s="86"/>
      <c r="AO941" s="86"/>
      <c r="AP941" s="86"/>
      <c r="AQ941" s="86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t="s">
        <v>45</v>
      </c>
      <c r="B942" s="57"/>
      <c r="C942" s="57"/>
      <c r="D942" s="57"/>
      <c r="E942" s="57"/>
      <c r="G942" s="57"/>
      <c r="I942" s="57" t="s">
        <v>15</v>
      </c>
      <c r="J942" s="19">
        <v>1</v>
      </c>
      <c r="M942" s="62"/>
      <c r="N942" s="88"/>
      <c r="O942" s="88"/>
      <c r="P942" s="88"/>
      <c r="Q942" s="88"/>
      <c r="R942" s="88"/>
      <c r="S942" s="88"/>
      <c r="T942" s="62"/>
      <c r="U942" s="88"/>
      <c r="V942" s="73"/>
      <c r="W942" s="62"/>
      <c r="Y942" t="s">
        <v>45</v>
      </c>
      <c r="Z942" s="57"/>
      <c r="AA942" s="57"/>
      <c r="AB942" s="57"/>
      <c r="AC942" s="57"/>
      <c r="AD942" s="57"/>
      <c r="AE942" s="57"/>
      <c r="AG942" s="57" t="s">
        <v>15</v>
      </c>
      <c r="AH942" s="20">
        <v>3</v>
      </c>
      <c r="AK942" s="62"/>
      <c r="AL942" s="86"/>
      <c r="AM942" s="86"/>
      <c r="AN942" s="86"/>
      <c r="AO942" s="86"/>
      <c r="AP942" s="86"/>
      <c r="AQ942" s="86"/>
      <c r="AR942" s="62"/>
      <c r="AS942" s="86"/>
      <c r="AT942" s="86"/>
      <c r="AU942" s="62"/>
      <c r="AV942" s="62"/>
      <c r="AW942" s="62"/>
      <c r="AX942" s="62"/>
      <c r="AY942" s="62"/>
      <c r="AZ942" s="62"/>
    </row>
    <row r="943" spans="1:52" x14ac:dyDescent="0.25">
      <c r="A943" s="21" t="s">
        <v>89</v>
      </c>
      <c r="B943" s="20"/>
      <c r="C943" s="57"/>
      <c r="D943" s="57"/>
      <c r="E943" s="57"/>
      <c r="G943" s="57"/>
      <c r="I943" s="22" t="s">
        <v>16</v>
      </c>
      <c r="J943" s="23" t="s">
        <v>31</v>
      </c>
      <c r="K943" s="24"/>
      <c r="M943" s="64"/>
      <c r="N943" s="88"/>
      <c r="O943" s="88"/>
      <c r="P943" s="88"/>
      <c r="Q943" s="88"/>
      <c r="R943" s="88"/>
      <c r="S943" s="88"/>
      <c r="T943" s="62"/>
      <c r="U943" s="65"/>
      <c r="V943" s="65"/>
      <c r="W943" s="62"/>
      <c r="Y943" s="21" t="s">
        <v>89</v>
      </c>
      <c r="Z943" s="20"/>
      <c r="AA943" s="57"/>
      <c r="AB943" s="57"/>
      <c r="AC943" s="57"/>
      <c r="AD943" s="57"/>
      <c r="AE943" s="57"/>
      <c r="AG943" s="22" t="s">
        <v>16</v>
      </c>
      <c r="AH943" s="23" t="s">
        <v>34</v>
      </c>
      <c r="AI943" s="24"/>
      <c r="AK943" s="64"/>
      <c r="AL943" s="86"/>
      <c r="AM943" s="86"/>
      <c r="AN943" s="86"/>
      <c r="AO943" s="86"/>
      <c r="AP943" s="86"/>
      <c r="AQ943" s="86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B944" s="57"/>
      <c r="C944" s="57"/>
      <c r="D944" s="57"/>
      <c r="E944" s="57"/>
      <c r="G944" s="57"/>
      <c r="M944" s="62"/>
      <c r="N944" s="88"/>
      <c r="O944" s="88"/>
      <c r="P944" s="88"/>
      <c r="Q944" s="88"/>
      <c r="R944" s="88"/>
      <c r="S944" s="88"/>
      <c r="T944" s="62"/>
      <c r="U944" s="62"/>
      <c r="V944" s="62"/>
      <c r="W944" s="62"/>
      <c r="Z944" s="57"/>
      <c r="AA944" s="57"/>
      <c r="AB944" s="57"/>
      <c r="AC944" s="57"/>
      <c r="AD944" s="57"/>
      <c r="AE944" s="57"/>
      <c r="AK944" s="62"/>
      <c r="AL944" s="86"/>
      <c r="AM944" s="86"/>
      <c r="AN944" s="86"/>
      <c r="AO944" s="86"/>
      <c r="AP944" s="86"/>
      <c r="AQ944" s="86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B945" s="25"/>
      <c r="C945" s="26"/>
      <c r="D945" s="120" t="s">
        <v>17</v>
      </c>
      <c r="E945" s="120"/>
      <c r="F945" s="108"/>
      <c r="G945" s="27"/>
      <c r="I945" s="118" t="s">
        <v>18</v>
      </c>
      <c r="J945" s="119"/>
      <c r="K945" s="116" t="s">
        <v>19</v>
      </c>
      <c r="M945" s="62"/>
      <c r="N945" s="65"/>
      <c r="O945" s="88"/>
      <c r="P945" s="121"/>
      <c r="Q945" s="121"/>
      <c r="R945" s="88"/>
      <c r="S945" s="88"/>
      <c r="T945" s="62"/>
      <c r="U945" s="121"/>
      <c r="V945" s="121"/>
      <c r="W945" s="122"/>
      <c r="Z945" s="25"/>
      <c r="AA945" s="26"/>
      <c r="AB945" s="120" t="s">
        <v>17</v>
      </c>
      <c r="AC945" s="120"/>
      <c r="AD945" s="108"/>
      <c r="AE945" s="27"/>
      <c r="AG945" s="118" t="s">
        <v>18</v>
      </c>
      <c r="AH945" s="119"/>
      <c r="AI945" s="116" t="s">
        <v>19</v>
      </c>
      <c r="AK945" s="62"/>
      <c r="AL945" s="65"/>
      <c r="AM945" s="86"/>
      <c r="AN945" s="121"/>
      <c r="AO945" s="121"/>
      <c r="AP945" s="86"/>
      <c r="AQ945" s="86"/>
      <c r="AR945" s="62"/>
      <c r="AS945" s="121"/>
      <c r="AT945" s="121"/>
      <c r="AU945" s="122"/>
      <c r="AV945" s="62"/>
      <c r="AW945" s="62"/>
      <c r="AX945" s="62"/>
      <c r="AY945" s="62"/>
      <c r="AZ945" s="62"/>
    </row>
    <row r="946" spans="1:52" ht="30" x14ac:dyDescent="0.25">
      <c r="B946" s="28" t="s">
        <v>20</v>
      </c>
      <c r="C946" s="28" t="s">
        <v>21</v>
      </c>
      <c r="D946" s="77" t="s">
        <v>22</v>
      </c>
      <c r="E946" s="76" t="s">
        <v>23</v>
      </c>
      <c r="F946" s="78" t="s">
        <v>32</v>
      </c>
      <c r="G946" s="78" t="s">
        <v>24</v>
      </c>
      <c r="I946" s="29" t="s">
        <v>25</v>
      </c>
      <c r="J946" s="29" t="s">
        <v>26</v>
      </c>
      <c r="K946" s="117"/>
      <c r="M946" s="62"/>
      <c r="N946" s="88"/>
      <c r="O946" s="88"/>
      <c r="P946" s="79"/>
      <c r="Q946" s="81"/>
      <c r="R946" s="81"/>
      <c r="S946" s="81"/>
      <c r="T946" s="62"/>
      <c r="U946" s="87"/>
      <c r="V946" s="87"/>
      <c r="W946" s="122"/>
      <c r="Z946" s="28" t="s">
        <v>20</v>
      </c>
      <c r="AA946" s="28" t="s">
        <v>21</v>
      </c>
      <c r="AB946" s="77" t="s">
        <v>22</v>
      </c>
      <c r="AC946" s="78" t="s">
        <v>23</v>
      </c>
      <c r="AD946" s="78" t="s">
        <v>32</v>
      </c>
      <c r="AE946" s="78" t="s">
        <v>24</v>
      </c>
      <c r="AG946" s="29" t="s">
        <v>25</v>
      </c>
      <c r="AH946" s="29" t="s">
        <v>26</v>
      </c>
      <c r="AI946" s="117"/>
      <c r="AK946" s="62"/>
      <c r="AL946" s="86"/>
      <c r="AM946" s="86"/>
      <c r="AN946" s="79"/>
      <c r="AO946" s="81"/>
      <c r="AP946" s="81"/>
      <c r="AQ946" s="81"/>
      <c r="AR946" s="62"/>
      <c r="AS946" s="85"/>
      <c r="AT946" s="85"/>
      <c r="AU946" s="122"/>
      <c r="AV946" s="62"/>
      <c r="AW946" s="62"/>
      <c r="AX946" s="62"/>
      <c r="AY946" s="62"/>
      <c r="AZ946" s="62"/>
    </row>
    <row r="947" spans="1:52" x14ac:dyDescent="0.25">
      <c r="A947" s="10">
        <v>1</v>
      </c>
      <c r="B947" s="30" t="s">
        <v>90</v>
      </c>
      <c r="C947" s="83">
        <v>10301</v>
      </c>
      <c r="D947" s="32">
        <f>650*8+622*2+9.5*20</f>
        <v>6634</v>
      </c>
      <c r="E947" s="32"/>
      <c r="F947" s="32"/>
      <c r="G947" s="32">
        <f t="shared" ref="G947:G980" si="279">SUM(D947:E947)</f>
        <v>6634</v>
      </c>
      <c r="H947" s="12"/>
      <c r="I947" s="12"/>
      <c r="J947" s="12"/>
      <c r="K947" s="12">
        <f t="shared" ref="K947:K980" si="280">SUM(G947:J947)</f>
        <v>6634</v>
      </c>
      <c r="M947" s="62"/>
      <c r="N947" s="66"/>
      <c r="O947" s="88"/>
      <c r="P947" s="60"/>
      <c r="Q947" s="60"/>
      <c r="R947" s="60"/>
      <c r="S947" s="60"/>
      <c r="T947" s="61"/>
      <c r="U947" s="61"/>
      <c r="V947" s="61"/>
      <c r="W947" s="61"/>
      <c r="Y947" s="10">
        <v>1</v>
      </c>
      <c r="Z947" s="30" t="s">
        <v>90</v>
      </c>
      <c r="AA947" s="31">
        <v>10258</v>
      </c>
      <c r="AB947" s="32">
        <f>650*40+670+622*10+229</f>
        <v>33119</v>
      </c>
      <c r="AC947" s="32">
        <f>-51*6</f>
        <v>-306</v>
      </c>
      <c r="AD947" s="32"/>
      <c r="AE947" s="32">
        <f>SUM(AB947:AC947)</f>
        <v>32813</v>
      </c>
      <c r="AF947" s="12"/>
      <c r="AG947" s="12"/>
      <c r="AH947" s="12"/>
      <c r="AI947" s="12">
        <f>SUM(AE947:AH947)</f>
        <v>32813</v>
      </c>
      <c r="AK947" s="62"/>
      <c r="AL947" s="66"/>
      <c r="AM947" s="86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10">
        <v>2</v>
      </c>
      <c r="B948" s="30" t="s">
        <v>90</v>
      </c>
      <c r="C948" s="83">
        <f>C947+1</f>
        <v>10302</v>
      </c>
      <c r="D948" s="32">
        <f>650*18+622*3</f>
        <v>13566</v>
      </c>
      <c r="E948" s="32"/>
      <c r="F948" s="32"/>
      <c r="G948" s="32">
        <f t="shared" si="279"/>
        <v>13566</v>
      </c>
      <c r="H948" s="12"/>
      <c r="I948" s="12"/>
      <c r="J948" s="12">
        <v>-6660</v>
      </c>
      <c r="K948" s="12">
        <f t="shared" si="280"/>
        <v>6906</v>
      </c>
      <c r="M948" s="62"/>
      <c r="N948" s="66"/>
      <c r="O948" s="88"/>
      <c r="P948" s="60"/>
      <c r="Q948" s="60"/>
      <c r="R948" s="60"/>
      <c r="S948" s="60"/>
      <c r="T948" s="61"/>
      <c r="U948" s="61"/>
      <c r="V948" s="61"/>
      <c r="W948" s="61"/>
      <c r="Y948" s="10">
        <v>2</v>
      </c>
      <c r="Z948" s="30" t="s">
        <v>90</v>
      </c>
      <c r="AA948" s="31">
        <f>AA947+1</f>
        <v>10259</v>
      </c>
      <c r="AB948" s="32">
        <f>650*75+622*5+872*2+229*2</f>
        <v>54062</v>
      </c>
      <c r="AC948" s="32"/>
      <c r="AD948" s="32"/>
      <c r="AE948" s="32">
        <f t="shared" ref="AE948:AE950" si="281">SUM(AB948:AC948)</f>
        <v>54062</v>
      </c>
      <c r="AF948" s="12"/>
      <c r="AG948" s="12">
        <f>78+9</f>
        <v>87</v>
      </c>
      <c r="AH948" s="12"/>
      <c r="AI948" s="12">
        <f t="shared" ref="AI948:AI979" si="282">SUM(AE948:AH948)</f>
        <v>54149</v>
      </c>
      <c r="AK948" s="62"/>
      <c r="AL948" s="66"/>
      <c r="AM948" s="86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10">
        <v>3</v>
      </c>
      <c r="B949" s="30" t="s">
        <v>90</v>
      </c>
      <c r="C949" s="83">
        <f t="shared" ref="C949:C950" si="283">C948+1</f>
        <v>10303</v>
      </c>
      <c r="D949" s="33">
        <f>650*17+670*3+622*3+9.5*20</f>
        <v>15116</v>
      </c>
      <c r="E949" s="32"/>
      <c r="F949" s="33"/>
      <c r="G949" s="33">
        <f t="shared" si="279"/>
        <v>15116</v>
      </c>
      <c r="H949" s="34"/>
      <c r="I949" s="34"/>
      <c r="J949" s="34"/>
      <c r="K949" s="34">
        <f t="shared" si="280"/>
        <v>15116</v>
      </c>
      <c r="M949" s="62"/>
      <c r="N949" s="66"/>
      <c r="O949" s="88"/>
      <c r="P949" s="60"/>
      <c r="Q949" s="60"/>
      <c r="R949" s="60"/>
      <c r="S949" s="60"/>
      <c r="T949" s="61"/>
      <c r="U949" s="61"/>
      <c r="V949" s="61"/>
      <c r="W949" s="61"/>
      <c r="Y949" s="10">
        <v>3</v>
      </c>
      <c r="Z949" s="30" t="s">
        <v>90</v>
      </c>
      <c r="AA949" s="31">
        <f t="shared" ref="AA949:AA953" si="284">AA948+1</f>
        <v>10260</v>
      </c>
      <c r="AB949" s="33">
        <f>650*6+670+622</f>
        <v>5192</v>
      </c>
      <c r="AC949" s="33"/>
      <c r="AD949" s="32"/>
      <c r="AE949" s="32">
        <f t="shared" si="281"/>
        <v>5192</v>
      </c>
      <c r="AF949" s="12"/>
      <c r="AG949" s="12"/>
      <c r="AH949" s="12"/>
      <c r="AI949" s="12">
        <f t="shared" si="282"/>
        <v>5192</v>
      </c>
      <c r="AK949" s="62"/>
      <c r="AL949" s="66"/>
      <c r="AM949" s="86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10">
        <v>4</v>
      </c>
      <c r="B950" s="30" t="s">
        <v>90</v>
      </c>
      <c r="C950" s="83">
        <f t="shared" si="283"/>
        <v>10304</v>
      </c>
      <c r="D950" s="32">
        <f>650*648+229*5</f>
        <v>422345</v>
      </c>
      <c r="E950" s="32">
        <f>-648*6</f>
        <v>-3888</v>
      </c>
      <c r="F950" s="32"/>
      <c r="G950" s="32">
        <f t="shared" si="279"/>
        <v>418457</v>
      </c>
      <c r="H950" s="12"/>
      <c r="I950" s="12">
        <v>7881</v>
      </c>
      <c r="J950" s="12">
        <f>-1560+-1248+-3192+-4452</f>
        <v>-10452</v>
      </c>
      <c r="K950" s="12">
        <f t="shared" si="280"/>
        <v>415886</v>
      </c>
      <c r="M950" s="62"/>
      <c r="N950" s="66"/>
      <c r="O950" s="88"/>
      <c r="P950" s="60"/>
      <c r="Q950" s="60"/>
      <c r="R950" s="60"/>
      <c r="S950" s="60"/>
      <c r="T950" s="61"/>
      <c r="U950" s="61"/>
      <c r="V950" s="61"/>
      <c r="W950" s="61"/>
      <c r="Y950" s="10">
        <v>4</v>
      </c>
      <c r="Z950" s="30" t="s">
        <v>90</v>
      </c>
      <c r="AA950" s="31">
        <f t="shared" si="284"/>
        <v>10261</v>
      </c>
      <c r="AB950" s="32">
        <f>650*236+670*11+622*30+1050*2+229*4</f>
        <v>182446</v>
      </c>
      <c r="AC950" s="32">
        <f>-278*6</f>
        <v>-1668</v>
      </c>
      <c r="AD950" s="32"/>
      <c r="AE950" s="32">
        <f t="shared" si="281"/>
        <v>180778</v>
      </c>
      <c r="AF950" s="12"/>
      <c r="AH950" s="12"/>
      <c r="AI950" s="12">
        <f t="shared" si="282"/>
        <v>180778</v>
      </c>
      <c r="AK950" s="62"/>
      <c r="AL950" s="66"/>
      <c r="AM950" s="86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10">
        <v>5</v>
      </c>
      <c r="B951" s="30"/>
      <c r="C951" s="11" t="s">
        <v>27</v>
      </c>
      <c r="D951" s="32"/>
      <c r="E951" s="32"/>
      <c r="F951" s="32"/>
      <c r="G951" s="32">
        <f t="shared" si="279"/>
        <v>0</v>
      </c>
      <c r="H951" s="12"/>
      <c r="I951" s="12"/>
      <c r="J951" s="12"/>
      <c r="K951" s="12">
        <f t="shared" si="280"/>
        <v>0</v>
      </c>
      <c r="M951" s="62"/>
      <c r="N951" s="66"/>
      <c r="O951" s="88"/>
      <c r="P951" s="60"/>
      <c r="Q951" s="60"/>
      <c r="R951" s="60"/>
      <c r="S951" s="60"/>
      <c r="T951" s="61"/>
      <c r="U951" s="61"/>
      <c r="V951" s="61"/>
      <c r="W951" s="61"/>
      <c r="Y951" s="10">
        <v>5</v>
      </c>
      <c r="Z951" s="30" t="s">
        <v>90</v>
      </c>
      <c r="AA951" s="31">
        <f t="shared" si="284"/>
        <v>10262</v>
      </c>
      <c r="AB951" s="32">
        <f>650*110+622*64+912*3+229*9</f>
        <v>116105</v>
      </c>
      <c r="AC951" s="32">
        <f>-177*6</f>
        <v>-1062</v>
      </c>
      <c r="AD951" s="32"/>
      <c r="AE951" s="32">
        <f t="shared" ref="AE951:AE952" si="285">SUM(AB951:AC951)</f>
        <v>115043</v>
      </c>
      <c r="AF951" s="12"/>
      <c r="AG951" s="12"/>
      <c r="AH951" s="12"/>
      <c r="AI951" s="12">
        <f t="shared" si="282"/>
        <v>115043</v>
      </c>
      <c r="AK951" s="62"/>
      <c r="AL951" s="66"/>
      <c r="AM951" s="86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10">
        <v>6</v>
      </c>
      <c r="B952" s="30"/>
      <c r="C952" s="83"/>
      <c r="D952" s="32"/>
      <c r="E952" s="32"/>
      <c r="F952" s="32"/>
      <c r="G952" s="32">
        <f t="shared" si="279"/>
        <v>0</v>
      </c>
      <c r="H952" s="12"/>
      <c r="I952" s="12"/>
      <c r="J952" s="12"/>
      <c r="K952" s="12">
        <f t="shared" si="280"/>
        <v>0</v>
      </c>
      <c r="M952" s="62"/>
      <c r="N952" s="66"/>
      <c r="O952" s="65"/>
      <c r="P952" s="60"/>
      <c r="Q952" s="60"/>
      <c r="R952" s="60"/>
      <c r="S952" s="60"/>
      <c r="T952" s="61"/>
      <c r="U952" s="61"/>
      <c r="V952" s="62"/>
      <c r="W952" s="61"/>
      <c r="Y952" s="10">
        <v>6</v>
      </c>
      <c r="Z952" s="30" t="s">
        <v>90</v>
      </c>
      <c r="AA952" s="31">
        <f t="shared" si="284"/>
        <v>10263</v>
      </c>
      <c r="AB952" s="32">
        <f>650*2</f>
        <v>1300</v>
      </c>
      <c r="AC952" s="32"/>
      <c r="AD952" s="32"/>
      <c r="AE952" s="32">
        <f t="shared" si="285"/>
        <v>1300</v>
      </c>
      <c r="AF952" s="12"/>
      <c r="AG952" s="12"/>
      <c r="AH952" s="10"/>
      <c r="AI952" s="12">
        <f t="shared" si="282"/>
        <v>1300</v>
      </c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10">
        <v>7</v>
      </c>
      <c r="B953" s="30"/>
      <c r="C953" s="83"/>
      <c r="D953" s="32"/>
      <c r="E953" s="32"/>
      <c r="F953" s="32"/>
      <c r="G953" s="32">
        <f t="shared" si="279"/>
        <v>0</v>
      </c>
      <c r="H953" s="12"/>
      <c r="I953" s="12"/>
      <c r="J953" s="12"/>
      <c r="K953" s="12">
        <f t="shared" si="280"/>
        <v>0</v>
      </c>
      <c r="M953" s="62"/>
      <c r="N953" s="66"/>
      <c r="O953" s="88"/>
      <c r="P953" s="60"/>
      <c r="Q953" s="60"/>
      <c r="R953" s="60"/>
      <c r="S953" s="60"/>
      <c r="T953" s="61"/>
      <c r="U953" s="61"/>
      <c r="V953" s="61"/>
      <c r="W953" s="61"/>
      <c r="Y953" s="10">
        <v>7</v>
      </c>
      <c r="Z953" s="30" t="s">
        <v>90</v>
      </c>
      <c r="AA953" s="31">
        <f t="shared" si="284"/>
        <v>10264</v>
      </c>
      <c r="AB953" s="32">
        <f>650*10</f>
        <v>6500</v>
      </c>
      <c r="AC953" s="32"/>
      <c r="AD953" s="32"/>
      <c r="AE953" s="32">
        <f>SUM(AB953:AC953)</f>
        <v>6500</v>
      </c>
      <c r="AF953" s="12"/>
      <c r="AG953" s="58"/>
      <c r="AH953" s="12"/>
      <c r="AI953" s="12">
        <f t="shared" si="282"/>
        <v>6500</v>
      </c>
      <c r="AK953" s="62"/>
      <c r="AL953" s="66"/>
      <c r="AM953" s="86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10">
        <v>8</v>
      </c>
      <c r="B954" s="30"/>
      <c r="C954" s="83"/>
      <c r="D954" s="32"/>
      <c r="E954" s="32"/>
      <c r="F954" s="32"/>
      <c r="G954" s="32">
        <f t="shared" si="279"/>
        <v>0</v>
      </c>
      <c r="H954" s="12"/>
      <c r="I954" s="12"/>
      <c r="J954" s="12"/>
      <c r="K954" s="12">
        <f t="shared" si="280"/>
        <v>0</v>
      </c>
      <c r="M954" s="62"/>
      <c r="N954" s="66"/>
      <c r="O954" s="88"/>
      <c r="P954" s="60"/>
      <c r="Q954" s="60"/>
      <c r="R954" s="60"/>
      <c r="S954" s="60"/>
      <c r="T954" s="61"/>
      <c r="U954" s="61"/>
      <c r="V954" s="61"/>
      <c r="W954" s="61"/>
      <c r="Y954" s="10">
        <v>8</v>
      </c>
      <c r="Z954" s="30"/>
      <c r="AA954" s="11" t="s">
        <v>27</v>
      </c>
      <c r="AB954" s="32"/>
      <c r="AC954" s="32"/>
      <c r="AE954" s="32">
        <f t="shared" ref="AE954:AE985" si="286">SUM(AB954:AC954)</f>
        <v>0</v>
      </c>
      <c r="AF954" s="12"/>
      <c r="AG954" s="12"/>
      <c r="AH954" s="12"/>
      <c r="AI954" s="12">
        <f t="shared" si="282"/>
        <v>0</v>
      </c>
      <c r="AK954" s="62"/>
      <c r="AL954" s="66"/>
      <c r="AM954" s="86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10">
        <v>9</v>
      </c>
      <c r="B955" s="30"/>
      <c r="C955" s="83"/>
      <c r="D955" s="32"/>
      <c r="E955" s="32"/>
      <c r="F955" s="32"/>
      <c r="G955" s="32">
        <f t="shared" si="279"/>
        <v>0</v>
      </c>
      <c r="H955" s="12"/>
      <c r="I955" s="12"/>
      <c r="J955" s="12"/>
      <c r="K955" s="12">
        <f t="shared" si="280"/>
        <v>0</v>
      </c>
      <c r="M955" s="62"/>
      <c r="N955" s="66"/>
      <c r="O955" s="88"/>
      <c r="P955" s="60"/>
      <c r="Q955" s="60"/>
      <c r="R955" s="60"/>
      <c r="S955" s="60"/>
      <c r="T955" s="61"/>
      <c r="U955" s="61"/>
      <c r="V955" s="61"/>
      <c r="W955" s="61"/>
      <c r="Y955" s="10">
        <v>9</v>
      </c>
      <c r="Z955" s="30"/>
      <c r="AA955" s="31"/>
      <c r="AB955" s="32"/>
      <c r="AC955" s="32"/>
      <c r="AD955" s="32"/>
      <c r="AE955" s="32">
        <f t="shared" si="286"/>
        <v>0</v>
      </c>
      <c r="AF955" s="12"/>
      <c r="AH955" s="12"/>
      <c r="AI955" s="12">
        <f t="shared" si="282"/>
        <v>0</v>
      </c>
      <c r="AK955" s="62"/>
      <c r="AL955" s="66"/>
      <c r="AM955" s="86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10">
        <v>10</v>
      </c>
      <c r="B956" s="30"/>
      <c r="C956" s="83"/>
      <c r="D956" s="32"/>
      <c r="E956" s="32"/>
      <c r="F956" s="32"/>
      <c r="G956" s="32">
        <f t="shared" si="279"/>
        <v>0</v>
      </c>
      <c r="H956" s="12"/>
      <c r="I956" s="12"/>
      <c r="J956" s="12"/>
      <c r="K956" s="12">
        <f t="shared" si="280"/>
        <v>0</v>
      </c>
      <c r="M956" s="62"/>
      <c r="N956" s="66"/>
      <c r="O956" s="88"/>
      <c r="P956" s="60"/>
      <c r="Q956" s="60"/>
      <c r="R956" s="60"/>
      <c r="S956" s="60"/>
      <c r="T956" s="61"/>
      <c r="U956" s="61"/>
      <c r="V956" s="61"/>
      <c r="W956" s="61"/>
      <c r="Y956" s="10">
        <v>10</v>
      </c>
      <c r="Z956" s="30"/>
      <c r="AA956" s="31"/>
      <c r="AB956" s="32"/>
      <c r="AC956" s="32"/>
      <c r="AD956" s="32"/>
      <c r="AE956" s="32">
        <f t="shared" si="286"/>
        <v>0</v>
      </c>
      <c r="AF956" s="12"/>
      <c r="AG956" s="12"/>
      <c r="AH956" s="12"/>
      <c r="AI956" s="12">
        <f t="shared" si="282"/>
        <v>0</v>
      </c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10">
        <v>11</v>
      </c>
      <c r="B957" s="30"/>
      <c r="C957" s="83"/>
      <c r="D957" s="32"/>
      <c r="E957" s="32"/>
      <c r="F957" s="32"/>
      <c r="G957" s="32">
        <f t="shared" si="279"/>
        <v>0</v>
      </c>
      <c r="H957" s="12"/>
      <c r="I957" s="12"/>
      <c r="J957" s="12"/>
      <c r="K957" s="12">
        <f t="shared" si="280"/>
        <v>0</v>
      </c>
      <c r="M957" s="62"/>
      <c r="N957" s="66"/>
      <c r="O957" s="88"/>
      <c r="P957" s="60"/>
      <c r="Q957" s="60"/>
      <c r="R957" s="60"/>
      <c r="S957" s="60"/>
      <c r="T957" s="61"/>
      <c r="U957" s="61"/>
      <c r="V957" s="61"/>
      <c r="W957" s="61"/>
      <c r="Y957" s="10">
        <v>11</v>
      </c>
      <c r="Z957" s="30"/>
      <c r="AA957" s="31"/>
      <c r="AB957" s="32"/>
      <c r="AC957" s="32"/>
      <c r="AD957" s="32"/>
      <c r="AE957" s="32">
        <f t="shared" si="286"/>
        <v>0</v>
      </c>
      <c r="AF957" s="12"/>
      <c r="AG957" s="12"/>
      <c r="AH957" s="12"/>
      <c r="AI957" s="12">
        <f t="shared" si="282"/>
        <v>0</v>
      </c>
      <c r="AK957" s="62"/>
      <c r="AL957" s="66"/>
      <c r="AM957" s="86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10">
        <v>12</v>
      </c>
      <c r="B958" s="30"/>
      <c r="C958" s="83"/>
      <c r="D958" s="32"/>
      <c r="E958" s="32"/>
      <c r="F958" s="32"/>
      <c r="G958" s="32">
        <f t="shared" si="279"/>
        <v>0</v>
      </c>
      <c r="H958" s="12"/>
      <c r="I958" s="12"/>
      <c r="J958" s="10"/>
      <c r="K958" s="12">
        <f t="shared" si="280"/>
        <v>0</v>
      </c>
      <c r="M958" s="62"/>
      <c r="N958" s="66"/>
      <c r="O958" s="88"/>
      <c r="P958" s="60"/>
      <c r="Q958" s="60"/>
      <c r="R958" s="60"/>
      <c r="S958" s="60"/>
      <c r="T958" s="61"/>
      <c r="U958" s="61"/>
      <c r="V958" s="61"/>
      <c r="W958" s="61"/>
      <c r="Y958" s="10">
        <v>12</v>
      </c>
      <c r="Z958" s="30"/>
      <c r="AA958" s="31"/>
      <c r="AB958" s="32"/>
      <c r="AC958" s="32"/>
      <c r="AD958" s="32"/>
      <c r="AE958" s="32">
        <f t="shared" si="286"/>
        <v>0</v>
      </c>
      <c r="AF958" s="12"/>
      <c r="AG958" s="12"/>
      <c r="AH958" s="12"/>
      <c r="AI958" s="12">
        <f t="shared" si="282"/>
        <v>0</v>
      </c>
      <c r="AK958" s="62"/>
      <c r="AL958" s="66"/>
      <c r="AM958" s="86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10">
        <v>13</v>
      </c>
      <c r="B959" s="30"/>
      <c r="C959" s="83"/>
      <c r="D959" s="32"/>
      <c r="E959" s="32"/>
      <c r="F959" s="32"/>
      <c r="G959" s="32">
        <f t="shared" si="279"/>
        <v>0</v>
      </c>
      <c r="H959" s="12"/>
      <c r="I959" s="12"/>
      <c r="J959" s="12"/>
      <c r="K959" s="12">
        <f t="shared" si="280"/>
        <v>0</v>
      </c>
      <c r="M959" s="62"/>
      <c r="N959" s="66"/>
      <c r="O959" s="88"/>
      <c r="P959" s="60"/>
      <c r="Q959" s="60"/>
      <c r="R959" s="60"/>
      <c r="S959" s="60"/>
      <c r="T959" s="61"/>
      <c r="U959" s="61"/>
      <c r="V959" s="61"/>
      <c r="W959" s="61"/>
      <c r="Y959" s="10">
        <v>13</v>
      </c>
      <c r="Z959" s="30"/>
      <c r="AA959" s="31"/>
      <c r="AB959" s="32"/>
      <c r="AC959" s="32"/>
      <c r="AD959" s="32"/>
      <c r="AE959" s="32">
        <f t="shared" si="286"/>
        <v>0</v>
      </c>
      <c r="AF959" s="12"/>
      <c r="AG959" s="12"/>
      <c r="AH959" s="12"/>
      <c r="AI959" s="12">
        <f t="shared" si="282"/>
        <v>0</v>
      </c>
      <c r="AK959" s="62"/>
      <c r="AL959" s="66"/>
      <c r="AM959" s="86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10">
        <v>14</v>
      </c>
      <c r="B960" s="30"/>
      <c r="C960" s="83"/>
      <c r="D960" s="32"/>
      <c r="E960" s="32"/>
      <c r="F960" s="32"/>
      <c r="G960" s="32">
        <f t="shared" si="279"/>
        <v>0</v>
      </c>
      <c r="H960" s="12"/>
      <c r="I960" s="12"/>
      <c r="J960" s="12"/>
      <c r="K960" s="12">
        <f t="shared" si="280"/>
        <v>0</v>
      </c>
      <c r="M960" s="62"/>
      <c r="N960" s="66"/>
      <c r="O960" s="88"/>
      <c r="P960" s="60"/>
      <c r="Q960" s="60"/>
      <c r="R960" s="60"/>
      <c r="S960" s="60"/>
      <c r="T960" s="61"/>
      <c r="U960" s="61"/>
      <c r="V960" s="61"/>
      <c r="W960" s="61"/>
      <c r="Y960" s="10">
        <v>14</v>
      </c>
      <c r="Z960" s="30"/>
      <c r="AA960" s="31"/>
      <c r="AB960" s="32"/>
      <c r="AC960" s="32"/>
      <c r="AD960" s="32"/>
      <c r="AE960" s="32">
        <f t="shared" si="286"/>
        <v>0</v>
      </c>
      <c r="AF960" s="12"/>
      <c r="AG960" s="12"/>
      <c r="AH960" s="12"/>
      <c r="AI960" s="12">
        <f t="shared" si="282"/>
        <v>0</v>
      </c>
      <c r="AK960" s="62"/>
      <c r="AL960" s="66"/>
      <c r="AM960" s="86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10">
        <v>15</v>
      </c>
      <c r="B961" s="30"/>
      <c r="C961" s="83"/>
      <c r="D961" s="32"/>
      <c r="E961" s="32"/>
      <c r="F961" s="32"/>
      <c r="G961" s="32">
        <f t="shared" si="279"/>
        <v>0</v>
      </c>
      <c r="H961" s="12"/>
      <c r="I961" s="12"/>
      <c r="J961" s="12"/>
      <c r="K961" s="12">
        <f t="shared" si="280"/>
        <v>0</v>
      </c>
      <c r="M961" s="62"/>
      <c r="N961" s="66"/>
      <c r="O961" s="88"/>
      <c r="P961" s="60"/>
      <c r="Q961" s="60"/>
      <c r="R961" s="60"/>
      <c r="S961" s="60"/>
      <c r="T961" s="61"/>
      <c r="U961" s="61"/>
      <c r="V961" s="61"/>
      <c r="W961" s="61"/>
      <c r="Y961" s="10">
        <v>15</v>
      </c>
      <c r="Z961" s="30"/>
      <c r="AA961" s="31"/>
      <c r="AB961" s="32"/>
      <c r="AC961" s="32"/>
      <c r="AD961" s="32"/>
      <c r="AE961" s="32">
        <f t="shared" si="286"/>
        <v>0</v>
      </c>
      <c r="AF961" s="12"/>
      <c r="AG961" s="12"/>
      <c r="AH961" s="12"/>
      <c r="AI961" s="12">
        <f t="shared" si="282"/>
        <v>0</v>
      </c>
      <c r="AK961" s="62"/>
      <c r="AL961" s="66"/>
      <c r="AM961" s="86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10">
        <v>16</v>
      </c>
      <c r="B962" s="30"/>
      <c r="D962" s="32"/>
      <c r="E962" s="32"/>
      <c r="F962" s="32"/>
      <c r="G962" s="32">
        <f t="shared" si="279"/>
        <v>0</v>
      </c>
      <c r="H962" s="12"/>
      <c r="I962" s="12"/>
      <c r="J962" s="12"/>
      <c r="K962" s="12">
        <f t="shared" si="280"/>
        <v>0</v>
      </c>
      <c r="M962" s="62"/>
      <c r="N962" s="66"/>
      <c r="O962" s="88"/>
      <c r="P962" s="60"/>
      <c r="Q962" s="60"/>
      <c r="R962" s="60"/>
      <c r="S962" s="60"/>
      <c r="T962" s="61"/>
      <c r="U962" s="61"/>
      <c r="V962" s="61"/>
      <c r="W962" s="61"/>
      <c r="Y962" s="10">
        <v>16</v>
      </c>
      <c r="AB962" s="32"/>
      <c r="AC962" s="32"/>
      <c r="AD962" s="32"/>
      <c r="AE962" s="32">
        <f t="shared" si="286"/>
        <v>0</v>
      </c>
      <c r="AF962" s="12"/>
      <c r="AG962" s="12"/>
      <c r="AH962" s="12"/>
      <c r="AI962" s="12">
        <f t="shared" si="282"/>
        <v>0</v>
      </c>
      <c r="AK962" s="62"/>
      <c r="AL962" s="66"/>
      <c r="AM962" s="86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10">
        <v>17</v>
      </c>
      <c r="B963" s="30"/>
      <c r="C963" s="83"/>
      <c r="D963" s="32"/>
      <c r="E963" s="32"/>
      <c r="F963" s="32"/>
      <c r="G963" s="32">
        <f t="shared" si="279"/>
        <v>0</v>
      </c>
      <c r="H963" s="12"/>
      <c r="I963" s="12"/>
      <c r="J963" s="12"/>
      <c r="K963" s="12">
        <f t="shared" si="280"/>
        <v>0</v>
      </c>
      <c r="M963" s="62"/>
      <c r="N963" s="66"/>
      <c r="O963" s="88"/>
      <c r="P963" s="60"/>
      <c r="Q963" s="60"/>
      <c r="R963" s="60"/>
      <c r="S963" s="60"/>
      <c r="T963" s="61"/>
      <c r="U963" s="61"/>
      <c r="V963" s="61"/>
      <c r="W963" s="61"/>
      <c r="Y963" s="10">
        <v>17</v>
      </c>
      <c r="Z963" s="30"/>
      <c r="AA963" s="31"/>
      <c r="AB963" s="35"/>
      <c r="AC963" s="32"/>
      <c r="AD963" s="32"/>
      <c r="AE963" s="32">
        <f t="shared" si="286"/>
        <v>0</v>
      </c>
      <c r="AF963" s="12"/>
      <c r="AG963" s="12"/>
      <c r="AH963" s="12"/>
      <c r="AI963" s="12">
        <f t="shared" si="282"/>
        <v>0</v>
      </c>
      <c r="AK963" s="62"/>
      <c r="AL963" s="66"/>
      <c r="AM963" s="86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10">
        <v>18</v>
      </c>
      <c r="B964" s="30"/>
      <c r="C964" s="83"/>
      <c r="D964" s="32"/>
      <c r="E964" s="32"/>
      <c r="F964" s="32"/>
      <c r="G964" s="32">
        <f t="shared" si="279"/>
        <v>0</v>
      </c>
      <c r="H964" s="12"/>
      <c r="I964" s="12"/>
      <c r="J964" s="12"/>
      <c r="K964" s="12">
        <f t="shared" si="280"/>
        <v>0</v>
      </c>
      <c r="M964" s="62"/>
      <c r="N964" s="66"/>
      <c r="O964" s="88"/>
      <c r="P964" s="60"/>
      <c r="Q964" s="60"/>
      <c r="R964" s="60"/>
      <c r="S964" s="60"/>
      <c r="T964" s="61"/>
      <c r="U964" s="61"/>
      <c r="V964" s="61"/>
      <c r="W964" s="61"/>
      <c r="Y964" s="10">
        <v>18</v>
      </c>
      <c r="Z964" s="30"/>
      <c r="AA964" s="31"/>
      <c r="AB964" s="32"/>
      <c r="AC964" s="32"/>
      <c r="AD964" s="32"/>
      <c r="AE964" s="32">
        <f t="shared" si="286"/>
        <v>0</v>
      </c>
      <c r="AF964" s="12"/>
      <c r="AG964" s="12"/>
      <c r="AH964" s="12"/>
      <c r="AI964" s="12">
        <f t="shared" si="282"/>
        <v>0</v>
      </c>
      <c r="AK964" s="62"/>
      <c r="AL964" s="66"/>
      <c r="AM964" s="86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10">
        <v>19</v>
      </c>
      <c r="B965" s="30"/>
      <c r="C965" s="83"/>
      <c r="D965" s="32"/>
      <c r="E965" s="32"/>
      <c r="F965" s="32"/>
      <c r="G965" s="32">
        <f t="shared" si="279"/>
        <v>0</v>
      </c>
      <c r="H965" s="12"/>
      <c r="I965" s="12"/>
      <c r="J965" s="12"/>
      <c r="K965" s="12">
        <f t="shared" si="280"/>
        <v>0</v>
      </c>
      <c r="M965" s="62"/>
      <c r="N965" s="66"/>
      <c r="O965" s="88"/>
      <c r="P965" s="60"/>
      <c r="Q965" s="60"/>
      <c r="R965" s="60"/>
      <c r="S965" s="60"/>
      <c r="T965" s="61"/>
      <c r="U965" s="61"/>
      <c r="V965" s="61"/>
      <c r="W965" s="61"/>
      <c r="Y965" s="10">
        <v>19</v>
      </c>
      <c r="Z965" s="30"/>
      <c r="AA965" s="31"/>
      <c r="AB965" s="32"/>
      <c r="AC965" s="32"/>
      <c r="AD965" s="32"/>
      <c r="AE965" s="32">
        <f t="shared" si="286"/>
        <v>0</v>
      </c>
      <c r="AF965" s="12"/>
      <c r="AG965" s="12"/>
      <c r="AH965" s="12"/>
      <c r="AI965" s="12">
        <f t="shared" si="282"/>
        <v>0</v>
      </c>
      <c r="AK965" s="62"/>
      <c r="AL965" s="66"/>
      <c r="AM965" s="86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10">
        <v>20</v>
      </c>
      <c r="B966" s="30"/>
      <c r="C966" s="83"/>
      <c r="D966" s="32"/>
      <c r="E966" s="32"/>
      <c r="F966" s="32"/>
      <c r="G966" s="32">
        <f t="shared" si="279"/>
        <v>0</v>
      </c>
      <c r="H966" s="12"/>
      <c r="I966" s="12"/>
      <c r="J966" s="12"/>
      <c r="K966" s="12">
        <f t="shared" si="280"/>
        <v>0</v>
      </c>
      <c r="M966" s="62"/>
      <c r="N966" s="66"/>
      <c r="O966" s="88"/>
      <c r="P966" s="60"/>
      <c r="Q966" s="60"/>
      <c r="R966" s="60"/>
      <c r="S966" s="60"/>
      <c r="T966" s="61"/>
      <c r="U966" s="61"/>
      <c r="V966" s="61"/>
      <c r="W966" s="61"/>
      <c r="Y966" s="10">
        <v>20</v>
      </c>
      <c r="Z966" s="30"/>
      <c r="AB966" s="32"/>
      <c r="AC966" s="32"/>
      <c r="AD966" s="32"/>
      <c r="AE966" s="32">
        <f t="shared" si="286"/>
        <v>0</v>
      </c>
      <c r="AF966" s="12"/>
      <c r="AG966" s="12"/>
      <c r="AH966" s="12"/>
      <c r="AI966" s="12">
        <f t="shared" si="282"/>
        <v>0</v>
      </c>
      <c r="AK966" s="62"/>
      <c r="AL966" s="66"/>
      <c r="AM966" s="86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10">
        <v>21</v>
      </c>
      <c r="B967" s="30"/>
      <c r="C967" s="83"/>
      <c r="D967" s="32"/>
      <c r="E967" s="32"/>
      <c r="F967" s="32"/>
      <c r="G967" s="32">
        <f t="shared" si="279"/>
        <v>0</v>
      </c>
      <c r="H967" s="10"/>
      <c r="I967" s="10"/>
      <c r="J967" s="10"/>
      <c r="K967" s="12">
        <f t="shared" si="280"/>
        <v>0</v>
      </c>
      <c r="M967" s="62"/>
      <c r="N967" s="66"/>
      <c r="O967" s="88"/>
      <c r="P967" s="89"/>
      <c r="Q967" s="88"/>
      <c r="R967" s="88"/>
      <c r="S967" s="60"/>
      <c r="T967" s="62"/>
      <c r="U967" s="62"/>
      <c r="V967" s="62"/>
      <c r="W967" s="61"/>
      <c r="Y967" s="10">
        <v>21</v>
      </c>
      <c r="Z967" s="30"/>
      <c r="AA967" s="31"/>
      <c r="AB967" s="46"/>
      <c r="AC967" s="31"/>
      <c r="AD967" s="31"/>
      <c r="AE967" s="32">
        <f t="shared" si="286"/>
        <v>0</v>
      </c>
      <c r="AF967" s="10"/>
      <c r="AG967" s="10"/>
      <c r="AH967" s="10"/>
      <c r="AI967" s="12">
        <f t="shared" si="282"/>
        <v>0</v>
      </c>
      <c r="AK967" s="62"/>
      <c r="AL967" s="66"/>
      <c r="AM967" s="86"/>
      <c r="AN967" s="67"/>
      <c r="AO967" s="86"/>
      <c r="AP967" s="86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10">
        <v>22</v>
      </c>
      <c r="B968" s="30"/>
      <c r="C968" s="57"/>
      <c r="D968" s="32"/>
      <c r="E968" s="32"/>
      <c r="F968" s="32"/>
      <c r="G968" s="32">
        <f t="shared" si="279"/>
        <v>0</v>
      </c>
      <c r="H968" s="10"/>
      <c r="I968" s="10"/>
      <c r="J968" s="10"/>
      <c r="K968" s="12">
        <f t="shared" si="280"/>
        <v>0</v>
      </c>
      <c r="M968" s="62"/>
      <c r="N968" s="66"/>
      <c r="O968" s="62"/>
      <c r="P968" s="89"/>
      <c r="Q968" s="88"/>
      <c r="R968" s="88"/>
      <c r="S968" s="60"/>
      <c r="T968" s="62"/>
      <c r="U968" s="62"/>
      <c r="V968" s="62"/>
      <c r="W968" s="61"/>
      <c r="Y968" s="10">
        <v>22</v>
      </c>
      <c r="Z968" s="30"/>
      <c r="AA968" s="31"/>
      <c r="AB968" s="45"/>
      <c r="AC968" s="31"/>
      <c r="AD968" s="31"/>
      <c r="AE968" s="32">
        <f t="shared" si="286"/>
        <v>0</v>
      </c>
      <c r="AF968" s="10"/>
      <c r="AG968" s="10"/>
      <c r="AH968" s="10"/>
      <c r="AI968" s="12">
        <f t="shared" si="282"/>
        <v>0</v>
      </c>
      <c r="AK968" s="62"/>
      <c r="AL968" s="66"/>
      <c r="AM968" s="86"/>
      <c r="AN968" s="68"/>
      <c r="AO968" s="86"/>
      <c r="AP968" s="86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10">
        <v>23</v>
      </c>
      <c r="B969" s="30"/>
      <c r="C969" s="83"/>
      <c r="D969" s="32"/>
      <c r="E969" s="32"/>
      <c r="F969" s="32"/>
      <c r="G969" s="32">
        <f t="shared" si="279"/>
        <v>0</v>
      </c>
      <c r="H969" s="10"/>
      <c r="I969" s="10"/>
      <c r="J969" s="12"/>
      <c r="K969" s="12">
        <f t="shared" si="280"/>
        <v>0</v>
      </c>
      <c r="M969" s="62"/>
      <c r="N969" s="66"/>
      <c r="O969" s="88"/>
      <c r="P969" s="69"/>
      <c r="Q969" s="88"/>
      <c r="R969" s="62"/>
      <c r="S969" s="60"/>
      <c r="T969" s="62"/>
      <c r="U969" s="62"/>
      <c r="V969" s="62"/>
      <c r="W969" s="61"/>
      <c r="Y969" s="10">
        <v>23</v>
      </c>
      <c r="Z969" s="30"/>
      <c r="AA969" s="31"/>
      <c r="AB969" s="47"/>
      <c r="AC969" s="31"/>
      <c r="AE969" s="32">
        <f t="shared" si="286"/>
        <v>0</v>
      </c>
      <c r="AF969" s="10"/>
      <c r="AG969" s="10"/>
      <c r="AH969" s="10"/>
      <c r="AI969" s="12">
        <f t="shared" si="282"/>
        <v>0</v>
      </c>
      <c r="AK969" s="62"/>
      <c r="AL969" s="66"/>
      <c r="AM969" s="86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10">
        <v>24</v>
      </c>
      <c r="B970" s="30"/>
      <c r="C970" s="83"/>
      <c r="D970" s="32"/>
      <c r="E970" s="32"/>
      <c r="F970" s="32"/>
      <c r="G970" s="32">
        <f t="shared" si="279"/>
        <v>0</v>
      </c>
      <c r="H970" s="10"/>
      <c r="I970" s="10"/>
      <c r="J970" s="10"/>
      <c r="K970" s="12">
        <f t="shared" si="280"/>
        <v>0</v>
      </c>
      <c r="M970" s="62"/>
      <c r="N970" s="66"/>
      <c r="O970" s="62"/>
      <c r="P970" s="69"/>
      <c r="Q970" s="88"/>
      <c r="R970" s="88"/>
      <c r="S970" s="60"/>
      <c r="T970" s="62"/>
      <c r="U970" s="62"/>
      <c r="V970" s="62"/>
      <c r="W970" s="61"/>
      <c r="Y970" s="10">
        <v>24</v>
      </c>
      <c r="Z970" s="30"/>
      <c r="AA970" s="31"/>
      <c r="AB970" s="47"/>
      <c r="AC970" s="31"/>
      <c r="AD970" s="31"/>
      <c r="AE970" s="32">
        <f t="shared" si="286"/>
        <v>0</v>
      </c>
      <c r="AF970" s="10"/>
      <c r="AG970" s="10"/>
      <c r="AH970" s="10"/>
      <c r="AI970" s="12">
        <f t="shared" si="282"/>
        <v>0</v>
      </c>
      <c r="AK970" s="62"/>
      <c r="AL970" s="66"/>
      <c r="AM970" s="86"/>
      <c r="AN970" s="69"/>
      <c r="AO970" s="86"/>
      <c r="AP970" s="86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10">
        <v>25</v>
      </c>
      <c r="B971" s="30"/>
      <c r="C971" s="83"/>
      <c r="D971" s="32"/>
      <c r="E971" s="32"/>
      <c r="F971" s="32"/>
      <c r="G971" s="32">
        <f t="shared" si="279"/>
        <v>0</v>
      </c>
      <c r="H971" s="10"/>
      <c r="I971" s="10"/>
      <c r="J971" s="10"/>
      <c r="K971" s="12">
        <f t="shared" si="280"/>
        <v>0</v>
      </c>
      <c r="M971" s="62"/>
      <c r="N971" s="66"/>
      <c r="O971" s="88"/>
      <c r="P971" s="69"/>
      <c r="Q971" s="88"/>
      <c r="R971" s="88"/>
      <c r="S971" s="60"/>
      <c r="T971" s="62"/>
      <c r="U971" s="62"/>
      <c r="V971" s="62"/>
      <c r="W971" s="61"/>
      <c r="Y971" s="10">
        <v>25</v>
      </c>
      <c r="Z971" s="30"/>
      <c r="AA971" s="31"/>
      <c r="AB971" s="47"/>
      <c r="AC971" s="31"/>
      <c r="AD971" s="31"/>
      <c r="AE971" s="32">
        <f t="shared" si="286"/>
        <v>0</v>
      </c>
      <c r="AF971" s="10"/>
      <c r="AG971" s="10"/>
      <c r="AH971" s="10"/>
      <c r="AI971" s="12">
        <f t="shared" si="282"/>
        <v>0</v>
      </c>
      <c r="AK971" s="62"/>
      <c r="AL971" s="66"/>
      <c r="AM971" s="86"/>
      <c r="AN971" s="69"/>
      <c r="AO971" s="86"/>
      <c r="AP971" s="86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10">
        <v>26</v>
      </c>
      <c r="B972" s="30"/>
      <c r="C972" s="83"/>
      <c r="D972" s="32"/>
      <c r="E972" s="32"/>
      <c r="F972" s="32"/>
      <c r="G972" s="32">
        <f t="shared" si="279"/>
        <v>0</v>
      </c>
      <c r="H972" s="10"/>
      <c r="I972" s="10"/>
      <c r="J972" s="10"/>
      <c r="K972" s="12">
        <f t="shared" si="280"/>
        <v>0</v>
      </c>
      <c r="M972" s="62"/>
      <c r="N972" s="66"/>
      <c r="O972" s="88"/>
      <c r="P972" s="69"/>
      <c r="Q972" s="88"/>
      <c r="R972" s="88"/>
      <c r="S972" s="60"/>
      <c r="T972" s="62"/>
      <c r="U972" s="62"/>
      <c r="V972" s="62"/>
      <c r="W972" s="61"/>
      <c r="Y972" s="10">
        <v>26</v>
      </c>
      <c r="Z972" s="30"/>
      <c r="AA972" s="31"/>
      <c r="AB972" s="47"/>
      <c r="AC972" s="31"/>
      <c r="AD972" s="31"/>
      <c r="AE972" s="32">
        <f t="shared" si="286"/>
        <v>0</v>
      </c>
      <c r="AF972" s="10"/>
      <c r="AG972" s="10"/>
      <c r="AH972" s="10"/>
      <c r="AI972" s="12">
        <f t="shared" si="282"/>
        <v>0</v>
      </c>
      <c r="AK972" s="62"/>
      <c r="AL972" s="66"/>
      <c r="AM972" s="86"/>
      <c r="AN972" s="69"/>
      <c r="AO972" s="86"/>
      <c r="AP972" s="86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10">
        <v>27</v>
      </c>
      <c r="B973" s="30"/>
      <c r="C973" s="83"/>
      <c r="D973" s="32"/>
      <c r="E973" s="32"/>
      <c r="F973" s="32"/>
      <c r="G973" s="32">
        <f t="shared" si="279"/>
        <v>0</v>
      </c>
      <c r="H973" s="10"/>
      <c r="I973" s="10"/>
      <c r="J973" s="10"/>
      <c r="K973" s="12">
        <f t="shared" si="280"/>
        <v>0</v>
      </c>
      <c r="M973" s="62"/>
      <c r="N973" s="66"/>
      <c r="O973" s="88"/>
      <c r="P973" s="69"/>
      <c r="Q973" s="88"/>
      <c r="R973" s="88"/>
      <c r="S973" s="60"/>
      <c r="T973" s="62"/>
      <c r="U973" s="62"/>
      <c r="V973" s="62"/>
      <c r="W973" s="61"/>
      <c r="Y973" s="10">
        <v>27</v>
      </c>
      <c r="Z973" s="30"/>
      <c r="AA973" s="31"/>
      <c r="AB973" s="47"/>
      <c r="AC973" s="31"/>
      <c r="AD973" s="31"/>
      <c r="AE973" s="32">
        <f t="shared" si="286"/>
        <v>0</v>
      </c>
      <c r="AF973" s="10"/>
      <c r="AG973" s="10"/>
      <c r="AH973" s="10"/>
      <c r="AI973" s="12">
        <f t="shared" si="282"/>
        <v>0</v>
      </c>
      <c r="AK973" s="62"/>
      <c r="AL973" s="66"/>
      <c r="AM973" s="86"/>
      <c r="AN973" s="69"/>
      <c r="AO973" s="86"/>
      <c r="AP973" s="86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10">
        <v>28</v>
      </c>
      <c r="B974" s="30"/>
      <c r="C974" s="83"/>
      <c r="D974" s="32"/>
      <c r="E974" s="32"/>
      <c r="F974" s="32"/>
      <c r="G974" s="32">
        <f t="shared" si="279"/>
        <v>0</v>
      </c>
      <c r="H974" s="10"/>
      <c r="I974" s="10"/>
      <c r="J974" s="10"/>
      <c r="K974" s="12">
        <f t="shared" si="280"/>
        <v>0</v>
      </c>
      <c r="M974" s="62"/>
      <c r="N974" s="66"/>
      <c r="O974" s="88"/>
      <c r="P974" s="69"/>
      <c r="Q974" s="88"/>
      <c r="R974" s="88"/>
      <c r="S974" s="60"/>
      <c r="T974" s="62"/>
      <c r="U974" s="62"/>
      <c r="V974" s="62"/>
      <c r="W974" s="61"/>
      <c r="Y974" s="10">
        <v>28</v>
      </c>
      <c r="Z974" s="30"/>
      <c r="AA974" s="31"/>
      <c r="AB974" s="47"/>
      <c r="AC974" s="31"/>
      <c r="AD974" s="31"/>
      <c r="AE974" s="32">
        <f t="shared" si="286"/>
        <v>0</v>
      </c>
      <c r="AF974" s="10"/>
      <c r="AG974" s="10"/>
      <c r="AH974" s="10"/>
      <c r="AI974" s="12">
        <f t="shared" si="282"/>
        <v>0</v>
      </c>
      <c r="AK974" s="62"/>
      <c r="AL974" s="66"/>
      <c r="AM974" s="86"/>
      <c r="AN974" s="69"/>
      <c r="AO974" s="86"/>
      <c r="AP974" s="86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10">
        <v>29</v>
      </c>
      <c r="B975" s="30"/>
      <c r="C975" s="83"/>
      <c r="D975" s="32"/>
      <c r="E975" s="32"/>
      <c r="F975" s="32"/>
      <c r="G975" s="32">
        <f t="shared" si="279"/>
        <v>0</v>
      </c>
      <c r="H975" s="10"/>
      <c r="I975" s="10"/>
      <c r="J975" s="10"/>
      <c r="K975" s="12">
        <f t="shared" si="280"/>
        <v>0</v>
      </c>
      <c r="M975" s="62"/>
      <c r="N975" s="66"/>
      <c r="O975" s="88"/>
      <c r="P975" s="69"/>
      <c r="Q975" s="88"/>
      <c r="R975" s="88"/>
      <c r="S975" s="60"/>
      <c r="T975" s="62"/>
      <c r="U975" s="62"/>
      <c r="V975" s="62"/>
      <c r="W975" s="61"/>
      <c r="Y975" s="10">
        <v>29</v>
      </c>
      <c r="Z975" s="30"/>
      <c r="AA975" s="31"/>
      <c r="AB975" s="47"/>
      <c r="AC975" s="31"/>
      <c r="AD975" s="31"/>
      <c r="AE975" s="32">
        <f t="shared" si="286"/>
        <v>0</v>
      </c>
      <c r="AF975" s="10"/>
      <c r="AG975" s="10"/>
      <c r="AH975" s="10"/>
      <c r="AI975" s="12">
        <f t="shared" si="282"/>
        <v>0</v>
      </c>
      <c r="AK975" s="62"/>
      <c r="AL975" s="66"/>
      <c r="AM975" s="86"/>
      <c r="AN975" s="69"/>
      <c r="AO975" s="86"/>
      <c r="AP975" s="86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10">
        <v>30</v>
      </c>
      <c r="B976" s="30"/>
      <c r="C976" s="83"/>
      <c r="D976" s="32"/>
      <c r="E976" s="32"/>
      <c r="F976" s="32"/>
      <c r="G976" s="32">
        <f t="shared" si="279"/>
        <v>0</v>
      </c>
      <c r="H976" s="10"/>
      <c r="I976" s="10"/>
      <c r="J976" s="10"/>
      <c r="K976" s="12">
        <f t="shared" si="280"/>
        <v>0</v>
      </c>
      <c r="M976" s="62"/>
      <c r="N976" s="66"/>
      <c r="O976" s="62"/>
      <c r="P976" s="69"/>
      <c r="Q976" s="88"/>
      <c r="R976" s="88"/>
      <c r="S976" s="60"/>
      <c r="T976" s="62"/>
      <c r="U976" s="62"/>
      <c r="V976" s="62"/>
      <c r="W976" s="61"/>
      <c r="Y976" s="10">
        <v>30</v>
      </c>
      <c r="Z976" s="30"/>
      <c r="AA976" s="31"/>
      <c r="AB976" s="47"/>
      <c r="AC976" s="31"/>
      <c r="AD976" s="31"/>
      <c r="AE976" s="32">
        <f t="shared" si="286"/>
        <v>0</v>
      </c>
      <c r="AF976" s="10"/>
      <c r="AG976" s="10"/>
      <c r="AH976" s="10"/>
      <c r="AI976" s="12">
        <f t="shared" si="282"/>
        <v>0</v>
      </c>
      <c r="AK976" s="62"/>
      <c r="AL976" s="66"/>
      <c r="AM976" s="86"/>
      <c r="AN976" s="69"/>
      <c r="AO976" s="86"/>
      <c r="AP976" s="86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10">
        <v>31</v>
      </c>
      <c r="B977" s="30"/>
      <c r="C977" s="11"/>
      <c r="D977" s="32"/>
      <c r="E977" s="32"/>
      <c r="F977" s="32"/>
      <c r="G977" s="32">
        <f t="shared" si="279"/>
        <v>0</v>
      </c>
      <c r="H977" s="10"/>
      <c r="I977" s="10"/>
      <c r="J977" s="10"/>
      <c r="K977" s="12">
        <f t="shared" si="280"/>
        <v>0</v>
      </c>
      <c r="M977" s="62"/>
      <c r="N977" s="66"/>
      <c r="O977" s="88"/>
      <c r="P977" s="69"/>
      <c r="Q977" s="88"/>
      <c r="R977" s="88"/>
      <c r="S977" s="60"/>
      <c r="T977" s="62"/>
      <c r="U977" s="62"/>
      <c r="V977" s="62"/>
      <c r="W977" s="61"/>
      <c r="Y977" s="10">
        <v>31</v>
      </c>
      <c r="Z977" s="30"/>
      <c r="AA977" s="31"/>
      <c r="AB977" s="47"/>
      <c r="AC977" s="31"/>
      <c r="AD977" s="31"/>
      <c r="AE977" s="32">
        <f t="shared" si="286"/>
        <v>0</v>
      </c>
      <c r="AF977" s="10"/>
      <c r="AG977" s="10"/>
      <c r="AH977" s="10"/>
      <c r="AI977" s="12">
        <f t="shared" si="282"/>
        <v>0</v>
      </c>
      <c r="AK977" s="62"/>
      <c r="AL977" s="66"/>
      <c r="AM977" s="62"/>
      <c r="AN977" s="69"/>
      <c r="AO977" s="86"/>
      <c r="AP977" s="86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10">
        <v>32</v>
      </c>
      <c r="B978" s="30"/>
      <c r="C978" s="83"/>
      <c r="D978" s="32"/>
      <c r="E978" s="32"/>
      <c r="F978" s="32"/>
      <c r="G978" s="32">
        <f t="shared" si="279"/>
        <v>0</v>
      </c>
      <c r="H978" s="10"/>
      <c r="I978" s="10"/>
      <c r="J978" s="10"/>
      <c r="K978" s="12">
        <f t="shared" si="280"/>
        <v>0</v>
      </c>
      <c r="M978" s="62"/>
      <c r="N978" s="66"/>
      <c r="O978" s="88"/>
      <c r="P978" s="69"/>
      <c r="Q978" s="88"/>
      <c r="R978" s="88"/>
      <c r="S978" s="60"/>
      <c r="T978" s="62"/>
      <c r="U978" s="62"/>
      <c r="V978" s="62"/>
      <c r="W978" s="61"/>
      <c r="Y978" s="10">
        <v>32</v>
      </c>
      <c r="Z978" s="30"/>
      <c r="AA978" s="31"/>
      <c r="AB978" s="47"/>
      <c r="AC978" s="31"/>
      <c r="AD978" s="31"/>
      <c r="AE978" s="32">
        <f t="shared" si="286"/>
        <v>0</v>
      </c>
      <c r="AF978" s="10"/>
      <c r="AG978" s="10"/>
      <c r="AH978" s="10"/>
      <c r="AI978" s="12">
        <f t="shared" si="282"/>
        <v>0</v>
      </c>
      <c r="AK978" s="62"/>
      <c r="AL978" s="66"/>
      <c r="AM978" s="86"/>
      <c r="AN978" s="69"/>
      <c r="AO978" s="86"/>
      <c r="AP978" s="86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10">
        <v>33</v>
      </c>
      <c r="B979" s="30"/>
      <c r="C979" s="83"/>
      <c r="D979" s="32"/>
      <c r="E979" s="32"/>
      <c r="F979" s="32"/>
      <c r="G979" s="32">
        <f t="shared" si="279"/>
        <v>0</v>
      </c>
      <c r="H979" s="10"/>
      <c r="I979" s="10"/>
      <c r="J979" s="10"/>
      <c r="K979" s="12">
        <f t="shared" si="280"/>
        <v>0</v>
      </c>
      <c r="M979" s="62"/>
      <c r="N979" s="66"/>
      <c r="O979" s="88"/>
      <c r="P979" s="69"/>
      <c r="Q979" s="88"/>
      <c r="R979" s="88"/>
      <c r="S979" s="60"/>
      <c r="T979" s="62"/>
      <c r="U979" s="62"/>
      <c r="V979" s="62"/>
      <c r="W979" s="61"/>
      <c r="Y979" s="10">
        <v>33</v>
      </c>
      <c r="Z979" s="30"/>
      <c r="AA979" s="31"/>
      <c r="AB979" s="47"/>
      <c r="AC979" s="31"/>
      <c r="AD979" s="31"/>
      <c r="AE979" s="32">
        <f t="shared" si="286"/>
        <v>0</v>
      </c>
      <c r="AF979" s="10"/>
      <c r="AG979" s="10"/>
      <c r="AH979" s="10"/>
      <c r="AI979" s="12">
        <f t="shared" si="282"/>
        <v>0</v>
      </c>
      <c r="AK979" s="62"/>
      <c r="AL979" s="66"/>
      <c r="AM979" s="86"/>
      <c r="AN979" s="69"/>
      <c r="AO979" s="86"/>
      <c r="AP979" s="86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10"/>
      <c r="B980" s="30"/>
      <c r="C980" s="83"/>
      <c r="D980" s="32"/>
      <c r="E980" s="32"/>
      <c r="F980" s="32"/>
      <c r="G980" s="32">
        <f t="shared" si="279"/>
        <v>0</v>
      </c>
      <c r="H980" s="10"/>
      <c r="I980" s="10"/>
      <c r="J980" s="10"/>
      <c r="K980" s="12">
        <f t="shared" si="280"/>
        <v>0</v>
      </c>
      <c r="M980" s="62"/>
      <c r="N980" s="66"/>
      <c r="O980" s="88"/>
      <c r="P980" s="69"/>
      <c r="Q980" s="88"/>
      <c r="R980" s="88"/>
      <c r="S980" s="60"/>
      <c r="T980" s="62"/>
      <c r="U980" s="62"/>
      <c r="V980" s="62"/>
      <c r="W980" s="61"/>
      <c r="Y980" s="10">
        <v>34</v>
      </c>
      <c r="Z980" s="30"/>
      <c r="AA980" s="31"/>
      <c r="AB980" s="47"/>
      <c r="AC980" s="31"/>
      <c r="AD980" s="31"/>
      <c r="AE980" s="32">
        <f t="shared" si="286"/>
        <v>0</v>
      </c>
      <c r="AF980" s="10"/>
      <c r="AG980" s="10"/>
      <c r="AH980" s="10"/>
      <c r="AI980" s="12">
        <f t="shared" ref="AI980:AI988" si="287">SUM(AE980:AH980)</f>
        <v>0</v>
      </c>
      <c r="AK980" s="62"/>
      <c r="AL980" s="66"/>
      <c r="AM980" s="62"/>
      <c r="AN980" s="69"/>
      <c r="AO980" s="86"/>
      <c r="AP980" s="86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10"/>
      <c r="B981" s="30"/>
      <c r="C981" s="83"/>
      <c r="D981" s="32"/>
      <c r="E981" s="32"/>
      <c r="F981" s="32"/>
      <c r="G981" s="32"/>
      <c r="H981" s="10"/>
      <c r="I981" s="10"/>
      <c r="J981" s="10"/>
      <c r="K981" s="12"/>
      <c r="M981" s="62"/>
      <c r="N981" s="66"/>
      <c r="O981" s="88"/>
      <c r="P981" s="69"/>
      <c r="Q981" s="88"/>
      <c r="R981" s="88"/>
      <c r="S981" s="60"/>
      <c r="T981" s="62"/>
      <c r="U981" s="62"/>
      <c r="V981" s="62"/>
      <c r="W981" s="61"/>
      <c r="Y981" s="10">
        <v>35</v>
      </c>
      <c r="Z981" s="30"/>
      <c r="AA981" s="31"/>
      <c r="AB981" s="47"/>
      <c r="AC981" s="31"/>
      <c r="AD981" s="31"/>
      <c r="AE981" s="32">
        <f t="shared" si="286"/>
        <v>0</v>
      </c>
      <c r="AF981" s="10"/>
      <c r="AG981" s="10"/>
      <c r="AH981" s="10"/>
      <c r="AI981" s="12">
        <f t="shared" si="287"/>
        <v>0</v>
      </c>
      <c r="AK981" s="62"/>
      <c r="AL981" s="66"/>
      <c r="AM981" s="86"/>
      <c r="AN981" s="69"/>
      <c r="AO981" s="86"/>
      <c r="AP981" s="86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10"/>
      <c r="B982" s="30"/>
      <c r="C982" s="83"/>
      <c r="D982" s="32"/>
      <c r="E982" s="32"/>
      <c r="F982" s="32"/>
      <c r="G982" s="32"/>
      <c r="H982" s="10"/>
      <c r="I982" s="10"/>
      <c r="J982" s="10"/>
      <c r="K982" s="12"/>
      <c r="M982" s="62"/>
      <c r="N982" s="66"/>
      <c r="O982" s="88"/>
      <c r="P982" s="69"/>
      <c r="Q982" s="88"/>
      <c r="R982" s="88"/>
      <c r="S982" s="60"/>
      <c r="T982" s="62"/>
      <c r="U982" s="62"/>
      <c r="V982" s="62"/>
      <c r="W982" s="61"/>
      <c r="Y982" s="10">
        <v>36</v>
      </c>
      <c r="Z982" s="30"/>
      <c r="AA982" s="31"/>
      <c r="AB982" s="47"/>
      <c r="AC982" s="31"/>
      <c r="AD982" s="31"/>
      <c r="AE982" s="32">
        <f t="shared" si="286"/>
        <v>0</v>
      </c>
      <c r="AF982" s="10"/>
      <c r="AG982" s="10"/>
      <c r="AH982" s="10"/>
      <c r="AI982" s="12">
        <f t="shared" si="287"/>
        <v>0</v>
      </c>
      <c r="AK982" s="62"/>
      <c r="AL982" s="66"/>
      <c r="AM982" s="86"/>
      <c r="AN982" s="69"/>
      <c r="AO982" s="86"/>
      <c r="AP982" s="86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10"/>
      <c r="B983" s="30"/>
      <c r="C983" s="31"/>
      <c r="D983" s="32"/>
      <c r="E983" s="32"/>
      <c r="F983" s="32"/>
      <c r="G983" s="32"/>
      <c r="H983" s="10"/>
      <c r="I983" s="10"/>
      <c r="J983" s="10"/>
      <c r="K983" s="12"/>
      <c r="M983" s="62"/>
      <c r="N983" s="66"/>
      <c r="O983" s="62"/>
      <c r="P983" s="69"/>
      <c r="Q983" s="88"/>
      <c r="R983" s="88"/>
      <c r="S983" s="60"/>
      <c r="T983" s="62"/>
      <c r="U983" s="62"/>
      <c r="V983" s="62"/>
      <c r="W983" s="61"/>
      <c r="Y983" s="10">
        <v>37</v>
      </c>
      <c r="Z983" s="30"/>
      <c r="AA983" s="31"/>
      <c r="AB983" s="47"/>
      <c r="AC983" s="31"/>
      <c r="AD983" s="31"/>
      <c r="AE983" s="32">
        <f t="shared" si="286"/>
        <v>0</v>
      </c>
      <c r="AF983" s="10"/>
      <c r="AG983" s="10"/>
      <c r="AH983" s="10"/>
      <c r="AI983" s="12">
        <f t="shared" si="287"/>
        <v>0</v>
      </c>
      <c r="AK983" s="62"/>
      <c r="AL983" s="66"/>
      <c r="AM983" s="86"/>
      <c r="AN983" s="69"/>
      <c r="AO983" s="86"/>
      <c r="AP983" s="86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10"/>
      <c r="B984" s="30"/>
      <c r="C984" s="31"/>
      <c r="D984" s="32"/>
      <c r="E984" s="32"/>
      <c r="F984" s="32"/>
      <c r="G984" s="32"/>
      <c r="H984" s="10"/>
      <c r="I984" s="10"/>
      <c r="J984" s="10"/>
      <c r="K984" s="12"/>
      <c r="M984" s="62"/>
      <c r="N984" s="66"/>
      <c r="O984" s="88"/>
      <c r="P984" s="69"/>
      <c r="Q984" s="88"/>
      <c r="R984" s="88"/>
      <c r="S984" s="60"/>
      <c r="T984" s="62"/>
      <c r="U984" s="62"/>
      <c r="V984" s="62"/>
      <c r="W984" s="61"/>
      <c r="Y984" s="10">
        <v>38</v>
      </c>
      <c r="Z984" s="30"/>
      <c r="AA984" s="31"/>
      <c r="AB984" s="47"/>
      <c r="AC984" s="31"/>
      <c r="AD984" s="31"/>
      <c r="AE984" s="32">
        <f t="shared" si="286"/>
        <v>0</v>
      </c>
      <c r="AF984" s="10"/>
      <c r="AG984" s="10"/>
      <c r="AH984" s="10"/>
      <c r="AI984" s="12">
        <f t="shared" si="287"/>
        <v>0</v>
      </c>
      <c r="AK984" s="62"/>
      <c r="AL984" s="66"/>
      <c r="AM984" s="86"/>
      <c r="AN984" s="69"/>
      <c r="AO984" s="86"/>
      <c r="AP984" s="86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10"/>
      <c r="B985" s="30"/>
      <c r="C985" s="31"/>
      <c r="D985" s="32"/>
      <c r="E985" s="32"/>
      <c r="F985" s="32"/>
      <c r="G985" s="32"/>
      <c r="H985" s="10"/>
      <c r="I985" s="10"/>
      <c r="J985" s="10"/>
      <c r="K985" s="12"/>
      <c r="M985" s="62"/>
      <c r="N985" s="66"/>
      <c r="O985" s="88"/>
      <c r="P985" s="69"/>
      <c r="Q985" s="88"/>
      <c r="R985" s="88"/>
      <c r="S985" s="60"/>
      <c r="T985" s="62"/>
      <c r="U985" s="62"/>
      <c r="V985" s="62"/>
      <c r="W985" s="61"/>
      <c r="Y985" s="10">
        <v>39</v>
      </c>
      <c r="Z985" s="30"/>
      <c r="AA985" s="31"/>
      <c r="AB985" s="47"/>
      <c r="AC985" s="31"/>
      <c r="AD985" s="31"/>
      <c r="AE985" s="32">
        <f t="shared" si="286"/>
        <v>0</v>
      </c>
      <c r="AF985" s="10"/>
      <c r="AG985" s="10"/>
      <c r="AH985" s="10"/>
      <c r="AI985" s="12">
        <f t="shared" si="287"/>
        <v>0</v>
      </c>
      <c r="AK985" s="62"/>
      <c r="AL985" s="66"/>
      <c r="AM985" s="86"/>
      <c r="AN985" s="69"/>
      <c r="AO985" s="86"/>
      <c r="AP985" s="86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10"/>
      <c r="B986" s="30"/>
      <c r="C986" s="31"/>
      <c r="D986" s="32"/>
      <c r="E986" s="32"/>
      <c r="F986" s="32"/>
      <c r="G986" s="32"/>
      <c r="H986" s="10"/>
      <c r="I986" s="10"/>
      <c r="J986" s="10"/>
      <c r="K986" s="12"/>
      <c r="M986" s="62"/>
      <c r="N986" s="66"/>
      <c r="O986" s="62"/>
      <c r="P986" s="69"/>
      <c r="Q986" s="88"/>
      <c r="R986" s="88"/>
      <c r="S986" s="60"/>
      <c r="T986" s="62"/>
      <c r="U986" s="62"/>
      <c r="V986" s="62"/>
      <c r="W986" s="61"/>
      <c r="Y986" s="10"/>
      <c r="Z986" s="30"/>
      <c r="AB986" s="47"/>
      <c r="AC986" s="31"/>
      <c r="AD986" s="31"/>
      <c r="AE986" s="32"/>
      <c r="AF986" s="10"/>
      <c r="AG986" s="10"/>
      <c r="AH986" s="10"/>
      <c r="AI986" s="12">
        <f t="shared" si="287"/>
        <v>0</v>
      </c>
      <c r="AK986" s="62"/>
      <c r="AL986" s="66"/>
      <c r="AM986" s="62"/>
      <c r="AN986" s="69"/>
      <c r="AO986" s="86"/>
      <c r="AP986" s="86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10"/>
      <c r="B987" s="30"/>
      <c r="C987" s="31"/>
      <c r="D987" s="32"/>
      <c r="E987" s="32"/>
      <c r="F987" s="32"/>
      <c r="G987" s="32">
        <f t="shared" ref="G987" si="288">SUM(D987:E987)</f>
        <v>0</v>
      </c>
      <c r="H987" s="10"/>
      <c r="I987" s="10"/>
      <c r="J987" s="10"/>
      <c r="K987" s="12">
        <f t="shared" ref="K987" si="289">SUM(G987:J987)</f>
        <v>0</v>
      </c>
      <c r="M987" s="62"/>
      <c r="N987" s="66"/>
      <c r="O987" s="88"/>
      <c r="P987" s="69"/>
      <c r="Q987" s="88"/>
      <c r="R987" s="88"/>
      <c r="S987" s="60"/>
      <c r="T987" s="62"/>
      <c r="U987" s="62"/>
      <c r="V987" s="62"/>
      <c r="W987" s="61"/>
      <c r="Y987" s="10"/>
      <c r="Z987" s="30"/>
      <c r="AA987" s="31"/>
      <c r="AB987" s="47"/>
      <c r="AC987" s="31"/>
      <c r="AD987" s="31"/>
      <c r="AE987" s="32">
        <f t="shared" ref="AE987" si="290">SUM(AB987:AC987)</f>
        <v>0</v>
      </c>
      <c r="AF987" s="10"/>
      <c r="AG987" s="10"/>
      <c r="AH987" s="10"/>
      <c r="AI987" s="12">
        <f t="shared" si="287"/>
        <v>0</v>
      </c>
      <c r="AK987" s="62"/>
      <c r="AL987" s="66"/>
      <c r="AM987" s="86"/>
      <c r="AN987" s="69"/>
      <c r="AO987" s="86"/>
      <c r="AP987" s="86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10"/>
      <c r="B988" s="30"/>
      <c r="C988" s="30"/>
      <c r="D988" s="32"/>
      <c r="E988" s="32"/>
      <c r="F988" s="32"/>
      <c r="G988" s="32"/>
      <c r="H988" s="10"/>
      <c r="I988" s="10"/>
      <c r="J988" s="10"/>
      <c r="K988" s="12"/>
      <c r="M988" s="62"/>
      <c r="N988" s="88"/>
      <c r="O988" s="88"/>
      <c r="P988" s="88"/>
      <c r="Q988" s="88"/>
      <c r="R988" s="88"/>
      <c r="S988" s="88"/>
      <c r="T988" s="62"/>
      <c r="U988" s="62"/>
      <c r="V988" s="62"/>
      <c r="W988" s="61"/>
      <c r="Y988" s="10"/>
      <c r="Z988" s="31"/>
      <c r="AA988" s="31"/>
      <c r="AB988" s="31"/>
      <c r="AC988" s="31"/>
      <c r="AD988" s="31"/>
      <c r="AE988" s="31"/>
      <c r="AF988" s="10"/>
      <c r="AG988" s="10"/>
      <c r="AH988" s="10"/>
      <c r="AI988" s="12">
        <f t="shared" si="287"/>
        <v>0</v>
      </c>
      <c r="AK988" s="62"/>
      <c r="AL988" s="86"/>
      <c r="AM988" s="86"/>
      <c r="AN988" s="86"/>
      <c r="AO988" s="86"/>
      <c r="AP988" s="86"/>
      <c r="AQ988" s="86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B989" s="57"/>
      <c r="C989" s="57"/>
      <c r="D989" s="36"/>
      <c r="E989" s="36"/>
      <c r="F989" s="36"/>
      <c r="G989" s="36"/>
      <c r="H989" s="37"/>
      <c r="I989" s="37"/>
      <c r="J989" s="37"/>
      <c r="K989" s="37"/>
      <c r="M989" s="62"/>
      <c r="N989" s="88"/>
      <c r="O989" s="88"/>
      <c r="P989" s="88"/>
      <c r="Q989" s="88"/>
      <c r="R989" s="88"/>
      <c r="S989" s="88"/>
      <c r="T989" s="62"/>
      <c r="U989" s="62"/>
      <c r="V989" s="62"/>
      <c r="W989" s="62"/>
      <c r="Z989" s="57"/>
      <c r="AA989" s="57"/>
      <c r="AB989" s="36"/>
      <c r="AC989" s="36"/>
      <c r="AD989" s="36"/>
      <c r="AE989" s="36"/>
      <c r="AF989" s="37"/>
      <c r="AG989" s="37"/>
      <c r="AH989" s="37"/>
      <c r="AI989" s="37"/>
      <c r="AK989" s="62"/>
      <c r="AL989" s="86"/>
      <c r="AM989" s="86"/>
      <c r="AN989" s="86"/>
      <c r="AO989" s="86"/>
      <c r="AP989" s="86"/>
      <c r="AQ989" s="86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B990" s="57"/>
      <c r="C990" s="57"/>
      <c r="D990" s="38">
        <f>SUM(D947:D989)</f>
        <v>457661</v>
      </c>
      <c r="E990" s="38">
        <f t="shared" ref="E990:F990" si="291">SUM(E947:E987)</f>
        <v>-3888</v>
      </c>
      <c r="F990" s="38">
        <f t="shared" si="291"/>
        <v>0</v>
      </c>
      <c r="G990" s="38">
        <f>SUM(G947:G989)</f>
        <v>453773</v>
      </c>
      <c r="H990" s="4"/>
      <c r="I990" s="39">
        <f>SUM(I947:I989)</f>
        <v>7881</v>
      </c>
      <c r="J990" s="39">
        <f>SUM(J947:J989)</f>
        <v>-17112</v>
      </c>
      <c r="K990" s="40">
        <f>SUM(K947:K989)</f>
        <v>444542</v>
      </c>
      <c r="M990" s="62"/>
      <c r="N990" s="88"/>
      <c r="O990" s="88"/>
      <c r="P990" s="70"/>
      <c r="Q990" s="70"/>
      <c r="R990" s="70"/>
      <c r="S990" s="70"/>
      <c r="T990" s="63"/>
      <c r="U990" s="71"/>
      <c r="V990" s="71"/>
      <c r="W990" s="71"/>
      <c r="Z990" s="57"/>
      <c r="AA990" s="57"/>
      <c r="AB990" s="38">
        <f>SUM(AB947:AB989)</f>
        <v>398724</v>
      </c>
      <c r="AC990" s="38">
        <f>SUM(AC947:AC971)</f>
        <v>-3036</v>
      </c>
      <c r="AD990" s="38">
        <f>SUM(AD947:AD971)</f>
        <v>0</v>
      </c>
      <c r="AE990" s="38">
        <f>SUM(AE947:AE989)</f>
        <v>395688</v>
      </c>
      <c r="AF990" s="4"/>
      <c r="AG990" s="41">
        <f>SUM(AG947:AG989)</f>
        <v>87</v>
      </c>
      <c r="AH990" s="41">
        <f>SUM(AH947:AH971)</f>
        <v>0</v>
      </c>
      <c r="AI990" s="42">
        <f>SUM(AI947:AI989)</f>
        <v>395775</v>
      </c>
      <c r="AK990" s="62"/>
      <c r="AL990" s="86"/>
      <c r="AM990" s="86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18"/>
      <c r="B991" s="18"/>
      <c r="C991" s="18"/>
      <c r="D991" s="18"/>
      <c r="E991" s="18"/>
      <c r="F991" s="18"/>
      <c r="G991" s="18"/>
      <c r="H991" s="18"/>
      <c r="I991" s="18"/>
      <c r="J991" s="18"/>
      <c r="K991" s="18"/>
      <c r="M991" s="18"/>
      <c r="N991" s="18"/>
      <c r="O991" s="18"/>
      <c r="P991" s="18"/>
      <c r="Q991" s="18"/>
      <c r="R991" s="18"/>
      <c r="S991" s="18"/>
      <c r="T991" s="18"/>
      <c r="U991" s="18"/>
      <c r="V991" s="18"/>
      <c r="W991" s="18"/>
      <c r="Y991" s="18"/>
      <c r="Z991" s="18"/>
      <c r="AA991" s="18"/>
      <c r="AB991" s="18"/>
      <c r="AC991" s="18"/>
      <c r="AD991" s="18"/>
      <c r="AE991" s="18"/>
      <c r="AF991" s="18"/>
      <c r="AG991" s="18"/>
      <c r="AH991" s="18"/>
      <c r="AI991" s="18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t="s">
        <v>0</v>
      </c>
      <c r="B992" s="57"/>
      <c r="C992" s="57"/>
      <c r="D992" s="57"/>
      <c r="E992" s="57"/>
      <c r="G992" s="57"/>
      <c r="M992" t="s">
        <v>0</v>
      </c>
      <c r="N992" s="57"/>
      <c r="O992" s="57"/>
      <c r="P992" s="57"/>
      <c r="Q992" s="57"/>
      <c r="R992" s="57"/>
      <c r="S992" s="57"/>
      <c r="Y992" t="s">
        <v>0</v>
      </c>
      <c r="Z992" s="57"/>
      <c r="AA992" s="57"/>
      <c r="AB992" s="57"/>
      <c r="AC992" s="57"/>
      <c r="AD992" s="57"/>
      <c r="AE992" s="57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t="s">
        <v>28</v>
      </c>
      <c r="B993" s="57"/>
      <c r="C993" s="57"/>
      <c r="D993" s="57"/>
      <c r="E993" s="57"/>
      <c r="G993" s="57"/>
      <c r="M993" t="s">
        <v>28</v>
      </c>
      <c r="N993" s="57"/>
      <c r="O993" s="57"/>
      <c r="P993" s="57"/>
      <c r="Q993" s="57"/>
      <c r="R993" s="57"/>
      <c r="S993" s="57"/>
      <c r="Y993" t="s">
        <v>28</v>
      </c>
      <c r="Z993" s="57"/>
      <c r="AA993" s="57"/>
      <c r="AB993" s="57"/>
      <c r="AC993" s="57"/>
      <c r="AD993" s="57"/>
      <c r="AE993" s="57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B994" s="57"/>
      <c r="C994" s="57"/>
      <c r="D994" s="57"/>
      <c r="E994" s="57"/>
      <c r="G994" s="57"/>
      <c r="N994" s="57"/>
      <c r="O994" s="57"/>
      <c r="P994" s="57"/>
      <c r="Q994" s="57"/>
      <c r="R994" s="57"/>
      <c r="S994" s="57"/>
      <c r="Z994" s="57"/>
      <c r="AA994" s="57"/>
      <c r="AB994" s="57"/>
      <c r="AC994" s="57"/>
      <c r="AD994" s="57"/>
      <c r="AE994" s="57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4" t="s">
        <v>14</v>
      </c>
      <c r="B995" s="57"/>
      <c r="C995" s="57"/>
      <c r="D995" s="57"/>
      <c r="E995" s="57"/>
      <c r="G995" s="57"/>
      <c r="M995" s="4" t="s">
        <v>14</v>
      </c>
      <c r="N995" s="57"/>
      <c r="O995" s="57"/>
      <c r="P995" s="57"/>
      <c r="Q995" s="57"/>
      <c r="R995" s="57"/>
      <c r="S995" s="57"/>
      <c r="Y995" s="4" t="s">
        <v>14</v>
      </c>
      <c r="Z995" s="57"/>
      <c r="AA995" s="57"/>
      <c r="AB995" s="57"/>
      <c r="AC995" s="57"/>
      <c r="AD995" s="57"/>
      <c r="AE995" s="57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B996" s="57"/>
      <c r="C996" s="57"/>
      <c r="D996" s="57"/>
      <c r="E996" s="57"/>
      <c r="G996" s="57"/>
      <c r="N996" s="57"/>
      <c r="O996" s="57"/>
      <c r="P996" s="57"/>
      <c r="Q996" s="57"/>
      <c r="R996" s="57"/>
      <c r="S996" s="57"/>
      <c r="Z996" s="57"/>
      <c r="AA996" s="57"/>
      <c r="AB996" s="57"/>
      <c r="AC996" s="57"/>
      <c r="AD996" s="57"/>
      <c r="AE996" s="57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t="s">
        <v>48</v>
      </c>
      <c r="B997" s="57"/>
      <c r="C997" s="57"/>
      <c r="D997" s="57"/>
      <c r="E997" s="57"/>
      <c r="G997" s="57"/>
      <c r="I997" s="57" t="s">
        <v>15</v>
      </c>
      <c r="J997" s="19">
        <v>1</v>
      </c>
      <c r="M997" t="s">
        <v>48</v>
      </c>
      <c r="N997" s="57"/>
      <c r="O997" s="57"/>
      <c r="P997" s="57"/>
      <c r="Q997" s="57"/>
      <c r="R997" s="57"/>
      <c r="S997" s="57"/>
      <c r="U997" s="57" t="s">
        <v>15</v>
      </c>
      <c r="V997" s="19">
        <v>2</v>
      </c>
      <c r="Y997" t="s">
        <v>48</v>
      </c>
      <c r="Z997" s="57"/>
      <c r="AA997" s="57"/>
      <c r="AB997" s="57"/>
      <c r="AC997" s="57"/>
      <c r="AD997" s="57"/>
      <c r="AE997" s="57"/>
      <c r="AG997" s="57" t="s">
        <v>15</v>
      </c>
      <c r="AH997" s="20">
        <v>3</v>
      </c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21" t="s">
        <v>92</v>
      </c>
      <c r="B998" s="20"/>
      <c r="C998" s="57"/>
      <c r="D998" s="57"/>
      <c r="E998" s="57"/>
      <c r="G998" s="57"/>
      <c r="I998" s="22" t="s">
        <v>16</v>
      </c>
      <c r="J998" s="23" t="s">
        <v>31</v>
      </c>
      <c r="K998" s="24"/>
      <c r="M998" s="21" t="s">
        <v>92</v>
      </c>
      <c r="N998" s="20"/>
      <c r="O998" s="57"/>
      <c r="P998" s="57"/>
      <c r="Q998" s="57"/>
      <c r="R998" s="57"/>
      <c r="S998" s="57"/>
      <c r="U998" s="22" t="s">
        <v>16</v>
      </c>
      <c r="V998" s="23" t="s">
        <v>33</v>
      </c>
      <c r="W998" s="24"/>
      <c r="Y998" s="21" t="s">
        <v>92</v>
      </c>
      <c r="Z998" s="20"/>
      <c r="AA998" s="57"/>
      <c r="AB998" s="57"/>
      <c r="AC998" s="57"/>
      <c r="AD998" s="57"/>
      <c r="AE998" s="57"/>
      <c r="AG998" s="22" t="s">
        <v>16</v>
      </c>
      <c r="AH998" s="23" t="s">
        <v>34</v>
      </c>
      <c r="AI998" s="24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B999" s="57"/>
      <c r="C999" s="57"/>
      <c r="D999" s="57"/>
      <c r="E999" s="57"/>
      <c r="G999" s="57"/>
      <c r="N999" s="57"/>
      <c r="O999" s="57"/>
      <c r="P999" s="57"/>
      <c r="Q999" s="57"/>
      <c r="R999" s="57"/>
      <c r="S999" s="57"/>
      <c r="Z999" s="57"/>
      <c r="AA999" s="57"/>
      <c r="AB999" s="57"/>
      <c r="AC999" s="57"/>
      <c r="AD999" s="57"/>
      <c r="AE999" s="57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B1000" s="25"/>
      <c r="C1000" s="26"/>
      <c r="D1000" s="120" t="s">
        <v>17</v>
      </c>
      <c r="E1000" s="120"/>
      <c r="F1000" s="109"/>
      <c r="G1000" s="27"/>
      <c r="I1000" s="118" t="s">
        <v>18</v>
      </c>
      <c r="J1000" s="119"/>
      <c r="K1000" s="116" t="s">
        <v>19</v>
      </c>
      <c r="N1000" s="25"/>
      <c r="O1000" s="26"/>
      <c r="P1000" s="120" t="s">
        <v>17</v>
      </c>
      <c r="Q1000" s="120"/>
      <c r="R1000" s="109"/>
      <c r="S1000" s="27"/>
      <c r="U1000" s="118" t="s">
        <v>18</v>
      </c>
      <c r="V1000" s="119"/>
      <c r="W1000" s="116" t="s">
        <v>19</v>
      </c>
      <c r="Z1000" s="25"/>
      <c r="AA1000" s="26"/>
      <c r="AB1000" s="120" t="s">
        <v>17</v>
      </c>
      <c r="AC1000" s="120"/>
      <c r="AD1000" s="110"/>
      <c r="AE1000" s="27"/>
      <c r="AG1000" s="118" t="s">
        <v>18</v>
      </c>
      <c r="AH1000" s="119"/>
      <c r="AI1000" s="116" t="s">
        <v>19</v>
      </c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ht="30" x14ac:dyDescent="0.25">
      <c r="B1001" s="28" t="s">
        <v>20</v>
      </c>
      <c r="C1001" s="28" t="s">
        <v>21</v>
      </c>
      <c r="D1001" s="77" t="s">
        <v>22</v>
      </c>
      <c r="E1001" s="76" t="s">
        <v>23</v>
      </c>
      <c r="F1001" s="78" t="s">
        <v>32</v>
      </c>
      <c r="G1001" s="78" t="s">
        <v>24</v>
      </c>
      <c r="I1001" s="29" t="s">
        <v>25</v>
      </c>
      <c r="J1001" s="29" t="s">
        <v>26</v>
      </c>
      <c r="K1001" s="117"/>
      <c r="N1001" s="28" t="s">
        <v>20</v>
      </c>
      <c r="O1001" s="28" t="s">
        <v>21</v>
      </c>
      <c r="P1001" s="77" t="s">
        <v>22</v>
      </c>
      <c r="Q1001" s="78" t="s">
        <v>23</v>
      </c>
      <c r="R1001" s="78" t="s">
        <v>32</v>
      </c>
      <c r="S1001" s="78" t="s">
        <v>24</v>
      </c>
      <c r="U1001" s="29" t="s">
        <v>25</v>
      </c>
      <c r="V1001" s="29" t="s">
        <v>26</v>
      </c>
      <c r="W1001" s="117"/>
      <c r="Z1001" s="28" t="s">
        <v>20</v>
      </c>
      <c r="AA1001" s="28" t="s">
        <v>21</v>
      </c>
      <c r="AB1001" s="77" t="s">
        <v>22</v>
      </c>
      <c r="AC1001" s="78" t="s">
        <v>23</v>
      </c>
      <c r="AD1001" s="78" t="s">
        <v>32</v>
      </c>
      <c r="AE1001" s="78" t="s">
        <v>24</v>
      </c>
      <c r="AG1001" s="29" t="s">
        <v>25</v>
      </c>
      <c r="AH1001" s="29" t="s">
        <v>26</v>
      </c>
      <c r="AI1001" s="117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10">
        <v>1</v>
      </c>
      <c r="B1002" s="30" t="s">
        <v>93</v>
      </c>
      <c r="C1002" s="83">
        <v>10305</v>
      </c>
      <c r="D1002" s="32">
        <f>650*4</f>
        <v>2600</v>
      </c>
      <c r="E1002" s="32"/>
      <c r="F1002" s="32"/>
      <c r="G1002" s="32">
        <f t="shared" ref="G1002:G1035" si="292">SUM(D1002:E1002)</f>
        <v>2600</v>
      </c>
      <c r="H1002" s="12"/>
      <c r="I1002" s="12"/>
      <c r="J1002" s="12"/>
      <c r="K1002" s="12">
        <f t="shared" ref="K1002:K1035" si="293">SUM(G1002:J1002)</f>
        <v>2600</v>
      </c>
      <c r="M1002" s="10">
        <v>1</v>
      </c>
      <c r="N1002" s="30" t="s">
        <v>93</v>
      </c>
      <c r="O1002" s="31">
        <v>10200</v>
      </c>
      <c r="P1002" s="32">
        <f>650*30+622*30+229</f>
        <v>38389</v>
      </c>
      <c r="Q1002" s="32"/>
      <c r="R1002" s="32"/>
      <c r="S1002" s="32">
        <f>SUM(P1002:Q1002)</f>
        <v>38389</v>
      </c>
      <c r="T1002" s="12"/>
      <c r="U1002" s="12">
        <v>78</v>
      </c>
      <c r="V1002" s="12"/>
      <c r="W1002" s="12">
        <f>SUM(S1002:V1002)</f>
        <v>38467</v>
      </c>
      <c r="Y1002" s="10">
        <v>1</v>
      </c>
      <c r="Z1002" s="30" t="s">
        <v>93</v>
      </c>
      <c r="AA1002" s="31">
        <v>10266</v>
      </c>
      <c r="AB1002" s="32">
        <f>650*108+622*30+229*4</f>
        <v>89776</v>
      </c>
      <c r="AC1002" s="32">
        <f>-138*6</f>
        <v>-828</v>
      </c>
      <c r="AD1002" s="32"/>
      <c r="AE1002" s="32">
        <f>SUM(AB1002:AC1002)</f>
        <v>88948</v>
      </c>
      <c r="AF1002" s="12"/>
      <c r="AG1002" s="12"/>
      <c r="AH1002" s="12"/>
      <c r="AI1002" s="12">
        <f>SUM(AE1002:AH1002)</f>
        <v>88948</v>
      </c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10">
        <v>2</v>
      </c>
      <c r="B1003" s="30" t="s">
        <v>93</v>
      </c>
      <c r="C1003" s="83">
        <f>C1002+1</f>
        <v>10306</v>
      </c>
      <c r="D1003" s="32">
        <f>650*15+622*5</f>
        <v>12860</v>
      </c>
      <c r="E1003" s="32"/>
      <c r="F1003" s="32"/>
      <c r="G1003" s="32">
        <f t="shared" si="292"/>
        <v>12860</v>
      </c>
      <c r="H1003" s="12"/>
      <c r="I1003" s="12">
        <v>270</v>
      </c>
      <c r="J1003" s="12">
        <v>-666</v>
      </c>
      <c r="K1003" s="12">
        <f t="shared" si="293"/>
        <v>12464</v>
      </c>
      <c r="M1003" s="10">
        <v>2</v>
      </c>
      <c r="N1003" s="30" t="s">
        <v>93</v>
      </c>
      <c r="O1003" s="31">
        <v>10351</v>
      </c>
      <c r="P1003" s="32">
        <f>650*108+622*20+229</f>
        <v>82869</v>
      </c>
      <c r="Q1003" s="32">
        <f>-128*6</f>
        <v>-768</v>
      </c>
      <c r="R1003" s="32"/>
      <c r="S1003" s="32">
        <f t="shared" ref="S1003:S1040" si="294">SUM(P1003:Q1003)</f>
        <v>82101</v>
      </c>
      <c r="T1003" s="12"/>
      <c r="U1003" s="12"/>
      <c r="V1003" s="12"/>
      <c r="W1003" s="12">
        <f t="shared" ref="W1003:W1043" si="295">SUM(S1003:V1003)</f>
        <v>82101</v>
      </c>
      <c r="Y1003" s="10">
        <v>2</v>
      </c>
      <c r="Z1003" s="30" t="s">
        <v>93</v>
      </c>
      <c r="AA1003" s="31">
        <f>AA1002+1</f>
        <v>10267</v>
      </c>
      <c r="AB1003" s="32">
        <f>650*324+1050*20+229*10</f>
        <v>233890</v>
      </c>
      <c r="AC1003" s="32">
        <f>-344*6</f>
        <v>-2064</v>
      </c>
      <c r="AD1003" s="32"/>
      <c r="AE1003" s="32">
        <f t="shared" ref="AE1003:AE1005" si="296">SUM(AB1003:AC1003)</f>
        <v>231826</v>
      </c>
      <c r="AF1003" s="12"/>
      <c r="AG1003" s="12">
        <v>36</v>
      </c>
      <c r="AH1003" s="12"/>
      <c r="AI1003" s="12">
        <f t="shared" ref="AI1003:AI1043" si="297">SUM(AE1003:AH1003)</f>
        <v>231862</v>
      </c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10">
        <v>3</v>
      </c>
      <c r="B1004" s="30" t="s">
        <v>93</v>
      </c>
      <c r="C1004" s="83">
        <f t="shared" ref="C1004:C1005" si="298">C1003+1</f>
        <v>10307</v>
      </c>
      <c r="D1004" s="33">
        <f>650*16</f>
        <v>10400</v>
      </c>
      <c r="E1004" s="32"/>
      <c r="F1004" s="33"/>
      <c r="G1004" s="33">
        <f t="shared" si="292"/>
        <v>10400</v>
      </c>
      <c r="H1004" s="34"/>
      <c r="I1004" s="34"/>
      <c r="J1004" s="34"/>
      <c r="K1004" s="34">
        <f t="shared" si="293"/>
        <v>10400</v>
      </c>
      <c r="M1004" s="10">
        <v>3</v>
      </c>
      <c r="N1004" s="30" t="s">
        <v>93</v>
      </c>
      <c r="O1004" s="31">
        <v>10353</v>
      </c>
      <c r="P1004" s="32">
        <f>650*540+622*108+872*5+229*30</f>
        <v>429406</v>
      </c>
      <c r="Q1004" s="32">
        <f>-653*6</f>
        <v>-3918</v>
      </c>
      <c r="R1004" s="32"/>
      <c r="S1004" s="32">
        <f t="shared" si="294"/>
        <v>425488</v>
      </c>
      <c r="T1004" s="12"/>
      <c r="U1004" s="12">
        <f>120*3+111*69+78*28</f>
        <v>10203</v>
      </c>
      <c r="V1004" s="12">
        <f>-84+-2604+-504+-31.5+-16.5</f>
        <v>-3240</v>
      </c>
      <c r="W1004" s="12">
        <f t="shared" si="295"/>
        <v>432451</v>
      </c>
      <c r="Y1004" s="10">
        <v>3</v>
      </c>
      <c r="Z1004" s="30" t="s">
        <v>93</v>
      </c>
      <c r="AA1004" s="31">
        <f t="shared" ref="AA1004:AA1006" si="299">AA1003+1</f>
        <v>10268</v>
      </c>
      <c r="AB1004" s="33">
        <f>650*80+670*3+973+622*14+229*4</f>
        <v>64607</v>
      </c>
      <c r="AC1004" s="33">
        <f>-98*6</f>
        <v>-588</v>
      </c>
      <c r="AD1004" s="32"/>
      <c r="AE1004" s="32">
        <f t="shared" si="296"/>
        <v>64019</v>
      </c>
      <c r="AF1004" s="12"/>
      <c r="AG1004" s="12">
        <f>84*11</f>
        <v>924</v>
      </c>
      <c r="AH1004" s="12">
        <f>-78*20</f>
        <v>-1560</v>
      </c>
      <c r="AI1004" s="12">
        <f t="shared" si="297"/>
        <v>63383</v>
      </c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10">
        <v>4</v>
      </c>
      <c r="B1005" s="30" t="s">
        <v>93</v>
      </c>
      <c r="C1005" s="83">
        <f t="shared" si="298"/>
        <v>10308</v>
      </c>
      <c r="D1005" s="32">
        <f>650*432+670*10+912*10+1050*5+229*11</f>
        <v>304389</v>
      </c>
      <c r="E1005" s="32">
        <v>-2742</v>
      </c>
      <c r="F1005" s="32"/>
      <c r="G1005" s="32">
        <f t="shared" si="292"/>
        <v>301647</v>
      </c>
      <c r="H1005" s="12"/>
      <c r="I1005" s="12">
        <f>1080+3219+546</f>
        <v>4845</v>
      </c>
      <c r="J1005" s="12">
        <f>-462+-30</f>
        <v>-492</v>
      </c>
      <c r="K1005" s="12">
        <f t="shared" si="293"/>
        <v>306000</v>
      </c>
      <c r="M1005" s="10">
        <v>4</v>
      </c>
      <c r="N1005" s="30" t="s">
        <v>93</v>
      </c>
      <c r="O1005" s="31">
        <f t="shared" ref="O1005" si="300">O1004+1</f>
        <v>10354</v>
      </c>
      <c r="P1005" s="32">
        <f>650*16+670*2+622*2</f>
        <v>12984</v>
      </c>
      <c r="Q1005" s="32"/>
      <c r="R1005" s="32"/>
      <c r="S1005" s="32">
        <f t="shared" si="294"/>
        <v>12984</v>
      </c>
      <c r="T1005" s="12"/>
      <c r="U1005" s="12">
        <v>135</v>
      </c>
      <c r="V1005" s="12"/>
      <c r="W1005" s="12">
        <f t="shared" si="295"/>
        <v>13119</v>
      </c>
      <c r="Y1005" s="10">
        <v>4</v>
      </c>
      <c r="Z1005" s="30" t="s">
        <v>93</v>
      </c>
      <c r="AA1005" s="31">
        <f t="shared" si="299"/>
        <v>10269</v>
      </c>
      <c r="AB1005" s="32">
        <f>650*20+670*10+874*2+229</f>
        <v>21677</v>
      </c>
      <c r="AC1005" s="32"/>
      <c r="AD1005" s="32"/>
      <c r="AE1005" s="32">
        <f t="shared" si="296"/>
        <v>21677</v>
      </c>
      <c r="AF1005" s="12"/>
      <c r="AH1005" s="12"/>
      <c r="AI1005" s="12">
        <f t="shared" si="297"/>
        <v>21677</v>
      </c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10">
        <v>5</v>
      </c>
      <c r="B1006" s="30"/>
      <c r="C1006" s="11" t="s">
        <v>27</v>
      </c>
      <c r="D1006" s="32"/>
      <c r="E1006" s="32"/>
      <c r="F1006" s="32"/>
      <c r="G1006" s="32">
        <f t="shared" si="292"/>
        <v>0</v>
      </c>
      <c r="H1006" s="12"/>
      <c r="I1006" s="12"/>
      <c r="J1006" s="12"/>
      <c r="K1006" s="12">
        <f t="shared" si="293"/>
        <v>0</v>
      </c>
      <c r="M1006" s="10">
        <v>5</v>
      </c>
      <c r="N1006" s="30"/>
      <c r="O1006" s="11" t="s">
        <v>27</v>
      </c>
      <c r="P1006" s="32"/>
      <c r="Q1006" s="32"/>
      <c r="R1006" s="32"/>
      <c r="S1006" s="32">
        <f t="shared" si="294"/>
        <v>0</v>
      </c>
      <c r="T1006" s="12"/>
      <c r="U1006" s="12"/>
      <c r="V1006" s="12"/>
      <c r="W1006" s="12">
        <f t="shared" si="295"/>
        <v>0</v>
      </c>
      <c r="Y1006" s="10">
        <v>5</v>
      </c>
      <c r="Z1006" s="30" t="s">
        <v>93</v>
      </c>
      <c r="AA1006" s="31">
        <f t="shared" si="299"/>
        <v>10270</v>
      </c>
      <c r="AB1006" s="32">
        <f>650*8+622*2</f>
        <v>6444</v>
      </c>
      <c r="AC1006" s="32"/>
      <c r="AD1006" s="32"/>
      <c r="AE1006" s="32">
        <f t="shared" ref="AE1006:AE1007" si="301">SUM(AB1006:AC1006)</f>
        <v>6444</v>
      </c>
      <c r="AF1006" s="12"/>
      <c r="AG1006" s="12"/>
      <c r="AH1006" s="12"/>
      <c r="AI1006" s="12">
        <f t="shared" si="297"/>
        <v>6444</v>
      </c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10">
        <v>6</v>
      </c>
      <c r="B1007" s="30"/>
      <c r="C1007" s="83"/>
      <c r="D1007" s="32"/>
      <c r="E1007" s="32"/>
      <c r="F1007" s="32"/>
      <c r="G1007" s="32">
        <f t="shared" si="292"/>
        <v>0</v>
      </c>
      <c r="H1007" s="12"/>
      <c r="I1007" s="12"/>
      <c r="J1007" s="12"/>
      <c r="K1007" s="12">
        <f t="shared" si="293"/>
        <v>0</v>
      </c>
      <c r="M1007" s="10">
        <v>6</v>
      </c>
      <c r="N1007" s="30"/>
      <c r="O1007" s="31"/>
      <c r="P1007" s="32"/>
      <c r="Q1007" s="32"/>
      <c r="R1007" s="32"/>
      <c r="S1007" s="32">
        <f t="shared" si="294"/>
        <v>0</v>
      </c>
      <c r="T1007" s="12"/>
      <c r="U1007" s="12"/>
      <c r="V1007" s="10"/>
      <c r="W1007" s="12">
        <f t="shared" si="295"/>
        <v>0</v>
      </c>
      <c r="Y1007" s="10">
        <v>6</v>
      </c>
      <c r="Z1007" s="30"/>
      <c r="AA1007" s="11" t="s">
        <v>27</v>
      </c>
      <c r="AB1007" s="32"/>
      <c r="AC1007" s="32"/>
      <c r="AD1007" s="32"/>
      <c r="AE1007" s="32">
        <f t="shared" si="301"/>
        <v>0</v>
      </c>
      <c r="AF1007" s="12"/>
      <c r="AG1007" s="12"/>
      <c r="AH1007" s="10"/>
      <c r="AI1007" s="12">
        <f t="shared" si="297"/>
        <v>0</v>
      </c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10">
        <v>7</v>
      </c>
      <c r="B1008" s="30"/>
      <c r="C1008" s="83"/>
      <c r="D1008" s="32"/>
      <c r="E1008" s="32"/>
      <c r="F1008" s="32"/>
      <c r="G1008" s="32">
        <f t="shared" si="292"/>
        <v>0</v>
      </c>
      <c r="H1008" s="12"/>
      <c r="I1008" s="12"/>
      <c r="J1008" s="12"/>
      <c r="K1008" s="12">
        <f t="shared" si="293"/>
        <v>0</v>
      </c>
      <c r="M1008" s="10">
        <v>7</v>
      </c>
      <c r="N1008" s="30"/>
      <c r="O1008" s="31"/>
      <c r="P1008" s="32"/>
      <c r="Q1008" s="32"/>
      <c r="R1008" s="32"/>
      <c r="S1008" s="32">
        <f t="shared" si="294"/>
        <v>0</v>
      </c>
      <c r="T1008" s="12"/>
      <c r="U1008" s="12"/>
      <c r="V1008" s="12"/>
      <c r="W1008" s="12">
        <f t="shared" si="295"/>
        <v>0</v>
      </c>
      <c r="Y1008" s="10">
        <v>7</v>
      </c>
      <c r="Z1008" s="30"/>
      <c r="AA1008" s="31"/>
      <c r="AB1008" s="32"/>
      <c r="AC1008" s="32"/>
      <c r="AD1008" s="32"/>
      <c r="AE1008" s="32">
        <f>SUM(AB1008:AC1008)</f>
        <v>0</v>
      </c>
      <c r="AF1008" s="12"/>
      <c r="AG1008" s="58"/>
      <c r="AH1008" s="12"/>
      <c r="AI1008" s="12">
        <f t="shared" si="297"/>
        <v>0</v>
      </c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10">
        <v>8</v>
      </c>
      <c r="B1009" s="30"/>
      <c r="C1009" s="83"/>
      <c r="D1009" s="32"/>
      <c r="E1009" s="32"/>
      <c r="F1009" s="32"/>
      <c r="G1009" s="32">
        <f t="shared" si="292"/>
        <v>0</v>
      </c>
      <c r="H1009" s="12"/>
      <c r="I1009" s="12"/>
      <c r="J1009" s="12"/>
      <c r="K1009" s="12">
        <f t="shared" si="293"/>
        <v>0</v>
      </c>
      <c r="M1009" s="10">
        <v>8</v>
      </c>
      <c r="N1009" s="30"/>
      <c r="P1009" s="32"/>
      <c r="Q1009" s="32"/>
      <c r="R1009" s="32"/>
      <c r="S1009" s="32">
        <f t="shared" si="294"/>
        <v>0</v>
      </c>
      <c r="T1009" s="12"/>
      <c r="U1009" s="12"/>
      <c r="V1009" s="12"/>
      <c r="W1009" s="12">
        <f t="shared" si="295"/>
        <v>0</v>
      </c>
      <c r="Y1009" s="10">
        <v>8</v>
      </c>
      <c r="Z1009" s="30"/>
      <c r="AA1009" s="11"/>
      <c r="AB1009" s="32"/>
      <c r="AC1009" s="32"/>
      <c r="AE1009" s="32">
        <f t="shared" ref="AE1009:AE1040" si="302">SUM(AB1009:AC1009)</f>
        <v>0</v>
      </c>
      <c r="AF1009" s="12"/>
      <c r="AG1009" s="12"/>
      <c r="AH1009" s="12"/>
      <c r="AI1009" s="12">
        <f t="shared" si="297"/>
        <v>0</v>
      </c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10">
        <v>9</v>
      </c>
      <c r="B1010" s="30"/>
      <c r="C1010" s="83"/>
      <c r="D1010" s="32"/>
      <c r="E1010" s="32"/>
      <c r="F1010" s="32"/>
      <c r="G1010" s="32">
        <f t="shared" si="292"/>
        <v>0</v>
      </c>
      <c r="H1010" s="12"/>
      <c r="I1010" s="12"/>
      <c r="J1010" s="12"/>
      <c r="K1010" s="12">
        <f t="shared" si="293"/>
        <v>0</v>
      </c>
      <c r="M1010" s="10">
        <v>9</v>
      </c>
      <c r="N1010" s="30"/>
      <c r="O1010" s="31"/>
      <c r="P1010" s="32"/>
      <c r="Q1010" s="32"/>
      <c r="R1010" s="32"/>
      <c r="S1010" s="32">
        <f t="shared" si="294"/>
        <v>0</v>
      </c>
      <c r="T1010" s="12"/>
      <c r="U1010" s="12"/>
      <c r="V1010" s="12"/>
      <c r="W1010" s="12">
        <f t="shared" si="295"/>
        <v>0</v>
      </c>
      <c r="Y1010" s="10">
        <v>9</v>
      </c>
      <c r="Z1010" s="30"/>
      <c r="AA1010" s="31"/>
      <c r="AB1010" s="32"/>
      <c r="AC1010" s="32"/>
      <c r="AD1010" s="32"/>
      <c r="AE1010" s="32">
        <f t="shared" si="302"/>
        <v>0</v>
      </c>
      <c r="AF1010" s="12"/>
      <c r="AH1010" s="12"/>
      <c r="AI1010" s="12">
        <f t="shared" si="297"/>
        <v>0</v>
      </c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10">
        <v>10</v>
      </c>
      <c r="B1011" s="30"/>
      <c r="C1011" s="83"/>
      <c r="D1011" s="32"/>
      <c r="E1011" s="32"/>
      <c r="F1011" s="32"/>
      <c r="G1011" s="32">
        <f t="shared" si="292"/>
        <v>0</v>
      </c>
      <c r="H1011" s="12"/>
      <c r="I1011" s="12"/>
      <c r="J1011" s="12"/>
      <c r="K1011" s="12">
        <f t="shared" si="293"/>
        <v>0</v>
      </c>
      <c r="M1011" s="10">
        <v>10</v>
      </c>
      <c r="N1011" s="30"/>
      <c r="O1011" s="31"/>
      <c r="P1011" s="32"/>
      <c r="Q1011" s="32"/>
      <c r="R1011" s="32"/>
      <c r="S1011" s="32">
        <f t="shared" si="294"/>
        <v>0</v>
      </c>
      <c r="T1011" s="12"/>
      <c r="U1011" s="12"/>
      <c r="V1011" s="12"/>
      <c r="W1011" s="12">
        <f t="shared" si="295"/>
        <v>0</v>
      </c>
      <c r="Y1011" s="10">
        <v>10</v>
      </c>
      <c r="Z1011" s="30"/>
      <c r="AA1011" s="31"/>
      <c r="AB1011" s="32"/>
      <c r="AC1011" s="32"/>
      <c r="AD1011" s="32"/>
      <c r="AE1011" s="32">
        <f t="shared" si="302"/>
        <v>0</v>
      </c>
      <c r="AF1011" s="12"/>
      <c r="AG1011" s="12"/>
      <c r="AH1011" s="12"/>
      <c r="AI1011" s="12">
        <f t="shared" si="297"/>
        <v>0</v>
      </c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10">
        <v>11</v>
      </c>
      <c r="B1012" s="30"/>
      <c r="C1012" s="83"/>
      <c r="D1012" s="32"/>
      <c r="E1012" s="32"/>
      <c r="F1012" s="32"/>
      <c r="G1012" s="32">
        <f t="shared" si="292"/>
        <v>0</v>
      </c>
      <c r="H1012" s="12"/>
      <c r="I1012" s="12"/>
      <c r="J1012" s="12"/>
      <c r="K1012" s="12">
        <f t="shared" si="293"/>
        <v>0</v>
      </c>
      <c r="M1012" s="10">
        <v>11</v>
      </c>
      <c r="N1012" s="30"/>
      <c r="O1012" s="31"/>
      <c r="P1012" s="32"/>
      <c r="Q1012" s="32"/>
      <c r="R1012" s="32"/>
      <c r="S1012" s="32">
        <f t="shared" si="294"/>
        <v>0</v>
      </c>
      <c r="T1012" s="12"/>
      <c r="U1012" s="12"/>
      <c r="V1012" s="12"/>
      <c r="W1012" s="12">
        <f t="shared" si="295"/>
        <v>0</v>
      </c>
      <c r="Y1012" s="10">
        <v>11</v>
      </c>
      <c r="Z1012" s="30"/>
      <c r="AA1012" s="31"/>
      <c r="AB1012" s="32"/>
      <c r="AC1012" s="32"/>
      <c r="AD1012" s="32"/>
      <c r="AE1012" s="32">
        <f t="shared" si="302"/>
        <v>0</v>
      </c>
      <c r="AF1012" s="12"/>
      <c r="AG1012" s="12"/>
      <c r="AH1012" s="12"/>
      <c r="AI1012" s="12">
        <f t="shared" si="297"/>
        <v>0</v>
      </c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10">
        <v>12</v>
      </c>
      <c r="B1013" s="30"/>
      <c r="C1013" s="83"/>
      <c r="D1013" s="32"/>
      <c r="E1013" s="32"/>
      <c r="F1013" s="32"/>
      <c r="G1013" s="32">
        <f t="shared" si="292"/>
        <v>0</v>
      </c>
      <c r="H1013" s="12"/>
      <c r="I1013" s="12"/>
      <c r="J1013" s="10"/>
      <c r="K1013" s="12">
        <f t="shared" si="293"/>
        <v>0</v>
      </c>
      <c r="M1013" s="10">
        <v>12</v>
      </c>
      <c r="N1013" s="30"/>
      <c r="O1013" s="31"/>
      <c r="P1013" s="32"/>
      <c r="Q1013" s="32"/>
      <c r="R1013" s="32"/>
      <c r="S1013" s="32">
        <f t="shared" si="294"/>
        <v>0</v>
      </c>
      <c r="T1013" s="12"/>
      <c r="U1013" s="12"/>
      <c r="V1013" s="12"/>
      <c r="W1013" s="12">
        <f t="shared" si="295"/>
        <v>0</v>
      </c>
      <c r="Y1013" s="10">
        <v>12</v>
      </c>
      <c r="Z1013" s="30"/>
      <c r="AA1013" s="31"/>
      <c r="AB1013" s="32"/>
      <c r="AC1013" s="32"/>
      <c r="AD1013" s="32"/>
      <c r="AE1013" s="32">
        <f t="shared" si="302"/>
        <v>0</v>
      </c>
      <c r="AF1013" s="12"/>
      <c r="AG1013" s="12"/>
      <c r="AH1013" s="12"/>
      <c r="AI1013" s="12">
        <f t="shared" si="297"/>
        <v>0</v>
      </c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10">
        <v>13</v>
      </c>
      <c r="B1014" s="30"/>
      <c r="C1014" s="83"/>
      <c r="D1014" s="32"/>
      <c r="E1014" s="32"/>
      <c r="F1014" s="32"/>
      <c r="G1014" s="32">
        <f t="shared" si="292"/>
        <v>0</v>
      </c>
      <c r="H1014" s="12"/>
      <c r="I1014" s="12"/>
      <c r="J1014" s="12"/>
      <c r="K1014" s="12">
        <f t="shared" si="293"/>
        <v>0</v>
      </c>
      <c r="M1014" s="10">
        <v>13</v>
      </c>
      <c r="N1014" s="30"/>
      <c r="O1014" s="31"/>
      <c r="P1014" s="32"/>
      <c r="Q1014" s="32"/>
      <c r="R1014" s="32"/>
      <c r="S1014" s="32">
        <f t="shared" si="294"/>
        <v>0</v>
      </c>
      <c r="T1014" s="12"/>
      <c r="U1014" s="12"/>
      <c r="V1014" s="12"/>
      <c r="W1014" s="12">
        <f t="shared" si="295"/>
        <v>0</v>
      </c>
      <c r="Y1014" s="10">
        <v>13</v>
      </c>
      <c r="Z1014" s="30"/>
      <c r="AA1014" s="31"/>
      <c r="AB1014" s="32"/>
      <c r="AC1014" s="32"/>
      <c r="AD1014" s="32"/>
      <c r="AE1014" s="32">
        <f t="shared" si="302"/>
        <v>0</v>
      </c>
      <c r="AF1014" s="12"/>
      <c r="AG1014" s="12"/>
      <c r="AH1014" s="12"/>
      <c r="AI1014" s="12">
        <f t="shared" si="297"/>
        <v>0</v>
      </c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10">
        <v>14</v>
      </c>
      <c r="B1015" s="30"/>
      <c r="C1015" s="83"/>
      <c r="D1015" s="32"/>
      <c r="E1015" s="32"/>
      <c r="F1015" s="32"/>
      <c r="G1015" s="32">
        <f t="shared" si="292"/>
        <v>0</v>
      </c>
      <c r="H1015" s="12"/>
      <c r="I1015" s="12"/>
      <c r="J1015" s="12"/>
      <c r="K1015" s="12">
        <f t="shared" si="293"/>
        <v>0</v>
      </c>
      <c r="M1015" s="10">
        <v>14</v>
      </c>
      <c r="N1015" s="30"/>
      <c r="O1015" s="31"/>
      <c r="P1015" s="32"/>
      <c r="Q1015" s="32"/>
      <c r="R1015" s="32"/>
      <c r="S1015" s="32">
        <f t="shared" si="294"/>
        <v>0</v>
      </c>
      <c r="T1015" s="12"/>
      <c r="U1015" s="12"/>
      <c r="V1015" s="12"/>
      <c r="W1015" s="12">
        <f t="shared" si="295"/>
        <v>0</v>
      </c>
      <c r="Y1015" s="10">
        <v>14</v>
      </c>
      <c r="Z1015" s="30"/>
      <c r="AA1015" s="31"/>
      <c r="AB1015" s="32"/>
      <c r="AC1015" s="32"/>
      <c r="AD1015" s="32"/>
      <c r="AE1015" s="32">
        <f t="shared" si="302"/>
        <v>0</v>
      </c>
      <c r="AF1015" s="12"/>
      <c r="AG1015" s="12"/>
      <c r="AH1015" s="12"/>
      <c r="AI1015" s="12">
        <f t="shared" si="297"/>
        <v>0</v>
      </c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10">
        <v>15</v>
      </c>
      <c r="B1016" s="30"/>
      <c r="C1016" s="83"/>
      <c r="D1016" s="32"/>
      <c r="E1016" s="32"/>
      <c r="F1016" s="32"/>
      <c r="G1016" s="32">
        <f t="shared" si="292"/>
        <v>0</v>
      </c>
      <c r="H1016" s="12"/>
      <c r="I1016" s="12"/>
      <c r="J1016" s="12"/>
      <c r="K1016" s="12">
        <f t="shared" si="293"/>
        <v>0</v>
      </c>
      <c r="M1016" s="10">
        <v>15</v>
      </c>
      <c r="N1016" s="30"/>
      <c r="O1016" s="31"/>
      <c r="P1016" s="32"/>
      <c r="Q1016" s="32"/>
      <c r="R1016" s="32"/>
      <c r="S1016" s="32">
        <f t="shared" si="294"/>
        <v>0</v>
      </c>
      <c r="T1016" s="12"/>
      <c r="U1016" s="12"/>
      <c r="V1016" s="12"/>
      <c r="W1016" s="12">
        <f t="shared" si="295"/>
        <v>0</v>
      </c>
      <c r="Y1016" s="10">
        <v>15</v>
      </c>
      <c r="Z1016" s="30"/>
      <c r="AA1016" s="31"/>
      <c r="AB1016" s="32"/>
      <c r="AC1016" s="32"/>
      <c r="AD1016" s="32"/>
      <c r="AE1016" s="32">
        <f t="shared" si="302"/>
        <v>0</v>
      </c>
      <c r="AF1016" s="12"/>
      <c r="AG1016" s="12"/>
      <c r="AH1016" s="12"/>
      <c r="AI1016" s="12">
        <f t="shared" si="297"/>
        <v>0</v>
      </c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10">
        <v>16</v>
      </c>
      <c r="B1017" s="30"/>
      <c r="C1017" s="11"/>
      <c r="D1017" s="32"/>
      <c r="E1017" s="32"/>
      <c r="F1017" s="32"/>
      <c r="G1017" s="32">
        <f t="shared" si="292"/>
        <v>0</v>
      </c>
      <c r="H1017" s="12"/>
      <c r="I1017" s="12"/>
      <c r="J1017" s="12"/>
      <c r="K1017" s="12">
        <f t="shared" si="293"/>
        <v>0</v>
      </c>
      <c r="M1017" s="10">
        <v>16</v>
      </c>
      <c r="N1017" s="30"/>
      <c r="O1017" s="11"/>
      <c r="P1017" s="32"/>
      <c r="Q1017" s="32"/>
      <c r="R1017" s="32"/>
      <c r="S1017" s="32">
        <f t="shared" si="294"/>
        <v>0</v>
      </c>
      <c r="T1017" s="12"/>
      <c r="U1017" s="12"/>
      <c r="V1017" s="12"/>
      <c r="W1017" s="12">
        <f t="shared" si="295"/>
        <v>0</v>
      </c>
      <c r="Y1017" s="10">
        <v>16</v>
      </c>
      <c r="AB1017" s="32"/>
      <c r="AC1017" s="32"/>
      <c r="AD1017" s="32"/>
      <c r="AE1017" s="32">
        <f t="shared" si="302"/>
        <v>0</v>
      </c>
      <c r="AF1017" s="12"/>
      <c r="AG1017" s="12"/>
      <c r="AH1017" s="12"/>
      <c r="AI1017" s="12">
        <f t="shared" si="297"/>
        <v>0</v>
      </c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10">
        <v>17</v>
      </c>
      <c r="B1018" s="30"/>
      <c r="C1018" s="83"/>
      <c r="D1018" s="32"/>
      <c r="E1018" s="32"/>
      <c r="F1018" s="32"/>
      <c r="G1018" s="32">
        <f t="shared" si="292"/>
        <v>0</v>
      </c>
      <c r="H1018" s="12"/>
      <c r="I1018" s="12"/>
      <c r="J1018" s="12"/>
      <c r="K1018" s="12">
        <f t="shared" si="293"/>
        <v>0</v>
      </c>
      <c r="M1018" s="10">
        <v>17</v>
      </c>
      <c r="N1018" s="30"/>
      <c r="O1018" s="31"/>
      <c r="P1018" s="35"/>
      <c r="Q1018" s="32"/>
      <c r="R1018" s="32"/>
      <c r="S1018" s="32">
        <f t="shared" si="294"/>
        <v>0</v>
      </c>
      <c r="T1018" s="12"/>
      <c r="U1018" s="12"/>
      <c r="V1018" s="12"/>
      <c r="W1018" s="12">
        <f t="shared" si="295"/>
        <v>0</v>
      </c>
      <c r="Y1018" s="10">
        <v>17</v>
      </c>
      <c r="Z1018" s="30"/>
      <c r="AA1018" s="31"/>
      <c r="AB1018" s="35"/>
      <c r="AC1018" s="32"/>
      <c r="AD1018" s="32"/>
      <c r="AE1018" s="32">
        <f t="shared" si="302"/>
        <v>0</v>
      </c>
      <c r="AF1018" s="12"/>
      <c r="AG1018" s="12"/>
      <c r="AH1018" s="12"/>
      <c r="AI1018" s="12">
        <f t="shared" si="297"/>
        <v>0</v>
      </c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10">
        <v>18</v>
      </c>
      <c r="B1019" s="30"/>
      <c r="C1019" s="83"/>
      <c r="D1019" s="32"/>
      <c r="E1019" s="32"/>
      <c r="F1019" s="32"/>
      <c r="G1019" s="32">
        <f t="shared" si="292"/>
        <v>0</v>
      </c>
      <c r="H1019" s="12"/>
      <c r="I1019" s="12"/>
      <c r="J1019" s="12"/>
      <c r="K1019" s="12">
        <f t="shared" si="293"/>
        <v>0</v>
      </c>
      <c r="M1019" s="10">
        <v>18</v>
      </c>
      <c r="N1019" s="30"/>
      <c r="P1019" s="32"/>
      <c r="Q1019" s="32"/>
      <c r="R1019" s="32"/>
      <c r="S1019" s="32">
        <f t="shared" si="294"/>
        <v>0</v>
      </c>
      <c r="T1019" s="12"/>
      <c r="U1019" s="12"/>
      <c r="V1019" s="12"/>
      <c r="W1019" s="12">
        <f t="shared" si="295"/>
        <v>0</v>
      </c>
      <c r="Y1019" s="10">
        <v>18</v>
      </c>
      <c r="Z1019" s="30"/>
      <c r="AA1019" s="31"/>
      <c r="AB1019" s="32"/>
      <c r="AC1019" s="32"/>
      <c r="AD1019" s="32"/>
      <c r="AE1019" s="32">
        <f t="shared" si="302"/>
        <v>0</v>
      </c>
      <c r="AF1019" s="12"/>
      <c r="AG1019" s="12"/>
      <c r="AH1019" s="12"/>
      <c r="AI1019" s="12">
        <f t="shared" si="297"/>
        <v>0</v>
      </c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10">
        <v>19</v>
      </c>
      <c r="B1020" s="30"/>
      <c r="C1020" s="83"/>
      <c r="D1020" s="32"/>
      <c r="E1020" s="32"/>
      <c r="F1020" s="32"/>
      <c r="G1020" s="32">
        <f t="shared" si="292"/>
        <v>0</v>
      </c>
      <c r="H1020" s="12"/>
      <c r="I1020" s="12"/>
      <c r="J1020" s="12"/>
      <c r="K1020" s="12">
        <f t="shared" si="293"/>
        <v>0</v>
      </c>
      <c r="M1020" s="10">
        <v>19</v>
      </c>
      <c r="N1020" s="30"/>
      <c r="O1020" s="31"/>
      <c r="P1020" s="32"/>
      <c r="Q1020" s="32"/>
      <c r="R1020" s="32"/>
      <c r="S1020" s="32">
        <f t="shared" si="294"/>
        <v>0</v>
      </c>
      <c r="T1020" s="12"/>
      <c r="U1020" s="12"/>
      <c r="V1020" s="12"/>
      <c r="W1020" s="12">
        <f t="shared" si="295"/>
        <v>0</v>
      </c>
      <c r="Y1020" s="10">
        <v>19</v>
      </c>
      <c r="Z1020" s="30"/>
      <c r="AA1020" s="31"/>
      <c r="AB1020" s="32"/>
      <c r="AC1020" s="32"/>
      <c r="AD1020" s="32"/>
      <c r="AE1020" s="32">
        <f t="shared" si="302"/>
        <v>0</v>
      </c>
      <c r="AF1020" s="12"/>
      <c r="AG1020" s="12"/>
      <c r="AH1020" s="12"/>
      <c r="AI1020" s="12">
        <f t="shared" si="297"/>
        <v>0</v>
      </c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10">
        <v>20</v>
      </c>
      <c r="B1021" s="30"/>
      <c r="C1021" s="83"/>
      <c r="D1021" s="32"/>
      <c r="E1021" s="32"/>
      <c r="F1021" s="32"/>
      <c r="G1021" s="32">
        <f t="shared" si="292"/>
        <v>0</v>
      </c>
      <c r="H1021" s="12"/>
      <c r="I1021" s="12"/>
      <c r="J1021" s="12"/>
      <c r="K1021" s="12">
        <f t="shared" si="293"/>
        <v>0</v>
      </c>
      <c r="M1021" s="10">
        <v>20</v>
      </c>
      <c r="N1021" s="30"/>
      <c r="O1021" s="31"/>
      <c r="P1021" s="32"/>
      <c r="Q1021" s="32"/>
      <c r="R1021" s="32"/>
      <c r="S1021" s="32">
        <f t="shared" si="294"/>
        <v>0</v>
      </c>
      <c r="T1021" s="12"/>
      <c r="U1021" s="12"/>
      <c r="V1021" s="12"/>
      <c r="W1021" s="12">
        <f t="shared" si="295"/>
        <v>0</v>
      </c>
      <c r="Y1021" s="10">
        <v>20</v>
      </c>
      <c r="Z1021" s="30"/>
      <c r="AB1021" s="32"/>
      <c r="AC1021" s="32"/>
      <c r="AD1021" s="32"/>
      <c r="AE1021" s="32">
        <f t="shared" si="302"/>
        <v>0</v>
      </c>
      <c r="AF1021" s="12"/>
      <c r="AG1021" s="12"/>
      <c r="AH1021" s="12"/>
      <c r="AI1021" s="12">
        <f t="shared" si="297"/>
        <v>0</v>
      </c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10">
        <v>21</v>
      </c>
      <c r="B1022" s="30"/>
      <c r="C1022" s="83"/>
      <c r="D1022" s="32"/>
      <c r="E1022" s="32"/>
      <c r="F1022" s="32"/>
      <c r="G1022" s="32">
        <f t="shared" si="292"/>
        <v>0</v>
      </c>
      <c r="H1022" s="10"/>
      <c r="I1022" s="10"/>
      <c r="J1022" s="10"/>
      <c r="K1022" s="12">
        <f t="shared" si="293"/>
        <v>0</v>
      </c>
      <c r="M1022" s="10">
        <v>21</v>
      </c>
      <c r="N1022" s="30"/>
      <c r="O1022" s="11"/>
      <c r="P1022" s="46"/>
      <c r="Q1022" s="31"/>
      <c r="R1022" s="31"/>
      <c r="S1022" s="32">
        <f t="shared" si="294"/>
        <v>0</v>
      </c>
      <c r="T1022" s="10"/>
      <c r="U1022" s="10"/>
      <c r="V1022" s="10"/>
      <c r="W1022" s="12">
        <f t="shared" si="295"/>
        <v>0</v>
      </c>
      <c r="Y1022" s="10">
        <v>21</v>
      </c>
      <c r="Z1022" s="30"/>
      <c r="AA1022" s="31"/>
      <c r="AB1022" s="46"/>
      <c r="AC1022" s="31"/>
      <c r="AD1022" s="31"/>
      <c r="AE1022" s="32">
        <f t="shared" si="302"/>
        <v>0</v>
      </c>
      <c r="AF1022" s="10"/>
      <c r="AG1022" s="10"/>
      <c r="AH1022" s="10"/>
      <c r="AI1022" s="12">
        <f t="shared" si="297"/>
        <v>0</v>
      </c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10">
        <v>22</v>
      </c>
      <c r="B1023" s="30"/>
      <c r="C1023" s="57"/>
      <c r="D1023" s="32"/>
      <c r="E1023" s="32"/>
      <c r="F1023" s="32"/>
      <c r="G1023" s="32">
        <f t="shared" si="292"/>
        <v>0</v>
      </c>
      <c r="H1023" s="10"/>
      <c r="I1023" s="10"/>
      <c r="J1023" s="10"/>
      <c r="K1023" s="12">
        <f t="shared" si="293"/>
        <v>0</v>
      </c>
      <c r="M1023" s="10">
        <v>22</v>
      </c>
      <c r="N1023" s="30"/>
      <c r="O1023" s="31"/>
      <c r="P1023" s="45"/>
      <c r="Q1023" s="31"/>
      <c r="R1023" s="31"/>
      <c r="S1023" s="32">
        <f t="shared" si="294"/>
        <v>0</v>
      </c>
      <c r="T1023" s="10"/>
      <c r="U1023" s="10"/>
      <c r="V1023" s="10"/>
      <c r="W1023" s="12">
        <f t="shared" si="295"/>
        <v>0</v>
      </c>
      <c r="Y1023" s="10">
        <v>22</v>
      </c>
      <c r="Z1023" s="30"/>
      <c r="AA1023" s="31"/>
      <c r="AB1023" s="45"/>
      <c r="AC1023" s="31"/>
      <c r="AD1023" s="31"/>
      <c r="AE1023" s="32">
        <f t="shared" si="302"/>
        <v>0</v>
      </c>
      <c r="AF1023" s="10"/>
      <c r="AG1023" s="10"/>
      <c r="AH1023" s="10"/>
      <c r="AI1023" s="12">
        <f t="shared" si="297"/>
        <v>0</v>
      </c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10">
        <v>23</v>
      </c>
      <c r="B1024" s="30"/>
      <c r="C1024" s="83"/>
      <c r="D1024" s="32"/>
      <c r="E1024" s="32"/>
      <c r="F1024" s="32"/>
      <c r="G1024" s="32">
        <f t="shared" si="292"/>
        <v>0</v>
      </c>
      <c r="H1024" s="10"/>
      <c r="I1024" s="10"/>
      <c r="J1024" s="12"/>
      <c r="K1024" s="12">
        <f t="shared" si="293"/>
        <v>0</v>
      </c>
      <c r="M1024" s="10">
        <v>23</v>
      </c>
      <c r="N1024" s="30"/>
      <c r="O1024" s="31"/>
      <c r="P1024" s="47"/>
      <c r="S1024" s="32">
        <f t="shared" si="294"/>
        <v>0</v>
      </c>
      <c r="T1024" s="10"/>
      <c r="U1024" s="10"/>
      <c r="V1024" s="10"/>
      <c r="W1024" s="12">
        <f t="shared" si="295"/>
        <v>0</v>
      </c>
      <c r="Y1024" s="10">
        <v>23</v>
      </c>
      <c r="Z1024" s="30"/>
      <c r="AA1024" s="31"/>
      <c r="AB1024" s="47"/>
      <c r="AC1024" s="31"/>
      <c r="AE1024" s="32">
        <f t="shared" si="302"/>
        <v>0</v>
      </c>
      <c r="AF1024" s="10"/>
      <c r="AG1024" s="10"/>
      <c r="AH1024" s="10"/>
      <c r="AI1024" s="12">
        <f t="shared" si="297"/>
        <v>0</v>
      </c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10">
        <v>24</v>
      </c>
      <c r="B1025" s="30"/>
      <c r="C1025" s="83"/>
      <c r="D1025" s="32"/>
      <c r="E1025" s="32"/>
      <c r="F1025" s="32"/>
      <c r="G1025" s="32">
        <f t="shared" si="292"/>
        <v>0</v>
      </c>
      <c r="H1025" s="10"/>
      <c r="I1025" s="10"/>
      <c r="J1025" s="10"/>
      <c r="K1025" s="12">
        <f t="shared" si="293"/>
        <v>0</v>
      </c>
      <c r="M1025" s="10">
        <v>24</v>
      </c>
      <c r="N1025" s="30"/>
      <c r="O1025" s="31"/>
      <c r="P1025" s="47"/>
      <c r="Q1025" s="31"/>
      <c r="R1025" s="31"/>
      <c r="S1025" s="32">
        <f t="shared" si="294"/>
        <v>0</v>
      </c>
      <c r="T1025" s="10"/>
      <c r="U1025" s="10"/>
      <c r="V1025" s="10"/>
      <c r="W1025" s="12">
        <f t="shared" si="295"/>
        <v>0</v>
      </c>
      <c r="Y1025" s="10">
        <v>24</v>
      </c>
      <c r="Z1025" s="30"/>
      <c r="AA1025" s="31"/>
      <c r="AB1025" s="47"/>
      <c r="AC1025" s="31"/>
      <c r="AD1025" s="31"/>
      <c r="AE1025" s="32">
        <f t="shared" si="302"/>
        <v>0</v>
      </c>
      <c r="AF1025" s="10"/>
      <c r="AG1025" s="10"/>
      <c r="AH1025" s="10"/>
      <c r="AI1025" s="12">
        <f t="shared" si="297"/>
        <v>0</v>
      </c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10">
        <v>25</v>
      </c>
      <c r="B1026" s="30"/>
      <c r="C1026" s="83"/>
      <c r="D1026" s="32"/>
      <c r="E1026" s="32"/>
      <c r="F1026" s="32"/>
      <c r="G1026" s="32">
        <f t="shared" si="292"/>
        <v>0</v>
      </c>
      <c r="H1026" s="10"/>
      <c r="I1026" s="10"/>
      <c r="J1026" s="10"/>
      <c r="K1026" s="12">
        <f t="shared" si="293"/>
        <v>0</v>
      </c>
      <c r="M1026" s="10">
        <v>25</v>
      </c>
      <c r="N1026" s="30"/>
      <c r="O1026" s="31"/>
      <c r="P1026" s="47"/>
      <c r="Q1026" s="31"/>
      <c r="R1026" s="31"/>
      <c r="S1026" s="32">
        <f t="shared" si="294"/>
        <v>0</v>
      </c>
      <c r="T1026" s="10"/>
      <c r="U1026" s="10"/>
      <c r="V1026" s="10"/>
      <c r="W1026" s="12">
        <f t="shared" si="295"/>
        <v>0</v>
      </c>
      <c r="Y1026" s="10">
        <v>25</v>
      </c>
      <c r="Z1026" s="30"/>
      <c r="AA1026" s="31"/>
      <c r="AB1026" s="47"/>
      <c r="AC1026" s="31"/>
      <c r="AD1026" s="31"/>
      <c r="AE1026" s="32">
        <f t="shared" si="302"/>
        <v>0</v>
      </c>
      <c r="AF1026" s="10"/>
      <c r="AG1026" s="10"/>
      <c r="AH1026" s="10"/>
      <c r="AI1026" s="12">
        <f t="shared" si="297"/>
        <v>0</v>
      </c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10">
        <v>26</v>
      </c>
      <c r="B1027" s="30"/>
      <c r="C1027" s="83"/>
      <c r="D1027" s="32"/>
      <c r="E1027" s="32"/>
      <c r="F1027" s="32"/>
      <c r="G1027" s="32">
        <f t="shared" si="292"/>
        <v>0</v>
      </c>
      <c r="H1027" s="10"/>
      <c r="I1027" s="10"/>
      <c r="J1027" s="10"/>
      <c r="K1027" s="12">
        <f t="shared" si="293"/>
        <v>0</v>
      </c>
      <c r="M1027" s="10">
        <v>26</v>
      </c>
      <c r="N1027" s="30"/>
      <c r="O1027" s="11"/>
      <c r="P1027" s="47"/>
      <c r="Q1027" s="31"/>
      <c r="R1027" s="31"/>
      <c r="S1027" s="32">
        <f t="shared" si="294"/>
        <v>0</v>
      </c>
      <c r="T1027" s="10"/>
      <c r="U1027" s="10"/>
      <c r="V1027" s="10"/>
      <c r="W1027" s="12">
        <f t="shared" si="295"/>
        <v>0</v>
      </c>
      <c r="Y1027" s="10">
        <v>26</v>
      </c>
      <c r="Z1027" s="30"/>
      <c r="AA1027" s="31"/>
      <c r="AB1027" s="47"/>
      <c r="AC1027" s="31"/>
      <c r="AD1027" s="31"/>
      <c r="AE1027" s="32">
        <f t="shared" si="302"/>
        <v>0</v>
      </c>
      <c r="AF1027" s="10"/>
      <c r="AG1027" s="10"/>
      <c r="AH1027" s="10"/>
      <c r="AI1027" s="12">
        <f t="shared" si="297"/>
        <v>0</v>
      </c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10">
        <v>27</v>
      </c>
      <c r="B1028" s="30"/>
      <c r="C1028" s="83"/>
      <c r="D1028" s="32"/>
      <c r="E1028" s="32"/>
      <c r="F1028" s="32"/>
      <c r="G1028" s="32">
        <f t="shared" si="292"/>
        <v>0</v>
      </c>
      <c r="H1028" s="10"/>
      <c r="I1028" s="10"/>
      <c r="J1028" s="10"/>
      <c r="K1028" s="12">
        <f t="shared" si="293"/>
        <v>0</v>
      </c>
      <c r="M1028" s="10">
        <v>27</v>
      </c>
      <c r="N1028" s="30"/>
      <c r="O1028" s="31"/>
      <c r="P1028" s="47"/>
      <c r="Q1028" s="31"/>
      <c r="R1028" s="31"/>
      <c r="S1028" s="32">
        <f t="shared" si="294"/>
        <v>0</v>
      </c>
      <c r="T1028" s="10"/>
      <c r="U1028" s="10"/>
      <c r="V1028" s="10"/>
      <c r="W1028" s="12">
        <f t="shared" si="295"/>
        <v>0</v>
      </c>
      <c r="Y1028" s="10">
        <v>27</v>
      </c>
      <c r="Z1028" s="30"/>
      <c r="AA1028" s="31"/>
      <c r="AB1028" s="47"/>
      <c r="AC1028" s="31"/>
      <c r="AD1028" s="31"/>
      <c r="AE1028" s="32">
        <f t="shared" si="302"/>
        <v>0</v>
      </c>
      <c r="AF1028" s="10"/>
      <c r="AG1028" s="10"/>
      <c r="AH1028" s="10"/>
      <c r="AI1028" s="12">
        <f t="shared" si="297"/>
        <v>0</v>
      </c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10">
        <v>28</v>
      </c>
      <c r="B1029" s="30"/>
      <c r="C1029" s="83"/>
      <c r="D1029" s="32"/>
      <c r="E1029" s="32"/>
      <c r="F1029" s="32"/>
      <c r="G1029" s="32">
        <f t="shared" si="292"/>
        <v>0</v>
      </c>
      <c r="H1029" s="10"/>
      <c r="I1029" s="10"/>
      <c r="J1029" s="10"/>
      <c r="K1029" s="12">
        <f t="shared" si="293"/>
        <v>0</v>
      </c>
      <c r="M1029" s="10">
        <v>28</v>
      </c>
      <c r="N1029" s="30"/>
      <c r="O1029" s="31"/>
      <c r="P1029" s="47"/>
      <c r="Q1029" s="31"/>
      <c r="R1029" s="31"/>
      <c r="S1029" s="32">
        <f t="shared" si="294"/>
        <v>0</v>
      </c>
      <c r="T1029" s="10"/>
      <c r="U1029" s="10"/>
      <c r="V1029" s="10"/>
      <c r="W1029" s="12">
        <f t="shared" si="295"/>
        <v>0</v>
      </c>
      <c r="Y1029" s="10">
        <v>28</v>
      </c>
      <c r="Z1029" s="30"/>
      <c r="AA1029" s="31"/>
      <c r="AB1029" s="47"/>
      <c r="AC1029" s="31"/>
      <c r="AD1029" s="31"/>
      <c r="AE1029" s="32">
        <f t="shared" si="302"/>
        <v>0</v>
      </c>
      <c r="AF1029" s="10"/>
      <c r="AG1029" s="10"/>
      <c r="AH1029" s="10"/>
      <c r="AI1029" s="12">
        <f t="shared" si="297"/>
        <v>0</v>
      </c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10">
        <v>29</v>
      </c>
      <c r="B1030" s="30"/>
      <c r="C1030" s="83"/>
      <c r="D1030" s="32"/>
      <c r="E1030" s="32"/>
      <c r="F1030" s="32"/>
      <c r="G1030" s="32">
        <f t="shared" si="292"/>
        <v>0</v>
      </c>
      <c r="H1030" s="10"/>
      <c r="I1030" s="10"/>
      <c r="J1030" s="10"/>
      <c r="K1030" s="12">
        <f t="shared" si="293"/>
        <v>0</v>
      </c>
      <c r="M1030" s="10">
        <v>29</v>
      </c>
      <c r="N1030" s="30"/>
      <c r="O1030" s="31"/>
      <c r="P1030" s="47"/>
      <c r="Q1030" s="31"/>
      <c r="R1030" s="31"/>
      <c r="S1030" s="32">
        <f t="shared" si="294"/>
        <v>0</v>
      </c>
      <c r="T1030" s="10"/>
      <c r="U1030" s="10"/>
      <c r="V1030" s="10"/>
      <c r="W1030" s="12">
        <f t="shared" si="295"/>
        <v>0</v>
      </c>
      <c r="Y1030" s="10">
        <v>29</v>
      </c>
      <c r="Z1030" s="30"/>
      <c r="AA1030" s="31"/>
      <c r="AB1030" s="47"/>
      <c r="AC1030" s="31"/>
      <c r="AD1030" s="31"/>
      <c r="AE1030" s="32">
        <f t="shared" si="302"/>
        <v>0</v>
      </c>
      <c r="AF1030" s="10"/>
      <c r="AG1030" s="10"/>
      <c r="AH1030" s="10"/>
      <c r="AI1030" s="12">
        <f t="shared" si="297"/>
        <v>0</v>
      </c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10">
        <v>30</v>
      </c>
      <c r="B1031" s="30"/>
      <c r="C1031" s="83"/>
      <c r="D1031" s="32"/>
      <c r="E1031" s="32"/>
      <c r="F1031" s="32"/>
      <c r="G1031" s="32">
        <f t="shared" si="292"/>
        <v>0</v>
      </c>
      <c r="H1031" s="10"/>
      <c r="I1031" s="10"/>
      <c r="J1031" s="10"/>
      <c r="K1031" s="12">
        <f t="shared" si="293"/>
        <v>0</v>
      </c>
      <c r="M1031" s="10">
        <v>30</v>
      </c>
      <c r="N1031" s="30"/>
      <c r="O1031" s="31"/>
      <c r="P1031" s="47"/>
      <c r="Q1031" s="31"/>
      <c r="R1031" s="31"/>
      <c r="S1031" s="32">
        <f t="shared" si="294"/>
        <v>0</v>
      </c>
      <c r="T1031" s="10"/>
      <c r="U1031" s="10"/>
      <c r="V1031" s="10"/>
      <c r="W1031" s="12">
        <f t="shared" si="295"/>
        <v>0</v>
      </c>
      <c r="Y1031" s="10">
        <v>30</v>
      </c>
      <c r="Z1031" s="30"/>
      <c r="AA1031" s="31"/>
      <c r="AB1031" s="47"/>
      <c r="AC1031" s="31"/>
      <c r="AD1031" s="31"/>
      <c r="AE1031" s="32">
        <f t="shared" si="302"/>
        <v>0</v>
      </c>
      <c r="AF1031" s="10"/>
      <c r="AG1031" s="10"/>
      <c r="AH1031" s="10"/>
      <c r="AI1031" s="12">
        <f t="shared" si="297"/>
        <v>0</v>
      </c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10">
        <v>31</v>
      </c>
      <c r="B1032" s="30"/>
      <c r="C1032" s="11"/>
      <c r="D1032" s="32"/>
      <c r="E1032" s="32"/>
      <c r="F1032" s="32"/>
      <c r="G1032" s="32">
        <f t="shared" si="292"/>
        <v>0</v>
      </c>
      <c r="H1032" s="10"/>
      <c r="I1032" s="10"/>
      <c r="J1032" s="10"/>
      <c r="K1032" s="12">
        <f t="shared" si="293"/>
        <v>0</v>
      </c>
      <c r="M1032" s="10">
        <v>31</v>
      </c>
      <c r="N1032" s="30"/>
      <c r="O1032" s="31"/>
      <c r="P1032" s="47"/>
      <c r="Q1032" s="31"/>
      <c r="R1032" s="31"/>
      <c r="S1032" s="32">
        <f t="shared" si="294"/>
        <v>0</v>
      </c>
      <c r="T1032" s="10"/>
      <c r="U1032" s="10"/>
      <c r="V1032" s="10"/>
      <c r="W1032" s="12">
        <f t="shared" si="295"/>
        <v>0</v>
      </c>
      <c r="Y1032" s="10">
        <v>31</v>
      </c>
      <c r="Z1032" s="30"/>
      <c r="AA1032" s="31"/>
      <c r="AB1032" s="47"/>
      <c r="AC1032" s="31"/>
      <c r="AD1032" s="31"/>
      <c r="AE1032" s="32">
        <f t="shared" si="302"/>
        <v>0</v>
      </c>
      <c r="AF1032" s="10"/>
      <c r="AG1032" s="10"/>
      <c r="AH1032" s="10"/>
      <c r="AI1032" s="12">
        <f t="shared" si="297"/>
        <v>0</v>
      </c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10">
        <v>32</v>
      </c>
      <c r="B1033" s="30"/>
      <c r="C1033" s="83"/>
      <c r="D1033" s="32"/>
      <c r="E1033" s="32"/>
      <c r="F1033" s="32"/>
      <c r="G1033" s="32">
        <f t="shared" si="292"/>
        <v>0</v>
      </c>
      <c r="H1033" s="10"/>
      <c r="I1033" s="10"/>
      <c r="J1033" s="10"/>
      <c r="K1033" s="12">
        <f t="shared" si="293"/>
        <v>0</v>
      </c>
      <c r="M1033" s="10">
        <v>32</v>
      </c>
      <c r="N1033" s="30"/>
      <c r="O1033" s="31"/>
      <c r="P1033" s="47"/>
      <c r="Q1033" s="31"/>
      <c r="R1033" s="31"/>
      <c r="S1033" s="32">
        <f t="shared" si="294"/>
        <v>0</v>
      </c>
      <c r="T1033" s="10"/>
      <c r="U1033" s="10"/>
      <c r="V1033" s="10"/>
      <c r="W1033" s="12">
        <f t="shared" si="295"/>
        <v>0</v>
      </c>
      <c r="Y1033" s="10">
        <v>32</v>
      </c>
      <c r="Z1033" s="30"/>
      <c r="AA1033" s="31"/>
      <c r="AB1033" s="47"/>
      <c r="AC1033" s="31"/>
      <c r="AD1033" s="31"/>
      <c r="AE1033" s="32">
        <f t="shared" si="302"/>
        <v>0</v>
      </c>
      <c r="AF1033" s="10"/>
      <c r="AG1033" s="10"/>
      <c r="AH1033" s="10"/>
      <c r="AI1033" s="12">
        <f t="shared" si="297"/>
        <v>0</v>
      </c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10">
        <v>33</v>
      </c>
      <c r="B1034" s="30"/>
      <c r="C1034" s="83"/>
      <c r="D1034" s="32"/>
      <c r="E1034" s="32"/>
      <c r="F1034" s="32"/>
      <c r="G1034" s="32">
        <f t="shared" si="292"/>
        <v>0</v>
      </c>
      <c r="H1034" s="10"/>
      <c r="I1034" s="10"/>
      <c r="J1034" s="10"/>
      <c r="K1034" s="12">
        <f t="shared" si="293"/>
        <v>0</v>
      </c>
      <c r="M1034" s="10">
        <v>33</v>
      </c>
      <c r="N1034" s="30"/>
      <c r="O1034" s="31"/>
      <c r="P1034" s="47"/>
      <c r="Q1034" s="31"/>
      <c r="R1034" s="31"/>
      <c r="S1034" s="32">
        <f t="shared" si="294"/>
        <v>0</v>
      </c>
      <c r="T1034" s="10"/>
      <c r="U1034" s="10"/>
      <c r="V1034" s="10"/>
      <c r="W1034" s="12">
        <f t="shared" si="295"/>
        <v>0</v>
      </c>
      <c r="Y1034" s="10">
        <v>33</v>
      </c>
      <c r="Z1034" s="30"/>
      <c r="AA1034" s="31"/>
      <c r="AB1034" s="47"/>
      <c r="AC1034" s="31"/>
      <c r="AD1034" s="31"/>
      <c r="AE1034" s="32">
        <f t="shared" si="302"/>
        <v>0</v>
      </c>
      <c r="AF1034" s="10"/>
      <c r="AG1034" s="10"/>
      <c r="AH1034" s="10"/>
      <c r="AI1034" s="12">
        <f t="shared" si="297"/>
        <v>0</v>
      </c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10"/>
      <c r="B1035" s="30"/>
      <c r="C1035" s="83"/>
      <c r="D1035" s="32"/>
      <c r="E1035" s="32"/>
      <c r="F1035" s="32"/>
      <c r="G1035" s="32">
        <f t="shared" si="292"/>
        <v>0</v>
      </c>
      <c r="H1035" s="10"/>
      <c r="I1035" s="10"/>
      <c r="J1035" s="10"/>
      <c r="K1035" s="12">
        <f t="shared" si="293"/>
        <v>0</v>
      </c>
      <c r="M1035" s="10">
        <v>34</v>
      </c>
      <c r="N1035" s="30"/>
      <c r="O1035" s="31"/>
      <c r="P1035" s="47"/>
      <c r="Q1035" s="31"/>
      <c r="R1035" s="31"/>
      <c r="S1035" s="32">
        <f t="shared" si="294"/>
        <v>0</v>
      </c>
      <c r="T1035" s="10"/>
      <c r="U1035" s="10"/>
      <c r="V1035" s="10"/>
      <c r="W1035" s="12">
        <f t="shared" si="295"/>
        <v>0</v>
      </c>
      <c r="Y1035" s="10">
        <v>34</v>
      </c>
      <c r="Z1035" s="30"/>
      <c r="AA1035" s="31"/>
      <c r="AB1035" s="47"/>
      <c r="AC1035" s="31"/>
      <c r="AD1035" s="31"/>
      <c r="AE1035" s="32">
        <f t="shared" si="302"/>
        <v>0</v>
      </c>
      <c r="AF1035" s="10"/>
      <c r="AG1035" s="10"/>
      <c r="AH1035" s="10"/>
      <c r="AI1035" s="12">
        <f t="shared" si="297"/>
        <v>0</v>
      </c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10"/>
      <c r="B1036" s="30"/>
      <c r="C1036" s="83"/>
      <c r="D1036" s="32"/>
      <c r="E1036" s="32"/>
      <c r="F1036" s="32"/>
      <c r="G1036" s="32"/>
      <c r="H1036" s="10"/>
      <c r="I1036" s="10"/>
      <c r="J1036" s="10"/>
      <c r="K1036" s="12"/>
      <c r="M1036" s="10">
        <v>35</v>
      </c>
      <c r="N1036" s="30"/>
      <c r="O1036" s="31"/>
      <c r="P1036" s="47"/>
      <c r="Q1036" s="31"/>
      <c r="R1036" s="31"/>
      <c r="S1036" s="32">
        <f t="shared" si="294"/>
        <v>0</v>
      </c>
      <c r="T1036" s="10"/>
      <c r="U1036" s="10"/>
      <c r="V1036" s="10"/>
      <c r="W1036" s="12">
        <f t="shared" si="295"/>
        <v>0</v>
      </c>
      <c r="Y1036" s="10">
        <v>35</v>
      </c>
      <c r="Z1036" s="30"/>
      <c r="AA1036" s="31"/>
      <c r="AB1036" s="47"/>
      <c r="AC1036" s="31"/>
      <c r="AD1036" s="31"/>
      <c r="AE1036" s="32">
        <f t="shared" si="302"/>
        <v>0</v>
      </c>
      <c r="AF1036" s="10"/>
      <c r="AG1036" s="10"/>
      <c r="AH1036" s="10"/>
      <c r="AI1036" s="12">
        <f t="shared" si="297"/>
        <v>0</v>
      </c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10"/>
      <c r="B1037" s="30"/>
      <c r="C1037" s="83"/>
      <c r="D1037" s="32"/>
      <c r="E1037" s="32"/>
      <c r="F1037" s="32"/>
      <c r="G1037" s="32"/>
      <c r="H1037" s="10"/>
      <c r="I1037" s="10"/>
      <c r="J1037" s="10"/>
      <c r="K1037" s="12"/>
      <c r="M1037" s="10">
        <v>36</v>
      </c>
      <c r="N1037" s="30"/>
      <c r="O1037" s="31"/>
      <c r="P1037" s="47"/>
      <c r="Q1037" s="31"/>
      <c r="R1037" s="31"/>
      <c r="S1037" s="32">
        <f t="shared" si="294"/>
        <v>0</v>
      </c>
      <c r="T1037" s="10"/>
      <c r="U1037" s="10"/>
      <c r="V1037" s="10"/>
      <c r="W1037" s="12">
        <f t="shared" si="295"/>
        <v>0</v>
      </c>
      <c r="Y1037" s="10">
        <v>36</v>
      </c>
      <c r="Z1037" s="30"/>
      <c r="AA1037" s="31"/>
      <c r="AB1037" s="47"/>
      <c r="AC1037" s="31"/>
      <c r="AD1037" s="31"/>
      <c r="AE1037" s="32">
        <f t="shared" si="302"/>
        <v>0</v>
      </c>
      <c r="AF1037" s="10"/>
      <c r="AG1037" s="10"/>
      <c r="AH1037" s="10"/>
      <c r="AI1037" s="12">
        <f t="shared" si="297"/>
        <v>0</v>
      </c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10"/>
      <c r="B1038" s="30"/>
      <c r="C1038" s="31"/>
      <c r="D1038" s="32"/>
      <c r="E1038" s="32"/>
      <c r="F1038" s="32"/>
      <c r="G1038" s="32"/>
      <c r="H1038" s="10"/>
      <c r="I1038" s="10"/>
      <c r="J1038" s="10"/>
      <c r="K1038" s="12"/>
      <c r="M1038" s="10">
        <v>37</v>
      </c>
      <c r="N1038" s="30"/>
      <c r="P1038" s="47"/>
      <c r="Q1038" s="31"/>
      <c r="R1038" s="31"/>
      <c r="S1038" s="32">
        <f t="shared" si="294"/>
        <v>0</v>
      </c>
      <c r="T1038" s="10"/>
      <c r="U1038" s="10"/>
      <c r="V1038" s="10"/>
      <c r="W1038" s="12">
        <f t="shared" si="295"/>
        <v>0</v>
      </c>
      <c r="Y1038" s="10">
        <v>37</v>
      </c>
      <c r="Z1038" s="30"/>
      <c r="AA1038" s="31"/>
      <c r="AB1038" s="47"/>
      <c r="AC1038" s="31"/>
      <c r="AD1038" s="31"/>
      <c r="AE1038" s="32">
        <f t="shared" si="302"/>
        <v>0</v>
      </c>
      <c r="AF1038" s="10"/>
      <c r="AG1038" s="10"/>
      <c r="AH1038" s="10"/>
      <c r="AI1038" s="12">
        <f t="shared" si="297"/>
        <v>0</v>
      </c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10"/>
      <c r="B1039" s="30"/>
      <c r="C1039" s="31"/>
      <c r="D1039" s="32"/>
      <c r="E1039" s="32"/>
      <c r="F1039" s="32"/>
      <c r="G1039" s="32"/>
      <c r="H1039" s="10"/>
      <c r="I1039" s="10"/>
      <c r="J1039" s="10"/>
      <c r="K1039" s="12"/>
      <c r="M1039" s="10">
        <v>38</v>
      </c>
      <c r="N1039" s="30"/>
      <c r="O1039" s="31"/>
      <c r="P1039" s="47"/>
      <c r="Q1039" s="31"/>
      <c r="R1039" s="31"/>
      <c r="S1039" s="32">
        <f t="shared" si="294"/>
        <v>0</v>
      </c>
      <c r="T1039" s="10"/>
      <c r="U1039" s="10"/>
      <c r="V1039" s="10"/>
      <c r="W1039" s="12">
        <f t="shared" si="295"/>
        <v>0</v>
      </c>
      <c r="Y1039" s="10">
        <v>38</v>
      </c>
      <c r="Z1039" s="30"/>
      <c r="AA1039" s="31"/>
      <c r="AB1039" s="47"/>
      <c r="AC1039" s="31"/>
      <c r="AD1039" s="31"/>
      <c r="AE1039" s="32">
        <f t="shared" si="302"/>
        <v>0</v>
      </c>
      <c r="AF1039" s="10"/>
      <c r="AG1039" s="10"/>
      <c r="AH1039" s="10"/>
      <c r="AI1039" s="12">
        <f t="shared" si="297"/>
        <v>0</v>
      </c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10"/>
      <c r="B1040" s="30"/>
      <c r="C1040" s="31"/>
      <c r="D1040" s="32"/>
      <c r="E1040" s="32"/>
      <c r="F1040" s="32"/>
      <c r="G1040" s="32"/>
      <c r="H1040" s="10"/>
      <c r="I1040" s="10"/>
      <c r="J1040" s="10"/>
      <c r="K1040" s="12"/>
      <c r="M1040" s="10">
        <v>39</v>
      </c>
      <c r="N1040" s="30"/>
      <c r="O1040" s="31"/>
      <c r="P1040" s="47"/>
      <c r="Q1040" s="31"/>
      <c r="R1040" s="31"/>
      <c r="S1040" s="32">
        <f t="shared" si="294"/>
        <v>0</v>
      </c>
      <c r="T1040" s="10"/>
      <c r="U1040" s="10"/>
      <c r="V1040" s="10"/>
      <c r="W1040" s="12">
        <f t="shared" si="295"/>
        <v>0</v>
      </c>
      <c r="Y1040" s="10">
        <v>39</v>
      </c>
      <c r="Z1040" s="30"/>
      <c r="AA1040" s="31"/>
      <c r="AB1040" s="47"/>
      <c r="AC1040" s="31"/>
      <c r="AD1040" s="31"/>
      <c r="AE1040" s="32">
        <f t="shared" si="302"/>
        <v>0</v>
      </c>
      <c r="AF1040" s="10"/>
      <c r="AG1040" s="10"/>
      <c r="AH1040" s="10"/>
      <c r="AI1040" s="12">
        <f t="shared" si="297"/>
        <v>0</v>
      </c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10"/>
      <c r="B1041" s="30"/>
      <c r="C1041" s="31"/>
      <c r="D1041" s="32"/>
      <c r="E1041" s="32"/>
      <c r="F1041" s="32"/>
      <c r="G1041" s="32"/>
      <c r="H1041" s="10"/>
      <c r="I1041" s="10"/>
      <c r="J1041" s="10"/>
      <c r="K1041" s="12"/>
      <c r="M1041" s="10"/>
      <c r="N1041" s="30"/>
      <c r="P1041" s="47"/>
      <c r="Q1041" s="31"/>
      <c r="R1041" s="31"/>
      <c r="S1041" s="32"/>
      <c r="T1041" s="10"/>
      <c r="U1041" s="10"/>
      <c r="V1041" s="10"/>
      <c r="W1041" s="12">
        <f t="shared" si="295"/>
        <v>0</v>
      </c>
      <c r="Y1041" s="10"/>
      <c r="Z1041" s="30"/>
      <c r="AB1041" s="47"/>
      <c r="AC1041" s="31"/>
      <c r="AD1041" s="31"/>
      <c r="AE1041" s="32"/>
      <c r="AF1041" s="10"/>
      <c r="AG1041" s="10"/>
      <c r="AH1041" s="10"/>
      <c r="AI1041" s="12">
        <f t="shared" si="297"/>
        <v>0</v>
      </c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10"/>
      <c r="B1042" s="30"/>
      <c r="C1042" s="31"/>
      <c r="D1042" s="32"/>
      <c r="E1042" s="32"/>
      <c r="F1042" s="32"/>
      <c r="G1042" s="32">
        <f t="shared" ref="G1042" si="303">SUM(D1042:E1042)</f>
        <v>0</v>
      </c>
      <c r="H1042" s="10"/>
      <c r="I1042" s="10"/>
      <c r="J1042" s="10"/>
      <c r="K1042" s="12">
        <f t="shared" ref="K1042" si="304">SUM(G1042:J1042)</f>
        <v>0</v>
      </c>
      <c r="M1042" s="10"/>
      <c r="N1042" s="30"/>
      <c r="O1042" s="31"/>
      <c r="P1042" s="47"/>
      <c r="Q1042" s="31"/>
      <c r="R1042" s="31"/>
      <c r="S1042" s="32">
        <f t="shared" ref="S1042" si="305">SUM(P1042:Q1042)</f>
        <v>0</v>
      </c>
      <c r="T1042" s="10"/>
      <c r="U1042" s="10"/>
      <c r="V1042" s="10"/>
      <c r="W1042" s="12">
        <f t="shared" si="295"/>
        <v>0</v>
      </c>
      <c r="Y1042" s="10"/>
      <c r="Z1042" s="30"/>
      <c r="AA1042" s="31"/>
      <c r="AB1042" s="47"/>
      <c r="AC1042" s="31"/>
      <c r="AD1042" s="31"/>
      <c r="AE1042" s="32">
        <f t="shared" ref="AE1042" si="306">SUM(AB1042:AC1042)</f>
        <v>0</v>
      </c>
      <c r="AF1042" s="10"/>
      <c r="AG1042" s="10"/>
      <c r="AH1042" s="10"/>
      <c r="AI1042" s="12">
        <f t="shared" si="297"/>
        <v>0</v>
      </c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10"/>
      <c r="B1043" s="30"/>
      <c r="C1043" s="30"/>
      <c r="D1043" s="32"/>
      <c r="E1043" s="32"/>
      <c r="F1043" s="32"/>
      <c r="G1043" s="32"/>
      <c r="H1043" s="10"/>
      <c r="I1043" s="10"/>
      <c r="J1043" s="10"/>
      <c r="K1043" s="12"/>
      <c r="M1043" s="10"/>
      <c r="N1043" s="31"/>
      <c r="O1043" s="31"/>
      <c r="P1043" s="31"/>
      <c r="Q1043" s="31"/>
      <c r="R1043" s="31"/>
      <c r="S1043" s="31"/>
      <c r="T1043" s="10"/>
      <c r="U1043" s="10"/>
      <c r="V1043" s="10"/>
      <c r="W1043" s="12">
        <f t="shared" si="295"/>
        <v>0</v>
      </c>
      <c r="Y1043" s="10"/>
      <c r="Z1043" s="31"/>
      <c r="AA1043" s="31"/>
      <c r="AB1043" s="31"/>
      <c r="AC1043" s="31"/>
      <c r="AD1043" s="31"/>
      <c r="AE1043" s="31"/>
      <c r="AF1043" s="10"/>
      <c r="AG1043" s="10"/>
      <c r="AH1043" s="10"/>
      <c r="AI1043" s="12">
        <f t="shared" si="297"/>
        <v>0</v>
      </c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B1044" s="57"/>
      <c r="C1044" s="57"/>
      <c r="D1044" s="36"/>
      <c r="E1044" s="36"/>
      <c r="F1044" s="36"/>
      <c r="G1044" s="36"/>
      <c r="H1044" s="37"/>
      <c r="I1044" s="37"/>
      <c r="J1044" s="37"/>
      <c r="K1044" s="37"/>
      <c r="N1044" s="57"/>
      <c r="O1044" s="57"/>
      <c r="P1044" s="36"/>
      <c r="Q1044" s="36"/>
      <c r="R1044" s="36"/>
      <c r="S1044" s="36"/>
      <c r="T1044" s="37"/>
      <c r="U1044" s="37"/>
      <c r="V1044" s="37"/>
      <c r="W1044" s="37"/>
      <c r="Z1044" s="57"/>
      <c r="AA1044" s="57"/>
      <c r="AB1044" s="36"/>
      <c r="AC1044" s="36"/>
      <c r="AD1044" s="36"/>
      <c r="AE1044" s="36"/>
      <c r="AF1044" s="37"/>
      <c r="AG1044" s="37"/>
      <c r="AH1044" s="37"/>
      <c r="AI1044" s="37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B1045" s="57"/>
      <c r="C1045" s="57"/>
      <c r="D1045" s="38">
        <f>SUM(D1002:D1044)</f>
        <v>330249</v>
      </c>
      <c r="E1045" s="38">
        <f t="shared" ref="E1045:F1045" si="307">SUM(E1002:E1042)</f>
        <v>-2742</v>
      </c>
      <c r="F1045" s="38">
        <f t="shared" si="307"/>
        <v>0</v>
      </c>
      <c r="G1045" s="38">
        <f>SUM(G1002:G1044)</f>
        <v>327507</v>
      </c>
      <c r="H1045" s="4"/>
      <c r="I1045" s="39">
        <f>SUM(I1002:I1044)</f>
        <v>5115</v>
      </c>
      <c r="J1045" s="39">
        <f>SUM(J1002:J1044)</f>
        <v>-1158</v>
      </c>
      <c r="K1045" s="40">
        <f>SUM(K1002:K1044)</f>
        <v>331464</v>
      </c>
      <c r="N1045" s="57"/>
      <c r="O1045" s="57"/>
      <c r="P1045" s="38">
        <f>SUM(P1002:P1044)</f>
        <v>563648</v>
      </c>
      <c r="Q1045" s="38">
        <f>SUM(Q1002:Q1026)</f>
        <v>-4686</v>
      </c>
      <c r="R1045" s="38">
        <f>SUM(R1002:R1026)</f>
        <v>0</v>
      </c>
      <c r="S1045" s="38">
        <f>SUM(S1002:S1044)</f>
        <v>558962</v>
      </c>
      <c r="T1045" s="4"/>
      <c r="U1045" s="41">
        <f>SUM(U1002:U1044)</f>
        <v>10416</v>
      </c>
      <c r="V1045" s="41">
        <f>SUM(V1002:V1026)</f>
        <v>-3240</v>
      </c>
      <c r="W1045" s="42">
        <f>SUM(W1002:W1044)</f>
        <v>566138</v>
      </c>
      <c r="Z1045" s="57"/>
      <c r="AA1045" s="57"/>
      <c r="AB1045" s="38">
        <f>SUM(AB1002:AB1044)</f>
        <v>416394</v>
      </c>
      <c r="AC1045" s="38">
        <f>SUM(AC1002:AC1026)</f>
        <v>-3480</v>
      </c>
      <c r="AD1045" s="38">
        <f>SUM(AD1002:AD1026)</f>
        <v>0</v>
      </c>
      <c r="AE1045" s="38">
        <f>SUM(AE1002:AE1044)</f>
        <v>412914</v>
      </c>
      <c r="AF1045" s="4"/>
      <c r="AG1045" s="41">
        <f>SUM(AG1002:AG1044)</f>
        <v>960</v>
      </c>
      <c r="AH1045" s="41">
        <f>SUM(AH1002:AH1026)</f>
        <v>-1560</v>
      </c>
      <c r="AI1045" s="42">
        <f>SUM(AI1002:AI1044)</f>
        <v>412314</v>
      </c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18"/>
      <c r="B1046" s="18"/>
      <c r="C1046" s="18"/>
      <c r="D1046" s="18"/>
      <c r="E1046" s="18"/>
      <c r="F1046" s="18"/>
      <c r="G1046" s="18"/>
      <c r="H1046" s="18"/>
      <c r="I1046" s="18"/>
      <c r="J1046" s="18"/>
      <c r="K1046" s="18"/>
      <c r="M1046" s="18"/>
      <c r="N1046" s="18"/>
      <c r="O1046" s="18"/>
      <c r="P1046" s="18"/>
      <c r="Q1046" s="18"/>
      <c r="R1046" s="18"/>
      <c r="S1046" s="18"/>
      <c r="T1046" s="18"/>
      <c r="U1046" s="18"/>
      <c r="V1046" s="18"/>
      <c r="W1046" s="18"/>
      <c r="Y1046" s="18"/>
      <c r="Z1046" s="18"/>
      <c r="AA1046" s="18"/>
      <c r="AB1046" s="18"/>
      <c r="AC1046" s="18"/>
      <c r="AD1046" s="18"/>
      <c r="AE1046" s="18"/>
      <c r="AF1046" s="18"/>
      <c r="AG1046" s="18"/>
      <c r="AH1046" s="18"/>
      <c r="AI1046" s="18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t="s">
        <v>0</v>
      </c>
      <c r="B1047" s="57"/>
      <c r="C1047" s="57"/>
      <c r="D1047" s="57"/>
      <c r="E1047" s="57"/>
      <c r="G1047" s="57"/>
      <c r="M1047" t="s">
        <v>0</v>
      </c>
      <c r="N1047" s="57"/>
      <c r="O1047" s="57"/>
      <c r="P1047" s="57"/>
      <c r="Q1047" s="57"/>
      <c r="R1047" s="57"/>
      <c r="S1047" s="57"/>
      <c r="Y1047" t="s">
        <v>0</v>
      </c>
      <c r="Z1047" s="57"/>
      <c r="AA1047" s="57"/>
      <c r="AB1047" s="57"/>
      <c r="AC1047" s="57"/>
      <c r="AD1047" s="57"/>
      <c r="AE1047" s="57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t="s">
        <v>28</v>
      </c>
      <c r="B1048" s="57"/>
      <c r="C1048" s="57"/>
      <c r="D1048" s="57"/>
      <c r="E1048" s="57"/>
      <c r="G1048" s="57"/>
      <c r="M1048" t="s">
        <v>28</v>
      </c>
      <c r="N1048" s="57"/>
      <c r="O1048" s="57"/>
      <c r="P1048" s="57"/>
      <c r="Q1048" s="57"/>
      <c r="R1048" s="57"/>
      <c r="S1048" s="57"/>
      <c r="Y1048" t="s">
        <v>28</v>
      </c>
      <c r="Z1048" s="57"/>
      <c r="AA1048" s="57"/>
      <c r="AB1048" s="57"/>
      <c r="AC1048" s="57"/>
      <c r="AD1048" s="57"/>
      <c r="AE1048" s="57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B1049" s="57"/>
      <c r="C1049" s="57"/>
      <c r="D1049" s="57"/>
      <c r="E1049" s="57"/>
      <c r="G1049" s="57"/>
      <c r="N1049" s="57"/>
      <c r="O1049" s="57"/>
      <c r="P1049" s="57"/>
      <c r="Q1049" s="57"/>
      <c r="R1049" s="57"/>
      <c r="S1049" s="57"/>
      <c r="Z1049" s="57"/>
      <c r="AA1049" s="57"/>
      <c r="AB1049" s="57"/>
      <c r="AC1049" s="57"/>
      <c r="AD1049" s="57"/>
      <c r="AE1049" s="57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4" t="s">
        <v>14</v>
      </c>
      <c r="B1050" s="57"/>
      <c r="C1050" s="57"/>
      <c r="D1050" s="57"/>
      <c r="E1050" s="57"/>
      <c r="G1050" s="57"/>
      <c r="M1050" s="4" t="s">
        <v>14</v>
      </c>
      <c r="N1050" s="57"/>
      <c r="O1050" s="57"/>
      <c r="P1050" s="57"/>
      <c r="Q1050" s="57"/>
      <c r="R1050" s="57"/>
      <c r="S1050" s="57"/>
      <c r="Y1050" s="4" t="s">
        <v>14</v>
      </c>
      <c r="Z1050" s="57"/>
      <c r="AA1050" s="57"/>
      <c r="AB1050" s="57"/>
      <c r="AC1050" s="57"/>
      <c r="AD1050" s="57"/>
      <c r="AE1050" s="57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B1051" s="57"/>
      <c r="C1051" s="57"/>
      <c r="D1051" s="57"/>
      <c r="E1051" s="57"/>
      <c r="G1051" s="57"/>
      <c r="N1051" s="57"/>
      <c r="O1051" s="57"/>
      <c r="P1051" s="57"/>
      <c r="Q1051" s="57"/>
      <c r="R1051" s="57"/>
      <c r="S1051" s="57"/>
      <c r="Z1051" s="57"/>
      <c r="AA1051" s="57"/>
      <c r="AB1051" s="57"/>
      <c r="AC1051" s="57"/>
      <c r="AD1051" s="57"/>
      <c r="AE1051" s="57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t="s">
        <v>37</v>
      </c>
      <c r="B1052" s="57"/>
      <c r="C1052" s="57"/>
      <c r="D1052" s="57"/>
      <c r="E1052" s="57"/>
      <c r="G1052" s="57"/>
      <c r="I1052" s="57" t="s">
        <v>15</v>
      </c>
      <c r="J1052" s="19">
        <v>1</v>
      </c>
      <c r="M1052" t="s">
        <v>37</v>
      </c>
      <c r="N1052" s="57"/>
      <c r="O1052" s="57"/>
      <c r="P1052" s="57"/>
      <c r="Q1052" s="57"/>
      <c r="R1052" s="57"/>
      <c r="S1052" s="57"/>
      <c r="U1052" s="57" t="s">
        <v>15</v>
      </c>
      <c r="V1052" s="19">
        <v>2</v>
      </c>
      <c r="Y1052" t="s">
        <v>37</v>
      </c>
      <c r="Z1052" s="57"/>
      <c r="AA1052" s="57"/>
      <c r="AB1052" s="57"/>
      <c r="AC1052" s="57"/>
      <c r="AD1052" s="57"/>
      <c r="AE1052" s="57"/>
      <c r="AG1052" s="57" t="s">
        <v>15</v>
      </c>
      <c r="AH1052" s="20">
        <v>3</v>
      </c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21" t="s">
        <v>95</v>
      </c>
      <c r="B1053" s="20"/>
      <c r="C1053" s="57"/>
      <c r="D1053" s="57"/>
      <c r="E1053" s="57"/>
      <c r="G1053" s="57"/>
      <c r="I1053" s="22" t="s">
        <v>16</v>
      </c>
      <c r="J1053" s="23" t="s">
        <v>31</v>
      </c>
      <c r="K1053" s="24"/>
      <c r="M1053" s="21" t="s">
        <v>95</v>
      </c>
      <c r="N1053" s="20"/>
      <c r="O1053" s="57"/>
      <c r="P1053" s="57"/>
      <c r="Q1053" s="57"/>
      <c r="R1053" s="57"/>
      <c r="S1053" s="57"/>
      <c r="U1053" s="22" t="s">
        <v>16</v>
      </c>
      <c r="V1053" s="23" t="s">
        <v>33</v>
      </c>
      <c r="W1053" s="24"/>
      <c r="Y1053" s="21" t="s">
        <v>95</v>
      </c>
      <c r="Z1053" s="20"/>
      <c r="AA1053" s="57"/>
      <c r="AB1053" s="57"/>
      <c r="AC1053" s="57"/>
      <c r="AD1053" s="57"/>
      <c r="AE1053" s="57"/>
      <c r="AG1053" s="22" t="s">
        <v>16</v>
      </c>
      <c r="AH1053" s="23" t="s">
        <v>34</v>
      </c>
      <c r="AI1053" s="24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B1054" s="57"/>
      <c r="C1054" s="57"/>
      <c r="D1054" s="57"/>
      <c r="E1054" s="57"/>
      <c r="G1054" s="57"/>
      <c r="N1054" s="57"/>
      <c r="O1054" s="57"/>
      <c r="P1054" s="57"/>
      <c r="Q1054" s="57"/>
      <c r="R1054" s="57"/>
      <c r="S1054" s="57"/>
      <c r="Z1054" s="57"/>
      <c r="AA1054" s="57"/>
      <c r="AB1054" s="57"/>
      <c r="AC1054" s="57"/>
      <c r="AD1054" s="57"/>
      <c r="AE1054" s="57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B1055" s="25"/>
      <c r="C1055" s="26"/>
      <c r="D1055" s="120" t="s">
        <v>17</v>
      </c>
      <c r="E1055" s="120"/>
      <c r="F1055" s="111"/>
      <c r="G1055" s="27"/>
      <c r="I1055" s="118" t="s">
        <v>18</v>
      </c>
      <c r="J1055" s="119"/>
      <c r="K1055" s="116" t="s">
        <v>19</v>
      </c>
      <c r="N1055" s="25"/>
      <c r="O1055" s="26"/>
      <c r="P1055" s="120" t="s">
        <v>17</v>
      </c>
      <c r="Q1055" s="120"/>
      <c r="R1055" s="111"/>
      <c r="S1055" s="27"/>
      <c r="U1055" s="118" t="s">
        <v>18</v>
      </c>
      <c r="V1055" s="119"/>
      <c r="W1055" s="116" t="s">
        <v>19</v>
      </c>
      <c r="Z1055" s="25"/>
      <c r="AA1055" s="26"/>
      <c r="AB1055" s="120" t="s">
        <v>17</v>
      </c>
      <c r="AC1055" s="120"/>
      <c r="AD1055" s="111"/>
      <c r="AE1055" s="27"/>
      <c r="AG1055" s="118" t="s">
        <v>18</v>
      </c>
      <c r="AH1055" s="119"/>
      <c r="AI1055" s="116" t="s">
        <v>19</v>
      </c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ht="30" x14ac:dyDescent="0.25">
      <c r="B1056" s="28" t="s">
        <v>20</v>
      </c>
      <c r="C1056" s="28" t="s">
        <v>21</v>
      </c>
      <c r="D1056" s="77" t="s">
        <v>22</v>
      </c>
      <c r="E1056" s="76" t="s">
        <v>23</v>
      </c>
      <c r="F1056" s="78" t="s">
        <v>32</v>
      </c>
      <c r="G1056" s="78" t="s">
        <v>24</v>
      </c>
      <c r="I1056" s="29" t="s">
        <v>25</v>
      </c>
      <c r="J1056" s="29" t="s">
        <v>26</v>
      </c>
      <c r="K1056" s="117"/>
      <c r="N1056" s="28" t="s">
        <v>20</v>
      </c>
      <c r="O1056" s="28" t="s">
        <v>21</v>
      </c>
      <c r="P1056" s="77" t="s">
        <v>22</v>
      </c>
      <c r="Q1056" s="78" t="s">
        <v>23</v>
      </c>
      <c r="R1056" s="78" t="s">
        <v>32</v>
      </c>
      <c r="S1056" s="78" t="s">
        <v>24</v>
      </c>
      <c r="U1056" s="29" t="s">
        <v>25</v>
      </c>
      <c r="V1056" s="29" t="s">
        <v>26</v>
      </c>
      <c r="W1056" s="117"/>
      <c r="Z1056" s="28" t="s">
        <v>20</v>
      </c>
      <c r="AA1056" s="28" t="s">
        <v>21</v>
      </c>
      <c r="AB1056" s="77" t="s">
        <v>22</v>
      </c>
      <c r="AC1056" s="78" t="s">
        <v>23</v>
      </c>
      <c r="AD1056" s="78" t="s">
        <v>32</v>
      </c>
      <c r="AE1056" s="78" t="s">
        <v>24</v>
      </c>
      <c r="AG1056" s="29" t="s">
        <v>25</v>
      </c>
      <c r="AH1056" s="29" t="s">
        <v>26</v>
      </c>
      <c r="AI1056" s="117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10">
        <v>1</v>
      </c>
      <c r="B1057" s="30" t="s">
        <v>96</v>
      </c>
      <c r="C1057" s="83">
        <v>10309</v>
      </c>
      <c r="D1057" s="32">
        <f>700*20+670*50+973*35+1122+872*25+872*10+872*50+500*20+500*10</f>
        <v>171797</v>
      </c>
      <c r="E1057" s="32"/>
      <c r="F1057" s="32"/>
      <c r="G1057" s="32">
        <f t="shared" ref="G1057:G1090" si="308">SUM(D1057:E1057)</f>
        <v>171797</v>
      </c>
      <c r="H1057" s="12"/>
      <c r="I1057" s="12">
        <f>120*151+111*70</f>
        <v>25890</v>
      </c>
      <c r="J1057" s="12">
        <f>-111*41+-84*300</f>
        <v>-29751</v>
      </c>
      <c r="K1057" s="12">
        <f t="shared" ref="K1057:K1090" si="309">SUM(G1057:J1057)</f>
        <v>167936</v>
      </c>
      <c r="M1057" s="10">
        <v>1</v>
      </c>
      <c r="N1057" s="30" t="s">
        <v>96</v>
      </c>
      <c r="O1057" s="31">
        <v>10355</v>
      </c>
      <c r="P1057" s="32">
        <f>650*16+622*10</f>
        <v>16620</v>
      </c>
      <c r="Q1057" s="32"/>
      <c r="R1057" s="32"/>
      <c r="S1057" s="32">
        <f>SUM(P1057:Q1057)</f>
        <v>16620</v>
      </c>
      <c r="T1057" s="12"/>
      <c r="U1057" s="12"/>
      <c r="V1057" s="12">
        <v>-4329</v>
      </c>
      <c r="W1057" s="12">
        <f>SUM(S1057:V1057)</f>
        <v>12291</v>
      </c>
      <c r="Y1057" s="10">
        <v>1</v>
      </c>
      <c r="Z1057" s="30" t="s">
        <v>96</v>
      </c>
      <c r="AA1057" s="31">
        <v>10271</v>
      </c>
      <c r="AB1057" s="32">
        <f>650*53+670*5+622*50+229*5</f>
        <v>70045</v>
      </c>
      <c r="AC1057" s="32">
        <f>-108*6</f>
        <v>-648</v>
      </c>
      <c r="AD1057" s="32"/>
      <c r="AE1057" s="32">
        <f>SUM(AB1057:AC1057)</f>
        <v>69397</v>
      </c>
      <c r="AF1057" s="12"/>
      <c r="AG1057" s="12"/>
      <c r="AH1057" s="12">
        <f>-111*51</f>
        <v>-5661</v>
      </c>
      <c r="AI1057" s="12">
        <f>SUM(AE1057:AH1057)</f>
        <v>63736</v>
      </c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10">
        <v>2</v>
      </c>
      <c r="B1058" s="30" t="s">
        <v>96</v>
      </c>
      <c r="C1058" s="83">
        <f>C1057+1</f>
        <v>10310</v>
      </c>
      <c r="D1058" s="32">
        <f>650*5+1667*2+1770+650*5+1667*2+1175*5+1102*5+1582+650*10</f>
        <v>34405</v>
      </c>
      <c r="E1058" s="32"/>
      <c r="F1058" s="32"/>
      <c r="G1058" s="32">
        <f t="shared" si="308"/>
        <v>34405</v>
      </c>
      <c r="H1058" s="12"/>
      <c r="I1058" s="12"/>
      <c r="J1058" s="12"/>
      <c r="K1058" s="12">
        <f t="shared" si="309"/>
        <v>34405</v>
      </c>
      <c r="M1058" s="10">
        <v>2</v>
      </c>
      <c r="N1058" s="30" t="s">
        <v>96</v>
      </c>
      <c r="O1058" s="31">
        <f>O1057+1</f>
        <v>10356</v>
      </c>
      <c r="P1058" s="32">
        <f>650*196+670*6+622*20+229*5</f>
        <v>145005</v>
      </c>
      <c r="Q1058" s="32">
        <f>-222*6</f>
        <v>-1332</v>
      </c>
      <c r="R1058" s="32"/>
      <c r="S1058" s="32">
        <f t="shared" ref="S1058:S1095" si="310">SUM(P1058:Q1058)</f>
        <v>143673</v>
      </c>
      <c r="T1058" s="12"/>
      <c r="U1058" s="12">
        <v>180</v>
      </c>
      <c r="V1058" s="12"/>
      <c r="W1058" s="12">
        <f t="shared" ref="W1058:W1098" si="311">SUM(S1058:V1058)</f>
        <v>143853</v>
      </c>
      <c r="Y1058" s="10">
        <v>2</v>
      </c>
      <c r="Z1058" s="30" t="s">
        <v>96</v>
      </c>
      <c r="AA1058" s="31">
        <f>AA1057+1</f>
        <v>10272</v>
      </c>
      <c r="AB1058" s="32">
        <f>650*12+670+622*2+9.5*14</f>
        <v>9847</v>
      </c>
      <c r="AC1058" s="32"/>
      <c r="AD1058" s="32"/>
      <c r="AE1058" s="32">
        <f t="shared" ref="AE1058:AE1060" si="312">SUM(AB1058:AC1058)</f>
        <v>9847</v>
      </c>
      <c r="AF1058" s="12"/>
      <c r="AG1058" s="12">
        <v>20.25</v>
      </c>
      <c r="AH1058" s="12"/>
      <c r="AI1058" s="12">
        <f t="shared" ref="AI1058:AI1098" si="313">SUM(AE1058:AH1058)</f>
        <v>9867.25</v>
      </c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10">
        <v>3</v>
      </c>
      <c r="B1059" s="30" t="s">
        <v>96</v>
      </c>
      <c r="C1059" s="83">
        <f t="shared" ref="C1059:C1062" si="314">C1058+1</f>
        <v>10311</v>
      </c>
      <c r="D1059" s="33">
        <f>1582+5875+1667</f>
        <v>9124</v>
      </c>
      <c r="E1059" s="32"/>
      <c r="F1059" s="33"/>
      <c r="G1059" s="33">
        <f t="shared" si="308"/>
        <v>9124</v>
      </c>
      <c r="H1059" s="34"/>
      <c r="I1059" s="34"/>
      <c r="J1059" s="34"/>
      <c r="K1059" s="34">
        <f t="shared" si="309"/>
        <v>9124</v>
      </c>
      <c r="M1059" s="10">
        <v>3</v>
      </c>
      <c r="N1059" s="30" t="s">
        <v>96</v>
      </c>
      <c r="O1059" s="31">
        <f t="shared" ref="O1059:O1063" si="315">O1058+1</f>
        <v>10357</v>
      </c>
      <c r="P1059" s="32">
        <f>650*4+9.5*4</f>
        <v>2638</v>
      </c>
      <c r="Q1059" s="32"/>
      <c r="R1059" s="32"/>
      <c r="S1059" s="32">
        <f t="shared" si="310"/>
        <v>2638</v>
      </c>
      <c r="T1059" s="12"/>
      <c r="U1059" s="12"/>
      <c r="V1059" s="12"/>
      <c r="W1059" s="12">
        <f t="shared" si="311"/>
        <v>2638</v>
      </c>
      <c r="Y1059" s="10">
        <v>3</v>
      </c>
      <c r="Z1059" s="30" t="s">
        <v>96</v>
      </c>
      <c r="AA1059" s="31">
        <f t="shared" ref="AA1059:AA1062" si="316">AA1058+1</f>
        <v>10273</v>
      </c>
      <c r="AB1059" s="33">
        <f>650*21+912*4</f>
        <v>17298</v>
      </c>
      <c r="AC1059" s="33"/>
      <c r="AD1059" s="32"/>
      <c r="AE1059" s="32">
        <f t="shared" si="312"/>
        <v>17298</v>
      </c>
      <c r="AF1059" s="12"/>
      <c r="AG1059" s="12">
        <f>240+36</f>
        <v>276</v>
      </c>
      <c r="AH1059" s="12"/>
      <c r="AI1059" s="12">
        <f t="shared" si="313"/>
        <v>17574</v>
      </c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10">
        <v>4</v>
      </c>
      <c r="B1060" s="30" t="s">
        <v>96</v>
      </c>
      <c r="C1060" s="83">
        <f t="shared" si="314"/>
        <v>10312</v>
      </c>
      <c r="D1060" s="32">
        <f>650*7+622*7+650</f>
        <v>9554</v>
      </c>
      <c r="E1060" s="32"/>
      <c r="F1060" s="32"/>
      <c r="G1060" s="32">
        <f t="shared" si="308"/>
        <v>9554</v>
      </c>
      <c r="H1060" s="12"/>
      <c r="I1060" s="12">
        <v>135</v>
      </c>
      <c r="J1060" s="12"/>
      <c r="K1060" s="12">
        <f t="shared" si="309"/>
        <v>9689</v>
      </c>
      <c r="M1060" s="10">
        <v>4</v>
      </c>
      <c r="N1060" s="30" t="s">
        <v>96</v>
      </c>
      <c r="O1060" s="31">
        <f t="shared" si="315"/>
        <v>10358</v>
      </c>
      <c r="P1060" s="32">
        <f>650*108+229*2</f>
        <v>70658</v>
      </c>
      <c r="Q1060" s="32">
        <f>-108*6</f>
        <v>-648</v>
      </c>
      <c r="R1060" s="32"/>
      <c r="S1060" s="32">
        <f t="shared" si="310"/>
        <v>70010</v>
      </c>
      <c r="T1060" s="12"/>
      <c r="U1060" s="12">
        <v>72</v>
      </c>
      <c r="V1060" s="12"/>
      <c r="W1060" s="12">
        <f t="shared" si="311"/>
        <v>70082</v>
      </c>
      <c r="Y1060" s="10">
        <v>4</v>
      </c>
      <c r="Z1060" s="30" t="s">
        <v>96</v>
      </c>
      <c r="AA1060" s="31">
        <f t="shared" si="316"/>
        <v>10274</v>
      </c>
      <c r="AB1060" s="32">
        <f>650*70+622*18</f>
        <v>56696</v>
      </c>
      <c r="AC1060" s="32"/>
      <c r="AD1060" s="32"/>
      <c r="AE1060" s="32">
        <f t="shared" si="312"/>
        <v>56696</v>
      </c>
      <c r="AF1060" s="12"/>
      <c r="AH1060" s="12">
        <v>-1332</v>
      </c>
      <c r="AI1060" s="12">
        <f t="shared" si="313"/>
        <v>55364</v>
      </c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10">
        <v>5</v>
      </c>
      <c r="B1061" s="30" t="s">
        <v>96</v>
      </c>
      <c r="C1061" s="83">
        <f t="shared" si="314"/>
        <v>10313</v>
      </c>
      <c r="D1061" s="32">
        <f>650*20+670+622*6</f>
        <v>17402</v>
      </c>
      <c r="E1061" s="32"/>
      <c r="F1061" s="32"/>
      <c r="G1061" s="32">
        <f t="shared" si="308"/>
        <v>17402</v>
      </c>
      <c r="H1061" s="12"/>
      <c r="I1061" s="12"/>
      <c r="J1061" s="12">
        <f>-167*84</f>
        <v>-14028</v>
      </c>
      <c r="K1061" s="12">
        <f t="shared" si="309"/>
        <v>3374</v>
      </c>
      <c r="M1061" s="10">
        <v>5</v>
      </c>
      <c r="N1061" s="30" t="s">
        <v>96</v>
      </c>
      <c r="O1061" s="31">
        <f t="shared" si="315"/>
        <v>10359</v>
      </c>
      <c r="P1061" s="32">
        <f>650*300+670*5+622*50+229*10</f>
        <v>231740</v>
      </c>
      <c r="Q1061" s="32">
        <f>-355*6</f>
        <v>-2130</v>
      </c>
      <c r="R1061" s="32"/>
      <c r="S1061" s="32">
        <f t="shared" si="310"/>
        <v>229610</v>
      </c>
      <c r="T1061" s="12"/>
      <c r="U1061" s="12">
        <f>702+135</f>
        <v>837</v>
      </c>
      <c r="V1061" s="12">
        <f>-240+-336</f>
        <v>-576</v>
      </c>
      <c r="W1061" s="12">
        <f t="shared" si="311"/>
        <v>229871</v>
      </c>
      <c r="Y1061" s="10">
        <v>5</v>
      </c>
      <c r="Z1061" s="30" t="s">
        <v>96</v>
      </c>
      <c r="AA1061" s="31">
        <f t="shared" si="316"/>
        <v>10275</v>
      </c>
      <c r="AB1061" s="32">
        <f>650*236+622*45+229*4</f>
        <v>182306</v>
      </c>
      <c r="AC1061" s="32">
        <f>-281*6</f>
        <v>-1686</v>
      </c>
      <c r="AD1061" s="32"/>
      <c r="AE1061" s="32">
        <f t="shared" ref="AE1061:AE1062" si="317">SUM(AB1061:AC1061)</f>
        <v>180620</v>
      </c>
      <c r="AF1061" s="12"/>
      <c r="AG1061" s="12">
        <f>11655+91.5</f>
        <v>11746.5</v>
      </c>
      <c r="AH1061" s="12"/>
      <c r="AI1061" s="12">
        <f t="shared" si="313"/>
        <v>192366.5</v>
      </c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10">
        <v>6</v>
      </c>
      <c r="B1062" s="30" t="s">
        <v>96</v>
      </c>
      <c r="C1062" s="83">
        <f t="shared" si="314"/>
        <v>10314</v>
      </c>
      <c r="D1062" s="32">
        <f>650*40+670*2+622*10</f>
        <v>33560</v>
      </c>
      <c r="E1062" s="32"/>
      <c r="F1062" s="32"/>
      <c r="G1062" s="32">
        <f t="shared" si="308"/>
        <v>33560</v>
      </c>
      <c r="H1062" s="12"/>
      <c r="I1062" s="12">
        <v>81</v>
      </c>
      <c r="J1062" s="12"/>
      <c r="K1062" s="12">
        <f t="shared" si="309"/>
        <v>33641</v>
      </c>
      <c r="M1062" s="10">
        <v>6</v>
      </c>
      <c r="N1062" s="30" t="s">
        <v>96</v>
      </c>
      <c r="O1062" s="31">
        <f t="shared" si="315"/>
        <v>10360</v>
      </c>
      <c r="P1062" s="32">
        <f>650*270+670*10+622*30+1667+1102*2+229*10+650*2</f>
        <v>208321</v>
      </c>
      <c r="Q1062" s="32">
        <f>-310*6</f>
        <v>-1860</v>
      </c>
      <c r="R1062" s="32"/>
      <c r="S1062" s="32">
        <f t="shared" si="310"/>
        <v>206461</v>
      </c>
      <c r="T1062" s="12"/>
      <c r="U1062" s="12">
        <f>111*86+78*7</f>
        <v>10092</v>
      </c>
      <c r="V1062" s="10">
        <f>-120*7+-84*10+-42*10</f>
        <v>-2100</v>
      </c>
      <c r="W1062" s="12">
        <f t="shared" si="311"/>
        <v>214453</v>
      </c>
      <c r="Y1062" s="10">
        <v>6</v>
      </c>
      <c r="Z1062" s="30" t="s">
        <v>96</v>
      </c>
      <c r="AA1062" s="31">
        <f t="shared" si="316"/>
        <v>10276</v>
      </c>
      <c r="AB1062" s="32">
        <f>650*23+650*18</f>
        <v>26650</v>
      </c>
      <c r="AC1062" s="32">
        <f>-41*6</f>
        <v>-246</v>
      </c>
      <c r="AD1062" s="32"/>
      <c r="AE1062" s="32">
        <f t="shared" si="317"/>
        <v>26404</v>
      </c>
      <c r="AF1062" s="12"/>
      <c r="AG1062" s="12">
        <v>1887</v>
      </c>
      <c r="AH1062" s="10"/>
      <c r="AI1062" s="12">
        <f t="shared" si="313"/>
        <v>28291</v>
      </c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10">
        <v>7</v>
      </c>
      <c r="B1063" s="30"/>
      <c r="C1063" s="11" t="s">
        <v>27</v>
      </c>
      <c r="D1063" s="32"/>
      <c r="E1063" s="32"/>
      <c r="F1063" s="32"/>
      <c r="G1063" s="32">
        <f t="shared" si="308"/>
        <v>0</v>
      </c>
      <c r="H1063" s="12"/>
      <c r="I1063" s="12"/>
      <c r="J1063" s="12"/>
      <c r="K1063" s="12">
        <f t="shared" si="309"/>
        <v>0</v>
      </c>
      <c r="M1063" s="10">
        <v>7</v>
      </c>
      <c r="N1063" s="30" t="s">
        <v>96</v>
      </c>
      <c r="O1063" s="31">
        <f t="shared" si="315"/>
        <v>10361</v>
      </c>
      <c r="P1063" s="32">
        <f>650*80+622*20+229*2</f>
        <v>64898</v>
      </c>
      <c r="Q1063" s="32"/>
      <c r="R1063" s="32"/>
      <c r="S1063" s="32">
        <f t="shared" si="310"/>
        <v>64898</v>
      </c>
      <c r="T1063" s="12"/>
      <c r="U1063" s="12">
        <v>156</v>
      </c>
      <c r="V1063" s="12">
        <f>-111*20</f>
        <v>-2220</v>
      </c>
      <c r="W1063" s="12">
        <f t="shared" si="311"/>
        <v>62834</v>
      </c>
      <c r="Y1063" s="10">
        <v>7</v>
      </c>
      <c r="Z1063" s="30"/>
      <c r="AA1063" s="11" t="s">
        <v>27</v>
      </c>
      <c r="AB1063" s="32"/>
      <c r="AC1063" s="32"/>
      <c r="AD1063" s="32"/>
      <c r="AE1063" s="32"/>
      <c r="AF1063" s="12"/>
      <c r="AG1063" s="58"/>
      <c r="AH1063" s="12"/>
      <c r="AI1063" s="12">
        <f t="shared" si="313"/>
        <v>0</v>
      </c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10">
        <v>8</v>
      </c>
      <c r="B1064" s="30"/>
      <c r="C1064" s="83"/>
      <c r="D1064" s="32"/>
      <c r="E1064" s="32"/>
      <c r="F1064" s="32"/>
      <c r="G1064" s="32">
        <f t="shared" si="308"/>
        <v>0</v>
      </c>
      <c r="H1064" s="12"/>
      <c r="I1064" s="12"/>
      <c r="J1064" s="12"/>
      <c r="K1064" s="12">
        <f t="shared" si="309"/>
        <v>0</v>
      </c>
      <c r="M1064" s="10">
        <v>8</v>
      </c>
      <c r="N1064" s="30"/>
      <c r="O1064" s="11" t="s">
        <v>27</v>
      </c>
      <c r="P1064" s="32"/>
      <c r="Q1064" s="32"/>
      <c r="R1064" s="32"/>
      <c r="S1064" s="32">
        <f t="shared" si="310"/>
        <v>0</v>
      </c>
      <c r="T1064" s="12"/>
      <c r="U1064" s="12"/>
      <c r="V1064" s="12"/>
      <c r="W1064" s="12">
        <f t="shared" si="311"/>
        <v>0</v>
      </c>
      <c r="Y1064" s="10">
        <v>8</v>
      </c>
      <c r="Z1064" s="30"/>
      <c r="AA1064" s="31"/>
      <c r="AB1064" s="32"/>
      <c r="AC1064" s="32"/>
      <c r="AE1064" s="32"/>
      <c r="AF1064" s="12"/>
      <c r="AG1064" s="12"/>
      <c r="AH1064" s="12"/>
      <c r="AI1064" s="12">
        <f t="shared" si="313"/>
        <v>0</v>
      </c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10">
        <v>9</v>
      </c>
      <c r="B1065" s="30"/>
      <c r="C1065" s="83"/>
      <c r="D1065" s="32"/>
      <c r="E1065" s="32"/>
      <c r="F1065" s="32"/>
      <c r="G1065" s="32">
        <f t="shared" si="308"/>
        <v>0</v>
      </c>
      <c r="H1065" s="12"/>
      <c r="I1065" s="12"/>
      <c r="J1065" s="12"/>
      <c r="K1065" s="12">
        <f t="shared" si="309"/>
        <v>0</v>
      </c>
      <c r="M1065" s="10">
        <v>9</v>
      </c>
      <c r="N1065" s="30"/>
      <c r="O1065" s="31"/>
      <c r="P1065" s="32"/>
      <c r="Q1065" s="32"/>
      <c r="R1065" s="32"/>
      <c r="S1065" s="32">
        <f t="shared" si="310"/>
        <v>0</v>
      </c>
      <c r="T1065" s="12"/>
      <c r="U1065" s="12"/>
      <c r="V1065" s="12"/>
      <c r="W1065" s="12">
        <f t="shared" si="311"/>
        <v>0</v>
      </c>
      <c r="Y1065" s="10">
        <v>9</v>
      </c>
      <c r="Z1065" s="30"/>
      <c r="AA1065" s="31"/>
      <c r="AB1065" s="32"/>
      <c r="AC1065" s="32"/>
      <c r="AD1065" s="32"/>
      <c r="AE1065" s="32"/>
      <c r="AF1065" s="12"/>
      <c r="AH1065" s="12"/>
      <c r="AI1065" s="12">
        <f t="shared" si="313"/>
        <v>0</v>
      </c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10">
        <v>10</v>
      </c>
      <c r="B1066" s="30"/>
      <c r="C1066" s="83"/>
      <c r="D1066" s="32"/>
      <c r="E1066" s="32"/>
      <c r="F1066" s="32"/>
      <c r="G1066" s="32">
        <f t="shared" si="308"/>
        <v>0</v>
      </c>
      <c r="H1066" s="12"/>
      <c r="I1066" s="12"/>
      <c r="J1066" s="12"/>
      <c r="K1066" s="12">
        <f t="shared" si="309"/>
        <v>0</v>
      </c>
      <c r="M1066" s="10">
        <v>10</v>
      </c>
      <c r="N1066" s="30"/>
      <c r="O1066" s="31"/>
      <c r="P1066" s="32"/>
      <c r="Q1066" s="32"/>
      <c r="R1066" s="32"/>
      <c r="S1066" s="32">
        <f t="shared" si="310"/>
        <v>0</v>
      </c>
      <c r="T1066" s="12"/>
      <c r="U1066" s="12"/>
      <c r="V1066" s="12"/>
      <c r="W1066" s="12">
        <f t="shared" si="311"/>
        <v>0</v>
      </c>
      <c r="Y1066" s="10">
        <v>10</v>
      </c>
      <c r="Z1066" s="30"/>
      <c r="AA1066" s="31"/>
      <c r="AB1066" s="32"/>
      <c r="AC1066" s="32"/>
      <c r="AD1066" s="32"/>
      <c r="AE1066" s="32"/>
      <c r="AF1066" s="12"/>
      <c r="AG1066" s="12"/>
      <c r="AH1066" s="12"/>
      <c r="AI1066" s="12">
        <f t="shared" si="313"/>
        <v>0</v>
      </c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10">
        <v>11</v>
      </c>
      <c r="B1067" s="30"/>
      <c r="C1067" s="83"/>
      <c r="D1067" s="32"/>
      <c r="E1067" s="32"/>
      <c r="F1067" s="32"/>
      <c r="G1067" s="32">
        <f t="shared" si="308"/>
        <v>0</v>
      </c>
      <c r="H1067" s="12"/>
      <c r="I1067" s="12"/>
      <c r="J1067" s="12"/>
      <c r="K1067" s="12">
        <f t="shared" si="309"/>
        <v>0</v>
      </c>
      <c r="M1067" s="10">
        <v>11</v>
      </c>
      <c r="N1067" s="30"/>
      <c r="O1067" s="31"/>
      <c r="P1067" s="32"/>
      <c r="Q1067" s="32"/>
      <c r="R1067" s="32"/>
      <c r="S1067" s="32">
        <f t="shared" si="310"/>
        <v>0</v>
      </c>
      <c r="T1067" s="12"/>
      <c r="U1067" s="12"/>
      <c r="V1067" s="12"/>
      <c r="W1067" s="12">
        <f t="shared" si="311"/>
        <v>0</v>
      </c>
      <c r="Y1067" s="10">
        <v>11</v>
      </c>
      <c r="Z1067" s="30"/>
      <c r="AA1067" s="11"/>
      <c r="AB1067" s="32"/>
      <c r="AC1067" s="32"/>
      <c r="AD1067" s="32"/>
      <c r="AE1067" s="32">
        <f t="shared" ref="AE1067:AE1095" si="318">SUM(AB1067:AC1067)</f>
        <v>0</v>
      </c>
      <c r="AF1067" s="12"/>
      <c r="AG1067" s="12"/>
      <c r="AH1067" s="12"/>
      <c r="AI1067" s="12">
        <f t="shared" si="313"/>
        <v>0</v>
      </c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10">
        <v>12</v>
      </c>
      <c r="B1068" s="30"/>
      <c r="C1068" s="83"/>
      <c r="D1068" s="32"/>
      <c r="E1068" s="32"/>
      <c r="F1068" s="32"/>
      <c r="G1068" s="32">
        <f t="shared" si="308"/>
        <v>0</v>
      </c>
      <c r="H1068" s="12"/>
      <c r="I1068" s="12"/>
      <c r="J1068" s="10"/>
      <c r="K1068" s="12">
        <f t="shared" si="309"/>
        <v>0</v>
      </c>
      <c r="M1068" s="10">
        <v>12</v>
      </c>
      <c r="N1068" s="30"/>
      <c r="O1068" s="31"/>
      <c r="P1068" s="32"/>
      <c r="Q1068" s="32"/>
      <c r="R1068" s="32"/>
      <c r="S1068" s="32">
        <f t="shared" si="310"/>
        <v>0</v>
      </c>
      <c r="T1068" s="12"/>
      <c r="U1068" s="12"/>
      <c r="V1068" s="12"/>
      <c r="W1068" s="12">
        <f t="shared" si="311"/>
        <v>0</v>
      </c>
      <c r="Y1068" s="10">
        <v>12</v>
      </c>
      <c r="Z1068" s="30"/>
      <c r="AA1068" s="31"/>
      <c r="AB1068" s="32"/>
      <c r="AC1068" s="32"/>
      <c r="AD1068" s="32"/>
      <c r="AE1068" s="32">
        <f t="shared" si="318"/>
        <v>0</v>
      </c>
      <c r="AF1068" s="12"/>
      <c r="AG1068" s="12"/>
      <c r="AH1068" s="12"/>
      <c r="AI1068" s="12">
        <f t="shared" si="313"/>
        <v>0</v>
      </c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10">
        <v>13</v>
      </c>
      <c r="B1069" s="30"/>
      <c r="C1069" s="83"/>
      <c r="D1069" s="32"/>
      <c r="E1069" s="32"/>
      <c r="F1069" s="32"/>
      <c r="G1069" s="32">
        <f t="shared" si="308"/>
        <v>0</v>
      </c>
      <c r="H1069" s="12"/>
      <c r="I1069" s="12"/>
      <c r="J1069" s="12"/>
      <c r="K1069" s="12">
        <f t="shared" si="309"/>
        <v>0</v>
      </c>
      <c r="M1069" s="10">
        <v>13</v>
      </c>
      <c r="N1069" s="30"/>
      <c r="O1069" s="11"/>
      <c r="P1069" s="32"/>
      <c r="Q1069" s="32"/>
      <c r="R1069" s="32"/>
      <c r="S1069" s="32">
        <f t="shared" si="310"/>
        <v>0</v>
      </c>
      <c r="T1069" s="12"/>
      <c r="U1069" s="12"/>
      <c r="V1069" s="12"/>
      <c r="W1069" s="12">
        <f t="shared" si="311"/>
        <v>0</v>
      </c>
      <c r="Y1069" s="10">
        <v>13</v>
      </c>
      <c r="Z1069" s="30"/>
      <c r="AA1069" s="31"/>
      <c r="AB1069" s="32"/>
      <c r="AC1069" s="32"/>
      <c r="AD1069" s="32"/>
      <c r="AE1069" s="32">
        <f t="shared" si="318"/>
        <v>0</v>
      </c>
      <c r="AF1069" s="12"/>
      <c r="AG1069" s="12"/>
      <c r="AH1069" s="12"/>
      <c r="AI1069" s="12">
        <f t="shared" si="313"/>
        <v>0</v>
      </c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10">
        <v>14</v>
      </c>
      <c r="B1070" s="30"/>
      <c r="C1070" s="83"/>
      <c r="D1070" s="32"/>
      <c r="E1070" s="32"/>
      <c r="F1070" s="32"/>
      <c r="G1070" s="32">
        <f t="shared" si="308"/>
        <v>0</v>
      </c>
      <c r="H1070" s="12"/>
      <c r="I1070" s="12"/>
      <c r="J1070" s="12"/>
      <c r="K1070" s="12">
        <f t="shared" si="309"/>
        <v>0</v>
      </c>
      <c r="M1070" s="10">
        <v>14</v>
      </c>
      <c r="N1070" s="30"/>
      <c r="O1070" s="31"/>
      <c r="P1070" s="32"/>
      <c r="Q1070" s="32"/>
      <c r="R1070" s="32"/>
      <c r="S1070" s="32">
        <f t="shared" si="310"/>
        <v>0</v>
      </c>
      <c r="T1070" s="12"/>
      <c r="U1070" s="12"/>
      <c r="V1070" s="12"/>
      <c r="W1070" s="12">
        <f t="shared" si="311"/>
        <v>0</v>
      </c>
      <c r="Y1070" s="10">
        <v>14</v>
      </c>
      <c r="Z1070" s="30"/>
      <c r="AA1070" s="31"/>
      <c r="AB1070" s="32"/>
      <c r="AC1070" s="32"/>
      <c r="AD1070" s="32"/>
      <c r="AE1070" s="32">
        <f t="shared" si="318"/>
        <v>0</v>
      </c>
      <c r="AF1070" s="12"/>
      <c r="AG1070" s="12"/>
      <c r="AH1070" s="12"/>
      <c r="AI1070" s="12">
        <f t="shared" si="313"/>
        <v>0</v>
      </c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10">
        <v>15</v>
      </c>
      <c r="B1071" s="30"/>
      <c r="C1071" s="83"/>
      <c r="D1071" s="32"/>
      <c r="E1071" s="32"/>
      <c r="F1071" s="32"/>
      <c r="G1071" s="32">
        <f t="shared" si="308"/>
        <v>0</v>
      </c>
      <c r="H1071" s="12"/>
      <c r="I1071" s="12"/>
      <c r="J1071" s="12"/>
      <c r="K1071" s="12">
        <f t="shared" si="309"/>
        <v>0</v>
      </c>
      <c r="M1071" s="10">
        <v>15</v>
      </c>
      <c r="N1071" s="30"/>
      <c r="O1071" s="31"/>
      <c r="P1071" s="32"/>
      <c r="Q1071" s="32"/>
      <c r="R1071" s="32"/>
      <c r="S1071" s="32">
        <f t="shared" si="310"/>
        <v>0</v>
      </c>
      <c r="T1071" s="12"/>
      <c r="U1071" s="12"/>
      <c r="V1071" s="12"/>
      <c r="W1071" s="12">
        <f t="shared" si="311"/>
        <v>0</v>
      </c>
      <c r="Y1071" s="10">
        <v>15</v>
      </c>
      <c r="Z1071" s="30"/>
      <c r="AA1071" s="31"/>
      <c r="AB1071" s="32"/>
      <c r="AC1071" s="32"/>
      <c r="AD1071" s="32"/>
      <c r="AE1071" s="32">
        <f t="shared" si="318"/>
        <v>0</v>
      </c>
      <c r="AF1071" s="12"/>
      <c r="AG1071" s="12"/>
      <c r="AH1071" s="12"/>
      <c r="AI1071" s="12">
        <f t="shared" si="313"/>
        <v>0</v>
      </c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10">
        <v>16</v>
      </c>
      <c r="B1072" s="30"/>
      <c r="C1072" s="11"/>
      <c r="D1072" s="32"/>
      <c r="E1072" s="32"/>
      <c r="F1072" s="32"/>
      <c r="G1072" s="32">
        <f t="shared" si="308"/>
        <v>0</v>
      </c>
      <c r="H1072" s="12"/>
      <c r="I1072" s="12"/>
      <c r="J1072" s="12"/>
      <c r="K1072" s="12">
        <f t="shared" si="309"/>
        <v>0</v>
      </c>
      <c r="M1072" s="10">
        <v>16</v>
      </c>
      <c r="N1072" s="30"/>
      <c r="O1072" s="11"/>
      <c r="P1072" s="32"/>
      <c r="Q1072" s="32"/>
      <c r="R1072" s="32"/>
      <c r="S1072" s="32">
        <f t="shared" si="310"/>
        <v>0</v>
      </c>
      <c r="T1072" s="12"/>
      <c r="U1072" s="12"/>
      <c r="V1072" s="12"/>
      <c r="W1072" s="12">
        <f t="shared" si="311"/>
        <v>0</v>
      </c>
      <c r="Y1072" s="10">
        <v>16</v>
      </c>
      <c r="AB1072" s="32"/>
      <c r="AC1072" s="32"/>
      <c r="AD1072" s="32"/>
      <c r="AE1072" s="32">
        <f t="shared" si="318"/>
        <v>0</v>
      </c>
      <c r="AF1072" s="12"/>
      <c r="AG1072" s="12"/>
      <c r="AH1072" s="12"/>
      <c r="AI1072" s="12">
        <f t="shared" si="313"/>
        <v>0</v>
      </c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10">
        <v>17</v>
      </c>
      <c r="B1073" s="30"/>
      <c r="C1073" s="83"/>
      <c r="D1073" s="32"/>
      <c r="E1073" s="32"/>
      <c r="F1073" s="32"/>
      <c r="G1073" s="32">
        <f t="shared" si="308"/>
        <v>0</v>
      </c>
      <c r="H1073" s="12"/>
      <c r="I1073" s="12"/>
      <c r="J1073" s="12"/>
      <c r="K1073" s="12">
        <f t="shared" si="309"/>
        <v>0</v>
      </c>
      <c r="M1073" s="10">
        <v>17</v>
      </c>
      <c r="N1073" s="30"/>
      <c r="O1073" s="31"/>
      <c r="P1073" s="35"/>
      <c r="Q1073" s="32"/>
      <c r="R1073" s="32"/>
      <c r="S1073" s="32">
        <f t="shared" si="310"/>
        <v>0</v>
      </c>
      <c r="T1073" s="12"/>
      <c r="U1073" s="12"/>
      <c r="V1073" s="12"/>
      <c r="W1073" s="12">
        <f t="shared" si="311"/>
        <v>0</v>
      </c>
      <c r="Y1073" s="10">
        <v>17</v>
      </c>
      <c r="Z1073" s="30"/>
      <c r="AA1073" s="31"/>
      <c r="AB1073" s="35"/>
      <c r="AC1073" s="32"/>
      <c r="AD1073" s="32"/>
      <c r="AE1073" s="32">
        <f t="shared" si="318"/>
        <v>0</v>
      </c>
      <c r="AF1073" s="12"/>
      <c r="AG1073" s="12"/>
      <c r="AH1073" s="12"/>
      <c r="AI1073" s="12">
        <f t="shared" si="313"/>
        <v>0</v>
      </c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10">
        <v>18</v>
      </c>
      <c r="B1074" s="30"/>
      <c r="C1074" s="83"/>
      <c r="D1074" s="32"/>
      <c r="E1074" s="32"/>
      <c r="F1074" s="32"/>
      <c r="G1074" s="32">
        <f t="shared" si="308"/>
        <v>0</v>
      </c>
      <c r="H1074" s="12"/>
      <c r="I1074" s="12"/>
      <c r="J1074" s="12"/>
      <c r="K1074" s="12">
        <f t="shared" si="309"/>
        <v>0</v>
      </c>
      <c r="M1074" s="10">
        <v>18</v>
      </c>
      <c r="N1074" s="30"/>
      <c r="P1074" s="32"/>
      <c r="Q1074" s="32"/>
      <c r="R1074" s="32"/>
      <c r="S1074" s="32">
        <f t="shared" si="310"/>
        <v>0</v>
      </c>
      <c r="T1074" s="12"/>
      <c r="U1074" s="12"/>
      <c r="V1074" s="12"/>
      <c r="W1074" s="12">
        <f t="shared" si="311"/>
        <v>0</v>
      </c>
      <c r="Y1074" s="10">
        <v>18</v>
      </c>
      <c r="Z1074" s="30"/>
      <c r="AA1074" s="31"/>
      <c r="AB1074" s="32"/>
      <c r="AC1074" s="32"/>
      <c r="AD1074" s="32"/>
      <c r="AE1074" s="32">
        <f t="shared" si="318"/>
        <v>0</v>
      </c>
      <c r="AF1074" s="12"/>
      <c r="AG1074" s="12"/>
      <c r="AH1074" s="12"/>
      <c r="AI1074" s="12">
        <f t="shared" si="313"/>
        <v>0</v>
      </c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10">
        <v>19</v>
      </c>
      <c r="B1075" s="30"/>
      <c r="C1075" s="83"/>
      <c r="D1075" s="32"/>
      <c r="E1075" s="32"/>
      <c r="F1075" s="32"/>
      <c r="G1075" s="32">
        <f t="shared" si="308"/>
        <v>0</v>
      </c>
      <c r="H1075" s="12"/>
      <c r="I1075" s="12"/>
      <c r="J1075" s="12"/>
      <c r="K1075" s="12">
        <f t="shared" si="309"/>
        <v>0</v>
      </c>
      <c r="M1075" s="10">
        <v>19</v>
      </c>
      <c r="N1075" s="30"/>
      <c r="O1075" s="31"/>
      <c r="P1075" s="32"/>
      <c r="Q1075" s="32"/>
      <c r="R1075" s="32"/>
      <c r="S1075" s="32">
        <f t="shared" si="310"/>
        <v>0</v>
      </c>
      <c r="T1075" s="12"/>
      <c r="U1075" s="12"/>
      <c r="V1075" s="12"/>
      <c r="W1075" s="12">
        <f t="shared" si="311"/>
        <v>0</v>
      </c>
      <c r="Y1075" s="10">
        <v>19</v>
      </c>
      <c r="Z1075" s="30"/>
      <c r="AA1075" s="31"/>
      <c r="AB1075" s="32"/>
      <c r="AC1075" s="32"/>
      <c r="AD1075" s="32"/>
      <c r="AE1075" s="32">
        <f t="shared" si="318"/>
        <v>0</v>
      </c>
      <c r="AF1075" s="12"/>
      <c r="AG1075" s="12"/>
      <c r="AH1075" s="12"/>
      <c r="AI1075" s="12">
        <f t="shared" si="313"/>
        <v>0</v>
      </c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10">
        <v>20</v>
      </c>
      <c r="B1076" s="30"/>
      <c r="C1076" s="83"/>
      <c r="D1076" s="32"/>
      <c r="E1076" s="32"/>
      <c r="F1076" s="32"/>
      <c r="G1076" s="32">
        <f t="shared" si="308"/>
        <v>0</v>
      </c>
      <c r="H1076" s="12"/>
      <c r="I1076" s="12"/>
      <c r="J1076" s="12"/>
      <c r="K1076" s="12">
        <f t="shared" si="309"/>
        <v>0</v>
      </c>
      <c r="M1076" s="10">
        <v>20</v>
      </c>
      <c r="N1076" s="30"/>
      <c r="O1076" s="31"/>
      <c r="P1076" s="32"/>
      <c r="Q1076" s="32"/>
      <c r="R1076" s="32"/>
      <c r="S1076" s="32">
        <f t="shared" si="310"/>
        <v>0</v>
      </c>
      <c r="T1076" s="12"/>
      <c r="U1076" s="12"/>
      <c r="V1076" s="12"/>
      <c r="W1076" s="12">
        <f t="shared" si="311"/>
        <v>0</v>
      </c>
      <c r="Y1076" s="10">
        <v>20</v>
      </c>
      <c r="Z1076" s="30"/>
      <c r="AB1076" s="32"/>
      <c r="AC1076" s="32"/>
      <c r="AD1076" s="32"/>
      <c r="AE1076" s="32">
        <f t="shared" si="318"/>
        <v>0</v>
      </c>
      <c r="AF1076" s="12"/>
      <c r="AG1076" s="12"/>
      <c r="AH1076" s="12"/>
      <c r="AI1076" s="12">
        <f t="shared" si="313"/>
        <v>0</v>
      </c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10">
        <v>21</v>
      </c>
      <c r="B1077" s="30"/>
      <c r="C1077" s="83"/>
      <c r="D1077" s="32"/>
      <c r="E1077" s="32"/>
      <c r="F1077" s="32"/>
      <c r="G1077" s="32">
        <f t="shared" si="308"/>
        <v>0</v>
      </c>
      <c r="H1077" s="10"/>
      <c r="I1077" s="10"/>
      <c r="J1077" s="10"/>
      <c r="K1077" s="12">
        <f t="shared" si="309"/>
        <v>0</v>
      </c>
      <c r="M1077" s="10">
        <v>21</v>
      </c>
      <c r="N1077" s="30"/>
      <c r="O1077" s="11"/>
      <c r="P1077" s="46"/>
      <c r="Q1077" s="31"/>
      <c r="R1077" s="31"/>
      <c r="S1077" s="32">
        <f t="shared" si="310"/>
        <v>0</v>
      </c>
      <c r="T1077" s="10"/>
      <c r="U1077" s="10"/>
      <c r="V1077" s="10"/>
      <c r="W1077" s="12">
        <f t="shared" si="311"/>
        <v>0</v>
      </c>
      <c r="Y1077" s="10">
        <v>21</v>
      </c>
      <c r="Z1077" s="30"/>
      <c r="AA1077" s="31"/>
      <c r="AB1077" s="46"/>
      <c r="AC1077" s="31"/>
      <c r="AD1077" s="31"/>
      <c r="AE1077" s="32">
        <f t="shared" si="318"/>
        <v>0</v>
      </c>
      <c r="AF1077" s="10"/>
      <c r="AG1077" s="10"/>
      <c r="AH1077" s="10"/>
      <c r="AI1077" s="12">
        <f t="shared" si="313"/>
        <v>0</v>
      </c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10">
        <v>22</v>
      </c>
      <c r="B1078" s="30"/>
      <c r="C1078" s="57"/>
      <c r="D1078" s="32"/>
      <c r="E1078" s="32"/>
      <c r="F1078" s="32"/>
      <c r="G1078" s="32">
        <f t="shared" si="308"/>
        <v>0</v>
      </c>
      <c r="H1078" s="10"/>
      <c r="I1078" s="10"/>
      <c r="J1078" s="10"/>
      <c r="K1078" s="12">
        <f t="shared" si="309"/>
        <v>0</v>
      </c>
      <c r="M1078" s="10">
        <v>22</v>
      </c>
      <c r="N1078" s="30"/>
      <c r="O1078" s="31"/>
      <c r="P1078" s="45"/>
      <c r="Q1078" s="31"/>
      <c r="R1078" s="31"/>
      <c r="S1078" s="32">
        <f t="shared" si="310"/>
        <v>0</v>
      </c>
      <c r="T1078" s="10"/>
      <c r="U1078" s="10"/>
      <c r="V1078" s="10"/>
      <c r="W1078" s="12">
        <f t="shared" si="311"/>
        <v>0</v>
      </c>
      <c r="Y1078" s="10">
        <v>22</v>
      </c>
      <c r="Z1078" s="30"/>
      <c r="AA1078" s="31"/>
      <c r="AB1078" s="45"/>
      <c r="AC1078" s="31"/>
      <c r="AD1078" s="31"/>
      <c r="AE1078" s="32">
        <f t="shared" si="318"/>
        <v>0</v>
      </c>
      <c r="AF1078" s="10"/>
      <c r="AG1078" s="10"/>
      <c r="AH1078" s="10"/>
      <c r="AI1078" s="12">
        <f t="shared" si="313"/>
        <v>0</v>
      </c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10">
        <v>23</v>
      </c>
      <c r="B1079" s="30"/>
      <c r="C1079" s="83"/>
      <c r="D1079" s="32"/>
      <c r="E1079" s="32"/>
      <c r="F1079" s="32"/>
      <c r="G1079" s="32">
        <f t="shared" si="308"/>
        <v>0</v>
      </c>
      <c r="H1079" s="10"/>
      <c r="I1079" s="10"/>
      <c r="J1079" s="12"/>
      <c r="K1079" s="12">
        <f t="shared" si="309"/>
        <v>0</v>
      </c>
      <c r="M1079" s="10">
        <v>23</v>
      </c>
      <c r="N1079" s="30"/>
      <c r="O1079" s="31"/>
      <c r="P1079" s="47"/>
      <c r="S1079" s="32">
        <f t="shared" si="310"/>
        <v>0</v>
      </c>
      <c r="T1079" s="10"/>
      <c r="U1079" s="10"/>
      <c r="V1079" s="10"/>
      <c r="W1079" s="12">
        <f t="shared" si="311"/>
        <v>0</v>
      </c>
      <c r="Y1079" s="10">
        <v>23</v>
      </c>
      <c r="Z1079" s="30"/>
      <c r="AA1079" s="31"/>
      <c r="AB1079" s="47"/>
      <c r="AC1079" s="31"/>
      <c r="AE1079" s="32">
        <f t="shared" si="318"/>
        <v>0</v>
      </c>
      <c r="AF1079" s="10"/>
      <c r="AG1079" s="10"/>
      <c r="AH1079" s="10"/>
      <c r="AI1079" s="12">
        <f t="shared" si="313"/>
        <v>0</v>
      </c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10">
        <v>24</v>
      </c>
      <c r="B1080" s="30"/>
      <c r="C1080" s="83"/>
      <c r="D1080" s="32"/>
      <c r="E1080" s="32"/>
      <c r="F1080" s="32"/>
      <c r="G1080" s="32">
        <f t="shared" si="308"/>
        <v>0</v>
      </c>
      <c r="H1080" s="10"/>
      <c r="I1080" s="10"/>
      <c r="J1080" s="10"/>
      <c r="K1080" s="12">
        <f t="shared" si="309"/>
        <v>0</v>
      </c>
      <c r="M1080" s="10">
        <v>24</v>
      </c>
      <c r="N1080" s="30"/>
      <c r="O1080" s="31"/>
      <c r="P1080" s="47"/>
      <c r="Q1080" s="31"/>
      <c r="R1080" s="31"/>
      <c r="S1080" s="32">
        <f t="shared" si="310"/>
        <v>0</v>
      </c>
      <c r="T1080" s="10"/>
      <c r="U1080" s="10"/>
      <c r="V1080" s="10"/>
      <c r="W1080" s="12">
        <f t="shared" si="311"/>
        <v>0</v>
      </c>
      <c r="Y1080" s="10">
        <v>24</v>
      </c>
      <c r="Z1080" s="30"/>
      <c r="AA1080" s="31"/>
      <c r="AB1080" s="47"/>
      <c r="AC1080" s="31"/>
      <c r="AD1080" s="31"/>
      <c r="AE1080" s="32">
        <f t="shared" si="318"/>
        <v>0</v>
      </c>
      <c r="AF1080" s="10"/>
      <c r="AG1080" s="10"/>
      <c r="AH1080" s="10"/>
      <c r="AI1080" s="12">
        <f t="shared" si="313"/>
        <v>0</v>
      </c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10">
        <v>25</v>
      </c>
      <c r="B1081" s="30"/>
      <c r="C1081" s="83"/>
      <c r="D1081" s="32"/>
      <c r="E1081" s="32"/>
      <c r="F1081" s="32"/>
      <c r="G1081" s="32">
        <f t="shared" si="308"/>
        <v>0</v>
      </c>
      <c r="H1081" s="10"/>
      <c r="I1081" s="10"/>
      <c r="J1081" s="10"/>
      <c r="K1081" s="12">
        <f t="shared" si="309"/>
        <v>0</v>
      </c>
      <c r="M1081" s="10">
        <v>25</v>
      </c>
      <c r="N1081" s="30"/>
      <c r="O1081" s="31"/>
      <c r="P1081" s="47"/>
      <c r="Q1081" s="31"/>
      <c r="R1081" s="31"/>
      <c r="S1081" s="32">
        <f t="shared" si="310"/>
        <v>0</v>
      </c>
      <c r="T1081" s="10"/>
      <c r="U1081" s="10"/>
      <c r="V1081" s="10"/>
      <c r="W1081" s="12">
        <f t="shared" si="311"/>
        <v>0</v>
      </c>
      <c r="Y1081" s="10">
        <v>25</v>
      </c>
      <c r="Z1081" s="30"/>
      <c r="AA1081" s="31"/>
      <c r="AB1081" s="47"/>
      <c r="AC1081" s="31"/>
      <c r="AD1081" s="31"/>
      <c r="AE1081" s="32">
        <f t="shared" si="318"/>
        <v>0</v>
      </c>
      <c r="AF1081" s="10"/>
      <c r="AG1081" s="10"/>
      <c r="AH1081" s="10"/>
      <c r="AI1081" s="12">
        <f t="shared" si="313"/>
        <v>0</v>
      </c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10">
        <v>26</v>
      </c>
      <c r="B1082" s="30"/>
      <c r="C1082" s="83"/>
      <c r="D1082" s="32"/>
      <c r="E1082" s="32"/>
      <c r="F1082" s="32"/>
      <c r="G1082" s="32">
        <f t="shared" si="308"/>
        <v>0</v>
      </c>
      <c r="H1082" s="10"/>
      <c r="I1082" s="10"/>
      <c r="J1082" s="10"/>
      <c r="K1082" s="12">
        <f t="shared" si="309"/>
        <v>0</v>
      </c>
      <c r="M1082" s="10">
        <v>26</v>
      </c>
      <c r="N1082" s="30"/>
      <c r="O1082" s="11"/>
      <c r="P1082" s="47"/>
      <c r="Q1082" s="31"/>
      <c r="R1082" s="31"/>
      <c r="S1082" s="32">
        <f t="shared" si="310"/>
        <v>0</v>
      </c>
      <c r="T1082" s="10"/>
      <c r="U1082" s="10"/>
      <c r="V1082" s="10"/>
      <c r="W1082" s="12">
        <f t="shared" si="311"/>
        <v>0</v>
      </c>
      <c r="Y1082" s="10">
        <v>26</v>
      </c>
      <c r="Z1082" s="30"/>
      <c r="AA1082" s="31"/>
      <c r="AB1082" s="47"/>
      <c r="AC1082" s="31"/>
      <c r="AD1082" s="31"/>
      <c r="AE1082" s="32">
        <f t="shared" si="318"/>
        <v>0</v>
      </c>
      <c r="AF1082" s="10"/>
      <c r="AG1082" s="10"/>
      <c r="AH1082" s="10"/>
      <c r="AI1082" s="12">
        <f t="shared" si="313"/>
        <v>0</v>
      </c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10">
        <v>27</v>
      </c>
      <c r="B1083" s="30"/>
      <c r="C1083" s="83"/>
      <c r="D1083" s="32"/>
      <c r="E1083" s="32"/>
      <c r="F1083" s="32"/>
      <c r="G1083" s="32">
        <f t="shared" si="308"/>
        <v>0</v>
      </c>
      <c r="H1083" s="10"/>
      <c r="I1083" s="10"/>
      <c r="J1083" s="10"/>
      <c r="K1083" s="12">
        <f t="shared" si="309"/>
        <v>0</v>
      </c>
      <c r="M1083" s="10">
        <v>27</v>
      </c>
      <c r="N1083" s="30"/>
      <c r="O1083" s="31"/>
      <c r="P1083" s="47"/>
      <c r="Q1083" s="31"/>
      <c r="R1083" s="31"/>
      <c r="S1083" s="32">
        <f t="shared" si="310"/>
        <v>0</v>
      </c>
      <c r="T1083" s="10"/>
      <c r="U1083" s="10"/>
      <c r="V1083" s="10"/>
      <c r="W1083" s="12">
        <f t="shared" si="311"/>
        <v>0</v>
      </c>
      <c r="Y1083" s="10">
        <v>27</v>
      </c>
      <c r="Z1083" s="30"/>
      <c r="AA1083" s="31"/>
      <c r="AB1083" s="47"/>
      <c r="AC1083" s="31"/>
      <c r="AD1083" s="31"/>
      <c r="AE1083" s="32">
        <f t="shared" si="318"/>
        <v>0</v>
      </c>
      <c r="AF1083" s="10"/>
      <c r="AG1083" s="10"/>
      <c r="AH1083" s="10"/>
      <c r="AI1083" s="12">
        <f t="shared" si="313"/>
        <v>0</v>
      </c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10">
        <v>28</v>
      </c>
      <c r="B1084" s="30"/>
      <c r="C1084" s="83"/>
      <c r="D1084" s="32"/>
      <c r="E1084" s="32"/>
      <c r="F1084" s="32"/>
      <c r="G1084" s="32">
        <f t="shared" si="308"/>
        <v>0</v>
      </c>
      <c r="H1084" s="10"/>
      <c r="I1084" s="10"/>
      <c r="J1084" s="10"/>
      <c r="K1084" s="12">
        <f t="shared" si="309"/>
        <v>0</v>
      </c>
      <c r="M1084" s="10">
        <v>28</v>
      </c>
      <c r="N1084" s="30"/>
      <c r="O1084" s="31"/>
      <c r="P1084" s="47"/>
      <c r="Q1084" s="31"/>
      <c r="R1084" s="31"/>
      <c r="S1084" s="32">
        <f t="shared" si="310"/>
        <v>0</v>
      </c>
      <c r="T1084" s="10"/>
      <c r="U1084" s="10"/>
      <c r="V1084" s="10"/>
      <c r="W1084" s="12">
        <f t="shared" si="311"/>
        <v>0</v>
      </c>
      <c r="Y1084" s="10">
        <v>28</v>
      </c>
      <c r="Z1084" s="30"/>
      <c r="AA1084" s="31"/>
      <c r="AB1084" s="47"/>
      <c r="AC1084" s="31"/>
      <c r="AD1084" s="31"/>
      <c r="AE1084" s="32">
        <f t="shared" si="318"/>
        <v>0</v>
      </c>
      <c r="AF1084" s="10"/>
      <c r="AG1084" s="10"/>
      <c r="AH1084" s="10"/>
      <c r="AI1084" s="12">
        <f t="shared" si="313"/>
        <v>0</v>
      </c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10">
        <v>29</v>
      </c>
      <c r="B1085" s="30"/>
      <c r="C1085" s="83"/>
      <c r="D1085" s="32"/>
      <c r="E1085" s="32"/>
      <c r="F1085" s="32"/>
      <c r="G1085" s="32">
        <f t="shared" si="308"/>
        <v>0</v>
      </c>
      <c r="H1085" s="10"/>
      <c r="I1085" s="10"/>
      <c r="J1085" s="10"/>
      <c r="K1085" s="12">
        <f t="shared" si="309"/>
        <v>0</v>
      </c>
      <c r="M1085" s="10">
        <v>29</v>
      </c>
      <c r="N1085" s="30"/>
      <c r="O1085" s="31"/>
      <c r="P1085" s="47"/>
      <c r="Q1085" s="31"/>
      <c r="R1085" s="31"/>
      <c r="S1085" s="32">
        <f t="shared" si="310"/>
        <v>0</v>
      </c>
      <c r="T1085" s="10"/>
      <c r="U1085" s="10"/>
      <c r="V1085" s="10"/>
      <c r="W1085" s="12">
        <f t="shared" si="311"/>
        <v>0</v>
      </c>
      <c r="Y1085" s="10">
        <v>29</v>
      </c>
      <c r="Z1085" s="30"/>
      <c r="AA1085" s="31"/>
      <c r="AB1085" s="47"/>
      <c r="AC1085" s="31"/>
      <c r="AD1085" s="31"/>
      <c r="AE1085" s="32">
        <f t="shared" si="318"/>
        <v>0</v>
      </c>
      <c r="AF1085" s="10"/>
      <c r="AG1085" s="10"/>
      <c r="AH1085" s="10"/>
      <c r="AI1085" s="12">
        <f t="shared" si="313"/>
        <v>0</v>
      </c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10">
        <v>30</v>
      </c>
      <c r="B1086" s="30"/>
      <c r="C1086" s="83"/>
      <c r="D1086" s="32"/>
      <c r="E1086" s="32"/>
      <c r="F1086" s="32"/>
      <c r="G1086" s="32">
        <f t="shared" si="308"/>
        <v>0</v>
      </c>
      <c r="H1086" s="10"/>
      <c r="I1086" s="10"/>
      <c r="J1086" s="10"/>
      <c r="K1086" s="12">
        <f t="shared" si="309"/>
        <v>0</v>
      </c>
      <c r="M1086" s="10">
        <v>30</v>
      </c>
      <c r="N1086" s="30"/>
      <c r="O1086" s="31"/>
      <c r="P1086" s="47"/>
      <c r="Q1086" s="31"/>
      <c r="R1086" s="31"/>
      <c r="S1086" s="32">
        <f t="shared" si="310"/>
        <v>0</v>
      </c>
      <c r="T1086" s="10"/>
      <c r="U1086" s="10"/>
      <c r="V1086" s="10"/>
      <c r="W1086" s="12">
        <f t="shared" si="311"/>
        <v>0</v>
      </c>
      <c r="Y1086" s="10">
        <v>30</v>
      </c>
      <c r="Z1086" s="30"/>
      <c r="AA1086" s="31"/>
      <c r="AB1086" s="47"/>
      <c r="AC1086" s="31"/>
      <c r="AD1086" s="31"/>
      <c r="AE1086" s="32">
        <f t="shared" si="318"/>
        <v>0</v>
      </c>
      <c r="AF1086" s="10"/>
      <c r="AG1086" s="10"/>
      <c r="AH1086" s="10"/>
      <c r="AI1086" s="12">
        <f t="shared" si="313"/>
        <v>0</v>
      </c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10">
        <v>31</v>
      </c>
      <c r="B1087" s="30"/>
      <c r="C1087" s="11"/>
      <c r="D1087" s="32"/>
      <c r="E1087" s="32"/>
      <c r="F1087" s="32"/>
      <c r="G1087" s="32">
        <f t="shared" si="308"/>
        <v>0</v>
      </c>
      <c r="H1087" s="10"/>
      <c r="I1087" s="10"/>
      <c r="J1087" s="10"/>
      <c r="K1087" s="12">
        <f t="shared" si="309"/>
        <v>0</v>
      </c>
      <c r="M1087" s="10">
        <v>31</v>
      </c>
      <c r="N1087" s="30"/>
      <c r="O1087" s="31"/>
      <c r="P1087" s="47"/>
      <c r="Q1087" s="31"/>
      <c r="R1087" s="31"/>
      <c r="S1087" s="32">
        <f t="shared" si="310"/>
        <v>0</v>
      </c>
      <c r="T1087" s="10"/>
      <c r="U1087" s="10"/>
      <c r="V1087" s="10"/>
      <c r="W1087" s="12">
        <f t="shared" si="311"/>
        <v>0</v>
      </c>
      <c r="Y1087" s="10">
        <v>31</v>
      </c>
      <c r="Z1087" s="30"/>
      <c r="AA1087" s="31"/>
      <c r="AB1087" s="47"/>
      <c r="AC1087" s="31"/>
      <c r="AD1087" s="31"/>
      <c r="AE1087" s="32">
        <f t="shared" si="318"/>
        <v>0</v>
      </c>
      <c r="AF1087" s="10"/>
      <c r="AG1087" s="10"/>
      <c r="AH1087" s="10"/>
      <c r="AI1087" s="12">
        <f t="shared" si="313"/>
        <v>0</v>
      </c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10">
        <v>32</v>
      </c>
      <c r="B1088" s="30"/>
      <c r="C1088" s="83"/>
      <c r="D1088" s="32"/>
      <c r="E1088" s="32"/>
      <c r="F1088" s="32"/>
      <c r="G1088" s="32">
        <f t="shared" si="308"/>
        <v>0</v>
      </c>
      <c r="H1088" s="10"/>
      <c r="I1088" s="10"/>
      <c r="J1088" s="10"/>
      <c r="K1088" s="12">
        <f t="shared" si="309"/>
        <v>0</v>
      </c>
      <c r="M1088" s="10">
        <v>32</v>
      </c>
      <c r="N1088" s="30"/>
      <c r="O1088" s="31"/>
      <c r="P1088" s="47"/>
      <c r="Q1088" s="31"/>
      <c r="R1088" s="31"/>
      <c r="S1088" s="32">
        <f t="shared" si="310"/>
        <v>0</v>
      </c>
      <c r="T1088" s="10"/>
      <c r="U1088" s="10"/>
      <c r="V1088" s="10"/>
      <c r="W1088" s="12">
        <f t="shared" si="311"/>
        <v>0</v>
      </c>
      <c r="Y1088" s="10">
        <v>32</v>
      </c>
      <c r="Z1088" s="30"/>
      <c r="AA1088" s="31"/>
      <c r="AB1088" s="47"/>
      <c r="AC1088" s="31"/>
      <c r="AD1088" s="31"/>
      <c r="AE1088" s="32">
        <f t="shared" si="318"/>
        <v>0</v>
      </c>
      <c r="AF1088" s="10"/>
      <c r="AG1088" s="10"/>
      <c r="AH1088" s="10"/>
      <c r="AI1088" s="12">
        <f t="shared" si="313"/>
        <v>0</v>
      </c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10">
        <v>33</v>
      </c>
      <c r="B1089" s="30"/>
      <c r="C1089" s="83"/>
      <c r="D1089" s="32"/>
      <c r="E1089" s="32"/>
      <c r="F1089" s="32"/>
      <c r="G1089" s="32">
        <f t="shared" si="308"/>
        <v>0</v>
      </c>
      <c r="H1089" s="10"/>
      <c r="I1089" s="10"/>
      <c r="J1089" s="10"/>
      <c r="K1089" s="12">
        <f t="shared" si="309"/>
        <v>0</v>
      </c>
      <c r="M1089" s="10">
        <v>33</v>
      </c>
      <c r="N1089" s="30"/>
      <c r="O1089" s="31"/>
      <c r="P1089" s="47"/>
      <c r="Q1089" s="31"/>
      <c r="R1089" s="31"/>
      <c r="S1089" s="32">
        <f t="shared" si="310"/>
        <v>0</v>
      </c>
      <c r="T1089" s="10"/>
      <c r="U1089" s="10"/>
      <c r="V1089" s="10"/>
      <c r="W1089" s="12">
        <f t="shared" si="311"/>
        <v>0</v>
      </c>
      <c r="Y1089" s="10">
        <v>33</v>
      </c>
      <c r="Z1089" s="30"/>
      <c r="AA1089" s="31"/>
      <c r="AB1089" s="47"/>
      <c r="AC1089" s="31"/>
      <c r="AD1089" s="31"/>
      <c r="AE1089" s="32">
        <f t="shared" si="318"/>
        <v>0</v>
      </c>
      <c r="AF1089" s="10"/>
      <c r="AG1089" s="10"/>
      <c r="AH1089" s="10"/>
      <c r="AI1089" s="12">
        <f t="shared" si="313"/>
        <v>0</v>
      </c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10"/>
      <c r="B1090" s="30"/>
      <c r="C1090" s="83"/>
      <c r="D1090" s="32"/>
      <c r="E1090" s="32"/>
      <c r="F1090" s="32"/>
      <c r="G1090" s="32">
        <f t="shared" si="308"/>
        <v>0</v>
      </c>
      <c r="H1090" s="10"/>
      <c r="I1090" s="10"/>
      <c r="J1090" s="10"/>
      <c r="K1090" s="12">
        <f t="shared" si="309"/>
        <v>0</v>
      </c>
      <c r="M1090" s="10">
        <v>34</v>
      </c>
      <c r="N1090" s="30"/>
      <c r="O1090" s="31"/>
      <c r="P1090" s="47"/>
      <c r="Q1090" s="31"/>
      <c r="R1090" s="31"/>
      <c r="S1090" s="32">
        <f t="shared" si="310"/>
        <v>0</v>
      </c>
      <c r="T1090" s="10"/>
      <c r="U1090" s="10"/>
      <c r="V1090" s="10"/>
      <c r="W1090" s="12">
        <f t="shared" si="311"/>
        <v>0</v>
      </c>
      <c r="Y1090" s="10">
        <v>34</v>
      </c>
      <c r="Z1090" s="30"/>
      <c r="AA1090" s="31"/>
      <c r="AB1090" s="47"/>
      <c r="AC1090" s="31"/>
      <c r="AD1090" s="31"/>
      <c r="AE1090" s="32">
        <f t="shared" si="318"/>
        <v>0</v>
      </c>
      <c r="AF1090" s="10"/>
      <c r="AG1090" s="10"/>
      <c r="AH1090" s="10"/>
      <c r="AI1090" s="12">
        <f t="shared" si="313"/>
        <v>0</v>
      </c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10"/>
      <c r="B1091" s="30"/>
      <c r="C1091" s="83"/>
      <c r="D1091" s="32"/>
      <c r="E1091" s="32"/>
      <c r="F1091" s="32"/>
      <c r="G1091" s="32"/>
      <c r="H1091" s="10"/>
      <c r="I1091" s="10"/>
      <c r="J1091" s="10"/>
      <c r="K1091" s="12"/>
      <c r="M1091" s="10">
        <v>35</v>
      </c>
      <c r="N1091" s="30"/>
      <c r="O1091" s="31"/>
      <c r="P1091" s="47"/>
      <c r="Q1091" s="31"/>
      <c r="R1091" s="31"/>
      <c r="S1091" s="32">
        <f t="shared" si="310"/>
        <v>0</v>
      </c>
      <c r="T1091" s="10"/>
      <c r="U1091" s="10"/>
      <c r="V1091" s="10"/>
      <c r="W1091" s="12">
        <f t="shared" si="311"/>
        <v>0</v>
      </c>
      <c r="Y1091" s="10">
        <v>35</v>
      </c>
      <c r="Z1091" s="30"/>
      <c r="AA1091" s="31"/>
      <c r="AB1091" s="47"/>
      <c r="AC1091" s="31"/>
      <c r="AD1091" s="31"/>
      <c r="AE1091" s="32">
        <f t="shared" si="318"/>
        <v>0</v>
      </c>
      <c r="AF1091" s="10"/>
      <c r="AG1091" s="10"/>
      <c r="AH1091" s="10"/>
      <c r="AI1091" s="12">
        <f t="shared" si="313"/>
        <v>0</v>
      </c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10"/>
      <c r="B1092" s="30"/>
      <c r="C1092" s="83"/>
      <c r="D1092" s="32"/>
      <c r="E1092" s="32"/>
      <c r="F1092" s="32"/>
      <c r="G1092" s="32"/>
      <c r="H1092" s="10"/>
      <c r="I1092" s="10"/>
      <c r="J1092" s="10"/>
      <c r="K1092" s="12"/>
      <c r="M1092" s="10">
        <v>36</v>
      </c>
      <c r="N1092" s="30"/>
      <c r="O1092" s="31"/>
      <c r="P1092" s="47"/>
      <c r="Q1092" s="31"/>
      <c r="R1092" s="31"/>
      <c r="S1092" s="32">
        <f t="shared" si="310"/>
        <v>0</v>
      </c>
      <c r="T1092" s="10"/>
      <c r="U1092" s="10"/>
      <c r="V1092" s="10"/>
      <c r="W1092" s="12">
        <f t="shared" si="311"/>
        <v>0</v>
      </c>
      <c r="Y1092" s="10">
        <v>36</v>
      </c>
      <c r="Z1092" s="30"/>
      <c r="AA1092" s="31"/>
      <c r="AB1092" s="47"/>
      <c r="AC1092" s="31"/>
      <c r="AD1092" s="31"/>
      <c r="AE1092" s="32">
        <f t="shared" si="318"/>
        <v>0</v>
      </c>
      <c r="AF1092" s="10"/>
      <c r="AG1092" s="10"/>
      <c r="AH1092" s="10"/>
      <c r="AI1092" s="12">
        <f t="shared" si="313"/>
        <v>0</v>
      </c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10"/>
      <c r="B1093" s="30"/>
      <c r="C1093" s="31"/>
      <c r="D1093" s="32"/>
      <c r="E1093" s="32"/>
      <c r="F1093" s="32"/>
      <c r="G1093" s="32"/>
      <c r="H1093" s="10"/>
      <c r="I1093" s="10"/>
      <c r="J1093" s="10"/>
      <c r="K1093" s="12"/>
      <c r="M1093" s="10">
        <v>37</v>
      </c>
      <c r="N1093" s="30"/>
      <c r="P1093" s="47"/>
      <c r="Q1093" s="31"/>
      <c r="R1093" s="31"/>
      <c r="S1093" s="32">
        <f t="shared" si="310"/>
        <v>0</v>
      </c>
      <c r="T1093" s="10"/>
      <c r="U1093" s="10"/>
      <c r="V1093" s="10"/>
      <c r="W1093" s="12">
        <f t="shared" si="311"/>
        <v>0</v>
      </c>
      <c r="Y1093" s="10">
        <v>37</v>
      </c>
      <c r="Z1093" s="30"/>
      <c r="AA1093" s="31"/>
      <c r="AB1093" s="47"/>
      <c r="AC1093" s="31"/>
      <c r="AD1093" s="31"/>
      <c r="AE1093" s="32">
        <f t="shared" si="318"/>
        <v>0</v>
      </c>
      <c r="AF1093" s="10"/>
      <c r="AG1093" s="10"/>
      <c r="AH1093" s="10"/>
      <c r="AI1093" s="12">
        <f t="shared" si="313"/>
        <v>0</v>
      </c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10"/>
      <c r="B1094" s="30"/>
      <c r="C1094" s="31"/>
      <c r="D1094" s="32"/>
      <c r="E1094" s="32"/>
      <c r="F1094" s="32"/>
      <c r="G1094" s="32"/>
      <c r="H1094" s="10"/>
      <c r="I1094" s="10"/>
      <c r="J1094" s="10"/>
      <c r="K1094" s="12"/>
      <c r="M1094" s="10">
        <v>38</v>
      </c>
      <c r="N1094" s="30"/>
      <c r="O1094" s="31"/>
      <c r="P1094" s="47"/>
      <c r="Q1094" s="31"/>
      <c r="R1094" s="31"/>
      <c r="S1094" s="32">
        <f t="shared" si="310"/>
        <v>0</v>
      </c>
      <c r="T1094" s="10"/>
      <c r="U1094" s="10"/>
      <c r="V1094" s="10"/>
      <c r="W1094" s="12">
        <f t="shared" si="311"/>
        <v>0</v>
      </c>
      <c r="Y1094" s="10">
        <v>38</v>
      </c>
      <c r="Z1094" s="30"/>
      <c r="AA1094" s="31"/>
      <c r="AB1094" s="47"/>
      <c r="AC1094" s="31"/>
      <c r="AD1094" s="31"/>
      <c r="AE1094" s="32">
        <f t="shared" si="318"/>
        <v>0</v>
      </c>
      <c r="AF1094" s="10"/>
      <c r="AG1094" s="10"/>
      <c r="AH1094" s="10"/>
      <c r="AI1094" s="12">
        <f t="shared" si="313"/>
        <v>0</v>
      </c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10"/>
      <c r="B1095" s="30"/>
      <c r="C1095" s="31"/>
      <c r="D1095" s="32"/>
      <c r="E1095" s="32"/>
      <c r="F1095" s="32"/>
      <c r="G1095" s="32"/>
      <c r="H1095" s="10"/>
      <c r="I1095" s="10"/>
      <c r="J1095" s="10"/>
      <c r="K1095" s="12"/>
      <c r="M1095" s="10">
        <v>39</v>
      </c>
      <c r="N1095" s="30"/>
      <c r="O1095" s="31"/>
      <c r="P1095" s="47"/>
      <c r="Q1095" s="31"/>
      <c r="R1095" s="31"/>
      <c r="S1095" s="32">
        <f t="shared" si="310"/>
        <v>0</v>
      </c>
      <c r="T1095" s="10"/>
      <c r="U1095" s="10"/>
      <c r="V1095" s="10"/>
      <c r="W1095" s="12">
        <f t="shared" si="311"/>
        <v>0</v>
      </c>
      <c r="Y1095" s="10">
        <v>39</v>
      </c>
      <c r="Z1095" s="30"/>
      <c r="AA1095" s="31"/>
      <c r="AB1095" s="47"/>
      <c r="AC1095" s="31"/>
      <c r="AD1095" s="31"/>
      <c r="AE1095" s="32">
        <f t="shared" si="318"/>
        <v>0</v>
      </c>
      <c r="AF1095" s="10"/>
      <c r="AG1095" s="10"/>
      <c r="AH1095" s="10"/>
      <c r="AI1095" s="12">
        <f t="shared" si="313"/>
        <v>0</v>
      </c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10"/>
      <c r="B1096" s="30"/>
      <c r="C1096" s="31"/>
      <c r="D1096" s="32"/>
      <c r="E1096" s="32"/>
      <c r="F1096" s="32"/>
      <c r="G1096" s="32"/>
      <c r="H1096" s="10"/>
      <c r="I1096" s="10"/>
      <c r="J1096" s="10"/>
      <c r="K1096" s="12"/>
      <c r="M1096" s="10"/>
      <c r="N1096" s="30"/>
      <c r="P1096" s="47"/>
      <c r="Q1096" s="31"/>
      <c r="R1096" s="31"/>
      <c r="S1096" s="32"/>
      <c r="T1096" s="10"/>
      <c r="U1096" s="10"/>
      <c r="V1096" s="10"/>
      <c r="W1096" s="12">
        <f t="shared" si="311"/>
        <v>0</v>
      </c>
      <c r="Y1096" s="10"/>
      <c r="Z1096" s="30"/>
      <c r="AB1096" s="47"/>
      <c r="AC1096" s="31"/>
      <c r="AD1096" s="31"/>
      <c r="AE1096" s="32"/>
      <c r="AF1096" s="10"/>
      <c r="AG1096" s="10"/>
      <c r="AH1096" s="10"/>
      <c r="AI1096" s="12">
        <f t="shared" si="313"/>
        <v>0</v>
      </c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10"/>
      <c r="B1097" s="30"/>
      <c r="C1097" s="31"/>
      <c r="D1097" s="32"/>
      <c r="E1097" s="32"/>
      <c r="F1097" s="32"/>
      <c r="G1097" s="32">
        <f t="shared" ref="G1097" si="319">SUM(D1097:E1097)</f>
        <v>0</v>
      </c>
      <c r="H1097" s="10"/>
      <c r="I1097" s="10"/>
      <c r="J1097" s="10"/>
      <c r="K1097" s="12">
        <f t="shared" ref="K1097" si="320">SUM(G1097:J1097)</f>
        <v>0</v>
      </c>
      <c r="M1097" s="10"/>
      <c r="N1097" s="30"/>
      <c r="O1097" s="31"/>
      <c r="P1097" s="47"/>
      <c r="Q1097" s="31"/>
      <c r="R1097" s="31"/>
      <c r="S1097" s="32">
        <f t="shared" ref="S1097" si="321">SUM(P1097:Q1097)</f>
        <v>0</v>
      </c>
      <c r="T1097" s="10"/>
      <c r="U1097" s="10"/>
      <c r="V1097" s="10"/>
      <c r="W1097" s="12">
        <f t="shared" si="311"/>
        <v>0</v>
      </c>
      <c r="Y1097" s="10"/>
      <c r="Z1097" s="30"/>
      <c r="AA1097" s="31"/>
      <c r="AB1097" s="47"/>
      <c r="AC1097" s="31"/>
      <c r="AD1097" s="31"/>
      <c r="AE1097" s="32">
        <f t="shared" ref="AE1097" si="322">SUM(AB1097:AC1097)</f>
        <v>0</v>
      </c>
      <c r="AF1097" s="10"/>
      <c r="AG1097" s="10"/>
      <c r="AH1097" s="10"/>
      <c r="AI1097" s="12">
        <f t="shared" si="313"/>
        <v>0</v>
      </c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10"/>
      <c r="B1098" s="30"/>
      <c r="C1098" s="30"/>
      <c r="D1098" s="32"/>
      <c r="E1098" s="32"/>
      <c r="F1098" s="32"/>
      <c r="G1098" s="32"/>
      <c r="H1098" s="10"/>
      <c r="I1098" s="10"/>
      <c r="J1098" s="10"/>
      <c r="K1098" s="12"/>
      <c r="M1098" s="10"/>
      <c r="N1098" s="31"/>
      <c r="O1098" s="31"/>
      <c r="P1098" s="31"/>
      <c r="Q1098" s="31"/>
      <c r="R1098" s="31"/>
      <c r="S1098" s="31"/>
      <c r="T1098" s="10"/>
      <c r="U1098" s="10"/>
      <c r="V1098" s="10"/>
      <c r="W1098" s="12">
        <f t="shared" si="311"/>
        <v>0</v>
      </c>
      <c r="Y1098" s="10"/>
      <c r="Z1098" s="31"/>
      <c r="AA1098" s="31"/>
      <c r="AB1098" s="31"/>
      <c r="AC1098" s="31"/>
      <c r="AD1098" s="31"/>
      <c r="AE1098" s="31"/>
      <c r="AF1098" s="10"/>
      <c r="AG1098" s="10"/>
      <c r="AH1098" s="10"/>
      <c r="AI1098" s="12">
        <f t="shared" si="313"/>
        <v>0</v>
      </c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B1099" s="57"/>
      <c r="C1099" s="57"/>
      <c r="D1099" s="36"/>
      <c r="E1099" s="36"/>
      <c r="F1099" s="36"/>
      <c r="G1099" s="36"/>
      <c r="H1099" s="37"/>
      <c r="I1099" s="37"/>
      <c r="J1099" s="37"/>
      <c r="K1099" s="37"/>
      <c r="N1099" s="57"/>
      <c r="O1099" s="57"/>
      <c r="P1099" s="36"/>
      <c r="Q1099" s="36"/>
      <c r="R1099" s="36"/>
      <c r="S1099" s="36"/>
      <c r="T1099" s="37"/>
      <c r="U1099" s="37"/>
      <c r="V1099" s="37"/>
      <c r="W1099" s="37"/>
      <c r="Z1099" s="57"/>
      <c r="AA1099" s="57"/>
      <c r="AB1099" s="36"/>
      <c r="AC1099" s="36"/>
      <c r="AD1099" s="36"/>
      <c r="AE1099" s="36"/>
      <c r="AF1099" s="37"/>
      <c r="AG1099" s="37"/>
      <c r="AH1099" s="37"/>
      <c r="AI1099" s="37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B1100" s="57"/>
      <c r="C1100" s="57"/>
      <c r="D1100" s="38">
        <f>SUM(D1057:D1099)</f>
        <v>275842</v>
      </c>
      <c r="E1100" s="38">
        <f t="shared" ref="E1100:F1100" si="323">SUM(E1057:E1097)</f>
        <v>0</v>
      </c>
      <c r="F1100" s="38">
        <f t="shared" si="323"/>
        <v>0</v>
      </c>
      <c r="G1100" s="38">
        <f>SUM(G1057:G1099)</f>
        <v>275842</v>
      </c>
      <c r="H1100" s="4"/>
      <c r="I1100" s="39">
        <f>SUM(I1057:I1099)</f>
        <v>26106</v>
      </c>
      <c r="J1100" s="39">
        <f>SUM(J1057:J1099)</f>
        <v>-43779</v>
      </c>
      <c r="K1100" s="40">
        <f>SUM(K1057:K1099)</f>
        <v>258169</v>
      </c>
      <c r="N1100" s="57"/>
      <c r="O1100" s="57"/>
      <c r="P1100" s="38">
        <f>SUM(P1057:P1099)</f>
        <v>739880</v>
      </c>
      <c r="Q1100" s="38">
        <f>SUM(Q1057:Q1081)</f>
        <v>-5970</v>
      </c>
      <c r="R1100" s="38">
        <f>SUM(R1057:R1081)</f>
        <v>0</v>
      </c>
      <c r="S1100" s="38">
        <f>SUM(S1057:S1099)</f>
        <v>733910</v>
      </c>
      <c r="T1100" s="4"/>
      <c r="U1100" s="41">
        <f>SUM(U1057:U1099)</f>
        <v>11337</v>
      </c>
      <c r="V1100" s="41">
        <f>SUM(V1057:V1081)</f>
        <v>-9225</v>
      </c>
      <c r="W1100" s="42">
        <f>SUM(W1057:W1099)</f>
        <v>736022</v>
      </c>
      <c r="Z1100" s="57"/>
      <c r="AA1100" s="57"/>
      <c r="AB1100" s="38">
        <f>SUM(AB1057:AB1099)</f>
        <v>362842</v>
      </c>
      <c r="AC1100" s="38">
        <f>SUM(AC1057:AC1081)</f>
        <v>-2580</v>
      </c>
      <c r="AD1100" s="38">
        <f>SUM(AD1057:AD1081)</f>
        <v>0</v>
      </c>
      <c r="AE1100" s="38">
        <f>SUM(AE1057:AE1099)</f>
        <v>360262</v>
      </c>
      <c r="AF1100" s="4"/>
      <c r="AG1100" s="41">
        <f>SUM(AG1057:AG1099)</f>
        <v>13929.75</v>
      </c>
      <c r="AH1100" s="41">
        <f>SUM(AH1057:AH1081)</f>
        <v>-6993</v>
      </c>
      <c r="AI1100" s="42">
        <f>SUM(AI1057:AI1099)</f>
        <v>367198.75</v>
      </c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18"/>
      <c r="B1101" s="18"/>
      <c r="C1101" s="18"/>
      <c r="D1101" s="18"/>
      <c r="E1101" s="18"/>
      <c r="F1101" s="18"/>
      <c r="G1101" s="18"/>
      <c r="H1101" s="18"/>
      <c r="I1101" s="18"/>
      <c r="J1101" s="18"/>
      <c r="K1101" s="18"/>
      <c r="M1101" s="18"/>
      <c r="N1101" s="18"/>
      <c r="O1101" s="18"/>
      <c r="P1101" s="18"/>
      <c r="Q1101" s="18"/>
      <c r="R1101" s="18"/>
      <c r="S1101" s="18"/>
      <c r="T1101" s="18"/>
      <c r="U1101" s="18"/>
      <c r="V1101" s="18"/>
      <c r="W1101" s="18"/>
      <c r="Y1101" s="18"/>
      <c r="Z1101" s="18"/>
      <c r="AA1101" s="18"/>
      <c r="AB1101" s="18"/>
      <c r="AC1101" s="18"/>
      <c r="AD1101" s="18"/>
      <c r="AE1101" s="18"/>
      <c r="AF1101" s="18"/>
      <c r="AG1101" s="18"/>
      <c r="AH1101" s="18"/>
      <c r="AI1101" s="18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6"/>
      <c r="C1102" s="86"/>
      <c r="D1102" s="86"/>
      <c r="E1102" s="86"/>
      <c r="F1102" s="86"/>
      <c r="G1102" s="86"/>
      <c r="H1102" s="62"/>
      <c r="I1102" s="62"/>
      <c r="J1102" s="62"/>
      <c r="K1102" s="62"/>
      <c r="L1102" s="62"/>
      <c r="M1102" s="62"/>
      <c r="N1102" s="86"/>
      <c r="O1102" s="86"/>
      <c r="P1102" s="86"/>
      <c r="Q1102" s="86"/>
      <c r="R1102" s="86"/>
      <c r="S1102" s="86"/>
      <c r="T1102" s="62"/>
      <c r="U1102" s="62"/>
      <c r="V1102" s="62"/>
      <c r="W1102" s="62"/>
      <c r="X1102" s="62"/>
      <c r="Y1102" s="62"/>
      <c r="Z1102" s="86"/>
      <c r="AA1102" s="86"/>
      <c r="AB1102" s="86"/>
      <c r="AC1102" s="86"/>
      <c r="AD1102" s="86"/>
      <c r="AE1102" s="86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86"/>
      <c r="C1103" s="86"/>
      <c r="D1103" s="86"/>
      <c r="E1103" s="86"/>
      <c r="F1103" s="86"/>
      <c r="G1103" s="86"/>
      <c r="H1103" s="62"/>
      <c r="I1103" s="62"/>
      <c r="J1103" s="62"/>
      <c r="K1103" s="62"/>
      <c r="L1103" s="62"/>
      <c r="M1103" s="62"/>
      <c r="N1103" s="86"/>
      <c r="O1103" s="86"/>
      <c r="P1103" s="86"/>
      <c r="Q1103" s="86"/>
      <c r="R1103" s="86"/>
      <c r="S1103" s="86"/>
      <c r="T1103" s="62"/>
      <c r="U1103" s="62"/>
      <c r="V1103" s="62"/>
      <c r="W1103" s="62"/>
      <c r="X1103" s="62"/>
      <c r="Y1103" s="62"/>
      <c r="Z1103" s="86"/>
      <c r="AA1103" s="86"/>
      <c r="AB1103" s="86"/>
      <c r="AC1103" s="86"/>
      <c r="AD1103" s="86"/>
      <c r="AE1103" s="86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6"/>
      <c r="C1104" s="86"/>
      <c r="D1104" s="86"/>
      <c r="E1104" s="86"/>
      <c r="F1104" s="86"/>
      <c r="G1104" s="86"/>
      <c r="H1104" s="62"/>
      <c r="I1104" s="62"/>
      <c r="J1104" s="62"/>
      <c r="K1104" s="62"/>
      <c r="L1104" s="62"/>
      <c r="M1104" s="62"/>
      <c r="N1104" s="86"/>
      <c r="O1104" s="86"/>
      <c r="P1104" s="86"/>
      <c r="Q1104" s="86"/>
      <c r="R1104" s="86"/>
      <c r="S1104" s="86"/>
      <c r="T1104" s="62"/>
      <c r="U1104" s="62"/>
      <c r="V1104" s="62"/>
      <c r="W1104" s="62"/>
      <c r="X1104" s="62"/>
      <c r="Y1104" s="62"/>
      <c r="Z1104" s="86"/>
      <c r="AA1104" s="86"/>
      <c r="AB1104" s="86"/>
      <c r="AC1104" s="86"/>
      <c r="AD1104" s="86"/>
      <c r="AE1104" s="86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3"/>
      <c r="B1105" s="86"/>
      <c r="C1105" s="86"/>
      <c r="D1105" s="86"/>
      <c r="E1105" s="86"/>
      <c r="F1105" s="86"/>
      <c r="G1105" s="86"/>
      <c r="H1105" s="62"/>
      <c r="I1105" s="62"/>
      <c r="J1105" s="62"/>
      <c r="K1105" s="62"/>
      <c r="L1105" s="62"/>
      <c r="M1105" s="63"/>
      <c r="N1105" s="86"/>
      <c r="O1105" s="86"/>
      <c r="P1105" s="86"/>
      <c r="Q1105" s="86"/>
      <c r="R1105" s="86"/>
      <c r="S1105" s="86"/>
      <c r="T1105" s="62"/>
      <c r="U1105" s="62"/>
      <c r="V1105" s="62"/>
      <c r="W1105" s="62"/>
      <c r="X1105" s="62"/>
      <c r="Y1105" s="63"/>
      <c r="Z1105" s="86"/>
      <c r="AA1105" s="86"/>
      <c r="AB1105" s="86"/>
      <c r="AC1105" s="86"/>
      <c r="AD1105" s="86"/>
      <c r="AE1105" s="86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2"/>
      <c r="B1106" s="86"/>
      <c r="C1106" s="86"/>
      <c r="D1106" s="86"/>
      <c r="E1106" s="86"/>
      <c r="F1106" s="86"/>
      <c r="G1106" s="86"/>
      <c r="H1106" s="62"/>
      <c r="I1106" s="62"/>
      <c r="J1106" s="62"/>
      <c r="K1106" s="62"/>
      <c r="L1106" s="62"/>
      <c r="M1106" s="62"/>
      <c r="N1106" s="86"/>
      <c r="O1106" s="86"/>
      <c r="P1106" s="86"/>
      <c r="Q1106" s="86"/>
      <c r="R1106" s="86"/>
      <c r="S1106" s="86"/>
      <c r="T1106" s="62"/>
      <c r="U1106" s="62"/>
      <c r="V1106" s="62"/>
      <c r="W1106" s="62"/>
      <c r="X1106" s="62"/>
      <c r="Y1106" s="62"/>
      <c r="Z1106" s="86"/>
      <c r="AA1106" s="86"/>
      <c r="AB1106" s="86"/>
      <c r="AC1106" s="86"/>
      <c r="AD1106" s="86"/>
      <c r="AE1106" s="86"/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s="62"/>
      <c r="B1107" s="86"/>
      <c r="C1107" s="86"/>
      <c r="D1107" s="86"/>
      <c r="E1107" s="86"/>
      <c r="F1107" s="86"/>
      <c r="G1107" s="86"/>
      <c r="H1107" s="62"/>
      <c r="I1107" s="86"/>
      <c r="J1107" s="73"/>
      <c r="K1107" s="62"/>
      <c r="L1107" s="62"/>
      <c r="M1107" s="62"/>
      <c r="N1107" s="86"/>
      <c r="O1107" s="86"/>
      <c r="P1107" s="86"/>
      <c r="Q1107" s="86"/>
      <c r="R1107" s="86"/>
      <c r="S1107" s="86"/>
      <c r="T1107" s="62"/>
      <c r="U1107" s="86"/>
      <c r="V1107" s="73"/>
      <c r="W1107" s="62"/>
      <c r="X1107" s="62"/>
      <c r="Y1107" s="62"/>
      <c r="Z1107" s="86"/>
      <c r="AA1107" s="86"/>
      <c r="AB1107" s="86"/>
      <c r="AC1107" s="86"/>
      <c r="AD1107" s="86"/>
      <c r="AE1107" s="86"/>
      <c r="AF1107" s="62"/>
      <c r="AG1107" s="86"/>
      <c r="AH1107" s="86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4"/>
      <c r="B1108" s="86"/>
      <c r="C1108" s="86"/>
      <c r="D1108" s="86"/>
      <c r="E1108" s="86"/>
      <c r="F1108" s="86"/>
      <c r="G1108" s="86"/>
      <c r="H1108" s="62"/>
      <c r="I1108" s="65"/>
      <c r="J1108" s="65"/>
      <c r="K1108" s="62"/>
      <c r="L1108" s="62"/>
      <c r="M1108" s="64"/>
      <c r="N1108" s="86"/>
      <c r="O1108" s="86"/>
      <c r="P1108" s="86"/>
      <c r="Q1108" s="86"/>
      <c r="R1108" s="86"/>
      <c r="S1108" s="86"/>
      <c r="T1108" s="62"/>
      <c r="U1108" s="65"/>
      <c r="V1108" s="65"/>
      <c r="W1108" s="62"/>
      <c r="X1108" s="62"/>
      <c r="Y1108" s="64"/>
      <c r="Z1108" s="86"/>
      <c r="AA1108" s="86"/>
      <c r="AB1108" s="86"/>
      <c r="AC1108" s="86"/>
      <c r="AD1108" s="86"/>
      <c r="AE1108" s="86"/>
      <c r="AF1108" s="62"/>
      <c r="AG1108" s="65"/>
      <c r="AH1108" s="65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6"/>
      <c r="C1109" s="86"/>
      <c r="D1109" s="86"/>
      <c r="E1109" s="86"/>
      <c r="F1109" s="86"/>
      <c r="G1109" s="86"/>
      <c r="H1109" s="62"/>
      <c r="I1109" s="62"/>
      <c r="J1109" s="62"/>
      <c r="K1109" s="62"/>
      <c r="L1109" s="62"/>
      <c r="M1109" s="62"/>
      <c r="N1109" s="86"/>
      <c r="O1109" s="86"/>
      <c r="P1109" s="86"/>
      <c r="Q1109" s="86"/>
      <c r="R1109" s="86"/>
      <c r="S1109" s="86"/>
      <c r="T1109" s="62"/>
      <c r="U1109" s="62"/>
      <c r="V1109" s="62"/>
      <c r="W1109" s="62"/>
      <c r="X1109" s="62"/>
      <c r="Y1109" s="62"/>
      <c r="Z1109" s="86"/>
      <c r="AA1109" s="86"/>
      <c r="AB1109" s="86"/>
      <c r="AC1109" s="86"/>
      <c r="AD1109" s="86"/>
      <c r="AE1109" s="86"/>
      <c r="AF1109" s="62"/>
      <c r="AG1109" s="62"/>
      <c r="AH1109" s="62"/>
      <c r="AI1109" s="6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5"/>
      <c r="C1110" s="86"/>
      <c r="D1110" s="121"/>
      <c r="E1110" s="121"/>
      <c r="F1110" s="86"/>
      <c r="G1110" s="86"/>
      <c r="H1110" s="62"/>
      <c r="I1110" s="121"/>
      <c r="J1110" s="121"/>
      <c r="K1110" s="122"/>
      <c r="L1110" s="62"/>
      <c r="M1110" s="62"/>
      <c r="N1110" s="65"/>
      <c r="O1110" s="86"/>
      <c r="P1110" s="121"/>
      <c r="Q1110" s="121"/>
      <c r="R1110" s="86"/>
      <c r="S1110" s="86"/>
      <c r="T1110" s="62"/>
      <c r="U1110" s="121"/>
      <c r="V1110" s="121"/>
      <c r="W1110" s="122"/>
      <c r="X1110" s="62"/>
      <c r="Y1110" s="62"/>
      <c r="Z1110" s="65"/>
      <c r="AA1110" s="86"/>
      <c r="AB1110" s="121"/>
      <c r="AC1110" s="121"/>
      <c r="AD1110" s="86"/>
      <c r="AE1110" s="86"/>
      <c r="AF1110" s="62"/>
      <c r="AG1110" s="121"/>
      <c r="AH1110" s="121"/>
      <c r="AI1110" s="122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86"/>
      <c r="C1111" s="86"/>
      <c r="D1111" s="79"/>
      <c r="E1111" s="80"/>
      <c r="F1111" s="81"/>
      <c r="G1111" s="81"/>
      <c r="H1111" s="62"/>
      <c r="I1111" s="85"/>
      <c r="J1111" s="85"/>
      <c r="K1111" s="122"/>
      <c r="L1111" s="62"/>
      <c r="M1111" s="62"/>
      <c r="N1111" s="86"/>
      <c r="O1111" s="86"/>
      <c r="P1111" s="79"/>
      <c r="Q1111" s="81"/>
      <c r="R1111" s="81"/>
      <c r="S1111" s="81"/>
      <c r="T1111" s="62"/>
      <c r="U1111" s="85"/>
      <c r="V1111" s="85"/>
      <c r="W1111" s="122"/>
      <c r="X1111" s="62"/>
      <c r="Y1111" s="62"/>
      <c r="Z1111" s="86"/>
      <c r="AA1111" s="86"/>
      <c r="AB1111" s="79"/>
      <c r="AC1111" s="81"/>
      <c r="AD1111" s="81"/>
      <c r="AE1111" s="81"/>
      <c r="AF1111" s="62"/>
      <c r="AG1111" s="85"/>
      <c r="AH1111" s="85"/>
      <c r="AI1111" s="122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4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6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6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6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86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6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6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6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6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6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65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86"/>
      <c r="AB1115" s="60"/>
      <c r="AC1115" s="60"/>
      <c r="AD1115" s="60"/>
      <c r="AE1115" s="60"/>
      <c r="AF1115" s="61"/>
      <c r="AG1115" s="62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6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6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86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6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86"/>
      <c r="P1117" s="60"/>
      <c r="Q1117" s="60"/>
      <c r="R1117" s="60"/>
      <c r="S1117" s="60"/>
      <c r="T1117" s="61"/>
      <c r="U1117" s="61"/>
      <c r="V1117" s="62"/>
      <c r="W1117" s="61"/>
      <c r="X1117" s="62"/>
      <c r="Y1117" s="62"/>
      <c r="Z1117" s="66"/>
      <c r="AA1117" s="65"/>
      <c r="AB1117" s="60"/>
      <c r="AC1117" s="60"/>
      <c r="AD1117" s="60"/>
      <c r="AE1117" s="60"/>
      <c r="AF1117" s="61"/>
      <c r="AG1117" s="61"/>
      <c r="AH1117" s="62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6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6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6"/>
      <c r="AB1118" s="60"/>
      <c r="AC1118" s="60"/>
      <c r="AD1118" s="60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86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62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86"/>
      <c r="AB1119" s="60"/>
      <c r="AC1119" s="60"/>
      <c r="AD1119" s="62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6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6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6"/>
      <c r="AB1120" s="60"/>
      <c r="AC1120" s="60"/>
      <c r="AD1120" s="60"/>
      <c r="AE1120" s="60"/>
      <c r="AF1120" s="61"/>
      <c r="AG1120" s="62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65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86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86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6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86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86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6"/>
      <c r="D1123" s="60"/>
      <c r="E1123" s="60"/>
      <c r="F1123" s="60"/>
      <c r="G1123" s="60"/>
      <c r="H1123" s="61"/>
      <c r="I1123" s="61"/>
      <c r="J1123" s="62"/>
      <c r="K1123" s="61"/>
      <c r="L1123" s="62"/>
      <c r="M1123" s="62"/>
      <c r="N1123" s="66"/>
      <c r="O1123" s="86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62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86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6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6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6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6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6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6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6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6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6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6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6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6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6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6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6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6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6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6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86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86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6"/>
      <c r="D1131" s="60"/>
      <c r="E1131" s="60"/>
      <c r="F1131" s="60"/>
      <c r="G1131" s="60"/>
      <c r="H1131" s="61"/>
      <c r="I1131" s="61"/>
      <c r="J1131" s="61"/>
      <c r="K1131" s="61"/>
      <c r="L1131" s="62"/>
      <c r="M1131" s="62"/>
      <c r="N1131" s="66"/>
      <c r="O1131" s="86"/>
      <c r="P1131" s="60"/>
      <c r="Q1131" s="60"/>
      <c r="R1131" s="60"/>
      <c r="S1131" s="60"/>
      <c r="T1131" s="61"/>
      <c r="U1131" s="61"/>
      <c r="V1131" s="61"/>
      <c r="W1131" s="61"/>
      <c r="X1131" s="62"/>
      <c r="Y1131" s="62"/>
      <c r="Z1131" s="66"/>
      <c r="AA1131" s="86"/>
      <c r="AB1131" s="60"/>
      <c r="AC1131" s="60"/>
      <c r="AD1131" s="60"/>
      <c r="AE1131" s="60"/>
      <c r="AF1131" s="61"/>
      <c r="AG1131" s="61"/>
      <c r="AH1131" s="61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6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86"/>
      <c r="P1132" s="67"/>
      <c r="Q1132" s="86"/>
      <c r="R1132" s="86"/>
      <c r="S1132" s="60"/>
      <c r="T1132" s="62"/>
      <c r="U1132" s="62"/>
      <c r="V1132" s="62"/>
      <c r="W1132" s="61"/>
      <c r="X1132" s="62"/>
      <c r="Y1132" s="62"/>
      <c r="Z1132" s="66"/>
      <c r="AA1132" s="62"/>
      <c r="AB1132" s="67"/>
      <c r="AC1132" s="86"/>
      <c r="AD1132" s="86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6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6"/>
      <c r="P1133" s="68"/>
      <c r="Q1133" s="86"/>
      <c r="R1133" s="86"/>
      <c r="S1133" s="60"/>
      <c r="T1133" s="62"/>
      <c r="U1133" s="62"/>
      <c r="V1133" s="62"/>
      <c r="W1133" s="61"/>
      <c r="X1133" s="62"/>
      <c r="Y1133" s="62"/>
      <c r="Z1133" s="66"/>
      <c r="AA1133" s="86"/>
      <c r="AB1133" s="68"/>
      <c r="AC1133" s="86"/>
      <c r="AD1133" s="86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6"/>
      <c r="D1134" s="60"/>
      <c r="E1134" s="60"/>
      <c r="F1134" s="60"/>
      <c r="G1134" s="60"/>
      <c r="H1134" s="62"/>
      <c r="I1134" s="62"/>
      <c r="J1134" s="61"/>
      <c r="K1134" s="61"/>
      <c r="L1134" s="62"/>
      <c r="M1134" s="62"/>
      <c r="N1134" s="66"/>
      <c r="O1134" s="86"/>
      <c r="P1134" s="69"/>
      <c r="Q1134" s="86"/>
      <c r="R1134" s="62"/>
      <c r="S1134" s="60"/>
      <c r="T1134" s="62"/>
      <c r="U1134" s="62"/>
      <c r="V1134" s="62"/>
      <c r="W1134" s="61"/>
      <c r="X1134" s="62"/>
      <c r="Y1134" s="62"/>
      <c r="Z1134" s="66"/>
      <c r="AA1134" s="62"/>
      <c r="AB1134" s="69"/>
      <c r="AC1134" s="86"/>
      <c r="AD1134" s="62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6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6"/>
      <c r="P1135" s="69"/>
      <c r="Q1135" s="86"/>
      <c r="R1135" s="86"/>
      <c r="S1135" s="60"/>
      <c r="T1135" s="62"/>
      <c r="U1135" s="62"/>
      <c r="V1135" s="62"/>
      <c r="W1135" s="61"/>
      <c r="X1135" s="62"/>
      <c r="Y1135" s="62"/>
      <c r="Z1135" s="66"/>
      <c r="AA1135" s="86"/>
      <c r="AB1135" s="69"/>
      <c r="AC1135" s="86"/>
      <c r="AD1135" s="86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6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86"/>
      <c r="P1136" s="69"/>
      <c r="Q1136" s="86"/>
      <c r="R1136" s="86"/>
      <c r="S1136" s="60"/>
      <c r="T1136" s="62"/>
      <c r="U1136" s="62"/>
      <c r="V1136" s="62"/>
      <c r="W1136" s="61"/>
      <c r="X1136" s="62"/>
      <c r="Y1136" s="62"/>
      <c r="Z1136" s="66"/>
      <c r="AA1136" s="86"/>
      <c r="AB1136" s="69"/>
      <c r="AC1136" s="86"/>
      <c r="AD1136" s="86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6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86"/>
      <c r="P1137" s="69"/>
      <c r="Q1137" s="86"/>
      <c r="R1137" s="86"/>
      <c r="S1137" s="60"/>
      <c r="T1137" s="62"/>
      <c r="U1137" s="62"/>
      <c r="V1137" s="62"/>
      <c r="W1137" s="61"/>
      <c r="X1137" s="62"/>
      <c r="Y1137" s="62"/>
      <c r="Z1137" s="66"/>
      <c r="AA1137" s="86"/>
      <c r="AB1137" s="69"/>
      <c r="AC1137" s="86"/>
      <c r="AD1137" s="86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6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62"/>
      <c r="P1138" s="69"/>
      <c r="Q1138" s="86"/>
      <c r="R1138" s="86"/>
      <c r="S1138" s="60"/>
      <c r="T1138" s="62"/>
      <c r="U1138" s="62"/>
      <c r="V1138" s="62"/>
      <c r="W1138" s="61"/>
      <c r="X1138" s="62"/>
      <c r="Y1138" s="62"/>
      <c r="Z1138" s="66"/>
      <c r="AA1138" s="86"/>
      <c r="AB1138" s="69"/>
      <c r="AC1138" s="86"/>
      <c r="AD1138" s="86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6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6"/>
      <c r="P1139" s="69"/>
      <c r="Q1139" s="86"/>
      <c r="R1139" s="86"/>
      <c r="S1139" s="60"/>
      <c r="T1139" s="62"/>
      <c r="U1139" s="62"/>
      <c r="V1139" s="62"/>
      <c r="W1139" s="61"/>
      <c r="X1139" s="62"/>
      <c r="Y1139" s="62"/>
      <c r="Z1139" s="66"/>
      <c r="AA1139" s="86"/>
      <c r="AB1139" s="69"/>
      <c r="AC1139" s="86"/>
      <c r="AD1139" s="86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6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86"/>
      <c r="P1140" s="69"/>
      <c r="Q1140" s="86"/>
      <c r="R1140" s="86"/>
      <c r="S1140" s="60"/>
      <c r="T1140" s="62"/>
      <c r="U1140" s="62"/>
      <c r="V1140" s="62"/>
      <c r="W1140" s="61"/>
      <c r="X1140" s="62"/>
      <c r="Y1140" s="62"/>
      <c r="Z1140" s="66"/>
      <c r="AA1140" s="86"/>
      <c r="AB1140" s="69"/>
      <c r="AC1140" s="86"/>
      <c r="AD1140" s="86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86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86"/>
      <c r="P1141" s="69"/>
      <c r="Q1141" s="86"/>
      <c r="R1141" s="86"/>
      <c r="S1141" s="60"/>
      <c r="T1141" s="62"/>
      <c r="U1141" s="62"/>
      <c r="V1141" s="62"/>
      <c r="W1141" s="61"/>
      <c r="X1141" s="62"/>
      <c r="Y1141" s="62"/>
      <c r="Z1141" s="66"/>
      <c r="AA1141" s="86"/>
      <c r="AB1141" s="69"/>
      <c r="AC1141" s="86"/>
      <c r="AD1141" s="86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84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62"/>
      <c r="P1142" s="69"/>
      <c r="Q1142" s="86"/>
      <c r="R1142" s="86"/>
      <c r="S1142" s="60"/>
      <c r="T1142" s="62"/>
      <c r="U1142" s="62"/>
      <c r="V1142" s="62"/>
      <c r="W1142" s="61"/>
      <c r="X1142" s="62"/>
      <c r="Y1142" s="62"/>
      <c r="Z1142" s="66"/>
      <c r="AA1142" s="86"/>
      <c r="AB1142" s="69"/>
      <c r="AC1142" s="86"/>
      <c r="AD1142" s="86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86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6"/>
      <c r="P1143" s="69"/>
      <c r="Q1143" s="86"/>
      <c r="R1143" s="86"/>
      <c r="S1143" s="60"/>
      <c r="T1143" s="62"/>
      <c r="U1143" s="62"/>
      <c r="V1143" s="62"/>
      <c r="W1143" s="61"/>
      <c r="X1143" s="62"/>
      <c r="Y1143" s="62"/>
      <c r="Z1143" s="66"/>
      <c r="AA1143" s="86"/>
      <c r="AB1143" s="69"/>
      <c r="AC1143" s="86"/>
      <c r="AD1143" s="86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84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6"/>
      <c r="P1144" s="69"/>
      <c r="Q1144" s="86"/>
      <c r="R1144" s="86"/>
      <c r="S1144" s="60"/>
      <c r="T1144" s="62"/>
      <c r="U1144" s="62"/>
      <c r="V1144" s="62"/>
      <c r="W1144" s="61"/>
      <c r="X1144" s="62"/>
      <c r="Y1144" s="62"/>
      <c r="Z1144" s="66"/>
      <c r="AA1144" s="86"/>
      <c r="AB1144" s="69"/>
      <c r="AC1144" s="86"/>
      <c r="AD1144" s="86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84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6"/>
      <c r="P1145" s="69"/>
      <c r="Q1145" s="86"/>
      <c r="R1145" s="86"/>
      <c r="S1145" s="60"/>
      <c r="T1145" s="62"/>
      <c r="U1145" s="62"/>
      <c r="V1145" s="62"/>
      <c r="W1145" s="61"/>
      <c r="X1145" s="62"/>
      <c r="Y1145" s="62"/>
      <c r="Z1145" s="66"/>
      <c r="AA1145" s="86"/>
      <c r="AB1145" s="69"/>
      <c r="AC1145" s="86"/>
      <c r="AD1145" s="86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84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86"/>
      <c r="P1146" s="69"/>
      <c r="Q1146" s="86"/>
      <c r="R1146" s="86"/>
      <c r="S1146" s="60"/>
      <c r="T1146" s="62"/>
      <c r="U1146" s="62"/>
      <c r="V1146" s="62"/>
      <c r="W1146" s="61"/>
      <c r="X1146" s="62"/>
      <c r="Y1146" s="62"/>
      <c r="Z1146" s="66"/>
      <c r="AA1146" s="86"/>
      <c r="AB1146" s="69"/>
      <c r="AC1146" s="86"/>
      <c r="AD1146" s="86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84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6"/>
      <c r="P1147" s="69"/>
      <c r="Q1147" s="86"/>
      <c r="R1147" s="86"/>
      <c r="S1147" s="60"/>
      <c r="T1147" s="62"/>
      <c r="U1147" s="62"/>
      <c r="V1147" s="62"/>
      <c r="W1147" s="61"/>
      <c r="X1147" s="62"/>
      <c r="Y1147" s="62"/>
      <c r="Z1147" s="66"/>
      <c r="AA1147" s="86"/>
      <c r="AB1147" s="69"/>
      <c r="AC1147" s="86"/>
      <c r="AD1147" s="86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86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62"/>
      <c r="P1148" s="69"/>
      <c r="Q1148" s="86"/>
      <c r="R1148" s="86"/>
      <c r="S1148" s="60"/>
      <c r="T1148" s="62"/>
      <c r="U1148" s="62"/>
      <c r="V1148" s="62"/>
      <c r="W1148" s="61"/>
      <c r="X1148" s="62"/>
      <c r="Y1148" s="62"/>
      <c r="Z1148" s="66"/>
      <c r="AA1148" s="86"/>
      <c r="AB1148" s="69"/>
      <c r="AC1148" s="86"/>
      <c r="AD1148" s="86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6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86"/>
      <c r="P1149" s="69"/>
      <c r="Q1149" s="86"/>
      <c r="R1149" s="86"/>
      <c r="S1149" s="60"/>
      <c r="T1149" s="62"/>
      <c r="U1149" s="62"/>
      <c r="V1149" s="62"/>
      <c r="W1149" s="61"/>
      <c r="X1149" s="62"/>
      <c r="Y1149" s="62"/>
      <c r="Z1149" s="66"/>
      <c r="AA1149" s="86"/>
      <c r="AB1149" s="69"/>
      <c r="AC1149" s="86"/>
      <c r="AD1149" s="86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6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6"/>
      <c r="P1150" s="69"/>
      <c r="Q1150" s="86"/>
      <c r="R1150" s="86"/>
      <c r="S1150" s="60"/>
      <c r="T1150" s="62"/>
      <c r="U1150" s="62"/>
      <c r="V1150" s="62"/>
      <c r="W1150" s="61"/>
      <c r="X1150" s="62"/>
      <c r="Y1150" s="62"/>
      <c r="Z1150" s="66"/>
      <c r="AA1150" s="86"/>
      <c r="AB1150" s="69"/>
      <c r="AC1150" s="86"/>
      <c r="AD1150" s="86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86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62"/>
      <c r="P1151" s="69"/>
      <c r="Q1151" s="86"/>
      <c r="R1151" s="86"/>
      <c r="S1151" s="60"/>
      <c r="T1151" s="62"/>
      <c r="U1151" s="62"/>
      <c r="V1151" s="62"/>
      <c r="W1151" s="61"/>
      <c r="X1151" s="62"/>
      <c r="Y1151" s="62"/>
      <c r="Z1151" s="66"/>
      <c r="AA1151" s="62"/>
      <c r="AB1151" s="69"/>
      <c r="AC1151" s="86"/>
      <c r="AD1151" s="86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86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66"/>
      <c r="O1152" s="86"/>
      <c r="P1152" s="69"/>
      <c r="Q1152" s="86"/>
      <c r="R1152" s="86"/>
      <c r="S1152" s="60"/>
      <c r="T1152" s="62"/>
      <c r="U1152" s="62"/>
      <c r="V1152" s="62"/>
      <c r="W1152" s="61"/>
      <c r="X1152" s="62"/>
      <c r="Y1152" s="62"/>
      <c r="Z1152" s="66"/>
      <c r="AA1152" s="86"/>
      <c r="AB1152" s="69"/>
      <c r="AC1152" s="86"/>
      <c r="AD1152" s="86"/>
      <c r="AE1152" s="60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66"/>
      <c r="C1153" s="66"/>
      <c r="D1153" s="60"/>
      <c r="E1153" s="60"/>
      <c r="F1153" s="60"/>
      <c r="G1153" s="60"/>
      <c r="H1153" s="62"/>
      <c r="I1153" s="62"/>
      <c r="J1153" s="62"/>
      <c r="K1153" s="61"/>
      <c r="L1153" s="62"/>
      <c r="M1153" s="62"/>
      <c r="N1153" s="86"/>
      <c r="O1153" s="86"/>
      <c r="P1153" s="86"/>
      <c r="Q1153" s="86"/>
      <c r="R1153" s="86"/>
      <c r="S1153" s="86"/>
      <c r="T1153" s="62"/>
      <c r="U1153" s="62"/>
      <c r="V1153" s="62"/>
      <c r="W1153" s="61"/>
      <c r="X1153" s="62"/>
      <c r="Y1153" s="62"/>
      <c r="Z1153" s="86"/>
      <c r="AA1153" s="86"/>
      <c r="AB1153" s="86"/>
      <c r="AC1153" s="86"/>
      <c r="AD1153" s="86"/>
      <c r="AE1153" s="86"/>
      <c r="AF1153" s="62"/>
      <c r="AG1153" s="62"/>
      <c r="AH1153" s="62"/>
      <c r="AI1153" s="6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86"/>
      <c r="C1154" s="86"/>
      <c r="D1154" s="86"/>
      <c r="E1154" s="86"/>
      <c r="F1154" s="86"/>
      <c r="G1154" s="86"/>
      <c r="H1154" s="62"/>
      <c r="I1154" s="62"/>
      <c r="J1154" s="62"/>
      <c r="K1154" s="62"/>
      <c r="L1154" s="62"/>
      <c r="M1154" s="62"/>
      <c r="N1154" s="86"/>
      <c r="O1154" s="86"/>
      <c r="P1154" s="86"/>
      <c r="Q1154" s="86"/>
      <c r="R1154" s="86"/>
      <c r="S1154" s="86"/>
      <c r="T1154" s="62"/>
      <c r="U1154" s="62"/>
      <c r="V1154" s="62"/>
      <c r="W1154" s="62"/>
      <c r="X1154" s="62"/>
      <c r="Y1154" s="62"/>
      <c r="Z1154" s="86"/>
      <c r="AA1154" s="86"/>
      <c r="AB1154" s="86"/>
      <c r="AC1154" s="86"/>
      <c r="AD1154" s="86"/>
      <c r="AE1154" s="86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6"/>
      <c r="C1155" s="86"/>
      <c r="D1155" s="70"/>
      <c r="E1155" s="70"/>
      <c r="F1155" s="70"/>
      <c r="G1155" s="70"/>
      <c r="H1155" s="63"/>
      <c r="I1155" s="70"/>
      <c r="J1155" s="70"/>
      <c r="K1155" s="70"/>
      <c r="L1155" s="62"/>
      <c r="M1155" s="62"/>
      <c r="N1155" s="86"/>
      <c r="O1155" s="86"/>
      <c r="P1155" s="70"/>
      <c r="Q1155" s="70"/>
      <c r="R1155" s="70"/>
      <c r="S1155" s="70"/>
      <c r="T1155" s="63"/>
      <c r="U1155" s="71"/>
      <c r="V1155" s="71"/>
      <c r="W1155" s="71"/>
      <c r="X1155" s="62"/>
      <c r="Y1155" s="62"/>
      <c r="Z1155" s="86"/>
      <c r="AA1155" s="86"/>
      <c r="AB1155" s="70"/>
      <c r="AC1155" s="70"/>
      <c r="AD1155" s="70"/>
      <c r="AE1155" s="70"/>
      <c r="AF1155" s="63"/>
      <c r="AG1155" s="71"/>
      <c r="AH1155" s="71"/>
      <c r="AI1155" s="71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62"/>
      <c r="C1156" s="62"/>
      <c r="D1156" s="62"/>
      <c r="E1156" s="62"/>
      <c r="F1156" s="62"/>
      <c r="G1156" s="62"/>
      <c r="H1156" s="62"/>
      <c r="I1156" s="62"/>
      <c r="J1156" s="62"/>
      <c r="K1156" s="62"/>
      <c r="L1156" s="62"/>
      <c r="M1156" s="62"/>
      <c r="N1156" s="62"/>
      <c r="O1156" s="62"/>
      <c r="P1156" s="62"/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6"/>
      <c r="C1157" s="86"/>
      <c r="D1157" s="86"/>
      <c r="E1157" s="86"/>
      <c r="F1157" s="86"/>
      <c r="G1157" s="86"/>
      <c r="H1157" s="62"/>
      <c r="I1157" s="62"/>
      <c r="J1157" s="62"/>
      <c r="K1157" s="62"/>
      <c r="L1157" s="62"/>
      <c r="M1157" s="62"/>
      <c r="N1157" s="86"/>
      <c r="O1157" s="86"/>
      <c r="P1157" s="86"/>
      <c r="Q1157" s="86"/>
      <c r="R1157" s="86"/>
      <c r="S1157" s="86"/>
      <c r="T1157" s="62"/>
      <c r="U1157" s="62"/>
      <c r="V1157" s="62"/>
      <c r="W1157" s="62"/>
      <c r="X1157" s="62"/>
      <c r="Y1157" s="62"/>
      <c r="Z1157" s="86"/>
      <c r="AA1157" s="86"/>
      <c r="AB1157" s="86"/>
      <c r="AC1157" s="86"/>
      <c r="AD1157" s="86"/>
      <c r="AE1157" s="86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6"/>
      <c r="C1158" s="86"/>
      <c r="D1158" s="86"/>
      <c r="E1158" s="86"/>
      <c r="F1158" s="86"/>
      <c r="G1158" s="86"/>
      <c r="H1158" s="62"/>
      <c r="I1158" s="62"/>
      <c r="J1158" s="62"/>
      <c r="K1158" s="62"/>
      <c r="L1158" s="62"/>
      <c r="M1158" s="62"/>
      <c r="N1158" s="86"/>
      <c r="O1158" s="86"/>
      <c r="P1158" s="86"/>
      <c r="Q1158" s="86"/>
      <c r="R1158" s="86"/>
      <c r="S1158" s="86"/>
      <c r="T1158" s="62"/>
      <c r="U1158" s="62"/>
      <c r="V1158" s="62"/>
      <c r="W1158" s="62"/>
      <c r="X1158" s="62"/>
      <c r="Y1158" s="62"/>
      <c r="Z1158" s="86"/>
      <c r="AA1158" s="86"/>
      <c r="AB1158" s="86"/>
      <c r="AC1158" s="86"/>
      <c r="AD1158" s="86"/>
      <c r="AE1158" s="86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6"/>
      <c r="C1159" s="86"/>
      <c r="D1159" s="86"/>
      <c r="E1159" s="86"/>
      <c r="F1159" s="86"/>
      <c r="G1159" s="86"/>
      <c r="H1159" s="62"/>
      <c r="I1159" s="62"/>
      <c r="J1159" s="62"/>
      <c r="K1159" s="62"/>
      <c r="L1159" s="62"/>
      <c r="M1159" s="62"/>
      <c r="N1159" s="86"/>
      <c r="O1159" s="86"/>
      <c r="P1159" s="86"/>
      <c r="Q1159" s="86"/>
      <c r="R1159" s="86"/>
      <c r="S1159" s="86"/>
      <c r="T1159" s="62"/>
      <c r="U1159" s="62"/>
      <c r="V1159" s="62"/>
      <c r="W1159" s="62"/>
      <c r="X1159" s="62"/>
      <c r="Y1159" s="62"/>
      <c r="Z1159" s="86"/>
      <c r="AA1159" s="86"/>
      <c r="AB1159" s="86"/>
      <c r="AC1159" s="86"/>
      <c r="AD1159" s="86"/>
      <c r="AE1159" s="86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6"/>
      <c r="C1160" s="86"/>
      <c r="D1160" s="86"/>
      <c r="E1160" s="86"/>
      <c r="F1160" s="86"/>
      <c r="G1160" s="86"/>
      <c r="H1160" s="62"/>
      <c r="I1160" s="62"/>
      <c r="J1160" s="62"/>
      <c r="K1160" s="62"/>
      <c r="L1160" s="62"/>
      <c r="M1160" s="63"/>
      <c r="N1160" s="86"/>
      <c r="O1160" s="86"/>
      <c r="P1160" s="86"/>
      <c r="Q1160" s="86"/>
      <c r="R1160" s="86"/>
      <c r="S1160" s="86"/>
      <c r="T1160" s="62"/>
      <c r="U1160" s="62"/>
      <c r="V1160" s="62"/>
      <c r="W1160" s="62"/>
      <c r="X1160" s="62"/>
      <c r="Y1160" s="63"/>
      <c r="Z1160" s="86"/>
      <c r="AA1160" s="86"/>
      <c r="AB1160" s="86"/>
      <c r="AC1160" s="86"/>
      <c r="AD1160" s="86"/>
      <c r="AE1160" s="86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6"/>
      <c r="C1161" s="86"/>
      <c r="D1161" s="86"/>
      <c r="E1161" s="86"/>
      <c r="F1161" s="86"/>
      <c r="G1161" s="86"/>
      <c r="H1161" s="62"/>
      <c r="I1161" s="62"/>
      <c r="J1161" s="62"/>
      <c r="K1161" s="62"/>
      <c r="L1161" s="62"/>
      <c r="M1161" s="62"/>
      <c r="N1161" s="86"/>
      <c r="O1161" s="86"/>
      <c r="P1161" s="86"/>
      <c r="Q1161" s="86"/>
      <c r="R1161" s="86"/>
      <c r="S1161" s="86"/>
      <c r="T1161" s="62"/>
      <c r="U1161" s="62"/>
      <c r="V1161" s="62"/>
      <c r="W1161" s="62"/>
      <c r="X1161" s="62"/>
      <c r="Y1161" s="62"/>
      <c r="Z1161" s="86"/>
      <c r="AA1161" s="86"/>
      <c r="AB1161" s="86"/>
      <c r="AC1161" s="86"/>
      <c r="AD1161" s="86"/>
      <c r="AE1161" s="86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6"/>
      <c r="C1162" s="86"/>
      <c r="D1162" s="86"/>
      <c r="E1162" s="86"/>
      <c r="F1162" s="86"/>
      <c r="G1162" s="86"/>
      <c r="H1162" s="62"/>
      <c r="I1162" s="86"/>
      <c r="J1162" s="73"/>
      <c r="K1162" s="62"/>
      <c r="L1162" s="62"/>
      <c r="M1162" s="62"/>
      <c r="N1162" s="86"/>
      <c r="O1162" s="86"/>
      <c r="P1162" s="86"/>
      <c r="Q1162" s="86"/>
      <c r="R1162" s="86"/>
      <c r="S1162" s="86"/>
      <c r="T1162" s="62"/>
      <c r="U1162" s="86"/>
      <c r="V1162" s="73"/>
      <c r="W1162" s="62"/>
      <c r="X1162" s="62"/>
      <c r="Y1162" s="62"/>
      <c r="Z1162" s="86"/>
      <c r="AA1162" s="86"/>
      <c r="AB1162" s="86"/>
      <c r="AC1162" s="86"/>
      <c r="AD1162" s="86"/>
      <c r="AE1162" s="86"/>
      <c r="AF1162" s="62"/>
      <c r="AG1162" s="86"/>
      <c r="AH1162" s="86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6"/>
      <c r="C1163" s="86"/>
      <c r="D1163" s="86"/>
      <c r="E1163" s="86"/>
      <c r="F1163" s="86"/>
      <c r="G1163" s="86"/>
      <c r="H1163" s="62"/>
      <c r="I1163" s="65"/>
      <c r="J1163" s="65"/>
      <c r="K1163" s="62"/>
      <c r="L1163" s="62"/>
      <c r="M1163" s="64"/>
      <c r="N1163" s="86"/>
      <c r="O1163" s="86"/>
      <c r="P1163" s="86"/>
      <c r="Q1163" s="86"/>
      <c r="R1163" s="86"/>
      <c r="S1163" s="86"/>
      <c r="T1163" s="62"/>
      <c r="U1163" s="65"/>
      <c r="V1163" s="65"/>
      <c r="W1163" s="62"/>
      <c r="X1163" s="62"/>
      <c r="Y1163" s="64"/>
      <c r="Z1163" s="86"/>
      <c r="AA1163" s="86"/>
      <c r="AB1163" s="86"/>
      <c r="AC1163" s="86"/>
      <c r="AD1163" s="86"/>
      <c r="AE1163" s="86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6"/>
      <c r="C1164" s="86"/>
      <c r="D1164" s="86"/>
      <c r="E1164" s="86"/>
      <c r="F1164" s="86"/>
      <c r="G1164" s="86"/>
      <c r="H1164" s="62"/>
      <c r="I1164" s="62"/>
      <c r="J1164" s="62"/>
      <c r="K1164" s="62"/>
      <c r="L1164" s="62"/>
      <c r="M1164" s="62"/>
      <c r="N1164" s="86"/>
      <c r="O1164" s="86"/>
      <c r="P1164" s="86"/>
      <c r="Q1164" s="86"/>
      <c r="R1164" s="86"/>
      <c r="S1164" s="86"/>
      <c r="T1164" s="62"/>
      <c r="U1164" s="62"/>
      <c r="V1164" s="62"/>
      <c r="W1164" s="62"/>
      <c r="X1164" s="62"/>
      <c r="Y1164" s="62"/>
      <c r="Z1164" s="86"/>
      <c r="AA1164" s="86"/>
      <c r="AB1164" s="86"/>
      <c r="AC1164" s="86"/>
      <c r="AD1164" s="86"/>
      <c r="AE1164" s="86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6"/>
      <c r="D1165" s="121"/>
      <c r="E1165" s="121"/>
      <c r="F1165" s="86"/>
      <c r="G1165" s="86"/>
      <c r="H1165" s="62"/>
      <c r="I1165" s="121"/>
      <c r="J1165" s="121"/>
      <c r="K1165" s="122"/>
      <c r="L1165" s="62"/>
      <c r="M1165" s="62"/>
      <c r="N1165" s="65"/>
      <c r="O1165" s="86"/>
      <c r="P1165" s="121"/>
      <c r="Q1165" s="121"/>
      <c r="R1165" s="86"/>
      <c r="S1165" s="86"/>
      <c r="T1165" s="62"/>
      <c r="U1165" s="121"/>
      <c r="V1165" s="121"/>
      <c r="W1165" s="122"/>
      <c r="X1165" s="62"/>
      <c r="Y1165" s="62"/>
      <c r="Z1165" s="65"/>
      <c r="AA1165" s="86"/>
      <c r="AB1165" s="121"/>
      <c r="AC1165" s="121"/>
      <c r="AD1165" s="86"/>
      <c r="AE1165" s="86"/>
      <c r="AF1165" s="62"/>
      <c r="AG1165" s="121"/>
      <c r="AH1165" s="121"/>
      <c r="AI1165" s="122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6"/>
      <c r="C1166" s="86"/>
      <c r="D1166" s="79"/>
      <c r="E1166" s="80"/>
      <c r="F1166" s="81"/>
      <c r="G1166" s="81"/>
      <c r="H1166" s="62"/>
      <c r="I1166" s="85"/>
      <c r="J1166" s="85"/>
      <c r="K1166" s="122"/>
      <c r="L1166" s="62"/>
      <c r="M1166" s="62"/>
      <c r="N1166" s="86"/>
      <c r="O1166" s="86"/>
      <c r="P1166" s="79"/>
      <c r="Q1166" s="81"/>
      <c r="R1166" s="81"/>
      <c r="S1166" s="81"/>
      <c r="T1166" s="62"/>
      <c r="U1166" s="85"/>
      <c r="V1166" s="85"/>
      <c r="W1166" s="122"/>
      <c r="X1166" s="62"/>
      <c r="Y1166" s="62"/>
      <c r="Z1166" s="86"/>
      <c r="AA1166" s="86"/>
      <c r="AB1166" s="79"/>
      <c r="AC1166" s="81"/>
      <c r="AD1166" s="81"/>
      <c r="AE1166" s="81"/>
      <c r="AF1166" s="62"/>
      <c r="AG1166" s="85"/>
      <c r="AH1166" s="85"/>
      <c r="AI1166" s="122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6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6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6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6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6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6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6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6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6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6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6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6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6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6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6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6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6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6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6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6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6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6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6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6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6"/>
      <c r="AB1175" s="82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6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6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6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6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6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6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6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6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6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6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6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6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6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6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6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6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6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6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6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6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6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6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6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6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6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6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6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6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6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6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6"/>
      <c r="R1187" s="86"/>
      <c r="S1187" s="60"/>
      <c r="T1187" s="62"/>
      <c r="U1187" s="62"/>
      <c r="V1187" s="62"/>
      <c r="W1187" s="61"/>
      <c r="X1187" s="62"/>
      <c r="Y1187" s="62"/>
      <c r="Z1187" s="66"/>
      <c r="AA1187" s="86"/>
      <c r="AB1187" s="67"/>
      <c r="AC1187" s="86"/>
      <c r="AD1187" s="86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6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6"/>
      <c r="P1188" s="68"/>
      <c r="Q1188" s="86"/>
      <c r="R1188" s="86"/>
      <c r="S1188" s="60"/>
      <c r="T1188" s="62"/>
      <c r="U1188" s="62"/>
      <c r="V1188" s="62"/>
      <c r="W1188" s="61"/>
      <c r="X1188" s="62"/>
      <c r="Y1188" s="62"/>
      <c r="Z1188" s="66"/>
      <c r="AA1188" s="86"/>
      <c r="AB1188" s="68"/>
      <c r="AC1188" s="86"/>
      <c r="AD1188" s="86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6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6"/>
      <c r="P1189" s="69"/>
      <c r="Q1189" s="86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6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6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6"/>
      <c r="P1190" s="69"/>
      <c r="Q1190" s="86"/>
      <c r="R1190" s="86"/>
      <c r="S1190" s="60"/>
      <c r="T1190" s="62"/>
      <c r="U1190" s="62"/>
      <c r="V1190" s="62"/>
      <c r="W1190" s="61"/>
      <c r="X1190" s="62"/>
      <c r="Y1190" s="62"/>
      <c r="Z1190" s="66"/>
      <c r="AA1190" s="86"/>
      <c r="AB1190" s="69"/>
      <c r="AC1190" s="86"/>
      <c r="AD1190" s="86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6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6"/>
      <c r="P1191" s="69"/>
      <c r="Q1191" s="86"/>
      <c r="R1191" s="86"/>
      <c r="S1191" s="60"/>
      <c r="T1191" s="62"/>
      <c r="U1191" s="62"/>
      <c r="V1191" s="62"/>
      <c r="W1191" s="61"/>
      <c r="X1191" s="62"/>
      <c r="Y1191" s="62"/>
      <c r="Z1191" s="66"/>
      <c r="AA1191" s="86"/>
      <c r="AB1191" s="69"/>
      <c r="AC1191" s="86"/>
      <c r="AD1191" s="86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6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6"/>
      <c r="R1192" s="86"/>
      <c r="S1192" s="60"/>
      <c r="T1192" s="62"/>
      <c r="U1192" s="62"/>
      <c r="V1192" s="62"/>
      <c r="W1192" s="61"/>
      <c r="X1192" s="62"/>
      <c r="Y1192" s="62"/>
      <c r="Z1192" s="66"/>
      <c r="AA1192" s="86"/>
      <c r="AB1192" s="69"/>
      <c r="AC1192" s="86"/>
      <c r="AD1192" s="86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6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6"/>
      <c r="P1193" s="69"/>
      <c r="Q1193" s="86"/>
      <c r="R1193" s="86"/>
      <c r="S1193" s="60"/>
      <c r="T1193" s="62"/>
      <c r="U1193" s="62"/>
      <c r="V1193" s="62"/>
      <c r="W1193" s="61"/>
      <c r="X1193" s="62"/>
      <c r="Y1193" s="62"/>
      <c r="Z1193" s="66"/>
      <c r="AA1193" s="86"/>
      <c r="AB1193" s="69"/>
      <c r="AC1193" s="86"/>
      <c r="AD1193" s="86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6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6"/>
      <c r="P1194" s="69"/>
      <c r="Q1194" s="86"/>
      <c r="R1194" s="86"/>
      <c r="S1194" s="60"/>
      <c r="T1194" s="62"/>
      <c r="U1194" s="62"/>
      <c r="V1194" s="62"/>
      <c r="W1194" s="61"/>
      <c r="X1194" s="62"/>
      <c r="Y1194" s="62"/>
      <c r="Z1194" s="66"/>
      <c r="AA1194" s="86"/>
      <c r="AB1194" s="69"/>
      <c r="AC1194" s="86"/>
      <c r="AD1194" s="86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6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6"/>
      <c r="P1195" s="69"/>
      <c r="Q1195" s="86"/>
      <c r="R1195" s="86"/>
      <c r="S1195" s="60"/>
      <c r="T1195" s="62"/>
      <c r="U1195" s="62"/>
      <c r="V1195" s="62"/>
      <c r="W1195" s="61"/>
      <c r="X1195" s="62"/>
      <c r="Y1195" s="62"/>
      <c r="Z1195" s="66"/>
      <c r="AA1195" s="86"/>
      <c r="AB1195" s="69"/>
      <c r="AC1195" s="86"/>
      <c r="AD1195" s="86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6"/>
      <c r="R1196" s="86"/>
      <c r="S1196" s="60"/>
      <c r="T1196" s="62"/>
      <c r="U1196" s="62"/>
      <c r="V1196" s="62"/>
      <c r="W1196" s="61"/>
      <c r="X1196" s="62"/>
      <c r="Y1196" s="62"/>
      <c r="Z1196" s="66"/>
      <c r="AA1196" s="86"/>
      <c r="AB1196" s="69"/>
      <c r="AC1196" s="86"/>
      <c r="AD1196" s="86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6"/>
      <c r="P1197" s="69"/>
      <c r="Q1197" s="86"/>
      <c r="R1197" s="86"/>
      <c r="S1197" s="60"/>
      <c r="T1197" s="62"/>
      <c r="U1197" s="62"/>
      <c r="V1197" s="62"/>
      <c r="W1197" s="61"/>
      <c r="X1197" s="62"/>
      <c r="Y1197" s="62"/>
      <c r="Z1197" s="66"/>
      <c r="AA1197" s="86"/>
      <c r="AB1197" s="69"/>
      <c r="AC1197" s="86"/>
      <c r="AD1197" s="86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6"/>
      <c r="P1198" s="69"/>
      <c r="Q1198" s="86"/>
      <c r="R1198" s="86"/>
      <c r="S1198" s="60"/>
      <c r="T1198" s="62"/>
      <c r="U1198" s="62"/>
      <c r="V1198" s="62"/>
      <c r="W1198" s="61"/>
      <c r="X1198" s="62"/>
      <c r="Y1198" s="62"/>
      <c r="Z1198" s="66"/>
      <c r="AA1198" s="86"/>
      <c r="AB1198" s="69"/>
      <c r="AC1198" s="86"/>
      <c r="AD1198" s="86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6"/>
      <c r="P1199" s="69"/>
      <c r="Q1199" s="86"/>
      <c r="R1199" s="86"/>
      <c r="S1199" s="60"/>
      <c r="T1199" s="62"/>
      <c r="U1199" s="62"/>
      <c r="V1199" s="62"/>
      <c r="W1199" s="61"/>
      <c r="X1199" s="62"/>
      <c r="Y1199" s="62"/>
      <c r="Z1199" s="66"/>
      <c r="AA1199" s="86"/>
      <c r="AB1199" s="69"/>
      <c r="AC1199" s="86"/>
      <c r="AD1199" s="86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6"/>
      <c r="P1200" s="69"/>
      <c r="Q1200" s="86"/>
      <c r="R1200" s="86"/>
      <c r="S1200" s="60"/>
      <c r="T1200" s="62"/>
      <c r="U1200" s="62"/>
      <c r="V1200" s="62"/>
      <c r="W1200" s="61"/>
      <c r="X1200" s="62"/>
      <c r="Y1200" s="62"/>
      <c r="Z1200" s="66"/>
      <c r="AA1200" s="86"/>
      <c r="AB1200" s="69"/>
      <c r="AC1200" s="86"/>
      <c r="AD1200" s="86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6"/>
      <c r="P1201" s="69"/>
      <c r="Q1201" s="86"/>
      <c r="R1201" s="86"/>
      <c r="S1201" s="60"/>
      <c r="T1201" s="62"/>
      <c r="U1201" s="62"/>
      <c r="V1201" s="62"/>
      <c r="W1201" s="61"/>
      <c r="X1201" s="62"/>
      <c r="Y1201" s="62"/>
      <c r="Z1201" s="66"/>
      <c r="AA1201" s="86"/>
      <c r="AB1201" s="69"/>
      <c r="AC1201" s="86"/>
      <c r="AD1201" s="86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6"/>
      <c r="P1202" s="69"/>
      <c r="Q1202" s="86"/>
      <c r="R1202" s="86"/>
      <c r="S1202" s="60"/>
      <c r="T1202" s="62"/>
      <c r="U1202" s="62"/>
      <c r="V1202" s="62"/>
      <c r="W1202" s="61"/>
      <c r="X1202" s="62"/>
      <c r="Y1202" s="62"/>
      <c r="Z1202" s="66"/>
      <c r="AA1202" s="86"/>
      <c r="AB1202" s="69"/>
      <c r="AC1202" s="86"/>
      <c r="AD1202" s="86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6"/>
      <c r="R1203" s="86"/>
      <c r="S1203" s="60"/>
      <c r="T1203" s="62"/>
      <c r="U1203" s="62"/>
      <c r="V1203" s="62"/>
      <c r="W1203" s="61"/>
      <c r="X1203" s="62"/>
      <c r="Y1203" s="62"/>
      <c r="Z1203" s="66"/>
      <c r="AA1203" s="86"/>
      <c r="AB1203" s="69"/>
      <c r="AC1203" s="86"/>
      <c r="AD1203" s="86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6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6"/>
      <c r="P1204" s="69"/>
      <c r="Q1204" s="86"/>
      <c r="R1204" s="86"/>
      <c r="S1204" s="60"/>
      <c r="T1204" s="62"/>
      <c r="U1204" s="62"/>
      <c r="V1204" s="62"/>
      <c r="W1204" s="61"/>
      <c r="X1204" s="62"/>
      <c r="Y1204" s="62"/>
      <c r="Z1204" s="66"/>
      <c r="AA1204" s="86"/>
      <c r="AB1204" s="69"/>
      <c r="AC1204" s="86"/>
      <c r="AD1204" s="86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6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6"/>
      <c r="P1205" s="69"/>
      <c r="Q1205" s="86"/>
      <c r="R1205" s="86"/>
      <c r="S1205" s="60"/>
      <c r="T1205" s="62"/>
      <c r="U1205" s="62"/>
      <c r="V1205" s="62"/>
      <c r="W1205" s="61"/>
      <c r="X1205" s="62"/>
      <c r="Y1205" s="62"/>
      <c r="Z1205" s="66"/>
      <c r="AA1205" s="86"/>
      <c r="AB1205" s="69"/>
      <c r="AC1205" s="86"/>
      <c r="AD1205" s="86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6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6"/>
      <c r="R1206" s="86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6"/>
      <c r="AD1206" s="86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6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6"/>
      <c r="P1207" s="69"/>
      <c r="Q1207" s="86"/>
      <c r="R1207" s="86"/>
      <c r="S1207" s="60"/>
      <c r="T1207" s="62"/>
      <c r="U1207" s="62"/>
      <c r="V1207" s="62"/>
      <c r="W1207" s="61"/>
      <c r="X1207" s="62"/>
      <c r="Y1207" s="62"/>
      <c r="Z1207" s="66"/>
      <c r="AA1207" s="86"/>
      <c r="AB1207" s="69"/>
      <c r="AC1207" s="86"/>
      <c r="AD1207" s="86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6"/>
      <c r="O1208" s="86"/>
      <c r="P1208" s="86"/>
      <c r="Q1208" s="86"/>
      <c r="R1208" s="86"/>
      <c r="S1208" s="86"/>
      <c r="T1208" s="62"/>
      <c r="U1208" s="62"/>
      <c r="V1208" s="62"/>
      <c r="W1208" s="61"/>
      <c r="X1208" s="62"/>
      <c r="Y1208" s="62"/>
      <c r="Z1208" s="86"/>
      <c r="AA1208" s="86"/>
      <c r="AB1208" s="86"/>
      <c r="AC1208" s="86"/>
      <c r="AD1208" s="86"/>
      <c r="AE1208" s="86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6"/>
      <c r="C1209" s="86"/>
      <c r="D1209" s="86"/>
      <c r="E1209" s="86"/>
      <c r="F1209" s="86"/>
      <c r="G1209" s="86"/>
      <c r="H1209" s="62"/>
      <c r="I1209" s="62"/>
      <c r="J1209" s="62"/>
      <c r="K1209" s="62"/>
      <c r="L1209" s="62"/>
      <c r="M1209" s="62"/>
      <c r="N1209" s="86"/>
      <c r="O1209" s="86"/>
      <c r="P1209" s="86"/>
      <c r="Q1209" s="86"/>
      <c r="R1209" s="86"/>
      <c r="S1209" s="86"/>
      <c r="T1209" s="62"/>
      <c r="U1209" s="62"/>
      <c r="V1209" s="62"/>
      <c r="W1209" s="62"/>
      <c r="X1209" s="62"/>
      <c r="Y1209" s="62"/>
      <c r="Z1209" s="86"/>
      <c r="AA1209" s="86"/>
      <c r="AB1209" s="86"/>
      <c r="AC1209" s="86"/>
      <c r="AD1209" s="86"/>
      <c r="AE1209" s="86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6"/>
      <c r="C1210" s="86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6"/>
      <c r="O1210" s="86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6"/>
      <c r="AA1210" s="86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6"/>
      <c r="C1213" s="86"/>
      <c r="D1213" s="86"/>
      <c r="E1213" s="86"/>
      <c r="F1213" s="86"/>
      <c r="G1213" s="86"/>
      <c r="H1213" s="62"/>
      <c r="I1213" s="62"/>
      <c r="J1213" s="62"/>
      <c r="K1213" s="62"/>
      <c r="L1213" s="62"/>
      <c r="M1213" s="62"/>
      <c r="N1213" s="86"/>
      <c r="O1213" s="86"/>
      <c r="P1213" s="86"/>
      <c r="Q1213" s="86"/>
      <c r="R1213" s="86"/>
      <c r="S1213" s="86"/>
      <c r="T1213" s="62"/>
      <c r="U1213" s="62"/>
      <c r="V1213" s="62"/>
      <c r="W1213" s="62"/>
      <c r="X1213" s="62"/>
      <c r="Y1213" s="62"/>
      <c r="Z1213" s="86"/>
      <c r="AA1213" s="86"/>
      <c r="AB1213" s="86"/>
      <c r="AC1213" s="86"/>
      <c r="AD1213" s="86"/>
      <c r="AE1213" s="86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6"/>
      <c r="C1214" s="86"/>
      <c r="D1214" s="86"/>
      <c r="E1214" s="86"/>
      <c r="F1214" s="86"/>
      <c r="G1214" s="86"/>
      <c r="H1214" s="62"/>
      <c r="I1214" s="62"/>
      <c r="J1214" s="62"/>
      <c r="K1214" s="62"/>
      <c r="L1214" s="62"/>
      <c r="M1214" s="62"/>
      <c r="N1214" s="86"/>
      <c r="O1214" s="86"/>
      <c r="P1214" s="86"/>
      <c r="Q1214" s="86"/>
      <c r="R1214" s="86"/>
      <c r="S1214" s="86"/>
      <c r="T1214" s="62"/>
      <c r="U1214" s="62"/>
      <c r="V1214" s="62"/>
      <c r="W1214" s="62"/>
      <c r="X1214" s="62"/>
      <c r="Y1214" s="62"/>
      <c r="Z1214" s="86"/>
      <c r="AA1214" s="86"/>
      <c r="AB1214" s="86"/>
      <c r="AC1214" s="86"/>
      <c r="AD1214" s="86"/>
      <c r="AE1214" s="86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6"/>
      <c r="C1215" s="86"/>
      <c r="D1215" s="86"/>
      <c r="E1215" s="86"/>
      <c r="F1215" s="86"/>
      <c r="G1215" s="86"/>
      <c r="H1215" s="62"/>
      <c r="I1215" s="62"/>
      <c r="J1215" s="62"/>
      <c r="K1215" s="62"/>
      <c r="L1215" s="62"/>
      <c r="M1215" s="62"/>
      <c r="N1215" s="86"/>
      <c r="O1215" s="86"/>
      <c r="P1215" s="86"/>
      <c r="Q1215" s="86"/>
      <c r="R1215" s="86"/>
      <c r="S1215" s="86"/>
      <c r="T1215" s="62"/>
      <c r="U1215" s="62"/>
      <c r="V1215" s="62"/>
      <c r="W1215" s="62"/>
      <c r="X1215" s="62"/>
      <c r="Y1215" s="62"/>
      <c r="Z1215" s="86"/>
      <c r="AA1215" s="86"/>
      <c r="AB1215" s="86"/>
      <c r="AC1215" s="86"/>
      <c r="AD1215" s="86"/>
      <c r="AE1215" s="86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6"/>
      <c r="C1216" s="86"/>
      <c r="D1216" s="86"/>
      <c r="E1216" s="86"/>
      <c r="F1216" s="86"/>
      <c r="G1216" s="86"/>
      <c r="H1216" s="62"/>
      <c r="I1216" s="62"/>
      <c r="J1216" s="62"/>
      <c r="K1216" s="62"/>
      <c r="L1216" s="62"/>
      <c r="M1216" s="63"/>
      <c r="N1216" s="86"/>
      <c r="O1216" s="86"/>
      <c r="P1216" s="86"/>
      <c r="Q1216" s="86"/>
      <c r="R1216" s="86"/>
      <c r="S1216" s="86"/>
      <c r="T1216" s="62"/>
      <c r="U1216" s="62"/>
      <c r="V1216" s="62"/>
      <c r="W1216" s="62"/>
      <c r="X1216" s="62"/>
      <c r="Y1216" s="63"/>
      <c r="Z1216" s="86"/>
      <c r="AA1216" s="86"/>
      <c r="AB1216" s="86"/>
      <c r="AC1216" s="86"/>
      <c r="AD1216" s="86"/>
      <c r="AE1216" s="86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6"/>
      <c r="C1217" s="86"/>
      <c r="D1217" s="86"/>
      <c r="E1217" s="86"/>
      <c r="F1217" s="86"/>
      <c r="G1217" s="86"/>
      <c r="H1217" s="62"/>
      <c r="I1217" s="62"/>
      <c r="J1217" s="62"/>
      <c r="K1217" s="62"/>
      <c r="L1217" s="62"/>
      <c r="M1217" s="62"/>
      <c r="N1217" s="86"/>
      <c r="O1217" s="86"/>
      <c r="P1217" s="86"/>
      <c r="Q1217" s="86"/>
      <c r="R1217" s="86"/>
      <c r="S1217" s="86"/>
      <c r="T1217" s="62"/>
      <c r="U1217" s="62"/>
      <c r="V1217" s="62"/>
      <c r="W1217" s="62"/>
      <c r="X1217" s="62"/>
      <c r="Y1217" s="62"/>
      <c r="Z1217" s="86"/>
      <c r="AA1217" s="86"/>
      <c r="AB1217" s="86"/>
      <c r="AC1217" s="86"/>
      <c r="AD1217" s="86"/>
      <c r="AE1217" s="86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6"/>
      <c r="C1218" s="86"/>
      <c r="D1218" s="86"/>
      <c r="E1218" s="86"/>
      <c r="F1218" s="86"/>
      <c r="G1218" s="86"/>
      <c r="H1218" s="62"/>
      <c r="I1218" s="86"/>
      <c r="J1218" s="73"/>
      <c r="K1218" s="62"/>
      <c r="L1218" s="62"/>
      <c r="M1218" s="62"/>
      <c r="N1218" s="86"/>
      <c r="O1218" s="86"/>
      <c r="P1218" s="86"/>
      <c r="Q1218" s="86"/>
      <c r="R1218" s="86"/>
      <c r="S1218" s="86"/>
      <c r="T1218" s="62"/>
      <c r="U1218" s="86"/>
      <c r="V1218" s="73"/>
      <c r="W1218" s="62"/>
      <c r="X1218" s="62"/>
      <c r="Y1218" s="62"/>
      <c r="Z1218" s="86"/>
      <c r="AA1218" s="86"/>
      <c r="AB1218" s="86"/>
      <c r="AC1218" s="86"/>
      <c r="AD1218" s="86"/>
      <c r="AE1218" s="86"/>
      <c r="AF1218" s="62"/>
      <c r="AG1218" s="86"/>
      <c r="AH1218" s="86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6"/>
      <c r="C1219" s="86"/>
      <c r="D1219" s="86"/>
      <c r="E1219" s="86"/>
      <c r="F1219" s="86"/>
      <c r="G1219" s="86"/>
      <c r="H1219" s="62"/>
      <c r="I1219" s="65"/>
      <c r="J1219" s="65"/>
      <c r="K1219" s="62"/>
      <c r="L1219" s="62"/>
      <c r="M1219" s="64"/>
      <c r="N1219" s="86"/>
      <c r="O1219" s="86"/>
      <c r="P1219" s="86"/>
      <c r="Q1219" s="86"/>
      <c r="R1219" s="86"/>
      <c r="S1219" s="86"/>
      <c r="T1219" s="62"/>
      <c r="U1219" s="65"/>
      <c r="V1219" s="65"/>
      <c r="W1219" s="62"/>
      <c r="X1219" s="62"/>
      <c r="Y1219" s="64"/>
      <c r="Z1219" s="86"/>
      <c r="AA1219" s="86"/>
      <c r="AB1219" s="86"/>
      <c r="AC1219" s="86"/>
      <c r="AD1219" s="86"/>
      <c r="AE1219" s="86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6"/>
      <c r="C1220" s="86"/>
      <c r="D1220" s="86"/>
      <c r="E1220" s="86"/>
      <c r="F1220" s="86"/>
      <c r="G1220" s="86"/>
      <c r="H1220" s="62"/>
      <c r="I1220" s="62"/>
      <c r="J1220" s="62"/>
      <c r="K1220" s="62"/>
      <c r="L1220" s="62"/>
      <c r="M1220" s="62"/>
      <c r="N1220" s="86"/>
      <c r="O1220" s="86"/>
      <c r="P1220" s="86"/>
      <c r="Q1220" s="86"/>
      <c r="R1220" s="86"/>
      <c r="S1220" s="86"/>
      <c r="T1220" s="62"/>
      <c r="U1220" s="62"/>
      <c r="V1220" s="62"/>
      <c r="W1220" s="62"/>
      <c r="X1220" s="62"/>
      <c r="Y1220" s="62"/>
      <c r="Z1220" s="86"/>
      <c r="AA1220" s="86"/>
      <c r="AB1220" s="86"/>
      <c r="AC1220" s="86"/>
      <c r="AD1220" s="86"/>
      <c r="AE1220" s="86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6"/>
      <c r="D1221" s="121"/>
      <c r="E1221" s="121"/>
      <c r="F1221" s="86"/>
      <c r="G1221" s="86"/>
      <c r="H1221" s="62"/>
      <c r="I1221" s="121"/>
      <c r="J1221" s="121"/>
      <c r="K1221" s="122"/>
      <c r="L1221" s="62"/>
      <c r="M1221" s="62"/>
      <c r="N1221" s="65"/>
      <c r="O1221" s="86"/>
      <c r="P1221" s="121"/>
      <c r="Q1221" s="121"/>
      <c r="R1221" s="86"/>
      <c r="S1221" s="86"/>
      <c r="T1221" s="62"/>
      <c r="U1221" s="121"/>
      <c r="V1221" s="121"/>
      <c r="W1221" s="122"/>
      <c r="X1221" s="62"/>
      <c r="Y1221" s="62"/>
      <c r="Z1221" s="65"/>
      <c r="AA1221" s="86"/>
      <c r="AB1221" s="121"/>
      <c r="AC1221" s="121"/>
      <c r="AD1221" s="86"/>
      <c r="AE1221" s="86"/>
      <c r="AF1221" s="62"/>
      <c r="AG1221" s="121"/>
      <c r="AH1221" s="121"/>
      <c r="AI1221" s="122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6"/>
      <c r="C1222" s="86"/>
      <c r="D1222" s="79"/>
      <c r="E1222" s="80"/>
      <c r="F1222" s="81"/>
      <c r="G1222" s="81"/>
      <c r="H1222" s="62"/>
      <c r="I1222" s="85"/>
      <c r="J1222" s="85"/>
      <c r="K1222" s="122"/>
      <c r="L1222" s="62"/>
      <c r="M1222" s="62"/>
      <c r="N1222" s="86"/>
      <c r="O1222" s="86"/>
      <c r="P1222" s="79"/>
      <c r="Q1222" s="81"/>
      <c r="R1222" s="81"/>
      <c r="S1222" s="81"/>
      <c r="T1222" s="62"/>
      <c r="U1222" s="85"/>
      <c r="V1222" s="85"/>
      <c r="W1222" s="122"/>
      <c r="X1222" s="62"/>
      <c r="Y1222" s="62"/>
      <c r="Z1222" s="86"/>
      <c r="AA1222" s="86"/>
      <c r="AB1222" s="79"/>
      <c r="AC1222" s="80"/>
      <c r="AD1222" s="81"/>
      <c r="AE1222" s="81"/>
      <c r="AF1222" s="62"/>
      <c r="AG1222" s="85"/>
      <c r="AH1222" s="85"/>
      <c r="AI1222" s="122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6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6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6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6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6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6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6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6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6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6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6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6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6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6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6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6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6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6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6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6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6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6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6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6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6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6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6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6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6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6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6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6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6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6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6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6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6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6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6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6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6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6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6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6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6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6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6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6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6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6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6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6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6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6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6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6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6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6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6"/>
      <c r="P1243" s="67"/>
      <c r="Q1243" s="86"/>
      <c r="R1243" s="86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6"/>
      <c r="P1244" s="68"/>
      <c r="Q1244" s="86"/>
      <c r="R1244" s="86"/>
      <c r="S1244" s="60"/>
      <c r="T1244" s="62"/>
      <c r="U1244" s="62"/>
      <c r="V1244" s="62"/>
      <c r="W1244" s="61"/>
      <c r="X1244" s="62"/>
      <c r="Y1244" s="62"/>
      <c r="Z1244" s="66"/>
      <c r="AA1244" s="86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6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6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6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6"/>
      <c r="P1246" s="69"/>
      <c r="Q1246" s="86"/>
      <c r="R1246" s="86"/>
      <c r="S1246" s="60"/>
      <c r="T1246" s="62"/>
      <c r="U1246" s="62"/>
      <c r="V1246" s="62"/>
      <c r="W1246" s="61"/>
      <c r="X1246" s="62"/>
      <c r="Y1246" s="62"/>
      <c r="Z1246" s="66"/>
      <c r="AA1246" s="86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6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6"/>
      <c r="P1247" s="69"/>
      <c r="Q1247" s="86"/>
      <c r="R1247" s="86"/>
      <c r="S1247" s="60"/>
      <c r="T1247" s="62"/>
      <c r="U1247" s="62"/>
      <c r="V1247" s="62"/>
      <c r="W1247" s="61"/>
      <c r="X1247" s="62"/>
      <c r="Y1247" s="62"/>
      <c r="Z1247" s="66"/>
      <c r="AA1247" s="86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6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6"/>
      <c r="P1248" s="69"/>
      <c r="Q1248" s="86"/>
      <c r="R1248" s="86"/>
      <c r="S1248" s="60"/>
      <c r="T1248" s="62"/>
      <c r="U1248" s="62"/>
      <c r="V1248" s="62"/>
      <c r="W1248" s="61"/>
      <c r="X1248" s="62"/>
      <c r="Y1248" s="62"/>
      <c r="Z1248" s="66"/>
      <c r="AA1248" s="86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6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6"/>
      <c r="P1249" s="69"/>
      <c r="Q1249" s="86"/>
      <c r="R1249" s="86"/>
      <c r="S1249" s="60"/>
      <c r="T1249" s="62"/>
      <c r="U1249" s="62"/>
      <c r="V1249" s="62"/>
      <c r="W1249" s="61"/>
      <c r="X1249" s="62"/>
      <c r="Y1249" s="62"/>
      <c r="Z1249" s="66"/>
      <c r="AA1249" s="86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6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6"/>
      <c r="P1250" s="69"/>
      <c r="Q1250" s="86"/>
      <c r="R1250" s="86"/>
      <c r="S1250" s="60"/>
      <c r="T1250" s="62"/>
      <c r="U1250" s="62"/>
      <c r="V1250" s="62"/>
      <c r="W1250" s="61"/>
      <c r="X1250" s="62"/>
      <c r="Y1250" s="62"/>
      <c r="Z1250" s="66"/>
      <c r="AA1250" s="86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6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6"/>
      <c r="P1251" s="69"/>
      <c r="Q1251" s="86"/>
      <c r="R1251" s="86"/>
      <c r="S1251" s="60"/>
      <c r="T1251" s="62"/>
      <c r="U1251" s="62"/>
      <c r="V1251" s="62"/>
      <c r="W1251" s="61"/>
      <c r="X1251" s="62"/>
      <c r="Y1251" s="62"/>
      <c r="Z1251" s="66"/>
      <c r="AA1251" s="86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6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6"/>
      <c r="P1252" s="69"/>
      <c r="Q1252" s="86"/>
      <c r="R1252" s="86"/>
      <c r="S1252" s="60"/>
      <c r="T1252" s="62"/>
      <c r="U1252" s="62"/>
      <c r="V1252" s="62"/>
      <c r="W1252" s="61"/>
      <c r="X1252" s="62"/>
      <c r="Y1252" s="62"/>
      <c r="Z1252" s="66"/>
      <c r="AA1252" s="86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6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6"/>
      <c r="R1253" s="86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6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6"/>
      <c r="P1254" s="69"/>
      <c r="Q1254" s="86"/>
      <c r="R1254" s="86"/>
      <c r="S1254" s="60"/>
      <c r="T1254" s="62"/>
      <c r="U1254" s="62"/>
      <c r="V1254" s="62"/>
      <c r="W1254" s="61"/>
      <c r="X1254" s="62"/>
      <c r="Y1254" s="62"/>
      <c r="Z1254" s="66"/>
      <c r="AA1254" s="86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6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6"/>
      <c r="P1255" s="69"/>
      <c r="Q1255" s="86"/>
      <c r="R1255" s="86"/>
      <c r="S1255" s="60"/>
      <c r="T1255" s="62"/>
      <c r="U1255" s="62"/>
      <c r="V1255" s="62"/>
      <c r="W1255" s="61"/>
      <c r="X1255" s="62"/>
      <c r="Y1255" s="62"/>
      <c r="Z1255" s="66"/>
      <c r="AA1255" s="86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6"/>
      <c r="P1256" s="69"/>
      <c r="Q1256" s="86"/>
      <c r="R1256" s="86"/>
      <c r="S1256" s="60"/>
      <c r="T1256" s="62"/>
      <c r="U1256" s="62"/>
      <c r="V1256" s="62"/>
      <c r="W1256" s="61"/>
      <c r="X1256" s="62"/>
      <c r="Y1256" s="62"/>
      <c r="Z1256" s="66"/>
      <c r="AA1256" s="86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6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6"/>
      <c r="P1257" s="69"/>
      <c r="Q1257" s="86"/>
      <c r="R1257" s="86"/>
      <c r="S1257" s="60"/>
      <c r="T1257" s="62"/>
      <c r="U1257" s="62"/>
      <c r="V1257" s="62"/>
      <c r="W1257" s="61"/>
      <c r="X1257" s="62"/>
      <c r="Y1257" s="62"/>
      <c r="Z1257" s="66"/>
      <c r="AA1257" s="86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6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6"/>
      <c r="P1258" s="69"/>
      <c r="Q1258" s="86"/>
      <c r="R1258" s="86"/>
      <c r="S1258" s="60"/>
      <c r="T1258" s="62"/>
      <c r="U1258" s="62"/>
      <c r="V1258" s="62"/>
      <c r="W1258" s="61"/>
      <c r="X1258" s="62"/>
      <c r="Y1258" s="62"/>
      <c r="Z1258" s="66"/>
      <c r="AA1258" s="86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6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6"/>
      <c r="P1259" s="69"/>
      <c r="Q1259" s="86"/>
      <c r="R1259" s="86"/>
      <c r="S1259" s="60"/>
      <c r="T1259" s="62"/>
      <c r="U1259" s="62"/>
      <c r="V1259" s="62"/>
      <c r="W1259" s="61"/>
      <c r="X1259" s="62"/>
      <c r="Y1259" s="62"/>
      <c r="Z1259" s="66"/>
      <c r="AA1259" s="86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6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6"/>
      <c r="P1260" s="69"/>
      <c r="Q1260" s="86"/>
      <c r="R1260" s="86"/>
      <c r="S1260" s="60"/>
      <c r="T1260" s="62"/>
      <c r="U1260" s="62"/>
      <c r="V1260" s="62"/>
      <c r="W1260" s="61"/>
      <c r="X1260" s="62"/>
      <c r="Y1260" s="62"/>
      <c r="Z1260" s="66"/>
      <c r="AA1260" s="86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6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6"/>
      <c r="P1261" s="69"/>
      <c r="Q1261" s="86"/>
      <c r="R1261" s="86"/>
      <c r="S1261" s="60"/>
      <c r="T1261" s="62"/>
      <c r="U1261" s="62"/>
      <c r="V1261" s="62"/>
      <c r="W1261" s="61"/>
      <c r="X1261" s="62"/>
      <c r="Y1261" s="62"/>
      <c r="Z1261" s="66"/>
      <c r="AA1261" s="86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6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6"/>
      <c r="P1262" s="69"/>
      <c r="Q1262" s="86"/>
      <c r="R1262" s="86"/>
      <c r="S1262" s="60"/>
      <c r="T1262" s="62"/>
      <c r="U1262" s="62"/>
      <c r="V1262" s="62"/>
      <c r="W1262" s="61"/>
      <c r="X1262" s="62"/>
      <c r="Y1262" s="62"/>
      <c r="Z1262" s="66"/>
      <c r="AA1262" s="86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6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6"/>
      <c r="P1263" s="69"/>
      <c r="Q1263" s="86"/>
      <c r="R1263" s="86"/>
      <c r="S1263" s="60"/>
      <c r="T1263" s="62"/>
      <c r="U1263" s="62"/>
      <c r="V1263" s="62"/>
      <c r="W1263" s="61"/>
      <c r="X1263" s="62"/>
      <c r="Y1263" s="62"/>
      <c r="Z1263" s="66"/>
      <c r="AA1263" s="86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6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6"/>
      <c r="P1264" s="69"/>
      <c r="Q1264" s="86"/>
      <c r="R1264" s="86"/>
      <c r="S1264" s="60"/>
      <c r="T1264" s="62"/>
      <c r="U1264" s="62"/>
      <c r="V1264" s="62"/>
      <c r="W1264" s="61"/>
      <c r="X1264" s="62"/>
      <c r="Y1264" s="62"/>
      <c r="Z1264" s="66"/>
      <c r="AA1264" s="86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6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6"/>
      <c r="P1265" s="69"/>
      <c r="Q1265" s="86"/>
      <c r="R1265" s="86"/>
      <c r="S1265" s="60"/>
      <c r="T1265" s="62"/>
      <c r="U1265" s="62"/>
      <c r="V1265" s="62"/>
      <c r="W1265" s="61"/>
      <c r="X1265" s="62"/>
      <c r="Y1265" s="62"/>
      <c r="Z1265" s="66"/>
      <c r="AA1265" s="86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6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6"/>
      <c r="P1266" s="69"/>
      <c r="Q1266" s="86"/>
      <c r="R1266" s="86"/>
      <c r="S1266" s="60"/>
      <c r="T1266" s="62"/>
      <c r="U1266" s="62"/>
      <c r="V1266" s="62"/>
      <c r="W1266" s="61"/>
      <c r="X1266" s="62"/>
      <c r="Y1266" s="62"/>
      <c r="Z1266" s="66"/>
      <c r="AA1266" s="86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6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6"/>
      <c r="P1267" s="69"/>
      <c r="Q1267" s="86"/>
      <c r="R1267" s="86"/>
      <c r="S1267" s="60"/>
      <c r="T1267" s="62"/>
      <c r="U1267" s="62"/>
      <c r="V1267" s="62"/>
      <c r="W1267" s="61"/>
      <c r="X1267" s="62"/>
      <c r="Y1267" s="62"/>
      <c r="Z1267" s="66"/>
      <c r="AA1267" s="86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6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6"/>
      <c r="P1268" s="69"/>
      <c r="Q1268" s="86"/>
      <c r="R1268" s="86"/>
      <c r="S1268" s="60"/>
      <c r="T1268" s="62"/>
      <c r="U1268" s="62"/>
      <c r="V1268" s="62"/>
      <c r="W1268" s="61"/>
      <c r="X1268" s="62"/>
      <c r="Y1268" s="62"/>
      <c r="Z1268" s="66"/>
      <c r="AA1268" s="86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6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6"/>
      <c r="P1269" s="69"/>
      <c r="Q1269" s="86"/>
      <c r="R1269" s="86"/>
      <c r="S1269" s="60"/>
      <c r="T1269" s="62"/>
      <c r="U1269" s="62"/>
      <c r="V1269" s="62"/>
      <c r="W1269" s="61"/>
      <c r="X1269" s="62"/>
      <c r="Y1269" s="62"/>
      <c r="Z1269" s="66"/>
      <c r="AA1269" s="86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6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6"/>
      <c r="R1270" s="86"/>
      <c r="S1270" s="60"/>
      <c r="T1270" s="62"/>
      <c r="U1270" s="62"/>
      <c r="V1270" s="62"/>
      <c r="W1270" s="61"/>
      <c r="X1270" s="62"/>
      <c r="Y1270" s="62"/>
      <c r="Z1270" s="66"/>
      <c r="AA1270" s="86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6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6"/>
      <c r="P1271" s="69"/>
      <c r="Q1271" s="86"/>
      <c r="R1271" s="86"/>
      <c r="S1271" s="60"/>
      <c r="T1271" s="62"/>
      <c r="U1271" s="62"/>
      <c r="V1271" s="62"/>
      <c r="W1271" s="61"/>
      <c r="X1271" s="62"/>
      <c r="Y1271" s="62"/>
      <c r="Z1271" s="66"/>
      <c r="AA1271" s="86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6"/>
      <c r="O1272" s="86"/>
      <c r="P1272" s="86"/>
      <c r="Q1272" s="86"/>
      <c r="R1272" s="86"/>
      <c r="S1272" s="86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6"/>
      <c r="C1273" s="86"/>
      <c r="D1273" s="86"/>
      <c r="E1273" s="86"/>
      <c r="F1273" s="86"/>
      <c r="G1273" s="86"/>
      <c r="H1273" s="62"/>
      <c r="I1273" s="62"/>
      <c r="J1273" s="62"/>
      <c r="K1273" s="62"/>
      <c r="L1273" s="62"/>
      <c r="M1273" s="62"/>
      <c r="N1273" s="86"/>
      <c r="O1273" s="86"/>
      <c r="P1273" s="86"/>
      <c r="Q1273" s="86"/>
      <c r="R1273" s="86"/>
      <c r="S1273" s="86"/>
      <c r="T1273" s="62"/>
      <c r="U1273" s="62"/>
      <c r="V1273" s="62"/>
      <c r="W1273" s="62"/>
      <c r="X1273" s="62"/>
      <c r="Y1273" s="62"/>
      <c r="Z1273" s="86"/>
      <c r="AA1273" s="86"/>
      <c r="AB1273" s="86"/>
      <c r="AC1273" s="86"/>
      <c r="AD1273" s="86"/>
      <c r="AE1273" s="86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6"/>
      <c r="C1274" s="86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6"/>
      <c r="O1274" s="86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6"/>
      <c r="AA1274" s="86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6"/>
      <c r="C1276" s="86"/>
      <c r="D1276" s="86"/>
      <c r="E1276" s="86"/>
      <c r="F1276" s="86"/>
      <c r="G1276" s="86"/>
      <c r="H1276" s="62"/>
      <c r="I1276" s="62"/>
      <c r="J1276" s="62"/>
      <c r="K1276" s="62"/>
      <c r="L1276" s="62"/>
      <c r="M1276" s="62"/>
      <c r="N1276" s="86"/>
      <c r="O1276" s="86"/>
      <c r="P1276" s="86"/>
      <c r="Q1276" s="86"/>
      <c r="R1276" s="86"/>
      <c r="S1276" s="86"/>
      <c r="T1276" s="62"/>
      <c r="U1276" s="62"/>
      <c r="V1276" s="62"/>
      <c r="W1276" s="62"/>
      <c r="X1276" s="62"/>
      <c r="Y1276" s="62"/>
      <c r="Z1276" s="86"/>
      <c r="AA1276" s="86"/>
      <c r="AB1276" s="86"/>
      <c r="AC1276" s="86"/>
      <c r="AD1276" s="86"/>
      <c r="AE1276" s="86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6"/>
      <c r="C1277" s="86"/>
      <c r="D1277" s="86"/>
      <c r="E1277" s="86"/>
      <c r="F1277" s="86"/>
      <c r="G1277" s="86"/>
      <c r="H1277" s="62"/>
      <c r="I1277" s="62"/>
      <c r="J1277" s="62"/>
      <c r="K1277" s="62"/>
      <c r="L1277" s="62"/>
      <c r="M1277" s="62"/>
      <c r="N1277" s="86"/>
      <c r="O1277" s="86"/>
      <c r="P1277" s="86"/>
      <c r="Q1277" s="86"/>
      <c r="R1277" s="86"/>
      <c r="S1277" s="86"/>
      <c r="T1277" s="62"/>
      <c r="U1277" s="62"/>
      <c r="V1277" s="62"/>
      <c r="W1277" s="62"/>
      <c r="X1277" s="62"/>
      <c r="Y1277" s="62"/>
      <c r="Z1277" s="86"/>
      <c r="AA1277" s="86"/>
      <c r="AB1277" s="86"/>
      <c r="AC1277" s="86"/>
      <c r="AD1277" s="86"/>
      <c r="AE1277" s="86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6"/>
      <c r="C1278" s="86"/>
      <c r="D1278" s="86"/>
      <c r="E1278" s="86"/>
      <c r="F1278" s="86"/>
      <c r="G1278" s="86"/>
      <c r="H1278" s="62"/>
      <c r="I1278" s="62"/>
      <c r="J1278" s="62"/>
      <c r="K1278" s="62"/>
      <c r="L1278" s="62"/>
      <c r="M1278" s="63"/>
      <c r="N1278" s="86"/>
      <c r="O1278" s="86"/>
      <c r="P1278" s="86"/>
      <c r="Q1278" s="86"/>
      <c r="R1278" s="86"/>
      <c r="S1278" s="86"/>
      <c r="T1278" s="62"/>
      <c r="U1278" s="62"/>
      <c r="V1278" s="62"/>
      <c r="W1278" s="62"/>
      <c r="X1278" s="62"/>
      <c r="Y1278" s="63"/>
      <c r="Z1278" s="86"/>
      <c r="AA1278" s="86"/>
      <c r="AB1278" s="86"/>
      <c r="AC1278" s="86"/>
      <c r="AD1278" s="86"/>
      <c r="AE1278" s="86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6"/>
      <c r="C1279" s="86"/>
      <c r="D1279" s="86"/>
      <c r="E1279" s="86"/>
      <c r="F1279" s="86"/>
      <c r="G1279" s="86"/>
      <c r="H1279" s="62"/>
      <c r="I1279" s="62"/>
      <c r="J1279" s="62"/>
      <c r="K1279" s="62"/>
      <c r="L1279" s="62"/>
      <c r="M1279" s="62"/>
      <c r="N1279" s="86"/>
      <c r="O1279" s="86"/>
      <c r="P1279" s="86"/>
      <c r="Q1279" s="86"/>
      <c r="R1279" s="86"/>
      <c r="S1279" s="86"/>
      <c r="T1279" s="62"/>
      <c r="U1279" s="62"/>
      <c r="V1279" s="62"/>
      <c r="W1279" s="62"/>
      <c r="X1279" s="62"/>
      <c r="Y1279" s="62"/>
      <c r="Z1279" s="86"/>
      <c r="AA1279" s="86"/>
      <c r="AB1279" s="86"/>
      <c r="AC1279" s="86"/>
      <c r="AD1279" s="86"/>
      <c r="AE1279" s="86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6"/>
      <c r="C1280" s="86"/>
      <c r="D1280" s="86"/>
      <c r="E1280" s="86"/>
      <c r="F1280" s="86"/>
      <c r="G1280" s="86"/>
      <c r="H1280" s="62"/>
      <c r="I1280" s="86"/>
      <c r="J1280" s="73"/>
      <c r="K1280" s="62"/>
      <c r="L1280" s="62"/>
      <c r="M1280" s="62"/>
      <c r="N1280" s="86"/>
      <c r="O1280" s="86"/>
      <c r="P1280" s="86"/>
      <c r="Q1280" s="86"/>
      <c r="R1280" s="86"/>
      <c r="S1280" s="86"/>
      <c r="T1280" s="62"/>
      <c r="U1280" s="86"/>
      <c r="V1280" s="73"/>
      <c r="W1280" s="62"/>
      <c r="X1280" s="62"/>
      <c r="Y1280" s="62"/>
      <c r="Z1280" s="86"/>
      <c r="AA1280" s="86"/>
      <c r="AB1280" s="86"/>
      <c r="AC1280" s="86"/>
      <c r="AD1280" s="86"/>
      <c r="AE1280" s="86"/>
      <c r="AF1280" s="62"/>
      <c r="AG1280" s="86"/>
      <c r="AH1280" s="86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6"/>
      <c r="C1281" s="86"/>
      <c r="D1281" s="86"/>
      <c r="E1281" s="86"/>
      <c r="F1281" s="86"/>
      <c r="G1281" s="86"/>
      <c r="H1281" s="62"/>
      <c r="I1281" s="65"/>
      <c r="J1281" s="65"/>
      <c r="K1281" s="62"/>
      <c r="L1281" s="62"/>
      <c r="M1281" s="64"/>
      <c r="N1281" s="86"/>
      <c r="O1281" s="86"/>
      <c r="P1281" s="86"/>
      <c r="Q1281" s="86"/>
      <c r="R1281" s="86"/>
      <c r="S1281" s="86"/>
      <c r="T1281" s="62"/>
      <c r="U1281" s="65"/>
      <c r="V1281" s="65"/>
      <c r="W1281" s="62"/>
      <c r="X1281" s="62"/>
      <c r="Y1281" s="64"/>
      <c r="Z1281" s="86"/>
      <c r="AA1281" s="86"/>
      <c r="AB1281" s="86"/>
      <c r="AC1281" s="86"/>
      <c r="AD1281" s="86"/>
      <c r="AE1281" s="86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6"/>
      <c r="C1282" s="86"/>
      <c r="D1282" s="86"/>
      <c r="E1282" s="86"/>
      <c r="F1282" s="86"/>
      <c r="G1282" s="86"/>
      <c r="H1282" s="62"/>
      <c r="I1282" s="62"/>
      <c r="J1282" s="62"/>
      <c r="K1282" s="62"/>
      <c r="L1282" s="62"/>
      <c r="M1282" s="62"/>
      <c r="N1282" s="86"/>
      <c r="O1282" s="86"/>
      <c r="P1282" s="86"/>
      <c r="Q1282" s="86"/>
      <c r="R1282" s="86"/>
      <c r="S1282" s="86"/>
      <c r="T1282" s="62"/>
      <c r="U1282" s="62"/>
      <c r="V1282" s="62"/>
      <c r="W1282" s="62"/>
      <c r="X1282" s="62"/>
      <c r="Y1282" s="62"/>
      <c r="Z1282" s="86"/>
      <c r="AA1282" s="86"/>
      <c r="AB1282" s="86"/>
      <c r="AC1282" s="86"/>
      <c r="AD1282" s="86"/>
      <c r="AE1282" s="86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6"/>
      <c r="D1283" s="121"/>
      <c r="E1283" s="121"/>
      <c r="F1283" s="86"/>
      <c r="G1283" s="86"/>
      <c r="H1283" s="62"/>
      <c r="I1283" s="121"/>
      <c r="J1283" s="121"/>
      <c r="K1283" s="122"/>
      <c r="L1283" s="62"/>
      <c r="M1283" s="62"/>
      <c r="N1283" s="65"/>
      <c r="O1283" s="86"/>
      <c r="P1283" s="121"/>
      <c r="Q1283" s="121"/>
      <c r="R1283" s="86"/>
      <c r="S1283" s="86"/>
      <c r="T1283" s="62"/>
      <c r="U1283" s="121"/>
      <c r="V1283" s="121"/>
      <c r="W1283" s="122"/>
      <c r="X1283" s="62"/>
      <c r="Y1283" s="62"/>
      <c r="Z1283" s="65"/>
      <c r="AA1283" s="86"/>
      <c r="AB1283" s="121"/>
      <c r="AC1283" s="121"/>
      <c r="AD1283" s="86"/>
      <c r="AE1283" s="86"/>
      <c r="AF1283" s="62"/>
      <c r="AG1283" s="121"/>
      <c r="AH1283" s="121"/>
      <c r="AI1283" s="122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6"/>
      <c r="C1284" s="86"/>
      <c r="D1284" s="86"/>
      <c r="E1284" s="85"/>
      <c r="F1284" s="85"/>
      <c r="G1284" s="85"/>
      <c r="H1284" s="62"/>
      <c r="I1284" s="85"/>
      <c r="J1284" s="85"/>
      <c r="K1284" s="122"/>
      <c r="L1284" s="62"/>
      <c r="M1284" s="62"/>
      <c r="N1284" s="86"/>
      <c r="O1284" s="86"/>
      <c r="P1284" s="86"/>
      <c r="Q1284" s="85"/>
      <c r="R1284" s="85"/>
      <c r="S1284" s="85"/>
      <c r="T1284" s="62"/>
      <c r="U1284" s="85"/>
      <c r="V1284" s="85"/>
      <c r="W1284" s="122"/>
      <c r="X1284" s="62"/>
      <c r="Y1284" s="62"/>
      <c r="Z1284" s="86"/>
      <c r="AA1284" s="86"/>
      <c r="AB1284" s="86"/>
      <c r="AC1284" s="85"/>
      <c r="AD1284" s="85"/>
      <c r="AE1284" s="85"/>
      <c r="AF1284" s="62"/>
      <c r="AG1284" s="85"/>
      <c r="AH1284" s="85"/>
      <c r="AI1284" s="122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6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6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6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6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6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6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6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6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6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6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6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6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6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6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6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6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6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6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6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6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6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6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6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6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6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6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6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6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6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6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6"/>
      <c r="D1295" s="86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6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6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6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6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6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6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6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6"/>
      <c r="D1298" s="60"/>
      <c r="E1298" s="86"/>
      <c r="F1298" s="86"/>
      <c r="G1298" s="60"/>
      <c r="H1298" s="61"/>
      <c r="I1298" s="61"/>
      <c r="J1298" s="62"/>
      <c r="K1298" s="61"/>
      <c r="L1298" s="62"/>
      <c r="M1298" s="62"/>
      <c r="N1298" s="66"/>
      <c r="O1298" s="86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6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6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6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6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6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6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6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6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6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6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6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6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6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6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6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6"/>
      <c r="D1304" s="86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6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6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6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6"/>
      <c r="P1305" s="67"/>
      <c r="Q1305" s="86"/>
      <c r="R1305" s="86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6"/>
      <c r="AD1305" s="86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6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6"/>
      <c r="P1306" s="68"/>
      <c r="Q1306" s="86"/>
      <c r="R1306" s="86"/>
      <c r="S1306" s="60"/>
      <c r="T1306" s="62"/>
      <c r="U1306" s="62"/>
      <c r="V1306" s="62"/>
      <c r="W1306" s="61"/>
      <c r="X1306" s="62"/>
      <c r="Y1306" s="62"/>
      <c r="Z1306" s="66"/>
      <c r="AA1306" s="86"/>
      <c r="AB1306" s="68"/>
      <c r="AC1306" s="86"/>
      <c r="AD1306" s="86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6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6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6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6"/>
      <c r="P1308" s="69"/>
      <c r="Q1308" s="86"/>
      <c r="R1308" s="86"/>
      <c r="S1308" s="60"/>
      <c r="T1308" s="62"/>
      <c r="U1308" s="62"/>
      <c r="V1308" s="62"/>
      <c r="W1308" s="61"/>
      <c r="X1308" s="62"/>
      <c r="Y1308" s="62"/>
      <c r="Z1308" s="66"/>
      <c r="AA1308" s="86"/>
      <c r="AB1308" s="69"/>
      <c r="AC1308" s="86"/>
      <c r="AD1308" s="86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6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6"/>
      <c r="P1309" s="69"/>
      <c r="Q1309" s="86"/>
      <c r="R1309" s="86"/>
      <c r="S1309" s="60"/>
      <c r="T1309" s="62"/>
      <c r="U1309" s="62"/>
      <c r="V1309" s="62"/>
      <c r="W1309" s="61"/>
      <c r="X1309" s="62"/>
      <c r="Y1309" s="62"/>
      <c r="Z1309" s="66"/>
      <c r="AA1309" s="86"/>
      <c r="AB1309" s="69"/>
      <c r="AC1309" s="86"/>
      <c r="AD1309" s="86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6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6"/>
      <c r="P1310" s="69"/>
      <c r="Q1310" s="86"/>
      <c r="R1310" s="86"/>
      <c r="S1310" s="60"/>
      <c r="T1310" s="62"/>
      <c r="U1310" s="62"/>
      <c r="V1310" s="62"/>
      <c r="W1310" s="61"/>
      <c r="X1310" s="62"/>
      <c r="Y1310" s="62"/>
      <c r="Z1310" s="66"/>
      <c r="AA1310" s="86"/>
      <c r="AB1310" s="69"/>
      <c r="AC1310" s="86"/>
      <c r="AD1310" s="86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6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6"/>
      <c r="P1311" s="69"/>
      <c r="Q1311" s="86"/>
      <c r="R1311" s="86"/>
      <c r="S1311" s="60"/>
      <c r="T1311" s="62"/>
      <c r="U1311" s="62"/>
      <c r="V1311" s="62"/>
      <c r="W1311" s="61"/>
      <c r="X1311" s="62"/>
      <c r="Y1311" s="62"/>
      <c r="Z1311" s="66"/>
      <c r="AA1311" s="86"/>
      <c r="AB1311" s="69"/>
      <c r="AC1311" s="86"/>
      <c r="AD1311" s="86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6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6"/>
      <c r="P1312" s="69"/>
      <c r="Q1312" s="86"/>
      <c r="R1312" s="86"/>
      <c r="S1312" s="60"/>
      <c r="T1312" s="62"/>
      <c r="U1312" s="62"/>
      <c r="V1312" s="62"/>
      <c r="W1312" s="61"/>
      <c r="X1312" s="62"/>
      <c r="Y1312" s="62"/>
      <c r="Z1312" s="66"/>
      <c r="AA1312" s="86"/>
      <c r="AB1312" s="69"/>
      <c r="AC1312" s="86"/>
      <c r="AD1312" s="86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6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6"/>
      <c r="P1313" s="69"/>
      <c r="Q1313" s="86"/>
      <c r="R1313" s="86"/>
      <c r="S1313" s="60"/>
      <c r="T1313" s="62"/>
      <c r="U1313" s="62"/>
      <c r="V1313" s="62"/>
      <c r="W1313" s="61"/>
      <c r="X1313" s="62"/>
      <c r="Y1313" s="62"/>
      <c r="Z1313" s="66"/>
      <c r="AA1313" s="86"/>
      <c r="AB1313" s="69"/>
      <c r="AC1313" s="86"/>
      <c r="AD1313" s="86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6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6"/>
      <c r="P1314" s="69"/>
      <c r="Q1314" s="86"/>
      <c r="R1314" s="86"/>
      <c r="S1314" s="60"/>
      <c r="T1314" s="62"/>
      <c r="U1314" s="62"/>
      <c r="V1314" s="62"/>
      <c r="W1314" s="61"/>
      <c r="X1314" s="62"/>
      <c r="Y1314" s="62"/>
      <c r="Z1314" s="66"/>
      <c r="AA1314" s="86"/>
      <c r="AB1314" s="69"/>
      <c r="AC1314" s="86"/>
      <c r="AD1314" s="86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6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6"/>
      <c r="P1315" s="69"/>
      <c r="Q1315" s="86"/>
      <c r="R1315" s="86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6"/>
      <c r="AD1315" s="86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6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6"/>
      <c r="P1316" s="69"/>
      <c r="Q1316" s="86"/>
      <c r="R1316" s="86"/>
      <c r="S1316" s="60"/>
      <c r="T1316" s="62"/>
      <c r="U1316" s="62"/>
      <c r="V1316" s="62"/>
      <c r="W1316" s="61"/>
      <c r="X1316" s="62"/>
      <c r="Y1316" s="62"/>
      <c r="Z1316" s="66"/>
      <c r="AA1316" s="86"/>
      <c r="AB1316" s="69"/>
      <c r="AC1316" s="86"/>
      <c r="AD1316" s="86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6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6"/>
      <c r="P1317" s="69"/>
      <c r="Q1317" s="86"/>
      <c r="R1317" s="86"/>
      <c r="S1317" s="60"/>
      <c r="T1317" s="62"/>
      <c r="U1317" s="62"/>
      <c r="V1317" s="62"/>
      <c r="W1317" s="61"/>
      <c r="X1317" s="62"/>
      <c r="Y1317" s="62"/>
      <c r="Z1317" s="66"/>
      <c r="AA1317" s="86"/>
      <c r="AB1317" s="69"/>
      <c r="AC1317" s="86"/>
      <c r="AD1317" s="86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6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6"/>
      <c r="P1318" s="69"/>
      <c r="Q1318" s="86"/>
      <c r="R1318" s="86"/>
      <c r="S1318" s="60"/>
      <c r="T1318" s="62"/>
      <c r="U1318" s="62"/>
      <c r="V1318" s="62"/>
      <c r="W1318" s="61"/>
      <c r="X1318" s="62"/>
      <c r="Y1318" s="62"/>
      <c r="Z1318" s="66"/>
      <c r="AA1318" s="86"/>
      <c r="AB1318" s="69"/>
      <c r="AC1318" s="86"/>
      <c r="AD1318" s="86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6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6"/>
      <c r="P1319" s="69"/>
      <c r="Q1319" s="86"/>
      <c r="R1319" s="86"/>
      <c r="S1319" s="60"/>
      <c r="T1319" s="62"/>
      <c r="U1319" s="62"/>
      <c r="V1319" s="62"/>
      <c r="W1319" s="61"/>
      <c r="X1319" s="62"/>
      <c r="Y1319" s="62"/>
      <c r="Z1319" s="66"/>
      <c r="AA1319" s="86"/>
      <c r="AB1319" s="69"/>
      <c r="AC1319" s="86"/>
      <c r="AD1319" s="86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6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6"/>
      <c r="P1320" s="69"/>
      <c r="Q1320" s="86"/>
      <c r="R1320" s="86"/>
      <c r="S1320" s="60"/>
      <c r="T1320" s="62"/>
      <c r="U1320" s="62"/>
      <c r="V1320" s="62"/>
      <c r="W1320" s="61"/>
      <c r="X1320" s="62"/>
      <c r="Y1320" s="62"/>
      <c r="Z1320" s="66"/>
      <c r="AA1320" s="86"/>
      <c r="AB1320" s="69"/>
      <c r="AC1320" s="86"/>
      <c r="AD1320" s="86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86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86"/>
      <c r="R1321" s="86"/>
      <c r="S1321" s="60"/>
      <c r="T1321" s="62"/>
      <c r="U1321" s="62"/>
      <c r="V1321" s="62"/>
      <c r="W1321" s="61"/>
      <c r="X1321" s="62"/>
      <c r="Y1321" s="62"/>
      <c r="Z1321" s="66"/>
      <c r="AA1321" s="86"/>
      <c r="AB1321" s="69"/>
      <c r="AC1321" s="86"/>
      <c r="AD1321" s="8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86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86"/>
      <c r="P1322" s="69"/>
      <c r="Q1322" s="86"/>
      <c r="R1322" s="86"/>
      <c r="S1322" s="60"/>
      <c r="T1322" s="62"/>
      <c r="U1322" s="62"/>
      <c r="V1322" s="62"/>
      <c r="W1322" s="61"/>
      <c r="X1322" s="62"/>
      <c r="Y1322" s="62"/>
      <c r="Z1322" s="66"/>
      <c r="AA1322" s="86"/>
      <c r="AB1322" s="69"/>
      <c r="AC1322" s="86"/>
      <c r="AD1322" s="86"/>
      <c r="AE1322" s="60"/>
      <c r="AF1322" s="62"/>
      <c r="AG1322" s="62"/>
      <c r="AH1322" s="62"/>
      <c r="AI1322" s="61"/>
      <c r="AJ1322" s="62"/>
      <c r="AK1322" s="62"/>
      <c r="AL1322" s="62"/>
      <c r="AM1322" s="62"/>
      <c r="AN1322" s="62"/>
      <c r="AO1322" s="62"/>
      <c r="AP1322" s="62"/>
      <c r="AQ1322" s="62"/>
      <c r="AR1322" s="62"/>
      <c r="AS1322" s="62"/>
      <c r="AT1322" s="62"/>
      <c r="AU1322" s="62"/>
      <c r="AV1322" s="62"/>
      <c r="AW1322" s="62"/>
      <c r="AX1322" s="62"/>
      <c r="AY1322" s="62"/>
    </row>
    <row r="1323" spans="1:52" x14ac:dyDescent="0.25">
      <c r="A1323" s="62"/>
      <c r="B1323" s="66"/>
      <c r="C1323" s="86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86"/>
      <c r="P1323" s="69"/>
      <c r="Q1323" s="86"/>
      <c r="R1323" s="86"/>
      <c r="S1323" s="60"/>
      <c r="T1323" s="62"/>
      <c r="U1323" s="62"/>
      <c r="V1323" s="62"/>
      <c r="W1323" s="61"/>
      <c r="X1323" s="62"/>
      <c r="Y1323" s="62"/>
      <c r="Z1323" s="66"/>
      <c r="AA1323" s="86"/>
      <c r="AB1323" s="69"/>
      <c r="AC1323" s="86"/>
      <c r="AD1323" s="86"/>
      <c r="AE1323" s="60"/>
      <c r="AF1323" s="62"/>
      <c r="AG1323" s="62"/>
      <c r="AH1323" s="62"/>
      <c r="AI1323" s="61"/>
      <c r="AJ1323" s="62"/>
      <c r="AK1323" s="62"/>
      <c r="AL1323" s="62"/>
      <c r="AM1323" s="62"/>
      <c r="AN1323" s="62"/>
      <c r="AO1323" s="62"/>
      <c r="AP1323" s="62"/>
      <c r="AQ1323" s="62"/>
      <c r="AR1323" s="62"/>
      <c r="AS1323" s="62"/>
      <c r="AT1323" s="62"/>
      <c r="AU1323" s="62"/>
      <c r="AV1323" s="62"/>
      <c r="AW1323" s="62"/>
      <c r="AX1323" s="62"/>
      <c r="AY1323" s="62"/>
    </row>
    <row r="1324" spans="1:52" x14ac:dyDescent="0.25">
      <c r="A1324" s="62"/>
      <c r="B1324" s="66"/>
      <c r="C1324" s="86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86"/>
      <c r="R1324" s="8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86"/>
      <c r="AD1324" s="86"/>
      <c r="AE1324" s="60"/>
      <c r="AF1324" s="62"/>
      <c r="AG1324" s="62"/>
      <c r="AH1324" s="62"/>
      <c r="AI1324" s="61"/>
      <c r="AJ1324" s="62"/>
      <c r="AK1324" s="62"/>
      <c r="AL1324" s="62"/>
      <c r="AM1324" s="62"/>
      <c r="AN1324" s="62"/>
      <c r="AO1324" s="62"/>
      <c r="AP1324" s="62"/>
      <c r="AQ1324" s="62"/>
      <c r="AR1324" s="62"/>
      <c r="AS1324" s="62"/>
      <c r="AT1324" s="62"/>
      <c r="AU1324" s="62"/>
      <c r="AV1324" s="62"/>
      <c r="AW1324" s="62"/>
      <c r="AX1324" s="62"/>
      <c r="AY1324" s="62"/>
    </row>
    <row r="1325" spans="1:52" x14ac:dyDescent="0.25">
      <c r="A1325" s="62"/>
      <c r="B1325" s="66"/>
      <c r="C1325" s="86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86"/>
      <c r="P1325" s="69"/>
      <c r="Q1325" s="86"/>
      <c r="R1325" s="86"/>
      <c r="S1325" s="60"/>
      <c r="T1325" s="62"/>
      <c r="U1325" s="62"/>
      <c r="V1325" s="62"/>
      <c r="W1325" s="61"/>
      <c r="X1325" s="62"/>
      <c r="Y1325" s="62"/>
      <c r="Z1325" s="66"/>
      <c r="AA1325" s="86"/>
      <c r="AB1325" s="69"/>
      <c r="AC1325" s="86"/>
      <c r="AD1325" s="86"/>
      <c r="AE1325" s="60"/>
      <c r="AF1325" s="62"/>
      <c r="AG1325" s="62"/>
      <c r="AH1325" s="62"/>
      <c r="AI1325" s="61"/>
      <c r="AJ1325" s="62"/>
      <c r="AK1325" s="62"/>
      <c r="AL1325" s="62"/>
      <c r="AM1325" s="62"/>
      <c r="AN1325" s="62"/>
      <c r="AO1325" s="62"/>
      <c r="AP1325" s="62"/>
      <c r="AQ1325" s="62"/>
      <c r="AR1325" s="62"/>
      <c r="AS1325" s="62"/>
      <c r="AT1325" s="62"/>
      <c r="AU1325" s="62"/>
      <c r="AV1325" s="62"/>
      <c r="AW1325" s="62"/>
      <c r="AX1325" s="62"/>
      <c r="AY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86"/>
      <c r="O1326" s="86"/>
      <c r="P1326" s="86"/>
      <c r="Q1326" s="86"/>
      <c r="R1326" s="86"/>
      <c r="S1326" s="86"/>
      <c r="T1326" s="62"/>
      <c r="U1326" s="62"/>
      <c r="V1326" s="62"/>
      <c r="W1326" s="61"/>
      <c r="X1326" s="62"/>
      <c r="Y1326" s="62"/>
      <c r="Z1326" s="86"/>
      <c r="AA1326" s="86"/>
      <c r="AB1326" s="86"/>
      <c r="AC1326" s="86"/>
      <c r="AD1326" s="86"/>
      <c r="AE1326" s="86"/>
      <c r="AF1326" s="62"/>
      <c r="AG1326" s="62"/>
      <c r="AH1326" s="62"/>
      <c r="AI1326" s="61"/>
      <c r="AJ1326" s="62"/>
      <c r="AK1326" s="62"/>
      <c r="AL1326" s="62"/>
      <c r="AM1326" s="62"/>
      <c r="AN1326" s="62"/>
      <c r="AO1326" s="62"/>
      <c r="AP1326" s="62"/>
      <c r="AQ1326" s="62"/>
      <c r="AR1326" s="62"/>
      <c r="AS1326" s="62"/>
      <c r="AT1326" s="62"/>
      <c r="AU1326" s="62"/>
      <c r="AV1326" s="62"/>
      <c r="AW1326" s="62"/>
      <c r="AX1326" s="62"/>
      <c r="AY1326" s="62"/>
    </row>
    <row r="1327" spans="1:52" x14ac:dyDescent="0.25">
      <c r="A1327" s="62"/>
      <c r="B1327" s="86"/>
      <c r="C1327" s="86"/>
      <c r="D1327" s="86"/>
      <c r="E1327" s="86"/>
      <c r="F1327" s="86"/>
      <c r="G1327" s="86"/>
      <c r="H1327" s="62"/>
      <c r="I1327" s="62"/>
      <c r="J1327" s="62"/>
      <c r="K1327" s="62"/>
      <c r="L1327" s="62"/>
      <c r="M1327" s="62"/>
      <c r="N1327" s="86"/>
      <c r="O1327" s="86"/>
      <c r="P1327" s="86"/>
      <c r="Q1327" s="86"/>
      <c r="R1327" s="86"/>
      <c r="S1327" s="86"/>
      <c r="T1327" s="62"/>
      <c r="U1327" s="62"/>
      <c r="V1327" s="62"/>
      <c r="W1327" s="62"/>
      <c r="X1327" s="62"/>
      <c r="Y1327" s="62"/>
      <c r="Z1327" s="86"/>
      <c r="AA1327" s="86"/>
      <c r="AB1327" s="86"/>
      <c r="AC1327" s="86"/>
      <c r="AD1327" s="86"/>
      <c r="AE1327" s="86"/>
      <c r="AF1327" s="62"/>
      <c r="AG1327" s="62"/>
      <c r="AH1327" s="62"/>
      <c r="AI1327" s="62"/>
      <c r="AJ1327" s="62"/>
      <c r="AK1327" s="62"/>
      <c r="AL1327" s="62"/>
      <c r="AM1327" s="62"/>
      <c r="AN1327" s="62"/>
      <c r="AO1327" s="62"/>
      <c r="AP1327" s="62"/>
      <c r="AQ1327" s="62"/>
      <c r="AR1327" s="62"/>
      <c r="AS1327" s="62"/>
      <c r="AT1327" s="62"/>
      <c r="AU1327" s="62"/>
      <c r="AV1327" s="62"/>
      <c r="AW1327" s="62"/>
      <c r="AX1327" s="62"/>
      <c r="AY1327" s="62"/>
    </row>
    <row r="1328" spans="1:52" x14ac:dyDescent="0.25">
      <c r="A1328" s="62"/>
      <c r="B1328" s="86"/>
      <c r="C1328" s="86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86"/>
      <c r="O1328" s="86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86"/>
      <c r="AA1328" s="86"/>
      <c r="AB1328" s="70"/>
      <c r="AC1328" s="70"/>
      <c r="AD1328" s="70"/>
      <c r="AE1328" s="74"/>
      <c r="AF1328" s="63"/>
      <c r="AG1328" s="71"/>
      <c r="AH1328" s="71"/>
      <c r="AI1328" s="71"/>
      <c r="AJ1328" s="62"/>
      <c r="AK1328" s="62"/>
      <c r="AL1328" s="62"/>
      <c r="AM1328" s="62"/>
      <c r="AN1328" s="62"/>
      <c r="AO1328" s="62"/>
      <c r="AP1328" s="62"/>
      <c r="AQ1328" s="62"/>
      <c r="AR1328" s="62"/>
      <c r="AS1328" s="62"/>
      <c r="AT1328" s="62"/>
      <c r="AU1328" s="62"/>
      <c r="AV1328" s="62"/>
      <c r="AW1328" s="62"/>
      <c r="AX1328" s="62"/>
      <c r="AY1328" s="62"/>
    </row>
    <row r="1329" spans="1:51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  <c r="AL1329" s="62"/>
      <c r="AM1329" s="62"/>
      <c r="AN1329" s="62"/>
      <c r="AO1329" s="62"/>
      <c r="AP1329" s="62"/>
      <c r="AQ1329" s="62"/>
      <c r="AR1329" s="62"/>
      <c r="AS1329" s="62"/>
      <c r="AT1329" s="62"/>
      <c r="AU1329" s="62"/>
      <c r="AV1329" s="62"/>
      <c r="AW1329" s="62"/>
      <c r="AX1329" s="62"/>
      <c r="AY1329" s="62"/>
    </row>
    <row r="1330" spans="1:51" x14ac:dyDescent="0.25">
      <c r="A1330" s="62"/>
      <c r="B1330" s="86"/>
      <c r="C1330" s="86"/>
      <c r="D1330" s="86"/>
      <c r="E1330" s="86"/>
      <c r="F1330" s="86"/>
      <c r="G1330" s="86"/>
      <c r="H1330" s="62"/>
      <c r="I1330" s="62"/>
      <c r="J1330" s="62"/>
      <c r="K1330" s="62"/>
      <c r="L1330" s="62"/>
      <c r="M1330" s="62"/>
      <c r="N1330" s="62"/>
      <c r="O1330" s="62"/>
      <c r="P1330" s="62"/>
      <c r="Q1330" s="62"/>
      <c r="R1330" s="62"/>
      <c r="S1330" s="62"/>
      <c r="T1330" s="62"/>
      <c r="U1330" s="62"/>
      <c r="V1330" s="62"/>
      <c r="W1330" s="62"/>
      <c r="X1330" s="62"/>
      <c r="Y1330" s="62"/>
      <c r="Z1330" s="62"/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  <c r="AL1330" s="62"/>
      <c r="AM1330" s="62"/>
      <c r="AN1330" s="62"/>
      <c r="AO1330" s="62"/>
      <c r="AP1330" s="62"/>
      <c r="AQ1330" s="62"/>
      <c r="AR1330" s="62"/>
      <c r="AS1330" s="62"/>
      <c r="AT1330" s="62"/>
      <c r="AU1330" s="62"/>
      <c r="AV1330" s="62"/>
      <c r="AW1330" s="62"/>
      <c r="AX1330" s="62"/>
      <c r="AY1330" s="62"/>
    </row>
    <row r="1331" spans="1:51" x14ac:dyDescent="0.25">
      <c r="A1331" s="62"/>
      <c r="B1331" s="86"/>
      <c r="C1331" s="86"/>
      <c r="D1331" s="86"/>
      <c r="E1331" s="86"/>
      <c r="F1331" s="86"/>
      <c r="G1331" s="86"/>
      <c r="H1331" s="62"/>
      <c r="I1331" s="62"/>
      <c r="J1331" s="62"/>
      <c r="K1331" s="62"/>
      <c r="L1331" s="62"/>
      <c r="M1331" s="62"/>
      <c r="N1331" s="62"/>
      <c r="O1331" s="62"/>
      <c r="P1331" s="62"/>
      <c r="Q1331" s="62"/>
      <c r="R1331" s="62"/>
      <c r="S1331" s="62"/>
      <c r="T1331" s="62"/>
      <c r="U1331" s="62"/>
      <c r="V1331" s="62"/>
      <c r="W1331" s="62"/>
      <c r="X1331" s="62"/>
      <c r="Y1331" s="62"/>
      <c r="Z1331" s="62"/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  <c r="AL1331" s="62"/>
      <c r="AM1331" s="62"/>
      <c r="AN1331" s="62"/>
      <c r="AO1331" s="62"/>
      <c r="AP1331" s="62"/>
      <c r="AQ1331" s="62"/>
      <c r="AR1331" s="62"/>
      <c r="AS1331" s="62"/>
      <c r="AT1331" s="62"/>
      <c r="AU1331" s="62"/>
      <c r="AV1331" s="62"/>
      <c r="AW1331" s="62"/>
      <c r="AX1331" s="62"/>
      <c r="AY1331" s="62"/>
    </row>
    <row r="1332" spans="1:51" x14ac:dyDescent="0.25">
      <c r="A1332" s="62"/>
      <c r="B1332" s="86"/>
      <c r="C1332" s="86"/>
      <c r="D1332" s="86"/>
      <c r="E1332" s="86"/>
      <c r="F1332" s="86"/>
      <c r="G1332" s="86"/>
      <c r="H1332" s="62"/>
      <c r="I1332" s="62"/>
      <c r="J1332" s="62"/>
      <c r="K1332" s="62"/>
      <c r="L1332" s="62"/>
      <c r="M1332" s="62"/>
      <c r="N1332" s="62"/>
      <c r="O1332" s="62"/>
      <c r="P1332" s="62"/>
      <c r="Q1332" s="62"/>
      <c r="R1332" s="62"/>
      <c r="S1332" s="62"/>
      <c r="T1332" s="62"/>
      <c r="U1332" s="62"/>
      <c r="V1332" s="62"/>
      <c r="W1332" s="62"/>
      <c r="X1332" s="62"/>
      <c r="Y1332" s="62"/>
      <c r="Z1332" s="62"/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  <c r="AL1332" s="62"/>
      <c r="AM1332" s="62"/>
      <c r="AN1332" s="62"/>
      <c r="AO1332" s="62"/>
      <c r="AP1332" s="62"/>
      <c r="AQ1332" s="62"/>
      <c r="AR1332" s="62"/>
      <c r="AS1332" s="62"/>
      <c r="AT1332" s="62"/>
      <c r="AU1332" s="62"/>
      <c r="AV1332" s="62"/>
      <c r="AW1332" s="62"/>
      <c r="AX1332" s="62"/>
      <c r="AY1332" s="62"/>
    </row>
    <row r="1333" spans="1:51" x14ac:dyDescent="0.25">
      <c r="A1333" s="62"/>
      <c r="B1333" s="86"/>
      <c r="C1333" s="86"/>
      <c r="D1333" s="86"/>
      <c r="E1333" s="86"/>
      <c r="F1333" s="86"/>
      <c r="G1333" s="86"/>
      <c r="H1333" s="62"/>
      <c r="I1333" s="62"/>
      <c r="J1333" s="62"/>
      <c r="K1333" s="62"/>
      <c r="L1333" s="62"/>
      <c r="M1333" s="62"/>
      <c r="N1333" s="62"/>
      <c r="O1333" s="62"/>
      <c r="P1333" s="62"/>
      <c r="Q1333" s="62"/>
      <c r="R1333" s="62"/>
      <c r="S1333" s="62"/>
      <c r="T1333" s="62"/>
      <c r="U1333" s="62"/>
      <c r="V1333" s="62"/>
      <c r="W1333" s="62"/>
      <c r="X1333" s="62"/>
      <c r="Y1333" s="62"/>
      <c r="Z1333" s="62"/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  <c r="AL1333" s="62"/>
      <c r="AM1333" s="62"/>
      <c r="AN1333" s="62"/>
      <c r="AO1333" s="62"/>
      <c r="AP1333" s="62"/>
      <c r="AQ1333" s="62"/>
      <c r="AR1333" s="62"/>
      <c r="AS1333" s="62"/>
      <c r="AT1333" s="62"/>
      <c r="AU1333" s="62"/>
      <c r="AV1333" s="62"/>
      <c r="AW1333" s="62"/>
      <c r="AX1333" s="62"/>
      <c r="AY1333" s="62"/>
    </row>
    <row r="1334" spans="1:51" x14ac:dyDescent="0.25">
      <c r="A1334" s="62"/>
      <c r="B1334" s="86"/>
      <c r="C1334" s="86"/>
      <c r="D1334" s="86"/>
      <c r="E1334" s="86"/>
      <c r="F1334" s="86"/>
      <c r="G1334" s="86"/>
      <c r="H1334" s="62"/>
      <c r="I1334" s="62"/>
      <c r="J1334" s="62"/>
      <c r="K1334" s="62"/>
      <c r="L1334" s="62"/>
      <c r="M1334" s="62"/>
      <c r="N1334" s="62"/>
      <c r="O1334" s="62"/>
      <c r="P1334" s="62"/>
      <c r="Q1334" s="62"/>
      <c r="R1334" s="62"/>
      <c r="S1334" s="62"/>
      <c r="T1334" s="62"/>
      <c r="U1334" s="62"/>
      <c r="V1334" s="62"/>
      <c r="W1334" s="62"/>
      <c r="X1334" s="62"/>
      <c r="Y1334" s="62"/>
      <c r="Z1334" s="62"/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  <c r="AL1334" s="62"/>
      <c r="AM1334" s="62"/>
      <c r="AN1334" s="62"/>
      <c r="AO1334" s="62"/>
      <c r="AP1334" s="62"/>
      <c r="AQ1334" s="62"/>
      <c r="AR1334" s="62"/>
      <c r="AS1334" s="62"/>
      <c r="AT1334" s="62"/>
      <c r="AU1334" s="62"/>
      <c r="AV1334" s="62"/>
      <c r="AW1334" s="62"/>
      <c r="AX1334" s="62"/>
      <c r="AY1334" s="62"/>
    </row>
    <row r="1335" spans="1:51" x14ac:dyDescent="0.25">
      <c r="A1335" s="62"/>
      <c r="B1335" s="86"/>
      <c r="C1335" s="86"/>
      <c r="D1335" s="86"/>
      <c r="E1335" s="86"/>
      <c r="F1335" s="86"/>
      <c r="G1335" s="86"/>
      <c r="H1335" s="62"/>
      <c r="I1335" s="62"/>
      <c r="J1335" s="62"/>
      <c r="K1335" s="62"/>
      <c r="L1335" s="62"/>
      <c r="M1335" s="62"/>
      <c r="N1335" s="62"/>
      <c r="O1335" s="62"/>
      <c r="P1335" s="62"/>
      <c r="Q1335" s="62"/>
      <c r="R1335" s="62"/>
      <c r="S1335" s="62"/>
      <c r="T1335" s="62"/>
      <c r="U1335" s="62"/>
      <c r="V1335" s="62"/>
      <c r="W1335" s="62"/>
      <c r="X1335" s="62"/>
      <c r="Y1335" s="62"/>
      <c r="Z1335" s="62"/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  <c r="AL1335" s="62"/>
      <c r="AM1335" s="62"/>
      <c r="AN1335" s="62"/>
      <c r="AO1335" s="62"/>
      <c r="AP1335" s="62"/>
      <c r="AQ1335" s="62"/>
      <c r="AR1335" s="62"/>
      <c r="AS1335" s="62"/>
      <c r="AT1335" s="62"/>
      <c r="AU1335" s="62"/>
      <c r="AV1335" s="62"/>
      <c r="AW1335" s="62"/>
      <c r="AX1335" s="62"/>
      <c r="AY1335" s="62"/>
    </row>
    <row r="1336" spans="1:51" x14ac:dyDescent="0.25">
      <c r="A1336" s="62"/>
      <c r="B1336" s="86"/>
      <c r="C1336" s="86"/>
      <c r="D1336" s="86"/>
      <c r="E1336" s="86"/>
      <c r="F1336" s="86"/>
      <c r="G1336" s="86"/>
      <c r="H1336" s="62"/>
      <c r="I1336" s="62"/>
      <c r="J1336" s="62"/>
      <c r="K1336" s="62"/>
      <c r="L1336" s="62"/>
      <c r="M1336" s="62"/>
      <c r="N1336" s="62"/>
      <c r="O1336" s="62"/>
      <c r="P1336" s="62"/>
      <c r="Q1336" s="62"/>
      <c r="R1336" s="62"/>
      <c r="S1336" s="62"/>
      <c r="T1336" s="62"/>
      <c r="U1336" s="62"/>
      <c r="V1336" s="62"/>
      <c r="W1336" s="62"/>
      <c r="X1336" s="62"/>
      <c r="Y1336" s="62"/>
      <c r="Z1336" s="62"/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  <c r="AL1336" s="62"/>
      <c r="AM1336" s="62"/>
      <c r="AN1336" s="62"/>
      <c r="AO1336" s="62"/>
      <c r="AP1336" s="62"/>
      <c r="AQ1336" s="62"/>
      <c r="AR1336" s="62"/>
      <c r="AS1336" s="62"/>
      <c r="AT1336" s="62"/>
      <c r="AU1336" s="62"/>
      <c r="AV1336" s="62"/>
      <c r="AW1336" s="62"/>
      <c r="AX1336" s="62"/>
      <c r="AY1336" s="62"/>
    </row>
    <row r="1337" spans="1:51" x14ac:dyDescent="0.25">
      <c r="A1337" s="62"/>
      <c r="B1337" s="86"/>
      <c r="C1337" s="86"/>
      <c r="D1337" s="86"/>
      <c r="E1337" s="86"/>
      <c r="F1337" s="86"/>
      <c r="G1337" s="86"/>
      <c r="H1337" s="62"/>
      <c r="I1337" s="62"/>
      <c r="J1337" s="62"/>
      <c r="K1337" s="62"/>
      <c r="L1337" s="62"/>
      <c r="M1337" s="62"/>
      <c r="N1337" s="62"/>
      <c r="O1337" s="62"/>
      <c r="P1337" s="62"/>
      <c r="Q1337" s="62"/>
      <c r="R1337" s="62"/>
      <c r="S1337" s="62"/>
      <c r="T1337" s="62"/>
      <c r="U1337" s="62"/>
      <c r="V1337" s="62"/>
      <c r="W1337" s="62"/>
      <c r="X1337" s="62"/>
      <c r="Y1337" s="62"/>
      <c r="Z1337" s="62"/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  <c r="AL1337" s="62"/>
      <c r="AM1337" s="62"/>
      <c r="AN1337" s="62"/>
      <c r="AO1337" s="62"/>
      <c r="AP1337" s="62"/>
      <c r="AQ1337" s="62"/>
      <c r="AR1337" s="62"/>
      <c r="AS1337" s="62"/>
      <c r="AT1337" s="62"/>
      <c r="AU1337" s="62"/>
      <c r="AV1337" s="62"/>
      <c r="AW1337" s="62"/>
      <c r="AX1337" s="62"/>
      <c r="AY1337" s="62"/>
    </row>
    <row r="1338" spans="1:51" x14ac:dyDescent="0.25">
      <c r="A1338" s="62"/>
      <c r="B1338" s="86"/>
      <c r="C1338" s="86"/>
      <c r="D1338" s="86"/>
      <c r="E1338" s="86"/>
      <c r="F1338" s="86"/>
      <c r="G1338" s="86"/>
      <c r="H1338" s="62"/>
      <c r="I1338" s="62"/>
      <c r="J1338" s="62"/>
      <c r="K1338" s="62"/>
      <c r="L1338" s="62"/>
      <c r="M1338" s="62"/>
      <c r="N1338" s="62"/>
      <c r="O1338" s="62"/>
      <c r="P1338" s="62"/>
      <c r="Q1338" s="62"/>
      <c r="R1338" s="62"/>
      <c r="S1338" s="62"/>
      <c r="T1338" s="62"/>
      <c r="U1338" s="62"/>
      <c r="V1338" s="62"/>
      <c r="W1338" s="62"/>
      <c r="X1338" s="62"/>
      <c r="Y1338" s="62"/>
      <c r="Z1338" s="62"/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  <c r="AL1338" s="62"/>
      <c r="AM1338" s="62"/>
      <c r="AN1338" s="62"/>
      <c r="AO1338" s="62"/>
      <c r="AP1338" s="62"/>
      <c r="AQ1338" s="62"/>
      <c r="AR1338" s="62"/>
      <c r="AS1338" s="62"/>
      <c r="AT1338" s="62"/>
      <c r="AU1338" s="62"/>
      <c r="AV1338" s="62"/>
      <c r="AW1338" s="62"/>
      <c r="AX1338" s="62"/>
      <c r="AY1338" s="62"/>
    </row>
    <row r="1339" spans="1:51" x14ac:dyDescent="0.25">
      <c r="A1339" s="62"/>
      <c r="B1339" s="86"/>
      <c r="C1339" s="86"/>
      <c r="D1339" s="86"/>
      <c r="E1339" s="86"/>
      <c r="F1339" s="86"/>
      <c r="G1339" s="86"/>
      <c r="H1339" s="62"/>
      <c r="I1339" s="62"/>
      <c r="J1339" s="62"/>
      <c r="K1339" s="62"/>
      <c r="L1339" s="62"/>
      <c r="M1339" s="62"/>
      <c r="N1339" s="62"/>
      <c r="O1339" s="62"/>
      <c r="P1339" s="62"/>
      <c r="Q1339" s="62"/>
      <c r="R1339" s="62"/>
      <c r="S1339" s="62"/>
      <c r="T1339" s="62"/>
      <c r="U1339" s="62"/>
      <c r="V1339" s="62"/>
      <c r="W1339" s="62"/>
      <c r="X1339" s="62"/>
      <c r="Y1339" s="62"/>
      <c r="Z1339" s="62"/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  <c r="AL1339" s="62"/>
      <c r="AM1339" s="62"/>
      <c r="AN1339" s="62"/>
      <c r="AO1339" s="62"/>
      <c r="AP1339" s="62"/>
      <c r="AQ1339" s="62"/>
      <c r="AR1339" s="62"/>
      <c r="AS1339" s="62"/>
      <c r="AT1339" s="62"/>
      <c r="AU1339" s="62"/>
      <c r="AV1339" s="62"/>
      <c r="AW1339" s="62"/>
      <c r="AX1339" s="62"/>
      <c r="AY1339" s="62"/>
    </row>
    <row r="1340" spans="1:51" x14ac:dyDescent="0.25">
      <c r="A1340" s="62"/>
      <c r="B1340" s="86"/>
      <c r="C1340" s="86"/>
      <c r="D1340" s="86"/>
      <c r="E1340" s="86"/>
      <c r="F1340" s="86"/>
      <c r="G1340" s="86"/>
      <c r="H1340" s="62"/>
      <c r="I1340" s="62"/>
      <c r="J1340" s="62"/>
      <c r="K1340" s="62"/>
      <c r="L1340" s="62"/>
      <c r="M1340" s="62"/>
      <c r="N1340" s="62"/>
      <c r="O1340" s="62"/>
      <c r="P1340" s="62"/>
      <c r="Q1340" s="62"/>
      <c r="R1340" s="62"/>
      <c r="S1340" s="62"/>
      <c r="T1340" s="62"/>
      <c r="U1340" s="62"/>
      <c r="V1340" s="62"/>
      <c r="W1340" s="62"/>
      <c r="X1340" s="62"/>
      <c r="Y1340" s="62"/>
      <c r="Z1340" s="62"/>
      <c r="AA1340" s="62"/>
      <c r="AB1340" s="62"/>
      <c r="AC1340" s="62"/>
      <c r="AD1340" s="62"/>
      <c r="AE1340" s="62"/>
      <c r="AF1340" s="62"/>
      <c r="AG1340" s="62"/>
      <c r="AH1340" s="62"/>
      <c r="AI1340" s="62"/>
      <c r="AJ1340" s="62"/>
      <c r="AK1340" s="62"/>
      <c r="AL1340" s="62"/>
      <c r="AM1340" s="62"/>
      <c r="AN1340" s="62"/>
      <c r="AO1340" s="62"/>
      <c r="AP1340" s="62"/>
      <c r="AQ1340" s="62"/>
      <c r="AR1340" s="62"/>
      <c r="AS1340" s="62"/>
      <c r="AT1340" s="62"/>
      <c r="AU1340" s="62"/>
      <c r="AV1340" s="62"/>
      <c r="AW1340" s="62"/>
      <c r="AX1340" s="62"/>
      <c r="AY1340" s="62"/>
    </row>
    <row r="1341" spans="1:51" x14ac:dyDescent="0.25">
      <c r="A1341" s="62"/>
      <c r="B1341" s="86"/>
      <c r="C1341" s="86"/>
      <c r="D1341" s="86"/>
      <c r="E1341" s="86"/>
      <c r="F1341" s="86"/>
      <c r="G1341" s="86"/>
      <c r="H1341" s="62"/>
      <c r="I1341" s="62"/>
      <c r="J1341" s="62"/>
      <c r="K1341" s="62"/>
      <c r="L1341" s="62"/>
      <c r="M1341" s="62"/>
      <c r="N1341" s="62"/>
      <c r="O1341" s="62"/>
      <c r="P1341" s="62"/>
      <c r="Q1341" s="6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  <c r="AL1341" s="62"/>
      <c r="AM1341" s="62"/>
      <c r="AN1341" s="62"/>
      <c r="AO1341" s="62"/>
      <c r="AP1341" s="62"/>
      <c r="AQ1341" s="62"/>
      <c r="AR1341" s="62"/>
      <c r="AS1341" s="62"/>
      <c r="AT1341" s="62"/>
      <c r="AU1341" s="62"/>
      <c r="AV1341" s="62"/>
      <c r="AW1341" s="62"/>
      <c r="AX1341" s="62"/>
      <c r="AY1341" s="62"/>
    </row>
    <row r="1342" spans="1:51" x14ac:dyDescent="0.25">
      <c r="A1342" s="62"/>
      <c r="B1342" s="86"/>
      <c r="C1342" s="86"/>
      <c r="D1342" s="86"/>
      <c r="E1342" s="86"/>
      <c r="F1342" s="86"/>
      <c r="G1342" s="86"/>
      <c r="H1342" s="62"/>
      <c r="I1342" s="62"/>
      <c r="J1342" s="62"/>
      <c r="K1342" s="62"/>
      <c r="L1342" s="62"/>
      <c r="M1342" s="62"/>
      <c r="N1342" s="62"/>
      <c r="O1342" s="62"/>
      <c r="P1342" s="62"/>
      <c r="Q1342" s="6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  <c r="AL1342" s="62"/>
      <c r="AM1342" s="62"/>
      <c r="AN1342" s="62"/>
      <c r="AO1342" s="62"/>
      <c r="AP1342" s="62"/>
      <c r="AQ1342" s="62"/>
      <c r="AR1342" s="62"/>
      <c r="AS1342" s="62"/>
      <c r="AT1342" s="62"/>
      <c r="AU1342" s="62"/>
      <c r="AV1342" s="62"/>
      <c r="AW1342" s="62"/>
      <c r="AX1342" s="62"/>
      <c r="AY1342" s="62"/>
    </row>
    <row r="1343" spans="1:51" x14ac:dyDescent="0.25">
      <c r="A1343" s="62"/>
      <c r="B1343" s="86"/>
      <c r="C1343" s="86"/>
      <c r="D1343" s="86"/>
      <c r="E1343" s="86"/>
      <c r="F1343" s="86"/>
      <c r="G1343" s="86"/>
      <c r="H1343" s="62"/>
      <c r="I1343" s="62"/>
      <c r="J1343" s="62"/>
      <c r="K1343" s="62"/>
      <c r="L1343" s="62"/>
      <c r="M1343" s="62"/>
      <c r="N1343" s="62"/>
      <c r="O1343" s="62"/>
      <c r="P1343" s="62"/>
      <c r="Q1343" s="6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  <c r="AL1343" s="62"/>
      <c r="AM1343" s="62"/>
      <c r="AN1343" s="62"/>
      <c r="AO1343" s="62"/>
      <c r="AP1343" s="62"/>
      <c r="AQ1343" s="62"/>
      <c r="AR1343" s="62"/>
      <c r="AS1343" s="62"/>
      <c r="AT1343" s="62"/>
      <c r="AU1343" s="62"/>
      <c r="AV1343" s="62"/>
      <c r="AW1343" s="62"/>
      <c r="AX1343" s="62"/>
      <c r="AY1343" s="62"/>
    </row>
    <row r="1344" spans="1:51" x14ac:dyDescent="0.25">
      <c r="A1344" s="62"/>
      <c r="B1344" s="86"/>
      <c r="C1344" s="86"/>
      <c r="D1344" s="86"/>
      <c r="E1344" s="86"/>
      <c r="F1344" s="86"/>
      <c r="G1344" s="86"/>
      <c r="H1344" s="62"/>
      <c r="I1344" s="62"/>
      <c r="J1344" s="62"/>
      <c r="K1344" s="62"/>
      <c r="L1344" s="62"/>
      <c r="M1344" s="62"/>
      <c r="N1344" s="62"/>
      <c r="O1344" s="62"/>
      <c r="P1344" s="62"/>
      <c r="Q1344" s="6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  <c r="AL1344" s="62"/>
      <c r="AM1344" s="62"/>
      <c r="AN1344" s="62"/>
      <c r="AO1344" s="62"/>
      <c r="AP1344" s="62"/>
      <c r="AQ1344" s="62"/>
      <c r="AR1344" s="62"/>
      <c r="AS1344" s="62"/>
      <c r="AT1344" s="62"/>
      <c r="AU1344" s="62"/>
      <c r="AV1344" s="62"/>
      <c r="AW1344" s="62"/>
      <c r="AX1344" s="62"/>
      <c r="AY1344" s="62"/>
    </row>
    <row r="1345" spans="1:51" x14ac:dyDescent="0.25">
      <c r="A1345" s="62"/>
      <c r="B1345" s="86"/>
      <c r="C1345" s="86"/>
      <c r="D1345" s="86"/>
      <c r="E1345" s="86"/>
      <c r="F1345" s="86"/>
      <c r="G1345" s="86"/>
      <c r="H1345" s="62"/>
      <c r="I1345" s="62"/>
      <c r="J1345" s="62"/>
      <c r="K1345" s="62"/>
      <c r="L1345" s="62"/>
      <c r="M1345" s="62"/>
      <c r="N1345" s="62"/>
      <c r="O1345" s="62"/>
      <c r="P1345" s="62"/>
      <c r="Q1345" s="6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  <c r="AL1345" s="62"/>
      <c r="AM1345" s="62"/>
      <c r="AN1345" s="62"/>
      <c r="AO1345" s="62"/>
      <c r="AP1345" s="62"/>
      <c r="AQ1345" s="62"/>
      <c r="AR1345" s="62"/>
      <c r="AS1345" s="62"/>
      <c r="AT1345" s="62"/>
      <c r="AU1345" s="62"/>
      <c r="AV1345" s="62"/>
      <c r="AW1345" s="62"/>
      <c r="AX1345" s="62"/>
      <c r="AY1345" s="62"/>
    </row>
    <row r="1346" spans="1:51" x14ac:dyDescent="0.25">
      <c r="A1346" s="62"/>
      <c r="B1346" s="86"/>
      <c r="C1346" s="86"/>
      <c r="D1346" s="86"/>
      <c r="E1346" s="86"/>
      <c r="F1346" s="86"/>
      <c r="G1346" s="86"/>
      <c r="H1346" s="62"/>
      <c r="I1346" s="62"/>
      <c r="J1346" s="62"/>
      <c r="K1346" s="62"/>
      <c r="L1346" s="62"/>
      <c r="M1346" s="62"/>
      <c r="N1346" s="62"/>
      <c r="O1346" s="62"/>
      <c r="P1346" s="62"/>
      <c r="Q1346" s="62"/>
      <c r="R1346" s="62"/>
      <c r="S1346" s="62"/>
      <c r="T1346" s="62"/>
      <c r="U1346" s="62"/>
      <c r="V1346" s="62"/>
      <c r="W1346" s="62"/>
      <c r="X1346" s="62"/>
      <c r="Y1346" s="62"/>
      <c r="Z1346" s="62"/>
      <c r="AA1346" s="62"/>
      <c r="AB1346" s="62"/>
      <c r="AC1346" s="62"/>
      <c r="AD1346" s="62"/>
      <c r="AE1346" s="62"/>
      <c r="AF1346" s="62"/>
      <c r="AG1346" s="62"/>
      <c r="AH1346" s="62"/>
      <c r="AI1346" s="62"/>
      <c r="AJ1346" s="62"/>
      <c r="AK1346" s="62"/>
      <c r="AL1346" s="62"/>
      <c r="AM1346" s="62"/>
      <c r="AN1346" s="62"/>
      <c r="AO1346" s="62"/>
      <c r="AP1346" s="62"/>
      <c r="AQ1346" s="62"/>
      <c r="AR1346" s="62"/>
      <c r="AS1346" s="62"/>
      <c r="AT1346" s="62"/>
      <c r="AU1346" s="62"/>
      <c r="AV1346" s="62"/>
      <c r="AW1346" s="62"/>
      <c r="AX1346" s="62"/>
      <c r="AY1346" s="62"/>
    </row>
    <row r="1347" spans="1:51" x14ac:dyDescent="0.25">
      <c r="A1347" s="62"/>
      <c r="B1347" s="86"/>
      <c r="C1347" s="86"/>
      <c r="D1347" s="86"/>
      <c r="E1347" s="86"/>
      <c r="F1347" s="86"/>
      <c r="G1347" s="86"/>
      <c r="H1347" s="62"/>
      <c r="I1347" s="62"/>
      <c r="J1347" s="62"/>
      <c r="K1347" s="62"/>
      <c r="L1347" s="62"/>
      <c r="M1347" s="62"/>
      <c r="N1347" s="62"/>
      <c r="O1347" s="62"/>
      <c r="P1347" s="62"/>
      <c r="Q1347" s="62"/>
      <c r="R1347" s="62"/>
      <c r="S1347" s="62"/>
      <c r="T1347" s="62"/>
      <c r="U1347" s="62"/>
      <c r="V1347" s="62"/>
      <c r="W1347" s="62"/>
      <c r="X1347" s="62"/>
      <c r="Y1347" s="62"/>
      <c r="Z1347" s="62"/>
      <c r="AA1347" s="62"/>
      <c r="AB1347" s="62"/>
      <c r="AC1347" s="62"/>
      <c r="AD1347" s="62"/>
      <c r="AE1347" s="62"/>
      <c r="AF1347" s="62"/>
      <c r="AG1347" s="62"/>
      <c r="AH1347" s="62"/>
      <c r="AI1347" s="62"/>
      <c r="AJ1347" s="62"/>
      <c r="AK1347" s="62"/>
      <c r="AL1347" s="62"/>
      <c r="AM1347" s="62"/>
      <c r="AN1347" s="62"/>
      <c r="AO1347" s="62"/>
      <c r="AP1347" s="62"/>
      <c r="AQ1347" s="62"/>
      <c r="AR1347" s="62"/>
      <c r="AS1347" s="62"/>
      <c r="AT1347" s="62"/>
      <c r="AU1347" s="62"/>
      <c r="AV1347" s="62"/>
      <c r="AW1347" s="62"/>
      <c r="AX1347" s="62"/>
      <c r="AY1347" s="62"/>
    </row>
    <row r="1348" spans="1:51" x14ac:dyDescent="0.25">
      <c r="A1348" s="62"/>
      <c r="B1348" s="86"/>
      <c r="C1348" s="86"/>
      <c r="D1348" s="86"/>
      <c r="E1348" s="86"/>
      <c r="F1348" s="86"/>
      <c r="G1348" s="86"/>
      <c r="H1348" s="62"/>
      <c r="I1348" s="62"/>
      <c r="J1348" s="62"/>
      <c r="K1348" s="62"/>
      <c r="L1348" s="62"/>
      <c r="M1348" s="62"/>
      <c r="N1348" s="62"/>
      <c r="O1348" s="62"/>
      <c r="P1348" s="62"/>
      <c r="Q1348" s="62"/>
      <c r="R1348" s="62"/>
      <c r="S1348" s="62"/>
      <c r="T1348" s="62"/>
      <c r="U1348" s="62"/>
      <c r="V1348" s="62"/>
      <c r="W1348" s="62"/>
      <c r="X1348" s="62"/>
      <c r="Y1348" s="62"/>
      <c r="Z1348" s="62"/>
      <c r="AA1348" s="62"/>
      <c r="AB1348" s="62"/>
      <c r="AC1348" s="62"/>
      <c r="AD1348" s="62"/>
      <c r="AE1348" s="62"/>
      <c r="AF1348" s="62"/>
      <c r="AG1348" s="62"/>
      <c r="AH1348" s="62"/>
      <c r="AI1348" s="62"/>
      <c r="AJ1348" s="62"/>
      <c r="AK1348" s="62"/>
      <c r="AL1348" s="62"/>
      <c r="AM1348" s="62"/>
      <c r="AN1348" s="62"/>
      <c r="AO1348" s="62"/>
      <c r="AP1348" s="62"/>
      <c r="AQ1348" s="62"/>
      <c r="AR1348" s="62"/>
      <c r="AS1348" s="62"/>
      <c r="AT1348" s="62"/>
      <c r="AU1348" s="62"/>
      <c r="AV1348" s="62"/>
      <c r="AW1348" s="62"/>
      <c r="AX1348" s="62"/>
      <c r="AY1348" s="62"/>
    </row>
    <row r="1349" spans="1:51" x14ac:dyDescent="0.25">
      <c r="A1349" s="62"/>
      <c r="B1349" s="86"/>
      <c r="C1349" s="86"/>
      <c r="D1349" s="86"/>
      <c r="E1349" s="86"/>
      <c r="F1349" s="86"/>
      <c r="G1349" s="86"/>
      <c r="H1349" s="62"/>
      <c r="I1349" s="62"/>
      <c r="J1349" s="62"/>
      <c r="K1349" s="62"/>
      <c r="L1349" s="62"/>
      <c r="M1349" s="62"/>
      <c r="N1349" s="62"/>
      <c r="O1349" s="62"/>
      <c r="P1349" s="62"/>
      <c r="Q1349" s="62"/>
      <c r="R1349" s="62"/>
      <c r="S1349" s="62"/>
      <c r="T1349" s="62"/>
      <c r="U1349" s="62"/>
      <c r="V1349" s="62"/>
      <c r="W1349" s="62"/>
      <c r="X1349" s="62"/>
      <c r="Y1349" s="62"/>
      <c r="Z1349" s="62"/>
      <c r="AA1349" s="62"/>
      <c r="AB1349" s="62"/>
      <c r="AC1349" s="62"/>
      <c r="AD1349" s="62"/>
      <c r="AE1349" s="62"/>
      <c r="AF1349" s="62"/>
      <c r="AG1349" s="62"/>
      <c r="AH1349" s="62"/>
      <c r="AI1349" s="62"/>
      <c r="AJ1349" s="62"/>
      <c r="AK1349" s="62"/>
      <c r="AL1349" s="62"/>
      <c r="AM1349" s="62"/>
      <c r="AN1349" s="62"/>
      <c r="AO1349" s="62"/>
      <c r="AP1349" s="62"/>
      <c r="AQ1349" s="62"/>
      <c r="AR1349" s="62"/>
      <c r="AS1349" s="62"/>
      <c r="AT1349" s="62"/>
      <c r="AU1349" s="62"/>
      <c r="AV1349" s="62"/>
      <c r="AW1349" s="62"/>
      <c r="AX1349" s="62"/>
      <c r="AY1349" s="62"/>
    </row>
    <row r="1350" spans="1:51" x14ac:dyDescent="0.25">
      <c r="A1350" s="62"/>
      <c r="B1350" s="86"/>
      <c r="C1350" s="86"/>
      <c r="D1350" s="86"/>
      <c r="E1350" s="86"/>
      <c r="F1350" s="86"/>
      <c r="G1350" s="86"/>
      <c r="H1350" s="62"/>
      <c r="I1350" s="62"/>
      <c r="J1350" s="62"/>
      <c r="K1350" s="62"/>
      <c r="L1350" s="62"/>
      <c r="M1350" s="62"/>
      <c r="N1350" s="62"/>
      <c r="O1350" s="62"/>
      <c r="P1350" s="62"/>
      <c r="Q1350" s="62"/>
      <c r="R1350" s="62"/>
      <c r="S1350" s="62"/>
      <c r="T1350" s="62"/>
      <c r="U1350" s="62"/>
      <c r="V1350" s="62"/>
      <c r="W1350" s="62"/>
      <c r="X1350" s="62"/>
      <c r="Y1350" s="62"/>
      <c r="Z1350" s="62"/>
      <c r="AA1350" s="62"/>
      <c r="AB1350" s="62"/>
      <c r="AC1350" s="62"/>
      <c r="AD1350" s="62"/>
      <c r="AE1350" s="62"/>
      <c r="AF1350" s="62"/>
      <c r="AG1350" s="62"/>
      <c r="AH1350" s="62"/>
      <c r="AI1350" s="62"/>
      <c r="AJ1350" s="62"/>
      <c r="AK1350" s="62"/>
      <c r="AL1350" s="62"/>
      <c r="AM1350" s="62"/>
      <c r="AN1350" s="62"/>
      <c r="AO1350" s="62"/>
      <c r="AP1350" s="62"/>
      <c r="AQ1350" s="62"/>
      <c r="AR1350" s="62"/>
      <c r="AS1350" s="62"/>
      <c r="AT1350" s="62"/>
      <c r="AU1350" s="62"/>
      <c r="AV1350" s="62"/>
      <c r="AW1350" s="62"/>
      <c r="AX1350" s="62"/>
      <c r="AY1350" s="62"/>
    </row>
    <row r="1351" spans="1:51" x14ac:dyDescent="0.25">
      <c r="A1351" s="62"/>
      <c r="B1351" s="86"/>
      <c r="C1351" s="86"/>
      <c r="D1351" s="86"/>
      <c r="E1351" s="86"/>
      <c r="F1351" s="86"/>
      <c r="G1351" s="86"/>
      <c r="H1351" s="62"/>
      <c r="I1351" s="62"/>
      <c r="J1351" s="62"/>
      <c r="K1351" s="62"/>
      <c r="L1351" s="62"/>
      <c r="M1351" s="62"/>
      <c r="N1351" s="62"/>
      <c r="O1351" s="62"/>
      <c r="P1351" s="62"/>
      <c r="Q1351" s="62"/>
      <c r="R1351" s="62"/>
      <c r="S1351" s="62"/>
      <c r="T1351" s="62"/>
      <c r="U1351" s="62"/>
      <c r="V1351" s="62"/>
      <c r="W1351" s="62"/>
      <c r="X1351" s="62"/>
      <c r="Y1351" s="62"/>
      <c r="Z1351" s="62"/>
      <c r="AA1351" s="62"/>
      <c r="AB1351" s="62"/>
      <c r="AC1351" s="62"/>
      <c r="AD1351" s="62"/>
      <c r="AE1351" s="62"/>
      <c r="AF1351" s="62"/>
      <c r="AG1351" s="62"/>
      <c r="AH1351" s="62"/>
      <c r="AI1351" s="62"/>
      <c r="AJ1351" s="62"/>
      <c r="AK1351" s="62"/>
      <c r="AL1351" s="62"/>
      <c r="AM1351" s="62"/>
      <c r="AN1351" s="62"/>
      <c r="AO1351" s="62"/>
      <c r="AP1351" s="62"/>
      <c r="AQ1351" s="62"/>
      <c r="AR1351" s="62"/>
      <c r="AS1351" s="62"/>
      <c r="AT1351" s="62"/>
      <c r="AU1351" s="62"/>
      <c r="AV1351" s="62"/>
      <c r="AW1351" s="62"/>
      <c r="AX1351" s="62"/>
      <c r="AY1351" s="62"/>
    </row>
    <row r="1352" spans="1:51" x14ac:dyDescent="0.25">
      <c r="A1352" s="62"/>
      <c r="B1352" s="86"/>
      <c r="C1352" s="86"/>
      <c r="D1352" s="86"/>
      <c r="E1352" s="86"/>
      <c r="F1352" s="86"/>
      <c r="G1352" s="86"/>
      <c r="H1352" s="62"/>
      <c r="I1352" s="62"/>
      <c r="J1352" s="62"/>
      <c r="K1352" s="62"/>
      <c r="L1352" s="62"/>
      <c r="M1352" s="62"/>
      <c r="N1352" s="62"/>
      <c r="O1352" s="62"/>
      <c r="P1352" s="62"/>
      <c r="Q1352" s="62"/>
      <c r="R1352" s="62"/>
      <c r="S1352" s="62"/>
      <c r="T1352" s="62"/>
      <c r="U1352" s="62"/>
      <c r="V1352" s="62"/>
      <c r="W1352" s="62"/>
      <c r="X1352" s="62"/>
      <c r="Y1352" s="62"/>
      <c r="Z1352" s="62"/>
      <c r="AA1352" s="62"/>
      <c r="AB1352" s="62"/>
      <c r="AC1352" s="62"/>
      <c r="AD1352" s="62"/>
      <c r="AE1352" s="62"/>
      <c r="AF1352" s="62"/>
      <c r="AG1352" s="62"/>
      <c r="AH1352" s="62"/>
      <c r="AI1352" s="62"/>
      <c r="AJ1352" s="62"/>
      <c r="AK1352" s="62"/>
      <c r="AL1352" s="62"/>
      <c r="AM1352" s="62"/>
      <c r="AN1352" s="62"/>
      <c r="AO1352" s="62"/>
      <c r="AP1352" s="62"/>
      <c r="AQ1352" s="62"/>
      <c r="AR1352" s="62"/>
      <c r="AS1352" s="62"/>
      <c r="AT1352" s="62"/>
      <c r="AU1352" s="62"/>
      <c r="AV1352" s="62"/>
      <c r="AW1352" s="62"/>
      <c r="AX1352" s="62"/>
      <c r="AY1352" s="62"/>
    </row>
    <row r="1353" spans="1:51" x14ac:dyDescent="0.25">
      <c r="A1353" s="62"/>
      <c r="B1353" s="86"/>
      <c r="C1353" s="86"/>
      <c r="D1353" s="86"/>
      <c r="E1353" s="86"/>
      <c r="F1353" s="86"/>
      <c r="G1353" s="86"/>
      <c r="H1353" s="62"/>
      <c r="I1353" s="62"/>
      <c r="J1353" s="62"/>
      <c r="K1353" s="62"/>
      <c r="L1353" s="62"/>
      <c r="M1353" s="62"/>
      <c r="N1353" s="62"/>
      <c r="O1353" s="62"/>
      <c r="P1353" s="62"/>
      <c r="Q1353" s="62"/>
      <c r="R1353" s="62"/>
      <c r="S1353" s="62"/>
      <c r="T1353" s="62"/>
      <c r="U1353" s="62"/>
      <c r="V1353" s="62"/>
      <c r="W1353" s="62"/>
      <c r="X1353" s="62"/>
      <c r="Y1353" s="62"/>
      <c r="Z1353" s="62"/>
      <c r="AA1353" s="62"/>
      <c r="AB1353" s="62"/>
      <c r="AC1353" s="62"/>
      <c r="AD1353" s="62"/>
      <c r="AE1353" s="62"/>
      <c r="AF1353" s="62"/>
      <c r="AG1353" s="62"/>
      <c r="AH1353" s="62"/>
      <c r="AI1353" s="62"/>
      <c r="AJ1353" s="62"/>
      <c r="AK1353" s="62"/>
      <c r="AL1353" s="62"/>
      <c r="AM1353" s="62"/>
      <c r="AN1353" s="62"/>
      <c r="AO1353" s="62"/>
      <c r="AP1353" s="62"/>
      <c r="AQ1353" s="62"/>
      <c r="AR1353" s="62"/>
      <c r="AS1353" s="62"/>
      <c r="AT1353" s="62"/>
      <c r="AU1353" s="62"/>
      <c r="AV1353" s="62"/>
      <c r="AW1353" s="62"/>
      <c r="AX1353" s="62"/>
      <c r="AY1353" s="62"/>
    </row>
    <row r="1354" spans="1:51" x14ac:dyDescent="0.25">
      <c r="A1354" s="62"/>
      <c r="B1354" s="86"/>
      <c r="C1354" s="86"/>
      <c r="D1354" s="86"/>
      <c r="E1354" s="86"/>
      <c r="F1354" s="86"/>
      <c r="G1354" s="86"/>
      <c r="H1354" s="62"/>
      <c r="I1354" s="62"/>
      <c r="J1354" s="62"/>
      <c r="K1354" s="62"/>
      <c r="L1354" s="62"/>
      <c r="M1354" s="62"/>
      <c r="N1354" s="62"/>
      <c r="O1354" s="62"/>
      <c r="P1354" s="62"/>
      <c r="Q1354" s="62"/>
      <c r="R1354" s="62"/>
      <c r="S1354" s="62"/>
      <c r="T1354" s="62"/>
      <c r="U1354" s="62"/>
      <c r="V1354" s="62"/>
      <c r="W1354" s="62"/>
      <c r="X1354" s="62"/>
      <c r="Y1354" s="62"/>
      <c r="Z1354" s="62"/>
      <c r="AA1354" s="62"/>
      <c r="AB1354" s="62"/>
      <c r="AC1354" s="62"/>
      <c r="AD1354" s="62"/>
      <c r="AE1354" s="62"/>
      <c r="AF1354" s="62"/>
      <c r="AG1354" s="62"/>
      <c r="AH1354" s="62"/>
      <c r="AI1354" s="62"/>
      <c r="AJ1354" s="62"/>
      <c r="AK1354" s="62"/>
      <c r="AL1354" s="62"/>
      <c r="AM1354" s="62"/>
      <c r="AN1354" s="62"/>
      <c r="AO1354" s="62"/>
      <c r="AP1354" s="62"/>
      <c r="AQ1354" s="62"/>
      <c r="AR1354" s="62"/>
      <c r="AS1354" s="62"/>
      <c r="AT1354" s="62"/>
      <c r="AU1354" s="62"/>
      <c r="AV1354" s="62"/>
      <c r="AW1354" s="62"/>
      <c r="AX1354" s="62"/>
      <c r="AY1354" s="62"/>
    </row>
    <row r="1355" spans="1:51" x14ac:dyDescent="0.25">
      <c r="A1355" s="62"/>
      <c r="B1355" s="86"/>
      <c r="C1355" s="86"/>
      <c r="D1355" s="86"/>
      <c r="E1355" s="86"/>
      <c r="F1355" s="86"/>
      <c r="G1355" s="86"/>
      <c r="H1355" s="62"/>
      <c r="I1355" s="62"/>
      <c r="J1355" s="62"/>
      <c r="K1355" s="62"/>
      <c r="L1355" s="62"/>
      <c r="M1355" s="62"/>
      <c r="N1355" s="62"/>
      <c r="O1355" s="62"/>
      <c r="P1355" s="62"/>
      <c r="Q1355" s="62"/>
      <c r="R1355" s="62"/>
      <c r="S1355" s="62"/>
      <c r="T1355" s="62"/>
      <c r="U1355" s="62"/>
      <c r="V1355" s="62"/>
      <c r="W1355" s="62"/>
      <c r="X1355" s="62"/>
      <c r="Y1355" s="62"/>
      <c r="Z1355" s="62"/>
      <c r="AA1355" s="62"/>
      <c r="AB1355" s="62"/>
      <c r="AC1355" s="62"/>
      <c r="AD1355" s="62"/>
      <c r="AE1355" s="62"/>
      <c r="AF1355" s="62"/>
      <c r="AG1355" s="62"/>
      <c r="AH1355" s="62"/>
      <c r="AI1355" s="62"/>
      <c r="AJ1355" s="62"/>
      <c r="AK1355" s="62"/>
      <c r="AL1355" s="62"/>
      <c r="AM1355" s="62"/>
      <c r="AN1355" s="62"/>
      <c r="AO1355" s="62"/>
      <c r="AP1355" s="62"/>
      <c r="AQ1355" s="62"/>
      <c r="AR1355" s="62"/>
      <c r="AS1355" s="62"/>
      <c r="AT1355" s="62"/>
      <c r="AU1355" s="62"/>
      <c r="AV1355" s="62"/>
      <c r="AW1355" s="62"/>
      <c r="AX1355" s="62"/>
      <c r="AY1355" s="62"/>
    </row>
    <row r="1356" spans="1:51" x14ac:dyDescent="0.25">
      <c r="A1356" s="62"/>
      <c r="B1356" s="86"/>
      <c r="C1356" s="86"/>
      <c r="D1356" s="86"/>
      <c r="E1356" s="86"/>
      <c r="F1356" s="86"/>
      <c r="G1356" s="86"/>
      <c r="H1356" s="62"/>
      <c r="I1356" s="62"/>
      <c r="J1356" s="62"/>
      <c r="K1356" s="62"/>
      <c r="L1356" s="62"/>
      <c r="M1356" s="62"/>
      <c r="N1356" s="62"/>
      <c r="O1356" s="62"/>
      <c r="P1356" s="62"/>
      <c r="Q1356" s="62"/>
      <c r="R1356" s="62"/>
      <c r="S1356" s="62"/>
      <c r="T1356" s="62"/>
      <c r="U1356" s="62"/>
      <c r="V1356" s="62"/>
      <c r="W1356" s="62"/>
      <c r="X1356" s="62"/>
      <c r="Y1356" s="62"/>
      <c r="Z1356" s="62"/>
      <c r="AA1356" s="62"/>
      <c r="AB1356" s="62"/>
      <c r="AC1356" s="62"/>
      <c r="AD1356" s="62"/>
      <c r="AE1356" s="62"/>
      <c r="AF1356" s="62"/>
      <c r="AG1356" s="62"/>
      <c r="AH1356" s="62"/>
      <c r="AI1356" s="62"/>
      <c r="AJ1356" s="62"/>
      <c r="AK1356" s="62"/>
      <c r="AL1356" s="62"/>
      <c r="AM1356" s="62"/>
      <c r="AN1356" s="62"/>
      <c r="AO1356" s="62"/>
      <c r="AP1356" s="62"/>
      <c r="AQ1356" s="62"/>
      <c r="AR1356" s="62"/>
      <c r="AS1356" s="62"/>
      <c r="AT1356" s="62"/>
      <c r="AU1356" s="62"/>
      <c r="AV1356" s="62"/>
      <c r="AW1356" s="62"/>
      <c r="AX1356" s="62"/>
      <c r="AY1356" s="62"/>
    </row>
    <row r="1357" spans="1:51" x14ac:dyDescent="0.25">
      <c r="A1357" s="62"/>
      <c r="B1357" s="86"/>
      <c r="C1357" s="86"/>
      <c r="D1357" s="86"/>
      <c r="E1357" s="86"/>
      <c r="F1357" s="86"/>
      <c r="G1357" s="86"/>
      <c r="H1357" s="62"/>
      <c r="I1357" s="62"/>
      <c r="J1357" s="62"/>
      <c r="K1357" s="62"/>
      <c r="L1357" s="62"/>
      <c r="M1357" s="62"/>
      <c r="N1357" s="62"/>
      <c r="O1357" s="62"/>
      <c r="P1357" s="62"/>
      <c r="Q1357" s="62"/>
      <c r="R1357" s="62"/>
      <c r="S1357" s="62"/>
      <c r="T1357" s="62"/>
      <c r="U1357" s="62"/>
      <c r="V1357" s="62"/>
      <c r="W1357" s="62"/>
      <c r="X1357" s="62"/>
      <c r="Y1357" s="62"/>
      <c r="Z1357" s="62"/>
      <c r="AA1357" s="62"/>
      <c r="AB1357" s="62"/>
      <c r="AC1357" s="62"/>
      <c r="AD1357" s="62"/>
      <c r="AE1357" s="62"/>
      <c r="AF1357" s="62"/>
      <c r="AG1357" s="62"/>
      <c r="AH1357" s="62"/>
      <c r="AI1357" s="62"/>
      <c r="AJ1357" s="62"/>
      <c r="AK1357" s="62"/>
      <c r="AL1357" s="62"/>
      <c r="AM1357" s="62"/>
      <c r="AN1357" s="62"/>
      <c r="AO1357" s="62"/>
      <c r="AP1357" s="62"/>
      <c r="AQ1357" s="62"/>
      <c r="AR1357" s="62"/>
      <c r="AS1357" s="62"/>
      <c r="AT1357" s="62"/>
      <c r="AU1357" s="62"/>
      <c r="AV1357" s="62"/>
      <c r="AW1357" s="62"/>
      <c r="AX1357" s="62"/>
      <c r="AY1357" s="62"/>
    </row>
    <row r="1358" spans="1:51" x14ac:dyDescent="0.25">
      <c r="A1358" s="62"/>
      <c r="B1358" s="86"/>
      <c r="C1358" s="86"/>
      <c r="D1358" s="86"/>
      <c r="E1358" s="86"/>
      <c r="F1358" s="86"/>
      <c r="G1358" s="86"/>
      <c r="H1358" s="62"/>
      <c r="I1358" s="62"/>
      <c r="J1358" s="62"/>
      <c r="K1358" s="62"/>
      <c r="L1358" s="62"/>
      <c r="M1358" s="62"/>
      <c r="N1358" s="62"/>
      <c r="O1358" s="62"/>
      <c r="P1358" s="62"/>
      <c r="Q1358" s="62"/>
      <c r="R1358" s="62"/>
      <c r="S1358" s="62"/>
      <c r="T1358" s="62"/>
      <c r="U1358" s="62"/>
      <c r="V1358" s="62"/>
      <c r="W1358" s="62"/>
      <c r="X1358" s="62"/>
      <c r="Y1358" s="62"/>
      <c r="Z1358" s="62"/>
      <c r="AA1358" s="62"/>
      <c r="AB1358" s="62"/>
      <c r="AC1358" s="62"/>
      <c r="AD1358" s="62"/>
      <c r="AE1358" s="62"/>
      <c r="AF1358" s="62"/>
      <c r="AG1358" s="62"/>
      <c r="AH1358" s="62"/>
      <c r="AI1358" s="62"/>
      <c r="AJ1358" s="62"/>
      <c r="AK1358" s="62"/>
      <c r="AL1358" s="62"/>
      <c r="AM1358" s="62"/>
      <c r="AN1358" s="62"/>
      <c r="AO1358" s="62"/>
      <c r="AP1358" s="62"/>
      <c r="AQ1358" s="62"/>
      <c r="AR1358" s="62"/>
      <c r="AS1358" s="62"/>
      <c r="AT1358" s="62"/>
      <c r="AU1358" s="62"/>
      <c r="AV1358" s="62"/>
      <c r="AW1358" s="62"/>
      <c r="AX1358" s="62"/>
      <c r="AY1358" s="62"/>
    </row>
    <row r="1359" spans="1:51" x14ac:dyDescent="0.25">
      <c r="A1359" s="62"/>
      <c r="B1359" s="86"/>
      <c r="C1359" s="86"/>
      <c r="D1359" s="86"/>
      <c r="E1359" s="86"/>
      <c r="F1359" s="86"/>
      <c r="G1359" s="86"/>
      <c r="H1359" s="62"/>
      <c r="I1359" s="62"/>
      <c r="J1359" s="62"/>
      <c r="K1359" s="62"/>
      <c r="L1359" s="62"/>
      <c r="M1359" s="62"/>
      <c r="N1359" s="62"/>
      <c r="O1359" s="62"/>
      <c r="P1359" s="62"/>
      <c r="Q1359" s="62"/>
      <c r="R1359" s="62"/>
      <c r="S1359" s="62"/>
      <c r="T1359" s="62"/>
      <c r="U1359" s="62"/>
      <c r="V1359" s="62"/>
      <c r="W1359" s="62"/>
      <c r="X1359" s="62"/>
      <c r="Y1359" s="62"/>
      <c r="Z1359" s="62"/>
      <c r="AA1359" s="62"/>
      <c r="AB1359" s="62"/>
      <c r="AC1359" s="62"/>
      <c r="AD1359" s="62"/>
      <c r="AE1359" s="62"/>
      <c r="AF1359" s="62"/>
      <c r="AG1359" s="62"/>
      <c r="AH1359" s="62"/>
      <c r="AI1359" s="62"/>
      <c r="AJ1359" s="62"/>
      <c r="AK1359" s="62"/>
      <c r="AL1359" s="62"/>
      <c r="AM1359" s="62"/>
      <c r="AN1359" s="62"/>
      <c r="AO1359" s="62"/>
      <c r="AP1359" s="62"/>
      <c r="AQ1359" s="62"/>
      <c r="AR1359" s="62"/>
      <c r="AS1359" s="62"/>
      <c r="AT1359" s="62"/>
      <c r="AU1359" s="62"/>
      <c r="AV1359" s="62"/>
      <c r="AW1359" s="62"/>
      <c r="AX1359" s="62"/>
      <c r="AY1359" s="62"/>
    </row>
    <row r="1360" spans="1:51" x14ac:dyDescent="0.25">
      <c r="A1360" s="62"/>
      <c r="B1360" s="86"/>
      <c r="C1360" s="86"/>
      <c r="D1360" s="86"/>
      <c r="E1360" s="86"/>
      <c r="F1360" s="86"/>
      <c r="G1360" s="86"/>
      <c r="H1360" s="62"/>
      <c r="I1360" s="62"/>
      <c r="J1360" s="62"/>
      <c r="K1360" s="62"/>
      <c r="L1360" s="62"/>
      <c r="M1360" s="62"/>
      <c r="N1360" s="62"/>
      <c r="O1360" s="62"/>
      <c r="P1360" s="62"/>
      <c r="Q1360" s="62"/>
      <c r="R1360" s="62"/>
      <c r="S1360" s="62"/>
      <c r="T1360" s="62"/>
      <c r="U1360" s="62"/>
      <c r="V1360" s="62"/>
      <c r="W1360" s="62"/>
      <c r="X1360" s="62"/>
      <c r="Y1360" s="62"/>
      <c r="Z1360" s="62"/>
      <c r="AA1360" s="62"/>
      <c r="AB1360" s="62"/>
      <c r="AC1360" s="62"/>
      <c r="AD1360" s="62"/>
      <c r="AE1360" s="62"/>
      <c r="AF1360" s="62"/>
      <c r="AG1360" s="62"/>
      <c r="AH1360" s="62"/>
      <c r="AI1360" s="62"/>
      <c r="AJ1360" s="62"/>
      <c r="AK1360" s="62"/>
      <c r="AL1360" s="62"/>
      <c r="AM1360" s="62"/>
      <c r="AN1360" s="62"/>
      <c r="AO1360" s="62"/>
      <c r="AP1360" s="62"/>
      <c r="AQ1360" s="62"/>
      <c r="AR1360" s="62"/>
      <c r="AS1360" s="62"/>
      <c r="AT1360" s="62"/>
      <c r="AU1360" s="62"/>
      <c r="AV1360" s="62"/>
      <c r="AW1360" s="62"/>
      <c r="AX1360" s="62"/>
      <c r="AY1360" s="62"/>
    </row>
    <row r="1361" spans="1:51" x14ac:dyDescent="0.25">
      <c r="A1361" s="62"/>
      <c r="B1361" s="86"/>
      <c r="C1361" s="86"/>
      <c r="D1361" s="86"/>
      <c r="E1361" s="86"/>
      <c r="F1361" s="86"/>
      <c r="G1361" s="86"/>
      <c r="H1361" s="62"/>
      <c r="I1361" s="62"/>
      <c r="J1361" s="62"/>
      <c r="K1361" s="62"/>
      <c r="L1361" s="62"/>
      <c r="M1361" s="62"/>
      <c r="N1361" s="62"/>
      <c r="O1361" s="62"/>
      <c r="P1361" s="62"/>
      <c r="Q1361" s="62"/>
      <c r="R1361" s="62"/>
      <c r="S1361" s="62"/>
      <c r="T1361" s="62"/>
      <c r="U1361" s="62"/>
      <c r="V1361" s="62"/>
      <c r="W1361" s="62"/>
      <c r="X1361" s="62"/>
      <c r="Y1361" s="62"/>
      <c r="Z1361" s="62"/>
      <c r="AA1361" s="62"/>
      <c r="AB1361" s="62"/>
      <c r="AC1361" s="62"/>
      <c r="AD1361" s="62"/>
      <c r="AE1361" s="62"/>
      <c r="AF1361" s="62"/>
      <c r="AG1361" s="62"/>
      <c r="AH1361" s="62"/>
      <c r="AI1361" s="62"/>
      <c r="AJ1361" s="62"/>
      <c r="AK1361" s="62"/>
      <c r="AL1361" s="62"/>
      <c r="AM1361" s="62"/>
      <c r="AN1361" s="62"/>
      <c r="AO1361" s="62"/>
      <c r="AP1361" s="62"/>
      <c r="AQ1361" s="62"/>
      <c r="AR1361" s="62"/>
      <c r="AS1361" s="62"/>
      <c r="AT1361" s="62"/>
      <c r="AU1361" s="62"/>
      <c r="AV1361" s="62"/>
      <c r="AW1361" s="62"/>
      <c r="AX1361" s="62"/>
      <c r="AY1361" s="62"/>
    </row>
    <row r="1362" spans="1:51" x14ac:dyDescent="0.25">
      <c r="A1362" s="62"/>
      <c r="B1362" s="86"/>
      <c r="C1362" s="86"/>
      <c r="D1362" s="86"/>
      <c r="E1362" s="86"/>
      <c r="F1362" s="86"/>
      <c r="G1362" s="86"/>
      <c r="H1362" s="62"/>
      <c r="I1362" s="62"/>
      <c r="J1362" s="62"/>
      <c r="K1362" s="62"/>
      <c r="L1362" s="62"/>
      <c r="M1362" s="62"/>
      <c r="N1362" s="62"/>
      <c r="O1362" s="62"/>
      <c r="P1362" s="62"/>
      <c r="Q1362" s="62"/>
      <c r="R1362" s="62"/>
      <c r="S1362" s="62"/>
      <c r="T1362" s="62"/>
      <c r="U1362" s="62"/>
      <c r="V1362" s="62"/>
      <c r="W1362" s="62"/>
      <c r="X1362" s="62"/>
      <c r="Y1362" s="62"/>
      <c r="Z1362" s="62"/>
      <c r="AA1362" s="62"/>
      <c r="AB1362" s="62"/>
      <c r="AC1362" s="62"/>
      <c r="AD1362" s="62"/>
      <c r="AE1362" s="62"/>
      <c r="AF1362" s="62"/>
      <c r="AG1362" s="62"/>
      <c r="AH1362" s="62"/>
      <c r="AI1362" s="62"/>
      <c r="AJ1362" s="62"/>
      <c r="AK1362" s="62"/>
      <c r="AL1362" s="62"/>
      <c r="AM1362" s="62"/>
      <c r="AN1362" s="62"/>
      <c r="AO1362" s="62"/>
      <c r="AP1362" s="62"/>
      <c r="AQ1362" s="62"/>
      <c r="AR1362" s="62"/>
      <c r="AS1362" s="62"/>
      <c r="AT1362" s="62"/>
      <c r="AU1362" s="62"/>
      <c r="AV1362" s="62"/>
      <c r="AW1362" s="62"/>
      <c r="AX1362" s="62"/>
      <c r="AY1362" s="62"/>
    </row>
    <row r="1363" spans="1:51" x14ac:dyDescent="0.25">
      <c r="A1363" s="62"/>
      <c r="B1363" s="86"/>
      <c r="C1363" s="86"/>
      <c r="D1363" s="86"/>
      <c r="E1363" s="86"/>
      <c r="F1363" s="86"/>
      <c r="G1363" s="86"/>
      <c r="H1363" s="62"/>
      <c r="I1363" s="62"/>
      <c r="J1363" s="62"/>
      <c r="K1363" s="62"/>
      <c r="L1363" s="62"/>
      <c r="M1363" s="62"/>
      <c r="N1363" s="62"/>
      <c r="O1363" s="62"/>
      <c r="P1363" s="62"/>
      <c r="Q1363" s="62"/>
      <c r="R1363" s="62"/>
      <c r="S1363" s="62"/>
      <c r="T1363" s="62"/>
      <c r="U1363" s="62"/>
      <c r="V1363" s="62"/>
      <c r="W1363" s="62"/>
      <c r="X1363" s="62"/>
      <c r="Y1363" s="62"/>
      <c r="Z1363" s="62"/>
      <c r="AA1363" s="62"/>
      <c r="AB1363" s="62"/>
      <c r="AC1363" s="62"/>
      <c r="AD1363" s="62"/>
      <c r="AE1363" s="62"/>
      <c r="AF1363" s="62"/>
      <c r="AG1363" s="62"/>
      <c r="AH1363" s="62"/>
      <c r="AI1363" s="62"/>
      <c r="AJ1363" s="62"/>
      <c r="AK1363" s="62"/>
      <c r="AL1363" s="62"/>
      <c r="AM1363" s="62"/>
      <c r="AN1363" s="62"/>
      <c r="AO1363" s="62"/>
      <c r="AP1363" s="62"/>
      <c r="AQ1363" s="62"/>
      <c r="AR1363" s="62"/>
      <c r="AS1363" s="62"/>
      <c r="AT1363" s="62"/>
      <c r="AU1363" s="62"/>
      <c r="AV1363" s="62"/>
      <c r="AW1363" s="62"/>
      <c r="AX1363" s="62"/>
      <c r="AY1363" s="62"/>
    </row>
    <row r="1364" spans="1:51" x14ac:dyDescent="0.25">
      <c r="A1364" s="62"/>
      <c r="B1364" s="86"/>
      <c r="C1364" s="86"/>
      <c r="D1364" s="86"/>
      <c r="E1364" s="86"/>
      <c r="F1364" s="86"/>
      <c r="G1364" s="86"/>
      <c r="H1364" s="62"/>
      <c r="I1364" s="62"/>
      <c r="J1364" s="62"/>
      <c r="K1364" s="62"/>
      <c r="L1364" s="62"/>
      <c r="M1364" s="62"/>
      <c r="N1364" s="62"/>
      <c r="O1364" s="62"/>
      <c r="P1364" s="62"/>
      <c r="Q1364" s="62"/>
      <c r="R1364" s="62"/>
      <c r="S1364" s="62"/>
      <c r="T1364" s="62"/>
      <c r="U1364" s="62"/>
      <c r="V1364" s="62"/>
      <c r="W1364" s="62"/>
      <c r="X1364" s="62"/>
      <c r="Y1364" s="62"/>
      <c r="Z1364" s="62"/>
      <c r="AA1364" s="62"/>
      <c r="AB1364" s="62"/>
      <c r="AC1364" s="62"/>
      <c r="AD1364" s="62"/>
      <c r="AE1364" s="62"/>
      <c r="AF1364" s="62"/>
      <c r="AG1364" s="62"/>
      <c r="AH1364" s="62"/>
      <c r="AI1364" s="62"/>
      <c r="AJ1364" s="62"/>
      <c r="AK1364" s="62"/>
      <c r="AL1364" s="62"/>
      <c r="AM1364" s="62"/>
      <c r="AN1364" s="62"/>
      <c r="AO1364" s="62"/>
      <c r="AP1364" s="62"/>
      <c r="AQ1364" s="62"/>
      <c r="AR1364" s="62"/>
      <c r="AS1364" s="62"/>
      <c r="AT1364" s="62"/>
      <c r="AU1364" s="62"/>
      <c r="AV1364" s="62"/>
      <c r="AW1364" s="62"/>
      <c r="AX1364" s="62"/>
      <c r="AY1364" s="62"/>
    </row>
    <row r="1365" spans="1:51" x14ac:dyDescent="0.25">
      <c r="A1365" s="62"/>
      <c r="B1365" s="86"/>
      <c r="C1365" s="86"/>
      <c r="D1365" s="86"/>
      <c r="E1365" s="86"/>
      <c r="F1365" s="86"/>
      <c r="G1365" s="86"/>
      <c r="H1365" s="62"/>
      <c r="I1365" s="62"/>
      <c r="J1365" s="62"/>
      <c r="K1365" s="62"/>
      <c r="L1365" s="62"/>
      <c r="M1365" s="62"/>
      <c r="N1365" s="62"/>
      <c r="O1365" s="62"/>
      <c r="P1365" s="62"/>
      <c r="Q1365" s="62"/>
      <c r="R1365" s="62"/>
      <c r="S1365" s="62"/>
      <c r="T1365" s="62"/>
      <c r="U1365" s="62"/>
      <c r="V1365" s="62"/>
      <c r="W1365" s="62"/>
      <c r="X1365" s="62"/>
      <c r="Y1365" s="62"/>
      <c r="Z1365" s="62"/>
      <c r="AA1365" s="62"/>
      <c r="AB1365" s="62"/>
      <c r="AC1365" s="62"/>
      <c r="AD1365" s="62"/>
      <c r="AE1365" s="62"/>
      <c r="AF1365" s="62"/>
      <c r="AG1365" s="62"/>
      <c r="AH1365" s="62"/>
      <c r="AI1365" s="62"/>
      <c r="AJ1365" s="62"/>
      <c r="AK1365" s="62"/>
      <c r="AL1365" s="62"/>
      <c r="AM1365" s="62"/>
      <c r="AN1365" s="62"/>
      <c r="AO1365" s="62"/>
      <c r="AP1365" s="62"/>
      <c r="AQ1365" s="62"/>
      <c r="AR1365" s="62"/>
      <c r="AS1365" s="62"/>
      <c r="AT1365" s="62"/>
      <c r="AU1365" s="62"/>
      <c r="AV1365" s="62"/>
      <c r="AW1365" s="62"/>
      <c r="AX1365" s="62"/>
      <c r="AY1365" s="62"/>
    </row>
    <row r="1366" spans="1:51" x14ac:dyDescent="0.25">
      <c r="A1366" s="62"/>
      <c r="B1366" s="86"/>
      <c r="C1366" s="86"/>
      <c r="D1366" s="86"/>
      <c r="E1366" s="86"/>
      <c r="F1366" s="86"/>
      <c r="G1366" s="86"/>
      <c r="H1366" s="62"/>
      <c r="I1366" s="62"/>
      <c r="J1366" s="62"/>
      <c r="K1366" s="62"/>
      <c r="L1366" s="62"/>
      <c r="M1366" s="62"/>
      <c r="N1366" s="62"/>
      <c r="O1366" s="62"/>
      <c r="P1366" s="62"/>
      <c r="Q1366" s="62"/>
      <c r="R1366" s="62"/>
      <c r="S1366" s="62"/>
      <c r="T1366" s="62"/>
      <c r="U1366" s="62"/>
      <c r="V1366" s="62"/>
      <c r="W1366" s="62"/>
      <c r="X1366" s="62"/>
      <c r="Y1366" s="62"/>
      <c r="Z1366" s="62"/>
      <c r="AA1366" s="62"/>
      <c r="AB1366" s="62"/>
      <c r="AC1366" s="62"/>
      <c r="AD1366" s="62"/>
      <c r="AE1366" s="62"/>
      <c r="AF1366" s="62"/>
      <c r="AG1366" s="62"/>
      <c r="AH1366" s="62"/>
      <c r="AI1366" s="62"/>
      <c r="AJ1366" s="62"/>
      <c r="AK1366" s="62"/>
      <c r="AL1366" s="62"/>
      <c r="AM1366" s="62"/>
      <c r="AN1366" s="62"/>
      <c r="AO1366" s="62"/>
      <c r="AP1366" s="62"/>
      <c r="AQ1366" s="62"/>
      <c r="AR1366" s="62"/>
      <c r="AS1366" s="62"/>
      <c r="AT1366" s="62"/>
      <c r="AU1366" s="62"/>
      <c r="AV1366" s="62"/>
      <c r="AW1366" s="62"/>
      <c r="AX1366" s="62"/>
      <c r="AY1366" s="62"/>
    </row>
    <row r="1367" spans="1:51" x14ac:dyDescent="0.25">
      <c r="A1367" s="62"/>
      <c r="B1367" s="86"/>
      <c r="C1367" s="86"/>
      <c r="D1367" s="86"/>
      <c r="E1367" s="86"/>
      <c r="F1367" s="86"/>
      <c r="G1367" s="86"/>
      <c r="H1367" s="62"/>
      <c r="I1367" s="62"/>
      <c r="J1367" s="62"/>
      <c r="K1367" s="62"/>
      <c r="L1367" s="62"/>
      <c r="M1367" s="62"/>
      <c r="N1367" s="62"/>
      <c r="O1367" s="62"/>
      <c r="P1367" s="62"/>
      <c r="Q1367" s="62"/>
      <c r="R1367" s="62"/>
      <c r="S1367" s="62"/>
      <c r="T1367" s="62"/>
      <c r="U1367" s="62"/>
      <c r="V1367" s="62"/>
      <c r="W1367" s="62"/>
      <c r="X1367" s="62"/>
      <c r="Y1367" s="62"/>
      <c r="Z1367" s="62"/>
      <c r="AA1367" s="62"/>
      <c r="AB1367" s="62"/>
      <c r="AC1367" s="62"/>
      <c r="AD1367" s="62"/>
      <c r="AE1367" s="62"/>
      <c r="AF1367" s="62"/>
      <c r="AG1367" s="62"/>
      <c r="AH1367" s="62"/>
      <c r="AI1367" s="62"/>
      <c r="AJ1367" s="62"/>
      <c r="AK1367" s="62"/>
      <c r="AL1367" s="62"/>
      <c r="AM1367" s="62"/>
      <c r="AN1367" s="62"/>
      <c r="AO1367" s="62"/>
      <c r="AP1367" s="62"/>
      <c r="AQ1367" s="62"/>
      <c r="AR1367" s="62"/>
      <c r="AS1367" s="62"/>
      <c r="AT1367" s="62"/>
      <c r="AU1367" s="62"/>
      <c r="AV1367" s="62"/>
      <c r="AW1367" s="62"/>
      <c r="AX1367" s="62"/>
      <c r="AY1367" s="62"/>
    </row>
    <row r="1368" spans="1:51" x14ac:dyDescent="0.25">
      <c r="A1368" s="62"/>
      <c r="B1368" s="86"/>
      <c r="C1368" s="86"/>
      <c r="D1368" s="86"/>
      <c r="E1368" s="86"/>
      <c r="F1368" s="86"/>
      <c r="G1368" s="86"/>
      <c r="H1368" s="62"/>
      <c r="I1368" s="62"/>
      <c r="J1368" s="62"/>
      <c r="K1368" s="62"/>
      <c r="L1368" s="62"/>
      <c r="M1368" s="62"/>
      <c r="N1368" s="62"/>
      <c r="O1368" s="62"/>
      <c r="P1368" s="62"/>
      <c r="Q1368" s="62"/>
      <c r="R1368" s="62"/>
      <c r="S1368" s="62"/>
      <c r="T1368" s="62"/>
      <c r="U1368" s="62"/>
      <c r="V1368" s="62"/>
      <c r="W1368" s="62"/>
      <c r="X1368" s="62"/>
      <c r="Y1368" s="62"/>
      <c r="Z1368" s="62"/>
      <c r="AA1368" s="62"/>
      <c r="AB1368" s="62"/>
      <c r="AC1368" s="62"/>
      <c r="AD1368" s="62"/>
      <c r="AE1368" s="62"/>
      <c r="AF1368" s="62"/>
      <c r="AG1368" s="62"/>
      <c r="AH1368" s="62"/>
      <c r="AI1368" s="62"/>
      <c r="AJ1368" s="62"/>
      <c r="AK1368" s="62"/>
      <c r="AL1368" s="62"/>
      <c r="AM1368" s="62"/>
      <c r="AN1368" s="62"/>
      <c r="AO1368" s="62"/>
      <c r="AP1368" s="62"/>
      <c r="AQ1368" s="62"/>
      <c r="AR1368" s="62"/>
      <c r="AS1368" s="62"/>
      <c r="AT1368" s="62"/>
      <c r="AU1368" s="62"/>
      <c r="AV1368" s="62"/>
      <c r="AW1368" s="62"/>
      <c r="AX1368" s="62"/>
      <c r="AY1368" s="62"/>
    </row>
    <row r="1369" spans="1:51" x14ac:dyDescent="0.25">
      <c r="A1369" s="62"/>
      <c r="B1369" s="86"/>
      <c r="C1369" s="86"/>
      <c r="D1369" s="86"/>
      <c r="E1369" s="86"/>
      <c r="F1369" s="86"/>
      <c r="G1369" s="86"/>
      <c r="H1369" s="62"/>
      <c r="I1369" s="62"/>
      <c r="J1369" s="62"/>
      <c r="K1369" s="62"/>
      <c r="L1369" s="62"/>
      <c r="M1369" s="62"/>
      <c r="N1369" s="62"/>
      <c r="O1369" s="62"/>
      <c r="P1369" s="62"/>
      <c r="Q1369" s="62"/>
      <c r="R1369" s="62"/>
      <c r="S1369" s="62"/>
      <c r="T1369" s="62"/>
      <c r="U1369" s="62"/>
      <c r="V1369" s="62"/>
      <c r="W1369" s="62"/>
      <c r="X1369" s="62"/>
      <c r="Y1369" s="62"/>
      <c r="Z1369" s="62"/>
      <c r="AA1369" s="62"/>
      <c r="AB1369" s="62"/>
      <c r="AC1369" s="62"/>
      <c r="AD1369" s="62"/>
      <c r="AE1369" s="62"/>
      <c r="AF1369" s="62"/>
      <c r="AG1369" s="62"/>
      <c r="AH1369" s="62"/>
      <c r="AI1369" s="62"/>
      <c r="AJ1369" s="62"/>
      <c r="AK1369" s="62"/>
      <c r="AL1369" s="62"/>
      <c r="AM1369" s="62"/>
      <c r="AN1369" s="62"/>
      <c r="AO1369" s="62"/>
      <c r="AP1369" s="62"/>
      <c r="AQ1369" s="62"/>
      <c r="AR1369" s="62"/>
      <c r="AS1369" s="62"/>
      <c r="AT1369" s="62"/>
      <c r="AU1369" s="62"/>
      <c r="AV1369" s="62"/>
      <c r="AW1369" s="62"/>
      <c r="AX1369" s="62"/>
      <c r="AY1369" s="62"/>
    </row>
    <row r="1370" spans="1:51" x14ac:dyDescent="0.25">
      <c r="A1370" s="62"/>
      <c r="B1370" s="86"/>
      <c r="C1370" s="86"/>
      <c r="D1370" s="86"/>
      <c r="E1370" s="86"/>
      <c r="F1370" s="86"/>
      <c r="G1370" s="86"/>
      <c r="H1370" s="62"/>
      <c r="I1370" s="62"/>
      <c r="J1370" s="62"/>
      <c r="K1370" s="62"/>
      <c r="L1370" s="62"/>
      <c r="M1370" s="62"/>
      <c r="N1370" s="62"/>
      <c r="O1370" s="62"/>
      <c r="P1370" s="62"/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  <c r="AH1370" s="62"/>
      <c r="AI1370" s="62"/>
      <c r="AJ1370" s="62"/>
      <c r="AK1370" s="62"/>
      <c r="AL1370" s="62"/>
      <c r="AM1370" s="62"/>
      <c r="AN1370" s="62"/>
      <c r="AO1370" s="62"/>
      <c r="AP1370" s="62"/>
      <c r="AQ1370" s="62"/>
      <c r="AR1370" s="62"/>
      <c r="AS1370" s="62"/>
      <c r="AT1370" s="62"/>
      <c r="AU1370" s="62"/>
      <c r="AV1370" s="62"/>
      <c r="AW1370" s="62"/>
      <c r="AX1370" s="62"/>
      <c r="AY1370" s="62"/>
    </row>
    <row r="1371" spans="1:51" x14ac:dyDescent="0.25">
      <c r="A1371" s="62"/>
      <c r="B1371" s="86"/>
      <c r="C1371" s="86"/>
      <c r="D1371" s="86"/>
      <c r="E1371" s="86"/>
      <c r="F1371" s="86"/>
      <c r="G1371" s="86"/>
      <c r="H1371" s="62"/>
      <c r="I1371" s="62"/>
      <c r="J1371" s="62"/>
      <c r="K1371" s="62"/>
      <c r="L1371" s="62"/>
      <c r="M1371" s="62"/>
      <c r="N1371" s="62"/>
      <c r="O1371" s="62"/>
      <c r="P1371" s="62"/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  <c r="AH1371" s="62"/>
      <c r="AI1371" s="62"/>
      <c r="AJ1371" s="62"/>
      <c r="AK1371" s="62"/>
      <c r="AL1371" s="62"/>
      <c r="AM1371" s="62"/>
      <c r="AN1371" s="62"/>
      <c r="AO1371" s="62"/>
      <c r="AP1371" s="62"/>
      <c r="AQ1371" s="62"/>
      <c r="AR1371" s="62"/>
      <c r="AS1371" s="62"/>
      <c r="AT1371" s="62"/>
      <c r="AU1371" s="62"/>
      <c r="AV1371" s="62"/>
      <c r="AW1371" s="62"/>
      <c r="AX1371" s="62"/>
      <c r="AY1371" s="62"/>
    </row>
    <row r="1372" spans="1:51" x14ac:dyDescent="0.25">
      <c r="A1372" s="62"/>
      <c r="B1372" s="86"/>
      <c r="C1372" s="86"/>
      <c r="D1372" s="86"/>
      <c r="E1372" s="86"/>
      <c r="F1372" s="86"/>
      <c r="G1372" s="86"/>
      <c r="H1372" s="62"/>
      <c r="I1372" s="62"/>
      <c r="J1372" s="62"/>
      <c r="K1372" s="62"/>
      <c r="L1372" s="62"/>
      <c r="M1372" s="62"/>
      <c r="N1372" s="62"/>
      <c r="O1372" s="62"/>
      <c r="P1372" s="62"/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  <c r="AH1372" s="62"/>
      <c r="AI1372" s="62"/>
      <c r="AJ1372" s="62"/>
      <c r="AK1372" s="62"/>
      <c r="AL1372" s="62"/>
      <c r="AM1372" s="62"/>
      <c r="AN1372" s="62"/>
      <c r="AO1372" s="62"/>
      <c r="AP1372" s="62"/>
      <c r="AQ1372" s="62"/>
      <c r="AR1372" s="62"/>
      <c r="AS1372" s="62"/>
      <c r="AT1372" s="62"/>
      <c r="AU1372" s="62"/>
      <c r="AV1372" s="62"/>
      <c r="AW1372" s="62"/>
      <c r="AX1372" s="62"/>
      <c r="AY1372" s="62"/>
    </row>
    <row r="1373" spans="1:51" x14ac:dyDescent="0.25">
      <c r="A1373" s="62"/>
      <c r="B1373" s="86"/>
      <c r="C1373" s="86"/>
      <c r="D1373" s="86"/>
      <c r="E1373" s="86"/>
      <c r="F1373" s="86"/>
      <c r="G1373" s="86"/>
      <c r="H1373" s="62"/>
      <c r="I1373" s="62"/>
      <c r="J1373" s="62"/>
      <c r="K1373" s="62"/>
      <c r="L1373" s="62"/>
      <c r="M1373" s="62"/>
      <c r="N1373" s="62"/>
      <c r="O1373" s="62"/>
      <c r="P1373" s="62"/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  <c r="AH1373" s="62"/>
      <c r="AI1373" s="62"/>
      <c r="AJ1373" s="62"/>
      <c r="AK1373" s="62"/>
      <c r="AL1373" s="62"/>
      <c r="AM1373" s="62"/>
      <c r="AN1373" s="62"/>
      <c r="AO1373" s="62"/>
      <c r="AP1373" s="62"/>
      <c r="AQ1373" s="62"/>
      <c r="AR1373" s="62"/>
      <c r="AS1373" s="62"/>
      <c r="AT1373" s="62"/>
      <c r="AU1373" s="62"/>
      <c r="AV1373" s="62"/>
      <c r="AW1373" s="62"/>
      <c r="AX1373" s="62"/>
      <c r="AY1373" s="62"/>
    </row>
    <row r="1374" spans="1:51" x14ac:dyDescent="0.25">
      <c r="A1374" s="62"/>
      <c r="B1374" s="86"/>
      <c r="C1374" s="86"/>
      <c r="D1374" s="86"/>
      <c r="E1374" s="86"/>
      <c r="F1374" s="86"/>
      <c r="G1374" s="86"/>
      <c r="H1374" s="62"/>
      <c r="I1374" s="62"/>
      <c r="J1374" s="62"/>
      <c r="K1374" s="62"/>
      <c r="L1374" s="62"/>
      <c r="M1374" s="62"/>
      <c r="N1374" s="62"/>
      <c r="O1374" s="62"/>
      <c r="P1374" s="62"/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  <c r="AH1374" s="62"/>
      <c r="AI1374" s="62"/>
      <c r="AJ1374" s="62"/>
      <c r="AK1374" s="62"/>
      <c r="AL1374" s="62"/>
      <c r="AM1374" s="62"/>
      <c r="AN1374" s="62"/>
      <c r="AO1374" s="62"/>
      <c r="AP1374" s="62"/>
      <c r="AQ1374" s="62"/>
      <c r="AR1374" s="62"/>
      <c r="AS1374" s="62"/>
      <c r="AT1374" s="62"/>
      <c r="AU1374" s="62"/>
      <c r="AV1374" s="62"/>
      <c r="AW1374" s="62"/>
      <c r="AX1374" s="62"/>
      <c r="AY1374" s="62"/>
    </row>
    <row r="1375" spans="1:51" x14ac:dyDescent="0.25">
      <c r="A1375" s="62"/>
      <c r="B1375" s="86"/>
      <c r="C1375" s="86"/>
      <c r="D1375" s="86"/>
      <c r="E1375" s="86"/>
      <c r="F1375" s="86"/>
      <c r="G1375" s="86"/>
      <c r="H1375" s="62"/>
      <c r="I1375" s="62"/>
      <c r="J1375" s="62"/>
      <c r="K1375" s="62"/>
      <c r="L1375" s="62"/>
      <c r="M1375" s="62"/>
      <c r="N1375" s="62"/>
      <c r="O1375" s="62"/>
      <c r="P1375" s="62"/>
      <c r="Q1375" s="62"/>
      <c r="R1375" s="62"/>
      <c r="S1375" s="62"/>
      <c r="T1375" s="62"/>
      <c r="U1375" s="62"/>
      <c r="V1375" s="62"/>
      <c r="W1375" s="62"/>
      <c r="X1375" s="62"/>
      <c r="Y1375" s="62"/>
      <c r="Z1375" s="62"/>
      <c r="AA1375" s="62"/>
      <c r="AB1375" s="62"/>
      <c r="AC1375" s="62"/>
      <c r="AD1375" s="62"/>
      <c r="AE1375" s="62"/>
      <c r="AF1375" s="62"/>
      <c r="AG1375" s="62"/>
      <c r="AH1375" s="62"/>
      <c r="AI1375" s="62"/>
      <c r="AJ1375" s="62"/>
      <c r="AK1375" s="62"/>
      <c r="AL1375" s="62"/>
      <c r="AM1375" s="62"/>
      <c r="AN1375" s="62"/>
      <c r="AO1375" s="62"/>
      <c r="AP1375" s="62"/>
      <c r="AQ1375" s="62"/>
      <c r="AR1375" s="62"/>
      <c r="AS1375" s="62"/>
      <c r="AT1375" s="62"/>
      <c r="AU1375" s="62"/>
      <c r="AV1375" s="62"/>
      <c r="AW1375" s="62"/>
      <c r="AX1375" s="62"/>
      <c r="AY1375" s="62"/>
    </row>
    <row r="1376" spans="1:51" x14ac:dyDescent="0.25">
      <c r="A1376" s="62"/>
      <c r="B1376" s="86"/>
      <c r="C1376" s="86"/>
      <c r="D1376" s="86"/>
      <c r="E1376" s="86"/>
      <c r="F1376" s="86"/>
      <c r="G1376" s="86"/>
      <c r="H1376" s="62"/>
      <c r="I1376" s="62"/>
      <c r="J1376" s="62"/>
      <c r="K1376" s="62"/>
      <c r="L1376" s="62"/>
      <c r="M1376" s="62"/>
      <c r="N1376" s="62"/>
      <c r="O1376" s="62"/>
      <c r="P1376" s="62"/>
      <c r="Q1376" s="62"/>
      <c r="R1376" s="62"/>
      <c r="S1376" s="62"/>
      <c r="T1376" s="62"/>
      <c r="U1376" s="62"/>
      <c r="V1376" s="62"/>
      <c r="W1376" s="62"/>
      <c r="X1376" s="62"/>
      <c r="Y1376" s="62"/>
      <c r="Z1376" s="62"/>
      <c r="AA1376" s="62"/>
      <c r="AB1376" s="62"/>
      <c r="AC1376" s="62"/>
      <c r="AD1376" s="62"/>
      <c r="AE1376" s="62"/>
      <c r="AF1376" s="62"/>
      <c r="AG1376" s="62"/>
      <c r="AH1376" s="62"/>
      <c r="AI1376" s="62"/>
      <c r="AJ1376" s="62"/>
      <c r="AK1376" s="62"/>
      <c r="AL1376" s="62"/>
      <c r="AM1376" s="62"/>
      <c r="AN1376" s="62"/>
      <c r="AO1376" s="62"/>
      <c r="AP1376" s="62"/>
      <c r="AQ1376" s="62"/>
      <c r="AR1376" s="62"/>
      <c r="AS1376" s="62"/>
      <c r="AT1376" s="62"/>
      <c r="AU1376" s="62"/>
      <c r="AV1376" s="62"/>
      <c r="AW1376" s="62"/>
      <c r="AX1376" s="62"/>
      <c r="AY1376" s="62"/>
    </row>
    <row r="1377" spans="1:51" x14ac:dyDescent="0.25">
      <c r="A1377" s="62"/>
      <c r="B1377" s="86"/>
      <c r="C1377" s="86"/>
      <c r="D1377" s="86"/>
      <c r="E1377" s="86"/>
      <c r="F1377" s="86"/>
      <c r="G1377" s="86"/>
      <c r="H1377" s="62"/>
      <c r="I1377" s="62"/>
      <c r="J1377" s="62"/>
      <c r="K1377" s="62"/>
      <c r="L1377" s="62"/>
      <c r="M1377" s="62"/>
      <c r="N1377" s="62"/>
      <c r="O1377" s="62"/>
      <c r="P1377" s="62"/>
      <c r="Q1377" s="62"/>
      <c r="R1377" s="62"/>
      <c r="S1377" s="62"/>
      <c r="T1377" s="62"/>
      <c r="U1377" s="62"/>
      <c r="V1377" s="62"/>
      <c r="W1377" s="62"/>
      <c r="X1377" s="62"/>
      <c r="Y1377" s="62"/>
      <c r="Z1377" s="62"/>
      <c r="AA1377" s="62"/>
      <c r="AB1377" s="62"/>
      <c r="AC1377" s="62"/>
      <c r="AD1377" s="62"/>
      <c r="AE1377" s="62"/>
      <c r="AF1377" s="62"/>
      <c r="AG1377" s="62"/>
      <c r="AH1377" s="62"/>
      <c r="AI1377" s="62"/>
      <c r="AJ1377" s="62"/>
      <c r="AK1377" s="62"/>
      <c r="AL1377" s="62"/>
      <c r="AM1377" s="62"/>
      <c r="AN1377" s="62"/>
      <c r="AO1377" s="62"/>
      <c r="AP1377" s="62"/>
      <c r="AQ1377" s="62"/>
      <c r="AR1377" s="62"/>
      <c r="AS1377" s="62"/>
      <c r="AT1377" s="62"/>
      <c r="AU1377" s="62"/>
      <c r="AV1377" s="62"/>
      <c r="AW1377" s="62"/>
      <c r="AX1377" s="62"/>
      <c r="AY1377" s="62"/>
    </row>
    <row r="1378" spans="1:51" x14ac:dyDescent="0.25">
      <c r="A1378" s="62"/>
      <c r="B1378" s="86"/>
      <c r="C1378" s="86"/>
      <c r="D1378" s="86"/>
      <c r="E1378" s="86"/>
      <c r="F1378" s="86"/>
      <c r="G1378" s="86"/>
      <c r="H1378" s="62"/>
      <c r="I1378" s="62"/>
      <c r="J1378" s="62"/>
      <c r="K1378" s="62"/>
      <c r="L1378" s="62"/>
      <c r="M1378" s="62"/>
      <c r="N1378" s="62"/>
      <c r="O1378" s="62"/>
      <c r="P1378" s="62"/>
      <c r="Q1378" s="62"/>
      <c r="R1378" s="62"/>
      <c r="S1378" s="62"/>
      <c r="T1378" s="62"/>
      <c r="U1378" s="62"/>
      <c r="V1378" s="62"/>
      <c r="W1378" s="62"/>
      <c r="X1378" s="62"/>
      <c r="Y1378" s="62"/>
      <c r="Z1378" s="62"/>
      <c r="AA1378" s="62"/>
      <c r="AB1378" s="62"/>
      <c r="AC1378" s="62"/>
      <c r="AD1378" s="62"/>
      <c r="AE1378" s="62"/>
      <c r="AF1378" s="62"/>
      <c r="AG1378" s="62"/>
      <c r="AH1378" s="62"/>
      <c r="AI1378" s="62"/>
      <c r="AJ1378" s="62"/>
      <c r="AK1378" s="62"/>
      <c r="AL1378" s="62"/>
      <c r="AM1378" s="62"/>
      <c r="AN1378" s="62"/>
      <c r="AO1378" s="62"/>
      <c r="AP1378" s="62"/>
      <c r="AQ1378" s="62"/>
      <c r="AR1378" s="62"/>
      <c r="AS1378" s="62"/>
      <c r="AT1378" s="62"/>
      <c r="AU1378" s="62"/>
      <c r="AV1378" s="62"/>
      <c r="AW1378" s="62"/>
      <c r="AX1378" s="62"/>
      <c r="AY1378" s="62"/>
    </row>
    <row r="1379" spans="1:51" x14ac:dyDescent="0.25">
      <c r="A1379" s="62"/>
      <c r="B1379" s="86"/>
      <c r="C1379" s="86"/>
      <c r="D1379" s="86"/>
      <c r="E1379" s="86"/>
      <c r="F1379" s="86"/>
      <c r="G1379" s="86"/>
      <c r="H1379" s="62"/>
      <c r="I1379" s="62"/>
      <c r="J1379" s="62"/>
      <c r="K1379" s="62"/>
      <c r="L1379" s="62"/>
      <c r="M1379" s="62"/>
      <c r="N1379" s="62"/>
      <c r="O1379" s="62"/>
      <c r="P1379" s="62"/>
      <c r="Q1379" s="62"/>
      <c r="R1379" s="62"/>
      <c r="S1379" s="62"/>
      <c r="T1379" s="62"/>
      <c r="U1379" s="62"/>
      <c r="V1379" s="62"/>
      <c r="W1379" s="62"/>
      <c r="X1379" s="62"/>
      <c r="Y1379" s="62"/>
      <c r="Z1379" s="62"/>
      <c r="AA1379" s="62"/>
      <c r="AB1379" s="62"/>
      <c r="AC1379" s="62"/>
      <c r="AD1379" s="62"/>
      <c r="AE1379" s="62"/>
      <c r="AF1379" s="62"/>
      <c r="AG1379" s="62"/>
      <c r="AH1379" s="62"/>
      <c r="AI1379" s="62"/>
      <c r="AJ1379" s="62"/>
      <c r="AK1379" s="62"/>
      <c r="AL1379" s="62"/>
      <c r="AM1379" s="62"/>
      <c r="AN1379" s="62"/>
      <c r="AO1379" s="62"/>
      <c r="AP1379" s="62"/>
      <c r="AQ1379" s="62"/>
      <c r="AR1379" s="62"/>
      <c r="AS1379" s="62"/>
      <c r="AT1379" s="62"/>
      <c r="AU1379" s="62"/>
      <c r="AV1379" s="62"/>
      <c r="AW1379" s="62"/>
      <c r="AX1379" s="62"/>
      <c r="AY1379" s="62"/>
    </row>
    <row r="1380" spans="1:51" x14ac:dyDescent="0.25">
      <c r="A1380" s="62"/>
      <c r="B1380" s="86"/>
      <c r="C1380" s="86"/>
      <c r="D1380" s="86"/>
      <c r="E1380" s="86"/>
      <c r="F1380" s="86"/>
      <c r="G1380" s="86"/>
      <c r="H1380" s="62"/>
      <c r="I1380" s="62"/>
      <c r="J1380" s="62"/>
      <c r="K1380" s="62"/>
      <c r="L1380" s="62"/>
      <c r="M1380" s="62"/>
      <c r="N1380" s="62"/>
      <c r="O1380" s="62"/>
      <c r="P1380" s="62"/>
      <c r="Q1380" s="62"/>
      <c r="R1380" s="62"/>
      <c r="S1380" s="62"/>
      <c r="T1380" s="62"/>
      <c r="U1380" s="62"/>
      <c r="V1380" s="62"/>
      <c r="W1380" s="62"/>
      <c r="X1380" s="62"/>
      <c r="Y1380" s="62"/>
      <c r="Z1380" s="62"/>
      <c r="AA1380" s="62"/>
      <c r="AB1380" s="62"/>
      <c r="AC1380" s="62"/>
      <c r="AD1380" s="62"/>
      <c r="AE1380" s="62"/>
      <c r="AF1380" s="62"/>
      <c r="AG1380" s="62"/>
      <c r="AH1380" s="62"/>
      <c r="AI1380" s="62"/>
      <c r="AJ1380" s="62"/>
      <c r="AK1380" s="62"/>
      <c r="AL1380" s="62"/>
      <c r="AM1380" s="62"/>
      <c r="AN1380" s="62"/>
      <c r="AO1380" s="62"/>
      <c r="AP1380" s="62"/>
      <c r="AQ1380" s="62"/>
      <c r="AR1380" s="62"/>
      <c r="AS1380" s="62"/>
      <c r="AT1380" s="62"/>
      <c r="AU1380" s="62"/>
      <c r="AV1380" s="62"/>
      <c r="AW1380" s="62"/>
      <c r="AX1380" s="62"/>
      <c r="AY1380" s="62"/>
    </row>
    <row r="1381" spans="1:51" x14ac:dyDescent="0.25">
      <c r="A1381" s="62"/>
      <c r="B1381" s="86"/>
      <c r="C1381" s="86"/>
      <c r="D1381" s="86"/>
      <c r="E1381" s="86"/>
      <c r="F1381" s="86"/>
      <c r="G1381" s="86"/>
      <c r="H1381" s="62"/>
      <c r="I1381" s="62"/>
      <c r="J1381" s="62"/>
      <c r="K1381" s="62"/>
      <c r="L1381" s="62"/>
      <c r="M1381" s="62"/>
      <c r="N1381" s="62"/>
      <c r="O1381" s="62"/>
      <c r="P1381" s="62"/>
      <c r="Q1381" s="62"/>
      <c r="R1381" s="62"/>
      <c r="S1381" s="62"/>
      <c r="T1381" s="62"/>
      <c r="U1381" s="62"/>
      <c r="V1381" s="62"/>
      <c r="W1381" s="62"/>
      <c r="X1381" s="62"/>
      <c r="Y1381" s="62"/>
      <c r="Z1381" s="62"/>
      <c r="AA1381" s="62"/>
      <c r="AB1381" s="62"/>
      <c r="AC1381" s="62"/>
      <c r="AD1381" s="62"/>
      <c r="AE1381" s="62"/>
      <c r="AF1381" s="62"/>
      <c r="AG1381" s="62"/>
      <c r="AH1381" s="62"/>
      <c r="AI1381" s="62"/>
      <c r="AJ1381" s="62"/>
      <c r="AK1381" s="62"/>
      <c r="AL1381" s="62"/>
      <c r="AM1381" s="62"/>
      <c r="AN1381" s="62"/>
      <c r="AO1381" s="62"/>
      <c r="AP1381" s="62"/>
      <c r="AQ1381" s="62"/>
      <c r="AR1381" s="62"/>
      <c r="AS1381" s="62"/>
      <c r="AT1381" s="62"/>
      <c r="AU1381" s="62"/>
      <c r="AV1381" s="62"/>
      <c r="AW1381" s="62"/>
      <c r="AX1381" s="62"/>
      <c r="AY1381" s="62"/>
    </row>
    <row r="1382" spans="1:51" x14ac:dyDescent="0.25">
      <c r="A1382" s="62"/>
      <c r="B1382" s="86"/>
      <c r="C1382" s="86"/>
      <c r="D1382" s="86"/>
      <c r="E1382" s="86"/>
      <c r="F1382" s="86"/>
      <c r="G1382" s="86"/>
      <c r="H1382" s="62"/>
      <c r="I1382" s="62"/>
      <c r="J1382" s="62"/>
      <c r="K1382" s="62"/>
      <c r="L1382" s="62"/>
      <c r="M1382" s="62"/>
      <c r="N1382" s="62"/>
      <c r="O1382" s="62"/>
      <c r="P1382" s="62"/>
      <c r="Q1382" s="62"/>
      <c r="R1382" s="62"/>
      <c r="S1382" s="62"/>
      <c r="T1382" s="62"/>
      <c r="U1382" s="62"/>
      <c r="V1382" s="62"/>
      <c r="W1382" s="62"/>
      <c r="X1382" s="62"/>
      <c r="Y1382" s="62"/>
      <c r="Z1382" s="62"/>
      <c r="AA1382" s="62"/>
      <c r="AB1382" s="62"/>
      <c r="AC1382" s="62"/>
      <c r="AD1382" s="62"/>
      <c r="AE1382" s="62"/>
      <c r="AF1382" s="62"/>
      <c r="AG1382" s="62"/>
      <c r="AH1382" s="62"/>
      <c r="AI1382" s="62"/>
      <c r="AJ1382" s="62"/>
      <c r="AK1382" s="62"/>
      <c r="AL1382" s="62"/>
      <c r="AM1382" s="62"/>
      <c r="AN1382" s="62"/>
      <c r="AO1382" s="62"/>
      <c r="AP1382" s="62"/>
      <c r="AQ1382" s="62"/>
      <c r="AR1382" s="62"/>
      <c r="AS1382" s="62"/>
      <c r="AT1382" s="62"/>
      <c r="AU1382" s="62"/>
      <c r="AV1382" s="62"/>
      <c r="AW1382" s="62"/>
      <c r="AX1382" s="62"/>
      <c r="AY1382" s="62"/>
    </row>
    <row r="1383" spans="1:51" x14ac:dyDescent="0.25">
      <c r="A1383" s="62"/>
      <c r="B1383" s="86"/>
      <c r="C1383" s="86"/>
      <c r="D1383" s="86"/>
      <c r="E1383" s="86"/>
      <c r="F1383" s="86"/>
      <c r="G1383" s="86"/>
      <c r="H1383" s="62"/>
      <c r="I1383" s="62"/>
      <c r="J1383" s="62"/>
      <c r="K1383" s="62"/>
      <c r="L1383" s="62"/>
      <c r="M1383" s="62"/>
      <c r="N1383" s="62"/>
      <c r="O1383" s="62"/>
      <c r="P1383" s="62"/>
      <c r="Q1383" s="62"/>
      <c r="R1383" s="62"/>
      <c r="S1383" s="62"/>
      <c r="T1383" s="62"/>
      <c r="U1383" s="62"/>
      <c r="V1383" s="62"/>
      <c r="W1383" s="62"/>
      <c r="X1383" s="62"/>
      <c r="Y1383" s="62"/>
      <c r="Z1383" s="62"/>
      <c r="AA1383" s="62"/>
      <c r="AB1383" s="62"/>
      <c r="AC1383" s="62"/>
      <c r="AD1383" s="62"/>
      <c r="AE1383" s="62"/>
      <c r="AF1383" s="62"/>
      <c r="AG1383" s="62"/>
      <c r="AH1383" s="62"/>
      <c r="AI1383" s="62"/>
      <c r="AJ1383" s="62"/>
      <c r="AK1383" s="62"/>
      <c r="AL1383" s="62"/>
      <c r="AM1383" s="62"/>
      <c r="AN1383" s="62"/>
      <c r="AO1383" s="62"/>
      <c r="AP1383" s="62"/>
      <c r="AQ1383" s="62"/>
      <c r="AR1383" s="62"/>
      <c r="AS1383" s="62"/>
      <c r="AT1383" s="62"/>
      <c r="AU1383" s="62"/>
      <c r="AV1383" s="62"/>
      <c r="AW1383" s="62"/>
      <c r="AX1383" s="62"/>
      <c r="AY1383" s="62"/>
    </row>
    <row r="1384" spans="1:51" x14ac:dyDescent="0.25">
      <c r="A1384" s="62"/>
      <c r="B1384" s="86"/>
      <c r="C1384" s="86"/>
      <c r="D1384" s="86"/>
      <c r="E1384" s="86"/>
      <c r="F1384" s="86"/>
      <c r="G1384" s="86"/>
      <c r="H1384" s="62"/>
      <c r="I1384" s="62"/>
      <c r="J1384" s="62"/>
      <c r="K1384" s="62"/>
      <c r="L1384" s="62"/>
      <c r="M1384" s="62"/>
      <c r="N1384" s="62"/>
      <c r="O1384" s="62"/>
      <c r="P1384" s="62"/>
      <c r="Q1384" s="62"/>
      <c r="R1384" s="62"/>
      <c r="S1384" s="62"/>
      <c r="T1384" s="62"/>
      <c r="U1384" s="62"/>
      <c r="V1384" s="62"/>
      <c r="W1384" s="62"/>
      <c r="X1384" s="62"/>
      <c r="Y1384" s="62"/>
      <c r="Z1384" s="62"/>
      <c r="AA1384" s="62"/>
      <c r="AB1384" s="62"/>
      <c r="AC1384" s="62"/>
      <c r="AD1384" s="62"/>
      <c r="AE1384" s="62"/>
      <c r="AF1384" s="62"/>
      <c r="AG1384" s="62"/>
      <c r="AH1384" s="62"/>
      <c r="AI1384" s="62"/>
      <c r="AJ1384" s="62"/>
      <c r="AK1384" s="62"/>
      <c r="AL1384" s="62"/>
      <c r="AM1384" s="62"/>
      <c r="AN1384" s="62"/>
      <c r="AO1384" s="62"/>
      <c r="AP1384" s="62"/>
      <c r="AQ1384" s="62"/>
      <c r="AR1384" s="62"/>
      <c r="AS1384" s="62"/>
      <c r="AT1384" s="62"/>
      <c r="AU1384" s="62"/>
      <c r="AV1384" s="62"/>
      <c r="AW1384" s="62"/>
      <c r="AX1384" s="62"/>
      <c r="AY1384" s="62"/>
    </row>
    <row r="1385" spans="1:51" x14ac:dyDescent="0.25">
      <c r="A1385" s="62"/>
      <c r="B1385" s="86"/>
      <c r="C1385" s="86"/>
      <c r="D1385" s="86"/>
      <c r="E1385" s="86"/>
      <c r="F1385" s="86"/>
      <c r="G1385" s="86"/>
      <c r="H1385" s="62"/>
      <c r="I1385" s="62"/>
      <c r="J1385" s="62"/>
      <c r="K1385" s="62"/>
      <c r="L1385" s="62"/>
      <c r="M1385" s="62"/>
      <c r="N1385" s="62"/>
      <c r="O1385" s="62"/>
      <c r="P1385" s="62"/>
      <c r="Q1385" s="62"/>
      <c r="R1385" s="62"/>
      <c r="S1385" s="62"/>
      <c r="T1385" s="62"/>
      <c r="U1385" s="62"/>
      <c r="V1385" s="62"/>
      <c r="W1385" s="62"/>
      <c r="X1385" s="62"/>
      <c r="Y1385" s="62"/>
      <c r="Z1385" s="62"/>
      <c r="AA1385" s="62"/>
      <c r="AB1385" s="62"/>
      <c r="AC1385" s="62"/>
      <c r="AD1385" s="62"/>
      <c r="AE1385" s="62"/>
      <c r="AF1385" s="62"/>
      <c r="AG1385" s="62"/>
      <c r="AH1385" s="62"/>
      <c r="AI1385" s="62"/>
      <c r="AJ1385" s="62"/>
      <c r="AK1385" s="62"/>
      <c r="AL1385" s="62"/>
      <c r="AM1385" s="62"/>
      <c r="AN1385" s="62"/>
      <c r="AO1385" s="62"/>
      <c r="AP1385" s="62"/>
      <c r="AQ1385" s="62"/>
      <c r="AR1385" s="62"/>
      <c r="AS1385" s="62"/>
      <c r="AT1385" s="62"/>
      <c r="AU1385" s="62"/>
      <c r="AV1385" s="62"/>
      <c r="AW1385" s="62"/>
      <c r="AX1385" s="62"/>
      <c r="AY1385" s="62"/>
    </row>
    <row r="1386" spans="1:51" x14ac:dyDescent="0.25">
      <c r="A1386" s="62"/>
      <c r="B1386" s="86"/>
      <c r="C1386" s="86"/>
      <c r="D1386" s="86"/>
      <c r="E1386" s="86"/>
      <c r="F1386" s="86"/>
      <c r="G1386" s="86"/>
      <c r="H1386" s="62"/>
      <c r="I1386" s="62"/>
      <c r="J1386" s="62"/>
      <c r="K1386" s="62"/>
      <c r="L1386" s="62"/>
      <c r="M1386" s="62"/>
      <c r="N1386" s="62"/>
      <c r="O1386" s="62"/>
      <c r="P1386" s="62"/>
      <c r="Q1386" s="62"/>
      <c r="R1386" s="62"/>
      <c r="S1386" s="62"/>
      <c r="T1386" s="62"/>
      <c r="U1386" s="62"/>
      <c r="V1386" s="62"/>
      <c r="W1386" s="62"/>
      <c r="X1386" s="62"/>
      <c r="Y1386" s="62"/>
      <c r="Z1386" s="62"/>
      <c r="AA1386" s="62"/>
      <c r="AB1386" s="62"/>
      <c r="AC1386" s="62"/>
      <c r="AD1386" s="62"/>
      <c r="AE1386" s="62"/>
      <c r="AF1386" s="62"/>
      <c r="AG1386" s="62"/>
      <c r="AH1386" s="62"/>
      <c r="AI1386" s="62"/>
      <c r="AJ1386" s="62"/>
      <c r="AK1386" s="62"/>
      <c r="AL1386" s="62"/>
      <c r="AM1386" s="62"/>
      <c r="AN1386" s="62"/>
      <c r="AO1386" s="62"/>
      <c r="AP1386" s="62"/>
      <c r="AQ1386" s="62"/>
      <c r="AR1386" s="62"/>
      <c r="AS1386" s="62"/>
      <c r="AT1386" s="62"/>
      <c r="AU1386" s="62"/>
      <c r="AV1386" s="62"/>
      <c r="AW1386" s="62"/>
      <c r="AX1386" s="62"/>
      <c r="AY1386" s="62"/>
    </row>
    <row r="1387" spans="1:51" x14ac:dyDescent="0.25">
      <c r="A1387" s="62"/>
      <c r="B1387" s="86"/>
      <c r="C1387" s="86"/>
      <c r="D1387" s="86"/>
      <c r="E1387" s="86"/>
      <c r="F1387" s="86"/>
      <c r="G1387" s="86"/>
      <c r="H1387" s="62"/>
      <c r="I1387" s="62"/>
      <c r="J1387" s="62"/>
      <c r="K1387" s="62"/>
      <c r="L1387" s="62"/>
      <c r="M1387" s="62"/>
      <c r="N1387" s="62"/>
      <c r="O1387" s="62"/>
      <c r="P1387" s="62"/>
      <c r="Q1387" s="62"/>
      <c r="R1387" s="62"/>
      <c r="S1387" s="62"/>
      <c r="T1387" s="62"/>
      <c r="U1387" s="62"/>
      <c r="V1387" s="62"/>
      <c r="W1387" s="62"/>
      <c r="X1387" s="62"/>
      <c r="Y1387" s="62"/>
      <c r="Z1387" s="62"/>
      <c r="AA1387" s="62"/>
      <c r="AB1387" s="62"/>
      <c r="AC1387" s="62"/>
      <c r="AD1387" s="62"/>
      <c r="AE1387" s="62"/>
      <c r="AF1387" s="62"/>
      <c r="AG1387" s="62"/>
      <c r="AH1387" s="62"/>
      <c r="AI1387" s="62"/>
      <c r="AJ1387" s="62"/>
      <c r="AK1387" s="62"/>
      <c r="AL1387" s="62"/>
      <c r="AM1387" s="62"/>
      <c r="AN1387" s="62"/>
      <c r="AO1387" s="62"/>
      <c r="AP1387" s="62"/>
      <c r="AQ1387" s="62"/>
      <c r="AR1387" s="62"/>
      <c r="AS1387" s="62"/>
      <c r="AT1387" s="62"/>
      <c r="AU1387" s="62"/>
      <c r="AV1387" s="62"/>
      <c r="AW1387" s="62"/>
      <c r="AX1387" s="62"/>
      <c r="AY1387" s="62"/>
    </row>
    <row r="1388" spans="1:51" x14ac:dyDescent="0.25">
      <c r="A1388" s="62"/>
      <c r="B1388" s="86"/>
      <c r="C1388" s="86"/>
      <c r="D1388" s="86"/>
      <c r="E1388" s="86"/>
      <c r="F1388" s="86"/>
      <c r="G1388" s="86"/>
      <c r="H1388" s="62"/>
      <c r="I1388" s="62"/>
      <c r="J1388" s="62"/>
      <c r="K1388" s="62"/>
      <c r="L1388" s="62"/>
      <c r="M1388" s="62"/>
      <c r="N1388" s="62"/>
      <c r="O1388" s="62"/>
      <c r="P1388" s="62"/>
      <c r="Q1388" s="62"/>
      <c r="R1388" s="62"/>
      <c r="S1388" s="62"/>
      <c r="T1388" s="62"/>
      <c r="U1388" s="62"/>
      <c r="V1388" s="62"/>
      <c r="W1388" s="62"/>
      <c r="X1388" s="62"/>
      <c r="Y1388" s="62"/>
      <c r="Z1388" s="62"/>
      <c r="AA1388" s="62"/>
      <c r="AB1388" s="62"/>
      <c r="AC1388" s="62"/>
      <c r="AD1388" s="62"/>
      <c r="AE1388" s="62"/>
      <c r="AF1388" s="62"/>
      <c r="AG1388" s="62"/>
      <c r="AH1388" s="62"/>
      <c r="AI1388" s="62"/>
      <c r="AJ1388" s="62"/>
      <c r="AK1388" s="62"/>
      <c r="AL1388" s="62"/>
      <c r="AM1388" s="62"/>
      <c r="AN1388" s="62"/>
      <c r="AO1388" s="62"/>
      <c r="AP1388" s="62"/>
      <c r="AQ1388" s="62"/>
      <c r="AR1388" s="62"/>
      <c r="AS1388" s="62"/>
      <c r="AT1388" s="62"/>
      <c r="AU1388" s="62"/>
      <c r="AV1388" s="62"/>
      <c r="AW1388" s="62"/>
      <c r="AX1388" s="62"/>
      <c r="AY1388" s="62"/>
    </row>
    <row r="1389" spans="1:51" x14ac:dyDescent="0.25">
      <c r="A1389" s="62"/>
      <c r="B1389" s="86"/>
      <c r="C1389" s="86"/>
      <c r="D1389" s="86"/>
      <c r="E1389" s="86"/>
      <c r="F1389" s="86"/>
      <c r="G1389" s="86"/>
      <c r="H1389" s="62"/>
      <c r="I1389" s="62"/>
      <c r="J1389" s="62"/>
      <c r="K1389" s="62"/>
      <c r="L1389" s="62"/>
      <c r="M1389" s="62"/>
      <c r="N1389" s="62"/>
      <c r="O1389" s="62"/>
      <c r="P1389" s="62"/>
      <c r="Q1389" s="62"/>
      <c r="R1389" s="62"/>
      <c r="S1389" s="62"/>
      <c r="T1389" s="62"/>
      <c r="U1389" s="62"/>
      <c r="V1389" s="62"/>
      <c r="W1389" s="62"/>
      <c r="X1389" s="62"/>
      <c r="Y1389" s="62"/>
      <c r="Z1389" s="62"/>
      <c r="AA1389" s="62"/>
      <c r="AB1389" s="62"/>
      <c r="AC1389" s="62"/>
      <c r="AD1389" s="62"/>
      <c r="AE1389" s="62"/>
      <c r="AF1389" s="62"/>
      <c r="AG1389" s="62"/>
      <c r="AH1389" s="62"/>
      <c r="AI1389" s="62"/>
      <c r="AJ1389" s="62"/>
      <c r="AK1389" s="62"/>
      <c r="AL1389" s="62"/>
      <c r="AM1389" s="62"/>
      <c r="AN1389" s="62"/>
      <c r="AO1389" s="62"/>
      <c r="AP1389" s="62"/>
      <c r="AQ1389" s="62"/>
      <c r="AR1389" s="62"/>
      <c r="AS1389" s="62"/>
      <c r="AT1389" s="62"/>
      <c r="AU1389" s="62"/>
      <c r="AV1389" s="62"/>
      <c r="AW1389" s="62"/>
      <c r="AX1389" s="62"/>
      <c r="AY1389" s="62"/>
    </row>
    <row r="1390" spans="1:51" x14ac:dyDescent="0.25">
      <c r="A1390" s="62"/>
      <c r="B1390" s="86"/>
      <c r="C1390" s="86"/>
      <c r="D1390" s="86"/>
      <c r="E1390" s="86"/>
      <c r="F1390" s="86"/>
      <c r="G1390" s="86"/>
      <c r="H1390" s="62"/>
      <c r="I1390" s="62"/>
      <c r="J1390" s="62"/>
      <c r="K1390" s="62"/>
      <c r="L1390" s="62"/>
      <c r="M1390" s="62"/>
      <c r="N1390" s="62"/>
      <c r="O1390" s="62"/>
      <c r="P1390" s="62"/>
      <c r="Q1390" s="62"/>
      <c r="R1390" s="62"/>
      <c r="S1390" s="62"/>
      <c r="T1390" s="62"/>
      <c r="U1390" s="62"/>
      <c r="V1390" s="62"/>
      <c r="W1390" s="62"/>
      <c r="X1390" s="62"/>
      <c r="Y1390" s="62"/>
      <c r="Z1390" s="62"/>
      <c r="AA1390" s="62"/>
      <c r="AB1390" s="62"/>
      <c r="AC1390" s="62"/>
      <c r="AD1390" s="62"/>
      <c r="AE1390" s="62"/>
      <c r="AF1390" s="62"/>
      <c r="AG1390" s="62"/>
      <c r="AH1390" s="62"/>
      <c r="AI1390" s="62"/>
      <c r="AJ1390" s="62"/>
      <c r="AK1390" s="62"/>
      <c r="AL1390" s="62"/>
      <c r="AM1390" s="62"/>
      <c r="AN1390" s="62"/>
      <c r="AO1390" s="62"/>
      <c r="AP1390" s="62"/>
      <c r="AQ1390" s="62"/>
      <c r="AR1390" s="62"/>
      <c r="AS1390" s="62"/>
      <c r="AT1390" s="62"/>
      <c r="AU1390" s="62"/>
      <c r="AV1390" s="62"/>
      <c r="AW1390" s="62"/>
      <c r="AX1390" s="62"/>
      <c r="AY1390" s="62"/>
    </row>
    <row r="1391" spans="1:51" x14ac:dyDescent="0.25">
      <c r="A1391" s="62"/>
      <c r="B1391" s="86"/>
      <c r="C1391" s="86"/>
      <c r="D1391" s="86"/>
      <c r="E1391" s="86"/>
      <c r="F1391" s="86"/>
      <c r="G1391" s="86"/>
      <c r="H1391" s="62"/>
      <c r="I1391" s="62"/>
      <c r="J1391" s="62"/>
      <c r="K1391" s="62"/>
      <c r="L1391" s="62"/>
      <c r="M1391" s="62"/>
      <c r="N1391" s="62"/>
      <c r="O1391" s="62"/>
      <c r="P1391" s="62"/>
      <c r="Q1391" s="62"/>
      <c r="R1391" s="62"/>
      <c r="S1391" s="62"/>
      <c r="T1391" s="62"/>
      <c r="U1391" s="62"/>
      <c r="V1391" s="62"/>
      <c r="W1391" s="62"/>
      <c r="X1391" s="62"/>
      <c r="Y1391" s="62"/>
      <c r="Z1391" s="62"/>
      <c r="AA1391" s="62"/>
      <c r="AB1391" s="62"/>
      <c r="AC1391" s="62"/>
      <c r="AD1391" s="62"/>
      <c r="AE1391" s="62"/>
      <c r="AF1391" s="62"/>
      <c r="AG1391" s="62"/>
      <c r="AH1391" s="62"/>
      <c r="AI1391" s="62"/>
      <c r="AJ1391" s="62"/>
      <c r="AK1391" s="62"/>
      <c r="AL1391" s="62"/>
      <c r="AM1391" s="62"/>
      <c r="AN1391" s="62"/>
      <c r="AO1391" s="62"/>
      <c r="AP1391" s="62"/>
      <c r="AQ1391" s="62"/>
      <c r="AR1391" s="62"/>
      <c r="AS1391" s="62"/>
      <c r="AT1391" s="62"/>
      <c r="AU1391" s="62"/>
      <c r="AV1391" s="62"/>
      <c r="AW1391" s="62"/>
      <c r="AX1391" s="62"/>
      <c r="AY1391" s="62"/>
    </row>
    <row r="1392" spans="1:51" x14ac:dyDescent="0.25">
      <c r="A1392" s="62"/>
      <c r="B1392" s="86"/>
      <c r="C1392" s="86"/>
      <c r="D1392" s="86"/>
      <c r="E1392" s="86"/>
      <c r="F1392" s="86"/>
      <c r="G1392" s="86"/>
      <c r="H1392" s="62"/>
      <c r="I1392" s="62"/>
      <c r="J1392" s="62"/>
      <c r="K1392" s="62"/>
      <c r="L1392" s="62"/>
      <c r="M1392" s="62"/>
      <c r="N1392" s="62"/>
      <c r="O1392" s="62"/>
      <c r="P1392" s="62"/>
      <c r="Q1392" s="62"/>
      <c r="R1392" s="62"/>
      <c r="S1392" s="62"/>
      <c r="T1392" s="62"/>
      <c r="U1392" s="62"/>
      <c r="V1392" s="62"/>
      <c r="W1392" s="62"/>
      <c r="X1392" s="62"/>
      <c r="Y1392" s="62"/>
      <c r="Z1392" s="62"/>
      <c r="AA1392" s="62"/>
      <c r="AB1392" s="62"/>
      <c r="AC1392" s="62"/>
      <c r="AD1392" s="62"/>
      <c r="AE1392" s="62"/>
      <c r="AF1392" s="62"/>
      <c r="AG1392" s="62"/>
      <c r="AH1392" s="62"/>
      <c r="AI1392" s="62"/>
      <c r="AJ1392" s="62"/>
      <c r="AK1392" s="62"/>
      <c r="AL1392" s="62"/>
      <c r="AM1392" s="62"/>
      <c r="AN1392" s="62"/>
      <c r="AO1392" s="62"/>
      <c r="AP1392" s="62"/>
      <c r="AQ1392" s="62"/>
      <c r="AR1392" s="62"/>
      <c r="AS1392" s="62"/>
      <c r="AT1392" s="62"/>
      <c r="AU1392" s="62"/>
      <c r="AV1392" s="62"/>
      <c r="AW1392" s="62"/>
      <c r="AX1392" s="62"/>
      <c r="AY1392" s="62"/>
    </row>
    <row r="1393" spans="1:51" x14ac:dyDescent="0.25">
      <c r="A1393" s="62"/>
      <c r="B1393" s="86"/>
      <c r="C1393" s="86"/>
      <c r="D1393" s="86"/>
      <c r="E1393" s="86"/>
      <c r="F1393" s="86"/>
      <c r="G1393" s="86"/>
      <c r="H1393" s="62"/>
      <c r="I1393" s="62"/>
      <c r="J1393" s="62"/>
      <c r="K1393" s="62"/>
      <c r="L1393" s="62"/>
      <c r="M1393" s="62"/>
      <c r="N1393" s="62"/>
      <c r="O1393" s="62"/>
      <c r="P1393" s="62"/>
      <c r="Q1393" s="62"/>
      <c r="R1393" s="62"/>
      <c r="S1393" s="62"/>
      <c r="T1393" s="62"/>
      <c r="U1393" s="62"/>
      <c r="V1393" s="62"/>
      <c r="W1393" s="62"/>
      <c r="X1393" s="62"/>
      <c r="Y1393" s="62"/>
      <c r="Z1393" s="62"/>
      <c r="AA1393" s="62"/>
      <c r="AB1393" s="62"/>
      <c r="AC1393" s="62"/>
      <c r="AD1393" s="62"/>
      <c r="AE1393" s="62"/>
      <c r="AF1393" s="62"/>
      <c r="AG1393" s="62"/>
      <c r="AH1393" s="62"/>
      <c r="AI1393" s="62"/>
      <c r="AJ1393" s="62"/>
      <c r="AK1393" s="62"/>
      <c r="AL1393" s="62"/>
      <c r="AM1393" s="62"/>
      <c r="AN1393" s="62"/>
      <c r="AO1393" s="62"/>
      <c r="AP1393" s="62"/>
      <c r="AQ1393" s="62"/>
      <c r="AR1393" s="62"/>
      <c r="AS1393" s="62"/>
      <c r="AT1393" s="62"/>
      <c r="AU1393" s="62"/>
      <c r="AV1393" s="62"/>
      <c r="AW1393" s="62"/>
      <c r="AX1393" s="62"/>
      <c r="AY1393" s="62"/>
    </row>
    <row r="1394" spans="1:51" x14ac:dyDescent="0.25">
      <c r="A1394" s="62"/>
      <c r="B1394" s="86"/>
      <c r="C1394" s="86"/>
      <c r="D1394" s="86"/>
      <c r="E1394" s="86"/>
      <c r="F1394" s="86"/>
      <c r="G1394" s="86"/>
      <c r="H1394" s="62"/>
      <c r="I1394" s="62"/>
      <c r="J1394" s="62"/>
      <c r="K1394" s="62"/>
      <c r="L1394" s="62"/>
      <c r="M1394" s="62"/>
      <c r="N1394" s="62"/>
      <c r="O1394" s="62"/>
      <c r="P1394" s="62"/>
      <c r="Q1394" s="62"/>
      <c r="R1394" s="62"/>
      <c r="S1394" s="62"/>
      <c r="T1394" s="62"/>
      <c r="U1394" s="62"/>
      <c r="V1394" s="62"/>
      <c r="W1394" s="62"/>
      <c r="X1394" s="62"/>
      <c r="Y1394" s="62"/>
      <c r="Z1394" s="62"/>
      <c r="AA1394" s="62"/>
      <c r="AB1394" s="62"/>
      <c r="AC1394" s="62"/>
      <c r="AD1394" s="62"/>
      <c r="AE1394" s="62"/>
      <c r="AF1394" s="62"/>
      <c r="AG1394" s="62"/>
      <c r="AH1394" s="62"/>
      <c r="AI1394" s="62"/>
      <c r="AJ1394" s="62"/>
      <c r="AK1394" s="62"/>
      <c r="AL1394" s="62"/>
      <c r="AM1394" s="62"/>
      <c r="AN1394" s="62"/>
      <c r="AO1394" s="62"/>
      <c r="AP1394" s="62"/>
      <c r="AQ1394" s="62"/>
      <c r="AR1394" s="62"/>
      <c r="AS1394" s="62"/>
      <c r="AT1394" s="62"/>
      <c r="AU1394" s="62"/>
      <c r="AV1394" s="62"/>
      <c r="AW1394" s="62"/>
      <c r="AX1394" s="62"/>
      <c r="AY1394" s="62"/>
    </row>
    <row r="1395" spans="1:51" x14ac:dyDescent="0.25">
      <c r="A1395" s="62"/>
      <c r="B1395" s="86"/>
      <c r="C1395" s="86"/>
      <c r="D1395" s="86"/>
      <c r="E1395" s="86"/>
      <c r="F1395" s="86"/>
      <c r="G1395" s="86"/>
      <c r="H1395" s="62"/>
      <c r="I1395" s="62"/>
      <c r="J1395" s="62"/>
      <c r="K1395" s="62"/>
      <c r="L1395" s="62"/>
      <c r="M1395" s="62"/>
      <c r="N1395" s="62"/>
      <c r="O1395" s="62"/>
      <c r="P1395" s="62"/>
      <c r="Q1395" s="62"/>
      <c r="R1395" s="62"/>
      <c r="S1395" s="62"/>
      <c r="T1395" s="62"/>
      <c r="U1395" s="62"/>
      <c r="V1395" s="62"/>
      <c r="W1395" s="62"/>
      <c r="X1395" s="62"/>
      <c r="Y1395" s="62"/>
      <c r="Z1395" s="62"/>
      <c r="AA1395" s="62"/>
      <c r="AB1395" s="62"/>
      <c r="AC1395" s="62"/>
      <c r="AD1395" s="62"/>
      <c r="AE1395" s="62"/>
      <c r="AF1395" s="62"/>
      <c r="AG1395" s="62"/>
      <c r="AH1395" s="62"/>
      <c r="AI1395" s="62"/>
      <c r="AJ1395" s="62"/>
      <c r="AK1395" s="62"/>
      <c r="AL1395" s="62"/>
      <c r="AM1395" s="62"/>
      <c r="AN1395" s="62"/>
      <c r="AO1395" s="62"/>
      <c r="AP1395" s="62"/>
      <c r="AQ1395" s="62"/>
      <c r="AR1395" s="62"/>
      <c r="AS1395" s="62"/>
      <c r="AT1395" s="62"/>
      <c r="AU1395" s="62"/>
      <c r="AV1395" s="62"/>
      <c r="AW1395" s="62"/>
      <c r="AX1395" s="62"/>
      <c r="AY1395" s="62"/>
    </row>
    <row r="1396" spans="1:51" x14ac:dyDescent="0.25">
      <c r="A1396" s="62"/>
      <c r="B1396" s="86"/>
      <c r="C1396" s="86"/>
      <c r="D1396" s="86"/>
      <c r="E1396" s="86"/>
      <c r="F1396" s="86"/>
      <c r="G1396" s="86"/>
      <c r="H1396" s="62"/>
      <c r="I1396" s="62"/>
      <c r="J1396" s="62"/>
      <c r="K1396" s="62"/>
      <c r="L1396" s="62"/>
      <c r="M1396" s="62"/>
      <c r="N1396" s="62"/>
      <c r="O1396" s="62"/>
      <c r="P1396" s="62"/>
      <c r="Q1396" s="62"/>
      <c r="R1396" s="62"/>
      <c r="S1396" s="62"/>
      <c r="T1396" s="62"/>
      <c r="U1396" s="62"/>
      <c r="V1396" s="62"/>
      <c r="W1396" s="62"/>
      <c r="X1396" s="62"/>
      <c r="Y1396" s="62"/>
      <c r="Z1396" s="62"/>
      <c r="AA1396" s="62"/>
      <c r="AB1396" s="62"/>
      <c r="AC1396" s="62"/>
      <c r="AD1396" s="62"/>
      <c r="AE1396" s="62"/>
      <c r="AF1396" s="62"/>
      <c r="AG1396" s="62"/>
      <c r="AH1396" s="62"/>
      <c r="AI1396" s="62"/>
      <c r="AJ1396" s="62"/>
      <c r="AK1396" s="62"/>
      <c r="AL1396" s="62"/>
      <c r="AM1396" s="62"/>
      <c r="AN1396" s="62"/>
      <c r="AO1396" s="62"/>
      <c r="AP1396" s="62"/>
      <c r="AQ1396" s="62"/>
      <c r="AR1396" s="62"/>
      <c r="AS1396" s="62"/>
      <c r="AT1396" s="62"/>
      <c r="AU1396" s="62"/>
      <c r="AV1396" s="62"/>
      <c r="AW1396" s="62"/>
      <c r="AX1396" s="62"/>
      <c r="AY1396" s="62"/>
    </row>
    <row r="1397" spans="1:51" x14ac:dyDescent="0.25">
      <c r="A1397" s="62"/>
      <c r="B1397" s="86"/>
      <c r="C1397" s="86"/>
      <c r="D1397" s="86"/>
      <c r="E1397" s="86"/>
      <c r="F1397" s="86"/>
      <c r="G1397" s="86"/>
      <c r="H1397" s="62"/>
      <c r="I1397" s="62"/>
      <c r="J1397" s="62"/>
      <c r="K1397" s="62"/>
      <c r="L1397" s="62"/>
      <c r="M1397" s="62"/>
      <c r="N1397" s="62"/>
      <c r="O1397" s="62"/>
      <c r="P1397" s="62"/>
      <c r="Q1397" s="62"/>
      <c r="R1397" s="62"/>
      <c r="S1397" s="62"/>
      <c r="T1397" s="62"/>
      <c r="U1397" s="62"/>
      <c r="V1397" s="62"/>
      <c r="W1397" s="62"/>
      <c r="X1397" s="62"/>
      <c r="Y1397" s="62"/>
      <c r="Z1397" s="62"/>
      <c r="AA1397" s="62"/>
      <c r="AB1397" s="62"/>
      <c r="AC1397" s="62"/>
      <c r="AD1397" s="62"/>
      <c r="AE1397" s="62"/>
      <c r="AF1397" s="62"/>
      <c r="AG1397" s="62"/>
      <c r="AH1397" s="62"/>
      <c r="AI1397" s="62"/>
      <c r="AJ1397" s="62"/>
      <c r="AK1397" s="62"/>
      <c r="AL1397" s="62"/>
      <c r="AM1397" s="62"/>
      <c r="AN1397" s="62"/>
      <c r="AO1397" s="62"/>
      <c r="AP1397" s="62"/>
      <c r="AQ1397" s="62"/>
      <c r="AR1397" s="62"/>
      <c r="AS1397" s="62"/>
      <c r="AT1397" s="62"/>
      <c r="AU1397" s="62"/>
      <c r="AV1397" s="62"/>
      <c r="AW1397" s="62"/>
      <c r="AX1397" s="62"/>
      <c r="AY1397" s="62"/>
    </row>
    <row r="1398" spans="1:51" x14ac:dyDescent="0.25">
      <c r="A1398" s="62"/>
      <c r="B1398" s="86"/>
      <c r="C1398" s="86"/>
      <c r="D1398" s="86"/>
      <c r="E1398" s="86"/>
      <c r="F1398" s="86"/>
      <c r="G1398" s="86"/>
      <c r="H1398" s="62"/>
      <c r="I1398" s="62"/>
      <c r="J1398" s="62"/>
      <c r="K1398" s="62"/>
      <c r="L1398" s="62"/>
      <c r="M1398" s="62"/>
      <c r="N1398" s="62"/>
      <c r="O1398" s="62"/>
      <c r="P1398" s="62"/>
      <c r="Q1398" s="62"/>
      <c r="R1398" s="62"/>
      <c r="S1398" s="62"/>
      <c r="T1398" s="62"/>
      <c r="U1398" s="62"/>
      <c r="V1398" s="62"/>
      <c r="W1398" s="62"/>
      <c r="X1398" s="62"/>
      <c r="Y1398" s="62"/>
      <c r="Z1398" s="62"/>
      <c r="AA1398" s="62"/>
      <c r="AB1398" s="62"/>
      <c r="AC1398" s="62"/>
      <c r="AD1398" s="62"/>
      <c r="AE1398" s="62"/>
      <c r="AF1398" s="62"/>
      <c r="AG1398" s="62"/>
      <c r="AH1398" s="62"/>
      <c r="AI1398" s="62"/>
      <c r="AJ1398" s="62"/>
      <c r="AK1398" s="62"/>
      <c r="AL1398" s="62"/>
      <c r="AM1398" s="62"/>
      <c r="AN1398" s="62"/>
      <c r="AO1398" s="62"/>
      <c r="AP1398" s="62"/>
      <c r="AQ1398" s="62"/>
      <c r="AR1398" s="62"/>
      <c r="AS1398" s="62"/>
      <c r="AT1398" s="62"/>
      <c r="AU1398" s="62"/>
      <c r="AV1398" s="62"/>
      <c r="AW1398" s="62"/>
      <c r="AX1398" s="62"/>
      <c r="AY1398" s="62"/>
    </row>
    <row r="1399" spans="1:51" x14ac:dyDescent="0.25">
      <c r="A1399" s="62"/>
      <c r="B1399" s="86"/>
      <c r="C1399" s="86"/>
      <c r="D1399" s="86"/>
      <c r="E1399" s="86"/>
      <c r="F1399" s="86"/>
      <c r="G1399" s="86"/>
      <c r="H1399" s="62"/>
      <c r="I1399" s="62"/>
      <c r="J1399" s="62"/>
      <c r="K1399" s="62"/>
      <c r="L1399" s="62"/>
      <c r="M1399" s="62"/>
      <c r="N1399" s="62"/>
      <c r="O1399" s="62"/>
      <c r="P1399" s="62"/>
      <c r="Q1399" s="62"/>
      <c r="R1399" s="62"/>
      <c r="S1399" s="62"/>
      <c r="T1399" s="62"/>
      <c r="U1399" s="62"/>
      <c r="V1399" s="62"/>
      <c r="W1399" s="62"/>
      <c r="X1399" s="62"/>
      <c r="Y1399" s="62"/>
      <c r="Z1399" s="62"/>
      <c r="AA1399" s="62"/>
      <c r="AB1399" s="62"/>
      <c r="AC1399" s="62"/>
      <c r="AD1399" s="62"/>
      <c r="AE1399" s="62"/>
      <c r="AF1399" s="62"/>
      <c r="AG1399" s="62"/>
      <c r="AH1399" s="62"/>
      <c r="AI1399" s="62"/>
      <c r="AJ1399" s="62"/>
      <c r="AK1399" s="62"/>
      <c r="AL1399" s="62"/>
      <c r="AM1399" s="62"/>
      <c r="AN1399" s="62"/>
      <c r="AO1399" s="62"/>
      <c r="AP1399" s="62"/>
      <c r="AQ1399" s="62"/>
      <c r="AR1399" s="62"/>
      <c r="AS1399" s="62"/>
      <c r="AT1399" s="62"/>
      <c r="AU1399" s="62"/>
      <c r="AV1399" s="62"/>
      <c r="AW1399" s="62"/>
      <c r="AX1399" s="62"/>
      <c r="AY1399" s="62"/>
    </row>
    <row r="1400" spans="1:51" x14ac:dyDescent="0.25">
      <c r="A1400" s="62"/>
      <c r="B1400" s="86"/>
      <c r="C1400" s="86"/>
      <c r="D1400" s="86"/>
      <c r="E1400" s="86"/>
      <c r="F1400" s="86"/>
      <c r="G1400" s="86"/>
      <c r="H1400" s="62"/>
      <c r="I1400" s="62"/>
      <c r="J1400" s="62"/>
      <c r="K1400" s="62"/>
      <c r="L1400" s="62"/>
      <c r="M1400" s="62"/>
      <c r="N1400" s="62"/>
      <c r="O1400" s="62"/>
      <c r="P1400" s="62"/>
      <c r="Q1400" s="62"/>
      <c r="R1400" s="62"/>
      <c r="S1400" s="62"/>
      <c r="T1400" s="62"/>
      <c r="U1400" s="62"/>
      <c r="V1400" s="62"/>
      <c r="W1400" s="62"/>
      <c r="X1400" s="62"/>
      <c r="Y1400" s="62"/>
      <c r="Z1400" s="62"/>
      <c r="AA1400" s="62"/>
      <c r="AB1400" s="62"/>
      <c r="AC1400" s="62"/>
      <c r="AD1400" s="62"/>
      <c r="AE1400" s="62"/>
      <c r="AF1400" s="62"/>
      <c r="AG1400" s="62"/>
      <c r="AH1400" s="62"/>
      <c r="AI1400" s="62"/>
      <c r="AJ1400" s="62"/>
      <c r="AK1400" s="62"/>
      <c r="AL1400" s="62"/>
      <c r="AM1400" s="62"/>
      <c r="AN1400" s="62"/>
      <c r="AO1400" s="62"/>
      <c r="AP1400" s="62"/>
      <c r="AQ1400" s="62"/>
      <c r="AR1400" s="62"/>
      <c r="AS1400" s="62"/>
      <c r="AT1400" s="62"/>
      <c r="AU1400" s="62"/>
      <c r="AV1400" s="62"/>
      <c r="AW1400" s="62"/>
      <c r="AX1400" s="62"/>
      <c r="AY1400" s="62"/>
    </row>
    <row r="1401" spans="1:51" x14ac:dyDescent="0.25">
      <c r="A1401" s="62"/>
      <c r="B1401" s="86"/>
      <c r="C1401" s="86"/>
      <c r="D1401" s="86"/>
      <c r="E1401" s="86"/>
      <c r="F1401" s="86"/>
      <c r="G1401" s="86"/>
      <c r="H1401" s="62"/>
      <c r="I1401" s="62"/>
      <c r="J1401" s="62"/>
      <c r="K1401" s="62"/>
      <c r="L1401" s="62"/>
      <c r="M1401" s="62"/>
      <c r="N1401" s="62"/>
      <c r="O1401" s="62"/>
      <c r="P1401" s="62"/>
      <c r="Q1401" s="62"/>
      <c r="R1401" s="62"/>
      <c r="S1401" s="62"/>
      <c r="T1401" s="62"/>
      <c r="U1401" s="62"/>
      <c r="V1401" s="62"/>
      <c r="W1401" s="62"/>
      <c r="X1401" s="62"/>
      <c r="Y1401" s="62"/>
      <c r="Z1401" s="62"/>
      <c r="AA1401" s="62"/>
      <c r="AB1401" s="62"/>
      <c r="AC1401" s="62"/>
      <c r="AD1401" s="62"/>
      <c r="AE1401" s="62"/>
      <c r="AF1401" s="62"/>
      <c r="AG1401" s="62"/>
      <c r="AH1401" s="62"/>
      <c r="AI1401" s="62"/>
      <c r="AJ1401" s="62"/>
      <c r="AK1401" s="62"/>
      <c r="AL1401" s="62"/>
      <c r="AM1401" s="62"/>
      <c r="AN1401" s="62"/>
      <c r="AO1401" s="62"/>
      <c r="AP1401" s="62"/>
      <c r="AQ1401" s="62"/>
      <c r="AR1401" s="62"/>
      <c r="AS1401" s="62"/>
      <c r="AT1401" s="62"/>
      <c r="AU1401" s="62"/>
      <c r="AV1401" s="62"/>
      <c r="AW1401" s="62"/>
      <c r="AX1401" s="62"/>
      <c r="AY1401" s="62"/>
    </row>
    <row r="1402" spans="1:51" x14ac:dyDescent="0.25">
      <c r="A1402" s="62"/>
      <c r="B1402" s="86"/>
      <c r="C1402" s="86"/>
      <c r="D1402" s="86"/>
      <c r="E1402" s="86"/>
      <c r="F1402" s="86"/>
      <c r="G1402" s="86"/>
      <c r="H1402" s="62"/>
      <c r="I1402" s="62"/>
      <c r="J1402" s="62"/>
      <c r="K1402" s="62"/>
      <c r="L1402" s="62"/>
      <c r="M1402" s="62"/>
      <c r="N1402" s="62"/>
      <c r="O1402" s="62"/>
      <c r="P1402" s="62"/>
      <c r="Q1402" s="62"/>
      <c r="R1402" s="62"/>
      <c r="S1402" s="62"/>
      <c r="T1402" s="62"/>
      <c r="U1402" s="62"/>
      <c r="V1402" s="62"/>
      <c r="W1402" s="62"/>
      <c r="X1402" s="62"/>
      <c r="Y1402" s="62"/>
      <c r="Z1402" s="62"/>
      <c r="AA1402" s="62"/>
      <c r="AB1402" s="62"/>
      <c r="AC1402" s="62"/>
      <c r="AD1402" s="62"/>
      <c r="AE1402" s="62"/>
      <c r="AF1402" s="62"/>
      <c r="AG1402" s="62"/>
      <c r="AH1402" s="62"/>
      <c r="AI1402" s="62"/>
      <c r="AJ1402" s="62"/>
      <c r="AK1402" s="62"/>
      <c r="AL1402" s="62"/>
      <c r="AM1402" s="62"/>
      <c r="AN1402" s="62"/>
      <c r="AO1402" s="62"/>
      <c r="AP1402" s="62"/>
      <c r="AQ1402" s="62"/>
      <c r="AR1402" s="62"/>
      <c r="AS1402" s="62"/>
      <c r="AT1402" s="62"/>
      <c r="AU1402" s="62"/>
      <c r="AV1402" s="62"/>
      <c r="AW1402" s="62"/>
      <c r="AX1402" s="62"/>
      <c r="AY1402" s="62"/>
    </row>
    <row r="1403" spans="1:51" x14ac:dyDescent="0.25">
      <c r="A1403" s="62"/>
      <c r="B1403" s="86"/>
      <c r="C1403" s="86"/>
      <c r="D1403" s="86"/>
      <c r="E1403" s="86"/>
      <c r="F1403" s="86"/>
      <c r="G1403" s="86"/>
      <c r="H1403" s="62"/>
      <c r="I1403" s="62"/>
      <c r="J1403" s="62"/>
      <c r="K1403" s="62"/>
      <c r="L1403" s="62"/>
      <c r="M1403" s="62"/>
      <c r="N1403" s="62"/>
      <c r="O1403" s="62"/>
      <c r="P1403" s="62"/>
      <c r="Q1403" s="62"/>
      <c r="R1403" s="62"/>
      <c r="S1403" s="62"/>
      <c r="T1403" s="62"/>
      <c r="U1403" s="62"/>
      <c r="V1403" s="62"/>
      <c r="W1403" s="62"/>
      <c r="X1403" s="62"/>
      <c r="Y1403" s="62"/>
      <c r="Z1403" s="62"/>
      <c r="AA1403" s="62"/>
      <c r="AB1403" s="62"/>
      <c r="AC1403" s="62"/>
      <c r="AD1403" s="62"/>
      <c r="AE1403" s="62"/>
      <c r="AF1403" s="62"/>
      <c r="AG1403" s="62"/>
      <c r="AH1403" s="62"/>
      <c r="AI1403" s="62"/>
      <c r="AJ1403" s="62"/>
      <c r="AK1403" s="62"/>
      <c r="AL1403" s="62"/>
      <c r="AM1403" s="62"/>
      <c r="AN1403" s="62"/>
      <c r="AO1403" s="62"/>
      <c r="AP1403" s="62"/>
      <c r="AQ1403" s="62"/>
      <c r="AR1403" s="62"/>
      <c r="AS1403" s="62"/>
      <c r="AT1403" s="62"/>
      <c r="AU1403" s="62"/>
      <c r="AV1403" s="62"/>
      <c r="AW1403" s="62"/>
      <c r="AX1403" s="62"/>
      <c r="AY1403" s="62"/>
    </row>
    <row r="1404" spans="1:51" x14ac:dyDescent="0.25">
      <c r="A1404" s="62"/>
      <c r="B1404" s="86"/>
      <c r="C1404" s="86"/>
      <c r="D1404" s="86"/>
      <c r="E1404" s="86"/>
      <c r="F1404" s="86"/>
      <c r="G1404" s="86"/>
      <c r="H1404" s="62"/>
      <c r="I1404" s="62"/>
      <c r="J1404" s="62"/>
      <c r="K1404" s="62"/>
      <c r="L1404" s="62"/>
      <c r="M1404" s="62"/>
      <c r="N1404" s="62"/>
      <c r="O1404" s="62"/>
      <c r="P1404" s="62"/>
      <c r="Q1404" s="62"/>
      <c r="R1404" s="62"/>
      <c r="S1404" s="62"/>
      <c r="T1404" s="62"/>
      <c r="U1404" s="62"/>
      <c r="V1404" s="62"/>
      <c r="W1404" s="62"/>
      <c r="X1404" s="62"/>
      <c r="Y1404" s="62"/>
      <c r="Z1404" s="62"/>
      <c r="AA1404" s="62"/>
      <c r="AB1404" s="62"/>
      <c r="AC1404" s="62"/>
      <c r="AD1404" s="62"/>
      <c r="AE1404" s="62"/>
      <c r="AF1404" s="62"/>
      <c r="AG1404" s="62"/>
      <c r="AH1404" s="62"/>
      <c r="AI1404" s="62"/>
      <c r="AJ1404" s="62"/>
      <c r="AK1404" s="62"/>
      <c r="AL1404" s="62"/>
      <c r="AM1404" s="62"/>
      <c r="AN1404" s="62"/>
      <c r="AO1404" s="62"/>
      <c r="AP1404" s="62"/>
      <c r="AQ1404" s="62"/>
      <c r="AR1404" s="62"/>
      <c r="AS1404" s="62"/>
      <c r="AT1404" s="62"/>
      <c r="AU1404" s="62"/>
      <c r="AV1404" s="62"/>
      <c r="AW1404" s="62"/>
      <c r="AX1404" s="62"/>
      <c r="AY1404" s="62"/>
    </row>
    <row r="1405" spans="1:51" x14ac:dyDescent="0.25">
      <c r="A1405" s="62"/>
      <c r="B1405" s="86"/>
      <c r="C1405" s="86"/>
      <c r="D1405" s="86"/>
      <c r="E1405" s="86"/>
      <c r="F1405" s="86"/>
      <c r="G1405" s="86"/>
      <c r="H1405" s="62"/>
      <c r="I1405" s="62"/>
      <c r="J1405" s="62"/>
      <c r="K1405" s="62"/>
      <c r="L1405" s="62"/>
      <c r="M1405" s="62"/>
      <c r="N1405" s="62"/>
      <c r="O1405" s="62"/>
      <c r="P1405" s="62"/>
      <c r="Q1405" s="62"/>
      <c r="R1405" s="62"/>
      <c r="S1405" s="62"/>
      <c r="T1405" s="62"/>
      <c r="U1405" s="62"/>
      <c r="V1405" s="62"/>
      <c r="W1405" s="62"/>
      <c r="X1405" s="62"/>
      <c r="Y1405" s="62"/>
      <c r="Z1405" s="62"/>
      <c r="AA1405" s="62"/>
      <c r="AB1405" s="62"/>
      <c r="AC1405" s="62"/>
      <c r="AD1405" s="62"/>
      <c r="AE1405" s="62"/>
      <c r="AF1405" s="62"/>
      <c r="AG1405" s="62"/>
      <c r="AH1405" s="62"/>
      <c r="AI1405" s="62"/>
      <c r="AJ1405" s="62"/>
      <c r="AK1405" s="62"/>
      <c r="AL1405" s="62"/>
      <c r="AM1405" s="62"/>
      <c r="AN1405" s="62"/>
      <c r="AO1405" s="62"/>
      <c r="AP1405" s="62"/>
      <c r="AQ1405" s="62"/>
      <c r="AR1405" s="62"/>
      <c r="AS1405" s="62"/>
      <c r="AT1405" s="62"/>
      <c r="AU1405" s="62"/>
      <c r="AV1405" s="62"/>
      <c r="AW1405" s="62"/>
      <c r="AX1405" s="62"/>
      <c r="AY1405" s="62"/>
    </row>
    <row r="1406" spans="1:51" x14ac:dyDescent="0.25">
      <c r="A1406" s="62"/>
      <c r="B1406" s="86"/>
      <c r="C1406" s="86"/>
      <c r="D1406" s="86"/>
      <c r="E1406" s="86"/>
      <c r="F1406" s="86"/>
      <c r="G1406" s="86"/>
      <c r="H1406" s="62"/>
      <c r="I1406" s="62"/>
      <c r="J1406" s="62"/>
      <c r="K1406" s="62"/>
      <c r="L1406" s="62"/>
      <c r="M1406" s="62"/>
      <c r="N1406" s="62"/>
      <c r="O1406" s="62"/>
      <c r="P1406" s="62"/>
      <c r="Q1406" s="62"/>
      <c r="R1406" s="62"/>
      <c r="S1406" s="62"/>
      <c r="T1406" s="62"/>
      <c r="U1406" s="62"/>
      <c r="V1406" s="62"/>
      <c r="W1406" s="62"/>
      <c r="X1406" s="62"/>
      <c r="Y1406" s="62"/>
      <c r="Z1406" s="62"/>
      <c r="AA1406" s="62"/>
      <c r="AB1406" s="62"/>
      <c r="AC1406" s="62"/>
      <c r="AD1406" s="62"/>
      <c r="AE1406" s="62"/>
      <c r="AF1406" s="62"/>
      <c r="AG1406" s="62"/>
      <c r="AH1406" s="62"/>
      <c r="AI1406" s="62"/>
      <c r="AJ1406" s="62"/>
      <c r="AK1406" s="62"/>
      <c r="AL1406" s="62"/>
      <c r="AM1406" s="62"/>
      <c r="AN1406" s="62"/>
      <c r="AO1406" s="62"/>
      <c r="AP1406" s="62"/>
      <c r="AQ1406" s="62"/>
      <c r="AR1406" s="62"/>
      <c r="AS1406" s="62"/>
      <c r="AT1406" s="62"/>
      <c r="AU1406" s="62"/>
      <c r="AV1406" s="62"/>
      <c r="AW1406" s="62"/>
      <c r="AX1406" s="62"/>
      <c r="AY1406" s="62"/>
    </row>
    <row r="1407" spans="1:51" x14ac:dyDescent="0.25">
      <c r="A1407" s="62"/>
      <c r="B1407" s="86"/>
      <c r="C1407" s="86"/>
      <c r="D1407" s="86"/>
      <c r="E1407" s="86"/>
      <c r="F1407" s="86"/>
      <c r="G1407" s="86"/>
      <c r="H1407" s="62"/>
      <c r="I1407" s="62"/>
      <c r="J1407" s="62"/>
      <c r="K1407" s="62"/>
      <c r="L1407" s="62"/>
      <c r="M1407" s="62"/>
      <c r="N1407" s="62"/>
      <c r="O1407" s="62"/>
      <c r="P1407" s="62"/>
      <c r="Q1407" s="62"/>
      <c r="R1407" s="62"/>
      <c r="S1407" s="62"/>
      <c r="T1407" s="62"/>
      <c r="U1407" s="62"/>
      <c r="V1407" s="62"/>
      <c r="W1407" s="62"/>
      <c r="X1407" s="62"/>
      <c r="Y1407" s="62"/>
      <c r="Z1407" s="62"/>
      <c r="AA1407" s="62"/>
      <c r="AB1407" s="62"/>
      <c r="AC1407" s="62"/>
      <c r="AD1407" s="62"/>
      <c r="AE1407" s="62"/>
      <c r="AF1407" s="62"/>
      <c r="AG1407" s="62"/>
      <c r="AH1407" s="62"/>
      <c r="AI1407" s="62"/>
      <c r="AJ1407" s="62"/>
      <c r="AK1407" s="62"/>
      <c r="AL1407" s="62"/>
      <c r="AM1407" s="62"/>
      <c r="AN1407" s="62"/>
      <c r="AO1407" s="62"/>
      <c r="AP1407" s="62"/>
      <c r="AQ1407" s="62"/>
      <c r="AR1407" s="62"/>
      <c r="AS1407" s="62"/>
      <c r="AT1407" s="62"/>
      <c r="AU1407" s="62"/>
      <c r="AV1407" s="62"/>
      <c r="AW1407" s="62"/>
      <c r="AX1407" s="62"/>
      <c r="AY1407" s="62"/>
    </row>
    <row r="1408" spans="1:51" x14ac:dyDescent="0.25">
      <c r="A1408" s="62"/>
      <c r="B1408" s="86"/>
      <c r="C1408" s="86"/>
      <c r="D1408" s="86"/>
      <c r="E1408" s="86"/>
      <c r="F1408" s="86"/>
      <c r="G1408" s="86"/>
      <c r="H1408" s="62"/>
      <c r="I1408" s="62"/>
      <c r="J1408" s="62"/>
      <c r="K1408" s="62"/>
      <c r="L1408" s="62"/>
      <c r="M1408" s="62"/>
      <c r="N1408" s="62"/>
      <c r="O1408" s="62"/>
      <c r="P1408" s="62"/>
      <c r="Q1408" s="62"/>
      <c r="R1408" s="62"/>
      <c r="S1408" s="62"/>
      <c r="T1408" s="62"/>
      <c r="U1408" s="62"/>
      <c r="V1408" s="62"/>
      <c r="W1408" s="62"/>
      <c r="X1408" s="62"/>
      <c r="Y1408" s="62"/>
      <c r="Z1408" s="62"/>
      <c r="AA1408" s="62"/>
      <c r="AB1408" s="62"/>
      <c r="AC1408" s="62"/>
      <c r="AD1408" s="62"/>
      <c r="AE1408" s="62"/>
      <c r="AF1408" s="62"/>
      <c r="AG1408" s="62"/>
      <c r="AH1408" s="62"/>
      <c r="AI1408" s="62"/>
      <c r="AJ1408" s="62"/>
      <c r="AK1408" s="62"/>
      <c r="AL1408" s="62"/>
      <c r="AM1408" s="62"/>
      <c r="AN1408" s="62"/>
      <c r="AO1408" s="62"/>
      <c r="AP1408" s="62"/>
      <c r="AQ1408" s="62"/>
      <c r="AR1408" s="62"/>
      <c r="AS1408" s="62"/>
      <c r="AT1408" s="62"/>
      <c r="AU1408" s="62"/>
      <c r="AV1408" s="62"/>
      <c r="AW1408" s="62"/>
      <c r="AX1408" s="62"/>
      <c r="AY1408" s="62"/>
    </row>
    <row r="1409" spans="1:51" x14ac:dyDescent="0.25">
      <c r="A1409" s="62"/>
      <c r="B1409" s="86"/>
      <c r="C1409" s="86"/>
      <c r="D1409" s="86"/>
      <c r="E1409" s="86"/>
      <c r="F1409" s="86"/>
      <c r="G1409" s="86"/>
      <c r="H1409" s="62"/>
      <c r="I1409" s="62"/>
      <c r="J1409" s="62"/>
      <c r="K1409" s="62"/>
      <c r="L1409" s="62"/>
      <c r="M1409" s="62"/>
      <c r="N1409" s="62"/>
      <c r="O1409" s="62"/>
      <c r="P1409" s="62"/>
      <c r="Q1409" s="62"/>
      <c r="R1409" s="62"/>
      <c r="S1409" s="62"/>
      <c r="T1409" s="62"/>
      <c r="U1409" s="62"/>
      <c r="V1409" s="62"/>
      <c r="W1409" s="62"/>
      <c r="X1409" s="62"/>
      <c r="Y1409" s="62"/>
      <c r="Z1409" s="62"/>
      <c r="AA1409" s="62"/>
      <c r="AB1409" s="62"/>
      <c r="AC1409" s="62"/>
      <c r="AD1409" s="62"/>
      <c r="AE1409" s="62"/>
      <c r="AF1409" s="62"/>
      <c r="AG1409" s="62"/>
      <c r="AH1409" s="62"/>
      <c r="AI1409" s="62"/>
      <c r="AJ1409" s="62"/>
      <c r="AK1409" s="62"/>
      <c r="AL1409" s="62"/>
      <c r="AM1409" s="62"/>
      <c r="AN1409" s="62"/>
      <c r="AO1409" s="62"/>
      <c r="AP1409" s="62"/>
      <c r="AQ1409" s="62"/>
      <c r="AR1409" s="62"/>
      <c r="AS1409" s="62"/>
      <c r="AT1409" s="62"/>
      <c r="AU1409" s="62"/>
      <c r="AV1409" s="62"/>
      <c r="AW1409" s="62"/>
      <c r="AX1409" s="62"/>
      <c r="AY1409" s="62"/>
    </row>
    <row r="1410" spans="1:51" x14ac:dyDescent="0.25">
      <c r="A1410" s="62"/>
      <c r="B1410" s="86"/>
      <c r="C1410" s="86"/>
      <c r="D1410" s="86"/>
      <c r="E1410" s="86"/>
      <c r="F1410" s="86"/>
      <c r="G1410" s="86"/>
      <c r="H1410" s="62"/>
      <c r="I1410" s="62"/>
      <c r="J1410" s="62"/>
      <c r="K1410" s="62"/>
      <c r="L1410" s="62"/>
      <c r="M1410" s="62"/>
      <c r="N1410" s="62"/>
      <c r="O1410" s="62"/>
      <c r="P1410" s="62"/>
      <c r="Q1410" s="62"/>
      <c r="R1410" s="62"/>
      <c r="S1410" s="62"/>
      <c r="T1410" s="62"/>
      <c r="U1410" s="62"/>
      <c r="V1410" s="62"/>
      <c r="W1410" s="62"/>
      <c r="X1410" s="62"/>
      <c r="Y1410" s="62"/>
      <c r="Z1410" s="62"/>
      <c r="AA1410" s="62"/>
      <c r="AB1410" s="62"/>
      <c r="AC1410" s="62"/>
      <c r="AD1410" s="62"/>
      <c r="AE1410" s="62"/>
      <c r="AF1410" s="62"/>
      <c r="AG1410" s="62"/>
      <c r="AH1410" s="62"/>
      <c r="AI1410" s="62"/>
      <c r="AJ1410" s="62"/>
      <c r="AK1410" s="62"/>
      <c r="AL1410" s="62"/>
      <c r="AM1410" s="62"/>
      <c r="AN1410" s="62"/>
      <c r="AO1410" s="62"/>
      <c r="AP1410" s="62"/>
      <c r="AQ1410" s="62"/>
      <c r="AR1410" s="62"/>
      <c r="AS1410" s="62"/>
      <c r="AT1410" s="62"/>
      <c r="AU1410" s="62"/>
      <c r="AV1410" s="62"/>
      <c r="AW1410" s="62"/>
      <c r="AX1410" s="62"/>
      <c r="AY1410" s="62"/>
    </row>
    <row r="1411" spans="1:51" x14ac:dyDescent="0.25">
      <c r="A1411" s="62"/>
      <c r="B1411" s="86"/>
      <c r="C1411" s="86"/>
      <c r="D1411" s="86"/>
      <c r="E1411" s="86"/>
      <c r="F1411" s="86"/>
      <c r="G1411" s="86"/>
      <c r="H1411" s="62"/>
      <c r="I1411" s="62"/>
      <c r="J1411" s="62"/>
      <c r="K1411" s="62"/>
      <c r="L1411" s="62"/>
      <c r="M1411" s="62"/>
      <c r="N1411" s="62"/>
      <c r="O1411" s="62"/>
      <c r="P1411" s="62"/>
      <c r="Q1411" s="62"/>
      <c r="R1411" s="62"/>
      <c r="S1411" s="62"/>
      <c r="T1411" s="62"/>
      <c r="U1411" s="62"/>
      <c r="V1411" s="62"/>
      <c r="W1411" s="62"/>
      <c r="X1411" s="62"/>
      <c r="Y1411" s="62"/>
      <c r="Z1411" s="62"/>
      <c r="AA1411" s="62"/>
      <c r="AB1411" s="62"/>
      <c r="AC1411" s="62"/>
      <c r="AD1411" s="62"/>
      <c r="AE1411" s="62"/>
      <c r="AF1411" s="62"/>
      <c r="AG1411" s="62"/>
      <c r="AH1411" s="62"/>
      <c r="AI1411" s="62"/>
      <c r="AJ1411" s="62"/>
      <c r="AK1411" s="62"/>
      <c r="AL1411" s="62"/>
      <c r="AM1411" s="62"/>
      <c r="AN1411" s="62"/>
      <c r="AO1411" s="62"/>
      <c r="AP1411" s="62"/>
      <c r="AQ1411" s="62"/>
      <c r="AR1411" s="62"/>
      <c r="AS1411" s="62"/>
      <c r="AT1411" s="62"/>
      <c r="AU1411" s="62"/>
      <c r="AV1411" s="62"/>
      <c r="AW1411" s="62"/>
      <c r="AX1411" s="62"/>
      <c r="AY1411" s="62"/>
    </row>
    <row r="1412" spans="1:51" x14ac:dyDescent="0.25">
      <c r="A1412" s="62"/>
      <c r="B1412" s="86"/>
      <c r="C1412" s="86"/>
      <c r="D1412" s="86"/>
      <c r="E1412" s="86"/>
      <c r="F1412" s="86"/>
      <c r="G1412" s="86"/>
      <c r="H1412" s="62"/>
      <c r="I1412" s="62"/>
      <c r="J1412" s="62"/>
      <c r="K1412" s="62"/>
      <c r="L1412" s="62"/>
      <c r="M1412" s="62"/>
      <c r="N1412" s="62"/>
      <c r="O1412" s="62"/>
      <c r="P1412" s="62"/>
      <c r="Q1412" s="62"/>
      <c r="R1412" s="62"/>
      <c r="S1412" s="62"/>
      <c r="T1412" s="62"/>
      <c r="U1412" s="62"/>
      <c r="V1412" s="62"/>
      <c r="W1412" s="62"/>
      <c r="X1412" s="62"/>
      <c r="Y1412" s="62"/>
      <c r="Z1412" s="62"/>
      <c r="AA1412" s="62"/>
      <c r="AB1412" s="62"/>
      <c r="AC1412" s="62"/>
      <c r="AD1412" s="62"/>
      <c r="AE1412" s="62"/>
      <c r="AF1412" s="62"/>
      <c r="AG1412" s="62"/>
      <c r="AH1412" s="62"/>
      <c r="AI1412" s="62"/>
      <c r="AJ1412" s="62"/>
      <c r="AK1412" s="62"/>
      <c r="AL1412" s="62"/>
      <c r="AM1412" s="62"/>
      <c r="AN1412" s="62"/>
      <c r="AO1412" s="62"/>
      <c r="AP1412" s="62"/>
      <c r="AQ1412" s="62"/>
      <c r="AR1412" s="62"/>
      <c r="AS1412" s="62"/>
      <c r="AT1412" s="62"/>
      <c r="AU1412" s="62"/>
      <c r="AV1412" s="62"/>
      <c r="AW1412" s="62"/>
      <c r="AX1412" s="62"/>
      <c r="AY1412" s="62"/>
    </row>
    <row r="1413" spans="1:51" x14ac:dyDescent="0.25">
      <c r="A1413" s="62"/>
      <c r="B1413" s="86"/>
      <c r="C1413" s="86"/>
      <c r="D1413" s="86"/>
      <c r="E1413" s="86"/>
      <c r="F1413" s="86"/>
      <c r="G1413" s="86"/>
      <c r="H1413" s="62"/>
      <c r="I1413" s="62"/>
      <c r="J1413" s="62"/>
      <c r="K1413" s="62"/>
      <c r="L1413" s="62"/>
      <c r="M1413" s="62"/>
      <c r="N1413" s="62"/>
      <c r="O1413" s="62"/>
      <c r="P1413" s="62"/>
      <c r="Q1413" s="62"/>
      <c r="R1413" s="62"/>
      <c r="S1413" s="62"/>
      <c r="T1413" s="62"/>
      <c r="U1413" s="62"/>
      <c r="V1413" s="62"/>
      <c r="W1413" s="62"/>
      <c r="X1413" s="62"/>
      <c r="Y1413" s="62"/>
      <c r="Z1413" s="62"/>
      <c r="AA1413" s="62"/>
      <c r="AB1413" s="62"/>
      <c r="AC1413" s="62"/>
      <c r="AD1413" s="62"/>
      <c r="AE1413" s="62"/>
      <c r="AF1413" s="62"/>
      <c r="AG1413" s="62"/>
      <c r="AH1413" s="62"/>
      <c r="AI1413" s="62"/>
      <c r="AJ1413" s="62"/>
      <c r="AK1413" s="62"/>
      <c r="AL1413" s="62"/>
      <c r="AM1413" s="62"/>
      <c r="AN1413" s="62"/>
      <c r="AO1413" s="62"/>
      <c r="AP1413" s="62"/>
      <c r="AQ1413" s="62"/>
      <c r="AR1413" s="62"/>
      <c r="AS1413" s="62"/>
      <c r="AT1413" s="62"/>
      <c r="AU1413" s="62"/>
      <c r="AV1413" s="62"/>
      <c r="AW1413" s="62"/>
      <c r="AX1413" s="62"/>
      <c r="AY1413" s="62"/>
    </row>
    <row r="1414" spans="1:51" x14ac:dyDescent="0.25">
      <c r="A1414" s="62"/>
      <c r="B1414" s="86"/>
      <c r="C1414" s="86"/>
      <c r="D1414" s="86"/>
      <c r="E1414" s="86"/>
      <c r="F1414" s="86"/>
      <c r="G1414" s="86"/>
      <c r="H1414" s="62"/>
      <c r="I1414" s="62"/>
      <c r="J1414" s="62"/>
      <c r="K1414" s="62"/>
      <c r="L1414" s="62"/>
      <c r="M1414" s="62"/>
      <c r="N1414" s="62"/>
      <c r="O1414" s="62"/>
      <c r="P1414" s="62"/>
      <c r="Q1414" s="62"/>
      <c r="R1414" s="62"/>
      <c r="S1414" s="62"/>
      <c r="T1414" s="62"/>
      <c r="U1414" s="62"/>
      <c r="V1414" s="62"/>
      <c r="W1414" s="62"/>
      <c r="X1414" s="62"/>
      <c r="Y1414" s="62"/>
      <c r="Z1414" s="62"/>
      <c r="AA1414" s="62"/>
      <c r="AB1414" s="62"/>
      <c r="AC1414" s="62"/>
      <c r="AD1414" s="62"/>
      <c r="AE1414" s="62"/>
      <c r="AF1414" s="62"/>
      <c r="AG1414" s="62"/>
      <c r="AH1414" s="62"/>
      <c r="AI1414" s="62"/>
      <c r="AJ1414" s="62"/>
      <c r="AK1414" s="62"/>
      <c r="AL1414" s="62"/>
      <c r="AM1414" s="62"/>
      <c r="AN1414" s="62"/>
      <c r="AO1414" s="62"/>
      <c r="AP1414" s="62"/>
      <c r="AQ1414" s="62"/>
      <c r="AR1414" s="62"/>
      <c r="AS1414" s="62"/>
      <c r="AT1414" s="62"/>
      <c r="AU1414" s="62"/>
      <c r="AV1414" s="62"/>
      <c r="AW1414" s="62"/>
      <c r="AX1414" s="62"/>
      <c r="AY1414" s="62"/>
    </row>
    <row r="1415" spans="1:51" x14ac:dyDescent="0.25">
      <c r="A1415" s="62"/>
      <c r="B1415" s="86"/>
      <c r="C1415" s="86"/>
      <c r="D1415" s="86"/>
      <c r="E1415" s="86"/>
      <c r="F1415" s="86"/>
      <c r="G1415" s="86"/>
      <c r="H1415" s="62"/>
      <c r="I1415" s="62"/>
      <c r="J1415" s="62"/>
      <c r="K1415" s="62"/>
      <c r="L1415" s="62"/>
      <c r="M1415" s="62"/>
      <c r="N1415" s="62"/>
      <c r="O1415" s="62"/>
      <c r="P1415" s="62"/>
      <c r="Q1415" s="62"/>
      <c r="R1415" s="62"/>
      <c r="S1415" s="62"/>
      <c r="T1415" s="62"/>
      <c r="U1415" s="62"/>
      <c r="V1415" s="62"/>
      <c r="W1415" s="62"/>
      <c r="X1415" s="62"/>
      <c r="Y1415" s="62"/>
      <c r="Z1415" s="62"/>
      <c r="AA1415" s="62"/>
      <c r="AB1415" s="62"/>
      <c r="AC1415" s="62"/>
      <c r="AD1415" s="62"/>
      <c r="AE1415" s="62"/>
      <c r="AF1415" s="62"/>
      <c r="AG1415" s="62"/>
      <c r="AH1415" s="62"/>
      <c r="AI1415" s="62"/>
      <c r="AJ1415" s="62"/>
      <c r="AK1415" s="62"/>
      <c r="AL1415" s="62"/>
      <c r="AM1415" s="62"/>
      <c r="AN1415" s="62"/>
      <c r="AO1415" s="62"/>
      <c r="AP1415" s="62"/>
      <c r="AQ1415" s="62"/>
      <c r="AR1415" s="62"/>
      <c r="AS1415" s="62"/>
      <c r="AT1415" s="62"/>
      <c r="AU1415" s="62"/>
      <c r="AV1415" s="62"/>
      <c r="AW1415" s="62"/>
      <c r="AX1415" s="62"/>
      <c r="AY1415" s="62"/>
    </row>
    <row r="1416" spans="1:51" x14ac:dyDescent="0.25">
      <c r="A1416" s="62"/>
      <c r="B1416" s="86"/>
      <c r="C1416" s="86"/>
      <c r="D1416" s="86"/>
      <c r="E1416" s="86"/>
      <c r="F1416" s="86"/>
      <c r="G1416" s="86"/>
      <c r="H1416" s="62"/>
      <c r="I1416" s="62"/>
      <c r="J1416" s="62"/>
      <c r="K1416" s="62"/>
      <c r="L1416" s="62"/>
      <c r="M1416" s="62"/>
      <c r="N1416" s="62"/>
      <c r="O1416" s="62"/>
      <c r="P1416" s="62"/>
      <c r="Q1416" s="62"/>
      <c r="R1416" s="62"/>
      <c r="S1416" s="62"/>
      <c r="T1416" s="62"/>
      <c r="U1416" s="62"/>
      <c r="V1416" s="62"/>
      <c r="W1416" s="62"/>
      <c r="X1416" s="62"/>
      <c r="Y1416" s="62"/>
      <c r="Z1416" s="62"/>
      <c r="AA1416" s="62"/>
      <c r="AB1416" s="62"/>
      <c r="AC1416" s="62"/>
      <c r="AD1416" s="62"/>
      <c r="AE1416" s="62"/>
      <c r="AF1416" s="62"/>
      <c r="AG1416" s="62"/>
      <c r="AH1416" s="62"/>
      <c r="AI1416" s="62"/>
      <c r="AJ1416" s="62"/>
      <c r="AK1416" s="62"/>
      <c r="AL1416" s="62"/>
      <c r="AM1416" s="62"/>
      <c r="AN1416" s="62"/>
      <c r="AO1416" s="62"/>
      <c r="AP1416" s="62"/>
      <c r="AQ1416" s="62"/>
      <c r="AR1416" s="62"/>
      <c r="AS1416" s="62"/>
      <c r="AT1416" s="62"/>
      <c r="AU1416" s="62"/>
      <c r="AV1416" s="62"/>
      <c r="AW1416" s="62"/>
      <c r="AX1416" s="62"/>
      <c r="AY1416" s="62"/>
    </row>
    <row r="1417" spans="1:51" x14ac:dyDescent="0.25">
      <c r="A1417" s="62"/>
      <c r="B1417" s="86"/>
      <c r="C1417" s="86"/>
      <c r="D1417" s="86"/>
      <c r="E1417" s="86"/>
      <c r="F1417" s="86"/>
      <c r="G1417" s="86"/>
      <c r="H1417" s="62"/>
      <c r="I1417" s="62"/>
      <c r="J1417" s="62"/>
      <c r="K1417" s="62"/>
      <c r="L1417" s="62"/>
      <c r="M1417" s="62"/>
      <c r="N1417" s="62"/>
      <c r="O1417" s="62"/>
      <c r="P1417" s="62"/>
      <c r="Q1417" s="62"/>
      <c r="R1417" s="62"/>
      <c r="S1417" s="62"/>
      <c r="T1417" s="62"/>
      <c r="U1417" s="62"/>
      <c r="V1417" s="62"/>
      <c r="W1417" s="62"/>
      <c r="X1417" s="62"/>
      <c r="Y1417" s="62"/>
      <c r="Z1417" s="62"/>
      <c r="AA1417" s="62"/>
      <c r="AB1417" s="62"/>
      <c r="AC1417" s="62"/>
      <c r="AD1417" s="62"/>
      <c r="AE1417" s="62"/>
      <c r="AF1417" s="62"/>
      <c r="AG1417" s="62"/>
      <c r="AH1417" s="62"/>
      <c r="AI1417" s="62"/>
      <c r="AJ1417" s="62"/>
      <c r="AK1417" s="62"/>
      <c r="AL1417" s="62"/>
      <c r="AM1417" s="62"/>
      <c r="AN1417" s="62"/>
      <c r="AO1417" s="62"/>
      <c r="AP1417" s="62"/>
      <c r="AQ1417" s="62"/>
      <c r="AR1417" s="62"/>
      <c r="AS1417" s="62"/>
      <c r="AT1417" s="62"/>
      <c r="AU1417" s="62"/>
      <c r="AV1417" s="62"/>
      <c r="AW1417" s="62"/>
      <c r="AX1417" s="62"/>
      <c r="AY1417" s="62"/>
    </row>
    <row r="1418" spans="1:51" x14ac:dyDescent="0.25">
      <c r="A1418" s="62"/>
      <c r="B1418" s="86"/>
      <c r="C1418" s="86"/>
      <c r="D1418" s="86"/>
      <c r="E1418" s="86"/>
      <c r="F1418" s="86"/>
      <c r="G1418" s="86"/>
      <c r="H1418" s="62"/>
      <c r="I1418" s="62"/>
      <c r="J1418" s="62"/>
      <c r="K1418" s="62"/>
      <c r="L1418" s="62"/>
      <c r="M1418" s="62"/>
      <c r="N1418" s="62"/>
      <c r="O1418" s="62"/>
      <c r="P1418" s="62"/>
      <c r="Q1418" s="62"/>
      <c r="R1418" s="62"/>
      <c r="S1418" s="62"/>
      <c r="T1418" s="62"/>
      <c r="U1418" s="62"/>
      <c r="V1418" s="62"/>
      <c r="W1418" s="62"/>
      <c r="X1418" s="62"/>
      <c r="Y1418" s="62"/>
      <c r="Z1418" s="62"/>
      <c r="AA1418" s="62"/>
      <c r="AB1418" s="62"/>
      <c r="AC1418" s="62"/>
      <c r="AD1418" s="62"/>
      <c r="AE1418" s="62"/>
      <c r="AF1418" s="62"/>
      <c r="AG1418" s="62"/>
      <c r="AH1418" s="62"/>
      <c r="AI1418" s="62"/>
      <c r="AJ1418" s="62"/>
      <c r="AK1418" s="62"/>
      <c r="AL1418" s="62"/>
      <c r="AM1418" s="62"/>
      <c r="AN1418" s="62"/>
      <c r="AO1418" s="62"/>
      <c r="AP1418" s="62"/>
      <c r="AQ1418" s="62"/>
      <c r="AR1418" s="62"/>
      <c r="AS1418" s="62"/>
      <c r="AT1418" s="62"/>
      <c r="AU1418" s="62"/>
      <c r="AV1418" s="62"/>
      <c r="AW1418" s="62"/>
      <c r="AX1418" s="62"/>
      <c r="AY1418" s="62"/>
    </row>
    <row r="1419" spans="1:51" x14ac:dyDescent="0.25">
      <c r="A1419" s="62"/>
      <c r="B1419" s="86"/>
      <c r="C1419" s="86"/>
      <c r="D1419" s="86"/>
      <c r="E1419" s="86"/>
      <c r="F1419" s="86"/>
      <c r="G1419" s="86"/>
      <c r="H1419" s="62"/>
      <c r="I1419" s="62"/>
      <c r="J1419" s="62"/>
      <c r="K1419" s="62"/>
      <c r="L1419" s="62"/>
      <c r="M1419" s="62"/>
      <c r="N1419" s="62"/>
      <c r="O1419" s="62"/>
      <c r="P1419" s="62"/>
      <c r="Q1419" s="62"/>
      <c r="R1419" s="62"/>
      <c r="S1419" s="62"/>
      <c r="T1419" s="62"/>
      <c r="U1419" s="62"/>
      <c r="V1419" s="62"/>
      <c r="W1419" s="62"/>
      <c r="X1419" s="62"/>
      <c r="Y1419" s="62"/>
      <c r="Z1419" s="62"/>
      <c r="AA1419" s="62"/>
      <c r="AB1419" s="62"/>
      <c r="AC1419" s="62"/>
      <c r="AD1419" s="62"/>
      <c r="AE1419" s="62"/>
      <c r="AF1419" s="62"/>
      <c r="AG1419" s="62"/>
      <c r="AH1419" s="62"/>
      <c r="AI1419" s="62"/>
      <c r="AJ1419" s="62"/>
      <c r="AK1419" s="62"/>
      <c r="AL1419" s="62"/>
      <c r="AM1419" s="62"/>
      <c r="AN1419" s="62"/>
      <c r="AO1419" s="62"/>
      <c r="AP1419" s="62"/>
      <c r="AQ1419" s="62"/>
      <c r="AR1419" s="62"/>
      <c r="AS1419" s="62"/>
      <c r="AT1419" s="62"/>
      <c r="AU1419" s="62"/>
      <c r="AV1419" s="62"/>
      <c r="AW1419" s="62"/>
      <c r="AX1419" s="62"/>
      <c r="AY1419" s="62"/>
    </row>
    <row r="1420" spans="1:51" x14ac:dyDescent="0.25">
      <c r="A1420" s="62"/>
      <c r="B1420" s="86"/>
      <c r="C1420" s="86"/>
      <c r="D1420" s="86"/>
      <c r="E1420" s="86"/>
      <c r="F1420" s="86"/>
      <c r="G1420" s="86"/>
      <c r="H1420" s="62"/>
      <c r="I1420" s="62"/>
      <c r="J1420" s="62"/>
      <c r="K1420" s="62"/>
      <c r="L1420" s="62"/>
      <c r="M1420" s="62"/>
      <c r="N1420" s="62"/>
      <c r="O1420" s="62"/>
      <c r="P1420" s="62"/>
      <c r="Q1420" s="62"/>
      <c r="R1420" s="62"/>
      <c r="S1420" s="62"/>
      <c r="T1420" s="62"/>
      <c r="U1420" s="62"/>
      <c r="V1420" s="62"/>
      <c r="W1420" s="62"/>
      <c r="X1420" s="62"/>
      <c r="Y1420" s="62"/>
      <c r="Z1420" s="62"/>
      <c r="AA1420" s="62"/>
      <c r="AB1420" s="62"/>
      <c r="AC1420" s="62"/>
      <c r="AD1420" s="62"/>
      <c r="AE1420" s="62"/>
      <c r="AF1420" s="62"/>
      <c r="AG1420" s="62"/>
      <c r="AH1420" s="62"/>
      <c r="AI1420" s="62"/>
      <c r="AJ1420" s="62"/>
      <c r="AK1420" s="62"/>
      <c r="AL1420" s="62"/>
      <c r="AM1420" s="62"/>
      <c r="AN1420" s="62"/>
      <c r="AO1420" s="62"/>
      <c r="AP1420" s="62"/>
      <c r="AQ1420" s="62"/>
      <c r="AR1420" s="62"/>
      <c r="AS1420" s="62"/>
      <c r="AT1420" s="62"/>
      <c r="AU1420" s="62"/>
      <c r="AV1420" s="62"/>
      <c r="AW1420" s="62"/>
      <c r="AX1420" s="62"/>
      <c r="AY1420" s="62"/>
    </row>
    <row r="1421" spans="1:51" x14ac:dyDescent="0.25">
      <c r="A1421" s="62"/>
      <c r="B1421" s="86"/>
      <c r="C1421" s="86"/>
      <c r="D1421" s="86"/>
      <c r="E1421" s="86"/>
      <c r="F1421" s="86"/>
      <c r="G1421" s="86"/>
      <c r="H1421" s="62"/>
      <c r="I1421" s="62"/>
      <c r="J1421" s="62"/>
      <c r="K1421" s="62"/>
      <c r="L1421" s="62"/>
      <c r="M1421" s="62"/>
      <c r="N1421" s="62"/>
      <c r="O1421" s="62"/>
      <c r="P1421" s="62"/>
      <c r="Q1421" s="62"/>
      <c r="R1421" s="62"/>
      <c r="S1421" s="62"/>
      <c r="T1421" s="62"/>
      <c r="U1421" s="62"/>
      <c r="V1421" s="62"/>
      <c r="W1421" s="62"/>
      <c r="X1421" s="62"/>
      <c r="Y1421" s="62"/>
      <c r="Z1421" s="62"/>
      <c r="AA1421" s="62"/>
      <c r="AB1421" s="62"/>
      <c r="AC1421" s="62"/>
      <c r="AD1421" s="62"/>
      <c r="AE1421" s="62"/>
      <c r="AF1421" s="62"/>
      <c r="AG1421" s="62"/>
      <c r="AH1421" s="62"/>
      <c r="AI1421" s="62"/>
      <c r="AJ1421" s="62"/>
      <c r="AK1421" s="62"/>
      <c r="AL1421" s="62"/>
      <c r="AM1421" s="62"/>
      <c r="AN1421" s="62"/>
      <c r="AO1421" s="62"/>
      <c r="AP1421" s="62"/>
      <c r="AQ1421" s="62"/>
      <c r="AR1421" s="62"/>
      <c r="AS1421" s="62"/>
      <c r="AT1421" s="62"/>
      <c r="AU1421" s="62"/>
      <c r="AV1421" s="62"/>
      <c r="AW1421" s="62"/>
      <c r="AX1421" s="62"/>
      <c r="AY1421" s="62"/>
    </row>
    <row r="1422" spans="1:51" x14ac:dyDescent="0.25">
      <c r="A1422" s="62"/>
      <c r="B1422" s="86"/>
      <c r="C1422" s="86"/>
      <c r="D1422" s="86"/>
      <c r="E1422" s="86"/>
      <c r="F1422" s="86"/>
      <c r="G1422" s="86"/>
      <c r="H1422" s="62"/>
      <c r="I1422" s="62"/>
      <c r="J1422" s="62"/>
      <c r="K1422" s="62"/>
      <c r="L1422" s="62"/>
      <c r="M1422" s="62"/>
      <c r="N1422" s="62"/>
      <c r="O1422" s="62"/>
      <c r="P1422" s="62"/>
      <c r="Q1422" s="62"/>
      <c r="R1422" s="62"/>
      <c r="S1422" s="62"/>
      <c r="T1422" s="62"/>
      <c r="U1422" s="62"/>
      <c r="V1422" s="62"/>
      <c r="W1422" s="62"/>
      <c r="X1422" s="62"/>
      <c r="Y1422" s="62"/>
      <c r="Z1422" s="62"/>
      <c r="AA1422" s="62"/>
      <c r="AB1422" s="62"/>
      <c r="AC1422" s="62"/>
      <c r="AD1422" s="62"/>
      <c r="AE1422" s="62"/>
      <c r="AF1422" s="62"/>
      <c r="AG1422" s="62"/>
      <c r="AH1422" s="62"/>
      <c r="AI1422" s="62"/>
      <c r="AJ1422" s="62"/>
      <c r="AK1422" s="62"/>
      <c r="AL1422" s="62"/>
      <c r="AM1422" s="62"/>
      <c r="AN1422" s="62"/>
      <c r="AO1422" s="62"/>
      <c r="AP1422" s="62"/>
      <c r="AQ1422" s="62"/>
      <c r="AR1422" s="62"/>
      <c r="AS1422" s="62"/>
      <c r="AT1422" s="62"/>
      <c r="AU1422" s="62"/>
      <c r="AV1422" s="62"/>
      <c r="AW1422" s="62"/>
      <c r="AX1422" s="62"/>
      <c r="AY1422" s="62"/>
    </row>
    <row r="1423" spans="1:51" x14ac:dyDescent="0.25">
      <c r="A1423" s="62"/>
      <c r="B1423" s="86"/>
      <c r="C1423" s="86"/>
      <c r="D1423" s="86"/>
      <c r="E1423" s="86"/>
      <c r="F1423" s="86"/>
      <c r="G1423" s="86"/>
      <c r="H1423" s="62"/>
      <c r="I1423" s="62"/>
      <c r="J1423" s="62"/>
      <c r="K1423" s="62"/>
      <c r="L1423" s="62"/>
      <c r="M1423" s="62"/>
      <c r="N1423" s="62"/>
      <c r="O1423" s="62"/>
      <c r="P1423" s="62"/>
      <c r="Q1423" s="62"/>
      <c r="R1423" s="62"/>
      <c r="S1423" s="62"/>
      <c r="T1423" s="62"/>
      <c r="U1423" s="62"/>
      <c r="V1423" s="62"/>
      <c r="W1423" s="62"/>
      <c r="X1423" s="62"/>
      <c r="Y1423" s="62"/>
      <c r="Z1423" s="62"/>
      <c r="AA1423" s="62"/>
      <c r="AB1423" s="62"/>
      <c r="AC1423" s="62"/>
      <c r="AD1423" s="62"/>
      <c r="AE1423" s="62"/>
      <c r="AF1423" s="62"/>
      <c r="AG1423" s="62"/>
      <c r="AH1423" s="62"/>
      <c r="AI1423" s="62"/>
      <c r="AJ1423" s="62"/>
      <c r="AK1423" s="62"/>
      <c r="AL1423" s="62"/>
      <c r="AM1423" s="62"/>
      <c r="AN1423" s="62"/>
      <c r="AO1423" s="62"/>
      <c r="AP1423" s="62"/>
      <c r="AQ1423" s="62"/>
      <c r="AR1423" s="62"/>
      <c r="AS1423" s="62"/>
      <c r="AT1423" s="62"/>
      <c r="AU1423" s="62"/>
      <c r="AV1423" s="62"/>
      <c r="AW1423" s="62"/>
      <c r="AX1423" s="62"/>
      <c r="AY1423" s="62"/>
    </row>
    <row r="1424" spans="1:51" x14ac:dyDescent="0.25">
      <c r="A1424" s="62"/>
      <c r="B1424" s="86"/>
      <c r="C1424" s="86"/>
      <c r="D1424" s="86"/>
      <c r="E1424" s="86"/>
      <c r="F1424" s="86"/>
      <c r="G1424" s="86"/>
      <c r="H1424" s="62"/>
      <c r="I1424" s="62"/>
      <c r="J1424" s="62"/>
      <c r="K1424" s="62"/>
      <c r="L1424" s="62"/>
      <c r="M1424" s="62"/>
      <c r="N1424" s="62"/>
      <c r="O1424" s="62"/>
      <c r="P1424" s="62"/>
      <c r="Q1424" s="62"/>
      <c r="R1424" s="62"/>
      <c r="S1424" s="62"/>
      <c r="T1424" s="62"/>
      <c r="U1424" s="62"/>
      <c r="V1424" s="62"/>
      <c r="W1424" s="62"/>
      <c r="X1424" s="62"/>
      <c r="Y1424" s="62"/>
      <c r="Z1424" s="62"/>
      <c r="AA1424" s="62"/>
      <c r="AB1424" s="62"/>
      <c r="AC1424" s="62"/>
      <c r="AD1424" s="62"/>
      <c r="AE1424" s="62"/>
      <c r="AF1424" s="62"/>
      <c r="AG1424" s="62"/>
      <c r="AH1424" s="62"/>
      <c r="AI1424" s="62"/>
      <c r="AJ1424" s="62"/>
      <c r="AK1424" s="62"/>
      <c r="AL1424" s="62"/>
      <c r="AM1424" s="62"/>
      <c r="AN1424" s="62"/>
      <c r="AO1424" s="62"/>
      <c r="AP1424" s="62"/>
      <c r="AQ1424" s="62"/>
      <c r="AR1424" s="62"/>
      <c r="AS1424" s="62"/>
      <c r="AT1424" s="62"/>
      <c r="AU1424" s="62"/>
      <c r="AV1424" s="62"/>
      <c r="AW1424" s="62"/>
      <c r="AX1424" s="62"/>
      <c r="AY1424" s="62"/>
    </row>
    <row r="1425" spans="1:51" x14ac:dyDescent="0.25">
      <c r="A1425" s="62"/>
      <c r="B1425" s="86"/>
      <c r="C1425" s="86"/>
      <c r="D1425" s="86"/>
      <c r="E1425" s="86"/>
      <c r="F1425" s="86"/>
      <c r="G1425" s="86"/>
      <c r="H1425" s="62"/>
      <c r="I1425" s="62"/>
      <c r="J1425" s="62"/>
      <c r="K1425" s="62"/>
      <c r="L1425" s="62"/>
      <c r="M1425" s="62"/>
      <c r="N1425" s="62"/>
      <c r="O1425" s="62"/>
      <c r="P1425" s="62"/>
      <c r="Q1425" s="62"/>
      <c r="R1425" s="62"/>
      <c r="S1425" s="62"/>
      <c r="T1425" s="62"/>
      <c r="U1425" s="62"/>
      <c r="V1425" s="62"/>
      <c r="W1425" s="62"/>
      <c r="X1425" s="62"/>
      <c r="Y1425" s="62"/>
      <c r="Z1425" s="62"/>
      <c r="AA1425" s="62"/>
      <c r="AB1425" s="62"/>
      <c r="AC1425" s="62"/>
      <c r="AD1425" s="62"/>
      <c r="AE1425" s="62"/>
      <c r="AF1425" s="62"/>
      <c r="AG1425" s="62"/>
      <c r="AH1425" s="62"/>
      <c r="AI1425" s="62"/>
      <c r="AJ1425" s="62"/>
      <c r="AK1425" s="62"/>
      <c r="AL1425" s="62"/>
      <c r="AM1425" s="62"/>
      <c r="AN1425" s="62"/>
      <c r="AO1425" s="62"/>
      <c r="AP1425" s="62"/>
      <c r="AQ1425" s="62"/>
      <c r="AR1425" s="62"/>
      <c r="AS1425" s="62"/>
      <c r="AT1425" s="62"/>
      <c r="AU1425" s="62"/>
      <c r="AV1425" s="62"/>
      <c r="AW1425" s="62"/>
      <c r="AX1425" s="62"/>
      <c r="AY1425" s="62"/>
    </row>
    <row r="1426" spans="1:51" x14ac:dyDescent="0.25">
      <c r="A1426" s="62"/>
      <c r="B1426" s="86"/>
      <c r="C1426" s="86"/>
      <c r="D1426" s="86"/>
      <c r="E1426" s="86"/>
      <c r="F1426" s="86"/>
      <c r="G1426" s="86"/>
      <c r="H1426" s="62"/>
      <c r="I1426" s="62"/>
      <c r="J1426" s="62"/>
      <c r="K1426" s="62"/>
      <c r="L1426" s="62"/>
      <c r="M1426" s="62"/>
      <c r="N1426" s="62"/>
      <c r="O1426" s="62"/>
      <c r="P1426" s="62"/>
      <c r="Q1426" s="62"/>
      <c r="R1426" s="62"/>
      <c r="S1426" s="62"/>
      <c r="T1426" s="62"/>
      <c r="U1426" s="62"/>
      <c r="V1426" s="62"/>
      <c r="W1426" s="62"/>
      <c r="X1426" s="62"/>
      <c r="Y1426" s="62"/>
      <c r="Z1426" s="62"/>
      <c r="AA1426" s="62"/>
      <c r="AB1426" s="62"/>
      <c r="AC1426" s="62"/>
      <c r="AD1426" s="62"/>
      <c r="AE1426" s="62"/>
      <c r="AF1426" s="62"/>
      <c r="AG1426" s="62"/>
      <c r="AH1426" s="62"/>
      <c r="AI1426" s="62"/>
      <c r="AJ1426" s="62"/>
      <c r="AK1426" s="62"/>
      <c r="AL1426" s="62"/>
      <c r="AM1426" s="62"/>
      <c r="AN1426" s="62"/>
      <c r="AO1426" s="62"/>
      <c r="AP1426" s="62"/>
      <c r="AQ1426" s="62"/>
      <c r="AR1426" s="62"/>
      <c r="AS1426" s="62"/>
      <c r="AT1426" s="62"/>
      <c r="AU1426" s="62"/>
      <c r="AV1426" s="62"/>
      <c r="AW1426" s="62"/>
      <c r="AX1426" s="62"/>
      <c r="AY1426" s="62"/>
    </row>
    <row r="1427" spans="1:51" x14ac:dyDescent="0.25">
      <c r="A1427" s="62"/>
      <c r="B1427" s="86"/>
      <c r="C1427" s="86"/>
      <c r="D1427" s="86"/>
      <c r="E1427" s="86"/>
      <c r="F1427" s="86"/>
      <c r="G1427" s="86"/>
      <c r="H1427" s="62"/>
      <c r="I1427" s="62"/>
      <c r="J1427" s="62"/>
      <c r="K1427" s="62"/>
      <c r="L1427" s="62"/>
      <c r="M1427" s="62"/>
      <c r="N1427" s="62"/>
      <c r="O1427" s="62"/>
      <c r="P1427" s="62"/>
      <c r="Q1427" s="62"/>
      <c r="R1427" s="62"/>
      <c r="S1427" s="62"/>
      <c r="T1427" s="62"/>
      <c r="U1427" s="62"/>
      <c r="V1427" s="62"/>
      <c r="W1427" s="62"/>
      <c r="X1427" s="62"/>
      <c r="Y1427" s="62"/>
      <c r="Z1427" s="62"/>
      <c r="AA1427" s="62"/>
      <c r="AB1427" s="62"/>
      <c r="AC1427" s="62"/>
      <c r="AD1427" s="62"/>
      <c r="AE1427" s="62"/>
      <c r="AF1427" s="62"/>
      <c r="AG1427" s="62"/>
      <c r="AH1427" s="62"/>
      <c r="AI1427" s="62"/>
      <c r="AJ1427" s="62"/>
      <c r="AK1427" s="62"/>
      <c r="AL1427" s="62"/>
      <c r="AM1427" s="62"/>
      <c r="AN1427" s="62"/>
      <c r="AO1427" s="62"/>
      <c r="AP1427" s="62"/>
      <c r="AQ1427" s="62"/>
      <c r="AR1427" s="62"/>
      <c r="AS1427" s="62"/>
      <c r="AT1427" s="62"/>
      <c r="AU1427" s="62"/>
      <c r="AV1427" s="62"/>
      <c r="AW1427" s="62"/>
      <c r="AX1427" s="62"/>
      <c r="AY1427" s="62"/>
    </row>
    <row r="1428" spans="1:51" x14ac:dyDescent="0.25">
      <c r="A1428" s="62"/>
      <c r="B1428" s="86"/>
      <c r="C1428" s="86"/>
      <c r="D1428" s="86"/>
      <c r="E1428" s="86"/>
      <c r="F1428" s="86"/>
      <c r="G1428" s="86"/>
      <c r="H1428" s="62"/>
      <c r="I1428" s="62"/>
      <c r="J1428" s="62"/>
      <c r="K1428" s="62"/>
      <c r="L1428" s="62"/>
      <c r="M1428" s="62"/>
      <c r="N1428" s="62"/>
      <c r="O1428" s="62"/>
      <c r="P1428" s="62"/>
      <c r="Q1428" s="62"/>
      <c r="R1428" s="62"/>
      <c r="S1428" s="62"/>
      <c r="T1428" s="62"/>
      <c r="U1428" s="62"/>
      <c r="V1428" s="62"/>
      <c r="W1428" s="62"/>
      <c r="X1428" s="62"/>
      <c r="Y1428" s="62"/>
      <c r="Z1428" s="62"/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  <c r="AL1428" s="62"/>
      <c r="AM1428" s="62"/>
      <c r="AN1428" s="62"/>
      <c r="AO1428" s="62"/>
      <c r="AP1428" s="62"/>
      <c r="AQ1428" s="62"/>
      <c r="AR1428" s="62"/>
      <c r="AS1428" s="62"/>
      <c r="AT1428" s="62"/>
      <c r="AU1428" s="62"/>
      <c r="AV1428" s="62"/>
      <c r="AW1428" s="62"/>
      <c r="AX1428" s="62"/>
      <c r="AY1428" s="62"/>
    </row>
    <row r="1429" spans="1:51" x14ac:dyDescent="0.25">
      <c r="A1429" s="62"/>
      <c r="B1429" s="86"/>
      <c r="C1429" s="86"/>
      <c r="D1429" s="86"/>
      <c r="E1429" s="86"/>
      <c r="F1429" s="86"/>
      <c r="G1429" s="86"/>
      <c r="H1429" s="62"/>
      <c r="I1429" s="62"/>
      <c r="J1429" s="62"/>
      <c r="K1429" s="62"/>
      <c r="L1429" s="62"/>
      <c r="M1429" s="62"/>
      <c r="N1429" s="62"/>
      <c r="O1429" s="62"/>
      <c r="P1429" s="62"/>
      <c r="Q1429" s="62"/>
      <c r="R1429" s="62"/>
      <c r="S1429" s="62"/>
      <c r="T1429" s="62"/>
      <c r="U1429" s="62"/>
      <c r="V1429" s="62"/>
      <c r="W1429" s="62"/>
      <c r="X1429" s="62"/>
      <c r="Y1429" s="62"/>
      <c r="Z1429" s="62"/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  <c r="AL1429" s="62"/>
      <c r="AM1429" s="62"/>
      <c r="AN1429" s="62"/>
      <c r="AO1429" s="62"/>
      <c r="AP1429" s="62"/>
      <c r="AQ1429" s="62"/>
      <c r="AR1429" s="62"/>
      <c r="AS1429" s="62"/>
      <c r="AT1429" s="62"/>
      <c r="AU1429" s="62"/>
      <c r="AV1429" s="62"/>
      <c r="AW1429" s="62"/>
      <c r="AX1429" s="62"/>
      <c r="AY1429" s="62"/>
    </row>
    <row r="1430" spans="1:51" x14ac:dyDescent="0.25">
      <c r="A1430" s="62"/>
      <c r="B1430" s="86"/>
      <c r="C1430" s="86"/>
      <c r="D1430" s="86"/>
      <c r="E1430" s="86"/>
      <c r="F1430" s="86"/>
      <c r="G1430" s="86"/>
      <c r="H1430" s="62"/>
      <c r="I1430" s="62"/>
      <c r="J1430" s="62"/>
      <c r="K1430" s="62"/>
      <c r="L1430" s="62"/>
      <c r="M1430" s="62"/>
      <c r="N1430" s="62"/>
      <c r="O1430" s="62"/>
      <c r="P1430" s="62"/>
      <c r="Q1430" s="62"/>
      <c r="R1430" s="62"/>
      <c r="S1430" s="62"/>
      <c r="T1430" s="62"/>
      <c r="U1430" s="62"/>
      <c r="V1430" s="62"/>
      <c r="W1430" s="62"/>
      <c r="X1430" s="62"/>
      <c r="Y1430" s="62"/>
      <c r="Z1430" s="62"/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  <c r="AL1430" s="62"/>
      <c r="AM1430" s="62"/>
      <c r="AN1430" s="62"/>
      <c r="AO1430" s="62"/>
      <c r="AP1430" s="62"/>
      <c r="AQ1430" s="62"/>
      <c r="AR1430" s="62"/>
      <c r="AS1430" s="62"/>
      <c r="AT1430" s="62"/>
      <c r="AU1430" s="62"/>
      <c r="AV1430" s="62"/>
      <c r="AW1430" s="62"/>
      <c r="AX1430" s="62"/>
      <c r="AY1430" s="62"/>
    </row>
    <row r="1431" spans="1:51" x14ac:dyDescent="0.25">
      <c r="A1431" s="62"/>
      <c r="B1431" s="86"/>
      <c r="C1431" s="86"/>
      <c r="D1431" s="86"/>
      <c r="E1431" s="86"/>
      <c r="F1431" s="86"/>
      <c r="G1431" s="86"/>
      <c r="H1431" s="62"/>
      <c r="I1431" s="62"/>
      <c r="J1431" s="62"/>
      <c r="K1431" s="62"/>
      <c r="L1431" s="62"/>
      <c r="M1431" s="62"/>
      <c r="N1431" s="62"/>
      <c r="O1431" s="62"/>
      <c r="P1431" s="62"/>
      <c r="Q1431" s="62"/>
      <c r="R1431" s="62"/>
      <c r="S1431" s="62"/>
      <c r="T1431" s="62"/>
      <c r="U1431" s="62"/>
      <c r="V1431" s="62"/>
      <c r="W1431" s="62"/>
      <c r="X1431" s="62"/>
      <c r="Y1431" s="62"/>
      <c r="Z1431" s="62"/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  <c r="AL1431" s="62"/>
      <c r="AM1431" s="62"/>
      <c r="AN1431" s="62"/>
      <c r="AO1431" s="62"/>
      <c r="AP1431" s="62"/>
      <c r="AQ1431" s="62"/>
      <c r="AR1431" s="62"/>
      <c r="AS1431" s="62"/>
      <c r="AT1431" s="62"/>
      <c r="AU1431" s="62"/>
      <c r="AV1431" s="62"/>
      <c r="AW1431" s="62"/>
      <c r="AX1431" s="62"/>
      <c r="AY1431" s="62"/>
    </row>
    <row r="1432" spans="1:51" x14ac:dyDescent="0.25">
      <c r="A1432" s="62"/>
      <c r="B1432" s="86"/>
      <c r="C1432" s="86"/>
      <c r="D1432" s="86"/>
      <c r="E1432" s="86"/>
      <c r="F1432" s="86"/>
      <c r="G1432" s="86"/>
      <c r="H1432" s="62"/>
      <c r="I1432" s="62"/>
      <c r="J1432" s="62"/>
      <c r="K1432" s="62"/>
      <c r="L1432" s="62"/>
      <c r="M1432" s="62"/>
      <c r="N1432" s="62"/>
      <c r="O1432" s="62"/>
      <c r="P1432" s="62"/>
      <c r="Q1432" s="62"/>
      <c r="R1432" s="62"/>
      <c r="S1432" s="62"/>
      <c r="T1432" s="62"/>
      <c r="U1432" s="62"/>
      <c r="V1432" s="62"/>
      <c r="W1432" s="62"/>
      <c r="X1432" s="62"/>
      <c r="Y1432" s="62"/>
      <c r="Z1432" s="62"/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  <c r="AL1432" s="62"/>
      <c r="AM1432" s="62"/>
      <c r="AN1432" s="62"/>
      <c r="AO1432" s="62"/>
      <c r="AP1432" s="62"/>
      <c r="AQ1432" s="62"/>
      <c r="AR1432" s="62"/>
      <c r="AS1432" s="62"/>
      <c r="AT1432" s="62"/>
      <c r="AU1432" s="62"/>
      <c r="AV1432" s="62"/>
      <c r="AW1432" s="62"/>
      <c r="AX1432" s="62"/>
      <c r="AY1432" s="62"/>
    </row>
    <row r="1433" spans="1:51" x14ac:dyDescent="0.25">
      <c r="A1433" s="62"/>
      <c r="B1433" s="86"/>
      <c r="C1433" s="86"/>
      <c r="D1433" s="86"/>
      <c r="E1433" s="86"/>
      <c r="F1433" s="86"/>
      <c r="G1433" s="86"/>
      <c r="H1433" s="62"/>
      <c r="I1433" s="62"/>
      <c r="J1433" s="62"/>
      <c r="K1433" s="62"/>
      <c r="L1433" s="62"/>
      <c r="M1433" s="62"/>
      <c r="N1433" s="62"/>
      <c r="O1433" s="62"/>
      <c r="P1433" s="62"/>
      <c r="Q1433" s="62"/>
      <c r="R1433" s="62"/>
      <c r="S1433" s="62"/>
      <c r="T1433" s="62"/>
      <c r="U1433" s="62"/>
      <c r="V1433" s="62"/>
      <c r="W1433" s="62"/>
      <c r="X1433" s="62"/>
      <c r="Y1433" s="62"/>
      <c r="Z1433" s="62"/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  <c r="AL1433" s="62"/>
      <c r="AM1433" s="62"/>
      <c r="AN1433" s="62"/>
      <c r="AO1433" s="62"/>
      <c r="AP1433" s="62"/>
      <c r="AQ1433" s="62"/>
      <c r="AR1433" s="62"/>
      <c r="AS1433" s="62"/>
      <c r="AT1433" s="62"/>
      <c r="AU1433" s="62"/>
      <c r="AV1433" s="62"/>
      <c r="AW1433" s="62"/>
      <c r="AX1433" s="62"/>
      <c r="AY1433" s="62"/>
    </row>
    <row r="1434" spans="1:51" x14ac:dyDescent="0.25">
      <c r="A1434" s="62"/>
      <c r="B1434" s="86"/>
      <c r="C1434" s="86"/>
      <c r="D1434" s="86"/>
      <c r="E1434" s="86"/>
      <c r="F1434" s="86"/>
      <c r="G1434" s="86"/>
      <c r="H1434" s="62"/>
      <c r="I1434" s="62"/>
      <c r="J1434" s="62"/>
      <c r="K1434" s="62"/>
      <c r="L1434" s="62"/>
      <c r="M1434" s="62"/>
      <c r="N1434" s="62"/>
      <c r="O1434" s="62"/>
      <c r="P1434" s="62"/>
      <c r="Q1434" s="62"/>
      <c r="R1434" s="62"/>
      <c r="S1434" s="62"/>
      <c r="T1434" s="62"/>
      <c r="U1434" s="62"/>
      <c r="V1434" s="62"/>
      <c r="W1434" s="62"/>
      <c r="X1434" s="62"/>
      <c r="Y1434" s="62"/>
      <c r="Z1434" s="62"/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  <c r="AL1434" s="62"/>
      <c r="AM1434" s="62"/>
      <c r="AN1434" s="62"/>
      <c r="AO1434" s="62"/>
      <c r="AP1434" s="62"/>
      <c r="AQ1434" s="62"/>
      <c r="AR1434" s="62"/>
      <c r="AS1434" s="62"/>
      <c r="AT1434" s="62"/>
      <c r="AU1434" s="62"/>
      <c r="AV1434" s="62"/>
      <c r="AW1434" s="62"/>
      <c r="AX1434" s="62"/>
      <c r="AY1434" s="62"/>
    </row>
    <row r="1435" spans="1:51" x14ac:dyDescent="0.25">
      <c r="A1435" s="62"/>
      <c r="B1435" s="86"/>
      <c r="C1435" s="86"/>
      <c r="D1435" s="86"/>
      <c r="E1435" s="86"/>
      <c r="F1435" s="86"/>
      <c r="G1435" s="86"/>
      <c r="H1435" s="62"/>
      <c r="I1435" s="62"/>
      <c r="J1435" s="62"/>
      <c r="K1435" s="62"/>
      <c r="L1435" s="62"/>
      <c r="M1435" s="62"/>
      <c r="N1435" s="62"/>
      <c r="O1435" s="62"/>
      <c r="P1435" s="62"/>
      <c r="Q1435" s="62"/>
      <c r="R1435" s="62"/>
      <c r="S1435" s="62"/>
      <c r="T1435" s="62"/>
      <c r="U1435" s="62"/>
      <c r="V1435" s="62"/>
      <c r="W1435" s="62"/>
      <c r="X1435" s="62"/>
      <c r="Y1435" s="62"/>
      <c r="Z1435" s="62"/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  <c r="AL1435" s="62"/>
      <c r="AM1435" s="62"/>
      <c r="AN1435" s="62"/>
      <c r="AO1435" s="62"/>
      <c r="AP1435" s="62"/>
      <c r="AQ1435" s="62"/>
      <c r="AR1435" s="62"/>
      <c r="AS1435" s="62"/>
      <c r="AT1435" s="62"/>
      <c r="AU1435" s="62"/>
      <c r="AV1435" s="62"/>
      <c r="AW1435" s="62"/>
      <c r="AX1435" s="62"/>
      <c r="AY1435" s="62"/>
    </row>
    <row r="1436" spans="1:51" x14ac:dyDescent="0.25">
      <c r="A1436" s="62"/>
      <c r="B1436" s="86"/>
      <c r="C1436" s="86"/>
      <c r="D1436" s="86"/>
      <c r="E1436" s="86"/>
      <c r="F1436" s="86"/>
      <c r="G1436" s="86"/>
      <c r="H1436" s="62"/>
      <c r="I1436" s="62"/>
      <c r="J1436" s="62"/>
      <c r="K1436" s="62"/>
      <c r="L1436" s="62"/>
      <c r="M1436" s="62"/>
      <c r="N1436" s="62"/>
      <c r="O1436" s="62"/>
      <c r="P1436" s="62"/>
      <c r="Q1436" s="62"/>
      <c r="R1436" s="62"/>
      <c r="S1436" s="62"/>
      <c r="T1436" s="62"/>
      <c r="U1436" s="62"/>
      <c r="V1436" s="62"/>
      <c r="W1436" s="62"/>
      <c r="X1436" s="62"/>
      <c r="Y1436" s="62"/>
      <c r="Z1436" s="62"/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  <c r="AL1436" s="62"/>
      <c r="AM1436" s="62"/>
      <c r="AN1436" s="62"/>
      <c r="AO1436" s="62"/>
      <c r="AP1436" s="62"/>
      <c r="AQ1436" s="62"/>
      <c r="AR1436" s="62"/>
      <c r="AS1436" s="62"/>
      <c r="AT1436" s="62"/>
      <c r="AU1436" s="62"/>
      <c r="AV1436" s="62"/>
      <c r="AW1436" s="62"/>
      <c r="AX1436" s="62"/>
      <c r="AY1436" s="62"/>
    </row>
    <row r="1437" spans="1:51" x14ac:dyDescent="0.25">
      <c r="A1437" s="62"/>
      <c r="B1437" s="86"/>
      <c r="C1437" s="86"/>
      <c r="D1437" s="86"/>
      <c r="E1437" s="86"/>
      <c r="F1437" s="86"/>
      <c r="G1437" s="86"/>
      <c r="H1437" s="62"/>
      <c r="I1437" s="62"/>
      <c r="J1437" s="62"/>
      <c r="K1437" s="62"/>
      <c r="L1437" s="62"/>
      <c r="M1437" s="62"/>
      <c r="N1437" s="62"/>
      <c r="O1437" s="62"/>
      <c r="P1437" s="62"/>
      <c r="Q1437" s="62"/>
      <c r="R1437" s="62"/>
      <c r="S1437" s="62"/>
      <c r="T1437" s="62"/>
      <c r="U1437" s="62"/>
      <c r="V1437" s="62"/>
      <c r="W1437" s="62"/>
      <c r="X1437" s="62"/>
      <c r="Y1437" s="62"/>
      <c r="Z1437" s="62"/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  <c r="AL1437" s="62"/>
      <c r="AM1437" s="62"/>
      <c r="AN1437" s="62"/>
      <c r="AO1437" s="62"/>
      <c r="AP1437" s="62"/>
      <c r="AQ1437" s="62"/>
      <c r="AR1437" s="62"/>
      <c r="AS1437" s="62"/>
      <c r="AT1437" s="62"/>
      <c r="AU1437" s="62"/>
      <c r="AV1437" s="62"/>
      <c r="AW1437" s="62"/>
      <c r="AX1437" s="62"/>
      <c r="AY1437" s="62"/>
    </row>
    <row r="1438" spans="1:51" x14ac:dyDescent="0.25">
      <c r="A1438" s="62"/>
      <c r="B1438" s="86"/>
      <c r="C1438" s="86"/>
      <c r="D1438" s="86"/>
      <c r="E1438" s="86"/>
      <c r="F1438" s="86"/>
      <c r="G1438" s="86"/>
      <c r="H1438" s="62"/>
      <c r="I1438" s="62"/>
      <c r="J1438" s="62"/>
      <c r="K1438" s="62"/>
      <c r="L1438" s="62"/>
      <c r="M1438" s="62"/>
      <c r="N1438" s="62"/>
      <c r="O1438" s="62"/>
      <c r="P1438" s="62"/>
      <c r="Q1438" s="62"/>
      <c r="R1438" s="62"/>
      <c r="S1438" s="62"/>
      <c r="T1438" s="62"/>
      <c r="U1438" s="62"/>
      <c r="V1438" s="62"/>
      <c r="W1438" s="62"/>
      <c r="X1438" s="62"/>
      <c r="Y1438" s="62"/>
      <c r="Z1438" s="62"/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  <c r="AL1438" s="62"/>
      <c r="AM1438" s="62"/>
      <c r="AN1438" s="62"/>
      <c r="AO1438" s="62"/>
      <c r="AP1438" s="62"/>
      <c r="AQ1438" s="62"/>
      <c r="AR1438" s="62"/>
      <c r="AS1438" s="62"/>
      <c r="AT1438" s="62"/>
      <c r="AU1438" s="62"/>
      <c r="AV1438" s="62"/>
      <c r="AW1438" s="62"/>
      <c r="AX1438" s="62"/>
      <c r="AY1438" s="62"/>
    </row>
    <row r="1439" spans="1:51" x14ac:dyDescent="0.25">
      <c r="A1439" s="62"/>
      <c r="B1439" s="86"/>
      <c r="C1439" s="86"/>
      <c r="D1439" s="86"/>
      <c r="E1439" s="86"/>
      <c r="F1439" s="86"/>
      <c r="G1439" s="86"/>
      <c r="H1439" s="62"/>
      <c r="I1439" s="62"/>
      <c r="J1439" s="62"/>
      <c r="K1439" s="62"/>
      <c r="L1439" s="62"/>
      <c r="M1439" s="62"/>
      <c r="N1439" s="62"/>
      <c r="O1439" s="62"/>
      <c r="P1439" s="62"/>
      <c r="Q1439" s="62"/>
      <c r="R1439" s="62"/>
      <c r="S1439" s="62"/>
      <c r="T1439" s="62"/>
      <c r="U1439" s="62"/>
      <c r="V1439" s="62"/>
      <c r="W1439" s="62"/>
      <c r="X1439" s="62"/>
      <c r="Y1439" s="62"/>
      <c r="Z1439" s="62"/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  <c r="AL1439" s="62"/>
      <c r="AM1439" s="62"/>
      <c r="AN1439" s="62"/>
      <c r="AO1439" s="62"/>
      <c r="AP1439" s="62"/>
      <c r="AQ1439" s="62"/>
      <c r="AR1439" s="62"/>
      <c r="AS1439" s="62"/>
      <c r="AT1439" s="62"/>
      <c r="AU1439" s="62"/>
      <c r="AV1439" s="62"/>
      <c r="AW1439" s="62"/>
      <c r="AX1439" s="62"/>
      <c r="AY1439" s="62"/>
    </row>
    <row r="1440" spans="1:51" x14ac:dyDescent="0.25">
      <c r="A1440" s="62"/>
      <c r="B1440" s="86"/>
      <c r="C1440" s="86"/>
      <c r="D1440" s="86"/>
      <c r="E1440" s="86"/>
      <c r="F1440" s="86"/>
      <c r="G1440" s="86"/>
      <c r="H1440" s="62"/>
      <c r="I1440" s="62"/>
      <c r="J1440" s="62"/>
      <c r="K1440" s="62"/>
      <c r="L1440" s="62"/>
      <c r="M1440" s="62"/>
      <c r="N1440" s="62"/>
      <c r="O1440" s="62"/>
      <c r="P1440" s="62"/>
      <c r="Q1440" s="62"/>
      <c r="R1440" s="62"/>
      <c r="S1440" s="62"/>
      <c r="T1440" s="62"/>
      <c r="U1440" s="62"/>
      <c r="V1440" s="62"/>
      <c r="W1440" s="62"/>
      <c r="X1440" s="62"/>
      <c r="Y1440" s="62"/>
      <c r="Z1440" s="62"/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  <c r="AL1440" s="62"/>
      <c r="AM1440" s="62"/>
      <c r="AN1440" s="62"/>
      <c r="AO1440" s="62"/>
      <c r="AP1440" s="62"/>
      <c r="AQ1440" s="62"/>
      <c r="AR1440" s="62"/>
      <c r="AS1440" s="62"/>
      <c r="AT1440" s="62"/>
      <c r="AU1440" s="62"/>
      <c r="AV1440" s="62"/>
      <c r="AW1440" s="62"/>
      <c r="AX1440" s="62"/>
      <c r="AY1440" s="62"/>
    </row>
    <row r="1441" spans="1:51" x14ac:dyDescent="0.25">
      <c r="A1441" s="62"/>
      <c r="B1441" s="86"/>
      <c r="C1441" s="86"/>
      <c r="D1441" s="86"/>
      <c r="E1441" s="86"/>
      <c r="F1441" s="86"/>
      <c r="G1441" s="86"/>
      <c r="H1441" s="62"/>
      <c r="I1441" s="62"/>
      <c r="J1441" s="62"/>
      <c r="K1441" s="62"/>
      <c r="L1441" s="62"/>
      <c r="M1441" s="62"/>
      <c r="N1441" s="62"/>
      <c r="O1441" s="62"/>
      <c r="P1441" s="62"/>
      <c r="Q1441" s="62"/>
      <c r="R1441" s="62"/>
      <c r="S1441" s="62"/>
      <c r="T1441" s="62"/>
      <c r="U1441" s="62"/>
      <c r="V1441" s="62"/>
      <c r="W1441" s="62"/>
      <c r="X1441" s="62"/>
      <c r="Y1441" s="62"/>
      <c r="Z1441" s="62"/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  <c r="AL1441" s="62"/>
      <c r="AM1441" s="62"/>
      <c r="AN1441" s="62"/>
      <c r="AO1441" s="62"/>
      <c r="AP1441" s="62"/>
      <c r="AQ1441" s="62"/>
      <c r="AR1441" s="62"/>
      <c r="AS1441" s="62"/>
      <c r="AT1441" s="62"/>
      <c r="AU1441" s="62"/>
      <c r="AV1441" s="62"/>
      <c r="AW1441" s="62"/>
      <c r="AX1441" s="62"/>
      <c r="AY1441" s="62"/>
    </row>
    <row r="1442" spans="1:51" x14ac:dyDescent="0.25">
      <c r="A1442" s="62"/>
      <c r="B1442" s="86"/>
      <c r="C1442" s="86"/>
      <c r="D1442" s="86"/>
      <c r="E1442" s="86"/>
      <c r="F1442" s="86"/>
      <c r="G1442" s="86"/>
      <c r="H1442" s="62"/>
      <c r="I1442" s="62"/>
      <c r="J1442" s="62"/>
      <c r="K1442" s="62"/>
      <c r="L1442" s="62"/>
      <c r="M1442" s="62"/>
      <c r="N1442" s="62"/>
      <c r="O1442" s="62"/>
      <c r="P1442" s="62"/>
      <c r="Q1442" s="62"/>
      <c r="R1442" s="62"/>
      <c r="S1442" s="62"/>
      <c r="T1442" s="62"/>
      <c r="U1442" s="62"/>
      <c r="V1442" s="62"/>
      <c r="W1442" s="62"/>
      <c r="X1442" s="62"/>
      <c r="Y1442" s="62"/>
      <c r="Z1442" s="62"/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  <c r="AL1442" s="62"/>
      <c r="AM1442" s="62"/>
      <c r="AN1442" s="62"/>
      <c r="AO1442" s="62"/>
      <c r="AP1442" s="62"/>
      <c r="AQ1442" s="62"/>
      <c r="AR1442" s="62"/>
      <c r="AS1442" s="62"/>
      <c r="AT1442" s="62"/>
      <c r="AU1442" s="62"/>
      <c r="AV1442" s="62"/>
      <c r="AW1442" s="62"/>
      <c r="AX1442" s="62"/>
      <c r="AY1442" s="62"/>
    </row>
    <row r="1443" spans="1:51" x14ac:dyDescent="0.25">
      <c r="A1443" s="62"/>
      <c r="B1443" s="86"/>
      <c r="C1443" s="86"/>
      <c r="D1443" s="86"/>
      <c r="E1443" s="86"/>
      <c r="F1443" s="86"/>
      <c r="G1443" s="86"/>
      <c r="H1443" s="62"/>
      <c r="I1443" s="62"/>
      <c r="J1443" s="62"/>
      <c r="K1443" s="62"/>
      <c r="L1443" s="62"/>
      <c r="M1443" s="62"/>
      <c r="N1443" s="62"/>
      <c r="O1443" s="62"/>
      <c r="P1443" s="62"/>
      <c r="Q1443" s="62"/>
      <c r="R1443" s="62"/>
      <c r="S1443" s="62"/>
      <c r="T1443" s="62"/>
      <c r="U1443" s="62"/>
      <c r="V1443" s="62"/>
      <c r="W1443" s="62"/>
      <c r="X1443" s="62"/>
      <c r="Y1443" s="62"/>
      <c r="Z1443" s="62"/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  <c r="AL1443" s="62"/>
      <c r="AM1443" s="62"/>
      <c r="AN1443" s="62"/>
      <c r="AO1443" s="62"/>
      <c r="AP1443" s="62"/>
      <c r="AQ1443" s="62"/>
      <c r="AR1443" s="62"/>
      <c r="AS1443" s="62"/>
      <c r="AT1443" s="62"/>
      <c r="AU1443" s="62"/>
      <c r="AV1443" s="62"/>
      <c r="AW1443" s="62"/>
      <c r="AX1443" s="62"/>
      <c r="AY1443" s="62"/>
    </row>
    <row r="1444" spans="1:51" x14ac:dyDescent="0.25">
      <c r="A1444" s="62"/>
      <c r="B1444" s="86"/>
      <c r="C1444" s="86"/>
      <c r="D1444" s="86"/>
      <c r="E1444" s="86"/>
      <c r="F1444" s="86"/>
      <c r="G1444" s="86"/>
      <c r="H1444" s="62"/>
      <c r="I1444" s="62"/>
      <c r="J1444" s="62"/>
      <c r="K1444" s="62"/>
      <c r="L1444" s="62"/>
      <c r="M1444" s="62"/>
      <c r="N1444" s="62"/>
      <c r="O1444" s="62"/>
      <c r="P1444" s="62"/>
      <c r="Q1444" s="62"/>
      <c r="R1444" s="62"/>
      <c r="S1444" s="62"/>
      <c r="T1444" s="62"/>
      <c r="U1444" s="62"/>
      <c r="V1444" s="62"/>
      <c r="W1444" s="62"/>
      <c r="X1444" s="62"/>
      <c r="Y1444" s="62"/>
      <c r="Z1444" s="62"/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  <c r="AL1444" s="62"/>
      <c r="AM1444" s="62"/>
      <c r="AN1444" s="62"/>
      <c r="AO1444" s="62"/>
      <c r="AP1444" s="62"/>
      <c r="AQ1444" s="62"/>
      <c r="AR1444" s="62"/>
      <c r="AS1444" s="62"/>
      <c r="AT1444" s="62"/>
      <c r="AU1444" s="62"/>
      <c r="AV1444" s="62"/>
      <c r="AW1444" s="62"/>
      <c r="AX1444" s="62"/>
      <c r="AY1444" s="62"/>
    </row>
    <row r="1445" spans="1:51" x14ac:dyDescent="0.25">
      <c r="A1445" s="62"/>
      <c r="B1445" s="86"/>
      <c r="C1445" s="86"/>
      <c r="D1445" s="86"/>
      <c r="E1445" s="86"/>
      <c r="F1445" s="86"/>
      <c r="G1445" s="86"/>
      <c r="H1445" s="62"/>
      <c r="I1445" s="62"/>
      <c r="J1445" s="62"/>
      <c r="K1445" s="62"/>
      <c r="L1445" s="62"/>
      <c r="M1445" s="62"/>
      <c r="N1445" s="62"/>
      <c r="O1445" s="62"/>
      <c r="P1445" s="62"/>
      <c r="Q1445" s="62"/>
      <c r="R1445" s="62"/>
      <c r="S1445" s="62"/>
      <c r="T1445" s="62"/>
      <c r="U1445" s="62"/>
      <c r="V1445" s="62"/>
      <c r="W1445" s="62"/>
      <c r="X1445" s="62"/>
      <c r="Y1445" s="62"/>
      <c r="Z1445" s="62"/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  <c r="AL1445" s="62"/>
      <c r="AM1445" s="62"/>
      <c r="AN1445" s="62"/>
      <c r="AO1445" s="62"/>
      <c r="AP1445" s="62"/>
      <c r="AQ1445" s="62"/>
      <c r="AR1445" s="62"/>
      <c r="AS1445" s="62"/>
      <c r="AT1445" s="62"/>
      <c r="AU1445" s="62"/>
      <c r="AV1445" s="62"/>
      <c r="AW1445" s="62"/>
      <c r="AX1445" s="62"/>
      <c r="AY1445" s="62"/>
    </row>
    <row r="1446" spans="1:51" x14ac:dyDescent="0.25">
      <c r="A1446" s="62"/>
      <c r="B1446" s="86"/>
      <c r="C1446" s="86"/>
      <c r="D1446" s="86"/>
      <c r="E1446" s="86"/>
      <c r="F1446" s="86"/>
      <c r="G1446" s="86"/>
      <c r="H1446" s="62"/>
      <c r="I1446" s="62"/>
      <c r="J1446" s="62"/>
      <c r="K1446" s="62"/>
      <c r="L1446" s="62"/>
      <c r="M1446" s="62"/>
      <c r="N1446" s="62"/>
      <c r="O1446" s="62"/>
      <c r="P1446" s="62"/>
      <c r="Q1446" s="62"/>
      <c r="R1446" s="62"/>
      <c r="S1446" s="62"/>
      <c r="T1446" s="62"/>
      <c r="U1446" s="62"/>
      <c r="V1446" s="62"/>
      <c r="W1446" s="62"/>
      <c r="X1446" s="62"/>
      <c r="Y1446" s="62"/>
      <c r="Z1446" s="62"/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  <c r="AL1446" s="62"/>
      <c r="AM1446" s="62"/>
      <c r="AN1446" s="62"/>
      <c r="AO1446" s="62"/>
      <c r="AP1446" s="62"/>
      <c r="AQ1446" s="62"/>
      <c r="AR1446" s="62"/>
      <c r="AS1446" s="62"/>
      <c r="AT1446" s="62"/>
      <c r="AU1446" s="62"/>
      <c r="AV1446" s="62"/>
      <c r="AW1446" s="62"/>
      <c r="AX1446" s="62"/>
      <c r="AY1446" s="62"/>
    </row>
    <row r="1447" spans="1:51" x14ac:dyDescent="0.25">
      <c r="A1447" s="62"/>
      <c r="B1447" s="86"/>
      <c r="C1447" s="86"/>
      <c r="D1447" s="86"/>
      <c r="E1447" s="86"/>
      <c r="F1447" s="86"/>
      <c r="G1447" s="86"/>
      <c r="H1447" s="62"/>
      <c r="I1447" s="62"/>
      <c r="J1447" s="62"/>
      <c r="K1447" s="62"/>
      <c r="L1447" s="62"/>
      <c r="M1447" s="62"/>
      <c r="N1447" s="62"/>
      <c r="O1447" s="62"/>
      <c r="P1447" s="62"/>
      <c r="Q1447" s="62"/>
      <c r="R1447" s="62"/>
      <c r="S1447" s="62"/>
      <c r="T1447" s="62"/>
      <c r="U1447" s="62"/>
      <c r="V1447" s="62"/>
      <c r="W1447" s="62"/>
      <c r="X1447" s="62"/>
      <c r="Y1447" s="62"/>
      <c r="Z1447" s="62"/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  <c r="AL1447" s="62"/>
      <c r="AM1447" s="62"/>
      <c r="AN1447" s="62"/>
      <c r="AO1447" s="62"/>
      <c r="AP1447" s="62"/>
      <c r="AQ1447" s="62"/>
      <c r="AR1447" s="62"/>
      <c r="AS1447" s="62"/>
      <c r="AT1447" s="62"/>
      <c r="AU1447" s="62"/>
      <c r="AV1447" s="62"/>
      <c r="AW1447" s="62"/>
      <c r="AX1447" s="62"/>
      <c r="AY1447" s="62"/>
    </row>
    <row r="1448" spans="1:51" x14ac:dyDescent="0.25">
      <c r="A1448" s="62"/>
      <c r="B1448" s="86"/>
      <c r="C1448" s="86"/>
      <c r="D1448" s="86"/>
      <c r="E1448" s="86"/>
      <c r="F1448" s="86"/>
      <c r="G1448" s="86"/>
      <c r="H1448" s="62"/>
      <c r="I1448" s="62"/>
      <c r="J1448" s="62"/>
      <c r="K1448" s="62"/>
      <c r="L1448" s="62"/>
      <c r="M1448" s="62"/>
      <c r="N1448" s="62"/>
      <c r="O1448" s="62"/>
      <c r="P1448" s="62"/>
      <c r="Q1448" s="62"/>
      <c r="R1448" s="62"/>
      <c r="S1448" s="62"/>
      <c r="T1448" s="62"/>
      <c r="U1448" s="62"/>
      <c r="V1448" s="62"/>
      <c r="W1448" s="62"/>
      <c r="X1448" s="62"/>
      <c r="Y1448" s="62"/>
      <c r="Z1448" s="62"/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  <c r="AL1448" s="62"/>
      <c r="AM1448" s="62"/>
      <c r="AN1448" s="62"/>
      <c r="AO1448" s="62"/>
      <c r="AP1448" s="62"/>
      <c r="AQ1448" s="62"/>
      <c r="AR1448" s="62"/>
      <c r="AS1448" s="62"/>
      <c r="AT1448" s="62"/>
      <c r="AU1448" s="62"/>
      <c r="AV1448" s="62"/>
      <c r="AW1448" s="62"/>
      <c r="AX1448" s="62"/>
      <c r="AY1448" s="62"/>
    </row>
    <row r="1449" spans="1:51" x14ac:dyDescent="0.25">
      <c r="A1449" s="62"/>
      <c r="B1449" s="86"/>
      <c r="C1449" s="86"/>
      <c r="D1449" s="86"/>
      <c r="E1449" s="86"/>
      <c r="F1449" s="86"/>
      <c r="G1449" s="86"/>
      <c r="H1449" s="62"/>
      <c r="I1449" s="62"/>
      <c r="J1449" s="62"/>
      <c r="K1449" s="62"/>
      <c r="L1449" s="62"/>
      <c r="M1449" s="62"/>
      <c r="N1449" s="62"/>
      <c r="O1449" s="62"/>
      <c r="P1449" s="62"/>
      <c r="Q1449" s="62"/>
      <c r="R1449" s="62"/>
      <c r="S1449" s="62"/>
      <c r="T1449" s="62"/>
      <c r="U1449" s="62"/>
      <c r="V1449" s="62"/>
      <c r="W1449" s="62"/>
      <c r="X1449" s="62"/>
      <c r="Y1449" s="62"/>
      <c r="Z1449" s="62"/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  <c r="AL1449" s="62"/>
      <c r="AM1449" s="62"/>
      <c r="AN1449" s="62"/>
      <c r="AO1449" s="62"/>
      <c r="AP1449" s="62"/>
      <c r="AQ1449" s="62"/>
      <c r="AR1449" s="62"/>
      <c r="AS1449" s="62"/>
      <c r="AT1449" s="62"/>
      <c r="AU1449" s="62"/>
      <c r="AV1449" s="62"/>
      <c r="AW1449" s="62"/>
      <c r="AX1449" s="62"/>
      <c r="AY1449" s="62"/>
    </row>
    <row r="1450" spans="1:51" x14ac:dyDescent="0.25">
      <c r="A1450" s="62"/>
      <c r="B1450" s="86"/>
      <c r="C1450" s="86"/>
      <c r="D1450" s="86"/>
      <c r="E1450" s="86"/>
      <c r="F1450" s="86"/>
      <c r="G1450" s="86"/>
      <c r="H1450" s="62"/>
      <c r="I1450" s="62"/>
      <c r="J1450" s="62"/>
      <c r="K1450" s="62"/>
      <c r="L1450" s="62"/>
      <c r="M1450" s="62"/>
      <c r="N1450" s="62"/>
      <c r="O1450" s="62"/>
      <c r="P1450" s="62"/>
      <c r="Q1450" s="62"/>
      <c r="R1450" s="62"/>
      <c r="S1450" s="62"/>
      <c r="T1450" s="62"/>
      <c r="U1450" s="62"/>
      <c r="V1450" s="62"/>
      <c r="W1450" s="62"/>
      <c r="X1450" s="62"/>
      <c r="Y1450" s="62"/>
      <c r="Z1450" s="62"/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  <c r="AL1450" s="62"/>
      <c r="AM1450" s="62"/>
      <c r="AN1450" s="62"/>
      <c r="AO1450" s="62"/>
      <c r="AP1450" s="62"/>
      <c r="AQ1450" s="62"/>
      <c r="AR1450" s="62"/>
      <c r="AS1450" s="62"/>
      <c r="AT1450" s="62"/>
      <c r="AU1450" s="62"/>
      <c r="AV1450" s="62"/>
      <c r="AW1450" s="62"/>
      <c r="AX1450" s="62"/>
      <c r="AY1450" s="62"/>
    </row>
    <row r="1451" spans="1:51" x14ac:dyDescent="0.25">
      <c r="A1451" s="62"/>
      <c r="B1451" s="86"/>
      <c r="C1451" s="86"/>
      <c r="D1451" s="86"/>
      <c r="E1451" s="86"/>
      <c r="F1451" s="86"/>
      <c r="G1451" s="86"/>
      <c r="H1451" s="62"/>
      <c r="I1451" s="62"/>
      <c r="J1451" s="62"/>
      <c r="K1451" s="62"/>
      <c r="L1451" s="62"/>
      <c r="M1451" s="62"/>
      <c r="N1451" s="62"/>
      <c r="O1451" s="62"/>
      <c r="P1451" s="62"/>
      <c r="Q1451" s="62"/>
      <c r="R1451" s="62"/>
      <c r="S1451" s="62"/>
      <c r="T1451" s="62"/>
      <c r="U1451" s="62"/>
      <c r="V1451" s="62"/>
      <c r="W1451" s="62"/>
      <c r="X1451" s="62"/>
      <c r="Y1451" s="62"/>
      <c r="Z1451" s="62"/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  <c r="AL1451" s="62"/>
      <c r="AM1451" s="62"/>
      <c r="AN1451" s="62"/>
      <c r="AO1451" s="62"/>
      <c r="AP1451" s="62"/>
      <c r="AQ1451" s="62"/>
      <c r="AR1451" s="62"/>
      <c r="AS1451" s="62"/>
      <c r="AT1451" s="62"/>
      <c r="AU1451" s="62"/>
      <c r="AV1451" s="62"/>
      <c r="AW1451" s="62"/>
      <c r="AX1451" s="62"/>
      <c r="AY1451" s="62"/>
    </row>
    <row r="1452" spans="1:51" x14ac:dyDescent="0.25">
      <c r="A1452" s="62"/>
      <c r="B1452" s="86"/>
      <c r="C1452" s="86"/>
      <c r="D1452" s="86"/>
      <c r="E1452" s="86"/>
      <c r="F1452" s="86"/>
      <c r="G1452" s="86"/>
      <c r="H1452" s="62"/>
      <c r="I1452" s="62"/>
      <c r="J1452" s="62"/>
      <c r="K1452" s="62"/>
      <c r="L1452" s="62"/>
      <c r="M1452" s="62"/>
      <c r="N1452" s="62"/>
      <c r="O1452" s="62"/>
      <c r="P1452" s="62"/>
      <c r="Q1452" s="62"/>
      <c r="R1452" s="62"/>
      <c r="S1452" s="62"/>
      <c r="T1452" s="62"/>
      <c r="U1452" s="62"/>
      <c r="V1452" s="62"/>
      <c r="W1452" s="62"/>
      <c r="X1452" s="62"/>
      <c r="Y1452" s="62"/>
      <c r="Z1452" s="62"/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  <c r="AL1452" s="62"/>
      <c r="AM1452" s="62"/>
      <c r="AN1452" s="62"/>
      <c r="AO1452" s="62"/>
      <c r="AP1452" s="62"/>
      <c r="AQ1452" s="62"/>
      <c r="AR1452" s="62"/>
      <c r="AS1452" s="62"/>
      <c r="AT1452" s="62"/>
      <c r="AU1452" s="62"/>
      <c r="AV1452" s="62"/>
      <c r="AW1452" s="62"/>
      <c r="AX1452" s="62"/>
      <c r="AY1452" s="62"/>
    </row>
    <row r="1453" spans="1:51" x14ac:dyDescent="0.25">
      <c r="A1453" s="62"/>
      <c r="B1453" s="86"/>
      <c r="C1453" s="86"/>
      <c r="D1453" s="86"/>
      <c r="E1453" s="86"/>
      <c r="F1453" s="86"/>
      <c r="G1453" s="86"/>
      <c r="H1453" s="62"/>
      <c r="I1453" s="62"/>
      <c r="J1453" s="62"/>
      <c r="K1453" s="62"/>
      <c r="L1453" s="62"/>
      <c r="M1453" s="62"/>
      <c r="N1453" s="62"/>
      <c r="O1453" s="62"/>
      <c r="P1453" s="62"/>
      <c r="Q1453" s="62"/>
      <c r="R1453" s="62"/>
      <c r="S1453" s="62"/>
      <c r="T1453" s="62"/>
      <c r="U1453" s="62"/>
      <c r="V1453" s="62"/>
      <c r="W1453" s="62"/>
      <c r="X1453" s="62"/>
      <c r="Y1453" s="62"/>
      <c r="Z1453" s="62"/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  <c r="AL1453" s="62"/>
      <c r="AM1453" s="62"/>
      <c r="AN1453" s="62"/>
      <c r="AO1453" s="62"/>
      <c r="AP1453" s="62"/>
      <c r="AQ1453" s="62"/>
      <c r="AR1453" s="62"/>
      <c r="AS1453" s="62"/>
      <c r="AT1453" s="62"/>
      <c r="AU1453" s="62"/>
      <c r="AV1453" s="62"/>
      <c r="AW1453" s="62"/>
      <c r="AX1453" s="62"/>
      <c r="AY1453" s="62"/>
    </row>
    <row r="1454" spans="1:51" x14ac:dyDescent="0.25">
      <c r="A1454" s="62"/>
      <c r="B1454" s="86"/>
      <c r="C1454" s="86"/>
      <c r="D1454" s="86"/>
      <c r="E1454" s="86"/>
      <c r="F1454" s="86"/>
      <c r="G1454" s="86"/>
      <c r="H1454" s="62"/>
      <c r="I1454" s="62"/>
      <c r="J1454" s="62"/>
      <c r="K1454" s="62"/>
      <c r="L1454" s="62"/>
      <c r="M1454" s="62"/>
      <c r="N1454" s="62"/>
      <c r="O1454" s="62"/>
      <c r="P1454" s="62"/>
      <c r="Q1454" s="62"/>
      <c r="R1454" s="62"/>
      <c r="S1454" s="62"/>
      <c r="T1454" s="62"/>
      <c r="U1454" s="62"/>
      <c r="V1454" s="62"/>
      <c r="W1454" s="62"/>
      <c r="X1454" s="62"/>
      <c r="Y1454" s="62"/>
      <c r="Z1454" s="62"/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  <c r="AL1454" s="62"/>
      <c r="AM1454" s="62"/>
      <c r="AN1454" s="62"/>
      <c r="AO1454" s="62"/>
      <c r="AP1454" s="62"/>
      <c r="AQ1454" s="62"/>
      <c r="AR1454" s="62"/>
      <c r="AS1454" s="62"/>
      <c r="AT1454" s="62"/>
      <c r="AU1454" s="62"/>
      <c r="AV1454" s="62"/>
      <c r="AW1454" s="62"/>
      <c r="AX1454" s="62"/>
      <c r="AY1454" s="62"/>
    </row>
    <row r="1455" spans="1:51" x14ac:dyDescent="0.25">
      <c r="A1455" s="62"/>
      <c r="B1455" s="86"/>
      <c r="C1455" s="86"/>
      <c r="D1455" s="86"/>
      <c r="E1455" s="86"/>
      <c r="F1455" s="86"/>
      <c r="G1455" s="86"/>
      <c r="H1455" s="62"/>
      <c r="I1455" s="62"/>
      <c r="J1455" s="62"/>
      <c r="K1455" s="62"/>
      <c r="L1455" s="62"/>
      <c r="M1455" s="62"/>
      <c r="N1455" s="62"/>
      <c r="O1455" s="62"/>
      <c r="P1455" s="62"/>
      <c r="Q1455" s="62"/>
      <c r="R1455" s="62"/>
      <c r="S1455" s="62"/>
      <c r="T1455" s="62"/>
      <c r="U1455" s="62"/>
      <c r="V1455" s="62"/>
      <c r="W1455" s="62"/>
      <c r="X1455" s="62"/>
      <c r="Y1455" s="62"/>
      <c r="Z1455" s="62"/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  <c r="AL1455" s="62"/>
      <c r="AM1455" s="62"/>
      <c r="AN1455" s="62"/>
      <c r="AO1455" s="62"/>
      <c r="AP1455" s="62"/>
      <c r="AQ1455" s="62"/>
      <c r="AR1455" s="62"/>
      <c r="AS1455" s="62"/>
      <c r="AT1455" s="62"/>
      <c r="AU1455" s="62"/>
      <c r="AV1455" s="62"/>
      <c r="AW1455" s="62"/>
      <c r="AX1455" s="62"/>
      <c r="AY1455" s="62"/>
    </row>
    <row r="1456" spans="1:51" x14ac:dyDescent="0.25">
      <c r="A1456" s="62"/>
      <c r="B1456" s="86"/>
      <c r="C1456" s="86"/>
      <c r="D1456" s="86"/>
      <c r="E1456" s="86"/>
      <c r="F1456" s="86"/>
      <c r="G1456" s="86"/>
      <c r="H1456" s="62"/>
      <c r="I1456" s="62"/>
      <c r="J1456" s="62"/>
      <c r="K1456" s="62"/>
      <c r="L1456" s="62"/>
      <c r="M1456" s="62"/>
      <c r="N1456" s="62"/>
      <c r="O1456" s="62"/>
      <c r="P1456" s="62"/>
      <c r="Q1456" s="62"/>
      <c r="R1456" s="62"/>
      <c r="S1456" s="62"/>
      <c r="T1456" s="62"/>
      <c r="U1456" s="62"/>
      <c r="V1456" s="62"/>
      <c r="W1456" s="62"/>
      <c r="X1456" s="62"/>
      <c r="Y1456" s="62"/>
      <c r="Z1456" s="62"/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  <c r="AL1456" s="62"/>
      <c r="AM1456" s="62"/>
      <c r="AN1456" s="62"/>
      <c r="AO1456" s="62"/>
      <c r="AP1456" s="62"/>
      <c r="AQ1456" s="62"/>
      <c r="AR1456" s="62"/>
      <c r="AS1456" s="62"/>
      <c r="AT1456" s="62"/>
      <c r="AU1456" s="62"/>
      <c r="AV1456" s="62"/>
      <c r="AW1456" s="62"/>
      <c r="AX1456" s="62"/>
      <c r="AY1456" s="62"/>
    </row>
    <row r="1457" spans="1:51" x14ac:dyDescent="0.25">
      <c r="A1457" s="62"/>
      <c r="B1457" s="86"/>
      <c r="C1457" s="86"/>
      <c r="D1457" s="86"/>
      <c r="E1457" s="86"/>
      <c r="F1457" s="86"/>
      <c r="G1457" s="86"/>
      <c r="H1457" s="62"/>
      <c r="I1457" s="62"/>
      <c r="J1457" s="62"/>
      <c r="K1457" s="62"/>
      <c r="L1457" s="62"/>
      <c r="M1457" s="62"/>
      <c r="N1457" s="62"/>
      <c r="O1457" s="62"/>
      <c r="P1457" s="62"/>
      <c r="Q1457" s="62"/>
      <c r="R1457" s="62"/>
      <c r="S1457" s="62"/>
      <c r="T1457" s="62"/>
      <c r="U1457" s="62"/>
      <c r="V1457" s="62"/>
      <c r="W1457" s="62"/>
      <c r="X1457" s="62"/>
      <c r="Y1457" s="62"/>
      <c r="Z1457" s="62"/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  <c r="AL1457" s="62"/>
      <c r="AM1457" s="62"/>
      <c r="AN1457" s="62"/>
      <c r="AO1457" s="62"/>
      <c r="AP1457" s="62"/>
      <c r="AQ1457" s="62"/>
      <c r="AR1457" s="62"/>
      <c r="AS1457" s="62"/>
      <c r="AT1457" s="62"/>
      <c r="AU1457" s="62"/>
      <c r="AV1457" s="62"/>
      <c r="AW1457" s="62"/>
      <c r="AX1457" s="62"/>
      <c r="AY1457" s="62"/>
    </row>
    <row r="1458" spans="1:51" x14ac:dyDescent="0.25">
      <c r="A1458" s="62"/>
      <c r="B1458" s="86"/>
      <c r="C1458" s="86"/>
      <c r="D1458" s="86"/>
      <c r="E1458" s="86"/>
      <c r="F1458" s="86"/>
      <c r="G1458" s="86"/>
      <c r="H1458" s="62"/>
      <c r="I1458" s="62"/>
      <c r="J1458" s="62"/>
      <c r="K1458" s="62"/>
      <c r="L1458" s="62"/>
      <c r="M1458" s="62"/>
      <c r="N1458" s="62"/>
      <c r="O1458" s="62"/>
      <c r="P1458" s="62"/>
      <c r="Q1458" s="62"/>
      <c r="R1458" s="62"/>
      <c r="S1458" s="62"/>
      <c r="T1458" s="62"/>
      <c r="U1458" s="62"/>
      <c r="V1458" s="62"/>
      <c r="W1458" s="62"/>
      <c r="X1458" s="62"/>
      <c r="Y1458" s="62"/>
      <c r="Z1458" s="62"/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  <c r="AL1458" s="62"/>
      <c r="AM1458" s="62"/>
      <c r="AN1458" s="62"/>
      <c r="AO1458" s="62"/>
      <c r="AP1458" s="62"/>
      <c r="AQ1458" s="62"/>
      <c r="AR1458" s="62"/>
      <c r="AS1458" s="62"/>
      <c r="AT1458" s="62"/>
      <c r="AU1458" s="62"/>
      <c r="AV1458" s="62"/>
      <c r="AW1458" s="62"/>
      <c r="AX1458" s="62"/>
      <c r="AY1458" s="62"/>
    </row>
    <row r="1459" spans="1:51" x14ac:dyDescent="0.25">
      <c r="A1459" s="62"/>
      <c r="B1459" s="86"/>
      <c r="C1459" s="86"/>
      <c r="D1459" s="86"/>
      <c r="E1459" s="86"/>
      <c r="F1459" s="86"/>
      <c r="G1459" s="86"/>
      <c r="H1459" s="62"/>
      <c r="I1459" s="62"/>
      <c r="J1459" s="62"/>
      <c r="K1459" s="62"/>
      <c r="L1459" s="62"/>
      <c r="M1459" s="62"/>
      <c r="N1459" s="62"/>
      <c r="O1459" s="62"/>
      <c r="P1459" s="62"/>
      <c r="Q1459" s="62"/>
      <c r="R1459" s="62"/>
      <c r="S1459" s="62"/>
      <c r="T1459" s="62"/>
      <c r="U1459" s="62"/>
      <c r="V1459" s="62"/>
      <c r="W1459" s="62"/>
      <c r="X1459" s="62"/>
      <c r="Y1459" s="62"/>
      <c r="Z1459" s="62"/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  <c r="AL1459" s="62"/>
      <c r="AM1459" s="62"/>
      <c r="AN1459" s="62"/>
      <c r="AO1459" s="62"/>
      <c r="AP1459" s="62"/>
      <c r="AQ1459" s="62"/>
      <c r="AR1459" s="62"/>
      <c r="AS1459" s="62"/>
      <c r="AT1459" s="62"/>
      <c r="AU1459" s="62"/>
      <c r="AV1459" s="62"/>
      <c r="AW1459" s="62"/>
      <c r="AX1459" s="62"/>
      <c r="AY1459" s="62"/>
    </row>
    <row r="1460" spans="1:51" x14ac:dyDescent="0.25">
      <c r="A1460" s="62"/>
      <c r="B1460" s="86"/>
      <c r="C1460" s="86"/>
      <c r="D1460" s="86"/>
      <c r="E1460" s="86"/>
      <c r="F1460" s="86"/>
      <c r="G1460" s="86"/>
      <c r="H1460" s="62"/>
      <c r="I1460" s="62"/>
      <c r="J1460" s="62"/>
      <c r="K1460" s="62"/>
      <c r="L1460" s="62"/>
      <c r="M1460" s="62"/>
      <c r="N1460" s="62"/>
      <c r="O1460" s="62"/>
      <c r="P1460" s="62"/>
      <c r="Q1460" s="62"/>
      <c r="R1460" s="62"/>
      <c r="S1460" s="62"/>
      <c r="T1460" s="62"/>
      <c r="U1460" s="62"/>
      <c r="V1460" s="62"/>
      <c r="W1460" s="62"/>
      <c r="X1460" s="62"/>
      <c r="Y1460" s="62"/>
      <c r="Z1460" s="62"/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  <c r="AL1460" s="62"/>
      <c r="AM1460" s="62"/>
      <c r="AN1460" s="62"/>
      <c r="AO1460" s="62"/>
      <c r="AP1460" s="62"/>
      <c r="AQ1460" s="62"/>
      <c r="AR1460" s="62"/>
      <c r="AS1460" s="62"/>
      <c r="AT1460" s="62"/>
      <c r="AU1460" s="62"/>
      <c r="AV1460" s="62"/>
      <c r="AW1460" s="62"/>
      <c r="AX1460" s="62"/>
      <c r="AY1460" s="62"/>
    </row>
    <row r="1461" spans="1:51" x14ac:dyDescent="0.25">
      <c r="A1461" s="62"/>
      <c r="B1461" s="86"/>
      <c r="C1461" s="86"/>
      <c r="D1461" s="86"/>
      <c r="E1461" s="86"/>
      <c r="F1461" s="86"/>
      <c r="G1461" s="86"/>
      <c r="H1461" s="62"/>
      <c r="I1461" s="62"/>
      <c r="J1461" s="62"/>
      <c r="K1461" s="62"/>
      <c r="L1461" s="62"/>
      <c r="M1461" s="62"/>
      <c r="N1461" s="62"/>
      <c r="O1461" s="62"/>
      <c r="P1461" s="62"/>
      <c r="Q1461" s="62"/>
      <c r="R1461" s="62"/>
      <c r="S1461" s="62"/>
      <c r="T1461" s="62"/>
      <c r="U1461" s="62"/>
      <c r="V1461" s="62"/>
      <c r="W1461" s="62"/>
      <c r="X1461" s="62"/>
      <c r="Y1461" s="62"/>
      <c r="Z1461" s="62"/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  <c r="AL1461" s="62"/>
      <c r="AM1461" s="62"/>
      <c r="AN1461" s="62"/>
      <c r="AO1461" s="62"/>
      <c r="AP1461" s="62"/>
      <c r="AQ1461" s="62"/>
      <c r="AR1461" s="62"/>
      <c r="AS1461" s="62"/>
      <c r="AT1461" s="62"/>
      <c r="AU1461" s="62"/>
      <c r="AV1461" s="62"/>
      <c r="AW1461" s="62"/>
      <c r="AX1461" s="62"/>
      <c r="AY1461" s="62"/>
    </row>
    <row r="1462" spans="1:51" x14ac:dyDescent="0.25">
      <c r="A1462" s="62"/>
      <c r="B1462" s="86"/>
      <c r="C1462" s="86"/>
      <c r="D1462" s="86"/>
      <c r="E1462" s="86"/>
      <c r="F1462" s="86"/>
      <c r="G1462" s="86"/>
      <c r="H1462" s="62"/>
      <c r="I1462" s="62"/>
      <c r="J1462" s="62"/>
      <c r="K1462" s="62"/>
      <c r="L1462" s="62"/>
      <c r="M1462" s="62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  <c r="AL1462" s="62"/>
      <c r="AM1462" s="62"/>
      <c r="AN1462" s="62"/>
      <c r="AO1462" s="62"/>
      <c r="AP1462" s="62"/>
      <c r="AQ1462" s="62"/>
      <c r="AR1462" s="62"/>
      <c r="AS1462" s="62"/>
      <c r="AT1462" s="62"/>
      <c r="AU1462" s="62"/>
      <c r="AV1462" s="62"/>
      <c r="AW1462" s="62"/>
      <c r="AX1462" s="62"/>
      <c r="AY1462" s="62"/>
    </row>
    <row r="1463" spans="1:51" x14ac:dyDescent="0.25">
      <c r="A1463" s="62"/>
      <c r="B1463" s="86"/>
      <c r="C1463" s="86"/>
      <c r="D1463" s="86"/>
      <c r="E1463" s="86"/>
      <c r="F1463" s="86"/>
      <c r="G1463" s="86"/>
      <c r="H1463" s="62"/>
      <c r="I1463" s="62"/>
      <c r="J1463" s="62"/>
      <c r="K1463" s="62"/>
      <c r="L1463" s="62"/>
      <c r="M1463" s="62"/>
      <c r="N1463" s="62"/>
      <c r="O1463" s="62"/>
      <c r="P1463" s="62"/>
      <c r="Q1463" s="62"/>
      <c r="R1463" s="62"/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  <c r="AL1463" s="62"/>
      <c r="AM1463" s="62"/>
      <c r="AN1463" s="62"/>
      <c r="AO1463" s="62"/>
      <c r="AP1463" s="62"/>
      <c r="AQ1463" s="62"/>
      <c r="AR1463" s="62"/>
      <c r="AS1463" s="62"/>
      <c r="AT1463" s="62"/>
      <c r="AU1463" s="62"/>
      <c r="AV1463" s="62"/>
      <c r="AW1463" s="62"/>
      <c r="AX1463" s="62"/>
      <c r="AY1463" s="62"/>
    </row>
    <row r="1464" spans="1:51" x14ac:dyDescent="0.25">
      <c r="A1464" s="62"/>
      <c r="B1464" s="86"/>
      <c r="C1464" s="86"/>
      <c r="D1464" s="86"/>
      <c r="E1464" s="86"/>
      <c r="F1464" s="86"/>
      <c r="G1464" s="86"/>
      <c r="H1464" s="62"/>
      <c r="I1464" s="62"/>
      <c r="J1464" s="62"/>
      <c r="K1464" s="62"/>
      <c r="L1464" s="62"/>
      <c r="M1464" s="62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  <c r="AL1464" s="62"/>
      <c r="AM1464" s="62"/>
      <c r="AN1464" s="62"/>
      <c r="AO1464" s="62"/>
      <c r="AP1464" s="62"/>
      <c r="AQ1464" s="62"/>
      <c r="AR1464" s="62"/>
      <c r="AS1464" s="62"/>
      <c r="AT1464" s="62"/>
      <c r="AU1464" s="62"/>
      <c r="AV1464" s="62"/>
      <c r="AW1464" s="62"/>
      <c r="AX1464" s="62"/>
      <c r="AY1464" s="62"/>
    </row>
    <row r="1465" spans="1:51" x14ac:dyDescent="0.25">
      <c r="A1465" s="62"/>
      <c r="B1465" s="86"/>
      <c r="C1465" s="86"/>
      <c r="D1465" s="86"/>
      <c r="E1465" s="86"/>
      <c r="F1465" s="86"/>
      <c r="G1465" s="86"/>
      <c r="H1465" s="62"/>
      <c r="I1465" s="62"/>
      <c r="J1465" s="62"/>
      <c r="K1465" s="62"/>
      <c r="L1465" s="62"/>
      <c r="M1465" s="62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  <c r="AL1465" s="62"/>
      <c r="AM1465" s="62"/>
      <c r="AN1465" s="62"/>
      <c r="AO1465" s="62"/>
      <c r="AP1465" s="62"/>
      <c r="AQ1465" s="62"/>
      <c r="AR1465" s="62"/>
      <c r="AS1465" s="62"/>
      <c r="AT1465" s="62"/>
      <c r="AU1465" s="62"/>
      <c r="AV1465" s="62"/>
      <c r="AW1465" s="62"/>
      <c r="AX1465" s="62"/>
      <c r="AY1465" s="62"/>
    </row>
    <row r="1466" spans="1:51" x14ac:dyDescent="0.25">
      <c r="A1466" s="62"/>
      <c r="B1466" s="86"/>
      <c r="C1466" s="86"/>
      <c r="D1466" s="86"/>
      <c r="E1466" s="86"/>
      <c r="F1466" s="86"/>
      <c r="G1466" s="86"/>
      <c r="H1466" s="62"/>
      <c r="I1466" s="62"/>
      <c r="J1466" s="62"/>
      <c r="K1466" s="62"/>
      <c r="L1466" s="62"/>
      <c r="M1466" s="62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  <c r="AL1466" s="62"/>
      <c r="AM1466" s="62"/>
      <c r="AN1466" s="62"/>
      <c r="AO1466" s="62"/>
      <c r="AP1466" s="62"/>
      <c r="AQ1466" s="62"/>
      <c r="AR1466" s="62"/>
      <c r="AS1466" s="62"/>
      <c r="AT1466" s="62"/>
      <c r="AU1466" s="62"/>
      <c r="AV1466" s="62"/>
      <c r="AW1466" s="62"/>
      <c r="AX1466" s="62"/>
      <c r="AY1466" s="62"/>
    </row>
    <row r="1467" spans="1:51" x14ac:dyDescent="0.25">
      <c r="A1467" s="62"/>
      <c r="B1467" s="86"/>
      <c r="C1467" s="86"/>
      <c r="D1467" s="86"/>
      <c r="E1467" s="86"/>
      <c r="F1467" s="86"/>
      <c r="G1467" s="86"/>
      <c r="H1467" s="62"/>
      <c r="I1467" s="62"/>
      <c r="J1467" s="62"/>
      <c r="K1467" s="62"/>
      <c r="L1467" s="62"/>
      <c r="M1467" s="62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  <c r="AL1467" s="62"/>
      <c r="AM1467" s="62"/>
      <c r="AN1467" s="62"/>
      <c r="AO1467" s="62"/>
      <c r="AP1467" s="62"/>
      <c r="AQ1467" s="62"/>
      <c r="AR1467" s="62"/>
      <c r="AS1467" s="62"/>
      <c r="AT1467" s="62"/>
      <c r="AU1467" s="62"/>
      <c r="AV1467" s="62"/>
      <c r="AW1467" s="62"/>
      <c r="AX1467" s="62"/>
      <c r="AY1467" s="62"/>
    </row>
    <row r="1468" spans="1:51" x14ac:dyDescent="0.25">
      <c r="A1468" s="62"/>
      <c r="B1468" s="86"/>
      <c r="C1468" s="86"/>
      <c r="D1468" s="86"/>
      <c r="E1468" s="86"/>
      <c r="F1468" s="86"/>
      <c r="G1468" s="86"/>
      <c r="H1468" s="62"/>
      <c r="I1468" s="62"/>
      <c r="J1468" s="62"/>
      <c r="K1468" s="62"/>
      <c r="L1468" s="62"/>
      <c r="M1468" s="62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  <c r="AL1468" s="62"/>
      <c r="AM1468" s="62"/>
      <c r="AN1468" s="62"/>
      <c r="AO1468" s="62"/>
      <c r="AP1468" s="62"/>
      <c r="AQ1468" s="62"/>
      <c r="AR1468" s="62"/>
      <c r="AS1468" s="62"/>
      <c r="AT1468" s="62"/>
      <c r="AU1468" s="62"/>
      <c r="AV1468" s="62"/>
      <c r="AW1468" s="62"/>
      <c r="AX1468" s="62"/>
      <c r="AY1468" s="62"/>
    </row>
    <row r="1469" spans="1:51" x14ac:dyDescent="0.25">
      <c r="A1469" s="62"/>
      <c r="B1469" s="86"/>
      <c r="C1469" s="86"/>
      <c r="D1469" s="86"/>
      <c r="E1469" s="86"/>
      <c r="F1469" s="86"/>
      <c r="G1469" s="86"/>
      <c r="H1469" s="62"/>
      <c r="I1469" s="62"/>
      <c r="J1469" s="62"/>
      <c r="K1469" s="62"/>
      <c r="L1469" s="62"/>
      <c r="M1469" s="62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  <c r="AL1469" s="62"/>
      <c r="AM1469" s="62"/>
      <c r="AN1469" s="62"/>
      <c r="AO1469" s="62"/>
      <c r="AP1469" s="62"/>
      <c r="AQ1469" s="62"/>
      <c r="AR1469" s="62"/>
      <c r="AS1469" s="62"/>
      <c r="AT1469" s="62"/>
      <c r="AU1469" s="62"/>
      <c r="AV1469" s="62"/>
      <c r="AW1469" s="62"/>
      <c r="AX1469" s="62"/>
      <c r="AY1469" s="62"/>
    </row>
    <row r="1470" spans="1:51" x14ac:dyDescent="0.25">
      <c r="A1470" s="62"/>
      <c r="B1470" s="86"/>
      <c r="C1470" s="86"/>
      <c r="D1470" s="86"/>
      <c r="E1470" s="86"/>
      <c r="F1470" s="86"/>
      <c r="G1470" s="86"/>
      <c r="H1470" s="62"/>
      <c r="I1470" s="62"/>
      <c r="J1470" s="62"/>
      <c r="K1470" s="62"/>
      <c r="L1470" s="62"/>
      <c r="M1470" s="62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  <c r="AL1470" s="62"/>
      <c r="AM1470" s="62"/>
      <c r="AN1470" s="62"/>
      <c r="AO1470" s="62"/>
      <c r="AP1470" s="62"/>
      <c r="AQ1470" s="62"/>
      <c r="AR1470" s="62"/>
      <c r="AS1470" s="62"/>
      <c r="AT1470" s="62"/>
      <c r="AU1470" s="62"/>
      <c r="AV1470" s="62"/>
      <c r="AW1470" s="62"/>
      <c r="AX1470" s="62"/>
      <c r="AY1470" s="62"/>
    </row>
    <row r="1471" spans="1:51" x14ac:dyDescent="0.25">
      <c r="A1471" s="62"/>
      <c r="B1471" s="86"/>
      <c r="C1471" s="86"/>
      <c r="D1471" s="86"/>
      <c r="E1471" s="86"/>
      <c r="F1471" s="86"/>
      <c r="G1471" s="86"/>
      <c r="H1471" s="62"/>
      <c r="I1471" s="62"/>
      <c r="J1471" s="62"/>
      <c r="K1471" s="62"/>
      <c r="L1471" s="62"/>
      <c r="M1471" s="62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  <c r="AL1471" s="62"/>
      <c r="AM1471" s="62"/>
      <c r="AN1471" s="62"/>
      <c r="AO1471" s="62"/>
      <c r="AP1471" s="62"/>
      <c r="AQ1471" s="62"/>
      <c r="AR1471" s="62"/>
      <c r="AS1471" s="62"/>
      <c r="AT1471" s="62"/>
      <c r="AU1471" s="62"/>
      <c r="AV1471" s="62"/>
      <c r="AW1471" s="62"/>
      <c r="AX1471" s="62"/>
      <c r="AY1471" s="62"/>
    </row>
    <row r="1472" spans="1:51" x14ac:dyDescent="0.25">
      <c r="A1472" s="62"/>
      <c r="B1472" s="86"/>
      <c r="C1472" s="86"/>
      <c r="D1472" s="86"/>
      <c r="E1472" s="86"/>
      <c r="F1472" s="86"/>
      <c r="G1472" s="86"/>
      <c r="H1472" s="62"/>
      <c r="I1472" s="62"/>
      <c r="J1472" s="62"/>
      <c r="K1472" s="62"/>
      <c r="L1472" s="62"/>
      <c r="M1472" s="62"/>
      <c r="N1472" s="62"/>
      <c r="O1472" s="62"/>
      <c r="P1472" s="62"/>
      <c r="Q1472" s="62"/>
      <c r="R1472" s="62"/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  <c r="AL1472" s="62"/>
      <c r="AM1472" s="62"/>
      <c r="AN1472" s="62"/>
      <c r="AO1472" s="62"/>
      <c r="AP1472" s="62"/>
      <c r="AQ1472" s="62"/>
      <c r="AR1472" s="62"/>
      <c r="AS1472" s="62"/>
      <c r="AT1472" s="62"/>
      <c r="AU1472" s="62"/>
      <c r="AV1472" s="62"/>
      <c r="AW1472" s="62"/>
      <c r="AX1472" s="62"/>
      <c r="AY1472" s="62"/>
    </row>
    <row r="1473" spans="1:51" x14ac:dyDescent="0.25">
      <c r="A1473" s="62"/>
      <c r="B1473" s="86"/>
      <c r="C1473" s="86"/>
      <c r="D1473" s="86"/>
      <c r="E1473" s="86"/>
      <c r="F1473" s="86"/>
      <c r="G1473" s="86"/>
      <c r="H1473" s="62"/>
      <c r="I1473" s="62"/>
      <c r="J1473" s="62"/>
      <c r="K1473" s="62"/>
      <c r="L1473" s="62"/>
      <c r="M1473" s="62"/>
      <c r="N1473" s="62"/>
      <c r="O1473" s="62"/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  <c r="AL1473" s="62"/>
      <c r="AM1473" s="62"/>
      <c r="AN1473" s="62"/>
      <c r="AO1473" s="62"/>
      <c r="AP1473" s="62"/>
      <c r="AQ1473" s="62"/>
      <c r="AR1473" s="62"/>
      <c r="AS1473" s="62"/>
      <c r="AT1473" s="62"/>
      <c r="AU1473" s="62"/>
      <c r="AV1473" s="62"/>
      <c r="AW1473" s="62"/>
      <c r="AX1473" s="62"/>
      <c r="AY1473" s="62"/>
    </row>
    <row r="1474" spans="1:51" x14ac:dyDescent="0.25">
      <c r="A1474" s="62"/>
      <c r="B1474" s="86"/>
      <c r="C1474" s="86"/>
      <c r="D1474" s="86"/>
      <c r="E1474" s="86"/>
      <c r="F1474" s="86"/>
      <c r="G1474" s="86"/>
      <c r="H1474" s="62"/>
      <c r="I1474" s="62"/>
      <c r="J1474" s="62"/>
      <c r="K1474" s="62"/>
      <c r="L1474" s="62"/>
      <c r="M1474" s="62"/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  <c r="AL1474" s="62"/>
      <c r="AM1474" s="62"/>
      <c r="AN1474" s="62"/>
      <c r="AO1474" s="62"/>
      <c r="AP1474" s="62"/>
      <c r="AQ1474" s="62"/>
      <c r="AR1474" s="62"/>
      <c r="AS1474" s="62"/>
      <c r="AT1474" s="62"/>
      <c r="AU1474" s="62"/>
      <c r="AV1474" s="62"/>
      <c r="AW1474" s="62"/>
      <c r="AX1474" s="62"/>
      <c r="AY1474" s="62"/>
    </row>
    <row r="1475" spans="1:51" x14ac:dyDescent="0.25">
      <c r="A1475" s="62"/>
      <c r="B1475" s="86"/>
      <c r="C1475" s="86"/>
      <c r="D1475" s="86"/>
      <c r="E1475" s="86"/>
      <c r="F1475" s="86"/>
      <c r="G1475" s="86"/>
      <c r="H1475" s="62"/>
      <c r="I1475" s="62"/>
      <c r="J1475" s="62"/>
      <c r="K1475" s="62"/>
      <c r="L1475" s="62"/>
      <c r="M1475" s="62"/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  <c r="AL1475" s="62"/>
      <c r="AM1475" s="62"/>
      <c r="AN1475" s="62"/>
      <c r="AO1475" s="62"/>
      <c r="AP1475" s="62"/>
      <c r="AQ1475" s="62"/>
      <c r="AR1475" s="62"/>
      <c r="AS1475" s="62"/>
      <c r="AT1475" s="62"/>
      <c r="AU1475" s="62"/>
      <c r="AV1475" s="62"/>
      <c r="AW1475" s="62"/>
      <c r="AX1475" s="62"/>
      <c r="AY1475" s="62"/>
    </row>
    <row r="1476" spans="1:51" x14ac:dyDescent="0.25">
      <c r="A1476" s="62"/>
      <c r="B1476" s="86"/>
      <c r="C1476" s="86"/>
      <c r="D1476" s="86"/>
      <c r="E1476" s="86"/>
      <c r="F1476" s="86"/>
      <c r="G1476" s="86"/>
      <c r="H1476" s="62"/>
      <c r="I1476" s="62"/>
      <c r="J1476" s="62"/>
      <c r="K1476" s="62"/>
      <c r="L1476" s="62"/>
      <c r="M1476" s="62"/>
      <c r="N1476" s="62"/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  <c r="AL1476" s="62"/>
      <c r="AM1476" s="62"/>
      <c r="AN1476" s="62"/>
      <c r="AO1476" s="62"/>
      <c r="AP1476" s="62"/>
      <c r="AQ1476" s="62"/>
      <c r="AR1476" s="62"/>
      <c r="AS1476" s="62"/>
      <c r="AT1476" s="62"/>
      <c r="AU1476" s="62"/>
      <c r="AV1476" s="62"/>
      <c r="AW1476" s="62"/>
      <c r="AX1476" s="62"/>
      <c r="AY1476" s="62"/>
    </row>
    <row r="1477" spans="1:51" x14ac:dyDescent="0.25">
      <c r="A1477" s="62"/>
      <c r="B1477" s="86"/>
      <c r="C1477" s="86"/>
      <c r="D1477" s="86"/>
      <c r="E1477" s="86"/>
      <c r="F1477" s="86"/>
      <c r="G1477" s="86"/>
      <c r="H1477" s="62"/>
      <c r="I1477" s="62"/>
      <c r="J1477" s="62"/>
      <c r="K1477" s="62"/>
      <c r="L1477" s="62"/>
      <c r="M1477" s="62"/>
      <c r="N1477" s="62"/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  <c r="AL1477" s="62"/>
      <c r="AM1477" s="62"/>
      <c r="AN1477" s="62"/>
      <c r="AO1477" s="62"/>
      <c r="AP1477" s="62"/>
      <c r="AQ1477" s="62"/>
      <c r="AR1477" s="62"/>
      <c r="AS1477" s="62"/>
      <c r="AT1477" s="62"/>
      <c r="AU1477" s="62"/>
      <c r="AV1477" s="62"/>
      <c r="AW1477" s="62"/>
      <c r="AX1477" s="62"/>
      <c r="AY1477" s="62"/>
    </row>
    <row r="1478" spans="1:51" x14ac:dyDescent="0.25">
      <c r="A1478" s="62"/>
      <c r="B1478" s="86"/>
      <c r="C1478" s="86"/>
      <c r="D1478" s="86"/>
      <c r="E1478" s="86"/>
      <c r="F1478" s="86"/>
      <c r="G1478" s="86"/>
      <c r="H1478" s="62"/>
      <c r="I1478" s="62"/>
      <c r="J1478" s="62"/>
      <c r="K1478" s="62"/>
      <c r="L1478" s="62"/>
      <c r="M1478" s="62"/>
      <c r="N1478" s="62"/>
      <c r="O1478" s="62"/>
      <c r="P1478" s="62"/>
      <c r="Q1478" s="62"/>
      <c r="R1478" s="62"/>
      <c r="S1478" s="62"/>
      <c r="T1478" s="62"/>
      <c r="U1478" s="62"/>
      <c r="V1478" s="62"/>
      <c r="W1478" s="62"/>
      <c r="X1478" s="62"/>
      <c r="Y1478" s="62"/>
      <c r="Z1478" s="62"/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  <c r="AL1478" s="62"/>
      <c r="AM1478" s="62"/>
      <c r="AN1478" s="62"/>
      <c r="AO1478" s="62"/>
      <c r="AP1478" s="62"/>
      <c r="AQ1478" s="62"/>
      <c r="AR1478" s="62"/>
      <c r="AS1478" s="62"/>
      <c r="AT1478" s="62"/>
      <c r="AU1478" s="62"/>
      <c r="AV1478" s="62"/>
      <c r="AW1478" s="62"/>
      <c r="AX1478" s="62"/>
      <c r="AY1478" s="62"/>
    </row>
    <row r="1479" spans="1:51" x14ac:dyDescent="0.25">
      <c r="A1479" s="62"/>
      <c r="B1479" s="86"/>
      <c r="C1479" s="86"/>
      <c r="D1479" s="86"/>
      <c r="E1479" s="86"/>
      <c r="F1479" s="86"/>
      <c r="G1479" s="86"/>
      <c r="H1479" s="62"/>
      <c r="I1479" s="62"/>
      <c r="J1479" s="62"/>
      <c r="K1479" s="62"/>
      <c r="L1479" s="62"/>
      <c r="M1479" s="62"/>
      <c r="N1479" s="62"/>
      <c r="O1479" s="62"/>
      <c r="P1479" s="62"/>
      <c r="Q1479" s="62"/>
      <c r="R1479" s="62"/>
      <c r="S1479" s="62"/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  <c r="AL1479" s="62"/>
      <c r="AM1479" s="62"/>
      <c r="AN1479" s="62"/>
      <c r="AO1479" s="62"/>
      <c r="AP1479" s="62"/>
      <c r="AQ1479" s="62"/>
      <c r="AR1479" s="62"/>
      <c r="AS1479" s="62"/>
      <c r="AT1479" s="62"/>
      <c r="AU1479" s="62"/>
      <c r="AV1479" s="62"/>
      <c r="AW1479" s="62"/>
      <c r="AX1479" s="62"/>
      <c r="AY1479" s="62"/>
    </row>
    <row r="1480" spans="1:51" x14ac:dyDescent="0.25">
      <c r="A1480" s="62"/>
      <c r="B1480" s="86"/>
      <c r="C1480" s="86"/>
      <c r="D1480" s="86"/>
      <c r="E1480" s="86"/>
      <c r="F1480" s="86"/>
      <c r="G1480" s="86"/>
      <c r="H1480" s="62"/>
      <c r="I1480" s="62"/>
      <c r="J1480" s="62"/>
      <c r="K1480" s="62"/>
      <c r="L1480" s="62"/>
      <c r="M1480" s="62"/>
      <c r="N1480" s="62"/>
      <c r="O1480" s="62"/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  <c r="AL1480" s="62"/>
      <c r="AM1480" s="62"/>
      <c r="AN1480" s="62"/>
      <c r="AO1480" s="62"/>
      <c r="AP1480" s="62"/>
      <c r="AQ1480" s="62"/>
      <c r="AR1480" s="62"/>
      <c r="AS1480" s="62"/>
      <c r="AT1480" s="62"/>
      <c r="AU1480" s="62"/>
      <c r="AV1480" s="62"/>
      <c r="AW1480" s="62"/>
      <c r="AX1480" s="62"/>
      <c r="AY1480" s="62"/>
    </row>
    <row r="1481" spans="1:51" x14ac:dyDescent="0.25">
      <c r="A1481" s="62"/>
      <c r="B1481" s="86"/>
      <c r="C1481" s="86"/>
      <c r="D1481" s="86"/>
      <c r="E1481" s="86"/>
      <c r="F1481" s="86"/>
      <c r="G1481" s="86"/>
      <c r="H1481" s="62"/>
      <c r="I1481" s="62"/>
      <c r="J1481" s="62"/>
      <c r="K1481" s="62"/>
      <c r="L1481" s="62"/>
      <c r="M1481" s="62"/>
      <c r="N1481" s="62"/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  <c r="AL1481" s="62"/>
      <c r="AM1481" s="62"/>
      <c r="AN1481" s="62"/>
      <c r="AO1481" s="62"/>
      <c r="AP1481" s="62"/>
      <c r="AQ1481" s="62"/>
      <c r="AR1481" s="62"/>
      <c r="AS1481" s="62"/>
      <c r="AT1481" s="62"/>
      <c r="AU1481" s="62"/>
      <c r="AV1481" s="62"/>
      <c r="AW1481" s="62"/>
      <c r="AX1481" s="62"/>
      <c r="AY1481" s="62"/>
    </row>
    <row r="1482" spans="1:51" x14ac:dyDescent="0.25">
      <c r="A1482" s="62"/>
      <c r="B1482" s="86"/>
      <c r="C1482" s="86"/>
      <c r="D1482" s="86"/>
      <c r="E1482" s="86"/>
      <c r="F1482" s="86"/>
      <c r="G1482" s="86"/>
      <c r="H1482" s="62"/>
      <c r="I1482" s="62"/>
      <c r="J1482" s="62"/>
      <c r="K1482" s="62"/>
      <c r="L1482" s="62"/>
      <c r="M1482" s="62"/>
      <c r="N1482" s="62"/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  <c r="AL1482" s="62"/>
      <c r="AM1482" s="62"/>
      <c r="AN1482" s="62"/>
      <c r="AO1482" s="62"/>
      <c r="AP1482" s="62"/>
      <c r="AQ1482" s="62"/>
      <c r="AR1482" s="62"/>
      <c r="AS1482" s="62"/>
      <c r="AT1482" s="62"/>
      <c r="AU1482" s="62"/>
      <c r="AV1482" s="62"/>
      <c r="AW1482" s="62"/>
      <c r="AX1482" s="62"/>
      <c r="AY1482" s="62"/>
    </row>
    <row r="1483" spans="1:51" x14ac:dyDescent="0.25">
      <c r="A1483" s="62"/>
      <c r="B1483" s="86"/>
      <c r="C1483" s="86"/>
      <c r="D1483" s="86"/>
      <c r="E1483" s="86"/>
      <c r="F1483" s="86"/>
      <c r="G1483" s="86"/>
      <c r="H1483" s="62"/>
      <c r="I1483" s="62"/>
      <c r="J1483" s="62"/>
      <c r="K1483" s="62"/>
      <c r="L1483" s="62"/>
      <c r="M1483" s="62"/>
      <c r="N1483" s="62"/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  <c r="AL1483" s="62"/>
      <c r="AM1483" s="62"/>
      <c r="AN1483" s="62"/>
      <c r="AO1483" s="62"/>
      <c r="AP1483" s="62"/>
      <c r="AQ1483" s="62"/>
      <c r="AR1483" s="62"/>
      <c r="AS1483" s="62"/>
      <c r="AT1483" s="62"/>
      <c r="AU1483" s="62"/>
      <c r="AV1483" s="62"/>
      <c r="AW1483" s="62"/>
      <c r="AX1483" s="62"/>
      <c r="AY1483" s="62"/>
    </row>
    <row r="1484" spans="1:51" x14ac:dyDescent="0.25">
      <c r="A1484" s="62"/>
      <c r="B1484" s="86"/>
      <c r="C1484" s="86"/>
      <c r="D1484" s="86"/>
      <c r="E1484" s="86"/>
      <c r="F1484" s="86"/>
      <c r="G1484" s="86"/>
      <c r="H1484" s="62"/>
      <c r="I1484" s="62"/>
      <c r="J1484" s="62"/>
      <c r="K1484" s="62"/>
      <c r="L1484" s="62"/>
      <c r="M1484" s="62"/>
      <c r="N1484" s="62"/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  <c r="AL1484" s="62"/>
      <c r="AM1484" s="62"/>
      <c r="AN1484" s="62"/>
      <c r="AO1484" s="62"/>
      <c r="AP1484" s="62"/>
      <c r="AQ1484" s="62"/>
      <c r="AR1484" s="62"/>
      <c r="AS1484" s="62"/>
      <c r="AT1484" s="62"/>
      <c r="AU1484" s="62"/>
      <c r="AV1484" s="62"/>
      <c r="AW1484" s="62"/>
      <c r="AX1484" s="62"/>
      <c r="AY1484" s="62"/>
    </row>
    <row r="1485" spans="1:51" x14ac:dyDescent="0.25">
      <c r="A1485" s="62"/>
      <c r="B1485" s="86"/>
      <c r="C1485" s="86"/>
      <c r="D1485" s="86"/>
      <c r="E1485" s="86"/>
      <c r="F1485" s="86"/>
      <c r="G1485" s="86"/>
      <c r="H1485" s="62"/>
      <c r="I1485" s="62"/>
      <c r="J1485" s="62"/>
      <c r="K1485" s="62"/>
      <c r="L1485" s="62"/>
      <c r="M1485" s="62"/>
      <c r="N1485" s="62"/>
      <c r="O1485" s="62"/>
      <c r="P1485" s="62"/>
      <c r="Q1485" s="62"/>
      <c r="R1485" s="62"/>
      <c r="S1485" s="62"/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  <c r="AL1485" s="62"/>
      <c r="AM1485" s="62"/>
      <c r="AN1485" s="62"/>
      <c r="AO1485" s="62"/>
      <c r="AP1485" s="62"/>
      <c r="AQ1485" s="62"/>
      <c r="AR1485" s="62"/>
      <c r="AS1485" s="62"/>
      <c r="AT1485" s="62"/>
      <c r="AU1485" s="62"/>
      <c r="AV1485" s="62"/>
      <c r="AW1485" s="62"/>
      <c r="AX1485" s="62"/>
      <c r="AY1485" s="62"/>
    </row>
    <row r="1486" spans="1:51" x14ac:dyDescent="0.25">
      <c r="A1486" s="62"/>
      <c r="B1486" s="86"/>
      <c r="C1486" s="86"/>
      <c r="D1486" s="86"/>
      <c r="E1486" s="86"/>
      <c r="F1486" s="86"/>
      <c r="G1486" s="86"/>
      <c r="H1486" s="62"/>
      <c r="I1486" s="62"/>
      <c r="J1486" s="62"/>
      <c r="K1486" s="62"/>
      <c r="L1486" s="62"/>
      <c r="M1486" s="62"/>
      <c r="N1486" s="62"/>
      <c r="O1486" s="62"/>
      <c r="P1486" s="62"/>
      <c r="Q1486" s="62"/>
      <c r="R1486" s="62"/>
      <c r="S1486" s="62"/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  <c r="AL1486" s="62"/>
      <c r="AM1486" s="62"/>
      <c r="AN1486" s="62"/>
      <c r="AO1486" s="62"/>
      <c r="AP1486" s="62"/>
      <c r="AQ1486" s="62"/>
      <c r="AR1486" s="62"/>
      <c r="AS1486" s="62"/>
      <c r="AT1486" s="62"/>
      <c r="AU1486" s="62"/>
      <c r="AV1486" s="62"/>
      <c r="AW1486" s="62"/>
      <c r="AX1486" s="62"/>
      <c r="AY1486" s="62"/>
    </row>
    <row r="1487" spans="1:51" x14ac:dyDescent="0.25">
      <c r="A1487" s="62"/>
      <c r="B1487" s="86"/>
      <c r="C1487" s="86"/>
      <c r="D1487" s="86"/>
      <c r="E1487" s="86"/>
      <c r="F1487" s="86"/>
      <c r="G1487" s="86"/>
      <c r="H1487" s="62"/>
      <c r="I1487" s="62"/>
      <c r="J1487" s="62"/>
      <c r="K1487" s="62"/>
      <c r="L1487" s="62"/>
      <c r="M1487" s="62"/>
      <c r="N1487" s="62"/>
      <c r="O1487" s="62"/>
      <c r="P1487" s="62"/>
      <c r="Q1487" s="62"/>
      <c r="R1487" s="62"/>
      <c r="S1487" s="62"/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  <c r="AL1487" s="62"/>
      <c r="AM1487" s="62"/>
      <c r="AN1487" s="62"/>
      <c r="AO1487" s="62"/>
      <c r="AP1487" s="62"/>
      <c r="AQ1487" s="62"/>
      <c r="AR1487" s="62"/>
      <c r="AS1487" s="62"/>
      <c r="AT1487" s="62"/>
      <c r="AU1487" s="62"/>
      <c r="AV1487" s="62"/>
      <c r="AW1487" s="62"/>
      <c r="AX1487" s="62"/>
      <c r="AY1487" s="62"/>
    </row>
    <row r="1488" spans="1:51" x14ac:dyDescent="0.25">
      <c r="A1488" s="62"/>
      <c r="B1488" s="86"/>
      <c r="C1488" s="86"/>
      <c r="D1488" s="86"/>
      <c r="E1488" s="86"/>
      <c r="F1488" s="86"/>
      <c r="G1488" s="86"/>
      <c r="H1488" s="62"/>
      <c r="I1488" s="62"/>
      <c r="J1488" s="62"/>
      <c r="K1488" s="62"/>
      <c r="L1488" s="62"/>
      <c r="M1488" s="62"/>
      <c r="N1488" s="62"/>
      <c r="O1488" s="62"/>
      <c r="P1488" s="62"/>
      <c r="Q1488" s="62"/>
      <c r="R1488" s="62"/>
      <c r="S1488" s="62"/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  <c r="AL1488" s="62"/>
      <c r="AM1488" s="62"/>
      <c r="AN1488" s="62"/>
      <c r="AO1488" s="62"/>
      <c r="AP1488" s="62"/>
      <c r="AQ1488" s="62"/>
      <c r="AR1488" s="62"/>
      <c r="AS1488" s="62"/>
      <c r="AT1488" s="62"/>
      <c r="AU1488" s="62"/>
      <c r="AV1488" s="62"/>
      <c r="AW1488" s="62"/>
      <c r="AX1488" s="62"/>
      <c r="AY1488" s="62"/>
    </row>
    <row r="1489" spans="1:51" x14ac:dyDescent="0.25">
      <c r="A1489" s="62"/>
      <c r="B1489" s="86"/>
      <c r="C1489" s="86"/>
      <c r="D1489" s="86"/>
      <c r="E1489" s="86"/>
      <c r="F1489" s="86"/>
      <c r="G1489" s="86"/>
      <c r="H1489" s="62"/>
      <c r="I1489" s="62"/>
      <c r="J1489" s="62"/>
      <c r="K1489" s="62"/>
      <c r="L1489" s="62"/>
      <c r="M1489" s="62"/>
      <c r="N1489" s="62"/>
      <c r="O1489" s="62"/>
      <c r="P1489" s="62"/>
      <c r="Q1489" s="62"/>
      <c r="R1489" s="62"/>
      <c r="S1489" s="62"/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  <c r="AL1489" s="62"/>
      <c r="AM1489" s="62"/>
      <c r="AN1489" s="62"/>
      <c r="AO1489" s="62"/>
      <c r="AP1489" s="62"/>
      <c r="AQ1489" s="62"/>
      <c r="AR1489" s="62"/>
      <c r="AS1489" s="62"/>
      <c r="AT1489" s="62"/>
      <c r="AU1489" s="62"/>
      <c r="AV1489" s="62"/>
      <c r="AW1489" s="62"/>
      <c r="AX1489" s="62"/>
      <c r="AY1489" s="62"/>
    </row>
    <row r="1490" spans="1:51" x14ac:dyDescent="0.25">
      <c r="A1490" s="62"/>
      <c r="B1490" s="86"/>
      <c r="C1490" s="86"/>
      <c r="D1490" s="86"/>
      <c r="E1490" s="86"/>
      <c r="F1490" s="86"/>
      <c r="G1490" s="86"/>
      <c r="H1490" s="62"/>
      <c r="I1490" s="62"/>
      <c r="J1490" s="62"/>
      <c r="K1490" s="62"/>
      <c r="L1490" s="62"/>
      <c r="M1490" s="62"/>
      <c r="N1490" s="62"/>
      <c r="O1490" s="62"/>
      <c r="P1490" s="62"/>
      <c r="Q1490" s="62"/>
      <c r="R1490" s="62"/>
      <c r="S1490" s="62"/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  <c r="AL1490" s="62"/>
      <c r="AM1490" s="62"/>
      <c r="AN1490" s="62"/>
      <c r="AO1490" s="62"/>
      <c r="AP1490" s="62"/>
      <c r="AQ1490" s="62"/>
      <c r="AR1490" s="62"/>
      <c r="AS1490" s="62"/>
      <c r="AT1490" s="62"/>
      <c r="AU1490" s="62"/>
      <c r="AV1490" s="62"/>
      <c r="AW1490" s="62"/>
      <c r="AX1490" s="62"/>
      <c r="AY1490" s="62"/>
    </row>
    <row r="1491" spans="1:51" x14ac:dyDescent="0.25">
      <c r="A1491" s="62"/>
      <c r="B1491" s="86"/>
      <c r="C1491" s="86"/>
      <c r="D1491" s="86"/>
      <c r="E1491" s="86"/>
      <c r="F1491" s="86"/>
      <c r="G1491" s="86"/>
      <c r="H1491" s="62"/>
      <c r="I1491" s="62"/>
      <c r="J1491" s="62"/>
      <c r="K1491" s="62"/>
      <c r="L1491" s="62"/>
      <c r="M1491" s="62"/>
      <c r="N1491" s="62"/>
      <c r="O1491" s="62"/>
      <c r="P1491" s="62"/>
      <c r="Q1491" s="62"/>
      <c r="R1491" s="62"/>
      <c r="S1491" s="62"/>
      <c r="T1491" s="62"/>
      <c r="U1491" s="62"/>
      <c r="V1491" s="62"/>
      <c r="W1491" s="62"/>
      <c r="X1491" s="62"/>
      <c r="Y1491" s="62"/>
      <c r="Z1491" s="62"/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  <c r="AL1491" s="62"/>
      <c r="AM1491" s="62"/>
      <c r="AN1491" s="62"/>
      <c r="AO1491" s="62"/>
      <c r="AP1491" s="62"/>
      <c r="AQ1491" s="62"/>
      <c r="AR1491" s="62"/>
      <c r="AS1491" s="62"/>
      <c r="AT1491" s="62"/>
      <c r="AU1491" s="62"/>
      <c r="AV1491" s="62"/>
      <c r="AW1491" s="62"/>
      <c r="AX1491" s="62"/>
      <c r="AY1491" s="62"/>
    </row>
    <row r="1492" spans="1:51" x14ac:dyDescent="0.25">
      <c r="A1492" s="62"/>
      <c r="B1492" s="86"/>
      <c r="C1492" s="86"/>
      <c r="D1492" s="86"/>
      <c r="E1492" s="86"/>
      <c r="F1492" s="86"/>
      <c r="G1492" s="86"/>
      <c r="H1492" s="62"/>
      <c r="I1492" s="62"/>
      <c r="J1492" s="62"/>
      <c r="K1492" s="62"/>
      <c r="L1492" s="62"/>
      <c r="M1492" s="62"/>
      <c r="N1492" s="62"/>
      <c r="O1492" s="62"/>
      <c r="P1492" s="62"/>
      <c r="Q1492" s="62"/>
      <c r="R1492" s="62"/>
      <c r="S1492" s="62"/>
      <c r="T1492" s="62"/>
      <c r="U1492" s="62"/>
      <c r="V1492" s="62"/>
      <c r="W1492" s="62"/>
      <c r="X1492" s="62"/>
      <c r="Y1492" s="62"/>
      <c r="Z1492" s="62"/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  <c r="AL1492" s="62"/>
      <c r="AM1492" s="62"/>
      <c r="AN1492" s="62"/>
      <c r="AO1492" s="62"/>
      <c r="AP1492" s="62"/>
      <c r="AQ1492" s="62"/>
      <c r="AR1492" s="62"/>
      <c r="AS1492" s="62"/>
      <c r="AT1492" s="62"/>
      <c r="AU1492" s="62"/>
      <c r="AV1492" s="62"/>
      <c r="AW1492" s="62"/>
      <c r="AX1492" s="62"/>
      <c r="AY1492" s="62"/>
    </row>
    <row r="1493" spans="1:51" x14ac:dyDescent="0.25">
      <c r="A1493" s="62"/>
      <c r="B1493" s="86"/>
      <c r="C1493" s="86"/>
      <c r="D1493" s="86"/>
      <c r="E1493" s="86"/>
      <c r="F1493" s="86"/>
      <c r="G1493" s="86"/>
      <c r="H1493" s="62"/>
      <c r="I1493" s="62"/>
      <c r="J1493" s="62"/>
      <c r="K1493" s="62"/>
      <c r="L1493" s="62"/>
      <c r="M1493" s="62"/>
      <c r="N1493" s="62"/>
      <c r="O1493" s="62"/>
      <c r="P1493" s="62"/>
      <c r="Q1493" s="62"/>
      <c r="R1493" s="62"/>
      <c r="S1493" s="62"/>
      <c r="T1493" s="62"/>
      <c r="U1493" s="62"/>
      <c r="V1493" s="62"/>
      <c r="W1493" s="62"/>
      <c r="X1493" s="62"/>
      <c r="Y1493" s="62"/>
      <c r="Z1493" s="62"/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  <c r="AL1493" s="62"/>
      <c r="AM1493" s="62"/>
      <c r="AN1493" s="62"/>
      <c r="AO1493" s="62"/>
      <c r="AP1493" s="62"/>
      <c r="AQ1493" s="62"/>
      <c r="AR1493" s="62"/>
      <c r="AS1493" s="62"/>
      <c r="AT1493" s="62"/>
      <c r="AU1493" s="62"/>
      <c r="AV1493" s="62"/>
      <c r="AW1493" s="62"/>
      <c r="AX1493" s="62"/>
      <c r="AY1493" s="62"/>
    </row>
    <row r="1494" spans="1:51" x14ac:dyDescent="0.25">
      <c r="A1494" s="62"/>
      <c r="B1494" s="86"/>
      <c r="C1494" s="86"/>
      <c r="D1494" s="86"/>
      <c r="E1494" s="86"/>
      <c r="F1494" s="86"/>
      <c r="G1494" s="86"/>
      <c r="H1494" s="62"/>
      <c r="I1494" s="62"/>
      <c r="J1494" s="62"/>
      <c r="K1494" s="62"/>
      <c r="L1494" s="62"/>
      <c r="M1494" s="62"/>
      <c r="N1494" s="62"/>
      <c r="O1494" s="62"/>
      <c r="P1494" s="62"/>
      <c r="Q1494" s="62"/>
      <c r="R1494" s="62"/>
      <c r="S1494" s="62"/>
      <c r="T1494" s="62"/>
      <c r="U1494" s="62"/>
      <c r="V1494" s="62"/>
      <c r="W1494" s="62"/>
      <c r="X1494" s="62"/>
      <c r="Y1494" s="62"/>
      <c r="Z1494" s="62"/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  <c r="AL1494" s="62"/>
      <c r="AM1494" s="62"/>
      <c r="AN1494" s="62"/>
      <c r="AO1494" s="62"/>
      <c r="AP1494" s="62"/>
      <c r="AQ1494" s="62"/>
      <c r="AR1494" s="62"/>
      <c r="AS1494" s="62"/>
      <c r="AT1494" s="62"/>
      <c r="AU1494" s="62"/>
      <c r="AV1494" s="62"/>
      <c r="AW1494" s="62"/>
      <c r="AX1494" s="62"/>
      <c r="AY1494" s="62"/>
    </row>
    <row r="1495" spans="1:51" x14ac:dyDescent="0.25">
      <c r="A1495" s="62"/>
      <c r="B1495" s="86"/>
      <c r="C1495" s="86"/>
      <c r="D1495" s="86"/>
      <c r="E1495" s="86"/>
      <c r="F1495" s="86"/>
      <c r="G1495" s="86"/>
      <c r="H1495" s="62"/>
      <c r="I1495" s="62"/>
      <c r="J1495" s="62"/>
      <c r="K1495" s="62"/>
      <c r="L1495" s="62"/>
      <c r="M1495" s="62"/>
      <c r="N1495" s="62"/>
      <c r="O1495" s="62"/>
      <c r="P1495" s="62"/>
      <c r="Q1495" s="62"/>
      <c r="R1495" s="62"/>
      <c r="S1495" s="62"/>
      <c r="T1495" s="62"/>
      <c r="U1495" s="62"/>
      <c r="V1495" s="62"/>
      <c r="W1495" s="62"/>
      <c r="X1495" s="62"/>
      <c r="Y1495" s="62"/>
      <c r="Z1495" s="62"/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  <c r="AL1495" s="62"/>
      <c r="AM1495" s="62"/>
      <c r="AN1495" s="62"/>
      <c r="AO1495" s="62"/>
      <c r="AP1495" s="62"/>
      <c r="AQ1495" s="62"/>
      <c r="AR1495" s="62"/>
      <c r="AS1495" s="62"/>
      <c r="AT1495" s="62"/>
      <c r="AU1495" s="62"/>
      <c r="AV1495" s="62"/>
      <c r="AW1495" s="62"/>
      <c r="AX1495" s="62"/>
      <c r="AY1495" s="62"/>
    </row>
    <row r="1496" spans="1:51" x14ac:dyDescent="0.25">
      <c r="A1496" s="62"/>
      <c r="B1496" s="86"/>
      <c r="C1496" s="86"/>
      <c r="D1496" s="86"/>
      <c r="E1496" s="86"/>
      <c r="F1496" s="86"/>
      <c r="G1496" s="86"/>
      <c r="H1496" s="62"/>
      <c r="I1496" s="62"/>
      <c r="J1496" s="62"/>
      <c r="K1496" s="62"/>
      <c r="L1496" s="62"/>
      <c r="M1496" s="62"/>
      <c r="N1496" s="62"/>
      <c r="O1496" s="62"/>
      <c r="P1496" s="62"/>
      <c r="Q1496" s="62"/>
      <c r="R1496" s="62"/>
      <c r="S1496" s="62"/>
      <c r="T1496" s="62"/>
      <c r="U1496" s="62"/>
      <c r="V1496" s="62"/>
      <c r="W1496" s="62"/>
      <c r="X1496" s="62"/>
      <c r="Y1496" s="62"/>
      <c r="Z1496" s="62"/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  <c r="AL1496" s="62"/>
      <c r="AM1496" s="62"/>
      <c r="AN1496" s="62"/>
      <c r="AO1496" s="62"/>
      <c r="AP1496" s="62"/>
      <c r="AQ1496" s="62"/>
      <c r="AR1496" s="62"/>
      <c r="AS1496" s="62"/>
      <c r="AT1496" s="62"/>
      <c r="AU1496" s="62"/>
      <c r="AV1496" s="62"/>
      <c r="AW1496" s="62"/>
      <c r="AX1496" s="62"/>
      <c r="AY1496" s="62"/>
    </row>
    <row r="1497" spans="1:51" x14ac:dyDescent="0.25">
      <c r="A1497" s="62"/>
      <c r="B1497" s="86"/>
      <c r="C1497" s="86"/>
      <c r="D1497" s="86"/>
      <c r="E1497" s="86"/>
      <c r="F1497" s="86"/>
      <c r="G1497" s="86"/>
      <c r="H1497" s="62"/>
      <c r="I1497" s="62"/>
      <c r="J1497" s="62"/>
      <c r="K1497" s="62"/>
      <c r="L1497" s="62"/>
      <c r="M1497" s="62"/>
      <c r="N1497" s="62"/>
      <c r="O1497" s="62"/>
      <c r="P1497" s="62"/>
      <c r="Q1497" s="62"/>
      <c r="R1497" s="62"/>
      <c r="S1497" s="62"/>
      <c r="T1497" s="62"/>
      <c r="U1497" s="62"/>
      <c r="V1497" s="62"/>
      <c r="W1497" s="62"/>
      <c r="X1497" s="62"/>
      <c r="Y1497" s="62"/>
      <c r="Z1497" s="62"/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  <c r="AL1497" s="62"/>
      <c r="AM1497" s="62"/>
      <c r="AN1497" s="62"/>
      <c r="AO1497" s="62"/>
      <c r="AP1497" s="62"/>
      <c r="AQ1497" s="62"/>
      <c r="AR1497" s="62"/>
      <c r="AS1497" s="62"/>
      <c r="AT1497" s="62"/>
      <c r="AU1497" s="62"/>
      <c r="AV1497" s="62"/>
      <c r="AW1497" s="62"/>
      <c r="AX1497" s="62"/>
      <c r="AY1497" s="62"/>
    </row>
    <row r="1498" spans="1:51" x14ac:dyDescent="0.25">
      <c r="A1498" s="62"/>
      <c r="B1498" s="86"/>
      <c r="C1498" s="86"/>
      <c r="D1498" s="86"/>
      <c r="E1498" s="86"/>
      <c r="F1498" s="86"/>
      <c r="G1498" s="86"/>
      <c r="H1498" s="62"/>
      <c r="I1498" s="62"/>
      <c r="J1498" s="62"/>
      <c r="K1498" s="62"/>
      <c r="L1498" s="62"/>
      <c r="M1498" s="62"/>
      <c r="N1498" s="62"/>
      <c r="O1498" s="62"/>
      <c r="P1498" s="62"/>
      <c r="Q1498" s="62"/>
      <c r="R1498" s="62"/>
      <c r="S1498" s="62"/>
      <c r="T1498" s="62"/>
      <c r="U1498" s="62"/>
      <c r="V1498" s="62"/>
      <c r="W1498" s="62"/>
      <c r="X1498" s="62"/>
      <c r="Y1498" s="62"/>
      <c r="Z1498" s="62"/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  <c r="AL1498" s="62"/>
      <c r="AM1498" s="62"/>
      <c r="AN1498" s="62"/>
      <c r="AO1498" s="62"/>
      <c r="AP1498" s="62"/>
      <c r="AQ1498" s="62"/>
      <c r="AR1498" s="62"/>
      <c r="AS1498" s="62"/>
      <c r="AT1498" s="62"/>
      <c r="AU1498" s="62"/>
      <c r="AV1498" s="62"/>
      <c r="AW1498" s="62"/>
      <c r="AX1498" s="62"/>
      <c r="AY1498" s="62"/>
    </row>
    <row r="1499" spans="1:51" x14ac:dyDescent="0.25">
      <c r="A1499" s="62"/>
      <c r="B1499" s="86"/>
      <c r="C1499" s="86"/>
      <c r="D1499" s="86"/>
      <c r="E1499" s="86"/>
      <c r="F1499" s="86"/>
      <c r="G1499" s="86"/>
      <c r="H1499" s="62"/>
      <c r="I1499" s="62"/>
      <c r="J1499" s="62"/>
      <c r="K1499" s="62"/>
      <c r="L1499" s="62"/>
      <c r="M1499" s="62"/>
      <c r="N1499" s="62"/>
      <c r="O1499" s="62"/>
      <c r="P1499" s="62"/>
      <c r="Q1499" s="62"/>
      <c r="R1499" s="62"/>
      <c r="S1499" s="62"/>
      <c r="T1499" s="62"/>
      <c r="U1499" s="62"/>
      <c r="V1499" s="62"/>
      <c r="W1499" s="62"/>
      <c r="X1499" s="62"/>
      <c r="Y1499" s="62"/>
      <c r="Z1499" s="62"/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  <c r="AL1499" s="62"/>
      <c r="AM1499" s="62"/>
      <c r="AN1499" s="62"/>
      <c r="AO1499" s="62"/>
      <c r="AP1499" s="62"/>
      <c r="AQ1499" s="62"/>
      <c r="AR1499" s="62"/>
      <c r="AS1499" s="62"/>
      <c r="AT1499" s="62"/>
      <c r="AU1499" s="62"/>
      <c r="AV1499" s="62"/>
      <c r="AW1499" s="62"/>
      <c r="AX1499" s="62"/>
      <c r="AY1499" s="62"/>
    </row>
    <row r="1500" spans="1:51" x14ac:dyDescent="0.25">
      <c r="A1500" s="62"/>
      <c r="B1500" s="86"/>
      <c r="C1500" s="86"/>
      <c r="D1500" s="86"/>
      <c r="E1500" s="86"/>
      <c r="F1500" s="86"/>
      <c r="G1500" s="86"/>
      <c r="H1500" s="62"/>
      <c r="I1500" s="62"/>
      <c r="J1500" s="62"/>
      <c r="K1500" s="62"/>
      <c r="L1500" s="62"/>
      <c r="M1500" s="62"/>
      <c r="N1500" s="62"/>
      <c r="O1500" s="62"/>
      <c r="P1500" s="62"/>
      <c r="Q1500" s="62"/>
      <c r="R1500" s="62"/>
      <c r="S1500" s="62"/>
      <c r="T1500" s="62"/>
      <c r="U1500" s="62"/>
      <c r="V1500" s="62"/>
      <c r="W1500" s="62"/>
      <c r="X1500" s="62"/>
      <c r="Y1500" s="62"/>
      <c r="Z1500" s="62"/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  <c r="AL1500" s="62"/>
      <c r="AM1500" s="62"/>
      <c r="AN1500" s="62"/>
      <c r="AO1500" s="62"/>
      <c r="AP1500" s="62"/>
      <c r="AQ1500" s="62"/>
      <c r="AR1500" s="62"/>
      <c r="AS1500" s="62"/>
      <c r="AT1500" s="62"/>
      <c r="AU1500" s="62"/>
      <c r="AV1500" s="62"/>
      <c r="AW1500" s="62"/>
      <c r="AX1500" s="62"/>
      <c r="AY1500" s="62"/>
    </row>
    <row r="1501" spans="1:51" x14ac:dyDescent="0.25">
      <c r="A1501" s="62"/>
      <c r="B1501" s="86"/>
      <c r="C1501" s="86"/>
      <c r="D1501" s="86"/>
      <c r="E1501" s="86"/>
      <c r="F1501" s="86"/>
      <c r="G1501" s="86"/>
      <c r="H1501" s="62"/>
      <c r="I1501" s="62"/>
      <c r="J1501" s="62"/>
      <c r="K1501" s="62"/>
      <c r="L1501" s="62"/>
      <c r="M1501" s="62"/>
      <c r="N1501" s="62"/>
      <c r="O1501" s="62"/>
      <c r="P1501" s="62"/>
      <c r="Q1501" s="62"/>
      <c r="R1501" s="62"/>
      <c r="S1501" s="62"/>
      <c r="T1501" s="62"/>
      <c r="U1501" s="62"/>
      <c r="V1501" s="62"/>
      <c r="W1501" s="62"/>
      <c r="X1501" s="62"/>
      <c r="Y1501" s="62"/>
      <c r="Z1501" s="62"/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  <c r="AL1501" s="62"/>
      <c r="AM1501" s="62"/>
      <c r="AN1501" s="62"/>
      <c r="AO1501" s="62"/>
      <c r="AP1501" s="62"/>
      <c r="AQ1501" s="62"/>
      <c r="AR1501" s="62"/>
      <c r="AS1501" s="62"/>
      <c r="AT1501" s="62"/>
      <c r="AU1501" s="62"/>
      <c r="AV1501" s="62"/>
      <c r="AW1501" s="62"/>
      <c r="AX1501" s="62"/>
      <c r="AY1501" s="62"/>
    </row>
    <row r="1502" spans="1:51" x14ac:dyDescent="0.25">
      <c r="A1502" s="62"/>
      <c r="B1502" s="86"/>
      <c r="C1502" s="86"/>
      <c r="D1502" s="86"/>
      <c r="E1502" s="86"/>
      <c r="F1502" s="86"/>
      <c r="G1502" s="86"/>
      <c r="H1502" s="62"/>
      <c r="I1502" s="62"/>
      <c r="J1502" s="62"/>
      <c r="K1502" s="62"/>
      <c r="L1502" s="62"/>
      <c r="M1502" s="62"/>
      <c r="N1502" s="62"/>
      <c r="O1502" s="62"/>
      <c r="P1502" s="62"/>
      <c r="Q1502" s="62"/>
      <c r="R1502" s="62"/>
      <c r="S1502" s="62"/>
      <c r="T1502" s="62"/>
      <c r="U1502" s="62"/>
      <c r="V1502" s="62"/>
      <c r="W1502" s="62"/>
      <c r="X1502" s="62"/>
      <c r="Y1502" s="62"/>
      <c r="Z1502" s="62"/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  <c r="AL1502" s="62"/>
      <c r="AM1502" s="62"/>
      <c r="AN1502" s="62"/>
      <c r="AO1502" s="62"/>
      <c r="AP1502" s="62"/>
      <c r="AQ1502" s="62"/>
      <c r="AR1502" s="62"/>
      <c r="AS1502" s="62"/>
      <c r="AT1502" s="62"/>
      <c r="AU1502" s="62"/>
      <c r="AV1502" s="62"/>
      <c r="AW1502" s="62"/>
      <c r="AX1502" s="62"/>
      <c r="AY1502" s="62"/>
    </row>
    <row r="1503" spans="1:51" x14ac:dyDescent="0.25">
      <c r="A1503" s="62"/>
      <c r="B1503" s="86"/>
      <c r="C1503" s="86"/>
      <c r="D1503" s="86"/>
      <c r="E1503" s="86"/>
      <c r="F1503" s="86"/>
      <c r="G1503" s="86"/>
      <c r="H1503" s="62"/>
      <c r="I1503" s="62"/>
      <c r="J1503" s="62"/>
      <c r="K1503" s="62"/>
      <c r="L1503" s="62"/>
      <c r="M1503" s="62"/>
      <c r="N1503" s="62"/>
      <c r="O1503" s="62"/>
      <c r="P1503" s="62"/>
      <c r="Q1503" s="62"/>
      <c r="R1503" s="62"/>
      <c r="S1503" s="62"/>
      <c r="T1503" s="62"/>
      <c r="U1503" s="62"/>
      <c r="V1503" s="62"/>
      <c r="W1503" s="62"/>
      <c r="X1503" s="62"/>
      <c r="Y1503" s="62"/>
      <c r="Z1503" s="62"/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  <c r="AL1503" s="62"/>
      <c r="AM1503" s="62"/>
      <c r="AN1503" s="62"/>
      <c r="AO1503" s="62"/>
      <c r="AP1503" s="62"/>
      <c r="AQ1503" s="62"/>
      <c r="AR1503" s="62"/>
      <c r="AS1503" s="62"/>
      <c r="AT1503" s="62"/>
      <c r="AU1503" s="62"/>
      <c r="AV1503" s="62"/>
      <c r="AW1503" s="62"/>
      <c r="AX1503" s="62"/>
      <c r="AY1503" s="62"/>
    </row>
    <row r="1504" spans="1:51" x14ac:dyDescent="0.25">
      <c r="A1504" s="62"/>
      <c r="B1504" s="86"/>
      <c r="C1504" s="86"/>
      <c r="D1504" s="86"/>
      <c r="E1504" s="86"/>
      <c r="F1504" s="86"/>
      <c r="G1504" s="86"/>
      <c r="H1504" s="62"/>
      <c r="I1504" s="62"/>
      <c r="J1504" s="62"/>
      <c r="K1504" s="62"/>
      <c r="L1504" s="62"/>
      <c r="M1504" s="62"/>
      <c r="N1504" s="62"/>
      <c r="O1504" s="62"/>
      <c r="P1504" s="62"/>
      <c r="Q1504" s="62"/>
      <c r="R1504" s="62"/>
      <c r="S1504" s="62"/>
      <c r="T1504" s="62"/>
      <c r="U1504" s="62"/>
      <c r="V1504" s="62"/>
      <c r="W1504" s="62"/>
      <c r="X1504" s="62"/>
      <c r="Y1504" s="62"/>
      <c r="Z1504" s="62"/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  <c r="AL1504" s="62"/>
      <c r="AM1504" s="62"/>
      <c r="AN1504" s="62"/>
      <c r="AO1504" s="62"/>
      <c r="AP1504" s="62"/>
      <c r="AQ1504" s="62"/>
      <c r="AR1504" s="62"/>
      <c r="AS1504" s="62"/>
      <c r="AT1504" s="62"/>
      <c r="AU1504" s="62"/>
      <c r="AV1504" s="62"/>
      <c r="AW1504" s="62"/>
      <c r="AX1504" s="62"/>
      <c r="AY1504" s="62"/>
    </row>
    <row r="1505" spans="1:51" x14ac:dyDescent="0.25">
      <c r="A1505" s="62"/>
      <c r="B1505" s="86"/>
      <c r="C1505" s="86"/>
      <c r="D1505" s="86"/>
      <c r="E1505" s="86"/>
      <c r="F1505" s="86"/>
      <c r="G1505" s="86"/>
      <c r="H1505" s="62"/>
      <c r="I1505" s="62"/>
      <c r="J1505" s="62"/>
      <c r="K1505" s="62"/>
      <c r="L1505" s="62"/>
      <c r="M1505" s="62"/>
      <c r="N1505" s="62"/>
      <c r="O1505" s="62"/>
      <c r="P1505" s="62"/>
      <c r="Q1505" s="62"/>
      <c r="R1505" s="62"/>
      <c r="S1505" s="62"/>
      <c r="T1505" s="62"/>
      <c r="U1505" s="62"/>
      <c r="V1505" s="62"/>
      <c r="W1505" s="62"/>
      <c r="X1505" s="62"/>
      <c r="Y1505" s="62"/>
      <c r="Z1505" s="62"/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  <c r="AL1505" s="62"/>
      <c r="AM1505" s="62"/>
      <c r="AN1505" s="62"/>
      <c r="AO1505" s="62"/>
      <c r="AP1505" s="62"/>
      <c r="AQ1505" s="62"/>
      <c r="AR1505" s="62"/>
      <c r="AS1505" s="62"/>
      <c r="AT1505" s="62"/>
      <c r="AU1505" s="62"/>
      <c r="AV1505" s="62"/>
      <c r="AW1505" s="62"/>
      <c r="AX1505" s="62"/>
      <c r="AY1505" s="62"/>
    </row>
    <row r="1506" spans="1:51" x14ac:dyDescent="0.25">
      <c r="A1506" s="62"/>
      <c r="B1506" s="86"/>
      <c r="C1506" s="86"/>
      <c r="D1506" s="86"/>
      <c r="E1506" s="86"/>
      <c r="F1506" s="86"/>
      <c r="G1506" s="86"/>
      <c r="H1506" s="62"/>
      <c r="I1506" s="62"/>
      <c r="J1506" s="62"/>
      <c r="K1506" s="62"/>
      <c r="L1506" s="62"/>
      <c r="M1506" s="62"/>
      <c r="N1506" s="62"/>
      <c r="O1506" s="62"/>
      <c r="P1506" s="62"/>
      <c r="Q1506" s="62"/>
      <c r="R1506" s="62"/>
      <c r="S1506" s="62"/>
      <c r="T1506" s="62"/>
      <c r="U1506" s="62"/>
      <c r="V1506" s="62"/>
      <c r="W1506" s="62"/>
      <c r="X1506" s="62"/>
      <c r="Y1506" s="62"/>
      <c r="Z1506" s="62"/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  <c r="AL1506" s="62"/>
      <c r="AM1506" s="62"/>
      <c r="AN1506" s="62"/>
      <c r="AO1506" s="62"/>
      <c r="AP1506" s="62"/>
      <c r="AQ1506" s="62"/>
      <c r="AR1506" s="62"/>
      <c r="AS1506" s="62"/>
      <c r="AT1506" s="62"/>
      <c r="AU1506" s="62"/>
      <c r="AV1506" s="62"/>
      <c r="AW1506" s="62"/>
      <c r="AX1506" s="62"/>
      <c r="AY1506" s="62"/>
    </row>
    <row r="1507" spans="1:51" x14ac:dyDescent="0.25">
      <c r="A1507" s="62"/>
      <c r="B1507" s="86"/>
      <c r="C1507" s="86"/>
      <c r="D1507" s="86"/>
      <c r="E1507" s="86"/>
      <c r="F1507" s="86"/>
      <c r="G1507" s="86"/>
      <c r="H1507" s="62"/>
      <c r="I1507" s="62"/>
      <c r="J1507" s="62"/>
      <c r="K1507" s="62"/>
      <c r="L1507" s="62"/>
      <c r="M1507" s="62"/>
      <c r="N1507" s="62"/>
      <c r="O1507" s="62"/>
      <c r="P1507" s="62"/>
      <c r="Q1507" s="62"/>
      <c r="R1507" s="62"/>
      <c r="S1507" s="62"/>
      <c r="T1507" s="62"/>
      <c r="U1507" s="62"/>
      <c r="V1507" s="62"/>
      <c r="W1507" s="62"/>
      <c r="X1507" s="62"/>
      <c r="Y1507" s="62"/>
      <c r="Z1507" s="62"/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  <c r="AL1507" s="62"/>
      <c r="AM1507" s="62"/>
      <c r="AN1507" s="62"/>
      <c r="AO1507" s="62"/>
      <c r="AP1507" s="62"/>
      <c r="AQ1507" s="62"/>
      <c r="AR1507" s="62"/>
      <c r="AS1507" s="62"/>
      <c r="AT1507" s="62"/>
      <c r="AU1507" s="62"/>
      <c r="AV1507" s="62"/>
      <c r="AW1507" s="62"/>
      <c r="AX1507" s="62"/>
      <c r="AY1507" s="62"/>
    </row>
    <row r="1508" spans="1:51" x14ac:dyDescent="0.25">
      <c r="A1508" s="62"/>
      <c r="B1508" s="86"/>
      <c r="C1508" s="86"/>
      <c r="D1508" s="86"/>
      <c r="E1508" s="86"/>
      <c r="F1508" s="86"/>
      <c r="G1508" s="86"/>
      <c r="H1508" s="62"/>
      <c r="I1508" s="62"/>
      <c r="J1508" s="62"/>
      <c r="K1508" s="62"/>
      <c r="L1508" s="62"/>
      <c r="M1508" s="62"/>
      <c r="N1508" s="62"/>
      <c r="O1508" s="62"/>
      <c r="P1508" s="62"/>
      <c r="Q1508" s="62"/>
      <c r="R1508" s="62"/>
      <c r="S1508" s="62"/>
      <c r="T1508" s="62"/>
      <c r="U1508" s="62"/>
      <c r="V1508" s="62"/>
      <c r="W1508" s="62"/>
      <c r="X1508" s="62"/>
      <c r="Y1508" s="62"/>
      <c r="Z1508" s="62"/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  <c r="AL1508" s="62"/>
      <c r="AM1508" s="62"/>
      <c r="AN1508" s="62"/>
      <c r="AO1508" s="62"/>
      <c r="AP1508" s="62"/>
      <c r="AQ1508" s="62"/>
      <c r="AR1508" s="62"/>
      <c r="AS1508" s="62"/>
      <c r="AT1508" s="62"/>
      <c r="AU1508" s="62"/>
      <c r="AV1508" s="62"/>
      <c r="AW1508" s="62"/>
      <c r="AX1508" s="62"/>
      <c r="AY1508" s="62"/>
    </row>
    <row r="1509" spans="1:51" x14ac:dyDescent="0.25">
      <c r="A1509" s="62"/>
      <c r="B1509" s="86"/>
      <c r="C1509" s="86"/>
      <c r="D1509" s="86"/>
      <c r="E1509" s="86"/>
      <c r="F1509" s="86"/>
      <c r="G1509" s="86"/>
      <c r="H1509" s="62"/>
      <c r="I1509" s="62"/>
      <c r="J1509" s="62"/>
      <c r="K1509" s="62"/>
      <c r="L1509" s="62"/>
      <c r="M1509" s="62"/>
      <c r="N1509" s="62"/>
      <c r="O1509" s="62"/>
      <c r="P1509" s="62"/>
      <c r="Q1509" s="62"/>
      <c r="R1509" s="62"/>
      <c r="S1509" s="62"/>
      <c r="T1509" s="62"/>
      <c r="U1509" s="62"/>
      <c r="V1509" s="62"/>
      <c r="W1509" s="62"/>
      <c r="X1509" s="62"/>
      <c r="Y1509" s="62"/>
      <c r="Z1509" s="62"/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  <c r="AL1509" s="62"/>
      <c r="AM1509" s="62"/>
      <c r="AN1509" s="62"/>
      <c r="AO1509" s="62"/>
      <c r="AP1509" s="62"/>
      <c r="AQ1509" s="62"/>
      <c r="AR1509" s="62"/>
      <c r="AS1509" s="62"/>
      <c r="AT1509" s="62"/>
      <c r="AU1509" s="62"/>
      <c r="AV1509" s="62"/>
      <c r="AW1509" s="62"/>
      <c r="AX1509" s="62"/>
      <c r="AY1509" s="62"/>
    </row>
    <row r="1510" spans="1:51" x14ac:dyDescent="0.25">
      <c r="A1510" s="62"/>
      <c r="B1510" s="86"/>
      <c r="C1510" s="86"/>
      <c r="D1510" s="86"/>
      <c r="E1510" s="86"/>
      <c r="F1510" s="86"/>
      <c r="G1510" s="86"/>
      <c r="H1510" s="62"/>
      <c r="I1510" s="62"/>
      <c r="J1510" s="62"/>
      <c r="K1510" s="62"/>
      <c r="L1510" s="62"/>
      <c r="M1510" s="62"/>
      <c r="N1510" s="62"/>
      <c r="O1510" s="62"/>
      <c r="P1510" s="62"/>
      <c r="Q1510" s="62"/>
      <c r="R1510" s="62"/>
      <c r="S1510" s="62"/>
      <c r="T1510" s="62"/>
      <c r="U1510" s="62"/>
      <c r="V1510" s="62"/>
      <c r="W1510" s="62"/>
      <c r="X1510" s="62"/>
      <c r="Y1510" s="62"/>
      <c r="Z1510" s="62"/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  <c r="AL1510" s="62"/>
      <c r="AM1510" s="62"/>
      <c r="AN1510" s="62"/>
      <c r="AO1510" s="62"/>
      <c r="AP1510" s="62"/>
      <c r="AQ1510" s="62"/>
      <c r="AR1510" s="62"/>
      <c r="AS1510" s="62"/>
      <c r="AT1510" s="62"/>
      <c r="AU1510" s="62"/>
      <c r="AV1510" s="62"/>
      <c r="AW1510" s="62"/>
      <c r="AX1510" s="62"/>
      <c r="AY1510" s="62"/>
    </row>
    <row r="1511" spans="1:51" x14ac:dyDescent="0.25">
      <c r="A1511" s="62"/>
      <c r="B1511" s="86"/>
      <c r="C1511" s="86"/>
      <c r="D1511" s="86"/>
      <c r="E1511" s="86"/>
      <c r="F1511" s="86"/>
      <c r="G1511" s="86"/>
      <c r="H1511" s="62"/>
      <c r="I1511" s="62"/>
      <c r="J1511" s="62"/>
      <c r="K1511" s="62"/>
      <c r="L1511" s="62"/>
      <c r="M1511" s="62"/>
      <c r="N1511" s="62"/>
      <c r="O1511" s="62"/>
      <c r="P1511" s="62"/>
      <c r="Q1511" s="62"/>
      <c r="R1511" s="62"/>
      <c r="S1511" s="62"/>
      <c r="T1511" s="62"/>
      <c r="U1511" s="62"/>
      <c r="V1511" s="62"/>
      <c r="W1511" s="62"/>
      <c r="X1511" s="62"/>
      <c r="Y1511" s="62"/>
      <c r="Z1511" s="62"/>
      <c r="AA1511" s="62"/>
      <c r="AB1511" s="62"/>
      <c r="AC1511" s="62"/>
      <c r="AD1511" s="62"/>
      <c r="AE1511" s="62"/>
      <c r="AF1511" s="62"/>
      <c r="AG1511" s="62"/>
      <c r="AH1511" s="62"/>
      <c r="AI1511" s="62"/>
      <c r="AJ1511" s="62"/>
      <c r="AK1511" s="62"/>
      <c r="AL1511" s="62"/>
      <c r="AM1511" s="62"/>
      <c r="AN1511" s="62"/>
      <c r="AO1511" s="62"/>
      <c r="AP1511" s="62"/>
      <c r="AQ1511" s="62"/>
      <c r="AR1511" s="62"/>
      <c r="AS1511" s="62"/>
      <c r="AT1511" s="62"/>
      <c r="AU1511" s="62"/>
      <c r="AV1511" s="62"/>
      <c r="AW1511" s="62"/>
      <c r="AX1511" s="62"/>
      <c r="AY1511" s="62"/>
    </row>
    <row r="1512" spans="1:51" x14ac:dyDescent="0.25">
      <c r="A1512" s="62"/>
      <c r="B1512" s="86"/>
      <c r="C1512" s="86"/>
      <c r="D1512" s="86"/>
      <c r="E1512" s="86"/>
      <c r="F1512" s="86"/>
      <c r="G1512" s="86"/>
      <c r="H1512" s="62"/>
      <c r="I1512" s="62"/>
      <c r="J1512" s="62"/>
      <c r="K1512" s="62"/>
      <c r="L1512" s="62"/>
      <c r="M1512" s="62"/>
      <c r="N1512" s="62"/>
      <c r="O1512" s="62"/>
      <c r="P1512" s="62"/>
      <c r="Q1512" s="62"/>
      <c r="R1512" s="62"/>
      <c r="S1512" s="62"/>
      <c r="T1512" s="62"/>
      <c r="U1512" s="62"/>
      <c r="V1512" s="62"/>
      <c r="W1512" s="62"/>
      <c r="X1512" s="62"/>
      <c r="Y1512" s="62"/>
      <c r="Z1512" s="62"/>
      <c r="AA1512" s="62"/>
      <c r="AB1512" s="62"/>
      <c r="AC1512" s="62"/>
      <c r="AD1512" s="62"/>
      <c r="AE1512" s="62"/>
      <c r="AF1512" s="62"/>
      <c r="AG1512" s="62"/>
      <c r="AH1512" s="62"/>
      <c r="AI1512" s="62"/>
      <c r="AJ1512" s="62"/>
      <c r="AK1512" s="62"/>
      <c r="AL1512" s="62"/>
      <c r="AM1512" s="62"/>
      <c r="AN1512" s="62"/>
      <c r="AO1512" s="62"/>
      <c r="AP1512" s="62"/>
      <c r="AQ1512" s="62"/>
      <c r="AR1512" s="62"/>
      <c r="AS1512" s="62"/>
      <c r="AT1512" s="62"/>
      <c r="AU1512" s="62"/>
      <c r="AV1512" s="62"/>
      <c r="AW1512" s="62"/>
      <c r="AX1512" s="62"/>
      <c r="AY1512" s="62"/>
    </row>
    <row r="1513" spans="1:51" x14ac:dyDescent="0.25">
      <c r="A1513" s="62"/>
      <c r="B1513" s="86"/>
      <c r="C1513" s="86"/>
      <c r="D1513" s="86"/>
      <c r="E1513" s="86"/>
      <c r="F1513" s="86"/>
      <c r="G1513" s="86"/>
      <c r="H1513" s="62"/>
      <c r="I1513" s="62"/>
      <c r="J1513" s="62"/>
      <c r="K1513" s="62"/>
      <c r="L1513" s="62"/>
      <c r="M1513" s="62"/>
      <c r="N1513" s="62"/>
      <c r="O1513" s="62"/>
      <c r="P1513" s="62"/>
      <c r="Q1513" s="62"/>
      <c r="R1513" s="62"/>
      <c r="S1513" s="62"/>
      <c r="T1513" s="62"/>
      <c r="U1513" s="62"/>
      <c r="V1513" s="62"/>
      <c r="W1513" s="62"/>
      <c r="X1513" s="62"/>
      <c r="Y1513" s="62"/>
      <c r="Z1513" s="62"/>
      <c r="AA1513" s="62"/>
      <c r="AB1513" s="62"/>
      <c r="AC1513" s="62"/>
      <c r="AD1513" s="62"/>
      <c r="AE1513" s="62"/>
      <c r="AF1513" s="62"/>
      <c r="AG1513" s="62"/>
      <c r="AH1513" s="62"/>
      <c r="AI1513" s="62"/>
      <c r="AJ1513" s="62"/>
      <c r="AK1513" s="62"/>
      <c r="AL1513" s="62"/>
      <c r="AM1513" s="62"/>
      <c r="AN1513" s="62"/>
      <c r="AO1513" s="62"/>
      <c r="AP1513" s="62"/>
      <c r="AQ1513" s="62"/>
      <c r="AR1513" s="62"/>
      <c r="AS1513" s="62"/>
      <c r="AT1513" s="62"/>
      <c r="AU1513" s="62"/>
      <c r="AV1513" s="62"/>
      <c r="AW1513" s="62"/>
      <c r="AX1513" s="62"/>
      <c r="AY1513" s="62"/>
    </row>
    <row r="1514" spans="1:51" x14ac:dyDescent="0.25">
      <c r="A1514" s="62"/>
      <c r="B1514" s="86"/>
      <c r="C1514" s="86"/>
      <c r="D1514" s="86"/>
      <c r="E1514" s="86"/>
      <c r="F1514" s="86"/>
      <c r="G1514" s="86"/>
      <c r="H1514" s="62"/>
      <c r="I1514" s="62"/>
      <c r="J1514" s="62"/>
      <c r="K1514" s="62"/>
      <c r="L1514" s="62"/>
      <c r="M1514" s="62"/>
      <c r="N1514" s="62"/>
      <c r="O1514" s="62"/>
      <c r="P1514" s="62"/>
      <c r="Q1514" s="62"/>
      <c r="R1514" s="62"/>
      <c r="S1514" s="62"/>
      <c r="T1514" s="62"/>
      <c r="U1514" s="62"/>
      <c r="V1514" s="62"/>
      <c r="W1514" s="62"/>
      <c r="X1514" s="62"/>
      <c r="Y1514" s="62"/>
      <c r="Z1514" s="62"/>
      <c r="AA1514" s="62"/>
      <c r="AB1514" s="62"/>
      <c r="AC1514" s="62"/>
      <c r="AD1514" s="62"/>
      <c r="AE1514" s="62"/>
      <c r="AF1514" s="62"/>
      <c r="AG1514" s="62"/>
      <c r="AH1514" s="62"/>
      <c r="AI1514" s="62"/>
      <c r="AJ1514" s="62"/>
      <c r="AK1514" s="62"/>
      <c r="AL1514" s="62"/>
      <c r="AM1514" s="62"/>
      <c r="AN1514" s="62"/>
      <c r="AO1514" s="62"/>
      <c r="AP1514" s="62"/>
      <c r="AQ1514" s="62"/>
      <c r="AR1514" s="62"/>
      <c r="AS1514" s="62"/>
      <c r="AT1514" s="62"/>
      <c r="AU1514" s="62"/>
      <c r="AV1514" s="62"/>
      <c r="AW1514" s="62"/>
      <c r="AX1514" s="62"/>
      <c r="AY1514" s="62"/>
    </row>
    <row r="1515" spans="1:51" x14ac:dyDescent="0.25">
      <c r="A1515" s="62"/>
      <c r="B1515" s="86"/>
      <c r="C1515" s="86"/>
      <c r="D1515" s="86"/>
      <c r="E1515" s="86"/>
      <c r="F1515" s="86"/>
      <c r="G1515" s="86"/>
      <c r="H1515" s="62"/>
      <c r="I1515" s="62"/>
      <c r="J1515" s="62"/>
      <c r="K1515" s="62"/>
      <c r="L1515" s="62"/>
      <c r="M1515" s="62"/>
      <c r="N1515" s="62"/>
      <c r="O1515" s="62"/>
      <c r="P1515" s="62"/>
      <c r="Q1515" s="62"/>
      <c r="R1515" s="62"/>
      <c r="S1515" s="62"/>
      <c r="T1515" s="62"/>
      <c r="U1515" s="62"/>
      <c r="V1515" s="62"/>
      <c r="W1515" s="62"/>
      <c r="X1515" s="62"/>
      <c r="Y1515" s="62"/>
      <c r="Z1515" s="62"/>
      <c r="AA1515" s="62"/>
      <c r="AB1515" s="62"/>
      <c r="AC1515" s="62"/>
      <c r="AD1515" s="62"/>
      <c r="AE1515" s="62"/>
      <c r="AF1515" s="62"/>
      <c r="AG1515" s="62"/>
      <c r="AH1515" s="62"/>
      <c r="AI1515" s="62"/>
      <c r="AJ1515" s="62"/>
      <c r="AK1515" s="62"/>
      <c r="AL1515" s="62"/>
      <c r="AM1515" s="62"/>
      <c r="AN1515" s="62"/>
      <c r="AO1515" s="62"/>
      <c r="AP1515" s="62"/>
      <c r="AQ1515" s="62"/>
      <c r="AR1515" s="62"/>
      <c r="AS1515" s="62"/>
      <c r="AT1515" s="62"/>
      <c r="AU1515" s="62"/>
      <c r="AV1515" s="62"/>
      <c r="AW1515" s="62"/>
      <c r="AX1515" s="62"/>
      <c r="AY1515" s="62"/>
    </row>
    <row r="1516" spans="1:51" x14ac:dyDescent="0.25">
      <c r="A1516" s="62"/>
      <c r="B1516" s="86"/>
      <c r="C1516" s="86"/>
      <c r="D1516" s="86"/>
      <c r="E1516" s="86"/>
      <c r="F1516" s="86"/>
      <c r="G1516" s="86"/>
      <c r="H1516" s="62"/>
      <c r="I1516" s="62"/>
      <c r="J1516" s="62"/>
      <c r="K1516" s="62"/>
      <c r="L1516" s="62"/>
      <c r="M1516" s="62"/>
      <c r="N1516" s="62"/>
      <c r="O1516" s="62"/>
      <c r="P1516" s="62"/>
      <c r="Q1516" s="62"/>
      <c r="R1516" s="62"/>
      <c r="S1516" s="62"/>
      <c r="T1516" s="62"/>
      <c r="U1516" s="62"/>
      <c r="V1516" s="62"/>
      <c r="W1516" s="62"/>
      <c r="X1516" s="62"/>
      <c r="Y1516" s="62"/>
      <c r="Z1516" s="62"/>
      <c r="AA1516" s="62"/>
      <c r="AB1516" s="62"/>
      <c r="AC1516" s="62"/>
      <c r="AD1516" s="62"/>
      <c r="AE1516" s="62"/>
      <c r="AF1516" s="62"/>
      <c r="AG1516" s="62"/>
      <c r="AH1516" s="62"/>
      <c r="AI1516" s="62"/>
      <c r="AJ1516" s="62"/>
      <c r="AK1516" s="62"/>
      <c r="AL1516" s="62"/>
      <c r="AM1516" s="62"/>
      <c r="AN1516" s="62"/>
      <c r="AO1516" s="62"/>
      <c r="AP1516" s="62"/>
      <c r="AQ1516" s="62"/>
      <c r="AR1516" s="62"/>
      <c r="AS1516" s="62"/>
      <c r="AT1516" s="62"/>
      <c r="AU1516" s="62"/>
      <c r="AV1516" s="62"/>
      <c r="AW1516" s="62"/>
      <c r="AX1516" s="62"/>
      <c r="AY1516" s="62"/>
    </row>
    <row r="1517" spans="1:51" x14ac:dyDescent="0.25">
      <c r="A1517" s="62"/>
      <c r="B1517" s="86"/>
      <c r="C1517" s="86"/>
      <c r="D1517" s="86"/>
      <c r="E1517" s="86"/>
      <c r="F1517" s="86"/>
      <c r="G1517" s="86"/>
      <c r="H1517" s="62"/>
      <c r="I1517" s="62"/>
      <c r="J1517" s="62"/>
      <c r="K1517" s="62"/>
      <c r="L1517" s="62"/>
      <c r="M1517" s="62"/>
      <c r="N1517" s="62"/>
      <c r="O1517" s="62"/>
      <c r="P1517" s="62"/>
      <c r="Q1517" s="62"/>
      <c r="R1517" s="62"/>
      <c r="S1517" s="62"/>
      <c r="T1517" s="62"/>
      <c r="U1517" s="62"/>
      <c r="V1517" s="62"/>
      <c r="W1517" s="62"/>
      <c r="X1517" s="62"/>
      <c r="Y1517" s="62"/>
      <c r="Z1517" s="62"/>
      <c r="AA1517" s="62"/>
      <c r="AB1517" s="62"/>
      <c r="AC1517" s="62"/>
      <c r="AD1517" s="62"/>
      <c r="AE1517" s="62"/>
      <c r="AF1517" s="62"/>
      <c r="AG1517" s="62"/>
      <c r="AH1517" s="62"/>
      <c r="AI1517" s="62"/>
      <c r="AJ1517" s="62"/>
      <c r="AK1517" s="62"/>
      <c r="AL1517" s="62"/>
      <c r="AM1517" s="62"/>
      <c r="AN1517" s="62"/>
      <c r="AO1517" s="62"/>
      <c r="AP1517" s="62"/>
      <c r="AQ1517" s="62"/>
      <c r="AR1517" s="62"/>
      <c r="AS1517" s="62"/>
      <c r="AT1517" s="62"/>
      <c r="AU1517" s="62"/>
      <c r="AV1517" s="62"/>
      <c r="AW1517" s="62"/>
      <c r="AX1517" s="62"/>
      <c r="AY1517" s="62"/>
    </row>
    <row r="1518" spans="1:51" x14ac:dyDescent="0.25">
      <c r="A1518" s="62"/>
      <c r="B1518" s="86"/>
      <c r="C1518" s="86"/>
      <c r="D1518" s="86"/>
      <c r="E1518" s="86"/>
      <c r="F1518" s="86"/>
      <c r="G1518" s="86"/>
      <c r="H1518" s="62"/>
      <c r="I1518" s="62"/>
      <c r="J1518" s="62"/>
      <c r="K1518" s="62"/>
      <c r="L1518" s="62"/>
      <c r="M1518" s="62"/>
      <c r="N1518" s="62"/>
      <c r="O1518" s="62"/>
      <c r="P1518" s="62"/>
      <c r="Q1518" s="62"/>
      <c r="R1518" s="62"/>
      <c r="S1518" s="62"/>
      <c r="T1518" s="62"/>
      <c r="U1518" s="62"/>
      <c r="V1518" s="62"/>
      <c r="W1518" s="62"/>
      <c r="X1518" s="62"/>
      <c r="Y1518" s="62"/>
      <c r="Z1518" s="62"/>
      <c r="AA1518" s="62"/>
      <c r="AB1518" s="62"/>
      <c r="AC1518" s="62"/>
      <c r="AD1518" s="62"/>
      <c r="AE1518" s="62"/>
      <c r="AF1518" s="62"/>
      <c r="AG1518" s="62"/>
      <c r="AH1518" s="62"/>
      <c r="AI1518" s="62"/>
      <c r="AJ1518" s="62"/>
      <c r="AK1518" s="62"/>
      <c r="AL1518" s="62"/>
      <c r="AM1518" s="62"/>
      <c r="AN1518" s="62"/>
      <c r="AO1518" s="62"/>
      <c r="AP1518" s="62"/>
      <c r="AQ1518" s="62"/>
      <c r="AR1518" s="62"/>
      <c r="AS1518" s="62"/>
      <c r="AT1518" s="62"/>
      <c r="AU1518" s="62"/>
      <c r="AV1518" s="62"/>
      <c r="AW1518" s="62"/>
      <c r="AX1518" s="62"/>
      <c r="AY1518" s="62"/>
    </row>
    <row r="1519" spans="1:51" x14ac:dyDescent="0.25">
      <c r="A1519" s="62"/>
      <c r="B1519" s="86"/>
      <c r="C1519" s="86"/>
      <c r="D1519" s="86"/>
      <c r="E1519" s="86"/>
      <c r="F1519" s="86"/>
      <c r="G1519" s="86"/>
      <c r="H1519" s="62"/>
      <c r="I1519" s="62"/>
      <c r="J1519" s="62"/>
      <c r="K1519" s="62"/>
      <c r="L1519" s="62"/>
      <c r="M1519" s="62"/>
      <c r="N1519" s="62"/>
      <c r="O1519" s="62"/>
      <c r="P1519" s="62"/>
      <c r="Q1519" s="62"/>
      <c r="R1519" s="62"/>
      <c r="S1519" s="62"/>
      <c r="T1519" s="62"/>
      <c r="U1519" s="62"/>
      <c r="V1519" s="62"/>
      <c r="W1519" s="62"/>
      <c r="X1519" s="62"/>
      <c r="Y1519" s="62"/>
      <c r="Z1519" s="62"/>
      <c r="AA1519" s="62"/>
      <c r="AB1519" s="62"/>
      <c r="AC1519" s="62"/>
      <c r="AD1519" s="62"/>
      <c r="AE1519" s="62"/>
      <c r="AF1519" s="62"/>
      <c r="AG1519" s="62"/>
      <c r="AH1519" s="62"/>
      <c r="AI1519" s="62"/>
      <c r="AJ1519" s="62"/>
      <c r="AK1519" s="62"/>
      <c r="AL1519" s="62"/>
      <c r="AM1519" s="62"/>
      <c r="AN1519" s="62"/>
      <c r="AO1519" s="62"/>
      <c r="AP1519" s="62"/>
      <c r="AQ1519" s="62"/>
      <c r="AR1519" s="62"/>
      <c r="AS1519" s="62"/>
      <c r="AT1519" s="62"/>
      <c r="AU1519" s="62"/>
      <c r="AV1519" s="62"/>
      <c r="AW1519" s="62"/>
      <c r="AX1519" s="62"/>
      <c r="AY1519" s="62"/>
    </row>
    <row r="1520" spans="1:51" x14ac:dyDescent="0.25">
      <c r="A1520" s="62"/>
      <c r="B1520" s="86"/>
      <c r="C1520" s="86"/>
      <c r="D1520" s="86"/>
      <c r="E1520" s="86"/>
      <c r="F1520" s="86"/>
      <c r="G1520" s="86"/>
      <c r="H1520" s="62"/>
      <c r="I1520" s="62"/>
      <c r="J1520" s="62"/>
      <c r="K1520" s="62"/>
      <c r="L1520" s="62"/>
      <c r="M1520" s="62"/>
      <c r="N1520" s="62"/>
      <c r="O1520" s="62"/>
      <c r="P1520" s="62"/>
      <c r="Q1520" s="62"/>
      <c r="R1520" s="62"/>
      <c r="S1520" s="62"/>
      <c r="T1520" s="62"/>
      <c r="U1520" s="62"/>
      <c r="V1520" s="62"/>
      <c r="W1520" s="62"/>
      <c r="X1520" s="62"/>
      <c r="Y1520" s="62"/>
      <c r="Z1520" s="62"/>
      <c r="AA1520" s="62"/>
      <c r="AB1520" s="62"/>
      <c r="AC1520" s="62"/>
      <c r="AD1520" s="62"/>
      <c r="AE1520" s="62"/>
      <c r="AF1520" s="62"/>
      <c r="AG1520" s="62"/>
      <c r="AH1520" s="62"/>
      <c r="AI1520" s="62"/>
      <c r="AJ1520" s="62"/>
      <c r="AK1520" s="62"/>
      <c r="AL1520" s="62"/>
      <c r="AM1520" s="62"/>
      <c r="AN1520" s="62"/>
      <c r="AO1520" s="62"/>
      <c r="AP1520" s="62"/>
      <c r="AQ1520" s="62"/>
      <c r="AR1520" s="62"/>
      <c r="AS1520" s="62"/>
      <c r="AT1520" s="62"/>
      <c r="AU1520" s="62"/>
      <c r="AV1520" s="62"/>
      <c r="AW1520" s="62"/>
      <c r="AX1520" s="62"/>
      <c r="AY1520" s="62"/>
    </row>
    <row r="1521" spans="1:51" x14ac:dyDescent="0.25">
      <c r="A1521" s="62"/>
      <c r="B1521" s="86"/>
      <c r="C1521" s="86"/>
      <c r="D1521" s="86"/>
      <c r="E1521" s="86"/>
      <c r="F1521" s="86"/>
      <c r="G1521" s="86"/>
      <c r="H1521" s="62"/>
      <c r="I1521" s="62"/>
      <c r="J1521" s="62"/>
      <c r="K1521" s="62"/>
      <c r="L1521" s="62"/>
      <c r="M1521" s="62"/>
      <c r="N1521" s="62"/>
      <c r="O1521" s="62"/>
      <c r="P1521" s="62"/>
      <c r="Q1521" s="62"/>
      <c r="R1521" s="62"/>
      <c r="S1521" s="62"/>
      <c r="T1521" s="62"/>
      <c r="U1521" s="62"/>
      <c r="V1521" s="62"/>
      <c r="W1521" s="62"/>
      <c r="X1521" s="62"/>
      <c r="Y1521" s="62"/>
      <c r="Z1521" s="62"/>
      <c r="AA1521" s="62"/>
      <c r="AB1521" s="62"/>
      <c r="AC1521" s="62"/>
      <c r="AD1521" s="62"/>
      <c r="AE1521" s="62"/>
      <c r="AF1521" s="62"/>
      <c r="AG1521" s="62"/>
      <c r="AH1521" s="62"/>
      <c r="AI1521" s="62"/>
      <c r="AJ1521" s="62"/>
      <c r="AK1521" s="62"/>
      <c r="AL1521" s="62"/>
      <c r="AM1521" s="62"/>
      <c r="AN1521" s="62"/>
      <c r="AO1521" s="62"/>
      <c r="AP1521" s="62"/>
      <c r="AQ1521" s="62"/>
      <c r="AR1521" s="62"/>
      <c r="AS1521" s="62"/>
      <c r="AT1521" s="62"/>
      <c r="AU1521" s="62"/>
      <c r="AV1521" s="62"/>
      <c r="AW1521" s="62"/>
      <c r="AX1521" s="62"/>
      <c r="AY1521" s="62"/>
    </row>
    <row r="1522" spans="1:51" x14ac:dyDescent="0.25">
      <c r="A1522" s="62"/>
      <c r="B1522" s="86"/>
      <c r="C1522" s="86"/>
      <c r="D1522" s="86"/>
      <c r="E1522" s="86"/>
      <c r="F1522" s="86"/>
      <c r="G1522" s="86"/>
      <c r="H1522" s="62"/>
      <c r="I1522" s="62"/>
      <c r="J1522" s="62"/>
      <c r="K1522" s="62"/>
      <c r="L1522" s="62"/>
      <c r="M1522" s="62"/>
      <c r="N1522" s="62"/>
      <c r="O1522" s="62"/>
      <c r="P1522" s="62"/>
      <c r="Q1522" s="62"/>
      <c r="R1522" s="62"/>
      <c r="S1522" s="62"/>
      <c r="T1522" s="62"/>
      <c r="U1522" s="62"/>
      <c r="V1522" s="62"/>
      <c r="W1522" s="62"/>
      <c r="X1522" s="62"/>
      <c r="Y1522" s="62"/>
      <c r="Z1522" s="62"/>
      <c r="AA1522" s="62"/>
      <c r="AB1522" s="62"/>
      <c r="AC1522" s="62"/>
      <c r="AD1522" s="62"/>
      <c r="AE1522" s="62"/>
      <c r="AF1522" s="62"/>
      <c r="AG1522" s="62"/>
      <c r="AH1522" s="62"/>
      <c r="AI1522" s="62"/>
      <c r="AJ1522" s="62"/>
      <c r="AK1522" s="62"/>
      <c r="AL1522" s="62"/>
      <c r="AM1522" s="62"/>
      <c r="AN1522" s="62"/>
      <c r="AO1522" s="62"/>
      <c r="AP1522" s="62"/>
      <c r="AQ1522" s="62"/>
      <c r="AR1522" s="62"/>
      <c r="AS1522" s="62"/>
      <c r="AT1522" s="62"/>
      <c r="AU1522" s="62"/>
      <c r="AV1522" s="62"/>
      <c r="AW1522" s="62"/>
      <c r="AX1522" s="62"/>
      <c r="AY1522" s="62"/>
    </row>
    <row r="1523" spans="1:51" x14ac:dyDescent="0.25">
      <c r="A1523" s="62"/>
      <c r="B1523" s="86"/>
      <c r="C1523" s="86"/>
      <c r="D1523" s="86"/>
      <c r="E1523" s="86"/>
      <c r="F1523" s="86"/>
      <c r="G1523" s="86"/>
      <c r="H1523" s="62"/>
      <c r="I1523" s="62"/>
      <c r="J1523" s="62"/>
      <c r="K1523" s="62"/>
      <c r="L1523" s="62"/>
      <c r="M1523" s="62"/>
      <c r="N1523" s="62"/>
      <c r="O1523" s="62"/>
      <c r="P1523" s="62"/>
      <c r="Q1523" s="62"/>
      <c r="R1523" s="62"/>
      <c r="S1523" s="62"/>
      <c r="T1523" s="62"/>
      <c r="U1523" s="62"/>
      <c r="V1523" s="62"/>
      <c r="W1523" s="62"/>
      <c r="X1523" s="62"/>
      <c r="Y1523" s="62"/>
      <c r="Z1523" s="62"/>
      <c r="AA1523" s="62"/>
      <c r="AB1523" s="62"/>
      <c r="AC1523" s="62"/>
      <c r="AD1523" s="62"/>
      <c r="AE1523" s="62"/>
      <c r="AF1523" s="62"/>
      <c r="AG1523" s="62"/>
      <c r="AH1523" s="62"/>
      <c r="AI1523" s="62"/>
      <c r="AJ1523" s="62"/>
      <c r="AK1523" s="62"/>
      <c r="AL1523" s="62"/>
      <c r="AM1523" s="62"/>
      <c r="AN1523" s="62"/>
      <c r="AO1523" s="62"/>
      <c r="AP1523" s="62"/>
      <c r="AQ1523" s="62"/>
      <c r="AR1523" s="62"/>
      <c r="AS1523" s="62"/>
      <c r="AT1523" s="62"/>
      <c r="AU1523" s="62"/>
      <c r="AV1523" s="62"/>
      <c r="AW1523" s="62"/>
      <c r="AX1523" s="62"/>
      <c r="AY1523" s="62"/>
    </row>
    <row r="1524" spans="1:51" x14ac:dyDescent="0.25">
      <c r="A1524" s="62"/>
      <c r="B1524" s="86"/>
      <c r="C1524" s="86"/>
      <c r="D1524" s="86"/>
      <c r="E1524" s="86"/>
      <c r="F1524" s="86"/>
      <c r="G1524" s="86"/>
      <c r="H1524" s="62"/>
      <c r="I1524" s="62"/>
      <c r="J1524" s="62"/>
      <c r="K1524" s="62"/>
      <c r="L1524" s="62"/>
      <c r="M1524" s="62"/>
      <c r="N1524" s="62"/>
      <c r="O1524" s="62"/>
      <c r="P1524" s="62"/>
      <c r="Q1524" s="62"/>
      <c r="R1524" s="62"/>
      <c r="S1524" s="62"/>
      <c r="T1524" s="62"/>
      <c r="U1524" s="62"/>
      <c r="V1524" s="62"/>
      <c r="W1524" s="62"/>
      <c r="X1524" s="62"/>
      <c r="Y1524" s="62"/>
      <c r="Z1524" s="62"/>
      <c r="AA1524" s="62"/>
      <c r="AB1524" s="62"/>
      <c r="AC1524" s="62"/>
      <c r="AD1524" s="62"/>
      <c r="AE1524" s="62"/>
      <c r="AF1524" s="62"/>
      <c r="AG1524" s="62"/>
      <c r="AH1524" s="62"/>
      <c r="AI1524" s="62"/>
      <c r="AJ1524" s="62"/>
      <c r="AK1524" s="62"/>
      <c r="AL1524" s="62"/>
      <c r="AM1524" s="62"/>
      <c r="AN1524" s="62"/>
      <c r="AO1524" s="62"/>
      <c r="AP1524" s="62"/>
      <c r="AQ1524" s="62"/>
      <c r="AR1524" s="62"/>
      <c r="AS1524" s="62"/>
      <c r="AT1524" s="62"/>
      <c r="AU1524" s="62"/>
      <c r="AV1524" s="62"/>
      <c r="AW1524" s="62"/>
      <c r="AX1524" s="62"/>
      <c r="AY1524" s="62"/>
    </row>
    <row r="1525" spans="1:51" x14ac:dyDescent="0.25">
      <c r="A1525" s="62"/>
      <c r="B1525" s="86"/>
      <c r="C1525" s="86"/>
      <c r="D1525" s="86"/>
      <c r="E1525" s="86"/>
      <c r="F1525" s="86"/>
      <c r="G1525" s="86"/>
      <c r="H1525" s="62"/>
      <c r="I1525" s="62"/>
      <c r="J1525" s="62"/>
      <c r="K1525" s="62"/>
      <c r="L1525" s="62"/>
      <c r="M1525" s="62"/>
      <c r="N1525" s="62"/>
      <c r="O1525" s="62"/>
      <c r="P1525" s="62"/>
      <c r="Q1525" s="62"/>
      <c r="R1525" s="62"/>
      <c r="S1525" s="62"/>
      <c r="T1525" s="62"/>
      <c r="U1525" s="62"/>
      <c r="V1525" s="62"/>
      <c r="W1525" s="62"/>
      <c r="X1525" s="62"/>
      <c r="Y1525" s="62"/>
      <c r="Z1525" s="62"/>
      <c r="AA1525" s="62"/>
      <c r="AB1525" s="62"/>
      <c r="AC1525" s="62"/>
      <c r="AD1525" s="62"/>
      <c r="AE1525" s="62"/>
      <c r="AF1525" s="62"/>
      <c r="AG1525" s="62"/>
      <c r="AH1525" s="62"/>
      <c r="AI1525" s="62"/>
      <c r="AJ1525" s="62"/>
      <c r="AK1525" s="62"/>
      <c r="AL1525" s="62"/>
      <c r="AM1525" s="62"/>
      <c r="AN1525" s="62"/>
      <c r="AO1525" s="62"/>
      <c r="AP1525" s="62"/>
      <c r="AQ1525" s="62"/>
      <c r="AR1525" s="62"/>
      <c r="AS1525" s="62"/>
      <c r="AT1525" s="62"/>
      <c r="AU1525" s="62"/>
      <c r="AV1525" s="62"/>
      <c r="AW1525" s="62"/>
      <c r="AX1525" s="62"/>
      <c r="AY1525" s="62"/>
    </row>
    <row r="1526" spans="1:51" x14ac:dyDescent="0.25">
      <c r="A1526" s="62"/>
      <c r="B1526" s="86"/>
      <c r="C1526" s="86"/>
      <c r="D1526" s="86"/>
      <c r="E1526" s="86"/>
      <c r="F1526" s="86"/>
      <c r="G1526" s="86"/>
      <c r="H1526" s="62"/>
      <c r="I1526" s="62"/>
      <c r="J1526" s="62"/>
      <c r="K1526" s="62"/>
      <c r="L1526" s="62"/>
      <c r="M1526" s="62"/>
      <c r="N1526" s="62"/>
      <c r="O1526" s="62"/>
      <c r="P1526" s="62"/>
      <c r="Q1526" s="62"/>
      <c r="R1526" s="62"/>
      <c r="S1526" s="62"/>
      <c r="T1526" s="62"/>
      <c r="U1526" s="62"/>
      <c r="V1526" s="62"/>
      <c r="W1526" s="62"/>
      <c r="X1526" s="62"/>
      <c r="Y1526" s="62"/>
      <c r="Z1526" s="62"/>
      <c r="AA1526" s="62"/>
      <c r="AB1526" s="62"/>
      <c r="AC1526" s="62"/>
      <c r="AD1526" s="62"/>
      <c r="AE1526" s="62"/>
      <c r="AF1526" s="62"/>
      <c r="AG1526" s="62"/>
      <c r="AH1526" s="62"/>
      <c r="AI1526" s="62"/>
      <c r="AJ1526" s="62"/>
      <c r="AK1526" s="62"/>
      <c r="AL1526" s="62"/>
      <c r="AM1526" s="62"/>
      <c r="AN1526" s="62"/>
      <c r="AO1526" s="62"/>
      <c r="AP1526" s="62"/>
      <c r="AQ1526" s="62"/>
      <c r="AR1526" s="62"/>
      <c r="AS1526" s="62"/>
      <c r="AT1526" s="62"/>
      <c r="AU1526" s="62"/>
      <c r="AV1526" s="62"/>
      <c r="AW1526" s="62"/>
      <c r="AX1526" s="62"/>
      <c r="AY1526" s="62"/>
    </row>
    <row r="1527" spans="1:51" x14ac:dyDescent="0.25">
      <c r="A1527" s="62"/>
      <c r="B1527" s="86"/>
      <c r="C1527" s="86"/>
      <c r="D1527" s="86"/>
      <c r="E1527" s="86"/>
      <c r="F1527" s="86"/>
      <c r="G1527" s="86"/>
      <c r="H1527" s="62"/>
      <c r="I1527" s="62"/>
      <c r="J1527" s="62"/>
      <c r="K1527" s="62"/>
      <c r="L1527" s="62"/>
      <c r="M1527" s="62"/>
      <c r="N1527" s="62"/>
      <c r="O1527" s="62"/>
      <c r="P1527" s="62"/>
      <c r="Q1527" s="62"/>
      <c r="R1527" s="62"/>
      <c r="S1527" s="62"/>
      <c r="T1527" s="62"/>
      <c r="U1527" s="62"/>
      <c r="V1527" s="62"/>
      <c r="W1527" s="62"/>
      <c r="X1527" s="62"/>
      <c r="Y1527" s="62"/>
      <c r="Z1527" s="62"/>
      <c r="AA1527" s="62"/>
      <c r="AB1527" s="62"/>
      <c r="AC1527" s="62"/>
      <c r="AD1527" s="62"/>
      <c r="AE1527" s="62"/>
      <c r="AF1527" s="62"/>
      <c r="AG1527" s="62"/>
      <c r="AH1527" s="62"/>
      <c r="AI1527" s="62"/>
      <c r="AJ1527" s="62"/>
      <c r="AK1527" s="62"/>
      <c r="AL1527" s="62"/>
      <c r="AM1527" s="62"/>
      <c r="AN1527" s="62"/>
      <c r="AO1527" s="62"/>
      <c r="AP1527" s="62"/>
      <c r="AQ1527" s="62"/>
      <c r="AR1527" s="62"/>
      <c r="AS1527" s="62"/>
      <c r="AT1527" s="62"/>
      <c r="AU1527" s="62"/>
      <c r="AV1527" s="62"/>
      <c r="AW1527" s="62"/>
      <c r="AX1527" s="62"/>
      <c r="AY1527" s="62"/>
    </row>
    <row r="1528" spans="1:51" x14ac:dyDescent="0.25">
      <c r="A1528" s="62"/>
      <c r="B1528" s="86"/>
      <c r="C1528" s="86"/>
      <c r="D1528" s="86"/>
      <c r="E1528" s="86"/>
      <c r="F1528" s="86"/>
      <c r="G1528" s="86"/>
      <c r="H1528" s="62"/>
      <c r="I1528" s="62"/>
      <c r="J1528" s="62"/>
      <c r="K1528" s="62"/>
      <c r="L1528" s="62"/>
      <c r="M1528" s="62"/>
      <c r="N1528" s="62"/>
      <c r="O1528" s="62"/>
      <c r="P1528" s="62"/>
      <c r="Q1528" s="62"/>
      <c r="R1528" s="62"/>
      <c r="S1528" s="62"/>
      <c r="T1528" s="62"/>
      <c r="U1528" s="62"/>
      <c r="V1528" s="62"/>
      <c r="W1528" s="62"/>
      <c r="X1528" s="62"/>
      <c r="Y1528" s="62"/>
      <c r="Z1528" s="62"/>
      <c r="AA1528" s="62"/>
      <c r="AB1528" s="62"/>
      <c r="AC1528" s="62"/>
      <c r="AD1528" s="62"/>
      <c r="AE1528" s="62"/>
      <c r="AF1528" s="62"/>
      <c r="AG1528" s="62"/>
      <c r="AH1528" s="62"/>
      <c r="AI1528" s="62"/>
      <c r="AJ1528" s="62"/>
      <c r="AK1528" s="62"/>
      <c r="AL1528" s="62"/>
      <c r="AM1528" s="62"/>
      <c r="AN1528" s="62"/>
      <c r="AO1528" s="62"/>
      <c r="AP1528" s="62"/>
      <c r="AQ1528" s="62"/>
      <c r="AR1528" s="62"/>
      <c r="AS1528" s="62"/>
      <c r="AT1528" s="62"/>
      <c r="AU1528" s="62"/>
      <c r="AV1528" s="62"/>
      <c r="AW1528" s="62"/>
      <c r="AX1528" s="62"/>
      <c r="AY1528" s="62"/>
    </row>
    <row r="1529" spans="1:51" x14ac:dyDescent="0.25">
      <c r="A1529" s="62"/>
      <c r="B1529" s="86"/>
      <c r="C1529" s="86"/>
      <c r="D1529" s="86"/>
      <c r="E1529" s="86"/>
      <c r="F1529" s="86"/>
      <c r="G1529" s="86"/>
      <c r="H1529" s="62"/>
      <c r="I1529" s="62"/>
      <c r="J1529" s="62"/>
      <c r="K1529" s="62"/>
      <c r="L1529" s="62"/>
      <c r="M1529" s="62"/>
      <c r="N1529" s="62"/>
      <c r="O1529" s="62"/>
      <c r="P1529" s="62"/>
      <c r="Q1529" s="62"/>
      <c r="R1529" s="62"/>
      <c r="S1529" s="62"/>
      <c r="T1529" s="62"/>
      <c r="U1529" s="62"/>
      <c r="V1529" s="62"/>
      <c r="W1529" s="62"/>
      <c r="X1529" s="62"/>
      <c r="Y1529" s="62"/>
      <c r="Z1529" s="62"/>
      <c r="AA1529" s="62"/>
      <c r="AB1529" s="62"/>
      <c r="AC1529" s="62"/>
      <c r="AD1529" s="62"/>
      <c r="AE1529" s="62"/>
      <c r="AF1529" s="62"/>
      <c r="AG1529" s="62"/>
      <c r="AH1529" s="62"/>
      <c r="AI1529" s="62"/>
      <c r="AJ1529" s="62"/>
      <c r="AK1529" s="62"/>
      <c r="AL1529" s="62"/>
      <c r="AM1529" s="62"/>
      <c r="AN1529" s="62"/>
      <c r="AO1529" s="62"/>
      <c r="AP1529" s="62"/>
      <c r="AQ1529" s="62"/>
      <c r="AR1529" s="62"/>
      <c r="AS1529" s="62"/>
      <c r="AT1529" s="62"/>
      <c r="AU1529" s="62"/>
      <c r="AV1529" s="62"/>
      <c r="AW1529" s="62"/>
      <c r="AX1529" s="62"/>
      <c r="AY1529" s="62"/>
    </row>
    <row r="1530" spans="1:51" x14ac:dyDescent="0.25">
      <c r="A1530" s="62"/>
      <c r="B1530" s="86"/>
      <c r="C1530" s="86"/>
      <c r="D1530" s="86"/>
      <c r="E1530" s="86"/>
      <c r="F1530" s="86"/>
      <c r="G1530" s="86"/>
      <c r="H1530" s="62"/>
      <c r="I1530" s="62"/>
      <c r="J1530" s="62"/>
      <c r="K1530" s="62"/>
      <c r="L1530" s="62"/>
      <c r="M1530" s="62"/>
      <c r="N1530" s="62"/>
      <c r="O1530" s="62"/>
      <c r="P1530" s="62"/>
      <c r="Q1530" s="62"/>
      <c r="R1530" s="62"/>
      <c r="S1530" s="62"/>
      <c r="T1530" s="62"/>
      <c r="U1530" s="62"/>
      <c r="V1530" s="62"/>
      <c r="W1530" s="62"/>
      <c r="X1530" s="62"/>
      <c r="Y1530" s="62"/>
      <c r="Z1530" s="62"/>
      <c r="AA1530" s="62"/>
      <c r="AB1530" s="62"/>
      <c r="AC1530" s="62"/>
      <c r="AD1530" s="62"/>
      <c r="AE1530" s="62"/>
      <c r="AF1530" s="62"/>
      <c r="AG1530" s="62"/>
      <c r="AH1530" s="62"/>
      <c r="AI1530" s="62"/>
      <c r="AJ1530" s="62"/>
      <c r="AK1530" s="62"/>
      <c r="AL1530" s="62"/>
      <c r="AM1530" s="62"/>
      <c r="AN1530" s="62"/>
      <c r="AO1530" s="62"/>
      <c r="AP1530" s="62"/>
      <c r="AQ1530" s="62"/>
      <c r="AR1530" s="62"/>
      <c r="AS1530" s="62"/>
      <c r="AT1530" s="62"/>
      <c r="AU1530" s="62"/>
      <c r="AV1530" s="62"/>
      <c r="AW1530" s="62"/>
      <c r="AX1530" s="62"/>
      <c r="AY1530" s="62"/>
    </row>
    <row r="1531" spans="1:51" x14ac:dyDescent="0.25">
      <c r="A1531" s="62"/>
      <c r="B1531" s="86"/>
      <c r="C1531" s="86"/>
      <c r="D1531" s="86"/>
      <c r="E1531" s="86"/>
      <c r="F1531" s="86"/>
      <c r="G1531" s="86"/>
      <c r="H1531" s="62"/>
      <c r="I1531" s="62"/>
      <c r="J1531" s="62"/>
      <c r="K1531" s="62"/>
      <c r="L1531" s="62"/>
      <c r="M1531" s="62"/>
      <c r="N1531" s="62"/>
      <c r="O1531" s="62"/>
      <c r="P1531" s="62"/>
      <c r="Q1531" s="62"/>
      <c r="R1531" s="62"/>
      <c r="S1531" s="62"/>
      <c r="T1531" s="62"/>
      <c r="U1531" s="62"/>
      <c r="V1531" s="62"/>
      <c r="W1531" s="62"/>
      <c r="X1531" s="62"/>
      <c r="Y1531" s="62"/>
      <c r="Z1531" s="62"/>
      <c r="AA1531" s="62"/>
      <c r="AB1531" s="62"/>
      <c r="AC1531" s="62"/>
      <c r="AD1531" s="62"/>
      <c r="AE1531" s="62"/>
      <c r="AF1531" s="62"/>
      <c r="AG1531" s="62"/>
      <c r="AH1531" s="62"/>
      <c r="AI1531" s="62"/>
      <c r="AJ1531" s="62"/>
      <c r="AK1531" s="62"/>
      <c r="AL1531" s="62"/>
      <c r="AM1531" s="62"/>
      <c r="AN1531" s="62"/>
      <c r="AO1531" s="62"/>
      <c r="AP1531" s="62"/>
      <c r="AQ1531" s="62"/>
      <c r="AR1531" s="62"/>
      <c r="AS1531" s="62"/>
      <c r="AT1531" s="62"/>
      <c r="AU1531" s="62"/>
      <c r="AV1531" s="62"/>
      <c r="AW1531" s="62"/>
      <c r="AX1531" s="62"/>
      <c r="AY1531" s="62"/>
    </row>
    <row r="1532" spans="1:51" x14ac:dyDescent="0.25">
      <c r="A1532" s="62"/>
      <c r="B1532" s="86"/>
      <c r="C1532" s="86"/>
      <c r="D1532" s="86"/>
      <c r="E1532" s="86"/>
      <c r="F1532" s="86"/>
      <c r="G1532" s="86"/>
      <c r="H1532" s="62"/>
      <c r="I1532" s="62"/>
      <c r="J1532" s="62"/>
      <c r="K1532" s="62"/>
      <c r="L1532" s="62"/>
      <c r="M1532" s="62"/>
      <c r="N1532" s="62"/>
      <c r="O1532" s="62"/>
      <c r="P1532" s="62"/>
      <c r="Q1532" s="62"/>
      <c r="R1532" s="62"/>
      <c r="S1532" s="62"/>
      <c r="T1532" s="62"/>
      <c r="U1532" s="62"/>
      <c r="V1532" s="62"/>
      <c r="W1532" s="62"/>
      <c r="X1532" s="62"/>
      <c r="Y1532" s="62"/>
      <c r="Z1532" s="62"/>
      <c r="AA1532" s="62"/>
      <c r="AB1532" s="62"/>
      <c r="AC1532" s="62"/>
      <c r="AD1532" s="62"/>
      <c r="AE1532" s="62"/>
      <c r="AF1532" s="62"/>
      <c r="AG1532" s="62"/>
      <c r="AH1532" s="62"/>
      <c r="AI1532" s="62"/>
      <c r="AJ1532" s="62"/>
      <c r="AK1532" s="62"/>
      <c r="AL1532" s="62"/>
      <c r="AM1532" s="62"/>
      <c r="AN1532" s="62"/>
      <c r="AO1532" s="62"/>
      <c r="AP1532" s="62"/>
      <c r="AQ1532" s="62"/>
      <c r="AR1532" s="62"/>
      <c r="AS1532" s="62"/>
      <c r="AT1532" s="62"/>
      <c r="AU1532" s="62"/>
      <c r="AV1532" s="62"/>
      <c r="AW1532" s="62"/>
      <c r="AX1532" s="62"/>
      <c r="AY1532" s="62"/>
    </row>
    <row r="1533" spans="1:51" x14ac:dyDescent="0.25">
      <c r="A1533" s="62"/>
      <c r="B1533" s="86"/>
      <c r="C1533" s="86"/>
      <c r="D1533" s="86"/>
      <c r="E1533" s="86"/>
      <c r="F1533" s="86"/>
      <c r="G1533" s="86"/>
      <c r="H1533" s="62"/>
      <c r="I1533" s="62"/>
      <c r="J1533" s="62"/>
      <c r="K1533" s="62"/>
      <c r="L1533" s="62"/>
      <c r="M1533" s="62"/>
      <c r="N1533" s="62"/>
      <c r="O1533" s="62"/>
      <c r="P1533" s="62"/>
      <c r="Q1533" s="62"/>
      <c r="R1533" s="62"/>
      <c r="S1533" s="62"/>
      <c r="T1533" s="62"/>
      <c r="U1533" s="62"/>
      <c r="V1533" s="62"/>
      <c r="W1533" s="62"/>
      <c r="X1533" s="62"/>
      <c r="Y1533" s="62"/>
      <c r="Z1533" s="62"/>
      <c r="AA1533" s="62"/>
      <c r="AB1533" s="62"/>
      <c r="AC1533" s="62"/>
      <c r="AD1533" s="62"/>
      <c r="AE1533" s="62"/>
      <c r="AF1533" s="62"/>
      <c r="AG1533" s="62"/>
      <c r="AH1533" s="62"/>
      <c r="AI1533" s="62"/>
      <c r="AJ1533" s="62"/>
      <c r="AK1533" s="62"/>
      <c r="AL1533" s="62"/>
      <c r="AM1533" s="62"/>
      <c r="AN1533" s="62"/>
      <c r="AO1533" s="62"/>
      <c r="AP1533" s="62"/>
      <c r="AQ1533" s="62"/>
      <c r="AR1533" s="62"/>
      <c r="AS1533" s="62"/>
      <c r="AT1533" s="62"/>
      <c r="AU1533" s="62"/>
      <c r="AV1533" s="62"/>
      <c r="AW1533" s="62"/>
      <c r="AX1533" s="62"/>
      <c r="AY1533" s="62"/>
    </row>
    <row r="1534" spans="1:51" x14ac:dyDescent="0.25">
      <c r="A1534" s="62"/>
      <c r="B1534" s="86"/>
      <c r="C1534" s="86"/>
      <c r="D1534" s="86"/>
      <c r="E1534" s="86"/>
      <c r="F1534" s="86"/>
      <c r="G1534" s="86"/>
      <c r="H1534" s="62"/>
      <c r="I1534" s="62"/>
      <c r="J1534" s="62"/>
      <c r="K1534" s="62"/>
      <c r="L1534" s="62"/>
      <c r="M1534" s="62"/>
      <c r="N1534" s="62"/>
      <c r="O1534" s="62"/>
      <c r="P1534" s="62"/>
      <c r="Q1534" s="62"/>
      <c r="R1534" s="62"/>
      <c r="S1534" s="62"/>
      <c r="T1534" s="62"/>
      <c r="U1534" s="62"/>
      <c r="V1534" s="62"/>
      <c r="W1534" s="62"/>
      <c r="X1534" s="62"/>
      <c r="Y1534" s="62"/>
      <c r="Z1534" s="62"/>
      <c r="AA1534" s="62"/>
      <c r="AB1534" s="62"/>
      <c r="AC1534" s="62"/>
      <c r="AD1534" s="62"/>
      <c r="AE1534" s="62"/>
      <c r="AF1534" s="62"/>
      <c r="AG1534" s="62"/>
      <c r="AH1534" s="62"/>
      <c r="AI1534" s="62"/>
      <c r="AJ1534" s="62"/>
      <c r="AK1534" s="62"/>
      <c r="AL1534" s="62"/>
      <c r="AM1534" s="62"/>
      <c r="AN1534" s="62"/>
      <c r="AO1534" s="62"/>
      <c r="AP1534" s="62"/>
      <c r="AQ1534" s="62"/>
      <c r="AR1534" s="62"/>
      <c r="AS1534" s="62"/>
      <c r="AT1534" s="62"/>
      <c r="AU1534" s="62"/>
      <c r="AV1534" s="62"/>
      <c r="AW1534" s="62"/>
      <c r="AX1534" s="62"/>
      <c r="AY1534" s="62"/>
    </row>
    <row r="1535" spans="1:51" x14ac:dyDescent="0.25">
      <c r="A1535" s="62"/>
      <c r="B1535" s="86"/>
      <c r="C1535" s="86"/>
      <c r="D1535" s="86"/>
      <c r="E1535" s="86"/>
      <c r="F1535" s="86"/>
      <c r="G1535" s="86"/>
      <c r="H1535" s="62"/>
      <c r="I1535" s="62"/>
      <c r="J1535" s="62"/>
      <c r="K1535" s="62"/>
      <c r="L1535" s="62"/>
      <c r="M1535" s="62"/>
      <c r="N1535" s="62"/>
      <c r="O1535" s="62"/>
      <c r="P1535" s="62"/>
      <c r="Q1535" s="62"/>
      <c r="R1535" s="62"/>
      <c r="S1535" s="62"/>
      <c r="T1535" s="62"/>
      <c r="U1535" s="62"/>
      <c r="V1535" s="62"/>
      <c r="W1535" s="62"/>
      <c r="X1535" s="62"/>
      <c r="Y1535" s="62"/>
      <c r="Z1535" s="62"/>
      <c r="AA1535" s="62"/>
      <c r="AB1535" s="62"/>
      <c r="AC1535" s="62"/>
      <c r="AD1535" s="62"/>
      <c r="AE1535" s="62"/>
      <c r="AF1535" s="62"/>
      <c r="AG1535" s="62"/>
      <c r="AH1535" s="62"/>
      <c r="AI1535" s="62"/>
      <c r="AJ1535" s="62"/>
      <c r="AK1535" s="62"/>
      <c r="AL1535" s="62"/>
      <c r="AM1535" s="62"/>
      <c r="AN1535" s="62"/>
      <c r="AO1535" s="62"/>
      <c r="AP1535" s="62"/>
      <c r="AQ1535" s="62"/>
      <c r="AR1535" s="62"/>
      <c r="AS1535" s="62"/>
      <c r="AT1535" s="62"/>
      <c r="AU1535" s="62"/>
      <c r="AV1535" s="62"/>
      <c r="AW1535" s="62"/>
      <c r="AX1535" s="62"/>
      <c r="AY1535" s="62"/>
    </row>
    <row r="1536" spans="1:51" x14ac:dyDescent="0.25">
      <c r="A1536" s="62"/>
      <c r="B1536" s="86"/>
      <c r="C1536" s="86"/>
      <c r="D1536" s="86"/>
      <c r="E1536" s="86"/>
      <c r="F1536" s="86"/>
      <c r="G1536" s="86"/>
      <c r="H1536" s="62"/>
      <c r="I1536" s="62"/>
      <c r="J1536" s="62"/>
      <c r="K1536" s="62"/>
      <c r="L1536" s="62"/>
      <c r="M1536" s="62"/>
      <c r="N1536" s="62"/>
      <c r="O1536" s="62"/>
      <c r="P1536" s="62"/>
      <c r="Q1536" s="62"/>
      <c r="R1536" s="62"/>
      <c r="S1536" s="62"/>
      <c r="T1536" s="62"/>
      <c r="U1536" s="62"/>
      <c r="V1536" s="62"/>
      <c r="W1536" s="62"/>
      <c r="X1536" s="62"/>
      <c r="Y1536" s="62"/>
      <c r="Z1536" s="62"/>
      <c r="AA1536" s="62"/>
      <c r="AB1536" s="62"/>
      <c r="AC1536" s="62"/>
      <c r="AD1536" s="62"/>
      <c r="AE1536" s="62"/>
      <c r="AF1536" s="62"/>
      <c r="AG1536" s="62"/>
      <c r="AH1536" s="62"/>
      <c r="AI1536" s="62"/>
      <c r="AJ1536" s="62"/>
      <c r="AK1536" s="62"/>
      <c r="AL1536" s="62"/>
      <c r="AM1536" s="62"/>
      <c r="AN1536" s="62"/>
      <c r="AO1536" s="62"/>
      <c r="AP1536" s="62"/>
      <c r="AQ1536" s="62"/>
      <c r="AR1536" s="62"/>
      <c r="AS1536" s="62"/>
      <c r="AT1536" s="62"/>
      <c r="AU1536" s="62"/>
      <c r="AV1536" s="62"/>
      <c r="AW1536" s="62"/>
      <c r="AX1536" s="62"/>
      <c r="AY1536" s="62"/>
    </row>
    <row r="1537" spans="1:51" x14ac:dyDescent="0.25">
      <c r="A1537" s="62"/>
      <c r="B1537" s="86"/>
      <c r="C1537" s="86"/>
      <c r="D1537" s="86"/>
      <c r="E1537" s="86"/>
      <c r="F1537" s="86"/>
      <c r="G1537" s="86"/>
      <c r="H1537" s="62"/>
      <c r="I1537" s="62"/>
      <c r="J1537" s="62"/>
      <c r="K1537" s="62"/>
      <c r="L1537" s="62"/>
      <c r="M1537" s="62"/>
      <c r="N1537" s="62"/>
      <c r="O1537" s="62"/>
      <c r="P1537" s="62"/>
      <c r="Q1537" s="62"/>
      <c r="R1537" s="62"/>
      <c r="S1537" s="62"/>
      <c r="T1537" s="62"/>
      <c r="U1537" s="62"/>
      <c r="V1537" s="62"/>
      <c r="W1537" s="62"/>
      <c r="X1537" s="62"/>
      <c r="Y1537" s="62"/>
      <c r="Z1537" s="62"/>
      <c r="AA1537" s="62"/>
      <c r="AB1537" s="62"/>
      <c r="AC1537" s="62"/>
      <c r="AD1537" s="62"/>
      <c r="AE1537" s="62"/>
      <c r="AF1537" s="62"/>
      <c r="AG1537" s="62"/>
      <c r="AH1537" s="62"/>
      <c r="AI1537" s="62"/>
      <c r="AJ1537" s="62"/>
      <c r="AK1537" s="62"/>
      <c r="AL1537" s="62"/>
      <c r="AM1537" s="62"/>
      <c r="AN1537" s="62"/>
      <c r="AO1537" s="62"/>
      <c r="AP1537" s="62"/>
      <c r="AQ1537" s="62"/>
      <c r="AR1537" s="62"/>
      <c r="AS1537" s="62"/>
      <c r="AT1537" s="62"/>
      <c r="AU1537" s="62"/>
      <c r="AV1537" s="62"/>
      <c r="AW1537" s="62"/>
      <c r="AX1537" s="62"/>
      <c r="AY1537" s="62"/>
    </row>
    <row r="1538" spans="1:51" x14ac:dyDescent="0.25">
      <c r="A1538" s="62"/>
      <c r="B1538" s="86"/>
      <c r="C1538" s="86"/>
      <c r="D1538" s="86"/>
      <c r="E1538" s="86"/>
      <c r="F1538" s="86"/>
      <c r="G1538" s="86"/>
      <c r="H1538" s="62"/>
      <c r="I1538" s="62"/>
      <c r="J1538" s="62"/>
      <c r="K1538" s="62"/>
      <c r="L1538" s="62"/>
      <c r="M1538" s="62"/>
      <c r="N1538" s="62"/>
      <c r="O1538" s="62"/>
      <c r="P1538" s="62"/>
      <c r="Q1538" s="62"/>
      <c r="R1538" s="62"/>
      <c r="S1538" s="62"/>
      <c r="T1538" s="62"/>
      <c r="U1538" s="62"/>
      <c r="V1538" s="62"/>
      <c r="W1538" s="62"/>
      <c r="X1538" s="62"/>
      <c r="Y1538" s="62"/>
      <c r="Z1538" s="62"/>
      <c r="AA1538" s="62"/>
      <c r="AB1538" s="62"/>
      <c r="AC1538" s="62"/>
      <c r="AD1538" s="62"/>
      <c r="AE1538" s="62"/>
      <c r="AF1538" s="62"/>
      <c r="AG1538" s="62"/>
      <c r="AH1538" s="62"/>
      <c r="AI1538" s="62"/>
      <c r="AJ1538" s="62"/>
      <c r="AK1538" s="62"/>
      <c r="AL1538" s="62"/>
      <c r="AM1538" s="62"/>
      <c r="AN1538" s="62"/>
      <c r="AO1538" s="62"/>
      <c r="AP1538" s="62"/>
      <c r="AQ1538" s="62"/>
      <c r="AR1538" s="62"/>
      <c r="AS1538" s="62"/>
      <c r="AT1538" s="62"/>
      <c r="AU1538" s="62"/>
      <c r="AV1538" s="62"/>
      <c r="AW1538" s="62"/>
      <c r="AX1538" s="62"/>
      <c r="AY1538" s="62"/>
    </row>
    <row r="1539" spans="1:51" x14ac:dyDescent="0.25">
      <c r="A1539" s="62"/>
      <c r="B1539" s="86"/>
      <c r="C1539" s="86"/>
      <c r="D1539" s="86"/>
      <c r="E1539" s="86"/>
      <c r="F1539" s="86"/>
      <c r="G1539" s="86"/>
      <c r="H1539" s="62"/>
      <c r="I1539" s="62"/>
      <c r="J1539" s="62"/>
      <c r="K1539" s="62"/>
      <c r="L1539" s="62"/>
      <c r="M1539" s="62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I1539" s="62"/>
      <c r="AJ1539" s="62"/>
      <c r="AK1539" s="62"/>
      <c r="AL1539" s="62"/>
      <c r="AM1539" s="62"/>
      <c r="AN1539" s="62"/>
      <c r="AO1539" s="62"/>
      <c r="AP1539" s="62"/>
      <c r="AQ1539" s="62"/>
      <c r="AR1539" s="62"/>
      <c r="AS1539" s="62"/>
      <c r="AT1539" s="62"/>
      <c r="AU1539" s="62"/>
      <c r="AV1539" s="62"/>
      <c r="AW1539" s="62"/>
      <c r="AX1539" s="62"/>
      <c r="AY1539" s="62"/>
    </row>
    <row r="1540" spans="1:51" x14ac:dyDescent="0.25">
      <c r="A1540" s="62"/>
      <c r="B1540" s="86"/>
      <c r="C1540" s="86"/>
      <c r="D1540" s="86"/>
      <c r="E1540" s="86"/>
      <c r="F1540" s="86"/>
      <c r="G1540" s="86"/>
      <c r="H1540" s="62"/>
      <c r="I1540" s="62"/>
      <c r="J1540" s="62"/>
      <c r="K1540" s="62"/>
      <c r="L1540" s="62"/>
      <c r="M1540" s="62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I1540" s="62"/>
      <c r="AJ1540" s="62"/>
      <c r="AK1540" s="62"/>
      <c r="AL1540" s="62"/>
      <c r="AM1540" s="62"/>
      <c r="AN1540" s="62"/>
      <c r="AO1540" s="62"/>
      <c r="AP1540" s="62"/>
      <c r="AQ1540" s="62"/>
      <c r="AR1540" s="62"/>
      <c r="AS1540" s="62"/>
      <c r="AT1540" s="62"/>
      <c r="AU1540" s="62"/>
      <c r="AV1540" s="62"/>
      <c r="AW1540" s="62"/>
      <c r="AX1540" s="62"/>
      <c r="AY1540" s="62"/>
    </row>
    <row r="1541" spans="1:51" x14ac:dyDescent="0.25">
      <c r="A1541" s="62"/>
      <c r="B1541" s="86"/>
      <c r="C1541" s="86"/>
      <c r="D1541" s="86"/>
      <c r="E1541" s="86"/>
      <c r="F1541" s="86"/>
      <c r="G1541" s="86"/>
      <c r="H1541" s="62"/>
      <c r="I1541" s="62"/>
      <c r="J1541" s="62"/>
      <c r="K1541" s="62"/>
      <c r="L1541" s="62"/>
      <c r="M1541" s="62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I1541" s="62"/>
      <c r="AJ1541" s="62"/>
      <c r="AK1541" s="62"/>
      <c r="AL1541" s="62"/>
      <c r="AM1541" s="62"/>
      <c r="AN1541" s="62"/>
      <c r="AO1541" s="62"/>
      <c r="AP1541" s="62"/>
      <c r="AQ1541" s="62"/>
      <c r="AR1541" s="62"/>
      <c r="AS1541" s="62"/>
      <c r="AT1541" s="62"/>
      <c r="AU1541" s="62"/>
      <c r="AV1541" s="62"/>
      <c r="AW1541" s="62"/>
      <c r="AX1541" s="62"/>
      <c r="AY1541" s="62"/>
    </row>
    <row r="1542" spans="1:51" x14ac:dyDescent="0.25">
      <c r="A1542" s="62"/>
      <c r="B1542" s="86"/>
      <c r="C1542" s="86"/>
      <c r="D1542" s="86"/>
      <c r="E1542" s="86"/>
      <c r="F1542" s="86"/>
      <c r="G1542" s="86"/>
      <c r="H1542" s="62"/>
      <c r="I1542" s="62"/>
      <c r="J1542" s="62"/>
      <c r="K1542" s="62"/>
      <c r="L1542" s="62"/>
      <c r="M1542" s="62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I1542" s="62"/>
      <c r="AJ1542" s="62"/>
      <c r="AK1542" s="62"/>
      <c r="AL1542" s="62"/>
      <c r="AM1542" s="62"/>
      <c r="AN1542" s="62"/>
      <c r="AO1542" s="62"/>
      <c r="AP1542" s="62"/>
      <c r="AQ1542" s="62"/>
      <c r="AR1542" s="62"/>
      <c r="AS1542" s="62"/>
      <c r="AT1542" s="62"/>
      <c r="AU1542" s="62"/>
      <c r="AV1542" s="62"/>
      <c r="AW1542" s="62"/>
      <c r="AX1542" s="62"/>
      <c r="AY1542" s="62"/>
    </row>
    <row r="1543" spans="1:51" x14ac:dyDescent="0.25">
      <c r="A1543" s="62"/>
      <c r="B1543" s="86"/>
      <c r="C1543" s="86"/>
      <c r="D1543" s="86"/>
      <c r="E1543" s="86"/>
      <c r="F1543" s="86"/>
      <c r="G1543" s="86"/>
      <c r="H1543" s="62"/>
      <c r="I1543" s="62"/>
      <c r="J1543" s="62"/>
      <c r="K1543" s="62"/>
      <c r="L1543" s="62"/>
      <c r="M1543" s="62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I1543" s="62"/>
      <c r="AJ1543" s="62"/>
      <c r="AK1543" s="62"/>
      <c r="AL1543" s="62"/>
      <c r="AM1543" s="62"/>
      <c r="AN1543" s="62"/>
      <c r="AO1543" s="62"/>
      <c r="AP1543" s="62"/>
      <c r="AQ1543" s="62"/>
      <c r="AR1543" s="62"/>
      <c r="AS1543" s="62"/>
      <c r="AT1543" s="62"/>
      <c r="AU1543" s="62"/>
      <c r="AV1543" s="62"/>
      <c r="AW1543" s="62"/>
      <c r="AX1543" s="62"/>
      <c r="AY1543" s="62"/>
    </row>
    <row r="1544" spans="1:51" x14ac:dyDescent="0.25">
      <c r="A1544" s="62"/>
      <c r="B1544" s="86"/>
      <c r="C1544" s="86"/>
      <c r="D1544" s="86"/>
      <c r="E1544" s="86"/>
      <c r="F1544" s="86"/>
      <c r="G1544" s="86"/>
      <c r="H1544" s="62"/>
      <c r="I1544" s="62"/>
      <c r="J1544" s="62"/>
      <c r="K1544" s="62"/>
      <c r="L1544" s="62"/>
      <c r="M1544" s="62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I1544" s="62"/>
      <c r="AJ1544" s="62"/>
      <c r="AK1544" s="62"/>
      <c r="AL1544" s="62"/>
      <c r="AM1544" s="62"/>
      <c r="AN1544" s="62"/>
      <c r="AO1544" s="62"/>
      <c r="AP1544" s="62"/>
      <c r="AQ1544" s="62"/>
      <c r="AR1544" s="62"/>
      <c r="AS1544" s="62"/>
      <c r="AT1544" s="62"/>
      <c r="AU1544" s="62"/>
      <c r="AV1544" s="62"/>
      <c r="AW1544" s="62"/>
      <c r="AX1544" s="62"/>
      <c r="AY1544" s="62"/>
    </row>
    <row r="1545" spans="1:51" x14ac:dyDescent="0.25">
      <c r="A1545" s="62"/>
      <c r="B1545" s="86"/>
      <c r="C1545" s="86"/>
      <c r="D1545" s="86"/>
      <c r="E1545" s="86"/>
      <c r="F1545" s="86"/>
      <c r="G1545" s="86"/>
      <c r="H1545" s="62"/>
      <c r="I1545" s="62"/>
      <c r="J1545" s="62"/>
      <c r="K1545" s="62"/>
      <c r="L1545" s="62"/>
      <c r="M1545" s="62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I1545" s="62"/>
      <c r="AJ1545" s="62"/>
      <c r="AK1545" s="62"/>
      <c r="AL1545" s="62"/>
      <c r="AM1545" s="62"/>
      <c r="AN1545" s="62"/>
      <c r="AO1545" s="62"/>
      <c r="AP1545" s="62"/>
      <c r="AQ1545" s="62"/>
      <c r="AR1545" s="62"/>
      <c r="AS1545" s="62"/>
      <c r="AT1545" s="62"/>
      <c r="AU1545" s="62"/>
      <c r="AV1545" s="62"/>
      <c r="AW1545" s="62"/>
      <c r="AX1545" s="62"/>
      <c r="AY1545" s="62"/>
    </row>
    <row r="1546" spans="1:51" x14ac:dyDescent="0.25">
      <c r="A1546" s="62"/>
      <c r="B1546" s="86"/>
      <c r="C1546" s="86"/>
      <c r="D1546" s="86"/>
      <c r="E1546" s="86"/>
      <c r="F1546" s="86"/>
      <c r="G1546" s="86"/>
      <c r="H1546" s="62"/>
      <c r="I1546" s="62"/>
      <c r="J1546" s="62"/>
      <c r="K1546" s="62"/>
      <c r="L1546" s="62"/>
      <c r="M1546" s="62"/>
      <c r="N1546" s="62"/>
      <c r="O1546" s="62"/>
      <c r="P1546" s="62"/>
      <c r="Q1546" s="62"/>
      <c r="R1546" s="62"/>
      <c r="S1546" s="62"/>
      <c r="T1546" s="62"/>
      <c r="U1546" s="62"/>
      <c r="V1546" s="62"/>
      <c r="W1546" s="62"/>
      <c r="X1546" s="62"/>
      <c r="Y1546" s="62"/>
      <c r="Z1546" s="62"/>
      <c r="AA1546" s="62"/>
      <c r="AB1546" s="62"/>
      <c r="AC1546" s="62"/>
      <c r="AD1546" s="62"/>
      <c r="AE1546" s="62"/>
      <c r="AF1546" s="62"/>
      <c r="AG1546" s="62"/>
      <c r="AH1546" s="62"/>
      <c r="AI1546" s="62"/>
      <c r="AJ1546" s="62"/>
      <c r="AK1546" s="62"/>
      <c r="AL1546" s="62"/>
      <c r="AM1546" s="62"/>
      <c r="AN1546" s="62"/>
      <c r="AO1546" s="62"/>
      <c r="AP1546" s="62"/>
      <c r="AQ1546" s="62"/>
      <c r="AR1546" s="62"/>
      <c r="AS1546" s="62"/>
      <c r="AT1546" s="62"/>
      <c r="AU1546" s="62"/>
      <c r="AV1546" s="62"/>
      <c r="AW1546" s="62"/>
      <c r="AX1546" s="62"/>
      <c r="AY1546" s="62"/>
    </row>
    <row r="1547" spans="1:51" x14ac:dyDescent="0.25">
      <c r="A1547" s="62"/>
      <c r="B1547" s="86"/>
      <c r="C1547" s="86"/>
      <c r="D1547" s="86"/>
      <c r="E1547" s="86"/>
      <c r="F1547" s="86"/>
      <c r="G1547" s="86"/>
      <c r="H1547" s="62"/>
      <c r="I1547" s="62"/>
      <c r="J1547" s="62"/>
      <c r="K1547" s="62"/>
      <c r="L1547" s="62"/>
      <c r="M1547" s="62"/>
      <c r="N1547" s="62"/>
      <c r="O1547" s="62"/>
      <c r="P1547" s="62"/>
      <c r="Q1547" s="62"/>
      <c r="R1547" s="62"/>
      <c r="S1547" s="62"/>
      <c r="T1547" s="62"/>
      <c r="U1547" s="62"/>
      <c r="V1547" s="62"/>
      <c r="W1547" s="62"/>
      <c r="X1547" s="62"/>
      <c r="Y1547" s="62"/>
      <c r="Z1547" s="62"/>
      <c r="AA1547" s="62"/>
      <c r="AB1547" s="62"/>
      <c r="AC1547" s="62"/>
      <c r="AD1547" s="62"/>
      <c r="AE1547" s="62"/>
      <c r="AF1547" s="62"/>
      <c r="AG1547" s="62"/>
      <c r="AH1547" s="62"/>
      <c r="AI1547" s="62"/>
      <c r="AJ1547" s="62"/>
      <c r="AK1547" s="62"/>
      <c r="AL1547" s="62"/>
      <c r="AM1547" s="62"/>
      <c r="AN1547" s="62"/>
      <c r="AO1547" s="62"/>
      <c r="AP1547" s="62"/>
      <c r="AQ1547" s="62"/>
      <c r="AR1547" s="62"/>
      <c r="AS1547" s="62"/>
      <c r="AT1547" s="62"/>
      <c r="AU1547" s="62"/>
      <c r="AV1547" s="62"/>
      <c r="AW1547" s="62"/>
      <c r="AX1547" s="62"/>
      <c r="AY1547" s="62"/>
    </row>
    <row r="1548" spans="1:51" x14ac:dyDescent="0.25">
      <c r="A1548" s="62"/>
      <c r="B1548" s="86"/>
      <c r="C1548" s="86"/>
      <c r="D1548" s="86"/>
      <c r="E1548" s="86"/>
      <c r="F1548" s="86"/>
      <c r="G1548" s="86"/>
      <c r="H1548" s="62"/>
      <c r="I1548" s="62"/>
      <c r="J1548" s="62"/>
      <c r="K1548" s="62"/>
      <c r="L1548" s="62"/>
      <c r="M1548" s="62"/>
      <c r="N1548" s="62"/>
      <c r="O1548" s="62"/>
      <c r="P1548" s="62"/>
      <c r="Q1548" s="62"/>
      <c r="R1548" s="62"/>
      <c r="S1548" s="62"/>
      <c r="T1548" s="62"/>
      <c r="U1548" s="62"/>
      <c r="V1548" s="62"/>
      <c r="W1548" s="62"/>
      <c r="X1548" s="62"/>
      <c r="Y1548" s="62"/>
      <c r="Z1548" s="62"/>
      <c r="AA1548" s="62"/>
      <c r="AB1548" s="62"/>
      <c r="AC1548" s="62"/>
      <c r="AD1548" s="62"/>
      <c r="AE1548" s="62"/>
      <c r="AF1548" s="62"/>
      <c r="AG1548" s="62"/>
      <c r="AH1548" s="62"/>
      <c r="AI1548" s="62"/>
      <c r="AJ1548" s="62"/>
      <c r="AK1548" s="62"/>
      <c r="AL1548" s="62"/>
      <c r="AM1548" s="62"/>
      <c r="AN1548" s="62"/>
      <c r="AO1548" s="62"/>
      <c r="AP1548" s="62"/>
      <c r="AQ1548" s="62"/>
      <c r="AR1548" s="62"/>
      <c r="AS1548" s="62"/>
      <c r="AT1548" s="62"/>
      <c r="AU1548" s="62"/>
      <c r="AV1548" s="62"/>
      <c r="AW1548" s="62"/>
      <c r="AX1548" s="62"/>
      <c r="AY1548" s="62"/>
    </row>
    <row r="1549" spans="1:51" x14ac:dyDescent="0.25">
      <c r="A1549" s="62"/>
      <c r="B1549" s="86"/>
      <c r="C1549" s="86"/>
      <c r="D1549" s="86"/>
      <c r="E1549" s="86"/>
      <c r="F1549" s="86"/>
      <c r="G1549" s="86"/>
      <c r="H1549" s="62"/>
      <c r="I1549" s="62"/>
      <c r="J1549" s="62"/>
      <c r="K1549" s="62"/>
      <c r="L1549" s="62"/>
      <c r="M1549" s="62"/>
      <c r="N1549" s="62"/>
      <c r="O1549" s="62"/>
      <c r="P1549" s="62"/>
      <c r="Q1549" s="62"/>
      <c r="R1549" s="62"/>
      <c r="S1549" s="62"/>
      <c r="T1549" s="62"/>
      <c r="U1549" s="62"/>
      <c r="V1549" s="62"/>
      <c r="W1549" s="62"/>
      <c r="X1549" s="62"/>
      <c r="Y1549" s="62"/>
      <c r="Z1549" s="62"/>
      <c r="AA1549" s="62"/>
      <c r="AB1549" s="62"/>
      <c r="AC1549" s="62"/>
      <c r="AD1549" s="62"/>
      <c r="AE1549" s="62"/>
      <c r="AF1549" s="62"/>
      <c r="AG1549" s="62"/>
      <c r="AH1549" s="62"/>
      <c r="AI1549" s="62"/>
      <c r="AJ1549" s="62"/>
      <c r="AK1549" s="62"/>
      <c r="AL1549" s="62"/>
      <c r="AM1549" s="62"/>
      <c r="AN1549" s="62"/>
      <c r="AO1549" s="62"/>
      <c r="AP1549" s="62"/>
      <c r="AQ1549" s="62"/>
      <c r="AR1549" s="62"/>
      <c r="AS1549" s="62"/>
      <c r="AT1549" s="62"/>
      <c r="AU1549" s="62"/>
      <c r="AV1549" s="62"/>
      <c r="AW1549" s="62"/>
      <c r="AX1549" s="62"/>
      <c r="AY1549" s="62"/>
    </row>
    <row r="1550" spans="1:51" x14ac:dyDescent="0.25">
      <c r="A1550" s="62"/>
      <c r="B1550" s="86"/>
      <c r="C1550" s="86"/>
      <c r="D1550" s="86"/>
      <c r="E1550" s="86"/>
      <c r="F1550" s="86"/>
      <c r="G1550" s="86"/>
      <c r="H1550" s="62"/>
      <c r="I1550" s="62"/>
      <c r="J1550" s="62"/>
      <c r="K1550" s="62"/>
      <c r="L1550" s="62"/>
      <c r="M1550" s="62"/>
      <c r="N1550" s="62"/>
      <c r="O1550" s="62"/>
      <c r="P1550" s="62"/>
      <c r="Q1550" s="62"/>
      <c r="R1550" s="62"/>
      <c r="S1550" s="62"/>
      <c r="T1550" s="62"/>
      <c r="U1550" s="62"/>
      <c r="V1550" s="62"/>
      <c r="W1550" s="62"/>
      <c r="X1550" s="62"/>
      <c r="Y1550" s="62"/>
      <c r="Z1550" s="62"/>
      <c r="AA1550" s="62"/>
      <c r="AB1550" s="62"/>
      <c r="AC1550" s="62"/>
      <c r="AD1550" s="62"/>
      <c r="AE1550" s="62"/>
      <c r="AF1550" s="62"/>
      <c r="AG1550" s="62"/>
      <c r="AH1550" s="62"/>
      <c r="AI1550" s="62"/>
      <c r="AJ1550" s="62"/>
      <c r="AK1550" s="62"/>
      <c r="AL1550" s="62"/>
      <c r="AM1550" s="62"/>
      <c r="AN1550" s="62"/>
      <c r="AO1550" s="62"/>
      <c r="AP1550" s="62"/>
      <c r="AQ1550" s="62"/>
      <c r="AR1550" s="62"/>
      <c r="AS1550" s="62"/>
      <c r="AT1550" s="62"/>
      <c r="AU1550" s="62"/>
      <c r="AV1550" s="62"/>
      <c r="AW1550" s="62"/>
      <c r="AX1550" s="62"/>
      <c r="AY1550" s="62"/>
    </row>
    <row r="1551" spans="1:51" x14ac:dyDescent="0.25">
      <c r="A1551" s="62"/>
      <c r="B1551" s="86"/>
      <c r="C1551" s="86"/>
      <c r="D1551" s="86"/>
      <c r="E1551" s="86"/>
      <c r="F1551" s="86"/>
      <c r="G1551" s="86"/>
      <c r="H1551" s="62"/>
      <c r="I1551" s="62"/>
      <c r="J1551" s="62"/>
      <c r="K1551" s="62"/>
      <c r="L1551" s="62"/>
      <c r="M1551" s="62"/>
      <c r="N1551" s="62"/>
      <c r="O1551" s="62"/>
      <c r="P1551" s="62"/>
      <c r="Q1551" s="62"/>
      <c r="R1551" s="62"/>
      <c r="S1551" s="62"/>
      <c r="T1551" s="62"/>
      <c r="U1551" s="62"/>
      <c r="V1551" s="62"/>
      <c r="W1551" s="62"/>
      <c r="X1551" s="62"/>
      <c r="Y1551" s="62"/>
      <c r="Z1551" s="62"/>
      <c r="AA1551" s="62"/>
      <c r="AB1551" s="62"/>
      <c r="AC1551" s="62"/>
      <c r="AD1551" s="62"/>
      <c r="AE1551" s="62"/>
      <c r="AF1551" s="62"/>
      <c r="AG1551" s="62"/>
      <c r="AH1551" s="62"/>
      <c r="AI1551" s="62"/>
      <c r="AJ1551" s="62"/>
      <c r="AK1551" s="62"/>
      <c r="AL1551" s="62"/>
      <c r="AM1551" s="62"/>
      <c r="AN1551" s="62"/>
      <c r="AO1551" s="62"/>
      <c r="AP1551" s="62"/>
      <c r="AQ1551" s="62"/>
      <c r="AR1551" s="62"/>
      <c r="AS1551" s="62"/>
      <c r="AT1551" s="62"/>
      <c r="AU1551" s="62"/>
      <c r="AV1551" s="62"/>
      <c r="AW1551" s="62"/>
      <c r="AX1551" s="62"/>
      <c r="AY1551" s="62"/>
    </row>
    <row r="1552" spans="1:51" x14ac:dyDescent="0.25">
      <c r="A1552" s="62"/>
      <c r="B1552" s="86"/>
      <c r="C1552" s="86"/>
      <c r="D1552" s="86"/>
      <c r="E1552" s="86"/>
      <c r="F1552" s="86"/>
      <c r="G1552" s="86"/>
      <c r="H1552" s="62"/>
      <c r="I1552" s="62"/>
      <c r="J1552" s="62"/>
      <c r="K1552" s="62"/>
      <c r="L1552" s="62"/>
      <c r="M1552" s="62"/>
      <c r="N1552" s="62"/>
      <c r="O1552" s="62"/>
      <c r="P1552" s="62"/>
      <c r="Q1552" s="62"/>
      <c r="R1552" s="62"/>
      <c r="S1552" s="62"/>
      <c r="T1552" s="62"/>
      <c r="U1552" s="62"/>
      <c r="V1552" s="62"/>
      <c r="W1552" s="62"/>
      <c r="X1552" s="62"/>
      <c r="Y1552" s="62"/>
      <c r="Z1552" s="62"/>
      <c r="AA1552" s="62"/>
      <c r="AB1552" s="62"/>
      <c r="AC1552" s="62"/>
      <c r="AD1552" s="62"/>
      <c r="AE1552" s="62"/>
      <c r="AF1552" s="62"/>
      <c r="AG1552" s="62"/>
      <c r="AH1552" s="62"/>
      <c r="AI1552" s="62"/>
      <c r="AJ1552" s="62"/>
      <c r="AK1552" s="62"/>
      <c r="AL1552" s="62"/>
      <c r="AM1552" s="62"/>
      <c r="AN1552" s="62"/>
      <c r="AO1552" s="62"/>
      <c r="AP1552" s="62"/>
      <c r="AQ1552" s="62"/>
      <c r="AR1552" s="62"/>
      <c r="AS1552" s="62"/>
      <c r="AT1552" s="62"/>
      <c r="AU1552" s="62"/>
      <c r="AV1552" s="62"/>
      <c r="AW1552" s="62"/>
      <c r="AX1552" s="62"/>
      <c r="AY1552" s="62"/>
    </row>
    <row r="1553" spans="1:51" x14ac:dyDescent="0.25">
      <c r="A1553" s="62"/>
      <c r="B1553" s="86"/>
      <c r="C1553" s="86"/>
      <c r="D1553" s="86"/>
      <c r="E1553" s="86"/>
      <c r="F1553" s="86"/>
      <c r="G1553" s="86"/>
      <c r="H1553" s="62"/>
      <c r="I1553" s="62"/>
      <c r="J1553" s="62"/>
      <c r="K1553" s="62"/>
      <c r="L1553" s="62"/>
      <c r="M1553" s="62"/>
      <c r="N1553" s="62"/>
      <c r="O1553" s="62"/>
      <c r="P1553" s="62"/>
      <c r="Q1553" s="62"/>
      <c r="R1553" s="62"/>
      <c r="S1553" s="62"/>
      <c r="T1553" s="62"/>
      <c r="U1553" s="62"/>
      <c r="V1553" s="62"/>
      <c r="W1553" s="62"/>
      <c r="X1553" s="62"/>
      <c r="Y1553" s="62"/>
      <c r="Z1553" s="62"/>
      <c r="AA1553" s="62"/>
      <c r="AB1553" s="62"/>
      <c r="AC1553" s="62"/>
      <c r="AD1553" s="62"/>
      <c r="AE1553" s="62"/>
      <c r="AF1553" s="62"/>
      <c r="AG1553" s="62"/>
      <c r="AH1553" s="62"/>
      <c r="AI1553" s="62"/>
      <c r="AJ1553" s="62"/>
      <c r="AK1553" s="62"/>
      <c r="AL1553" s="62"/>
      <c r="AM1553" s="62"/>
      <c r="AN1553" s="62"/>
      <c r="AO1553" s="62"/>
      <c r="AP1553" s="62"/>
      <c r="AQ1553" s="62"/>
      <c r="AR1553" s="62"/>
      <c r="AS1553" s="62"/>
      <c r="AT1553" s="62"/>
      <c r="AU1553" s="62"/>
      <c r="AV1553" s="62"/>
      <c r="AW1553" s="62"/>
      <c r="AX1553" s="62"/>
      <c r="AY1553" s="62"/>
    </row>
    <row r="1554" spans="1:51" x14ac:dyDescent="0.25">
      <c r="A1554" s="62"/>
      <c r="B1554" s="86"/>
      <c r="C1554" s="86"/>
      <c r="D1554" s="86"/>
      <c r="E1554" s="86"/>
      <c r="F1554" s="86"/>
      <c r="G1554" s="86"/>
      <c r="H1554" s="62"/>
      <c r="I1554" s="62"/>
      <c r="J1554" s="62"/>
      <c r="K1554" s="62"/>
      <c r="L1554" s="62"/>
      <c r="M1554" s="62"/>
      <c r="N1554" s="62"/>
      <c r="O1554" s="62"/>
      <c r="P1554" s="62"/>
      <c r="Q1554" s="62"/>
      <c r="R1554" s="62"/>
      <c r="S1554" s="62"/>
      <c r="T1554" s="62"/>
      <c r="U1554" s="62"/>
      <c r="V1554" s="62"/>
      <c r="W1554" s="62"/>
      <c r="X1554" s="62"/>
      <c r="Y1554" s="62"/>
      <c r="Z1554" s="62"/>
      <c r="AA1554" s="62"/>
      <c r="AB1554" s="62"/>
      <c r="AC1554" s="62"/>
      <c r="AD1554" s="62"/>
      <c r="AE1554" s="62"/>
      <c r="AF1554" s="62"/>
      <c r="AG1554" s="62"/>
      <c r="AH1554" s="62"/>
      <c r="AI1554" s="62"/>
      <c r="AJ1554" s="62"/>
      <c r="AK1554" s="62"/>
      <c r="AL1554" s="62"/>
      <c r="AM1554" s="62"/>
      <c r="AN1554" s="62"/>
      <c r="AO1554" s="62"/>
      <c r="AP1554" s="62"/>
      <c r="AQ1554" s="62"/>
      <c r="AR1554" s="62"/>
      <c r="AS1554" s="62"/>
      <c r="AT1554" s="62"/>
      <c r="AU1554" s="62"/>
      <c r="AV1554" s="62"/>
      <c r="AW1554" s="62"/>
      <c r="AX1554" s="62"/>
      <c r="AY1554" s="62"/>
    </row>
    <row r="1555" spans="1:51" x14ac:dyDescent="0.25">
      <c r="A1555" s="62"/>
      <c r="B1555" s="86"/>
      <c r="C1555" s="86"/>
      <c r="D1555" s="86"/>
      <c r="E1555" s="86"/>
      <c r="F1555" s="86"/>
      <c r="G1555" s="86"/>
      <c r="H1555" s="62"/>
      <c r="I1555" s="62"/>
      <c r="J1555" s="62"/>
      <c r="K1555" s="62"/>
      <c r="L1555" s="62"/>
      <c r="M1555" s="62"/>
      <c r="N1555" s="62"/>
      <c r="O1555" s="62"/>
      <c r="P1555" s="62"/>
      <c r="Q1555" s="62"/>
      <c r="R1555" s="62"/>
      <c r="S1555" s="62"/>
      <c r="T1555" s="62"/>
      <c r="U1555" s="62"/>
      <c r="V1555" s="62"/>
      <c r="W1555" s="62"/>
      <c r="X1555" s="62"/>
      <c r="Y1555" s="62"/>
      <c r="Z1555" s="62"/>
      <c r="AA1555" s="62"/>
      <c r="AB1555" s="62"/>
      <c r="AC1555" s="62"/>
      <c r="AD1555" s="62"/>
      <c r="AE1555" s="62"/>
      <c r="AF1555" s="62"/>
      <c r="AG1555" s="62"/>
      <c r="AH1555" s="62"/>
      <c r="AI1555" s="62"/>
      <c r="AJ1555" s="62"/>
      <c r="AK1555" s="62"/>
      <c r="AL1555" s="62"/>
      <c r="AM1555" s="62"/>
      <c r="AN1555" s="62"/>
      <c r="AO1555" s="62"/>
      <c r="AP1555" s="62"/>
      <c r="AQ1555" s="62"/>
      <c r="AR1555" s="62"/>
      <c r="AS1555" s="62"/>
      <c r="AT1555" s="62"/>
      <c r="AU1555" s="62"/>
      <c r="AV1555" s="62"/>
      <c r="AW1555" s="62"/>
      <c r="AX1555" s="62"/>
      <c r="AY1555" s="62"/>
    </row>
    <row r="1556" spans="1:51" x14ac:dyDescent="0.25">
      <c r="A1556" s="62"/>
      <c r="B1556" s="86"/>
      <c r="C1556" s="86"/>
      <c r="D1556" s="86"/>
      <c r="E1556" s="86"/>
      <c r="F1556" s="86"/>
      <c r="G1556" s="86"/>
      <c r="H1556" s="62"/>
      <c r="I1556" s="62"/>
      <c r="J1556" s="62"/>
      <c r="K1556" s="62"/>
      <c r="L1556" s="62"/>
      <c r="M1556" s="62"/>
      <c r="N1556" s="62"/>
      <c r="O1556" s="62"/>
      <c r="P1556" s="62"/>
      <c r="Q1556" s="62"/>
      <c r="R1556" s="62"/>
      <c r="S1556" s="62"/>
      <c r="T1556" s="62"/>
      <c r="U1556" s="62"/>
      <c r="V1556" s="62"/>
      <c r="W1556" s="62"/>
      <c r="X1556" s="62"/>
      <c r="Y1556" s="62"/>
      <c r="Z1556" s="62"/>
      <c r="AA1556" s="62"/>
      <c r="AB1556" s="62"/>
      <c r="AC1556" s="62"/>
      <c r="AD1556" s="62"/>
      <c r="AE1556" s="62"/>
      <c r="AF1556" s="62"/>
      <c r="AG1556" s="62"/>
      <c r="AH1556" s="62"/>
      <c r="AI1556" s="62"/>
      <c r="AJ1556" s="62"/>
      <c r="AK1556" s="62"/>
      <c r="AL1556" s="62"/>
      <c r="AM1556" s="62"/>
      <c r="AN1556" s="62"/>
      <c r="AO1556" s="62"/>
      <c r="AP1556" s="62"/>
      <c r="AQ1556" s="62"/>
      <c r="AR1556" s="62"/>
      <c r="AS1556" s="62"/>
      <c r="AT1556" s="62"/>
      <c r="AU1556" s="62"/>
      <c r="AV1556" s="62"/>
      <c r="AW1556" s="62"/>
      <c r="AX1556" s="62"/>
      <c r="AY1556" s="62"/>
    </row>
    <row r="1557" spans="1:51" x14ac:dyDescent="0.25">
      <c r="A1557" s="62"/>
      <c r="B1557" s="86"/>
      <c r="C1557" s="86"/>
      <c r="D1557" s="86"/>
      <c r="E1557" s="86"/>
      <c r="F1557" s="86"/>
      <c r="G1557" s="86"/>
      <c r="H1557" s="62"/>
      <c r="I1557" s="62"/>
      <c r="J1557" s="62"/>
      <c r="K1557" s="62"/>
      <c r="L1557" s="62"/>
      <c r="M1557" s="62"/>
      <c r="N1557" s="62"/>
      <c r="O1557" s="62"/>
      <c r="P1557" s="62"/>
      <c r="Q1557" s="62"/>
      <c r="R1557" s="62"/>
      <c r="S1557" s="62"/>
      <c r="T1557" s="62"/>
      <c r="U1557" s="62"/>
      <c r="V1557" s="62"/>
      <c r="W1557" s="62"/>
      <c r="X1557" s="62"/>
      <c r="Y1557" s="62"/>
      <c r="Z1557" s="62"/>
      <c r="AA1557" s="62"/>
      <c r="AB1557" s="62"/>
      <c r="AC1557" s="62"/>
      <c r="AD1557" s="62"/>
      <c r="AE1557" s="62"/>
      <c r="AF1557" s="62"/>
      <c r="AG1557" s="62"/>
      <c r="AH1557" s="62"/>
      <c r="AI1557" s="62"/>
      <c r="AJ1557" s="62"/>
      <c r="AK1557" s="62"/>
      <c r="AL1557" s="62"/>
      <c r="AM1557" s="62"/>
      <c r="AN1557" s="62"/>
      <c r="AO1557" s="62"/>
      <c r="AP1557" s="62"/>
      <c r="AQ1557" s="62"/>
      <c r="AR1557" s="62"/>
      <c r="AS1557" s="62"/>
      <c r="AT1557" s="62"/>
      <c r="AU1557" s="62"/>
      <c r="AV1557" s="62"/>
      <c r="AW1557" s="62"/>
      <c r="AX1557" s="62"/>
      <c r="AY1557" s="62"/>
    </row>
    <row r="1558" spans="1:51" x14ac:dyDescent="0.25">
      <c r="A1558" s="62"/>
      <c r="B1558" s="86"/>
      <c r="C1558" s="86"/>
      <c r="D1558" s="86"/>
      <c r="E1558" s="86"/>
      <c r="F1558" s="86"/>
      <c r="G1558" s="86"/>
      <c r="H1558" s="62"/>
      <c r="I1558" s="62"/>
      <c r="J1558" s="62"/>
      <c r="K1558" s="62"/>
      <c r="L1558" s="62"/>
      <c r="M1558" s="62"/>
      <c r="N1558" s="62"/>
      <c r="O1558" s="62"/>
      <c r="P1558" s="62"/>
      <c r="Q1558" s="62"/>
      <c r="R1558" s="62"/>
      <c r="S1558" s="62"/>
      <c r="T1558" s="62"/>
      <c r="U1558" s="62"/>
      <c r="V1558" s="62"/>
      <c r="W1558" s="62"/>
      <c r="X1558" s="62"/>
      <c r="Y1558" s="62"/>
      <c r="Z1558" s="62"/>
      <c r="AA1558" s="62"/>
      <c r="AB1558" s="62"/>
      <c r="AC1558" s="62"/>
      <c r="AD1558" s="62"/>
      <c r="AE1558" s="62"/>
      <c r="AF1558" s="62"/>
      <c r="AG1558" s="62"/>
      <c r="AH1558" s="62"/>
      <c r="AI1558" s="62"/>
      <c r="AJ1558" s="62"/>
      <c r="AK1558" s="62"/>
      <c r="AL1558" s="62"/>
      <c r="AM1558" s="62"/>
      <c r="AN1558" s="62"/>
      <c r="AO1558" s="62"/>
      <c r="AP1558" s="62"/>
      <c r="AQ1558" s="62"/>
      <c r="AR1558" s="62"/>
      <c r="AS1558" s="62"/>
      <c r="AT1558" s="62"/>
      <c r="AU1558" s="62"/>
      <c r="AV1558" s="62"/>
      <c r="AW1558" s="62"/>
      <c r="AX1558" s="62"/>
      <c r="AY1558" s="62"/>
    </row>
  </sheetData>
  <mergeCells count="225"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AI10:AI11"/>
    <mergeCell ref="AB10:AC10"/>
    <mergeCell ref="AG10:AH10"/>
    <mergeCell ref="P10:Q10"/>
    <mergeCell ref="K10:K11"/>
    <mergeCell ref="I10:J10"/>
    <mergeCell ref="D10:E10"/>
    <mergeCell ref="W10:W11"/>
    <mergeCell ref="U10:V10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K1221:K1222"/>
    <mergeCell ref="I1221:J1221"/>
    <mergeCell ref="D1221:E1221"/>
    <mergeCell ref="K1165:K1166"/>
    <mergeCell ref="I1165:J1165"/>
    <mergeCell ref="D1165:E1165"/>
    <mergeCell ref="K1110:K1111"/>
    <mergeCell ref="I1110:J1110"/>
    <mergeCell ref="K1055:K1056"/>
    <mergeCell ref="I1055:J1055"/>
    <mergeCell ref="D1055:E1055"/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  <mergeCell ref="K1000:K1001"/>
    <mergeCell ref="I1000:J1000"/>
    <mergeCell ref="D1000:E1000"/>
    <mergeCell ref="P945:Q945"/>
    <mergeCell ref="D945:E945"/>
    <mergeCell ref="I505:J505"/>
    <mergeCell ref="I450:J450"/>
    <mergeCell ref="D395:E395"/>
    <mergeCell ref="W340:W341"/>
    <mergeCell ref="I340:J340"/>
    <mergeCell ref="D340:E340"/>
    <mergeCell ref="P285:Q285"/>
    <mergeCell ref="I285:J285"/>
    <mergeCell ref="D285:E285"/>
    <mergeCell ref="W230:W231"/>
    <mergeCell ref="K230:K231"/>
    <mergeCell ref="I230:J230"/>
    <mergeCell ref="D230:E230"/>
    <mergeCell ref="AI175:AI176"/>
    <mergeCell ref="AG175:AH175"/>
    <mergeCell ref="AB175:AC175"/>
    <mergeCell ref="W175:W176"/>
    <mergeCell ref="U175:V175"/>
    <mergeCell ref="P175:Q175"/>
    <mergeCell ref="K175:K176"/>
    <mergeCell ref="I175:J175"/>
    <mergeCell ref="D175:E175"/>
    <mergeCell ref="AI120:AI121"/>
    <mergeCell ref="AG120:AH120"/>
    <mergeCell ref="AB120:AC120"/>
    <mergeCell ref="P120:Q120"/>
    <mergeCell ref="K120:K121"/>
    <mergeCell ref="I120:J120"/>
    <mergeCell ref="D120:E120"/>
    <mergeCell ref="AI65:AI66"/>
    <mergeCell ref="AG65:AH65"/>
    <mergeCell ref="AB65:AC65"/>
    <mergeCell ref="P65:Q65"/>
    <mergeCell ref="K65:K66"/>
    <mergeCell ref="D65:E65"/>
    <mergeCell ref="W65:W66"/>
    <mergeCell ref="U65:V65"/>
    <mergeCell ref="I65:J65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APRIL</vt:lpstr>
      <vt:lpstr>DSIS | APRIL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2026-04-30T02:43:37Z</dcterms:modified>
</cp:coreProperties>
</file>