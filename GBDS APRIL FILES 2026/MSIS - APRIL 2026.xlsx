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C7360A0-2B28-4E1C-B8A9-5AB08A98A589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92" i="2" l="1"/>
  <c r="AB791" i="2"/>
  <c r="AE791" i="2" s="1"/>
  <c r="AI791" i="2" s="1"/>
  <c r="AB790" i="2"/>
  <c r="AE790" i="2" s="1"/>
  <c r="AI790" i="2" s="1"/>
  <c r="AB789" i="2"/>
  <c r="AB788" i="2"/>
  <c r="AE788" i="2" s="1"/>
  <c r="AI788" i="2" s="1"/>
  <c r="AC787" i="2"/>
  <c r="AB787" i="2"/>
  <c r="AB786" i="2"/>
  <c r="AE786" i="2" s="1"/>
  <c r="AI786" i="2" s="1"/>
  <c r="AB785" i="2"/>
  <c r="AE785" i="2" s="1"/>
  <c r="AI785" i="2" s="1"/>
  <c r="AG784" i="2"/>
  <c r="AG825" i="2" s="1"/>
  <c r="AB784" i="2"/>
  <c r="AC783" i="2"/>
  <c r="AB783" i="2"/>
  <c r="AC782" i="2"/>
  <c r="AB782" i="2"/>
  <c r="AE782" i="2" s="1"/>
  <c r="AI782" i="2" s="1"/>
  <c r="AA787" i="2"/>
  <c r="AA788" i="2" s="1"/>
  <c r="AA789" i="2" s="1"/>
  <c r="AA790" i="2" s="1"/>
  <c r="AA791" i="2" s="1"/>
  <c r="AA792" i="2" s="1"/>
  <c r="AA783" i="2"/>
  <c r="AA784" i="2" s="1"/>
  <c r="AA785" i="2" s="1"/>
  <c r="AA786" i="2" s="1"/>
  <c r="AE783" i="2"/>
  <c r="AI783" i="2" s="1"/>
  <c r="AE784" i="2"/>
  <c r="AE789" i="2"/>
  <c r="AI789" i="2" s="1"/>
  <c r="AE792" i="2"/>
  <c r="AI792" i="2"/>
  <c r="AE793" i="2"/>
  <c r="AI793" i="2"/>
  <c r="AE794" i="2"/>
  <c r="AI794" i="2" s="1"/>
  <c r="AE795" i="2"/>
  <c r="AI795" i="2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 s="1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/>
  <c r="AE809" i="2"/>
  <c r="AI809" i="2"/>
  <c r="AE810" i="2"/>
  <c r="AI810" i="2" s="1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D825" i="2"/>
  <c r="AH825" i="2"/>
  <c r="P784" i="2"/>
  <c r="Q783" i="2"/>
  <c r="P783" i="2"/>
  <c r="P782" i="2"/>
  <c r="S782" i="2" s="1"/>
  <c r="O783" i="2"/>
  <c r="O784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/>
  <c r="S792" i="2"/>
  <c r="W792" i="2" s="1"/>
  <c r="S793" i="2"/>
  <c r="W793" i="2"/>
  <c r="S794" i="2"/>
  <c r="W794" i="2"/>
  <c r="S795" i="2"/>
  <c r="W795" i="2"/>
  <c r="S796" i="2"/>
  <c r="W796" i="2" s="1"/>
  <c r="S797" i="2"/>
  <c r="W797" i="2"/>
  <c r="S798" i="2"/>
  <c r="W798" i="2" s="1"/>
  <c r="S799" i="2"/>
  <c r="W799" i="2"/>
  <c r="S800" i="2"/>
  <c r="W800" i="2" s="1"/>
  <c r="S801" i="2"/>
  <c r="W801" i="2"/>
  <c r="S802" i="2"/>
  <c r="W802" i="2"/>
  <c r="S803" i="2"/>
  <c r="W803" i="2"/>
  <c r="S804" i="2"/>
  <c r="W804" i="2" s="1"/>
  <c r="S805" i="2"/>
  <c r="W805" i="2"/>
  <c r="S806" i="2"/>
  <c r="W806" i="2" s="1"/>
  <c r="S807" i="2"/>
  <c r="W807" i="2"/>
  <c r="S808" i="2"/>
  <c r="W808" i="2" s="1"/>
  <c r="S809" i="2"/>
  <c r="W809" i="2"/>
  <c r="S810" i="2"/>
  <c r="W810" i="2"/>
  <c r="S811" i="2"/>
  <c r="W811" i="2"/>
  <c r="S812" i="2"/>
  <c r="W812" i="2" s="1"/>
  <c r="S813" i="2"/>
  <c r="W813" i="2"/>
  <c r="S814" i="2"/>
  <c r="W814" i="2" s="1"/>
  <c r="S815" i="2"/>
  <c r="W815" i="2"/>
  <c r="S816" i="2"/>
  <c r="W816" i="2" s="1"/>
  <c r="S817" i="2"/>
  <c r="W817" i="2"/>
  <c r="S818" i="2"/>
  <c r="W818" i="2"/>
  <c r="S819" i="2"/>
  <c r="W819" i="2"/>
  <c r="S820" i="2"/>
  <c r="W820" i="2" s="1"/>
  <c r="W821" i="2"/>
  <c r="S822" i="2"/>
  <c r="W822" i="2"/>
  <c r="W823" i="2"/>
  <c r="Q825" i="2"/>
  <c r="R825" i="2"/>
  <c r="U825" i="2"/>
  <c r="V825" i="2"/>
  <c r="D792" i="2"/>
  <c r="G792" i="2" s="1"/>
  <c r="K792" i="2" s="1"/>
  <c r="D791" i="2"/>
  <c r="D790" i="2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D784" i="2"/>
  <c r="G784" i="2" s="1"/>
  <c r="K784" i="2" s="1"/>
  <c r="D783" i="2"/>
  <c r="G783" i="2" s="1"/>
  <c r="K783" i="2" s="1"/>
  <c r="D782" i="2"/>
  <c r="G782" i="2" s="1"/>
  <c r="C787" i="2"/>
  <c r="C788" i="2" s="1"/>
  <c r="C789" i="2" s="1"/>
  <c r="C790" i="2" s="1"/>
  <c r="C791" i="2" s="1"/>
  <c r="C792" i="2" s="1"/>
  <c r="C783" i="2"/>
  <c r="C784" i="2" s="1"/>
  <c r="C785" i="2" s="1"/>
  <c r="C786" i="2" s="1"/>
  <c r="G785" i="2"/>
  <c r="K785" i="2" s="1"/>
  <c r="I825" i="2"/>
  <c r="J825" i="2"/>
  <c r="G790" i="2"/>
  <c r="K790" i="2" s="1"/>
  <c r="G791" i="2"/>
  <c r="K791" i="2" s="1"/>
  <c r="G793" i="2"/>
  <c r="K793" i="2"/>
  <c r="G794" i="2"/>
  <c r="K794" i="2"/>
  <c r="G795" i="2"/>
  <c r="K795" i="2"/>
  <c r="G796" i="2"/>
  <c r="K796" i="2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 s="1"/>
  <c r="G807" i="2"/>
  <c r="K807" i="2" s="1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 s="1"/>
  <c r="G822" i="2"/>
  <c r="K822" i="2"/>
  <c r="E825" i="2"/>
  <c r="F825" i="2"/>
  <c r="AE787" i="2" l="1"/>
  <c r="AI787" i="2" s="1"/>
  <c r="AI825" i="2" s="1"/>
  <c r="AC825" i="2"/>
  <c r="AI784" i="2"/>
  <c r="AB825" i="2"/>
  <c r="S783" i="2"/>
  <c r="W783" i="2" s="1"/>
  <c r="W782" i="2"/>
  <c r="S825" i="2"/>
  <c r="P825" i="2"/>
  <c r="D825" i="2"/>
  <c r="G825" i="2"/>
  <c r="K782" i="2"/>
  <c r="K825" i="2" s="1"/>
  <c r="AB727" i="2"/>
  <c r="AE825" i="2" l="1"/>
  <c r="W825" i="2"/>
  <c r="AB731" i="2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J29" i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2" authorId="0" shapeId="0" xr:uid="{61FA044E-E6B9-4D90-9270-335925B72B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782" authorId="0" shapeId="0" xr:uid="{1BB69AE8-754C-4041-8D92-97C1E6EDB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ROSCA STORE
MANDIH, SINDANGAN</t>
        </r>
      </text>
    </comment>
    <comment ref="AA782" authorId="0" shapeId="0" xr:uid="{9EB3F8D6-84E3-4EAC-B2DB-AFBE1ABC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3" authorId="0" shapeId="0" xr:uid="{F14A5E23-C7C0-47CC-96F7-B154079209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783" authorId="0" shapeId="0" xr:uid="{366C71DB-F2C7-4DB4-9C97-A19EDB368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3" authorId="0" shapeId="0" xr:uid="{384155DF-21E9-4404-9F0C-1D65B7CC1E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784" authorId="0" shapeId="0" xr:uid="{F167716E-F92E-4EF0-BC73-76DCA7033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JESIEL
POB, SIAYAN</t>
        </r>
      </text>
    </comment>
    <comment ref="O784" authorId="0" shapeId="0" xr:uid="{BE93C95D-FB57-457A-8741-D11FC97481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842EF3D2-3FFA-44D5-BAAE-DE67632FB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785" authorId="0" shapeId="0" xr:uid="{9391D0F6-2FE6-4347-AF45-9E37BED3F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785" authorId="0" shapeId="0" xr:uid="{FD9348AA-A98C-4752-96B4-F9004E7E0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 EAST, SALUG</t>
        </r>
      </text>
    </comment>
    <comment ref="C786" authorId="0" shapeId="0" xr:uid="{AF79F6B1-FE74-449A-9D09-839F2292E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LEOMAR HUNDO
DAGAO, SIAYAN</t>
        </r>
      </text>
    </comment>
    <comment ref="AA786" authorId="0" shapeId="0" xr:uid="{CFD105AD-2781-4758-BE42-0944C4B2A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</t>
        </r>
      </text>
    </comment>
    <comment ref="C787" authorId="0" shapeId="0" xr:uid="{A4365A41-05BA-4B94-BECF-6D19AD604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AZUSINA
DAGAO, SIAYAN</t>
        </r>
      </text>
    </comment>
    <comment ref="AA787" authorId="0" shapeId="0" xr:uid="{57FD16F5-F3F6-4118-865F-D14B5DF92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788" authorId="0" shapeId="0" xr:uid="{E671020E-65C4-4044-A66A-131583193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788" authorId="0" shapeId="0" xr:uid="{0CCC53B9-9983-4781-B6FF-DE9F7BCE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789" authorId="0" shapeId="0" xr:uid="{92CCC07C-9E5B-4C7C-8CBF-85F895BE5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 FERLINDA
DENOYAN, SIAYAN</t>
        </r>
      </text>
    </comment>
    <comment ref="AA789" authorId="0" shapeId="0" xr:uid="{5538D1C0-72CF-485D-89DE-3517F31C0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90" authorId="0" shapeId="0" xr:uid="{4F160B8A-123F-408B-9483-04A37B592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AA790" authorId="0" shapeId="0" xr:uid="{1E1D9F21-F8A5-4D33-84D1-FF566820D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HAMILI
BACONG, SALUG</t>
        </r>
      </text>
    </comment>
    <comment ref="C791" authorId="0" shapeId="0" xr:uid="{2340D3FA-46C6-4964-8E0B-49537FA651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AA791" authorId="0" shapeId="0" xr:uid="{B974971B-245B-44B0-AA06-84698E41A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92" authorId="0" shapeId="0" xr:uid="{95229C69-5132-4BBD-9AC6-48E6782A9A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AA792" authorId="0" shapeId="0" xr:uid="{89BEF62F-CE78-4270-B22C-BBBFE7AFA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</commentList>
</comments>
</file>

<file path=xl/sharedStrings.xml><?xml version="1.0" encoding="utf-8"?>
<sst xmlns="http://schemas.openxmlformats.org/spreadsheetml/2006/main" count="1117" uniqueCount="82">
  <si>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</si>
  <si>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</si>
  <si>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</si>
  <si>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</si>
  <si>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</si>
  <si>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</si>
  <si>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</si>
  <si>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</si>
  <si>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</si>
  <si>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</si>
  <si>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</si>
  <si>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</si>
  <si>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</si>
  <si>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</si>
  <si>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</si>
  <si>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</si>
  <si>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</si>
  <si>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</si>
  <si>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</si>
  <si>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</si>
  <si>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</si>
  <si>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</si>
  <si>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</si>
  <si>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</si>
  <si>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</si>
  <si>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</si>
  <si>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</si>
  <si>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</si>
  <si>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</si>
  <si>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</si>
  <si>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</si>
  <si>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</si>
  <si>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</si>
  <si>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</si>
  <si>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</si>
  <si>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</si>
  <si>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</si>
  <si>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</si>
  <si>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</si>
  <si>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</si>
  <si>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</si>
  <si>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</si>
  <si>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</si>
  <si>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</si>
  <si>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</si>
  <si>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</si>
  <si>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</si>
  <si>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</si>
  <si>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</si>
  <si>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</si>
  <si>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</si>
  <si>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</si>
  <si>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</si>
  <si>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</si>
  <si>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</si>
  <si>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</si>
  <si>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</si>
  <si>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</si>
  <si>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</si>
  <si>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</si>
  <si>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</si>
  <si>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</si>
  <si>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</si>
  <si>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</si>
  <si>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</si>
  <si>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</si>
  <si>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</si>
  <si>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</si>
  <si>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</si>
  <si>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</si>
  <si>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</si>
  <si>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</si>
  <si>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</si>
  <si>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</si>
  <si>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</si>
  <si>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</si>
  <si>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</si>
  <si>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</si>
  <si>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</si>
  <si>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</si>
  <si>
    <t>APRIL 22, 2026</t>
  </si>
  <si>
    <t>04/22/2026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</si>
</sst>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31" sqref="F3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6" t="s">
        <v>38</v>
      </c>
      <c r="B6" s="10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4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7" t="s">
        <v>10</v>
      </c>
      <c r="B42" s="108"/>
      <c r="C42" s="109"/>
      <c r="D42" s="48">
        <f>SUM(D2:D41)</f>
        <v>13925259.789999999</v>
      </c>
      <c r="J42" s="49">
        <f>SUM(J10:J41)</f>
        <v>13925259.789999999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803" zoomScale="115" zoomScaleNormal="115" workbookViewId="0">
      <selection activeCell="A826" sqref="A82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4" t="s">
        <v>17</v>
      </c>
      <c r="E10" s="114"/>
      <c r="F10" s="75"/>
      <c r="G10" s="27"/>
      <c r="I10" s="115" t="s">
        <v>18</v>
      </c>
      <c r="J10" s="116"/>
      <c r="K10" s="112" t="s">
        <v>19</v>
      </c>
      <c r="N10" s="25"/>
      <c r="O10" s="26"/>
      <c r="P10" s="114" t="s">
        <v>17</v>
      </c>
      <c r="Q10" s="114"/>
      <c r="R10" s="75"/>
      <c r="S10" s="27"/>
      <c r="U10" s="115" t="s">
        <v>18</v>
      </c>
      <c r="V10" s="116"/>
      <c r="W10" s="112" t="s">
        <v>19</v>
      </c>
      <c r="Z10" s="25"/>
      <c r="AA10" s="26"/>
      <c r="AB10" s="114" t="s">
        <v>17</v>
      </c>
      <c r="AC10" s="114"/>
      <c r="AD10" s="75"/>
      <c r="AE10" s="27"/>
      <c r="AG10" s="115" t="s">
        <v>18</v>
      </c>
      <c r="AH10" s="116"/>
      <c r="AI10" s="11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3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4" t="s">
        <v>17</v>
      </c>
      <c r="E65" s="114"/>
      <c r="F65" s="92"/>
      <c r="G65" s="27"/>
      <c r="I65" s="115" t="s">
        <v>18</v>
      </c>
      <c r="J65" s="116"/>
      <c r="K65" s="112" t="s">
        <v>19</v>
      </c>
      <c r="N65" s="25"/>
      <c r="O65" s="26"/>
      <c r="P65" s="114" t="s">
        <v>17</v>
      </c>
      <c r="Q65" s="114"/>
      <c r="R65" s="93"/>
      <c r="S65" s="27"/>
      <c r="U65" s="115" t="s">
        <v>18</v>
      </c>
      <c r="V65" s="116"/>
      <c r="W65" s="112" t="s">
        <v>19</v>
      </c>
      <c r="Z65" s="25"/>
      <c r="AA65" s="26"/>
      <c r="AB65" s="114" t="s">
        <v>17</v>
      </c>
      <c r="AC65" s="114"/>
      <c r="AD65" s="93"/>
      <c r="AE65" s="27"/>
      <c r="AG65" s="115" t="s">
        <v>18</v>
      </c>
      <c r="AH65" s="116"/>
      <c r="AI65" s="11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11"/>
      <c r="AO67" s="111"/>
      <c r="AP67" s="86"/>
      <c r="AQ67" s="62"/>
      <c r="AR67" s="111"/>
      <c r="AS67" s="111"/>
      <c r="AT67" s="11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4" t="s">
        <v>17</v>
      </c>
      <c r="E120" s="114"/>
      <c r="F120" s="93"/>
      <c r="G120" s="27"/>
      <c r="I120" s="115" t="s">
        <v>18</v>
      </c>
      <c r="J120" s="116"/>
      <c r="K120" s="112" t="s">
        <v>19</v>
      </c>
      <c r="N120" s="25"/>
      <c r="O120" s="26"/>
      <c r="P120" s="114" t="s">
        <v>17</v>
      </c>
      <c r="Q120" s="114"/>
      <c r="R120" s="93"/>
      <c r="S120" s="27"/>
      <c r="U120" s="115" t="s">
        <v>18</v>
      </c>
      <c r="V120" s="116"/>
      <c r="W120" s="112" t="s">
        <v>19</v>
      </c>
      <c r="Z120" s="25"/>
      <c r="AA120" s="26"/>
      <c r="AB120" s="114" t="s">
        <v>17</v>
      </c>
      <c r="AC120" s="114"/>
      <c r="AD120" s="93"/>
      <c r="AE120" s="27"/>
      <c r="AG120" s="115" t="s">
        <v>18</v>
      </c>
      <c r="AH120" s="116"/>
      <c r="AI120" s="11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4" t="s">
        <v>17</v>
      </c>
      <c r="E175" s="114"/>
      <c r="F175" s="94"/>
      <c r="G175" s="27"/>
      <c r="I175" s="115" t="s">
        <v>18</v>
      </c>
      <c r="J175" s="116"/>
      <c r="K175" s="112" t="s">
        <v>19</v>
      </c>
      <c r="N175" s="25"/>
      <c r="O175" s="26"/>
      <c r="P175" s="114" t="s">
        <v>17</v>
      </c>
      <c r="Q175" s="114"/>
      <c r="R175" s="94"/>
      <c r="S175" s="27"/>
      <c r="U175" s="115" t="s">
        <v>18</v>
      </c>
      <c r="V175" s="116"/>
      <c r="W175" s="112" t="s">
        <v>19</v>
      </c>
      <c r="Z175" s="25"/>
      <c r="AA175" s="26"/>
      <c r="AB175" s="114" t="s">
        <v>17</v>
      </c>
      <c r="AC175" s="114"/>
      <c r="AD175" s="94"/>
      <c r="AE175" s="27"/>
      <c r="AG175" s="115" t="s">
        <v>18</v>
      </c>
      <c r="AH175" s="116"/>
      <c r="AI175" s="11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11"/>
      <c r="AO181" s="111"/>
      <c r="AP181" s="86"/>
      <c r="AQ181" s="62"/>
      <c r="AR181" s="111"/>
      <c r="AS181" s="111"/>
      <c r="AT181" s="11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4" t="s">
        <v>17</v>
      </c>
      <c r="E230" s="114"/>
      <c r="F230" s="95"/>
      <c r="G230" s="27"/>
      <c r="I230" s="115" t="s">
        <v>18</v>
      </c>
      <c r="J230" s="116"/>
      <c r="K230" s="112" t="s">
        <v>19</v>
      </c>
      <c r="N230" s="25"/>
      <c r="O230" s="26"/>
      <c r="P230" s="114" t="s">
        <v>17</v>
      </c>
      <c r="Q230" s="114"/>
      <c r="R230" s="95"/>
      <c r="S230" s="27"/>
      <c r="U230" s="115" t="s">
        <v>18</v>
      </c>
      <c r="V230" s="116"/>
      <c r="W230" s="112" t="s">
        <v>19</v>
      </c>
      <c r="Z230" s="25"/>
      <c r="AA230" s="26"/>
      <c r="AB230" s="114" t="s">
        <v>17</v>
      </c>
      <c r="AC230" s="114"/>
      <c r="AD230" s="95"/>
      <c r="AE230" s="27"/>
      <c r="AG230" s="115" t="s">
        <v>18</v>
      </c>
      <c r="AH230" s="116"/>
      <c r="AI230" s="11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4" t="s">
        <v>17</v>
      </c>
      <c r="E285" s="114"/>
      <c r="F285" s="96"/>
      <c r="G285" s="27"/>
      <c r="I285" s="115" t="s">
        <v>18</v>
      </c>
      <c r="J285" s="116"/>
      <c r="K285" s="112" t="s">
        <v>19</v>
      </c>
      <c r="N285" s="25"/>
      <c r="O285" s="26"/>
      <c r="P285" s="114" t="s">
        <v>17</v>
      </c>
      <c r="Q285" s="114"/>
      <c r="R285" s="96"/>
      <c r="S285" s="27"/>
      <c r="U285" s="115" t="s">
        <v>18</v>
      </c>
      <c r="V285" s="116"/>
      <c r="W285" s="112" t="s">
        <v>19</v>
      </c>
      <c r="Z285" s="25"/>
      <c r="AA285" s="26"/>
      <c r="AB285" s="114" t="s">
        <v>17</v>
      </c>
      <c r="AC285" s="114"/>
      <c r="AD285" s="96"/>
      <c r="AE285" s="27"/>
      <c r="AG285" s="115" t="s">
        <v>18</v>
      </c>
      <c r="AH285" s="116"/>
      <c r="AI285" s="11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4" t="s">
        <v>17</v>
      </c>
      <c r="E340" s="114"/>
      <c r="F340" s="97"/>
      <c r="G340" s="27"/>
      <c r="I340" s="115" t="s">
        <v>18</v>
      </c>
      <c r="J340" s="116"/>
      <c r="K340" s="112" t="s">
        <v>19</v>
      </c>
      <c r="N340" s="25"/>
      <c r="O340" s="26"/>
      <c r="P340" s="114" t="s">
        <v>17</v>
      </c>
      <c r="Q340" s="114"/>
      <c r="R340" s="97"/>
      <c r="S340" s="27"/>
      <c r="U340" s="115" t="s">
        <v>18</v>
      </c>
      <c r="V340" s="116"/>
      <c r="W340" s="112" t="s">
        <v>19</v>
      </c>
      <c r="Y340" s="62"/>
      <c r="Z340" s="65"/>
      <c r="AA340" s="91"/>
      <c r="AB340" s="111"/>
      <c r="AC340" s="111"/>
      <c r="AD340" s="91"/>
      <c r="AE340" s="91"/>
      <c r="AF340" s="62"/>
      <c r="AG340" s="111"/>
      <c r="AH340" s="111"/>
      <c r="AI340" s="110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3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10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4" t="s">
        <v>17</v>
      </c>
      <c r="E395" s="114"/>
      <c r="F395" s="98"/>
      <c r="G395" s="27"/>
      <c r="I395" s="115" t="s">
        <v>18</v>
      </c>
      <c r="J395" s="116"/>
      <c r="K395" s="112" t="s">
        <v>19</v>
      </c>
      <c r="N395" s="25"/>
      <c r="O395" s="26"/>
      <c r="P395" s="114" t="s">
        <v>17</v>
      </c>
      <c r="Q395" s="114"/>
      <c r="R395" s="98"/>
      <c r="S395" s="27"/>
      <c r="U395" s="115" t="s">
        <v>18</v>
      </c>
      <c r="V395" s="116"/>
      <c r="W395" s="112" t="s">
        <v>19</v>
      </c>
      <c r="Z395" s="25"/>
      <c r="AA395" s="26"/>
      <c r="AB395" s="114" t="s">
        <v>17</v>
      </c>
      <c r="AC395" s="114"/>
      <c r="AD395" s="98"/>
      <c r="AE395" s="27"/>
      <c r="AG395" s="115" t="s">
        <v>18</v>
      </c>
      <c r="AH395" s="116"/>
      <c r="AI395" s="11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3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4" t="s">
        <v>17</v>
      </c>
      <c r="E450" s="114"/>
      <c r="F450" s="99"/>
      <c r="G450" s="27"/>
      <c r="I450" s="115" t="s">
        <v>18</v>
      </c>
      <c r="J450" s="116"/>
      <c r="K450" s="112" t="s">
        <v>19</v>
      </c>
      <c r="N450" s="25"/>
      <c r="O450" s="26"/>
      <c r="P450" s="114" t="s">
        <v>17</v>
      </c>
      <c r="Q450" s="114"/>
      <c r="R450" s="99"/>
      <c r="S450" s="27"/>
      <c r="U450" s="115" t="s">
        <v>18</v>
      </c>
      <c r="V450" s="116"/>
      <c r="W450" s="112" t="s">
        <v>19</v>
      </c>
      <c r="Z450" s="25"/>
      <c r="AA450" s="26"/>
      <c r="AB450" s="114" t="s">
        <v>17</v>
      </c>
      <c r="AC450" s="114"/>
      <c r="AD450" s="99"/>
      <c r="AE450" s="27"/>
      <c r="AG450" s="115" t="s">
        <v>18</v>
      </c>
      <c r="AH450" s="116"/>
      <c r="AI450" s="11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4" t="s">
        <v>17</v>
      </c>
      <c r="E505" s="114"/>
      <c r="F505" s="100"/>
      <c r="G505" s="27"/>
      <c r="I505" s="115" t="s">
        <v>18</v>
      </c>
      <c r="J505" s="116"/>
      <c r="K505" s="112" t="s">
        <v>19</v>
      </c>
      <c r="N505" s="25"/>
      <c r="O505" s="26"/>
      <c r="P505" s="114" t="s">
        <v>17</v>
      </c>
      <c r="Q505" s="114"/>
      <c r="R505" s="100"/>
      <c r="S505" s="27"/>
      <c r="U505" s="115" t="s">
        <v>18</v>
      </c>
      <c r="V505" s="116"/>
      <c r="W505" s="112" t="s">
        <v>19</v>
      </c>
      <c r="Z505" s="25"/>
      <c r="AA505" s="26"/>
      <c r="AB505" s="114" t="s">
        <v>17</v>
      </c>
      <c r="AC505" s="114"/>
      <c r="AD505" s="100"/>
      <c r="AE505" s="27"/>
      <c r="AG505" s="115" t="s">
        <v>18</v>
      </c>
      <c r="AH505" s="116"/>
      <c r="AI505" s="112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3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3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4" t="s">
        <v>17</v>
      </c>
      <c r="E560" s="114"/>
      <c r="F560" s="101"/>
      <c r="G560" s="27"/>
      <c r="I560" s="115" t="s">
        <v>18</v>
      </c>
      <c r="J560" s="116"/>
      <c r="K560" s="112" t="s">
        <v>19</v>
      </c>
      <c r="N560" s="25"/>
      <c r="O560" s="26"/>
      <c r="P560" s="114" t="s">
        <v>17</v>
      </c>
      <c r="Q560" s="114"/>
      <c r="R560" s="101"/>
      <c r="S560" s="27"/>
      <c r="U560" s="115" t="s">
        <v>18</v>
      </c>
      <c r="V560" s="116"/>
      <c r="W560" s="112" t="s">
        <v>19</v>
      </c>
      <c r="Z560" s="25"/>
      <c r="AA560" s="26"/>
      <c r="AB560" s="114" t="s">
        <v>17</v>
      </c>
      <c r="AC560" s="114"/>
      <c r="AD560" s="101"/>
      <c r="AE560" s="27"/>
      <c r="AG560" s="115" t="s">
        <v>18</v>
      </c>
      <c r="AH560" s="116"/>
      <c r="AI560" s="11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3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3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11"/>
      <c r="E615" s="111"/>
      <c r="F615" s="91"/>
      <c r="G615" s="91"/>
      <c r="H615" s="62"/>
      <c r="I615" s="111"/>
      <c r="J615" s="111"/>
      <c r="K615" s="110"/>
      <c r="N615" s="25"/>
      <c r="O615" s="26"/>
      <c r="P615" s="114" t="s">
        <v>17</v>
      </c>
      <c r="Q615" s="114"/>
      <c r="R615" s="102"/>
      <c r="S615" s="27"/>
      <c r="U615" s="115" t="s">
        <v>18</v>
      </c>
      <c r="V615" s="116"/>
      <c r="W615" s="112" t="s">
        <v>19</v>
      </c>
      <c r="Z615" s="25"/>
      <c r="AA615" s="26"/>
      <c r="AB615" s="114" t="s">
        <v>17</v>
      </c>
      <c r="AC615" s="114"/>
      <c r="AD615" s="102"/>
      <c r="AE615" s="27"/>
      <c r="AG615" s="115" t="s">
        <v>18</v>
      </c>
      <c r="AH615" s="116"/>
      <c r="AI615" s="11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10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3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4" t="s">
        <v>17</v>
      </c>
      <c r="E670" s="114"/>
      <c r="F670" s="103"/>
      <c r="G670" s="27"/>
      <c r="I670" s="115" t="s">
        <v>18</v>
      </c>
      <c r="J670" s="116"/>
      <c r="K670" s="112" t="s">
        <v>19</v>
      </c>
      <c r="N670" s="25"/>
      <c r="O670" s="26"/>
      <c r="P670" s="114" t="s">
        <v>17</v>
      </c>
      <c r="Q670" s="114"/>
      <c r="R670" s="103"/>
      <c r="S670" s="27"/>
      <c r="U670" s="115" t="s">
        <v>18</v>
      </c>
      <c r="V670" s="116"/>
      <c r="W670" s="112" t="s">
        <v>19</v>
      </c>
      <c r="Z670" s="25"/>
      <c r="AA670" s="26"/>
      <c r="AB670" s="114" t="s">
        <v>17</v>
      </c>
      <c r="AC670" s="114"/>
      <c r="AD670" s="103"/>
      <c r="AE670" s="27"/>
      <c r="AG670" s="115" t="s">
        <v>18</v>
      </c>
      <c r="AH670" s="116"/>
      <c r="AI670" s="112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3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3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4" t="s">
        <v>17</v>
      </c>
      <c r="E725" s="114"/>
      <c r="F725" s="104"/>
      <c r="G725" s="27"/>
      <c r="I725" s="115" t="s">
        <v>18</v>
      </c>
      <c r="J725" s="116"/>
      <c r="K725" s="112" t="s">
        <v>19</v>
      </c>
      <c r="N725" s="25"/>
      <c r="O725" s="26"/>
      <c r="P725" s="114" t="s">
        <v>17</v>
      </c>
      <c r="Q725" s="114"/>
      <c r="R725" s="104"/>
      <c r="S725" s="27"/>
      <c r="U725" s="115" t="s">
        <v>18</v>
      </c>
      <c r="V725" s="116"/>
      <c r="W725" s="112" t="s">
        <v>19</v>
      </c>
      <c r="Z725" s="25"/>
      <c r="AA725" s="26"/>
      <c r="AB725" s="114" t="s">
        <v>17</v>
      </c>
      <c r="AC725" s="114"/>
      <c r="AD725" s="104"/>
      <c r="AE725" s="27"/>
      <c r="AG725" s="115" t="s">
        <v>18</v>
      </c>
      <c r="AH725" s="116"/>
      <c r="AI725" s="11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3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3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37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37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37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4" t="s">
        <v>17</v>
      </c>
      <c r="E780" s="114"/>
      <c r="F780" s="105"/>
      <c r="G780" s="27"/>
      <c r="I780" s="115" t="s">
        <v>18</v>
      </c>
      <c r="J780" s="116"/>
      <c r="K780" s="112" t="s">
        <v>19</v>
      </c>
      <c r="N780" s="25"/>
      <c r="O780" s="26"/>
      <c r="P780" s="114" t="s">
        <v>17</v>
      </c>
      <c r="Q780" s="114"/>
      <c r="R780" s="105"/>
      <c r="S780" s="27"/>
      <c r="U780" s="115" t="s">
        <v>18</v>
      </c>
      <c r="V780" s="116"/>
      <c r="W780" s="112" t="s">
        <v>19</v>
      </c>
      <c r="Z780" s="25"/>
      <c r="AA780" s="26"/>
      <c r="AB780" s="114" t="s">
        <v>17</v>
      </c>
      <c r="AC780" s="114"/>
      <c r="AD780" s="105"/>
      <c r="AE780" s="27"/>
      <c r="AG780" s="115" t="s">
        <v>18</v>
      </c>
      <c r="AH780" s="116"/>
      <c r="AI780" s="112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3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3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3">
        <v>10226</v>
      </c>
      <c r="D782" s="32">
        <f>650*15+9.5*15</f>
        <v>9892.5</v>
      </c>
      <c r="E782" s="32"/>
      <c r="F782" s="32"/>
      <c r="G782" s="32">
        <f t="shared" ref="G782:G826" si="234">SUM(D782:E782)</f>
        <v>9892.5</v>
      </c>
      <c r="H782" s="12"/>
      <c r="I782" s="12"/>
      <c r="J782" s="12"/>
      <c r="K782" s="12">
        <f t="shared" ref="K782:K826" si="235">SUM(G782:J782)</f>
        <v>9892.5</v>
      </c>
      <c r="M782" s="10">
        <v>1</v>
      </c>
      <c r="N782" s="30" t="s">
        <v>81</v>
      </c>
      <c r="O782" s="31">
        <v>10191</v>
      </c>
      <c r="P782" s="32">
        <f>650*7+670*2+622*2+912*2+9.5*9</f>
        <v>9043.5</v>
      </c>
      <c r="Q782" s="32"/>
      <c r="R782" s="32"/>
      <c r="S782" s="32">
        <f>SUM(P782:Q782)</f>
        <v>9043.5</v>
      </c>
      <c r="T782" s="12"/>
      <c r="U782" s="12"/>
      <c r="V782" s="12">
        <v>-333</v>
      </c>
      <c r="W782" s="12">
        <f>SUM(S782:V782)</f>
        <v>8710.5</v>
      </c>
      <c r="Y782" s="10">
        <v>1</v>
      </c>
      <c r="Z782" s="30" t="s">
        <v>81</v>
      </c>
      <c r="AA782" s="31">
        <v>10129</v>
      </c>
      <c r="AB782" s="32">
        <f>650*40+622*10+229</f>
        <v>32449</v>
      </c>
      <c r="AC782" s="32">
        <f>-50*6</f>
        <v>-300</v>
      </c>
      <c r="AD782" s="32"/>
      <c r="AE782" s="32">
        <f>SUM(AB782:AC782)</f>
        <v>32149</v>
      </c>
      <c r="AF782" s="12"/>
      <c r="AG782" s="12"/>
      <c r="AH782" s="12"/>
      <c r="AI782" s="12">
        <f>SUM(AE782:AH782)</f>
        <v>32149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83">
        <f>C782+1</f>
        <v>10227</v>
      </c>
      <c r="D783" s="32">
        <f>650*21+622*4+650*2</f>
        <v>17438</v>
      </c>
      <c r="E783" s="32"/>
      <c r="F783" s="32"/>
      <c r="G783" s="32">
        <f t="shared" si="234"/>
        <v>17438</v>
      </c>
      <c r="H783" s="12"/>
      <c r="I783" s="12"/>
      <c r="J783" s="12"/>
      <c r="K783" s="12">
        <f t="shared" si="235"/>
        <v>17438</v>
      </c>
      <c r="M783" s="10">
        <v>2</v>
      </c>
      <c r="N783" s="30" t="s">
        <v>81</v>
      </c>
      <c r="O783" s="31">
        <f>O782+1</f>
        <v>10192</v>
      </c>
      <c r="P783" s="32">
        <f>650*324+229*15</f>
        <v>214035</v>
      </c>
      <c r="Q783" s="32">
        <f>-324*6</f>
        <v>-1944</v>
      </c>
      <c r="R783" s="32"/>
      <c r="S783" s="32">
        <f t="shared" ref="S783:S826" si="236">SUM(P783:Q783)</f>
        <v>212091</v>
      </c>
      <c r="T783" s="12"/>
      <c r="U783" s="12">
        <v>1092</v>
      </c>
      <c r="V783" s="12">
        <v>-378</v>
      </c>
      <c r="W783" s="12">
        <f t="shared" ref="W783:W826" si="237">SUM(S783:V783)</f>
        <v>212805</v>
      </c>
      <c r="Y783" s="10">
        <v>2</v>
      </c>
      <c r="Z783" s="30" t="s">
        <v>81</v>
      </c>
      <c r="AA783" s="31">
        <f>AA782+1</f>
        <v>10130</v>
      </c>
      <c r="AB783" s="32">
        <f>650*150+622*36+872*2+229*5+650*2</f>
        <v>124081</v>
      </c>
      <c r="AC783" s="32">
        <f>-188*6</f>
        <v>-1128</v>
      </c>
      <c r="AD783" s="32"/>
      <c r="AE783" s="32">
        <f t="shared" ref="AE783:AE787" si="238">SUM(AB783:AC783)</f>
        <v>122953</v>
      </c>
      <c r="AF783" s="12"/>
      <c r="AG783" s="12">
        <v>108</v>
      </c>
      <c r="AH783" s="12"/>
      <c r="AI783" s="12">
        <f t="shared" ref="AI783:AI826" si="239">SUM(AE783:AH783)</f>
        <v>123061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83">
        <f t="shared" ref="C784:C796" si="240">C783+1</f>
        <v>10228</v>
      </c>
      <c r="D784" s="33">
        <f>650*120+670*5+622*18</f>
        <v>92546</v>
      </c>
      <c r="E784" s="32"/>
      <c r="F784" s="33"/>
      <c r="G784" s="33">
        <f t="shared" si="234"/>
        <v>92546</v>
      </c>
      <c r="H784" s="34"/>
      <c r="I784" s="34"/>
      <c r="J784" s="34"/>
      <c r="K784" s="34">
        <f t="shared" si="235"/>
        <v>92546</v>
      </c>
      <c r="M784" s="10">
        <v>3</v>
      </c>
      <c r="N784" s="30" t="s">
        <v>81</v>
      </c>
      <c r="O784" s="31">
        <f t="shared" ref="O784:O791" si="241">O783+1</f>
        <v>10193</v>
      </c>
      <c r="P784" s="32">
        <f>650+9.5</f>
        <v>659.5</v>
      </c>
      <c r="Q784" s="32"/>
      <c r="R784" s="32"/>
      <c r="S784" s="32">
        <f t="shared" si="236"/>
        <v>659.5</v>
      </c>
      <c r="T784" s="12"/>
      <c r="U784" s="12"/>
      <c r="V784" s="12"/>
      <c r="W784" s="12">
        <f t="shared" si="237"/>
        <v>659.5</v>
      </c>
      <c r="Y784" s="10">
        <v>3</v>
      </c>
      <c r="Z784" s="30" t="s">
        <v>81</v>
      </c>
      <c r="AA784" s="31">
        <f t="shared" ref="AA784:AA796" si="242">AA783+1</f>
        <v>10131</v>
      </c>
      <c r="AB784" s="33">
        <f>650*59+622*5+872*2+229*2</f>
        <v>43662</v>
      </c>
      <c r="AC784" s="33"/>
      <c r="AD784" s="32"/>
      <c r="AE784" s="32">
        <f t="shared" si="238"/>
        <v>43662</v>
      </c>
      <c r="AF784" s="12"/>
      <c r="AG784" s="12">
        <f>120+2664</f>
        <v>2784</v>
      </c>
      <c r="AH784" s="12"/>
      <c r="AI784" s="12">
        <f t="shared" si="239"/>
        <v>46446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83">
        <f t="shared" si="240"/>
        <v>10229</v>
      </c>
      <c r="D785" s="32">
        <f>650*22+622*5</f>
        <v>17410</v>
      </c>
      <c r="E785" s="32"/>
      <c r="F785" s="32"/>
      <c r="G785" s="32">
        <f t="shared" si="234"/>
        <v>17410</v>
      </c>
      <c r="H785" s="12"/>
      <c r="I785" s="12"/>
      <c r="J785" s="12"/>
      <c r="K785" s="12">
        <f t="shared" si="235"/>
        <v>17410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36"/>
        <v>0</v>
      </c>
      <c r="T785" s="12"/>
      <c r="U785" s="12"/>
      <c r="V785" s="12"/>
      <c r="W785" s="12">
        <f t="shared" si="237"/>
        <v>0</v>
      </c>
      <c r="Y785" s="10">
        <v>4</v>
      </c>
      <c r="Z785" s="30" t="s">
        <v>81</v>
      </c>
      <c r="AA785" s="31">
        <f t="shared" si="242"/>
        <v>10132</v>
      </c>
      <c r="AB785" s="32">
        <f>650*5+9.5*5</f>
        <v>3297.5</v>
      </c>
      <c r="AC785" s="32"/>
      <c r="AD785" s="32"/>
      <c r="AE785" s="32">
        <f t="shared" si="238"/>
        <v>3297.5</v>
      </c>
      <c r="AF785" s="12"/>
      <c r="AH785" s="12"/>
      <c r="AI785" s="12">
        <f t="shared" si="239"/>
        <v>3297.5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83">
        <f t="shared" si="240"/>
        <v>10230</v>
      </c>
      <c r="D786" s="32">
        <f>650*3+670*2</f>
        <v>3290</v>
      </c>
      <c r="E786" s="32"/>
      <c r="F786" s="32"/>
      <c r="G786" s="32">
        <f t="shared" si="234"/>
        <v>3290</v>
      </c>
      <c r="H786" s="12"/>
      <c r="I786" s="12"/>
      <c r="J786" s="12"/>
      <c r="K786" s="12">
        <f t="shared" si="235"/>
        <v>3290</v>
      </c>
      <c r="M786" s="10">
        <v>5</v>
      </c>
      <c r="N786" s="30"/>
      <c r="O786" s="31"/>
      <c r="P786" s="32"/>
      <c r="Q786" s="32"/>
      <c r="R786" s="32"/>
      <c r="S786" s="32">
        <f t="shared" si="236"/>
        <v>0</v>
      </c>
      <c r="T786" s="12"/>
      <c r="U786" s="12"/>
      <c r="V786" s="12"/>
      <c r="W786" s="12">
        <f t="shared" si="237"/>
        <v>0</v>
      </c>
      <c r="Y786" s="10">
        <v>5</v>
      </c>
      <c r="Z786" s="30" t="s">
        <v>81</v>
      </c>
      <c r="AA786" s="31">
        <f t="shared" si="242"/>
        <v>10133</v>
      </c>
      <c r="AB786" s="32">
        <f>650*6+670*7</f>
        <v>8590</v>
      </c>
      <c r="AC786" s="32"/>
      <c r="AD786" s="32"/>
      <c r="AE786" s="32">
        <f t="shared" ref="AE786:AE788" si="243">SUM(AB786:AC786)</f>
        <v>8590</v>
      </c>
      <c r="AF786" s="12"/>
      <c r="AG786" s="12"/>
      <c r="AH786" s="12">
        <v>-1776</v>
      </c>
      <c r="AI786" s="12">
        <f t="shared" si="239"/>
        <v>6814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83">
        <f t="shared" si="240"/>
        <v>10231</v>
      </c>
      <c r="D787" s="32">
        <f>650*27+622*3</f>
        <v>19416</v>
      </c>
      <c r="E787" s="32"/>
      <c r="F787" s="32"/>
      <c r="G787" s="32">
        <f t="shared" si="234"/>
        <v>19416</v>
      </c>
      <c r="H787" s="12"/>
      <c r="I787" s="12">
        <v>162</v>
      </c>
      <c r="J787" s="12"/>
      <c r="K787" s="12">
        <f t="shared" si="235"/>
        <v>19578</v>
      </c>
      <c r="M787" s="10">
        <v>6</v>
      </c>
      <c r="N787" s="30"/>
      <c r="O787" s="31"/>
      <c r="P787" s="32"/>
      <c r="Q787" s="32"/>
      <c r="R787" s="32"/>
      <c r="S787" s="32">
        <f t="shared" si="236"/>
        <v>0</v>
      </c>
      <c r="T787" s="12"/>
      <c r="U787" s="12"/>
      <c r="V787" s="10"/>
      <c r="W787" s="12">
        <f t="shared" si="237"/>
        <v>0</v>
      </c>
      <c r="Y787" s="10">
        <v>6</v>
      </c>
      <c r="Z787" s="30" t="s">
        <v>81</v>
      </c>
      <c r="AA787" s="31">
        <f t="shared" si="242"/>
        <v>10134</v>
      </c>
      <c r="AB787" s="32">
        <f>650*25+670*5+622*25+229*2</f>
        <v>35608</v>
      </c>
      <c r="AC787" s="32">
        <f>-55*6</f>
        <v>-330</v>
      </c>
      <c r="AD787" s="32"/>
      <c r="AE787" s="32">
        <f t="shared" si="243"/>
        <v>35278</v>
      </c>
      <c r="AF787" s="12"/>
      <c r="AG787" s="12"/>
      <c r="AH787" s="10"/>
      <c r="AI787" s="12">
        <f t="shared" si="239"/>
        <v>35278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83">
        <f t="shared" si="240"/>
        <v>10232</v>
      </c>
      <c r="D788" s="32">
        <f>650*6+670*2+500</f>
        <v>5740</v>
      </c>
      <c r="E788" s="32"/>
      <c r="F788" s="32"/>
      <c r="G788" s="32">
        <f t="shared" si="234"/>
        <v>5740</v>
      </c>
      <c r="H788" s="12"/>
      <c r="I788" s="12">
        <v>108</v>
      </c>
      <c r="J788" s="12"/>
      <c r="K788" s="12">
        <f t="shared" si="235"/>
        <v>5848</v>
      </c>
      <c r="M788" s="10">
        <v>7</v>
      </c>
      <c r="N788" s="30"/>
      <c r="O788" s="31"/>
      <c r="P788" s="32"/>
      <c r="Q788" s="32"/>
      <c r="R788" s="32"/>
      <c r="S788" s="32">
        <f t="shared" si="236"/>
        <v>0</v>
      </c>
      <c r="T788" s="12"/>
      <c r="U788" s="12"/>
      <c r="V788" s="12"/>
      <c r="W788" s="12">
        <f t="shared" si="237"/>
        <v>0</v>
      </c>
      <c r="Y788" s="10">
        <v>7</v>
      </c>
      <c r="Z788" s="30" t="s">
        <v>81</v>
      </c>
      <c r="AA788" s="31">
        <f t="shared" si="242"/>
        <v>10135</v>
      </c>
      <c r="AB788" s="32">
        <f>650*2+670*4+622*8+912</f>
        <v>9868</v>
      </c>
      <c r="AC788" s="32"/>
      <c r="AD788" s="32"/>
      <c r="AE788" s="32">
        <f>SUM(AB788:AC788)</f>
        <v>9868</v>
      </c>
      <c r="AF788" s="12"/>
      <c r="AG788" s="58"/>
      <c r="AH788" s="12"/>
      <c r="AI788" s="12">
        <f t="shared" si="239"/>
        <v>9868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83">
        <f t="shared" si="240"/>
        <v>10233</v>
      </c>
      <c r="D789" s="32">
        <f>650*20+229</f>
        <v>13229</v>
      </c>
      <c r="E789" s="32"/>
      <c r="F789" s="32"/>
      <c r="G789" s="32">
        <f t="shared" si="234"/>
        <v>13229</v>
      </c>
      <c r="H789" s="12"/>
      <c r="I789" s="12"/>
      <c r="J789" s="12"/>
      <c r="K789" s="12">
        <f t="shared" si="235"/>
        <v>13229</v>
      </c>
      <c r="M789" s="10">
        <v>8</v>
      </c>
      <c r="N789" s="30"/>
      <c r="O789" s="31"/>
      <c r="P789" s="32"/>
      <c r="Q789" s="32"/>
      <c r="R789" s="32"/>
      <c r="S789" s="32">
        <f t="shared" si="236"/>
        <v>0</v>
      </c>
      <c r="T789" s="12"/>
      <c r="U789" s="12"/>
      <c r="V789" s="12"/>
      <c r="W789" s="12">
        <f t="shared" si="237"/>
        <v>0</v>
      </c>
      <c r="Y789" s="10">
        <v>8</v>
      </c>
      <c r="Z789" s="30" t="s">
        <v>81</v>
      </c>
      <c r="AA789" s="31">
        <f t="shared" si="242"/>
        <v>10136</v>
      </c>
      <c r="AB789" s="32">
        <f>650*25+670*4+622*16+229</f>
        <v>29111</v>
      </c>
      <c r="AC789" s="32"/>
      <c r="AE789" s="32">
        <f t="shared" ref="AE789:AE826" si="244">SUM(AB789:AC789)</f>
        <v>29111</v>
      </c>
      <c r="AF789" s="12"/>
      <c r="AG789" s="12"/>
      <c r="AH789" s="12"/>
      <c r="AI789" s="12">
        <f t="shared" si="239"/>
        <v>29111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83">
        <f t="shared" si="240"/>
        <v>10234</v>
      </c>
      <c r="D790" s="32">
        <f>650*15+670*2</f>
        <v>11090</v>
      </c>
      <c r="E790" s="32"/>
      <c r="F790" s="32"/>
      <c r="G790" s="32">
        <f t="shared" si="234"/>
        <v>11090</v>
      </c>
      <c r="H790" s="12"/>
      <c r="I790" s="12"/>
      <c r="J790" s="12"/>
      <c r="K790" s="12">
        <f t="shared" si="235"/>
        <v>11090</v>
      </c>
      <c r="M790" s="10">
        <v>9</v>
      </c>
      <c r="N790" s="30"/>
      <c r="O790" s="31"/>
      <c r="P790" s="32"/>
      <c r="Q790" s="32"/>
      <c r="R790" s="32"/>
      <c r="S790" s="32">
        <f t="shared" si="236"/>
        <v>0</v>
      </c>
      <c r="T790" s="12"/>
      <c r="U790" s="12"/>
      <c r="V790" s="12"/>
      <c r="W790" s="12">
        <f t="shared" si="237"/>
        <v>0</v>
      </c>
      <c r="Y790" s="10">
        <v>9</v>
      </c>
      <c r="Z790" s="30" t="s">
        <v>81</v>
      </c>
      <c r="AA790" s="31">
        <f t="shared" si="242"/>
        <v>10137</v>
      </c>
      <c r="AB790" s="32">
        <f>650*4+622*2</f>
        <v>3844</v>
      </c>
      <c r="AC790" s="32"/>
      <c r="AD790" s="32"/>
      <c r="AE790" s="32">
        <f t="shared" si="244"/>
        <v>3844</v>
      </c>
      <c r="AF790" s="12"/>
      <c r="AH790" s="12"/>
      <c r="AI790" s="12">
        <f t="shared" si="239"/>
        <v>3844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83">
        <f t="shared" si="240"/>
        <v>10235</v>
      </c>
      <c r="D791" s="32">
        <f>650*5</f>
        <v>3250</v>
      </c>
      <c r="E791" s="32"/>
      <c r="F791" s="32"/>
      <c r="G791" s="32">
        <f t="shared" si="234"/>
        <v>3250</v>
      </c>
      <c r="H791" s="12"/>
      <c r="I791" s="12"/>
      <c r="J791" s="12"/>
      <c r="K791" s="12">
        <f t="shared" si="235"/>
        <v>3250</v>
      </c>
      <c r="M791" s="10">
        <v>10</v>
      </c>
      <c r="N791" s="30"/>
      <c r="O791" s="31"/>
      <c r="P791" s="32"/>
      <c r="Q791" s="32"/>
      <c r="R791" s="32"/>
      <c r="S791" s="32">
        <f t="shared" si="236"/>
        <v>0</v>
      </c>
      <c r="T791" s="12"/>
      <c r="U791" s="12"/>
      <c r="V791" s="12"/>
      <c r="W791" s="12">
        <f t="shared" si="237"/>
        <v>0</v>
      </c>
      <c r="Y791" s="10">
        <v>10</v>
      </c>
      <c r="Z791" s="30" t="s">
        <v>81</v>
      </c>
      <c r="AA791" s="31">
        <f t="shared" si="242"/>
        <v>10138</v>
      </c>
      <c r="AB791" s="32">
        <f>650*15+622*5</f>
        <v>12860</v>
      </c>
      <c r="AC791" s="32"/>
      <c r="AD791" s="32"/>
      <c r="AE791" s="32">
        <f t="shared" si="244"/>
        <v>12860</v>
      </c>
      <c r="AF791" s="12"/>
      <c r="AG791" s="12">
        <v>45</v>
      </c>
      <c r="AH791" s="12"/>
      <c r="AI791" s="12">
        <f t="shared" si="239"/>
        <v>12905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83">
        <f t="shared" si="240"/>
        <v>10236</v>
      </c>
      <c r="D792" s="32">
        <f>650*19</f>
        <v>12350</v>
      </c>
      <c r="E792" s="32"/>
      <c r="F792" s="32"/>
      <c r="G792" s="32">
        <f t="shared" si="234"/>
        <v>12350</v>
      </c>
      <c r="H792" s="12"/>
      <c r="I792" s="12"/>
      <c r="J792" s="12"/>
      <c r="K792" s="12">
        <f t="shared" si="235"/>
        <v>12350</v>
      </c>
      <c r="M792" s="10">
        <v>11</v>
      </c>
      <c r="N792" s="30"/>
      <c r="P792" s="32"/>
      <c r="Q792" s="32"/>
      <c r="R792" s="32"/>
      <c r="S792" s="32">
        <f t="shared" si="236"/>
        <v>0</v>
      </c>
      <c r="T792" s="12"/>
      <c r="U792" s="12"/>
      <c r="V792" s="12"/>
      <c r="W792" s="12">
        <f t="shared" si="237"/>
        <v>0</v>
      </c>
      <c r="Y792" s="10">
        <v>11</v>
      </c>
      <c r="Z792" s="30" t="s">
        <v>81</v>
      </c>
      <c r="AA792" s="31">
        <f t="shared" si="242"/>
        <v>10139</v>
      </c>
      <c r="AB792" s="32">
        <f>650*5</f>
        <v>3250</v>
      </c>
      <c r="AC792" s="32"/>
      <c r="AD792" s="32"/>
      <c r="AE792" s="32">
        <f t="shared" si="244"/>
        <v>3250</v>
      </c>
      <c r="AF792" s="12"/>
      <c r="AG792" s="12"/>
      <c r="AH792" s="12"/>
      <c r="AI792" s="12">
        <f t="shared" si="239"/>
        <v>3250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4"/>
        <v>0</v>
      </c>
      <c r="H793" s="12"/>
      <c r="I793" s="12"/>
      <c r="J793" s="10"/>
      <c r="K793" s="12">
        <f t="shared" si="235"/>
        <v>0</v>
      </c>
      <c r="M793" s="10">
        <v>12</v>
      </c>
      <c r="N793" s="30"/>
      <c r="O793" s="31"/>
      <c r="P793" s="32"/>
      <c r="Q793" s="32"/>
      <c r="R793" s="32"/>
      <c r="S793" s="32">
        <f t="shared" si="236"/>
        <v>0</v>
      </c>
      <c r="T793" s="12"/>
      <c r="U793" s="12"/>
      <c r="V793" s="12"/>
      <c r="W793" s="12">
        <f t="shared" si="237"/>
        <v>0</v>
      </c>
      <c r="Y793" s="10">
        <v>12</v>
      </c>
      <c r="Z793" s="30"/>
      <c r="AA793" s="11" t="s">
        <v>27</v>
      </c>
      <c r="AB793" s="32"/>
      <c r="AC793" s="32"/>
      <c r="AD793" s="32"/>
      <c r="AE793" s="32">
        <f t="shared" si="244"/>
        <v>0</v>
      </c>
      <c r="AF793" s="12"/>
      <c r="AG793" s="12"/>
      <c r="AH793" s="12"/>
      <c r="AI793" s="12">
        <f t="shared" si="239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34"/>
        <v>0</v>
      </c>
      <c r="H794" s="12"/>
      <c r="I794" s="12"/>
      <c r="J794" s="12"/>
      <c r="K794" s="12">
        <f t="shared" si="235"/>
        <v>0</v>
      </c>
      <c r="M794" s="10">
        <v>13</v>
      </c>
      <c r="N794" s="30"/>
      <c r="O794" s="31"/>
      <c r="P794" s="32"/>
      <c r="Q794" s="32"/>
      <c r="R794" s="32"/>
      <c r="S794" s="32">
        <f t="shared" si="236"/>
        <v>0</v>
      </c>
      <c r="T794" s="12"/>
      <c r="U794" s="12"/>
      <c r="V794" s="12"/>
      <c r="W794" s="12">
        <f t="shared" si="237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44"/>
        <v>0</v>
      </c>
      <c r="AF794" s="12"/>
      <c r="AG794" s="12"/>
      <c r="AH794" s="12"/>
      <c r="AI794" s="12">
        <f t="shared" si="239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34"/>
        <v>0</v>
      </c>
      <c r="H795" s="12"/>
      <c r="I795" s="12"/>
      <c r="J795" s="12"/>
      <c r="K795" s="12">
        <f t="shared" si="235"/>
        <v>0</v>
      </c>
      <c r="M795" s="10">
        <v>14</v>
      </c>
      <c r="N795" s="30"/>
      <c r="O795" s="31"/>
      <c r="P795" s="32"/>
      <c r="Q795" s="32"/>
      <c r="R795" s="32"/>
      <c r="S795" s="32">
        <f t="shared" si="236"/>
        <v>0</v>
      </c>
      <c r="T795" s="12"/>
      <c r="U795" s="12"/>
      <c r="V795" s="12"/>
      <c r="W795" s="12">
        <f t="shared" si="237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44"/>
        <v>0</v>
      </c>
      <c r="AF795" s="12"/>
      <c r="AG795" s="12"/>
      <c r="AH795" s="12"/>
      <c r="AI795" s="12">
        <f t="shared" si="239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34"/>
        <v>0</v>
      </c>
      <c r="H796" s="12"/>
      <c r="I796" s="12"/>
      <c r="J796" s="12"/>
      <c r="K796" s="12">
        <f t="shared" si="235"/>
        <v>0</v>
      </c>
      <c r="M796" s="10">
        <v>15</v>
      </c>
      <c r="N796" s="30"/>
      <c r="O796" s="31"/>
      <c r="P796" s="32"/>
      <c r="Q796" s="32"/>
      <c r="R796" s="32"/>
      <c r="S796" s="32">
        <f t="shared" si="236"/>
        <v>0</v>
      </c>
      <c r="T796" s="12"/>
      <c r="U796" s="12"/>
      <c r="V796" s="12"/>
      <c r="W796" s="12">
        <f t="shared" si="237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44"/>
        <v>0</v>
      </c>
      <c r="AF796" s="12"/>
      <c r="AG796" s="12"/>
      <c r="AH796" s="12"/>
      <c r="AI796" s="12">
        <f t="shared" si="239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11"/>
      <c r="D797" s="32"/>
      <c r="E797" s="32"/>
      <c r="F797" s="32"/>
      <c r="G797" s="32">
        <f t="shared" si="234"/>
        <v>0</v>
      </c>
      <c r="H797" s="12"/>
      <c r="I797" s="12"/>
      <c r="J797" s="12"/>
      <c r="K797" s="12">
        <f t="shared" si="235"/>
        <v>0</v>
      </c>
      <c r="M797" s="10">
        <v>16</v>
      </c>
      <c r="N797" s="30"/>
      <c r="O797" s="11"/>
      <c r="P797" s="32"/>
      <c r="Q797" s="32"/>
      <c r="R797" s="32"/>
      <c r="S797" s="32">
        <f t="shared" si="236"/>
        <v>0</v>
      </c>
      <c r="T797" s="12"/>
      <c r="U797" s="12"/>
      <c r="V797" s="12"/>
      <c r="W797" s="12">
        <f t="shared" si="237"/>
        <v>0</v>
      </c>
      <c r="Y797" s="10">
        <v>16</v>
      </c>
      <c r="AA797" s="11"/>
      <c r="AB797" s="32"/>
      <c r="AC797" s="32"/>
      <c r="AD797" s="32"/>
      <c r="AE797" s="32">
        <f t="shared" si="244"/>
        <v>0</v>
      </c>
      <c r="AF797" s="12"/>
      <c r="AG797" s="12"/>
      <c r="AH797" s="12"/>
      <c r="AI797" s="12">
        <f t="shared" si="239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34"/>
        <v>0</v>
      </c>
      <c r="H798" s="12"/>
      <c r="I798" s="12"/>
      <c r="J798" s="12"/>
      <c r="K798" s="12">
        <f t="shared" si="235"/>
        <v>0</v>
      </c>
      <c r="M798" s="10">
        <v>17</v>
      </c>
      <c r="N798" s="30"/>
      <c r="O798" s="31"/>
      <c r="P798" s="35"/>
      <c r="Q798" s="32"/>
      <c r="R798" s="32"/>
      <c r="S798" s="32">
        <f t="shared" si="236"/>
        <v>0</v>
      </c>
      <c r="T798" s="12"/>
      <c r="U798" s="12"/>
      <c r="V798" s="12"/>
      <c r="W798" s="12">
        <f t="shared" si="237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44"/>
        <v>0</v>
      </c>
      <c r="AF798" s="12"/>
      <c r="AG798" s="12"/>
      <c r="AH798" s="12"/>
      <c r="AI798" s="12">
        <f t="shared" si="239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34"/>
        <v>0</v>
      </c>
      <c r="H799" s="12"/>
      <c r="I799" s="12"/>
      <c r="J799" s="12"/>
      <c r="K799" s="12">
        <f t="shared" si="235"/>
        <v>0</v>
      </c>
      <c r="M799" s="10">
        <v>18</v>
      </c>
      <c r="N799" s="30"/>
      <c r="P799" s="32"/>
      <c r="Q799" s="32"/>
      <c r="R799" s="32"/>
      <c r="S799" s="32">
        <f t="shared" si="236"/>
        <v>0</v>
      </c>
      <c r="T799" s="12"/>
      <c r="U799" s="12"/>
      <c r="V799" s="12"/>
      <c r="W799" s="12">
        <f t="shared" si="237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44"/>
        <v>0</v>
      </c>
      <c r="AF799" s="12"/>
      <c r="AG799" s="12"/>
      <c r="AH799" s="12"/>
      <c r="AI799" s="12">
        <f t="shared" si="239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34"/>
        <v>0</v>
      </c>
      <c r="H800" s="12"/>
      <c r="I800" s="12"/>
      <c r="J800" s="12"/>
      <c r="K800" s="12">
        <f t="shared" si="235"/>
        <v>0</v>
      </c>
      <c r="M800" s="10">
        <v>19</v>
      </c>
      <c r="N800" s="30"/>
      <c r="O800" s="31"/>
      <c r="P800" s="32"/>
      <c r="Q800" s="32"/>
      <c r="R800" s="32"/>
      <c r="S800" s="32">
        <f t="shared" si="236"/>
        <v>0</v>
      </c>
      <c r="T800" s="12"/>
      <c r="U800" s="12"/>
      <c r="V800" s="12"/>
      <c r="W800" s="12">
        <f t="shared" si="237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44"/>
        <v>0</v>
      </c>
      <c r="AF800" s="12"/>
      <c r="AG800" s="12"/>
      <c r="AH800" s="12"/>
      <c r="AI800" s="12">
        <f t="shared" si="239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34"/>
        <v>0</v>
      </c>
      <c r="H801" s="12"/>
      <c r="I801" s="12"/>
      <c r="J801" s="12"/>
      <c r="K801" s="12">
        <f t="shared" si="235"/>
        <v>0</v>
      </c>
      <c r="M801" s="10">
        <v>20</v>
      </c>
      <c r="N801" s="30"/>
      <c r="O801" s="31"/>
      <c r="P801" s="32"/>
      <c r="Q801" s="32"/>
      <c r="R801" s="32"/>
      <c r="S801" s="32">
        <f t="shared" si="236"/>
        <v>0</v>
      </c>
      <c r="T801" s="12"/>
      <c r="U801" s="12"/>
      <c r="V801" s="12"/>
      <c r="W801" s="12">
        <f t="shared" si="237"/>
        <v>0</v>
      </c>
      <c r="Y801" s="10">
        <v>20</v>
      </c>
      <c r="Z801" s="30"/>
      <c r="AB801" s="32"/>
      <c r="AC801" s="32"/>
      <c r="AD801" s="32"/>
      <c r="AE801" s="32">
        <f t="shared" si="244"/>
        <v>0</v>
      </c>
      <c r="AF801" s="12"/>
      <c r="AG801" s="12"/>
      <c r="AH801" s="12"/>
      <c r="AI801" s="12">
        <f t="shared" si="239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3"/>
      <c r="D802" s="32"/>
      <c r="E802" s="32"/>
      <c r="F802" s="32"/>
      <c r="G802" s="32">
        <f t="shared" si="234"/>
        <v>0</v>
      </c>
      <c r="H802" s="10"/>
      <c r="I802" s="10"/>
      <c r="J802" s="10"/>
      <c r="K802" s="12">
        <f t="shared" si="235"/>
        <v>0</v>
      </c>
      <c r="M802" s="10">
        <v>21</v>
      </c>
      <c r="N802" s="30"/>
      <c r="O802" s="11"/>
      <c r="P802" s="46"/>
      <c r="Q802" s="31"/>
      <c r="R802" s="31"/>
      <c r="S802" s="32">
        <f t="shared" si="236"/>
        <v>0</v>
      </c>
      <c r="T802" s="10"/>
      <c r="U802" s="10"/>
      <c r="V802" s="10"/>
      <c r="W802" s="12">
        <f t="shared" si="237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44"/>
        <v>0</v>
      </c>
      <c r="AF802" s="10"/>
      <c r="AG802" s="10"/>
      <c r="AH802" s="10"/>
      <c r="AI802" s="12">
        <f t="shared" si="239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34"/>
        <v>0</v>
      </c>
      <c r="H803" s="10"/>
      <c r="I803" s="10"/>
      <c r="J803" s="10"/>
      <c r="K803" s="12">
        <f t="shared" si="235"/>
        <v>0</v>
      </c>
      <c r="M803" s="10">
        <v>22</v>
      </c>
      <c r="N803" s="30"/>
      <c r="O803" s="31"/>
      <c r="P803" s="45"/>
      <c r="Q803" s="31"/>
      <c r="R803" s="31"/>
      <c r="S803" s="32">
        <f t="shared" si="236"/>
        <v>0</v>
      </c>
      <c r="T803" s="10"/>
      <c r="U803" s="10"/>
      <c r="V803" s="10"/>
      <c r="W803" s="12">
        <f t="shared" si="237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44"/>
        <v>0</v>
      </c>
      <c r="AF803" s="10"/>
      <c r="AG803" s="10"/>
      <c r="AH803" s="10"/>
      <c r="AI803" s="12">
        <f t="shared" si="239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34"/>
        <v>0</v>
      </c>
      <c r="H804" s="10"/>
      <c r="I804" s="10"/>
      <c r="J804" s="12"/>
      <c r="K804" s="12">
        <f t="shared" si="235"/>
        <v>0</v>
      </c>
      <c r="M804" s="10">
        <v>23</v>
      </c>
      <c r="N804" s="30"/>
      <c r="O804" s="31"/>
      <c r="P804" s="47"/>
      <c r="S804" s="32">
        <f t="shared" si="236"/>
        <v>0</v>
      </c>
      <c r="T804" s="10"/>
      <c r="U804" s="10"/>
      <c r="V804" s="10"/>
      <c r="W804" s="12">
        <f t="shared" si="237"/>
        <v>0</v>
      </c>
      <c r="Y804" s="10">
        <v>23</v>
      </c>
      <c r="Z804" s="30"/>
      <c r="AA804" s="31"/>
      <c r="AB804" s="47"/>
      <c r="AC804" s="31"/>
      <c r="AE804" s="32">
        <f t="shared" si="244"/>
        <v>0</v>
      </c>
      <c r="AF804" s="10"/>
      <c r="AG804" s="10"/>
      <c r="AH804" s="10"/>
      <c r="AI804" s="12">
        <f t="shared" si="239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34"/>
        <v>0</v>
      </c>
      <c r="H805" s="10"/>
      <c r="I805" s="10"/>
      <c r="J805" s="10"/>
      <c r="K805" s="12">
        <f t="shared" si="235"/>
        <v>0</v>
      </c>
      <c r="M805" s="10">
        <v>24</v>
      </c>
      <c r="N805" s="30"/>
      <c r="O805" s="31"/>
      <c r="P805" s="47"/>
      <c r="Q805" s="31"/>
      <c r="R805" s="31"/>
      <c r="S805" s="32">
        <f t="shared" si="236"/>
        <v>0</v>
      </c>
      <c r="T805" s="10"/>
      <c r="U805" s="10"/>
      <c r="V805" s="10"/>
      <c r="W805" s="12">
        <f t="shared" si="237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44"/>
        <v>0</v>
      </c>
      <c r="AF805" s="10"/>
      <c r="AG805" s="10"/>
      <c r="AH805" s="10"/>
      <c r="AI805" s="12">
        <f t="shared" si="239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34"/>
        <v>0</v>
      </c>
      <c r="H806" s="10"/>
      <c r="I806" s="10"/>
      <c r="J806" s="10"/>
      <c r="K806" s="12">
        <f t="shared" si="235"/>
        <v>0</v>
      </c>
      <c r="M806" s="10">
        <v>25</v>
      </c>
      <c r="N806" s="30"/>
      <c r="O806" s="31"/>
      <c r="P806" s="47"/>
      <c r="Q806" s="31"/>
      <c r="R806" s="31"/>
      <c r="S806" s="32">
        <f t="shared" si="236"/>
        <v>0</v>
      </c>
      <c r="T806" s="10"/>
      <c r="U806" s="10"/>
      <c r="V806" s="10"/>
      <c r="W806" s="12">
        <f t="shared" si="237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44"/>
        <v>0</v>
      </c>
      <c r="AF806" s="10"/>
      <c r="AG806" s="10"/>
      <c r="AH806" s="10"/>
      <c r="AI806" s="12">
        <f t="shared" si="239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34"/>
        <v>0</v>
      </c>
      <c r="H807" s="10"/>
      <c r="I807" s="10"/>
      <c r="J807" s="10"/>
      <c r="K807" s="12">
        <f t="shared" si="235"/>
        <v>0</v>
      </c>
      <c r="M807" s="10">
        <v>26</v>
      </c>
      <c r="N807" s="30"/>
      <c r="O807" s="11"/>
      <c r="P807" s="47"/>
      <c r="Q807" s="31"/>
      <c r="R807" s="31"/>
      <c r="S807" s="32">
        <f t="shared" si="236"/>
        <v>0</v>
      </c>
      <c r="T807" s="10"/>
      <c r="U807" s="10"/>
      <c r="V807" s="10"/>
      <c r="W807" s="12">
        <f t="shared" si="237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44"/>
        <v>0</v>
      </c>
      <c r="AF807" s="10"/>
      <c r="AG807" s="10"/>
      <c r="AH807" s="10"/>
      <c r="AI807" s="12">
        <f t="shared" si="239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34"/>
        <v>0</v>
      </c>
      <c r="H808" s="10"/>
      <c r="I808" s="10"/>
      <c r="J808" s="10"/>
      <c r="K808" s="12">
        <f t="shared" si="235"/>
        <v>0</v>
      </c>
      <c r="M808" s="10">
        <v>27</v>
      </c>
      <c r="N808" s="30"/>
      <c r="O808" s="31"/>
      <c r="P808" s="47"/>
      <c r="Q808" s="31"/>
      <c r="R808" s="31"/>
      <c r="S808" s="32">
        <f t="shared" si="236"/>
        <v>0</v>
      </c>
      <c r="T808" s="10"/>
      <c r="U808" s="10"/>
      <c r="V808" s="10"/>
      <c r="W808" s="12">
        <f t="shared" si="237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44"/>
        <v>0</v>
      </c>
      <c r="AF808" s="10"/>
      <c r="AG808" s="10"/>
      <c r="AH808" s="10"/>
      <c r="AI808" s="12">
        <f t="shared" si="239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34"/>
        <v>0</v>
      </c>
      <c r="H809" s="10"/>
      <c r="I809" s="10"/>
      <c r="J809" s="10"/>
      <c r="K809" s="12">
        <f t="shared" si="235"/>
        <v>0</v>
      </c>
      <c r="M809" s="10">
        <v>28</v>
      </c>
      <c r="N809" s="30"/>
      <c r="O809" s="31"/>
      <c r="P809" s="47"/>
      <c r="Q809" s="31"/>
      <c r="R809" s="31"/>
      <c r="S809" s="32">
        <f t="shared" si="236"/>
        <v>0</v>
      </c>
      <c r="T809" s="10"/>
      <c r="U809" s="10"/>
      <c r="V809" s="10"/>
      <c r="W809" s="12">
        <f t="shared" si="237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44"/>
        <v>0</v>
      </c>
      <c r="AF809" s="10"/>
      <c r="AG809" s="10"/>
      <c r="AH809" s="10"/>
      <c r="AI809" s="12">
        <f t="shared" si="239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34"/>
        <v>0</v>
      </c>
      <c r="H810" s="10"/>
      <c r="I810" s="10"/>
      <c r="J810" s="10"/>
      <c r="K810" s="12">
        <f t="shared" si="235"/>
        <v>0</v>
      </c>
      <c r="M810" s="10">
        <v>29</v>
      </c>
      <c r="N810" s="30"/>
      <c r="O810" s="31"/>
      <c r="P810" s="47"/>
      <c r="Q810" s="31"/>
      <c r="R810" s="31"/>
      <c r="S810" s="32">
        <f t="shared" si="236"/>
        <v>0</v>
      </c>
      <c r="T810" s="10"/>
      <c r="U810" s="10"/>
      <c r="V810" s="10"/>
      <c r="W810" s="12">
        <f t="shared" si="237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44"/>
        <v>0</v>
      </c>
      <c r="AF810" s="10"/>
      <c r="AG810" s="10"/>
      <c r="AH810" s="10"/>
      <c r="AI810" s="12">
        <f t="shared" si="239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34"/>
        <v>0</v>
      </c>
      <c r="H811" s="10"/>
      <c r="I811" s="10"/>
      <c r="J811" s="10"/>
      <c r="K811" s="12">
        <f t="shared" si="235"/>
        <v>0</v>
      </c>
      <c r="M811" s="10">
        <v>30</v>
      </c>
      <c r="N811" s="30"/>
      <c r="O811" s="31"/>
      <c r="P811" s="47"/>
      <c r="Q811" s="31"/>
      <c r="R811" s="31"/>
      <c r="S811" s="32">
        <f t="shared" si="236"/>
        <v>0</v>
      </c>
      <c r="T811" s="10"/>
      <c r="U811" s="10"/>
      <c r="V811" s="10"/>
      <c r="W811" s="12">
        <f t="shared" si="237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44"/>
        <v>0</v>
      </c>
      <c r="AF811" s="10"/>
      <c r="AG811" s="10"/>
      <c r="AH811" s="10"/>
      <c r="AI811" s="12">
        <f t="shared" si="239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234"/>
        <v>0</v>
      </c>
      <c r="H812" s="10"/>
      <c r="I812" s="10"/>
      <c r="J812" s="10"/>
      <c r="K812" s="12">
        <f t="shared" si="235"/>
        <v>0</v>
      </c>
      <c r="M812" s="10">
        <v>31</v>
      </c>
      <c r="N812" s="30"/>
      <c r="O812" s="31"/>
      <c r="P812" s="47"/>
      <c r="Q812" s="31"/>
      <c r="R812" s="31"/>
      <c r="S812" s="32">
        <f t="shared" si="236"/>
        <v>0</v>
      </c>
      <c r="T812" s="10"/>
      <c r="U812" s="10"/>
      <c r="V812" s="10"/>
      <c r="W812" s="12">
        <f t="shared" si="237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44"/>
        <v>0</v>
      </c>
      <c r="AF812" s="10"/>
      <c r="AG812" s="10"/>
      <c r="AH812" s="10"/>
      <c r="AI812" s="12">
        <f t="shared" si="239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34"/>
        <v>0</v>
      </c>
      <c r="H813" s="10"/>
      <c r="I813" s="10"/>
      <c r="J813" s="10"/>
      <c r="K813" s="12">
        <f t="shared" si="235"/>
        <v>0</v>
      </c>
      <c r="M813" s="10">
        <v>32</v>
      </c>
      <c r="N813" s="30"/>
      <c r="O813" s="31"/>
      <c r="P813" s="47"/>
      <c r="Q813" s="31"/>
      <c r="R813" s="31"/>
      <c r="S813" s="32">
        <f t="shared" si="236"/>
        <v>0</v>
      </c>
      <c r="T813" s="10"/>
      <c r="U813" s="10"/>
      <c r="V813" s="10"/>
      <c r="W813" s="12">
        <f t="shared" si="237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44"/>
        <v>0</v>
      </c>
      <c r="AF813" s="10"/>
      <c r="AG813" s="10"/>
      <c r="AH813" s="10"/>
      <c r="AI813" s="12">
        <f t="shared" si="239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34"/>
        <v>0</v>
      </c>
      <c r="H814" s="10"/>
      <c r="I814" s="10"/>
      <c r="J814" s="10"/>
      <c r="K814" s="12">
        <f t="shared" si="235"/>
        <v>0</v>
      </c>
      <c r="M814" s="10">
        <v>33</v>
      </c>
      <c r="N814" s="30"/>
      <c r="O814" s="31"/>
      <c r="P814" s="47"/>
      <c r="Q814" s="31"/>
      <c r="R814" s="31"/>
      <c r="S814" s="32">
        <f t="shared" si="236"/>
        <v>0</v>
      </c>
      <c r="T814" s="10"/>
      <c r="U814" s="10"/>
      <c r="V814" s="10"/>
      <c r="W814" s="12">
        <f t="shared" si="237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44"/>
        <v>0</v>
      </c>
      <c r="AF814" s="10"/>
      <c r="AG814" s="10"/>
      <c r="AH814" s="10"/>
      <c r="AI814" s="12">
        <f t="shared" si="239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34"/>
        <v>0</v>
      </c>
      <c r="H815" s="10"/>
      <c r="I815" s="10"/>
      <c r="J815" s="10"/>
      <c r="K815" s="12">
        <f t="shared" si="235"/>
        <v>0</v>
      </c>
      <c r="M815" s="10">
        <v>34</v>
      </c>
      <c r="N815" s="30"/>
      <c r="O815" s="31"/>
      <c r="P815" s="47"/>
      <c r="Q815" s="31"/>
      <c r="R815" s="31"/>
      <c r="S815" s="32">
        <f t="shared" si="236"/>
        <v>0</v>
      </c>
      <c r="T815" s="10"/>
      <c r="U815" s="10"/>
      <c r="V815" s="10"/>
      <c r="W815" s="12">
        <f t="shared" si="237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44"/>
        <v>0</v>
      </c>
      <c r="AF815" s="10"/>
      <c r="AG815" s="10"/>
      <c r="AH815" s="10"/>
      <c r="AI815" s="12">
        <f t="shared" ref="AI815:AI826" si="245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6"/>
        <v>0</v>
      </c>
      <c r="T816" s="10"/>
      <c r="U816" s="10"/>
      <c r="V816" s="10"/>
      <c r="W816" s="12">
        <f t="shared" si="237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4"/>
        <v>0</v>
      </c>
      <c r="AF816" s="10"/>
      <c r="AG816" s="10"/>
      <c r="AH816" s="10"/>
      <c r="AI816" s="12">
        <f t="shared" si="245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6"/>
        <v>0</v>
      </c>
      <c r="T817" s="10"/>
      <c r="U817" s="10"/>
      <c r="V817" s="10"/>
      <c r="W817" s="12">
        <f t="shared" si="237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4"/>
        <v>0</v>
      </c>
      <c r="AF817" s="10"/>
      <c r="AG817" s="10"/>
      <c r="AH817" s="10"/>
      <c r="AI817" s="12">
        <f t="shared" si="245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6"/>
        <v>0</v>
      </c>
      <c r="T818" s="10"/>
      <c r="U818" s="10"/>
      <c r="V818" s="10"/>
      <c r="W818" s="12">
        <f t="shared" si="237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4"/>
        <v>0</v>
      </c>
      <c r="AF818" s="10"/>
      <c r="AG818" s="10"/>
      <c r="AH818" s="10"/>
      <c r="AI818" s="12">
        <f t="shared" si="245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6"/>
        <v>0</v>
      </c>
      <c r="T819" s="10"/>
      <c r="U819" s="10"/>
      <c r="V819" s="10"/>
      <c r="W819" s="12">
        <f t="shared" si="237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4"/>
        <v>0</v>
      </c>
      <c r="AF819" s="10"/>
      <c r="AG819" s="10"/>
      <c r="AH819" s="10"/>
      <c r="AI819" s="12">
        <f t="shared" si="245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6"/>
        <v>0</v>
      </c>
      <c r="T820" s="10"/>
      <c r="U820" s="10"/>
      <c r="V820" s="10"/>
      <c r="W820" s="12">
        <f t="shared" si="237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4"/>
        <v>0</v>
      </c>
      <c r="AF820" s="10"/>
      <c r="AG820" s="10"/>
      <c r="AH820" s="10"/>
      <c r="AI820" s="12">
        <f t="shared" si="245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7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5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6">SUM(D822:E822)</f>
        <v>0</v>
      </c>
      <c r="H822" s="10"/>
      <c r="I822" s="10"/>
      <c r="J822" s="10"/>
      <c r="K822" s="12">
        <f t="shared" ref="K822" si="247">SUM(G822:J822)</f>
        <v>0</v>
      </c>
      <c r="M822" s="10"/>
      <c r="N822" s="30"/>
      <c r="O822" s="31"/>
      <c r="P822" s="47"/>
      <c r="Q822" s="31"/>
      <c r="R822" s="31"/>
      <c r="S822" s="32">
        <f t="shared" ref="S822" si="248">SUM(P822:Q822)</f>
        <v>0</v>
      </c>
      <c r="T822" s="10"/>
      <c r="U822" s="10"/>
      <c r="V822" s="10"/>
      <c r="W822" s="12">
        <f t="shared" si="237"/>
        <v>0</v>
      </c>
      <c r="Y822" s="10"/>
      <c r="Z822" s="30"/>
      <c r="AA822" s="31"/>
      <c r="AB822" s="47"/>
      <c r="AC822" s="31"/>
      <c r="AD822" s="31"/>
      <c r="AE822" s="32">
        <f t="shared" ref="AE822" si="249">SUM(AB822:AC822)</f>
        <v>0</v>
      </c>
      <c r="AF822" s="10"/>
      <c r="AG822" s="10"/>
      <c r="AH822" s="10"/>
      <c r="AI822" s="12">
        <f t="shared" si="245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7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5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205651.5</v>
      </c>
      <c r="E825" s="38">
        <f t="shared" ref="E825:G825" si="250">SUM(E782:E822)</f>
        <v>0</v>
      </c>
      <c r="F825" s="38">
        <f t="shared" si="250"/>
        <v>0</v>
      </c>
      <c r="G825" s="38">
        <f>SUM(G782:G824)</f>
        <v>205651.5</v>
      </c>
      <c r="H825" s="4"/>
      <c r="I825" s="39">
        <f>SUM(I782:I824)</f>
        <v>270</v>
      </c>
      <c r="J825" s="39">
        <f>SUM(J782:J824)</f>
        <v>0</v>
      </c>
      <c r="K825" s="40">
        <f>SUM(K782:K824)</f>
        <v>205921.5</v>
      </c>
      <c r="N825" s="57"/>
      <c r="O825" s="57"/>
      <c r="P825" s="38">
        <f>SUM(P782:P824)</f>
        <v>223738</v>
      </c>
      <c r="Q825" s="38">
        <f>SUM(Q782:Q806)</f>
        <v>-1944</v>
      </c>
      <c r="R825" s="38">
        <f>SUM(R782:R806)</f>
        <v>0</v>
      </c>
      <c r="S825" s="38">
        <f>SUM(S782:S824)</f>
        <v>221794</v>
      </c>
      <c r="T825" s="4"/>
      <c r="U825" s="41">
        <f>SUM(U782:U824)</f>
        <v>1092</v>
      </c>
      <c r="V825" s="41">
        <f>SUM(V782:V806)</f>
        <v>-711</v>
      </c>
      <c r="W825" s="42">
        <f>SUM(W782:W824)</f>
        <v>222175</v>
      </c>
      <c r="Z825" s="57"/>
      <c r="AA825" s="57"/>
      <c r="AB825" s="38">
        <f>SUM(AB782:AB824)</f>
        <v>306620.5</v>
      </c>
      <c r="AC825" s="38">
        <f>SUM(AC782:AC806)</f>
        <v>-1758</v>
      </c>
      <c r="AD825" s="38">
        <f>SUM(AD782:AD806)</f>
        <v>0</v>
      </c>
      <c r="AE825" s="38">
        <f>SUM(AE782:AE824)</f>
        <v>304862.5</v>
      </c>
      <c r="AF825" s="4"/>
      <c r="AG825" s="41">
        <f>SUM(AG782:AG824)</f>
        <v>2937</v>
      </c>
      <c r="AH825" s="41">
        <f>SUM(AH782:AH806)</f>
        <v>-1776</v>
      </c>
      <c r="AI825" s="42">
        <f>SUM(AI782:AI824)</f>
        <v>306023.5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11"/>
      <c r="E835" s="111"/>
      <c r="F835" s="91"/>
      <c r="G835" s="91"/>
      <c r="H835" s="62"/>
      <c r="I835" s="111"/>
      <c r="J835" s="111"/>
      <c r="K835" s="110"/>
      <c r="L835" s="62"/>
      <c r="M835" s="62"/>
      <c r="N835" s="65"/>
      <c r="O835" s="91"/>
      <c r="P835" s="111"/>
      <c r="Q835" s="111"/>
      <c r="R835" s="91"/>
      <c r="S835" s="91"/>
      <c r="T835" s="62"/>
      <c r="U835" s="111"/>
      <c r="V835" s="111"/>
      <c r="W835" s="110"/>
      <c r="X835" s="62"/>
      <c r="Y835" s="62"/>
      <c r="Z835" s="65"/>
      <c r="AA835" s="91"/>
      <c r="AB835" s="111"/>
      <c r="AC835" s="111"/>
      <c r="AD835" s="91"/>
      <c r="AE835" s="91"/>
      <c r="AF835" s="62"/>
      <c r="AG835" s="111"/>
      <c r="AH835" s="111"/>
      <c r="AI835" s="11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10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10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1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11"/>
      <c r="E890" s="111"/>
      <c r="F890" s="91"/>
      <c r="G890" s="91"/>
      <c r="H890" s="62"/>
      <c r="I890" s="111"/>
      <c r="J890" s="111"/>
      <c r="K890" s="110"/>
      <c r="L890" s="62"/>
      <c r="M890" s="62"/>
      <c r="N890" s="65"/>
      <c r="O890" s="91"/>
      <c r="P890" s="111"/>
      <c r="Q890" s="111"/>
      <c r="R890" s="91"/>
      <c r="S890" s="91"/>
      <c r="T890" s="62"/>
      <c r="U890" s="111"/>
      <c r="V890" s="111"/>
      <c r="W890" s="110"/>
      <c r="X890" s="62"/>
      <c r="Y890" s="62"/>
      <c r="Z890" s="65"/>
      <c r="AA890" s="91"/>
      <c r="AB890" s="111"/>
      <c r="AC890" s="111"/>
      <c r="AD890" s="91"/>
      <c r="AE890" s="91"/>
      <c r="AF890" s="62"/>
      <c r="AG890" s="111"/>
      <c r="AH890" s="111"/>
      <c r="AI890" s="11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10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10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1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1"/>
      <c r="E945" s="111"/>
      <c r="F945" s="88"/>
      <c r="G945" s="88"/>
      <c r="H945" s="62"/>
      <c r="I945" s="111"/>
      <c r="J945" s="111"/>
      <c r="K945" s="110"/>
      <c r="L945" s="62"/>
      <c r="M945" s="62"/>
      <c r="N945" s="65"/>
      <c r="O945" s="88"/>
      <c r="P945" s="111"/>
      <c r="Q945" s="111"/>
      <c r="R945" s="88"/>
      <c r="S945" s="88"/>
      <c r="T945" s="62"/>
      <c r="U945" s="111"/>
      <c r="V945" s="111"/>
      <c r="W945" s="110"/>
      <c r="X945" s="62"/>
      <c r="Y945" s="62"/>
      <c r="Z945" s="65"/>
      <c r="AA945" s="88"/>
      <c r="AB945" s="111"/>
      <c r="AC945" s="111"/>
      <c r="AD945" s="88"/>
      <c r="AE945" s="88"/>
      <c r="AF945" s="62"/>
      <c r="AG945" s="111"/>
      <c r="AH945" s="111"/>
      <c r="AI945" s="110"/>
      <c r="AJ945" s="62"/>
      <c r="AK945" s="62"/>
      <c r="AL945" s="65"/>
      <c r="AM945" s="86"/>
      <c r="AN945" s="111"/>
      <c r="AO945" s="111"/>
      <c r="AP945" s="86"/>
      <c r="AQ945" s="86"/>
      <c r="AR945" s="62"/>
      <c r="AS945" s="111"/>
      <c r="AT945" s="111"/>
      <c r="AU945" s="110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0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0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0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1"/>
      <c r="E1000" s="111"/>
      <c r="F1000" s="86"/>
      <c r="G1000" s="86"/>
      <c r="H1000" s="62"/>
      <c r="I1000" s="111"/>
      <c r="J1000" s="111"/>
      <c r="K1000" s="110"/>
      <c r="L1000" s="62"/>
      <c r="M1000" s="62"/>
      <c r="N1000" s="65"/>
      <c r="O1000" s="86"/>
      <c r="P1000" s="111"/>
      <c r="Q1000" s="111"/>
      <c r="R1000" s="86"/>
      <c r="S1000" s="86"/>
      <c r="T1000" s="62"/>
      <c r="U1000" s="111"/>
      <c r="V1000" s="111"/>
      <c r="W1000" s="110"/>
      <c r="X1000" s="62"/>
      <c r="Y1000" s="62"/>
      <c r="Z1000" s="65"/>
      <c r="AA1000" s="86"/>
      <c r="AB1000" s="111"/>
      <c r="AC1000" s="111"/>
      <c r="AD1000" s="86"/>
      <c r="AE1000" s="86"/>
      <c r="AF1000" s="62"/>
      <c r="AG1000" s="111"/>
      <c r="AH1000" s="111"/>
      <c r="AI1000" s="11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0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0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1"/>
      <c r="E1055" s="111"/>
      <c r="F1055" s="86"/>
      <c r="G1055" s="86"/>
      <c r="H1055" s="62"/>
      <c r="I1055" s="111"/>
      <c r="J1055" s="111"/>
      <c r="K1055" s="110"/>
      <c r="L1055" s="62"/>
      <c r="M1055" s="62"/>
      <c r="N1055" s="65"/>
      <c r="O1055" s="86"/>
      <c r="P1055" s="111"/>
      <c r="Q1055" s="111"/>
      <c r="R1055" s="86"/>
      <c r="S1055" s="86"/>
      <c r="T1055" s="62"/>
      <c r="U1055" s="111"/>
      <c r="V1055" s="111"/>
      <c r="W1055" s="110"/>
      <c r="X1055" s="62"/>
      <c r="Y1055" s="62"/>
      <c r="Z1055" s="65"/>
      <c r="AA1055" s="86"/>
      <c r="AB1055" s="111"/>
      <c r="AC1055" s="111"/>
      <c r="AD1055" s="86"/>
      <c r="AE1055" s="86"/>
      <c r="AF1055" s="62"/>
      <c r="AG1055" s="111"/>
      <c r="AH1055" s="111"/>
      <c r="AI1055" s="11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0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0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1"/>
      <c r="E1110" s="111"/>
      <c r="F1110" s="86"/>
      <c r="G1110" s="86"/>
      <c r="H1110" s="62"/>
      <c r="I1110" s="111"/>
      <c r="J1110" s="111"/>
      <c r="K1110" s="110"/>
      <c r="L1110" s="62"/>
      <c r="M1110" s="62"/>
      <c r="N1110" s="65"/>
      <c r="O1110" s="86"/>
      <c r="P1110" s="111"/>
      <c r="Q1110" s="111"/>
      <c r="R1110" s="86"/>
      <c r="S1110" s="86"/>
      <c r="T1110" s="62"/>
      <c r="U1110" s="111"/>
      <c r="V1110" s="111"/>
      <c r="W1110" s="110"/>
      <c r="X1110" s="62"/>
      <c r="Y1110" s="62"/>
      <c r="Z1110" s="65"/>
      <c r="AA1110" s="86"/>
      <c r="AB1110" s="111"/>
      <c r="AC1110" s="111"/>
      <c r="AD1110" s="86"/>
      <c r="AE1110" s="86"/>
      <c r="AF1110" s="62"/>
      <c r="AG1110" s="111"/>
      <c r="AH1110" s="111"/>
      <c r="AI1110" s="11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0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0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1"/>
      <c r="E1165" s="111"/>
      <c r="F1165" s="86"/>
      <c r="G1165" s="86"/>
      <c r="H1165" s="62"/>
      <c r="I1165" s="111"/>
      <c r="J1165" s="111"/>
      <c r="K1165" s="110"/>
      <c r="L1165" s="62"/>
      <c r="M1165" s="62"/>
      <c r="N1165" s="65"/>
      <c r="O1165" s="86"/>
      <c r="P1165" s="111"/>
      <c r="Q1165" s="111"/>
      <c r="R1165" s="86"/>
      <c r="S1165" s="86"/>
      <c r="T1165" s="62"/>
      <c r="U1165" s="111"/>
      <c r="V1165" s="111"/>
      <c r="W1165" s="110"/>
      <c r="X1165" s="62"/>
      <c r="Y1165" s="62"/>
      <c r="Z1165" s="65"/>
      <c r="AA1165" s="86"/>
      <c r="AB1165" s="111"/>
      <c r="AC1165" s="111"/>
      <c r="AD1165" s="86"/>
      <c r="AE1165" s="86"/>
      <c r="AF1165" s="62"/>
      <c r="AG1165" s="111"/>
      <c r="AH1165" s="111"/>
      <c r="AI1165" s="11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0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0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1"/>
      <c r="E1221" s="111"/>
      <c r="F1221" s="86"/>
      <c r="G1221" s="86"/>
      <c r="H1221" s="62"/>
      <c r="I1221" s="111"/>
      <c r="J1221" s="111"/>
      <c r="K1221" s="110"/>
      <c r="L1221" s="62"/>
      <c r="M1221" s="62"/>
      <c r="N1221" s="65"/>
      <c r="O1221" s="86"/>
      <c r="P1221" s="111"/>
      <c r="Q1221" s="111"/>
      <c r="R1221" s="86"/>
      <c r="S1221" s="86"/>
      <c r="T1221" s="62"/>
      <c r="U1221" s="111"/>
      <c r="V1221" s="111"/>
      <c r="W1221" s="110"/>
      <c r="X1221" s="62"/>
      <c r="Y1221" s="62"/>
      <c r="Z1221" s="65"/>
      <c r="AA1221" s="86"/>
      <c r="AB1221" s="111"/>
      <c r="AC1221" s="111"/>
      <c r="AD1221" s="86"/>
      <c r="AE1221" s="86"/>
      <c r="AF1221" s="62"/>
      <c r="AG1221" s="111"/>
      <c r="AH1221" s="111"/>
      <c r="AI1221" s="11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0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0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1"/>
      <c r="E1283" s="111"/>
      <c r="F1283" s="86"/>
      <c r="G1283" s="86"/>
      <c r="H1283" s="62"/>
      <c r="I1283" s="111"/>
      <c r="J1283" s="111"/>
      <c r="K1283" s="110"/>
      <c r="L1283" s="62"/>
      <c r="M1283" s="62"/>
      <c r="N1283" s="65"/>
      <c r="O1283" s="86"/>
      <c r="P1283" s="111"/>
      <c r="Q1283" s="111"/>
      <c r="R1283" s="86"/>
      <c r="S1283" s="86"/>
      <c r="T1283" s="62"/>
      <c r="U1283" s="111"/>
      <c r="V1283" s="111"/>
      <c r="W1283" s="110"/>
      <c r="X1283" s="62"/>
      <c r="Y1283" s="62"/>
      <c r="Z1283" s="65"/>
      <c r="AA1283" s="86"/>
      <c r="AB1283" s="111"/>
      <c r="AC1283" s="111"/>
      <c r="AD1283" s="86"/>
      <c r="AE1283" s="86"/>
      <c r="AF1283" s="62"/>
      <c r="AG1283" s="111"/>
      <c r="AH1283" s="111"/>
      <c r="AI1283" s="11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0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0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2026-04-23T01:49:03Z</dcterms:modified>
</cp:coreProperties>
</file>