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59B93919-90BB-4E97-871D-2B1FCC0EF3B3}" xr6:coauthVersionLast="45" xr6:coauthVersionMax="47" xr10:uidLastSave="{00000000-0000-0000-0000-000000000000}"/>
  <bookViews>
    <workbookView xWindow="-120" yWindow="-120" windowWidth="29040" windowHeight="15840" firstSheet="11" activeTab="17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-A" sheetId="201" r:id="rId8"/>
    <sheet name="04-28-2026-B" sheetId="202" r:id="rId9"/>
    <sheet name="04-28-2026" sheetId="204" r:id="rId10"/>
    <sheet name="04-28-2026 NAB MTS" sheetId="203" r:id="rId11"/>
    <sheet name="04-29-2026" sheetId="205" r:id="rId12"/>
    <sheet name="04-30-2026-A" sheetId="207" r:id="rId13"/>
    <sheet name="04-30-2026-B" sheetId="206" r:id="rId14"/>
    <sheet name="04-30-2026-C" sheetId="208" r:id="rId15"/>
    <sheet name="04-30-2026-D" sheetId="209" r:id="rId16"/>
    <sheet name="04-30-2026-E BEER" sheetId="210" r:id="rId17"/>
    <sheet name="04-30-2026-F NAB" sheetId="211" r:id="rId18"/>
    <sheet name="04-30-2026-G" sheetId="212" r:id="rId19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9">'04-28-2026'!$A$1:$V$97</definedName>
    <definedName name="_xlnm.Print_Area" localSheetId="10">'04-28-2026 NAB MTS'!$A$1:$V$97</definedName>
    <definedName name="_xlnm.Print_Area" localSheetId="7">'04-28-2026-A'!$A$1:$V$97</definedName>
    <definedName name="_xlnm.Print_Area" localSheetId="8">'04-28-2026-B'!$A$1:$V$97</definedName>
    <definedName name="_xlnm.Print_Area" localSheetId="11">'04-29-2026'!$A$1:$V$97</definedName>
    <definedName name="_xlnm.Print_Area" localSheetId="12">'04-30-2026-A'!$A$1:$V$97</definedName>
    <definedName name="_xlnm.Print_Area" localSheetId="13">'04-30-2026-B'!$A$1:$V$97</definedName>
    <definedName name="_xlnm.Print_Area" localSheetId="14">'04-30-2026-C'!$A$1:$V$97</definedName>
    <definedName name="_xlnm.Print_Area" localSheetId="15">'04-30-2026-D'!$A$1:$V$97</definedName>
    <definedName name="_xlnm.Print_Area" localSheetId="16">'04-30-2026-E BEER'!$A$1:$V$97</definedName>
    <definedName name="_xlnm.Print_Area" localSheetId="17">'04-30-2026-F NAB'!$A$1:$V$97</definedName>
    <definedName name="_xlnm.Print_Area" localSheetId="18">'04-30-2026-G'!$A$1:$V$97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P77" i="211" l="1"/>
  <c r="P79" i="211"/>
  <c r="M79" i="212" l="1"/>
  <c r="P71" i="212"/>
  <c r="H71" i="212"/>
  <c r="Q70" i="212"/>
  <c r="P70" i="212"/>
  <c r="I70" i="212"/>
  <c r="H70" i="212"/>
  <c r="E70" i="212"/>
  <c r="Q69" i="212"/>
  <c r="P69" i="212"/>
  <c r="H69" i="212"/>
  <c r="E69" i="212"/>
  <c r="I69" i="212" s="1"/>
  <c r="AD68" i="212"/>
  <c r="AC68" i="212"/>
  <c r="AB68" i="212"/>
  <c r="AE68" i="212" s="1"/>
  <c r="AI68" i="212" s="1"/>
  <c r="Y68" i="212" s="1"/>
  <c r="Z68" i="212"/>
  <c r="X68" i="212"/>
  <c r="Q68" i="212"/>
  <c r="P68" i="212"/>
  <c r="H68" i="212"/>
  <c r="E68" i="212"/>
  <c r="I68" i="212" s="1"/>
  <c r="AD67" i="212"/>
  <c r="AC67" i="212"/>
  <c r="AE67" i="212" s="1"/>
  <c r="AI67" i="212" s="1"/>
  <c r="Y67" i="212" s="1"/>
  <c r="AB67" i="212"/>
  <c r="Z67" i="212"/>
  <c r="X67" i="212"/>
  <c r="Q67" i="212"/>
  <c r="P67" i="212"/>
  <c r="I67" i="212"/>
  <c r="H67" i="212"/>
  <c r="E67" i="212"/>
  <c r="AD66" i="212"/>
  <c r="AC66" i="212"/>
  <c r="AB66" i="212"/>
  <c r="AE66" i="212" s="1"/>
  <c r="AI66" i="212" s="1"/>
  <c r="Y66" i="212" s="1"/>
  <c r="Z66" i="212"/>
  <c r="X66" i="212"/>
  <c r="Q66" i="212"/>
  <c r="P66" i="212"/>
  <c r="I66" i="212"/>
  <c r="H66" i="212"/>
  <c r="E66" i="212"/>
  <c r="AD65" i="212"/>
  <c r="AE65" i="212" s="1"/>
  <c r="AI65" i="212" s="1"/>
  <c r="Y65" i="212" s="1"/>
  <c r="AC65" i="212"/>
  <c r="AB65" i="212"/>
  <c r="Z65" i="212"/>
  <c r="X65" i="212"/>
  <c r="Q65" i="212"/>
  <c r="P65" i="212"/>
  <c r="H65" i="212"/>
  <c r="E65" i="212"/>
  <c r="I65" i="212" s="1"/>
  <c r="AE64" i="212"/>
  <c r="AI64" i="212" s="1"/>
  <c r="Y64" i="212" s="1"/>
  <c r="AD64" i="212"/>
  <c r="AC64" i="212"/>
  <c r="AB64" i="212"/>
  <c r="Z64" i="212"/>
  <c r="X64" i="212"/>
  <c r="Q64" i="212"/>
  <c r="P64" i="212"/>
  <c r="H64" i="212"/>
  <c r="E64" i="212"/>
  <c r="I64" i="212" s="1"/>
  <c r="AD63" i="212"/>
  <c r="AC63" i="212"/>
  <c r="AB63" i="212"/>
  <c r="AE63" i="212" s="1"/>
  <c r="AI63" i="212" s="1"/>
  <c r="Y63" i="212" s="1"/>
  <c r="Z63" i="212"/>
  <c r="X63" i="212"/>
  <c r="Q63" i="212"/>
  <c r="P63" i="212"/>
  <c r="H63" i="212"/>
  <c r="E63" i="212"/>
  <c r="I63" i="212" s="1"/>
  <c r="AD62" i="212"/>
  <c r="AE62" i="212" s="1"/>
  <c r="AI62" i="212" s="1"/>
  <c r="Y62" i="212" s="1"/>
  <c r="AC62" i="212"/>
  <c r="AB62" i="212"/>
  <c r="Z62" i="212"/>
  <c r="X62" i="212"/>
  <c r="Q62" i="212"/>
  <c r="P62" i="212"/>
  <c r="I62" i="212"/>
  <c r="H62" i="212"/>
  <c r="E62" i="212"/>
  <c r="AE61" i="212"/>
  <c r="AI61" i="212" s="1"/>
  <c r="Y61" i="212" s="1"/>
  <c r="AC61" i="212"/>
  <c r="AB61" i="212"/>
  <c r="X61" i="212"/>
  <c r="Q61" i="212"/>
  <c r="P61" i="212"/>
  <c r="H61" i="212"/>
  <c r="E61" i="212"/>
  <c r="I61" i="212" s="1"/>
  <c r="AE60" i="212"/>
  <c r="AI60" i="212" s="1"/>
  <c r="Y60" i="212" s="1"/>
  <c r="X60" i="212"/>
  <c r="Q60" i="212"/>
  <c r="P60" i="212"/>
  <c r="I60" i="212"/>
  <c r="H60" i="212"/>
  <c r="E60" i="212"/>
  <c r="AE59" i="212"/>
  <c r="AI59" i="212" s="1"/>
  <c r="Y59" i="212" s="1"/>
  <c r="AC59" i="212"/>
  <c r="AB59" i="212"/>
  <c r="X59" i="212"/>
  <c r="Q59" i="212"/>
  <c r="P59" i="212"/>
  <c r="I59" i="212"/>
  <c r="H59" i="212"/>
  <c r="E59" i="212"/>
  <c r="AC58" i="212"/>
  <c r="AB58" i="212"/>
  <c r="AE58" i="212" s="1"/>
  <c r="AI58" i="212" s="1"/>
  <c r="Y58" i="212" s="1"/>
  <c r="X58" i="212"/>
  <c r="Q58" i="212"/>
  <c r="P58" i="212"/>
  <c r="E58" i="212"/>
  <c r="I58" i="212" s="1"/>
  <c r="AE57" i="212"/>
  <c r="AI57" i="212" s="1"/>
  <c r="Y57" i="212" s="1"/>
  <c r="AC57" i="212"/>
  <c r="AB57" i="212"/>
  <c r="X57" i="212"/>
  <c r="Q57" i="212"/>
  <c r="P57" i="212"/>
  <c r="I57" i="212"/>
  <c r="H57" i="212"/>
  <c r="E57" i="212"/>
  <c r="AE56" i="212"/>
  <c r="AI56" i="212" s="1"/>
  <c r="Y56" i="212" s="1"/>
  <c r="AD56" i="212"/>
  <c r="AC56" i="212"/>
  <c r="AB56" i="212"/>
  <c r="Z56" i="212"/>
  <c r="X56" i="212"/>
  <c r="Q56" i="212"/>
  <c r="P56" i="212"/>
  <c r="I56" i="212"/>
  <c r="H56" i="212"/>
  <c r="E56" i="212"/>
  <c r="AD55" i="212"/>
  <c r="AC55" i="212"/>
  <c r="AB55" i="212"/>
  <c r="AE55" i="212" s="1"/>
  <c r="AI55" i="212" s="1"/>
  <c r="Y55" i="212" s="1"/>
  <c r="Z55" i="212"/>
  <c r="X55" i="212"/>
  <c r="Q55" i="212"/>
  <c r="P55" i="212"/>
  <c r="H55" i="212"/>
  <c r="E55" i="212"/>
  <c r="I55" i="212" s="1"/>
  <c r="AD54" i="212"/>
  <c r="AC54" i="212"/>
  <c r="AB54" i="212"/>
  <c r="AE54" i="212" s="1"/>
  <c r="AI54" i="212" s="1"/>
  <c r="Y54" i="212" s="1"/>
  <c r="Z54" i="212"/>
  <c r="X54" i="212"/>
  <c r="Q54" i="212"/>
  <c r="P54" i="212"/>
  <c r="H54" i="212"/>
  <c r="E54" i="212"/>
  <c r="I54" i="212" s="1"/>
  <c r="AE53" i="212"/>
  <c r="AI53" i="212" s="1"/>
  <c r="Y53" i="212" s="1"/>
  <c r="AD53" i="212"/>
  <c r="AC53" i="212"/>
  <c r="AB53" i="212"/>
  <c r="Z53" i="212"/>
  <c r="X53" i="212"/>
  <c r="Q53" i="212"/>
  <c r="P53" i="212"/>
  <c r="I53" i="212"/>
  <c r="H53" i="212"/>
  <c r="E53" i="212"/>
  <c r="AE52" i="212"/>
  <c r="AI52" i="212" s="1"/>
  <c r="Y52" i="212" s="1"/>
  <c r="Z52" i="212"/>
  <c r="X52" i="212"/>
  <c r="Q52" i="212"/>
  <c r="P52" i="212"/>
  <c r="H52" i="212"/>
  <c r="E52" i="212"/>
  <c r="I52" i="212" s="1"/>
  <c r="AD51" i="212"/>
  <c r="AC51" i="212"/>
  <c r="AB51" i="212"/>
  <c r="AE51" i="212" s="1"/>
  <c r="AI51" i="212" s="1"/>
  <c r="Y51" i="212" s="1"/>
  <c r="Z51" i="212"/>
  <c r="X51" i="212"/>
  <c r="Q51" i="212"/>
  <c r="P51" i="212"/>
  <c r="I51" i="212"/>
  <c r="H51" i="212"/>
  <c r="E51" i="212"/>
  <c r="AD50" i="212"/>
  <c r="AC50" i="212"/>
  <c r="AE50" i="212" s="1"/>
  <c r="AI50" i="212" s="1"/>
  <c r="Y50" i="212" s="1"/>
  <c r="AB50" i="212"/>
  <c r="Z50" i="212"/>
  <c r="X50" i="212"/>
  <c r="Q50" i="212"/>
  <c r="P50" i="212"/>
  <c r="I50" i="212"/>
  <c r="H50" i="212"/>
  <c r="E50" i="212"/>
  <c r="AI49" i="212"/>
  <c r="Y49" i="212" s="1"/>
  <c r="AE49" i="212"/>
  <c r="Z49" i="212"/>
  <c r="X49" i="212"/>
  <c r="Q49" i="212"/>
  <c r="P49" i="212"/>
  <c r="H49" i="212"/>
  <c r="E49" i="212"/>
  <c r="I49" i="212" s="1"/>
  <c r="AI48" i="212"/>
  <c r="AE48" i="212"/>
  <c r="Z48" i="212"/>
  <c r="Y48" i="212"/>
  <c r="X48" i="212"/>
  <c r="Q48" i="212"/>
  <c r="P48" i="212"/>
  <c r="I48" i="212"/>
  <c r="H48" i="212"/>
  <c r="E48" i="212"/>
  <c r="AE47" i="212"/>
  <c r="AI47" i="212" s="1"/>
  <c r="Y47" i="212" s="1"/>
  <c r="Z47" i="212"/>
  <c r="X47" i="212"/>
  <c r="Q47" i="212"/>
  <c r="P47" i="212"/>
  <c r="H47" i="212"/>
  <c r="E47" i="212"/>
  <c r="I47" i="212" s="1"/>
  <c r="AD46" i="212"/>
  <c r="AC46" i="212"/>
  <c r="AB46" i="212"/>
  <c r="AE46" i="212" s="1"/>
  <c r="AI46" i="212" s="1"/>
  <c r="Y46" i="212" s="1"/>
  <c r="Z46" i="212"/>
  <c r="X46" i="212"/>
  <c r="Q46" i="212"/>
  <c r="P46" i="212"/>
  <c r="H46" i="212"/>
  <c r="E46" i="212"/>
  <c r="I46" i="212" s="1"/>
  <c r="AD45" i="212"/>
  <c r="AC45" i="212"/>
  <c r="AB45" i="212"/>
  <c r="AE45" i="212" s="1"/>
  <c r="AI45" i="212" s="1"/>
  <c r="Y45" i="212" s="1"/>
  <c r="Z45" i="212"/>
  <c r="X45" i="212"/>
  <c r="Q45" i="212"/>
  <c r="P45" i="212"/>
  <c r="I45" i="212"/>
  <c r="H45" i="212"/>
  <c r="E45" i="212"/>
  <c r="AE44" i="212"/>
  <c r="AI44" i="212" s="1"/>
  <c r="Y44" i="212" s="1"/>
  <c r="AD44" i="212"/>
  <c r="AC44" i="212"/>
  <c r="AB44" i="212"/>
  <c r="Z44" i="212"/>
  <c r="X44" i="212"/>
  <c r="Q44" i="212"/>
  <c r="P44" i="212"/>
  <c r="I44" i="212"/>
  <c r="H44" i="212"/>
  <c r="E44" i="212"/>
  <c r="AD43" i="212"/>
  <c r="AC43" i="212"/>
  <c r="AB43" i="212"/>
  <c r="AE43" i="212" s="1"/>
  <c r="AI43" i="212" s="1"/>
  <c r="Y43" i="212" s="1"/>
  <c r="Z43" i="212"/>
  <c r="X43" i="212"/>
  <c r="Q43" i="212"/>
  <c r="P43" i="212"/>
  <c r="H43" i="212"/>
  <c r="E43" i="212"/>
  <c r="I43" i="212" s="1"/>
  <c r="AD42" i="212"/>
  <c r="AC42" i="212"/>
  <c r="AB42" i="212"/>
  <c r="AE42" i="212" s="1"/>
  <c r="AI42" i="212" s="1"/>
  <c r="Y42" i="212" s="1"/>
  <c r="Z42" i="212"/>
  <c r="X42" i="212"/>
  <c r="Q42" i="212"/>
  <c r="P42" i="212"/>
  <c r="H42" i="212"/>
  <c r="E42" i="212"/>
  <c r="I42" i="212" s="1"/>
  <c r="AE41" i="212"/>
  <c r="AI41" i="212" s="1"/>
  <c r="Y41" i="212" s="1"/>
  <c r="AD41" i="212"/>
  <c r="AC41" i="212"/>
  <c r="AB41" i="212"/>
  <c r="Z41" i="212"/>
  <c r="X41" i="212"/>
  <c r="Q41" i="212"/>
  <c r="P41" i="212"/>
  <c r="I41" i="212"/>
  <c r="H41" i="212"/>
  <c r="E41" i="212"/>
  <c r="AD40" i="212"/>
  <c r="AC40" i="212"/>
  <c r="AB40" i="212"/>
  <c r="AE40" i="212" s="1"/>
  <c r="AI40" i="212" s="1"/>
  <c r="Y40" i="212" s="1"/>
  <c r="Z40" i="212"/>
  <c r="X40" i="212"/>
  <c r="Q40" i="212"/>
  <c r="P40" i="212"/>
  <c r="I40" i="212"/>
  <c r="H40" i="212"/>
  <c r="E40" i="212"/>
  <c r="AD39" i="212"/>
  <c r="AC39" i="212"/>
  <c r="AB39" i="212"/>
  <c r="AE39" i="212" s="1"/>
  <c r="AI39" i="212" s="1"/>
  <c r="Y39" i="212" s="1"/>
  <c r="Z39" i="212"/>
  <c r="X39" i="212"/>
  <c r="Q39" i="212"/>
  <c r="P39" i="212"/>
  <c r="H39" i="212"/>
  <c r="E39" i="212"/>
  <c r="I39" i="212" s="1"/>
  <c r="AD38" i="212"/>
  <c r="AC38" i="212"/>
  <c r="AB38" i="212"/>
  <c r="AE38" i="212" s="1"/>
  <c r="AI38" i="212" s="1"/>
  <c r="Y38" i="212" s="1"/>
  <c r="Z38" i="212"/>
  <c r="X38" i="212"/>
  <c r="Q38" i="212"/>
  <c r="P38" i="212"/>
  <c r="I38" i="212"/>
  <c r="H38" i="212"/>
  <c r="E38" i="212"/>
  <c r="AD37" i="212"/>
  <c r="AC37" i="212"/>
  <c r="AE37" i="212" s="1"/>
  <c r="AI37" i="212" s="1"/>
  <c r="Y37" i="212" s="1"/>
  <c r="AB37" i="212"/>
  <c r="Z37" i="212"/>
  <c r="X37" i="212"/>
  <c r="Q37" i="212"/>
  <c r="P37" i="212"/>
  <c r="I37" i="212"/>
  <c r="H37" i="212"/>
  <c r="E37" i="212"/>
  <c r="AI36" i="212"/>
  <c r="Y36" i="212" s="1"/>
  <c r="AE36" i="212"/>
  <c r="AD36" i="212"/>
  <c r="AC36" i="212"/>
  <c r="AB36" i="212"/>
  <c r="Z36" i="212"/>
  <c r="X36" i="212"/>
  <c r="Q36" i="212"/>
  <c r="P36" i="212"/>
  <c r="H36" i="212"/>
  <c r="E36" i="212"/>
  <c r="I36" i="212" s="1"/>
  <c r="AE35" i="212"/>
  <c r="AI35" i="212" s="1"/>
  <c r="Y35" i="212" s="1"/>
  <c r="AD35" i="212"/>
  <c r="AC35" i="212"/>
  <c r="AB35" i="212"/>
  <c r="Z35" i="212"/>
  <c r="X35" i="212"/>
  <c r="Q35" i="212"/>
  <c r="P35" i="212"/>
  <c r="H35" i="212"/>
  <c r="E35" i="212"/>
  <c r="I35" i="212" s="1"/>
  <c r="AD34" i="212"/>
  <c r="AC34" i="212"/>
  <c r="AB34" i="212"/>
  <c r="AE34" i="212" s="1"/>
  <c r="AI34" i="212" s="1"/>
  <c r="Y34" i="212" s="1"/>
  <c r="Z34" i="212"/>
  <c r="X34" i="212"/>
  <c r="Q34" i="212"/>
  <c r="P34" i="212"/>
  <c r="H34" i="212"/>
  <c r="E34" i="212"/>
  <c r="I34" i="212" s="1"/>
  <c r="AD33" i="212"/>
  <c r="AC33" i="212"/>
  <c r="AB33" i="212"/>
  <c r="AE33" i="212" s="1"/>
  <c r="AI33" i="212" s="1"/>
  <c r="Y33" i="212" s="1"/>
  <c r="Z33" i="212"/>
  <c r="X33" i="212"/>
  <c r="Q33" i="212"/>
  <c r="P33" i="212"/>
  <c r="I33" i="212"/>
  <c r="H33" i="212"/>
  <c r="E33" i="212"/>
  <c r="AE32" i="212"/>
  <c r="AI32" i="212" s="1"/>
  <c r="Y32" i="212" s="1"/>
  <c r="AD32" i="212"/>
  <c r="AC32" i="212"/>
  <c r="AB32" i="212"/>
  <c r="Z32" i="212"/>
  <c r="X32" i="212"/>
  <c r="Q32" i="212"/>
  <c r="P32" i="212"/>
  <c r="I32" i="212"/>
  <c r="H32" i="212"/>
  <c r="E32" i="212"/>
  <c r="AE31" i="212"/>
  <c r="AI31" i="212" s="1"/>
  <c r="Y31" i="212" s="1"/>
  <c r="Z31" i="212"/>
  <c r="X31" i="212"/>
  <c r="Q31" i="212"/>
  <c r="P31" i="212"/>
  <c r="H31" i="212"/>
  <c r="E31" i="212"/>
  <c r="I31" i="212" s="1"/>
  <c r="AD30" i="212"/>
  <c r="AC30" i="212"/>
  <c r="AB30" i="212"/>
  <c r="AE30" i="212" s="1"/>
  <c r="AI30" i="212" s="1"/>
  <c r="Y30" i="212" s="1"/>
  <c r="Z30" i="212"/>
  <c r="X30" i="212"/>
  <c r="Q30" i="212"/>
  <c r="P30" i="212"/>
  <c r="I30" i="212"/>
  <c r="H30" i="212"/>
  <c r="E30" i="212"/>
  <c r="AE29" i="212"/>
  <c r="AI29" i="212" s="1"/>
  <c r="Y29" i="212" s="1"/>
  <c r="AD29" i="212"/>
  <c r="AC29" i="212"/>
  <c r="AB29" i="212"/>
  <c r="Z29" i="212"/>
  <c r="X29" i="212"/>
  <c r="Q29" i="212"/>
  <c r="P29" i="212"/>
  <c r="I29" i="212"/>
  <c r="H29" i="212"/>
  <c r="E29" i="212"/>
  <c r="AD28" i="212"/>
  <c r="AC28" i="212"/>
  <c r="AB28" i="212"/>
  <c r="AE28" i="212" s="1"/>
  <c r="AI28" i="212" s="1"/>
  <c r="Y28" i="212" s="1"/>
  <c r="Z28" i="212"/>
  <c r="X28" i="212"/>
  <c r="Q28" i="212"/>
  <c r="P28" i="212"/>
  <c r="H28" i="212"/>
  <c r="E28" i="212"/>
  <c r="I28" i="212" s="1"/>
  <c r="AD27" i="212"/>
  <c r="AC27" i="212"/>
  <c r="AB27" i="212"/>
  <c r="AE27" i="212" s="1"/>
  <c r="AI27" i="212" s="1"/>
  <c r="Y27" i="212" s="1"/>
  <c r="Z27" i="212"/>
  <c r="X27" i="212"/>
  <c r="Q27" i="212"/>
  <c r="P27" i="212"/>
  <c r="H27" i="212"/>
  <c r="E27" i="212"/>
  <c r="I27" i="212" s="1"/>
  <c r="AE26" i="212"/>
  <c r="AI26" i="212" s="1"/>
  <c r="Y26" i="212" s="1"/>
  <c r="AD26" i="212"/>
  <c r="AC26" i="212"/>
  <c r="AB26" i="212"/>
  <c r="Z26" i="212"/>
  <c r="X26" i="212"/>
  <c r="Q26" i="212"/>
  <c r="P26" i="212"/>
  <c r="I26" i="212"/>
  <c r="H26" i="212"/>
  <c r="E26" i="212"/>
  <c r="AD25" i="212"/>
  <c r="AC25" i="212"/>
  <c r="AB25" i="212"/>
  <c r="AE25" i="212" s="1"/>
  <c r="AI25" i="212" s="1"/>
  <c r="Y25" i="212" s="1"/>
  <c r="Z25" i="212"/>
  <c r="X25" i="212"/>
  <c r="Q25" i="212"/>
  <c r="P25" i="212"/>
  <c r="I25" i="212"/>
  <c r="H25" i="212"/>
  <c r="E25" i="212"/>
  <c r="AD24" i="212"/>
  <c r="AC24" i="212"/>
  <c r="AB24" i="212"/>
  <c r="AE24" i="212" s="1"/>
  <c r="AI24" i="212" s="1"/>
  <c r="Y24" i="212" s="1"/>
  <c r="Z24" i="212"/>
  <c r="X24" i="212"/>
  <c r="Q24" i="212"/>
  <c r="P24" i="212"/>
  <c r="H24" i="212"/>
  <c r="E24" i="212"/>
  <c r="I24" i="212" s="1"/>
  <c r="AD23" i="212"/>
  <c r="AC23" i="212"/>
  <c r="AE23" i="212" s="1"/>
  <c r="AI23" i="212" s="1"/>
  <c r="Y23" i="212" s="1"/>
  <c r="AB23" i="212"/>
  <c r="Z23" i="212"/>
  <c r="X23" i="212"/>
  <c r="Q23" i="212"/>
  <c r="P23" i="212"/>
  <c r="I23" i="212"/>
  <c r="H23" i="212"/>
  <c r="E23" i="212"/>
  <c r="AD22" i="212"/>
  <c r="AC22" i="212"/>
  <c r="AB22" i="212"/>
  <c r="AE22" i="212" s="1"/>
  <c r="AI22" i="212" s="1"/>
  <c r="Y22" i="212" s="1"/>
  <c r="Z22" i="212"/>
  <c r="X22" i="212"/>
  <c r="Q22" i="212"/>
  <c r="P22" i="212"/>
  <c r="I22" i="212"/>
  <c r="H22" i="212"/>
  <c r="E22" i="212"/>
  <c r="AI21" i="212"/>
  <c r="Y21" i="212" s="1"/>
  <c r="AE21" i="212"/>
  <c r="AD21" i="212"/>
  <c r="AC21" i="212"/>
  <c r="AB21" i="212"/>
  <c r="Z21" i="212"/>
  <c r="X21" i="212"/>
  <c r="Q21" i="212"/>
  <c r="P21" i="212"/>
  <c r="H21" i="212"/>
  <c r="E21" i="212"/>
  <c r="I21" i="212" s="1"/>
  <c r="AE20" i="212"/>
  <c r="AI20" i="212" s="1"/>
  <c r="Y20" i="212" s="1"/>
  <c r="AD20" i="212"/>
  <c r="AC20" i="212"/>
  <c r="AB20" i="212"/>
  <c r="Z20" i="212"/>
  <c r="X20" i="212"/>
  <c r="Q20" i="212"/>
  <c r="P20" i="212"/>
  <c r="H20" i="212"/>
  <c r="E20" i="212"/>
  <c r="I20" i="212" s="1"/>
  <c r="AD19" i="212"/>
  <c r="AC19" i="212"/>
  <c r="AB19" i="212"/>
  <c r="AE19" i="212" s="1"/>
  <c r="AI19" i="212" s="1"/>
  <c r="Y19" i="212" s="1"/>
  <c r="Z19" i="212"/>
  <c r="X19" i="212"/>
  <c r="Q19" i="212"/>
  <c r="P19" i="212"/>
  <c r="H19" i="212"/>
  <c r="E19" i="212"/>
  <c r="I19" i="212" s="1"/>
  <c r="AD18" i="212"/>
  <c r="AC18" i="212"/>
  <c r="AB18" i="212"/>
  <c r="AE18" i="212" s="1"/>
  <c r="AI18" i="212" s="1"/>
  <c r="Y18" i="212" s="1"/>
  <c r="Z18" i="212"/>
  <c r="X18" i="212"/>
  <c r="Q18" i="212"/>
  <c r="P18" i="212"/>
  <c r="I18" i="212"/>
  <c r="H18" i="212"/>
  <c r="E18" i="212"/>
  <c r="AE17" i="212"/>
  <c r="AI17" i="212" s="1"/>
  <c r="Y17" i="212" s="1"/>
  <c r="AD17" i="212"/>
  <c r="AC17" i="212"/>
  <c r="AB17" i="212"/>
  <c r="Z17" i="212"/>
  <c r="X17" i="212"/>
  <c r="Q17" i="212"/>
  <c r="P17" i="212"/>
  <c r="I17" i="212"/>
  <c r="H17" i="212"/>
  <c r="E17" i="212"/>
  <c r="AD16" i="212"/>
  <c r="AC16" i="212"/>
  <c r="AB16" i="212"/>
  <c r="AE16" i="212" s="1"/>
  <c r="AI16" i="212" s="1"/>
  <c r="Y16" i="212" s="1"/>
  <c r="Z16" i="212"/>
  <c r="X16" i="212"/>
  <c r="Q16" i="212"/>
  <c r="P16" i="212"/>
  <c r="E16" i="212"/>
  <c r="I16" i="212" s="1"/>
  <c r="AE15" i="212"/>
  <c r="AI15" i="212" s="1"/>
  <c r="Y15" i="212" s="1"/>
  <c r="AD15" i="212"/>
  <c r="AC15" i="212"/>
  <c r="AB15" i="212"/>
  <c r="Z15" i="212"/>
  <c r="X15" i="212"/>
  <c r="Q15" i="212"/>
  <c r="P15" i="212"/>
  <c r="I15" i="212"/>
  <c r="E15" i="212"/>
  <c r="AD14" i="212"/>
  <c r="AC14" i="212"/>
  <c r="AB14" i="212"/>
  <c r="AE14" i="212" s="1"/>
  <c r="AI14" i="212" s="1"/>
  <c r="Y14" i="212" s="1"/>
  <c r="Z14" i="212"/>
  <c r="X14" i="212"/>
  <c r="Q14" i="212"/>
  <c r="O75" i="212" s="1"/>
  <c r="P14" i="212"/>
  <c r="H14" i="212"/>
  <c r="E14" i="212"/>
  <c r="I14" i="212" s="1"/>
  <c r="AD13" i="212"/>
  <c r="AC13" i="212"/>
  <c r="AB13" i="212"/>
  <c r="AE13" i="212" s="1"/>
  <c r="AI13" i="212" s="1"/>
  <c r="Y13" i="212" s="1"/>
  <c r="Z13" i="212"/>
  <c r="X13" i="212"/>
  <c r="Q13" i="212"/>
  <c r="P13" i="212"/>
  <c r="I13" i="212"/>
  <c r="H13" i="212"/>
  <c r="E13" i="212"/>
  <c r="AD12" i="212"/>
  <c r="AC12" i="212"/>
  <c r="AB12" i="212"/>
  <c r="AE12" i="212" s="1"/>
  <c r="AI12" i="212" s="1"/>
  <c r="Y12" i="212" s="1"/>
  <c r="Z12" i="212"/>
  <c r="T75" i="212" s="1"/>
  <c r="X12" i="212"/>
  <c r="Q12" i="212"/>
  <c r="P12" i="212"/>
  <c r="I12" i="212"/>
  <c r="H12" i="212"/>
  <c r="E12" i="212"/>
  <c r="M79" i="211"/>
  <c r="P71" i="211"/>
  <c r="Q70" i="211"/>
  <c r="P70" i="211"/>
  <c r="I70" i="211"/>
  <c r="H70" i="211"/>
  <c r="E70" i="211"/>
  <c r="Q69" i="211"/>
  <c r="P69" i="211"/>
  <c r="H69" i="211"/>
  <c r="E69" i="211"/>
  <c r="I69" i="211" s="1"/>
  <c r="AD68" i="211"/>
  <c r="AC68" i="211"/>
  <c r="AB68" i="211"/>
  <c r="AE68" i="211" s="1"/>
  <c r="AI68" i="211" s="1"/>
  <c r="Y68" i="211" s="1"/>
  <c r="Z68" i="211"/>
  <c r="X68" i="211"/>
  <c r="Q68" i="211"/>
  <c r="P68" i="211"/>
  <c r="I68" i="211"/>
  <c r="H68" i="211"/>
  <c r="E68" i="211"/>
  <c r="AE67" i="211"/>
  <c r="AI67" i="211" s="1"/>
  <c r="Y67" i="211" s="1"/>
  <c r="AD67" i="211"/>
  <c r="AC67" i="211"/>
  <c r="AB67" i="211"/>
  <c r="Z67" i="211"/>
  <c r="X67" i="211"/>
  <c r="Q67" i="211"/>
  <c r="P67" i="211"/>
  <c r="H67" i="211"/>
  <c r="E67" i="211"/>
  <c r="I67" i="211" s="1"/>
  <c r="AD66" i="211"/>
  <c r="AC66" i="211"/>
  <c r="AB66" i="211"/>
  <c r="AE66" i="211" s="1"/>
  <c r="AI66" i="211" s="1"/>
  <c r="Y66" i="211" s="1"/>
  <c r="Z66" i="211"/>
  <c r="X66" i="211"/>
  <c r="Q66" i="211"/>
  <c r="P66" i="211"/>
  <c r="I66" i="211"/>
  <c r="H66" i="211"/>
  <c r="E66" i="211"/>
  <c r="AD65" i="211"/>
  <c r="AE65" i="211" s="1"/>
  <c r="AI65" i="211" s="1"/>
  <c r="Y65" i="211" s="1"/>
  <c r="AC65" i="211"/>
  <c r="AB65" i="211"/>
  <c r="Z65" i="211"/>
  <c r="X65" i="211"/>
  <c r="Q65" i="211"/>
  <c r="P65" i="211"/>
  <c r="H65" i="211"/>
  <c r="E65" i="211"/>
  <c r="I65" i="211" s="1"/>
  <c r="AD64" i="211"/>
  <c r="AC64" i="211"/>
  <c r="AB64" i="211"/>
  <c r="AE64" i="211" s="1"/>
  <c r="AI64" i="211" s="1"/>
  <c r="Y64" i="211" s="1"/>
  <c r="Z64" i="211"/>
  <c r="X64" i="211"/>
  <c r="Q64" i="211"/>
  <c r="P64" i="211"/>
  <c r="H64" i="211"/>
  <c r="E64" i="211"/>
  <c r="I64" i="211" s="1"/>
  <c r="AD63" i="211"/>
  <c r="AC63" i="211"/>
  <c r="AB63" i="211"/>
  <c r="AE63" i="211" s="1"/>
  <c r="AI63" i="211" s="1"/>
  <c r="Y63" i="211" s="1"/>
  <c r="Z63" i="211"/>
  <c r="X63" i="211"/>
  <c r="Q63" i="211"/>
  <c r="P63" i="211"/>
  <c r="H63" i="211"/>
  <c r="E63" i="211"/>
  <c r="I63" i="211" s="1"/>
  <c r="AD62" i="211"/>
  <c r="AC62" i="211"/>
  <c r="AB62" i="211"/>
  <c r="AE62" i="211" s="1"/>
  <c r="AI62" i="211" s="1"/>
  <c r="Y62" i="211" s="1"/>
  <c r="Z62" i="211"/>
  <c r="X62" i="211"/>
  <c r="Q62" i="211"/>
  <c r="P62" i="211"/>
  <c r="I62" i="211"/>
  <c r="H62" i="211"/>
  <c r="E62" i="211"/>
  <c r="AE61" i="211"/>
  <c r="AI61" i="211" s="1"/>
  <c r="Y61" i="211" s="1"/>
  <c r="AC61" i="211"/>
  <c r="AB61" i="211"/>
  <c r="X61" i="211"/>
  <c r="Q61" i="211"/>
  <c r="P61" i="211"/>
  <c r="H61" i="211"/>
  <c r="E61" i="211"/>
  <c r="I61" i="211" s="1"/>
  <c r="AE60" i="211"/>
  <c r="AI60" i="211" s="1"/>
  <c r="Y60" i="211" s="1"/>
  <c r="X60" i="211"/>
  <c r="Q60" i="211"/>
  <c r="P60" i="211"/>
  <c r="I60" i="211"/>
  <c r="H60" i="211"/>
  <c r="E60" i="211"/>
  <c r="AE59" i="211"/>
  <c r="AI59" i="211" s="1"/>
  <c r="Y59" i="211" s="1"/>
  <c r="AC59" i="211"/>
  <c r="AB59" i="211"/>
  <c r="X59" i="211"/>
  <c r="Q59" i="211"/>
  <c r="P59" i="211"/>
  <c r="H59" i="211"/>
  <c r="E59" i="211"/>
  <c r="I59" i="211" s="1"/>
  <c r="AC58" i="211"/>
  <c r="AE58" i="211" s="1"/>
  <c r="AI58" i="211" s="1"/>
  <c r="Y58" i="211" s="1"/>
  <c r="AB58" i="211"/>
  <c r="X58" i="211"/>
  <c r="Q58" i="211"/>
  <c r="P58" i="211"/>
  <c r="E58" i="211"/>
  <c r="I58" i="211" s="1"/>
  <c r="AE57" i="211"/>
  <c r="AI57" i="211" s="1"/>
  <c r="Y57" i="211" s="1"/>
  <c r="AC57" i="211"/>
  <c r="AB57" i="211"/>
  <c r="X57" i="211"/>
  <c r="Q57" i="211"/>
  <c r="P57" i="211"/>
  <c r="I57" i="211"/>
  <c r="H57" i="211"/>
  <c r="E57" i="211"/>
  <c r="AD56" i="211"/>
  <c r="AC56" i="211"/>
  <c r="AB56" i="211"/>
  <c r="AE56" i="211" s="1"/>
  <c r="AI56" i="211" s="1"/>
  <c r="Y56" i="211" s="1"/>
  <c r="Z56" i="211"/>
  <c r="X56" i="211"/>
  <c r="Q56" i="211"/>
  <c r="P56" i="211"/>
  <c r="I56" i="211"/>
  <c r="H56" i="211"/>
  <c r="E56" i="211"/>
  <c r="AD55" i="211"/>
  <c r="AC55" i="211"/>
  <c r="AB55" i="211"/>
  <c r="AE55" i="211" s="1"/>
  <c r="AI55" i="211" s="1"/>
  <c r="Y55" i="211" s="1"/>
  <c r="Z55" i="211"/>
  <c r="X55" i="211"/>
  <c r="Q55" i="211"/>
  <c r="P55" i="211"/>
  <c r="H55" i="211"/>
  <c r="E55" i="211"/>
  <c r="I55" i="211" s="1"/>
  <c r="AI54" i="211"/>
  <c r="Y54" i="211" s="1"/>
  <c r="AE54" i="211"/>
  <c r="AD54" i="211"/>
  <c r="AC54" i="211"/>
  <c r="AB54" i="211"/>
  <c r="Z54" i="211"/>
  <c r="X54" i="211"/>
  <c r="Q54" i="211"/>
  <c r="P54" i="211"/>
  <c r="H54" i="211"/>
  <c r="E54" i="211"/>
  <c r="I54" i="211" s="1"/>
  <c r="AD53" i="211"/>
  <c r="AC53" i="211"/>
  <c r="AB53" i="211"/>
  <c r="AE53" i="211" s="1"/>
  <c r="AI53" i="211" s="1"/>
  <c r="Y53" i="211" s="1"/>
  <c r="Z53" i="211"/>
  <c r="X53" i="211"/>
  <c r="Q53" i="211"/>
  <c r="P53" i="211"/>
  <c r="I53" i="211"/>
  <c r="H53" i="211"/>
  <c r="E53" i="211"/>
  <c r="AE52" i="211"/>
  <c r="AI52" i="211" s="1"/>
  <c r="Y52" i="211" s="1"/>
  <c r="Z52" i="211"/>
  <c r="X52" i="211"/>
  <c r="Q52" i="211"/>
  <c r="P52" i="211"/>
  <c r="I52" i="211"/>
  <c r="H52" i="211"/>
  <c r="E52" i="211"/>
  <c r="AD51" i="211"/>
  <c r="AC51" i="211"/>
  <c r="AE51" i="211" s="1"/>
  <c r="AI51" i="211" s="1"/>
  <c r="Y51" i="211" s="1"/>
  <c r="AB51" i="211"/>
  <c r="Z51" i="211"/>
  <c r="X51" i="211"/>
  <c r="Q51" i="211"/>
  <c r="P51" i="211"/>
  <c r="H51" i="211"/>
  <c r="E51" i="211"/>
  <c r="I51" i="211" s="1"/>
  <c r="AD50" i="211"/>
  <c r="AE50" i="211" s="1"/>
  <c r="AI50" i="211" s="1"/>
  <c r="Y50" i="211" s="1"/>
  <c r="AC50" i="211"/>
  <c r="AB50" i="211"/>
  <c r="Z50" i="211"/>
  <c r="X50" i="211"/>
  <c r="Q50" i="211"/>
  <c r="P50" i="211"/>
  <c r="I50" i="211"/>
  <c r="H50" i="211"/>
  <c r="E50" i="211"/>
  <c r="AE49" i="211"/>
  <c r="AI49" i="211" s="1"/>
  <c r="Y49" i="211" s="1"/>
  <c r="Z49" i="211"/>
  <c r="X49" i="211"/>
  <c r="Q49" i="211"/>
  <c r="P49" i="211"/>
  <c r="H49" i="211"/>
  <c r="E49" i="211"/>
  <c r="I49" i="211" s="1"/>
  <c r="AE48" i="211"/>
  <c r="AI48" i="211" s="1"/>
  <c r="Y48" i="211" s="1"/>
  <c r="Z48" i="211"/>
  <c r="X48" i="211"/>
  <c r="Q48" i="211"/>
  <c r="P48" i="211"/>
  <c r="I48" i="211"/>
  <c r="H48" i="211"/>
  <c r="E48" i="211"/>
  <c r="AE47" i="211"/>
  <c r="AI47" i="211" s="1"/>
  <c r="Y47" i="211" s="1"/>
  <c r="Z47" i="211"/>
  <c r="X47" i="211"/>
  <c r="Q47" i="211"/>
  <c r="P47" i="211"/>
  <c r="H47" i="211"/>
  <c r="E47" i="211"/>
  <c r="I47" i="211" s="1"/>
  <c r="AD46" i="211"/>
  <c r="AC46" i="211"/>
  <c r="AB46" i="211"/>
  <c r="AE46" i="211" s="1"/>
  <c r="AI46" i="211" s="1"/>
  <c r="Y46" i="211" s="1"/>
  <c r="Z46" i="211"/>
  <c r="X46" i="211"/>
  <c r="Q46" i="211"/>
  <c r="P46" i="211"/>
  <c r="I46" i="211"/>
  <c r="H46" i="211"/>
  <c r="E46" i="211"/>
  <c r="AD45" i="211"/>
  <c r="AC45" i="211"/>
  <c r="AB45" i="211"/>
  <c r="AE45" i="211" s="1"/>
  <c r="AI45" i="211" s="1"/>
  <c r="Y45" i="211" s="1"/>
  <c r="Z45" i="211"/>
  <c r="X45" i="211"/>
  <c r="Q45" i="211"/>
  <c r="P45" i="211"/>
  <c r="I45" i="211"/>
  <c r="H45" i="211"/>
  <c r="E45" i="211"/>
  <c r="AD44" i="211"/>
  <c r="AC44" i="211"/>
  <c r="AB44" i="211"/>
  <c r="AE44" i="211" s="1"/>
  <c r="AI44" i="211" s="1"/>
  <c r="Y44" i="211" s="1"/>
  <c r="Z44" i="211"/>
  <c r="X44" i="211"/>
  <c r="Q44" i="211"/>
  <c r="P44" i="211"/>
  <c r="I44" i="211"/>
  <c r="H44" i="211"/>
  <c r="E44" i="211"/>
  <c r="AD43" i="211"/>
  <c r="AC43" i="211"/>
  <c r="AB43" i="211"/>
  <c r="AE43" i="211" s="1"/>
  <c r="AI43" i="211" s="1"/>
  <c r="Y43" i="211" s="1"/>
  <c r="Z43" i="211"/>
  <c r="X43" i="211"/>
  <c r="Q43" i="211"/>
  <c r="P43" i="211"/>
  <c r="H43" i="211"/>
  <c r="E43" i="211"/>
  <c r="I43" i="211" s="1"/>
  <c r="AI42" i="211"/>
  <c r="Y42" i="211" s="1"/>
  <c r="AE42" i="211"/>
  <c r="AD42" i="211"/>
  <c r="AC42" i="211"/>
  <c r="AB42" i="211"/>
  <c r="Z42" i="211"/>
  <c r="X42" i="211"/>
  <c r="Q42" i="211"/>
  <c r="P42" i="211"/>
  <c r="H42" i="211"/>
  <c r="E42" i="211"/>
  <c r="I42" i="211" s="1"/>
  <c r="AD41" i="211"/>
  <c r="AC41" i="211"/>
  <c r="AB41" i="211"/>
  <c r="AE41" i="211" s="1"/>
  <c r="AI41" i="211" s="1"/>
  <c r="Y41" i="211" s="1"/>
  <c r="Z41" i="211"/>
  <c r="X41" i="211"/>
  <c r="Q41" i="211"/>
  <c r="P41" i="211"/>
  <c r="I41" i="211"/>
  <c r="H41" i="211"/>
  <c r="E41" i="211"/>
  <c r="AE40" i="211"/>
  <c r="AI40" i="211" s="1"/>
  <c r="Y40" i="211" s="1"/>
  <c r="AD40" i="211"/>
  <c r="AC40" i="211"/>
  <c r="AB40" i="211"/>
  <c r="Z40" i="211"/>
  <c r="X40" i="211"/>
  <c r="Q40" i="211"/>
  <c r="P40" i="211"/>
  <c r="H40" i="211"/>
  <c r="E40" i="211"/>
  <c r="I40" i="211" s="1"/>
  <c r="AD39" i="211"/>
  <c r="AC39" i="211"/>
  <c r="AB39" i="211"/>
  <c r="AE39" i="211" s="1"/>
  <c r="AI39" i="211" s="1"/>
  <c r="Z39" i="211"/>
  <c r="Q39" i="211"/>
  <c r="P39" i="211"/>
  <c r="I39" i="211"/>
  <c r="H39" i="211"/>
  <c r="E39" i="211"/>
  <c r="AD38" i="211"/>
  <c r="AE38" i="211" s="1"/>
  <c r="AI38" i="211" s="1"/>
  <c r="Y38" i="211" s="1"/>
  <c r="AC38" i="211"/>
  <c r="AB38" i="211"/>
  <c r="Z38" i="211"/>
  <c r="X38" i="211"/>
  <c r="Q38" i="211"/>
  <c r="P38" i="211"/>
  <c r="I38" i="211"/>
  <c r="H38" i="211"/>
  <c r="E38" i="211"/>
  <c r="AE37" i="211"/>
  <c r="AI37" i="211" s="1"/>
  <c r="Y37" i="211" s="1"/>
  <c r="AD37" i="211"/>
  <c r="AC37" i="211"/>
  <c r="AB37" i="211"/>
  <c r="Z37" i="211"/>
  <c r="X37" i="211"/>
  <c r="Q37" i="211"/>
  <c r="P37" i="211"/>
  <c r="I37" i="211"/>
  <c r="H37" i="211"/>
  <c r="E37" i="211"/>
  <c r="AE36" i="211"/>
  <c r="AI36" i="211" s="1"/>
  <c r="Y36" i="211" s="1"/>
  <c r="AD36" i="211"/>
  <c r="AC36" i="211"/>
  <c r="AB36" i="211"/>
  <c r="Z36" i="211"/>
  <c r="X36" i="211"/>
  <c r="Q36" i="211"/>
  <c r="P36" i="211"/>
  <c r="H36" i="211"/>
  <c r="E36" i="211"/>
  <c r="I36" i="211" s="1"/>
  <c r="AD35" i="211"/>
  <c r="AC35" i="211"/>
  <c r="AB35" i="211"/>
  <c r="AE35" i="211" s="1"/>
  <c r="AI35" i="211" s="1"/>
  <c r="Y35" i="211" s="1"/>
  <c r="Z35" i="211"/>
  <c r="X35" i="211"/>
  <c r="Q35" i="211"/>
  <c r="P35" i="211"/>
  <c r="I35" i="211"/>
  <c r="H35" i="211"/>
  <c r="E35" i="211"/>
  <c r="AD34" i="211"/>
  <c r="AC34" i="211"/>
  <c r="AE34" i="211" s="1"/>
  <c r="AI34" i="211" s="1"/>
  <c r="Y34" i="211" s="1"/>
  <c r="AB34" i="211"/>
  <c r="Z34" i="211"/>
  <c r="X34" i="211"/>
  <c r="Q34" i="211"/>
  <c r="P34" i="211"/>
  <c r="I34" i="211"/>
  <c r="H34" i="211"/>
  <c r="E34" i="211"/>
  <c r="AD33" i="211"/>
  <c r="AC33" i="211"/>
  <c r="AB33" i="211"/>
  <c r="AE33" i="211" s="1"/>
  <c r="AI33" i="211" s="1"/>
  <c r="Y33" i="211" s="1"/>
  <c r="Z33" i="211"/>
  <c r="X33" i="211"/>
  <c r="Q33" i="211"/>
  <c r="P33" i="211"/>
  <c r="I33" i="211"/>
  <c r="H33" i="211"/>
  <c r="E33" i="211"/>
  <c r="AD32" i="211"/>
  <c r="AC32" i="211"/>
  <c r="AB32" i="211"/>
  <c r="AE32" i="211" s="1"/>
  <c r="AI32" i="211" s="1"/>
  <c r="Y32" i="211" s="1"/>
  <c r="Z32" i="211"/>
  <c r="X32" i="211"/>
  <c r="Q32" i="211"/>
  <c r="P32" i="211"/>
  <c r="H32" i="211"/>
  <c r="E32" i="211"/>
  <c r="I32" i="211" s="1"/>
  <c r="AI31" i="211"/>
  <c r="Y31" i="211" s="1"/>
  <c r="AE31" i="211"/>
  <c r="Z31" i="211"/>
  <c r="X31" i="211"/>
  <c r="Q31" i="211"/>
  <c r="P31" i="211"/>
  <c r="I31" i="211"/>
  <c r="H31" i="211"/>
  <c r="E31" i="211"/>
  <c r="AE30" i="211"/>
  <c r="AI30" i="211" s="1"/>
  <c r="Y30" i="211" s="1"/>
  <c r="AD30" i="211"/>
  <c r="AC30" i="211"/>
  <c r="AB30" i="211"/>
  <c r="Z30" i="211"/>
  <c r="X30" i="211"/>
  <c r="Q30" i="211"/>
  <c r="P30" i="211"/>
  <c r="H30" i="211"/>
  <c r="E30" i="211"/>
  <c r="I30" i="211" s="1"/>
  <c r="AD29" i="211"/>
  <c r="AC29" i="211"/>
  <c r="AB29" i="211"/>
  <c r="AE29" i="211" s="1"/>
  <c r="AI29" i="211" s="1"/>
  <c r="Y29" i="211" s="1"/>
  <c r="Z29" i="211"/>
  <c r="X29" i="211"/>
  <c r="Q29" i="211"/>
  <c r="P29" i="211"/>
  <c r="I29" i="211"/>
  <c r="H29" i="211"/>
  <c r="E29" i="211"/>
  <c r="AD28" i="211"/>
  <c r="AC28" i="211"/>
  <c r="AE28" i="211" s="1"/>
  <c r="AI28" i="211" s="1"/>
  <c r="AB28" i="211"/>
  <c r="Q28" i="211"/>
  <c r="P28" i="211"/>
  <c r="X28" i="211"/>
  <c r="E28" i="211"/>
  <c r="I28" i="211" s="1"/>
  <c r="AE27" i="211"/>
  <c r="AI27" i="211" s="1"/>
  <c r="Y27" i="211" s="1"/>
  <c r="AD27" i="211"/>
  <c r="AC27" i="211"/>
  <c r="AB27" i="211"/>
  <c r="Z27" i="211"/>
  <c r="X27" i="211"/>
  <c r="Q27" i="211"/>
  <c r="P27" i="211"/>
  <c r="I27" i="211"/>
  <c r="H27" i="211"/>
  <c r="E27" i="211"/>
  <c r="AE26" i="211"/>
  <c r="AI26" i="211" s="1"/>
  <c r="Y26" i="211" s="1"/>
  <c r="AD26" i="211"/>
  <c r="AC26" i="211"/>
  <c r="AB26" i="211"/>
  <c r="Z26" i="211"/>
  <c r="X26" i="211"/>
  <c r="Q26" i="211"/>
  <c r="P26" i="211"/>
  <c r="H26" i="211"/>
  <c r="E26" i="211"/>
  <c r="I26" i="211" s="1"/>
  <c r="AD25" i="211"/>
  <c r="AC25" i="211"/>
  <c r="AB25" i="211"/>
  <c r="AE25" i="211" s="1"/>
  <c r="AI25" i="211" s="1"/>
  <c r="Y25" i="211" s="1"/>
  <c r="Z25" i="211"/>
  <c r="X25" i="211"/>
  <c r="Q25" i="211"/>
  <c r="P25" i="211"/>
  <c r="I25" i="211"/>
  <c r="H25" i="211"/>
  <c r="E25" i="211"/>
  <c r="AD24" i="211"/>
  <c r="AC24" i="211"/>
  <c r="AB24" i="211"/>
  <c r="AE24" i="211" s="1"/>
  <c r="AI24" i="211" s="1"/>
  <c r="Y24" i="211" s="1"/>
  <c r="Z24" i="211"/>
  <c r="X24" i="211"/>
  <c r="Q24" i="211"/>
  <c r="P24" i="211"/>
  <c r="I24" i="211"/>
  <c r="H24" i="211"/>
  <c r="E24" i="211"/>
  <c r="AD23" i="211"/>
  <c r="AC23" i="211"/>
  <c r="AB23" i="211"/>
  <c r="AE23" i="211" s="1"/>
  <c r="AI23" i="211" s="1"/>
  <c r="Y23" i="211" s="1"/>
  <c r="Z23" i="211"/>
  <c r="X23" i="211"/>
  <c r="Q23" i="211"/>
  <c r="P23" i="211"/>
  <c r="I23" i="211"/>
  <c r="H23" i="211"/>
  <c r="E23" i="211"/>
  <c r="AD22" i="211"/>
  <c r="AC22" i="211"/>
  <c r="AB22" i="211"/>
  <c r="AE22" i="211" s="1"/>
  <c r="AI22" i="211" s="1"/>
  <c r="Y22" i="211" s="1"/>
  <c r="Z22" i="211"/>
  <c r="X22" i="211"/>
  <c r="Q22" i="211"/>
  <c r="P22" i="211"/>
  <c r="H22" i="211"/>
  <c r="E22" i="211"/>
  <c r="I22" i="211" s="1"/>
  <c r="AI21" i="211"/>
  <c r="Y21" i="211" s="1"/>
  <c r="AE21" i="211"/>
  <c r="AD21" i="211"/>
  <c r="AC21" i="211"/>
  <c r="AB21" i="211"/>
  <c r="Z21" i="211"/>
  <c r="X21" i="211"/>
  <c r="Q21" i="211"/>
  <c r="P21" i="211"/>
  <c r="H21" i="211"/>
  <c r="E21" i="211"/>
  <c r="I21" i="211" s="1"/>
  <c r="AD20" i="211"/>
  <c r="AC20" i="211"/>
  <c r="AB20" i="211"/>
  <c r="AE20" i="211" s="1"/>
  <c r="AI20" i="211" s="1"/>
  <c r="Y20" i="211" s="1"/>
  <c r="Z20" i="211"/>
  <c r="X20" i="211"/>
  <c r="Q20" i="211"/>
  <c r="P20" i="211"/>
  <c r="H20" i="211"/>
  <c r="E20" i="211"/>
  <c r="I20" i="211" s="1"/>
  <c r="AD19" i="211"/>
  <c r="AC19" i="211"/>
  <c r="AB19" i="211"/>
  <c r="AE19" i="211" s="1"/>
  <c r="AI19" i="211" s="1"/>
  <c r="Y19" i="211" s="1"/>
  <c r="Z19" i="211"/>
  <c r="X19" i="211"/>
  <c r="Q19" i="211"/>
  <c r="P19" i="211"/>
  <c r="H19" i="211"/>
  <c r="E19" i="211"/>
  <c r="I19" i="211" s="1"/>
  <c r="AD18" i="211"/>
  <c r="AC18" i="211"/>
  <c r="AB18" i="211"/>
  <c r="AE18" i="211" s="1"/>
  <c r="AI18" i="211" s="1"/>
  <c r="Y18" i="211" s="1"/>
  <c r="Z18" i="211"/>
  <c r="X18" i="211"/>
  <c r="Q18" i="211"/>
  <c r="P18" i="211"/>
  <c r="H18" i="211"/>
  <c r="E18" i="211"/>
  <c r="I18" i="211" s="1"/>
  <c r="AD17" i="211"/>
  <c r="AE17" i="211" s="1"/>
  <c r="AI17" i="211" s="1"/>
  <c r="Y17" i="211" s="1"/>
  <c r="AC17" i="211"/>
  <c r="AB17" i="211"/>
  <c r="Z17" i="211"/>
  <c r="X17" i="211"/>
  <c r="Q17" i="211"/>
  <c r="P17" i="211"/>
  <c r="I17" i="211"/>
  <c r="H17" i="211"/>
  <c r="E17" i="211"/>
  <c r="AE16" i="211"/>
  <c r="AI16" i="211" s="1"/>
  <c r="Y16" i="211" s="1"/>
  <c r="AD16" i="211"/>
  <c r="AC16" i="211"/>
  <c r="AB16" i="211"/>
  <c r="Z16" i="211"/>
  <c r="X16" i="211"/>
  <c r="Q16" i="211"/>
  <c r="P16" i="211"/>
  <c r="I16" i="211"/>
  <c r="E16" i="211"/>
  <c r="AD15" i="211"/>
  <c r="AE15" i="211" s="1"/>
  <c r="AI15" i="211" s="1"/>
  <c r="Y15" i="211" s="1"/>
  <c r="AC15" i="211"/>
  <c r="AB15" i="211"/>
  <c r="Z15" i="211"/>
  <c r="X15" i="211"/>
  <c r="Q15" i="211"/>
  <c r="P15" i="211"/>
  <c r="E15" i="211"/>
  <c r="I15" i="211" s="1"/>
  <c r="AE14" i="211"/>
  <c r="AI14" i="211" s="1"/>
  <c r="Y14" i="211" s="1"/>
  <c r="AD14" i="211"/>
  <c r="AC14" i="211"/>
  <c r="AB14" i="211"/>
  <c r="Z14" i="211"/>
  <c r="X14" i="211"/>
  <c r="Q14" i="211"/>
  <c r="P14" i="211"/>
  <c r="H14" i="211"/>
  <c r="E14" i="211"/>
  <c r="I14" i="211" s="1"/>
  <c r="AD13" i="211"/>
  <c r="AC13" i="211"/>
  <c r="AB13" i="211"/>
  <c r="AE13" i="211" s="1"/>
  <c r="AI13" i="211" s="1"/>
  <c r="Y13" i="211" s="1"/>
  <c r="Z13" i="211"/>
  <c r="X13" i="211"/>
  <c r="Q13" i="211"/>
  <c r="P13" i="211"/>
  <c r="I13" i="211"/>
  <c r="H13" i="211"/>
  <c r="E13" i="211"/>
  <c r="AD12" i="211"/>
  <c r="AC12" i="211"/>
  <c r="AE12" i="211" s="1"/>
  <c r="AI12" i="211" s="1"/>
  <c r="Y12" i="211" s="1"/>
  <c r="AB12" i="211"/>
  <c r="Z12" i="211"/>
  <c r="X12" i="211"/>
  <c r="Q12" i="211"/>
  <c r="P12" i="211"/>
  <c r="H12" i="211"/>
  <c r="E12" i="211"/>
  <c r="I12" i="211" s="1"/>
  <c r="F39" i="210"/>
  <c r="F28" i="210"/>
  <c r="F20" i="210"/>
  <c r="Z20" i="210" s="1"/>
  <c r="M79" i="210"/>
  <c r="P71" i="210"/>
  <c r="H71" i="210"/>
  <c r="Q70" i="210"/>
  <c r="P70" i="210"/>
  <c r="H70" i="210"/>
  <c r="E70" i="210"/>
  <c r="I70" i="210" s="1"/>
  <c r="Q69" i="210"/>
  <c r="P69" i="210"/>
  <c r="H69" i="210"/>
  <c r="E69" i="210"/>
  <c r="I69" i="210" s="1"/>
  <c r="AD68" i="210"/>
  <c r="AC68" i="210"/>
  <c r="AB68" i="210"/>
  <c r="AE68" i="210" s="1"/>
  <c r="AI68" i="210" s="1"/>
  <c r="Y68" i="210" s="1"/>
  <c r="Z68" i="210"/>
  <c r="X68" i="210"/>
  <c r="Q68" i="210"/>
  <c r="P68" i="210"/>
  <c r="I68" i="210"/>
  <c r="H68" i="210"/>
  <c r="E68" i="210"/>
  <c r="AD67" i="210"/>
  <c r="AE67" i="210" s="1"/>
  <c r="AI67" i="210" s="1"/>
  <c r="Y67" i="210" s="1"/>
  <c r="AC67" i="210"/>
  <c r="AB67" i="210"/>
  <c r="Z67" i="210"/>
  <c r="X67" i="210"/>
  <c r="Q67" i="210"/>
  <c r="P67" i="210"/>
  <c r="H67" i="210"/>
  <c r="E67" i="210"/>
  <c r="I67" i="210" s="1"/>
  <c r="AD66" i="210"/>
  <c r="AC66" i="210"/>
  <c r="AB66" i="210"/>
  <c r="AE66" i="210" s="1"/>
  <c r="AI66" i="210" s="1"/>
  <c r="Y66" i="210" s="1"/>
  <c r="Z66" i="210"/>
  <c r="X66" i="210"/>
  <c r="Q66" i="210"/>
  <c r="P66" i="210"/>
  <c r="H66" i="210"/>
  <c r="E66" i="210"/>
  <c r="I66" i="210" s="1"/>
  <c r="AD65" i="210"/>
  <c r="AC65" i="210"/>
  <c r="AB65" i="210"/>
  <c r="AE65" i="210" s="1"/>
  <c r="AI65" i="210" s="1"/>
  <c r="Y65" i="210" s="1"/>
  <c r="Z65" i="210"/>
  <c r="X65" i="210"/>
  <c r="Q65" i="210"/>
  <c r="P65" i="210"/>
  <c r="H65" i="210"/>
  <c r="E65" i="210"/>
  <c r="I65" i="210" s="1"/>
  <c r="AD64" i="210"/>
  <c r="AE64" i="210" s="1"/>
  <c r="AI64" i="210" s="1"/>
  <c r="Y64" i="210" s="1"/>
  <c r="AC64" i="210"/>
  <c r="AB64" i="210"/>
  <c r="Z64" i="210"/>
  <c r="X64" i="210"/>
  <c r="Q64" i="210"/>
  <c r="P64" i="210"/>
  <c r="I64" i="210"/>
  <c r="H64" i="210"/>
  <c r="E64" i="210"/>
  <c r="AE63" i="210"/>
  <c r="AI63" i="210" s="1"/>
  <c r="Y63" i="210" s="1"/>
  <c r="AD63" i="210"/>
  <c r="AC63" i="210"/>
  <c r="AB63" i="210"/>
  <c r="Z63" i="210"/>
  <c r="X63" i="210"/>
  <c r="Q63" i="210"/>
  <c r="P63" i="210"/>
  <c r="H63" i="210"/>
  <c r="E63" i="210"/>
  <c r="I63" i="210" s="1"/>
  <c r="AD62" i="210"/>
  <c r="AC62" i="210"/>
  <c r="AB62" i="210"/>
  <c r="AE62" i="210" s="1"/>
  <c r="AI62" i="210" s="1"/>
  <c r="Y62" i="210" s="1"/>
  <c r="Z62" i="210"/>
  <c r="X62" i="210"/>
  <c r="Q62" i="210"/>
  <c r="P62" i="210"/>
  <c r="H62" i="210"/>
  <c r="E62" i="210"/>
  <c r="I62" i="210" s="1"/>
  <c r="AE61" i="210"/>
  <c r="AI61" i="210" s="1"/>
  <c r="Y61" i="210" s="1"/>
  <c r="AC61" i="210"/>
  <c r="AB61" i="210"/>
  <c r="X61" i="210"/>
  <c r="Q61" i="210"/>
  <c r="P61" i="210"/>
  <c r="H61" i="210"/>
  <c r="E61" i="210"/>
  <c r="I61" i="210" s="1"/>
  <c r="AI60" i="210"/>
  <c r="Y60" i="210" s="1"/>
  <c r="AE60" i="210"/>
  <c r="X60" i="210"/>
  <c r="Q60" i="210"/>
  <c r="P60" i="210"/>
  <c r="I60" i="210"/>
  <c r="H60" i="210"/>
  <c r="E60" i="210"/>
  <c r="AC59" i="210"/>
  <c r="AB59" i="210"/>
  <c r="AE59" i="210" s="1"/>
  <c r="AI59" i="210" s="1"/>
  <c r="Y59" i="210" s="1"/>
  <c r="X59" i="210"/>
  <c r="Q59" i="210"/>
  <c r="P59" i="210"/>
  <c r="H59" i="210"/>
  <c r="E59" i="210"/>
  <c r="I59" i="210" s="1"/>
  <c r="AC58" i="210"/>
  <c r="AB58" i="210"/>
  <c r="AE58" i="210" s="1"/>
  <c r="AI58" i="210" s="1"/>
  <c r="Y58" i="210" s="1"/>
  <c r="X58" i="210"/>
  <c r="Q58" i="210"/>
  <c r="P58" i="210"/>
  <c r="I58" i="210"/>
  <c r="E58" i="210"/>
  <c r="AC57" i="210"/>
  <c r="AE57" i="210" s="1"/>
  <c r="AI57" i="210" s="1"/>
  <c r="Y57" i="210" s="1"/>
  <c r="AB57" i="210"/>
  <c r="X57" i="210"/>
  <c r="Q57" i="210"/>
  <c r="P57" i="210"/>
  <c r="I57" i="210"/>
  <c r="H57" i="210"/>
  <c r="E57" i="210"/>
  <c r="AD56" i="210"/>
  <c r="AC56" i="210"/>
  <c r="AE56" i="210" s="1"/>
  <c r="AI56" i="210" s="1"/>
  <c r="Y56" i="210" s="1"/>
  <c r="AB56" i="210"/>
  <c r="Z56" i="210"/>
  <c r="X56" i="210"/>
  <c r="Q56" i="210"/>
  <c r="P56" i="210"/>
  <c r="I56" i="210"/>
  <c r="H56" i="210"/>
  <c r="E56" i="210"/>
  <c r="AD55" i="210"/>
  <c r="AC55" i="210"/>
  <c r="AE55" i="210" s="1"/>
  <c r="AI55" i="210" s="1"/>
  <c r="Y55" i="210" s="1"/>
  <c r="AB55" i="210"/>
  <c r="Z55" i="210"/>
  <c r="X55" i="210"/>
  <c r="Q55" i="210"/>
  <c r="P55" i="210"/>
  <c r="I55" i="210"/>
  <c r="H55" i="210"/>
  <c r="E55" i="210"/>
  <c r="AI54" i="210"/>
  <c r="Y54" i="210" s="1"/>
  <c r="AE54" i="210"/>
  <c r="AD54" i="210"/>
  <c r="AC54" i="210"/>
  <c r="AB54" i="210"/>
  <c r="Z54" i="210"/>
  <c r="X54" i="210"/>
  <c r="Q54" i="210"/>
  <c r="P54" i="210"/>
  <c r="H54" i="210"/>
  <c r="E54" i="210"/>
  <c r="I54" i="210" s="1"/>
  <c r="AD53" i="210"/>
  <c r="AC53" i="210"/>
  <c r="AB53" i="210"/>
  <c r="AE53" i="210" s="1"/>
  <c r="AI53" i="210" s="1"/>
  <c r="Y53" i="210" s="1"/>
  <c r="Z53" i="210"/>
  <c r="X53" i="210"/>
  <c r="Q53" i="210"/>
  <c r="P53" i="210"/>
  <c r="H53" i="210"/>
  <c r="E53" i="210"/>
  <c r="I53" i="210" s="1"/>
  <c r="AE52" i="210"/>
  <c r="AI52" i="210" s="1"/>
  <c r="Y52" i="210" s="1"/>
  <c r="Z52" i="210"/>
  <c r="X52" i="210"/>
  <c r="Q52" i="210"/>
  <c r="P52" i="210"/>
  <c r="I52" i="210"/>
  <c r="H52" i="210"/>
  <c r="E52" i="210"/>
  <c r="AD51" i="210"/>
  <c r="AE51" i="210" s="1"/>
  <c r="AI51" i="210" s="1"/>
  <c r="Y51" i="210" s="1"/>
  <c r="AC51" i="210"/>
  <c r="AB51" i="210"/>
  <c r="Z51" i="210"/>
  <c r="X51" i="210"/>
  <c r="Q51" i="210"/>
  <c r="P51" i="210"/>
  <c r="H51" i="210"/>
  <c r="E51" i="210"/>
  <c r="I51" i="210" s="1"/>
  <c r="AD50" i="210"/>
  <c r="AC50" i="210"/>
  <c r="AB50" i="210"/>
  <c r="AE50" i="210" s="1"/>
  <c r="AI50" i="210" s="1"/>
  <c r="Y50" i="210" s="1"/>
  <c r="Z50" i="210"/>
  <c r="X50" i="210"/>
  <c r="Q50" i="210"/>
  <c r="P50" i="210"/>
  <c r="H50" i="210"/>
  <c r="E50" i="210"/>
  <c r="I50" i="210" s="1"/>
  <c r="AI49" i="210"/>
  <c r="AE49" i="210"/>
  <c r="Z49" i="210"/>
  <c r="Y49" i="210"/>
  <c r="X49" i="210"/>
  <c r="Q49" i="210"/>
  <c r="P49" i="210"/>
  <c r="I49" i="210"/>
  <c r="H49" i="210"/>
  <c r="E49" i="210"/>
  <c r="AE48" i="210"/>
  <c r="AI48" i="210" s="1"/>
  <c r="Y48" i="210" s="1"/>
  <c r="Z48" i="210"/>
  <c r="X48" i="210"/>
  <c r="Q48" i="210"/>
  <c r="P48" i="210"/>
  <c r="H48" i="210"/>
  <c r="E48" i="210"/>
  <c r="I48" i="210" s="1"/>
  <c r="AE47" i="210"/>
  <c r="AI47" i="210" s="1"/>
  <c r="Y47" i="210" s="1"/>
  <c r="Z47" i="210"/>
  <c r="X47" i="210"/>
  <c r="Q47" i="210"/>
  <c r="P47" i="210"/>
  <c r="I47" i="210"/>
  <c r="H47" i="210"/>
  <c r="E47" i="210"/>
  <c r="AD46" i="210"/>
  <c r="AC46" i="210"/>
  <c r="AB46" i="210"/>
  <c r="AE46" i="210" s="1"/>
  <c r="AI46" i="210" s="1"/>
  <c r="Y46" i="210" s="1"/>
  <c r="Z46" i="210"/>
  <c r="X46" i="210"/>
  <c r="Q46" i="210"/>
  <c r="P46" i="210"/>
  <c r="I46" i="210"/>
  <c r="H46" i="210"/>
  <c r="E46" i="210"/>
  <c r="AD45" i="210"/>
  <c r="AC45" i="210"/>
  <c r="AB45" i="210"/>
  <c r="AE45" i="210" s="1"/>
  <c r="AI45" i="210" s="1"/>
  <c r="Y45" i="210" s="1"/>
  <c r="Z45" i="210"/>
  <c r="X45" i="210"/>
  <c r="Q45" i="210"/>
  <c r="P45" i="210"/>
  <c r="I45" i="210"/>
  <c r="H45" i="210"/>
  <c r="E45" i="210"/>
  <c r="AD44" i="210"/>
  <c r="AC44" i="210"/>
  <c r="AB44" i="210"/>
  <c r="AE44" i="210" s="1"/>
  <c r="AI44" i="210" s="1"/>
  <c r="Y44" i="210" s="1"/>
  <c r="Z44" i="210"/>
  <c r="X44" i="210"/>
  <c r="Q44" i="210"/>
  <c r="P44" i="210"/>
  <c r="I44" i="210"/>
  <c r="H44" i="210"/>
  <c r="E44" i="210"/>
  <c r="AD43" i="210"/>
  <c r="AC43" i="210"/>
  <c r="AE43" i="210" s="1"/>
  <c r="AI43" i="210" s="1"/>
  <c r="Y43" i="210" s="1"/>
  <c r="AB43" i="210"/>
  <c r="Z43" i="210"/>
  <c r="X43" i="210"/>
  <c r="Q43" i="210"/>
  <c r="P43" i="210"/>
  <c r="I43" i="210"/>
  <c r="H43" i="210"/>
  <c r="E43" i="210"/>
  <c r="AI42" i="210"/>
  <c r="Y42" i="210" s="1"/>
  <c r="AE42" i="210"/>
  <c r="AD42" i="210"/>
  <c r="AC42" i="210"/>
  <c r="AB42" i="210"/>
  <c r="Z42" i="210"/>
  <c r="X42" i="210"/>
  <c r="Q42" i="210"/>
  <c r="P42" i="210"/>
  <c r="H42" i="210"/>
  <c r="E42" i="210"/>
  <c r="I42" i="210" s="1"/>
  <c r="AD41" i="210"/>
  <c r="AC41" i="210"/>
  <c r="AB41" i="210"/>
  <c r="AE41" i="210" s="1"/>
  <c r="AI41" i="210" s="1"/>
  <c r="Y41" i="210" s="1"/>
  <c r="Z41" i="210"/>
  <c r="X41" i="210"/>
  <c r="Q41" i="210"/>
  <c r="P41" i="210"/>
  <c r="H41" i="210"/>
  <c r="E41" i="210"/>
  <c r="I41" i="210" s="1"/>
  <c r="AD40" i="210"/>
  <c r="AC40" i="210"/>
  <c r="AE40" i="210" s="1"/>
  <c r="AI40" i="210" s="1"/>
  <c r="Y40" i="210" s="1"/>
  <c r="AB40" i="210"/>
  <c r="Z40" i="210"/>
  <c r="X40" i="210"/>
  <c r="Q40" i="210"/>
  <c r="P40" i="210"/>
  <c r="H40" i="210"/>
  <c r="E40" i="210"/>
  <c r="I40" i="210" s="1"/>
  <c r="AD39" i="210"/>
  <c r="AC39" i="210"/>
  <c r="AB39" i="210"/>
  <c r="AE39" i="210" s="1"/>
  <c r="AI39" i="210" s="1"/>
  <c r="Y39" i="210" s="1"/>
  <c r="Z39" i="210"/>
  <c r="X39" i="210"/>
  <c r="Q39" i="210"/>
  <c r="P39" i="210"/>
  <c r="I39" i="210"/>
  <c r="H39" i="210"/>
  <c r="E39" i="210"/>
  <c r="AD38" i="210"/>
  <c r="AE38" i="210" s="1"/>
  <c r="AI38" i="210" s="1"/>
  <c r="Y38" i="210" s="1"/>
  <c r="AC38" i="210"/>
  <c r="AB38" i="210"/>
  <c r="Z38" i="210"/>
  <c r="X38" i="210"/>
  <c r="Q38" i="210"/>
  <c r="P38" i="210"/>
  <c r="H38" i="210"/>
  <c r="E38" i="210"/>
  <c r="I38" i="210" s="1"/>
  <c r="AD37" i="210"/>
  <c r="AC37" i="210"/>
  <c r="AB37" i="210"/>
  <c r="AE37" i="210" s="1"/>
  <c r="AI37" i="210" s="1"/>
  <c r="Y37" i="210" s="1"/>
  <c r="Z37" i="210"/>
  <c r="X37" i="210"/>
  <c r="Q37" i="210"/>
  <c r="P37" i="210"/>
  <c r="H37" i="210"/>
  <c r="E37" i="210"/>
  <c r="I37" i="210" s="1"/>
  <c r="AD36" i="210"/>
  <c r="AC36" i="210"/>
  <c r="AE36" i="210" s="1"/>
  <c r="AI36" i="210" s="1"/>
  <c r="Y36" i="210" s="1"/>
  <c r="AB36" i="210"/>
  <c r="Z36" i="210"/>
  <c r="X36" i="210"/>
  <c r="Q36" i="210"/>
  <c r="P36" i="210"/>
  <c r="H36" i="210"/>
  <c r="E36" i="210"/>
  <c r="I36" i="210" s="1"/>
  <c r="AD35" i="210"/>
  <c r="AE35" i="210" s="1"/>
  <c r="AI35" i="210" s="1"/>
  <c r="Y35" i="210" s="1"/>
  <c r="AC35" i="210"/>
  <c r="AB35" i="210"/>
  <c r="Z35" i="210"/>
  <c r="X35" i="210"/>
  <c r="Q35" i="210"/>
  <c r="P35" i="210"/>
  <c r="I35" i="210"/>
  <c r="H35" i="210"/>
  <c r="E35" i="210"/>
  <c r="AE34" i="210"/>
  <c r="AI34" i="210" s="1"/>
  <c r="Y34" i="210" s="1"/>
  <c r="AD34" i="210"/>
  <c r="AC34" i="210"/>
  <c r="AB34" i="210"/>
  <c r="Z34" i="210"/>
  <c r="X34" i="210"/>
  <c r="Q34" i="210"/>
  <c r="P34" i="210"/>
  <c r="H34" i="210"/>
  <c r="E34" i="210"/>
  <c r="I34" i="210" s="1"/>
  <c r="AD33" i="210"/>
  <c r="AC33" i="210"/>
  <c r="AB33" i="210"/>
  <c r="AE33" i="210" s="1"/>
  <c r="AI33" i="210" s="1"/>
  <c r="Y33" i="210" s="1"/>
  <c r="Z33" i="210"/>
  <c r="X33" i="210"/>
  <c r="Q33" i="210"/>
  <c r="P33" i="210"/>
  <c r="H33" i="210"/>
  <c r="E33" i="210"/>
  <c r="I33" i="210" s="1"/>
  <c r="AD32" i="210"/>
  <c r="AC32" i="210"/>
  <c r="AB32" i="210"/>
  <c r="AE32" i="210" s="1"/>
  <c r="AI32" i="210" s="1"/>
  <c r="Y32" i="210" s="1"/>
  <c r="Z32" i="210"/>
  <c r="X32" i="210"/>
  <c r="Q32" i="210"/>
  <c r="P32" i="210"/>
  <c r="I32" i="210"/>
  <c r="H32" i="210"/>
  <c r="E32" i="210"/>
  <c r="AE31" i="210"/>
  <c r="AI31" i="210" s="1"/>
  <c r="Y31" i="210" s="1"/>
  <c r="Z31" i="210"/>
  <c r="X31" i="210"/>
  <c r="Q31" i="210"/>
  <c r="P31" i="210"/>
  <c r="I31" i="210"/>
  <c r="H31" i="210"/>
  <c r="E31" i="210"/>
  <c r="AD30" i="210"/>
  <c r="AC30" i="210"/>
  <c r="AB30" i="210"/>
  <c r="AE30" i="210" s="1"/>
  <c r="AI30" i="210" s="1"/>
  <c r="Y30" i="210" s="1"/>
  <c r="Z30" i="210"/>
  <c r="X30" i="210"/>
  <c r="Q30" i="210"/>
  <c r="P30" i="210"/>
  <c r="I30" i="210"/>
  <c r="H30" i="210"/>
  <c r="E30" i="210"/>
  <c r="AD29" i="210"/>
  <c r="AC29" i="210"/>
  <c r="AB29" i="210"/>
  <c r="AE29" i="210" s="1"/>
  <c r="AI29" i="210" s="1"/>
  <c r="Y29" i="210" s="1"/>
  <c r="Z29" i="210"/>
  <c r="X29" i="210"/>
  <c r="Q29" i="210"/>
  <c r="P29" i="210"/>
  <c r="I29" i="210"/>
  <c r="H29" i="210"/>
  <c r="E29" i="210"/>
  <c r="AD28" i="210"/>
  <c r="AC28" i="210"/>
  <c r="AE28" i="210" s="1"/>
  <c r="AI28" i="210" s="1"/>
  <c r="Y28" i="210" s="1"/>
  <c r="AB28" i="210"/>
  <c r="Z28" i="210"/>
  <c r="X28" i="210"/>
  <c r="Q28" i="210"/>
  <c r="P28" i="210"/>
  <c r="I28" i="210"/>
  <c r="H28" i="210"/>
  <c r="E28" i="210"/>
  <c r="AI27" i="210"/>
  <c r="Y27" i="210" s="1"/>
  <c r="AE27" i="210"/>
  <c r="AD27" i="210"/>
  <c r="AC27" i="210"/>
  <c r="AB27" i="210"/>
  <c r="Z27" i="210"/>
  <c r="X27" i="210"/>
  <c r="Q27" i="210"/>
  <c r="P27" i="210"/>
  <c r="H27" i="210"/>
  <c r="E27" i="210"/>
  <c r="I27" i="210" s="1"/>
  <c r="AD26" i="210"/>
  <c r="AC26" i="210"/>
  <c r="AB26" i="210"/>
  <c r="AE26" i="210" s="1"/>
  <c r="AI26" i="210" s="1"/>
  <c r="Y26" i="210" s="1"/>
  <c r="Z26" i="210"/>
  <c r="X26" i="210"/>
  <c r="Q26" i="210"/>
  <c r="P26" i="210"/>
  <c r="H26" i="210"/>
  <c r="E26" i="210"/>
  <c r="I26" i="210" s="1"/>
  <c r="AD25" i="210"/>
  <c r="AC25" i="210"/>
  <c r="AE25" i="210" s="1"/>
  <c r="AI25" i="210" s="1"/>
  <c r="Y25" i="210" s="1"/>
  <c r="AB25" i="210"/>
  <c r="Z25" i="210"/>
  <c r="X25" i="210"/>
  <c r="Q25" i="210"/>
  <c r="P25" i="210"/>
  <c r="H25" i="210"/>
  <c r="E25" i="210"/>
  <c r="I25" i="210" s="1"/>
  <c r="AD24" i="210"/>
  <c r="AC24" i="210"/>
  <c r="AB24" i="210"/>
  <c r="AE24" i="210" s="1"/>
  <c r="AI24" i="210" s="1"/>
  <c r="Y24" i="210" s="1"/>
  <c r="Z24" i="210"/>
  <c r="X24" i="210"/>
  <c r="Q24" i="210"/>
  <c r="P24" i="210"/>
  <c r="H24" i="210"/>
  <c r="E24" i="210"/>
  <c r="I24" i="210" s="1"/>
  <c r="AD23" i="210"/>
  <c r="AE23" i="210" s="1"/>
  <c r="AI23" i="210" s="1"/>
  <c r="Y23" i="210" s="1"/>
  <c r="AC23" i="210"/>
  <c r="AB23" i="210"/>
  <c r="Z23" i="210"/>
  <c r="X23" i="210"/>
  <c r="Q23" i="210"/>
  <c r="P23" i="210"/>
  <c r="H23" i="210"/>
  <c r="E23" i="210"/>
  <c r="I23" i="210" s="1"/>
  <c r="AD22" i="210"/>
  <c r="AC22" i="210"/>
  <c r="AB22" i="210"/>
  <c r="AE22" i="210" s="1"/>
  <c r="AI22" i="210" s="1"/>
  <c r="Y22" i="210" s="1"/>
  <c r="Z22" i="210"/>
  <c r="X22" i="210"/>
  <c r="Q22" i="210"/>
  <c r="P22" i="210"/>
  <c r="H22" i="210"/>
  <c r="E22" i="210"/>
  <c r="I22" i="210" s="1"/>
  <c r="AD21" i="210"/>
  <c r="AC21" i="210"/>
  <c r="AE21" i="210" s="1"/>
  <c r="AI21" i="210" s="1"/>
  <c r="Y21" i="210" s="1"/>
  <c r="AB21" i="210"/>
  <c r="Z21" i="210"/>
  <c r="X21" i="210"/>
  <c r="Q21" i="210"/>
  <c r="P21" i="210"/>
  <c r="H21" i="210"/>
  <c r="E21" i="210"/>
  <c r="I21" i="210" s="1"/>
  <c r="AD20" i="210"/>
  <c r="AE20" i="210" s="1"/>
  <c r="AI20" i="210" s="1"/>
  <c r="Y20" i="210" s="1"/>
  <c r="AC20" i="210"/>
  <c r="AB20" i="210"/>
  <c r="Q20" i="210"/>
  <c r="P20" i="210"/>
  <c r="H20" i="210"/>
  <c r="E20" i="210"/>
  <c r="AE19" i="210"/>
  <c r="AI19" i="210" s="1"/>
  <c r="Y19" i="210" s="1"/>
  <c r="AD19" i="210"/>
  <c r="AC19" i="210"/>
  <c r="AB19" i="210"/>
  <c r="Z19" i="210"/>
  <c r="X19" i="210"/>
  <c r="Q19" i="210"/>
  <c r="P19" i="210"/>
  <c r="H19" i="210"/>
  <c r="E19" i="210"/>
  <c r="I19" i="210" s="1"/>
  <c r="AD18" i="210"/>
  <c r="AC18" i="210"/>
  <c r="AB18" i="210"/>
  <c r="AE18" i="210" s="1"/>
  <c r="AI18" i="210" s="1"/>
  <c r="Y18" i="210" s="1"/>
  <c r="Z18" i="210"/>
  <c r="X18" i="210"/>
  <c r="Q18" i="210"/>
  <c r="P18" i="210"/>
  <c r="H18" i="210"/>
  <c r="E18" i="210"/>
  <c r="I18" i="210" s="1"/>
  <c r="AD17" i="210"/>
  <c r="AC17" i="210"/>
  <c r="AB17" i="210"/>
  <c r="AE17" i="210" s="1"/>
  <c r="AI17" i="210" s="1"/>
  <c r="Y17" i="210" s="1"/>
  <c r="Z17" i="210"/>
  <c r="X17" i="210"/>
  <c r="Q17" i="210"/>
  <c r="P17" i="210"/>
  <c r="I17" i="210"/>
  <c r="H17" i="210"/>
  <c r="E17" i="210"/>
  <c r="AE16" i="210"/>
  <c r="AI16" i="210" s="1"/>
  <c r="Y16" i="210" s="1"/>
  <c r="AD16" i="210"/>
  <c r="AC16" i="210"/>
  <c r="AB16" i="210"/>
  <c r="Z16" i="210"/>
  <c r="X16" i="210"/>
  <c r="Q16" i="210"/>
  <c r="P16" i="210"/>
  <c r="I16" i="210"/>
  <c r="E16" i="210"/>
  <c r="AD15" i="210"/>
  <c r="AE15" i="210" s="1"/>
  <c r="AI15" i="210" s="1"/>
  <c r="Y15" i="210" s="1"/>
  <c r="AC15" i="210"/>
  <c r="AB15" i="210"/>
  <c r="Z15" i="210"/>
  <c r="X15" i="210"/>
  <c r="Q15" i="210"/>
  <c r="P15" i="210"/>
  <c r="E15" i="210"/>
  <c r="I15" i="210" s="1"/>
  <c r="AD14" i="210"/>
  <c r="AC14" i="210"/>
  <c r="AB14" i="210"/>
  <c r="AE14" i="210" s="1"/>
  <c r="AI14" i="210" s="1"/>
  <c r="Y14" i="210" s="1"/>
  <c r="Z14" i="210"/>
  <c r="X14" i="210"/>
  <c r="Q14" i="210"/>
  <c r="P14" i="210"/>
  <c r="I14" i="210"/>
  <c r="H14" i="210"/>
  <c r="E14" i="210"/>
  <c r="AD13" i="210"/>
  <c r="AE13" i="210" s="1"/>
  <c r="AI13" i="210" s="1"/>
  <c r="Y13" i="210" s="1"/>
  <c r="AC13" i="210"/>
  <c r="AB13" i="210"/>
  <c r="Z13" i="210"/>
  <c r="X13" i="210"/>
  <c r="Q13" i="210"/>
  <c r="P13" i="210"/>
  <c r="H13" i="210"/>
  <c r="E13" i="210"/>
  <c r="I13" i="210" s="1"/>
  <c r="AD12" i="210"/>
  <c r="AC12" i="210"/>
  <c r="AB12" i="210"/>
  <c r="AE12" i="210" s="1"/>
  <c r="AI12" i="210" s="1"/>
  <c r="Y12" i="210" s="1"/>
  <c r="Z12" i="210"/>
  <c r="X12" i="210"/>
  <c r="Q12" i="210"/>
  <c r="P12" i="210"/>
  <c r="H12" i="210"/>
  <c r="E12" i="210"/>
  <c r="I12" i="210" s="1"/>
  <c r="T77" i="212" l="1"/>
  <c r="O73" i="212"/>
  <c r="F73" i="212"/>
  <c r="F75" i="212"/>
  <c r="T73" i="212"/>
  <c r="O73" i="211"/>
  <c r="O75" i="211"/>
  <c r="F75" i="211"/>
  <c r="F73" i="211"/>
  <c r="X39" i="211"/>
  <c r="T77" i="211" s="1"/>
  <c r="H28" i="211"/>
  <c r="Y39" i="211"/>
  <c r="H71" i="211"/>
  <c r="Y28" i="211"/>
  <c r="T73" i="211" s="1"/>
  <c r="Z28" i="211"/>
  <c r="T75" i="211" s="1"/>
  <c r="I20" i="210"/>
  <c r="F73" i="210" s="1"/>
  <c r="X20" i="210"/>
  <c r="O73" i="210"/>
  <c r="O75" i="210"/>
  <c r="T77" i="210"/>
  <c r="T75" i="210"/>
  <c r="T73" i="210"/>
  <c r="M79" i="209"/>
  <c r="P71" i="209"/>
  <c r="H71" i="209"/>
  <c r="Q70" i="209"/>
  <c r="P70" i="209"/>
  <c r="I70" i="209"/>
  <c r="H70" i="209"/>
  <c r="E70" i="209"/>
  <c r="Q69" i="209"/>
  <c r="P69" i="209"/>
  <c r="H69" i="209"/>
  <c r="E69" i="209"/>
  <c r="I69" i="209" s="1"/>
  <c r="AD68" i="209"/>
  <c r="AC68" i="209"/>
  <c r="AB68" i="209"/>
  <c r="AE68" i="209" s="1"/>
  <c r="AI68" i="209" s="1"/>
  <c r="Y68" i="209" s="1"/>
  <c r="Z68" i="209"/>
  <c r="X68" i="209"/>
  <c r="Q68" i="209"/>
  <c r="P68" i="209"/>
  <c r="I68" i="209"/>
  <c r="H68" i="209"/>
  <c r="E68" i="209"/>
  <c r="AD67" i="209"/>
  <c r="AE67" i="209" s="1"/>
  <c r="AI67" i="209" s="1"/>
  <c r="Y67" i="209" s="1"/>
  <c r="AC67" i="209"/>
  <c r="AB67" i="209"/>
  <c r="Z67" i="209"/>
  <c r="X67" i="209"/>
  <c r="Q67" i="209"/>
  <c r="P67" i="209"/>
  <c r="H67" i="209"/>
  <c r="E67" i="209"/>
  <c r="I67" i="209" s="1"/>
  <c r="AD66" i="209"/>
  <c r="AC66" i="209"/>
  <c r="AB66" i="209"/>
  <c r="AE66" i="209" s="1"/>
  <c r="AI66" i="209" s="1"/>
  <c r="Y66" i="209" s="1"/>
  <c r="Z66" i="209"/>
  <c r="X66" i="209"/>
  <c r="Q66" i="209"/>
  <c r="P66" i="209"/>
  <c r="I66" i="209"/>
  <c r="H66" i="209"/>
  <c r="E66" i="209"/>
  <c r="AD65" i="209"/>
  <c r="AE65" i="209" s="1"/>
  <c r="AI65" i="209" s="1"/>
  <c r="Y65" i="209" s="1"/>
  <c r="AC65" i="209"/>
  <c r="AB65" i="209"/>
  <c r="Z65" i="209"/>
  <c r="X65" i="209"/>
  <c r="Q65" i="209"/>
  <c r="P65" i="209"/>
  <c r="H65" i="209"/>
  <c r="E65" i="209"/>
  <c r="I65" i="209" s="1"/>
  <c r="AD64" i="209"/>
  <c r="AC64" i="209"/>
  <c r="AB64" i="209"/>
  <c r="AE64" i="209" s="1"/>
  <c r="AI64" i="209" s="1"/>
  <c r="Y64" i="209" s="1"/>
  <c r="Z64" i="209"/>
  <c r="X64" i="209"/>
  <c r="Q64" i="209"/>
  <c r="P64" i="209"/>
  <c r="I64" i="209"/>
  <c r="H64" i="209"/>
  <c r="E64" i="209"/>
  <c r="AD63" i="209"/>
  <c r="AC63" i="209"/>
  <c r="AB63" i="209"/>
  <c r="AE63" i="209" s="1"/>
  <c r="AI63" i="209" s="1"/>
  <c r="Y63" i="209" s="1"/>
  <c r="Z63" i="209"/>
  <c r="X63" i="209"/>
  <c r="Q63" i="209"/>
  <c r="P63" i="209"/>
  <c r="H63" i="209"/>
  <c r="E63" i="209"/>
  <c r="I63" i="209" s="1"/>
  <c r="AE62" i="209"/>
  <c r="AI62" i="209" s="1"/>
  <c r="Y62" i="209" s="1"/>
  <c r="AD62" i="209"/>
  <c r="AC62" i="209"/>
  <c r="AB62" i="209"/>
  <c r="Z62" i="209"/>
  <c r="X62" i="209"/>
  <c r="Q62" i="209"/>
  <c r="P62" i="209"/>
  <c r="I62" i="209"/>
  <c r="H62" i="209"/>
  <c r="E62" i="209"/>
  <c r="AE61" i="209"/>
  <c r="AI61" i="209" s="1"/>
  <c r="Y61" i="209" s="1"/>
  <c r="AC61" i="209"/>
  <c r="AB61" i="209"/>
  <c r="X61" i="209"/>
  <c r="Q61" i="209"/>
  <c r="P61" i="209"/>
  <c r="H61" i="209"/>
  <c r="E61" i="209"/>
  <c r="I61" i="209" s="1"/>
  <c r="AE60" i="209"/>
  <c r="AI60" i="209" s="1"/>
  <c r="Y60" i="209" s="1"/>
  <c r="X60" i="209"/>
  <c r="Q60" i="209"/>
  <c r="P60" i="209"/>
  <c r="I60" i="209"/>
  <c r="H60" i="209"/>
  <c r="E60" i="209"/>
  <c r="AI59" i="209"/>
  <c r="Y59" i="209" s="1"/>
  <c r="AE59" i="209"/>
  <c r="AC59" i="209"/>
  <c r="AB59" i="209"/>
  <c r="X59" i="209"/>
  <c r="Q59" i="209"/>
  <c r="P59" i="209"/>
  <c r="H59" i="209"/>
  <c r="E59" i="209"/>
  <c r="I59" i="209" s="1"/>
  <c r="AC58" i="209"/>
  <c r="AB58" i="209"/>
  <c r="AE58" i="209" s="1"/>
  <c r="AI58" i="209" s="1"/>
  <c r="Y58" i="209" s="1"/>
  <c r="X58" i="209"/>
  <c r="Q58" i="209"/>
  <c r="P58" i="209"/>
  <c r="E58" i="209"/>
  <c r="I58" i="209" s="1"/>
  <c r="AC57" i="209"/>
  <c r="AB57" i="209"/>
  <c r="AE57" i="209" s="1"/>
  <c r="AI57" i="209" s="1"/>
  <c r="Y57" i="209" s="1"/>
  <c r="X57" i="209"/>
  <c r="Q57" i="209"/>
  <c r="P57" i="209"/>
  <c r="I57" i="209"/>
  <c r="H57" i="209"/>
  <c r="E57" i="209"/>
  <c r="AI56" i="209"/>
  <c r="Y56" i="209" s="1"/>
  <c r="AE56" i="209"/>
  <c r="AD56" i="209"/>
  <c r="AC56" i="209"/>
  <c r="AB56" i="209"/>
  <c r="Z56" i="209"/>
  <c r="X56" i="209"/>
  <c r="Q56" i="209"/>
  <c r="P56" i="209"/>
  <c r="I56" i="209"/>
  <c r="H56" i="209"/>
  <c r="E56" i="209"/>
  <c r="AD55" i="209"/>
  <c r="AC55" i="209"/>
  <c r="AE55" i="209" s="1"/>
  <c r="AI55" i="209" s="1"/>
  <c r="Y55" i="209" s="1"/>
  <c r="AB55" i="209"/>
  <c r="Z55" i="209"/>
  <c r="X55" i="209"/>
  <c r="Q55" i="209"/>
  <c r="P55" i="209"/>
  <c r="H55" i="209"/>
  <c r="E55" i="209"/>
  <c r="I55" i="209" s="1"/>
  <c r="AI54" i="209"/>
  <c r="Y54" i="209" s="1"/>
  <c r="AE54" i="209"/>
  <c r="AD54" i="209"/>
  <c r="AC54" i="209"/>
  <c r="AB54" i="209"/>
  <c r="Z54" i="209"/>
  <c r="X54" i="209"/>
  <c r="Q54" i="209"/>
  <c r="P54" i="209"/>
  <c r="H54" i="209"/>
  <c r="E54" i="209"/>
  <c r="I54" i="209" s="1"/>
  <c r="AD53" i="209"/>
  <c r="AC53" i="209"/>
  <c r="AB53" i="209"/>
  <c r="AE53" i="209" s="1"/>
  <c r="AI53" i="209" s="1"/>
  <c r="Y53" i="209" s="1"/>
  <c r="Z53" i="209"/>
  <c r="X53" i="209"/>
  <c r="Q53" i="209"/>
  <c r="P53" i="209"/>
  <c r="I53" i="209"/>
  <c r="H53" i="209"/>
  <c r="E53" i="209"/>
  <c r="AE52" i="209"/>
  <c r="AI52" i="209" s="1"/>
  <c r="Y52" i="209" s="1"/>
  <c r="Z52" i="209"/>
  <c r="X52" i="209"/>
  <c r="Q52" i="209"/>
  <c r="P52" i="209"/>
  <c r="I52" i="209"/>
  <c r="H52" i="209"/>
  <c r="E52" i="209"/>
  <c r="AD51" i="209"/>
  <c r="AE51" i="209" s="1"/>
  <c r="AI51" i="209" s="1"/>
  <c r="Y51" i="209" s="1"/>
  <c r="AC51" i="209"/>
  <c r="AB51" i="209"/>
  <c r="Z51" i="209"/>
  <c r="X51" i="209"/>
  <c r="Q51" i="209"/>
  <c r="P51" i="209"/>
  <c r="H51" i="209"/>
  <c r="E51" i="209"/>
  <c r="I51" i="209" s="1"/>
  <c r="AD50" i="209"/>
  <c r="AC50" i="209"/>
  <c r="AB50" i="209"/>
  <c r="AE50" i="209" s="1"/>
  <c r="AI50" i="209" s="1"/>
  <c r="Y50" i="209" s="1"/>
  <c r="Z50" i="209"/>
  <c r="X50" i="209"/>
  <c r="Q50" i="209"/>
  <c r="P50" i="209"/>
  <c r="I50" i="209"/>
  <c r="H50" i="209"/>
  <c r="E50" i="209"/>
  <c r="AE49" i="209"/>
  <c r="AI49" i="209" s="1"/>
  <c r="Y49" i="209" s="1"/>
  <c r="Z49" i="209"/>
  <c r="X49" i="209"/>
  <c r="Q49" i="209"/>
  <c r="P49" i="209"/>
  <c r="I49" i="209"/>
  <c r="H49" i="209"/>
  <c r="E49" i="209"/>
  <c r="AI48" i="209"/>
  <c r="AE48" i="209"/>
  <c r="Z48" i="209"/>
  <c r="Y48" i="209"/>
  <c r="X48" i="209"/>
  <c r="Q48" i="209"/>
  <c r="P48" i="209"/>
  <c r="H48" i="209"/>
  <c r="E48" i="209"/>
  <c r="I48" i="209" s="1"/>
  <c r="AE47" i="209"/>
  <c r="AI47" i="209" s="1"/>
  <c r="Y47" i="209" s="1"/>
  <c r="Z47" i="209"/>
  <c r="X47" i="209"/>
  <c r="Q47" i="209"/>
  <c r="P47" i="209"/>
  <c r="H47" i="209"/>
  <c r="E47" i="209"/>
  <c r="I47" i="209" s="1"/>
  <c r="AD46" i="209"/>
  <c r="AC46" i="209"/>
  <c r="AB46" i="209"/>
  <c r="AE46" i="209" s="1"/>
  <c r="AI46" i="209" s="1"/>
  <c r="Y46" i="209" s="1"/>
  <c r="Z46" i="209"/>
  <c r="X46" i="209"/>
  <c r="Q46" i="209"/>
  <c r="P46" i="209"/>
  <c r="I46" i="209"/>
  <c r="H46" i="209"/>
  <c r="E46" i="209"/>
  <c r="AD45" i="209"/>
  <c r="AC45" i="209"/>
  <c r="AB45" i="209"/>
  <c r="AE45" i="209" s="1"/>
  <c r="AI45" i="209" s="1"/>
  <c r="Y45" i="209" s="1"/>
  <c r="Z45" i="209"/>
  <c r="X45" i="209"/>
  <c r="Q45" i="209"/>
  <c r="P45" i="209"/>
  <c r="I45" i="209"/>
  <c r="H45" i="209"/>
  <c r="E45" i="209"/>
  <c r="AI44" i="209"/>
  <c r="Y44" i="209" s="1"/>
  <c r="AE44" i="209"/>
  <c r="AD44" i="209"/>
  <c r="AC44" i="209"/>
  <c r="AB44" i="209"/>
  <c r="Z44" i="209"/>
  <c r="X44" i="209"/>
  <c r="Q44" i="209"/>
  <c r="P44" i="209"/>
  <c r="I44" i="209"/>
  <c r="H44" i="209"/>
  <c r="E44" i="209"/>
  <c r="AD43" i="209"/>
  <c r="AC43" i="209"/>
  <c r="AE43" i="209" s="1"/>
  <c r="AI43" i="209" s="1"/>
  <c r="Y43" i="209" s="1"/>
  <c r="AB43" i="209"/>
  <c r="Z43" i="209"/>
  <c r="X43" i="209"/>
  <c r="Q43" i="209"/>
  <c r="P43" i="209"/>
  <c r="H43" i="209"/>
  <c r="E43" i="209"/>
  <c r="I43" i="209" s="1"/>
  <c r="AI42" i="209"/>
  <c r="Y42" i="209" s="1"/>
  <c r="AE42" i="209"/>
  <c r="AD42" i="209"/>
  <c r="AC42" i="209"/>
  <c r="AB42" i="209"/>
  <c r="Z42" i="209"/>
  <c r="X42" i="209"/>
  <c r="Q42" i="209"/>
  <c r="P42" i="209"/>
  <c r="H42" i="209"/>
  <c r="E42" i="209"/>
  <c r="I42" i="209" s="1"/>
  <c r="AD41" i="209"/>
  <c r="AC41" i="209"/>
  <c r="AB41" i="209"/>
  <c r="AE41" i="209" s="1"/>
  <c r="AI41" i="209" s="1"/>
  <c r="Y41" i="209" s="1"/>
  <c r="Z41" i="209"/>
  <c r="X41" i="209"/>
  <c r="Q41" i="209"/>
  <c r="P41" i="209"/>
  <c r="I41" i="209"/>
  <c r="H41" i="209"/>
  <c r="E41" i="209"/>
  <c r="AD40" i="209"/>
  <c r="AC40" i="209"/>
  <c r="AB40" i="209"/>
  <c r="AE40" i="209" s="1"/>
  <c r="AI40" i="209" s="1"/>
  <c r="Y40" i="209" s="1"/>
  <c r="Z40" i="209"/>
  <c r="X40" i="209"/>
  <c r="Q40" i="209"/>
  <c r="P40" i="209"/>
  <c r="H40" i="209"/>
  <c r="E40" i="209"/>
  <c r="I40" i="209" s="1"/>
  <c r="AD39" i="209"/>
  <c r="AC39" i="209"/>
  <c r="AB39" i="209"/>
  <c r="AE39" i="209" s="1"/>
  <c r="AI39" i="209" s="1"/>
  <c r="Y39" i="209" s="1"/>
  <c r="Z39" i="209"/>
  <c r="X39" i="209"/>
  <c r="Q39" i="209"/>
  <c r="P39" i="209"/>
  <c r="I39" i="209"/>
  <c r="H39" i="209"/>
  <c r="E39" i="209"/>
  <c r="AD38" i="209"/>
  <c r="AE38" i="209" s="1"/>
  <c r="AI38" i="209" s="1"/>
  <c r="Y38" i="209" s="1"/>
  <c r="AC38" i="209"/>
  <c r="AB38" i="209"/>
  <c r="Z38" i="209"/>
  <c r="X38" i="209"/>
  <c r="Q38" i="209"/>
  <c r="P38" i="209"/>
  <c r="H38" i="209"/>
  <c r="E38" i="209"/>
  <c r="I38" i="209" s="1"/>
  <c r="AD37" i="209"/>
  <c r="AC37" i="209"/>
  <c r="AB37" i="209"/>
  <c r="AE37" i="209" s="1"/>
  <c r="AI37" i="209" s="1"/>
  <c r="Y37" i="209" s="1"/>
  <c r="Z37" i="209"/>
  <c r="X37" i="209"/>
  <c r="Q37" i="209"/>
  <c r="P37" i="209"/>
  <c r="I37" i="209"/>
  <c r="H37" i="209"/>
  <c r="E37" i="209"/>
  <c r="AD36" i="209"/>
  <c r="AC36" i="209"/>
  <c r="AE36" i="209" s="1"/>
  <c r="AI36" i="209" s="1"/>
  <c r="Y36" i="209" s="1"/>
  <c r="AB36" i="209"/>
  <c r="Z36" i="209"/>
  <c r="X36" i="209"/>
  <c r="Q36" i="209"/>
  <c r="P36" i="209"/>
  <c r="I36" i="209"/>
  <c r="H36" i="209"/>
  <c r="E36" i="209"/>
  <c r="AD35" i="209"/>
  <c r="AC35" i="209"/>
  <c r="AB35" i="209"/>
  <c r="AE35" i="209" s="1"/>
  <c r="AI35" i="209" s="1"/>
  <c r="Y35" i="209" s="1"/>
  <c r="Z35" i="209"/>
  <c r="X35" i="209"/>
  <c r="Q35" i="209"/>
  <c r="P35" i="209"/>
  <c r="I35" i="209"/>
  <c r="H35" i="209"/>
  <c r="E35" i="209"/>
  <c r="AD34" i="209"/>
  <c r="AC34" i="209"/>
  <c r="AB34" i="209"/>
  <c r="AE34" i="209" s="1"/>
  <c r="AI34" i="209" s="1"/>
  <c r="Y34" i="209" s="1"/>
  <c r="Z34" i="209"/>
  <c r="X34" i="209"/>
  <c r="Q34" i="209"/>
  <c r="P34" i="209"/>
  <c r="H34" i="209"/>
  <c r="E34" i="209"/>
  <c r="I34" i="209" s="1"/>
  <c r="AE33" i="209"/>
  <c r="AI33" i="209" s="1"/>
  <c r="Y33" i="209" s="1"/>
  <c r="AD33" i="209"/>
  <c r="AC33" i="209"/>
  <c r="AB33" i="209"/>
  <c r="Z33" i="209"/>
  <c r="X33" i="209"/>
  <c r="Q33" i="209"/>
  <c r="P33" i="209"/>
  <c r="H33" i="209"/>
  <c r="E33" i="209"/>
  <c r="I33" i="209" s="1"/>
  <c r="AD32" i="209"/>
  <c r="AC32" i="209"/>
  <c r="AB32" i="209"/>
  <c r="AE32" i="209" s="1"/>
  <c r="AI32" i="209" s="1"/>
  <c r="Y32" i="209" s="1"/>
  <c r="Z32" i="209"/>
  <c r="X32" i="209"/>
  <c r="Q32" i="209"/>
  <c r="P32" i="209"/>
  <c r="H32" i="209"/>
  <c r="E32" i="209"/>
  <c r="I32" i="209" s="1"/>
  <c r="AE31" i="209"/>
  <c r="AI31" i="209" s="1"/>
  <c r="Y31" i="209" s="1"/>
  <c r="Z31" i="209"/>
  <c r="X31" i="209"/>
  <c r="Q31" i="209"/>
  <c r="P31" i="209"/>
  <c r="I31" i="209"/>
  <c r="H31" i="209"/>
  <c r="E31" i="209"/>
  <c r="AD30" i="209"/>
  <c r="AC30" i="209"/>
  <c r="AB30" i="209"/>
  <c r="AE30" i="209" s="1"/>
  <c r="AI30" i="209" s="1"/>
  <c r="Y30" i="209" s="1"/>
  <c r="Z30" i="209"/>
  <c r="X30" i="209"/>
  <c r="Q30" i="209"/>
  <c r="P30" i="209"/>
  <c r="I30" i="209"/>
  <c r="H30" i="209"/>
  <c r="E30" i="209"/>
  <c r="AI29" i="209"/>
  <c r="Y29" i="209" s="1"/>
  <c r="AE29" i="209"/>
  <c r="AD29" i="209"/>
  <c r="AC29" i="209"/>
  <c r="AB29" i="209"/>
  <c r="Z29" i="209"/>
  <c r="X29" i="209"/>
  <c r="Q29" i="209"/>
  <c r="P29" i="209"/>
  <c r="I29" i="209"/>
  <c r="H29" i="209"/>
  <c r="E29" i="209"/>
  <c r="AD28" i="209"/>
  <c r="AC28" i="209"/>
  <c r="AE28" i="209" s="1"/>
  <c r="AI28" i="209" s="1"/>
  <c r="Y28" i="209" s="1"/>
  <c r="AB28" i="209"/>
  <c r="Z28" i="209"/>
  <c r="X28" i="209"/>
  <c r="Q28" i="209"/>
  <c r="P28" i="209"/>
  <c r="H28" i="209"/>
  <c r="E28" i="209"/>
  <c r="I28" i="209" s="1"/>
  <c r="AE27" i="209"/>
  <c r="AI27" i="209" s="1"/>
  <c r="Y27" i="209" s="1"/>
  <c r="AD27" i="209"/>
  <c r="AC27" i="209"/>
  <c r="AB27" i="209"/>
  <c r="Z27" i="209"/>
  <c r="X27" i="209"/>
  <c r="Q27" i="209"/>
  <c r="P27" i="209"/>
  <c r="H27" i="209"/>
  <c r="E27" i="209"/>
  <c r="I27" i="209" s="1"/>
  <c r="AD26" i="209"/>
  <c r="AC26" i="209"/>
  <c r="AB26" i="209"/>
  <c r="AE26" i="209" s="1"/>
  <c r="AI26" i="209" s="1"/>
  <c r="Y26" i="209" s="1"/>
  <c r="Z26" i="209"/>
  <c r="X26" i="209"/>
  <c r="Q26" i="209"/>
  <c r="P26" i="209"/>
  <c r="I26" i="209"/>
  <c r="H26" i="209"/>
  <c r="E26" i="209"/>
  <c r="AD25" i="209"/>
  <c r="AC25" i="209"/>
  <c r="AB25" i="209"/>
  <c r="AE25" i="209" s="1"/>
  <c r="AI25" i="209" s="1"/>
  <c r="Y25" i="209" s="1"/>
  <c r="Z25" i="209"/>
  <c r="X25" i="209"/>
  <c r="Q25" i="209"/>
  <c r="P25" i="209"/>
  <c r="H25" i="209"/>
  <c r="E25" i="209"/>
  <c r="I25" i="209" s="1"/>
  <c r="AD24" i="209"/>
  <c r="AC24" i="209"/>
  <c r="AB24" i="209"/>
  <c r="AE24" i="209" s="1"/>
  <c r="AI24" i="209" s="1"/>
  <c r="Y24" i="209" s="1"/>
  <c r="Z24" i="209"/>
  <c r="X24" i="209"/>
  <c r="Q24" i="209"/>
  <c r="P24" i="209"/>
  <c r="I24" i="209"/>
  <c r="H24" i="209"/>
  <c r="E24" i="209"/>
  <c r="AD23" i="209"/>
  <c r="AE23" i="209" s="1"/>
  <c r="AI23" i="209" s="1"/>
  <c r="Y23" i="209" s="1"/>
  <c r="AC23" i="209"/>
  <c r="AB23" i="209"/>
  <c r="Z23" i="209"/>
  <c r="X23" i="209"/>
  <c r="Q23" i="209"/>
  <c r="P23" i="209"/>
  <c r="H23" i="209"/>
  <c r="E23" i="209"/>
  <c r="I23" i="209" s="1"/>
  <c r="AD22" i="209"/>
  <c r="AC22" i="209"/>
  <c r="AB22" i="209"/>
  <c r="AE22" i="209" s="1"/>
  <c r="AI22" i="209" s="1"/>
  <c r="Y22" i="209" s="1"/>
  <c r="Z22" i="209"/>
  <c r="X22" i="209"/>
  <c r="Q22" i="209"/>
  <c r="P22" i="209"/>
  <c r="I22" i="209"/>
  <c r="H22" i="209"/>
  <c r="E22" i="209"/>
  <c r="AD21" i="209"/>
  <c r="AC21" i="209"/>
  <c r="AE21" i="209" s="1"/>
  <c r="AI21" i="209" s="1"/>
  <c r="Y21" i="209" s="1"/>
  <c r="AB21" i="209"/>
  <c r="Z21" i="209"/>
  <c r="X21" i="209"/>
  <c r="Q21" i="209"/>
  <c r="P21" i="209"/>
  <c r="I21" i="209"/>
  <c r="H21" i="209"/>
  <c r="E21" i="209"/>
  <c r="AD20" i="209"/>
  <c r="AC20" i="209"/>
  <c r="AB20" i="209"/>
  <c r="AE20" i="209" s="1"/>
  <c r="AI20" i="209" s="1"/>
  <c r="Y20" i="209" s="1"/>
  <c r="Z20" i="209"/>
  <c r="X20" i="209"/>
  <c r="Q20" i="209"/>
  <c r="P20" i="209"/>
  <c r="I20" i="209"/>
  <c r="H20" i="209"/>
  <c r="E20" i="209"/>
  <c r="AD19" i="209"/>
  <c r="AC19" i="209"/>
  <c r="AB19" i="209"/>
  <c r="AE19" i="209" s="1"/>
  <c r="AI19" i="209" s="1"/>
  <c r="Y19" i="209" s="1"/>
  <c r="Z19" i="209"/>
  <c r="X19" i="209"/>
  <c r="Q19" i="209"/>
  <c r="P19" i="209"/>
  <c r="H19" i="209"/>
  <c r="E19" i="209"/>
  <c r="I19" i="209" s="1"/>
  <c r="AE18" i="209"/>
  <c r="AI18" i="209" s="1"/>
  <c r="Y18" i="209" s="1"/>
  <c r="AD18" i="209"/>
  <c r="AC18" i="209"/>
  <c r="AB18" i="209"/>
  <c r="Z18" i="209"/>
  <c r="X18" i="209"/>
  <c r="Q18" i="209"/>
  <c r="P18" i="209"/>
  <c r="H18" i="209"/>
  <c r="E18" i="209"/>
  <c r="I18" i="209" s="1"/>
  <c r="AD17" i="209"/>
  <c r="AC17" i="209"/>
  <c r="AB17" i="209"/>
  <c r="AE17" i="209" s="1"/>
  <c r="AI17" i="209" s="1"/>
  <c r="Y17" i="209" s="1"/>
  <c r="Z17" i="209"/>
  <c r="X17" i="209"/>
  <c r="Q17" i="209"/>
  <c r="P17" i="209"/>
  <c r="H17" i="209"/>
  <c r="E17" i="209"/>
  <c r="I17" i="209" s="1"/>
  <c r="AD16" i="209"/>
  <c r="AE16" i="209" s="1"/>
  <c r="AI16" i="209" s="1"/>
  <c r="Y16" i="209" s="1"/>
  <c r="AC16" i="209"/>
  <c r="AB16" i="209"/>
  <c r="Z16" i="209"/>
  <c r="X16" i="209"/>
  <c r="Q16" i="209"/>
  <c r="P16" i="209"/>
  <c r="I16" i="209"/>
  <c r="E16" i="209"/>
  <c r="AD15" i="209"/>
  <c r="AC15" i="209"/>
  <c r="AB15" i="209"/>
  <c r="AE15" i="209" s="1"/>
  <c r="AI15" i="209" s="1"/>
  <c r="Y15" i="209" s="1"/>
  <c r="Z15" i="209"/>
  <c r="X15" i="209"/>
  <c r="Q15" i="209"/>
  <c r="P15" i="209"/>
  <c r="E15" i="209"/>
  <c r="I15" i="209" s="1"/>
  <c r="AD14" i="209"/>
  <c r="AC14" i="209"/>
  <c r="AB14" i="209"/>
  <c r="AE14" i="209" s="1"/>
  <c r="AI14" i="209" s="1"/>
  <c r="Y14" i="209" s="1"/>
  <c r="Z14" i="209"/>
  <c r="X14" i="209"/>
  <c r="Q14" i="209"/>
  <c r="O75" i="209" s="1"/>
  <c r="P14" i="209"/>
  <c r="I14" i="209"/>
  <c r="H14" i="209"/>
  <c r="E14" i="209"/>
  <c r="AD13" i="209"/>
  <c r="AE13" i="209" s="1"/>
  <c r="AI13" i="209" s="1"/>
  <c r="Y13" i="209" s="1"/>
  <c r="AC13" i="209"/>
  <c r="AB13" i="209"/>
  <c r="Z13" i="209"/>
  <c r="X13" i="209"/>
  <c r="Q13" i="209"/>
  <c r="P13" i="209"/>
  <c r="H13" i="209"/>
  <c r="E13" i="209"/>
  <c r="I13" i="209" s="1"/>
  <c r="AD12" i="209"/>
  <c r="AC12" i="209"/>
  <c r="AB12" i="209"/>
  <c r="AE12" i="209" s="1"/>
  <c r="AI12" i="209" s="1"/>
  <c r="Y12" i="209" s="1"/>
  <c r="Z12" i="209"/>
  <c r="X12" i="209"/>
  <c r="Q12" i="209"/>
  <c r="P12" i="209"/>
  <c r="H12" i="209"/>
  <c r="E12" i="209"/>
  <c r="I12" i="209" s="1"/>
  <c r="T79" i="212" l="1"/>
  <c r="F77" i="212" s="1"/>
  <c r="T79" i="211"/>
  <c r="F77" i="211" s="1"/>
  <c r="F75" i="210"/>
  <c r="T79" i="210"/>
  <c r="F77" i="210" s="1"/>
  <c r="T77" i="209"/>
  <c r="O73" i="209"/>
  <c r="T75" i="209"/>
  <c r="T73" i="209"/>
  <c r="F73" i="209"/>
  <c r="F75" i="209"/>
  <c r="M79" i="208"/>
  <c r="T75" i="208"/>
  <c r="O75" i="208"/>
  <c r="P71" i="208"/>
  <c r="H71" i="208"/>
  <c r="Q70" i="208"/>
  <c r="P70" i="208"/>
  <c r="H70" i="208"/>
  <c r="E70" i="208"/>
  <c r="I70" i="208" s="1"/>
  <c r="Q69" i="208"/>
  <c r="P69" i="208"/>
  <c r="H69" i="208"/>
  <c r="E69" i="208"/>
  <c r="I69" i="208" s="1"/>
  <c r="AE68" i="208"/>
  <c r="AI68" i="208" s="1"/>
  <c r="Y68" i="208" s="1"/>
  <c r="AD68" i="208"/>
  <c r="AC68" i="208"/>
  <c r="AB68" i="208"/>
  <c r="Z68" i="208"/>
  <c r="X68" i="208"/>
  <c r="Q68" i="208"/>
  <c r="P68" i="208"/>
  <c r="H68" i="208"/>
  <c r="E68" i="208"/>
  <c r="I68" i="208" s="1"/>
  <c r="AD67" i="208"/>
  <c r="AC67" i="208"/>
  <c r="AB67" i="208"/>
  <c r="AE67" i="208" s="1"/>
  <c r="AI67" i="208" s="1"/>
  <c r="Y67" i="208" s="1"/>
  <c r="Z67" i="208"/>
  <c r="X67" i="208"/>
  <c r="Q67" i="208"/>
  <c r="P67" i="208"/>
  <c r="H67" i="208"/>
  <c r="E67" i="208"/>
  <c r="I67" i="208" s="1"/>
  <c r="AD66" i="208"/>
  <c r="AC66" i="208"/>
  <c r="AB66" i="208"/>
  <c r="AE66" i="208" s="1"/>
  <c r="AI66" i="208" s="1"/>
  <c r="Y66" i="208" s="1"/>
  <c r="Z66" i="208"/>
  <c r="X66" i="208"/>
  <c r="Q66" i="208"/>
  <c r="P66" i="208"/>
  <c r="H66" i="208"/>
  <c r="E66" i="208"/>
  <c r="I66" i="208" s="1"/>
  <c r="AD65" i="208"/>
  <c r="AC65" i="208"/>
  <c r="AB65" i="208"/>
  <c r="AE65" i="208" s="1"/>
  <c r="AI65" i="208" s="1"/>
  <c r="Y65" i="208" s="1"/>
  <c r="Z65" i="208"/>
  <c r="X65" i="208"/>
  <c r="Q65" i="208"/>
  <c r="P65" i="208"/>
  <c r="I65" i="208"/>
  <c r="H65" i="208"/>
  <c r="E65" i="208"/>
  <c r="AE64" i="208"/>
  <c r="AI64" i="208" s="1"/>
  <c r="Y64" i="208" s="1"/>
  <c r="AD64" i="208"/>
  <c r="AC64" i="208"/>
  <c r="AB64" i="208"/>
  <c r="Z64" i="208"/>
  <c r="X64" i="208"/>
  <c r="Q64" i="208"/>
  <c r="P64" i="208"/>
  <c r="H64" i="208"/>
  <c r="E64" i="208"/>
  <c r="I64" i="208" s="1"/>
  <c r="AD63" i="208"/>
  <c r="AC63" i="208"/>
  <c r="AB63" i="208"/>
  <c r="AE63" i="208" s="1"/>
  <c r="AI63" i="208" s="1"/>
  <c r="Y63" i="208" s="1"/>
  <c r="Z63" i="208"/>
  <c r="X63" i="208"/>
  <c r="Q63" i="208"/>
  <c r="P63" i="208"/>
  <c r="H63" i="208"/>
  <c r="E63" i="208"/>
  <c r="I63" i="208" s="1"/>
  <c r="AD62" i="208"/>
  <c r="AC62" i="208"/>
  <c r="AE62" i="208" s="1"/>
  <c r="AI62" i="208" s="1"/>
  <c r="Y62" i="208" s="1"/>
  <c r="AB62" i="208"/>
  <c r="Z62" i="208"/>
  <c r="X62" i="208"/>
  <c r="Q62" i="208"/>
  <c r="P62" i="208"/>
  <c r="H62" i="208"/>
  <c r="E62" i="208"/>
  <c r="I62" i="208" s="1"/>
  <c r="AC61" i="208"/>
  <c r="AB61" i="208"/>
  <c r="AE61" i="208" s="1"/>
  <c r="AI61" i="208" s="1"/>
  <c r="Y61" i="208" s="1"/>
  <c r="X61" i="208"/>
  <c r="Q61" i="208"/>
  <c r="P61" i="208"/>
  <c r="I61" i="208"/>
  <c r="H61" i="208"/>
  <c r="E61" i="208"/>
  <c r="AI60" i="208"/>
  <c r="Y60" i="208" s="1"/>
  <c r="AE60" i="208"/>
  <c r="X60" i="208"/>
  <c r="Q60" i="208"/>
  <c r="P60" i="208"/>
  <c r="H60" i="208"/>
  <c r="E60" i="208"/>
  <c r="I60" i="208" s="1"/>
  <c r="AC59" i="208"/>
  <c r="AE59" i="208" s="1"/>
  <c r="AI59" i="208" s="1"/>
  <c r="Y59" i="208" s="1"/>
  <c r="AB59" i="208"/>
  <c r="X59" i="208"/>
  <c r="Q59" i="208"/>
  <c r="P59" i="208"/>
  <c r="H59" i="208"/>
  <c r="E59" i="208"/>
  <c r="I59" i="208" s="1"/>
  <c r="AC58" i="208"/>
  <c r="AB58" i="208"/>
  <c r="AE58" i="208" s="1"/>
  <c r="AI58" i="208" s="1"/>
  <c r="Y58" i="208" s="1"/>
  <c r="X58" i="208"/>
  <c r="Q58" i="208"/>
  <c r="P58" i="208"/>
  <c r="E58" i="208"/>
  <c r="I58" i="208" s="1"/>
  <c r="AE57" i="208"/>
  <c r="AI57" i="208" s="1"/>
  <c r="Y57" i="208" s="1"/>
  <c r="AC57" i="208"/>
  <c r="AB57" i="208"/>
  <c r="X57" i="208"/>
  <c r="Q57" i="208"/>
  <c r="P57" i="208"/>
  <c r="H57" i="208"/>
  <c r="E57" i="208"/>
  <c r="I57" i="208" s="1"/>
  <c r="AD56" i="208"/>
  <c r="AE56" i="208" s="1"/>
  <c r="AI56" i="208" s="1"/>
  <c r="Y56" i="208" s="1"/>
  <c r="AC56" i="208"/>
  <c r="AB56" i="208"/>
  <c r="Z56" i="208"/>
  <c r="X56" i="208"/>
  <c r="Q56" i="208"/>
  <c r="P56" i="208"/>
  <c r="H56" i="208"/>
  <c r="E56" i="208"/>
  <c r="I56" i="208" s="1"/>
  <c r="AD55" i="208"/>
  <c r="AC55" i="208"/>
  <c r="AB55" i="208"/>
  <c r="AE55" i="208" s="1"/>
  <c r="AI55" i="208" s="1"/>
  <c r="Y55" i="208" s="1"/>
  <c r="Z55" i="208"/>
  <c r="X55" i="208"/>
  <c r="Q55" i="208"/>
  <c r="P55" i="208"/>
  <c r="I55" i="208"/>
  <c r="H55" i="208"/>
  <c r="E55" i="208"/>
  <c r="AD54" i="208"/>
  <c r="AC54" i="208"/>
  <c r="AB54" i="208"/>
  <c r="AE54" i="208" s="1"/>
  <c r="AI54" i="208" s="1"/>
  <c r="Y54" i="208" s="1"/>
  <c r="Z54" i="208"/>
  <c r="X54" i="208"/>
  <c r="Q54" i="208"/>
  <c r="P54" i="208"/>
  <c r="I54" i="208"/>
  <c r="H54" i="208"/>
  <c r="E54" i="208"/>
  <c r="AD53" i="208"/>
  <c r="AC53" i="208"/>
  <c r="AB53" i="208"/>
  <c r="AE53" i="208" s="1"/>
  <c r="AI53" i="208" s="1"/>
  <c r="Y53" i="208" s="1"/>
  <c r="Z53" i="208"/>
  <c r="X53" i="208"/>
  <c r="Q53" i="208"/>
  <c r="P53" i="208"/>
  <c r="I53" i="208"/>
  <c r="H53" i="208"/>
  <c r="E53" i="208"/>
  <c r="AI52" i="208"/>
  <c r="Y52" i="208" s="1"/>
  <c r="AE52" i="208"/>
  <c r="Z52" i="208"/>
  <c r="X52" i="208"/>
  <c r="Q52" i="208"/>
  <c r="P52" i="208"/>
  <c r="H52" i="208"/>
  <c r="E52" i="208"/>
  <c r="I52" i="208" s="1"/>
  <c r="AD51" i="208"/>
  <c r="AC51" i="208"/>
  <c r="AB51" i="208"/>
  <c r="AE51" i="208" s="1"/>
  <c r="AI51" i="208" s="1"/>
  <c r="Y51" i="208" s="1"/>
  <c r="Z51" i="208"/>
  <c r="X51" i="208"/>
  <c r="Q51" i="208"/>
  <c r="P51" i="208"/>
  <c r="H51" i="208"/>
  <c r="E51" i="208"/>
  <c r="I51" i="208" s="1"/>
  <c r="AD50" i="208"/>
  <c r="AC50" i="208"/>
  <c r="AB50" i="208"/>
  <c r="AE50" i="208" s="1"/>
  <c r="AI50" i="208" s="1"/>
  <c r="Y50" i="208" s="1"/>
  <c r="Z50" i="208"/>
  <c r="X50" i="208"/>
  <c r="Q50" i="208"/>
  <c r="P50" i="208"/>
  <c r="H50" i="208"/>
  <c r="E50" i="208"/>
  <c r="I50" i="208" s="1"/>
  <c r="AE49" i="208"/>
  <c r="AI49" i="208" s="1"/>
  <c r="Y49" i="208" s="1"/>
  <c r="Z49" i="208"/>
  <c r="X49" i="208"/>
  <c r="Q49" i="208"/>
  <c r="P49" i="208"/>
  <c r="H49" i="208"/>
  <c r="E49" i="208"/>
  <c r="I49" i="208" s="1"/>
  <c r="AI48" i="208"/>
  <c r="Y48" i="208" s="1"/>
  <c r="AE48" i="208"/>
  <c r="Z48" i="208"/>
  <c r="X48" i="208"/>
  <c r="Q48" i="208"/>
  <c r="P48" i="208"/>
  <c r="H48" i="208"/>
  <c r="E48" i="208"/>
  <c r="I48" i="208" s="1"/>
  <c r="AE47" i="208"/>
  <c r="AI47" i="208" s="1"/>
  <c r="Y47" i="208" s="1"/>
  <c r="Z47" i="208"/>
  <c r="X47" i="208"/>
  <c r="Q47" i="208"/>
  <c r="P47" i="208"/>
  <c r="I47" i="208"/>
  <c r="H47" i="208"/>
  <c r="E47" i="208"/>
  <c r="AI46" i="208"/>
  <c r="Y46" i="208" s="1"/>
  <c r="AE46" i="208"/>
  <c r="AD46" i="208"/>
  <c r="AC46" i="208"/>
  <c r="AB46" i="208"/>
  <c r="Z46" i="208"/>
  <c r="X46" i="208"/>
  <c r="Q46" i="208"/>
  <c r="P46" i="208"/>
  <c r="H46" i="208"/>
  <c r="E46" i="208"/>
  <c r="I46" i="208" s="1"/>
  <c r="AE45" i="208"/>
  <c r="AI45" i="208" s="1"/>
  <c r="Y45" i="208" s="1"/>
  <c r="AD45" i="208"/>
  <c r="AC45" i="208"/>
  <c r="AB45" i="208"/>
  <c r="Z45" i="208"/>
  <c r="X45" i="208"/>
  <c r="Q45" i="208"/>
  <c r="P45" i="208"/>
  <c r="H45" i="208"/>
  <c r="E45" i="208"/>
  <c r="I45" i="208" s="1"/>
  <c r="AD44" i="208"/>
  <c r="AE44" i="208" s="1"/>
  <c r="AI44" i="208" s="1"/>
  <c r="Y44" i="208" s="1"/>
  <c r="AC44" i="208"/>
  <c r="AB44" i="208"/>
  <c r="Z44" i="208"/>
  <c r="X44" i="208"/>
  <c r="Q44" i="208"/>
  <c r="P44" i="208"/>
  <c r="H44" i="208"/>
  <c r="E44" i="208"/>
  <c r="I44" i="208" s="1"/>
  <c r="AD43" i="208"/>
  <c r="AC43" i="208"/>
  <c r="AB43" i="208"/>
  <c r="AE43" i="208" s="1"/>
  <c r="AI43" i="208" s="1"/>
  <c r="Y43" i="208" s="1"/>
  <c r="Z43" i="208"/>
  <c r="X43" i="208"/>
  <c r="Q43" i="208"/>
  <c r="P43" i="208"/>
  <c r="I43" i="208"/>
  <c r="H43" i="208"/>
  <c r="E43" i="208"/>
  <c r="AD42" i="208"/>
  <c r="AC42" i="208"/>
  <c r="AB42" i="208"/>
  <c r="AE42" i="208" s="1"/>
  <c r="AI42" i="208" s="1"/>
  <c r="Y42" i="208" s="1"/>
  <c r="Z42" i="208"/>
  <c r="X42" i="208"/>
  <c r="Q42" i="208"/>
  <c r="P42" i="208"/>
  <c r="I42" i="208"/>
  <c r="H42" i="208"/>
  <c r="E42" i="208"/>
  <c r="AD41" i="208"/>
  <c r="AC41" i="208"/>
  <c r="AB41" i="208"/>
  <c r="AE41" i="208" s="1"/>
  <c r="AI41" i="208" s="1"/>
  <c r="Y41" i="208" s="1"/>
  <c r="Z41" i="208"/>
  <c r="X41" i="208"/>
  <c r="Q41" i="208"/>
  <c r="P41" i="208"/>
  <c r="I41" i="208"/>
  <c r="H41" i="208"/>
  <c r="E41" i="208"/>
  <c r="AD40" i="208"/>
  <c r="AC40" i="208"/>
  <c r="AE40" i="208" s="1"/>
  <c r="AI40" i="208" s="1"/>
  <c r="Y40" i="208" s="1"/>
  <c r="AB40" i="208"/>
  <c r="Z40" i="208"/>
  <c r="X40" i="208"/>
  <c r="Q40" i="208"/>
  <c r="P40" i="208"/>
  <c r="H40" i="208"/>
  <c r="E40" i="208"/>
  <c r="I40" i="208" s="1"/>
  <c r="AE39" i="208"/>
  <c r="AI39" i="208" s="1"/>
  <c r="Y39" i="208" s="1"/>
  <c r="AD39" i="208"/>
  <c r="AC39" i="208"/>
  <c r="AB39" i="208"/>
  <c r="Z39" i="208"/>
  <c r="X39" i="208"/>
  <c r="Q39" i="208"/>
  <c r="P39" i="208"/>
  <c r="H39" i="208"/>
  <c r="E39" i="208"/>
  <c r="I39" i="208" s="1"/>
  <c r="AD38" i="208"/>
  <c r="AC38" i="208"/>
  <c r="AB38" i="208"/>
  <c r="AE38" i="208" s="1"/>
  <c r="AI38" i="208" s="1"/>
  <c r="Y38" i="208" s="1"/>
  <c r="Z38" i="208"/>
  <c r="X38" i="208"/>
  <c r="Q38" i="208"/>
  <c r="P38" i="208"/>
  <c r="H38" i="208"/>
  <c r="E38" i="208"/>
  <c r="I38" i="208" s="1"/>
  <c r="AD37" i="208"/>
  <c r="AC37" i="208"/>
  <c r="AB37" i="208"/>
  <c r="AE37" i="208" s="1"/>
  <c r="AI37" i="208" s="1"/>
  <c r="Y37" i="208" s="1"/>
  <c r="Z37" i="208"/>
  <c r="X37" i="208"/>
  <c r="Q37" i="208"/>
  <c r="P37" i="208"/>
  <c r="H37" i="208"/>
  <c r="E37" i="208"/>
  <c r="I37" i="208" s="1"/>
  <c r="AD36" i="208"/>
  <c r="AC36" i="208"/>
  <c r="AB36" i="208"/>
  <c r="AE36" i="208" s="1"/>
  <c r="AI36" i="208" s="1"/>
  <c r="Y36" i="208" s="1"/>
  <c r="Z36" i="208"/>
  <c r="X36" i="208"/>
  <c r="Q36" i="208"/>
  <c r="P36" i="208"/>
  <c r="I36" i="208"/>
  <c r="H36" i="208"/>
  <c r="E36" i="208"/>
  <c r="AE35" i="208"/>
  <c r="AI35" i="208" s="1"/>
  <c r="Y35" i="208" s="1"/>
  <c r="AD35" i="208"/>
  <c r="AC35" i="208"/>
  <c r="AB35" i="208"/>
  <c r="Z35" i="208"/>
  <c r="X35" i="208"/>
  <c r="Q35" i="208"/>
  <c r="P35" i="208"/>
  <c r="H35" i="208"/>
  <c r="E35" i="208"/>
  <c r="I35" i="208" s="1"/>
  <c r="AD34" i="208"/>
  <c r="AC34" i="208"/>
  <c r="AB34" i="208"/>
  <c r="AE34" i="208" s="1"/>
  <c r="AI34" i="208" s="1"/>
  <c r="Y34" i="208" s="1"/>
  <c r="Z34" i="208"/>
  <c r="X34" i="208"/>
  <c r="Q34" i="208"/>
  <c r="P34" i="208"/>
  <c r="H34" i="208"/>
  <c r="E34" i="208"/>
  <c r="I34" i="208" s="1"/>
  <c r="AD33" i="208"/>
  <c r="AC33" i="208"/>
  <c r="AE33" i="208" s="1"/>
  <c r="AI33" i="208" s="1"/>
  <c r="Y33" i="208" s="1"/>
  <c r="AB33" i="208"/>
  <c r="Z33" i="208"/>
  <c r="X33" i="208"/>
  <c r="Q33" i="208"/>
  <c r="P33" i="208"/>
  <c r="H33" i="208"/>
  <c r="E33" i="208"/>
  <c r="I33" i="208" s="1"/>
  <c r="AD32" i="208"/>
  <c r="AC32" i="208"/>
  <c r="AB32" i="208"/>
  <c r="AE32" i="208" s="1"/>
  <c r="AI32" i="208" s="1"/>
  <c r="Y32" i="208" s="1"/>
  <c r="Z32" i="208"/>
  <c r="X32" i="208"/>
  <c r="Q32" i="208"/>
  <c r="P32" i="208"/>
  <c r="I32" i="208"/>
  <c r="H32" i="208"/>
  <c r="E32" i="208"/>
  <c r="AE31" i="208"/>
  <c r="AI31" i="208" s="1"/>
  <c r="Y31" i="208" s="1"/>
  <c r="Z31" i="208"/>
  <c r="X31" i="208"/>
  <c r="Q31" i="208"/>
  <c r="P31" i="208"/>
  <c r="H31" i="208"/>
  <c r="E31" i="208"/>
  <c r="I31" i="208" s="1"/>
  <c r="AE30" i="208"/>
  <c r="AI30" i="208" s="1"/>
  <c r="Y30" i="208" s="1"/>
  <c r="AD30" i="208"/>
  <c r="AC30" i="208"/>
  <c r="AB30" i="208"/>
  <c r="Z30" i="208"/>
  <c r="X30" i="208"/>
  <c r="Q30" i="208"/>
  <c r="P30" i="208"/>
  <c r="H30" i="208"/>
  <c r="E30" i="208"/>
  <c r="I30" i="208" s="1"/>
  <c r="AD29" i="208"/>
  <c r="AE29" i="208" s="1"/>
  <c r="AI29" i="208" s="1"/>
  <c r="Y29" i="208" s="1"/>
  <c r="AC29" i="208"/>
  <c r="AB29" i="208"/>
  <c r="Z29" i="208"/>
  <c r="X29" i="208"/>
  <c r="Q29" i="208"/>
  <c r="P29" i="208"/>
  <c r="H29" i="208"/>
  <c r="E29" i="208"/>
  <c r="I29" i="208" s="1"/>
  <c r="AD28" i="208"/>
  <c r="AC28" i="208"/>
  <c r="AB28" i="208"/>
  <c r="AE28" i="208" s="1"/>
  <c r="AI28" i="208" s="1"/>
  <c r="Y28" i="208" s="1"/>
  <c r="Z28" i="208"/>
  <c r="X28" i="208"/>
  <c r="Q28" i="208"/>
  <c r="P28" i="208"/>
  <c r="I28" i="208"/>
  <c r="H28" i="208"/>
  <c r="E28" i="208"/>
  <c r="AD27" i="208"/>
  <c r="AC27" i="208"/>
  <c r="AB27" i="208"/>
  <c r="AE27" i="208" s="1"/>
  <c r="AI27" i="208" s="1"/>
  <c r="Y27" i="208" s="1"/>
  <c r="Z27" i="208"/>
  <c r="X27" i="208"/>
  <c r="Q27" i="208"/>
  <c r="P27" i="208"/>
  <c r="I27" i="208"/>
  <c r="H27" i="208"/>
  <c r="E27" i="208"/>
  <c r="AD26" i="208"/>
  <c r="AC26" i="208"/>
  <c r="AB26" i="208"/>
  <c r="AE26" i="208" s="1"/>
  <c r="AI26" i="208" s="1"/>
  <c r="Y26" i="208" s="1"/>
  <c r="Z26" i="208"/>
  <c r="X26" i="208"/>
  <c r="Q26" i="208"/>
  <c r="P26" i="208"/>
  <c r="I26" i="208"/>
  <c r="H26" i="208"/>
  <c r="E26" i="208"/>
  <c r="AD25" i="208"/>
  <c r="AC25" i="208"/>
  <c r="AE25" i="208" s="1"/>
  <c r="AI25" i="208" s="1"/>
  <c r="Y25" i="208" s="1"/>
  <c r="AB25" i="208"/>
  <c r="Z25" i="208"/>
  <c r="X25" i="208"/>
  <c r="Q25" i="208"/>
  <c r="P25" i="208"/>
  <c r="H25" i="208"/>
  <c r="E25" i="208"/>
  <c r="I25" i="208" s="1"/>
  <c r="AE24" i="208"/>
  <c r="AI24" i="208" s="1"/>
  <c r="Y24" i="208" s="1"/>
  <c r="AD24" i="208"/>
  <c r="AC24" i="208"/>
  <c r="AB24" i="208"/>
  <c r="Z24" i="208"/>
  <c r="X24" i="208"/>
  <c r="Q24" i="208"/>
  <c r="P24" i="208"/>
  <c r="H24" i="208"/>
  <c r="E24" i="208"/>
  <c r="I24" i="208" s="1"/>
  <c r="AD23" i="208"/>
  <c r="AC23" i="208"/>
  <c r="AB23" i="208"/>
  <c r="AE23" i="208" s="1"/>
  <c r="AI23" i="208" s="1"/>
  <c r="Y23" i="208" s="1"/>
  <c r="Z23" i="208"/>
  <c r="X23" i="208"/>
  <c r="Q23" i="208"/>
  <c r="P23" i="208"/>
  <c r="H23" i="208"/>
  <c r="E23" i="208"/>
  <c r="I23" i="208" s="1"/>
  <c r="AD22" i="208"/>
  <c r="AC22" i="208"/>
  <c r="AB22" i="208"/>
  <c r="AE22" i="208" s="1"/>
  <c r="AI22" i="208" s="1"/>
  <c r="Y22" i="208" s="1"/>
  <c r="Z22" i="208"/>
  <c r="X22" i="208"/>
  <c r="Q22" i="208"/>
  <c r="P22" i="208"/>
  <c r="H22" i="208"/>
  <c r="E22" i="208"/>
  <c r="I22" i="208" s="1"/>
  <c r="AD21" i="208"/>
  <c r="AC21" i="208"/>
  <c r="AB21" i="208"/>
  <c r="AE21" i="208" s="1"/>
  <c r="AI21" i="208" s="1"/>
  <c r="Y21" i="208" s="1"/>
  <c r="Z21" i="208"/>
  <c r="X21" i="208"/>
  <c r="Q21" i="208"/>
  <c r="P21" i="208"/>
  <c r="I21" i="208"/>
  <c r="H21" i="208"/>
  <c r="E21" i="208"/>
  <c r="AE20" i="208"/>
  <c r="AI20" i="208" s="1"/>
  <c r="Y20" i="208" s="1"/>
  <c r="AD20" i="208"/>
  <c r="AC20" i="208"/>
  <c r="AB20" i="208"/>
  <c r="Z20" i="208"/>
  <c r="X20" i="208"/>
  <c r="Q20" i="208"/>
  <c r="P20" i="208"/>
  <c r="H20" i="208"/>
  <c r="E20" i="208"/>
  <c r="I20" i="208" s="1"/>
  <c r="AD19" i="208"/>
  <c r="AC19" i="208"/>
  <c r="AB19" i="208"/>
  <c r="AE19" i="208" s="1"/>
  <c r="AI19" i="208" s="1"/>
  <c r="Y19" i="208" s="1"/>
  <c r="Z19" i="208"/>
  <c r="X19" i="208"/>
  <c r="Q19" i="208"/>
  <c r="P19" i="208"/>
  <c r="H19" i="208"/>
  <c r="E19" i="208"/>
  <c r="I19" i="208" s="1"/>
  <c r="AD18" i="208"/>
  <c r="AC18" i="208"/>
  <c r="AE18" i="208" s="1"/>
  <c r="AI18" i="208" s="1"/>
  <c r="Y18" i="208" s="1"/>
  <c r="AB18" i="208"/>
  <c r="Z18" i="208"/>
  <c r="X18" i="208"/>
  <c r="Q18" i="208"/>
  <c r="P18" i="208"/>
  <c r="H18" i="208"/>
  <c r="E18" i="208"/>
  <c r="I18" i="208" s="1"/>
  <c r="AD17" i="208"/>
  <c r="AC17" i="208"/>
  <c r="AB17" i="208"/>
  <c r="AE17" i="208" s="1"/>
  <c r="AI17" i="208" s="1"/>
  <c r="Y17" i="208" s="1"/>
  <c r="Z17" i="208"/>
  <c r="X17" i="208"/>
  <c r="Q17" i="208"/>
  <c r="P17" i="208"/>
  <c r="I17" i="208"/>
  <c r="H17" i="208"/>
  <c r="E17" i="208"/>
  <c r="AD16" i="208"/>
  <c r="AC16" i="208"/>
  <c r="AB16" i="208"/>
  <c r="AE16" i="208" s="1"/>
  <c r="AI16" i="208" s="1"/>
  <c r="Y16" i="208" s="1"/>
  <c r="Z16" i="208"/>
  <c r="X16" i="208"/>
  <c r="Q16" i="208"/>
  <c r="P16" i="208"/>
  <c r="E16" i="208"/>
  <c r="I16" i="208" s="1"/>
  <c r="AE15" i="208"/>
  <c r="AI15" i="208" s="1"/>
  <c r="Y15" i="208" s="1"/>
  <c r="AD15" i="208"/>
  <c r="AC15" i="208"/>
  <c r="AB15" i="208"/>
  <c r="Z15" i="208"/>
  <c r="X15" i="208"/>
  <c r="Q15" i="208"/>
  <c r="P15" i="208"/>
  <c r="E15" i="208"/>
  <c r="I15" i="208" s="1"/>
  <c r="AE14" i="208"/>
  <c r="AI14" i="208" s="1"/>
  <c r="Y14" i="208" s="1"/>
  <c r="AD14" i="208"/>
  <c r="AC14" i="208"/>
  <c r="AB14" i="208"/>
  <c r="Z14" i="208"/>
  <c r="X14" i="208"/>
  <c r="Q14" i="208"/>
  <c r="P14" i="208"/>
  <c r="H14" i="208"/>
  <c r="E14" i="208"/>
  <c r="I14" i="208" s="1"/>
  <c r="AD13" i="208"/>
  <c r="AC13" i="208"/>
  <c r="AB13" i="208"/>
  <c r="AE13" i="208" s="1"/>
  <c r="AI13" i="208" s="1"/>
  <c r="Y13" i="208" s="1"/>
  <c r="Z13" i="208"/>
  <c r="X13" i="208"/>
  <c r="Q13" i="208"/>
  <c r="P13" i="208"/>
  <c r="H13" i="208"/>
  <c r="E13" i="208"/>
  <c r="I13" i="208" s="1"/>
  <c r="AD12" i="208"/>
  <c r="AC12" i="208"/>
  <c r="AB12" i="208"/>
  <c r="AE12" i="208" s="1"/>
  <c r="AI12" i="208" s="1"/>
  <c r="Y12" i="208" s="1"/>
  <c r="Z12" i="208"/>
  <c r="X12" i="208"/>
  <c r="Q12" i="208"/>
  <c r="O73" i="208" s="1"/>
  <c r="P12" i="208"/>
  <c r="H12" i="208"/>
  <c r="E12" i="208"/>
  <c r="I12" i="208" s="1"/>
  <c r="T79" i="209" l="1"/>
  <c r="F77" i="209" s="1"/>
  <c r="T77" i="208"/>
  <c r="F73" i="208"/>
  <c r="F75" i="208"/>
  <c r="T73" i="208"/>
  <c r="F42" i="207"/>
  <c r="H71" i="207" s="1"/>
  <c r="M79" i="207"/>
  <c r="P71" i="207"/>
  <c r="Q70" i="207"/>
  <c r="P70" i="207"/>
  <c r="I70" i="207"/>
  <c r="H70" i="207"/>
  <c r="E70" i="207"/>
  <c r="Q69" i="207"/>
  <c r="P69" i="207"/>
  <c r="H69" i="207"/>
  <c r="E69" i="207"/>
  <c r="I69" i="207" s="1"/>
  <c r="AD68" i="207"/>
  <c r="AC68" i="207"/>
  <c r="AB68" i="207"/>
  <c r="AE68" i="207" s="1"/>
  <c r="AI68" i="207" s="1"/>
  <c r="Y68" i="207" s="1"/>
  <c r="Z68" i="207"/>
  <c r="X68" i="207"/>
  <c r="Q68" i="207"/>
  <c r="P68" i="207"/>
  <c r="H68" i="207"/>
  <c r="E68" i="207"/>
  <c r="I68" i="207" s="1"/>
  <c r="AD67" i="207"/>
  <c r="AC67" i="207"/>
  <c r="AE67" i="207" s="1"/>
  <c r="AI67" i="207" s="1"/>
  <c r="Y67" i="207" s="1"/>
  <c r="AB67" i="207"/>
  <c r="Z67" i="207"/>
  <c r="X67" i="207"/>
  <c r="Q67" i="207"/>
  <c r="P67" i="207"/>
  <c r="H67" i="207"/>
  <c r="E67" i="207"/>
  <c r="I67" i="207" s="1"/>
  <c r="AE66" i="207"/>
  <c r="AI66" i="207" s="1"/>
  <c r="Y66" i="207" s="1"/>
  <c r="AD66" i="207"/>
  <c r="AC66" i="207"/>
  <c r="AB66" i="207"/>
  <c r="Z66" i="207"/>
  <c r="X66" i="207"/>
  <c r="Q66" i="207"/>
  <c r="P66" i="207"/>
  <c r="I66" i="207"/>
  <c r="H66" i="207"/>
  <c r="E66" i="207"/>
  <c r="AD65" i="207"/>
  <c r="AE65" i="207" s="1"/>
  <c r="AI65" i="207" s="1"/>
  <c r="Y65" i="207" s="1"/>
  <c r="AC65" i="207"/>
  <c r="AB65" i="207"/>
  <c r="Z65" i="207"/>
  <c r="X65" i="207"/>
  <c r="Q65" i="207"/>
  <c r="P65" i="207"/>
  <c r="H65" i="207"/>
  <c r="E65" i="207"/>
  <c r="I65" i="207" s="1"/>
  <c r="AD64" i="207"/>
  <c r="AC64" i="207"/>
  <c r="AB64" i="207"/>
  <c r="AE64" i="207" s="1"/>
  <c r="AI64" i="207" s="1"/>
  <c r="Y64" i="207" s="1"/>
  <c r="Z64" i="207"/>
  <c r="X64" i="207"/>
  <c r="Q64" i="207"/>
  <c r="P64" i="207"/>
  <c r="H64" i="207"/>
  <c r="E64" i="207"/>
  <c r="I64" i="207" s="1"/>
  <c r="AD63" i="207"/>
  <c r="AC63" i="207"/>
  <c r="AB63" i="207"/>
  <c r="AE63" i="207" s="1"/>
  <c r="AI63" i="207" s="1"/>
  <c r="Y63" i="207" s="1"/>
  <c r="Z63" i="207"/>
  <c r="X63" i="207"/>
  <c r="Q63" i="207"/>
  <c r="P63" i="207"/>
  <c r="I63" i="207"/>
  <c r="H63" i="207"/>
  <c r="E63" i="207"/>
  <c r="AD62" i="207"/>
  <c r="AE62" i="207" s="1"/>
  <c r="AI62" i="207" s="1"/>
  <c r="Y62" i="207" s="1"/>
  <c r="AC62" i="207"/>
  <c r="AB62" i="207"/>
  <c r="Z62" i="207"/>
  <c r="X62" i="207"/>
  <c r="Q62" i="207"/>
  <c r="P62" i="207"/>
  <c r="I62" i="207"/>
  <c r="H62" i="207"/>
  <c r="E62" i="207"/>
  <c r="AI61" i="207"/>
  <c r="Y61" i="207" s="1"/>
  <c r="AE61" i="207"/>
  <c r="AC61" i="207"/>
  <c r="AB61" i="207"/>
  <c r="X61" i="207"/>
  <c r="Q61" i="207"/>
  <c r="P61" i="207"/>
  <c r="I61" i="207"/>
  <c r="H61" i="207"/>
  <c r="E61" i="207"/>
  <c r="AI60" i="207"/>
  <c r="AE60" i="207"/>
  <c r="Y60" i="207"/>
  <c r="X60" i="207"/>
  <c r="Q60" i="207"/>
  <c r="P60" i="207"/>
  <c r="I60" i="207"/>
  <c r="H60" i="207"/>
  <c r="E60" i="207"/>
  <c r="AE59" i="207"/>
  <c r="AI59" i="207" s="1"/>
  <c r="Y59" i="207" s="1"/>
  <c r="AC59" i="207"/>
  <c r="AB59" i="207"/>
  <c r="X59" i="207"/>
  <c r="Q59" i="207"/>
  <c r="P59" i="207"/>
  <c r="H59" i="207"/>
  <c r="E59" i="207"/>
  <c r="I59" i="207" s="1"/>
  <c r="AE58" i="207"/>
  <c r="AI58" i="207" s="1"/>
  <c r="Y58" i="207" s="1"/>
  <c r="AC58" i="207"/>
  <c r="AB58" i="207"/>
  <c r="X58" i="207"/>
  <c r="Q58" i="207"/>
  <c r="P58" i="207"/>
  <c r="E58" i="207"/>
  <c r="I58" i="207" s="1"/>
  <c r="AE57" i="207"/>
  <c r="AI57" i="207" s="1"/>
  <c r="Y57" i="207" s="1"/>
  <c r="AC57" i="207"/>
  <c r="AB57" i="207"/>
  <c r="X57" i="207"/>
  <c r="Q57" i="207"/>
  <c r="P57" i="207"/>
  <c r="I57" i="207"/>
  <c r="H57" i="207"/>
  <c r="E57" i="207"/>
  <c r="AE56" i="207"/>
  <c r="AI56" i="207" s="1"/>
  <c r="Y56" i="207" s="1"/>
  <c r="AD56" i="207"/>
  <c r="AC56" i="207"/>
  <c r="AB56" i="207"/>
  <c r="Z56" i="207"/>
  <c r="X56" i="207"/>
  <c r="Q56" i="207"/>
  <c r="P56" i="207"/>
  <c r="I56" i="207"/>
  <c r="H56" i="207"/>
  <c r="E56" i="207"/>
  <c r="AD55" i="207"/>
  <c r="AC55" i="207"/>
  <c r="AB55" i="207"/>
  <c r="AE55" i="207" s="1"/>
  <c r="AI55" i="207" s="1"/>
  <c r="Y55" i="207" s="1"/>
  <c r="Z55" i="207"/>
  <c r="X55" i="207"/>
  <c r="Q55" i="207"/>
  <c r="P55" i="207"/>
  <c r="H55" i="207"/>
  <c r="E55" i="207"/>
  <c r="I55" i="207" s="1"/>
  <c r="AD54" i="207"/>
  <c r="AC54" i="207"/>
  <c r="AB54" i="207"/>
  <c r="AE54" i="207" s="1"/>
  <c r="AI54" i="207" s="1"/>
  <c r="Y54" i="207" s="1"/>
  <c r="Z54" i="207"/>
  <c r="X54" i="207"/>
  <c r="Q54" i="207"/>
  <c r="P54" i="207"/>
  <c r="I54" i="207"/>
  <c r="H54" i="207"/>
  <c r="E54" i="207"/>
  <c r="AD53" i="207"/>
  <c r="AC53" i="207"/>
  <c r="AB53" i="207"/>
  <c r="AE53" i="207" s="1"/>
  <c r="AI53" i="207" s="1"/>
  <c r="Y53" i="207" s="1"/>
  <c r="Z53" i="207"/>
  <c r="X53" i="207"/>
  <c r="Q53" i="207"/>
  <c r="P53" i="207"/>
  <c r="I53" i="207"/>
  <c r="H53" i="207"/>
  <c r="E53" i="207"/>
  <c r="AI52" i="207"/>
  <c r="Y52" i="207" s="1"/>
  <c r="AE52" i="207"/>
  <c r="Z52" i="207"/>
  <c r="X52" i="207"/>
  <c r="Q52" i="207"/>
  <c r="P52" i="207"/>
  <c r="H52" i="207"/>
  <c r="E52" i="207"/>
  <c r="I52" i="207" s="1"/>
  <c r="AD51" i="207"/>
  <c r="AC51" i="207"/>
  <c r="AB51" i="207"/>
  <c r="AE51" i="207" s="1"/>
  <c r="AI51" i="207" s="1"/>
  <c r="Y51" i="207" s="1"/>
  <c r="Z51" i="207"/>
  <c r="X51" i="207"/>
  <c r="Q51" i="207"/>
  <c r="P51" i="207"/>
  <c r="H51" i="207"/>
  <c r="E51" i="207"/>
  <c r="I51" i="207" s="1"/>
  <c r="AE50" i="207"/>
  <c r="AI50" i="207" s="1"/>
  <c r="Y50" i="207" s="1"/>
  <c r="AD50" i="207"/>
  <c r="AC50" i="207"/>
  <c r="AB50" i="207"/>
  <c r="Z50" i="207"/>
  <c r="X50" i="207"/>
  <c r="Q50" i="207"/>
  <c r="P50" i="207"/>
  <c r="I50" i="207"/>
  <c r="H50" i="207"/>
  <c r="E50" i="207"/>
  <c r="AE49" i="207"/>
  <c r="AI49" i="207" s="1"/>
  <c r="Y49" i="207" s="1"/>
  <c r="Z49" i="207"/>
  <c r="X49" i="207"/>
  <c r="Q49" i="207"/>
  <c r="P49" i="207"/>
  <c r="H49" i="207"/>
  <c r="E49" i="207"/>
  <c r="I49" i="207" s="1"/>
  <c r="AE48" i="207"/>
  <c r="AI48" i="207" s="1"/>
  <c r="Y48" i="207" s="1"/>
  <c r="Z48" i="207"/>
  <c r="X48" i="207"/>
  <c r="Q48" i="207"/>
  <c r="P48" i="207"/>
  <c r="I48" i="207"/>
  <c r="H48" i="207"/>
  <c r="E48" i="207"/>
  <c r="AI47" i="207"/>
  <c r="Y47" i="207" s="1"/>
  <c r="AE47" i="207"/>
  <c r="Z47" i="207"/>
  <c r="X47" i="207"/>
  <c r="Q47" i="207"/>
  <c r="P47" i="207"/>
  <c r="H47" i="207"/>
  <c r="E47" i="207"/>
  <c r="I47" i="207" s="1"/>
  <c r="AD46" i="207"/>
  <c r="AC46" i="207"/>
  <c r="AB46" i="207"/>
  <c r="AE46" i="207" s="1"/>
  <c r="AI46" i="207" s="1"/>
  <c r="Y46" i="207" s="1"/>
  <c r="Z46" i="207"/>
  <c r="X46" i="207"/>
  <c r="Q46" i="207"/>
  <c r="P46" i="207"/>
  <c r="I46" i="207"/>
  <c r="H46" i="207"/>
  <c r="E46" i="207"/>
  <c r="AE45" i="207"/>
  <c r="AI45" i="207" s="1"/>
  <c r="Y45" i="207" s="1"/>
  <c r="AD45" i="207"/>
  <c r="AC45" i="207"/>
  <c r="AB45" i="207"/>
  <c r="Z45" i="207"/>
  <c r="X45" i="207"/>
  <c r="Q45" i="207"/>
  <c r="P45" i="207"/>
  <c r="I45" i="207"/>
  <c r="H45" i="207"/>
  <c r="E45" i="207"/>
  <c r="AE44" i="207"/>
  <c r="AI44" i="207" s="1"/>
  <c r="Y44" i="207" s="1"/>
  <c r="AD44" i="207"/>
  <c r="AC44" i="207"/>
  <c r="AB44" i="207"/>
  <c r="Z44" i="207"/>
  <c r="X44" i="207"/>
  <c r="Q44" i="207"/>
  <c r="P44" i="207"/>
  <c r="I44" i="207"/>
  <c r="H44" i="207"/>
  <c r="E44" i="207"/>
  <c r="AD43" i="207"/>
  <c r="AC43" i="207"/>
  <c r="AB43" i="207"/>
  <c r="AE43" i="207" s="1"/>
  <c r="AI43" i="207" s="1"/>
  <c r="Y43" i="207" s="1"/>
  <c r="Z43" i="207"/>
  <c r="X43" i="207"/>
  <c r="Q43" i="207"/>
  <c r="P43" i="207"/>
  <c r="H43" i="207"/>
  <c r="E43" i="207"/>
  <c r="I43" i="207" s="1"/>
  <c r="AD42" i="207"/>
  <c r="AC42" i="207"/>
  <c r="AB42" i="207"/>
  <c r="AE42" i="207" s="1"/>
  <c r="AI42" i="207" s="1"/>
  <c r="Y42" i="207" s="1"/>
  <c r="Z42" i="207"/>
  <c r="Q42" i="207"/>
  <c r="P42" i="207"/>
  <c r="I42" i="207"/>
  <c r="E42" i="207"/>
  <c r="AD41" i="207"/>
  <c r="AC41" i="207"/>
  <c r="AE41" i="207" s="1"/>
  <c r="AI41" i="207" s="1"/>
  <c r="Y41" i="207" s="1"/>
  <c r="AB41" i="207"/>
  <c r="Z41" i="207"/>
  <c r="X41" i="207"/>
  <c r="Q41" i="207"/>
  <c r="P41" i="207"/>
  <c r="I41" i="207"/>
  <c r="H41" i="207"/>
  <c r="E41" i="207"/>
  <c r="AD40" i="207"/>
  <c r="AE40" i="207" s="1"/>
  <c r="AI40" i="207" s="1"/>
  <c r="Y40" i="207" s="1"/>
  <c r="AC40" i="207"/>
  <c r="AB40" i="207"/>
  <c r="Z40" i="207"/>
  <c r="X40" i="207"/>
  <c r="Q40" i="207"/>
  <c r="P40" i="207"/>
  <c r="H40" i="207"/>
  <c r="E40" i="207"/>
  <c r="I40" i="207" s="1"/>
  <c r="AD39" i="207"/>
  <c r="AC39" i="207"/>
  <c r="AB39" i="207"/>
  <c r="AE39" i="207" s="1"/>
  <c r="AI39" i="207" s="1"/>
  <c r="Y39" i="207" s="1"/>
  <c r="Z39" i="207"/>
  <c r="X39" i="207"/>
  <c r="Q39" i="207"/>
  <c r="P39" i="207"/>
  <c r="H39" i="207"/>
  <c r="E39" i="207"/>
  <c r="I39" i="207" s="1"/>
  <c r="AD38" i="207"/>
  <c r="AC38" i="207"/>
  <c r="AE38" i="207" s="1"/>
  <c r="AI38" i="207" s="1"/>
  <c r="Y38" i="207" s="1"/>
  <c r="AB38" i="207"/>
  <c r="Z38" i="207"/>
  <c r="X38" i="207"/>
  <c r="Q38" i="207"/>
  <c r="P38" i="207"/>
  <c r="H38" i="207"/>
  <c r="E38" i="207"/>
  <c r="I38" i="207" s="1"/>
  <c r="AE37" i="207"/>
  <c r="AI37" i="207" s="1"/>
  <c r="Y37" i="207" s="1"/>
  <c r="AD37" i="207"/>
  <c r="AC37" i="207"/>
  <c r="AB37" i="207"/>
  <c r="Z37" i="207"/>
  <c r="X37" i="207"/>
  <c r="Q37" i="207"/>
  <c r="P37" i="207"/>
  <c r="I37" i="207"/>
  <c r="H37" i="207"/>
  <c r="E37" i="207"/>
  <c r="AD36" i="207"/>
  <c r="AE36" i="207" s="1"/>
  <c r="AI36" i="207" s="1"/>
  <c r="Y36" i="207" s="1"/>
  <c r="AC36" i="207"/>
  <c r="AB36" i="207"/>
  <c r="Z36" i="207"/>
  <c r="X36" i="207"/>
  <c r="Q36" i="207"/>
  <c r="P36" i="207"/>
  <c r="H36" i="207"/>
  <c r="E36" i="207"/>
  <c r="I36" i="207" s="1"/>
  <c r="AD35" i="207"/>
  <c r="AC35" i="207"/>
  <c r="AB35" i="207"/>
  <c r="AE35" i="207" s="1"/>
  <c r="AI35" i="207" s="1"/>
  <c r="Y35" i="207" s="1"/>
  <c r="Z35" i="207"/>
  <c r="X35" i="207"/>
  <c r="Q35" i="207"/>
  <c r="P35" i="207"/>
  <c r="H35" i="207"/>
  <c r="E35" i="207"/>
  <c r="I35" i="207" s="1"/>
  <c r="AD34" i="207"/>
  <c r="AC34" i="207"/>
  <c r="AB34" i="207"/>
  <c r="AE34" i="207" s="1"/>
  <c r="AI34" i="207" s="1"/>
  <c r="Y34" i="207" s="1"/>
  <c r="Z34" i="207"/>
  <c r="X34" i="207"/>
  <c r="Q34" i="207"/>
  <c r="P34" i="207"/>
  <c r="I34" i="207"/>
  <c r="H34" i="207"/>
  <c r="E34" i="207"/>
  <c r="AD33" i="207"/>
  <c r="AE33" i="207" s="1"/>
  <c r="AI33" i="207" s="1"/>
  <c r="Y33" i="207" s="1"/>
  <c r="AC33" i="207"/>
  <c r="AB33" i="207"/>
  <c r="Z33" i="207"/>
  <c r="X33" i="207"/>
  <c r="Q33" i="207"/>
  <c r="P33" i="207"/>
  <c r="I33" i="207"/>
  <c r="H33" i="207"/>
  <c r="E33" i="207"/>
  <c r="AD32" i="207"/>
  <c r="AC32" i="207"/>
  <c r="AB32" i="207"/>
  <c r="AE32" i="207" s="1"/>
  <c r="AI32" i="207" s="1"/>
  <c r="Y32" i="207" s="1"/>
  <c r="Z32" i="207"/>
  <c r="X32" i="207"/>
  <c r="Q32" i="207"/>
  <c r="P32" i="207"/>
  <c r="I32" i="207"/>
  <c r="H32" i="207"/>
  <c r="E32" i="207"/>
  <c r="AE31" i="207"/>
  <c r="AI31" i="207" s="1"/>
  <c r="Y31" i="207" s="1"/>
  <c r="Z31" i="207"/>
  <c r="X31" i="207"/>
  <c r="Q31" i="207"/>
  <c r="P31" i="207"/>
  <c r="I31" i="207"/>
  <c r="H31" i="207"/>
  <c r="E31" i="207"/>
  <c r="AE30" i="207"/>
  <c r="AI30" i="207" s="1"/>
  <c r="Y30" i="207" s="1"/>
  <c r="AD30" i="207"/>
  <c r="AC30" i="207"/>
  <c r="AB30" i="207"/>
  <c r="Z30" i="207"/>
  <c r="X30" i="207"/>
  <c r="Q30" i="207"/>
  <c r="P30" i="207"/>
  <c r="I30" i="207"/>
  <c r="H30" i="207"/>
  <c r="E30" i="207"/>
  <c r="AE29" i="207"/>
  <c r="AI29" i="207" s="1"/>
  <c r="Y29" i="207" s="1"/>
  <c r="AD29" i="207"/>
  <c r="AC29" i="207"/>
  <c r="AB29" i="207"/>
  <c r="Z29" i="207"/>
  <c r="X29" i="207"/>
  <c r="Q29" i="207"/>
  <c r="P29" i="207"/>
  <c r="I29" i="207"/>
  <c r="H29" i="207"/>
  <c r="E29" i="207"/>
  <c r="AD28" i="207"/>
  <c r="AC28" i="207"/>
  <c r="AB28" i="207"/>
  <c r="AE28" i="207" s="1"/>
  <c r="AI28" i="207" s="1"/>
  <c r="Y28" i="207" s="1"/>
  <c r="Z28" i="207"/>
  <c r="X28" i="207"/>
  <c r="Q28" i="207"/>
  <c r="P28" i="207"/>
  <c r="H28" i="207"/>
  <c r="E28" i="207"/>
  <c r="I28" i="207" s="1"/>
  <c r="AD27" i="207"/>
  <c r="AC27" i="207"/>
  <c r="AB27" i="207"/>
  <c r="AE27" i="207" s="1"/>
  <c r="AI27" i="207" s="1"/>
  <c r="Y27" i="207" s="1"/>
  <c r="Z27" i="207"/>
  <c r="X27" i="207"/>
  <c r="Q27" i="207"/>
  <c r="P27" i="207"/>
  <c r="H27" i="207"/>
  <c r="E27" i="207"/>
  <c r="I27" i="207" s="1"/>
  <c r="AD26" i="207"/>
  <c r="AC26" i="207"/>
  <c r="AB26" i="207"/>
  <c r="AE26" i="207" s="1"/>
  <c r="AI26" i="207" s="1"/>
  <c r="Y26" i="207" s="1"/>
  <c r="Z26" i="207"/>
  <c r="X26" i="207"/>
  <c r="Q26" i="207"/>
  <c r="P26" i="207"/>
  <c r="I26" i="207"/>
  <c r="H26" i="207"/>
  <c r="E26" i="207"/>
  <c r="AD25" i="207"/>
  <c r="AE25" i="207" s="1"/>
  <c r="AI25" i="207" s="1"/>
  <c r="Y25" i="207" s="1"/>
  <c r="AC25" i="207"/>
  <c r="AB25" i="207"/>
  <c r="Z25" i="207"/>
  <c r="X25" i="207"/>
  <c r="Q25" i="207"/>
  <c r="P25" i="207"/>
  <c r="H25" i="207"/>
  <c r="E25" i="207"/>
  <c r="I25" i="207" s="1"/>
  <c r="AD24" i="207"/>
  <c r="AC24" i="207"/>
  <c r="AB24" i="207"/>
  <c r="AE24" i="207" s="1"/>
  <c r="AI24" i="207" s="1"/>
  <c r="Y24" i="207" s="1"/>
  <c r="Z24" i="207"/>
  <c r="X24" i="207"/>
  <c r="Q24" i="207"/>
  <c r="P24" i="207"/>
  <c r="H24" i="207"/>
  <c r="E24" i="207"/>
  <c r="I24" i="207" s="1"/>
  <c r="AD23" i="207"/>
  <c r="AC23" i="207"/>
  <c r="AE23" i="207" s="1"/>
  <c r="AI23" i="207" s="1"/>
  <c r="Y23" i="207" s="1"/>
  <c r="AB23" i="207"/>
  <c r="Z23" i="207"/>
  <c r="X23" i="207"/>
  <c r="Q23" i="207"/>
  <c r="P23" i="207"/>
  <c r="H23" i="207"/>
  <c r="E23" i="207"/>
  <c r="I23" i="207" s="1"/>
  <c r="AE22" i="207"/>
  <c r="AI22" i="207" s="1"/>
  <c r="Y22" i="207" s="1"/>
  <c r="AD22" i="207"/>
  <c r="AC22" i="207"/>
  <c r="AB22" i="207"/>
  <c r="Z22" i="207"/>
  <c r="X22" i="207"/>
  <c r="Q22" i="207"/>
  <c r="P22" i="207"/>
  <c r="I22" i="207"/>
  <c r="H22" i="207"/>
  <c r="E22" i="207"/>
  <c r="AD21" i="207"/>
  <c r="AE21" i="207" s="1"/>
  <c r="AI21" i="207" s="1"/>
  <c r="Y21" i="207" s="1"/>
  <c r="AC21" i="207"/>
  <c r="AB21" i="207"/>
  <c r="Z21" i="207"/>
  <c r="X21" i="207"/>
  <c r="Q21" i="207"/>
  <c r="P21" i="207"/>
  <c r="H21" i="207"/>
  <c r="E21" i="207"/>
  <c r="I21" i="207" s="1"/>
  <c r="AD20" i="207"/>
  <c r="AC20" i="207"/>
  <c r="AB20" i="207"/>
  <c r="AE20" i="207" s="1"/>
  <c r="AI20" i="207" s="1"/>
  <c r="Y20" i="207" s="1"/>
  <c r="Z20" i="207"/>
  <c r="X20" i="207"/>
  <c r="Q20" i="207"/>
  <c r="P20" i="207"/>
  <c r="H20" i="207"/>
  <c r="E20" i="207"/>
  <c r="I20" i="207" s="1"/>
  <c r="AD19" i="207"/>
  <c r="AC19" i="207"/>
  <c r="AB19" i="207"/>
  <c r="AE19" i="207" s="1"/>
  <c r="AI19" i="207" s="1"/>
  <c r="Y19" i="207" s="1"/>
  <c r="Z19" i="207"/>
  <c r="X19" i="207"/>
  <c r="Q19" i="207"/>
  <c r="P19" i="207"/>
  <c r="I19" i="207"/>
  <c r="H19" i="207"/>
  <c r="E19" i="207"/>
  <c r="AD18" i="207"/>
  <c r="AE18" i="207" s="1"/>
  <c r="AI18" i="207" s="1"/>
  <c r="Y18" i="207" s="1"/>
  <c r="AC18" i="207"/>
  <c r="AB18" i="207"/>
  <c r="Z18" i="207"/>
  <c r="X18" i="207"/>
  <c r="Q18" i="207"/>
  <c r="P18" i="207"/>
  <c r="I18" i="207"/>
  <c r="H18" i="207"/>
  <c r="E18" i="207"/>
  <c r="AI17" i="207"/>
  <c r="Y17" i="207" s="1"/>
  <c r="AE17" i="207"/>
  <c r="AD17" i="207"/>
  <c r="AC17" i="207"/>
  <c r="AB17" i="207"/>
  <c r="Z17" i="207"/>
  <c r="X17" i="207"/>
  <c r="Q17" i="207"/>
  <c r="P17" i="207"/>
  <c r="I17" i="207"/>
  <c r="H17" i="207"/>
  <c r="E17" i="207"/>
  <c r="AE16" i="207"/>
  <c r="AI16" i="207" s="1"/>
  <c r="Y16" i="207" s="1"/>
  <c r="AD16" i="207"/>
  <c r="AC16" i="207"/>
  <c r="AB16" i="207"/>
  <c r="Z16" i="207"/>
  <c r="X16" i="207"/>
  <c r="Q16" i="207"/>
  <c r="P16" i="207"/>
  <c r="E16" i="207"/>
  <c r="I16" i="207" s="1"/>
  <c r="AD15" i="207"/>
  <c r="AC15" i="207"/>
  <c r="AB15" i="207"/>
  <c r="AE15" i="207" s="1"/>
  <c r="AI15" i="207" s="1"/>
  <c r="Y15" i="207" s="1"/>
  <c r="Z15" i="207"/>
  <c r="X15" i="207"/>
  <c r="Q15" i="207"/>
  <c r="P15" i="207"/>
  <c r="E15" i="207"/>
  <c r="I15" i="207" s="1"/>
  <c r="AD14" i="207"/>
  <c r="AC14" i="207"/>
  <c r="AB14" i="207"/>
  <c r="AE14" i="207" s="1"/>
  <c r="AI14" i="207" s="1"/>
  <c r="Y14" i="207" s="1"/>
  <c r="Z14" i="207"/>
  <c r="X14" i="207"/>
  <c r="Q14" i="207"/>
  <c r="O75" i="207" s="1"/>
  <c r="P14" i="207"/>
  <c r="H14" i="207"/>
  <c r="E14" i="207"/>
  <c r="I14" i="207" s="1"/>
  <c r="AD13" i="207"/>
  <c r="AC13" i="207"/>
  <c r="AB13" i="207"/>
  <c r="AE13" i="207" s="1"/>
  <c r="AI13" i="207" s="1"/>
  <c r="Y13" i="207" s="1"/>
  <c r="Z13" i="207"/>
  <c r="X13" i="207"/>
  <c r="Q13" i="207"/>
  <c r="P13" i="207"/>
  <c r="H13" i="207"/>
  <c r="E13" i="207"/>
  <c r="I13" i="207" s="1"/>
  <c r="AE12" i="207"/>
  <c r="AI12" i="207" s="1"/>
  <c r="Y12" i="207" s="1"/>
  <c r="AD12" i="207"/>
  <c r="AC12" i="207"/>
  <c r="AB12" i="207"/>
  <c r="Z12" i="207"/>
  <c r="X12" i="207"/>
  <c r="Q12" i="207"/>
  <c r="O73" i="207" s="1"/>
  <c r="P12" i="207"/>
  <c r="H12" i="207"/>
  <c r="E12" i="207"/>
  <c r="I12" i="207" s="1"/>
  <c r="M79" i="206"/>
  <c r="P71" i="206"/>
  <c r="H71" i="206"/>
  <c r="Q70" i="206"/>
  <c r="P70" i="206"/>
  <c r="I70" i="206"/>
  <c r="H70" i="206"/>
  <c r="E70" i="206"/>
  <c r="Q69" i="206"/>
  <c r="P69" i="206"/>
  <c r="I69" i="206"/>
  <c r="H69" i="206"/>
  <c r="E69" i="206"/>
  <c r="AD68" i="206"/>
  <c r="AC68" i="206"/>
  <c r="AB68" i="206"/>
  <c r="AE68" i="206" s="1"/>
  <c r="AI68" i="206" s="1"/>
  <c r="Y68" i="206" s="1"/>
  <c r="Z68" i="206"/>
  <c r="X68" i="206"/>
  <c r="Q68" i="206"/>
  <c r="P68" i="206"/>
  <c r="H68" i="206"/>
  <c r="E68" i="206"/>
  <c r="I68" i="206" s="1"/>
  <c r="AE67" i="206"/>
  <c r="AI67" i="206" s="1"/>
  <c r="Y67" i="206" s="1"/>
  <c r="AD67" i="206"/>
  <c r="AC67" i="206"/>
  <c r="AB67" i="206"/>
  <c r="Z67" i="206"/>
  <c r="X67" i="206"/>
  <c r="Q67" i="206"/>
  <c r="P67" i="206"/>
  <c r="I67" i="206"/>
  <c r="H67" i="206"/>
  <c r="E67" i="206"/>
  <c r="AE66" i="206"/>
  <c r="AI66" i="206" s="1"/>
  <c r="Y66" i="206" s="1"/>
  <c r="AD66" i="206"/>
  <c r="AC66" i="206"/>
  <c r="AB66" i="206"/>
  <c r="Z66" i="206"/>
  <c r="X66" i="206"/>
  <c r="Q66" i="206"/>
  <c r="P66" i="206"/>
  <c r="I66" i="206"/>
  <c r="H66" i="206"/>
  <c r="E66" i="206"/>
  <c r="AE65" i="206"/>
  <c r="AI65" i="206" s="1"/>
  <c r="Y65" i="206" s="1"/>
  <c r="AD65" i="206"/>
  <c r="AC65" i="206"/>
  <c r="AB65" i="206"/>
  <c r="Z65" i="206"/>
  <c r="X65" i="206"/>
  <c r="Q65" i="206"/>
  <c r="P65" i="206"/>
  <c r="H65" i="206"/>
  <c r="E65" i="206"/>
  <c r="I65" i="206" s="1"/>
  <c r="AD64" i="206"/>
  <c r="AC64" i="206"/>
  <c r="AB64" i="206"/>
  <c r="AE64" i="206" s="1"/>
  <c r="AI64" i="206" s="1"/>
  <c r="Y64" i="206" s="1"/>
  <c r="Z64" i="206"/>
  <c r="X64" i="206"/>
  <c r="Q64" i="206"/>
  <c r="P64" i="206"/>
  <c r="I64" i="206"/>
  <c r="H64" i="206"/>
  <c r="E64" i="206"/>
  <c r="AD63" i="206"/>
  <c r="AC63" i="206"/>
  <c r="AB63" i="206"/>
  <c r="AE63" i="206" s="1"/>
  <c r="AI63" i="206" s="1"/>
  <c r="Y63" i="206" s="1"/>
  <c r="Z63" i="206"/>
  <c r="X63" i="206"/>
  <c r="Q63" i="206"/>
  <c r="P63" i="206"/>
  <c r="H63" i="206"/>
  <c r="E63" i="206"/>
  <c r="I63" i="206" s="1"/>
  <c r="AD62" i="206"/>
  <c r="AC62" i="206"/>
  <c r="AB62" i="206"/>
  <c r="AE62" i="206" s="1"/>
  <c r="AI62" i="206" s="1"/>
  <c r="Y62" i="206" s="1"/>
  <c r="Z62" i="206"/>
  <c r="X62" i="206"/>
  <c r="Q62" i="206"/>
  <c r="P62" i="206"/>
  <c r="I62" i="206"/>
  <c r="H62" i="206"/>
  <c r="E62" i="206"/>
  <c r="AC61" i="206"/>
  <c r="AE61" i="206" s="1"/>
  <c r="AI61" i="206" s="1"/>
  <c r="Y61" i="206" s="1"/>
  <c r="AB61" i="206"/>
  <c r="X61" i="206"/>
  <c r="Q61" i="206"/>
  <c r="P61" i="206"/>
  <c r="H61" i="206"/>
  <c r="E61" i="206"/>
  <c r="I61" i="206" s="1"/>
  <c r="AE60" i="206"/>
  <c r="AI60" i="206" s="1"/>
  <c r="Y60" i="206" s="1"/>
  <c r="X60" i="206"/>
  <c r="Q60" i="206"/>
  <c r="P60" i="206"/>
  <c r="I60" i="206"/>
  <c r="H60" i="206"/>
  <c r="E60" i="206"/>
  <c r="AC59" i="206"/>
  <c r="AB59" i="206"/>
  <c r="AE59" i="206" s="1"/>
  <c r="AI59" i="206" s="1"/>
  <c r="Y59" i="206" s="1"/>
  <c r="X59" i="206"/>
  <c r="Q59" i="206"/>
  <c r="P59" i="206"/>
  <c r="I59" i="206"/>
  <c r="H59" i="206"/>
  <c r="E59" i="206"/>
  <c r="AC58" i="206"/>
  <c r="AB58" i="206"/>
  <c r="AE58" i="206" s="1"/>
  <c r="AI58" i="206" s="1"/>
  <c r="Y58" i="206" s="1"/>
  <c r="X58" i="206"/>
  <c r="Q58" i="206"/>
  <c r="P58" i="206"/>
  <c r="I58" i="206"/>
  <c r="E58" i="206"/>
  <c r="AC57" i="206"/>
  <c r="AB57" i="206"/>
  <c r="AE57" i="206" s="1"/>
  <c r="AI57" i="206" s="1"/>
  <c r="Y57" i="206" s="1"/>
  <c r="X57" i="206"/>
  <c r="Q57" i="206"/>
  <c r="P57" i="206"/>
  <c r="I57" i="206"/>
  <c r="H57" i="206"/>
  <c r="E57" i="206"/>
  <c r="AD56" i="206"/>
  <c r="AC56" i="206"/>
  <c r="AE56" i="206" s="1"/>
  <c r="AI56" i="206" s="1"/>
  <c r="Y56" i="206" s="1"/>
  <c r="AB56" i="206"/>
  <c r="Z56" i="206"/>
  <c r="X56" i="206"/>
  <c r="Q56" i="206"/>
  <c r="P56" i="206"/>
  <c r="H56" i="206"/>
  <c r="E56" i="206"/>
  <c r="I56" i="206" s="1"/>
  <c r="AE55" i="206"/>
  <c r="AI55" i="206" s="1"/>
  <c r="Y55" i="206" s="1"/>
  <c r="AD55" i="206"/>
  <c r="AC55" i="206"/>
  <c r="AB55" i="206"/>
  <c r="Z55" i="206"/>
  <c r="X55" i="206"/>
  <c r="Q55" i="206"/>
  <c r="P55" i="206"/>
  <c r="H55" i="206"/>
  <c r="E55" i="206"/>
  <c r="I55" i="206" s="1"/>
  <c r="AE54" i="206"/>
  <c r="AI54" i="206" s="1"/>
  <c r="Y54" i="206" s="1"/>
  <c r="AD54" i="206"/>
  <c r="AC54" i="206"/>
  <c r="AB54" i="206"/>
  <c r="Z54" i="206"/>
  <c r="X54" i="206"/>
  <c r="Q54" i="206"/>
  <c r="P54" i="206"/>
  <c r="H54" i="206"/>
  <c r="E54" i="206"/>
  <c r="I54" i="206" s="1"/>
  <c r="AD53" i="206"/>
  <c r="AE53" i="206" s="1"/>
  <c r="AI53" i="206" s="1"/>
  <c r="Y53" i="206" s="1"/>
  <c r="AC53" i="206"/>
  <c r="AB53" i="206"/>
  <c r="Z53" i="206"/>
  <c r="X53" i="206"/>
  <c r="Q53" i="206"/>
  <c r="P53" i="206"/>
  <c r="H53" i="206"/>
  <c r="E53" i="206"/>
  <c r="I53" i="206" s="1"/>
  <c r="AE52" i="206"/>
  <c r="AI52" i="206" s="1"/>
  <c r="Y52" i="206" s="1"/>
  <c r="Z52" i="206"/>
  <c r="X52" i="206"/>
  <c r="Q52" i="206"/>
  <c r="P52" i="206"/>
  <c r="I52" i="206"/>
  <c r="H52" i="206"/>
  <c r="E52" i="206"/>
  <c r="AD51" i="206"/>
  <c r="AE51" i="206" s="1"/>
  <c r="AI51" i="206" s="1"/>
  <c r="Y51" i="206" s="1"/>
  <c r="AC51" i="206"/>
  <c r="AB51" i="206"/>
  <c r="Z51" i="206"/>
  <c r="X51" i="206"/>
  <c r="Q51" i="206"/>
  <c r="P51" i="206"/>
  <c r="I51" i="206"/>
  <c r="H51" i="206"/>
  <c r="E51" i="206"/>
  <c r="AI50" i="206"/>
  <c r="Y50" i="206" s="1"/>
  <c r="AE50" i="206"/>
  <c r="AD50" i="206"/>
  <c r="AC50" i="206"/>
  <c r="AB50" i="206"/>
  <c r="Z50" i="206"/>
  <c r="X50" i="206"/>
  <c r="Q50" i="206"/>
  <c r="P50" i="206"/>
  <c r="I50" i="206"/>
  <c r="H50" i="206"/>
  <c r="E50" i="206"/>
  <c r="AE49" i="206"/>
  <c r="AI49" i="206" s="1"/>
  <c r="Y49" i="206" s="1"/>
  <c r="Z49" i="206"/>
  <c r="X49" i="206"/>
  <c r="Q49" i="206"/>
  <c r="P49" i="206"/>
  <c r="I49" i="206"/>
  <c r="H49" i="206"/>
  <c r="E49" i="206"/>
  <c r="AE48" i="206"/>
  <c r="AI48" i="206" s="1"/>
  <c r="Y48" i="206" s="1"/>
  <c r="Z48" i="206"/>
  <c r="X48" i="206"/>
  <c r="Q48" i="206"/>
  <c r="P48" i="206"/>
  <c r="I48" i="206"/>
  <c r="H48" i="206"/>
  <c r="E48" i="206"/>
  <c r="AI47" i="206"/>
  <c r="Y47" i="206" s="1"/>
  <c r="AE47" i="206"/>
  <c r="Z47" i="206"/>
  <c r="X47" i="206"/>
  <c r="Q47" i="206"/>
  <c r="P47" i="206"/>
  <c r="H47" i="206"/>
  <c r="E47" i="206"/>
  <c r="I47" i="206" s="1"/>
  <c r="AD46" i="206"/>
  <c r="AC46" i="206"/>
  <c r="AB46" i="206"/>
  <c r="AE46" i="206" s="1"/>
  <c r="AI46" i="206" s="1"/>
  <c r="Y46" i="206" s="1"/>
  <c r="Z46" i="206"/>
  <c r="X46" i="206"/>
  <c r="Q46" i="206"/>
  <c r="P46" i="206"/>
  <c r="I46" i="206"/>
  <c r="H46" i="206"/>
  <c r="E46" i="206"/>
  <c r="AD45" i="206"/>
  <c r="AC45" i="206"/>
  <c r="AB45" i="206"/>
  <c r="AE45" i="206" s="1"/>
  <c r="AI45" i="206" s="1"/>
  <c r="Y45" i="206" s="1"/>
  <c r="Z45" i="206"/>
  <c r="X45" i="206"/>
  <c r="Q45" i="206"/>
  <c r="P45" i="206"/>
  <c r="H45" i="206"/>
  <c r="E45" i="206"/>
  <c r="I45" i="206" s="1"/>
  <c r="AD44" i="206"/>
  <c r="AC44" i="206"/>
  <c r="AB44" i="206"/>
  <c r="AE44" i="206" s="1"/>
  <c r="AI44" i="206" s="1"/>
  <c r="Y44" i="206" s="1"/>
  <c r="Z44" i="206"/>
  <c r="X44" i="206"/>
  <c r="Q44" i="206"/>
  <c r="P44" i="206"/>
  <c r="I44" i="206"/>
  <c r="H44" i="206"/>
  <c r="E44" i="206"/>
  <c r="AE43" i="206"/>
  <c r="AI43" i="206" s="1"/>
  <c r="Y43" i="206" s="1"/>
  <c r="AD43" i="206"/>
  <c r="AC43" i="206"/>
  <c r="AB43" i="206"/>
  <c r="Z43" i="206"/>
  <c r="X43" i="206"/>
  <c r="Q43" i="206"/>
  <c r="P43" i="206"/>
  <c r="H43" i="206"/>
  <c r="E43" i="206"/>
  <c r="I43" i="206" s="1"/>
  <c r="AE42" i="206"/>
  <c r="AI42" i="206" s="1"/>
  <c r="Y42" i="206" s="1"/>
  <c r="AD42" i="206"/>
  <c r="AC42" i="206"/>
  <c r="AB42" i="206"/>
  <c r="Z42" i="206"/>
  <c r="X42" i="206"/>
  <c r="Q42" i="206"/>
  <c r="P42" i="206"/>
  <c r="H42" i="206"/>
  <c r="E42" i="206"/>
  <c r="I42" i="206" s="1"/>
  <c r="AD41" i="206"/>
  <c r="AE41" i="206" s="1"/>
  <c r="AI41" i="206" s="1"/>
  <c r="Y41" i="206" s="1"/>
  <c r="AC41" i="206"/>
  <c r="AB41" i="206"/>
  <c r="Z41" i="206"/>
  <c r="X41" i="206"/>
  <c r="Q41" i="206"/>
  <c r="P41" i="206"/>
  <c r="H41" i="206"/>
  <c r="E41" i="206"/>
  <c r="I41" i="206" s="1"/>
  <c r="AD40" i="206"/>
  <c r="AC40" i="206"/>
  <c r="AB40" i="206"/>
  <c r="AE40" i="206" s="1"/>
  <c r="AI40" i="206" s="1"/>
  <c r="Y40" i="206" s="1"/>
  <c r="Z40" i="206"/>
  <c r="X40" i="206"/>
  <c r="Q40" i="206"/>
  <c r="P40" i="206"/>
  <c r="I40" i="206"/>
  <c r="H40" i="206"/>
  <c r="E40" i="206"/>
  <c r="AD39" i="206"/>
  <c r="AC39" i="206"/>
  <c r="AB39" i="206"/>
  <c r="AE39" i="206" s="1"/>
  <c r="AI39" i="206" s="1"/>
  <c r="Y39" i="206" s="1"/>
  <c r="Z39" i="206"/>
  <c r="X39" i="206"/>
  <c r="Q39" i="206"/>
  <c r="P39" i="206"/>
  <c r="I39" i="206"/>
  <c r="H39" i="206"/>
  <c r="E39" i="206"/>
  <c r="AI38" i="206"/>
  <c r="Y38" i="206" s="1"/>
  <c r="AE38" i="206"/>
  <c r="AD38" i="206"/>
  <c r="AC38" i="206"/>
  <c r="AB38" i="206"/>
  <c r="Z38" i="206"/>
  <c r="X38" i="206"/>
  <c r="Q38" i="206"/>
  <c r="P38" i="206"/>
  <c r="I38" i="206"/>
  <c r="H38" i="206"/>
  <c r="E38" i="206"/>
  <c r="AI37" i="206"/>
  <c r="Y37" i="206" s="1"/>
  <c r="AE37" i="206"/>
  <c r="AD37" i="206"/>
  <c r="AC37" i="206"/>
  <c r="AB37" i="206"/>
  <c r="Z37" i="206"/>
  <c r="X37" i="206"/>
  <c r="Q37" i="206"/>
  <c r="P37" i="206"/>
  <c r="I37" i="206"/>
  <c r="H37" i="206"/>
  <c r="E37" i="206"/>
  <c r="AE36" i="206"/>
  <c r="AI36" i="206" s="1"/>
  <c r="Y36" i="206" s="1"/>
  <c r="AD36" i="206"/>
  <c r="AC36" i="206"/>
  <c r="AB36" i="206"/>
  <c r="Z36" i="206"/>
  <c r="X36" i="206"/>
  <c r="Q36" i="206"/>
  <c r="P36" i="206"/>
  <c r="H36" i="206"/>
  <c r="E36" i="206"/>
  <c r="I36" i="206" s="1"/>
  <c r="AD35" i="206"/>
  <c r="AC35" i="206"/>
  <c r="AB35" i="206"/>
  <c r="AE35" i="206" s="1"/>
  <c r="AI35" i="206" s="1"/>
  <c r="Y35" i="206" s="1"/>
  <c r="Z35" i="206"/>
  <c r="X35" i="206"/>
  <c r="Q35" i="206"/>
  <c r="P35" i="206"/>
  <c r="I35" i="206"/>
  <c r="H35" i="206"/>
  <c r="E35" i="206"/>
  <c r="AD34" i="206"/>
  <c r="AC34" i="206"/>
  <c r="AB34" i="206"/>
  <c r="AE34" i="206" s="1"/>
  <c r="AI34" i="206" s="1"/>
  <c r="Y34" i="206" s="1"/>
  <c r="Z34" i="206"/>
  <c r="X34" i="206"/>
  <c r="Q34" i="206"/>
  <c r="P34" i="206"/>
  <c r="H34" i="206"/>
  <c r="E34" i="206"/>
  <c r="I34" i="206" s="1"/>
  <c r="AD33" i="206"/>
  <c r="AC33" i="206"/>
  <c r="AB33" i="206"/>
  <c r="AE33" i="206" s="1"/>
  <c r="AI33" i="206" s="1"/>
  <c r="Y33" i="206" s="1"/>
  <c r="Z33" i="206"/>
  <c r="X33" i="206"/>
  <c r="Q33" i="206"/>
  <c r="P33" i="206"/>
  <c r="I33" i="206"/>
  <c r="H33" i="206"/>
  <c r="E33" i="206"/>
  <c r="AD32" i="206"/>
  <c r="AC32" i="206"/>
  <c r="AB32" i="206"/>
  <c r="AE32" i="206" s="1"/>
  <c r="AI32" i="206" s="1"/>
  <c r="Y32" i="206" s="1"/>
  <c r="Z32" i="206"/>
  <c r="X32" i="206"/>
  <c r="Q32" i="206"/>
  <c r="P32" i="206"/>
  <c r="H32" i="206"/>
  <c r="E32" i="206"/>
  <c r="I32" i="206" s="1"/>
  <c r="AI31" i="206"/>
  <c r="Y31" i="206" s="1"/>
  <c r="AE31" i="206"/>
  <c r="Z31" i="206"/>
  <c r="X31" i="206"/>
  <c r="Q31" i="206"/>
  <c r="P31" i="206"/>
  <c r="I31" i="206"/>
  <c r="H31" i="206"/>
  <c r="E31" i="206"/>
  <c r="AD30" i="206"/>
  <c r="AC30" i="206"/>
  <c r="AB30" i="206"/>
  <c r="AE30" i="206" s="1"/>
  <c r="AI30" i="206" s="1"/>
  <c r="Y30" i="206" s="1"/>
  <c r="Z30" i="206"/>
  <c r="X30" i="206"/>
  <c r="Q30" i="206"/>
  <c r="P30" i="206"/>
  <c r="H30" i="206"/>
  <c r="E30" i="206"/>
  <c r="I30" i="206" s="1"/>
  <c r="AD29" i="206"/>
  <c r="AC29" i="206"/>
  <c r="AB29" i="206"/>
  <c r="AE29" i="206" s="1"/>
  <c r="AI29" i="206" s="1"/>
  <c r="Y29" i="206" s="1"/>
  <c r="Z29" i="206"/>
  <c r="X29" i="206"/>
  <c r="Q29" i="206"/>
  <c r="P29" i="206"/>
  <c r="I29" i="206"/>
  <c r="H29" i="206"/>
  <c r="E29" i="206"/>
  <c r="AE28" i="206"/>
  <c r="AI28" i="206" s="1"/>
  <c r="Y28" i="206" s="1"/>
  <c r="AD28" i="206"/>
  <c r="AC28" i="206"/>
  <c r="AB28" i="206"/>
  <c r="Z28" i="206"/>
  <c r="X28" i="206"/>
  <c r="Q28" i="206"/>
  <c r="P28" i="206"/>
  <c r="H28" i="206"/>
  <c r="E28" i="206"/>
  <c r="I28" i="206" s="1"/>
  <c r="AE27" i="206"/>
  <c r="AI27" i="206" s="1"/>
  <c r="Y27" i="206" s="1"/>
  <c r="AD27" i="206"/>
  <c r="AC27" i="206"/>
  <c r="AB27" i="206"/>
  <c r="Z27" i="206"/>
  <c r="X27" i="206"/>
  <c r="Q27" i="206"/>
  <c r="P27" i="206"/>
  <c r="H27" i="206"/>
  <c r="E27" i="206"/>
  <c r="I27" i="206" s="1"/>
  <c r="AD26" i="206"/>
  <c r="AE26" i="206" s="1"/>
  <c r="AI26" i="206" s="1"/>
  <c r="Y26" i="206" s="1"/>
  <c r="AC26" i="206"/>
  <c r="AB26" i="206"/>
  <c r="Z26" i="206"/>
  <c r="X26" i="206"/>
  <c r="Q26" i="206"/>
  <c r="P26" i="206"/>
  <c r="H26" i="206"/>
  <c r="E26" i="206"/>
  <c r="I26" i="206" s="1"/>
  <c r="AD25" i="206"/>
  <c r="AC25" i="206"/>
  <c r="AB25" i="206"/>
  <c r="AE25" i="206" s="1"/>
  <c r="AI25" i="206" s="1"/>
  <c r="Y25" i="206" s="1"/>
  <c r="Z25" i="206"/>
  <c r="X25" i="206"/>
  <c r="Q25" i="206"/>
  <c r="P25" i="206"/>
  <c r="I25" i="206"/>
  <c r="H25" i="206"/>
  <c r="E25" i="206"/>
  <c r="AD24" i="206"/>
  <c r="AC24" i="206"/>
  <c r="AB24" i="206"/>
  <c r="AE24" i="206" s="1"/>
  <c r="AI24" i="206" s="1"/>
  <c r="Y24" i="206" s="1"/>
  <c r="Z24" i="206"/>
  <c r="X24" i="206"/>
  <c r="Q24" i="206"/>
  <c r="P24" i="206"/>
  <c r="I24" i="206"/>
  <c r="H24" i="206"/>
  <c r="E24" i="206"/>
  <c r="AE23" i="206"/>
  <c r="AI23" i="206" s="1"/>
  <c r="Y23" i="206" s="1"/>
  <c r="AD23" i="206"/>
  <c r="AC23" i="206"/>
  <c r="AB23" i="206"/>
  <c r="Z23" i="206"/>
  <c r="X23" i="206"/>
  <c r="Q23" i="206"/>
  <c r="P23" i="206"/>
  <c r="I23" i="206"/>
  <c r="H23" i="206"/>
  <c r="E23" i="206"/>
  <c r="AD22" i="206"/>
  <c r="AC22" i="206"/>
  <c r="AB22" i="206"/>
  <c r="AE22" i="206" s="1"/>
  <c r="AI22" i="206" s="1"/>
  <c r="Y22" i="206" s="1"/>
  <c r="Z22" i="206"/>
  <c r="X22" i="206"/>
  <c r="Q22" i="206"/>
  <c r="P22" i="206"/>
  <c r="I22" i="206"/>
  <c r="H22" i="206"/>
  <c r="E22" i="206"/>
  <c r="AE21" i="206"/>
  <c r="AI21" i="206" s="1"/>
  <c r="Y21" i="206" s="1"/>
  <c r="AD21" i="206"/>
  <c r="AC21" i="206"/>
  <c r="AB21" i="206"/>
  <c r="Z21" i="206"/>
  <c r="X21" i="206"/>
  <c r="Q21" i="206"/>
  <c r="P21" i="206"/>
  <c r="H21" i="206"/>
  <c r="E21" i="206"/>
  <c r="I21" i="206" s="1"/>
  <c r="AD20" i="206"/>
  <c r="AC20" i="206"/>
  <c r="AB20" i="206"/>
  <c r="AE20" i="206" s="1"/>
  <c r="AI20" i="206" s="1"/>
  <c r="Y20" i="206" s="1"/>
  <c r="Z20" i="206"/>
  <c r="X20" i="206"/>
  <c r="Q20" i="206"/>
  <c r="P20" i="206"/>
  <c r="I20" i="206"/>
  <c r="H20" i="206"/>
  <c r="E20" i="206"/>
  <c r="AD19" i="206"/>
  <c r="AC19" i="206"/>
  <c r="AB19" i="206"/>
  <c r="AE19" i="206" s="1"/>
  <c r="AI19" i="206" s="1"/>
  <c r="Y19" i="206" s="1"/>
  <c r="Z19" i="206"/>
  <c r="X19" i="206"/>
  <c r="Q19" i="206"/>
  <c r="P19" i="206"/>
  <c r="H19" i="206"/>
  <c r="E19" i="206"/>
  <c r="I19" i="206" s="1"/>
  <c r="AD18" i="206"/>
  <c r="AC18" i="206"/>
  <c r="AB18" i="206"/>
  <c r="AE18" i="206" s="1"/>
  <c r="AI18" i="206" s="1"/>
  <c r="Y18" i="206" s="1"/>
  <c r="Z18" i="206"/>
  <c r="X18" i="206"/>
  <c r="Q18" i="206"/>
  <c r="P18" i="206"/>
  <c r="I18" i="206"/>
  <c r="H18" i="206"/>
  <c r="E18" i="206"/>
  <c r="AD17" i="206"/>
  <c r="AC17" i="206"/>
  <c r="AB17" i="206"/>
  <c r="AE17" i="206" s="1"/>
  <c r="AI17" i="206" s="1"/>
  <c r="Y17" i="206" s="1"/>
  <c r="Z17" i="206"/>
  <c r="X17" i="206"/>
  <c r="Q17" i="206"/>
  <c r="P17" i="206"/>
  <c r="H17" i="206"/>
  <c r="E17" i="206"/>
  <c r="I17" i="206" s="1"/>
  <c r="AD16" i="206"/>
  <c r="AE16" i="206" s="1"/>
  <c r="AI16" i="206" s="1"/>
  <c r="Y16" i="206" s="1"/>
  <c r="AC16" i="206"/>
  <c r="AB16" i="206"/>
  <c r="Z16" i="206"/>
  <c r="X16" i="206"/>
  <c r="Q16" i="206"/>
  <c r="P16" i="206"/>
  <c r="I16" i="206"/>
  <c r="E16" i="206"/>
  <c r="AD15" i="206"/>
  <c r="AC15" i="206"/>
  <c r="AB15" i="206"/>
  <c r="AE15" i="206" s="1"/>
  <c r="AI15" i="206" s="1"/>
  <c r="Y15" i="206" s="1"/>
  <c r="Z15" i="206"/>
  <c r="X15" i="206"/>
  <c r="Q15" i="206"/>
  <c r="P15" i="206"/>
  <c r="E15" i="206"/>
  <c r="I15" i="206" s="1"/>
  <c r="AD14" i="206"/>
  <c r="AC14" i="206"/>
  <c r="AB14" i="206"/>
  <c r="AE14" i="206" s="1"/>
  <c r="AI14" i="206" s="1"/>
  <c r="Y14" i="206" s="1"/>
  <c r="Z14" i="206"/>
  <c r="X14" i="206"/>
  <c r="Q14" i="206"/>
  <c r="O75" i="206" s="1"/>
  <c r="P14" i="206"/>
  <c r="I14" i="206"/>
  <c r="H14" i="206"/>
  <c r="E14" i="206"/>
  <c r="AD13" i="206"/>
  <c r="AC13" i="206"/>
  <c r="AB13" i="206"/>
  <c r="AE13" i="206" s="1"/>
  <c r="AI13" i="206" s="1"/>
  <c r="Y13" i="206" s="1"/>
  <c r="Z13" i="206"/>
  <c r="X13" i="206"/>
  <c r="Q13" i="206"/>
  <c r="P13" i="206"/>
  <c r="I13" i="206"/>
  <c r="H13" i="206"/>
  <c r="E13" i="206"/>
  <c r="AD12" i="206"/>
  <c r="AC12" i="206"/>
  <c r="AB12" i="206"/>
  <c r="AE12" i="206" s="1"/>
  <c r="AI12" i="206" s="1"/>
  <c r="Y12" i="206" s="1"/>
  <c r="Z12" i="206"/>
  <c r="X12" i="206"/>
  <c r="Q12" i="206"/>
  <c r="O73" i="206" s="1"/>
  <c r="P12" i="206"/>
  <c r="I12" i="206"/>
  <c r="H12" i="206"/>
  <c r="E12" i="206"/>
  <c r="T79" i="208" l="1"/>
  <c r="F77" i="208" s="1"/>
  <c r="H42" i="207"/>
  <c r="X42" i="207"/>
  <c r="T77" i="207"/>
  <c r="T75" i="207"/>
  <c r="T73" i="207"/>
  <c r="F73" i="207"/>
  <c r="F75" i="207"/>
  <c r="T75" i="206"/>
  <c r="T73" i="206"/>
  <c r="T77" i="206"/>
  <c r="F73" i="206"/>
  <c r="F75" i="206"/>
  <c r="M79" i="205"/>
  <c r="P71" i="205"/>
  <c r="H71" i="205"/>
  <c r="Q70" i="205"/>
  <c r="P70" i="205"/>
  <c r="I70" i="205"/>
  <c r="H70" i="205"/>
  <c r="E70" i="205"/>
  <c r="Q69" i="205"/>
  <c r="P69" i="205"/>
  <c r="I69" i="205"/>
  <c r="H69" i="205"/>
  <c r="E69" i="205"/>
  <c r="AD68" i="205"/>
  <c r="AC68" i="205"/>
  <c r="AB68" i="205"/>
  <c r="AE68" i="205" s="1"/>
  <c r="AI68" i="205" s="1"/>
  <c r="Y68" i="205" s="1"/>
  <c r="Z68" i="205"/>
  <c r="X68" i="205"/>
  <c r="Q68" i="205"/>
  <c r="P68" i="205"/>
  <c r="I68" i="205"/>
  <c r="H68" i="205"/>
  <c r="E68" i="205"/>
  <c r="AI67" i="205"/>
  <c r="Y67" i="205" s="1"/>
  <c r="AE67" i="205"/>
  <c r="AD67" i="205"/>
  <c r="AC67" i="205"/>
  <c r="AB67" i="205"/>
  <c r="Z67" i="205"/>
  <c r="X67" i="205"/>
  <c r="Q67" i="205"/>
  <c r="P67" i="205"/>
  <c r="H67" i="205"/>
  <c r="E67" i="205"/>
  <c r="I67" i="205" s="1"/>
  <c r="AD66" i="205"/>
  <c r="AC66" i="205"/>
  <c r="AE66" i="205" s="1"/>
  <c r="AI66" i="205" s="1"/>
  <c r="Y66" i="205" s="1"/>
  <c r="AB66" i="205"/>
  <c r="Z66" i="205"/>
  <c r="X66" i="205"/>
  <c r="Q66" i="205"/>
  <c r="P66" i="205"/>
  <c r="I66" i="205"/>
  <c r="H66" i="205"/>
  <c r="E66" i="205"/>
  <c r="AD65" i="205"/>
  <c r="AE65" i="205" s="1"/>
  <c r="AI65" i="205" s="1"/>
  <c r="Y65" i="205" s="1"/>
  <c r="AC65" i="205"/>
  <c r="AB65" i="205"/>
  <c r="Z65" i="205"/>
  <c r="X65" i="205"/>
  <c r="Q65" i="205"/>
  <c r="P65" i="205"/>
  <c r="H65" i="205"/>
  <c r="E65" i="205"/>
  <c r="I65" i="205" s="1"/>
  <c r="AD64" i="205"/>
  <c r="AC64" i="205"/>
  <c r="AB64" i="205"/>
  <c r="AE64" i="205" s="1"/>
  <c r="AI64" i="205" s="1"/>
  <c r="Y64" i="205" s="1"/>
  <c r="Z64" i="205"/>
  <c r="X64" i="205"/>
  <c r="Q64" i="205"/>
  <c r="P64" i="205"/>
  <c r="I64" i="205"/>
  <c r="H64" i="205"/>
  <c r="E64" i="205"/>
  <c r="AD63" i="205"/>
  <c r="AC63" i="205"/>
  <c r="AB63" i="205"/>
  <c r="AE63" i="205" s="1"/>
  <c r="AI63" i="205" s="1"/>
  <c r="Y63" i="205" s="1"/>
  <c r="Z63" i="205"/>
  <c r="X63" i="205"/>
  <c r="Q63" i="205"/>
  <c r="P63" i="205"/>
  <c r="H63" i="205"/>
  <c r="E63" i="205"/>
  <c r="I63" i="205" s="1"/>
  <c r="AD62" i="205"/>
  <c r="AC62" i="205"/>
  <c r="AB62" i="205"/>
  <c r="AE62" i="205" s="1"/>
  <c r="AI62" i="205" s="1"/>
  <c r="Y62" i="205" s="1"/>
  <c r="Z62" i="205"/>
  <c r="X62" i="205"/>
  <c r="Q62" i="205"/>
  <c r="P62" i="205"/>
  <c r="I62" i="205"/>
  <c r="H62" i="205"/>
  <c r="E62" i="205"/>
  <c r="AC61" i="205"/>
  <c r="AE61" i="205" s="1"/>
  <c r="AI61" i="205" s="1"/>
  <c r="Y61" i="205" s="1"/>
  <c r="AB61" i="205"/>
  <c r="X61" i="205"/>
  <c r="Q61" i="205"/>
  <c r="P61" i="205"/>
  <c r="H61" i="205"/>
  <c r="E61" i="205"/>
  <c r="I61" i="205" s="1"/>
  <c r="AE60" i="205"/>
  <c r="AI60" i="205" s="1"/>
  <c r="Y60" i="205" s="1"/>
  <c r="X60" i="205"/>
  <c r="Q60" i="205"/>
  <c r="P60" i="205"/>
  <c r="I60" i="205"/>
  <c r="H60" i="205"/>
  <c r="E60" i="205"/>
  <c r="AC59" i="205"/>
  <c r="AB59" i="205"/>
  <c r="AE59" i="205" s="1"/>
  <c r="AI59" i="205" s="1"/>
  <c r="Y59" i="205" s="1"/>
  <c r="X59" i="205"/>
  <c r="Q59" i="205"/>
  <c r="P59" i="205"/>
  <c r="H59" i="205"/>
  <c r="E59" i="205"/>
  <c r="I59" i="205" s="1"/>
  <c r="AC58" i="205"/>
  <c r="AB58" i="205"/>
  <c r="AE58" i="205" s="1"/>
  <c r="AI58" i="205" s="1"/>
  <c r="Y58" i="205" s="1"/>
  <c r="X58" i="205"/>
  <c r="Q58" i="205"/>
  <c r="P58" i="205"/>
  <c r="I58" i="205"/>
  <c r="E58" i="205"/>
  <c r="AC57" i="205"/>
  <c r="AB57" i="205"/>
  <c r="AE57" i="205" s="1"/>
  <c r="AI57" i="205" s="1"/>
  <c r="Y57" i="205" s="1"/>
  <c r="X57" i="205"/>
  <c r="Q57" i="205"/>
  <c r="P57" i="205"/>
  <c r="I57" i="205"/>
  <c r="H57" i="205"/>
  <c r="E57" i="205"/>
  <c r="AD56" i="205"/>
  <c r="AC56" i="205"/>
  <c r="AB56" i="205"/>
  <c r="AE56" i="205" s="1"/>
  <c r="AI56" i="205" s="1"/>
  <c r="Y56" i="205" s="1"/>
  <c r="Z56" i="205"/>
  <c r="X56" i="205"/>
  <c r="Q56" i="205"/>
  <c r="P56" i="205"/>
  <c r="I56" i="205"/>
  <c r="H56" i="205"/>
  <c r="E56" i="205"/>
  <c r="AE55" i="205"/>
  <c r="AI55" i="205" s="1"/>
  <c r="Y55" i="205" s="1"/>
  <c r="AD55" i="205"/>
  <c r="AC55" i="205"/>
  <c r="AB55" i="205"/>
  <c r="Z55" i="205"/>
  <c r="X55" i="205"/>
  <c r="Q55" i="205"/>
  <c r="P55" i="205"/>
  <c r="H55" i="205"/>
  <c r="E55" i="205"/>
  <c r="I55" i="205" s="1"/>
  <c r="AD54" i="205"/>
  <c r="AC54" i="205"/>
  <c r="AB54" i="205"/>
  <c r="AE54" i="205" s="1"/>
  <c r="AI54" i="205" s="1"/>
  <c r="Y54" i="205" s="1"/>
  <c r="Z54" i="205"/>
  <c r="X54" i="205"/>
  <c r="Q54" i="205"/>
  <c r="P54" i="205"/>
  <c r="H54" i="205"/>
  <c r="E54" i="205"/>
  <c r="I54" i="205" s="1"/>
  <c r="AD53" i="205"/>
  <c r="AC53" i="205"/>
  <c r="AE53" i="205" s="1"/>
  <c r="AI53" i="205" s="1"/>
  <c r="Y53" i="205" s="1"/>
  <c r="AB53" i="205"/>
  <c r="Z53" i="205"/>
  <c r="X53" i="205"/>
  <c r="Q53" i="205"/>
  <c r="P53" i="205"/>
  <c r="H53" i="205"/>
  <c r="E53" i="205"/>
  <c r="I53" i="205" s="1"/>
  <c r="AE52" i="205"/>
  <c r="AI52" i="205" s="1"/>
  <c r="Y52" i="205" s="1"/>
  <c r="Z52" i="205"/>
  <c r="X52" i="205"/>
  <c r="Q52" i="205"/>
  <c r="P52" i="205"/>
  <c r="I52" i="205"/>
  <c r="H52" i="205"/>
  <c r="E52" i="205"/>
  <c r="AI51" i="205"/>
  <c r="Y51" i="205" s="1"/>
  <c r="AE51" i="205"/>
  <c r="AD51" i="205"/>
  <c r="AC51" i="205"/>
  <c r="AB51" i="205"/>
  <c r="Z51" i="205"/>
  <c r="X51" i="205"/>
  <c r="Q51" i="205"/>
  <c r="P51" i="205"/>
  <c r="H51" i="205"/>
  <c r="E51" i="205"/>
  <c r="I51" i="205" s="1"/>
  <c r="AD50" i="205"/>
  <c r="AC50" i="205"/>
  <c r="AE50" i="205" s="1"/>
  <c r="AI50" i="205" s="1"/>
  <c r="Y50" i="205" s="1"/>
  <c r="AB50" i="205"/>
  <c r="Z50" i="205"/>
  <c r="X50" i="205"/>
  <c r="Q50" i="205"/>
  <c r="P50" i="205"/>
  <c r="I50" i="205"/>
  <c r="H50" i="205"/>
  <c r="E50" i="205"/>
  <c r="AE49" i="205"/>
  <c r="AI49" i="205" s="1"/>
  <c r="Y49" i="205" s="1"/>
  <c r="Z49" i="205"/>
  <c r="X49" i="205"/>
  <c r="Q49" i="205"/>
  <c r="P49" i="205"/>
  <c r="I49" i="205"/>
  <c r="H49" i="205"/>
  <c r="E49" i="205"/>
  <c r="AE48" i="205"/>
  <c r="AI48" i="205" s="1"/>
  <c r="Y48" i="205" s="1"/>
  <c r="Z48" i="205"/>
  <c r="X48" i="205"/>
  <c r="Q48" i="205"/>
  <c r="P48" i="205"/>
  <c r="I48" i="205"/>
  <c r="H48" i="205"/>
  <c r="E48" i="205"/>
  <c r="AI47" i="205"/>
  <c r="Y47" i="205" s="1"/>
  <c r="AE47" i="205"/>
  <c r="Z47" i="205"/>
  <c r="X47" i="205"/>
  <c r="Q47" i="205"/>
  <c r="P47" i="205"/>
  <c r="H47" i="205"/>
  <c r="E47" i="205"/>
  <c r="I47" i="205" s="1"/>
  <c r="AD46" i="205"/>
  <c r="AC46" i="205"/>
  <c r="AB46" i="205"/>
  <c r="AE46" i="205" s="1"/>
  <c r="AI46" i="205" s="1"/>
  <c r="Y46" i="205" s="1"/>
  <c r="Z46" i="205"/>
  <c r="X46" i="205"/>
  <c r="Q46" i="205"/>
  <c r="P46" i="205"/>
  <c r="I46" i="205"/>
  <c r="H46" i="205"/>
  <c r="E46" i="205"/>
  <c r="AD45" i="205"/>
  <c r="AC45" i="205"/>
  <c r="AE45" i="205" s="1"/>
  <c r="AI45" i="205" s="1"/>
  <c r="Y45" i="205" s="1"/>
  <c r="AB45" i="205"/>
  <c r="Z45" i="205"/>
  <c r="X45" i="205"/>
  <c r="Q45" i="205"/>
  <c r="P45" i="205"/>
  <c r="H45" i="205"/>
  <c r="E45" i="205"/>
  <c r="I45" i="205" s="1"/>
  <c r="AD44" i="205"/>
  <c r="AC44" i="205"/>
  <c r="AB44" i="205"/>
  <c r="AE44" i="205" s="1"/>
  <c r="AI44" i="205" s="1"/>
  <c r="Y44" i="205" s="1"/>
  <c r="Z44" i="205"/>
  <c r="X44" i="205"/>
  <c r="Q44" i="205"/>
  <c r="P44" i="205"/>
  <c r="I44" i="205"/>
  <c r="H44" i="205"/>
  <c r="E44" i="205"/>
  <c r="AE43" i="205"/>
  <c r="AI43" i="205" s="1"/>
  <c r="Y43" i="205" s="1"/>
  <c r="AD43" i="205"/>
  <c r="AC43" i="205"/>
  <c r="AB43" i="205"/>
  <c r="Z43" i="205"/>
  <c r="X43" i="205"/>
  <c r="Q43" i="205"/>
  <c r="P43" i="205"/>
  <c r="H43" i="205"/>
  <c r="E43" i="205"/>
  <c r="I43" i="205" s="1"/>
  <c r="AD42" i="205"/>
  <c r="AC42" i="205"/>
  <c r="AB42" i="205"/>
  <c r="AE42" i="205" s="1"/>
  <c r="AI42" i="205" s="1"/>
  <c r="Y42" i="205" s="1"/>
  <c r="Z42" i="205"/>
  <c r="X42" i="205"/>
  <c r="Q42" i="205"/>
  <c r="P42" i="205"/>
  <c r="H42" i="205"/>
  <c r="E42" i="205"/>
  <c r="I42" i="205" s="1"/>
  <c r="AD41" i="205"/>
  <c r="AC41" i="205"/>
  <c r="AE41" i="205" s="1"/>
  <c r="AI41" i="205" s="1"/>
  <c r="Y41" i="205" s="1"/>
  <c r="AB41" i="205"/>
  <c r="Z41" i="205"/>
  <c r="X41" i="205"/>
  <c r="Q41" i="205"/>
  <c r="P41" i="205"/>
  <c r="H41" i="205"/>
  <c r="E41" i="205"/>
  <c r="I41" i="205" s="1"/>
  <c r="AD40" i="205"/>
  <c r="AC40" i="205"/>
  <c r="AB40" i="205"/>
  <c r="AE40" i="205" s="1"/>
  <c r="AI40" i="205" s="1"/>
  <c r="Y40" i="205" s="1"/>
  <c r="Z40" i="205"/>
  <c r="X40" i="205"/>
  <c r="Q40" i="205"/>
  <c r="P40" i="205"/>
  <c r="I40" i="205"/>
  <c r="H40" i="205"/>
  <c r="E40" i="205"/>
  <c r="AD39" i="205"/>
  <c r="AC39" i="205"/>
  <c r="AB39" i="205"/>
  <c r="AE39" i="205" s="1"/>
  <c r="AI39" i="205" s="1"/>
  <c r="Y39" i="205" s="1"/>
  <c r="Z39" i="205"/>
  <c r="X39" i="205"/>
  <c r="Q39" i="205"/>
  <c r="P39" i="205"/>
  <c r="I39" i="205"/>
  <c r="H39" i="205"/>
  <c r="E39" i="205"/>
  <c r="AI38" i="205"/>
  <c r="Y38" i="205" s="1"/>
  <c r="AE38" i="205"/>
  <c r="AD38" i="205"/>
  <c r="AC38" i="205"/>
  <c r="AB38" i="205"/>
  <c r="Z38" i="205"/>
  <c r="X38" i="205"/>
  <c r="Q38" i="205"/>
  <c r="P38" i="205"/>
  <c r="H38" i="205"/>
  <c r="E38" i="205"/>
  <c r="I38" i="205" s="1"/>
  <c r="AD37" i="205"/>
  <c r="AC37" i="205"/>
  <c r="AE37" i="205" s="1"/>
  <c r="AI37" i="205" s="1"/>
  <c r="Y37" i="205" s="1"/>
  <c r="AB37" i="205"/>
  <c r="Z37" i="205"/>
  <c r="X37" i="205"/>
  <c r="Q37" i="205"/>
  <c r="P37" i="205"/>
  <c r="I37" i="205"/>
  <c r="H37" i="205"/>
  <c r="E37" i="205"/>
  <c r="AD36" i="205"/>
  <c r="AE36" i="205" s="1"/>
  <c r="AI36" i="205" s="1"/>
  <c r="Y36" i="205" s="1"/>
  <c r="AC36" i="205"/>
  <c r="AB36" i="205"/>
  <c r="Z36" i="205"/>
  <c r="X36" i="205"/>
  <c r="Q36" i="205"/>
  <c r="P36" i="205"/>
  <c r="H36" i="205"/>
  <c r="E36" i="205"/>
  <c r="I36" i="205" s="1"/>
  <c r="AD35" i="205"/>
  <c r="AC35" i="205"/>
  <c r="AB35" i="205"/>
  <c r="AE35" i="205" s="1"/>
  <c r="AI35" i="205" s="1"/>
  <c r="Y35" i="205" s="1"/>
  <c r="Z35" i="205"/>
  <c r="X35" i="205"/>
  <c r="Q35" i="205"/>
  <c r="P35" i="205"/>
  <c r="I35" i="205"/>
  <c r="H35" i="205"/>
  <c r="E35" i="205"/>
  <c r="AD34" i="205"/>
  <c r="AC34" i="205"/>
  <c r="AE34" i="205" s="1"/>
  <c r="AI34" i="205" s="1"/>
  <c r="Y34" i="205" s="1"/>
  <c r="AB34" i="205"/>
  <c r="Z34" i="205"/>
  <c r="X34" i="205"/>
  <c r="Q34" i="205"/>
  <c r="P34" i="205"/>
  <c r="H34" i="205"/>
  <c r="E34" i="205"/>
  <c r="I34" i="205" s="1"/>
  <c r="AD33" i="205"/>
  <c r="AC33" i="205"/>
  <c r="AB33" i="205"/>
  <c r="AE33" i="205" s="1"/>
  <c r="AI33" i="205" s="1"/>
  <c r="Y33" i="205" s="1"/>
  <c r="Z33" i="205"/>
  <c r="X33" i="205"/>
  <c r="Q33" i="205"/>
  <c r="P33" i="205"/>
  <c r="I33" i="205"/>
  <c r="H33" i="205"/>
  <c r="E33" i="205"/>
  <c r="AD32" i="205"/>
  <c r="AC32" i="205"/>
  <c r="AB32" i="205"/>
  <c r="AE32" i="205" s="1"/>
  <c r="AI32" i="205" s="1"/>
  <c r="Y32" i="205" s="1"/>
  <c r="Z32" i="205"/>
  <c r="X32" i="205"/>
  <c r="Q32" i="205"/>
  <c r="P32" i="205"/>
  <c r="H32" i="205"/>
  <c r="E32" i="205"/>
  <c r="I32" i="205" s="1"/>
  <c r="AE31" i="205"/>
  <c r="AI31" i="205" s="1"/>
  <c r="Y31" i="205" s="1"/>
  <c r="Z31" i="205"/>
  <c r="X31" i="205"/>
  <c r="Q31" i="205"/>
  <c r="P31" i="205"/>
  <c r="I31" i="205"/>
  <c r="H31" i="205"/>
  <c r="E31" i="205"/>
  <c r="AD30" i="205"/>
  <c r="AC30" i="205"/>
  <c r="AB30" i="205"/>
  <c r="AE30" i="205" s="1"/>
  <c r="AI30" i="205" s="1"/>
  <c r="Y30" i="205" s="1"/>
  <c r="Z30" i="205"/>
  <c r="X30" i="205"/>
  <c r="Q30" i="205"/>
  <c r="P30" i="205"/>
  <c r="H30" i="205"/>
  <c r="E30" i="205"/>
  <c r="I30" i="205" s="1"/>
  <c r="AD29" i="205"/>
  <c r="AC29" i="205"/>
  <c r="AE29" i="205" s="1"/>
  <c r="AI29" i="205" s="1"/>
  <c r="Y29" i="205" s="1"/>
  <c r="AB29" i="205"/>
  <c r="Z29" i="205"/>
  <c r="X29" i="205"/>
  <c r="Q29" i="205"/>
  <c r="P29" i="205"/>
  <c r="I29" i="205"/>
  <c r="H29" i="205"/>
  <c r="E29" i="205"/>
  <c r="AE28" i="205"/>
  <c r="AI28" i="205" s="1"/>
  <c r="Y28" i="205" s="1"/>
  <c r="AD28" i="205"/>
  <c r="AC28" i="205"/>
  <c r="AB28" i="205"/>
  <c r="Z28" i="205"/>
  <c r="X28" i="205"/>
  <c r="Q28" i="205"/>
  <c r="P28" i="205"/>
  <c r="H28" i="205"/>
  <c r="E28" i="205"/>
  <c r="I28" i="205" s="1"/>
  <c r="AD27" i="205"/>
  <c r="AC27" i="205"/>
  <c r="AB27" i="205"/>
  <c r="AE27" i="205" s="1"/>
  <c r="AI27" i="205" s="1"/>
  <c r="Y27" i="205" s="1"/>
  <c r="Z27" i="205"/>
  <c r="X27" i="205"/>
  <c r="Q27" i="205"/>
  <c r="P27" i="205"/>
  <c r="H27" i="205"/>
  <c r="E27" i="205"/>
  <c r="I27" i="205" s="1"/>
  <c r="AD26" i="205"/>
  <c r="AC26" i="205"/>
  <c r="AE26" i="205" s="1"/>
  <c r="AI26" i="205" s="1"/>
  <c r="Y26" i="205" s="1"/>
  <c r="AB26" i="205"/>
  <c r="Z26" i="205"/>
  <c r="X26" i="205"/>
  <c r="Q26" i="205"/>
  <c r="P26" i="205"/>
  <c r="H26" i="205"/>
  <c r="E26" i="205"/>
  <c r="I26" i="205" s="1"/>
  <c r="AD25" i="205"/>
  <c r="AC25" i="205"/>
  <c r="AB25" i="205"/>
  <c r="AE25" i="205" s="1"/>
  <c r="AI25" i="205" s="1"/>
  <c r="Y25" i="205" s="1"/>
  <c r="Z25" i="205"/>
  <c r="X25" i="205"/>
  <c r="Q25" i="205"/>
  <c r="P25" i="205"/>
  <c r="I25" i="205"/>
  <c r="H25" i="205"/>
  <c r="E25" i="205"/>
  <c r="AD24" i="205"/>
  <c r="AC24" i="205"/>
  <c r="AB24" i="205"/>
  <c r="AE24" i="205" s="1"/>
  <c r="AI24" i="205" s="1"/>
  <c r="Y24" i="205" s="1"/>
  <c r="Z24" i="205"/>
  <c r="X24" i="205"/>
  <c r="Q24" i="205"/>
  <c r="P24" i="205"/>
  <c r="I24" i="205"/>
  <c r="H24" i="205"/>
  <c r="E24" i="205"/>
  <c r="AI23" i="205"/>
  <c r="Y23" i="205" s="1"/>
  <c r="AE23" i="205"/>
  <c r="AD23" i="205"/>
  <c r="AC23" i="205"/>
  <c r="AB23" i="205"/>
  <c r="Z23" i="205"/>
  <c r="X23" i="205"/>
  <c r="Q23" i="205"/>
  <c r="P23" i="205"/>
  <c r="H23" i="205"/>
  <c r="E23" i="205"/>
  <c r="I23" i="205" s="1"/>
  <c r="AD22" i="205"/>
  <c r="AC22" i="205"/>
  <c r="AE22" i="205" s="1"/>
  <c r="AI22" i="205" s="1"/>
  <c r="Y22" i="205" s="1"/>
  <c r="AB22" i="205"/>
  <c r="Z22" i="205"/>
  <c r="X22" i="205"/>
  <c r="Q22" i="205"/>
  <c r="P22" i="205"/>
  <c r="I22" i="205"/>
  <c r="H22" i="205"/>
  <c r="E22" i="205"/>
  <c r="AD21" i="205"/>
  <c r="AE21" i="205" s="1"/>
  <c r="AI21" i="205" s="1"/>
  <c r="Y21" i="205" s="1"/>
  <c r="AC21" i="205"/>
  <c r="AB21" i="205"/>
  <c r="Z21" i="205"/>
  <c r="X21" i="205"/>
  <c r="Q21" i="205"/>
  <c r="P21" i="205"/>
  <c r="H21" i="205"/>
  <c r="E21" i="205"/>
  <c r="I21" i="205" s="1"/>
  <c r="AD20" i="205"/>
  <c r="AC20" i="205"/>
  <c r="AB20" i="205"/>
  <c r="AE20" i="205" s="1"/>
  <c r="AI20" i="205" s="1"/>
  <c r="Y20" i="205" s="1"/>
  <c r="Z20" i="205"/>
  <c r="X20" i="205"/>
  <c r="Q20" i="205"/>
  <c r="P20" i="205"/>
  <c r="I20" i="205"/>
  <c r="H20" i="205"/>
  <c r="E20" i="205"/>
  <c r="AD19" i="205"/>
  <c r="AC19" i="205"/>
  <c r="AE19" i="205" s="1"/>
  <c r="AI19" i="205" s="1"/>
  <c r="Y19" i="205" s="1"/>
  <c r="AB19" i="205"/>
  <c r="Z19" i="205"/>
  <c r="X19" i="205"/>
  <c r="Q19" i="205"/>
  <c r="P19" i="205"/>
  <c r="H19" i="205"/>
  <c r="E19" i="205"/>
  <c r="I19" i="205" s="1"/>
  <c r="AD18" i="205"/>
  <c r="AC18" i="205"/>
  <c r="AB18" i="205"/>
  <c r="AE18" i="205" s="1"/>
  <c r="AI18" i="205" s="1"/>
  <c r="Y18" i="205" s="1"/>
  <c r="Z18" i="205"/>
  <c r="X18" i="205"/>
  <c r="Q18" i="205"/>
  <c r="P18" i="205"/>
  <c r="I18" i="205"/>
  <c r="H18" i="205"/>
  <c r="E18" i="205"/>
  <c r="AD17" i="205"/>
  <c r="AC17" i="205"/>
  <c r="AE17" i="205" s="1"/>
  <c r="AI17" i="205" s="1"/>
  <c r="Y17" i="205" s="1"/>
  <c r="AB17" i="205"/>
  <c r="Z17" i="205"/>
  <c r="X17" i="205"/>
  <c r="Q17" i="205"/>
  <c r="P17" i="205"/>
  <c r="H17" i="205"/>
  <c r="E17" i="205"/>
  <c r="I17" i="205" s="1"/>
  <c r="AE16" i="205"/>
  <c r="AI16" i="205" s="1"/>
  <c r="Y16" i="205" s="1"/>
  <c r="AD16" i="205"/>
  <c r="AC16" i="205"/>
  <c r="AB16" i="205"/>
  <c r="Z16" i="205"/>
  <c r="X16" i="205"/>
  <c r="Q16" i="205"/>
  <c r="P16" i="205"/>
  <c r="I16" i="205"/>
  <c r="E16" i="205"/>
  <c r="AD15" i="205"/>
  <c r="AC15" i="205"/>
  <c r="AB15" i="205"/>
  <c r="AE15" i="205" s="1"/>
  <c r="AI15" i="205" s="1"/>
  <c r="Y15" i="205" s="1"/>
  <c r="Z15" i="205"/>
  <c r="X15" i="205"/>
  <c r="Q15" i="205"/>
  <c r="P15" i="205"/>
  <c r="I15" i="205"/>
  <c r="E15" i="205"/>
  <c r="AD14" i="205"/>
  <c r="AC14" i="205"/>
  <c r="AB14" i="205"/>
  <c r="AE14" i="205" s="1"/>
  <c r="AI14" i="205" s="1"/>
  <c r="Y14" i="205" s="1"/>
  <c r="Z14" i="205"/>
  <c r="X14" i="205"/>
  <c r="Q14" i="205"/>
  <c r="O75" i="205" s="1"/>
  <c r="P14" i="205"/>
  <c r="I14" i="205"/>
  <c r="H14" i="205"/>
  <c r="E14" i="205"/>
  <c r="AD13" i="205"/>
  <c r="AC13" i="205"/>
  <c r="AB13" i="205"/>
  <c r="AE13" i="205" s="1"/>
  <c r="AI13" i="205" s="1"/>
  <c r="Y13" i="205" s="1"/>
  <c r="Z13" i="205"/>
  <c r="X13" i="205"/>
  <c r="Q13" i="205"/>
  <c r="P13" i="205"/>
  <c r="H13" i="205"/>
  <c r="E13" i="205"/>
  <c r="I13" i="205" s="1"/>
  <c r="AD12" i="205"/>
  <c r="AC12" i="205"/>
  <c r="AE12" i="205" s="1"/>
  <c r="AI12" i="205" s="1"/>
  <c r="Y12" i="205" s="1"/>
  <c r="AB12" i="205"/>
  <c r="Z12" i="205"/>
  <c r="T75" i="205" s="1"/>
  <c r="X12" i="205"/>
  <c r="Q12" i="205"/>
  <c r="P12" i="205"/>
  <c r="I12" i="205"/>
  <c r="H12" i="205"/>
  <c r="E12" i="205"/>
  <c r="T79" i="207" l="1"/>
  <c r="F77" i="207"/>
  <c r="T79" i="206"/>
  <c r="F77" i="206"/>
  <c r="T77" i="205"/>
  <c r="O73" i="205"/>
  <c r="F73" i="205"/>
  <c r="F75" i="205"/>
  <c r="T73" i="205"/>
  <c r="M79" i="204"/>
  <c r="P71" i="204"/>
  <c r="H71" i="204"/>
  <c r="Q70" i="204"/>
  <c r="P70" i="204"/>
  <c r="I70" i="204"/>
  <c r="H70" i="204"/>
  <c r="E70" i="204"/>
  <c r="Q69" i="204"/>
  <c r="P69" i="204"/>
  <c r="H69" i="204"/>
  <c r="E69" i="204"/>
  <c r="I69" i="204" s="1"/>
  <c r="AD68" i="204"/>
  <c r="AC68" i="204"/>
  <c r="AB68" i="204"/>
  <c r="AE68" i="204" s="1"/>
  <c r="AI68" i="204" s="1"/>
  <c r="Y68" i="204" s="1"/>
  <c r="Z68" i="204"/>
  <c r="X68" i="204"/>
  <c r="Q68" i="204"/>
  <c r="P68" i="204"/>
  <c r="I68" i="204"/>
  <c r="H68" i="204"/>
  <c r="E68" i="204"/>
  <c r="AD67" i="204"/>
  <c r="AC67" i="204"/>
  <c r="AB67" i="204"/>
  <c r="AE67" i="204" s="1"/>
  <c r="AI67" i="204" s="1"/>
  <c r="Y67" i="204" s="1"/>
  <c r="Z67" i="204"/>
  <c r="X67" i="204"/>
  <c r="Q67" i="204"/>
  <c r="P67" i="204"/>
  <c r="H67" i="204"/>
  <c r="E67" i="204"/>
  <c r="I67" i="204" s="1"/>
  <c r="AD66" i="204"/>
  <c r="AC66" i="204"/>
  <c r="AB66" i="204"/>
  <c r="AE66" i="204" s="1"/>
  <c r="AI66" i="204" s="1"/>
  <c r="Y66" i="204" s="1"/>
  <c r="Z66" i="204"/>
  <c r="X66" i="204"/>
  <c r="Q66" i="204"/>
  <c r="P66" i="204"/>
  <c r="I66" i="204"/>
  <c r="H66" i="204"/>
  <c r="E66" i="204"/>
  <c r="AD65" i="204"/>
  <c r="AE65" i="204" s="1"/>
  <c r="AI65" i="204" s="1"/>
  <c r="Y65" i="204" s="1"/>
  <c r="AC65" i="204"/>
  <c r="AB65" i="204"/>
  <c r="Z65" i="204"/>
  <c r="X65" i="204"/>
  <c r="Q65" i="204"/>
  <c r="P65" i="204"/>
  <c r="I65" i="204"/>
  <c r="H65" i="204"/>
  <c r="E65" i="204"/>
  <c r="AD64" i="204"/>
  <c r="AC64" i="204"/>
  <c r="AB64" i="204"/>
  <c r="AE64" i="204" s="1"/>
  <c r="AI64" i="204" s="1"/>
  <c r="Y64" i="204" s="1"/>
  <c r="Z64" i="204"/>
  <c r="X64" i="204"/>
  <c r="Q64" i="204"/>
  <c r="P64" i="204"/>
  <c r="H64" i="204"/>
  <c r="E64" i="204"/>
  <c r="I64" i="204" s="1"/>
  <c r="AD63" i="204"/>
  <c r="AC63" i="204"/>
  <c r="AB63" i="204"/>
  <c r="AE63" i="204" s="1"/>
  <c r="AI63" i="204" s="1"/>
  <c r="Y63" i="204" s="1"/>
  <c r="Z63" i="204"/>
  <c r="X63" i="204"/>
  <c r="Q63" i="204"/>
  <c r="P63" i="204"/>
  <c r="H63" i="204"/>
  <c r="E63" i="204"/>
  <c r="I63" i="204" s="1"/>
  <c r="AD62" i="204"/>
  <c r="AE62" i="204" s="1"/>
  <c r="AI62" i="204" s="1"/>
  <c r="Y62" i="204" s="1"/>
  <c r="AC62" i="204"/>
  <c r="AB62" i="204"/>
  <c r="Z62" i="204"/>
  <c r="X62" i="204"/>
  <c r="Q62" i="204"/>
  <c r="P62" i="204"/>
  <c r="H62" i="204"/>
  <c r="E62" i="204"/>
  <c r="I62" i="204" s="1"/>
  <c r="AE61" i="204"/>
  <c r="AI61" i="204" s="1"/>
  <c r="Y61" i="204" s="1"/>
  <c r="AC61" i="204"/>
  <c r="AB61" i="204"/>
  <c r="X61" i="204"/>
  <c r="Q61" i="204"/>
  <c r="P61" i="204"/>
  <c r="H61" i="204"/>
  <c r="E61" i="204"/>
  <c r="I61" i="204" s="1"/>
  <c r="AE60" i="204"/>
  <c r="AI60" i="204" s="1"/>
  <c r="Y60" i="204" s="1"/>
  <c r="X60" i="204"/>
  <c r="Q60" i="204"/>
  <c r="P60" i="204"/>
  <c r="I60" i="204"/>
  <c r="H60" i="204"/>
  <c r="E60" i="204"/>
  <c r="AE59" i="204"/>
  <c r="AI59" i="204" s="1"/>
  <c r="Y59" i="204" s="1"/>
  <c r="AC59" i="204"/>
  <c r="AB59" i="204"/>
  <c r="X59" i="204"/>
  <c r="Q59" i="204"/>
  <c r="P59" i="204"/>
  <c r="H59" i="204"/>
  <c r="E59" i="204"/>
  <c r="I59" i="204" s="1"/>
  <c r="AC58" i="204"/>
  <c r="AE58" i="204" s="1"/>
  <c r="AI58" i="204" s="1"/>
  <c r="Y58" i="204" s="1"/>
  <c r="AB58" i="204"/>
  <c r="X58" i="204"/>
  <c r="Q58" i="204"/>
  <c r="P58" i="204"/>
  <c r="I58" i="204"/>
  <c r="E58" i="204"/>
  <c r="AE57" i="204"/>
  <c r="AI57" i="204" s="1"/>
  <c r="Y57" i="204" s="1"/>
  <c r="AC57" i="204"/>
  <c r="AB57" i="204"/>
  <c r="X57" i="204"/>
  <c r="Q57" i="204"/>
  <c r="P57" i="204"/>
  <c r="I57" i="204"/>
  <c r="H57" i="204"/>
  <c r="E57" i="204"/>
  <c r="AE56" i="204"/>
  <c r="AI56" i="204" s="1"/>
  <c r="Y56" i="204" s="1"/>
  <c r="AD56" i="204"/>
  <c r="AC56" i="204"/>
  <c r="AB56" i="204"/>
  <c r="Z56" i="204"/>
  <c r="X56" i="204"/>
  <c r="Q56" i="204"/>
  <c r="P56" i="204"/>
  <c r="I56" i="204"/>
  <c r="H56" i="204"/>
  <c r="E56" i="204"/>
  <c r="AD55" i="204"/>
  <c r="AC55" i="204"/>
  <c r="AB55" i="204"/>
  <c r="AE55" i="204" s="1"/>
  <c r="AI55" i="204" s="1"/>
  <c r="Y55" i="204" s="1"/>
  <c r="Z55" i="204"/>
  <c r="X55" i="204"/>
  <c r="Q55" i="204"/>
  <c r="P55" i="204"/>
  <c r="H55" i="204"/>
  <c r="E55" i="204"/>
  <c r="I55" i="204" s="1"/>
  <c r="AI54" i="204"/>
  <c r="Y54" i="204" s="1"/>
  <c r="AE54" i="204"/>
  <c r="AD54" i="204"/>
  <c r="AC54" i="204"/>
  <c r="AB54" i="204"/>
  <c r="Z54" i="204"/>
  <c r="X54" i="204"/>
  <c r="Q54" i="204"/>
  <c r="P54" i="204"/>
  <c r="H54" i="204"/>
  <c r="E54" i="204"/>
  <c r="I54" i="204" s="1"/>
  <c r="AD53" i="204"/>
  <c r="AC53" i="204"/>
  <c r="AB53" i="204"/>
  <c r="AE53" i="204" s="1"/>
  <c r="AI53" i="204" s="1"/>
  <c r="Y53" i="204" s="1"/>
  <c r="Z53" i="204"/>
  <c r="X53" i="204"/>
  <c r="Q53" i="204"/>
  <c r="P53" i="204"/>
  <c r="I53" i="204"/>
  <c r="H53" i="204"/>
  <c r="E53" i="204"/>
  <c r="AE52" i="204"/>
  <c r="AI52" i="204" s="1"/>
  <c r="Y52" i="204" s="1"/>
  <c r="Z52" i="204"/>
  <c r="X52" i="204"/>
  <c r="Q52" i="204"/>
  <c r="P52" i="204"/>
  <c r="I52" i="204"/>
  <c r="H52" i="204"/>
  <c r="E52" i="204"/>
  <c r="AD51" i="204"/>
  <c r="AC51" i="204"/>
  <c r="AB51" i="204"/>
  <c r="AE51" i="204" s="1"/>
  <c r="AI51" i="204" s="1"/>
  <c r="Y51" i="204" s="1"/>
  <c r="Z51" i="204"/>
  <c r="X51" i="204"/>
  <c r="Q51" i="204"/>
  <c r="P51" i="204"/>
  <c r="H51" i="204"/>
  <c r="E51" i="204"/>
  <c r="I51" i="204" s="1"/>
  <c r="AI50" i="204"/>
  <c r="AE50" i="204"/>
  <c r="AD50" i="204"/>
  <c r="AC50" i="204"/>
  <c r="AB50" i="204"/>
  <c r="Z50" i="204"/>
  <c r="Y50" i="204"/>
  <c r="X50" i="204"/>
  <c r="Q50" i="204"/>
  <c r="P50" i="204"/>
  <c r="I50" i="204"/>
  <c r="H50" i="204"/>
  <c r="E50" i="204"/>
  <c r="AE49" i="204"/>
  <c r="AI49" i="204" s="1"/>
  <c r="Y49" i="204" s="1"/>
  <c r="Z49" i="204"/>
  <c r="X49" i="204"/>
  <c r="Q49" i="204"/>
  <c r="P49" i="204"/>
  <c r="H49" i="204"/>
  <c r="E49" i="204"/>
  <c r="I49" i="204" s="1"/>
  <c r="AE48" i="204"/>
  <c r="AI48" i="204" s="1"/>
  <c r="Y48" i="204" s="1"/>
  <c r="Z48" i="204"/>
  <c r="X48" i="204"/>
  <c r="Q48" i="204"/>
  <c r="P48" i="204"/>
  <c r="H48" i="204"/>
  <c r="E48" i="204"/>
  <c r="I48" i="204" s="1"/>
  <c r="AI47" i="204"/>
  <c r="Y47" i="204" s="1"/>
  <c r="AE47" i="204"/>
  <c r="Z47" i="204"/>
  <c r="X47" i="204"/>
  <c r="Q47" i="204"/>
  <c r="P47" i="204"/>
  <c r="H47" i="204"/>
  <c r="E47" i="204"/>
  <c r="I47" i="204" s="1"/>
  <c r="AD46" i="204"/>
  <c r="AC46" i="204"/>
  <c r="AB46" i="204"/>
  <c r="AE46" i="204" s="1"/>
  <c r="AI46" i="204" s="1"/>
  <c r="Y46" i="204" s="1"/>
  <c r="Z46" i="204"/>
  <c r="X46" i="204"/>
  <c r="Q46" i="204"/>
  <c r="P46" i="204"/>
  <c r="I46" i="204"/>
  <c r="H46" i="204"/>
  <c r="E46" i="204"/>
  <c r="AD45" i="204"/>
  <c r="AC45" i="204"/>
  <c r="AB45" i="204"/>
  <c r="AE45" i="204" s="1"/>
  <c r="AI45" i="204" s="1"/>
  <c r="Y45" i="204" s="1"/>
  <c r="Z45" i="204"/>
  <c r="X45" i="204"/>
  <c r="Q45" i="204"/>
  <c r="P45" i="204"/>
  <c r="H45" i="204"/>
  <c r="E45" i="204"/>
  <c r="I45" i="204" s="1"/>
  <c r="AE44" i="204"/>
  <c r="AI44" i="204" s="1"/>
  <c r="Y44" i="204" s="1"/>
  <c r="AD44" i="204"/>
  <c r="AC44" i="204"/>
  <c r="AB44" i="204"/>
  <c r="Z44" i="204"/>
  <c r="X44" i="204"/>
  <c r="Q44" i="204"/>
  <c r="P44" i="204"/>
  <c r="I44" i="204"/>
  <c r="H44" i="204"/>
  <c r="E44" i="204"/>
  <c r="AD43" i="204"/>
  <c r="AC43" i="204"/>
  <c r="AB43" i="204"/>
  <c r="AE43" i="204" s="1"/>
  <c r="AI43" i="204" s="1"/>
  <c r="Y43" i="204" s="1"/>
  <c r="Z43" i="204"/>
  <c r="X43" i="204"/>
  <c r="Q43" i="204"/>
  <c r="P43" i="204"/>
  <c r="H43" i="204"/>
  <c r="E43" i="204"/>
  <c r="I43" i="204" s="1"/>
  <c r="AI42" i="204"/>
  <c r="Y42" i="204" s="1"/>
  <c r="AE42" i="204"/>
  <c r="AD42" i="204"/>
  <c r="AC42" i="204"/>
  <c r="AB42" i="204"/>
  <c r="Z42" i="204"/>
  <c r="X42" i="204"/>
  <c r="Q42" i="204"/>
  <c r="P42" i="204"/>
  <c r="H42" i="204"/>
  <c r="E42" i="204"/>
  <c r="I42" i="204" s="1"/>
  <c r="AD41" i="204"/>
  <c r="AC41" i="204"/>
  <c r="AB41" i="204"/>
  <c r="AE41" i="204" s="1"/>
  <c r="AI41" i="204" s="1"/>
  <c r="Y41" i="204" s="1"/>
  <c r="Z41" i="204"/>
  <c r="X41" i="204"/>
  <c r="Q41" i="204"/>
  <c r="P41" i="204"/>
  <c r="I41" i="204"/>
  <c r="H41" i="204"/>
  <c r="E41" i="204"/>
  <c r="AD40" i="204"/>
  <c r="AE40" i="204" s="1"/>
  <c r="AI40" i="204" s="1"/>
  <c r="Y40" i="204" s="1"/>
  <c r="AC40" i="204"/>
  <c r="AB40" i="204"/>
  <c r="Z40" i="204"/>
  <c r="X40" i="204"/>
  <c r="Q40" i="204"/>
  <c r="P40" i="204"/>
  <c r="H40" i="204"/>
  <c r="E40" i="204"/>
  <c r="I40" i="204" s="1"/>
  <c r="AD39" i="204"/>
  <c r="AC39" i="204"/>
  <c r="AB39" i="204"/>
  <c r="AE39" i="204" s="1"/>
  <c r="AI39" i="204" s="1"/>
  <c r="Y39" i="204" s="1"/>
  <c r="Z39" i="204"/>
  <c r="X39" i="204"/>
  <c r="Q39" i="204"/>
  <c r="P39" i="204"/>
  <c r="I39" i="204"/>
  <c r="H39" i="204"/>
  <c r="E39" i="204"/>
  <c r="AD38" i="204"/>
  <c r="AC38" i="204"/>
  <c r="AB38" i="204"/>
  <c r="AE38" i="204" s="1"/>
  <c r="AI38" i="204" s="1"/>
  <c r="Y38" i="204" s="1"/>
  <c r="Z38" i="204"/>
  <c r="X38" i="204"/>
  <c r="Q38" i="204"/>
  <c r="P38" i="204"/>
  <c r="H38" i="204"/>
  <c r="E38" i="204"/>
  <c r="I38" i="204" s="1"/>
  <c r="AI37" i="204"/>
  <c r="Y37" i="204" s="1"/>
  <c r="AE37" i="204"/>
  <c r="AD37" i="204"/>
  <c r="AC37" i="204"/>
  <c r="AB37" i="204"/>
  <c r="Z37" i="204"/>
  <c r="X37" i="204"/>
  <c r="Q37" i="204"/>
  <c r="P37" i="204"/>
  <c r="I37" i="204"/>
  <c r="H37" i="204"/>
  <c r="E37" i="204"/>
  <c r="AD36" i="204"/>
  <c r="AC36" i="204"/>
  <c r="AE36" i="204" s="1"/>
  <c r="AI36" i="204" s="1"/>
  <c r="Y36" i="204" s="1"/>
  <c r="AB36" i="204"/>
  <c r="Z36" i="204"/>
  <c r="X36" i="204"/>
  <c r="Q36" i="204"/>
  <c r="P36" i="204"/>
  <c r="I36" i="204"/>
  <c r="H36" i="204"/>
  <c r="E36" i="204"/>
  <c r="AD35" i="204"/>
  <c r="AC35" i="204"/>
  <c r="AB35" i="204"/>
  <c r="AE35" i="204" s="1"/>
  <c r="AI35" i="204" s="1"/>
  <c r="Y35" i="204" s="1"/>
  <c r="Z35" i="204"/>
  <c r="X35" i="204"/>
  <c r="Q35" i="204"/>
  <c r="P35" i="204"/>
  <c r="H35" i="204"/>
  <c r="E35" i="204"/>
  <c r="I35" i="204" s="1"/>
  <c r="AD34" i="204"/>
  <c r="AC34" i="204"/>
  <c r="AB34" i="204"/>
  <c r="AE34" i="204" s="1"/>
  <c r="AI34" i="204" s="1"/>
  <c r="Y34" i="204" s="1"/>
  <c r="Z34" i="204"/>
  <c r="X34" i="204"/>
  <c r="Q34" i="204"/>
  <c r="P34" i="204"/>
  <c r="H34" i="204"/>
  <c r="E34" i="204"/>
  <c r="I34" i="204" s="1"/>
  <c r="AD33" i="204"/>
  <c r="AE33" i="204" s="1"/>
  <c r="AI33" i="204" s="1"/>
  <c r="Y33" i="204" s="1"/>
  <c r="AC33" i="204"/>
  <c r="AB33" i="204"/>
  <c r="Z33" i="204"/>
  <c r="X33" i="204"/>
  <c r="Q33" i="204"/>
  <c r="P33" i="204"/>
  <c r="H33" i="204"/>
  <c r="E33" i="204"/>
  <c r="I33" i="204" s="1"/>
  <c r="AD32" i="204"/>
  <c r="AC32" i="204"/>
  <c r="AB32" i="204"/>
  <c r="AE32" i="204" s="1"/>
  <c r="AI32" i="204" s="1"/>
  <c r="Y32" i="204" s="1"/>
  <c r="Z32" i="204"/>
  <c r="X32" i="204"/>
  <c r="Q32" i="204"/>
  <c r="P32" i="204"/>
  <c r="I32" i="204"/>
  <c r="H32" i="204"/>
  <c r="E32" i="204"/>
  <c r="AE31" i="204"/>
  <c r="AI31" i="204" s="1"/>
  <c r="Y31" i="204" s="1"/>
  <c r="Z31" i="204"/>
  <c r="X31" i="204"/>
  <c r="Q31" i="204"/>
  <c r="P31" i="204"/>
  <c r="I31" i="204"/>
  <c r="H31" i="204"/>
  <c r="E31" i="204"/>
  <c r="AD30" i="204"/>
  <c r="AC30" i="204"/>
  <c r="AB30" i="204"/>
  <c r="AE30" i="204" s="1"/>
  <c r="AI30" i="204" s="1"/>
  <c r="Y30" i="204" s="1"/>
  <c r="Z30" i="204"/>
  <c r="X30" i="204"/>
  <c r="Q30" i="204"/>
  <c r="P30" i="204"/>
  <c r="I30" i="204"/>
  <c r="H30" i="204"/>
  <c r="E30" i="204"/>
  <c r="AE29" i="204"/>
  <c r="AI29" i="204" s="1"/>
  <c r="Y29" i="204" s="1"/>
  <c r="AD29" i="204"/>
  <c r="AC29" i="204"/>
  <c r="AB29" i="204"/>
  <c r="Z29" i="204"/>
  <c r="X29" i="204"/>
  <c r="Q29" i="204"/>
  <c r="P29" i="204"/>
  <c r="I29" i="204"/>
  <c r="H29" i="204"/>
  <c r="E29" i="204"/>
  <c r="AD28" i="204"/>
  <c r="AC28" i="204"/>
  <c r="AB28" i="204"/>
  <c r="AE28" i="204" s="1"/>
  <c r="AI28" i="204" s="1"/>
  <c r="Y28" i="204" s="1"/>
  <c r="Z28" i="204"/>
  <c r="X28" i="204"/>
  <c r="Q28" i="204"/>
  <c r="P28" i="204"/>
  <c r="H28" i="204"/>
  <c r="E28" i="204"/>
  <c r="I28" i="204" s="1"/>
  <c r="AI27" i="204"/>
  <c r="Y27" i="204" s="1"/>
  <c r="AE27" i="204"/>
  <c r="AD27" i="204"/>
  <c r="AC27" i="204"/>
  <c r="AB27" i="204"/>
  <c r="Z27" i="204"/>
  <c r="X27" i="204"/>
  <c r="Q27" i="204"/>
  <c r="P27" i="204"/>
  <c r="H27" i="204"/>
  <c r="E27" i="204"/>
  <c r="I27" i="204" s="1"/>
  <c r="AD26" i="204"/>
  <c r="AC26" i="204"/>
  <c r="AB26" i="204"/>
  <c r="AE26" i="204" s="1"/>
  <c r="AI26" i="204" s="1"/>
  <c r="Y26" i="204" s="1"/>
  <c r="Z26" i="204"/>
  <c r="X26" i="204"/>
  <c r="Q26" i="204"/>
  <c r="P26" i="204"/>
  <c r="I26" i="204"/>
  <c r="H26" i="204"/>
  <c r="E26" i="204"/>
  <c r="AD25" i="204"/>
  <c r="AE25" i="204" s="1"/>
  <c r="AI25" i="204" s="1"/>
  <c r="Y25" i="204" s="1"/>
  <c r="AC25" i="204"/>
  <c r="AB25" i="204"/>
  <c r="Z25" i="204"/>
  <c r="X25" i="204"/>
  <c r="Q25" i="204"/>
  <c r="P25" i="204"/>
  <c r="H25" i="204"/>
  <c r="E25" i="204"/>
  <c r="I25" i="204" s="1"/>
  <c r="AD24" i="204"/>
  <c r="AC24" i="204"/>
  <c r="AB24" i="204"/>
  <c r="AE24" i="204" s="1"/>
  <c r="AI24" i="204" s="1"/>
  <c r="Y24" i="204" s="1"/>
  <c r="Z24" i="204"/>
  <c r="X24" i="204"/>
  <c r="Q24" i="204"/>
  <c r="P24" i="204"/>
  <c r="I24" i="204"/>
  <c r="H24" i="204"/>
  <c r="E24" i="204"/>
  <c r="AD23" i="204"/>
  <c r="AC23" i="204"/>
  <c r="AB23" i="204"/>
  <c r="AE23" i="204" s="1"/>
  <c r="AI23" i="204" s="1"/>
  <c r="Y23" i="204" s="1"/>
  <c r="Z23" i="204"/>
  <c r="X23" i="204"/>
  <c r="Q23" i="204"/>
  <c r="P23" i="204"/>
  <c r="H23" i="204"/>
  <c r="E23" i="204"/>
  <c r="I23" i="204" s="1"/>
  <c r="AI22" i="204"/>
  <c r="Y22" i="204" s="1"/>
  <c r="AE22" i="204"/>
  <c r="AD22" i="204"/>
  <c r="AC22" i="204"/>
  <c r="AB22" i="204"/>
  <c r="Z22" i="204"/>
  <c r="X22" i="204"/>
  <c r="Q22" i="204"/>
  <c r="P22" i="204"/>
  <c r="I22" i="204"/>
  <c r="H22" i="204"/>
  <c r="E22" i="204"/>
  <c r="AD21" i="204"/>
  <c r="AC21" i="204"/>
  <c r="AE21" i="204" s="1"/>
  <c r="AI21" i="204" s="1"/>
  <c r="Y21" i="204" s="1"/>
  <c r="AB21" i="204"/>
  <c r="Z21" i="204"/>
  <c r="X21" i="204"/>
  <c r="Q21" i="204"/>
  <c r="P21" i="204"/>
  <c r="I21" i="204"/>
  <c r="H21" i="204"/>
  <c r="E21" i="204"/>
  <c r="AD20" i="204"/>
  <c r="AC20" i="204"/>
  <c r="AB20" i="204"/>
  <c r="AE20" i="204" s="1"/>
  <c r="AI20" i="204" s="1"/>
  <c r="Y20" i="204" s="1"/>
  <c r="Z20" i="204"/>
  <c r="X20" i="204"/>
  <c r="Q20" i="204"/>
  <c r="P20" i="204"/>
  <c r="H20" i="204"/>
  <c r="E20" i="204"/>
  <c r="I20" i="204" s="1"/>
  <c r="AD19" i="204"/>
  <c r="AC19" i="204"/>
  <c r="AB19" i="204"/>
  <c r="AE19" i="204" s="1"/>
  <c r="AI19" i="204" s="1"/>
  <c r="Y19" i="204" s="1"/>
  <c r="Z19" i="204"/>
  <c r="X19" i="204"/>
  <c r="Q19" i="204"/>
  <c r="P19" i="204"/>
  <c r="I19" i="204"/>
  <c r="H19" i="204"/>
  <c r="E19" i="204"/>
  <c r="AD18" i="204"/>
  <c r="AE18" i="204" s="1"/>
  <c r="AI18" i="204" s="1"/>
  <c r="Y18" i="204" s="1"/>
  <c r="AC18" i="204"/>
  <c r="AB18" i="204"/>
  <c r="Z18" i="204"/>
  <c r="X18" i="204"/>
  <c r="Q18" i="204"/>
  <c r="P18" i="204"/>
  <c r="H18" i="204"/>
  <c r="E18" i="204"/>
  <c r="I18" i="204" s="1"/>
  <c r="AD17" i="204"/>
  <c r="AC17" i="204"/>
  <c r="AB17" i="204"/>
  <c r="AE17" i="204" s="1"/>
  <c r="AI17" i="204" s="1"/>
  <c r="Y17" i="204" s="1"/>
  <c r="Z17" i="204"/>
  <c r="X17" i="204"/>
  <c r="Q17" i="204"/>
  <c r="P17" i="204"/>
  <c r="I17" i="204"/>
  <c r="H17" i="204"/>
  <c r="E17" i="204"/>
  <c r="AE16" i="204"/>
  <c r="AI16" i="204" s="1"/>
  <c r="Y16" i="204" s="1"/>
  <c r="AD16" i="204"/>
  <c r="AC16" i="204"/>
  <c r="AB16" i="204"/>
  <c r="Z16" i="204"/>
  <c r="X16" i="204"/>
  <c r="Q16" i="204"/>
  <c r="P16" i="204"/>
  <c r="I16" i="204"/>
  <c r="E16" i="204"/>
  <c r="AD15" i="204"/>
  <c r="AC15" i="204"/>
  <c r="AB15" i="204"/>
  <c r="AE15" i="204" s="1"/>
  <c r="AI15" i="204" s="1"/>
  <c r="Y15" i="204" s="1"/>
  <c r="Z15" i="204"/>
  <c r="X15" i="204"/>
  <c r="Q15" i="204"/>
  <c r="P15" i="204"/>
  <c r="E15" i="204"/>
  <c r="I15" i="204" s="1"/>
  <c r="AI14" i="204"/>
  <c r="Y14" i="204" s="1"/>
  <c r="AE14" i="204"/>
  <c r="AD14" i="204"/>
  <c r="AC14" i="204"/>
  <c r="AB14" i="204"/>
  <c r="Z14" i="204"/>
  <c r="X14" i="204"/>
  <c r="Q14" i="204"/>
  <c r="P14" i="204"/>
  <c r="I14" i="204"/>
  <c r="H14" i="204"/>
  <c r="E14" i="204"/>
  <c r="AD13" i="204"/>
  <c r="AC13" i="204"/>
  <c r="AB13" i="204"/>
  <c r="AE13" i="204" s="1"/>
  <c r="AI13" i="204" s="1"/>
  <c r="Y13" i="204" s="1"/>
  <c r="Z13" i="204"/>
  <c r="X13" i="204"/>
  <c r="Q13" i="204"/>
  <c r="P13" i="204"/>
  <c r="H13" i="204"/>
  <c r="E13" i="204"/>
  <c r="I13" i="204" s="1"/>
  <c r="AD12" i="204"/>
  <c r="AC12" i="204"/>
  <c r="AE12" i="204" s="1"/>
  <c r="AI12" i="204" s="1"/>
  <c r="Y12" i="204" s="1"/>
  <c r="AB12" i="204"/>
  <c r="Z12" i="204"/>
  <c r="T75" i="204" s="1"/>
  <c r="X12" i="204"/>
  <c r="T77" i="204" s="1"/>
  <c r="Q12" i="204"/>
  <c r="P12" i="204"/>
  <c r="H12" i="204"/>
  <c r="E12" i="204"/>
  <c r="I12" i="204" s="1"/>
  <c r="M79" i="203"/>
  <c r="P71" i="203"/>
  <c r="H71" i="203"/>
  <c r="Q70" i="203"/>
  <c r="P70" i="203"/>
  <c r="I70" i="203"/>
  <c r="H70" i="203"/>
  <c r="E70" i="203"/>
  <c r="Q69" i="203"/>
  <c r="P69" i="203"/>
  <c r="I69" i="203"/>
  <c r="H69" i="203"/>
  <c r="E69" i="203"/>
  <c r="AD68" i="203"/>
  <c r="AC68" i="203"/>
  <c r="AB68" i="203"/>
  <c r="AE68" i="203" s="1"/>
  <c r="AI68" i="203" s="1"/>
  <c r="Y68" i="203" s="1"/>
  <c r="Z68" i="203"/>
  <c r="X68" i="203"/>
  <c r="Q68" i="203"/>
  <c r="P68" i="203"/>
  <c r="H68" i="203"/>
  <c r="E68" i="203"/>
  <c r="I68" i="203" s="1"/>
  <c r="AE67" i="203"/>
  <c r="AI67" i="203" s="1"/>
  <c r="Y67" i="203" s="1"/>
  <c r="AD67" i="203"/>
  <c r="AC67" i="203"/>
  <c r="AB67" i="203"/>
  <c r="Z67" i="203"/>
  <c r="X67" i="203"/>
  <c r="Q67" i="203"/>
  <c r="P67" i="203"/>
  <c r="H67" i="203"/>
  <c r="E67" i="203"/>
  <c r="I67" i="203" s="1"/>
  <c r="AD66" i="203"/>
  <c r="AC66" i="203"/>
  <c r="AB66" i="203"/>
  <c r="AE66" i="203" s="1"/>
  <c r="AI66" i="203" s="1"/>
  <c r="Y66" i="203" s="1"/>
  <c r="Z66" i="203"/>
  <c r="X66" i="203"/>
  <c r="Q66" i="203"/>
  <c r="P66" i="203"/>
  <c r="I66" i="203"/>
  <c r="H66" i="203"/>
  <c r="E66" i="203"/>
  <c r="AD65" i="203"/>
  <c r="AC65" i="203"/>
  <c r="AB65" i="203"/>
  <c r="AE65" i="203" s="1"/>
  <c r="AI65" i="203" s="1"/>
  <c r="Y65" i="203" s="1"/>
  <c r="Z65" i="203"/>
  <c r="X65" i="203"/>
  <c r="Q65" i="203"/>
  <c r="P65" i="203"/>
  <c r="H65" i="203"/>
  <c r="E65" i="203"/>
  <c r="I65" i="203" s="1"/>
  <c r="AE64" i="203"/>
  <c r="AI64" i="203" s="1"/>
  <c r="Y64" i="203" s="1"/>
  <c r="AD64" i="203"/>
  <c r="AC64" i="203"/>
  <c r="AB64" i="203"/>
  <c r="Z64" i="203"/>
  <c r="X64" i="203"/>
  <c r="Q64" i="203"/>
  <c r="P64" i="203"/>
  <c r="I64" i="203"/>
  <c r="H64" i="203"/>
  <c r="E64" i="203"/>
  <c r="AD63" i="203"/>
  <c r="AC63" i="203"/>
  <c r="AB63" i="203"/>
  <c r="AE63" i="203" s="1"/>
  <c r="AI63" i="203" s="1"/>
  <c r="Y63" i="203" s="1"/>
  <c r="Z63" i="203"/>
  <c r="X63" i="203"/>
  <c r="Q63" i="203"/>
  <c r="P63" i="203"/>
  <c r="H63" i="203"/>
  <c r="E63" i="203"/>
  <c r="I63" i="203" s="1"/>
  <c r="AD62" i="203"/>
  <c r="AC62" i="203"/>
  <c r="AB62" i="203"/>
  <c r="AE62" i="203" s="1"/>
  <c r="AI62" i="203" s="1"/>
  <c r="Y62" i="203" s="1"/>
  <c r="Z62" i="203"/>
  <c r="X62" i="203"/>
  <c r="Q62" i="203"/>
  <c r="P62" i="203"/>
  <c r="H62" i="203"/>
  <c r="E62" i="203"/>
  <c r="I62" i="203" s="1"/>
  <c r="AC61" i="203"/>
  <c r="AB61" i="203"/>
  <c r="AE61" i="203" s="1"/>
  <c r="AI61" i="203" s="1"/>
  <c r="Y61" i="203" s="1"/>
  <c r="X61" i="203"/>
  <c r="Q61" i="203"/>
  <c r="P61" i="203"/>
  <c r="H61" i="203"/>
  <c r="E61" i="203"/>
  <c r="I61" i="203" s="1"/>
  <c r="AI60" i="203"/>
  <c r="Y60" i="203" s="1"/>
  <c r="AE60" i="203"/>
  <c r="X60" i="203"/>
  <c r="Q60" i="203"/>
  <c r="P60" i="203"/>
  <c r="H60" i="203"/>
  <c r="E60" i="203"/>
  <c r="I60" i="203" s="1"/>
  <c r="AE59" i="203"/>
  <c r="AI59" i="203" s="1"/>
  <c r="Y59" i="203" s="1"/>
  <c r="AC59" i="203"/>
  <c r="AB59" i="203"/>
  <c r="X59" i="203"/>
  <c r="Q59" i="203"/>
  <c r="P59" i="203"/>
  <c r="H59" i="203"/>
  <c r="E59" i="203"/>
  <c r="I59" i="203" s="1"/>
  <c r="AC58" i="203"/>
  <c r="AB58" i="203"/>
  <c r="AE58" i="203" s="1"/>
  <c r="AI58" i="203" s="1"/>
  <c r="Y58" i="203" s="1"/>
  <c r="X58" i="203"/>
  <c r="Q58" i="203"/>
  <c r="P58" i="203"/>
  <c r="E58" i="203"/>
  <c r="I58" i="203" s="1"/>
  <c r="AE57" i="203"/>
  <c r="AI57" i="203" s="1"/>
  <c r="Y57" i="203" s="1"/>
  <c r="AC57" i="203"/>
  <c r="AB57" i="203"/>
  <c r="X57" i="203"/>
  <c r="Q57" i="203"/>
  <c r="P57" i="203"/>
  <c r="H57" i="203"/>
  <c r="E57" i="203"/>
  <c r="I57" i="203" s="1"/>
  <c r="AE56" i="203"/>
  <c r="AI56" i="203" s="1"/>
  <c r="Y56" i="203" s="1"/>
  <c r="AD56" i="203"/>
  <c r="AC56" i="203"/>
  <c r="AB56" i="203"/>
  <c r="Z56" i="203"/>
  <c r="X56" i="203"/>
  <c r="Q56" i="203"/>
  <c r="P56" i="203"/>
  <c r="I56" i="203"/>
  <c r="H56" i="203"/>
  <c r="E56" i="203"/>
  <c r="AD55" i="203"/>
  <c r="AE55" i="203" s="1"/>
  <c r="AI55" i="203" s="1"/>
  <c r="Y55" i="203" s="1"/>
  <c r="AC55" i="203"/>
  <c r="AB55" i="203"/>
  <c r="Z55" i="203"/>
  <c r="X55" i="203"/>
  <c r="Q55" i="203"/>
  <c r="P55" i="203"/>
  <c r="I55" i="203"/>
  <c r="H55" i="203"/>
  <c r="E55" i="203"/>
  <c r="AD54" i="203"/>
  <c r="AC54" i="203"/>
  <c r="AB54" i="203"/>
  <c r="AE54" i="203" s="1"/>
  <c r="AI54" i="203" s="1"/>
  <c r="Y54" i="203" s="1"/>
  <c r="Z54" i="203"/>
  <c r="X54" i="203"/>
  <c r="Q54" i="203"/>
  <c r="P54" i="203"/>
  <c r="H54" i="203"/>
  <c r="E54" i="203"/>
  <c r="I54" i="203" s="1"/>
  <c r="AD53" i="203"/>
  <c r="AC53" i="203"/>
  <c r="AB53" i="203"/>
  <c r="AE53" i="203" s="1"/>
  <c r="AI53" i="203" s="1"/>
  <c r="Y53" i="203" s="1"/>
  <c r="Z53" i="203"/>
  <c r="X53" i="203"/>
  <c r="Q53" i="203"/>
  <c r="P53" i="203"/>
  <c r="I53" i="203"/>
  <c r="H53" i="203"/>
  <c r="E53" i="203"/>
  <c r="AI52" i="203"/>
  <c r="Y52" i="203" s="1"/>
  <c r="AE52" i="203"/>
  <c r="Z52" i="203"/>
  <c r="X52" i="203"/>
  <c r="Q52" i="203"/>
  <c r="P52" i="203"/>
  <c r="H52" i="203"/>
  <c r="E52" i="203"/>
  <c r="I52" i="203" s="1"/>
  <c r="AE51" i="203"/>
  <c r="AI51" i="203" s="1"/>
  <c r="Y51" i="203" s="1"/>
  <c r="AD51" i="203"/>
  <c r="AC51" i="203"/>
  <c r="AB51" i="203"/>
  <c r="Z51" i="203"/>
  <c r="X51" i="203"/>
  <c r="Q51" i="203"/>
  <c r="P51" i="203"/>
  <c r="H51" i="203"/>
  <c r="E51" i="203"/>
  <c r="I51" i="203" s="1"/>
  <c r="AD50" i="203"/>
  <c r="AC50" i="203"/>
  <c r="AB50" i="203"/>
  <c r="AE50" i="203" s="1"/>
  <c r="AI50" i="203" s="1"/>
  <c r="Y50" i="203" s="1"/>
  <c r="Z50" i="203"/>
  <c r="X50" i="203"/>
  <c r="Q50" i="203"/>
  <c r="P50" i="203"/>
  <c r="I50" i="203"/>
  <c r="H50" i="203"/>
  <c r="E50" i="203"/>
  <c r="AE49" i="203"/>
  <c r="AI49" i="203" s="1"/>
  <c r="Y49" i="203" s="1"/>
  <c r="Z49" i="203"/>
  <c r="X49" i="203"/>
  <c r="Q49" i="203"/>
  <c r="P49" i="203"/>
  <c r="I49" i="203"/>
  <c r="H49" i="203"/>
  <c r="E49" i="203"/>
  <c r="AE48" i="203"/>
  <c r="AI48" i="203" s="1"/>
  <c r="Y48" i="203" s="1"/>
  <c r="Z48" i="203"/>
  <c r="X48" i="203"/>
  <c r="Q48" i="203"/>
  <c r="P48" i="203"/>
  <c r="H48" i="203"/>
  <c r="E48" i="203"/>
  <c r="I48" i="203" s="1"/>
  <c r="AE47" i="203"/>
  <c r="AI47" i="203" s="1"/>
  <c r="Y47" i="203" s="1"/>
  <c r="Z47" i="203"/>
  <c r="X47" i="203"/>
  <c r="Q47" i="203"/>
  <c r="P47" i="203"/>
  <c r="H47" i="203"/>
  <c r="E47" i="203"/>
  <c r="I47" i="203" s="1"/>
  <c r="AI46" i="203"/>
  <c r="Y46" i="203" s="1"/>
  <c r="AE46" i="203"/>
  <c r="AD46" i="203"/>
  <c r="AC46" i="203"/>
  <c r="AB46" i="203"/>
  <c r="Z46" i="203"/>
  <c r="X46" i="203"/>
  <c r="Q46" i="203"/>
  <c r="P46" i="203"/>
  <c r="H46" i="203"/>
  <c r="E46" i="203"/>
  <c r="I46" i="203" s="1"/>
  <c r="AD45" i="203"/>
  <c r="AC45" i="203"/>
  <c r="AE45" i="203" s="1"/>
  <c r="AI45" i="203" s="1"/>
  <c r="Y45" i="203" s="1"/>
  <c r="AB45" i="203"/>
  <c r="Z45" i="203"/>
  <c r="X45" i="203"/>
  <c r="Q45" i="203"/>
  <c r="P45" i="203"/>
  <c r="H45" i="203"/>
  <c r="E45" i="203"/>
  <c r="I45" i="203" s="1"/>
  <c r="AE44" i="203"/>
  <c r="AI44" i="203" s="1"/>
  <c r="Y44" i="203" s="1"/>
  <c r="AD44" i="203"/>
  <c r="AC44" i="203"/>
  <c r="AB44" i="203"/>
  <c r="Z44" i="203"/>
  <c r="X44" i="203"/>
  <c r="Q44" i="203"/>
  <c r="P44" i="203"/>
  <c r="I44" i="203"/>
  <c r="H44" i="203"/>
  <c r="E44" i="203"/>
  <c r="AD43" i="203"/>
  <c r="AE43" i="203" s="1"/>
  <c r="AI43" i="203" s="1"/>
  <c r="Y43" i="203" s="1"/>
  <c r="AC43" i="203"/>
  <c r="AB43" i="203"/>
  <c r="Z43" i="203"/>
  <c r="X43" i="203"/>
  <c r="Q43" i="203"/>
  <c r="P43" i="203"/>
  <c r="I43" i="203"/>
  <c r="H43" i="203"/>
  <c r="E43" i="203"/>
  <c r="AD42" i="203"/>
  <c r="AC42" i="203"/>
  <c r="AB42" i="203"/>
  <c r="AE42" i="203" s="1"/>
  <c r="AI42" i="203" s="1"/>
  <c r="Y42" i="203" s="1"/>
  <c r="Z42" i="203"/>
  <c r="X42" i="203"/>
  <c r="Q42" i="203"/>
  <c r="P42" i="203"/>
  <c r="H42" i="203"/>
  <c r="E42" i="203"/>
  <c r="I42" i="203" s="1"/>
  <c r="AD41" i="203"/>
  <c r="AC41" i="203"/>
  <c r="AB41" i="203"/>
  <c r="AE41" i="203" s="1"/>
  <c r="AI41" i="203" s="1"/>
  <c r="Y41" i="203" s="1"/>
  <c r="Z41" i="203"/>
  <c r="X41" i="203"/>
  <c r="Q41" i="203"/>
  <c r="P41" i="203"/>
  <c r="I41" i="203"/>
  <c r="H41" i="203"/>
  <c r="E41" i="203"/>
  <c r="AD40" i="203"/>
  <c r="AE40" i="203" s="1"/>
  <c r="AI40" i="203" s="1"/>
  <c r="Y40" i="203" s="1"/>
  <c r="AC40" i="203"/>
  <c r="AB40" i="203"/>
  <c r="Z40" i="203"/>
  <c r="X40" i="203"/>
  <c r="Q40" i="203"/>
  <c r="P40" i="203"/>
  <c r="I40" i="203"/>
  <c r="H40" i="203"/>
  <c r="E40" i="203"/>
  <c r="AD39" i="203"/>
  <c r="AC39" i="203"/>
  <c r="AB39" i="203"/>
  <c r="AE39" i="203" s="1"/>
  <c r="AI39" i="203" s="1"/>
  <c r="Y39" i="203" s="1"/>
  <c r="Z39" i="203"/>
  <c r="X39" i="203"/>
  <c r="Q39" i="203"/>
  <c r="P39" i="203"/>
  <c r="H39" i="203"/>
  <c r="E39" i="203"/>
  <c r="I39" i="203" s="1"/>
  <c r="AE38" i="203"/>
  <c r="AI38" i="203" s="1"/>
  <c r="Y38" i="203" s="1"/>
  <c r="AD38" i="203"/>
  <c r="AC38" i="203"/>
  <c r="AB38" i="203"/>
  <c r="Z38" i="203"/>
  <c r="X38" i="203"/>
  <c r="Q38" i="203"/>
  <c r="P38" i="203"/>
  <c r="H38" i="203"/>
  <c r="E38" i="203"/>
  <c r="I38" i="203" s="1"/>
  <c r="AD37" i="203"/>
  <c r="AC37" i="203"/>
  <c r="AB37" i="203"/>
  <c r="AE37" i="203" s="1"/>
  <c r="AI37" i="203" s="1"/>
  <c r="Y37" i="203" s="1"/>
  <c r="Z37" i="203"/>
  <c r="X37" i="203"/>
  <c r="Q37" i="203"/>
  <c r="P37" i="203"/>
  <c r="I37" i="203"/>
  <c r="H37" i="203"/>
  <c r="E37" i="203"/>
  <c r="AD36" i="203"/>
  <c r="AC36" i="203"/>
  <c r="AB36" i="203"/>
  <c r="AE36" i="203" s="1"/>
  <c r="AI36" i="203" s="1"/>
  <c r="Y36" i="203" s="1"/>
  <c r="Z36" i="203"/>
  <c r="X36" i="203"/>
  <c r="Q36" i="203"/>
  <c r="P36" i="203"/>
  <c r="H36" i="203"/>
  <c r="E36" i="203"/>
  <c r="I36" i="203" s="1"/>
  <c r="AE35" i="203"/>
  <c r="AI35" i="203" s="1"/>
  <c r="Y35" i="203" s="1"/>
  <c r="AD35" i="203"/>
  <c r="AC35" i="203"/>
  <c r="AB35" i="203"/>
  <c r="Z35" i="203"/>
  <c r="X35" i="203"/>
  <c r="Q35" i="203"/>
  <c r="P35" i="203"/>
  <c r="I35" i="203"/>
  <c r="H35" i="203"/>
  <c r="E35" i="203"/>
  <c r="AD34" i="203"/>
  <c r="AC34" i="203"/>
  <c r="AB34" i="203"/>
  <c r="AE34" i="203" s="1"/>
  <c r="AI34" i="203" s="1"/>
  <c r="Y34" i="203" s="1"/>
  <c r="Z34" i="203"/>
  <c r="X34" i="203"/>
  <c r="Q34" i="203"/>
  <c r="P34" i="203"/>
  <c r="H34" i="203"/>
  <c r="E34" i="203"/>
  <c r="I34" i="203" s="1"/>
  <c r="AD33" i="203"/>
  <c r="AC33" i="203"/>
  <c r="AB33" i="203"/>
  <c r="AE33" i="203" s="1"/>
  <c r="AI33" i="203" s="1"/>
  <c r="Y33" i="203" s="1"/>
  <c r="Z33" i="203"/>
  <c r="X33" i="203"/>
  <c r="Q33" i="203"/>
  <c r="P33" i="203"/>
  <c r="H33" i="203"/>
  <c r="E33" i="203"/>
  <c r="I33" i="203" s="1"/>
  <c r="AD32" i="203"/>
  <c r="AC32" i="203"/>
  <c r="AE32" i="203" s="1"/>
  <c r="AI32" i="203" s="1"/>
  <c r="Y32" i="203" s="1"/>
  <c r="AB32" i="203"/>
  <c r="Z32" i="203"/>
  <c r="X32" i="203"/>
  <c r="Q32" i="203"/>
  <c r="P32" i="203"/>
  <c r="I32" i="203"/>
  <c r="H32" i="203"/>
  <c r="E32" i="203"/>
  <c r="AE31" i="203"/>
  <c r="AI31" i="203" s="1"/>
  <c r="Y31" i="203" s="1"/>
  <c r="Z31" i="203"/>
  <c r="X31" i="203"/>
  <c r="Q31" i="203"/>
  <c r="P31" i="203"/>
  <c r="I31" i="203"/>
  <c r="H31" i="203"/>
  <c r="E31" i="203"/>
  <c r="AD30" i="203"/>
  <c r="AC30" i="203"/>
  <c r="AE30" i="203" s="1"/>
  <c r="AI30" i="203" s="1"/>
  <c r="Y30" i="203" s="1"/>
  <c r="AB30" i="203"/>
  <c r="Z30" i="203"/>
  <c r="X30" i="203"/>
  <c r="Q30" i="203"/>
  <c r="P30" i="203"/>
  <c r="H30" i="203"/>
  <c r="E30" i="203"/>
  <c r="I30" i="203" s="1"/>
  <c r="AE29" i="203"/>
  <c r="AI29" i="203" s="1"/>
  <c r="Y29" i="203" s="1"/>
  <c r="AD29" i="203"/>
  <c r="AC29" i="203"/>
  <c r="AB29" i="203"/>
  <c r="Z29" i="203"/>
  <c r="X29" i="203"/>
  <c r="Q29" i="203"/>
  <c r="P29" i="203"/>
  <c r="I29" i="203"/>
  <c r="H29" i="203"/>
  <c r="E29" i="203"/>
  <c r="AD28" i="203"/>
  <c r="AE28" i="203" s="1"/>
  <c r="AI28" i="203" s="1"/>
  <c r="Y28" i="203" s="1"/>
  <c r="AC28" i="203"/>
  <c r="AB28" i="203"/>
  <c r="Z28" i="203"/>
  <c r="X28" i="203"/>
  <c r="Q28" i="203"/>
  <c r="P28" i="203"/>
  <c r="I28" i="203"/>
  <c r="H28" i="203"/>
  <c r="E28" i="203"/>
  <c r="AD27" i="203"/>
  <c r="AC27" i="203"/>
  <c r="AB27" i="203"/>
  <c r="AE27" i="203" s="1"/>
  <c r="AI27" i="203" s="1"/>
  <c r="Y27" i="203" s="1"/>
  <c r="Z27" i="203"/>
  <c r="X27" i="203"/>
  <c r="Q27" i="203"/>
  <c r="P27" i="203"/>
  <c r="H27" i="203"/>
  <c r="E27" i="203"/>
  <c r="I27" i="203" s="1"/>
  <c r="AD26" i="203"/>
  <c r="AC26" i="203"/>
  <c r="AB26" i="203"/>
  <c r="AE26" i="203" s="1"/>
  <c r="AI26" i="203" s="1"/>
  <c r="Y26" i="203" s="1"/>
  <c r="Z26" i="203"/>
  <c r="X26" i="203"/>
  <c r="Q26" i="203"/>
  <c r="P26" i="203"/>
  <c r="I26" i="203"/>
  <c r="H26" i="203"/>
  <c r="E26" i="203"/>
  <c r="AD25" i="203"/>
  <c r="AE25" i="203" s="1"/>
  <c r="AI25" i="203" s="1"/>
  <c r="Y25" i="203" s="1"/>
  <c r="AC25" i="203"/>
  <c r="AB25" i="203"/>
  <c r="Z25" i="203"/>
  <c r="X25" i="203"/>
  <c r="Q25" i="203"/>
  <c r="P25" i="203"/>
  <c r="I25" i="203"/>
  <c r="H25" i="203"/>
  <c r="E25" i="203"/>
  <c r="AD24" i="203"/>
  <c r="AC24" i="203"/>
  <c r="AB24" i="203"/>
  <c r="AE24" i="203" s="1"/>
  <c r="AI24" i="203" s="1"/>
  <c r="Y24" i="203" s="1"/>
  <c r="Z24" i="203"/>
  <c r="X24" i="203"/>
  <c r="Q24" i="203"/>
  <c r="P24" i="203"/>
  <c r="H24" i="203"/>
  <c r="E24" i="203"/>
  <c r="I24" i="203" s="1"/>
  <c r="AE23" i="203"/>
  <c r="AI23" i="203" s="1"/>
  <c r="Y23" i="203" s="1"/>
  <c r="AD23" i="203"/>
  <c r="AC23" i="203"/>
  <c r="AB23" i="203"/>
  <c r="Z23" i="203"/>
  <c r="X23" i="203"/>
  <c r="Q23" i="203"/>
  <c r="P23" i="203"/>
  <c r="H23" i="203"/>
  <c r="E23" i="203"/>
  <c r="I23" i="203" s="1"/>
  <c r="AD22" i="203"/>
  <c r="AC22" i="203"/>
  <c r="AB22" i="203"/>
  <c r="AE22" i="203" s="1"/>
  <c r="AI22" i="203" s="1"/>
  <c r="Y22" i="203" s="1"/>
  <c r="Z22" i="203"/>
  <c r="X22" i="203"/>
  <c r="Q22" i="203"/>
  <c r="P22" i="203"/>
  <c r="I22" i="203"/>
  <c r="H22" i="203"/>
  <c r="E22" i="203"/>
  <c r="AD21" i="203"/>
  <c r="AC21" i="203"/>
  <c r="AB21" i="203"/>
  <c r="AE21" i="203" s="1"/>
  <c r="AI21" i="203" s="1"/>
  <c r="Y21" i="203" s="1"/>
  <c r="Z21" i="203"/>
  <c r="X21" i="203"/>
  <c r="Q21" i="203"/>
  <c r="P21" i="203"/>
  <c r="H21" i="203"/>
  <c r="E21" i="203"/>
  <c r="I21" i="203" s="1"/>
  <c r="AE20" i="203"/>
  <c r="AI20" i="203" s="1"/>
  <c r="Y20" i="203" s="1"/>
  <c r="AD20" i="203"/>
  <c r="AC20" i="203"/>
  <c r="AB20" i="203"/>
  <c r="Z20" i="203"/>
  <c r="X20" i="203"/>
  <c r="Q20" i="203"/>
  <c r="P20" i="203"/>
  <c r="I20" i="203"/>
  <c r="H20" i="203"/>
  <c r="E20" i="203"/>
  <c r="AD19" i="203"/>
  <c r="AC19" i="203"/>
  <c r="AB19" i="203"/>
  <c r="AE19" i="203" s="1"/>
  <c r="AI19" i="203" s="1"/>
  <c r="Y19" i="203" s="1"/>
  <c r="Z19" i="203"/>
  <c r="X19" i="203"/>
  <c r="Q19" i="203"/>
  <c r="P19" i="203"/>
  <c r="H19" i="203"/>
  <c r="E19" i="203"/>
  <c r="I19" i="203" s="1"/>
  <c r="AD18" i="203"/>
  <c r="AE18" i="203" s="1"/>
  <c r="AI18" i="203" s="1"/>
  <c r="Y18" i="203" s="1"/>
  <c r="AC18" i="203"/>
  <c r="AB18" i="203"/>
  <c r="Z18" i="203"/>
  <c r="X18" i="203"/>
  <c r="Q18" i="203"/>
  <c r="P18" i="203"/>
  <c r="H18" i="203"/>
  <c r="E18" i="203"/>
  <c r="I18" i="203" s="1"/>
  <c r="AD17" i="203"/>
  <c r="AC17" i="203"/>
  <c r="AE17" i="203" s="1"/>
  <c r="AI17" i="203" s="1"/>
  <c r="Y17" i="203" s="1"/>
  <c r="AB17" i="203"/>
  <c r="Z17" i="203"/>
  <c r="X17" i="203"/>
  <c r="Q17" i="203"/>
  <c r="P17" i="203"/>
  <c r="I17" i="203"/>
  <c r="H17" i="203"/>
  <c r="E17" i="203"/>
  <c r="AD16" i="203"/>
  <c r="AC16" i="203"/>
  <c r="AB16" i="203"/>
  <c r="AE16" i="203" s="1"/>
  <c r="AI16" i="203" s="1"/>
  <c r="Y16" i="203" s="1"/>
  <c r="Z16" i="203"/>
  <c r="T75" i="203" s="1"/>
  <c r="X16" i="203"/>
  <c r="Q16" i="203"/>
  <c r="P16" i="203"/>
  <c r="E16" i="203"/>
  <c r="I16" i="203" s="1"/>
  <c r="AE15" i="203"/>
  <c r="AI15" i="203" s="1"/>
  <c r="Y15" i="203" s="1"/>
  <c r="AD15" i="203"/>
  <c r="AC15" i="203"/>
  <c r="AB15" i="203"/>
  <c r="Z15" i="203"/>
  <c r="X15" i="203"/>
  <c r="Q15" i="203"/>
  <c r="P15" i="203"/>
  <c r="I15" i="203"/>
  <c r="E15" i="203"/>
  <c r="AD14" i="203"/>
  <c r="AC14" i="203"/>
  <c r="AB14" i="203"/>
  <c r="AE14" i="203" s="1"/>
  <c r="AI14" i="203" s="1"/>
  <c r="Y14" i="203" s="1"/>
  <c r="Z14" i="203"/>
  <c r="X14" i="203"/>
  <c r="Q14" i="203"/>
  <c r="P14" i="203"/>
  <c r="H14" i="203"/>
  <c r="E14" i="203"/>
  <c r="I14" i="203" s="1"/>
  <c r="AE13" i="203"/>
  <c r="AI13" i="203" s="1"/>
  <c r="Y13" i="203" s="1"/>
  <c r="AD13" i="203"/>
  <c r="AC13" i="203"/>
  <c r="AB13" i="203"/>
  <c r="Z13" i="203"/>
  <c r="X13" i="203"/>
  <c r="Q13" i="203"/>
  <c r="P13" i="203"/>
  <c r="H13" i="203"/>
  <c r="E13" i="203"/>
  <c r="I13" i="203" s="1"/>
  <c r="AD12" i="203"/>
  <c r="AC12" i="203"/>
  <c r="AB12" i="203"/>
  <c r="AE12" i="203" s="1"/>
  <c r="AI12" i="203" s="1"/>
  <c r="Y12" i="203" s="1"/>
  <c r="Z12" i="203"/>
  <c r="X12" i="203"/>
  <c r="Q12" i="203"/>
  <c r="P12" i="203"/>
  <c r="I12" i="203"/>
  <c r="H12" i="203"/>
  <c r="E12" i="203"/>
  <c r="T79" i="205" l="1"/>
  <c r="F77" i="205"/>
  <c r="O73" i="203"/>
  <c r="O75" i="203"/>
  <c r="T77" i="203"/>
  <c r="O73" i="204"/>
  <c r="O75" i="204"/>
  <c r="F73" i="204"/>
  <c r="T79" i="204"/>
  <c r="F75" i="204"/>
  <c r="T73" i="204"/>
  <c r="F75" i="203"/>
  <c r="F73" i="203"/>
  <c r="T73" i="203"/>
  <c r="T79" i="203" s="1"/>
  <c r="M79" i="202"/>
  <c r="P71" i="202"/>
  <c r="H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E67" i="202" s="1"/>
  <c r="AI67" i="202" s="1"/>
  <c r="Y67" i="202" s="1"/>
  <c r="AB67" i="202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B65" i="202"/>
  <c r="AE65" i="202" s="1"/>
  <c r="AI65" i="202" s="1"/>
  <c r="Y65" i="202" s="1"/>
  <c r="Z65" i="202"/>
  <c r="X65" i="202"/>
  <c r="Q65" i="202"/>
  <c r="P65" i="202"/>
  <c r="H65" i="202"/>
  <c r="E65" i="202"/>
  <c r="I65" i="202" s="1"/>
  <c r="AD64" i="202"/>
  <c r="AE64" i="202" s="1"/>
  <c r="AI64" i="202" s="1"/>
  <c r="Y64" i="202" s="1"/>
  <c r="AC64" i="202"/>
  <c r="AB64" i="202"/>
  <c r="Z64" i="202"/>
  <c r="X64" i="202"/>
  <c r="Q64" i="202"/>
  <c r="P64" i="202"/>
  <c r="H64" i="202"/>
  <c r="E64" i="202"/>
  <c r="I64" i="202" s="1"/>
  <c r="AD63" i="202"/>
  <c r="AC63" i="202"/>
  <c r="AE63" i="202" s="1"/>
  <c r="AI63" i="202" s="1"/>
  <c r="Y63" i="202" s="1"/>
  <c r="AB63" i="202"/>
  <c r="Z63" i="202"/>
  <c r="X63" i="202"/>
  <c r="Q63" i="202"/>
  <c r="P63" i="202"/>
  <c r="H63" i="202"/>
  <c r="E63" i="202"/>
  <c r="I63" i="202" s="1"/>
  <c r="AD62" i="202"/>
  <c r="AE62" i="202" s="1"/>
  <c r="AI62" i="202" s="1"/>
  <c r="Y62" i="202" s="1"/>
  <c r="AC62" i="202"/>
  <c r="AB62" i="202"/>
  <c r="Z62" i="202"/>
  <c r="X62" i="202"/>
  <c r="Q62" i="202"/>
  <c r="P62" i="202"/>
  <c r="H62" i="202"/>
  <c r="E62" i="202"/>
  <c r="I62" i="202" s="1"/>
  <c r="AE61" i="202"/>
  <c r="AI61" i="202" s="1"/>
  <c r="Y61" i="202" s="1"/>
  <c r="AC61" i="202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E59" i="202"/>
  <c r="AI59" i="202" s="1"/>
  <c r="Y59" i="202" s="1"/>
  <c r="AC59" i="202"/>
  <c r="AB59" i="202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I58" i="202"/>
  <c r="E58" i="202"/>
  <c r="AC57" i="202"/>
  <c r="AE57" i="202" s="1"/>
  <c r="AI57" i="202" s="1"/>
  <c r="Y57" i="202" s="1"/>
  <c r="AB57" i="202"/>
  <c r="X57" i="202"/>
  <c r="Q57" i="202"/>
  <c r="P57" i="202"/>
  <c r="I57" i="202"/>
  <c r="H57" i="202"/>
  <c r="E57" i="202"/>
  <c r="AE56" i="202"/>
  <c r="AI56" i="202" s="1"/>
  <c r="Y56" i="202" s="1"/>
  <c r="AD56" i="202"/>
  <c r="AC56" i="202"/>
  <c r="AB56" i="202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Y54" i="202" s="1"/>
  <c r="Z54" i="202"/>
  <c r="X54" i="202"/>
  <c r="Q54" i="202"/>
  <c r="P54" i="202"/>
  <c r="H54" i="202"/>
  <c r="E54" i="202"/>
  <c r="I54" i="202" s="1"/>
  <c r="AD53" i="202"/>
  <c r="AC53" i="202"/>
  <c r="AB53" i="202"/>
  <c r="AE53" i="202" s="1"/>
  <c r="AI53" i="202" s="1"/>
  <c r="Y53" i="202" s="1"/>
  <c r="Z53" i="202"/>
  <c r="X53" i="202"/>
  <c r="Q53" i="202"/>
  <c r="P53" i="202"/>
  <c r="I53" i="202"/>
  <c r="H53" i="202"/>
  <c r="E53" i="202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E51" i="202" s="1"/>
  <c r="AI51" i="202" s="1"/>
  <c r="Y51" i="202" s="1"/>
  <c r="AB51" i="202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I49" i="202"/>
  <c r="AE49" i="202"/>
  <c r="Z49" i="202"/>
  <c r="Y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I46" i="202"/>
  <c r="H46" i="202"/>
  <c r="E46" i="202"/>
  <c r="AD45" i="202"/>
  <c r="AC45" i="202"/>
  <c r="AB45" i="202"/>
  <c r="AE45" i="202" s="1"/>
  <c r="AI45" i="202" s="1"/>
  <c r="Y45" i="202" s="1"/>
  <c r="Z45" i="202"/>
  <c r="X45" i="202"/>
  <c r="Q45" i="202"/>
  <c r="P45" i="202"/>
  <c r="I45" i="202"/>
  <c r="H45" i="202"/>
  <c r="E45" i="202"/>
  <c r="AE44" i="202"/>
  <c r="AI44" i="202" s="1"/>
  <c r="Y44" i="202" s="1"/>
  <c r="AD44" i="202"/>
  <c r="AC44" i="202"/>
  <c r="AB44" i="202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I41" i="202"/>
  <c r="H41" i="202"/>
  <c r="E41" i="202"/>
  <c r="AD40" i="202"/>
  <c r="AC40" i="202"/>
  <c r="AE40" i="202" s="1"/>
  <c r="AI40" i="202" s="1"/>
  <c r="Y40" i="202" s="1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H39" i="202"/>
  <c r="E39" i="202"/>
  <c r="I39" i="202" s="1"/>
  <c r="AD38" i="202"/>
  <c r="AC38" i="202"/>
  <c r="AE38" i="202" s="1"/>
  <c r="AI38" i="202" s="1"/>
  <c r="Y38" i="202" s="1"/>
  <c r="AB38" i="202"/>
  <c r="Z38" i="202"/>
  <c r="X38" i="202"/>
  <c r="Q38" i="202"/>
  <c r="P38" i="202"/>
  <c r="H38" i="202"/>
  <c r="E38" i="202"/>
  <c r="I38" i="202" s="1"/>
  <c r="AD37" i="202"/>
  <c r="AC37" i="202"/>
  <c r="AB37" i="202"/>
  <c r="AE37" i="202" s="1"/>
  <c r="AI37" i="202" s="1"/>
  <c r="Y37" i="202" s="1"/>
  <c r="Z37" i="202"/>
  <c r="X37" i="202"/>
  <c r="Q37" i="202"/>
  <c r="P37" i="202"/>
  <c r="H37" i="202"/>
  <c r="E37" i="202"/>
  <c r="I37" i="202" s="1"/>
  <c r="AD36" i="202"/>
  <c r="AC36" i="202"/>
  <c r="AB36" i="202"/>
  <c r="AE36" i="202" s="1"/>
  <c r="AI36" i="202" s="1"/>
  <c r="Y36" i="202" s="1"/>
  <c r="Z36" i="202"/>
  <c r="X36" i="202"/>
  <c r="Q36" i="202"/>
  <c r="P36" i="202"/>
  <c r="H36" i="202"/>
  <c r="E36" i="202"/>
  <c r="I36" i="202" s="1"/>
  <c r="AD35" i="202"/>
  <c r="AE35" i="202" s="1"/>
  <c r="AI35" i="202" s="1"/>
  <c r="Y35" i="202" s="1"/>
  <c r="AC35" i="202"/>
  <c r="AB35" i="202"/>
  <c r="Z35" i="202"/>
  <c r="X35" i="202"/>
  <c r="Q35" i="202"/>
  <c r="P35" i="202"/>
  <c r="H35" i="202"/>
  <c r="E35" i="202"/>
  <c r="I35" i="202" s="1"/>
  <c r="AD34" i="202"/>
  <c r="AC34" i="202"/>
  <c r="AE34" i="202" s="1"/>
  <c r="AI34" i="202" s="1"/>
  <c r="Y34" i="202" s="1"/>
  <c r="AB34" i="202"/>
  <c r="Z34" i="202"/>
  <c r="X34" i="202"/>
  <c r="Q34" i="202"/>
  <c r="P34" i="202"/>
  <c r="H34" i="202"/>
  <c r="E34" i="202"/>
  <c r="I34" i="202" s="1"/>
  <c r="AD33" i="202"/>
  <c r="AE33" i="202" s="1"/>
  <c r="AI33" i="202" s="1"/>
  <c r="Y33" i="202" s="1"/>
  <c r="AC33" i="202"/>
  <c r="AB33" i="202"/>
  <c r="Z33" i="202"/>
  <c r="X33" i="202"/>
  <c r="Q33" i="202"/>
  <c r="P33" i="202"/>
  <c r="H33" i="202"/>
  <c r="E33" i="202"/>
  <c r="I33" i="202" s="1"/>
  <c r="AE32" i="202"/>
  <c r="AI32" i="202" s="1"/>
  <c r="Y32" i="202" s="1"/>
  <c r="AD32" i="202"/>
  <c r="AC32" i="202"/>
  <c r="AB32" i="202"/>
  <c r="Z32" i="202"/>
  <c r="X32" i="202"/>
  <c r="Q32" i="202"/>
  <c r="P32" i="202"/>
  <c r="I32" i="202"/>
  <c r="H32" i="202"/>
  <c r="E32" i="202"/>
  <c r="AE31" i="202"/>
  <c r="AI31" i="202" s="1"/>
  <c r="Y31" i="202" s="1"/>
  <c r="Z31" i="202"/>
  <c r="X31" i="202"/>
  <c r="Q31" i="202"/>
  <c r="P31" i="202"/>
  <c r="I31" i="202"/>
  <c r="H31" i="202"/>
  <c r="E31" i="202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E29" i="202"/>
  <c r="AI29" i="202" s="1"/>
  <c r="Y29" i="202" s="1"/>
  <c r="AD29" i="202"/>
  <c r="AC29" i="202"/>
  <c r="AB29" i="202"/>
  <c r="Z29" i="202"/>
  <c r="X29" i="202"/>
  <c r="Q29" i="202"/>
  <c r="P29" i="202"/>
  <c r="H29" i="202"/>
  <c r="E29" i="202"/>
  <c r="I29" i="202" s="1"/>
  <c r="AD28" i="202"/>
  <c r="AC28" i="202"/>
  <c r="AB28" i="202"/>
  <c r="AE28" i="202" s="1"/>
  <c r="AI28" i="202" s="1"/>
  <c r="Y28" i="202" s="1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D26" i="202"/>
  <c r="AC26" i="202"/>
  <c r="AB26" i="202"/>
  <c r="AE26" i="202" s="1"/>
  <c r="AI26" i="202" s="1"/>
  <c r="Y26" i="202" s="1"/>
  <c r="Z26" i="202"/>
  <c r="X26" i="202"/>
  <c r="Q26" i="202"/>
  <c r="P26" i="202"/>
  <c r="I26" i="202"/>
  <c r="H26" i="202"/>
  <c r="E26" i="202"/>
  <c r="AD25" i="202"/>
  <c r="AC25" i="202"/>
  <c r="AE25" i="202" s="1"/>
  <c r="AI25" i="202" s="1"/>
  <c r="Y25" i="202" s="1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E23" i="202" s="1"/>
  <c r="AI23" i="202" s="1"/>
  <c r="Y23" i="202" s="1"/>
  <c r="AB23" i="202"/>
  <c r="Z23" i="202"/>
  <c r="X23" i="202"/>
  <c r="Q23" i="202"/>
  <c r="P23" i="202"/>
  <c r="H23" i="202"/>
  <c r="E23" i="202"/>
  <c r="I23" i="202" s="1"/>
  <c r="AD22" i="202"/>
  <c r="AC22" i="202"/>
  <c r="AB22" i="202"/>
  <c r="AE22" i="202" s="1"/>
  <c r="AI22" i="202" s="1"/>
  <c r="Y22" i="202" s="1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H21" i="202"/>
  <c r="E21" i="202"/>
  <c r="I21" i="202" s="1"/>
  <c r="AD20" i="202"/>
  <c r="AE20" i="202" s="1"/>
  <c r="AI20" i="202" s="1"/>
  <c r="Y20" i="202" s="1"/>
  <c r="AC20" i="202"/>
  <c r="AB20" i="202"/>
  <c r="Z20" i="202"/>
  <c r="X20" i="202"/>
  <c r="Q20" i="202"/>
  <c r="P20" i="202"/>
  <c r="H20" i="202"/>
  <c r="E20" i="202"/>
  <c r="I20" i="202" s="1"/>
  <c r="AD19" i="202"/>
  <c r="AC19" i="202"/>
  <c r="AE19" i="202" s="1"/>
  <c r="AI19" i="202" s="1"/>
  <c r="Y19" i="202" s="1"/>
  <c r="AB19" i="202"/>
  <c r="Z19" i="202"/>
  <c r="X19" i="202"/>
  <c r="Q19" i="202"/>
  <c r="P19" i="202"/>
  <c r="H19" i="202"/>
  <c r="E19" i="202"/>
  <c r="I19" i="202" s="1"/>
  <c r="AD18" i="202"/>
  <c r="AE18" i="202" s="1"/>
  <c r="AI18" i="202" s="1"/>
  <c r="Y18" i="202" s="1"/>
  <c r="AC18" i="202"/>
  <c r="AB18" i="202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E15" i="202"/>
  <c r="I15" i="202" s="1"/>
  <c r="AD14" i="202"/>
  <c r="AC14" i="202"/>
  <c r="AB14" i="202"/>
  <c r="AE14" i="202" s="1"/>
  <c r="AI14" i="202" s="1"/>
  <c r="Y14" i="202" s="1"/>
  <c r="Z14" i="202"/>
  <c r="X14" i="202"/>
  <c r="Q14" i="202"/>
  <c r="P14" i="202"/>
  <c r="H14" i="202"/>
  <c r="E14" i="202"/>
  <c r="I14" i="202" s="1"/>
  <c r="AD13" i="202"/>
  <c r="AC13" i="202"/>
  <c r="AE13" i="202" s="1"/>
  <c r="AI13" i="202" s="1"/>
  <c r="Y13" i="202" s="1"/>
  <c r="AB13" i="202"/>
  <c r="Z13" i="202"/>
  <c r="X13" i="202"/>
  <c r="Q13" i="202"/>
  <c r="P13" i="202"/>
  <c r="H13" i="202"/>
  <c r="E13" i="202"/>
  <c r="I13" i="202" s="1"/>
  <c r="AD12" i="202"/>
  <c r="AC12" i="202"/>
  <c r="AB12" i="202"/>
  <c r="AE12" i="202" s="1"/>
  <c r="AI12" i="202" s="1"/>
  <c r="Y12" i="202" s="1"/>
  <c r="Z12" i="202"/>
  <c r="T75" i="202" s="1"/>
  <c r="X12" i="202"/>
  <c r="T77" i="202" s="1"/>
  <c r="Q12" i="202"/>
  <c r="P12" i="202"/>
  <c r="H12" i="202"/>
  <c r="E12" i="202"/>
  <c r="I12" i="202" s="1"/>
  <c r="F77" i="204" l="1"/>
  <c r="F77" i="203"/>
  <c r="O75" i="202"/>
  <c r="O73" i="202"/>
  <c r="F73" i="202"/>
  <c r="F75" i="202"/>
  <c r="T73" i="202"/>
  <c r="T79" i="202" s="1"/>
  <c r="M79" i="20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F77" i="202" l="1"/>
  <c r="T75" i="20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<sst xmlns="http://schemas.openxmlformats.org/spreadsheetml/2006/main" count="2679" uniqueCount="134">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</sst>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8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12" fillId="0" borderId="59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  <xf numFmtId="0" fontId="12" fillId="0" borderId="14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27" fillId="0" borderId="0" xfId="2" applyFont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5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5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1389888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205980</v>
      </c>
      <c r="P73" s="255"/>
      <c r="Q73" s="256"/>
      <c r="R73" s="152"/>
      <c r="S73" s="159" t="s">
        <v>104</v>
      </c>
      <c r="T73" s="260">
        <f>SUM(Y12:Y68)</f>
        <v>53270.400000000001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1389888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179820</v>
      </c>
      <c r="P75" s="255"/>
      <c r="Q75" s="256"/>
      <c r="R75" s="152"/>
      <c r="S75" s="159" t="s">
        <v>129</v>
      </c>
      <c r="T75" s="260">
        <f>SUM(Z12:Z70)</f>
        <v>6272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986449.05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f>1900.85+92518.5</f>
        <v>94419.35</v>
      </c>
      <c r="Q77" s="259"/>
      <c r="R77" s="152"/>
      <c r="S77" s="159" t="s">
        <v>108</v>
      </c>
      <c r="T77" s="260">
        <f>IF(SUM(X12:X68)*0.15&gt;P77,P77,SUM(X12:X68)*0.15)</f>
        <v>94419.35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f>43497.2</f>
        <v>43497.2</v>
      </c>
      <c r="Q79" s="259"/>
      <c r="R79" s="152"/>
      <c r="S79" s="159" t="s">
        <v>112</v>
      </c>
      <c r="T79" s="260">
        <f>T77+T73+T75</f>
        <v>153961.75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6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6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728310.90999999992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f>0.01+0.04</f>
        <v>0.05</v>
      </c>
      <c r="Q77" s="259"/>
      <c r="R77" s="152"/>
      <c r="S77" s="159" t="s">
        <v>108</v>
      </c>
      <c r="T77" s="260">
        <f>IF(SUM(X12:X68)*0.15&gt;P77,P77,SUM(X12:X68)*0.15)</f>
        <v>0.05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v>404244</v>
      </c>
      <c r="Q79" s="259"/>
      <c r="R79" s="152"/>
      <c r="S79" s="159" t="s">
        <v>112</v>
      </c>
      <c r="T79" s="260">
        <f>T77+T73+T75</f>
        <v>60845.090000000004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7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7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1132554.96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8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8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1132554.96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199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199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1132554.96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0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0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1132554.96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1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1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1388655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53064.510000000009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1388655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6244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1125550.49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59308.510000000009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6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6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203796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203796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1132554.96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45AF-65BD-40D1-B9FF-950E7292C585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7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7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198216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189144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1138134.96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0918C2-DA05-4996-A943-FE446DAC9040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8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8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190476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190476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1118795.3800000001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v>1144.8900000000001</v>
      </c>
      <c r="Q77" s="259"/>
      <c r="R77" s="152"/>
      <c r="S77" s="159" t="s">
        <v>108</v>
      </c>
      <c r="T77" s="260">
        <f>IF(SUM(X12:X68)*0.15&gt;P77,P77,SUM(X12:X68)*0.15)</f>
        <v>1144.8900000000001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v>25934.69</v>
      </c>
      <c r="Q79" s="259"/>
      <c r="R79" s="152"/>
      <c r="S79" s="159" t="s">
        <v>112</v>
      </c>
      <c r="T79" s="260">
        <f>T77+T73+T75</f>
        <v>61989.93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4A8313-79BB-4643-90E7-5CEAC2A1E92D}">
  <sheetPr>
    <tabColor rgb="FF00B050"/>
    <pageSetUpPr fitToPage="1"/>
  </sheetPr>
  <dimension ref="A1:AJ100"/>
  <sheetViews>
    <sheetView showGridLines="0" topLeftCell="A56" zoomScale="85" zoomScaleNormal="85" workbookViewId="0">
      <pane xSplit="2" topLeftCell="F1" activePane="topRight" state="frozen"/>
      <selection activeCell="M16" sqref="M16"/>
      <selection pane="topRight" activeCell="N58" sqref="N58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8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8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>
        <v>135</v>
      </c>
      <c r="O57" s="51"/>
      <c r="P57" s="52" t="str">
        <f t="shared" si="5"/>
        <v>1.9 pallets</v>
      </c>
      <c r="Q57" s="53">
        <f>(J57*M57)+(K57*N57)+(O57*L57)</f>
        <v>5670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0 pallets</v>
      </c>
      <c r="I71" s="148"/>
      <c r="J71" s="149"/>
      <c r="K71" s="150"/>
      <c r="L71" s="149"/>
      <c r="M71" s="151"/>
      <c r="N71" s="152"/>
      <c r="O71" s="152"/>
      <c r="P71" s="208" t="str">
        <f>ROUND((((M12+N12+M30+M57+M58+M59+M60+M61+N57)/72+(M13+N13+M16+M18)/108+(M15+N15)/96+SUM(M14,M19:M29,M31:M32,M50,N14)/63)),1)&amp;" pallets"</f>
        <v>1.9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5670</v>
      </c>
      <c r="P73" s="255"/>
      <c r="Q73" s="256"/>
      <c r="R73" s="152"/>
      <c r="S73" s="159" t="s">
        <v>104</v>
      </c>
      <c r="T73" s="260">
        <f>SUM(Y12:Y68)</f>
        <v>0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5670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-5670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0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CF9963-B0D8-40A0-A60F-4B976169C77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09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09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96</v>
      </c>
      <c r="N15" s="51"/>
      <c r="O15" s="51"/>
      <c r="P15" s="52" t="str">
        <f t="shared" si="5"/>
        <v>1 pallets</v>
      </c>
      <c r="Q15" s="53">
        <f t="shared" si="6"/>
        <v>10656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1397196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192852</v>
      </c>
      <c r="P73" s="255"/>
      <c r="Q73" s="256"/>
      <c r="R73" s="152"/>
      <c r="S73" s="159" t="s">
        <v>104</v>
      </c>
      <c r="T73" s="260">
        <f>SUM(Y12:Y68)</f>
        <v>54419.040000000001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1397196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183780</v>
      </c>
      <c r="P75" s="255"/>
      <c r="Q75" s="256"/>
      <c r="R75" s="152"/>
      <c r="S75" s="159" t="s">
        <v>129</v>
      </c>
      <c r="T75" s="260">
        <f>SUM(Z12:Z70)</f>
        <v>6426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1143498.96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60845.04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33799-70AA-4624-AB98-85952C2B66C9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C13" sqref="C1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0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0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>
        <v>72</v>
      </c>
      <c r="G12" s="26">
        <v>72</v>
      </c>
      <c r="H12" s="27" t="str">
        <f>IF(F12="","",(ROUND((F12/G12),1)&amp;" pallets"))</f>
        <v>1 pallets</v>
      </c>
      <c r="I12" s="28">
        <f>E12*F12</f>
        <v>74304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65664</v>
      </c>
      <c r="Y12" s="36">
        <f t="shared" ref="Y12:Y68" si="0">F12*AI12</f>
        <v>2258.64</v>
      </c>
      <c r="Z12" s="36">
        <f>IF($U$6="x",(F12*3.5),"")</f>
        <v>252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1296</v>
      </c>
      <c r="G13" s="47">
        <v>108</v>
      </c>
      <c r="H13" s="48" t="str">
        <f t="shared" ref="H13" si="3">IF(F13="","",(ROUND((F13/G13),1)&amp;" pallets"))</f>
        <v>12 pallets</v>
      </c>
      <c r="I13" s="49">
        <f t="shared" ref="I13:I70" si="4">E13*F13</f>
        <v>949968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806112</v>
      </c>
      <c r="Y13" s="57">
        <f>F13*AI13</f>
        <v>38413.440000000002</v>
      </c>
      <c r="Z13" s="36">
        <f t="shared" ref="Z13:Z56" si="8">IF($U$6="x",(F13*3.5),"")</f>
        <v>4536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>
        <v>384</v>
      </c>
      <c r="G15" s="47">
        <v>96</v>
      </c>
      <c r="H15" s="64"/>
      <c r="I15" s="49">
        <f t="shared" si="4"/>
        <v>299904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257280</v>
      </c>
      <c r="Y15" s="57">
        <f>F15*AI15</f>
        <v>11558.400000000001</v>
      </c>
      <c r="Z15" s="36">
        <f t="shared" si="8"/>
        <v>1344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>
        <f>3+5+5</f>
        <v>13</v>
      </c>
      <c r="G42" s="87">
        <v>100</v>
      </c>
      <c r="H42" s="88" t="str">
        <f t="shared" si="11"/>
        <v>0.1 pallets</v>
      </c>
      <c r="I42" s="89">
        <f t="shared" si="4"/>
        <v>14326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14326</v>
      </c>
      <c r="Y42" s="57">
        <f t="shared" si="0"/>
        <v>366.08</v>
      </c>
      <c r="Z42" s="36">
        <f t="shared" si="8"/>
        <v>45.5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1338502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52596.560000000005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314230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6177.5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1279727.94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58774.060000000005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431513-EA13-46C8-96B5-E58E7ACBA52B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F36" sqref="F3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0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0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28.16</v>
      </c>
      <c r="Z34" s="36">
        <f t="shared" si="8"/>
        <v>3.5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5</v>
      </c>
      <c r="G35" s="47">
        <v>100</v>
      </c>
      <c r="H35" s="64" t="str">
        <f t="shared" si="11"/>
        <v>0.1 pallets</v>
      </c>
      <c r="I35" s="49">
        <f t="shared" si="4"/>
        <v>5875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5875</v>
      </c>
      <c r="Y35" s="57">
        <f t="shared" si="0"/>
        <v>140.80000000000001</v>
      </c>
      <c r="Z35" s="36">
        <f t="shared" si="8"/>
        <v>17.5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56.32</v>
      </c>
      <c r="Z37" s="36">
        <f t="shared" si="8"/>
        <v>7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0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1408992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54672.48000000001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1408992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6457.5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1347862.02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61129.98000000001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AE2AB0-B5A7-4A5B-BEBE-3D0E0AC42402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36" sqref="F3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1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1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2160</v>
      </c>
      <c r="G13" s="47">
        <v>108</v>
      </c>
      <c r="H13" s="48" t="str">
        <f t="shared" ref="H13" si="3">IF(F13="","",(ROUND((F13/G13),1)&amp;" pallets"))</f>
        <v>20 pallets</v>
      </c>
      <c r="I13" s="49">
        <f t="shared" ref="I13:I70" si="4">E13*F13</f>
        <v>1583280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1343520</v>
      </c>
      <c r="Y13" s="57">
        <f>F13*AI13</f>
        <v>64022.400000000001</v>
      </c>
      <c r="Z13" s="36">
        <f t="shared" ref="Z13:Z56" si="8">IF($U$6="x",(F13*3.5),"")</f>
        <v>7560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10</v>
      </c>
      <c r="G35" s="47">
        <v>100</v>
      </c>
      <c r="H35" s="64" t="str">
        <f t="shared" si="11"/>
        <v>0.1 pallets</v>
      </c>
      <c r="I35" s="49">
        <f t="shared" si="4"/>
        <v>11750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11750</v>
      </c>
      <c r="Y35" s="57">
        <f t="shared" si="0"/>
        <v>281.60000000000002</v>
      </c>
      <c r="Z35" s="36">
        <f t="shared" si="8"/>
        <v>35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20.1 pallets</v>
      </c>
      <c r="I71" s="148"/>
      <c r="J71" s="149"/>
      <c r="K71" s="150"/>
      <c r="L71" s="149"/>
      <c r="M71" s="151"/>
      <c r="N71" s="152"/>
      <c r="O71" s="152"/>
      <c r="P71" s="211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1595030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64304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11750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7595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1523131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71899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CC1B45-9134-4212-9615-A9E272733488}">
  <sheetPr>
    <tabColor rgb="FF00B050"/>
    <pageSetUpPr fitToPage="1"/>
  </sheetPr>
  <dimension ref="A1:AJ100"/>
  <sheetViews>
    <sheetView showGridLines="0" zoomScale="85" zoomScaleNormal="85" workbookViewId="0">
      <pane xSplit="2" topLeftCell="E1" activePane="topRight" state="frozen"/>
      <selection activeCell="M16" sqref="M16"/>
      <selection pane="topRight" activeCell="F35" sqref="F35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2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2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324</v>
      </c>
      <c r="O13" s="51"/>
      <c r="P13" s="52" t="str">
        <f t="shared" ref="P13:P68" si="5">IF(M13&amp;N13="","",ROUND(((M13+N13)/G13),1)&amp;" pallets")</f>
        <v>3 pallets</v>
      </c>
      <c r="Q13" s="53">
        <f t="shared" ref="Q13:Q70" si="6">(J13*M13)+(K13*N13)+(O13*L13)</f>
        <v>27216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>
        <v>63</v>
      </c>
      <c r="O14" s="51"/>
      <c r="P14" s="52" t="str">
        <f t="shared" si="5"/>
        <v>1 pallets</v>
      </c>
      <c r="Q14" s="53">
        <f t="shared" si="6"/>
        <v>5292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1404</v>
      </c>
      <c r="N16" s="193"/>
      <c r="O16" s="51"/>
      <c r="P16" s="52" t="str">
        <f t="shared" si="5"/>
        <v>13 pallets</v>
      </c>
      <c r="Q16" s="53">
        <f t="shared" si="6"/>
        <v>155844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>
        <v>1</v>
      </c>
      <c r="G34" s="47">
        <v>100</v>
      </c>
      <c r="H34" s="64" t="str">
        <f t="shared" si="11"/>
        <v>0 pallets</v>
      </c>
      <c r="I34" s="49">
        <f t="shared" si="4"/>
        <v>1175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1175</v>
      </c>
      <c r="Y34" s="57">
        <f t="shared" si="0"/>
        <v>28.16</v>
      </c>
      <c r="Z34" s="36">
        <f t="shared" si="8"/>
        <v>3.5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>
        <v>5</v>
      </c>
      <c r="G35" s="47">
        <v>100</v>
      </c>
      <c r="H35" s="64" t="str">
        <f t="shared" si="11"/>
        <v>0.1 pallets</v>
      </c>
      <c r="I35" s="49">
        <f t="shared" si="4"/>
        <v>5875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5875</v>
      </c>
      <c r="Y35" s="57">
        <f t="shared" si="0"/>
        <v>140.80000000000001</v>
      </c>
      <c r="Z35" s="36">
        <f t="shared" si="8"/>
        <v>17.5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>
        <v>2</v>
      </c>
      <c r="G37" s="47">
        <v>100</v>
      </c>
      <c r="H37" s="64" t="str">
        <f t="shared" si="11"/>
        <v>0 pallets</v>
      </c>
      <c r="I37" s="49">
        <f t="shared" si="4"/>
        <v>3164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3164</v>
      </c>
      <c r="Y37" s="57">
        <f t="shared" si="0"/>
        <v>56.32</v>
      </c>
      <c r="Z37" s="36">
        <f t="shared" si="8"/>
        <v>7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>
        <v>1</v>
      </c>
      <c r="G38" s="71">
        <v>100</v>
      </c>
      <c r="H38" s="72" t="str">
        <f t="shared" si="11"/>
        <v>0 pallets</v>
      </c>
      <c r="I38" s="73">
        <f t="shared" si="4"/>
        <v>1582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1582</v>
      </c>
      <c r="Y38" s="57">
        <f t="shared" si="0"/>
        <v>28.16</v>
      </c>
      <c r="Z38" s="36">
        <f t="shared" si="8"/>
        <v>3.5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17.1 pallets</v>
      </c>
      <c r="I71" s="148"/>
      <c r="J71" s="149"/>
      <c r="K71" s="150"/>
      <c r="L71" s="149"/>
      <c r="M71" s="151"/>
      <c r="N71" s="152"/>
      <c r="O71" s="152"/>
      <c r="P71" s="212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1408992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188352</v>
      </c>
      <c r="P73" s="255"/>
      <c r="Q73" s="256"/>
      <c r="R73" s="152"/>
      <c r="S73" s="159" t="s">
        <v>104</v>
      </c>
      <c r="T73" s="260">
        <f>SUM(Y12:Y68)</f>
        <v>54672.48000000001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1408992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161136</v>
      </c>
      <c r="P75" s="255"/>
      <c r="Q75" s="256"/>
      <c r="R75" s="152"/>
      <c r="S75" s="159" t="s">
        <v>129</v>
      </c>
      <c r="T75" s="260">
        <f>SUM(Z12:Z70)</f>
        <v>6457.5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1159510.02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61129.98000000001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E496C4-F1A3-4BE1-8C75-230A730DD99C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39" sqref="F3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640</v>
      </c>
      <c r="G13" s="47">
        <v>108</v>
      </c>
      <c r="H13" s="48" t="str">
        <f t="shared" ref="H13" si="3">IF(F13="","",(ROUND((F13/G13),1)&amp;" pallets"))</f>
        <v>5.9 pallets</v>
      </c>
      <c r="I13" s="49">
        <f t="shared" ref="I13:I70" si="4">E13*F13</f>
        <v>469120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398080</v>
      </c>
      <c r="Y13" s="57">
        <f>F13*AI13</f>
        <v>18969.599999999999</v>
      </c>
      <c r="Z13" s="36">
        <f t="shared" ref="Z13:Z56" si="8">IF($U$6="x",(F13*3.5),"")</f>
        <v>2240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>
        <v>97</v>
      </c>
      <c r="G14" s="47">
        <v>63</v>
      </c>
      <c r="H14" s="64" t="str">
        <f>IF(F14="","",(ROUND((F14/G14),1)&amp;" pallets"))</f>
        <v>1.5 pallets</v>
      </c>
      <c r="I14" s="49">
        <f t="shared" si="4"/>
        <v>106021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94381</v>
      </c>
      <c r="Y14" s="57">
        <f t="shared" si="0"/>
        <v>3110.79</v>
      </c>
      <c r="Z14" s="36">
        <f t="shared" si="8"/>
        <v>339.5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805</v>
      </c>
      <c r="G16" s="47">
        <v>108</v>
      </c>
      <c r="H16" s="64"/>
      <c r="I16" s="49">
        <f t="shared" si="4"/>
        <v>612605</v>
      </c>
      <c r="J16" s="50">
        <v>111</v>
      </c>
      <c r="K16" s="65"/>
      <c r="L16" s="50">
        <v>4.5</v>
      </c>
      <c r="M16" s="51">
        <v>1728</v>
      </c>
      <c r="N16" s="193"/>
      <c r="O16" s="51"/>
      <c r="P16" s="52" t="str">
        <f t="shared" si="5"/>
        <v>16 pallets</v>
      </c>
      <c r="Q16" s="53">
        <f t="shared" si="6"/>
        <v>191808</v>
      </c>
      <c r="S16" s="54"/>
      <c r="T16" s="67"/>
      <c r="U16" s="55"/>
      <c r="X16" s="56">
        <f t="shared" si="7"/>
        <v>523250</v>
      </c>
      <c r="Y16" s="57">
        <f>F16*AI16</f>
        <v>23860.2</v>
      </c>
      <c r="Z16" s="36">
        <f t="shared" si="8"/>
        <v>2817.5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>
        <v>52</v>
      </c>
      <c r="G17" s="47">
        <v>108</v>
      </c>
      <c r="H17" s="64" t="str">
        <f t="shared" ref="H17:H68" si="11">IF(F17="","",(ROUND((F17/G17),1)&amp;" pallets"))</f>
        <v>0.5 pallets</v>
      </c>
      <c r="I17" s="49">
        <f t="shared" si="4"/>
        <v>42172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36400</v>
      </c>
      <c r="Y17" s="57">
        <f t="shared" si="0"/>
        <v>1541.28</v>
      </c>
      <c r="Z17" s="36">
        <f t="shared" si="8"/>
        <v>182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>
        <f>23+8</f>
        <v>31</v>
      </c>
      <c r="G20" s="47">
        <v>63</v>
      </c>
      <c r="H20" s="64" t="str">
        <f t="shared" si="11"/>
        <v>0.5 pallets</v>
      </c>
      <c r="I20" s="49">
        <f t="shared" si="4"/>
        <v>30752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27032</v>
      </c>
      <c r="Y20" s="57">
        <f t="shared" si="0"/>
        <v>994.17</v>
      </c>
      <c r="Z20" s="36">
        <f t="shared" si="8"/>
        <v>108.5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1582</v>
      </c>
      <c r="D24" s="45">
        <v>120</v>
      </c>
      <c r="E24" s="45">
        <f t="shared" si="2"/>
        <v>1702</v>
      </c>
      <c r="F24" s="46">
        <v>3</v>
      </c>
      <c r="G24" s="47">
        <v>63</v>
      </c>
      <c r="H24" s="64" t="str">
        <f t="shared" si="11"/>
        <v>0 pallets</v>
      </c>
      <c r="I24" s="49">
        <f t="shared" si="4"/>
        <v>5106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4746</v>
      </c>
      <c r="Y24" s="57">
        <f t="shared" si="0"/>
        <v>96.210000000000008</v>
      </c>
      <c r="Z24" s="36">
        <f t="shared" si="8"/>
        <v>10.5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>
        <f>20+20</f>
        <v>40</v>
      </c>
      <c r="G28" s="87">
        <v>63</v>
      </c>
      <c r="H28" s="88" t="str">
        <f t="shared" si="11"/>
        <v>0.6 pallets</v>
      </c>
      <c r="I28" s="89">
        <f t="shared" si="4"/>
        <v>24800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20000</v>
      </c>
      <c r="Y28" s="57">
        <f t="shared" si="0"/>
        <v>1282.8</v>
      </c>
      <c r="Z28" s="36">
        <f t="shared" si="8"/>
        <v>140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>
        <f>75+75</f>
        <v>150</v>
      </c>
      <c r="G39" s="87">
        <v>100</v>
      </c>
      <c r="H39" s="88" t="str">
        <f t="shared" si="11"/>
        <v>1.5 pallets</v>
      </c>
      <c r="I39" s="89">
        <f t="shared" si="4"/>
        <v>97500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97500</v>
      </c>
      <c r="Y39" s="57">
        <f t="shared" si="0"/>
        <v>4224</v>
      </c>
      <c r="Z39" s="36">
        <f t="shared" si="8"/>
        <v>525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17.6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16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1388076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191808</v>
      </c>
      <c r="P73" s="255"/>
      <c r="Q73" s="256"/>
      <c r="R73" s="152"/>
      <c r="S73" s="159" t="s">
        <v>104</v>
      </c>
      <c r="T73" s="260">
        <f>SUM(Y12:Y68)</f>
        <v>54079.049999999996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918956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191808</v>
      </c>
      <c r="P75" s="255"/>
      <c r="Q75" s="256"/>
      <c r="R75" s="152"/>
      <c r="S75" s="159" t="s">
        <v>129</v>
      </c>
      <c r="T75" s="260">
        <f>SUM(Z12:Z70)</f>
        <v>6363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1135825.95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60442.049999999996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17D8F2-F4EE-4B2C-8040-404A9DE1B1C8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/>
      <c r="G16" s="47">
        <v>108</v>
      </c>
      <c r="H16" s="64"/>
      <c r="I16" s="49">
        <f t="shared" si="4"/>
        <v>0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0</v>
      </c>
      <c r="Y16" s="57">
        <f>F16*AI16</f>
        <v>0</v>
      </c>
      <c r="Z16" s="36">
        <f t="shared" si="8"/>
        <v>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1582</v>
      </c>
      <c r="D24" s="45">
        <v>120</v>
      </c>
      <c r="E24" s="45">
        <f t="shared" si="2"/>
        <v>1702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7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>
        <v>565</v>
      </c>
      <c r="G57" s="47">
        <v>72</v>
      </c>
      <c r="H57" s="64" t="str">
        <f t="shared" si="11"/>
        <v>7.8 pallets</v>
      </c>
      <c r="I57" s="49">
        <f t="shared" si="4"/>
        <v>173455</v>
      </c>
      <c r="J57" s="50">
        <v>78</v>
      </c>
      <c r="K57" s="126">
        <v>42</v>
      </c>
      <c r="L57" s="50">
        <v>1.5</v>
      </c>
      <c r="M57" s="51">
        <v>72</v>
      </c>
      <c r="N57" s="51"/>
      <c r="O57" s="51"/>
      <c r="P57" s="52" t="str">
        <f t="shared" si="5"/>
        <v>1 pallets</v>
      </c>
      <c r="Q57" s="53">
        <f>(J57*M57)+(K57*N57)+(O57*L57)</f>
        <v>5616</v>
      </c>
      <c r="S57" s="54"/>
      <c r="T57" s="54"/>
      <c r="U57" s="55"/>
      <c r="X57" s="56">
        <f t="shared" si="7"/>
        <v>129385</v>
      </c>
      <c r="Y57" s="57">
        <f t="shared" si="0"/>
        <v>14441.4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7.8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1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173455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5616</v>
      </c>
      <c r="P73" s="255"/>
      <c r="Q73" s="256"/>
      <c r="R73" s="152"/>
      <c r="S73" s="159" t="s">
        <v>104</v>
      </c>
      <c r="T73" s="260">
        <f>SUM(Y12:Y68)</f>
        <v>14441.4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173455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5616</v>
      </c>
      <c r="P75" s="255"/>
      <c r="Q75" s="256"/>
      <c r="R75" s="152"/>
      <c r="S75" s="159" t="s">
        <v>129</v>
      </c>
      <c r="T75" s="260">
        <f>SUM(Z12:Z70)</f>
        <v>0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95351.550000000017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>
        <f>25.9+1130</f>
        <v>1155.9000000000001</v>
      </c>
      <c r="Q77" s="259"/>
      <c r="R77" s="152"/>
      <c r="S77" s="159" t="s">
        <v>108</v>
      </c>
      <c r="T77" s="260">
        <f>IF(SUM(X12:X68)*0.15&gt;P77,P77,SUM(X12:X68)*0.15)</f>
        <v>1155.9000000000001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>
        <f>3177+50706+3007.15</f>
        <v>56890.15</v>
      </c>
      <c r="Q79" s="259"/>
      <c r="R79" s="152"/>
      <c r="S79" s="159" t="s">
        <v>112</v>
      </c>
      <c r="T79" s="260">
        <f>T77+T73+T75</f>
        <v>15597.3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F95AAE-BC67-41E8-8B34-00BA82453AD6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4" sqref="F14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304" t="s">
        <v>130</v>
      </c>
      <c r="G2" s="304"/>
      <c r="H2" s="304"/>
      <c r="I2" s="304"/>
      <c r="J2" s="304"/>
      <c r="K2" s="304"/>
      <c r="L2" s="304"/>
      <c r="M2" s="304"/>
      <c r="N2" s="304"/>
      <c r="O2" s="304"/>
      <c r="P2" s="304"/>
      <c r="Q2" s="304"/>
      <c r="R2" s="304"/>
      <c r="S2" s="304"/>
      <c r="T2" s="6" t="s">
        <v>1</v>
      </c>
      <c r="U2" s="7"/>
      <c r="W2" s="26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6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305"/>
      <c r="G4" s="305"/>
      <c r="H4" s="305"/>
      <c r="I4" s="305"/>
      <c r="J4" s="305"/>
      <c r="K4" s="305"/>
      <c r="L4" s="305"/>
      <c r="M4" s="305"/>
      <c r="S4" s="2" t="s">
        <v>4</v>
      </c>
      <c r="T4" s="306"/>
      <c r="U4" s="306"/>
      <c r="W4" s="26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307"/>
      <c r="G6" s="307"/>
      <c r="H6" s="307"/>
      <c r="I6" s="307"/>
      <c r="J6" s="307"/>
      <c r="K6" s="307"/>
      <c r="L6" s="307"/>
      <c r="M6" s="307"/>
      <c r="S6" s="11" t="s">
        <v>6</v>
      </c>
      <c r="T6" s="213" t="s">
        <v>7</v>
      </c>
      <c r="U6" s="12" t="s">
        <v>131</v>
      </c>
      <c r="W6" s="26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307"/>
      <c r="G7" s="307"/>
      <c r="H7" s="307"/>
      <c r="I7" s="307"/>
      <c r="J7" s="307"/>
      <c r="K7" s="307"/>
      <c r="L7" s="307"/>
      <c r="M7" s="307"/>
      <c r="N7" s="14"/>
      <c r="O7" s="14"/>
      <c r="P7" s="14"/>
      <c r="Q7" s="15"/>
      <c r="S7" s="14"/>
      <c r="T7" s="213" t="s">
        <v>11</v>
      </c>
      <c r="U7" s="12"/>
      <c r="W7" s="26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76" t="s">
        <v>14</v>
      </c>
      <c r="C9" s="279" t="s">
        <v>15</v>
      </c>
      <c r="D9" s="279" t="s">
        <v>16</v>
      </c>
      <c r="E9" s="279" t="s">
        <v>17</v>
      </c>
      <c r="F9" s="282" t="s">
        <v>18</v>
      </c>
      <c r="G9" s="283"/>
      <c r="H9" s="283"/>
      <c r="I9" s="283"/>
      <c r="J9" s="283"/>
      <c r="K9" s="283"/>
      <c r="L9" s="283"/>
      <c r="M9" s="283"/>
      <c r="N9" s="283"/>
      <c r="O9" s="283"/>
      <c r="P9" s="283"/>
      <c r="Q9" s="284"/>
      <c r="S9" s="282" t="s">
        <v>19</v>
      </c>
      <c r="T9" s="283"/>
      <c r="U9" s="284"/>
      <c r="X9" s="289" t="s">
        <v>20</v>
      </c>
      <c r="Y9" s="292" t="s">
        <v>21</v>
      </c>
      <c r="Z9" s="292" t="s">
        <v>128</v>
      </c>
      <c r="AA9" s="17"/>
      <c r="AB9" s="269" t="s">
        <v>22</v>
      </c>
      <c r="AC9" s="295" t="s">
        <v>23</v>
      </c>
      <c r="AD9" s="298" t="s">
        <v>24</v>
      </c>
      <c r="AE9" s="269" t="s">
        <v>25</v>
      </c>
      <c r="AG9" s="269" t="s">
        <v>26</v>
      </c>
      <c r="AH9" s="17"/>
      <c r="AI9" s="269" t="s">
        <v>27</v>
      </c>
    </row>
    <row r="10" spans="2:35" s="16" customFormat="1" ht="20.25" customHeight="1" x14ac:dyDescent="0.25">
      <c r="B10" s="277"/>
      <c r="C10" s="280"/>
      <c r="D10" s="280"/>
      <c r="E10" s="280"/>
      <c r="F10" s="286" t="s">
        <v>28</v>
      </c>
      <c r="G10" s="286" t="s">
        <v>29</v>
      </c>
      <c r="H10" s="286" t="s">
        <v>30</v>
      </c>
      <c r="I10" s="287" t="s">
        <v>31</v>
      </c>
      <c r="J10" s="287" t="s">
        <v>32</v>
      </c>
      <c r="K10" s="287" t="s">
        <v>33</v>
      </c>
      <c r="L10" s="287" t="s">
        <v>34</v>
      </c>
      <c r="M10" s="301" t="s">
        <v>35</v>
      </c>
      <c r="N10" s="302"/>
      <c r="O10" s="302"/>
      <c r="P10" s="302"/>
      <c r="Q10" s="303"/>
      <c r="S10" s="272" t="s">
        <v>36</v>
      </c>
      <c r="T10" s="273"/>
      <c r="U10" s="274"/>
      <c r="X10" s="290"/>
      <c r="Y10" s="293"/>
      <c r="Z10" s="293"/>
      <c r="AA10" s="17"/>
      <c r="AB10" s="270"/>
      <c r="AC10" s="296"/>
      <c r="AD10" s="299"/>
      <c r="AE10" s="270"/>
      <c r="AG10" s="270"/>
      <c r="AH10" s="17"/>
      <c r="AI10" s="270"/>
    </row>
    <row r="11" spans="2:35" s="21" customFormat="1" ht="12.75" customHeight="1" thickBot="1" x14ac:dyDescent="0.3">
      <c r="B11" s="278"/>
      <c r="C11" s="281"/>
      <c r="D11" s="281"/>
      <c r="E11" s="281"/>
      <c r="F11" s="281"/>
      <c r="G11" s="281"/>
      <c r="H11" s="281"/>
      <c r="I11" s="288"/>
      <c r="J11" s="288"/>
      <c r="K11" s="288"/>
      <c r="L11" s="288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91"/>
      <c r="Y11" s="294"/>
      <c r="Z11" s="294"/>
      <c r="AA11" s="17"/>
      <c r="AB11" s="271"/>
      <c r="AC11" s="297"/>
      <c r="AD11" s="300"/>
      <c r="AE11" s="271"/>
      <c r="AG11" s="285"/>
      <c r="AH11" s="17"/>
      <c r="AI11" s="271"/>
    </row>
    <row r="12" spans="2:35" s="21" customFormat="1" ht="32.1" customHeight="1" thickBot="1" x14ac:dyDescent="0.3">
      <c r="B12" s="23" t="s">
        <v>42</v>
      </c>
      <c r="C12" s="24">
        <v>912</v>
      </c>
      <c r="D12" s="24">
        <v>120</v>
      </c>
      <c r="E12" s="24">
        <f>C12+D12</f>
        <v>1032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>
        <v>1080</v>
      </c>
      <c r="G13" s="47">
        <v>108</v>
      </c>
      <c r="H13" s="48" t="str">
        <f t="shared" ref="H13" si="3">IF(F13="","",(ROUND((F13/G13),1)&amp;" pallets"))</f>
        <v>10 pallets</v>
      </c>
      <c r="I13" s="49">
        <f t="shared" ref="I13:I70" si="4">E13*F13</f>
        <v>791640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671760</v>
      </c>
      <c r="Y13" s="57">
        <f>F13*AI13</f>
        <v>32011.200000000001</v>
      </c>
      <c r="Z13" s="36">
        <f t="shared" ref="Z13:Z56" si="8">IF($U$6="x",(F13*3.5),"")</f>
        <v>3780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864</v>
      </c>
      <c r="G16" s="47">
        <v>108</v>
      </c>
      <c r="H16" s="64"/>
      <c r="I16" s="49">
        <f t="shared" si="4"/>
        <v>657504</v>
      </c>
      <c r="J16" s="50">
        <v>111</v>
      </c>
      <c r="K16" s="65"/>
      <c r="L16" s="50">
        <v>4.5</v>
      </c>
      <c r="M16" s="51"/>
      <c r="N16" s="193"/>
      <c r="O16" s="51"/>
      <c r="P16" s="52" t="str">
        <f t="shared" si="5"/>
        <v/>
      </c>
      <c r="Q16" s="53">
        <f t="shared" si="6"/>
        <v>0</v>
      </c>
      <c r="S16" s="54"/>
      <c r="T16" s="67"/>
      <c r="U16" s="55"/>
      <c r="X16" s="56">
        <f t="shared" si="7"/>
        <v>561600</v>
      </c>
      <c r="Y16" s="57">
        <f>F16*AI16</f>
        <v>25608.959999999999</v>
      </c>
      <c r="Z16" s="36">
        <f t="shared" si="8"/>
        <v>3024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1582</v>
      </c>
      <c r="D24" s="45">
        <v>120</v>
      </c>
      <c r="E24" s="45">
        <f t="shared" si="2"/>
        <v>1702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75" t="s">
        <v>101</v>
      </c>
      <c r="C71" s="275"/>
      <c r="D71" s="275"/>
      <c r="E71" s="275"/>
      <c r="F71" s="275"/>
      <c r="G71" s="275"/>
      <c r="H71" s="147" t="str">
        <f>ROUND(((F12+F30+F52+F57+F58+F59+F60+F61)/72+(F13+F16+F18)/108+(F14+SUM(F19:F29)+F31+F32+F22+F50+F45)/63+F15/96+SUM(F34:F43)/100+SUM(F47:F49)/24+SUM(F62:F68)/100+(F51+F46+F44)/100),1)&amp;" pallets"</f>
        <v>18 pallets</v>
      </c>
      <c r="I71" s="148"/>
      <c r="J71" s="149"/>
      <c r="K71" s="150"/>
      <c r="L71" s="149"/>
      <c r="M71" s="151"/>
      <c r="N71" s="152"/>
      <c r="O71" s="152"/>
      <c r="P71" s="213" t="str">
        <f>ROUND((((M12+N12+M30+M57+M58+M59+M60+M61+N57)/72+(M13+N13+M16+M18)/108+(M15+N15)/96+SUM(M14,M19:M29,M31:M32,M50,N14)/63)),1)&amp;" pallets"</f>
        <v>0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55">
        <f>SUM(I12:I70)</f>
        <v>1449144</v>
      </c>
      <c r="G73" s="255"/>
      <c r="H73" s="255"/>
      <c r="I73" s="256"/>
      <c r="J73" s="158"/>
      <c r="K73" s="158"/>
      <c r="L73" s="158"/>
      <c r="M73" s="267" t="s">
        <v>103</v>
      </c>
      <c r="N73" s="268"/>
      <c r="O73" s="255">
        <f>SUM(Q12:Q70)</f>
        <v>0</v>
      </c>
      <c r="P73" s="255"/>
      <c r="Q73" s="256"/>
      <c r="R73" s="152"/>
      <c r="S73" s="159" t="s">
        <v>104</v>
      </c>
      <c r="T73" s="260">
        <f>SUM(Y12:Y68)</f>
        <v>57620.160000000003</v>
      </c>
      <c r="U73" s="261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55">
        <f>SUM(I14:I72)</f>
        <v>657504</v>
      </c>
      <c r="G75" s="255"/>
      <c r="H75" s="255"/>
      <c r="I75" s="256"/>
      <c r="J75" s="158"/>
      <c r="K75" s="158"/>
      <c r="L75" s="158"/>
      <c r="M75" s="267" t="s">
        <v>103</v>
      </c>
      <c r="N75" s="268"/>
      <c r="O75" s="255">
        <f>SUM(Q14:Q72)</f>
        <v>0</v>
      </c>
      <c r="P75" s="255"/>
      <c r="Q75" s="256"/>
      <c r="R75" s="152"/>
      <c r="S75" s="159" t="s">
        <v>129</v>
      </c>
      <c r="T75" s="260">
        <f>SUM(Z12:Z70)</f>
        <v>6804</v>
      </c>
      <c r="U75" s="261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55">
        <f>IF(U7&gt;0,"",(F73-O73-T79-P79))</f>
        <v>1384719.84</v>
      </c>
      <c r="G77" s="255"/>
      <c r="H77" s="255"/>
      <c r="I77" s="256"/>
      <c r="J77" s="164"/>
      <c r="K77" s="164"/>
      <c r="L77" s="164"/>
      <c r="M77" s="257" t="s">
        <v>106</v>
      </c>
      <c r="N77" s="257"/>
      <c r="O77" s="168" t="s">
        <v>107</v>
      </c>
      <c r="P77" s="258"/>
      <c r="Q77" s="259"/>
      <c r="R77" s="152"/>
      <c r="S77" s="159" t="s">
        <v>108</v>
      </c>
      <c r="T77" s="260">
        <f>IF(SUM(X12:X68)*0.15&gt;P77,P77,SUM(X12:X68)*0.15)</f>
        <v>0</v>
      </c>
      <c r="U77" s="261"/>
      <c r="V77" s="160"/>
      <c r="W77" s="26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6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55"/>
      <c r="G79" s="255"/>
      <c r="H79" s="255"/>
      <c r="I79" s="256"/>
      <c r="J79" s="164"/>
      <c r="K79" s="164"/>
      <c r="L79" s="164"/>
      <c r="M79" s="265" t="str">
        <f>IF(U6&gt;0,"",T4+30)</f>
        <v/>
      </c>
      <c r="N79" s="266"/>
      <c r="O79" s="168" t="s">
        <v>111</v>
      </c>
      <c r="P79" s="258"/>
      <c r="Q79" s="259"/>
      <c r="R79" s="152"/>
      <c r="S79" s="159" t="s">
        <v>112</v>
      </c>
      <c r="T79" s="260">
        <f>T77+T73+T75</f>
        <v>64424.160000000003</v>
      </c>
      <c r="U79" s="261"/>
      <c r="V79" s="160"/>
      <c r="W79" s="26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32" t="s">
        <v>113</v>
      </c>
      <c r="C81" s="233"/>
      <c r="D81" s="233"/>
      <c r="E81" s="233"/>
      <c r="F81" s="233"/>
      <c r="G81" s="233"/>
      <c r="H81" s="234"/>
      <c r="I81" s="241" t="s">
        <v>114</v>
      </c>
      <c r="J81" s="171"/>
      <c r="K81" s="171"/>
      <c r="L81" s="171"/>
      <c r="M81" s="243"/>
      <c r="N81" s="246" t="s">
        <v>115</v>
      </c>
      <c r="O81" s="249"/>
      <c r="P81" s="243"/>
      <c r="Q81" s="226" t="s">
        <v>116</v>
      </c>
      <c r="R81" s="252"/>
      <c r="S81" s="223"/>
      <c r="T81" s="226" t="s">
        <v>117</v>
      </c>
      <c r="U81" s="229"/>
    </row>
    <row r="82" spans="2:21" ht="15" customHeight="1" x14ac:dyDescent="0.25">
      <c r="B82" s="235"/>
      <c r="C82" s="236"/>
      <c r="D82" s="236"/>
      <c r="E82" s="236"/>
      <c r="F82" s="236"/>
      <c r="G82" s="236"/>
      <c r="H82" s="237"/>
      <c r="I82" s="220"/>
      <c r="J82" s="2"/>
      <c r="K82" s="2"/>
      <c r="L82" s="2"/>
      <c r="M82" s="244"/>
      <c r="N82" s="247"/>
      <c r="O82" s="250"/>
      <c r="P82" s="244"/>
      <c r="Q82" s="227"/>
      <c r="R82" s="253"/>
      <c r="S82" s="224"/>
      <c r="T82" s="227"/>
      <c r="U82" s="230"/>
    </row>
    <row r="83" spans="2:21" ht="15.75" customHeight="1" thickBot="1" x14ac:dyDescent="0.3">
      <c r="B83" s="238"/>
      <c r="C83" s="239"/>
      <c r="D83" s="239"/>
      <c r="E83" s="239"/>
      <c r="F83" s="239"/>
      <c r="G83" s="239"/>
      <c r="H83" s="240"/>
      <c r="I83" s="242"/>
      <c r="J83" s="172"/>
      <c r="K83" s="172"/>
      <c r="L83" s="172"/>
      <c r="M83" s="245"/>
      <c r="N83" s="248"/>
      <c r="O83" s="251"/>
      <c r="P83" s="245"/>
      <c r="Q83" s="228"/>
      <c r="R83" s="254"/>
      <c r="S83" s="225"/>
      <c r="T83" s="228"/>
      <c r="U83" s="23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14" t="s">
        <v>132</v>
      </c>
      <c r="C88" s="215"/>
      <c r="D88" s="215"/>
      <c r="E88" s="215"/>
      <c r="F88" s="215"/>
      <c r="G88" s="215"/>
      <c r="H88" s="215"/>
      <c r="I88" s="216"/>
      <c r="J88" s="185"/>
      <c r="K88" s="185"/>
      <c r="L88" s="185"/>
      <c r="M88" s="214"/>
      <c r="N88" s="215"/>
      <c r="O88" s="215"/>
      <c r="P88" s="215"/>
      <c r="Q88" s="216"/>
      <c r="R88" s="187"/>
      <c r="S88" s="188"/>
      <c r="T88" s="188"/>
      <c r="U88" s="189"/>
    </row>
    <row r="89" spans="2:21" ht="18" x14ac:dyDescent="0.25">
      <c r="B89" s="217" t="s">
        <v>122</v>
      </c>
      <c r="C89" s="218"/>
      <c r="D89" s="218"/>
      <c r="E89" s="218"/>
      <c r="F89" s="218"/>
      <c r="G89" s="218"/>
      <c r="H89" s="218"/>
      <c r="I89" s="219"/>
      <c r="M89" s="217" t="s">
        <v>122</v>
      </c>
      <c r="N89" s="218"/>
      <c r="O89" s="218"/>
      <c r="P89" s="218"/>
      <c r="Q89" s="219"/>
      <c r="R89" s="220" t="s">
        <v>123</v>
      </c>
      <c r="S89" s="221"/>
      <c r="T89" s="221"/>
      <c r="U89" s="222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14" t="s">
        <v>133</v>
      </c>
      <c r="C93" s="215"/>
      <c r="D93" s="215"/>
      <c r="E93" s="215"/>
      <c r="F93" s="215"/>
      <c r="G93" s="215"/>
      <c r="H93" s="215"/>
      <c r="I93" s="216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17" t="s">
        <v>126</v>
      </c>
      <c r="C94" s="218"/>
      <c r="D94" s="218"/>
      <c r="E94" s="218"/>
      <c r="F94" s="218"/>
      <c r="G94" s="218"/>
      <c r="H94" s="218"/>
      <c r="I94" s="219"/>
      <c r="M94" s="179"/>
      <c r="Q94" s="180"/>
      <c r="R94" s="220" t="s">
        <v>127</v>
      </c>
      <c r="S94" s="221"/>
      <c r="T94" s="221"/>
      <c r="U94" s="222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B9:B11"/>
    <mergeCell ref="C9:C11"/>
    <mergeCell ref="D9:D11"/>
    <mergeCell ref="E9:E11"/>
    <mergeCell ref="F9:Q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19</vt:i4>
      </vt:variant>
      <vt:variant>
        <vt:lpstr>Named Ranges</vt:lpstr>
      </vt:variant>
      <vt:variant>
        <vt:i4>19</vt:i4>
      </vt:variant>
    </vt:vector>
  </HeadingPairs>
  <TitlesOfParts>
    <vt:vector size="38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04-28-2026-A</vt:lpstr>
      <vt:lpstr>04-28-2026-B</vt:lpstr>
      <vt:lpstr>04-28-2026</vt:lpstr>
      <vt:lpstr>04-28-2026 NAB MTS</vt:lpstr>
      <vt:lpstr>04-29-2026</vt:lpstr>
      <vt:lpstr>04-30-2026-A</vt:lpstr>
      <vt:lpstr>04-30-2026-B</vt:lpstr>
      <vt:lpstr>04-30-2026-C</vt:lpstr>
      <vt:lpstr>04-30-2026-D</vt:lpstr>
      <vt:lpstr>04-30-2026-E BEER</vt:lpstr>
      <vt:lpstr>04-30-2026-F NAB</vt:lpstr>
      <vt:lpstr>04-30-2026-G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'04-28-2026'!Print_Area</vt:lpstr>
      <vt:lpstr>'04-28-2026 NAB MTS'!Print_Area</vt:lpstr>
      <vt:lpstr>'04-28-2026-A'!Print_Area</vt:lpstr>
      <vt:lpstr>'04-28-2026-B'!Print_Area</vt:lpstr>
      <vt:lpstr>'04-29-2026'!Print_Area</vt:lpstr>
      <vt:lpstr>'04-30-2026-A'!Print_Area</vt:lpstr>
      <vt:lpstr>'04-30-2026-B'!Print_Area</vt:lpstr>
      <vt:lpstr>'04-30-2026-C'!Print_Area</vt:lpstr>
      <vt:lpstr>'04-30-2026-D'!Print_Area</vt:lpstr>
      <vt:lpstr>'04-30-2026-E BEER'!Print_Area</vt:lpstr>
      <vt:lpstr>'04-30-2026-F NAB'!Print_Area</vt:lpstr>
      <vt:lpstr>'04-30-2026-G'!Print_Area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2026-04-30T07:28:24Z</dcterms:modified>
</cp:coreProperties>
</file>