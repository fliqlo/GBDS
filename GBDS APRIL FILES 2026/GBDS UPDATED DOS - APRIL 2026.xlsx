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788E2FF-ACED-4BF7-B7A5-A23F51BC7F20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4-21-2026" sheetId="194" r:id="rId1"/>
    <sheet name="04-22-2026" sheetId="195" r:id="rId2"/>
  </sheets>
  <definedNames>
    <definedName name="_xlnm.Print_Area" localSheetId="0">'04-21-2026'!$A$1:$V$97</definedName>
    <definedName name="_xlnm.Print_Area" localSheetId="1">'04-22-2026'!$A$1:$V$97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5" l="1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<sst xmlns="http://schemas.openxmlformats.org/spreadsheetml/2006/main" count="282" uniqueCount="134">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</sst>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5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5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1389888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205980</v>
      </c>
      <c r="P73" s="230"/>
      <c r="Q73" s="231"/>
      <c r="R73" s="152"/>
      <c r="S73" s="159" t="s">
        <v>104</v>
      </c>
      <c r="T73" s="234">
        <f>SUM(Y12:Y68)</f>
        <v>53270.400000000001</v>
      </c>
      <c r="U73" s="23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1389888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179820</v>
      </c>
      <c r="P75" s="230"/>
      <c r="Q75" s="231"/>
      <c r="R75" s="152"/>
      <c r="S75" s="159" t="s">
        <v>129</v>
      </c>
      <c r="T75" s="234">
        <f>SUM(Z12:Z70)</f>
        <v>6272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986449.05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>
        <f>1900.85+92518.5</f>
        <v>94419.35</v>
      </c>
      <c r="Q77" s="248"/>
      <c r="R77" s="152"/>
      <c r="S77" s="159" t="s">
        <v>108</v>
      </c>
      <c r="T77" s="234">
        <f>IF(SUM(X12:X68)*0.15&gt;P77,P77,SUM(X12:X68)*0.15)</f>
        <v>94419.35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>
        <f>43497.2</f>
        <v>43497.2</v>
      </c>
      <c r="Q79" s="248"/>
      <c r="R79" s="152"/>
      <c r="S79" s="159" t="s">
        <v>112</v>
      </c>
      <c r="T79" s="234">
        <f>T77+T73+T75</f>
        <v>153961.75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132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133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E1" activePane="topRight" state="frozen"/>
      <selection activeCell="M16" sqref="M16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6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6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1397196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203796</v>
      </c>
      <c r="P73" s="230"/>
      <c r="Q73" s="231"/>
      <c r="R73" s="152"/>
      <c r="S73" s="159" t="s">
        <v>104</v>
      </c>
      <c r="T73" s="234">
        <f>SUM(Y12:Y68)</f>
        <v>54419.040000000001</v>
      </c>
      <c r="U73" s="23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1397196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203796</v>
      </c>
      <c r="P75" s="230"/>
      <c r="Q75" s="231"/>
      <c r="R75" s="152"/>
      <c r="S75" s="159" t="s">
        <v>129</v>
      </c>
      <c r="T75" s="234">
        <f>SUM(Z12:Z70)</f>
        <v>6426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728310.96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/>
      <c r="Q77" s="248"/>
      <c r="R77" s="152"/>
      <c r="S77" s="159" t="s">
        <v>108</v>
      </c>
      <c r="T77" s="234">
        <f>IF(SUM(X12:X68)*0.15&gt;P77,P77,SUM(X12:X68)*0.15)</f>
        <v>0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>
        <v>404244</v>
      </c>
      <c r="Q79" s="248"/>
      <c r="R79" s="152"/>
      <c r="S79" s="159" t="s">
        <v>112</v>
      </c>
      <c r="T79" s="234">
        <f>T77+T73+T75</f>
        <v>60845.04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132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133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04-21-2026</vt:lpstr>
      <vt:lpstr>04-22-2026</vt:lpstr>
      <vt:lpstr>'04-21-2026'!Print_Area</vt:lpstr>
      <vt:lpstr>'04-22-2026'!Print_Area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2026-04-22T04:42:17Z</dcterms:modified>
</cp:coreProperties>
</file>