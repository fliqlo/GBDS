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AF27F45-D7EC-4E3A-806B-CF75B70106F6}" xr6:coauthVersionLast="45" xr6:coauthVersionMax="47" xr10:uidLastSave="{00000000-0000-0000-0000-000000000000}"/>
  <bookViews>
    <workbookView xWindow="-120" yWindow="-120" windowWidth="29040" windowHeight="15840" activeTab="4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8" l="1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3" i="198" l="1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<sst xmlns="http://schemas.openxmlformats.org/spreadsheetml/2006/main" count="705" uniqueCount="134">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</sst>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5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5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1389888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205980</v>
      </c>
      <c r="P73" s="233"/>
      <c r="Q73" s="234"/>
      <c r="R73" s="152"/>
      <c r="S73" s="159" t="s">
        <v>104</v>
      </c>
      <c r="T73" s="237">
        <f>SUM(Y12:Y68)</f>
        <v>53270.400000000001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1389888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179820</v>
      </c>
      <c r="P75" s="233"/>
      <c r="Q75" s="234"/>
      <c r="R75" s="152"/>
      <c r="S75" s="159" t="s">
        <v>129</v>
      </c>
      <c r="T75" s="237">
        <f>SUM(Z12:Z70)</f>
        <v>6272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986449.05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>
        <f>1900.85+92518.5</f>
        <v>94419.35</v>
      </c>
      <c r="Q77" s="251"/>
      <c r="R77" s="152"/>
      <c r="S77" s="159" t="s">
        <v>108</v>
      </c>
      <c r="T77" s="237">
        <f>IF(SUM(X12:X68)*0.15&gt;P77,P77,SUM(X12:X68)*0.15)</f>
        <v>94419.35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>
        <f>43497.2</f>
        <v>43497.2</v>
      </c>
      <c r="Q79" s="251"/>
      <c r="R79" s="152"/>
      <c r="S79" s="159" t="s">
        <v>112</v>
      </c>
      <c r="T79" s="237">
        <f>T77+T73+T75</f>
        <v>153961.75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6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6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728310.90999999992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>
        <f>0.01+0.04</f>
        <v>0.05</v>
      </c>
      <c r="Q77" s="251"/>
      <c r="R77" s="152"/>
      <c r="S77" s="159" t="s">
        <v>108</v>
      </c>
      <c r="T77" s="237">
        <f>IF(SUM(X12:X68)*0.15&gt;P77,P77,SUM(X12:X68)*0.15)</f>
        <v>0.05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>
        <v>404244</v>
      </c>
      <c r="Q79" s="251"/>
      <c r="R79" s="152"/>
      <c r="S79" s="159" t="s">
        <v>112</v>
      </c>
      <c r="T79" s="237">
        <f>T77+T73+T75</f>
        <v>60845.090000000004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7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7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1132554.96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60845.04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8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8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1132554.96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60845.04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9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9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1132554.96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60845.04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04-21-2026</vt:lpstr>
      <vt:lpstr>04-22-2026</vt:lpstr>
      <vt:lpstr>04-23-2026</vt:lpstr>
      <vt:lpstr>04-23-2026-B</vt:lpstr>
      <vt:lpstr>04-24-2026</vt:lpstr>
      <vt:lpstr>'04-21-2026'!Print_Area</vt:lpstr>
      <vt:lpstr>'04-22-2026'!Print_Area</vt:lpstr>
      <vt:lpstr>'04-23-2026'!Print_Area</vt:lpstr>
      <vt:lpstr>'04-23-2026-B'!Print_Area</vt:lpstr>
      <vt:lpstr>'04-24-2026'!Print_Area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2026-04-24T00:44:30Z</dcterms:modified>
</cp:coreProperties>
</file>