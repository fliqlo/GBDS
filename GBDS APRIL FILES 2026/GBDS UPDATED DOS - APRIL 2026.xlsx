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APRIL FILES 2026\"/>
    </mc:Choice>
  </mc:AlternateContent>
  <xr:revisionPtr revIDLastSave="0" documentId="13_ncr:1_{C07CDECA-8648-4B6D-B9F1-430ED98DA3E3}" xr6:coauthVersionLast="45" xr6:coauthVersionMax="47" xr10:uidLastSave="{00000000-0000-0000-0000-000000000000}"/>
  <bookViews>
    <workbookView xWindow="-120" yWindow="-120" windowWidth="29040" windowHeight="15840" firstSheet="3" activeTab="9" xr2:uid="{EAA847CC-C244-4239-B005-CBB8C204AC80}"/>
  </bookViews>
  <sheets>
    <sheet name="04-21-2026" sheetId="194" r:id="rId1"/>
    <sheet name="04-22-2026" sheetId="195" r:id="rId2"/>
    <sheet name="04-23-2026" sheetId="196" r:id="rId3"/>
    <sheet name="04-23-2026-B" sheetId="197" r:id="rId4"/>
    <sheet name="04-24-2026" sheetId="198" r:id="rId5"/>
    <sheet name="04-24-2026-B" sheetId="199" r:id="rId6"/>
    <sheet name="04-27-2026" sheetId="200" r:id="rId7"/>
    <sheet name="04-28-2026-A" sheetId="201" r:id="rId8"/>
    <sheet name="04-28-2026-B" sheetId="202" r:id="rId9"/>
    <sheet name="04-28-2026" sheetId="204" r:id="rId10"/>
    <sheet name="04-28-2026 NAB MTS" sheetId="203" r:id="rId11"/>
  </sheets>
  <definedNames>
    <definedName name="_xlnm.Print_Area" localSheetId="0">'04-21-2026'!$A$1:$V$97</definedName>
    <definedName name="_xlnm.Print_Area" localSheetId="1">'04-22-2026'!$A$1:$V$97</definedName>
    <definedName name="_xlnm.Print_Area" localSheetId="2">'04-23-2026'!$A$1:$V$97</definedName>
    <definedName name="_xlnm.Print_Area" localSheetId="3">'04-23-2026-B'!$A$1:$V$97</definedName>
    <definedName name="_xlnm.Print_Area" localSheetId="4">'04-24-2026'!$A$1:$V$97</definedName>
    <definedName name="_xlnm.Print_Area" localSheetId="5">'04-24-2026-B'!$A$1:$V$97</definedName>
    <definedName name="_xlnm.Print_Area" localSheetId="6">'04-27-2026'!$A$1:$V$97</definedName>
    <definedName name="_xlnm.Print_Area" localSheetId="9">'04-28-2026'!$A$1:$V$97</definedName>
    <definedName name="_xlnm.Print_Area" localSheetId="10">'04-28-2026 NAB MTS'!$A$1:$V$97</definedName>
    <definedName name="_xlnm.Print_Area" localSheetId="7">'04-28-2026-A'!$A$1:$V$97</definedName>
    <definedName name="_xlnm.Print_Area" localSheetId="8">'04-28-2026-B'!$A$1:$V$97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9" i="204" l="1"/>
  <c r="P71" i="204"/>
  <c r="H71" i="204"/>
  <c r="Q70" i="204"/>
  <c r="P70" i="204"/>
  <c r="I70" i="204"/>
  <c r="H70" i="204"/>
  <c r="E70" i="204"/>
  <c r="Q69" i="204"/>
  <c r="P69" i="204"/>
  <c r="H69" i="204"/>
  <c r="E69" i="204"/>
  <c r="I69" i="204" s="1"/>
  <c r="AD68" i="204"/>
  <c r="AC68" i="204"/>
  <c r="AB68" i="204"/>
  <c r="AE68" i="204" s="1"/>
  <c r="AI68" i="204" s="1"/>
  <c r="Y68" i="204" s="1"/>
  <c r="Z68" i="204"/>
  <c r="X68" i="204"/>
  <c r="Q68" i="204"/>
  <c r="P68" i="204"/>
  <c r="I68" i="204"/>
  <c r="H68" i="204"/>
  <c r="E68" i="204"/>
  <c r="AD67" i="204"/>
  <c r="AC67" i="204"/>
  <c r="AB67" i="204"/>
  <c r="AE67" i="204" s="1"/>
  <c r="AI67" i="204" s="1"/>
  <c r="Y67" i="204" s="1"/>
  <c r="Z67" i="204"/>
  <c r="X67" i="204"/>
  <c r="Q67" i="204"/>
  <c r="P67" i="204"/>
  <c r="H67" i="204"/>
  <c r="E67" i="204"/>
  <c r="I67" i="204" s="1"/>
  <c r="AD66" i="204"/>
  <c r="AC66" i="204"/>
  <c r="AB66" i="204"/>
  <c r="AE66" i="204" s="1"/>
  <c r="AI66" i="204" s="1"/>
  <c r="Y66" i="204" s="1"/>
  <c r="Z66" i="204"/>
  <c r="X66" i="204"/>
  <c r="Q66" i="204"/>
  <c r="P66" i="204"/>
  <c r="I66" i="204"/>
  <c r="H66" i="204"/>
  <c r="E66" i="204"/>
  <c r="AD65" i="204"/>
  <c r="AE65" i="204" s="1"/>
  <c r="AI65" i="204" s="1"/>
  <c r="Y65" i="204" s="1"/>
  <c r="AC65" i="204"/>
  <c r="AB65" i="204"/>
  <c r="Z65" i="204"/>
  <c r="X65" i="204"/>
  <c r="Q65" i="204"/>
  <c r="P65" i="204"/>
  <c r="I65" i="204"/>
  <c r="H65" i="204"/>
  <c r="E65" i="204"/>
  <c r="AD64" i="204"/>
  <c r="AC64" i="204"/>
  <c r="AB64" i="204"/>
  <c r="AE64" i="204" s="1"/>
  <c r="AI64" i="204" s="1"/>
  <c r="Y64" i="204" s="1"/>
  <c r="Z64" i="204"/>
  <c r="X64" i="204"/>
  <c r="Q64" i="204"/>
  <c r="P64" i="204"/>
  <c r="H64" i="204"/>
  <c r="E64" i="204"/>
  <c r="I64" i="204" s="1"/>
  <c r="AD63" i="204"/>
  <c r="AC63" i="204"/>
  <c r="AB63" i="204"/>
  <c r="AE63" i="204" s="1"/>
  <c r="AI63" i="204" s="1"/>
  <c r="Y63" i="204" s="1"/>
  <c r="Z63" i="204"/>
  <c r="X63" i="204"/>
  <c r="Q63" i="204"/>
  <c r="P63" i="204"/>
  <c r="H63" i="204"/>
  <c r="E63" i="204"/>
  <c r="I63" i="204" s="1"/>
  <c r="AD62" i="204"/>
  <c r="AE62" i="204" s="1"/>
  <c r="AI62" i="204" s="1"/>
  <c r="Y62" i="204" s="1"/>
  <c r="AC62" i="204"/>
  <c r="AB62" i="204"/>
  <c r="Z62" i="204"/>
  <c r="X62" i="204"/>
  <c r="Q62" i="204"/>
  <c r="P62" i="204"/>
  <c r="H62" i="204"/>
  <c r="E62" i="204"/>
  <c r="I62" i="204" s="1"/>
  <c r="AE61" i="204"/>
  <c r="AI61" i="204" s="1"/>
  <c r="Y61" i="204" s="1"/>
  <c r="AC61" i="204"/>
  <c r="AB61" i="204"/>
  <c r="X61" i="204"/>
  <c r="Q61" i="204"/>
  <c r="P61" i="204"/>
  <c r="H61" i="204"/>
  <c r="E61" i="204"/>
  <c r="I61" i="204" s="1"/>
  <c r="AE60" i="204"/>
  <c r="AI60" i="204" s="1"/>
  <c r="Y60" i="204" s="1"/>
  <c r="X60" i="204"/>
  <c r="Q60" i="204"/>
  <c r="P60" i="204"/>
  <c r="I60" i="204"/>
  <c r="H60" i="204"/>
  <c r="E60" i="204"/>
  <c r="AE59" i="204"/>
  <c r="AI59" i="204" s="1"/>
  <c r="Y59" i="204" s="1"/>
  <c r="AC59" i="204"/>
  <c r="AB59" i="204"/>
  <c r="X59" i="204"/>
  <c r="Q59" i="204"/>
  <c r="P59" i="204"/>
  <c r="H59" i="204"/>
  <c r="E59" i="204"/>
  <c r="I59" i="204" s="1"/>
  <c r="AC58" i="204"/>
  <c r="AE58" i="204" s="1"/>
  <c r="AI58" i="204" s="1"/>
  <c r="Y58" i="204" s="1"/>
  <c r="AB58" i="204"/>
  <c r="X58" i="204"/>
  <c r="Q58" i="204"/>
  <c r="P58" i="204"/>
  <c r="I58" i="204"/>
  <c r="E58" i="204"/>
  <c r="AE57" i="204"/>
  <c r="AI57" i="204" s="1"/>
  <c r="Y57" i="204" s="1"/>
  <c r="AC57" i="204"/>
  <c r="AB57" i="204"/>
  <c r="X57" i="204"/>
  <c r="Q57" i="204"/>
  <c r="P57" i="204"/>
  <c r="I57" i="204"/>
  <c r="H57" i="204"/>
  <c r="E57" i="204"/>
  <c r="AE56" i="204"/>
  <c r="AI56" i="204" s="1"/>
  <c r="Y56" i="204" s="1"/>
  <c r="AD56" i="204"/>
  <c r="AC56" i="204"/>
  <c r="AB56" i="204"/>
  <c r="Z56" i="204"/>
  <c r="X56" i="204"/>
  <c r="Q56" i="204"/>
  <c r="P56" i="204"/>
  <c r="I56" i="204"/>
  <c r="H56" i="204"/>
  <c r="E56" i="204"/>
  <c r="AD55" i="204"/>
  <c r="AC55" i="204"/>
  <c r="AB55" i="204"/>
  <c r="AE55" i="204" s="1"/>
  <c r="AI55" i="204" s="1"/>
  <c r="Y55" i="204" s="1"/>
  <c r="Z55" i="204"/>
  <c r="X55" i="204"/>
  <c r="Q55" i="204"/>
  <c r="P55" i="204"/>
  <c r="H55" i="204"/>
  <c r="E55" i="204"/>
  <c r="I55" i="204" s="1"/>
  <c r="AI54" i="204"/>
  <c r="Y54" i="204" s="1"/>
  <c r="AE54" i="204"/>
  <c r="AD54" i="204"/>
  <c r="AC54" i="204"/>
  <c r="AB54" i="204"/>
  <c r="Z54" i="204"/>
  <c r="X54" i="204"/>
  <c r="Q54" i="204"/>
  <c r="P54" i="204"/>
  <c r="H54" i="204"/>
  <c r="E54" i="204"/>
  <c r="I54" i="204" s="1"/>
  <c r="AD53" i="204"/>
  <c r="AC53" i="204"/>
  <c r="AB53" i="204"/>
  <c r="AE53" i="204" s="1"/>
  <c r="AI53" i="204" s="1"/>
  <c r="Y53" i="204" s="1"/>
  <c r="Z53" i="204"/>
  <c r="X53" i="204"/>
  <c r="Q53" i="204"/>
  <c r="P53" i="204"/>
  <c r="I53" i="204"/>
  <c r="H53" i="204"/>
  <c r="E53" i="204"/>
  <c r="AE52" i="204"/>
  <c r="AI52" i="204" s="1"/>
  <c r="Y52" i="204" s="1"/>
  <c r="Z52" i="204"/>
  <c r="X52" i="204"/>
  <c r="Q52" i="204"/>
  <c r="P52" i="204"/>
  <c r="I52" i="204"/>
  <c r="H52" i="204"/>
  <c r="E52" i="204"/>
  <c r="AD51" i="204"/>
  <c r="AC51" i="204"/>
  <c r="AB51" i="204"/>
  <c r="AE51" i="204" s="1"/>
  <c r="AI51" i="204" s="1"/>
  <c r="Y51" i="204" s="1"/>
  <c r="Z51" i="204"/>
  <c r="X51" i="204"/>
  <c r="Q51" i="204"/>
  <c r="P51" i="204"/>
  <c r="H51" i="204"/>
  <c r="E51" i="204"/>
  <c r="I51" i="204" s="1"/>
  <c r="AI50" i="204"/>
  <c r="AE50" i="204"/>
  <c r="AD50" i="204"/>
  <c r="AC50" i="204"/>
  <c r="AB50" i="204"/>
  <c r="Z50" i="204"/>
  <c r="Y50" i="204"/>
  <c r="X50" i="204"/>
  <c r="Q50" i="204"/>
  <c r="P50" i="204"/>
  <c r="I50" i="204"/>
  <c r="H50" i="204"/>
  <c r="E50" i="204"/>
  <c r="AE49" i="204"/>
  <c r="AI49" i="204" s="1"/>
  <c r="Y49" i="204" s="1"/>
  <c r="Z49" i="204"/>
  <c r="X49" i="204"/>
  <c r="Q49" i="204"/>
  <c r="P49" i="204"/>
  <c r="H49" i="204"/>
  <c r="E49" i="204"/>
  <c r="I49" i="204" s="1"/>
  <c r="AE48" i="204"/>
  <c r="AI48" i="204" s="1"/>
  <c r="Y48" i="204" s="1"/>
  <c r="Z48" i="204"/>
  <c r="X48" i="204"/>
  <c r="Q48" i="204"/>
  <c r="P48" i="204"/>
  <c r="H48" i="204"/>
  <c r="E48" i="204"/>
  <c r="I48" i="204" s="1"/>
  <c r="AI47" i="204"/>
  <c r="Y47" i="204" s="1"/>
  <c r="AE47" i="204"/>
  <c r="Z47" i="204"/>
  <c r="X47" i="204"/>
  <c r="Q47" i="204"/>
  <c r="P47" i="204"/>
  <c r="H47" i="204"/>
  <c r="E47" i="204"/>
  <c r="I47" i="204" s="1"/>
  <c r="AD46" i="204"/>
  <c r="AC46" i="204"/>
  <c r="AB46" i="204"/>
  <c r="AE46" i="204" s="1"/>
  <c r="AI46" i="204" s="1"/>
  <c r="Y46" i="204" s="1"/>
  <c r="Z46" i="204"/>
  <c r="X46" i="204"/>
  <c r="Q46" i="204"/>
  <c r="P46" i="204"/>
  <c r="I46" i="204"/>
  <c r="H46" i="204"/>
  <c r="E46" i="204"/>
  <c r="AD45" i="204"/>
  <c r="AC45" i="204"/>
  <c r="AB45" i="204"/>
  <c r="AE45" i="204" s="1"/>
  <c r="AI45" i="204" s="1"/>
  <c r="Y45" i="204" s="1"/>
  <c r="Z45" i="204"/>
  <c r="X45" i="204"/>
  <c r="Q45" i="204"/>
  <c r="P45" i="204"/>
  <c r="H45" i="204"/>
  <c r="E45" i="204"/>
  <c r="I45" i="204" s="1"/>
  <c r="AE44" i="204"/>
  <c r="AI44" i="204" s="1"/>
  <c r="Y44" i="204" s="1"/>
  <c r="AD44" i="204"/>
  <c r="AC44" i="204"/>
  <c r="AB44" i="204"/>
  <c r="Z44" i="204"/>
  <c r="X44" i="204"/>
  <c r="Q44" i="204"/>
  <c r="P44" i="204"/>
  <c r="I44" i="204"/>
  <c r="H44" i="204"/>
  <c r="E44" i="204"/>
  <c r="AD43" i="204"/>
  <c r="AC43" i="204"/>
  <c r="AB43" i="204"/>
  <c r="AE43" i="204" s="1"/>
  <c r="AI43" i="204" s="1"/>
  <c r="Y43" i="204" s="1"/>
  <c r="Z43" i="204"/>
  <c r="X43" i="204"/>
  <c r="Q43" i="204"/>
  <c r="P43" i="204"/>
  <c r="H43" i="204"/>
  <c r="E43" i="204"/>
  <c r="I43" i="204" s="1"/>
  <c r="AI42" i="204"/>
  <c r="Y42" i="204" s="1"/>
  <c r="AE42" i="204"/>
  <c r="AD42" i="204"/>
  <c r="AC42" i="204"/>
  <c r="AB42" i="204"/>
  <c r="Z42" i="204"/>
  <c r="X42" i="204"/>
  <c r="Q42" i="204"/>
  <c r="P42" i="204"/>
  <c r="H42" i="204"/>
  <c r="E42" i="204"/>
  <c r="I42" i="204" s="1"/>
  <c r="AD41" i="204"/>
  <c r="AC41" i="204"/>
  <c r="AB41" i="204"/>
  <c r="AE41" i="204" s="1"/>
  <c r="AI41" i="204" s="1"/>
  <c r="Y41" i="204" s="1"/>
  <c r="Z41" i="204"/>
  <c r="X41" i="204"/>
  <c r="Q41" i="204"/>
  <c r="P41" i="204"/>
  <c r="I41" i="204"/>
  <c r="H41" i="204"/>
  <c r="E41" i="204"/>
  <c r="AD40" i="204"/>
  <c r="AE40" i="204" s="1"/>
  <c r="AI40" i="204" s="1"/>
  <c r="Y40" i="204" s="1"/>
  <c r="AC40" i="204"/>
  <c r="AB40" i="204"/>
  <c r="Z40" i="204"/>
  <c r="X40" i="204"/>
  <c r="Q40" i="204"/>
  <c r="P40" i="204"/>
  <c r="H40" i="204"/>
  <c r="E40" i="204"/>
  <c r="I40" i="204" s="1"/>
  <c r="AD39" i="204"/>
  <c r="AC39" i="204"/>
  <c r="AB39" i="204"/>
  <c r="AE39" i="204" s="1"/>
  <c r="AI39" i="204" s="1"/>
  <c r="Y39" i="204" s="1"/>
  <c r="Z39" i="204"/>
  <c r="X39" i="204"/>
  <c r="Q39" i="204"/>
  <c r="P39" i="204"/>
  <c r="I39" i="204"/>
  <c r="H39" i="204"/>
  <c r="E39" i="204"/>
  <c r="AD38" i="204"/>
  <c r="AC38" i="204"/>
  <c r="AB38" i="204"/>
  <c r="AE38" i="204" s="1"/>
  <c r="AI38" i="204" s="1"/>
  <c r="Y38" i="204" s="1"/>
  <c r="Z38" i="204"/>
  <c r="X38" i="204"/>
  <c r="Q38" i="204"/>
  <c r="P38" i="204"/>
  <c r="H38" i="204"/>
  <c r="E38" i="204"/>
  <c r="I38" i="204" s="1"/>
  <c r="AI37" i="204"/>
  <c r="Y37" i="204" s="1"/>
  <c r="AE37" i="204"/>
  <c r="AD37" i="204"/>
  <c r="AC37" i="204"/>
  <c r="AB37" i="204"/>
  <c r="Z37" i="204"/>
  <c r="X37" i="204"/>
  <c r="Q37" i="204"/>
  <c r="P37" i="204"/>
  <c r="I37" i="204"/>
  <c r="H37" i="204"/>
  <c r="E37" i="204"/>
  <c r="AD36" i="204"/>
  <c r="AC36" i="204"/>
  <c r="AE36" i="204" s="1"/>
  <c r="AI36" i="204" s="1"/>
  <c r="Y36" i="204" s="1"/>
  <c r="AB36" i="204"/>
  <c r="Z36" i="204"/>
  <c r="X36" i="204"/>
  <c r="Q36" i="204"/>
  <c r="P36" i="204"/>
  <c r="I36" i="204"/>
  <c r="H36" i="204"/>
  <c r="E36" i="204"/>
  <c r="AD35" i="204"/>
  <c r="AC35" i="204"/>
  <c r="AB35" i="204"/>
  <c r="AE35" i="204" s="1"/>
  <c r="AI35" i="204" s="1"/>
  <c r="Y35" i="204" s="1"/>
  <c r="Z35" i="204"/>
  <c r="X35" i="204"/>
  <c r="Q35" i="204"/>
  <c r="P35" i="204"/>
  <c r="H35" i="204"/>
  <c r="E35" i="204"/>
  <c r="I35" i="204" s="1"/>
  <c r="AD34" i="204"/>
  <c r="AC34" i="204"/>
  <c r="AB34" i="204"/>
  <c r="AE34" i="204" s="1"/>
  <c r="AI34" i="204" s="1"/>
  <c r="Y34" i="204" s="1"/>
  <c r="Z34" i="204"/>
  <c r="X34" i="204"/>
  <c r="Q34" i="204"/>
  <c r="P34" i="204"/>
  <c r="H34" i="204"/>
  <c r="E34" i="204"/>
  <c r="I34" i="204" s="1"/>
  <c r="AD33" i="204"/>
  <c r="AE33" i="204" s="1"/>
  <c r="AI33" i="204" s="1"/>
  <c r="Y33" i="204" s="1"/>
  <c r="AC33" i="204"/>
  <c r="AB33" i="204"/>
  <c r="Z33" i="204"/>
  <c r="X33" i="204"/>
  <c r="Q33" i="204"/>
  <c r="P33" i="204"/>
  <c r="H33" i="204"/>
  <c r="E33" i="204"/>
  <c r="I33" i="204" s="1"/>
  <c r="AD32" i="204"/>
  <c r="AC32" i="204"/>
  <c r="AB32" i="204"/>
  <c r="AE32" i="204" s="1"/>
  <c r="AI32" i="204" s="1"/>
  <c r="Y32" i="204" s="1"/>
  <c r="Z32" i="204"/>
  <c r="X32" i="204"/>
  <c r="Q32" i="204"/>
  <c r="P32" i="204"/>
  <c r="I32" i="204"/>
  <c r="H32" i="204"/>
  <c r="E32" i="204"/>
  <c r="AE31" i="204"/>
  <c r="AI31" i="204" s="1"/>
  <c r="Y31" i="204" s="1"/>
  <c r="Z31" i="204"/>
  <c r="X31" i="204"/>
  <c r="Q31" i="204"/>
  <c r="P31" i="204"/>
  <c r="I31" i="204"/>
  <c r="H31" i="204"/>
  <c r="E31" i="204"/>
  <c r="AD30" i="204"/>
  <c r="AC30" i="204"/>
  <c r="AB30" i="204"/>
  <c r="AE30" i="204" s="1"/>
  <c r="AI30" i="204" s="1"/>
  <c r="Y30" i="204" s="1"/>
  <c r="Z30" i="204"/>
  <c r="X30" i="204"/>
  <c r="Q30" i="204"/>
  <c r="P30" i="204"/>
  <c r="I30" i="204"/>
  <c r="H30" i="204"/>
  <c r="E30" i="204"/>
  <c r="AE29" i="204"/>
  <c r="AI29" i="204" s="1"/>
  <c r="Y29" i="204" s="1"/>
  <c r="AD29" i="204"/>
  <c r="AC29" i="204"/>
  <c r="AB29" i="204"/>
  <c r="Z29" i="204"/>
  <c r="X29" i="204"/>
  <c r="Q29" i="204"/>
  <c r="P29" i="204"/>
  <c r="I29" i="204"/>
  <c r="H29" i="204"/>
  <c r="E29" i="204"/>
  <c r="AD28" i="204"/>
  <c r="AC28" i="204"/>
  <c r="AB28" i="204"/>
  <c r="AE28" i="204" s="1"/>
  <c r="AI28" i="204" s="1"/>
  <c r="Y28" i="204" s="1"/>
  <c r="Z28" i="204"/>
  <c r="X28" i="204"/>
  <c r="Q28" i="204"/>
  <c r="P28" i="204"/>
  <c r="H28" i="204"/>
  <c r="E28" i="204"/>
  <c r="I28" i="204" s="1"/>
  <c r="AI27" i="204"/>
  <c r="Y27" i="204" s="1"/>
  <c r="AE27" i="204"/>
  <c r="AD27" i="204"/>
  <c r="AC27" i="204"/>
  <c r="AB27" i="204"/>
  <c r="Z27" i="204"/>
  <c r="X27" i="204"/>
  <c r="Q27" i="204"/>
  <c r="P27" i="204"/>
  <c r="H27" i="204"/>
  <c r="E27" i="204"/>
  <c r="I27" i="204" s="1"/>
  <c r="AD26" i="204"/>
  <c r="AC26" i="204"/>
  <c r="AB26" i="204"/>
  <c r="AE26" i="204" s="1"/>
  <c r="AI26" i="204" s="1"/>
  <c r="Y26" i="204" s="1"/>
  <c r="Z26" i="204"/>
  <c r="X26" i="204"/>
  <c r="Q26" i="204"/>
  <c r="P26" i="204"/>
  <c r="I26" i="204"/>
  <c r="H26" i="204"/>
  <c r="E26" i="204"/>
  <c r="AD25" i="204"/>
  <c r="AE25" i="204" s="1"/>
  <c r="AI25" i="204" s="1"/>
  <c r="Y25" i="204" s="1"/>
  <c r="AC25" i="204"/>
  <c r="AB25" i="204"/>
  <c r="Z25" i="204"/>
  <c r="X25" i="204"/>
  <c r="Q25" i="204"/>
  <c r="P25" i="204"/>
  <c r="H25" i="204"/>
  <c r="E25" i="204"/>
  <c r="I25" i="204" s="1"/>
  <c r="AD24" i="204"/>
  <c r="AC24" i="204"/>
  <c r="AB24" i="204"/>
  <c r="AE24" i="204" s="1"/>
  <c r="AI24" i="204" s="1"/>
  <c r="Y24" i="204" s="1"/>
  <c r="Z24" i="204"/>
  <c r="X24" i="204"/>
  <c r="Q24" i="204"/>
  <c r="P24" i="204"/>
  <c r="I24" i="204"/>
  <c r="H24" i="204"/>
  <c r="E24" i="204"/>
  <c r="AD23" i="204"/>
  <c r="AC23" i="204"/>
  <c r="AB23" i="204"/>
  <c r="AE23" i="204" s="1"/>
  <c r="AI23" i="204" s="1"/>
  <c r="Y23" i="204" s="1"/>
  <c r="Z23" i="204"/>
  <c r="X23" i="204"/>
  <c r="Q23" i="204"/>
  <c r="P23" i="204"/>
  <c r="H23" i="204"/>
  <c r="E23" i="204"/>
  <c r="I23" i="204" s="1"/>
  <c r="AI22" i="204"/>
  <c r="Y22" i="204" s="1"/>
  <c r="AE22" i="204"/>
  <c r="AD22" i="204"/>
  <c r="AC22" i="204"/>
  <c r="AB22" i="204"/>
  <c r="Z22" i="204"/>
  <c r="X22" i="204"/>
  <c r="Q22" i="204"/>
  <c r="P22" i="204"/>
  <c r="I22" i="204"/>
  <c r="H22" i="204"/>
  <c r="E22" i="204"/>
  <c r="AD21" i="204"/>
  <c r="AC21" i="204"/>
  <c r="AE21" i="204" s="1"/>
  <c r="AI21" i="204" s="1"/>
  <c r="Y21" i="204" s="1"/>
  <c r="AB21" i="204"/>
  <c r="Z21" i="204"/>
  <c r="X21" i="204"/>
  <c r="Q21" i="204"/>
  <c r="P21" i="204"/>
  <c r="I21" i="204"/>
  <c r="H21" i="204"/>
  <c r="E21" i="204"/>
  <c r="AD20" i="204"/>
  <c r="AC20" i="204"/>
  <c r="AB20" i="204"/>
  <c r="AE20" i="204" s="1"/>
  <c r="AI20" i="204" s="1"/>
  <c r="Y20" i="204" s="1"/>
  <c r="Z20" i="204"/>
  <c r="X20" i="204"/>
  <c r="Q20" i="204"/>
  <c r="P20" i="204"/>
  <c r="H20" i="204"/>
  <c r="E20" i="204"/>
  <c r="I20" i="204" s="1"/>
  <c r="AD19" i="204"/>
  <c r="AC19" i="204"/>
  <c r="AB19" i="204"/>
  <c r="AE19" i="204" s="1"/>
  <c r="AI19" i="204" s="1"/>
  <c r="Y19" i="204" s="1"/>
  <c r="Z19" i="204"/>
  <c r="X19" i="204"/>
  <c r="Q19" i="204"/>
  <c r="P19" i="204"/>
  <c r="I19" i="204"/>
  <c r="H19" i="204"/>
  <c r="E19" i="204"/>
  <c r="AD18" i="204"/>
  <c r="AE18" i="204" s="1"/>
  <c r="AI18" i="204" s="1"/>
  <c r="Y18" i="204" s="1"/>
  <c r="AC18" i="204"/>
  <c r="AB18" i="204"/>
  <c r="Z18" i="204"/>
  <c r="X18" i="204"/>
  <c r="Q18" i="204"/>
  <c r="P18" i="204"/>
  <c r="H18" i="204"/>
  <c r="E18" i="204"/>
  <c r="I18" i="204" s="1"/>
  <c r="AD17" i="204"/>
  <c r="AC17" i="204"/>
  <c r="AB17" i="204"/>
  <c r="AE17" i="204" s="1"/>
  <c r="AI17" i="204" s="1"/>
  <c r="Y17" i="204" s="1"/>
  <c r="Z17" i="204"/>
  <c r="X17" i="204"/>
  <c r="Q17" i="204"/>
  <c r="P17" i="204"/>
  <c r="I17" i="204"/>
  <c r="H17" i="204"/>
  <c r="E17" i="204"/>
  <c r="AE16" i="204"/>
  <c r="AI16" i="204" s="1"/>
  <c r="Y16" i="204" s="1"/>
  <c r="AD16" i="204"/>
  <c r="AC16" i="204"/>
  <c r="AB16" i="204"/>
  <c r="Z16" i="204"/>
  <c r="X16" i="204"/>
  <c r="Q16" i="204"/>
  <c r="P16" i="204"/>
  <c r="I16" i="204"/>
  <c r="E16" i="204"/>
  <c r="AD15" i="204"/>
  <c r="AC15" i="204"/>
  <c r="AB15" i="204"/>
  <c r="AE15" i="204" s="1"/>
  <c r="AI15" i="204" s="1"/>
  <c r="Y15" i="204" s="1"/>
  <c r="Z15" i="204"/>
  <c r="X15" i="204"/>
  <c r="Q15" i="204"/>
  <c r="P15" i="204"/>
  <c r="E15" i="204"/>
  <c r="I15" i="204" s="1"/>
  <c r="AI14" i="204"/>
  <c r="Y14" i="204" s="1"/>
  <c r="AE14" i="204"/>
  <c r="AD14" i="204"/>
  <c r="AC14" i="204"/>
  <c r="AB14" i="204"/>
  <c r="Z14" i="204"/>
  <c r="X14" i="204"/>
  <c r="Q14" i="204"/>
  <c r="P14" i="204"/>
  <c r="I14" i="204"/>
  <c r="H14" i="204"/>
  <c r="E14" i="204"/>
  <c r="AD13" i="204"/>
  <c r="AC13" i="204"/>
  <c r="AB13" i="204"/>
  <c r="AE13" i="204" s="1"/>
  <c r="AI13" i="204" s="1"/>
  <c r="Y13" i="204" s="1"/>
  <c r="Z13" i="204"/>
  <c r="X13" i="204"/>
  <c r="Q13" i="204"/>
  <c r="P13" i="204"/>
  <c r="H13" i="204"/>
  <c r="E13" i="204"/>
  <c r="I13" i="204" s="1"/>
  <c r="AD12" i="204"/>
  <c r="AC12" i="204"/>
  <c r="AE12" i="204" s="1"/>
  <c r="AI12" i="204" s="1"/>
  <c r="Y12" i="204" s="1"/>
  <c r="AB12" i="204"/>
  <c r="Z12" i="204"/>
  <c r="T75" i="204" s="1"/>
  <c r="X12" i="204"/>
  <c r="T77" i="204" s="1"/>
  <c r="Q12" i="204"/>
  <c r="P12" i="204"/>
  <c r="H12" i="204"/>
  <c r="E12" i="204"/>
  <c r="I12" i="204" s="1"/>
  <c r="M79" i="203"/>
  <c r="P71" i="203"/>
  <c r="H71" i="203"/>
  <c r="Q70" i="203"/>
  <c r="P70" i="203"/>
  <c r="I70" i="203"/>
  <c r="H70" i="203"/>
  <c r="E70" i="203"/>
  <c r="Q69" i="203"/>
  <c r="P69" i="203"/>
  <c r="I69" i="203"/>
  <c r="H69" i="203"/>
  <c r="E69" i="203"/>
  <c r="AD68" i="203"/>
  <c r="AC68" i="203"/>
  <c r="AB68" i="203"/>
  <c r="AE68" i="203" s="1"/>
  <c r="AI68" i="203" s="1"/>
  <c r="Y68" i="203" s="1"/>
  <c r="Z68" i="203"/>
  <c r="X68" i="203"/>
  <c r="Q68" i="203"/>
  <c r="P68" i="203"/>
  <c r="H68" i="203"/>
  <c r="E68" i="203"/>
  <c r="I68" i="203" s="1"/>
  <c r="AE67" i="203"/>
  <c r="AI67" i="203" s="1"/>
  <c r="Y67" i="203" s="1"/>
  <c r="AD67" i="203"/>
  <c r="AC67" i="203"/>
  <c r="AB67" i="203"/>
  <c r="Z67" i="203"/>
  <c r="X67" i="203"/>
  <c r="Q67" i="203"/>
  <c r="P67" i="203"/>
  <c r="H67" i="203"/>
  <c r="E67" i="203"/>
  <c r="I67" i="203" s="1"/>
  <c r="AD66" i="203"/>
  <c r="AC66" i="203"/>
  <c r="AB66" i="203"/>
  <c r="AE66" i="203" s="1"/>
  <c r="AI66" i="203" s="1"/>
  <c r="Y66" i="203" s="1"/>
  <c r="Z66" i="203"/>
  <c r="X66" i="203"/>
  <c r="Q66" i="203"/>
  <c r="P66" i="203"/>
  <c r="I66" i="203"/>
  <c r="H66" i="203"/>
  <c r="E66" i="203"/>
  <c r="AD65" i="203"/>
  <c r="AC65" i="203"/>
  <c r="AB65" i="203"/>
  <c r="AE65" i="203" s="1"/>
  <c r="AI65" i="203" s="1"/>
  <c r="Y65" i="203" s="1"/>
  <c r="Z65" i="203"/>
  <c r="X65" i="203"/>
  <c r="Q65" i="203"/>
  <c r="P65" i="203"/>
  <c r="H65" i="203"/>
  <c r="E65" i="203"/>
  <c r="I65" i="203" s="1"/>
  <c r="AE64" i="203"/>
  <c r="AI64" i="203" s="1"/>
  <c r="Y64" i="203" s="1"/>
  <c r="AD64" i="203"/>
  <c r="AC64" i="203"/>
  <c r="AB64" i="203"/>
  <c r="Z64" i="203"/>
  <c r="X64" i="203"/>
  <c r="Q64" i="203"/>
  <c r="P64" i="203"/>
  <c r="I64" i="203"/>
  <c r="H64" i="203"/>
  <c r="E64" i="203"/>
  <c r="AD63" i="203"/>
  <c r="AC63" i="203"/>
  <c r="AB63" i="203"/>
  <c r="AE63" i="203" s="1"/>
  <c r="AI63" i="203" s="1"/>
  <c r="Y63" i="203" s="1"/>
  <c r="Z63" i="203"/>
  <c r="X63" i="203"/>
  <c r="Q63" i="203"/>
  <c r="P63" i="203"/>
  <c r="H63" i="203"/>
  <c r="E63" i="203"/>
  <c r="I63" i="203" s="1"/>
  <c r="AD62" i="203"/>
  <c r="AC62" i="203"/>
  <c r="AB62" i="203"/>
  <c r="AE62" i="203" s="1"/>
  <c r="AI62" i="203" s="1"/>
  <c r="Y62" i="203" s="1"/>
  <c r="Z62" i="203"/>
  <c r="X62" i="203"/>
  <c r="Q62" i="203"/>
  <c r="P62" i="203"/>
  <c r="H62" i="203"/>
  <c r="E62" i="203"/>
  <c r="I62" i="203" s="1"/>
  <c r="AC61" i="203"/>
  <c r="AB61" i="203"/>
  <c r="AE61" i="203" s="1"/>
  <c r="AI61" i="203" s="1"/>
  <c r="Y61" i="203" s="1"/>
  <c r="X61" i="203"/>
  <c r="Q61" i="203"/>
  <c r="P61" i="203"/>
  <c r="H61" i="203"/>
  <c r="E61" i="203"/>
  <c r="I61" i="203" s="1"/>
  <c r="AI60" i="203"/>
  <c r="Y60" i="203" s="1"/>
  <c r="AE60" i="203"/>
  <c r="X60" i="203"/>
  <c r="Q60" i="203"/>
  <c r="P60" i="203"/>
  <c r="H60" i="203"/>
  <c r="E60" i="203"/>
  <c r="I60" i="203" s="1"/>
  <c r="AE59" i="203"/>
  <c r="AI59" i="203" s="1"/>
  <c r="Y59" i="203" s="1"/>
  <c r="AC59" i="203"/>
  <c r="AB59" i="203"/>
  <c r="X59" i="203"/>
  <c r="Q59" i="203"/>
  <c r="P59" i="203"/>
  <c r="H59" i="203"/>
  <c r="E59" i="203"/>
  <c r="I59" i="203" s="1"/>
  <c r="AC58" i="203"/>
  <c r="AB58" i="203"/>
  <c r="AE58" i="203" s="1"/>
  <c r="AI58" i="203" s="1"/>
  <c r="Y58" i="203" s="1"/>
  <c r="X58" i="203"/>
  <c r="Q58" i="203"/>
  <c r="P58" i="203"/>
  <c r="E58" i="203"/>
  <c r="I58" i="203" s="1"/>
  <c r="AE57" i="203"/>
  <c r="AI57" i="203" s="1"/>
  <c r="Y57" i="203" s="1"/>
  <c r="AC57" i="203"/>
  <c r="AB57" i="203"/>
  <c r="X57" i="203"/>
  <c r="Q57" i="203"/>
  <c r="P57" i="203"/>
  <c r="H57" i="203"/>
  <c r="E57" i="203"/>
  <c r="I57" i="203" s="1"/>
  <c r="AE56" i="203"/>
  <c r="AI56" i="203" s="1"/>
  <c r="Y56" i="203" s="1"/>
  <c r="AD56" i="203"/>
  <c r="AC56" i="203"/>
  <c r="AB56" i="203"/>
  <c r="Z56" i="203"/>
  <c r="X56" i="203"/>
  <c r="Q56" i="203"/>
  <c r="P56" i="203"/>
  <c r="I56" i="203"/>
  <c r="H56" i="203"/>
  <c r="E56" i="203"/>
  <c r="AD55" i="203"/>
  <c r="AE55" i="203" s="1"/>
  <c r="AI55" i="203" s="1"/>
  <c r="Y55" i="203" s="1"/>
  <c r="AC55" i="203"/>
  <c r="AB55" i="203"/>
  <c r="Z55" i="203"/>
  <c r="X55" i="203"/>
  <c r="Q55" i="203"/>
  <c r="P55" i="203"/>
  <c r="I55" i="203"/>
  <c r="H55" i="203"/>
  <c r="E55" i="203"/>
  <c r="AD54" i="203"/>
  <c r="AC54" i="203"/>
  <c r="AB54" i="203"/>
  <c r="AE54" i="203" s="1"/>
  <c r="AI54" i="203" s="1"/>
  <c r="Y54" i="203" s="1"/>
  <c r="Z54" i="203"/>
  <c r="X54" i="203"/>
  <c r="Q54" i="203"/>
  <c r="P54" i="203"/>
  <c r="H54" i="203"/>
  <c r="E54" i="203"/>
  <c r="I54" i="203" s="1"/>
  <c r="AD53" i="203"/>
  <c r="AC53" i="203"/>
  <c r="AB53" i="203"/>
  <c r="AE53" i="203" s="1"/>
  <c r="AI53" i="203" s="1"/>
  <c r="Y53" i="203" s="1"/>
  <c r="Z53" i="203"/>
  <c r="X53" i="203"/>
  <c r="Q53" i="203"/>
  <c r="P53" i="203"/>
  <c r="I53" i="203"/>
  <c r="H53" i="203"/>
  <c r="E53" i="203"/>
  <c r="AI52" i="203"/>
  <c r="Y52" i="203" s="1"/>
  <c r="AE52" i="203"/>
  <c r="Z52" i="203"/>
  <c r="X52" i="203"/>
  <c r="Q52" i="203"/>
  <c r="P52" i="203"/>
  <c r="H52" i="203"/>
  <c r="E52" i="203"/>
  <c r="I52" i="203" s="1"/>
  <c r="AE51" i="203"/>
  <c r="AI51" i="203" s="1"/>
  <c r="Y51" i="203" s="1"/>
  <c r="AD51" i="203"/>
  <c r="AC51" i="203"/>
  <c r="AB51" i="203"/>
  <c r="Z51" i="203"/>
  <c r="X51" i="203"/>
  <c r="Q51" i="203"/>
  <c r="P51" i="203"/>
  <c r="H51" i="203"/>
  <c r="E51" i="203"/>
  <c r="I51" i="203" s="1"/>
  <c r="AD50" i="203"/>
  <c r="AC50" i="203"/>
  <c r="AB50" i="203"/>
  <c r="AE50" i="203" s="1"/>
  <c r="AI50" i="203" s="1"/>
  <c r="Y50" i="203" s="1"/>
  <c r="Z50" i="203"/>
  <c r="X50" i="203"/>
  <c r="Q50" i="203"/>
  <c r="P50" i="203"/>
  <c r="I50" i="203"/>
  <c r="H50" i="203"/>
  <c r="E50" i="203"/>
  <c r="AE49" i="203"/>
  <c r="AI49" i="203" s="1"/>
  <c r="Y49" i="203" s="1"/>
  <c r="Z49" i="203"/>
  <c r="X49" i="203"/>
  <c r="Q49" i="203"/>
  <c r="P49" i="203"/>
  <c r="I49" i="203"/>
  <c r="H49" i="203"/>
  <c r="E49" i="203"/>
  <c r="AE48" i="203"/>
  <c r="AI48" i="203" s="1"/>
  <c r="Y48" i="203" s="1"/>
  <c r="Z48" i="203"/>
  <c r="X48" i="203"/>
  <c r="Q48" i="203"/>
  <c r="P48" i="203"/>
  <c r="H48" i="203"/>
  <c r="E48" i="203"/>
  <c r="I48" i="203" s="1"/>
  <c r="AE47" i="203"/>
  <c r="AI47" i="203" s="1"/>
  <c r="Y47" i="203" s="1"/>
  <c r="Z47" i="203"/>
  <c r="X47" i="203"/>
  <c r="Q47" i="203"/>
  <c r="P47" i="203"/>
  <c r="H47" i="203"/>
  <c r="E47" i="203"/>
  <c r="I47" i="203" s="1"/>
  <c r="AI46" i="203"/>
  <c r="Y46" i="203" s="1"/>
  <c r="AE46" i="203"/>
  <c r="AD46" i="203"/>
  <c r="AC46" i="203"/>
  <c r="AB46" i="203"/>
  <c r="Z46" i="203"/>
  <c r="X46" i="203"/>
  <c r="Q46" i="203"/>
  <c r="P46" i="203"/>
  <c r="H46" i="203"/>
  <c r="E46" i="203"/>
  <c r="I46" i="203" s="1"/>
  <c r="AD45" i="203"/>
  <c r="AC45" i="203"/>
  <c r="AE45" i="203" s="1"/>
  <c r="AI45" i="203" s="1"/>
  <c r="Y45" i="203" s="1"/>
  <c r="AB45" i="203"/>
  <c r="Z45" i="203"/>
  <c r="X45" i="203"/>
  <c r="Q45" i="203"/>
  <c r="P45" i="203"/>
  <c r="H45" i="203"/>
  <c r="E45" i="203"/>
  <c r="I45" i="203" s="1"/>
  <c r="AE44" i="203"/>
  <c r="AI44" i="203" s="1"/>
  <c r="Y44" i="203" s="1"/>
  <c r="AD44" i="203"/>
  <c r="AC44" i="203"/>
  <c r="AB44" i="203"/>
  <c r="Z44" i="203"/>
  <c r="X44" i="203"/>
  <c r="Q44" i="203"/>
  <c r="P44" i="203"/>
  <c r="I44" i="203"/>
  <c r="H44" i="203"/>
  <c r="E44" i="203"/>
  <c r="AD43" i="203"/>
  <c r="AE43" i="203" s="1"/>
  <c r="AI43" i="203" s="1"/>
  <c r="Y43" i="203" s="1"/>
  <c r="AC43" i="203"/>
  <c r="AB43" i="203"/>
  <c r="Z43" i="203"/>
  <c r="X43" i="203"/>
  <c r="Q43" i="203"/>
  <c r="P43" i="203"/>
  <c r="I43" i="203"/>
  <c r="H43" i="203"/>
  <c r="E43" i="203"/>
  <c r="AD42" i="203"/>
  <c r="AC42" i="203"/>
  <c r="AB42" i="203"/>
  <c r="AE42" i="203" s="1"/>
  <c r="AI42" i="203" s="1"/>
  <c r="Y42" i="203" s="1"/>
  <c r="Z42" i="203"/>
  <c r="X42" i="203"/>
  <c r="Q42" i="203"/>
  <c r="P42" i="203"/>
  <c r="H42" i="203"/>
  <c r="E42" i="203"/>
  <c r="I42" i="203" s="1"/>
  <c r="AD41" i="203"/>
  <c r="AC41" i="203"/>
  <c r="AB41" i="203"/>
  <c r="AE41" i="203" s="1"/>
  <c r="AI41" i="203" s="1"/>
  <c r="Y41" i="203" s="1"/>
  <c r="Z41" i="203"/>
  <c r="X41" i="203"/>
  <c r="Q41" i="203"/>
  <c r="P41" i="203"/>
  <c r="I41" i="203"/>
  <c r="H41" i="203"/>
  <c r="E41" i="203"/>
  <c r="AD40" i="203"/>
  <c r="AE40" i="203" s="1"/>
  <c r="AI40" i="203" s="1"/>
  <c r="Y40" i="203" s="1"/>
  <c r="AC40" i="203"/>
  <c r="AB40" i="203"/>
  <c r="Z40" i="203"/>
  <c r="X40" i="203"/>
  <c r="Q40" i="203"/>
  <c r="P40" i="203"/>
  <c r="I40" i="203"/>
  <c r="H40" i="203"/>
  <c r="E40" i="203"/>
  <c r="AD39" i="203"/>
  <c r="AC39" i="203"/>
  <c r="AB39" i="203"/>
  <c r="AE39" i="203" s="1"/>
  <c r="AI39" i="203" s="1"/>
  <c r="Y39" i="203" s="1"/>
  <c r="Z39" i="203"/>
  <c r="X39" i="203"/>
  <c r="Q39" i="203"/>
  <c r="P39" i="203"/>
  <c r="H39" i="203"/>
  <c r="E39" i="203"/>
  <c r="I39" i="203" s="1"/>
  <c r="AE38" i="203"/>
  <c r="AI38" i="203" s="1"/>
  <c r="Y38" i="203" s="1"/>
  <c r="AD38" i="203"/>
  <c r="AC38" i="203"/>
  <c r="AB38" i="203"/>
  <c r="Z38" i="203"/>
  <c r="X38" i="203"/>
  <c r="Q38" i="203"/>
  <c r="P38" i="203"/>
  <c r="H38" i="203"/>
  <c r="E38" i="203"/>
  <c r="I38" i="203" s="1"/>
  <c r="AD37" i="203"/>
  <c r="AC37" i="203"/>
  <c r="AB37" i="203"/>
  <c r="AE37" i="203" s="1"/>
  <c r="AI37" i="203" s="1"/>
  <c r="Y37" i="203" s="1"/>
  <c r="Z37" i="203"/>
  <c r="X37" i="203"/>
  <c r="Q37" i="203"/>
  <c r="P37" i="203"/>
  <c r="I37" i="203"/>
  <c r="H37" i="203"/>
  <c r="E37" i="203"/>
  <c r="AD36" i="203"/>
  <c r="AC36" i="203"/>
  <c r="AB36" i="203"/>
  <c r="AE36" i="203" s="1"/>
  <c r="AI36" i="203" s="1"/>
  <c r="Y36" i="203" s="1"/>
  <c r="Z36" i="203"/>
  <c r="X36" i="203"/>
  <c r="Q36" i="203"/>
  <c r="P36" i="203"/>
  <c r="H36" i="203"/>
  <c r="E36" i="203"/>
  <c r="I36" i="203" s="1"/>
  <c r="AE35" i="203"/>
  <c r="AI35" i="203" s="1"/>
  <c r="Y35" i="203" s="1"/>
  <c r="AD35" i="203"/>
  <c r="AC35" i="203"/>
  <c r="AB35" i="203"/>
  <c r="Z35" i="203"/>
  <c r="X35" i="203"/>
  <c r="Q35" i="203"/>
  <c r="P35" i="203"/>
  <c r="I35" i="203"/>
  <c r="H35" i="203"/>
  <c r="E35" i="203"/>
  <c r="AD34" i="203"/>
  <c r="AC34" i="203"/>
  <c r="AB34" i="203"/>
  <c r="AE34" i="203" s="1"/>
  <c r="AI34" i="203" s="1"/>
  <c r="Y34" i="203" s="1"/>
  <c r="Z34" i="203"/>
  <c r="X34" i="203"/>
  <c r="Q34" i="203"/>
  <c r="P34" i="203"/>
  <c r="H34" i="203"/>
  <c r="E34" i="203"/>
  <c r="I34" i="203" s="1"/>
  <c r="AD33" i="203"/>
  <c r="AC33" i="203"/>
  <c r="AB33" i="203"/>
  <c r="AE33" i="203" s="1"/>
  <c r="AI33" i="203" s="1"/>
  <c r="Y33" i="203" s="1"/>
  <c r="Z33" i="203"/>
  <c r="X33" i="203"/>
  <c r="Q33" i="203"/>
  <c r="P33" i="203"/>
  <c r="H33" i="203"/>
  <c r="E33" i="203"/>
  <c r="I33" i="203" s="1"/>
  <c r="AD32" i="203"/>
  <c r="AC32" i="203"/>
  <c r="AE32" i="203" s="1"/>
  <c r="AI32" i="203" s="1"/>
  <c r="Y32" i="203" s="1"/>
  <c r="AB32" i="203"/>
  <c r="Z32" i="203"/>
  <c r="X32" i="203"/>
  <c r="Q32" i="203"/>
  <c r="P32" i="203"/>
  <c r="I32" i="203"/>
  <c r="H32" i="203"/>
  <c r="E32" i="203"/>
  <c r="AE31" i="203"/>
  <c r="AI31" i="203" s="1"/>
  <c r="Y31" i="203" s="1"/>
  <c r="Z31" i="203"/>
  <c r="X31" i="203"/>
  <c r="Q31" i="203"/>
  <c r="P31" i="203"/>
  <c r="I31" i="203"/>
  <c r="H31" i="203"/>
  <c r="E31" i="203"/>
  <c r="AD30" i="203"/>
  <c r="AC30" i="203"/>
  <c r="AE30" i="203" s="1"/>
  <c r="AI30" i="203" s="1"/>
  <c r="Y30" i="203" s="1"/>
  <c r="AB30" i="203"/>
  <c r="Z30" i="203"/>
  <c r="X30" i="203"/>
  <c r="Q30" i="203"/>
  <c r="P30" i="203"/>
  <c r="H30" i="203"/>
  <c r="E30" i="203"/>
  <c r="I30" i="203" s="1"/>
  <c r="AE29" i="203"/>
  <c r="AI29" i="203" s="1"/>
  <c r="Y29" i="203" s="1"/>
  <c r="AD29" i="203"/>
  <c r="AC29" i="203"/>
  <c r="AB29" i="203"/>
  <c r="Z29" i="203"/>
  <c r="X29" i="203"/>
  <c r="Q29" i="203"/>
  <c r="P29" i="203"/>
  <c r="I29" i="203"/>
  <c r="H29" i="203"/>
  <c r="E29" i="203"/>
  <c r="AD28" i="203"/>
  <c r="AE28" i="203" s="1"/>
  <c r="AI28" i="203" s="1"/>
  <c r="Y28" i="203" s="1"/>
  <c r="AC28" i="203"/>
  <c r="AB28" i="203"/>
  <c r="Z28" i="203"/>
  <c r="X28" i="203"/>
  <c r="Q28" i="203"/>
  <c r="P28" i="203"/>
  <c r="I28" i="203"/>
  <c r="H28" i="203"/>
  <c r="E28" i="203"/>
  <c r="AD27" i="203"/>
  <c r="AC27" i="203"/>
  <c r="AB27" i="203"/>
  <c r="AE27" i="203" s="1"/>
  <c r="AI27" i="203" s="1"/>
  <c r="Y27" i="203" s="1"/>
  <c r="Z27" i="203"/>
  <c r="X27" i="203"/>
  <c r="Q27" i="203"/>
  <c r="P27" i="203"/>
  <c r="H27" i="203"/>
  <c r="E27" i="203"/>
  <c r="I27" i="203" s="1"/>
  <c r="AD26" i="203"/>
  <c r="AC26" i="203"/>
  <c r="AB26" i="203"/>
  <c r="AE26" i="203" s="1"/>
  <c r="AI26" i="203" s="1"/>
  <c r="Y26" i="203" s="1"/>
  <c r="Z26" i="203"/>
  <c r="X26" i="203"/>
  <c r="Q26" i="203"/>
  <c r="P26" i="203"/>
  <c r="I26" i="203"/>
  <c r="H26" i="203"/>
  <c r="E26" i="203"/>
  <c r="AD25" i="203"/>
  <c r="AE25" i="203" s="1"/>
  <c r="AI25" i="203" s="1"/>
  <c r="Y25" i="203" s="1"/>
  <c r="AC25" i="203"/>
  <c r="AB25" i="203"/>
  <c r="Z25" i="203"/>
  <c r="X25" i="203"/>
  <c r="Q25" i="203"/>
  <c r="P25" i="203"/>
  <c r="I25" i="203"/>
  <c r="H25" i="203"/>
  <c r="E25" i="203"/>
  <c r="AD24" i="203"/>
  <c r="AC24" i="203"/>
  <c r="AB24" i="203"/>
  <c r="AE24" i="203" s="1"/>
  <c r="AI24" i="203" s="1"/>
  <c r="Y24" i="203" s="1"/>
  <c r="Z24" i="203"/>
  <c r="X24" i="203"/>
  <c r="Q24" i="203"/>
  <c r="P24" i="203"/>
  <c r="H24" i="203"/>
  <c r="E24" i="203"/>
  <c r="I24" i="203" s="1"/>
  <c r="AE23" i="203"/>
  <c r="AI23" i="203" s="1"/>
  <c r="Y23" i="203" s="1"/>
  <c r="AD23" i="203"/>
  <c r="AC23" i="203"/>
  <c r="AB23" i="203"/>
  <c r="Z23" i="203"/>
  <c r="X23" i="203"/>
  <c r="Q23" i="203"/>
  <c r="P23" i="203"/>
  <c r="H23" i="203"/>
  <c r="E23" i="203"/>
  <c r="I23" i="203" s="1"/>
  <c r="AD22" i="203"/>
  <c r="AC22" i="203"/>
  <c r="AB22" i="203"/>
  <c r="AE22" i="203" s="1"/>
  <c r="AI22" i="203" s="1"/>
  <c r="Y22" i="203" s="1"/>
  <c r="Z22" i="203"/>
  <c r="X22" i="203"/>
  <c r="Q22" i="203"/>
  <c r="P22" i="203"/>
  <c r="I22" i="203"/>
  <c r="H22" i="203"/>
  <c r="E22" i="203"/>
  <c r="AD21" i="203"/>
  <c r="AC21" i="203"/>
  <c r="AB21" i="203"/>
  <c r="AE21" i="203" s="1"/>
  <c r="AI21" i="203" s="1"/>
  <c r="Y21" i="203" s="1"/>
  <c r="Z21" i="203"/>
  <c r="X21" i="203"/>
  <c r="Q21" i="203"/>
  <c r="P21" i="203"/>
  <c r="H21" i="203"/>
  <c r="E21" i="203"/>
  <c r="I21" i="203" s="1"/>
  <c r="AE20" i="203"/>
  <c r="AI20" i="203" s="1"/>
  <c r="Y20" i="203" s="1"/>
  <c r="AD20" i="203"/>
  <c r="AC20" i="203"/>
  <c r="AB20" i="203"/>
  <c r="Z20" i="203"/>
  <c r="X20" i="203"/>
  <c r="Q20" i="203"/>
  <c r="P20" i="203"/>
  <c r="I20" i="203"/>
  <c r="H20" i="203"/>
  <c r="E20" i="203"/>
  <c r="AD19" i="203"/>
  <c r="AC19" i="203"/>
  <c r="AB19" i="203"/>
  <c r="AE19" i="203" s="1"/>
  <c r="AI19" i="203" s="1"/>
  <c r="Y19" i="203" s="1"/>
  <c r="Z19" i="203"/>
  <c r="X19" i="203"/>
  <c r="Q19" i="203"/>
  <c r="P19" i="203"/>
  <c r="H19" i="203"/>
  <c r="E19" i="203"/>
  <c r="I19" i="203" s="1"/>
  <c r="AD18" i="203"/>
  <c r="AE18" i="203" s="1"/>
  <c r="AI18" i="203" s="1"/>
  <c r="Y18" i="203" s="1"/>
  <c r="AC18" i="203"/>
  <c r="AB18" i="203"/>
  <c r="Z18" i="203"/>
  <c r="X18" i="203"/>
  <c r="Q18" i="203"/>
  <c r="P18" i="203"/>
  <c r="H18" i="203"/>
  <c r="E18" i="203"/>
  <c r="I18" i="203" s="1"/>
  <c r="AD17" i="203"/>
  <c r="AC17" i="203"/>
  <c r="AE17" i="203" s="1"/>
  <c r="AI17" i="203" s="1"/>
  <c r="Y17" i="203" s="1"/>
  <c r="AB17" i="203"/>
  <c r="Z17" i="203"/>
  <c r="X17" i="203"/>
  <c r="Q17" i="203"/>
  <c r="P17" i="203"/>
  <c r="I17" i="203"/>
  <c r="H17" i="203"/>
  <c r="E17" i="203"/>
  <c r="AD16" i="203"/>
  <c r="AC16" i="203"/>
  <c r="AB16" i="203"/>
  <c r="AE16" i="203" s="1"/>
  <c r="AI16" i="203" s="1"/>
  <c r="Y16" i="203" s="1"/>
  <c r="Z16" i="203"/>
  <c r="T75" i="203" s="1"/>
  <c r="X16" i="203"/>
  <c r="Q16" i="203"/>
  <c r="P16" i="203"/>
  <c r="E16" i="203"/>
  <c r="I16" i="203" s="1"/>
  <c r="AE15" i="203"/>
  <c r="AI15" i="203" s="1"/>
  <c r="Y15" i="203" s="1"/>
  <c r="AD15" i="203"/>
  <c r="AC15" i="203"/>
  <c r="AB15" i="203"/>
  <c r="Z15" i="203"/>
  <c r="X15" i="203"/>
  <c r="Q15" i="203"/>
  <c r="P15" i="203"/>
  <c r="I15" i="203"/>
  <c r="E15" i="203"/>
  <c r="AD14" i="203"/>
  <c r="AC14" i="203"/>
  <c r="AB14" i="203"/>
  <c r="AE14" i="203" s="1"/>
  <c r="AI14" i="203" s="1"/>
  <c r="Y14" i="203" s="1"/>
  <c r="Z14" i="203"/>
  <c r="X14" i="203"/>
  <c r="Q14" i="203"/>
  <c r="P14" i="203"/>
  <c r="H14" i="203"/>
  <c r="E14" i="203"/>
  <c r="I14" i="203" s="1"/>
  <c r="AE13" i="203"/>
  <c r="AI13" i="203" s="1"/>
  <c r="Y13" i="203" s="1"/>
  <c r="AD13" i="203"/>
  <c r="AC13" i="203"/>
  <c r="AB13" i="203"/>
  <c r="Z13" i="203"/>
  <c r="X13" i="203"/>
  <c r="Q13" i="203"/>
  <c r="P13" i="203"/>
  <c r="H13" i="203"/>
  <c r="E13" i="203"/>
  <c r="I13" i="203" s="1"/>
  <c r="AD12" i="203"/>
  <c r="AC12" i="203"/>
  <c r="AB12" i="203"/>
  <c r="AE12" i="203" s="1"/>
  <c r="AI12" i="203" s="1"/>
  <c r="Y12" i="203" s="1"/>
  <c r="Z12" i="203"/>
  <c r="X12" i="203"/>
  <c r="Q12" i="203"/>
  <c r="P12" i="203"/>
  <c r="I12" i="203"/>
  <c r="H12" i="203"/>
  <c r="E12" i="203"/>
  <c r="O73" i="203" l="1"/>
  <c r="O75" i="203"/>
  <c r="T77" i="203"/>
  <c r="O73" i="204"/>
  <c r="O75" i="204"/>
  <c r="F73" i="204"/>
  <c r="T79" i="204"/>
  <c r="F75" i="204"/>
  <c r="T73" i="204"/>
  <c r="F75" i="203"/>
  <c r="F73" i="203"/>
  <c r="T73" i="203"/>
  <c r="T79" i="203" s="1"/>
  <c r="M79" i="202"/>
  <c r="P71" i="202"/>
  <c r="H71" i="202"/>
  <c r="Q70" i="202"/>
  <c r="P70" i="202"/>
  <c r="H70" i="202"/>
  <c r="E70" i="202"/>
  <c r="I70" i="202" s="1"/>
  <c r="Q69" i="202"/>
  <c r="P69" i="202"/>
  <c r="I69" i="202"/>
  <c r="H69" i="202"/>
  <c r="E69" i="202"/>
  <c r="AD68" i="202"/>
  <c r="AC68" i="202"/>
  <c r="AB68" i="202"/>
  <c r="AE68" i="202" s="1"/>
  <c r="AI68" i="202" s="1"/>
  <c r="Y68" i="202" s="1"/>
  <c r="Z68" i="202"/>
  <c r="X68" i="202"/>
  <c r="Q68" i="202"/>
  <c r="P68" i="202"/>
  <c r="H68" i="202"/>
  <c r="E68" i="202"/>
  <c r="I68" i="202" s="1"/>
  <c r="AD67" i="202"/>
  <c r="AC67" i="202"/>
  <c r="AE67" i="202" s="1"/>
  <c r="AI67" i="202" s="1"/>
  <c r="Y67" i="202" s="1"/>
  <c r="AB67" i="202"/>
  <c r="Z67" i="202"/>
  <c r="X67" i="202"/>
  <c r="Q67" i="202"/>
  <c r="P67" i="202"/>
  <c r="H67" i="202"/>
  <c r="E67" i="202"/>
  <c r="I67" i="202" s="1"/>
  <c r="AD66" i="202"/>
  <c r="AC66" i="202"/>
  <c r="AB66" i="202"/>
  <c r="AE66" i="202" s="1"/>
  <c r="AI66" i="202" s="1"/>
  <c r="Y66" i="202" s="1"/>
  <c r="Z66" i="202"/>
  <c r="X66" i="202"/>
  <c r="Q66" i="202"/>
  <c r="P66" i="202"/>
  <c r="H66" i="202"/>
  <c r="E66" i="202"/>
  <c r="I66" i="202" s="1"/>
  <c r="AD65" i="202"/>
  <c r="AC65" i="202"/>
  <c r="AB65" i="202"/>
  <c r="AE65" i="202" s="1"/>
  <c r="AI65" i="202" s="1"/>
  <c r="Y65" i="202" s="1"/>
  <c r="Z65" i="202"/>
  <c r="X65" i="202"/>
  <c r="Q65" i="202"/>
  <c r="P65" i="202"/>
  <c r="H65" i="202"/>
  <c r="E65" i="202"/>
  <c r="I65" i="202" s="1"/>
  <c r="AD64" i="202"/>
  <c r="AE64" i="202" s="1"/>
  <c r="AI64" i="202" s="1"/>
  <c r="Y64" i="202" s="1"/>
  <c r="AC64" i="202"/>
  <c r="AB64" i="202"/>
  <c r="Z64" i="202"/>
  <c r="X64" i="202"/>
  <c r="Q64" i="202"/>
  <c r="P64" i="202"/>
  <c r="H64" i="202"/>
  <c r="E64" i="202"/>
  <c r="I64" i="202" s="1"/>
  <c r="AD63" i="202"/>
  <c r="AC63" i="202"/>
  <c r="AE63" i="202" s="1"/>
  <c r="AI63" i="202" s="1"/>
  <c r="Y63" i="202" s="1"/>
  <c r="AB63" i="202"/>
  <c r="Z63" i="202"/>
  <c r="X63" i="202"/>
  <c r="Q63" i="202"/>
  <c r="P63" i="202"/>
  <c r="H63" i="202"/>
  <c r="E63" i="202"/>
  <c r="I63" i="202" s="1"/>
  <c r="AD62" i="202"/>
  <c r="AE62" i="202" s="1"/>
  <c r="AI62" i="202" s="1"/>
  <c r="Y62" i="202" s="1"/>
  <c r="AC62" i="202"/>
  <c r="AB62" i="202"/>
  <c r="Z62" i="202"/>
  <c r="X62" i="202"/>
  <c r="Q62" i="202"/>
  <c r="P62" i="202"/>
  <c r="H62" i="202"/>
  <c r="E62" i="202"/>
  <c r="I62" i="202" s="1"/>
  <c r="AE61" i="202"/>
  <c r="AI61" i="202" s="1"/>
  <c r="Y61" i="202" s="1"/>
  <c r="AC61" i="202"/>
  <c r="AB61" i="202"/>
  <c r="X61" i="202"/>
  <c r="Q61" i="202"/>
  <c r="P61" i="202"/>
  <c r="H61" i="202"/>
  <c r="E61" i="202"/>
  <c r="I61" i="202" s="1"/>
  <c r="AI60" i="202"/>
  <c r="Y60" i="202" s="1"/>
  <c r="AE60" i="202"/>
  <c r="X60" i="202"/>
  <c r="Q60" i="202"/>
  <c r="P60" i="202"/>
  <c r="I60" i="202"/>
  <c r="H60" i="202"/>
  <c r="E60" i="202"/>
  <c r="AE59" i="202"/>
  <c r="AI59" i="202" s="1"/>
  <c r="Y59" i="202" s="1"/>
  <c r="AC59" i="202"/>
  <c r="AB59" i="202"/>
  <c r="X59" i="202"/>
  <c r="Q59" i="202"/>
  <c r="P59" i="202"/>
  <c r="H59" i="202"/>
  <c r="E59" i="202"/>
  <c r="I59" i="202" s="1"/>
  <c r="AC58" i="202"/>
  <c r="AB58" i="202"/>
  <c r="AE58" i="202" s="1"/>
  <c r="AI58" i="202" s="1"/>
  <c r="Y58" i="202" s="1"/>
  <c r="X58" i="202"/>
  <c r="Q58" i="202"/>
  <c r="P58" i="202"/>
  <c r="I58" i="202"/>
  <c r="E58" i="202"/>
  <c r="AC57" i="202"/>
  <c r="AE57" i="202" s="1"/>
  <c r="AI57" i="202" s="1"/>
  <c r="Y57" i="202" s="1"/>
  <c r="AB57" i="202"/>
  <c r="X57" i="202"/>
  <c r="Q57" i="202"/>
  <c r="P57" i="202"/>
  <c r="I57" i="202"/>
  <c r="H57" i="202"/>
  <c r="E57" i="202"/>
  <c r="AE56" i="202"/>
  <c r="AI56" i="202" s="1"/>
  <c r="Y56" i="202" s="1"/>
  <c r="AD56" i="202"/>
  <c r="AC56" i="202"/>
  <c r="AB56" i="202"/>
  <c r="Z56" i="202"/>
  <c r="X56" i="202"/>
  <c r="Q56" i="202"/>
  <c r="P56" i="202"/>
  <c r="I56" i="202"/>
  <c r="H56" i="202"/>
  <c r="E56" i="202"/>
  <c r="AD55" i="202"/>
  <c r="AC55" i="202"/>
  <c r="AB55" i="202"/>
  <c r="AE55" i="202" s="1"/>
  <c r="AI55" i="202" s="1"/>
  <c r="Y55" i="202" s="1"/>
  <c r="Z55" i="202"/>
  <c r="X55" i="202"/>
  <c r="Q55" i="202"/>
  <c r="P55" i="202"/>
  <c r="I55" i="202"/>
  <c r="H55" i="202"/>
  <c r="E55" i="202"/>
  <c r="AD54" i="202"/>
  <c r="AC54" i="202"/>
  <c r="AB54" i="202"/>
  <c r="AE54" i="202" s="1"/>
  <c r="AI54" i="202" s="1"/>
  <c r="Y54" i="202" s="1"/>
  <c r="Z54" i="202"/>
  <c r="X54" i="202"/>
  <c r="Q54" i="202"/>
  <c r="P54" i="202"/>
  <c r="H54" i="202"/>
  <c r="E54" i="202"/>
  <c r="I54" i="202" s="1"/>
  <c r="AD53" i="202"/>
  <c r="AC53" i="202"/>
  <c r="AB53" i="202"/>
  <c r="AE53" i="202" s="1"/>
  <c r="AI53" i="202" s="1"/>
  <c r="Y53" i="202" s="1"/>
  <c r="Z53" i="202"/>
  <c r="X53" i="202"/>
  <c r="Q53" i="202"/>
  <c r="P53" i="202"/>
  <c r="I53" i="202"/>
  <c r="H53" i="202"/>
  <c r="E53" i="202"/>
  <c r="AE52" i="202"/>
  <c r="AI52" i="202" s="1"/>
  <c r="Y52" i="202" s="1"/>
  <c r="Z52" i="202"/>
  <c r="X52" i="202"/>
  <c r="Q52" i="202"/>
  <c r="P52" i="202"/>
  <c r="H52" i="202"/>
  <c r="E52" i="202"/>
  <c r="I52" i="202" s="1"/>
  <c r="AD51" i="202"/>
  <c r="AC51" i="202"/>
  <c r="AE51" i="202" s="1"/>
  <c r="AI51" i="202" s="1"/>
  <c r="Y51" i="202" s="1"/>
  <c r="AB51" i="202"/>
  <c r="Z51" i="202"/>
  <c r="X51" i="202"/>
  <c r="Q51" i="202"/>
  <c r="P51" i="202"/>
  <c r="H51" i="202"/>
  <c r="E51" i="202"/>
  <c r="I51" i="202" s="1"/>
  <c r="AD50" i="202"/>
  <c r="AC50" i="202"/>
  <c r="AB50" i="202"/>
  <c r="AE50" i="202" s="1"/>
  <c r="AI50" i="202" s="1"/>
  <c r="Y50" i="202" s="1"/>
  <c r="Z50" i="202"/>
  <c r="X50" i="202"/>
  <c r="Q50" i="202"/>
  <c r="P50" i="202"/>
  <c r="H50" i="202"/>
  <c r="E50" i="202"/>
  <c r="I50" i="202" s="1"/>
  <c r="AI49" i="202"/>
  <c r="AE49" i="202"/>
  <c r="Z49" i="202"/>
  <c r="Y49" i="202"/>
  <c r="X49" i="202"/>
  <c r="Q49" i="202"/>
  <c r="P49" i="202"/>
  <c r="H49" i="202"/>
  <c r="E49" i="202"/>
  <c r="I49" i="202" s="1"/>
  <c r="AE48" i="202"/>
  <c r="AI48" i="202" s="1"/>
  <c r="Y48" i="202" s="1"/>
  <c r="Z48" i="202"/>
  <c r="X48" i="202"/>
  <c r="Q48" i="202"/>
  <c r="P48" i="202"/>
  <c r="H48" i="202"/>
  <c r="E48" i="202"/>
  <c r="I48" i="202" s="1"/>
  <c r="AE47" i="202"/>
  <c r="AI47" i="202" s="1"/>
  <c r="Y47" i="202" s="1"/>
  <c r="Z47" i="202"/>
  <c r="X47" i="202"/>
  <c r="Q47" i="202"/>
  <c r="P47" i="202"/>
  <c r="H47" i="202"/>
  <c r="E47" i="202"/>
  <c r="I47" i="202" s="1"/>
  <c r="AE46" i="202"/>
  <c r="AI46" i="202" s="1"/>
  <c r="Y46" i="202" s="1"/>
  <c r="AD46" i="202"/>
  <c r="AC46" i="202"/>
  <c r="AB46" i="202"/>
  <c r="Z46" i="202"/>
  <c r="X46" i="202"/>
  <c r="Q46" i="202"/>
  <c r="P46" i="202"/>
  <c r="I46" i="202"/>
  <c r="H46" i="202"/>
  <c r="E46" i="202"/>
  <c r="AD45" i="202"/>
  <c r="AC45" i="202"/>
  <c r="AB45" i="202"/>
  <c r="AE45" i="202" s="1"/>
  <c r="AI45" i="202" s="1"/>
  <c r="Y45" i="202" s="1"/>
  <c r="Z45" i="202"/>
  <c r="X45" i="202"/>
  <c r="Q45" i="202"/>
  <c r="P45" i="202"/>
  <c r="I45" i="202"/>
  <c r="H45" i="202"/>
  <c r="E45" i="202"/>
  <c r="AE44" i="202"/>
  <c r="AI44" i="202" s="1"/>
  <c r="Y44" i="202" s="1"/>
  <c r="AD44" i="202"/>
  <c r="AC44" i="202"/>
  <c r="AB44" i="202"/>
  <c r="Z44" i="202"/>
  <c r="X44" i="202"/>
  <c r="Q44" i="202"/>
  <c r="P44" i="202"/>
  <c r="I44" i="202"/>
  <c r="H44" i="202"/>
  <c r="E44" i="202"/>
  <c r="AD43" i="202"/>
  <c r="AC43" i="202"/>
  <c r="AB43" i="202"/>
  <c r="AE43" i="202" s="1"/>
  <c r="AI43" i="202" s="1"/>
  <c r="Y43" i="202" s="1"/>
  <c r="Z43" i="202"/>
  <c r="X43" i="202"/>
  <c r="Q43" i="202"/>
  <c r="P43" i="202"/>
  <c r="I43" i="202"/>
  <c r="H43" i="202"/>
  <c r="E43" i="202"/>
  <c r="AD42" i="202"/>
  <c r="AC42" i="202"/>
  <c r="AB42" i="202"/>
  <c r="AE42" i="202" s="1"/>
  <c r="AI42" i="202" s="1"/>
  <c r="Y42" i="202" s="1"/>
  <c r="Z42" i="202"/>
  <c r="X42" i="202"/>
  <c r="Q42" i="202"/>
  <c r="P42" i="202"/>
  <c r="H42" i="202"/>
  <c r="E42" i="202"/>
  <c r="I42" i="202" s="1"/>
  <c r="AD41" i="202"/>
  <c r="AC41" i="202"/>
  <c r="AB41" i="202"/>
  <c r="AE41" i="202" s="1"/>
  <c r="AI41" i="202" s="1"/>
  <c r="Y41" i="202" s="1"/>
  <c r="Z41" i="202"/>
  <c r="X41" i="202"/>
  <c r="Q41" i="202"/>
  <c r="P41" i="202"/>
  <c r="I41" i="202"/>
  <c r="H41" i="202"/>
  <c r="E41" i="202"/>
  <c r="AD40" i="202"/>
  <c r="AC40" i="202"/>
  <c r="AE40" i="202" s="1"/>
  <c r="AI40" i="202" s="1"/>
  <c r="Y40" i="202" s="1"/>
  <c r="AB40" i="202"/>
  <c r="Z40" i="202"/>
  <c r="X40" i="202"/>
  <c r="Q40" i="202"/>
  <c r="P40" i="202"/>
  <c r="I40" i="202"/>
  <c r="H40" i="202"/>
  <c r="E40" i="202"/>
  <c r="AD39" i="202"/>
  <c r="AC39" i="202"/>
  <c r="AB39" i="202"/>
  <c r="AE39" i="202" s="1"/>
  <c r="AI39" i="202" s="1"/>
  <c r="Y39" i="202" s="1"/>
  <c r="Z39" i="202"/>
  <c r="X39" i="202"/>
  <c r="Q39" i="202"/>
  <c r="P39" i="202"/>
  <c r="H39" i="202"/>
  <c r="E39" i="202"/>
  <c r="I39" i="202" s="1"/>
  <c r="AD38" i="202"/>
  <c r="AC38" i="202"/>
  <c r="AE38" i="202" s="1"/>
  <c r="AI38" i="202" s="1"/>
  <c r="Y38" i="202" s="1"/>
  <c r="AB38" i="202"/>
  <c r="Z38" i="202"/>
  <c r="X38" i="202"/>
  <c r="Q38" i="202"/>
  <c r="P38" i="202"/>
  <c r="H38" i="202"/>
  <c r="E38" i="202"/>
  <c r="I38" i="202" s="1"/>
  <c r="AD37" i="202"/>
  <c r="AC37" i="202"/>
  <c r="AB37" i="202"/>
  <c r="AE37" i="202" s="1"/>
  <c r="AI37" i="202" s="1"/>
  <c r="Y37" i="202" s="1"/>
  <c r="Z37" i="202"/>
  <c r="X37" i="202"/>
  <c r="Q37" i="202"/>
  <c r="P37" i="202"/>
  <c r="H37" i="202"/>
  <c r="E37" i="202"/>
  <c r="I37" i="202" s="1"/>
  <c r="AD36" i="202"/>
  <c r="AC36" i="202"/>
  <c r="AB36" i="202"/>
  <c r="AE36" i="202" s="1"/>
  <c r="AI36" i="202" s="1"/>
  <c r="Y36" i="202" s="1"/>
  <c r="Z36" i="202"/>
  <c r="X36" i="202"/>
  <c r="Q36" i="202"/>
  <c r="P36" i="202"/>
  <c r="H36" i="202"/>
  <c r="E36" i="202"/>
  <c r="I36" i="202" s="1"/>
  <c r="AD35" i="202"/>
  <c r="AE35" i="202" s="1"/>
  <c r="AI35" i="202" s="1"/>
  <c r="Y35" i="202" s="1"/>
  <c r="AC35" i="202"/>
  <c r="AB35" i="202"/>
  <c r="Z35" i="202"/>
  <c r="X35" i="202"/>
  <c r="Q35" i="202"/>
  <c r="P35" i="202"/>
  <c r="H35" i="202"/>
  <c r="E35" i="202"/>
  <c r="I35" i="202" s="1"/>
  <c r="AD34" i="202"/>
  <c r="AC34" i="202"/>
  <c r="AE34" i="202" s="1"/>
  <c r="AI34" i="202" s="1"/>
  <c r="Y34" i="202" s="1"/>
  <c r="AB34" i="202"/>
  <c r="Z34" i="202"/>
  <c r="X34" i="202"/>
  <c r="Q34" i="202"/>
  <c r="P34" i="202"/>
  <c r="H34" i="202"/>
  <c r="E34" i="202"/>
  <c r="I34" i="202" s="1"/>
  <c r="AD33" i="202"/>
  <c r="AE33" i="202" s="1"/>
  <c r="AI33" i="202" s="1"/>
  <c r="Y33" i="202" s="1"/>
  <c r="AC33" i="202"/>
  <c r="AB33" i="202"/>
  <c r="Z33" i="202"/>
  <c r="X33" i="202"/>
  <c r="Q33" i="202"/>
  <c r="P33" i="202"/>
  <c r="H33" i="202"/>
  <c r="E33" i="202"/>
  <c r="I33" i="202" s="1"/>
  <c r="AE32" i="202"/>
  <c r="AI32" i="202" s="1"/>
  <c r="Y32" i="202" s="1"/>
  <c r="AD32" i="202"/>
  <c r="AC32" i="202"/>
  <c r="AB32" i="202"/>
  <c r="Z32" i="202"/>
  <c r="X32" i="202"/>
  <c r="Q32" i="202"/>
  <c r="P32" i="202"/>
  <c r="I32" i="202"/>
  <c r="H32" i="202"/>
  <c r="E32" i="202"/>
  <c r="AE31" i="202"/>
  <c r="AI31" i="202" s="1"/>
  <c r="Y31" i="202" s="1"/>
  <c r="Z31" i="202"/>
  <c r="X31" i="202"/>
  <c r="Q31" i="202"/>
  <c r="P31" i="202"/>
  <c r="I31" i="202"/>
  <c r="H31" i="202"/>
  <c r="E31" i="202"/>
  <c r="AD30" i="202"/>
  <c r="AC30" i="202"/>
  <c r="AB30" i="202"/>
  <c r="AE30" i="202" s="1"/>
  <c r="AI30" i="202" s="1"/>
  <c r="Y30" i="202" s="1"/>
  <c r="Z30" i="202"/>
  <c r="X30" i="202"/>
  <c r="Q30" i="202"/>
  <c r="P30" i="202"/>
  <c r="H30" i="202"/>
  <c r="E30" i="202"/>
  <c r="I30" i="202" s="1"/>
  <c r="AE29" i="202"/>
  <c r="AI29" i="202" s="1"/>
  <c r="Y29" i="202" s="1"/>
  <c r="AD29" i="202"/>
  <c r="AC29" i="202"/>
  <c r="AB29" i="202"/>
  <c r="Z29" i="202"/>
  <c r="X29" i="202"/>
  <c r="Q29" i="202"/>
  <c r="P29" i="202"/>
  <c r="H29" i="202"/>
  <c r="E29" i="202"/>
  <c r="I29" i="202" s="1"/>
  <c r="AD28" i="202"/>
  <c r="AC28" i="202"/>
  <c r="AB28" i="202"/>
  <c r="AE28" i="202" s="1"/>
  <c r="AI28" i="202" s="1"/>
  <c r="Y28" i="202" s="1"/>
  <c r="Z28" i="202"/>
  <c r="X28" i="202"/>
  <c r="Q28" i="202"/>
  <c r="P28" i="202"/>
  <c r="I28" i="202"/>
  <c r="H28" i="202"/>
  <c r="E28" i="202"/>
  <c r="AD27" i="202"/>
  <c r="AC27" i="202"/>
  <c r="AB27" i="202"/>
  <c r="AE27" i="202" s="1"/>
  <c r="AI27" i="202" s="1"/>
  <c r="Y27" i="202" s="1"/>
  <c r="Z27" i="202"/>
  <c r="X27" i="202"/>
  <c r="Q27" i="202"/>
  <c r="P27" i="202"/>
  <c r="H27" i="202"/>
  <c r="E27" i="202"/>
  <c r="I27" i="202" s="1"/>
  <c r="AD26" i="202"/>
  <c r="AC26" i="202"/>
  <c r="AB26" i="202"/>
  <c r="AE26" i="202" s="1"/>
  <c r="AI26" i="202" s="1"/>
  <c r="Y26" i="202" s="1"/>
  <c r="Z26" i="202"/>
  <c r="X26" i="202"/>
  <c r="Q26" i="202"/>
  <c r="P26" i="202"/>
  <c r="I26" i="202"/>
  <c r="H26" i="202"/>
  <c r="E26" i="202"/>
  <c r="AD25" i="202"/>
  <c r="AC25" i="202"/>
  <c r="AE25" i="202" s="1"/>
  <c r="AI25" i="202" s="1"/>
  <c r="Y25" i="202" s="1"/>
  <c r="AB25" i="202"/>
  <c r="Z25" i="202"/>
  <c r="X25" i="202"/>
  <c r="Q25" i="202"/>
  <c r="P25" i="202"/>
  <c r="I25" i="202"/>
  <c r="H25" i="202"/>
  <c r="E25" i="202"/>
  <c r="AD24" i="202"/>
  <c r="AC24" i="202"/>
  <c r="AB24" i="202"/>
  <c r="AE24" i="202" s="1"/>
  <c r="AI24" i="202" s="1"/>
  <c r="Y24" i="202" s="1"/>
  <c r="Z24" i="202"/>
  <c r="X24" i="202"/>
  <c r="Q24" i="202"/>
  <c r="P24" i="202"/>
  <c r="H24" i="202"/>
  <c r="E24" i="202"/>
  <c r="I24" i="202" s="1"/>
  <c r="AD23" i="202"/>
  <c r="AC23" i="202"/>
  <c r="AE23" i="202" s="1"/>
  <c r="AI23" i="202" s="1"/>
  <c r="Y23" i="202" s="1"/>
  <c r="AB23" i="202"/>
  <c r="Z23" i="202"/>
  <c r="X23" i="202"/>
  <c r="Q23" i="202"/>
  <c r="P23" i="202"/>
  <c r="H23" i="202"/>
  <c r="E23" i="202"/>
  <c r="I23" i="202" s="1"/>
  <c r="AD22" i="202"/>
  <c r="AC22" i="202"/>
  <c r="AB22" i="202"/>
  <c r="AE22" i="202" s="1"/>
  <c r="AI22" i="202" s="1"/>
  <c r="Y22" i="202" s="1"/>
  <c r="Z22" i="202"/>
  <c r="X22" i="202"/>
  <c r="Q22" i="202"/>
  <c r="P22" i="202"/>
  <c r="H22" i="202"/>
  <c r="E22" i="202"/>
  <c r="I22" i="202" s="1"/>
  <c r="AD21" i="202"/>
  <c r="AC21" i="202"/>
  <c r="AB21" i="202"/>
  <c r="AE21" i="202" s="1"/>
  <c r="AI21" i="202" s="1"/>
  <c r="Y21" i="202" s="1"/>
  <c r="Z21" i="202"/>
  <c r="X21" i="202"/>
  <c r="Q21" i="202"/>
  <c r="P21" i="202"/>
  <c r="H21" i="202"/>
  <c r="E21" i="202"/>
  <c r="I21" i="202" s="1"/>
  <c r="AD20" i="202"/>
  <c r="AE20" i="202" s="1"/>
  <c r="AI20" i="202" s="1"/>
  <c r="Y20" i="202" s="1"/>
  <c r="AC20" i="202"/>
  <c r="AB20" i="202"/>
  <c r="Z20" i="202"/>
  <c r="X20" i="202"/>
  <c r="Q20" i="202"/>
  <c r="P20" i="202"/>
  <c r="H20" i="202"/>
  <c r="E20" i="202"/>
  <c r="I20" i="202" s="1"/>
  <c r="AD19" i="202"/>
  <c r="AC19" i="202"/>
  <c r="AE19" i="202" s="1"/>
  <c r="AI19" i="202" s="1"/>
  <c r="Y19" i="202" s="1"/>
  <c r="AB19" i="202"/>
  <c r="Z19" i="202"/>
  <c r="X19" i="202"/>
  <c r="Q19" i="202"/>
  <c r="P19" i="202"/>
  <c r="H19" i="202"/>
  <c r="E19" i="202"/>
  <c r="I19" i="202" s="1"/>
  <c r="AD18" i="202"/>
  <c r="AE18" i="202" s="1"/>
  <c r="AI18" i="202" s="1"/>
  <c r="Y18" i="202" s="1"/>
  <c r="AC18" i="202"/>
  <c r="AB18" i="202"/>
  <c r="Z18" i="202"/>
  <c r="X18" i="202"/>
  <c r="Q18" i="202"/>
  <c r="P18" i="202"/>
  <c r="H18" i="202"/>
  <c r="E18" i="202"/>
  <c r="I18" i="202" s="1"/>
  <c r="AD17" i="202"/>
  <c r="AC17" i="202"/>
  <c r="AB17" i="202"/>
  <c r="AE17" i="202" s="1"/>
  <c r="AI17" i="202" s="1"/>
  <c r="Y17" i="202" s="1"/>
  <c r="Z17" i="202"/>
  <c r="X17" i="202"/>
  <c r="Q17" i="202"/>
  <c r="P17" i="202"/>
  <c r="H17" i="202"/>
  <c r="E17" i="202"/>
  <c r="I17" i="202" s="1"/>
  <c r="AD16" i="202"/>
  <c r="AC16" i="202"/>
  <c r="AB16" i="202"/>
  <c r="AE16" i="202" s="1"/>
  <c r="AI16" i="202" s="1"/>
  <c r="Y16" i="202" s="1"/>
  <c r="Z16" i="202"/>
  <c r="X16" i="202"/>
  <c r="Q16" i="202"/>
  <c r="P16" i="202"/>
  <c r="E16" i="202"/>
  <c r="I16" i="202" s="1"/>
  <c r="AD15" i="202"/>
  <c r="AC15" i="202"/>
  <c r="AE15" i="202" s="1"/>
  <c r="AI15" i="202" s="1"/>
  <c r="Y15" i="202" s="1"/>
  <c r="AB15" i="202"/>
  <c r="Z15" i="202"/>
  <c r="X15" i="202"/>
  <c r="Q15" i="202"/>
  <c r="P15" i="202"/>
  <c r="E15" i="202"/>
  <c r="I15" i="202" s="1"/>
  <c r="AD14" i="202"/>
  <c r="AC14" i="202"/>
  <c r="AB14" i="202"/>
  <c r="AE14" i="202" s="1"/>
  <c r="AI14" i="202" s="1"/>
  <c r="Y14" i="202" s="1"/>
  <c r="Z14" i="202"/>
  <c r="X14" i="202"/>
  <c r="Q14" i="202"/>
  <c r="P14" i="202"/>
  <c r="H14" i="202"/>
  <c r="E14" i="202"/>
  <c r="I14" i="202" s="1"/>
  <c r="AD13" i="202"/>
  <c r="AC13" i="202"/>
  <c r="AE13" i="202" s="1"/>
  <c r="AI13" i="202" s="1"/>
  <c r="Y13" i="202" s="1"/>
  <c r="AB13" i="202"/>
  <c r="Z13" i="202"/>
  <c r="X13" i="202"/>
  <c r="Q13" i="202"/>
  <c r="P13" i="202"/>
  <c r="H13" i="202"/>
  <c r="E13" i="202"/>
  <c r="I13" i="202" s="1"/>
  <c r="AD12" i="202"/>
  <c r="AC12" i="202"/>
  <c r="AB12" i="202"/>
  <c r="AE12" i="202" s="1"/>
  <c r="AI12" i="202" s="1"/>
  <c r="Y12" i="202" s="1"/>
  <c r="Z12" i="202"/>
  <c r="T75" i="202" s="1"/>
  <c r="X12" i="202"/>
  <c r="T77" i="202" s="1"/>
  <c r="Q12" i="202"/>
  <c r="P12" i="202"/>
  <c r="H12" i="202"/>
  <c r="E12" i="202"/>
  <c r="I12" i="202" s="1"/>
  <c r="F77" i="204" l="1"/>
  <c r="F77" i="203"/>
  <c r="O75" i="202"/>
  <c r="O73" i="202"/>
  <c r="F73" i="202"/>
  <c r="F75" i="202"/>
  <c r="T73" i="202"/>
  <c r="T79" i="202" s="1"/>
  <c r="M79" i="201"/>
  <c r="P71" i="201"/>
  <c r="H71" i="201"/>
  <c r="Q70" i="201"/>
  <c r="P70" i="201"/>
  <c r="H70" i="201"/>
  <c r="E70" i="201"/>
  <c r="I70" i="201" s="1"/>
  <c r="Q69" i="201"/>
  <c r="P69" i="201"/>
  <c r="I69" i="201"/>
  <c r="H69" i="201"/>
  <c r="E69" i="201"/>
  <c r="AD68" i="201"/>
  <c r="AC68" i="201"/>
  <c r="AB68" i="201"/>
  <c r="AE68" i="201" s="1"/>
  <c r="AI68" i="201" s="1"/>
  <c r="Y68" i="201" s="1"/>
  <c r="Z68" i="201"/>
  <c r="X68" i="201"/>
  <c r="Q68" i="201"/>
  <c r="P68" i="201"/>
  <c r="I68" i="201"/>
  <c r="H68" i="201"/>
  <c r="E68" i="201"/>
  <c r="AE67" i="201"/>
  <c r="AI67" i="201" s="1"/>
  <c r="Y67" i="201" s="1"/>
  <c r="AD67" i="201"/>
  <c r="AC67" i="201"/>
  <c r="AB67" i="201"/>
  <c r="Z67" i="201"/>
  <c r="X67" i="201"/>
  <c r="Q67" i="201"/>
  <c r="P67" i="201"/>
  <c r="H67" i="201"/>
  <c r="E67" i="201"/>
  <c r="I67" i="201" s="1"/>
  <c r="AE66" i="201"/>
  <c r="AI66" i="201" s="1"/>
  <c r="Y66" i="201" s="1"/>
  <c r="AD66" i="201"/>
  <c r="AC66" i="201"/>
  <c r="AB66" i="201"/>
  <c r="Z66" i="201"/>
  <c r="X66" i="201"/>
  <c r="Q66" i="201"/>
  <c r="P66" i="201"/>
  <c r="I66" i="201"/>
  <c r="H66" i="201"/>
  <c r="E66" i="201"/>
  <c r="AD65" i="201"/>
  <c r="AC65" i="201"/>
  <c r="AB65" i="201"/>
  <c r="AE65" i="201" s="1"/>
  <c r="AI65" i="201" s="1"/>
  <c r="Y65" i="201" s="1"/>
  <c r="Z65" i="201"/>
  <c r="X65" i="201"/>
  <c r="Q65" i="201"/>
  <c r="P65" i="201"/>
  <c r="H65" i="201"/>
  <c r="E65" i="201"/>
  <c r="I65" i="201" s="1"/>
  <c r="AE64" i="201"/>
  <c r="AI64" i="201" s="1"/>
  <c r="Y64" i="201" s="1"/>
  <c r="AD64" i="201"/>
  <c r="AC64" i="201"/>
  <c r="AB64" i="201"/>
  <c r="Z64" i="201"/>
  <c r="X64" i="201"/>
  <c r="Q64" i="201"/>
  <c r="P64" i="201"/>
  <c r="I64" i="201"/>
  <c r="H64" i="201"/>
  <c r="E64" i="201"/>
  <c r="AD63" i="201"/>
  <c r="AC63" i="201"/>
  <c r="AB63" i="201"/>
  <c r="AE63" i="201" s="1"/>
  <c r="AI63" i="201" s="1"/>
  <c r="Y63" i="201" s="1"/>
  <c r="Z63" i="201"/>
  <c r="X63" i="201"/>
  <c r="Q63" i="201"/>
  <c r="P63" i="201"/>
  <c r="I63" i="201"/>
  <c r="H63" i="201"/>
  <c r="E63" i="201"/>
  <c r="AD62" i="201"/>
  <c r="AC62" i="201"/>
  <c r="AB62" i="201"/>
  <c r="AE62" i="201" s="1"/>
  <c r="AI62" i="201" s="1"/>
  <c r="Y62" i="201" s="1"/>
  <c r="Z62" i="201"/>
  <c r="X62" i="201"/>
  <c r="Q62" i="201"/>
  <c r="P62" i="201"/>
  <c r="H62" i="201"/>
  <c r="E62" i="201"/>
  <c r="I62" i="201" s="1"/>
  <c r="AC61" i="201"/>
  <c r="AB61" i="201"/>
  <c r="AE61" i="201" s="1"/>
  <c r="AI61" i="201" s="1"/>
  <c r="Y61" i="201" s="1"/>
  <c r="X61" i="201"/>
  <c r="Q61" i="201"/>
  <c r="P61" i="201"/>
  <c r="H61" i="201"/>
  <c r="E61" i="201"/>
  <c r="I61" i="201" s="1"/>
  <c r="AI60" i="201"/>
  <c r="Y60" i="201" s="1"/>
  <c r="AE60" i="201"/>
  <c r="X60" i="201"/>
  <c r="Q60" i="201"/>
  <c r="P60" i="201"/>
  <c r="H60" i="201"/>
  <c r="E60" i="201"/>
  <c r="I60" i="201" s="1"/>
  <c r="AC59" i="201"/>
  <c r="AB59" i="201"/>
  <c r="AE59" i="201" s="1"/>
  <c r="AI59" i="201" s="1"/>
  <c r="Y59" i="201" s="1"/>
  <c r="X59" i="201"/>
  <c r="Q59" i="201"/>
  <c r="P59" i="201"/>
  <c r="H59" i="201"/>
  <c r="E59" i="201"/>
  <c r="I59" i="201" s="1"/>
  <c r="AE58" i="201"/>
  <c r="AI58" i="201" s="1"/>
  <c r="Y58" i="201" s="1"/>
  <c r="AC58" i="201"/>
  <c r="AB58" i="201"/>
  <c r="X58" i="201"/>
  <c r="Q58" i="201"/>
  <c r="P58" i="201"/>
  <c r="I58" i="201"/>
  <c r="E58" i="201"/>
  <c r="AE57" i="201"/>
  <c r="AI57" i="201" s="1"/>
  <c r="Y57" i="201" s="1"/>
  <c r="AC57" i="201"/>
  <c r="AB57" i="201"/>
  <c r="X57" i="201"/>
  <c r="Q57" i="201"/>
  <c r="P57" i="201"/>
  <c r="H57" i="201"/>
  <c r="E57" i="201"/>
  <c r="I57" i="201" s="1"/>
  <c r="AD56" i="201"/>
  <c r="AC56" i="201"/>
  <c r="AE56" i="201" s="1"/>
  <c r="AI56" i="201" s="1"/>
  <c r="Y56" i="201" s="1"/>
  <c r="AB56" i="201"/>
  <c r="Z56" i="201"/>
  <c r="X56" i="201"/>
  <c r="Q56" i="201"/>
  <c r="P56" i="201"/>
  <c r="H56" i="201"/>
  <c r="E56" i="201"/>
  <c r="I56" i="201" s="1"/>
  <c r="AD55" i="201"/>
  <c r="AC55" i="201"/>
  <c r="AB55" i="201"/>
  <c r="AE55" i="201" s="1"/>
  <c r="AI55" i="201" s="1"/>
  <c r="Y55" i="201" s="1"/>
  <c r="Z55" i="201"/>
  <c r="X55" i="201"/>
  <c r="Q55" i="201"/>
  <c r="P55" i="201"/>
  <c r="I55" i="201"/>
  <c r="H55" i="201"/>
  <c r="E55" i="201"/>
  <c r="AD54" i="201"/>
  <c r="AE54" i="201" s="1"/>
  <c r="AI54" i="201" s="1"/>
  <c r="Y54" i="201" s="1"/>
  <c r="AC54" i="201"/>
  <c r="AB54" i="201"/>
  <c r="Z54" i="201"/>
  <c r="X54" i="201"/>
  <c r="Q54" i="201"/>
  <c r="P54" i="201"/>
  <c r="H54" i="201"/>
  <c r="E54" i="201"/>
  <c r="I54" i="201" s="1"/>
  <c r="AD53" i="201"/>
  <c r="AC53" i="201"/>
  <c r="AB53" i="201"/>
  <c r="AE53" i="201" s="1"/>
  <c r="AI53" i="201" s="1"/>
  <c r="Y53" i="201" s="1"/>
  <c r="Z53" i="201"/>
  <c r="X53" i="201"/>
  <c r="Q53" i="201"/>
  <c r="P53" i="201"/>
  <c r="H53" i="201"/>
  <c r="E53" i="201"/>
  <c r="I53" i="201" s="1"/>
  <c r="AE52" i="201"/>
  <c r="AI52" i="201" s="1"/>
  <c r="Y52" i="201" s="1"/>
  <c r="Z52" i="201"/>
  <c r="X52" i="201"/>
  <c r="Q52" i="201"/>
  <c r="P52" i="201"/>
  <c r="I52" i="201"/>
  <c r="H52" i="201"/>
  <c r="E52" i="201"/>
  <c r="AE51" i="201"/>
  <c r="AI51" i="201" s="1"/>
  <c r="Y51" i="201" s="1"/>
  <c r="AD51" i="201"/>
  <c r="AC51" i="201"/>
  <c r="AB51" i="201"/>
  <c r="Z51" i="201"/>
  <c r="X51" i="201"/>
  <c r="Q51" i="201"/>
  <c r="P51" i="201"/>
  <c r="H51" i="201"/>
  <c r="E51" i="201"/>
  <c r="I51" i="201" s="1"/>
  <c r="AE50" i="201"/>
  <c r="AI50" i="201" s="1"/>
  <c r="Y50" i="201" s="1"/>
  <c r="AD50" i="201"/>
  <c r="AC50" i="201"/>
  <c r="AB50" i="201"/>
  <c r="Z50" i="201"/>
  <c r="X50" i="201"/>
  <c r="Q50" i="201"/>
  <c r="P50" i="201"/>
  <c r="I50" i="201"/>
  <c r="H50" i="201"/>
  <c r="E50" i="201"/>
  <c r="AI49" i="201"/>
  <c r="AE49" i="201"/>
  <c r="Z49" i="201"/>
  <c r="Y49" i="201"/>
  <c r="X49" i="201"/>
  <c r="Q49" i="201"/>
  <c r="P49" i="201"/>
  <c r="I49" i="201"/>
  <c r="H49" i="201"/>
  <c r="E49" i="201"/>
  <c r="AE48" i="201"/>
  <c r="AI48" i="201" s="1"/>
  <c r="Y48" i="201" s="1"/>
  <c r="Z48" i="201"/>
  <c r="X48" i="201"/>
  <c r="Q48" i="201"/>
  <c r="P48" i="201"/>
  <c r="H48" i="201"/>
  <c r="E48" i="201"/>
  <c r="I48" i="201" s="1"/>
  <c r="AI47" i="201"/>
  <c r="Y47" i="201" s="1"/>
  <c r="AE47" i="201"/>
  <c r="Z47" i="201"/>
  <c r="X47" i="201"/>
  <c r="Q47" i="201"/>
  <c r="P47" i="201"/>
  <c r="I47" i="201"/>
  <c r="H47" i="201"/>
  <c r="E47" i="201"/>
  <c r="AD46" i="201"/>
  <c r="AC46" i="201"/>
  <c r="AB46" i="201"/>
  <c r="AE46" i="201" s="1"/>
  <c r="AI46" i="201" s="1"/>
  <c r="Y46" i="201" s="1"/>
  <c r="Z46" i="201"/>
  <c r="X46" i="201"/>
  <c r="Q46" i="201"/>
  <c r="P46" i="201"/>
  <c r="I46" i="201"/>
  <c r="H46" i="201"/>
  <c r="E46" i="201"/>
  <c r="AD45" i="201"/>
  <c r="AC45" i="201"/>
  <c r="AB45" i="201"/>
  <c r="AE45" i="201" s="1"/>
  <c r="AI45" i="201" s="1"/>
  <c r="Y45" i="201" s="1"/>
  <c r="Z45" i="201"/>
  <c r="X45" i="201"/>
  <c r="Q45" i="201"/>
  <c r="P45" i="201"/>
  <c r="H45" i="201"/>
  <c r="E45" i="201"/>
  <c r="I45" i="201" s="1"/>
  <c r="AD44" i="201"/>
  <c r="AC44" i="201"/>
  <c r="AE44" i="201" s="1"/>
  <c r="AI44" i="201" s="1"/>
  <c r="Y44" i="201" s="1"/>
  <c r="AB44" i="201"/>
  <c r="Z44" i="201"/>
  <c r="X44" i="201"/>
  <c r="Q44" i="201"/>
  <c r="P44" i="201"/>
  <c r="H44" i="201"/>
  <c r="E44" i="201"/>
  <c r="I44" i="201" s="1"/>
  <c r="AD43" i="201"/>
  <c r="AC43" i="201"/>
  <c r="AB43" i="201"/>
  <c r="AE43" i="201" s="1"/>
  <c r="AI43" i="201" s="1"/>
  <c r="Y43" i="201" s="1"/>
  <c r="Z43" i="201"/>
  <c r="X43" i="201"/>
  <c r="Q43" i="201"/>
  <c r="P43" i="201"/>
  <c r="I43" i="201"/>
  <c r="H43" i="201"/>
  <c r="E43" i="201"/>
  <c r="AD42" i="201"/>
  <c r="AE42" i="201" s="1"/>
  <c r="AI42" i="201" s="1"/>
  <c r="Y42" i="201" s="1"/>
  <c r="AC42" i="201"/>
  <c r="AB42" i="201"/>
  <c r="Z42" i="201"/>
  <c r="X42" i="201"/>
  <c r="Q42" i="201"/>
  <c r="P42" i="201"/>
  <c r="H42" i="201"/>
  <c r="E42" i="201"/>
  <c r="I42" i="201" s="1"/>
  <c r="AD41" i="201"/>
  <c r="AC41" i="201"/>
  <c r="AB41" i="201"/>
  <c r="AE41" i="201" s="1"/>
  <c r="AI41" i="201" s="1"/>
  <c r="Y41" i="201" s="1"/>
  <c r="Z41" i="201"/>
  <c r="X41" i="201"/>
  <c r="Q41" i="201"/>
  <c r="P41" i="201"/>
  <c r="H41" i="201"/>
  <c r="E41" i="201"/>
  <c r="I41" i="201" s="1"/>
  <c r="AD40" i="201"/>
  <c r="AE40" i="201" s="1"/>
  <c r="AI40" i="201" s="1"/>
  <c r="Y40" i="201" s="1"/>
  <c r="AC40" i="201"/>
  <c r="AB40" i="201"/>
  <c r="Z40" i="201"/>
  <c r="X40" i="201"/>
  <c r="Q40" i="201"/>
  <c r="P40" i="201"/>
  <c r="H40" i="201"/>
  <c r="E40" i="201"/>
  <c r="I40" i="201" s="1"/>
  <c r="AD39" i="201"/>
  <c r="AC39" i="201"/>
  <c r="AB39" i="201"/>
  <c r="AE39" i="201" s="1"/>
  <c r="AI39" i="201" s="1"/>
  <c r="Y39" i="201" s="1"/>
  <c r="Z39" i="201"/>
  <c r="X39" i="201"/>
  <c r="Q39" i="201"/>
  <c r="P39" i="201"/>
  <c r="I39" i="201"/>
  <c r="H39" i="201"/>
  <c r="E39" i="201"/>
  <c r="AD38" i="201"/>
  <c r="AC38" i="201"/>
  <c r="AB38" i="201"/>
  <c r="AE38" i="201" s="1"/>
  <c r="AI38" i="201" s="1"/>
  <c r="Y38" i="201" s="1"/>
  <c r="Z38" i="201"/>
  <c r="X38" i="201"/>
  <c r="Q38" i="201"/>
  <c r="P38" i="201"/>
  <c r="H38" i="201"/>
  <c r="E38" i="201"/>
  <c r="I38" i="201" s="1"/>
  <c r="AD37" i="201"/>
  <c r="AC37" i="201"/>
  <c r="AB37" i="201"/>
  <c r="AE37" i="201" s="1"/>
  <c r="AI37" i="201" s="1"/>
  <c r="Y37" i="201" s="1"/>
  <c r="Z37" i="201"/>
  <c r="X37" i="201"/>
  <c r="Q37" i="201"/>
  <c r="P37" i="201"/>
  <c r="I37" i="201"/>
  <c r="H37" i="201"/>
  <c r="E37" i="201"/>
  <c r="AD36" i="201"/>
  <c r="AC36" i="201"/>
  <c r="AE36" i="201" s="1"/>
  <c r="AI36" i="201" s="1"/>
  <c r="Y36" i="201" s="1"/>
  <c r="AB36" i="201"/>
  <c r="Z36" i="201"/>
  <c r="X36" i="201"/>
  <c r="Q36" i="201"/>
  <c r="P36" i="201"/>
  <c r="I36" i="201"/>
  <c r="H36" i="201"/>
  <c r="E36" i="201"/>
  <c r="AD35" i="201"/>
  <c r="AC35" i="201"/>
  <c r="AB35" i="201"/>
  <c r="AE35" i="201" s="1"/>
  <c r="AI35" i="201" s="1"/>
  <c r="Y35" i="201" s="1"/>
  <c r="Z35" i="201"/>
  <c r="X35" i="201"/>
  <c r="Q35" i="201"/>
  <c r="P35" i="201"/>
  <c r="I35" i="201"/>
  <c r="H35" i="201"/>
  <c r="E35" i="201"/>
  <c r="AD34" i="201"/>
  <c r="AC34" i="201"/>
  <c r="AB34" i="201"/>
  <c r="AE34" i="201" s="1"/>
  <c r="AI34" i="201" s="1"/>
  <c r="Y34" i="201" s="1"/>
  <c r="Z34" i="201"/>
  <c r="X34" i="201"/>
  <c r="Q34" i="201"/>
  <c r="P34" i="201"/>
  <c r="H34" i="201"/>
  <c r="E34" i="201"/>
  <c r="I34" i="201" s="1"/>
  <c r="AD33" i="201"/>
  <c r="AC33" i="201"/>
  <c r="AE33" i="201" s="1"/>
  <c r="AI33" i="201" s="1"/>
  <c r="Y33" i="201" s="1"/>
  <c r="AB33" i="201"/>
  <c r="Z33" i="201"/>
  <c r="X33" i="201"/>
  <c r="Q33" i="201"/>
  <c r="P33" i="201"/>
  <c r="H33" i="201"/>
  <c r="E33" i="201"/>
  <c r="I33" i="201" s="1"/>
  <c r="AD32" i="201"/>
  <c r="AC32" i="201"/>
  <c r="AB32" i="201"/>
  <c r="AE32" i="201" s="1"/>
  <c r="AI32" i="201" s="1"/>
  <c r="Y32" i="201" s="1"/>
  <c r="Z32" i="201"/>
  <c r="X32" i="201"/>
  <c r="Q32" i="201"/>
  <c r="P32" i="201"/>
  <c r="I32" i="201"/>
  <c r="H32" i="201"/>
  <c r="E32" i="201"/>
  <c r="AE31" i="201"/>
  <c r="AI31" i="201" s="1"/>
  <c r="Y31" i="201" s="1"/>
  <c r="Z31" i="201"/>
  <c r="X31" i="201"/>
  <c r="Q31" i="201"/>
  <c r="P31" i="201"/>
  <c r="H31" i="201"/>
  <c r="E31" i="201"/>
  <c r="I31" i="201" s="1"/>
  <c r="AD30" i="201"/>
  <c r="AE30" i="201" s="1"/>
  <c r="AI30" i="201" s="1"/>
  <c r="Y30" i="201" s="1"/>
  <c r="AC30" i="201"/>
  <c r="AB30" i="201"/>
  <c r="Z30" i="201"/>
  <c r="X30" i="201"/>
  <c r="Q30" i="201"/>
  <c r="O73" i="201" s="1"/>
  <c r="P30" i="201"/>
  <c r="I30" i="201"/>
  <c r="H30" i="201"/>
  <c r="E30" i="201"/>
  <c r="AD29" i="201"/>
  <c r="AC29" i="201"/>
  <c r="AB29" i="201"/>
  <c r="AE29" i="201" s="1"/>
  <c r="AI29" i="201" s="1"/>
  <c r="Y29" i="201" s="1"/>
  <c r="Z29" i="201"/>
  <c r="X29" i="201"/>
  <c r="Q29" i="201"/>
  <c r="P29" i="201"/>
  <c r="I29" i="201"/>
  <c r="H29" i="201"/>
  <c r="E29" i="201"/>
  <c r="AE28" i="201"/>
  <c r="AI28" i="201" s="1"/>
  <c r="Y28" i="201" s="1"/>
  <c r="AD28" i="201"/>
  <c r="AC28" i="201"/>
  <c r="AB28" i="201"/>
  <c r="Z28" i="201"/>
  <c r="X28" i="201"/>
  <c r="Q28" i="201"/>
  <c r="P28" i="201"/>
  <c r="H28" i="201"/>
  <c r="E28" i="201"/>
  <c r="I28" i="201" s="1"/>
  <c r="AE27" i="201"/>
  <c r="AI27" i="201" s="1"/>
  <c r="Y27" i="201" s="1"/>
  <c r="AD27" i="201"/>
  <c r="AC27" i="201"/>
  <c r="AB27" i="201"/>
  <c r="Z27" i="201"/>
  <c r="X27" i="201"/>
  <c r="Q27" i="201"/>
  <c r="P27" i="201"/>
  <c r="I27" i="201"/>
  <c r="H27" i="201"/>
  <c r="E27" i="201"/>
  <c r="AD26" i="201"/>
  <c r="AC26" i="201"/>
  <c r="AB26" i="201"/>
  <c r="AE26" i="201" s="1"/>
  <c r="AI26" i="201" s="1"/>
  <c r="Y26" i="201" s="1"/>
  <c r="Z26" i="201"/>
  <c r="X26" i="201"/>
  <c r="Q26" i="201"/>
  <c r="P26" i="201"/>
  <c r="H26" i="201"/>
  <c r="E26" i="201"/>
  <c r="I26" i="201" s="1"/>
  <c r="AE25" i="201"/>
  <c r="AI25" i="201" s="1"/>
  <c r="Y25" i="201" s="1"/>
  <c r="AD25" i="201"/>
  <c r="AC25" i="201"/>
  <c r="AB25" i="201"/>
  <c r="Z25" i="201"/>
  <c r="X25" i="201"/>
  <c r="Q25" i="201"/>
  <c r="P25" i="201"/>
  <c r="I25" i="201"/>
  <c r="H25" i="201"/>
  <c r="E25" i="201"/>
  <c r="AD24" i="201"/>
  <c r="AC24" i="201"/>
  <c r="AB24" i="201"/>
  <c r="AE24" i="201" s="1"/>
  <c r="AI24" i="201" s="1"/>
  <c r="Y24" i="201" s="1"/>
  <c r="Z24" i="201"/>
  <c r="X24" i="201"/>
  <c r="Q24" i="201"/>
  <c r="P24" i="201"/>
  <c r="I24" i="201"/>
  <c r="H24" i="201"/>
  <c r="E24" i="201"/>
  <c r="AD23" i="201"/>
  <c r="AC23" i="201"/>
  <c r="AB23" i="201"/>
  <c r="AE23" i="201" s="1"/>
  <c r="AI23" i="201" s="1"/>
  <c r="Y23" i="201" s="1"/>
  <c r="Z23" i="201"/>
  <c r="X23" i="201"/>
  <c r="Q23" i="201"/>
  <c r="P23" i="201"/>
  <c r="H23" i="201"/>
  <c r="E23" i="201"/>
  <c r="I23" i="201" s="1"/>
  <c r="AD22" i="201"/>
  <c r="AC22" i="201"/>
  <c r="AB22" i="201"/>
  <c r="AE22" i="201" s="1"/>
  <c r="AI22" i="201" s="1"/>
  <c r="Y22" i="201" s="1"/>
  <c r="Z22" i="201"/>
  <c r="X22" i="201"/>
  <c r="Q22" i="201"/>
  <c r="P22" i="201"/>
  <c r="I22" i="201"/>
  <c r="H22" i="201"/>
  <c r="E22" i="201"/>
  <c r="AD21" i="201"/>
  <c r="AC21" i="201"/>
  <c r="AE21" i="201" s="1"/>
  <c r="AI21" i="201" s="1"/>
  <c r="Y21" i="201" s="1"/>
  <c r="AB21" i="201"/>
  <c r="Z21" i="201"/>
  <c r="X21" i="201"/>
  <c r="Q21" i="201"/>
  <c r="P21" i="201"/>
  <c r="I21" i="201"/>
  <c r="H21" i="201"/>
  <c r="E21" i="201"/>
  <c r="AD20" i="201"/>
  <c r="AC20" i="201"/>
  <c r="AB20" i="201"/>
  <c r="AE20" i="201" s="1"/>
  <c r="AI20" i="201" s="1"/>
  <c r="Y20" i="201" s="1"/>
  <c r="Z20" i="201"/>
  <c r="X20" i="201"/>
  <c r="Q20" i="201"/>
  <c r="P20" i="201"/>
  <c r="I20" i="201"/>
  <c r="H20" i="201"/>
  <c r="E20" i="201"/>
  <c r="AD19" i="201"/>
  <c r="AC19" i="201"/>
  <c r="AE19" i="201" s="1"/>
  <c r="AI19" i="201" s="1"/>
  <c r="Y19" i="201" s="1"/>
  <c r="AB19" i="201"/>
  <c r="Z19" i="201"/>
  <c r="X19" i="201"/>
  <c r="Q19" i="201"/>
  <c r="P19" i="201"/>
  <c r="H19" i="201"/>
  <c r="E19" i="201"/>
  <c r="I19" i="201" s="1"/>
  <c r="AD18" i="201"/>
  <c r="AC18" i="201"/>
  <c r="AB18" i="201"/>
  <c r="AE18" i="201" s="1"/>
  <c r="AI18" i="201" s="1"/>
  <c r="Y18" i="201" s="1"/>
  <c r="Z18" i="201"/>
  <c r="X18" i="201"/>
  <c r="Q18" i="201"/>
  <c r="P18" i="201"/>
  <c r="H18" i="201"/>
  <c r="E18" i="201"/>
  <c r="I18" i="201" s="1"/>
  <c r="AD17" i="201"/>
  <c r="AC17" i="201"/>
  <c r="AB17" i="201"/>
  <c r="AE17" i="201" s="1"/>
  <c r="AI17" i="201" s="1"/>
  <c r="Y17" i="201" s="1"/>
  <c r="Z17" i="201"/>
  <c r="X17" i="201"/>
  <c r="Q17" i="201"/>
  <c r="P17" i="201"/>
  <c r="I17" i="201"/>
  <c r="H17" i="201"/>
  <c r="E17" i="201"/>
  <c r="AD16" i="201"/>
  <c r="AE16" i="201" s="1"/>
  <c r="AI16" i="201" s="1"/>
  <c r="Y16" i="201" s="1"/>
  <c r="AC16" i="201"/>
  <c r="AB16" i="201"/>
  <c r="Z16" i="201"/>
  <c r="X16" i="201"/>
  <c r="Q16" i="201"/>
  <c r="P16" i="201"/>
  <c r="E16" i="201"/>
  <c r="I16" i="201" s="1"/>
  <c r="AD15" i="201"/>
  <c r="AC15" i="201"/>
  <c r="AB15" i="201"/>
  <c r="AE15" i="201" s="1"/>
  <c r="AI15" i="201" s="1"/>
  <c r="Y15" i="201" s="1"/>
  <c r="Z15" i="201"/>
  <c r="X15" i="201"/>
  <c r="Q15" i="201"/>
  <c r="P15" i="201"/>
  <c r="E15" i="201"/>
  <c r="I15" i="201" s="1"/>
  <c r="AD14" i="201"/>
  <c r="AC14" i="201"/>
  <c r="AB14" i="201"/>
  <c r="AE14" i="201" s="1"/>
  <c r="AI14" i="201" s="1"/>
  <c r="Y14" i="201" s="1"/>
  <c r="Z14" i="201"/>
  <c r="X14" i="201"/>
  <c r="Q14" i="201"/>
  <c r="O75" i="201" s="1"/>
  <c r="P14" i="201"/>
  <c r="I14" i="201"/>
  <c r="H14" i="201"/>
  <c r="E14" i="201"/>
  <c r="AD13" i="201"/>
  <c r="AC13" i="201"/>
  <c r="AB13" i="201"/>
  <c r="AE13" i="201" s="1"/>
  <c r="AI13" i="201" s="1"/>
  <c r="Y13" i="201" s="1"/>
  <c r="Z13" i="201"/>
  <c r="X13" i="201"/>
  <c r="Q13" i="201"/>
  <c r="P13" i="201"/>
  <c r="H13" i="201"/>
  <c r="E13" i="201"/>
  <c r="I13" i="201" s="1"/>
  <c r="AD12" i="201"/>
  <c r="AC12" i="201"/>
  <c r="AE12" i="201" s="1"/>
  <c r="AI12" i="201" s="1"/>
  <c r="Y12" i="201" s="1"/>
  <c r="AB12" i="201"/>
  <c r="Z12" i="201"/>
  <c r="X12" i="201"/>
  <c r="Q12" i="201"/>
  <c r="P12" i="201"/>
  <c r="I12" i="201"/>
  <c r="H12" i="201"/>
  <c r="E12" i="201"/>
  <c r="F77" i="202" l="1"/>
  <c r="T75" i="201"/>
  <c r="T77" i="201"/>
  <c r="F73" i="201"/>
  <c r="F75" i="201"/>
  <c r="T73" i="201"/>
  <c r="F73" i="200"/>
  <c r="F39" i="200"/>
  <c r="T79" i="201" l="1"/>
  <c r="F77" i="201"/>
  <c r="Z36" i="200"/>
  <c r="X20" i="200"/>
  <c r="I39" i="200"/>
  <c r="M79" i="200"/>
  <c r="P71" i="200"/>
  <c r="Q70" i="200"/>
  <c r="P70" i="200"/>
  <c r="H70" i="200"/>
  <c r="E70" i="200"/>
  <c r="I70" i="200" s="1"/>
  <c r="Q69" i="200"/>
  <c r="P69" i="200"/>
  <c r="I69" i="200"/>
  <c r="H69" i="200"/>
  <c r="E69" i="200"/>
  <c r="AD68" i="200"/>
  <c r="AC68" i="200"/>
  <c r="AB68" i="200"/>
  <c r="AE68" i="200" s="1"/>
  <c r="AI68" i="200" s="1"/>
  <c r="Y68" i="200" s="1"/>
  <c r="Z68" i="200"/>
  <c r="X68" i="200"/>
  <c r="Q68" i="200"/>
  <c r="P68" i="200"/>
  <c r="H68" i="200"/>
  <c r="E68" i="200"/>
  <c r="I68" i="200" s="1"/>
  <c r="AI67" i="200"/>
  <c r="Y67" i="200" s="1"/>
  <c r="AE67" i="200"/>
  <c r="AD67" i="200"/>
  <c r="AC67" i="200"/>
  <c r="AB67" i="200"/>
  <c r="Z67" i="200"/>
  <c r="X67" i="200"/>
  <c r="Q67" i="200"/>
  <c r="P67" i="200"/>
  <c r="H67" i="200"/>
  <c r="E67" i="200"/>
  <c r="I67" i="200" s="1"/>
  <c r="AE66" i="200"/>
  <c r="AI66" i="200" s="1"/>
  <c r="Y66" i="200" s="1"/>
  <c r="AD66" i="200"/>
  <c r="AC66" i="200"/>
  <c r="AB66" i="200"/>
  <c r="Z66" i="200"/>
  <c r="X66" i="200"/>
  <c r="Q66" i="200"/>
  <c r="P66" i="200"/>
  <c r="H66" i="200"/>
  <c r="E66" i="200"/>
  <c r="I66" i="200" s="1"/>
  <c r="AE65" i="200"/>
  <c r="AI65" i="200" s="1"/>
  <c r="Y65" i="200" s="1"/>
  <c r="AD65" i="200"/>
  <c r="AC65" i="200"/>
  <c r="AB65" i="200"/>
  <c r="Z65" i="200"/>
  <c r="X65" i="200"/>
  <c r="Q65" i="200"/>
  <c r="P65" i="200"/>
  <c r="H65" i="200"/>
  <c r="E65" i="200"/>
  <c r="I65" i="200" s="1"/>
  <c r="AD64" i="200"/>
  <c r="AC64" i="200"/>
  <c r="AB64" i="200"/>
  <c r="AE64" i="200" s="1"/>
  <c r="AI64" i="200" s="1"/>
  <c r="Y64" i="200" s="1"/>
  <c r="Z64" i="200"/>
  <c r="X64" i="200"/>
  <c r="Q64" i="200"/>
  <c r="P64" i="200"/>
  <c r="H64" i="200"/>
  <c r="E64" i="200"/>
  <c r="I64" i="200" s="1"/>
  <c r="AE63" i="200"/>
  <c r="AI63" i="200" s="1"/>
  <c r="Y63" i="200" s="1"/>
  <c r="AD63" i="200"/>
  <c r="AC63" i="200"/>
  <c r="AB63" i="200"/>
  <c r="Z63" i="200"/>
  <c r="X63" i="200"/>
  <c r="Q63" i="200"/>
  <c r="P63" i="200"/>
  <c r="H63" i="200"/>
  <c r="E63" i="200"/>
  <c r="I63" i="200" s="1"/>
  <c r="AD62" i="200"/>
  <c r="AC62" i="200"/>
  <c r="AB62" i="200"/>
  <c r="AE62" i="200" s="1"/>
  <c r="AI62" i="200" s="1"/>
  <c r="Y62" i="200" s="1"/>
  <c r="Z62" i="200"/>
  <c r="X62" i="200"/>
  <c r="Q62" i="200"/>
  <c r="P62" i="200"/>
  <c r="H62" i="200"/>
  <c r="E62" i="200"/>
  <c r="I62" i="200" s="1"/>
  <c r="AC61" i="200"/>
  <c r="AE61" i="200" s="1"/>
  <c r="AI61" i="200" s="1"/>
  <c r="Y61" i="200" s="1"/>
  <c r="AB61" i="200"/>
  <c r="X61" i="200"/>
  <c r="Q61" i="200"/>
  <c r="P61" i="200"/>
  <c r="H61" i="200"/>
  <c r="E61" i="200"/>
  <c r="I61" i="200" s="1"/>
  <c r="AI60" i="200"/>
  <c r="Y60" i="200" s="1"/>
  <c r="AE60" i="200"/>
  <c r="X60" i="200"/>
  <c r="Q60" i="200"/>
  <c r="P60" i="200"/>
  <c r="I60" i="200"/>
  <c r="H60" i="200"/>
  <c r="E60" i="200"/>
  <c r="AC59" i="200"/>
  <c r="AB59" i="200"/>
  <c r="AE59" i="200" s="1"/>
  <c r="AI59" i="200" s="1"/>
  <c r="Y59" i="200" s="1"/>
  <c r="X59" i="200"/>
  <c r="Q59" i="200"/>
  <c r="P59" i="200"/>
  <c r="H59" i="200"/>
  <c r="E59" i="200"/>
  <c r="I59" i="200" s="1"/>
  <c r="AC58" i="200"/>
  <c r="AB58" i="200"/>
  <c r="AE58" i="200" s="1"/>
  <c r="AI58" i="200" s="1"/>
  <c r="Y58" i="200" s="1"/>
  <c r="X58" i="200"/>
  <c r="Q58" i="200"/>
  <c r="P58" i="200"/>
  <c r="I58" i="200"/>
  <c r="E58" i="200"/>
  <c r="AC57" i="200"/>
  <c r="AE57" i="200" s="1"/>
  <c r="AI57" i="200" s="1"/>
  <c r="Y57" i="200" s="1"/>
  <c r="AB57" i="200"/>
  <c r="X57" i="200"/>
  <c r="Q57" i="200"/>
  <c r="P57" i="200"/>
  <c r="I57" i="200"/>
  <c r="H57" i="200"/>
  <c r="E57" i="200"/>
  <c r="AD56" i="200"/>
  <c r="AC56" i="200"/>
  <c r="AE56" i="200" s="1"/>
  <c r="AI56" i="200" s="1"/>
  <c r="Y56" i="200" s="1"/>
  <c r="AB56" i="200"/>
  <c r="Z56" i="200"/>
  <c r="X56" i="200"/>
  <c r="Q56" i="200"/>
  <c r="P56" i="200"/>
  <c r="H56" i="200"/>
  <c r="E56" i="200"/>
  <c r="I56" i="200" s="1"/>
  <c r="AE55" i="200"/>
  <c r="AI55" i="200" s="1"/>
  <c r="Y55" i="200" s="1"/>
  <c r="AD55" i="200"/>
  <c r="AC55" i="200"/>
  <c r="AB55" i="200"/>
  <c r="Z55" i="200"/>
  <c r="X55" i="200"/>
  <c r="Q55" i="200"/>
  <c r="P55" i="200"/>
  <c r="I55" i="200"/>
  <c r="H55" i="200"/>
  <c r="E55" i="200"/>
  <c r="AD54" i="200"/>
  <c r="AC54" i="200"/>
  <c r="AB54" i="200"/>
  <c r="AE54" i="200" s="1"/>
  <c r="AI54" i="200" s="1"/>
  <c r="Y54" i="200" s="1"/>
  <c r="Z54" i="200"/>
  <c r="X54" i="200"/>
  <c r="Q54" i="200"/>
  <c r="P54" i="200"/>
  <c r="H54" i="200"/>
  <c r="E54" i="200"/>
  <c r="I54" i="200" s="1"/>
  <c r="AD53" i="200"/>
  <c r="AC53" i="200"/>
  <c r="AB53" i="200"/>
  <c r="AE53" i="200" s="1"/>
  <c r="AI53" i="200" s="1"/>
  <c r="Y53" i="200" s="1"/>
  <c r="Z53" i="200"/>
  <c r="X53" i="200"/>
  <c r="Q53" i="200"/>
  <c r="P53" i="200"/>
  <c r="H53" i="200"/>
  <c r="E53" i="200"/>
  <c r="I53" i="200" s="1"/>
  <c r="AE52" i="200"/>
  <c r="AI52" i="200" s="1"/>
  <c r="Y52" i="200" s="1"/>
  <c r="Z52" i="200"/>
  <c r="X52" i="200"/>
  <c r="Q52" i="200"/>
  <c r="P52" i="200"/>
  <c r="I52" i="200"/>
  <c r="H52" i="200"/>
  <c r="E52" i="200"/>
  <c r="AD51" i="200"/>
  <c r="AC51" i="200"/>
  <c r="AB51" i="200"/>
  <c r="AE51" i="200" s="1"/>
  <c r="AI51" i="200" s="1"/>
  <c r="Y51" i="200" s="1"/>
  <c r="Z51" i="200"/>
  <c r="X51" i="200"/>
  <c r="Q51" i="200"/>
  <c r="P51" i="200"/>
  <c r="H51" i="200"/>
  <c r="E51" i="200"/>
  <c r="I51" i="200" s="1"/>
  <c r="AD50" i="200"/>
  <c r="AC50" i="200"/>
  <c r="AE50" i="200" s="1"/>
  <c r="AI50" i="200" s="1"/>
  <c r="Y50" i="200" s="1"/>
  <c r="AB50" i="200"/>
  <c r="Z50" i="200"/>
  <c r="X50" i="200"/>
  <c r="Q50" i="200"/>
  <c r="P50" i="200"/>
  <c r="I50" i="200"/>
  <c r="H50" i="200"/>
  <c r="E50" i="200"/>
  <c r="AE49" i="200"/>
  <c r="AI49" i="200" s="1"/>
  <c r="Y49" i="200" s="1"/>
  <c r="Z49" i="200"/>
  <c r="X49" i="200"/>
  <c r="Q49" i="200"/>
  <c r="P49" i="200"/>
  <c r="H49" i="200"/>
  <c r="E49" i="200"/>
  <c r="I49" i="200" s="1"/>
  <c r="AE48" i="200"/>
  <c r="AI48" i="200" s="1"/>
  <c r="Y48" i="200" s="1"/>
  <c r="Z48" i="200"/>
  <c r="X48" i="200"/>
  <c r="Q48" i="200"/>
  <c r="P48" i="200"/>
  <c r="I48" i="200"/>
  <c r="H48" i="200"/>
  <c r="E48" i="200"/>
  <c r="AI47" i="200"/>
  <c r="Y47" i="200" s="1"/>
  <c r="AE47" i="200"/>
  <c r="Z47" i="200"/>
  <c r="X47" i="200"/>
  <c r="Q47" i="200"/>
  <c r="P47" i="200"/>
  <c r="I47" i="200"/>
  <c r="H47" i="200"/>
  <c r="E47" i="200"/>
  <c r="AE46" i="200"/>
  <c r="AI46" i="200" s="1"/>
  <c r="Y46" i="200" s="1"/>
  <c r="AD46" i="200"/>
  <c r="AC46" i="200"/>
  <c r="AB46" i="200"/>
  <c r="Z46" i="200"/>
  <c r="X46" i="200"/>
  <c r="Q46" i="200"/>
  <c r="P46" i="200"/>
  <c r="H46" i="200"/>
  <c r="E46" i="200"/>
  <c r="I46" i="200" s="1"/>
  <c r="AD45" i="200"/>
  <c r="AC45" i="200"/>
  <c r="AB45" i="200"/>
  <c r="AE45" i="200" s="1"/>
  <c r="AI45" i="200" s="1"/>
  <c r="Y45" i="200" s="1"/>
  <c r="Z45" i="200"/>
  <c r="X45" i="200"/>
  <c r="Q45" i="200"/>
  <c r="P45" i="200"/>
  <c r="H45" i="200"/>
  <c r="E45" i="200"/>
  <c r="I45" i="200" s="1"/>
  <c r="AD44" i="200"/>
  <c r="AC44" i="200"/>
  <c r="AB44" i="200"/>
  <c r="AE44" i="200" s="1"/>
  <c r="AI44" i="200" s="1"/>
  <c r="Y44" i="200" s="1"/>
  <c r="Z44" i="200"/>
  <c r="X44" i="200"/>
  <c r="Q44" i="200"/>
  <c r="P44" i="200"/>
  <c r="H44" i="200"/>
  <c r="E44" i="200"/>
  <c r="I44" i="200" s="1"/>
  <c r="AE43" i="200"/>
  <c r="AI43" i="200" s="1"/>
  <c r="Y43" i="200" s="1"/>
  <c r="AD43" i="200"/>
  <c r="AC43" i="200"/>
  <c r="AB43" i="200"/>
  <c r="Z43" i="200"/>
  <c r="X43" i="200"/>
  <c r="Q43" i="200"/>
  <c r="P43" i="200"/>
  <c r="I43" i="200"/>
  <c r="H43" i="200"/>
  <c r="E43" i="200"/>
  <c r="AD42" i="200"/>
  <c r="AC42" i="200"/>
  <c r="AB42" i="200"/>
  <c r="AE42" i="200" s="1"/>
  <c r="AI42" i="200" s="1"/>
  <c r="Y42" i="200" s="1"/>
  <c r="Z42" i="200"/>
  <c r="X42" i="200"/>
  <c r="Q42" i="200"/>
  <c r="P42" i="200"/>
  <c r="I42" i="200"/>
  <c r="H42" i="200"/>
  <c r="E42" i="200"/>
  <c r="AD41" i="200"/>
  <c r="AC41" i="200"/>
  <c r="AB41" i="200"/>
  <c r="AE41" i="200" s="1"/>
  <c r="AI41" i="200" s="1"/>
  <c r="Y41" i="200" s="1"/>
  <c r="Z41" i="200"/>
  <c r="X41" i="200"/>
  <c r="Q41" i="200"/>
  <c r="P41" i="200"/>
  <c r="H41" i="200"/>
  <c r="E41" i="200"/>
  <c r="I41" i="200" s="1"/>
  <c r="AE40" i="200"/>
  <c r="AI40" i="200" s="1"/>
  <c r="Y40" i="200" s="1"/>
  <c r="AD40" i="200"/>
  <c r="AC40" i="200"/>
  <c r="AB40" i="200"/>
  <c r="Z40" i="200"/>
  <c r="X40" i="200"/>
  <c r="Q40" i="200"/>
  <c r="P40" i="200"/>
  <c r="I40" i="200"/>
  <c r="H40" i="200"/>
  <c r="E40" i="200"/>
  <c r="AD39" i="200"/>
  <c r="AC39" i="200"/>
  <c r="AB39" i="200"/>
  <c r="AE39" i="200" s="1"/>
  <c r="AI39" i="200" s="1"/>
  <c r="Y39" i="200" s="1"/>
  <c r="Z39" i="200"/>
  <c r="X39" i="200"/>
  <c r="Q39" i="200"/>
  <c r="P39" i="200"/>
  <c r="H39" i="200"/>
  <c r="E39" i="200"/>
  <c r="AD38" i="200"/>
  <c r="AC38" i="200"/>
  <c r="AB38" i="200"/>
  <c r="AE38" i="200" s="1"/>
  <c r="AI38" i="200" s="1"/>
  <c r="Y38" i="200" s="1"/>
  <c r="Z38" i="200"/>
  <c r="X38" i="200"/>
  <c r="Q38" i="200"/>
  <c r="P38" i="200"/>
  <c r="I38" i="200"/>
  <c r="H38" i="200"/>
  <c r="E38" i="200"/>
  <c r="AD37" i="200"/>
  <c r="AC37" i="200"/>
  <c r="AE37" i="200" s="1"/>
  <c r="AI37" i="200" s="1"/>
  <c r="Y37" i="200" s="1"/>
  <c r="AB37" i="200"/>
  <c r="Z37" i="200"/>
  <c r="X37" i="200"/>
  <c r="Q37" i="200"/>
  <c r="P37" i="200"/>
  <c r="I37" i="200"/>
  <c r="H37" i="200"/>
  <c r="E37" i="200"/>
  <c r="AE36" i="200"/>
  <c r="AI36" i="200" s="1"/>
  <c r="Y36" i="200" s="1"/>
  <c r="AD36" i="200"/>
  <c r="AC36" i="200"/>
  <c r="AB36" i="200"/>
  <c r="Q36" i="200"/>
  <c r="P36" i="200"/>
  <c r="E36" i="200"/>
  <c r="AD35" i="200"/>
  <c r="AC35" i="200"/>
  <c r="AB35" i="200"/>
  <c r="AE35" i="200" s="1"/>
  <c r="AI35" i="200" s="1"/>
  <c r="Y35" i="200" s="1"/>
  <c r="Z35" i="200"/>
  <c r="X35" i="200"/>
  <c r="Q35" i="200"/>
  <c r="P35" i="200"/>
  <c r="I35" i="200"/>
  <c r="H35" i="200"/>
  <c r="E35" i="200"/>
  <c r="AD34" i="200"/>
  <c r="AC34" i="200"/>
  <c r="AE34" i="200" s="1"/>
  <c r="AI34" i="200" s="1"/>
  <c r="Y34" i="200" s="1"/>
  <c r="AB34" i="200"/>
  <c r="Z34" i="200"/>
  <c r="X34" i="200"/>
  <c r="Q34" i="200"/>
  <c r="P34" i="200"/>
  <c r="H34" i="200"/>
  <c r="E34" i="200"/>
  <c r="I34" i="200" s="1"/>
  <c r="AD33" i="200"/>
  <c r="AC33" i="200"/>
  <c r="AB33" i="200"/>
  <c r="AE33" i="200" s="1"/>
  <c r="AI33" i="200" s="1"/>
  <c r="Y33" i="200" s="1"/>
  <c r="Z33" i="200"/>
  <c r="X33" i="200"/>
  <c r="Q33" i="200"/>
  <c r="P33" i="200"/>
  <c r="I33" i="200"/>
  <c r="H33" i="200"/>
  <c r="E33" i="200"/>
  <c r="AD32" i="200"/>
  <c r="AC32" i="200"/>
  <c r="AB32" i="200"/>
  <c r="AE32" i="200" s="1"/>
  <c r="AI32" i="200" s="1"/>
  <c r="Y32" i="200" s="1"/>
  <c r="Z32" i="200"/>
  <c r="X32" i="200"/>
  <c r="Q32" i="200"/>
  <c r="P32" i="200"/>
  <c r="H32" i="200"/>
  <c r="E32" i="200"/>
  <c r="I32" i="200" s="1"/>
  <c r="AI31" i="200"/>
  <c r="Y31" i="200" s="1"/>
  <c r="AE31" i="200"/>
  <c r="Z31" i="200"/>
  <c r="X31" i="200"/>
  <c r="Q31" i="200"/>
  <c r="P31" i="200"/>
  <c r="I31" i="200"/>
  <c r="H31" i="200"/>
  <c r="E31" i="200"/>
  <c r="AD30" i="200"/>
  <c r="AC30" i="200"/>
  <c r="AB30" i="200"/>
  <c r="AE30" i="200" s="1"/>
  <c r="AI30" i="200" s="1"/>
  <c r="Y30" i="200" s="1"/>
  <c r="Z30" i="200"/>
  <c r="X30" i="200"/>
  <c r="Q30" i="200"/>
  <c r="P30" i="200"/>
  <c r="H30" i="200"/>
  <c r="E30" i="200"/>
  <c r="I30" i="200" s="1"/>
  <c r="AD29" i="200"/>
  <c r="AC29" i="200"/>
  <c r="AB29" i="200"/>
  <c r="AE29" i="200" s="1"/>
  <c r="AI29" i="200" s="1"/>
  <c r="Y29" i="200" s="1"/>
  <c r="Z29" i="200"/>
  <c r="X29" i="200"/>
  <c r="Q29" i="200"/>
  <c r="P29" i="200"/>
  <c r="H29" i="200"/>
  <c r="E29" i="200"/>
  <c r="I29" i="200" s="1"/>
  <c r="AE28" i="200"/>
  <c r="AI28" i="200" s="1"/>
  <c r="Y28" i="200" s="1"/>
  <c r="AD28" i="200"/>
  <c r="AC28" i="200"/>
  <c r="AB28" i="200"/>
  <c r="Z28" i="200"/>
  <c r="X28" i="200"/>
  <c r="Q28" i="200"/>
  <c r="P28" i="200"/>
  <c r="I28" i="200"/>
  <c r="H28" i="200"/>
  <c r="E28" i="200"/>
  <c r="AD27" i="200"/>
  <c r="AC27" i="200"/>
  <c r="AB27" i="200"/>
  <c r="AE27" i="200" s="1"/>
  <c r="AI27" i="200" s="1"/>
  <c r="Y27" i="200" s="1"/>
  <c r="Z27" i="200"/>
  <c r="X27" i="200"/>
  <c r="Q27" i="200"/>
  <c r="P27" i="200"/>
  <c r="I27" i="200"/>
  <c r="H27" i="200"/>
  <c r="E27" i="200"/>
  <c r="AD26" i="200"/>
  <c r="AC26" i="200"/>
  <c r="AB26" i="200"/>
  <c r="AE26" i="200" s="1"/>
  <c r="AI26" i="200" s="1"/>
  <c r="Y26" i="200" s="1"/>
  <c r="Z26" i="200"/>
  <c r="X26" i="200"/>
  <c r="Q26" i="200"/>
  <c r="P26" i="200"/>
  <c r="H26" i="200"/>
  <c r="E26" i="200"/>
  <c r="I26" i="200" s="1"/>
  <c r="AE25" i="200"/>
  <c r="AI25" i="200" s="1"/>
  <c r="Y25" i="200" s="1"/>
  <c r="AD25" i="200"/>
  <c r="AC25" i="200"/>
  <c r="AB25" i="200"/>
  <c r="Z25" i="200"/>
  <c r="X25" i="200"/>
  <c r="Q25" i="200"/>
  <c r="P25" i="200"/>
  <c r="I25" i="200"/>
  <c r="H25" i="200"/>
  <c r="E25" i="200"/>
  <c r="AD24" i="200"/>
  <c r="AC24" i="200"/>
  <c r="AB24" i="200"/>
  <c r="AE24" i="200" s="1"/>
  <c r="AI24" i="200" s="1"/>
  <c r="Y24" i="200" s="1"/>
  <c r="Z24" i="200"/>
  <c r="X24" i="200"/>
  <c r="Q24" i="200"/>
  <c r="P24" i="200"/>
  <c r="I24" i="200"/>
  <c r="H24" i="200"/>
  <c r="E24" i="200"/>
  <c r="AI23" i="200"/>
  <c r="Y23" i="200" s="1"/>
  <c r="AE23" i="200"/>
  <c r="AD23" i="200"/>
  <c r="AC23" i="200"/>
  <c r="AB23" i="200"/>
  <c r="Z23" i="200"/>
  <c r="X23" i="200"/>
  <c r="Q23" i="200"/>
  <c r="P23" i="200"/>
  <c r="I23" i="200"/>
  <c r="H23" i="200"/>
  <c r="E23" i="200"/>
  <c r="AD22" i="200"/>
  <c r="AC22" i="200"/>
  <c r="AE22" i="200" s="1"/>
  <c r="AI22" i="200" s="1"/>
  <c r="Y22" i="200" s="1"/>
  <c r="AB22" i="200"/>
  <c r="Z22" i="200"/>
  <c r="X22" i="200"/>
  <c r="Q22" i="200"/>
  <c r="P22" i="200"/>
  <c r="I22" i="200"/>
  <c r="H22" i="200"/>
  <c r="E22" i="200"/>
  <c r="AD21" i="200"/>
  <c r="AC21" i="200"/>
  <c r="AB21" i="200"/>
  <c r="AE21" i="200" s="1"/>
  <c r="AI21" i="200" s="1"/>
  <c r="Y21" i="200" s="1"/>
  <c r="Z21" i="200"/>
  <c r="X21" i="200"/>
  <c r="Q21" i="200"/>
  <c r="P21" i="200"/>
  <c r="H21" i="200"/>
  <c r="E21" i="200"/>
  <c r="I21" i="200" s="1"/>
  <c r="AD20" i="200"/>
  <c r="AC20" i="200"/>
  <c r="AB20" i="200"/>
  <c r="AE20" i="200" s="1"/>
  <c r="AI20" i="200" s="1"/>
  <c r="Y20" i="200" s="1"/>
  <c r="Z20" i="200"/>
  <c r="Q20" i="200"/>
  <c r="P20" i="200"/>
  <c r="E20" i="200"/>
  <c r="AD19" i="200"/>
  <c r="AC19" i="200"/>
  <c r="AE19" i="200" s="1"/>
  <c r="AI19" i="200" s="1"/>
  <c r="Y19" i="200" s="1"/>
  <c r="AB19" i="200"/>
  <c r="Z19" i="200"/>
  <c r="X19" i="200"/>
  <c r="Q19" i="200"/>
  <c r="P19" i="200"/>
  <c r="H19" i="200"/>
  <c r="E19" i="200"/>
  <c r="I19" i="200" s="1"/>
  <c r="AD18" i="200"/>
  <c r="AC18" i="200"/>
  <c r="AB18" i="200"/>
  <c r="AE18" i="200" s="1"/>
  <c r="AI18" i="200" s="1"/>
  <c r="Y18" i="200" s="1"/>
  <c r="Z18" i="200"/>
  <c r="X18" i="200"/>
  <c r="Q18" i="200"/>
  <c r="P18" i="200"/>
  <c r="H18" i="200"/>
  <c r="E18" i="200"/>
  <c r="I18" i="200" s="1"/>
  <c r="AD17" i="200"/>
  <c r="AC17" i="200"/>
  <c r="AB17" i="200"/>
  <c r="AE17" i="200" s="1"/>
  <c r="AI17" i="200" s="1"/>
  <c r="Y17" i="200" s="1"/>
  <c r="Z17" i="200"/>
  <c r="X17" i="200"/>
  <c r="Q17" i="200"/>
  <c r="P17" i="200"/>
  <c r="H17" i="200"/>
  <c r="E17" i="200"/>
  <c r="I17" i="200" s="1"/>
  <c r="AD16" i="200"/>
  <c r="AC16" i="200"/>
  <c r="AE16" i="200" s="1"/>
  <c r="AI16" i="200" s="1"/>
  <c r="Y16" i="200" s="1"/>
  <c r="AB16" i="200"/>
  <c r="Z16" i="200"/>
  <c r="X16" i="200"/>
  <c r="Q16" i="200"/>
  <c r="P16" i="200"/>
  <c r="I16" i="200"/>
  <c r="E16" i="200"/>
  <c r="AD15" i="200"/>
  <c r="AC15" i="200"/>
  <c r="AB15" i="200"/>
  <c r="AE15" i="200" s="1"/>
  <c r="AI15" i="200" s="1"/>
  <c r="Y15" i="200" s="1"/>
  <c r="Z15" i="200"/>
  <c r="X15" i="200"/>
  <c r="Q15" i="200"/>
  <c r="P15" i="200"/>
  <c r="I15" i="200"/>
  <c r="E15" i="200"/>
  <c r="AD14" i="200"/>
  <c r="AC14" i="200"/>
  <c r="AB14" i="200"/>
  <c r="AE14" i="200" s="1"/>
  <c r="AI14" i="200" s="1"/>
  <c r="Y14" i="200" s="1"/>
  <c r="Z14" i="200"/>
  <c r="X14" i="200"/>
  <c r="Q14" i="200"/>
  <c r="O75" i="200" s="1"/>
  <c r="P14" i="200"/>
  <c r="I14" i="200"/>
  <c r="H14" i="200"/>
  <c r="E14" i="200"/>
  <c r="AD13" i="200"/>
  <c r="AC13" i="200"/>
  <c r="AB13" i="200"/>
  <c r="AE13" i="200" s="1"/>
  <c r="AI13" i="200" s="1"/>
  <c r="Y13" i="200" s="1"/>
  <c r="Z13" i="200"/>
  <c r="X13" i="200"/>
  <c r="Q13" i="200"/>
  <c r="P13" i="200"/>
  <c r="H13" i="200"/>
  <c r="E13" i="200"/>
  <c r="I13" i="200" s="1"/>
  <c r="AD12" i="200"/>
  <c r="AC12" i="200"/>
  <c r="AE12" i="200" s="1"/>
  <c r="AI12" i="200" s="1"/>
  <c r="Y12" i="200" s="1"/>
  <c r="AB12" i="200"/>
  <c r="Z12" i="200"/>
  <c r="X12" i="200"/>
  <c r="Q12" i="200"/>
  <c r="O73" i="200" s="1"/>
  <c r="P12" i="200"/>
  <c r="I12" i="200"/>
  <c r="H12" i="200"/>
  <c r="E12" i="200"/>
  <c r="I36" i="200" l="1"/>
  <c r="H36" i="200"/>
  <c r="X36" i="200"/>
  <c r="T77" i="200" s="1"/>
  <c r="H20" i="200"/>
  <c r="I20" i="200"/>
  <c r="H71" i="200"/>
  <c r="T75" i="200"/>
  <c r="T73" i="200"/>
  <c r="T79" i="200" s="1"/>
  <c r="F77" i="200" s="1"/>
  <c r="M79" i="199"/>
  <c r="P71" i="199"/>
  <c r="H71" i="199"/>
  <c r="Q70" i="199"/>
  <c r="P70" i="199"/>
  <c r="I70" i="199"/>
  <c r="H70" i="199"/>
  <c r="E70" i="199"/>
  <c r="Q69" i="199"/>
  <c r="P69" i="199"/>
  <c r="I69" i="199"/>
  <c r="H69" i="199"/>
  <c r="E69" i="199"/>
  <c r="AD68" i="199"/>
  <c r="AC68" i="199"/>
  <c r="AB68" i="199"/>
  <c r="AE68" i="199" s="1"/>
  <c r="AI68" i="199" s="1"/>
  <c r="Y68" i="199" s="1"/>
  <c r="Z68" i="199"/>
  <c r="X68" i="199"/>
  <c r="Q68" i="199"/>
  <c r="P68" i="199"/>
  <c r="H68" i="199"/>
  <c r="E68" i="199"/>
  <c r="I68" i="199" s="1"/>
  <c r="AE67" i="199"/>
  <c r="AI67" i="199" s="1"/>
  <c r="Y67" i="199" s="1"/>
  <c r="AD67" i="199"/>
  <c r="AC67" i="199"/>
  <c r="AB67" i="199"/>
  <c r="Z67" i="199"/>
  <c r="X67" i="199"/>
  <c r="Q67" i="199"/>
  <c r="P67" i="199"/>
  <c r="H67" i="199"/>
  <c r="E67" i="199"/>
  <c r="I67" i="199" s="1"/>
  <c r="AD66" i="199"/>
  <c r="AC66" i="199"/>
  <c r="AB66" i="199"/>
  <c r="AE66" i="199" s="1"/>
  <c r="AI66" i="199" s="1"/>
  <c r="Y66" i="199" s="1"/>
  <c r="Z66" i="199"/>
  <c r="X66" i="199"/>
  <c r="Q66" i="199"/>
  <c r="P66" i="199"/>
  <c r="I66" i="199"/>
  <c r="H66" i="199"/>
  <c r="E66" i="199"/>
  <c r="AD65" i="199"/>
  <c r="AE65" i="199" s="1"/>
  <c r="AI65" i="199" s="1"/>
  <c r="Y65" i="199" s="1"/>
  <c r="AC65" i="199"/>
  <c r="AB65" i="199"/>
  <c r="Z65" i="199"/>
  <c r="X65" i="199"/>
  <c r="Q65" i="199"/>
  <c r="P65" i="199"/>
  <c r="H65" i="199"/>
  <c r="E65" i="199"/>
  <c r="I65" i="199" s="1"/>
  <c r="AE64" i="199"/>
  <c r="AI64" i="199" s="1"/>
  <c r="Y64" i="199" s="1"/>
  <c r="AD64" i="199"/>
  <c r="AC64" i="199"/>
  <c r="AB64" i="199"/>
  <c r="Z64" i="199"/>
  <c r="X64" i="199"/>
  <c r="Q64" i="199"/>
  <c r="P64" i="199"/>
  <c r="I64" i="199"/>
  <c r="H64" i="199"/>
  <c r="E64" i="199"/>
  <c r="AD63" i="199"/>
  <c r="AC63" i="199"/>
  <c r="AB63" i="199"/>
  <c r="AE63" i="199" s="1"/>
  <c r="AI63" i="199" s="1"/>
  <c r="Y63" i="199" s="1"/>
  <c r="Z63" i="199"/>
  <c r="X63" i="199"/>
  <c r="Q63" i="199"/>
  <c r="P63" i="199"/>
  <c r="H63" i="199"/>
  <c r="E63" i="199"/>
  <c r="I63" i="199" s="1"/>
  <c r="AD62" i="199"/>
  <c r="AC62" i="199"/>
  <c r="AB62" i="199"/>
  <c r="AE62" i="199" s="1"/>
  <c r="AI62" i="199" s="1"/>
  <c r="Y62" i="199" s="1"/>
  <c r="Z62" i="199"/>
  <c r="X62" i="199"/>
  <c r="Q62" i="199"/>
  <c r="P62" i="199"/>
  <c r="I62" i="199"/>
  <c r="H62" i="199"/>
  <c r="E62" i="199"/>
  <c r="AC61" i="199"/>
  <c r="AB61" i="199"/>
  <c r="AE61" i="199" s="1"/>
  <c r="AI61" i="199" s="1"/>
  <c r="Y61" i="199" s="1"/>
  <c r="X61" i="199"/>
  <c r="Q61" i="199"/>
  <c r="P61" i="199"/>
  <c r="H61" i="199"/>
  <c r="E61" i="199"/>
  <c r="I61" i="199" s="1"/>
  <c r="AI60" i="199"/>
  <c r="AE60" i="199"/>
  <c r="Y60" i="199"/>
  <c r="X60" i="199"/>
  <c r="Q60" i="199"/>
  <c r="P60" i="199"/>
  <c r="H60" i="199"/>
  <c r="E60" i="199"/>
  <c r="I60" i="199" s="1"/>
  <c r="AE59" i="199"/>
  <c r="AI59" i="199" s="1"/>
  <c r="Y59" i="199" s="1"/>
  <c r="AC59" i="199"/>
  <c r="AB59" i="199"/>
  <c r="X59" i="199"/>
  <c r="Q59" i="199"/>
  <c r="P59" i="199"/>
  <c r="H59" i="199"/>
  <c r="E59" i="199"/>
  <c r="I59" i="199" s="1"/>
  <c r="AC58" i="199"/>
  <c r="AB58" i="199"/>
  <c r="AE58" i="199" s="1"/>
  <c r="AI58" i="199" s="1"/>
  <c r="Y58" i="199" s="1"/>
  <c r="X58" i="199"/>
  <c r="Q58" i="199"/>
  <c r="P58" i="199"/>
  <c r="I58" i="199"/>
  <c r="E58" i="199"/>
  <c r="AE57" i="199"/>
  <c r="AI57" i="199" s="1"/>
  <c r="Y57" i="199" s="1"/>
  <c r="AC57" i="199"/>
  <c r="AB57" i="199"/>
  <c r="X57" i="199"/>
  <c r="Q57" i="199"/>
  <c r="P57" i="199"/>
  <c r="H57" i="199"/>
  <c r="E57" i="199"/>
  <c r="I57" i="199" s="1"/>
  <c r="AE56" i="199"/>
  <c r="AI56" i="199" s="1"/>
  <c r="Y56" i="199" s="1"/>
  <c r="AD56" i="199"/>
  <c r="AC56" i="199"/>
  <c r="AB56" i="199"/>
  <c r="Z56" i="199"/>
  <c r="X56" i="199"/>
  <c r="Q56" i="199"/>
  <c r="P56" i="199"/>
  <c r="I56" i="199"/>
  <c r="H56" i="199"/>
  <c r="E56" i="199"/>
  <c r="AD55" i="199"/>
  <c r="AC55" i="199"/>
  <c r="AB55" i="199"/>
  <c r="AE55" i="199" s="1"/>
  <c r="AI55" i="199" s="1"/>
  <c r="Y55" i="199" s="1"/>
  <c r="Z55" i="199"/>
  <c r="X55" i="199"/>
  <c r="Q55" i="199"/>
  <c r="P55" i="199"/>
  <c r="H55" i="199"/>
  <c r="E55" i="199"/>
  <c r="I55" i="199" s="1"/>
  <c r="AD54" i="199"/>
  <c r="AC54" i="199"/>
  <c r="AB54" i="199"/>
  <c r="AE54" i="199" s="1"/>
  <c r="AI54" i="199" s="1"/>
  <c r="Y54" i="199" s="1"/>
  <c r="Z54" i="199"/>
  <c r="X54" i="199"/>
  <c r="Q54" i="199"/>
  <c r="P54" i="199"/>
  <c r="H54" i="199"/>
  <c r="E54" i="199"/>
  <c r="I54" i="199" s="1"/>
  <c r="AD53" i="199"/>
  <c r="AC53" i="199"/>
  <c r="AB53" i="199"/>
  <c r="AE53" i="199" s="1"/>
  <c r="AI53" i="199" s="1"/>
  <c r="Y53" i="199" s="1"/>
  <c r="Z53" i="199"/>
  <c r="X53" i="199"/>
  <c r="Q53" i="199"/>
  <c r="P53" i="199"/>
  <c r="I53" i="199"/>
  <c r="H53" i="199"/>
  <c r="E53" i="199"/>
  <c r="AE52" i="199"/>
  <c r="AI52" i="199" s="1"/>
  <c r="Y52" i="199" s="1"/>
  <c r="Z52" i="199"/>
  <c r="X52" i="199"/>
  <c r="Q52" i="199"/>
  <c r="P52" i="199"/>
  <c r="H52" i="199"/>
  <c r="E52" i="199"/>
  <c r="I52" i="199" s="1"/>
  <c r="AE51" i="199"/>
  <c r="AI51" i="199" s="1"/>
  <c r="Y51" i="199" s="1"/>
  <c r="AD51" i="199"/>
  <c r="AC51" i="199"/>
  <c r="AB51" i="199"/>
  <c r="Z51" i="199"/>
  <c r="X51" i="199"/>
  <c r="Q51" i="199"/>
  <c r="P51" i="199"/>
  <c r="H51" i="199"/>
  <c r="E51" i="199"/>
  <c r="I51" i="199" s="1"/>
  <c r="AD50" i="199"/>
  <c r="AC50" i="199"/>
  <c r="AB50" i="199"/>
  <c r="AE50" i="199" s="1"/>
  <c r="AI50" i="199" s="1"/>
  <c r="Y50" i="199" s="1"/>
  <c r="Z50" i="199"/>
  <c r="X50" i="199"/>
  <c r="Q50" i="199"/>
  <c r="P50" i="199"/>
  <c r="I50" i="199"/>
  <c r="H50" i="199"/>
  <c r="E50" i="199"/>
  <c r="AE49" i="199"/>
  <c r="AI49" i="199" s="1"/>
  <c r="Y49" i="199" s="1"/>
  <c r="Z49" i="199"/>
  <c r="X49" i="199"/>
  <c r="Q49" i="199"/>
  <c r="P49" i="199"/>
  <c r="I49" i="199"/>
  <c r="H49" i="199"/>
  <c r="E49" i="199"/>
  <c r="AE48" i="199"/>
  <c r="AI48" i="199" s="1"/>
  <c r="Y48" i="199" s="1"/>
  <c r="Z48" i="199"/>
  <c r="X48" i="199"/>
  <c r="Q48" i="199"/>
  <c r="P48" i="199"/>
  <c r="H48" i="199"/>
  <c r="E48" i="199"/>
  <c r="I48" i="199" s="1"/>
  <c r="AE47" i="199"/>
  <c r="AI47" i="199" s="1"/>
  <c r="Y47" i="199" s="1"/>
  <c r="Z47" i="199"/>
  <c r="X47" i="199"/>
  <c r="Q47" i="199"/>
  <c r="P47" i="199"/>
  <c r="H47" i="199"/>
  <c r="E47" i="199"/>
  <c r="I47" i="199" s="1"/>
  <c r="AD46" i="199"/>
  <c r="AC46" i="199"/>
  <c r="AB46" i="199"/>
  <c r="AE46" i="199" s="1"/>
  <c r="AI46" i="199" s="1"/>
  <c r="Y46" i="199" s="1"/>
  <c r="Z46" i="199"/>
  <c r="X46" i="199"/>
  <c r="Q46" i="199"/>
  <c r="P46" i="199"/>
  <c r="I46" i="199"/>
  <c r="H46" i="199"/>
  <c r="E46" i="199"/>
  <c r="AD45" i="199"/>
  <c r="AC45" i="199"/>
  <c r="AE45" i="199" s="1"/>
  <c r="AI45" i="199" s="1"/>
  <c r="Y45" i="199" s="1"/>
  <c r="AB45" i="199"/>
  <c r="Z45" i="199"/>
  <c r="X45" i="199"/>
  <c r="Q45" i="199"/>
  <c r="P45" i="199"/>
  <c r="H45" i="199"/>
  <c r="E45" i="199"/>
  <c r="I45" i="199" s="1"/>
  <c r="AE44" i="199"/>
  <c r="AI44" i="199" s="1"/>
  <c r="Y44" i="199" s="1"/>
  <c r="AD44" i="199"/>
  <c r="AC44" i="199"/>
  <c r="AB44" i="199"/>
  <c r="Z44" i="199"/>
  <c r="X44" i="199"/>
  <c r="Q44" i="199"/>
  <c r="P44" i="199"/>
  <c r="I44" i="199"/>
  <c r="H44" i="199"/>
  <c r="E44" i="199"/>
  <c r="AD43" i="199"/>
  <c r="AC43" i="199"/>
  <c r="AB43" i="199"/>
  <c r="AE43" i="199" s="1"/>
  <c r="AI43" i="199" s="1"/>
  <c r="Y43" i="199" s="1"/>
  <c r="Z43" i="199"/>
  <c r="X43" i="199"/>
  <c r="Q43" i="199"/>
  <c r="P43" i="199"/>
  <c r="H43" i="199"/>
  <c r="E43" i="199"/>
  <c r="I43" i="199" s="1"/>
  <c r="AD42" i="199"/>
  <c r="AC42" i="199"/>
  <c r="AB42" i="199"/>
  <c r="AE42" i="199" s="1"/>
  <c r="AI42" i="199" s="1"/>
  <c r="Y42" i="199" s="1"/>
  <c r="Z42" i="199"/>
  <c r="X42" i="199"/>
  <c r="Q42" i="199"/>
  <c r="P42" i="199"/>
  <c r="H42" i="199"/>
  <c r="E42" i="199"/>
  <c r="I42" i="199" s="1"/>
  <c r="AD41" i="199"/>
  <c r="AC41" i="199"/>
  <c r="AB41" i="199"/>
  <c r="AE41" i="199" s="1"/>
  <c r="AI41" i="199" s="1"/>
  <c r="Y41" i="199" s="1"/>
  <c r="Z41" i="199"/>
  <c r="X41" i="199"/>
  <c r="Q41" i="199"/>
  <c r="P41" i="199"/>
  <c r="I41" i="199"/>
  <c r="H41" i="199"/>
  <c r="E41" i="199"/>
  <c r="AD40" i="199"/>
  <c r="AE40" i="199" s="1"/>
  <c r="AI40" i="199" s="1"/>
  <c r="Y40" i="199" s="1"/>
  <c r="AC40" i="199"/>
  <c r="AB40" i="199"/>
  <c r="Z40" i="199"/>
  <c r="X40" i="199"/>
  <c r="Q40" i="199"/>
  <c r="P40" i="199"/>
  <c r="I40" i="199"/>
  <c r="H40" i="199"/>
  <c r="E40" i="199"/>
  <c r="AD39" i="199"/>
  <c r="AC39" i="199"/>
  <c r="AB39" i="199"/>
  <c r="AE39" i="199" s="1"/>
  <c r="AI39" i="199" s="1"/>
  <c r="Y39" i="199" s="1"/>
  <c r="Z39" i="199"/>
  <c r="X39" i="199"/>
  <c r="Q39" i="199"/>
  <c r="P39" i="199"/>
  <c r="H39" i="199"/>
  <c r="E39" i="199"/>
  <c r="I39" i="199" s="1"/>
  <c r="AE38" i="199"/>
  <c r="AI38" i="199" s="1"/>
  <c r="Y38" i="199" s="1"/>
  <c r="AD38" i="199"/>
  <c r="AC38" i="199"/>
  <c r="AB38" i="199"/>
  <c r="Z38" i="199"/>
  <c r="X38" i="199"/>
  <c r="Q38" i="199"/>
  <c r="P38" i="199"/>
  <c r="H38" i="199"/>
  <c r="E38" i="199"/>
  <c r="I38" i="199" s="1"/>
  <c r="AD37" i="199"/>
  <c r="AC37" i="199"/>
  <c r="AB37" i="199"/>
  <c r="AE37" i="199" s="1"/>
  <c r="AI37" i="199" s="1"/>
  <c r="Y37" i="199" s="1"/>
  <c r="Z37" i="199"/>
  <c r="X37" i="199"/>
  <c r="Q37" i="199"/>
  <c r="P37" i="199"/>
  <c r="I37" i="199"/>
  <c r="H37" i="199"/>
  <c r="E37" i="199"/>
  <c r="AD36" i="199"/>
  <c r="AC36" i="199"/>
  <c r="AB36" i="199"/>
  <c r="AE36" i="199" s="1"/>
  <c r="AI36" i="199" s="1"/>
  <c r="Y36" i="199" s="1"/>
  <c r="Z36" i="199"/>
  <c r="X36" i="199"/>
  <c r="Q36" i="199"/>
  <c r="P36" i="199"/>
  <c r="H36" i="199"/>
  <c r="E36" i="199"/>
  <c r="I36" i="199" s="1"/>
  <c r="AE35" i="199"/>
  <c r="AI35" i="199" s="1"/>
  <c r="Y35" i="199" s="1"/>
  <c r="AD35" i="199"/>
  <c r="AC35" i="199"/>
  <c r="AB35" i="199"/>
  <c r="Z35" i="199"/>
  <c r="X35" i="199"/>
  <c r="Q35" i="199"/>
  <c r="P35" i="199"/>
  <c r="I35" i="199"/>
  <c r="H35" i="199"/>
  <c r="E35" i="199"/>
  <c r="AD34" i="199"/>
  <c r="AC34" i="199"/>
  <c r="AB34" i="199"/>
  <c r="AE34" i="199" s="1"/>
  <c r="AI34" i="199" s="1"/>
  <c r="Y34" i="199" s="1"/>
  <c r="Z34" i="199"/>
  <c r="X34" i="199"/>
  <c r="Q34" i="199"/>
  <c r="P34" i="199"/>
  <c r="H34" i="199"/>
  <c r="E34" i="199"/>
  <c r="I34" i="199" s="1"/>
  <c r="AD33" i="199"/>
  <c r="AE33" i="199" s="1"/>
  <c r="AI33" i="199" s="1"/>
  <c r="Y33" i="199" s="1"/>
  <c r="AC33" i="199"/>
  <c r="AB33" i="199"/>
  <c r="Z33" i="199"/>
  <c r="X33" i="199"/>
  <c r="Q33" i="199"/>
  <c r="P33" i="199"/>
  <c r="H33" i="199"/>
  <c r="E33" i="199"/>
  <c r="I33" i="199" s="1"/>
  <c r="AD32" i="199"/>
  <c r="AC32" i="199"/>
  <c r="AE32" i="199" s="1"/>
  <c r="AI32" i="199" s="1"/>
  <c r="Y32" i="199" s="1"/>
  <c r="AB32" i="199"/>
  <c r="Z32" i="199"/>
  <c r="X32" i="199"/>
  <c r="Q32" i="199"/>
  <c r="P32" i="199"/>
  <c r="I32" i="199"/>
  <c r="H32" i="199"/>
  <c r="E32" i="199"/>
  <c r="AE31" i="199"/>
  <c r="AI31" i="199" s="1"/>
  <c r="Y31" i="199" s="1"/>
  <c r="Z31" i="199"/>
  <c r="X31" i="199"/>
  <c r="Q31" i="199"/>
  <c r="P31" i="199"/>
  <c r="I31" i="199"/>
  <c r="H31" i="199"/>
  <c r="E31" i="199"/>
  <c r="AD30" i="199"/>
  <c r="AC30" i="199"/>
  <c r="AE30" i="199" s="1"/>
  <c r="AI30" i="199" s="1"/>
  <c r="Y30" i="199" s="1"/>
  <c r="AB30" i="199"/>
  <c r="Z30" i="199"/>
  <c r="X30" i="199"/>
  <c r="Q30" i="199"/>
  <c r="P30" i="199"/>
  <c r="H30" i="199"/>
  <c r="E30" i="199"/>
  <c r="I30" i="199" s="1"/>
  <c r="AE29" i="199"/>
  <c r="AI29" i="199" s="1"/>
  <c r="Y29" i="199" s="1"/>
  <c r="AD29" i="199"/>
  <c r="AC29" i="199"/>
  <c r="AB29" i="199"/>
  <c r="Z29" i="199"/>
  <c r="X29" i="199"/>
  <c r="Q29" i="199"/>
  <c r="P29" i="199"/>
  <c r="I29" i="199"/>
  <c r="H29" i="199"/>
  <c r="E29" i="199"/>
  <c r="AD28" i="199"/>
  <c r="AC28" i="199"/>
  <c r="AB28" i="199"/>
  <c r="AE28" i="199" s="1"/>
  <c r="AI28" i="199" s="1"/>
  <c r="Y28" i="199" s="1"/>
  <c r="Z28" i="199"/>
  <c r="X28" i="199"/>
  <c r="Q28" i="199"/>
  <c r="P28" i="199"/>
  <c r="H28" i="199"/>
  <c r="E28" i="199"/>
  <c r="I28" i="199" s="1"/>
  <c r="AD27" i="199"/>
  <c r="AC27" i="199"/>
  <c r="AB27" i="199"/>
  <c r="AE27" i="199" s="1"/>
  <c r="AI27" i="199" s="1"/>
  <c r="Y27" i="199" s="1"/>
  <c r="Z27" i="199"/>
  <c r="X27" i="199"/>
  <c r="Q27" i="199"/>
  <c r="P27" i="199"/>
  <c r="H27" i="199"/>
  <c r="E27" i="199"/>
  <c r="I27" i="199" s="1"/>
  <c r="AD26" i="199"/>
  <c r="AC26" i="199"/>
  <c r="AB26" i="199"/>
  <c r="AE26" i="199" s="1"/>
  <c r="AI26" i="199" s="1"/>
  <c r="Y26" i="199" s="1"/>
  <c r="Z26" i="199"/>
  <c r="X26" i="199"/>
  <c r="Q26" i="199"/>
  <c r="P26" i="199"/>
  <c r="I26" i="199"/>
  <c r="H26" i="199"/>
  <c r="E26" i="199"/>
  <c r="AD25" i="199"/>
  <c r="AE25" i="199" s="1"/>
  <c r="AI25" i="199" s="1"/>
  <c r="Y25" i="199" s="1"/>
  <c r="AC25" i="199"/>
  <c r="AB25" i="199"/>
  <c r="Z25" i="199"/>
  <c r="X25" i="199"/>
  <c r="Q25" i="199"/>
  <c r="P25" i="199"/>
  <c r="I25" i="199"/>
  <c r="H25" i="199"/>
  <c r="E25" i="199"/>
  <c r="AD24" i="199"/>
  <c r="AC24" i="199"/>
  <c r="AB24" i="199"/>
  <c r="AE24" i="199" s="1"/>
  <c r="AI24" i="199" s="1"/>
  <c r="Y24" i="199" s="1"/>
  <c r="Z24" i="199"/>
  <c r="X24" i="199"/>
  <c r="Q24" i="199"/>
  <c r="P24" i="199"/>
  <c r="H24" i="199"/>
  <c r="E24" i="199"/>
  <c r="I24" i="199" s="1"/>
  <c r="AE23" i="199"/>
  <c r="AI23" i="199" s="1"/>
  <c r="Y23" i="199" s="1"/>
  <c r="AD23" i="199"/>
  <c r="AC23" i="199"/>
  <c r="AB23" i="199"/>
  <c r="Z23" i="199"/>
  <c r="X23" i="199"/>
  <c r="Q23" i="199"/>
  <c r="P23" i="199"/>
  <c r="H23" i="199"/>
  <c r="E23" i="199"/>
  <c r="I23" i="199" s="1"/>
  <c r="AD22" i="199"/>
  <c r="AC22" i="199"/>
  <c r="AB22" i="199"/>
  <c r="AE22" i="199" s="1"/>
  <c r="AI22" i="199" s="1"/>
  <c r="Y22" i="199" s="1"/>
  <c r="Z22" i="199"/>
  <c r="X22" i="199"/>
  <c r="Q22" i="199"/>
  <c r="P22" i="199"/>
  <c r="I22" i="199"/>
  <c r="H22" i="199"/>
  <c r="E22" i="199"/>
  <c r="AD21" i="199"/>
  <c r="AC21" i="199"/>
  <c r="AB21" i="199"/>
  <c r="AE21" i="199" s="1"/>
  <c r="AI21" i="199" s="1"/>
  <c r="Y21" i="199" s="1"/>
  <c r="Z21" i="199"/>
  <c r="X21" i="199"/>
  <c r="Q21" i="199"/>
  <c r="P21" i="199"/>
  <c r="H21" i="199"/>
  <c r="E21" i="199"/>
  <c r="I21" i="199" s="1"/>
  <c r="AE20" i="199"/>
  <c r="AI20" i="199" s="1"/>
  <c r="Y20" i="199" s="1"/>
  <c r="AD20" i="199"/>
  <c r="AC20" i="199"/>
  <c r="AB20" i="199"/>
  <c r="Z20" i="199"/>
  <c r="X20" i="199"/>
  <c r="Q20" i="199"/>
  <c r="P20" i="199"/>
  <c r="I20" i="199"/>
  <c r="H20" i="199"/>
  <c r="E20" i="199"/>
  <c r="AD19" i="199"/>
  <c r="AC19" i="199"/>
  <c r="AB19" i="199"/>
  <c r="AE19" i="199" s="1"/>
  <c r="AI19" i="199" s="1"/>
  <c r="Y19" i="199" s="1"/>
  <c r="Z19" i="199"/>
  <c r="X19" i="199"/>
  <c r="Q19" i="199"/>
  <c r="P19" i="199"/>
  <c r="H19" i="199"/>
  <c r="E19" i="199"/>
  <c r="I19" i="199" s="1"/>
  <c r="AD18" i="199"/>
  <c r="AE18" i="199" s="1"/>
  <c r="AI18" i="199" s="1"/>
  <c r="Y18" i="199" s="1"/>
  <c r="AC18" i="199"/>
  <c r="AB18" i="199"/>
  <c r="Z18" i="199"/>
  <c r="X18" i="199"/>
  <c r="Q18" i="199"/>
  <c r="P18" i="199"/>
  <c r="H18" i="199"/>
  <c r="E18" i="199"/>
  <c r="I18" i="199" s="1"/>
  <c r="AD17" i="199"/>
  <c r="AC17" i="199"/>
  <c r="AE17" i="199" s="1"/>
  <c r="AI17" i="199" s="1"/>
  <c r="Y17" i="199" s="1"/>
  <c r="AB17" i="199"/>
  <c r="Z17" i="199"/>
  <c r="X17" i="199"/>
  <c r="Q17" i="199"/>
  <c r="P17" i="199"/>
  <c r="I17" i="199"/>
  <c r="H17" i="199"/>
  <c r="E17" i="199"/>
  <c r="AE16" i="199"/>
  <c r="AI16" i="199" s="1"/>
  <c r="Y16" i="199" s="1"/>
  <c r="AD16" i="199"/>
  <c r="AC16" i="199"/>
  <c r="AB16" i="199"/>
  <c r="Z16" i="199"/>
  <c r="X16" i="199"/>
  <c r="Q16" i="199"/>
  <c r="P16" i="199"/>
  <c r="E16" i="199"/>
  <c r="I16" i="199" s="1"/>
  <c r="AE15" i="199"/>
  <c r="AI15" i="199" s="1"/>
  <c r="Y15" i="199" s="1"/>
  <c r="AD15" i="199"/>
  <c r="AC15" i="199"/>
  <c r="AB15" i="199"/>
  <c r="Z15" i="199"/>
  <c r="X15" i="199"/>
  <c r="Q15" i="199"/>
  <c r="P15" i="199"/>
  <c r="I15" i="199"/>
  <c r="E15" i="199"/>
  <c r="AD14" i="199"/>
  <c r="AC14" i="199"/>
  <c r="AB14" i="199"/>
  <c r="AE14" i="199" s="1"/>
  <c r="AI14" i="199" s="1"/>
  <c r="Y14" i="199" s="1"/>
  <c r="Z14" i="199"/>
  <c r="X14" i="199"/>
  <c r="Q14" i="199"/>
  <c r="O75" i="199" s="1"/>
  <c r="P14" i="199"/>
  <c r="H14" i="199"/>
  <c r="E14" i="199"/>
  <c r="I14" i="199" s="1"/>
  <c r="AD13" i="199"/>
  <c r="AC13" i="199"/>
  <c r="AE13" i="199" s="1"/>
  <c r="AI13" i="199" s="1"/>
  <c r="Y13" i="199" s="1"/>
  <c r="AB13" i="199"/>
  <c r="Z13" i="199"/>
  <c r="X13" i="199"/>
  <c r="Q13" i="199"/>
  <c r="P13" i="199"/>
  <c r="H13" i="199"/>
  <c r="E13" i="199"/>
  <c r="I13" i="199" s="1"/>
  <c r="AD12" i="199"/>
  <c r="AC12" i="199"/>
  <c r="AB12" i="199"/>
  <c r="AE12" i="199" s="1"/>
  <c r="AI12" i="199" s="1"/>
  <c r="Y12" i="199" s="1"/>
  <c r="Z12" i="199"/>
  <c r="T75" i="199" s="1"/>
  <c r="X12" i="199"/>
  <c r="T77" i="199" s="1"/>
  <c r="Q12" i="199"/>
  <c r="O73" i="199" s="1"/>
  <c r="P12" i="199"/>
  <c r="I12" i="199"/>
  <c r="H12" i="199"/>
  <c r="E12" i="199"/>
  <c r="F75" i="200" l="1"/>
  <c r="T79" i="199"/>
  <c r="T73" i="199"/>
  <c r="F73" i="199"/>
  <c r="F75" i="199"/>
  <c r="M79" i="198"/>
  <c r="T75" i="198"/>
  <c r="P71" i="198"/>
  <c r="H71" i="198"/>
  <c r="Q70" i="198"/>
  <c r="P70" i="198"/>
  <c r="I70" i="198"/>
  <c r="H70" i="198"/>
  <c r="E70" i="198"/>
  <c r="Q69" i="198"/>
  <c r="P69" i="198"/>
  <c r="H69" i="198"/>
  <c r="E69" i="198"/>
  <c r="I69" i="198" s="1"/>
  <c r="AD68" i="198"/>
  <c r="AC68" i="198"/>
  <c r="AB68" i="198"/>
  <c r="AE68" i="198" s="1"/>
  <c r="AI68" i="198" s="1"/>
  <c r="Y68" i="198" s="1"/>
  <c r="Z68" i="198"/>
  <c r="X68" i="198"/>
  <c r="Q68" i="198"/>
  <c r="P68" i="198"/>
  <c r="H68" i="198"/>
  <c r="E68" i="198"/>
  <c r="I68" i="198" s="1"/>
  <c r="AE67" i="198"/>
  <c r="AI67" i="198" s="1"/>
  <c r="Y67" i="198" s="1"/>
  <c r="AD67" i="198"/>
  <c r="AC67" i="198"/>
  <c r="AB67" i="198"/>
  <c r="Z67" i="198"/>
  <c r="X67" i="198"/>
  <c r="Q67" i="198"/>
  <c r="P67" i="198"/>
  <c r="H67" i="198"/>
  <c r="E67" i="198"/>
  <c r="I67" i="198" s="1"/>
  <c r="AD66" i="198"/>
  <c r="AC66" i="198"/>
  <c r="AB66" i="198"/>
  <c r="AE66" i="198" s="1"/>
  <c r="AI66" i="198" s="1"/>
  <c r="Y66" i="198" s="1"/>
  <c r="Z66" i="198"/>
  <c r="X66" i="198"/>
  <c r="Q66" i="198"/>
  <c r="P66" i="198"/>
  <c r="H66" i="198"/>
  <c r="E66" i="198"/>
  <c r="I66" i="198" s="1"/>
  <c r="AE65" i="198"/>
  <c r="AI65" i="198" s="1"/>
  <c r="Y65" i="198" s="1"/>
  <c r="AD65" i="198"/>
  <c r="AC65" i="198"/>
  <c r="AB65" i="198"/>
  <c r="Z65" i="198"/>
  <c r="X65" i="198"/>
  <c r="Q65" i="198"/>
  <c r="P65" i="198"/>
  <c r="H65" i="198"/>
  <c r="E65" i="198"/>
  <c r="I65" i="198" s="1"/>
  <c r="AD64" i="198"/>
  <c r="AC64" i="198"/>
  <c r="AB64" i="198"/>
  <c r="AE64" i="198" s="1"/>
  <c r="AI64" i="198" s="1"/>
  <c r="Y64" i="198" s="1"/>
  <c r="Z64" i="198"/>
  <c r="X64" i="198"/>
  <c r="Q64" i="198"/>
  <c r="P64" i="198"/>
  <c r="I64" i="198"/>
  <c r="H64" i="198"/>
  <c r="E64" i="198"/>
  <c r="AD63" i="198"/>
  <c r="AC63" i="198"/>
  <c r="AB63" i="198"/>
  <c r="AE63" i="198" s="1"/>
  <c r="AI63" i="198" s="1"/>
  <c r="Y63" i="198" s="1"/>
  <c r="Z63" i="198"/>
  <c r="X63" i="198"/>
  <c r="Q63" i="198"/>
  <c r="P63" i="198"/>
  <c r="H63" i="198"/>
  <c r="E63" i="198"/>
  <c r="I63" i="198" s="1"/>
  <c r="AI62" i="198"/>
  <c r="Y62" i="198" s="1"/>
  <c r="AE62" i="198"/>
  <c r="AD62" i="198"/>
  <c r="AC62" i="198"/>
  <c r="AB62" i="198"/>
  <c r="Z62" i="198"/>
  <c r="X62" i="198"/>
  <c r="Q62" i="198"/>
  <c r="P62" i="198"/>
  <c r="I62" i="198"/>
  <c r="H62" i="198"/>
  <c r="E62" i="198"/>
  <c r="AE61" i="198"/>
  <c r="AI61" i="198" s="1"/>
  <c r="Y61" i="198" s="1"/>
  <c r="AC61" i="198"/>
  <c r="AB61" i="198"/>
  <c r="X61" i="198"/>
  <c r="Q61" i="198"/>
  <c r="P61" i="198"/>
  <c r="H61" i="198"/>
  <c r="E61" i="198"/>
  <c r="I61" i="198" s="1"/>
  <c r="AI60" i="198"/>
  <c r="AE60" i="198"/>
  <c r="Y60" i="198"/>
  <c r="X60" i="198"/>
  <c r="Q60" i="198"/>
  <c r="P60" i="198"/>
  <c r="I60" i="198"/>
  <c r="H60" i="198"/>
  <c r="E60" i="198"/>
  <c r="AI59" i="198"/>
  <c r="Y59" i="198" s="1"/>
  <c r="AE59" i="198"/>
  <c r="AC59" i="198"/>
  <c r="AB59" i="198"/>
  <c r="X59" i="198"/>
  <c r="Q59" i="198"/>
  <c r="P59" i="198"/>
  <c r="I59" i="198"/>
  <c r="H59" i="198"/>
  <c r="E59" i="198"/>
  <c r="AC58" i="198"/>
  <c r="AB58" i="198"/>
  <c r="AE58" i="198" s="1"/>
  <c r="AI58" i="198" s="1"/>
  <c r="Y58" i="198" s="1"/>
  <c r="X58" i="198"/>
  <c r="Q58" i="198"/>
  <c r="P58" i="198"/>
  <c r="E58" i="198"/>
  <c r="I58" i="198" s="1"/>
  <c r="AE57" i="198"/>
  <c r="AI57" i="198" s="1"/>
  <c r="Y57" i="198" s="1"/>
  <c r="AC57" i="198"/>
  <c r="AB57" i="198"/>
  <c r="X57" i="198"/>
  <c r="Q57" i="198"/>
  <c r="P57" i="198"/>
  <c r="I57" i="198"/>
  <c r="H57" i="198"/>
  <c r="E57" i="198"/>
  <c r="AD56" i="198"/>
  <c r="AC56" i="198"/>
  <c r="AB56" i="198"/>
  <c r="AE56" i="198" s="1"/>
  <c r="AI56" i="198" s="1"/>
  <c r="Y56" i="198" s="1"/>
  <c r="Z56" i="198"/>
  <c r="X56" i="198"/>
  <c r="Q56" i="198"/>
  <c r="P56" i="198"/>
  <c r="H56" i="198"/>
  <c r="E56" i="198"/>
  <c r="I56" i="198" s="1"/>
  <c r="AD55" i="198"/>
  <c r="AC55" i="198"/>
  <c r="AE55" i="198" s="1"/>
  <c r="AI55" i="198" s="1"/>
  <c r="Y55" i="198" s="1"/>
  <c r="AB55" i="198"/>
  <c r="Z55" i="198"/>
  <c r="X55" i="198"/>
  <c r="Q55" i="198"/>
  <c r="P55" i="198"/>
  <c r="H55" i="198"/>
  <c r="E55" i="198"/>
  <c r="I55" i="198" s="1"/>
  <c r="AD54" i="198"/>
  <c r="AC54" i="198"/>
  <c r="AE54" i="198" s="1"/>
  <c r="AI54" i="198" s="1"/>
  <c r="Y54" i="198" s="1"/>
  <c r="AB54" i="198"/>
  <c r="Z54" i="198"/>
  <c r="X54" i="198"/>
  <c r="Q54" i="198"/>
  <c r="P54" i="198"/>
  <c r="H54" i="198"/>
  <c r="E54" i="198"/>
  <c r="I54" i="198" s="1"/>
  <c r="AD53" i="198"/>
  <c r="AC53" i="198"/>
  <c r="AB53" i="198"/>
  <c r="AE53" i="198" s="1"/>
  <c r="AI53" i="198" s="1"/>
  <c r="Y53" i="198" s="1"/>
  <c r="Z53" i="198"/>
  <c r="X53" i="198"/>
  <c r="Q53" i="198"/>
  <c r="P53" i="198"/>
  <c r="I53" i="198"/>
  <c r="H53" i="198"/>
  <c r="E53" i="198"/>
  <c r="AI52" i="198"/>
  <c r="Y52" i="198" s="1"/>
  <c r="AE52" i="198"/>
  <c r="Z52" i="198"/>
  <c r="X52" i="198"/>
  <c r="Q52" i="198"/>
  <c r="P52" i="198"/>
  <c r="H52" i="198"/>
  <c r="E52" i="198"/>
  <c r="I52" i="198" s="1"/>
  <c r="AE51" i="198"/>
  <c r="AI51" i="198" s="1"/>
  <c r="Y51" i="198" s="1"/>
  <c r="AD51" i="198"/>
  <c r="AC51" i="198"/>
  <c r="AB51" i="198"/>
  <c r="Z51" i="198"/>
  <c r="X51" i="198"/>
  <c r="Q51" i="198"/>
  <c r="P51" i="198"/>
  <c r="I51" i="198"/>
  <c r="H51" i="198"/>
  <c r="E51" i="198"/>
  <c r="AD50" i="198"/>
  <c r="AC50" i="198"/>
  <c r="AB50" i="198"/>
  <c r="AE50" i="198" s="1"/>
  <c r="AI50" i="198" s="1"/>
  <c r="Y50" i="198" s="1"/>
  <c r="Z50" i="198"/>
  <c r="X50" i="198"/>
  <c r="Q50" i="198"/>
  <c r="P50" i="198"/>
  <c r="H50" i="198"/>
  <c r="E50" i="198"/>
  <c r="I50" i="198" s="1"/>
  <c r="AE49" i="198"/>
  <c r="AI49" i="198" s="1"/>
  <c r="Y49" i="198" s="1"/>
  <c r="Z49" i="198"/>
  <c r="X49" i="198"/>
  <c r="Q49" i="198"/>
  <c r="P49" i="198"/>
  <c r="I49" i="198"/>
  <c r="H49" i="198"/>
  <c r="E49" i="198"/>
  <c r="AI48" i="198"/>
  <c r="Y48" i="198" s="1"/>
  <c r="AE48" i="198"/>
  <c r="Z48" i="198"/>
  <c r="X48" i="198"/>
  <c r="Q48" i="198"/>
  <c r="P48" i="198"/>
  <c r="I48" i="198"/>
  <c r="H48" i="198"/>
  <c r="E48" i="198"/>
  <c r="AE47" i="198"/>
  <c r="AI47" i="198" s="1"/>
  <c r="Y47" i="198" s="1"/>
  <c r="Z47" i="198"/>
  <c r="X47" i="198"/>
  <c r="Q47" i="198"/>
  <c r="P47" i="198"/>
  <c r="I47" i="198"/>
  <c r="H47" i="198"/>
  <c r="E47" i="198"/>
  <c r="AD46" i="198"/>
  <c r="AC46" i="198"/>
  <c r="AE46" i="198" s="1"/>
  <c r="AI46" i="198" s="1"/>
  <c r="Y46" i="198" s="1"/>
  <c r="AB46" i="198"/>
  <c r="Z46" i="198"/>
  <c r="X46" i="198"/>
  <c r="Q46" i="198"/>
  <c r="P46" i="198"/>
  <c r="I46" i="198"/>
  <c r="H46" i="198"/>
  <c r="E46" i="198"/>
  <c r="AD45" i="198"/>
  <c r="AC45" i="198"/>
  <c r="AE45" i="198" s="1"/>
  <c r="AI45" i="198" s="1"/>
  <c r="Y45" i="198" s="1"/>
  <c r="AB45" i="198"/>
  <c r="Z45" i="198"/>
  <c r="X45" i="198"/>
  <c r="Q45" i="198"/>
  <c r="P45" i="198"/>
  <c r="I45" i="198"/>
  <c r="H45" i="198"/>
  <c r="E45" i="198"/>
  <c r="AD44" i="198"/>
  <c r="AC44" i="198"/>
  <c r="AB44" i="198"/>
  <c r="AE44" i="198" s="1"/>
  <c r="AI44" i="198" s="1"/>
  <c r="Y44" i="198" s="1"/>
  <c r="Z44" i="198"/>
  <c r="X44" i="198"/>
  <c r="Q44" i="198"/>
  <c r="P44" i="198"/>
  <c r="H44" i="198"/>
  <c r="E44" i="198"/>
  <c r="I44" i="198" s="1"/>
  <c r="AD43" i="198"/>
  <c r="AC43" i="198"/>
  <c r="AE43" i="198" s="1"/>
  <c r="AI43" i="198" s="1"/>
  <c r="Y43" i="198" s="1"/>
  <c r="AB43" i="198"/>
  <c r="Z43" i="198"/>
  <c r="X43" i="198"/>
  <c r="Q43" i="198"/>
  <c r="P43" i="198"/>
  <c r="H43" i="198"/>
  <c r="E43" i="198"/>
  <c r="I43" i="198" s="1"/>
  <c r="AD42" i="198"/>
  <c r="AC42" i="198"/>
  <c r="AE42" i="198" s="1"/>
  <c r="AI42" i="198" s="1"/>
  <c r="Y42" i="198" s="1"/>
  <c r="AB42" i="198"/>
  <c r="Z42" i="198"/>
  <c r="X42" i="198"/>
  <c r="Q42" i="198"/>
  <c r="P42" i="198"/>
  <c r="H42" i="198"/>
  <c r="E42" i="198"/>
  <c r="I42" i="198" s="1"/>
  <c r="AD41" i="198"/>
  <c r="AC41" i="198"/>
  <c r="AB41" i="198"/>
  <c r="AE41" i="198" s="1"/>
  <c r="AI41" i="198" s="1"/>
  <c r="Y41" i="198" s="1"/>
  <c r="Z41" i="198"/>
  <c r="X41" i="198"/>
  <c r="Q41" i="198"/>
  <c r="P41" i="198"/>
  <c r="H41" i="198"/>
  <c r="E41" i="198"/>
  <c r="I41" i="198" s="1"/>
  <c r="AD40" i="198"/>
  <c r="AC40" i="198"/>
  <c r="AB40" i="198"/>
  <c r="AE40" i="198" s="1"/>
  <c r="AI40" i="198" s="1"/>
  <c r="Y40" i="198" s="1"/>
  <c r="Z40" i="198"/>
  <c r="X40" i="198"/>
  <c r="Q40" i="198"/>
  <c r="P40" i="198"/>
  <c r="H40" i="198"/>
  <c r="E40" i="198"/>
  <c r="I40" i="198" s="1"/>
  <c r="AD39" i="198"/>
  <c r="AC39" i="198"/>
  <c r="AE39" i="198" s="1"/>
  <c r="AI39" i="198" s="1"/>
  <c r="Y39" i="198" s="1"/>
  <c r="AB39" i="198"/>
  <c r="Z39" i="198"/>
  <c r="X39" i="198"/>
  <c r="Q39" i="198"/>
  <c r="P39" i="198"/>
  <c r="H39" i="198"/>
  <c r="E39" i="198"/>
  <c r="I39" i="198" s="1"/>
  <c r="AD38" i="198"/>
  <c r="AE38" i="198" s="1"/>
  <c r="AI38" i="198" s="1"/>
  <c r="Y38" i="198" s="1"/>
  <c r="AC38" i="198"/>
  <c r="AB38" i="198"/>
  <c r="Z38" i="198"/>
  <c r="X38" i="198"/>
  <c r="Q38" i="198"/>
  <c r="P38" i="198"/>
  <c r="I38" i="198"/>
  <c r="H38" i="198"/>
  <c r="E38" i="198"/>
  <c r="AD37" i="198"/>
  <c r="AC37" i="198"/>
  <c r="AB37" i="198"/>
  <c r="AE37" i="198" s="1"/>
  <c r="AI37" i="198" s="1"/>
  <c r="Y37" i="198" s="1"/>
  <c r="Z37" i="198"/>
  <c r="X37" i="198"/>
  <c r="Q37" i="198"/>
  <c r="P37" i="198"/>
  <c r="H37" i="198"/>
  <c r="E37" i="198"/>
  <c r="I37" i="198" s="1"/>
  <c r="AE36" i="198"/>
  <c r="AI36" i="198" s="1"/>
  <c r="Y36" i="198" s="1"/>
  <c r="AD36" i="198"/>
  <c r="AC36" i="198"/>
  <c r="AB36" i="198"/>
  <c r="Z36" i="198"/>
  <c r="X36" i="198"/>
  <c r="Q36" i="198"/>
  <c r="P36" i="198"/>
  <c r="H36" i="198"/>
  <c r="E36" i="198"/>
  <c r="I36" i="198" s="1"/>
  <c r="AD35" i="198"/>
  <c r="AC35" i="198"/>
  <c r="AB35" i="198"/>
  <c r="AE35" i="198" s="1"/>
  <c r="AI35" i="198" s="1"/>
  <c r="Y35" i="198" s="1"/>
  <c r="Z35" i="198"/>
  <c r="X35" i="198"/>
  <c r="Q35" i="198"/>
  <c r="P35" i="198"/>
  <c r="I35" i="198"/>
  <c r="H35" i="198"/>
  <c r="E35" i="198"/>
  <c r="AD34" i="198"/>
  <c r="AC34" i="198"/>
  <c r="AB34" i="198"/>
  <c r="AE34" i="198" s="1"/>
  <c r="AI34" i="198" s="1"/>
  <c r="Y34" i="198" s="1"/>
  <c r="Z34" i="198"/>
  <c r="X34" i="198"/>
  <c r="Q34" i="198"/>
  <c r="P34" i="198"/>
  <c r="H34" i="198"/>
  <c r="E34" i="198"/>
  <c r="I34" i="198" s="1"/>
  <c r="AI33" i="198"/>
  <c r="Y33" i="198" s="1"/>
  <c r="AE33" i="198"/>
  <c r="AD33" i="198"/>
  <c r="AC33" i="198"/>
  <c r="AB33" i="198"/>
  <c r="Z33" i="198"/>
  <c r="X33" i="198"/>
  <c r="Q33" i="198"/>
  <c r="P33" i="198"/>
  <c r="I33" i="198"/>
  <c r="H33" i="198"/>
  <c r="E33" i="198"/>
  <c r="AD32" i="198"/>
  <c r="AC32" i="198"/>
  <c r="AB32" i="198"/>
  <c r="AE32" i="198" s="1"/>
  <c r="AI32" i="198" s="1"/>
  <c r="Y32" i="198" s="1"/>
  <c r="Z32" i="198"/>
  <c r="X32" i="198"/>
  <c r="Q32" i="198"/>
  <c r="P32" i="198"/>
  <c r="I32" i="198"/>
  <c r="H32" i="198"/>
  <c r="E32" i="198"/>
  <c r="AI31" i="198"/>
  <c r="Y31" i="198" s="1"/>
  <c r="AE31" i="198"/>
  <c r="Z31" i="198"/>
  <c r="X31" i="198"/>
  <c r="Q31" i="198"/>
  <c r="P31" i="198"/>
  <c r="I31" i="198"/>
  <c r="H31" i="198"/>
  <c r="E31" i="198"/>
  <c r="AD30" i="198"/>
  <c r="AC30" i="198"/>
  <c r="AE30" i="198" s="1"/>
  <c r="AI30" i="198" s="1"/>
  <c r="Y30" i="198" s="1"/>
  <c r="AB30" i="198"/>
  <c r="Z30" i="198"/>
  <c r="X30" i="198"/>
  <c r="Q30" i="198"/>
  <c r="P30" i="198"/>
  <c r="H30" i="198"/>
  <c r="E30" i="198"/>
  <c r="I30" i="198" s="1"/>
  <c r="AD29" i="198"/>
  <c r="AC29" i="198"/>
  <c r="AB29" i="198"/>
  <c r="AE29" i="198" s="1"/>
  <c r="AI29" i="198" s="1"/>
  <c r="Y29" i="198" s="1"/>
  <c r="Z29" i="198"/>
  <c r="X29" i="198"/>
  <c r="Q29" i="198"/>
  <c r="P29" i="198"/>
  <c r="H29" i="198"/>
  <c r="E29" i="198"/>
  <c r="I29" i="198" s="1"/>
  <c r="AD28" i="198"/>
  <c r="AC28" i="198"/>
  <c r="AE28" i="198" s="1"/>
  <c r="AI28" i="198" s="1"/>
  <c r="Y28" i="198" s="1"/>
  <c r="AB28" i="198"/>
  <c r="Z28" i="198"/>
  <c r="X28" i="198"/>
  <c r="Q28" i="198"/>
  <c r="P28" i="198"/>
  <c r="H28" i="198"/>
  <c r="E28" i="198"/>
  <c r="I28" i="198" s="1"/>
  <c r="AD27" i="198"/>
  <c r="AC27" i="198"/>
  <c r="AE27" i="198" s="1"/>
  <c r="AI27" i="198" s="1"/>
  <c r="Y27" i="198" s="1"/>
  <c r="AB27" i="198"/>
  <c r="Z27" i="198"/>
  <c r="X27" i="198"/>
  <c r="Q27" i="198"/>
  <c r="P27" i="198"/>
  <c r="H27" i="198"/>
  <c r="E27" i="198"/>
  <c r="I27" i="198" s="1"/>
  <c r="AD26" i="198"/>
  <c r="AC26" i="198"/>
  <c r="AB26" i="198"/>
  <c r="AE26" i="198" s="1"/>
  <c r="AI26" i="198" s="1"/>
  <c r="Y26" i="198" s="1"/>
  <c r="Z26" i="198"/>
  <c r="X26" i="198"/>
  <c r="Q26" i="198"/>
  <c r="P26" i="198"/>
  <c r="H26" i="198"/>
  <c r="E26" i="198"/>
  <c r="I26" i="198" s="1"/>
  <c r="AD25" i="198"/>
  <c r="AC25" i="198"/>
  <c r="AB25" i="198"/>
  <c r="AE25" i="198" s="1"/>
  <c r="AI25" i="198" s="1"/>
  <c r="Y25" i="198" s="1"/>
  <c r="Z25" i="198"/>
  <c r="X25" i="198"/>
  <c r="Q25" i="198"/>
  <c r="P25" i="198"/>
  <c r="H25" i="198"/>
  <c r="E25" i="198"/>
  <c r="I25" i="198" s="1"/>
  <c r="AD24" i="198"/>
  <c r="AC24" i="198"/>
  <c r="AE24" i="198" s="1"/>
  <c r="AI24" i="198" s="1"/>
  <c r="Y24" i="198" s="1"/>
  <c r="AB24" i="198"/>
  <c r="Z24" i="198"/>
  <c r="X24" i="198"/>
  <c r="Q24" i="198"/>
  <c r="P24" i="198"/>
  <c r="H24" i="198"/>
  <c r="E24" i="198"/>
  <c r="I24" i="198" s="1"/>
  <c r="AD23" i="198"/>
  <c r="AE23" i="198" s="1"/>
  <c r="AI23" i="198" s="1"/>
  <c r="Y23" i="198" s="1"/>
  <c r="AC23" i="198"/>
  <c r="AB23" i="198"/>
  <c r="Z23" i="198"/>
  <c r="X23" i="198"/>
  <c r="Q23" i="198"/>
  <c r="P23" i="198"/>
  <c r="I23" i="198"/>
  <c r="H23" i="198"/>
  <c r="E23" i="198"/>
  <c r="AD22" i="198"/>
  <c r="AC22" i="198"/>
  <c r="AB22" i="198"/>
  <c r="AE22" i="198" s="1"/>
  <c r="AI22" i="198" s="1"/>
  <c r="Y22" i="198" s="1"/>
  <c r="Z22" i="198"/>
  <c r="X22" i="198"/>
  <c r="Q22" i="198"/>
  <c r="P22" i="198"/>
  <c r="H22" i="198"/>
  <c r="E22" i="198"/>
  <c r="I22" i="198" s="1"/>
  <c r="AE21" i="198"/>
  <c r="AI21" i="198" s="1"/>
  <c r="Y21" i="198" s="1"/>
  <c r="AD21" i="198"/>
  <c r="AC21" i="198"/>
  <c r="AB21" i="198"/>
  <c r="Z21" i="198"/>
  <c r="X21" i="198"/>
  <c r="Q21" i="198"/>
  <c r="P21" i="198"/>
  <c r="H21" i="198"/>
  <c r="E21" i="198"/>
  <c r="I21" i="198" s="1"/>
  <c r="AD20" i="198"/>
  <c r="AC20" i="198"/>
  <c r="AB20" i="198"/>
  <c r="AE20" i="198" s="1"/>
  <c r="AI20" i="198" s="1"/>
  <c r="Y20" i="198" s="1"/>
  <c r="Z20" i="198"/>
  <c r="X20" i="198"/>
  <c r="Q20" i="198"/>
  <c r="P20" i="198"/>
  <c r="I20" i="198"/>
  <c r="H20" i="198"/>
  <c r="E20" i="198"/>
  <c r="AD19" i="198"/>
  <c r="AC19" i="198"/>
  <c r="AB19" i="198"/>
  <c r="AE19" i="198" s="1"/>
  <c r="AI19" i="198" s="1"/>
  <c r="Y19" i="198" s="1"/>
  <c r="Z19" i="198"/>
  <c r="X19" i="198"/>
  <c r="Q19" i="198"/>
  <c r="P19" i="198"/>
  <c r="I19" i="198"/>
  <c r="H19" i="198"/>
  <c r="E19" i="198"/>
  <c r="AE18" i="198"/>
  <c r="AI18" i="198" s="1"/>
  <c r="Y18" i="198" s="1"/>
  <c r="AD18" i="198"/>
  <c r="AC18" i="198"/>
  <c r="AB18" i="198"/>
  <c r="Z18" i="198"/>
  <c r="X18" i="198"/>
  <c r="Q18" i="198"/>
  <c r="P18" i="198"/>
  <c r="I18" i="198"/>
  <c r="H18" i="198"/>
  <c r="E18" i="198"/>
  <c r="AD17" i="198"/>
  <c r="AC17" i="198"/>
  <c r="AB17" i="198"/>
  <c r="AE17" i="198" s="1"/>
  <c r="AI17" i="198" s="1"/>
  <c r="Y17" i="198" s="1"/>
  <c r="Z17" i="198"/>
  <c r="X17" i="198"/>
  <c r="Q17" i="198"/>
  <c r="P17" i="198"/>
  <c r="I17" i="198"/>
  <c r="H17" i="198"/>
  <c r="E17" i="198"/>
  <c r="AD16" i="198"/>
  <c r="AC16" i="198"/>
  <c r="AB16" i="198"/>
  <c r="AE16" i="198" s="1"/>
  <c r="AI16" i="198" s="1"/>
  <c r="Y16" i="198" s="1"/>
  <c r="Z16" i="198"/>
  <c r="X16" i="198"/>
  <c r="T77" i="198" s="1"/>
  <c r="Q16" i="198"/>
  <c r="P16" i="198"/>
  <c r="E16" i="198"/>
  <c r="I16" i="198" s="1"/>
  <c r="AD15" i="198"/>
  <c r="AC15" i="198"/>
  <c r="AB15" i="198"/>
  <c r="AE15" i="198" s="1"/>
  <c r="AI15" i="198" s="1"/>
  <c r="Y15" i="198" s="1"/>
  <c r="Z15" i="198"/>
  <c r="X15" i="198"/>
  <c r="Q15" i="198"/>
  <c r="P15" i="198"/>
  <c r="E15" i="198"/>
  <c r="I15" i="198" s="1"/>
  <c r="AD14" i="198"/>
  <c r="AC14" i="198"/>
  <c r="AE14" i="198" s="1"/>
  <c r="AI14" i="198" s="1"/>
  <c r="Y14" i="198" s="1"/>
  <c r="AB14" i="198"/>
  <c r="Z14" i="198"/>
  <c r="X14" i="198"/>
  <c r="Q14" i="198"/>
  <c r="O75" i="198" s="1"/>
  <c r="P14" i="198"/>
  <c r="H14" i="198"/>
  <c r="E14" i="198"/>
  <c r="I14" i="198" s="1"/>
  <c r="AD13" i="198"/>
  <c r="AE13" i="198" s="1"/>
  <c r="AI13" i="198" s="1"/>
  <c r="Y13" i="198" s="1"/>
  <c r="AC13" i="198"/>
  <c r="AB13" i="198"/>
  <c r="Z13" i="198"/>
  <c r="X13" i="198"/>
  <c r="Q13" i="198"/>
  <c r="P13" i="198"/>
  <c r="I13" i="198"/>
  <c r="H13" i="198"/>
  <c r="E13" i="198"/>
  <c r="AD12" i="198"/>
  <c r="AC12" i="198"/>
  <c r="AB12" i="198"/>
  <c r="AE12" i="198" s="1"/>
  <c r="AI12" i="198" s="1"/>
  <c r="Y12" i="198" s="1"/>
  <c r="Z12" i="198"/>
  <c r="X12" i="198"/>
  <c r="Q12" i="198"/>
  <c r="O73" i="198" s="1"/>
  <c r="P12" i="198"/>
  <c r="H12" i="198"/>
  <c r="E12" i="198"/>
  <c r="I12" i="198" s="1"/>
  <c r="F77" i="199" l="1"/>
  <c r="F73" i="198"/>
  <c r="F75" i="198"/>
  <c r="T73" i="198"/>
  <c r="T79" i="198"/>
  <c r="M79" i="197"/>
  <c r="T77" i="197"/>
  <c r="P71" i="197"/>
  <c r="H71" i="197"/>
  <c r="Q70" i="197"/>
  <c r="P70" i="197"/>
  <c r="I70" i="197"/>
  <c r="H70" i="197"/>
  <c r="E70" i="197"/>
  <c r="Q69" i="197"/>
  <c r="P69" i="197"/>
  <c r="I69" i="197"/>
  <c r="H69" i="197"/>
  <c r="E69" i="197"/>
  <c r="AD68" i="197"/>
  <c r="AC68" i="197"/>
  <c r="AB68" i="197"/>
  <c r="AE68" i="197" s="1"/>
  <c r="AI68" i="197" s="1"/>
  <c r="Y68" i="197" s="1"/>
  <c r="Z68" i="197"/>
  <c r="X68" i="197"/>
  <c r="Q68" i="197"/>
  <c r="P68" i="197"/>
  <c r="I68" i="197"/>
  <c r="H68" i="197"/>
  <c r="E68" i="197"/>
  <c r="AD67" i="197"/>
  <c r="AC67" i="197"/>
  <c r="AE67" i="197" s="1"/>
  <c r="AI67" i="197" s="1"/>
  <c r="Y67" i="197" s="1"/>
  <c r="AB67" i="197"/>
  <c r="Z67" i="197"/>
  <c r="X67" i="197"/>
  <c r="Q67" i="197"/>
  <c r="P67" i="197"/>
  <c r="H67" i="197"/>
  <c r="E67" i="197"/>
  <c r="I67" i="197" s="1"/>
  <c r="AD66" i="197"/>
  <c r="AC66" i="197"/>
  <c r="AB66" i="197"/>
  <c r="AE66" i="197" s="1"/>
  <c r="AI66" i="197" s="1"/>
  <c r="Y66" i="197" s="1"/>
  <c r="Z66" i="197"/>
  <c r="X66" i="197"/>
  <c r="Q66" i="197"/>
  <c r="P66" i="197"/>
  <c r="I66" i="197"/>
  <c r="H66" i="197"/>
  <c r="E66" i="197"/>
  <c r="AD65" i="197"/>
  <c r="AC65" i="197"/>
  <c r="AE65" i="197" s="1"/>
  <c r="AI65" i="197" s="1"/>
  <c r="Y65" i="197" s="1"/>
  <c r="AB65" i="197"/>
  <c r="Z65" i="197"/>
  <c r="X65" i="197"/>
  <c r="Q65" i="197"/>
  <c r="P65" i="197"/>
  <c r="H65" i="197"/>
  <c r="E65" i="197"/>
  <c r="I65" i="197" s="1"/>
  <c r="AD64" i="197"/>
  <c r="AC64" i="197"/>
  <c r="AB64" i="197"/>
  <c r="AE64" i="197" s="1"/>
  <c r="AI64" i="197" s="1"/>
  <c r="Y64" i="197" s="1"/>
  <c r="Z64" i="197"/>
  <c r="X64" i="197"/>
  <c r="Q64" i="197"/>
  <c r="P64" i="197"/>
  <c r="H64" i="197"/>
  <c r="E64" i="197"/>
  <c r="I64" i="197" s="1"/>
  <c r="AE63" i="197"/>
  <c r="AI63" i="197" s="1"/>
  <c r="Y63" i="197" s="1"/>
  <c r="AD63" i="197"/>
  <c r="AC63" i="197"/>
  <c r="AB63" i="197"/>
  <c r="Z63" i="197"/>
  <c r="X63" i="197"/>
  <c r="Q63" i="197"/>
  <c r="P63" i="197"/>
  <c r="H63" i="197"/>
  <c r="E63" i="197"/>
  <c r="I63" i="197" s="1"/>
  <c r="AD62" i="197"/>
  <c r="AC62" i="197"/>
  <c r="AB62" i="197"/>
  <c r="AE62" i="197" s="1"/>
  <c r="AI62" i="197" s="1"/>
  <c r="Y62" i="197" s="1"/>
  <c r="Z62" i="197"/>
  <c r="X62" i="197"/>
  <c r="Q62" i="197"/>
  <c r="P62" i="197"/>
  <c r="H62" i="197"/>
  <c r="E62" i="197"/>
  <c r="I62" i="197" s="1"/>
  <c r="AC61" i="197"/>
  <c r="AE61" i="197" s="1"/>
  <c r="AI61" i="197" s="1"/>
  <c r="Y61" i="197" s="1"/>
  <c r="AB61" i="197"/>
  <c r="X61" i="197"/>
  <c r="Q61" i="197"/>
  <c r="P61" i="197"/>
  <c r="I61" i="197"/>
  <c r="H61" i="197"/>
  <c r="E61" i="197"/>
  <c r="AI60" i="197"/>
  <c r="AE60" i="197"/>
  <c r="Y60" i="197"/>
  <c r="X60" i="197"/>
  <c r="Q60" i="197"/>
  <c r="P60" i="197"/>
  <c r="I60" i="197"/>
  <c r="H60" i="197"/>
  <c r="E60" i="197"/>
  <c r="AE59" i="197"/>
  <c r="AI59" i="197" s="1"/>
  <c r="Y59" i="197" s="1"/>
  <c r="AC59" i="197"/>
  <c r="AB59" i="197"/>
  <c r="X59" i="197"/>
  <c r="Q59" i="197"/>
  <c r="P59" i="197"/>
  <c r="H59" i="197"/>
  <c r="E59" i="197"/>
  <c r="I59" i="197" s="1"/>
  <c r="AC58" i="197"/>
  <c r="AB58" i="197"/>
  <c r="AE58" i="197" s="1"/>
  <c r="AI58" i="197" s="1"/>
  <c r="Y58" i="197" s="1"/>
  <c r="X58" i="197"/>
  <c r="Q58" i="197"/>
  <c r="P58" i="197"/>
  <c r="I58" i="197"/>
  <c r="E58" i="197"/>
  <c r="AI57" i="197"/>
  <c r="AE57" i="197"/>
  <c r="AC57" i="197"/>
  <c r="AB57" i="197"/>
  <c r="Y57" i="197"/>
  <c r="X57" i="197"/>
  <c r="Q57" i="197"/>
  <c r="P57" i="197"/>
  <c r="I57" i="197"/>
  <c r="H57" i="197"/>
  <c r="E57" i="197"/>
  <c r="AE56" i="197"/>
  <c r="AI56" i="197" s="1"/>
  <c r="Y56" i="197" s="1"/>
  <c r="AD56" i="197"/>
  <c r="AC56" i="197"/>
  <c r="AB56" i="197"/>
  <c r="Z56" i="197"/>
  <c r="X56" i="197"/>
  <c r="Q56" i="197"/>
  <c r="P56" i="197"/>
  <c r="I56" i="197"/>
  <c r="H56" i="197"/>
  <c r="E56" i="197"/>
  <c r="AE55" i="197"/>
  <c r="AI55" i="197" s="1"/>
  <c r="Y55" i="197" s="1"/>
  <c r="AD55" i="197"/>
  <c r="AC55" i="197"/>
  <c r="AB55" i="197"/>
  <c r="Z55" i="197"/>
  <c r="X55" i="197"/>
  <c r="Q55" i="197"/>
  <c r="P55" i="197"/>
  <c r="H55" i="197"/>
  <c r="E55" i="197"/>
  <c r="I55" i="197" s="1"/>
  <c r="AD54" i="197"/>
  <c r="AC54" i="197"/>
  <c r="AB54" i="197"/>
  <c r="AE54" i="197" s="1"/>
  <c r="AI54" i="197" s="1"/>
  <c r="Y54" i="197" s="1"/>
  <c r="Z54" i="197"/>
  <c r="X54" i="197"/>
  <c r="Q54" i="197"/>
  <c r="P54" i="197"/>
  <c r="I54" i="197"/>
  <c r="H54" i="197"/>
  <c r="E54" i="197"/>
  <c r="AD53" i="197"/>
  <c r="AC53" i="197"/>
  <c r="AB53" i="197"/>
  <c r="AE53" i="197" s="1"/>
  <c r="AI53" i="197" s="1"/>
  <c r="Y53" i="197" s="1"/>
  <c r="Z53" i="197"/>
  <c r="X53" i="197"/>
  <c r="Q53" i="197"/>
  <c r="P53" i="197"/>
  <c r="I53" i="197"/>
  <c r="H53" i="197"/>
  <c r="E53" i="197"/>
  <c r="AE52" i="197"/>
  <c r="AI52" i="197" s="1"/>
  <c r="Y52" i="197" s="1"/>
  <c r="Z52" i="197"/>
  <c r="X52" i="197"/>
  <c r="Q52" i="197"/>
  <c r="P52" i="197"/>
  <c r="I52" i="197"/>
  <c r="H52" i="197"/>
  <c r="E52" i="197"/>
  <c r="AD51" i="197"/>
  <c r="AC51" i="197"/>
  <c r="AE51" i="197" s="1"/>
  <c r="AI51" i="197" s="1"/>
  <c r="Y51" i="197" s="1"/>
  <c r="AB51" i="197"/>
  <c r="Z51" i="197"/>
  <c r="X51" i="197"/>
  <c r="Q51" i="197"/>
  <c r="P51" i="197"/>
  <c r="H51" i="197"/>
  <c r="E51" i="197"/>
  <c r="I51" i="197" s="1"/>
  <c r="AD50" i="197"/>
  <c r="AC50" i="197"/>
  <c r="AB50" i="197"/>
  <c r="AE50" i="197" s="1"/>
  <c r="AI50" i="197" s="1"/>
  <c r="Y50" i="197" s="1"/>
  <c r="Z50" i="197"/>
  <c r="X50" i="197"/>
  <c r="Q50" i="197"/>
  <c r="P50" i="197"/>
  <c r="I50" i="197"/>
  <c r="H50" i="197"/>
  <c r="E50" i="197"/>
  <c r="AE49" i="197"/>
  <c r="AI49" i="197" s="1"/>
  <c r="Y49" i="197" s="1"/>
  <c r="Z49" i="197"/>
  <c r="X49" i="197"/>
  <c r="Q49" i="197"/>
  <c r="P49" i="197"/>
  <c r="H49" i="197"/>
  <c r="E49" i="197"/>
  <c r="I49" i="197" s="1"/>
  <c r="AE48" i="197"/>
  <c r="AI48" i="197" s="1"/>
  <c r="Y48" i="197" s="1"/>
  <c r="Z48" i="197"/>
  <c r="X48" i="197"/>
  <c r="Q48" i="197"/>
  <c r="P48" i="197"/>
  <c r="H48" i="197"/>
  <c r="E48" i="197"/>
  <c r="I48" i="197" s="1"/>
  <c r="AE47" i="197"/>
  <c r="AI47" i="197" s="1"/>
  <c r="Y47" i="197" s="1"/>
  <c r="Z47" i="197"/>
  <c r="X47" i="197"/>
  <c r="Q47" i="197"/>
  <c r="P47" i="197"/>
  <c r="I47" i="197"/>
  <c r="H47" i="197"/>
  <c r="E47" i="197"/>
  <c r="AD46" i="197"/>
  <c r="AC46" i="197"/>
  <c r="AB46" i="197"/>
  <c r="AE46" i="197" s="1"/>
  <c r="AI46" i="197" s="1"/>
  <c r="Y46" i="197" s="1"/>
  <c r="Z46" i="197"/>
  <c r="X46" i="197"/>
  <c r="Q46" i="197"/>
  <c r="P46" i="197"/>
  <c r="I46" i="197"/>
  <c r="H46" i="197"/>
  <c r="E46" i="197"/>
  <c r="AD45" i="197"/>
  <c r="AE45" i="197" s="1"/>
  <c r="AI45" i="197" s="1"/>
  <c r="Y45" i="197" s="1"/>
  <c r="AC45" i="197"/>
  <c r="AB45" i="197"/>
  <c r="Z45" i="197"/>
  <c r="X45" i="197"/>
  <c r="Q45" i="197"/>
  <c r="P45" i="197"/>
  <c r="I45" i="197"/>
  <c r="H45" i="197"/>
  <c r="E45" i="197"/>
  <c r="AE44" i="197"/>
  <c r="AI44" i="197" s="1"/>
  <c r="Y44" i="197" s="1"/>
  <c r="AD44" i="197"/>
  <c r="AC44" i="197"/>
  <c r="AB44" i="197"/>
  <c r="Z44" i="197"/>
  <c r="X44" i="197"/>
  <c r="Q44" i="197"/>
  <c r="P44" i="197"/>
  <c r="I44" i="197"/>
  <c r="H44" i="197"/>
  <c r="E44" i="197"/>
  <c r="AE43" i="197"/>
  <c r="AI43" i="197" s="1"/>
  <c r="Y43" i="197" s="1"/>
  <c r="AD43" i="197"/>
  <c r="AC43" i="197"/>
  <c r="AB43" i="197"/>
  <c r="Z43" i="197"/>
  <c r="X43" i="197"/>
  <c r="Q43" i="197"/>
  <c r="P43" i="197"/>
  <c r="H43" i="197"/>
  <c r="E43" i="197"/>
  <c r="I43" i="197" s="1"/>
  <c r="AD42" i="197"/>
  <c r="AC42" i="197"/>
  <c r="AB42" i="197"/>
  <c r="AE42" i="197" s="1"/>
  <c r="AI42" i="197" s="1"/>
  <c r="Y42" i="197" s="1"/>
  <c r="Z42" i="197"/>
  <c r="X42" i="197"/>
  <c r="Q42" i="197"/>
  <c r="P42" i="197"/>
  <c r="I42" i="197"/>
  <c r="H42" i="197"/>
  <c r="E42" i="197"/>
  <c r="AD41" i="197"/>
  <c r="AC41" i="197"/>
  <c r="AB41" i="197"/>
  <c r="AE41" i="197" s="1"/>
  <c r="AI41" i="197" s="1"/>
  <c r="Y41" i="197" s="1"/>
  <c r="Z41" i="197"/>
  <c r="X41" i="197"/>
  <c r="Q41" i="197"/>
  <c r="P41" i="197"/>
  <c r="I41" i="197"/>
  <c r="H41" i="197"/>
  <c r="E41" i="197"/>
  <c r="AE40" i="197"/>
  <c r="AI40" i="197" s="1"/>
  <c r="Y40" i="197" s="1"/>
  <c r="AD40" i="197"/>
  <c r="AC40" i="197"/>
  <c r="AB40" i="197"/>
  <c r="Z40" i="197"/>
  <c r="X40" i="197"/>
  <c r="Q40" i="197"/>
  <c r="P40" i="197"/>
  <c r="I40" i="197"/>
  <c r="H40" i="197"/>
  <c r="E40" i="197"/>
  <c r="AD39" i="197"/>
  <c r="AC39" i="197"/>
  <c r="AB39" i="197"/>
  <c r="AE39" i="197" s="1"/>
  <c r="AI39" i="197" s="1"/>
  <c r="Y39" i="197" s="1"/>
  <c r="Z39" i="197"/>
  <c r="X39" i="197"/>
  <c r="Q39" i="197"/>
  <c r="P39" i="197"/>
  <c r="I39" i="197"/>
  <c r="H39" i="197"/>
  <c r="E39" i="197"/>
  <c r="AD38" i="197"/>
  <c r="AC38" i="197"/>
  <c r="AE38" i="197" s="1"/>
  <c r="AI38" i="197" s="1"/>
  <c r="Y38" i="197" s="1"/>
  <c r="AB38" i="197"/>
  <c r="Z38" i="197"/>
  <c r="X38" i="197"/>
  <c r="Q38" i="197"/>
  <c r="P38" i="197"/>
  <c r="H38" i="197"/>
  <c r="E38" i="197"/>
  <c r="I38" i="197" s="1"/>
  <c r="AD37" i="197"/>
  <c r="AC37" i="197"/>
  <c r="AB37" i="197"/>
  <c r="AE37" i="197" s="1"/>
  <c r="AI37" i="197" s="1"/>
  <c r="Y37" i="197" s="1"/>
  <c r="Z37" i="197"/>
  <c r="X37" i="197"/>
  <c r="Q37" i="197"/>
  <c r="P37" i="197"/>
  <c r="I37" i="197"/>
  <c r="H37" i="197"/>
  <c r="E37" i="197"/>
  <c r="AD36" i="197"/>
  <c r="AC36" i="197"/>
  <c r="AE36" i="197" s="1"/>
  <c r="AI36" i="197" s="1"/>
  <c r="Y36" i="197" s="1"/>
  <c r="AB36" i="197"/>
  <c r="Z36" i="197"/>
  <c r="X36" i="197"/>
  <c r="Q36" i="197"/>
  <c r="P36" i="197"/>
  <c r="H36" i="197"/>
  <c r="E36" i="197"/>
  <c r="I36" i="197" s="1"/>
  <c r="AD35" i="197"/>
  <c r="AC35" i="197"/>
  <c r="AB35" i="197"/>
  <c r="AE35" i="197" s="1"/>
  <c r="AI35" i="197" s="1"/>
  <c r="Y35" i="197" s="1"/>
  <c r="Z35" i="197"/>
  <c r="X35" i="197"/>
  <c r="Q35" i="197"/>
  <c r="P35" i="197"/>
  <c r="H35" i="197"/>
  <c r="E35" i="197"/>
  <c r="I35" i="197" s="1"/>
  <c r="AE34" i="197"/>
  <c r="AI34" i="197" s="1"/>
  <c r="Y34" i="197" s="1"/>
  <c r="AD34" i="197"/>
  <c r="AC34" i="197"/>
  <c r="AB34" i="197"/>
  <c r="Z34" i="197"/>
  <c r="X34" i="197"/>
  <c r="Q34" i="197"/>
  <c r="P34" i="197"/>
  <c r="H34" i="197"/>
  <c r="E34" i="197"/>
  <c r="I34" i="197" s="1"/>
  <c r="AD33" i="197"/>
  <c r="AC33" i="197"/>
  <c r="AB33" i="197"/>
  <c r="AE33" i="197" s="1"/>
  <c r="AI33" i="197" s="1"/>
  <c r="Y33" i="197" s="1"/>
  <c r="Z33" i="197"/>
  <c r="X33" i="197"/>
  <c r="Q33" i="197"/>
  <c r="P33" i="197"/>
  <c r="H33" i="197"/>
  <c r="E33" i="197"/>
  <c r="I33" i="197" s="1"/>
  <c r="AD32" i="197"/>
  <c r="AE32" i="197" s="1"/>
  <c r="AI32" i="197" s="1"/>
  <c r="Y32" i="197" s="1"/>
  <c r="AC32" i="197"/>
  <c r="AB32" i="197"/>
  <c r="Z32" i="197"/>
  <c r="X32" i="197"/>
  <c r="Q32" i="197"/>
  <c r="P32" i="197"/>
  <c r="H32" i="197"/>
  <c r="E32" i="197"/>
  <c r="I32" i="197" s="1"/>
  <c r="AE31" i="197"/>
  <c r="AI31" i="197" s="1"/>
  <c r="Y31" i="197" s="1"/>
  <c r="Z31" i="197"/>
  <c r="X31" i="197"/>
  <c r="Q31" i="197"/>
  <c r="P31" i="197"/>
  <c r="I31" i="197"/>
  <c r="H31" i="197"/>
  <c r="E31" i="197"/>
  <c r="AD30" i="197"/>
  <c r="AE30" i="197" s="1"/>
  <c r="AI30" i="197" s="1"/>
  <c r="Y30" i="197" s="1"/>
  <c r="AC30" i="197"/>
  <c r="AB30" i="197"/>
  <c r="Z30" i="197"/>
  <c r="X30" i="197"/>
  <c r="Q30" i="197"/>
  <c r="P30" i="197"/>
  <c r="I30" i="197"/>
  <c r="H30" i="197"/>
  <c r="E30" i="197"/>
  <c r="AD29" i="197"/>
  <c r="AC29" i="197"/>
  <c r="AE29" i="197" s="1"/>
  <c r="AI29" i="197" s="1"/>
  <c r="Y29" i="197" s="1"/>
  <c r="AB29" i="197"/>
  <c r="Z29" i="197"/>
  <c r="X29" i="197"/>
  <c r="Q29" i="197"/>
  <c r="P29" i="197"/>
  <c r="I29" i="197"/>
  <c r="H29" i="197"/>
  <c r="E29" i="197"/>
  <c r="AE28" i="197"/>
  <c r="AI28" i="197" s="1"/>
  <c r="Y28" i="197" s="1"/>
  <c r="AD28" i="197"/>
  <c r="AC28" i="197"/>
  <c r="AB28" i="197"/>
  <c r="Z28" i="197"/>
  <c r="X28" i="197"/>
  <c r="Q28" i="197"/>
  <c r="P28" i="197"/>
  <c r="H28" i="197"/>
  <c r="E28" i="197"/>
  <c r="I28" i="197" s="1"/>
  <c r="AD27" i="197"/>
  <c r="AC27" i="197"/>
  <c r="AB27" i="197"/>
  <c r="AE27" i="197" s="1"/>
  <c r="AI27" i="197" s="1"/>
  <c r="Y27" i="197" s="1"/>
  <c r="Z27" i="197"/>
  <c r="X27" i="197"/>
  <c r="Q27" i="197"/>
  <c r="P27" i="197"/>
  <c r="I27" i="197"/>
  <c r="H27" i="197"/>
  <c r="E27" i="197"/>
  <c r="AD26" i="197"/>
  <c r="AC26" i="197"/>
  <c r="AB26" i="197"/>
  <c r="AE26" i="197" s="1"/>
  <c r="AI26" i="197" s="1"/>
  <c r="Y26" i="197" s="1"/>
  <c r="Z26" i="197"/>
  <c r="X26" i="197"/>
  <c r="Q26" i="197"/>
  <c r="P26" i="197"/>
  <c r="H26" i="197"/>
  <c r="E26" i="197"/>
  <c r="I26" i="197" s="1"/>
  <c r="AE25" i="197"/>
  <c r="AI25" i="197" s="1"/>
  <c r="Y25" i="197" s="1"/>
  <c r="AD25" i="197"/>
  <c r="AC25" i="197"/>
  <c r="AB25" i="197"/>
  <c r="Z25" i="197"/>
  <c r="X25" i="197"/>
  <c r="Q25" i="197"/>
  <c r="P25" i="197"/>
  <c r="I25" i="197"/>
  <c r="H25" i="197"/>
  <c r="E25" i="197"/>
  <c r="AD24" i="197"/>
  <c r="AC24" i="197"/>
  <c r="AB24" i="197"/>
  <c r="AE24" i="197" s="1"/>
  <c r="AI24" i="197" s="1"/>
  <c r="Y24" i="197" s="1"/>
  <c r="Z24" i="197"/>
  <c r="X24" i="197"/>
  <c r="Q24" i="197"/>
  <c r="P24" i="197"/>
  <c r="I24" i="197"/>
  <c r="H24" i="197"/>
  <c r="E24" i="197"/>
  <c r="AD23" i="197"/>
  <c r="AC23" i="197"/>
  <c r="AE23" i="197" s="1"/>
  <c r="AI23" i="197" s="1"/>
  <c r="Y23" i="197" s="1"/>
  <c r="AB23" i="197"/>
  <c r="Z23" i="197"/>
  <c r="X23" i="197"/>
  <c r="Q23" i="197"/>
  <c r="P23" i="197"/>
  <c r="H23" i="197"/>
  <c r="E23" i="197"/>
  <c r="I23" i="197" s="1"/>
  <c r="AD22" i="197"/>
  <c r="AC22" i="197"/>
  <c r="AB22" i="197"/>
  <c r="AE22" i="197" s="1"/>
  <c r="AI22" i="197" s="1"/>
  <c r="Y22" i="197" s="1"/>
  <c r="Z22" i="197"/>
  <c r="X22" i="197"/>
  <c r="Q22" i="197"/>
  <c r="P22" i="197"/>
  <c r="I22" i="197"/>
  <c r="H22" i="197"/>
  <c r="E22" i="197"/>
  <c r="AD21" i="197"/>
  <c r="AC21" i="197"/>
  <c r="AE21" i="197" s="1"/>
  <c r="AI21" i="197" s="1"/>
  <c r="Y21" i="197" s="1"/>
  <c r="AB21" i="197"/>
  <c r="Z21" i="197"/>
  <c r="X21" i="197"/>
  <c r="Q21" i="197"/>
  <c r="P21" i="197"/>
  <c r="H21" i="197"/>
  <c r="E21" i="197"/>
  <c r="I21" i="197" s="1"/>
  <c r="AD20" i="197"/>
  <c r="AC20" i="197"/>
  <c r="AB20" i="197"/>
  <c r="AE20" i="197" s="1"/>
  <c r="AI20" i="197" s="1"/>
  <c r="Y20" i="197" s="1"/>
  <c r="Z20" i="197"/>
  <c r="X20" i="197"/>
  <c r="Q20" i="197"/>
  <c r="P20" i="197"/>
  <c r="H20" i="197"/>
  <c r="E20" i="197"/>
  <c r="I20" i="197" s="1"/>
  <c r="AE19" i="197"/>
  <c r="AI19" i="197" s="1"/>
  <c r="Y19" i="197" s="1"/>
  <c r="AD19" i="197"/>
  <c r="AC19" i="197"/>
  <c r="AB19" i="197"/>
  <c r="Z19" i="197"/>
  <c r="X19" i="197"/>
  <c r="Q19" i="197"/>
  <c r="P19" i="197"/>
  <c r="H19" i="197"/>
  <c r="E19" i="197"/>
  <c r="I19" i="197" s="1"/>
  <c r="AD18" i="197"/>
  <c r="AC18" i="197"/>
  <c r="AB18" i="197"/>
  <c r="AE18" i="197" s="1"/>
  <c r="AI18" i="197" s="1"/>
  <c r="Y18" i="197" s="1"/>
  <c r="Z18" i="197"/>
  <c r="X18" i="197"/>
  <c r="Q18" i="197"/>
  <c r="P18" i="197"/>
  <c r="H18" i="197"/>
  <c r="E18" i="197"/>
  <c r="I18" i="197" s="1"/>
  <c r="AD17" i="197"/>
  <c r="AE17" i="197" s="1"/>
  <c r="AI17" i="197" s="1"/>
  <c r="Y17" i="197" s="1"/>
  <c r="AC17" i="197"/>
  <c r="AB17" i="197"/>
  <c r="Z17" i="197"/>
  <c r="X17" i="197"/>
  <c r="Q17" i="197"/>
  <c r="P17" i="197"/>
  <c r="H17" i="197"/>
  <c r="E17" i="197"/>
  <c r="I17" i="197" s="1"/>
  <c r="AD16" i="197"/>
  <c r="AC16" i="197"/>
  <c r="AB16" i="197"/>
  <c r="AE16" i="197" s="1"/>
  <c r="AI16" i="197" s="1"/>
  <c r="Y16" i="197" s="1"/>
  <c r="Z16" i="197"/>
  <c r="X16" i="197"/>
  <c r="Q16" i="197"/>
  <c r="P16" i="197"/>
  <c r="I16" i="197"/>
  <c r="E16" i="197"/>
  <c r="AD15" i="197"/>
  <c r="AC15" i="197"/>
  <c r="AB15" i="197"/>
  <c r="AE15" i="197" s="1"/>
  <c r="AI15" i="197" s="1"/>
  <c r="Y15" i="197" s="1"/>
  <c r="Z15" i="197"/>
  <c r="X15" i="197"/>
  <c r="Q15" i="197"/>
  <c r="P15" i="197"/>
  <c r="I15" i="197"/>
  <c r="E15" i="197"/>
  <c r="AD14" i="197"/>
  <c r="AC14" i="197"/>
  <c r="AB14" i="197"/>
  <c r="AE14" i="197" s="1"/>
  <c r="AI14" i="197" s="1"/>
  <c r="Y14" i="197" s="1"/>
  <c r="Z14" i="197"/>
  <c r="X14" i="197"/>
  <c r="Q14" i="197"/>
  <c r="O75" i="197" s="1"/>
  <c r="P14" i="197"/>
  <c r="I14" i="197"/>
  <c r="H14" i="197"/>
  <c r="E14" i="197"/>
  <c r="AD13" i="197"/>
  <c r="AC13" i="197"/>
  <c r="AE13" i="197" s="1"/>
  <c r="AI13" i="197" s="1"/>
  <c r="Y13" i="197" s="1"/>
  <c r="AB13" i="197"/>
  <c r="Z13" i="197"/>
  <c r="X13" i="197"/>
  <c r="Q13" i="197"/>
  <c r="P13" i="197"/>
  <c r="H13" i="197"/>
  <c r="E13" i="197"/>
  <c r="I13" i="197" s="1"/>
  <c r="AD12" i="197"/>
  <c r="AC12" i="197"/>
  <c r="AB12" i="197"/>
  <c r="AE12" i="197" s="1"/>
  <c r="AI12" i="197" s="1"/>
  <c r="Y12" i="197" s="1"/>
  <c r="Z12" i="197"/>
  <c r="T75" i="197" s="1"/>
  <c r="X12" i="197"/>
  <c r="Q12" i="197"/>
  <c r="O73" i="197" s="1"/>
  <c r="P12" i="197"/>
  <c r="I12" i="197"/>
  <c r="H12" i="197"/>
  <c r="E12" i="197"/>
  <c r="F77" i="198" l="1"/>
  <c r="T73" i="197"/>
  <c r="T79" i="197" s="1"/>
  <c r="F73" i="197"/>
  <c r="F77" i="197" s="1"/>
  <c r="F75" i="197"/>
  <c r="M79" i="196"/>
  <c r="P71" i="196"/>
  <c r="H71" i="196"/>
  <c r="Q70" i="196"/>
  <c r="P70" i="196"/>
  <c r="H70" i="196"/>
  <c r="E70" i="196"/>
  <c r="I70" i="196" s="1"/>
  <c r="Q69" i="196"/>
  <c r="P69" i="196"/>
  <c r="I69" i="196"/>
  <c r="H69" i="196"/>
  <c r="E69" i="196"/>
  <c r="AD68" i="196"/>
  <c r="AC68" i="196"/>
  <c r="AB68" i="196"/>
  <c r="AE68" i="196" s="1"/>
  <c r="AI68" i="196" s="1"/>
  <c r="Y68" i="196" s="1"/>
  <c r="Z68" i="196"/>
  <c r="X68" i="196"/>
  <c r="Q68" i="196"/>
  <c r="P68" i="196"/>
  <c r="H68" i="196"/>
  <c r="E68" i="196"/>
  <c r="I68" i="196" s="1"/>
  <c r="AI67" i="196"/>
  <c r="Y67" i="196" s="1"/>
  <c r="AE67" i="196"/>
  <c r="AD67" i="196"/>
  <c r="AC67" i="196"/>
  <c r="AB67" i="196"/>
  <c r="Z67" i="196"/>
  <c r="X67" i="196"/>
  <c r="Q67" i="196"/>
  <c r="P67" i="196"/>
  <c r="I67" i="196"/>
  <c r="H67" i="196"/>
  <c r="E67" i="196"/>
  <c r="AD66" i="196"/>
  <c r="AC66" i="196"/>
  <c r="AB66" i="196"/>
  <c r="AE66" i="196" s="1"/>
  <c r="AI66" i="196" s="1"/>
  <c r="Y66" i="196" s="1"/>
  <c r="Z66" i="196"/>
  <c r="X66" i="196"/>
  <c r="Q66" i="196"/>
  <c r="P66" i="196"/>
  <c r="I66" i="196"/>
  <c r="H66" i="196"/>
  <c r="E66" i="196"/>
  <c r="AD65" i="196"/>
  <c r="AC65" i="196"/>
  <c r="AE65" i="196" s="1"/>
  <c r="AI65" i="196" s="1"/>
  <c r="Y65" i="196" s="1"/>
  <c r="AB65" i="196"/>
  <c r="Z65" i="196"/>
  <c r="X65" i="196"/>
  <c r="Q65" i="196"/>
  <c r="P65" i="196"/>
  <c r="H65" i="196"/>
  <c r="E65" i="196"/>
  <c r="I65" i="196" s="1"/>
  <c r="AD64" i="196"/>
  <c r="AC64" i="196"/>
  <c r="AE64" i="196" s="1"/>
  <c r="AI64" i="196" s="1"/>
  <c r="Y64" i="196" s="1"/>
  <c r="AB64" i="196"/>
  <c r="Z64" i="196"/>
  <c r="X64" i="196"/>
  <c r="Q64" i="196"/>
  <c r="P64" i="196"/>
  <c r="H64" i="196"/>
  <c r="E64" i="196"/>
  <c r="I64" i="196" s="1"/>
  <c r="AE63" i="196"/>
  <c r="AI63" i="196" s="1"/>
  <c r="Y63" i="196" s="1"/>
  <c r="AD63" i="196"/>
  <c r="AC63" i="196"/>
  <c r="AB63" i="196"/>
  <c r="Z63" i="196"/>
  <c r="X63" i="196"/>
  <c r="Q63" i="196"/>
  <c r="P63" i="196"/>
  <c r="H63" i="196"/>
  <c r="E63" i="196"/>
  <c r="I63" i="196" s="1"/>
  <c r="AD62" i="196"/>
  <c r="AC62" i="196"/>
  <c r="AB62" i="196"/>
  <c r="AE62" i="196" s="1"/>
  <c r="AI62" i="196" s="1"/>
  <c r="Y62" i="196" s="1"/>
  <c r="Z62" i="196"/>
  <c r="X62" i="196"/>
  <c r="Q62" i="196"/>
  <c r="P62" i="196"/>
  <c r="H62" i="196"/>
  <c r="E62" i="196"/>
  <c r="I62" i="196" s="1"/>
  <c r="AC61" i="196"/>
  <c r="AE61" i="196" s="1"/>
  <c r="AI61" i="196" s="1"/>
  <c r="Y61" i="196" s="1"/>
  <c r="AB61" i="196"/>
  <c r="X61" i="196"/>
  <c r="Q61" i="196"/>
  <c r="P61" i="196"/>
  <c r="H61" i="196"/>
  <c r="E61" i="196"/>
  <c r="I61" i="196" s="1"/>
  <c r="AE60" i="196"/>
  <c r="AI60" i="196" s="1"/>
  <c r="Y60" i="196" s="1"/>
  <c r="X60" i="196"/>
  <c r="Q60" i="196"/>
  <c r="P60" i="196"/>
  <c r="I60" i="196"/>
  <c r="H60" i="196"/>
  <c r="E60" i="196"/>
  <c r="AE59" i="196"/>
  <c r="AI59" i="196" s="1"/>
  <c r="Y59" i="196" s="1"/>
  <c r="AC59" i="196"/>
  <c r="AB59" i="196"/>
  <c r="X59" i="196"/>
  <c r="Q59" i="196"/>
  <c r="P59" i="196"/>
  <c r="I59" i="196"/>
  <c r="H59" i="196"/>
  <c r="E59" i="196"/>
  <c r="AC58" i="196"/>
  <c r="AB58" i="196"/>
  <c r="AE58" i="196" s="1"/>
  <c r="AI58" i="196" s="1"/>
  <c r="Y58" i="196" s="1"/>
  <c r="X58" i="196"/>
  <c r="Q58" i="196"/>
  <c r="P58" i="196"/>
  <c r="I58" i="196"/>
  <c r="E58" i="196"/>
  <c r="AC57" i="196"/>
  <c r="AB57" i="196"/>
  <c r="AE57" i="196" s="1"/>
  <c r="AI57" i="196" s="1"/>
  <c r="Y57" i="196" s="1"/>
  <c r="X57" i="196"/>
  <c r="Q57" i="196"/>
  <c r="P57" i="196"/>
  <c r="I57" i="196"/>
  <c r="H57" i="196"/>
  <c r="E57" i="196"/>
  <c r="AE56" i="196"/>
  <c r="AI56" i="196" s="1"/>
  <c r="Y56" i="196" s="1"/>
  <c r="AD56" i="196"/>
  <c r="AC56" i="196"/>
  <c r="AB56" i="196"/>
  <c r="Z56" i="196"/>
  <c r="X56" i="196"/>
  <c r="Q56" i="196"/>
  <c r="P56" i="196"/>
  <c r="I56" i="196"/>
  <c r="H56" i="196"/>
  <c r="E56" i="196"/>
  <c r="AD55" i="196"/>
  <c r="AC55" i="196"/>
  <c r="AB55" i="196"/>
  <c r="AE55" i="196" s="1"/>
  <c r="AI55" i="196" s="1"/>
  <c r="Y55" i="196" s="1"/>
  <c r="Z55" i="196"/>
  <c r="X55" i="196"/>
  <c r="Q55" i="196"/>
  <c r="P55" i="196"/>
  <c r="I55" i="196"/>
  <c r="H55" i="196"/>
  <c r="E55" i="196"/>
  <c r="AE54" i="196"/>
  <c r="AI54" i="196" s="1"/>
  <c r="Y54" i="196" s="1"/>
  <c r="AD54" i="196"/>
  <c r="AC54" i="196"/>
  <c r="AB54" i="196"/>
  <c r="Z54" i="196"/>
  <c r="X54" i="196"/>
  <c r="Q54" i="196"/>
  <c r="P54" i="196"/>
  <c r="H54" i="196"/>
  <c r="E54" i="196"/>
  <c r="I54" i="196" s="1"/>
  <c r="AE53" i="196"/>
  <c r="AI53" i="196" s="1"/>
  <c r="Y53" i="196" s="1"/>
  <c r="AD53" i="196"/>
  <c r="AC53" i="196"/>
  <c r="AB53" i="196"/>
  <c r="Z53" i="196"/>
  <c r="X53" i="196"/>
  <c r="Q53" i="196"/>
  <c r="P53" i="196"/>
  <c r="I53" i="196"/>
  <c r="H53" i="196"/>
  <c r="E53" i="196"/>
  <c r="AE52" i="196"/>
  <c r="AI52" i="196" s="1"/>
  <c r="Y52" i="196" s="1"/>
  <c r="Z52" i="196"/>
  <c r="X52" i="196"/>
  <c r="Q52" i="196"/>
  <c r="P52" i="196"/>
  <c r="I52" i="196"/>
  <c r="H52" i="196"/>
  <c r="E52" i="196"/>
  <c r="AD51" i="196"/>
  <c r="AC51" i="196"/>
  <c r="AB51" i="196"/>
  <c r="AE51" i="196" s="1"/>
  <c r="AI51" i="196" s="1"/>
  <c r="Y51" i="196" s="1"/>
  <c r="Z51" i="196"/>
  <c r="X51" i="196"/>
  <c r="Q51" i="196"/>
  <c r="P51" i="196"/>
  <c r="I51" i="196"/>
  <c r="H51" i="196"/>
  <c r="E51" i="196"/>
  <c r="AD50" i="196"/>
  <c r="AC50" i="196"/>
  <c r="AE50" i="196" s="1"/>
  <c r="AI50" i="196" s="1"/>
  <c r="Y50" i="196" s="1"/>
  <c r="AB50" i="196"/>
  <c r="Z50" i="196"/>
  <c r="X50" i="196"/>
  <c r="Q50" i="196"/>
  <c r="P50" i="196"/>
  <c r="I50" i="196"/>
  <c r="H50" i="196"/>
  <c r="E50" i="196"/>
  <c r="AI49" i="196"/>
  <c r="Y49" i="196" s="1"/>
  <c r="AE49" i="196"/>
  <c r="Z49" i="196"/>
  <c r="X49" i="196"/>
  <c r="Q49" i="196"/>
  <c r="P49" i="196"/>
  <c r="H49" i="196"/>
  <c r="E49" i="196"/>
  <c r="I49" i="196" s="1"/>
  <c r="AE48" i="196"/>
  <c r="AI48" i="196" s="1"/>
  <c r="Y48" i="196" s="1"/>
  <c r="Z48" i="196"/>
  <c r="X48" i="196"/>
  <c r="Q48" i="196"/>
  <c r="P48" i="196"/>
  <c r="H48" i="196"/>
  <c r="E48" i="196"/>
  <c r="I48" i="196" s="1"/>
  <c r="AE47" i="196"/>
  <c r="AI47" i="196" s="1"/>
  <c r="Y47" i="196" s="1"/>
  <c r="Z47" i="196"/>
  <c r="X47" i="196"/>
  <c r="Q47" i="196"/>
  <c r="P47" i="196"/>
  <c r="I47" i="196"/>
  <c r="H47" i="196"/>
  <c r="E47" i="196"/>
  <c r="AD46" i="196"/>
  <c r="AC46" i="196"/>
  <c r="AB46" i="196"/>
  <c r="AE46" i="196" s="1"/>
  <c r="AI46" i="196" s="1"/>
  <c r="Y46" i="196" s="1"/>
  <c r="Z46" i="196"/>
  <c r="X46" i="196"/>
  <c r="Q46" i="196"/>
  <c r="P46" i="196"/>
  <c r="I46" i="196"/>
  <c r="H46" i="196"/>
  <c r="E46" i="196"/>
  <c r="AD45" i="196"/>
  <c r="AC45" i="196"/>
  <c r="AE45" i="196" s="1"/>
  <c r="AI45" i="196" s="1"/>
  <c r="Y45" i="196" s="1"/>
  <c r="AB45" i="196"/>
  <c r="Z45" i="196"/>
  <c r="X45" i="196"/>
  <c r="Q45" i="196"/>
  <c r="P45" i="196"/>
  <c r="I45" i="196"/>
  <c r="H45" i="196"/>
  <c r="E45" i="196"/>
  <c r="AE44" i="196"/>
  <c r="AI44" i="196" s="1"/>
  <c r="Y44" i="196" s="1"/>
  <c r="AD44" i="196"/>
  <c r="AC44" i="196"/>
  <c r="AB44" i="196"/>
  <c r="Z44" i="196"/>
  <c r="X44" i="196"/>
  <c r="Q44" i="196"/>
  <c r="P44" i="196"/>
  <c r="I44" i="196"/>
  <c r="H44" i="196"/>
  <c r="E44" i="196"/>
  <c r="AD43" i="196"/>
  <c r="AC43" i="196"/>
  <c r="AB43" i="196"/>
  <c r="AE43" i="196" s="1"/>
  <c r="AI43" i="196" s="1"/>
  <c r="Y43" i="196" s="1"/>
  <c r="Z43" i="196"/>
  <c r="X43" i="196"/>
  <c r="Q43" i="196"/>
  <c r="P43" i="196"/>
  <c r="H43" i="196"/>
  <c r="E43" i="196"/>
  <c r="I43" i="196" s="1"/>
  <c r="AD42" i="196"/>
  <c r="AC42" i="196"/>
  <c r="AB42" i="196"/>
  <c r="AE42" i="196" s="1"/>
  <c r="AI42" i="196" s="1"/>
  <c r="Y42" i="196" s="1"/>
  <c r="Z42" i="196"/>
  <c r="X42" i="196"/>
  <c r="Q42" i="196"/>
  <c r="P42" i="196"/>
  <c r="H42" i="196"/>
  <c r="E42" i="196"/>
  <c r="I42" i="196" s="1"/>
  <c r="AE41" i="196"/>
  <c r="AI41" i="196" s="1"/>
  <c r="Y41" i="196" s="1"/>
  <c r="AD41" i="196"/>
  <c r="AC41" i="196"/>
  <c r="AB41" i="196"/>
  <c r="Z41" i="196"/>
  <c r="X41" i="196"/>
  <c r="Q41" i="196"/>
  <c r="P41" i="196"/>
  <c r="I41" i="196"/>
  <c r="H41" i="196"/>
  <c r="E41" i="196"/>
  <c r="AD40" i="196"/>
  <c r="AC40" i="196"/>
  <c r="AB40" i="196"/>
  <c r="AE40" i="196" s="1"/>
  <c r="AI40" i="196" s="1"/>
  <c r="Y40" i="196" s="1"/>
  <c r="Z40" i="196"/>
  <c r="X40" i="196"/>
  <c r="Q40" i="196"/>
  <c r="P40" i="196"/>
  <c r="I40" i="196"/>
  <c r="H40" i="196"/>
  <c r="E40" i="196"/>
  <c r="AD39" i="196"/>
  <c r="AC39" i="196"/>
  <c r="AB39" i="196"/>
  <c r="AE39" i="196" s="1"/>
  <c r="AI39" i="196" s="1"/>
  <c r="Y39" i="196" s="1"/>
  <c r="Z39" i="196"/>
  <c r="X39" i="196"/>
  <c r="Q39" i="196"/>
  <c r="P39" i="196"/>
  <c r="I39" i="196"/>
  <c r="H39" i="196"/>
  <c r="E39" i="196"/>
  <c r="AD38" i="196"/>
  <c r="AC38" i="196"/>
  <c r="AE38" i="196" s="1"/>
  <c r="AI38" i="196" s="1"/>
  <c r="Y38" i="196" s="1"/>
  <c r="AB38" i="196"/>
  <c r="Z38" i="196"/>
  <c r="X38" i="196"/>
  <c r="Q38" i="196"/>
  <c r="P38" i="196"/>
  <c r="I38" i="196"/>
  <c r="H38" i="196"/>
  <c r="E38" i="196"/>
  <c r="AD37" i="196"/>
  <c r="AC37" i="196"/>
  <c r="AB37" i="196"/>
  <c r="AE37" i="196" s="1"/>
  <c r="AI37" i="196" s="1"/>
  <c r="Y37" i="196" s="1"/>
  <c r="Z37" i="196"/>
  <c r="X37" i="196"/>
  <c r="Q37" i="196"/>
  <c r="P37" i="196"/>
  <c r="I37" i="196"/>
  <c r="H37" i="196"/>
  <c r="E37" i="196"/>
  <c r="AD36" i="196"/>
  <c r="AC36" i="196"/>
  <c r="AE36" i="196" s="1"/>
  <c r="AI36" i="196" s="1"/>
  <c r="Y36" i="196" s="1"/>
  <c r="AB36" i="196"/>
  <c r="Z36" i="196"/>
  <c r="X36" i="196"/>
  <c r="Q36" i="196"/>
  <c r="P36" i="196"/>
  <c r="H36" i="196"/>
  <c r="E36" i="196"/>
  <c r="I36" i="196" s="1"/>
  <c r="AD35" i="196"/>
  <c r="AC35" i="196"/>
  <c r="AE35" i="196" s="1"/>
  <c r="AI35" i="196" s="1"/>
  <c r="Y35" i="196" s="1"/>
  <c r="AB35" i="196"/>
  <c r="Z35" i="196"/>
  <c r="X35" i="196"/>
  <c r="Q35" i="196"/>
  <c r="P35" i="196"/>
  <c r="H35" i="196"/>
  <c r="E35" i="196"/>
  <c r="I35" i="196" s="1"/>
  <c r="AE34" i="196"/>
  <c r="AI34" i="196" s="1"/>
  <c r="Y34" i="196" s="1"/>
  <c r="AD34" i="196"/>
  <c r="AC34" i="196"/>
  <c r="AB34" i="196"/>
  <c r="Z34" i="196"/>
  <c r="X34" i="196"/>
  <c r="Q34" i="196"/>
  <c r="P34" i="196"/>
  <c r="H34" i="196"/>
  <c r="E34" i="196"/>
  <c r="I34" i="196" s="1"/>
  <c r="AD33" i="196"/>
  <c r="AC33" i="196"/>
  <c r="AB33" i="196"/>
  <c r="AE33" i="196" s="1"/>
  <c r="AI33" i="196" s="1"/>
  <c r="Y33" i="196" s="1"/>
  <c r="Z33" i="196"/>
  <c r="X33" i="196"/>
  <c r="Q33" i="196"/>
  <c r="P33" i="196"/>
  <c r="H33" i="196"/>
  <c r="E33" i="196"/>
  <c r="I33" i="196" s="1"/>
  <c r="AD32" i="196"/>
  <c r="AE32" i="196" s="1"/>
  <c r="AI32" i="196" s="1"/>
  <c r="Y32" i="196" s="1"/>
  <c r="AC32" i="196"/>
  <c r="AB32" i="196"/>
  <c r="Z32" i="196"/>
  <c r="X32" i="196"/>
  <c r="Q32" i="196"/>
  <c r="P32" i="196"/>
  <c r="H32" i="196"/>
  <c r="E32" i="196"/>
  <c r="I32" i="196" s="1"/>
  <c r="AE31" i="196"/>
  <c r="AI31" i="196" s="1"/>
  <c r="Y31" i="196" s="1"/>
  <c r="Z31" i="196"/>
  <c r="X31" i="196"/>
  <c r="Q31" i="196"/>
  <c r="P31" i="196"/>
  <c r="I31" i="196"/>
  <c r="H31" i="196"/>
  <c r="E31" i="196"/>
  <c r="AD30" i="196"/>
  <c r="AC30" i="196"/>
  <c r="AE30" i="196" s="1"/>
  <c r="AI30" i="196" s="1"/>
  <c r="Y30" i="196" s="1"/>
  <c r="AB30" i="196"/>
  <c r="Z30" i="196"/>
  <c r="X30" i="196"/>
  <c r="Q30" i="196"/>
  <c r="P30" i="196"/>
  <c r="I30" i="196"/>
  <c r="H30" i="196"/>
  <c r="E30" i="196"/>
  <c r="AE29" i="196"/>
  <c r="AI29" i="196" s="1"/>
  <c r="Y29" i="196" s="1"/>
  <c r="AD29" i="196"/>
  <c r="AC29" i="196"/>
  <c r="AB29" i="196"/>
  <c r="Z29" i="196"/>
  <c r="X29" i="196"/>
  <c r="Q29" i="196"/>
  <c r="P29" i="196"/>
  <c r="I29" i="196"/>
  <c r="H29" i="196"/>
  <c r="E29" i="196"/>
  <c r="AD28" i="196"/>
  <c r="AC28" i="196"/>
  <c r="AB28" i="196"/>
  <c r="AE28" i="196" s="1"/>
  <c r="AI28" i="196" s="1"/>
  <c r="Y28" i="196" s="1"/>
  <c r="Z28" i="196"/>
  <c r="X28" i="196"/>
  <c r="Q28" i="196"/>
  <c r="P28" i="196"/>
  <c r="I28" i="196"/>
  <c r="H28" i="196"/>
  <c r="E28" i="196"/>
  <c r="AI27" i="196"/>
  <c r="Y27" i="196" s="1"/>
  <c r="AE27" i="196"/>
  <c r="AD27" i="196"/>
  <c r="AC27" i="196"/>
  <c r="AB27" i="196"/>
  <c r="Z27" i="196"/>
  <c r="X27" i="196"/>
  <c r="Q27" i="196"/>
  <c r="P27" i="196"/>
  <c r="H27" i="196"/>
  <c r="E27" i="196"/>
  <c r="I27" i="196" s="1"/>
  <c r="AE26" i="196"/>
  <c r="AI26" i="196" s="1"/>
  <c r="Y26" i="196" s="1"/>
  <c r="AD26" i="196"/>
  <c r="AC26" i="196"/>
  <c r="AB26" i="196"/>
  <c r="Z26" i="196"/>
  <c r="X26" i="196"/>
  <c r="Q26" i="196"/>
  <c r="P26" i="196"/>
  <c r="I26" i="196"/>
  <c r="H26" i="196"/>
  <c r="E26" i="196"/>
  <c r="AD25" i="196"/>
  <c r="AC25" i="196"/>
  <c r="AB25" i="196"/>
  <c r="AE25" i="196" s="1"/>
  <c r="AI25" i="196" s="1"/>
  <c r="Y25" i="196" s="1"/>
  <c r="Z25" i="196"/>
  <c r="X25" i="196"/>
  <c r="Q25" i="196"/>
  <c r="P25" i="196"/>
  <c r="I25" i="196"/>
  <c r="H25" i="196"/>
  <c r="E25" i="196"/>
  <c r="AD24" i="196"/>
  <c r="AC24" i="196"/>
  <c r="AB24" i="196"/>
  <c r="AE24" i="196" s="1"/>
  <c r="AI24" i="196" s="1"/>
  <c r="Y24" i="196" s="1"/>
  <c r="Z24" i="196"/>
  <c r="X24" i="196"/>
  <c r="Q24" i="196"/>
  <c r="P24" i="196"/>
  <c r="I24" i="196"/>
  <c r="H24" i="196"/>
  <c r="E24" i="196"/>
  <c r="AD23" i="196"/>
  <c r="AC23" i="196"/>
  <c r="AE23" i="196" s="1"/>
  <c r="AI23" i="196" s="1"/>
  <c r="Y23" i="196" s="1"/>
  <c r="AB23" i="196"/>
  <c r="Z23" i="196"/>
  <c r="X23" i="196"/>
  <c r="Q23" i="196"/>
  <c r="P23" i="196"/>
  <c r="I23" i="196"/>
  <c r="H23" i="196"/>
  <c r="E23" i="196"/>
  <c r="AD22" i="196"/>
  <c r="AC22" i="196"/>
  <c r="AB22" i="196"/>
  <c r="AE22" i="196" s="1"/>
  <c r="AI22" i="196" s="1"/>
  <c r="Y22" i="196" s="1"/>
  <c r="Z22" i="196"/>
  <c r="X22" i="196"/>
  <c r="Q22" i="196"/>
  <c r="P22" i="196"/>
  <c r="I22" i="196"/>
  <c r="H22" i="196"/>
  <c r="E22" i="196"/>
  <c r="AD21" i="196"/>
  <c r="AC21" i="196"/>
  <c r="AE21" i="196" s="1"/>
  <c r="AI21" i="196" s="1"/>
  <c r="Y21" i="196" s="1"/>
  <c r="AB21" i="196"/>
  <c r="Z21" i="196"/>
  <c r="X21" i="196"/>
  <c r="Q21" i="196"/>
  <c r="P21" i="196"/>
  <c r="H21" i="196"/>
  <c r="E21" i="196"/>
  <c r="I21" i="196" s="1"/>
  <c r="AD20" i="196"/>
  <c r="AC20" i="196"/>
  <c r="AE20" i="196" s="1"/>
  <c r="AI20" i="196" s="1"/>
  <c r="Y20" i="196" s="1"/>
  <c r="AB20" i="196"/>
  <c r="Z20" i="196"/>
  <c r="X20" i="196"/>
  <c r="Q20" i="196"/>
  <c r="P20" i="196"/>
  <c r="H20" i="196"/>
  <c r="E20" i="196"/>
  <c r="I20" i="196" s="1"/>
  <c r="AE19" i="196"/>
  <c r="AI19" i="196" s="1"/>
  <c r="Y19" i="196" s="1"/>
  <c r="AD19" i="196"/>
  <c r="AC19" i="196"/>
  <c r="AB19" i="196"/>
  <c r="Z19" i="196"/>
  <c r="X19" i="196"/>
  <c r="Q19" i="196"/>
  <c r="P19" i="196"/>
  <c r="H19" i="196"/>
  <c r="E19" i="196"/>
  <c r="I19" i="196" s="1"/>
  <c r="AD18" i="196"/>
  <c r="AC18" i="196"/>
  <c r="AB18" i="196"/>
  <c r="AE18" i="196" s="1"/>
  <c r="AI18" i="196" s="1"/>
  <c r="Y18" i="196" s="1"/>
  <c r="Z18" i="196"/>
  <c r="X18" i="196"/>
  <c r="Q18" i="196"/>
  <c r="P18" i="196"/>
  <c r="H18" i="196"/>
  <c r="E18" i="196"/>
  <c r="I18" i="196" s="1"/>
  <c r="AD17" i="196"/>
  <c r="AE17" i="196" s="1"/>
  <c r="AI17" i="196" s="1"/>
  <c r="Y17" i="196" s="1"/>
  <c r="AC17" i="196"/>
  <c r="AB17" i="196"/>
  <c r="Z17" i="196"/>
  <c r="X17" i="196"/>
  <c r="Q17" i="196"/>
  <c r="P17" i="196"/>
  <c r="H17" i="196"/>
  <c r="E17" i="196"/>
  <c r="I17" i="196" s="1"/>
  <c r="AD16" i="196"/>
  <c r="AE16" i="196" s="1"/>
  <c r="AI16" i="196" s="1"/>
  <c r="Y16" i="196" s="1"/>
  <c r="AC16" i="196"/>
  <c r="AB16" i="196"/>
  <c r="Z16" i="196"/>
  <c r="X16" i="196"/>
  <c r="Q16" i="196"/>
  <c r="P16" i="196"/>
  <c r="I16" i="196"/>
  <c r="E16" i="196"/>
  <c r="AD15" i="196"/>
  <c r="AC15" i="196"/>
  <c r="AE15" i="196" s="1"/>
  <c r="AI15" i="196" s="1"/>
  <c r="Y15" i="196" s="1"/>
  <c r="AB15" i="196"/>
  <c r="Z15" i="196"/>
  <c r="X15" i="196"/>
  <c r="Q15" i="196"/>
  <c r="P15" i="196"/>
  <c r="E15" i="196"/>
  <c r="I15" i="196" s="1"/>
  <c r="AD14" i="196"/>
  <c r="AC14" i="196"/>
  <c r="AB14" i="196"/>
  <c r="AE14" i="196" s="1"/>
  <c r="AI14" i="196" s="1"/>
  <c r="Y14" i="196" s="1"/>
  <c r="Z14" i="196"/>
  <c r="X14" i="196"/>
  <c r="Q14" i="196"/>
  <c r="O75" i="196" s="1"/>
  <c r="P14" i="196"/>
  <c r="I14" i="196"/>
  <c r="H14" i="196"/>
  <c r="E14" i="196"/>
  <c r="AD13" i="196"/>
  <c r="AC13" i="196"/>
  <c r="AB13" i="196"/>
  <c r="AE13" i="196" s="1"/>
  <c r="AI13" i="196" s="1"/>
  <c r="Y13" i="196" s="1"/>
  <c r="Z13" i="196"/>
  <c r="X13" i="196"/>
  <c r="Q13" i="196"/>
  <c r="P13" i="196"/>
  <c r="I13" i="196"/>
  <c r="H13" i="196"/>
  <c r="E13" i="196"/>
  <c r="AD12" i="196"/>
  <c r="AC12" i="196"/>
  <c r="AE12" i="196" s="1"/>
  <c r="AI12" i="196" s="1"/>
  <c r="Y12" i="196" s="1"/>
  <c r="AB12" i="196"/>
  <c r="Z12" i="196"/>
  <c r="T75" i="196" s="1"/>
  <c r="X12" i="196"/>
  <c r="T77" i="196" s="1"/>
  <c r="Q12" i="196"/>
  <c r="O73" i="196" s="1"/>
  <c r="P12" i="196"/>
  <c r="I12" i="196"/>
  <c r="H12" i="196"/>
  <c r="E12" i="196"/>
  <c r="F75" i="196" l="1"/>
  <c r="T73" i="196"/>
  <c r="F73" i="196"/>
  <c r="T79" i="196"/>
  <c r="P77" i="195"/>
  <c r="F77" i="196" l="1"/>
  <c r="M79" i="195"/>
  <c r="P71" i="195"/>
  <c r="H71" i="195"/>
  <c r="Q70" i="195"/>
  <c r="P70" i="195"/>
  <c r="H70" i="195"/>
  <c r="E70" i="195"/>
  <c r="I70" i="195" s="1"/>
  <c r="Q69" i="195"/>
  <c r="P69" i="195"/>
  <c r="I69" i="195"/>
  <c r="H69" i="195"/>
  <c r="E69" i="195"/>
  <c r="AE68" i="195"/>
  <c r="AI68" i="195" s="1"/>
  <c r="Y68" i="195" s="1"/>
  <c r="AD68" i="195"/>
  <c r="AC68" i="195"/>
  <c r="AB68" i="195"/>
  <c r="Z68" i="195"/>
  <c r="X68" i="195"/>
  <c r="Q68" i="195"/>
  <c r="P68" i="195"/>
  <c r="I68" i="195"/>
  <c r="H68" i="195"/>
  <c r="E68" i="195"/>
  <c r="AE67" i="195"/>
  <c r="AI67" i="195" s="1"/>
  <c r="Y67" i="195" s="1"/>
  <c r="AD67" i="195"/>
  <c r="AC67" i="195"/>
  <c r="AB67" i="195"/>
  <c r="Z67" i="195"/>
  <c r="X67" i="195"/>
  <c r="Q67" i="195"/>
  <c r="P67" i="195"/>
  <c r="H67" i="195"/>
  <c r="E67" i="195"/>
  <c r="I67" i="195" s="1"/>
  <c r="AD66" i="195"/>
  <c r="AC66" i="195"/>
  <c r="AB66" i="195"/>
  <c r="AE66" i="195" s="1"/>
  <c r="AI66" i="195" s="1"/>
  <c r="Y66" i="195" s="1"/>
  <c r="Z66" i="195"/>
  <c r="X66" i="195"/>
  <c r="Q66" i="195"/>
  <c r="P66" i="195"/>
  <c r="I66" i="195"/>
  <c r="H66" i="195"/>
  <c r="E66" i="195"/>
  <c r="AD65" i="195"/>
  <c r="AC65" i="195"/>
  <c r="AE65" i="195" s="1"/>
  <c r="AI65" i="195" s="1"/>
  <c r="Y65" i="195" s="1"/>
  <c r="AB65" i="195"/>
  <c r="Z65" i="195"/>
  <c r="X65" i="195"/>
  <c r="Q65" i="195"/>
  <c r="P65" i="195"/>
  <c r="H65" i="195"/>
  <c r="E65" i="195"/>
  <c r="I65" i="195" s="1"/>
  <c r="AE64" i="195"/>
  <c r="AI64" i="195" s="1"/>
  <c r="Y64" i="195" s="1"/>
  <c r="AD64" i="195"/>
  <c r="AC64" i="195"/>
  <c r="AB64" i="195"/>
  <c r="Z64" i="195"/>
  <c r="X64" i="195"/>
  <c r="Q64" i="195"/>
  <c r="P64" i="195"/>
  <c r="I64" i="195"/>
  <c r="H64" i="195"/>
  <c r="E64" i="195"/>
  <c r="AD63" i="195"/>
  <c r="AC63" i="195"/>
  <c r="AB63" i="195"/>
  <c r="AE63" i="195" s="1"/>
  <c r="AI63" i="195" s="1"/>
  <c r="Y63" i="195" s="1"/>
  <c r="Z63" i="195"/>
  <c r="X63" i="195"/>
  <c r="Q63" i="195"/>
  <c r="P63" i="195"/>
  <c r="H63" i="195"/>
  <c r="E63" i="195"/>
  <c r="I63" i="195" s="1"/>
  <c r="AD62" i="195"/>
  <c r="AC62" i="195"/>
  <c r="AB62" i="195"/>
  <c r="AE62" i="195" s="1"/>
  <c r="AI62" i="195" s="1"/>
  <c r="Y62" i="195" s="1"/>
  <c r="Z62" i="195"/>
  <c r="X62" i="195"/>
  <c r="Q62" i="195"/>
  <c r="P62" i="195"/>
  <c r="H62" i="195"/>
  <c r="E62" i="195"/>
  <c r="I62" i="195" s="1"/>
  <c r="AC61" i="195"/>
  <c r="AB61" i="195"/>
  <c r="AE61" i="195" s="1"/>
  <c r="AI61" i="195" s="1"/>
  <c r="Y61" i="195" s="1"/>
  <c r="X61" i="195"/>
  <c r="Q61" i="195"/>
  <c r="P61" i="195"/>
  <c r="I61" i="195"/>
  <c r="H61" i="195"/>
  <c r="E61" i="195"/>
  <c r="AE60" i="195"/>
  <c r="AI60" i="195" s="1"/>
  <c r="Y60" i="195" s="1"/>
  <c r="X60" i="195"/>
  <c r="Q60" i="195"/>
  <c r="P60" i="195"/>
  <c r="H60" i="195"/>
  <c r="E60" i="195"/>
  <c r="I60" i="195" s="1"/>
  <c r="AC59" i="195"/>
  <c r="AB59" i="195"/>
  <c r="AE59" i="195" s="1"/>
  <c r="AI59" i="195" s="1"/>
  <c r="Y59" i="195" s="1"/>
  <c r="X59" i="195"/>
  <c r="Q59" i="195"/>
  <c r="P59" i="195"/>
  <c r="I59" i="195"/>
  <c r="H59" i="195"/>
  <c r="E59" i="195"/>
  <c r="AC58" i="195"/>
  <c r="AB58" i="195"/>
  <c r="AE58" i="195" s="1"/>
  <c r="AI58" i="195" s="1"/>
  <c r="Y58" i="195" s="1"/>
  <c r="X58" i="195"/>
  <c r="Q58" i="195"/>
  <c r="P58" i="195"/>
  <c r="E58" i="195"/>
  <c r="I58" i="195" s="1"/>
  <c r="AE57" i="195"/>
  <c r="AI57" i="195" s="1"/>
  <c r="Y57" i="195" s="1"/>
  <c r="AC57" i="195"/>
  <c r="AB57" i="195"/>
  <c r="X57" i="195"/>
  <c r="Q57" i="195"/>
  <c r="P57" i="195"/>
  <c r="H57" i="195"/>
  <c r="E57" i="195"/>
  <c r="I57" i="195" s="1"/>
  <c r="AD56" i="195"/>
  <c r="AC56" i="195"/>
  <c r="AB56" i="195"/>
  <c r="AE56" i="195" s="1"/>
  <c r="AI56" i="195" s="1"/>
  <c r="Y56" i="195" s="1"/>
  <c r="Z56" i="195"/>
  <c r="X56" i="195"/>
  <c r="Q56" i="195"/>
  <c r="P56" i="195"/>
  <c r="H56" i="195"/>
  <c r="E56" i="195"/>
  <c r="I56" i="195" s="1"/>
  <c r="AD55" i="195"/>
  <c r="AE55" i="195" s="1"/>
  <c r="AI55" i="195" s="1"/>
  <c r="Y55" i="195" s="1"/>
  <c r="AC55" i="195"/>
  <c r="AB55" i="195"/>
  <c r="Z55" i="195"/>
  <c r="X55" i="195"/>
  <c r="Q55" i="195"/>
  <c r="P55" i="195"/>
  <c r="H55" i="195"/>
  <c r="E55" i="195"/>
  <c r="I55" i="195" s="1"/>
  <c r="AD54" i="195"/>
  <c r="AC54" i="195"/>
  <c r="AB54" i="195"/>
  <c r="AE54" i="195" s="1"/>
  <c r="AI54" i="195" s="1"/>
  <c r="Y54" i="195" s="1"/>
  <c r="Z54" i="195"/>
  <c r="X54" i="195"/>
  <c r="Q54" i="195"/>
  <c r="P54" i="195"/>
  <c r="I54" i="195"/>
  <c r="H54" i="195"/>
  <c r="E54" i="195"/>
  <c r="AD53" i="195"/>
  <c r="AC53" i="195"/>
  <c r="AB53" i="195"/>
  <c r="AE53" i="195" s="1"/>
  <c r="AI53" i="195" s="1"/>
  <c r="Y53" i="195" s="1"/>
  <c r="Z53" i="195"/>
  <c r="X53" i="195"/>
  <c r="Q53" i="195"/>
  <c r="P53" i="195"/>
  <c r="H53" i="195"/>
  <c r="E53" i="195"/>
  <c r="I53" i="195" s="1"/>
  <c r="AI52" i="195"/>
  <c r="Y52" i="195" s="1"/>
  <c r="AE52" i="195"/>
  <c r="Z52" i="195"/>
  <c r="X52" i="195"/>
  <c r="Q52" i="195"/>
  <c r="P52" i="195"/>
  <c r="I52" i="195"/>
  <c r="H52" i="195"/>
  <c r="E52" i="195"/>
  <c r="AE51" i="195"/>
  <c r="AI51" i="195" s="1"/>
  <c r="Y51" i="195" s="1"/>
  <c r="AD51" i="195"/>
  <c r="AC51" i="195"/>
  <c r="AB51" i="195"/>
  <c r="Z51" i="195"/>
  <c r="X51" i="195"/>
  <c r="Q51" i="195"/>
  <c r="P51" i="195"/>
  <c r="I51" i="195"/>
  <c r="H51" i="195"/>
  <c r="E51" i="195"/>
  <c r="AD50" i="195"/>
  <c r="AC50" i="195"/>
  <c r="AB50" i="195"/>
  <c r="AE50" i="195" s="1"/>
  <c r="AI50" i="195" s="1"/>
  <c r="Y50" i="195" s="1"/>
  <c r="Z50" i="195"/>
  <c r="X50" i="195"/>
  <c r="Q50" i="195"/>
  <c r="P50" i="195"/>
  <c r="I50" i="195"/>
  <c r="H50" i="195"/>
  <c r="E50" i="195"/>
  <c r="AE49" i="195"/>
  <c r="AI49" i="195" s="1"/>
  <c r="Y49" i="195" s="1"/>
  <c r="Z49" i="195"/>
  <c r="X49" i="195"/>
  <c r="Q49" i="195"/>
  <c r="P49" i="195"/>
  <c r="I49" i="195"/>
  <c r="H49" i="195"/>
  <c r="E49" i="195"/>
  <c r="AI48" i="195"/>
  <c r="Y48" i="195" s="1"/>
  <c r="AE48" i="195"/>
  <c r="Z48" i="195"/>
  <c r="X48" i="195"/>
  <c r="Q48" i="195"/>
  <c r="P48" i="195"/>
  <c r="H48" i="195"/>
  <c r="E48" i="195"/>
  <c r="I48" i="195" s="1"/>
  <c r="AE47" i="195"/>
  <c r="AI47" i="195" s="1"/>
  <c r="Y47" i="195" s="1"/>
  <c r="Z47" i="195"/>
  <c r="X47" i="195"/>
  <c r="Q47" i="195"/>
  <c r="P47" i="195"/>
  <c r="H47" i="195"/>
  <c r="E47" i="195"/>
  <c r="I47" i="195" s="1"/>
  <c r="AD46" i="195"/>
  <c r="AC46" i="195"/>
  <c r="AE46" i="195" s="1"/>
  <c r="AI46" i="195" s="1"/>
  <c r="Y46" i="195" s="1"/>
  <c r="AB46" i="195"/>
  <c r="Z46" i="195"/>
  <c r="X46" i="195"/>
  <c r="Q46" i="195"/>
  <c r="P46" i="195"/>
  <c r="H46" i="195"/>
  <c r="E46" i="195"/>
  <c r="I46" i="195" s="1"/>
  <c r="AE45" i="195"/>
  <c r="AI45" i="195" s="1"/>
  <c r="Y45" i="195" s="1"/>
  <c r="AD45" i="195"/>
  <c r="AC45" i="195"/>
  <c r="AB45" i="195"/>
  <c r="Z45" i="195"/>
  <c r="X45" i="195"/>
  <c r="Q45" i="195"/>
  <c r="P45" i="195"/>
  <c r="H45" i="195"/>
  <c r="E45" i="195"/>
  <c r="I45" i="195" s="1"/>
  <c r="AD44" i="195"/>
  <c r="AC44" i="195"/>
  <c r="AB44" i="195"/>
  <c r="AE44" i="195" s="1"/>
  <c r="AI44" i="195" s="1"/>
  <c r="Y44" i="195" s="1"/>
  <c r="Z44" i="195"/>
  <c r="X44" i="195"/>
  <c r="Q44" i="195"/>
  <c r="P44" i="195"/>
  <c r="H44" i="195"/>
  <c r="E44" i="195"/>
  <c r="I44" i="195" s="1"/>
  <c r="AD43" i="195"/>
  <c r="AE43" i="195" s="1"/>
  <c r="AI43" i="195" s="1"/>
  <c r="Y43" i="195" s="1"/>
  <c r="AC43" i="195"/>
  <c r="AB43" i="195"/>
  <c r="Z43" i="195"/>
  <c r="X43" i="195"/>
  <c r="Q43" i="195"/>
  <c r="P43" i="195"/>
  <c r="H43" i="195"/>
  <c r="E43" i="195"/>
  <c r="I43" i="195" s="1"/>
  <c r="AD42" i="195"/>
  <c r="AC42" i="195"/>
  <c r="AB42" i="195"/>
  <c r="AE42" i="195" s="1"/>
  <c r="AI42" i="195" s="1"/>
  <c r="Y42" i="195" s="1"/>
  <c r="Z42" i="195"/>
  <c r="X42" i="195"/>
  <c r="Q42" i="195"/>
  <c r="P42" i="195"/>
  <c r="I42" i="195"/>
  <c r="H42" i="195"/>
  <c r="E42" i="195"/>
  <c r="AD41" i="195"/>
  <c r="AC41" i="195"/>
  <c r="AB41" i="195"/>
  <c r="AE41" i="195" s="1"/>
  <c r="AI41" i="195" s="1"/>
  <c r="Y41" i="195" s="1"/>
  <c r="Z41" i="195"/>
  <c r="X41" i="195"/>
  <c r="Q41" i="195"/>
  <c r="P41" i="195"/>
  <c r="H41" i="195"/>
  <c r="E41" i="195"/>
  <c r="I41" i="195" s="1"/>
  <c r="AI40" i="195"/>
  <c r="Y40" i="195" s="1"/>
  <c r="AE40" i="195"/>
  <c r="AD40" i="195"/>
  <c r="AC40" i="195"/>
  <c r="AB40" i="195"/>
  <c r="Z40" i="195"/>
  <c r="X40" i="195"/>
  <c r="Q40" i="195"/>
  <c r="P40" i="195"/>
  <c r="I40" i="195"/>
  <c r="H40" i="195"/>
  <c r="E40" i="195"/>
  <c r="AD39" i="195"/>
  <c r="AC39" i="195"/>
  <c r="AE39" i="195" s="1"/>
  <c r="AI39" i="195" s="1"/>
  <c r="Y39" i="195" s="1"/>
  <c r="AB39" i="195"/>
  <c r="Z39" i="195"/>
  <c r="X39" i="195"/>
  <c r="Q39" i="195"/>
  <c r="P39" i="195"/>
  <c r="I39" i="195"/>
  <c r="H39" i="195"/>
  <c r="E39" i="195"/>
  <c r="AE38" i="195"/>
  <c r="AI38" i="195" s="1"/>
  <c r="Y38" i="195" s="1"/>
  <c r="AD38" i="195"/>
  <c r="AC38" i="195"/>
  <c r="AB38" i="195"/>
  <c r="Z38" i="195"/>
  <c r="X38" i="195"/>
  <c r="Q38" i="195"/>
  <c r="P38" i="195"/>
  <c r="I38" i="195"/>
  <c r="H38" i="195"/>
  <c r="E38" i="195"/>
  <c r="AD37" i="195"/>
  <c r="AC37" i="195"/>
  <c r="AB37" i="195"/>
  <c r="AE37" i="195" s="1"/>
  <c r="AI37" i="195" s="1"/>
  <c r="Y37" i="195" s="1"/>
  <c r="Z37" i="195"/>
  <c r="X37" i="195"/>
  <c r="Q37" i="195"/>
  <c r="P37" i="195"/>
  <c r="I37" i="195"/>
  <c r="H37" i="195"/>
  <c r="E37" i="195"/>
  <c r="AD36" i="195"/>
  <c r="AC36" i="195"/>
  <c r="AE36" i="195" s="1"/>
  <c r="AI36" i="195" s="1"/>
  <c r="Y36" i="195" s="1"/>
  <c r="AB36" i="195"/>
  <c r="Z36" i="195"/>
  <c r="X36" i="195"/>
  <c r="Q36" i="195"/>
  <c r="P36" i="195"/>
  <c r="H36" i="195"/>
  <c r="E36" i="195"/>
  <c r="I36" i="195" s="1"/>
  <c r="AE35" i="195"/>
  <c r="AI35" i="195" s="1"/>
  <c r="Y35" i="195" s="1"/>
  <c r="AD35" i="195"/>
  <c r="AC35" i="195"/>
  <c r="AB35" i="195"/>
  <c r="Z35" i="195"/>
  <c r="X35" i="195"/>
  <c r="Q35" i="195"/>
  <c r="P35" i="195"/>
  <c r="I35" i="195"/>
  <c r="H35" i="195"/>
  <c r="E35" i="195"/>
  <c r="AD34" i="195"/>
  <c r="AC34" i="195"/>
  <c r="AB34" i="195"/>
  <c r="AE34" i="195" s="1"/>
  <c r="AI34" i="195" s="1"/>
  <c r="Y34" i="195" s="1"/>
  <c r="Z34" i="195"/>
  <c r="X34" i="195"/>
  <c r="Q34" i="195"/>
  <c r="P34" i="195"/>
  <c r="H34" i="195"/>
  <c r="E34" i="195"/>
  <c r="I34" i="195" s="1"/>
  <c r="AD33" i="195"/>
  <c r="AC33" i="195"/>
  <c r="AB33" i="195"/>
  <c r="AE33" i="195" s="1"/>
  <c r="AI33" i="195" s="1"/>
  <c r="Y33" i="195" s="1"/>
  <c r="Z33" i="195"/>
  <c r="X33" i="195"/>
  <c r="Q33" i="195"/>
  <c r="P33" i="195"/>
  <c r="H33" i="195"/>
  <c r="E33" i="195"/>
  <c r="I33" i="195" s="1"/>
  <c r="AD32" i="195"/>
  <c r="AC32" i="195"/>
  <c r="AE32" i="195" s="1"/>
  <c r="AI32" i="195" s="1"/>
  <c r="Y32" i="195" s="1"/>
  <c r="AB32" i="195"/>
  <c r="Z32" i="195"/>
  <c r="X32" i="195"/>
  <c r="Q32" i="195"/>
  <c r="P32" i="195"/>
  <c r="I32" i="195"/>
  <c r="H32" i="195"/>
  <c r="E32" i="195"/>
  <c r="AI31" i="195"/>
  <c r="Y31" i="195" s="1"/>
  <c r="AE31" i="195"/>
  <c r="Z31" i="195"/>
  <c r="X31" i="195"/>
  <c r="Q31" i="195"/>
  <c r="P31" i="195"/>
  <c r="H31" i="195"/>
  <c r="E31" i="195"/>
  <c r="I31" i="195" s="1"/>
  <c r="AE30" i="195"/>
  <c r="AI30" i="195" s="1"/>
  <c r="Y30" i="195" s="1"/>
  <c r="AD30" i="195"/>
  <c r="AC30" i="195"/>
  <c r="AB30" i="195"/>
  <c r="Z30" i="195"/>
  <c r="X30" i="195"/>
  <c r="Q30" i="195"/>
  <c r="P30" i="195"/>
  <c r="H30" i="195"/>
  <c r="E30" i="195"/>
  <c r="I30" i="195" s="1"/>
  <c r="AD29" i="195"/>
  <c r="AC29" i="195"/>
  <c r="AB29" i="195"/>
  <c r="AE29" i="195" s="1"/>
  <c r="AI29" i="195" s="1"/>
  <c r="Y29" i="195" s="1"/>
  <c r="Z29" i="195"/>
  <c r="X29" i="195"/>
  <c r="Q29" i="195"/>
  <c r="P29" i="195"/>
  <c r="H29" i="195"/>
  <c r="E29" i="195"/>
  <c r="I29" i="195" s="1"/>
  <c r="AD28" i="195"/>
  <c r="AE28" i="195" s="1"/>
  <c r="AI28" i="195" s="1"/>
  <c r="Y28" i="195" s="1"/>
  <c r="AC28" i="195"/>
  <c r="AB28" i="195"/>
  <c r="Z28" i="195"/>
  <c r="X28" i="195"/>
  <c r="Q28" i="195"/>
  <c r="P28" i="195"/>
  <c r="H28" i="195"/>
  <c r="E28" i="195"/>
  <c r="I28" i="195" s="1"/>
  <c r="AD27" i="195"/>
  <c r="AC27" i="195"/>
  <c r="AB27" i="195"/>
  <c r="AE27" i="195" s="1"/>
  <c r="AI27" i="195" s="1"/>
  <c r="Y27" i="195" s="1"/>
  <c r="Z27" i="195"/>
  <c r="X27" i="195"/>
  <c r="Q27" i="195"/>
  <c r="P27" i="195"/>
  <c r="I27" i="195"/>
  <c r="H27" i="195"/>
  <c r="E27" i="195"/>
  <c r="AD26" i="195"/>
  <c r="AC26" i="195"/>
  <c r="AB26" i="195"/>
  <c r="AE26" i="195" s="1"/>
  <c r="AI26" i="195" s="1"/>
  <c r="Y26" i="195" s="1"/>
  <c r="Z26" i="195"/>
  <c r="X26" i="195"/>
  <c r="Q26" i="195"/>
  <c r="P26" i="195"/>
  <c r="H26" i="195"/>
  <c r="E26" i="195"/>
  <c r="I26" i="195" s="1"/>
  <c r="AI25" i="195"/>
  <c r="Y25" i="195" s="1"/>
  <c r="AE25" i="195"/>
  <c r="AD25" i="195"/>
  <c r="AC25" i="195"/>
  <c r="AB25" i="195"/>
  <c r="Z25" i="195"/>
  <c r="X25" i="195"/>
  <c r="Q25" i="195"/>
  <c r="P25" i="195"/>
  <c r="I25" i="195"/>
  <c r="H25" i="195"/>
  <c r="E25" i="195"/>
  <c r="AD24" i="195"/>
  <c r="AC24" i="195"/>
  <c r="AE24" i="195" s="1"/>
  <c r="AI24" i="195" s="1"/>
  <c r="Y24" i="195" s="1"/>
  <c r="AB24" i="195"/>
  <c r="Z24" i="195"/>
  <c r="X24" i="195"/>
  <c r="Q24" i="195"/>
  <c r="P24" i="195"/>
  <c r="I24" i="195"/>
  <c r="H24" i="195"/>
  <c r="E24" i="195"/>
  <c r="AE23" i="195"/>
  <c r="AI23" i="195" s="1"/>
  <c r="Y23" i="195" s="1"/>
  <c r="AD23" i="195"/>
  <c r="AC23" i="195"/>
  <c r="AB23" i="195"/>
  <c r="Z23" i="195"/>
  <c r="X23" i="195"/>
  <c r="Q23" i="195"/>
  <c r="P23" i="195"/>
  <c r="I23" i="195"/>
  <c r="H23" i="195"/>
  <c r="E23" i="195"/>
  <c r="AD22" i="195"/>
  <c r="AC22" i="195"/>
  <c r="AB22" i="195"/>
  <c r="AE22" i="195" s="1"/>
  <c r="AI22" i="195" s="1"/>
  <c r="Y22" i="195" s="1"/>
  <c r="Z22" i="195"/>
  <c r="X22" i="195"/>
  <c r="Q22" i="195"/>
  <c r="P22" i="195"/>
  <c r="I22" i="195"/>
  <c r="H22" i="195"/>
  <c r="E22" i="195"/>
  <c r="AD21" i="195"/>
  <c r="AC21" i="195"/>
  <c r="AE21" i="195" s="1"/>
  <c r="AI21" i="195" s="1"/>
  <c r="Y21" i="195" s="1"/>
  <c r="AB21" i="195"/>
  <c r="Z21" i="195"/>
  <c r="X21" i="195"/>
  <c r="Q21" i="195"/>
  <c r="P21" i="195"/>
  <c r="H21" i="195"/>
  <c r="E21" i="195"/>
  <c r="I21" i="195" s="1"/>
  <c r="AI20" i="195"/>
  <c r="AE20" i="195"/>
  <c r="AD20" i="195"/>
  <c r="AC20" i="195"/>
  <c r="AB20" i="195"/>
  <c r="Z20" i="195"/>
  <c r="Y20" i="195"/>
  <c r="X20" i="195"/>
  <c r="Q20" i="195"/>
  <c r="P20" i="195"/>
  <c r="I20" i="195"/>
  <c r="H20" i="195"/>
  <c r="E20" i="195"/>
  <c r="AD19" i="195"/>
  <c r="AC19" i="195"/>
  <c r="AB19" i="195"/>
  <c r="AE19" i="195" s="1"/>
  <c r="AI19" i="195" s="1"/>
  <c r="Y19" i="195" s="1"/>
  <c r="Z19" i="195"/>
  <c r="X19" i="195"/>
  <c r="Q19" i="195"/>
  <c r="P19" i="195"/>
  <c r="H19" i="195"/>
  <c r="E19" i="195"/>
  <c r="I19" i="195" s="1"/>
  <c r="AD18" i="195"/>
  <c r="AC18" i="195"/>
  <c r="AB18" i="195"/>
  <c r="AE18" i="195" s="1"/>
  <c r="AI18" i="195" s="1"/>
  <c r="Y18" i="195" s="1"/>
  <c r="Z18" i="195"/>
  <c r="X18" i="195"/>
  <c r="Q18" i="195"/>
  <c r="P18" i="195"/>
  <c r="H18" i="195"/>
  <c r="E18" i="195"/>
  <c r="I18" i="195" s="1"/>
  <c r="AD17" i="195"/>
  <c r="AC17" i="195"/>
  <c r="AE17" i="195" s="1"/>
  <c r="AI17" i="195" s="1"/>
  <c r="Y17" i="195" s="1"/>
  <c r="AB17" i="195"/>
  <c r="Z17" i="195"/>
  <c r="X17" i="195"/>
  <c r="Q17" i="195"/>
  <c r="P17" i="195"/>
  <c r="I17" i="195"/>
  <c r="H17" i="195"/>
  <c r="E17" i="195"/>
  <c r="AD16" i="195"/>
  <c r="AC16" i="195"/>
  <c r="AB16" i="195"/>
  <c r="AE16" i="195" s="1"/>
  <c r="AI16" i="195" s="1"/>
  <c r="Y16" i="195" s="1"/>
  <c r="Z16" i="195"/>
  <c r="T75" i="195" s="1"/>
  <c r="X16" i="195"/>
  <c r="T77" i="195" s="1"/>
  <c r="Q16" i="195"/>
  <c r="P16" i="195"/>
  <c r="E16" i="195"/>
  <c r="I16" i="195" s="1"/>
  <c r="AI15" i="195"/>
  <c r="AE15" i="195"/>
  <c r="AD15" i="195"/>
  <c r="AC15" i="195"/>
  <c r="AB15" i="195"/>
  <c r="Z15" i="195"/>
  <c r="Y15" i="195"/>
  <c r="X15" i="195"/>
  <c r="Q15" i="195"/>
  <c r="P15" i="195"/>
  <c r="I15" i="195"/>
  <c r="E15" i="195"/>
  <c r="AD14" i="195"/>
  <c r="AC14" i="195"/>
  <c r="AE14" i="195" s="1"/>
  <c r="AI14" i="195" s="1"/>
  <c r="Y14" i="195" s="1"/>
  <c r="AB14" i="195"/>
  <c r="Z14" i="195"/>
  <c r="X14" i="195"/>
  <c r="Q14" i="195"/>
  <c r="P14" i="195"/>
  <c r="I14" i="195"/>
  <c r="H14" i="195"/>
  <c r="E14" i="195"/>
  <c r="AE13" i="195"/>
  <c r="AI13" i="195" s="1"/>
  <c r="Y13" i="195" s="1"/>
  <c r="AD13" i="195"/>
  <c r="AC13" i="195"/>
  <c r="AB13" i="195"/>
  <c r="Z13" i="195"/>
  <c r="X13" i="195"/>
  <c r="Q13" i="195"/>
  <c r="P13" i="195"/>
  <c r="I13" i="195"/>
  <c r="H13" i="195"/>
  <c r="E13" i="195"/>
  <c r="AD12" i="195"/>
  <c r="AC12" i="195"/>
  <c r="AB12" i="195"/>
  <c r="AE12" i="195" s="1"/>
  <c r="AI12" i="195" s="1"/>
  <c r="Y12" i="195" s="1"/>
  <c r="Z12" i="195"/>
  <c r="X12" i="195"/>
  <c r="Q12" i="195"/>
  <c r="P12" i="195"/>
  <c r="I12" i="195"/>
  <c r="H12" i="195"/>
  <c r="E12" i="195"/>
  <c r="O75" i="195" l="1"/>
  <c r="O73" i="195"/>
  <c r="F73" i="195"/>
  <c r="T73" i="195"/>
  <c r="T79" i="195" s="1"/>
  <c r="F75" i="195"/>
  <c r="P79" i="194"/>
  <c r="P77" i="194"/>
  <c r="F77" i="195" l="1"/>
  <c r="M79" i="194"/>
  <c r="P71" i="194"/>
  <c r="H71" i="194"/>
  <c r="Q70" i="194"/>
  <c r="P70" i="194"/>
  <c r="H70" i="194"/>
  <c r="E70" i="194"/>
  <c r="I70" i="194" s="1"/>
  <c r="Q69" i="194"/>
  <c r="P69" i="194"/>
  <c r="H69" i="194"/>
  <c r="E69" i="194"/>
  <c r="I69" i="194" s="1"/>
  <c r="AD68" i="194"/>
  <c r="AC68" i="194"/>
  <c r="AB68" i="194"/>
  <c r="AE68" i="194" s="1"/>
  <c r="AI68" i="194" s="1"/>
  <c r="Y68" i="194" s="1"/>
  <c r="Z68" i="194"/>
  <c r="X68" i="194"/>
  <c r="Q68" i="194"/>
  <c r="P68" i="194"/>
  <c r="I68" i="194"/>
  <c r="H68" i="194"/>
  <c r="E68" i="194"/>
  <c r="AD67" i="194"/>
  <c r="AC67" i="194"/>
  <c r="AE67" i="194" s="1"/>
  <c r="AI67" i="194" s="1"/>
  <c r="Y67" i="194" s="1"/>
  <c r="AB67" i="194"/>
  <c r="Z67" i="194"/>
  <c r="X67" i="194"/>
  <c r="Q67" i="194"/>
  <c r="P67" i="194"/>
  <c r="H67" i="194"/>
  <c r="E67" i="194"/>
  <c r="I67" i="194" s="1"/>
  <c r="AD66" i="194"/>
  <c r="AC66" i="194"/>
  <c r="AE66" i="194" s="1"/>
  <c r="AI66" i="194" s="1"/>
  <c r="Y66" i="194" s="1"/>
  <c r="AB66" i="194"/>
  <c r="Z66" i="194"/>
  <c r="X66" i="194"/>
  <c r="Q66" i="194"/>
  <c r="P66" i="194"/>
  <c r="I66" i="194"/>
  <c r="H66" i="194"/>
  <c r="E66" i="194"/>
  <c r="AD65" i="194"/>
  <c r="AC65" i="194"/>
  <c r="AE65" i="194" s="1"/>
  <c r="AI65" i="194" s="1"/>
  <c r="Y65" i="194" s="1"/>
  <c r="AB65" i="194"/>
  <c r="Z65" i="194"/>
  <c r="X65" i="194"/>
  <c r="Q65" i="194"/>
  <c r="P65" i="194"/>
  <c r="H65" i="194"/>
  <c r="E65" i="194"/>
  <c r="I65" i="194" s="1"/>
  <c r="AD64" i="194"/>
  <c r="AC64" i="194"/>
  <c r="AB64" i="194"/>
  <c r="AE64" i="194" s="1"/>
  <c r="AI64" i="194" s="1"/>
  <c r="Y64" i="194" s="1"/>
  <c r="Z64" i="194"/>
  <c r="X64" i="194"/>
  <c r="Q64" i="194"/>
  <c r="P64" i="194"/>
  <c r="H64" i="194"/>
  <c r="E64" i="194"/>
  <c r="I64" i="194" s="1"/>
  <c r="AD63" i="194"/>
  <c r="AC63" i="194"/>
  <c r="AB63" i="194"/>
  <c r="AE63" i="194" s="1"/>
  <c r="AI63" i="194" s="1"/>
  <c r="Y63" i="194" s="1"/>
  <c r="Z63" i="194"/>
  <c r="X63" i="194"/>
  <c r="Q63" i="194"/>
  <c r="P63" i="194"/>
  <c r="H63" i="194"/>
  <c r="E63" i="194"/>
  <c r="I63" i="194" s="1"/>
  <c r="AD62" i="194"/>
  <c r="AC62" i="194"/>
  <c r="AB62" i="194"/>
  <c r="AE62" i="194" s="1"/>
  <c r="AI62" i="194" s="1"/>
  <c r="Y62" i="194" s="1"/>
  <c r="Z62" i="194"/>
  <c r="X62" i="194"/>
  <c r="Q62" i="194"/>
  <c r="P62" i="194"/>
  <c r="H62" i="194"/>
  <c r="E62" i="194"/>
  <c r="I62" i="194" s="1"/>
  <c r="AC61" i="194"/>
  <c r="AE61" i="194" s="1"/>
  <c r="AI61" i="194" s="1"/>
  <c r="Y61" i="194" s="1"/>
  <c r="AB61" i="194"/>
  <c r="X61" i="194"/>
  <c r="Q61" i="194"/>
  <c r="P61" i="194"/>
  <c r="H61" i="194"/>
  <c r="E61" i="194"/>
  <c r="I61" i="194" s="1"/>
  <c r="AE60" i="194"/>
  <c r="AI60" i="194" s="1"/>
  <c r="Y60" i="194" s="1"/>
  <c r="X60" i="194"/>
  <c r="Q60" i="194"/>
  <c r="P60" i="194"/>
  <c r="I60" i="194"/>
  <c r="H60" i="194"/>
  <c r="E60" i="194"/>
  <c r="AC59" i="194"/>
  <c r="AB59" i="194"/>
  <c r="AE59" i="194" s="1"/>
  <c r="AI59" i="194" s="1"/>
  <c r="Y59" i="194" s="1"/>
  <c r="X59" i="194"/>
  <c r="Q59" i="194"/>
  <c r="P59" i="194"/>
  <c r="H59" i="194"/>
  <c r="E59" i="194"/>
  <c r="I59" i="194" s="1"/>
  <c r="AC58" i="194"/>
  <c r="AB58" i="194"/>
  <c r="AE58" i="194" s="1"/>
  <c r="AI58" i="194" s="1"/>
  <c r="Y58" i="194" s="1"/>
  <c r="X58" i="194"/>
  <c r="Q58" i="194"/>
  <c r="P58" i="194"/>
  <c r="I58" i="194"/>
  <c r="E58" i="194"/>
  <c r="AE57" i="194"/>
  <c r="AI57" i="194" s="1"/>
  <c r="Y57" i="194" s="1"/>
  <c r="AC57" i="194"/>
  <c r="AB57" i="194"/>
  <c r="X57" i="194"/>
  <c r="Q57" i="194"/>
  <c r="P57" i="194"/>
  <c r="I57" i="194"/>
  <c r="H57" i="194"/>
  <c r="E57" i="194"/>
  <c r="AD56" i="194"/>
  <c r="AC56" i="194"/>
  <c r="AE56" i="194" s="1"/>
  <c r="AI56" i="194" s="1"/>
  <c r="Y56" i="194" s="1"/>
  <c r="AB56" i="194"/>
  <c r="Z56" i="194"/>
  <c r="X56" i="194"/>
  <c r="Q56" i="194"/>
  <c r="P56" i="194"/>
  <c r="I56" i="194"/>
  <c r="H56" i="194"/>
  <c r="E56" i="194"/>
  <c r="AD55" i="194"/>
  <c r="AC55" i="194"/>
  <c r="AE55" i="194" s="1"/>
  <c r="AI55" i="194" s="1"/>
  <c r="Y55" i="194" s="1"/>
  <c r="AB55" i="194"/>
  <c r="Z55" i="194"/>
  <c r="X55" i="194"/>
  <c r="Q55" i="194"/>
  <c r="P55" i="194"/>
  <c r="H55" i="194"/>
  <c r="E55" i="194"/>
  <c r="I55" i="194" s="1"/>
  <c r="AE54" i="194"/>
  <c r="AI54" i="194" s="1"/>
  <c r="Y54" i="194" s="1"/>
  <c r="AD54" i="194"/>
  <c r="AC54" i="194"/>
  <c r="AB54" i="194"/>
  <c r="Z54" i="194"/>
  <c r="X54" i="194"/>
  <c r="Q54" i="194"/>
  <c r="P54" i="194"/>
  <c r="H54" i="194"/>
  <c r="E54" i="194"/>
  <c r="I54" i="194" s="1"/>
  <c r="AD53" i="194"/>
  <c r="AC53" i="194"/>
  <c r="AB53" i="194"/>
  <c r="AE53" i="194" s="1"/>
  <c r="AI53" i="194" s="1"/>
  <c r="Y53" i="194" s="1"/>
  <c r="Z53" i="194"/>
  <c r="X53" i="194"/>
  <c r="Q53" i="194"/>
  <c r="P53" i="194"/>
  <c r="H53" i="194"/>
  <c r="E53" i="194"/>
  <c r="I53" i="194" s="1"/>
  <c r="AE52" i="194"/>
  <c r="AI52" i="194" s="1"/>
  <c r="Y52" i="194" s="1"/>
  <c r="Z52" i="194"/>
  <c r="X52" i="194"/>
  <c r="Q52" i="194"/>
  <c r="P52" i="194"/>
  <c r="I52" i="194"/>
  <c r="H52" i="194"/>
  <c r="E52" i="194"/>
  <c r="AD51" i="194"/>
  <c r="AC51" i="194"/>
  <c r="AB51" i="194"/>
  <c r="AE51" i="194" s="1"/>
  <c r="AI51" i="194" s="1"/>
  <c r="Y51" i="194" s="1"/>
  <c r="Z51" i="194"/>
  <c r="X51" i="194"/>
  <c r="Q51" i="194"/>
  <c r="P51" i="194"/>
  <c r="H51" i="194"/>
  <c r="E51" i="194"/>
  <c r="I51" i="194" s="1"/>
  <c r="AD50" i="194"/>
  <c r="AC50" i="194"/>
  <c r="AE50" i="194" s="1"/>
  <c r="AI50" i="194" s="1"/>
  <c r="Y50" i="194" s="1"/>
  <c r="AB50" i="194"/>
  <c r="Z50" i="194"/>
  <c r="X50" i="194"/>
  <c r="Q50" i="194"/>
  <c r="P50" i="194"/>
  <c r="I50" i="194"/>
  <c r="H50" i="194"/>
  <c r="E50" i="194"/>
  <c r="AE49" i="194"/>
  <c r="AI49" i="194" s="1"/>
  <c r="Y49" i="194" s="1"/>
  <c r="Z49" i="194"/>
  <c r="X49" i="194"/>
  <c r="Q49" i="194"/>
  <c r="P49" i="194"/>
  <c r="H49" i="194"/>
  <c r="E49" i="194"/>
  <c r="I49" i="194" s="1"/>
  <c r="AE48" i="194"/>
  <c r="AI48" i="194" s="1"/>
  <c r="Y48" i="194" s="1"/>
  <c r="Z48" i="194"/>
  <c r="X48" i="194"/>
  <c r="Q48" i="194"/>
  <c r="P48" i="194"/>
  <c r="H48" i="194"/>
  <c r="E48" i="194"/>
  <c r="I48" i="194" s="1"/>
  <c r="AI47" i="194"/>
  <c r="Y47" i="194" s="1"/>
  <c r="AE47" i="194"/>
  <c r="Z47" i="194"/>
  <c r="X47" i="194"/>
  <c r="Q47" i="194"/>
  <c r="P47" i="194"/>
  <c r="I47" i="194"/>
  <c r="H47" i="194"/>
  <c r="E47" i="194"/>
  <c r="AD46" i="194"/>
  <c r="AC46" i="194"/>
  <c r="AB46" i="194"/>
  <c r="AE46" i="194" s="1"/>
  <c r="AI46" i="194" s="1"/>
  <c r="Y46" i="194" s="1"/>
  <c r="Z46" i="194"/>
  <c r="X46" i="194"/>
  <c r="Q46" i="194"/>
  <c r="P46" i="194"/>
  <c r="I46" i="194"/>
  <c r="H46" i="194"/>
  <c r="E46" i="194"/>
  <c r="AD45" i="194"/>
  <c r="AC45" i="194"/>
  <c r="AE45" i="194" s="1"/>
  <c r="AI45" i="194" s="1"/>
  <c r="Y45" i="194" s="1"/>
  <c r="AB45" i="194"/>
  <c r="Z45" i="194"/>
  <c r="X45" i="194"/>
  <c r="Q45" i="194"/>
  <c r="P45" i="194"/>
  <c r="I45" i="194"/>
  <c r="H45" i="194"/>
  <c r="E45" i="194"/>
  <c r="AD44" i="194"/>
  <c r="AC44" i="194"/>
  <c r="AE44" i="194" s="1"/>
  <c r="AI44" i="194" s="1"/>
  <c r="Y44" i="194" s="1"/>
  <c r="AB44" i="194"/>
  <c r="Z44" i="194"/>
  <c r="X44" i="194"/>
  <c r="Q44" i="194"/>
  <c r="P44" i="194"/>
  <c r="I44" i="194"/>
  <c r="H44" i="194"/>
  <c r="E44" i="194"/>
  <c r="AD43" i="194"/>
  <c r="AC43" i="194"/>
  <c r="AE43" i="194" s="1"/>
  <c r="AI43" i="194" s="1"/>
  <c r="Y43" i="194" s="1"/>
  <c r="AB43" i="194"/>
  <c r="Z43" i="194"/>
  <c r="X43" i="194"/>
  <c r="Q43" i="194"/>
  <c r="P43" i="194"/>
  <c r="H43" i="194"/>
  <c r="E43" i="194"/>
  <c r="I43" i="194" s="1"/>
  <c r="AE42" i="194"/>
  <c r="AI42" i="194" s="1"/>
  <c r="Y42" i="194" s="1"/>
  <c r="AD42" i="194"/>
  <c r="AC42" i="194"/>
  <c r="AB42" i="194"/>
  <c r="Z42" i="194"/>
  <c r="X42" i="194"/>
  <c r="Q42" i="194"/>
  <c r="P42" i="194"/>
  <c r="H42" i="194"/>
  <c r="E42" i="194"/>
  <c r="I42" i="194" s="1"/>
  <c r="AD41" i="194"/>
  <c r="AC41" i="194"/>
  <c r="AB41" i="194"/>
  <c r="AE41" i="194" s="1"/>
  <c r="AI41" i="194" s="1"/>
  <c r="Y41" i="194" s="1"/>
  <c r="Z41" i="194"/>
  <c r="X41" i="194"/>
  <c r="Q41" i="194"/>
  <c r="P41" i="194"/>
  <c r="H41" i="194"/>
  <c r="E41" i="194"/>
  <c r="I41" i="194" s="1"/>
  <c r="AD40" i="194"/>
  <c r="AC40" i="194"/>
  <c r="AB40" i="194"/>
  <c r="AE40" i="194" s="1"/>
  <c r="AI40" i="194" s="1"/>
  <c r="Y40" i="194" s="1"/>
  <c r="Z40" i="194"/>
  <c r="X40" i="194"/>
  <c r="Q40" i="194"/>
  <c r="P40" i="194"/>
  <c r="H40" i="194"/>
  <c r="E40" i="194"/>
  <c r="I40" i="194" s="1"/>
  <c r="AD39" i="194"/>
  <c r="AC39" i="194"/>
  <c r="AB39" i="194"/>
  <c r="AE39" i="194" s="1"/>
  <c r="AI39" i="194" s="1"/>
  <c r="Y39" i="194" s="1"/>
  <c r="Z39" i="194"/>
  <c r="X39" i="194"/>
  <c r="Q39" i="194"/>
  <c r="P39" i="194"/>
  <c r="I39" i="194"/>
  <c r="H39" i="194"/>
  <c r="E39" i="194"/>
  <c r="AD38" i="194"/>
  <c r="AC38" i="194"/>
  <c r="AB38" i="194"/>
  <c r="AE38" i="194" s="1"/>
  <c r="AI38" i="194" s="1"/>
  <c r="Y38" i="194" s="1"/>
  <c r="Z38" i="194"/>
  <c r="X38" i="194"/>
  <c r="Q38" i="194"/>
  <c r="P38" i="194"/>
  <c r="H38" i="194"/>
  <c r="E38" i="194"/>
  <c r="I38" i="194" s="1"/>
  <c r="AD37" i="194"/>
  <c r="AC37" i="194"/>
  <c r="AE37" i="194" s="1"/>
  <c r="AI37" i="194" s="1"/>
  <c r="Y37" i="194" s="1"/>
  <c r="AB37" i="194"/>
  <c r="Z37" i="194"/>
  <c r="X37" i="194"/>
  <c r="Q37" i="194"/>
  <c r="P37" i="194"/>
  <c r="I37" i="194"/>
  <c r="H37" i="194"/>
  <c r="E37" i="194"/>
  <c r="AD36" i="194"/>
  <c r="AC36" i="194"/>
  <c r="AE36" i="194" s="1"/>
  <c r="AI36" i="194" s="1"/>
  <c r="Y36" i="194" s="1"/>
  <c r="AB36" i="194"/>
  <c r="Z36" i="194"/>
  <c r="X36" i="194"/>
  <c r="Q36" i="194"/>
  <c r="P36" i="194"/>
  <c r="H36" i="194"/>
  <c r="E36" i="194"/>
  <c r="I36" i="194" s="1"/>
  <c r="AD35" i="194"/>
  <c r="AC35" i="194"/>
  <c r="AB35" i="194"/>
  <c r="AE35" i="194" s="1"/>
  <c r="AI35" i="194" s="1"/>
  <c r="Y35" i="194" s="1"/>
  <c r="Z35" i="194"/>
  <c r="X35" i="194"/>
  <c r="Q35" i="194"/>
  <c r="P35" i="194"/>
  <c r="H35" i="194"/>
  <c r="E35" i="194"/>
  <c r="I35" i="194" s="1"/>
  <c r="AD34" i="194"/>
  <c r="AC34" i="194"/>
  <c r="AB34" i="194"/>
  <c r="AE34" i="194" s="1"/>
  <c r="AI34" i="194" s="1"/>
  <c r="Y34" i="194" s="1"/>
  <c r="Z34" i="194"/>
  <c r="X34" i="194"/>
  <c r="Q34" i="194"/>
  <c r="P34" i="194"/>
  <c r="H34" i="194"/>
  <c r="E34" i="194"/>
  <c r="I34" i="194" s="1"/>
  <c r="AD33" i="194"/>
  <c r="AC33" i="194"/>
  <c r="AB33" i="194"/>
  <c r="AE33" i="194" s="1"/>
  <c r="AI33" i="194" s="1"/>
  <c r="Y33" i="194" s="1"/>
  <c r="Z33" i="194"/>
  <c r="X33" i="194"/>
  <c r="Q33" i="194"/>
  <c r="P33" i="194"/>
  <c r="H33" i="194"/>
  <c r="E33" i="194"/>
  <c r="I33" i="194" s="1"/>
  <c r="AD32" i="194"/>
  <c r="AC32" i="194"/>
  <c r="AB32" i="194"/>
  <c r="AE32" i="194" s="1"/>
  <c r="AI32" i="194" s="1"/>
  <c r="Y32" i="194" s="1"/>
  <c r="Z32" i="194"/>
  <c r="X32" i="194"/>
  <c r="Q32" i="194"/>
  <c r="P32" i="194"/>
  <c r="I32" i="194"/>
  <c r="H32" i="194"/>
  <c r="E32" i="194"/>
  <c r="AE31" i="194"/>
  <c r="AI31" i="194" s="1"/>
  <c r="Y31" i="194" s="1"/>
  <c r="Z31" i="194"/>
  <c r="X31" i="194"/>
  <c r="Q31" i="194"/>
  <c r="P31" i="194"/>
  <c r="I31" i="194"/>
  <c r="H31" i="194"/>
  <c r="E31" i="194"/>
  <c r="AD30" i="194"/>
  <c r="AC30" i="194"/>
  <c r="AE30" i="194" s="1"/>
  <c r="AI30" i="194" s="1"/>
  <c r="Y30" i="194" s="1"/>
  <c r="AB30" i="194"/>
  <c r="Z30" i="194"/>
  <c r="X30" i="194"/>
  <c r="Q30" i="194"/>
  <c r="P30" i="194"/>
  <c r="H30" i="194"/>
  <c r="E30" i="194"/>
  <c r="I30" i="194" s="1"/>
  <c r="AD29" i="194"/>
  <c r="AC29" i="194"/>
  <c r="AE29" i="194" s="1"/>
  <c r="AI29" i="194" s="1"/>
  <c r="Y29" i="194" s="1"/>
  <c r="AB29" i="194"/>
  <c r="Z29" i="194"/>
  <c r="X29" i="194"/>
  <c r="Q29" i="194"/>
  <c r="P29" i="194"/>
  <c r="I29" i="194"/>
  <c r="H29" i="194"/>
  <c r="E29" i="194"/>
  <c r="AD28" i="194"/>
  <c r="AC28" i="194"/>
  <c r="AE28" i="194" s="1"/>
  <c r="AI28" i="194" s="1"/>
  <c r="Y28" i="194" s="1"/>
  <c r="AB28" i="194"/>
  <c r="Z28" i="194"/>
  <c r="X28" i="194"/>
  <c r="Q28" i="194"/>
  <c r="P28" i="194"/>
  <c r="H28" i="194"/>
  <c r="E28" i="194"/>
  <c r="I28" i="194" s="1"/>
  <c r="AE27" i="194"/>
  <c r="AI27" i="194" s="1"/>
  <c r="Y27" i="194" s="1"/>
  <c r="AD27" i="194"/>
  <c r="AC27" i="194"/>
  <c r="AB27" i="194"/>
  <c r="Z27" i="194"/>
  <c r="X27" i="194"/>
  <c r="Q27" i="194"/>
  <c r="P27" i="194"/>
  <c r="H27" i="194"/>
  <c r="E27" i="194"/>
  <c r="I27" i="194" s="1"/>
  <c r="AD26" i="194"/>
  <c r="AC26" i="194"/>
  <c r="AB26" i="194"/>
  <c r="AE26" i="194" s="1"/>
  <c r="AI26" i="194" s="1"/>
  <c r="Y26" i="194" s="1"/>
  <c r="Z26" i="194"/>
  <c r="X26" i="194"/>
  <c r="Q26" i="194"/>
  <c r="P26" i="194"/>
  <c r="H26" i="194"/>
  <c r="E26" i="194"/>
  <c r="I26" i="194" s="1"/>
  <c r="AD25" i="194"/>
  <c r="AC25" i="194"/>
  <c r="AB25" i="194"/>
  <c r="AE25" i="194" s="1"/>
  <c r="AI25" i="194" s="1"/>
  <c r="Y25" i="194" s="1"/>
  <c r="Z25" i="194"/>
  <c r="X25" i="194"/>
  <c r="Q25" i="194"/>
  <c r="P25" i="194"/>
  <c r="H25" i="194"/>
  <c r="E25" i="194"/>
  <c r="I25" i="194" s="1"/>
  <c r="AD24" i="194"/>
  <c r="AC24" i="194"/>
  <c r="AB24" i="194"/>
  <c r="AE24" i="194" s="1"/>
  <c r="AI24" i="194" s="1"/>
  <c r="Y24" i="194" s="1"/>
  <c r="Z24" i="194"/>
  <c r="X24" i="194"/>
  <c r="Q24" i="194"/>
  <c r="P24" i="194"/>
  <c r="I24" i="194"/>
  <c r="H24" i="194"/>
  <c r="E24" i="194"/>
  <c r="AD23" i="194"/>
  <c r="AC23" i="194"/>
  <c r="AB23" i="194"/>
  <c r="AE23" i="194" s="1"/>
  <c r="AI23" i="194" s="1"/>
  <c r="Y23" i="194" s="1"/>
  <c r="Z23" i="194"/>
  <c r="X23" i="194"/>
  <c r="Q23" i="194"/>
  <c r="P23" i="194"/>
  <c r="H23" i="194"/>
  <c r="E23" i="194"/>
  <c r="I23" i="194" s="1"/>
  <c r="AD22" i="194"/>
  <c r="AC22" i="194"/>
  <c r="AE22" i="194" s="1"/>
  <c r="AI22" i="194" s="1"/>
  <c r="Y22" i="194" s="1"/>
  <c r="AB22" i="194"/>
  <c r="Z22" i="194"/>
  <c r="X22" i="194"/>
  <c r="Q22" i="194"/>
  <c r="P22" i="194"/>
  <c r="I22" i="194"/>
  <c r="H22" i="194"/>
  <c r="E22" i="194"/>
  <c r="AD21" i="194"/>
  <c r="AC21" i="194"/>
  <c r="AE21" i="194" s="1"/>
  <c r="AI21" i="194" s="1"/>
  <c r="Y21" i="194" s="1"/>
  <c r="AB21" i="194"/>
  <c r="Z21" i="194"/>
  <c r="X21" i="194"/>
  <c r="Q21" i="194"/>
  <c r="P21" i="194"/>
  <c r="H21" i="194"/>
  <c r="E21" i="194"/>
  <c r="I21" i="194" s="1"/>
  <c r="AD20" i="194"/>
  <c r="AC20" i="194"/>
  <c r="AB20" i="194"/>
  <c r="AE20" i="194" s="1"/>
  <c r="AI20" i="194" s="1"/>
  <c r="Y20" i="194" s="1"/>
  <c r="Z20" i="194"/>
  <c r="X20" i="194"/>
  <c r="Q20" i="194"/>
  <c r="P20" i="194"/>
  <c r="H20" i="194"/>
  <c r="E20" i="194"/>
  <c r="I20" i="194" s="1"/>
  <c r="AD19" i="194"/>
  <c r="AC19" i="194"/>
  <c r="AB19" i="194"/>
  <c r="AE19" i="194" s="1"/>
  <c r="AI19" i="194" s="1"/>
  <c r="Y19" i="194" s="1"/>
  <c r="Z19" i="194"/>
  <c r="X19" i="194"/>
  <c r="Q19" i="194"/>
  <c r="P19" i="194"/>
  <c r="H19" i="194"/>
  <c r="E19" i="194"/>
  <c r="I19" i="194" s="1"/>
  <c r="AD18" i="194"/>
  <c r="AC18" i="194"/>
  <c r="AB18" i="194"/>
  <c r="AE18" i="194" s="1"/>
  <c r="AI18" i="194" s="1"/>
  <c r="Y18" i="194" s="1"/>
  <c r="Z18" i="194"/>
  <c r="X18" i="194"/>
  <c r="Q18" i="194"/>
  <c r="P18" i="194"/>
  <c r="H18" i="194"/>
  <c r="E18" i="194"/>
  <c r="I18" i="194" s="1"/>
  <c r="AD17" i="194"/>
  <c r="AC17" i="194"/>
  <c r="AB17" i="194"/>
  <c r="AE17" i="194" s="1"/>
  <c r="AI17" i="194" s="1"/>
  <c r="Y17" i="194" s="1"/>
  <c r="Z17" i="194"/>
  <c r="X17" i="194"/>
  <c r="Q17" i="194"/>
  <c r="P17" i="194"/>
  <c r="H17" i="194"/>
  <c r="E17" i="194"/>
  <c r="I17" i="194" s="1"/>
  <c r="AD16" i="194"/>
  <c r="AE16" i="194" s="1"/>
  <c r="AI16" i="194" s="1"/>
  <c r="Y16" i="194" s="1"/>
  <c r="AC16" i="194"/>
  <c r="AB16" i="194"/>
  <c r="Z16" i="194"/>
  <c r="X16" i="194"/>
  <c r="Q16" i="194"/>
  <c r="P16" i="194"/>
  <c r="I16" i="194"/>
  <c r="E16" i="194"/>
  <c r="AD15" i="194"/>
  <c r="AC15" i="194"/>
  <c r="AB15" i="194"/>
  <c r="AE15" i="194" s="1"/>
  <c r="AI15" i="194" s="1"/>
  <c r="Y15" i="194" s="1"/>
  <c r="Z15" i="194"/>
  <c r="X15" i="194"/>
  <c r="Q15" i="194"/>
  <c r="P15" i="194"/>
  <c r="E15" i="194"/>
  <c r="I15" i="194" s="1"/>
  <c r="AD14" i="194"/>
  <c r="AC14" i="194"/>
  <c r="AB14" i="194"/>
  <c r="AE14" i="194" s="1"/>
  <c r="AI14" i="194" s="1"/>
  <c r="Y14" i="194" s="1"/>
  <c r="Z14" i="194"/>
  <c r="X14" i="194"/>
  <c r="Q14" i="194"/>
  <c r="P14" i="194"/>
  <c r="I14" i="194"/>
  <c r="H14" i="194"/>
  <c r="E14" i="194"/>
  <c r="AD13" i="194"/>
  <c r="AC13" i="194"/>
  <c r="AB13" i="194"/>
  <c r="AE13" i="194" s="1"/>
  <c r="AI13" i="194" s="1"/>
  <c r="Y13" i="194" s="1"/>
  <c r="Z13" i="194"/>
  <c r="X13" i="194"/>
  <c r="Q13" i="194"/>
  <c r="P13" i="194"/>
  <c r="H13" i="194"/>
  <c r="E13" i="194"/>
  <c r="I13" i="194" s="1"/>
  <c r="AD12" i="194"/>
  <c r="AC12" i="194"/>
  <c r="AE12" i="194" s="1"/>
  <c r="AI12" i="194" s="1"/>
  <c r="Y12" i="194" s="1"/>
  <c r="AB12" i="194"/>
  <c r="Z12" i="194"/>
  <c r="X12" i="194"/>
  <c r="Q12" i="194"/>
  <c r="P12" i="194"/>
  <c r="I12" i="194"/>
  <c r="H12" i="194"/>
  <c r="E12" i="194"/>
  <c r="T77" i="194" l="1"/>
  <c r="T75" i="194"/>
  <c r="O75" i="194"/>
  <c r="O73" i="194"/>
  <c r="F73" i="194"/>
  <c r="F75" i="194"/>
  <c r="T73" i="194"/>
  <c r="T79" i="194" l="1"/>
  <c r="F77" i="194" s="1"/>
</calcChain>
</file>

<file path=xl/sharedStrings.xml><?xml version="1.0" encoding="utf-8"?>
<sst xmlns="http://schemas.openxmlformats.org/spreadsheetml/2006/main" count="1551" uniqueCount="134">
  <si>
    <t>DEALER NAME:</t>
  </si>
  <si>
    <t>DOS No.</t>
  </si>
  <si>
    <t>Please Fill up all needed details</t>
  </si>
  <si>
    <t>DRIVER'S NAME:</t>
  </si>
  <si>
    <t>DATE:</t>
  </si>
  <si>
    <t>PLATE NO.;</t>
  </si>
  <si>
    <t>TYPE TRANSACTION</t>
  </si>
  <si>
    <t>CASH</t>
  </si>
  <si>
    <r>
      <t>Always place an "</t>
    </r>
    <r>
      <rPr>
        <b/>
        <sz val="16"/>
        <rFont val="Arial"/>
        <family val="2"/>
      </rPr>
      <t>X</t>
    </r>
    <r>
      <rPr>
        <sz val="16"/>
        <rFont val="Arial"/>
        <family val="2"/>
      </rPr>
      <t>" for Cash or Credit Transaction</t>
    </r>
  </si>
  <si>
    <t>CAN</t>
  </si>
  <si>
    <t>TRIP NUMBER:</t>
  </si>
  <si>
    <t>CREDIT</t>
  </si>
  <si>
    <t>KIRIN</t>
  </si>
  <si>
    <t>500 can</t>
  </si>
  <si>
    <t>SKU</t>
  </si>
  <si>
    <t>Contents Only</t>
  </si>
  <si>
    <t>MTS</t>
  </si>
  <si>
    <t>GROSS AMOUNT</t>
  </si>
  <si>
    <t>FOR DEALER USE</t>
  </si>
  <si>
    <t>FOR WAREHOUSE USE</t>
  </si>
  <si>
    <t>Contents Amt</t>
  </si>
  <si>
    <t>FTH - FD</t>
  </si>
  <si>
    <t>Orignal FTH</t>
  </si>
  <si>
    <t>Subsidy FTH</t>
  </si>
  <si>
    <t>DL PRM</t>
  </si>
  <si>
    <t>Total FTH</t>
  </si>
  <si>
    <t>Func Disc.</t>
  </si>
  <si>
    <t>FTH -FD</t>
  </si>
  <si>
    <t>Order FGs QTY</t>
  </si>
  <si>
    <t>No. of Cases in pallets</t>
  </si>
  <si>
    <t>Order FGs in pallets</t>
  </si>
  <si>
    <t>Order FGs Amount</t>
  </si>
  <si>
    <t>CMT Amount</t>
  </si>
  <si>
    <t>Shell Amount</t>
  </si>
  <si>
    <t>Bottle</t>
  </si>
  <si>
    <t>ACTUAL RETURNS</t>
  </si>
  <si>
    <t>SUBJECT FOR SEGREGATION</t>
  </si>
  <si>
    <t>CMT</t>
  </si>
  <si>
    <t>SHELL</t>
  </si>
  <si>
    <t>BOTTLES</t>
  </si>
  <si>
    <t>Total in  Pallets</t>
  </si>
  <si>
    <t>TOTAL MTs Amount</t>
  </si>
  <si>
    <t>PP 320</t>
  </si>
  <si>
    <t>PP 1000</t>
  </si>
  <si>
    <t>RH 330</t>
  </si>
  <si>
    <t>RH 500</t>
  </si>
  <si>
    <t>RH 1000</t>
  </si>
  <si>
    <t>RH SUPER</t>
  </si>
  <si>
    <t>GE 1000</t>
  </si>
  <si>
    <t>SML 330</t>
  </si>
  <si>
    <t xml:space="preserve">FB APPLE </t>
  </si>
  <si>
    <t>FB LEMON</t>
  </si>
  <si>
    <t>FB LYCHEE</t>
  </si>
  <si>
    <t>PAM 330</t>
  </si>
  <si>
    <t>SD 330</t>
  </si>
  <si>
    <t>PP 330</t>
  </si>
  <si>
    <t>CN 330</t>
  </si>
  <si>
    <t>CERVESA BLANCA</t>
  </si>
  <si>
    <t>CALI 330</t>
  </si>
  <si>
    <t>CICE 330</t>
  </si>
  <si>
    <t>GE 320</t>
  </si>
  <si>
    <t>OKTO 330</t>
  </si>
  <si>
    <t>SMZero</t>
  </si>
  <si>
    <t>RH KING CAN 500</t>
  </si>
  <si>
    <t>PP Can</t>
  </si>
  <si>
    <t>RH Can</t>
  </si>
  <si>
    <t>SML Can</t>
  </si>
  <si>
    <t>PAM Can</t>
  </si>
  <si>
    <t>SD Can</t>
  </si>
  <si>
    <t>CALI Can</t>
  </si>
  <si>
    <t>CICE Can</t>
  </si>
  <si>
    <t>CALI 10</t>
  </si>
  <si>
    <t>FB App Can</t>
  </si>
  <si>
    <t>FB Lem Can</t>
  </si>
  <si>
    <t>FB Lyc Can</t>
  </si>
  <si>
    <t>KIRIN 330</t>
  </si>
  <si>
    <t>KIRIN Can</t>
  </si>
  <si>
    <t>DB30L PP</t>
  </si>
  <si>
    <t>PP DB 15L</t>
  </si>
  <si>
    <t>DB30L SML</t>
  </si>
  <si>
    <t>San Mig Free 330</t>
  </si>
  <si>
    <t>San Mig Free Can 330</t>
  </si>
  <si>
    <t>SMigCol250</t>
  </si>
  <si>
    <t>HS CITRUS MIX CAN</t>
  </si>
  <si>
    <t>CHOCO LAGER CAN</t>
  </si>
  <si>
    <t>CERVESA NEGRA CAN</t>
  </si>
  <si>
    <t>CERVESA BLANCA CAN</t>
  </si>
  <si>
    <t>HT Lemon</t>
  </si>
  <si>
    <t>HT Apple</t>
  </si>
  <si>
    <t>HT Strawberry</t>
  </si>
  <si>
    <t>Provision 1 NAB</t>
  </si>
  <si>
    <t>FD Grapes</t>
  </si>
  <si>
    <t>PAM Can 6's</t>
  </si>
  <si>
    <t>SD Can 330 6's</t>
  </si>
  <si>
    <t>FB Apple Can 330 6's</t>
  </si>
  <si>
    <t>FB Lemon Can 330 6's</t>
  </si>
  <si>
    <t>PP Can 330 6's</t>
  </si>
  <si>
    <t>RH Can 330 6's</t>
  </si>
  <si>
    <t>SML Can 330 6's</t>
  </si>
  <si>
    <t>Provision 2 NAB</t>
  </si>
  <si>
    <t>Provision 3 NAB</t>
  </si>
  <si>
    <t>TOTAL IN PALLETS</t>
  </si>
  <si>
    <t>FGs Amount</t>
  </si>
  <si>
    <t>MTs Amount</t>
  </si>
  <si>
    <t>DISC (FTH-FD)</t>
  </si>
  <si>
    <t>Net Amount (CASH Dealer)</t>
  </si>
  <si>
    <t>PDC DATE</t>
  </si>
  <si>
    <t>Relayed Discount</t>
  </si>
  <si>
    <t>Special Discounts</t>
  </si>
  <si>
    <t>Monitor Relayed discount based on maximum discount per transaction (15% of Contents Amount)</t>
  </si>
  <si>
    <t>PDC Amount (CREDIT Dealer)</t>
  </si>
  <si>
    <t>TWAS &amp; UNAPPLIED</t>
  </si>
  <si>
    <t>TOTAL DISCOUNT</t>
  </si>
  <si>
    <t>PALLETS ON-LOAN</t>
  </si>
  <si>
    <t>AT DEALER</t>
  </si>
  <si>
    <t>LESS; RETURN</t>
  </si>
  <si>
    <t>ADD: ISSUES</t>
  </si>
  <si>
    <t>TOTAL</t>
  </si>
  <si>
    <t>FGS ORDERED:</t>
  </si>
  <si>
    <t>MTS RETURNED:</t>
  </si>
  <si>
    <t>MTS CHECKED BY:</t>
  </si>
  <si>
    <t>BY</t>
  </si>
  <si>
    <t>DEALER (PRINTED NAME &amp; SIGNATURE)</t>
  </si>
  <si>
    <t>CHECKER</t>
  </si>
  <si>
    <t>APPROVED BY:</t>
  </si>
  <si>
    <t>ACKNOWLEDGED BY</t>
  </si>
  <si>
    <t>SALES SUPERVISOR (PRINTED NAME &amp; SIGNATURE)</t>
  </si>
  <si>
    <t>DEALER REPRESENTATIVE</t>
  </si>
  <si>
    <t>CASH Discount</t>
  </si>
  <si>
    <t>CASH DISCOUNT</t>
  </si>
  <si>
    <t>GUILLERMO BEVERAGES DISTRIBUTION SERVICES</t>
  </si>
  <si>
    <t>x</t>
  </si>
  <si>
    <t>ROBERTO CHIONG</t>
  </si>
  <si>
    <t>NEILVIN BAGUIO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</si>
</sst>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[$-409]mmmm\ d\,\ yyyy;@"/>
    <numFmt numFmtId="166" formatCode="_(* #,##0_);_(* \(#,##0\);_(* &quot;-&quot;??_);_(@_)"/>
    <numFmt numFmtId="167" formatCode="_(* #,##0_);[Red]_(* \(#,##0\);_(* &quot;-&quot;??_);_(@_)"/>
    <numFmt numFmtId="168" formatCode="_(* #,##0.0_);_(* \(#,##0.0\);_(* &quot;-&quot;??_);_(@_)"/>
    <numFmt numFmtId="169" formatCode="_([$PHP]\ * #,##0.00_);_([$PHP]\ * \(#,##0.00\);_([$PHP]\ * &quot;-&quot;??_);_(@_)"/>
    <numFmt numFmtId="170" formatCode="[$PHP]\ #,##0.00_);\([$PHP]\ #,##0.00\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name val="Arial Rounded MT Bold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 Narrow"/>
      <family val="2"/>
    </font>
    <font>
      <b/>
      <sz val="2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8"/>
      <color indexed="12"/>
      <name val="Arial Rounded MT Bold"/>
      <family val="2"/>
    </font>
    <font>
      <sz val="18"/>
      <name val="Arial"/>
      <family val="2"/>
    </font>
    <font>
      <b/>
      <sz val="8"/>
      <name val="Arial"/>
      <family val="2"/>
    </font>
    <font>
      <sz val="10"/>
      <color indexed="12"/>
      <name val="Arial"/>
      <family val="2"/>
    </font>
    <font>
      <sz val="9"/>
      <name val="Arial"/>
      <family val="2"/>
    </font>
    <font>
      <sz val="18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7.5"/>
      <name val="Arial"/>
      <family val="2"/>
    </font>
    <font>
      <sz val="8"/>
      <color indexed="48"/>
      <name val="Arial"/>
      <family val="2"/>
    </font>
    <font>
      <b/>
      <sz val="22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b/>
      <sz val="3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303">
    <xf numFmtId="0" fontId="0" fillId="0" borderId="0" xfId="0"/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164" fontId="4" fillId="0" borderId="0" xfId="1" applyFont="1" applyFill="1" applyAlignment="1" applyProtection="1">
      <alignment vertical="center"/>
    </xf>
    <xf numFmtId="0" fontId="5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8" fillId="2" borderId="1" xfId="2" applyFont="1" applyFill="1" applyBorder="1" applyAlignment="1" applyProtection="1">
      <alignment horizontal="center" vertical="center"/>
      <protection locked="0"/>
    </xf>
    <xf numFmtId="0" fontId="11" fillId="0" borderId="0" xfId="2" applyFont="1" applyAlignment="1">
      <alignment vertical="center"/>
    </xf>
    <xf numFmtId="164" fontId="11" fillId="0" borderId="0" xfId="1" applyFont="1" applyFill="1" applyAlignment="1" applyProtection="1">
      <alignment vertical="center"/>
    </xf>
    <xf numFmtId="0" fontId="9" fillId="0" borderId="0" xfId="2" applyFont="1" applyAlignment="1">
      <alignment vertical="center" wrapText="1"/>
    </xf>
    <xf numFmtId="0" fontId="4" fillId="0" borderId="0" xfId="2" applyFont="1" applyAlignment="1">
      <alignment horizontal="right" vertical="center"/>
    </xf>
    <xf numFmtId="0" fontId="13" fillId="2" borderId="1" xfId="2" applyFont="1" applyFill="1" applyBorder="1" applyAlignment="1" applyProtection="1">
      <alignment horizontal="center" vertical="center"/>
      <protection locked="0"/>
    </xf>
    <xf numFmtId="0" fontId="14" fillId="0" borderId="0" xfId="2" applyFont="1" applyAlignment="1">
      <alignment horizontal="left" vertical="center"/>
    </xf>
    <xf numFmtId="0" fontId="15" fillId="0" borderId="0" xfId="2" applyFont="1" applyAlignment="1">
      <alignment horizontal="left" vertical="center"/>
    </xf>
    <xf numFmtId="164" fontId="15" fillId="0" borderId="0" xfId="1" applyFont="1" applyFill="1" applyAlignment="1" applyProtection="1">
      <alignment horizontal="left" vertical="center"/>
    </xf>
    <xf numFmtId="0" fontId="16" fillId="0" borderId="0" xfId="2" applyFont="1" applyAlignment="1">
      <alignment vertical="center" wrapText="1"/>
    </xf>
    <xf numFmtId="0" fontId="8" fillId="0" borderId="0" xfId="2" applyFont="1" applyAlignment="1">
      <alignment horizontal="center" vertical="center" wrapText="1"/>
    </xf>
    <xf numFmtId="166" fontId="17" fillId="0" borderId="27" xfId="3" applyNumberFormat="1" applyFont="1" applyFill="1" applyBorder="1" applyAlignment="1" applyProtection="1">
      <alignment horizontal="center" vertical="center"/>
    </xf>
    <xf numFmtId="166" fontId="17" fillId="0" borderId="28" xfId="3" applyNumberFormat="1" applyFont="1" applyFill="1" applyBorder="1" applyAlignment="1" applyProtection="1">
      <alignment horizontal="center" vertical="center"/>
    </xf>
    <xf numFmtId="164" fontId="17" fillId="0" borderId="29" xfId="1" applyFont="1" applyFill="1" applyBorder="1" applyAlignment="1" applyProtection="1">
      <alignment horizontal="center" vertical="center"/>
    </xf>
    <xf numFmtId="0" fontId="18" fillId="0" borderId="0" xfId="2" applyFont="1" applyAlignment="1">
      <alignment vertical="center"/>
    </xf>
    <xf numFmtId="166" fontId="17" fillId="0" borderId="29" xfId="3" applyNumberFormat="1" applyFont="1" applyFill="1" applyBorder="1" applyAlignment="1" applyProtection="1">
      <alignment horizontal="center" vertical="center"/>
    </xf>
    <xf numFmtId="0" fontId="12" fillId="0" borderId="36" xfId="2" applyFont="1" applyBorder="1" applyAlignment="1">
      <alignment vertical="center" wrapText="1"/>
    </xf>
    <xf numFmtId="164" fontId="11" fillId="0" borderId="36" xfId="1" applyFont="1" applyFill="1" applyBorder="1" applyAlignment="1" applyProtection="1">
      <alignment vertical="center"/>
    </xf>
    <xf numFmtId="167" fontId="19" fillId="2" borderId="10" xfId="1" applyNumberFormat="1" applyFont="1" applyFill="1" applyBorder="1" applyAlignment="1" applyProtection="1">
      <alignment horizontal="center" vertical="center"/>
      <protection locked="0"/>
    </xf>
    <xf numFmtId="167" fontId="20" fillId="0" borderId="37" xfId="1" applyNumberFormat="1" applyFont="1" applyFill="1" applyBorder="1" applyAlignment="1" applyProtection="1">
      <alignment horizontal="center" vertical="center"/>
    </xf>
    <xf numFmtId="164" fontId="21" fillId="0" borderId="37" xfId="1" applyFont="1" applyFill="1" applyBorder="1" applyAlignment="1" applyProtection="1">
      <alignment horizontal="center" vertical="center"/>
    </xf>
    <xf numFmtId="164" fontId="22" fillId="0" borderId="37" xfId="1" applyFont="1" applyFill="1" applyBorder="1" applyAlignment="1" applyProtection="1">
      <alignment horizontal="center" vertical="center"/>
    </xf>
    <xf numFmtId="164" fontId="20" fillId="0" borderId="37" xfId="1" applyFont="1" applyFill="1" applyBorder="1" applyAlignment="1" applyProtection="1">
      <alignment horizontal="center" vertical="center"/>
    </xf>
    <xf numFmtId="167" fontId="19" fillId="2" borderId="38" xfId="1" applyNumberFormat="1" applyFont="1" applyFill="1" applyBorder="1" applyAlignment="1" applyProtection="1">
      <alignment horizontal="center" vertical="center"/>
      <protection locked="0"/>
    </xf>
    <xf numFmtId="168" fontId="21" fillId="0" borderId="37" xfId="1" applyNumberFormat="1" applyFont="1" applyFill="1" applyBorder="1" applyAlignment="1" applyProtection="1">
      <alignment horizontal="center" vertical="center"/>
    </xf>
    <xf numFmtId="164" fontId="22" fillId="0" borderId="12" xfId="1" applyFont="1" applyFill="1" applyBorder="1" applyAlignment="1" applyProtection="1">
      <alignment horizontal="center" vertical="center"/>
    </xf>
    <xf numFmtId="167" fontId="19" fillId="0" borderId="38" xfId="1" applyNumberFormat="1" applyFont="1" applyFill="1" applyBorder="1" applyAlignment="1" applyProtection="1">
      <alignment horizontal="center" vertical="center"/>
      <protection locked="0"/>
    </xf>
    <xf numFmtId="167" fontId="19" fillId="0" borderId="12" xfId="1" applyNumberFormat="1" applyFont="1" applyFill="1" applyBorder="1" applyAlignment="1" applyProtection="1">
      <alignment horizontal="center" vertical="center"/>
      <protection locked="0"/>
    </xf>
    <xf numFmtId="164" fontId="9" fillId="0" borderId="39" xfId="1" applyFont="1" applyBorder="1" applyAlignment="1">
      <alignment vertical="center"/>
    </xf>
    <xf numFmtId="164" fontId="9" fillId="0" borderId="40" xfId="1" applyFont="1" applyBorder="1" applyAlignment="1">
      <alignment vertical="center"/>
    </xf>
    <xf numFmtId="0" fontId="9" fillId="0" borderId="0" xfId="2" applyFont="1" applyAlignment="1">
      <alignment vertical="center"/>
    </xf>
    <xf numFmtId="0" fontId="9" fillId="0" borderId="41" xfId="2" applyFont="1" applyBorder="1" applyAlignment="1">
      <alignment vertical="center"/>
    </xf>
    <xf numFmtId="0" fontId="9" fillId="3" borderId="42" xfId="2" applyFont="1" applyFill="1" applyBorder="1" applyAlignment="1" applyProtection="1">
      <alignment vertical="center"/>
      <protection locked="0"/>
    </xf>
    <xf numFmtId="43" fontId="9" fillId="0" borderId="41" xfId="2" applyNumberFormat="1" applyFont="1" applyBorder="1" applyAlignment="1">
      <alignment vertical="center"/>
    </xf>
    <xf numFmtId="43" fontId="9" fillId="0" borderId="0" xfId="2" applyNumberFormat="1" applyFont="1" applyAlignment="1">
      <alignment vertical="center"/>
    </xf>
    <xf numFmtId="164" fontId="9" fillId="0" borderId="12" xfId="1" applyFont="1" applyBorder="1" applyAlignment="1">
      <alignment vertical="center"/>
    </xf>
    <xf numFmtId="164" fontId="9" fillId="0" borderId="41" xfId="1" applyFont="1" applyFill="1" applyBorder="1" applyAlignment="1" applyProtection="1">
      <alignment vertical="center"/>
    </xf>
    <xf numFmtId="0" fontId="12" fillId="0" borderId="43" xfId="2" applyFont="1" applyBorder="1" applyAlignment="1">
      <alignment vertical="center" wrapText="1"/>
    </xf>
    <xf numFmtId="164" fontId="11" fillId="0" borderId="43" xfId="1" applyFont="1" applyFill="1" applyBorder="1" applyAlignment="1" applyProtection="1">
      <alignment vertical="center"/>
    </xf>
    <xf numFmtId="167" fontId="19" fillId="2" borderId="22" xfId="1" applyNumberFormat="1" applyFont="1" applyFill="1" applyBorder="1" applyAlignment="1" applyProtection="1">
      <alignment horizontal="center" vertical="center"/>
      <protection locked="0"/>
    </xf>
    <xf numFmtId="167" fontId="20" fillId="0" borderId="43" xfId="1" applyNumberFormat="1" applyFont="1" applyFill="1" applyBorder="1" applyAlignment="1" applyProtection="1">
      <alignment horizontal="center" vertical="center"/>
    </xf>
    <xf numFmtId="39" fontId="21" fillId="0" borderId="43" xfId="1" applyNumberFormat="1" applyFont="1" applyFill="1" applyBorder="1" applyAlignment="1" applyProtection="1">
      <alignment horizontal="center" vertical="center"/>
    </xf>
    <xf numFmtId="164" fontId="22" fillId="0" borderId="43" xfId="1" applyFont="1" applyFill="1" applyBorder="1" applyAlignment="1" applyProtection="1">
      <alignment horizontal="center" vertical="center"/>
    </xf>
    <xf numFmtId="164" fontId="20" fillId="0" borderId="43" xfId="1" applyFont="1" applyFill="1" applyBorder="1" applyAlignment="1" applyProtection="1">
      <alignment horizontal="center" vertical="center"/>
    </xf>
    <xf numFmtId="167" fontId="19" fillId="2" borderId="44" xfId="1" applyNumberFormat="1" applyFont="1" applyFill="1" applyBorder="1" applyAlignment="1" applyProtection="1">
      <alignment horizontal="center" vertical="center"/>
      <protection locked="0"/>
    </xf>
    <xf numFmtId="168" fontId="21" fillId="0" borderId="43" xfId="1" applyNumberFormat="1" applyFont="1" applyFill="1" applyBorder="1" applyAlignment="1" applyProtection="1">
      <alignment horizontal="center" vertical="center"/>
    </xf>
    <xf numFmtId="164" fontId="22" fillId="0" borderId="24" xfId="1" applyFont="1" applyFill="1" applyBorder="1" applyAlignment="1" applyProtection="1">
      <alignment horizontal="center" vertical="center"/>
    </xf>
    <xf numFmtId="167" fontId="19" fillId="0" borderId="44" xfId="1" applyNumberFormat="1" applyFont="1" applyFill="1" applyBorder="1" applyAlignment="1" applyProtection="1">
      <alignment horizontal="center" vertical="center"/>
      <protection locked="0"/>
    </xf>
    <xf numFmtId="167" fontId="19" fillId="0" borderId="24" xfId="1" applyNumberFormat="1" applyFont="1" applyFill="1" applyBorder="1" applyAlignment="1" applyProtection="1">
      <alignment horizontal="center" vertical="center"/>
      <protection locked="0"/>
    </xf>
    <xf numFmtId="164" fontId="9" fillId="0" borderId="22" xfId="1" applyFont="1" applyBorder="1" applyAlignment="1">
      <alignment vertical="center"/>
    </xf>
    <xf numFmtId="164" fontId="9" fillId="0" borderId="23" xfId="1" applyFont="1" applyBorder="1" applyAlignment="1">
      <alignment vertical="center"/>
    </xf>
    <xf numFmtId="0" fontId="9" fillId="0" borderId="24" xfId="2" applyFont="1" applyBorder="1" applyAlignment="1">
      <alignment vertical="center"/>
    </xf>
    <xf numFmtId="0" fontId="9" fillId="3" borderId="25" xfId="2" applyFont="1" applyFill="1" applyBorder="1" applyAlignment="1" applyProtection="1">
      <alignment vertical="center"/>
      <protection locked="0"/>
    </xf>
    <xf numFmtId="43" fontId="9" fillId="0" borderId="24" xfId="2" applyNumberFormat="1" applyFont="1" applyBorder="1" applyAlignment="1">
      <alignment vertical="center"/>
    </xf>
    <xf numFmtId="166" fontId="9" fillId="0" borderId="0" xfId="1" applyNumberFormat="1" applyFont="1" applyAlignment="1">
      <alignment vertical="center"/>
    </xf>
    <xf numFmtId="164" fontId="9" fillId="0" borderId="24" xfId="1" applyFont="1" applyBorder="1" applyAlignment="1">
      <alignment vertical="center"/>
    </xf>
    <xf numFmtId="164" fontId="9" fillId="0" borderId="24" xfId="1" applyFont="1" applyFill="1" applyBorder="1" applyAlignment="1" applyProtection="1">
      <alignment vertical="center"/>
    </xf>
    <xf numFmtId="164" fontId="21" fillId="0" borderId="43" xfId="1" applyFont="1" applyFill="1" applyBorder="1" applyAlignment="1" applyProtection="1">
      <alignment horizontal="center" vertical="center"/>
    </xf>
    <xf numFmtId="167" fontId="20" fillId="4" borderId="44" xfId="1" applyNumberFormat="1" applyFont="1" applyFill="1" applyBorder="1" applyAlignment="1" applyProtection="1">
      <alignment horizontal="center" vertical="center"/>
    </xf>
    <xf numFmtId="167" fontId="19" fillId="4" borderId="44" xfId="1" applyNumberFormat="1" applyFont="1" applyFill="1" applyBorder="1" applyAlignment="1" applyProtection="1">
      <alignment horizontal="center" vertical="center"/>
    </xf>
    <xf numFmtId="167" fontId="19" fillId="0" borderId="44" xfId="1" applyNumberFormat="1" applyFont="1" applyFill="1" applyBorder="1" applyAlignment="1" applyProtection="1">
      <alignment horizontal="center" vertical="center"/>
    </xf>
    <xf numFmtId="0" fontId="12" fillId="0" borderId="45" xfId="2" applyFont="1" applyBorder="1" applyAlignment="1">
      <alignment vertical="center" wrapText="1"/>
    </xf>
    <xf numFmtId="164" fontId="11" fillId="0" borderId="45" xfId="1" applyFont="1" applyFill="1" applyBorder="1" applyAlignment="1" applyProtection="1">
      <alignment vertical="center"/>
    </xf>
    <xf numFmtId="167" fontId="19" fillId="2" borderId="46" xfId="1" applyNumberFormat="1" applyFont="1" applyFill="1" applyBorder="1" applyAlignment="1" applyProtection="1">
      <alignment horizontal="center" vertical="center"/>
      <protection locked="0"/>
    </xf>
    <xf numFmtId="167" fontId="20" fillId="0" borderId="45" xfId="1" applyNumberFormat="1" applyFont="1" applyFill="1" applyBorder="1" applyAlignment="1" applyProtection="1">
      <alignment horizontal="center" vertical="center"/>
    </xf>
    <xf numFmtId="164" fontId="21" fillId="0" borderId="45" xfId="1" applyFont="1" applyFill="1" applyBorder="1" applyAlignment="1" applyProtection="1">
      <alignment horizontal="center" vertical="center"/>
    </xf>
    <xf numFmtId="164" fontId="22" fillId="0" borderId="45" xfId="1" applyFont="1" applyFill="1" applyBorder="1" applyAlignment="1" applyProtection="1">
      <alignment horizontal="center" vertical="center"/>
    </xf>
    <xf numFmtId="164" fontId="20" fillId="0" borderId="45" xfId="1" applyFont="1" applyFill="1" applyBorder="1" applyAlignment="1" applyProtection="1">
      <alignment horizontal="center" vertical="center"/>
    </xf>
    <xf numFmtId="167" fontId="20" fillId="4" borderId="47" xfId="1" applyNumberFormat="1" applyFont="1" applyFill="1" applyBorder="1" applyAlignment="1" applyProtection="1">
      <alignment horizontal="center" vertical="center"/>
    </xf>
    <xf numFmtId="167" fontId="19" fillId="2" borderId="47" xfId="1" applyNumberFormat="1" applyFont="1" applyFill="1" applyBorder="1" applyAlignment="1" applyProtection="1">
      <alignment horizontal="center" vertical="center"/>
      <protection locked="0"/>
    </xf>
    <xf numFmtId="167" fontId="19" fillId="4" borderId="47" xfId="1" applyNumberFormat="1" applyFont="1" applyFill="1" applyBorder="1" applyAlignment="1" applyProtection="1">
      <alignment horizontal="center" vertical="center"/>
    </xf>
    <xf numFmtId="168" fontId="21" fillId="0" borderId="45" xfId="1" applyNumberFormat="1" applyFont="1" applyFill="1" applyBorder="1" applyAlignment="1" applyProtection="1">
      <alignment horizontal="center" vertical="center"/>
    </xf>
    <xf numFmtId="164" fontId="22" fillId="0" borderId="48" xfId="1" applyFont="1" applyFill="1" applyBorder="1" applyAlignment="1" applyProtection="1">
      <alignment horizontal="center" vertical="center"/>
    </xf>
    <xf numFmtId="167" fontId="19" fillId="0" borderId="47" xfId="1" applyNumberFormat="1" applyFont="1" applyFill="1" applyBorder="1" applyAlignment="1" applyProtection="1">
      <alignment horizontal="center" vertical="center"/>
      <protection locked="0"/>
    </xf>
    <xf numFmtId="167" fontId="19" fillId="0" borderId="47" xfId="1" applyNumberFormat="1" applyFont="1" applyFill="1" applyBorder="1" applyAlignment="1" applyProtection="1">
      <alignment horizontal="center" vertical="center"/>
    </xf>
    <xf numFmtId="167" fontId="19" fillId="0" borderId="48" xfId="1" applyNumberFormat="1" applyFont="1" applyFill="1" applyBorder="1" applyAlignment="1" applyProtection="1">
      <alignment horizontal="center" vertical="center"/>
      <protection locked="0"/>
    </xf>
    <xf numFmtId="164" fontId="9" fillId="0" borderId="48" xfId="1" applyFont="1" applyFill="1" applyBorder="1" applyAlignment="1" applyProtection="1">
      <alignment vertical="center"/>
    </xf>
    <xf numFmtId="164" fontId="20" fillId="4" borderId="43" xfId="1" applyFont="1" applyFill="1" applyBorder="1" applyAlignment="1" applyProtection="1">
      <alignment horizontal="center" vertical="center"/>
    </xf>
    <xf numFmtId="167" fontId="19" fillId="0" borderId="24" xfId="1" applyNumberFormat="1" applyFont="1" applyFill="1" applyBorder="1" applyAlignment="1" applyProtection="1">
      <alignment horizontal="center" vertical="center"/>
    </xf>
    <xf numFmtId="167" fontId="19" fillId="2" borderId="39" xfId="1" applyNumberFormat="1" applyFont="1" applyFill="1" applyBorder="1" applyAlignment="1" applyProtection="1">
      <alignment horizontal="center" vertical="center"/>
      <protection locked="0"/>
    </xf>
    <xf numFmtId="167" fontId="20" fillId="0" borderId="36" xfId="1" applyNumberFormat="1" applyFont="1" applyFill="1" applyBorder="1" applyAlignment="1" applyProtection="1">
      <alignment horizontal="center" vertical="center"/>
    </xf>
    <xf numFmtId="164" fontId="21" fillId="0" borderId="36" xfId="1" applyFont="1" applyFill="1" applyBorder="1" applyAlignment="1" applyProtection="1">
      <alignment horizontal="center" vertical="center"/>
    </xf>
    <xf numFmtId="164" fontId="22" fillId="0" borderId="36" xfId="1" applyFont="1" applyFill="1" applyBorder="1" applyAlignment="1" applyProtection="1">
      <alignment horizontal="center" vertical="center"/>
    </xf>
    <xf numFmtId="164" fontId="20" fillId="0" borderId="36" xfId="1" applyFont="1" applyFill="1" applyBorder="1" applyAlignment="1" applyProtection="1">
      <alignment horizontal="center" vertical="center"/>
    </xf>
    <xf numFmtId="167" fontId="20" fillId="4" borderId="49" xfId="1" applyNumberFormat="1" applyFont="1" applyFill="1" applyBorder="1" applyAlignment="1" applyProtection="1">
      <alignment horizontal="center" vertical="center"/>
    </xf>
    <xf numFmtId="167" fontId="19" fillId="2" borderId="49" xfId="1" applyNumberFormat="1" applyFont="1" applyFill="1" applyBorder="1" applyAlignment="1" applyProtection="1">
      <alignment horizontal="center" vertical="center"/>
      <protection locked="0"/>
    </xf>
    <xf numFmtId="167" fontId="19" fillId="4" borderId="49" xfId="1" applyNumberFormat="1" applyFont="1" applyFill="1" applyBorder="1" applyAlignment="1" applyProtection="1">
      <alignment horizontal="center" vertical="center"/>
    </xf>
    <xf numFmtId="168" fontId="21" fillId="0" borderId="36" xfId="1" applyNumberFormat="1" applyFont="1" applyFill="1" applyBorder="1" applyAlignment="1" applyProtection="1">
      <alignment horizontal="center" vertical="center"/>
    </xf>
    <xf numFmtId="164" fontId="22" fillId="0" borderId="41" xfId="1" applyFont="1" applyFill="1" applyBorder="1" applyAlignment="1" applyProtection="1">
      <alignment horizontal="center" vertical="center"/>
    </xf>
    <xf numFmtId="167" fontId="19" fillId="0" borderId="49" xfId="1" applyNumberFormat="1" applyFont="1" applyFill="1" applyBorder="1" applyAlignment="1" applyProtection="1">
      <alignment horizontal="center" vertical="center"/>
      <protection locked="0"/>
    </xf>
    <xf numFmtId="167" fontId="19" fillId="0" borderId="49" xfId="1" applyNumberFormat="1" applyFont="1" applyFill="1" applyBorder="1" applyAlignment="1" applyProtection="1">
      <alignment horizontal="center" vertical="center"/>
    </xf>
    <xf numFmtId="167" fontId="19" fillId="0" borderId="41" xfId="1" applyNumberFormat="1" applyFont="1" applyFill="1" applyBorder="1" applyAlignment="1" applyProtection="1">
      <alignment horizontal="center" vertical="center"/>
      <protection locked="0"/>
    </xf>
    <xf numFmtId="164" fontId="23" fillId="0" borderId="45" xfId="1" applyFont="1" applyFill="1" applyBorder="1" applyAlignment="1" applyProtection="1">
      <alignment vertical="center"/>
    </xf>
    <xf numFmtId="164" fontId="20" fillId="4" borderId="45" xfId="1" applyFont="1" applyFill="1" applyBorder="1" applyAlignment="1" applyProtection="1">
      <alignment horizontal="center" vertical="center"/>
    </xf>
    <xf numFmtId="167" fontId="19" fillId="0" borderId="48" xfId="1" applyNumberFormat="1" applyFont="1" applyFill="1" applyBorder="1" applyAlignment="1" applyProtection="1">
      <alignment horizontal="center" vertical="center"/>
    </xf>
    <xf numFmtId="164" fontId="20" fillId="4" borderId="36" xfId="1" applyFont="1" applyFill="1" applyBorder="1" applyAlignment="1" applyProtection="1">
      <alignment horizontal="center" vertical="center"/>
    </xf>
    <xf numFmtId="167" fontId="19" fillId="0" borderId="41" xfId="1" applyNumberFormat="1" applyFont="1" applyFill="1" applyBorder="1" applyAlignment="1" applyProtection="1">
      <alignment horizontal="center" vertical="center"/>
    </xf>
    <xf numFmtId="164" fontId="23" fillId="0" borderId="43" xfId="1" applyFont="1" applyFill="1" applyBorder="1" applyAlignment="1" applyProtection="1">
      <alignment vertical="center"/>
    </xf>
    <xf numFmtId="0" fontId="12" fillId="0" borderId="50" xfId="2" applyFont="1" applyBorder="1" applyAlignment="1">
      <alignment vertical="center" wrapText="1"/>
    </xf>
    <xf numFmtId="164" fontId="11" fillId="0" borderId="50" xfId="1" applyFont="1" applyFill="1" applyBorder="1" applyAlignment="1" applyProtection="1">
      <alignment vertical="center"/>
    </xf>
    <xf numFmtId="164" fontId="9" fillId="0" borderId="3" xfId="1" applyFont="1" applyFill="1" applyBorder="1" applyAlignment="1" applyProtection="1">
      <alignment vertical="center"/>
    </xf>
    <xf numFmtId="0" fontId="12" fillId="0" borderId="51" xfId="2" applyFont="1" applyBorder="1" applyAlignment="1">
      <alignment vertical="center" wrapText="1"/>
    </xf>
    <xf numFmtId="164" fontId="11" fillId="0" borderId="51" xfId="1" applyFont="1" applyFill="1" applyBorder="1" applyAlignment="1" applyProtection="1">
      <alignment vertical="center"/>
    </xf>
    <xf numFmtId="164" fontId="9" fillId="0" borderId="35" xfId="1" applyFont="1" applyFill="1" applyBorder="1" applyAlignment="1" applyProtection="1">
      <alignment vertical="center"/>
    </xf>
    <xf numFmtId="164" fontId="23" fillId="0" borderId="51" xfId="1" applyFont="1" applyFill="1" applyBorder="1" applyAlignment="1" applyProtection="1">
      <alignment vertical="center"/>
    </xf>
    <xf numFmtId="0" fontId="12" fillId="0" borderId="52" xfId="2" applyFont="1" applyBorder="1" applyAlignment="1">
      <alignment vertical="center" wrapText="1"/>
    </xf>
    <xf numFmtId="164" fontId="11" fillId="0" borderId="52" xfId="1" applyFont="1" applyFill="1" applyBorder="1" applyAlignment="1" applyProtection="1">
      <alignment vertical="center"/>
    </xf>
    <xf numFmtId="167" fontId="19" fillId="2" borderId="30" xfId="1" applyNumberFormat="1" applyFont="1" applyFill="1" applyBorder="1" applyAlignment="1" applyProtection="1">
      <alignment horizontal="center" vertical="center"/>
      <protection locked="0"/>
    </xf>
    <xf numFmtId="167" fontId="20" fillId="0" borderId="52" xfId="1" applyNumberFormat="1" applyFont="1" applyFill="1" applyBorder="1" applyAlignment="1" applyProtection="1">
      <alignment horizontal="center" vertical="center"/>
    </xf>
    <xf numFmtId="164" fontId="21" fillId="0" borderId="52" xfId="1" applyFont="1" applyFill="1" applyBorder="1" applyAlignment="1" applyProtection="1">
      <alignment horizontal="center" vertical="center"/>
    </xf>
    <xf numFmtId="164" fontId="22" fillId="0" borderId="52" xfId="1" applyFont="1" applyFill="1" applyBorder="1" applyAlignment="1" applyProtection="1">
      <alignment horizontal="center" vertical="center"/>
    </xf>
    <xf numFmtId="164" fontId="20" fillId="4" borderId="52" xfId="1" applyFont="1" applyFill="1" applyBorder="1" applyAlignment="1" applyProtection="1">
      <alignment horizontal="center" vertical="center"/>
    </xf>
    <xf numFmtId="167" fontId="20" fillId="4" borderId="53" xfId="1" applyNumberFormat="1" applyFont="1" applyFill="1" applyBorder="1" applyAlignment="1" applyProtection="1">
      <alignment horizontal="center" vertical="center"/>
    </xf>
    <xf numFmtId="167" fontId="19" fillId="4" borderId="53" xfId="1" applyNumberFormat="1" applyFont="1" applyFill="1" applyBorder="1" applyAlignment="1" applyProtection="1">
      <alignment horizontal="center" vertical="center"/>
    </xf>
    <xf numFmtId="168" fontId="21" fillId="0" borderId="52" xfId="1" applyNumberFormat="1" applyFont="1" applyFill="1" applyBorder="1" applyAlignment="1" applyProtection="1">
      <alignment horizontal="center" vertical="center"/>
    </xf>
    <xf numFmtId="164" fontId="22" fillId="0" borderId="32" xfId="1" applyFont="1" applyFill="1" applyBorder="1" applyAlignment="1" applyProtection="1">
      <alignment horizontal="center" vertical="center"/>
    </xf>
    <xf numFmtId="167" fontId="19" fillId="0" borderId="53" xfId="1" applyNumberFormat="1" applyFont="1" applyFill="1" applyBorder="1" applyAlignment="1" applyProtection="1">
      <alignment horizontal="center" vertical="center"/>
    </xf>
    <xf numFmtId="167" fontId="19" fillId="0" borderId="32" xfId="1" applyNumberFormat="1" applyFont="1" applyFill="1" applyBorder="1" applyAlignment="1" applyProtection="1">
      <alignment horizontal="center" vertical="center"/>
    </xf>
    <xf numFmtId="164" fontId="9" fillId="0" borderId="32" xfId="1" applyFont="1" applyFill="1" applyBorder="1" applyAlignment="1" applyProtection="1">
      <alignment vertical="center"/>
    </xf>
    <xf numFmtId="167" fontId="20" fillId="0" borderId="44" xfId="1" applyNumberFormat="1" applyFont="1" applyFill="1" applyBorder="1" applyAlignment="1" applyProtection="1">
      <alignment horizontal="center" vertical="center"/>
    </xf>
    <xf numFmtId="167" fontId="19" fillId="4" borderId="54" xfId="1" applyNumberFormat="1" applyFont="1" applyFill="1" applyBorder="1" applyAlignment="1" applyProtection="1">
      <alignment horizontal="center" vertical="center"/>
    </xf>
    <xf numFmtId="167" fontId="19" fillId="0" borderId="5" xfId="1" applyNumberFormat="1" applyFont="1" applyFill="1" applyBorder="1" applyAlignment="1" applyProtection="1">
      <alignment horizontal="center" vertical="center"/>
    </xf>
    <xf numFmtId="164" fontId="9" fillId="0" borderId="30" xfId="1" applyFont="1" applyBorder="1" applyAlignment="1">
      <alignment vertical="center"/>
    </xf>
    <xf numFmtId="164" fontId="9" fillId="0" borderId="31" xfId="1" applyFont="1" applyBorder="1" applyAlignment="1">
      <alignment vertical="center"/>
    </xf>
    <xf numFmtId="0" fontId="9" fillId="0" borderId="32" xfId="2" applyFont="1" applyBorder="1" applyAlignment="1">
      <alignment vertical="center"/>
    </xf>
    <xf numFmtId="0" fontId="9" fillId="3" borderId="33" xfId="2" applyFont="1" applyFill="1" applyBorder="1" applyAlignment="1" applyProtection="1">
      <alignment vertical="center"/>
      <protection locked="0"/>
    </xf>
    <xf numFmtId="43" fontId="9" fillId="0" borderId="32" xfId="2" applyNumberFormat="1" applyFont="1" applyBorder="1" applyAlignment="1">
      <alignment vertical="center"/>
    </xf>
    <xf numFmtId="164" fontId="9" fillId="0" borderId="32" xfId="1" applyFont="1" applyBorder="1" applyAlignment="1">
      <alignment vertical="center"/>
    </xf>
    <xf numFmtId="0" fontId="11" fillId="0" borderId="36" xfId="2" applyFont="1" applyBorder="1" applyAlignment="1">
      <alignment vertical="center"/>
    </xf>
    <xf numFmtId="167" fontId="20" fillId="0" borderId="39" xfId="1" applyNumberFormat="1" applyFont="1" applyFill="1" applyBorder="1" applyAlignment="1" applyProtection="1">
      <alignment horizontal="center" vertical="center"/>
    </xf>
    <xf numFmtId="168" fontId="20" fillId="0" borderId="36" xfId="1" applyNumberFormat="1" applyFont="1" applyFill="1" applyBorder="1" applyAlignment="1" applyProtection="1">
      <alignment horizontal="center" vertical="center"/>
    </xf>
    <xf numFmtId="167" fontId="20" fillId="0" borderId="49" xfId="1" applyNumberFormat="1" applyFont="1" applyFill="1" applyBorder="1" applyAlignment="1" applyProtection="1">
      <alignment horizontal="center" vertical="center"/>
    </xf>
    <xf numFmtId="164" fontId="20" fillId="0" borderId="41" xfId="1" applyFont="1" applyFill="1" applyBorder="1" applyAlignment="1" applyProtection="1">
      <alignment horizontal="center" vertical="center"/>
    </xf>
    <xf numFmtId="0" fontId="24" fillId="0" borderId="52" xfId="2" applyFont="1" applyBorder="1" applyAlignment="1">
      <alignment vertical="center"/>
    </xf>
    <xf numFmtId="164" fontId="24" fillId="0" borderId="52" xfId="1" applyFont="1" applyFill="1" applyBorder="1" applyAlignment="1" applyProtection="1">
      <alignment vertical="center"/>
    </xf>
    <xf numFmtId="167" fontId="20" fillId="0" borderId="30" xfId="1" applyNumberFormat="1" applyFont="1" applyFill="1" applyBorder="1" applyAlignment="1" applyProtection="1">
      <alignment horizontal="center" vertical="center"/>
    </xf>
    <xf numFmtId="168" fontId="20" fillId="0" borderId="52" xfId="1" applyNumberFormat="1" applyFont="1" applyFill="1" applyBorder="1" applyAlignment="1" applyProtection="1">
      <alignment horizontal="center" vertical="center"/>
    </xf>
    <xf numFmtId="164" fontId="20" fillId="0" borderId="52" xfId="1" applyFont="1" applyFill="1" applyBorder="1" applyAlignment="1" applyProtection="1">
      <alignment horizontal="center" vertical="center"/>
    </xf>
    <xf numFmtId="167" fontId="20" fillId="0" borderId="53" xfId="1" applyNumberFormat="1" applyFont="1" applyFill="1" applyBorder="1" applyAlignment="1" applyProtection="1">
      <alignment horizontal="center" vertical="center"/>
    </xf>
    <xf numFmtId="164" fontId="20" fillId="0" borderId="32" xfId="1" applyFont="1" applyFill="1" applyBorder="1" applyAlignment="1" applyProtection="1">
      <alignment horizontal="center" vertical="center"/>
    </xf>
    <xf numFmtId="164" fontId="22" fillId="0" borderId="0" xfId="1" applyFont="1" applyFill="1" applyBorder="1" applyAlignment="1" applyProtection="1">
      <alignment horizontal="center" vertical="center"/>
    </xf>
    <xf numFmtId="164" fontId="20" fillId="0" borderId="0" xfId="1" applyFont="1" applyFill="1" applyBorder="1" applyAlignment="1" applyProtection="1">
      <alignment horizontal="center" vertical="center"/>
    </xf>
    <xf numFmtId="164" fontId="20" fillId="4" borderId="0" xfId="1" applyFont="1" applyFill="1" applyBorder="1" applyAlignment="1" applyProtection="1">
      <alignment horizontal="center" vertical="center"/>
    </xf>
    <xf numFmtId="167" fontId="20" fillId="4" borderId="0" xfId="1" applyNumberFormat="1" applyFont="1" applyFill="1" applyBorder="1" applyAlignment="1" applyProtection="1">
      <alignment horizontal="center" vertical="center"/>
    </xf>
    <xf numFmtId="167" fontId="20" fillId="0" borderId="0" xfId="1" applyNumberFormat="1" applyFont="1" applyFill="1" applyBorder="1" applyAlignment="1" applyProtection="1">
      <alignment horizontal="center" vertical="center"/>
    </xf>
    <xf numFmtId="0" fontId="10" fillId="0" borderId="0" xfId="2" applyFont="1" applyAlignment="1">
      <alignment vertical="center"/>
    </xf>
    <xf numFmtId="164" fontId="10" fillId="0" borderId="0" xfId="1" applyFont="1" applyFill="1" applyAlignment="1" applyProtection="1">
      <alignment vertical="center"/>
    </xf>
    <xf numFmtId="0" fontId="24" fillId="0" borderId="0" xfId="2" applyFont="1" applyAlignment="1">
      <alignment vertical="center"/>
    </xf>
    <xf numFmtId="164" fontId="24" fillId="0" borderId="0" xfId="1" applyFont="1" applyFill="1" applyBorder="1" applyAlignment="1" applyProtection="1">
      <alignment vertical="center"/>
    </xf>
    <xf numFmtId="0" fontId="8" fillId="0" borderId="56" xfId="2" applyFont="1" applyBorder="1" applyAlignment="1">
      <alignment vertical="center"/>
    </xf>
    <xf numFmtId="0" fontId="25" fillId="0" borderId="57" xfId="2" applyFont="1" applyBorder="1" applyAlignment="1">
      <alignment vertical="center"/>
    </xf>
    <xf numFmtId="164" fontId="25" fillId="0" borderId="57" xfId="1" applyFont="1" applyFill="1" applyBorder="1" applyAlignment="1" applyProtection="1">
      <alignment vertical="center"/>
    </xf>
    <xf numFmtId="0" fontId="10" fillId="0" borderId="56" xfId="2" applyFont="1" applyBorder="1" applyAlignment="1">
      <alignment vertical="center"/>
    </xf>
    <xf numFmtId="169" fontId="25" fillId="0" borderId="0" xfId="1" applyNumberFormat="1" applyFont="1" applyFill="1" applyAlignment="1" applyProtection="1">
      <alignment vertical="center"/>
    </xf>
    <xf numFmtId="0" fontId="25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169" fontId="25" fillId="0" borderId="0" xfId="1" applyNumberFormat="1" applyFont="1" applyFill="1" applyBorder="1" applyAlignment="1" applyProtection="1">
      <alignment horizontal="center" vertical="center"/>
    </xf>
    <xf numFmtId="164" fontId="25" fillId="0" borderId="0" xfId="1" applyFont="1" applyFill="1" applyBorder="1" applyAlignment="1" applyProtection="1">
      <alignment vertical="center"/>
    </xf>
    <xf numFmtId="0" fontId="13" fillId="0" borderId="0" xfId="2" applyFont="1" applyAlignment="1">
      <alignment horizontal="center" vertical="center"/>
    </xf>
    <xf numFmtId="170" fontId="25" fillId="0" borderId="0" xfId="1" applyNumberFormat="1" applyFont="1" applyFill="1" applyBorder="1" applyAlignment="1" applyProtection="1">
      <alignment horizontal="center" vertical="center"/>
    </xf>
    <xf numFmtId="0" fontId="26" fillId="0" borderId="56" xfId="2" applyFont="1" applyBorder="1" applyAlignment="1">
      <alignment vertical="center" wrapText="1"/>
    </xf>
    <xf numFmtId="169" fontId="12" fillId="0" borderId="0" xfId="1" applyNumberFormat="1" applyFont="1" applyFill="1" applyBorder="1" applyAlignment="1" applyProtection="1">
      <alignment horizontal="right" vertical="center"/>
    </xf>
    <xf numFmtId="169" fontId="25" fillId="0" borderId="0" xfId="1" applyNumberFormat="1" applyFont="1" applyFill="1" applyBorder="1" applyAlignment="1" applyProtection="1">
      <alignment vertical="center"/>
    </xf>
    <xf numFmtId="0" fontId="9" fillId="0" borderId="0" xfId="2" applyFont="1" applyAlignment="1">
      <alignment horizontal="center" vertical="center" wrapText="1"/>
    </xf>
    <xf numFmtId="0" fontId="4" fillId="0" borderId="55" xfId="2" applyFont="1" applyBorder="1" applyAlignment="1">
      <alignment vertical="center"/>
    </xf>
    <xf numFmtId="0" fontId="4" fillId="0" borderId="61" xfId="2" applyFont="1" applyBorder="1" applyAlignment="1">
      <alignment vertical="center"/>
    </xf>
    <xf numFmtId="0" fontId="26" fillId="0" borderId="59" xfId="2" applyFont="1" applyBorder="1" applyAlignment="1">
      <alignment vertical="center"/>
    </xf>
    <xf numFmtId="0" fontId="26" fillId="0" borderId="55" xfId="2" applyFont="1" applyBorder="1" applyAlignment="1">
      <alignment vertical="center"/>
    </xf>
    <xf numFmtId="164" fontId="26" fillId="0" borderId="14" xfId="1" applyFont="1" applyFill="1" applyBorder="1" applyAlignment="1" applyProtection="1">
      <alignment vertical="center"/>
    </xf>
    <xf numFmtId="164" fontId="26" fillId="0" borderId="0" xfId="1" applyFont="1" applyFill="1" applyAlignment="1" applyProtection="1">
      <alignment vertical="center"/>
    </xf>
    <xf numFmtId="0" fontId="26" fillId="0" borderId="14" xfId="2" applyFont="1" applyBorder="1" applyAlignment="1">
      <alignment vertical="center"/>
    </xf>
    <xf numFmtId="0" fontId="26" fillId="0" borderId="0" xfId="2" applyFont="1" applyAlignment="1">
      <alignment vertical="center"/>
    </xf>
    <xf numFmtId="0" fontId="4" fillId="0" borderId="50" xfId="2" applyFont="1" applyBorder="1" applyAlignment="1">
      <alignment vertical="center"/>
    </xf>
    <xf numFmtId="164" fontId="4" fillId="0" borderId="26" xfId="1" applyFont="1" applyFill="1" applyBorder="1" applyAlignment="1" applyProtection="1">
      <alignment vertical="center"/>
    </xf>
    <xf numFmtId="0" fontId="4" fillId="0" borderId="26" xfId="2" applyFont="1" applyBorder="1" applyAlignment="1">
      <alignment vertical="center"/>
    </xf>
    <xf numFmtId="0" fontId="13" fillId="0" borderId="50" xfId="2" applyFont="1" applyBorder="1" applyAlignment="1">
      <alignment vertical="center"/>
    </xf>
    <xf numFmtId="0" fontId="13" fillId="0" borderId="0" xfId="2" applyFont="1" applyAlignment="1">
      <alignment vertical="center"/>
    </xf>
    <xf numFmtId="164" fontId="13" fillId="0" borderId="26" xfId="1" applyFont="1" applyFill="1" applyBorder="1" applyAlignment="1" applyProtection="1">
      <alignment vertical="center"/>
    </xf>
    <xf numFmtId="164" fontId="13" fillId="0" borderId="0" xfId="1" applyFont="1" applyFill="1" applyAlignment="1" applyProtection="1">
      <alignment vertical="center"/>
    </xf>
    <xf numFmtId="0" fontId="13" fillId="0" borderId="26" xfId="2" applyFont="1" applyBorder="1" applyAlignment="1">
      <alignment vertical="center"/>
    </xf>
    <xf numFmtId="0" fontId="13" fillId="0" borderId="62" xfId="2" applyFont="1" applyBorder="1" applyAlignment="1">
      <alignment vertical="center"/>
    </xf>
    <xf numFmtId="0" fontId="13" fillId="0" borderId="4" xfId="2" applyFont="1" applyBorder="1" applyAlignment="1">
      <alignment vertical="center"/>
    </xf>
    <xf numFmtId="0" fontId="13" fillId="0" borderId="63" xfId="2" applyFont="1" applyBorder="1" applyAlignment="1">
      <alignment vertical="center"/>
    </xf>
    <xf numFmtId="0" fontId="4" fillId="0" borderId="60" xfId="2" applyFont="1" applyBorder="1" applyAlignment="1">
      <alignment vertical="center"/>
    </xf>
    <xf numFmtId="164" fontId="4" fillId="0" borderId="34" xfId="1" applyFont="1" applyFill="1" applyBorder="1" applyAlignment="1" applyProtection="1">
      <alignment vertical="center"/>
    </xf>
    <xf numFmtId="0" fontId="4" fillId="0" borderId="34" xfId="2" applyFont="1" applyBorder="1" applyAlignment="1">
      <alignment vertical="center"/>
    </xf>
    <xf numFmtId="167" fontId="19" fillId="2" borderId="44" xfId="1" applyNumberFormat="1" applyFont="1" applyFill="1" applyBorder="1" applyAlignment="1" applyProtection="1">
      <alignment horizontal="center" vertical="center"/>
    </xf>
    <xf numFmtId="167" fontId="19" fillId="2" borderId="47" xfId="1" applyNumberFormat="1" applyFont="1" applyFill="1" applyBorder="1" applyAlignment="1" applyProtection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167" fontId="19" fillId="3" borderId="39" xfId="1" applyNumberFormat="1" applyFont="1" applyFill="1" applyBorder="1" applyAlignment="1" applyProtection="1">
      <alignment horizontal="center" vertical="center"/>
      <protection locked="0"/>
    </xf>
    <xf numFmtId="167" fontId="19" fillId="3" borderId="22" xfId="1" applyNumberFormat="1" applyFont="1" applyFill="1" applyBorder="1" applyAlignment="1" applyProtection="1">
      <alignment horizontal="center" vertical="center"/>
      <protection locked="0"/>
    </xf>
    <xf numFmtId="167" fontId="19" fillId="3" borderId="46" xfId="1" applyNumberFormat="1" applyFont="1" applyFill="1" applyBorder="1" applyAlignment="1" applyProtection="1">
      <alignment horizontal="center" vertical="center"/>
      <protection locked="0"/>
    </xf>
    <xf numFmtId="167" fontId="19" fillId="3" borderId="44" xfId="1" applyNumberFormat="1" applyFont="1" applyFill="1" applyBorder="1" applyAlignment="1" applyProtection="1">
      <alignment horizontal="center" vertical="center"/>
      <protection locked="0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16" xfId="2" applyFont="1" applyBorder="1" applyAlignment="1">
      <alignment horizontal="center" vertical="center" wrapText="1"/>
    </xf>
    <xf numFmtId="0" fontId="12" fillId="0" borderId="17" xfId="2" applyFont="1" applyBorder="1" applyAlignment="1">
      <alignment horizontal="center" vertical="center" wrapText="1"/>
    </xf>
    <xf numFmtId="0" fontId="12" fillId="0" borderId="18" xfId="2" applyFont="1" applyBorder="1" applyAlignment="1">
      <alignment horizontal="center" vertical="center" wrapText="1"/>
    </xf>
    <xf numFmtId="0" fontId="28" fillId="0" borderId="0" xfId="2" applyFont="1" applyAlignment="1">
      <alignment horizontal="center" vertical="center"/>
    </xf>
    <xf numFmtId="0" fontId="9" fillId="0" borderId="2" xfId="2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10" fillId="2" borderId="4" xfId="2" applyFont="1" applyFill="1" applyBorder="1" applyAlignment="1" applyProtection="1">
      <alignment horizontal="center" vertical="center"/>
      <protection locked="0"/>
    </xf>
    <xf numFmtId="165" fontId="8" fillId="2" borderId="4" xfId="2" applyNumberFormat="1" applyFont="1" applyFill="1" applyBorder="1" applyAlignment="1" applyProtection="1">
      <alignment horizontal="center" vertical="center"/>
      <protection locked="0"/>
    </xf>
    <xf numFmtId="0" fontId="10" fillId="2" borderId="6" xfId="2" applyFont="1" applyFill="1" applyBorder="1" applyAlignment="1" applyProtection="1">
      <alignment horizontal="center" vertical="center"/>
      <protection locked="0"/>
    </xf>
    <xf numFmtId="0" fontId="8" fillId="0" borderId="12" xfId="2" applyFont="1" applyBorder="1" applyAlignment="1">
      <alignment horizontal="center" vertical="center" wrapText="1"/>
    </xf>
    <xf numFmtId="0" fontId="8" fillId="0" borderId="24" xfId="2" applyFont="1" applyBorder="1" applyAlignment="1">
      <alignment horizontal="center" vertical="center" wrapText="1"/>
    </xf>
    <xf numFmtId="0" fontId="8" fillId="0" borderId="35" xfId="2" applyFont="1" applyBorder="1" applyAlignment="1">
      <alignment horizontal="center" vertical="center" wrapText="1"/>
    </xf>
    <xf numFmtId="0" fontId="8" fillId="0" borderId="32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 wrapText="1"/>
    </xf>
    <xf numFmtId="164" fontId="12" fillId="0" borderId="15" xfId="1" applyFont="1" applyFill="1" applyBorder="1" applyAlignment="1" applyProtection="1">
      <alignment horizontal="center" vertical="center" wrapText="1"/>
    </xf>
    <xf numFmtId="164" fontId="12" fillId="0" borderId="5" xfId="1" applyFont="1" applyFill="1" applyBorder="1" applyAlignment="1" applyProtection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22" xfId="2" applyFont="1" applyBorder="1" applyAlignment="1">
      <alignment horizontal="center" vertical="center" wrapText="1"/>
    </xf>
    <xf numFmtId="0" fontId="8" fillId="0" borderId="30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23" xfId="2" applyFont="1" applyBorder="1" applyAlignment="1">
      <alignment horizontal="center" vertical="center" wrapText="1"/>
    </xf>
    <xf numFmtId="0" fontId="8" fillId="0" borderId="31" xfId="2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8" fillId="0" borderId="25" xfId="2" applyFont="1" applyBorder="1" applyAlignment="1">
      <alignment horizontal="center" vertical="center" wrapText="1"/>
    </xf>
    <xf numFmtId="0" fontId="8" fillId="0" borderId="33" xfId="2" applyFont="1" applyBorder="1" applyAlignment="1">
      <alignment horizontal="center" vertical="center" wrapText="1"/>
    </xf>
    <xf numFmtId="0" fontId="8" fillId="0" borderId="14" xfId="2" applyFont="1" applyBorder="1" applyAlignment="1">
      <alignment horizontal="center" vertical="center" wrapText="1"/>
    </xf>
    <xf numFmtId="0" fontId="8" fillId="0" borderId="26" xfId="2" applyFont="1" applyBorder="1" applyAlignment="1">
      <alignment horizontal="center" vertical="center" wrapText="1"/>
    </xf>
    <xf numFmtId="0" fontId="8" fillId="0" borderId="34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12" fillId="0" borderId="9" xfId="2" applyFont="1" applyBorder="1" applyAlignment="1">
      <alignment horizontal="center" vertical="center" wrapText="1"/>
    </xf>
    <xf numFmtId="169" fontId="25" fillId="0" borderId="57" xfId="1" applyNumberFormat="1" applyFont="1" applyFill="1" applyBorder="1" applyAlignment="1" applyProtection="1">
      <alignment horizontal="center" vertical="center"/>
    </xf>
    <xf numFmtId="169" fontId="25" fillId="0" borderId="58" xfId="1" applyNumberFormat="1" applyFont="1" applyFill="1" applyBorder="1" applyAlignment="1" applyProtection="1">
      <alignment horizontal="center" vertical="center"/>
    </xf>
    <xf numFmtId="0" fontId="13" fillId="0" borderId="56" xfId="2" applyFont="1" applyBorder="1" applyAlignment="1">
      <alignment horizontal="center" vertical="center"/>
    </xf>
    <xf numFmtId="0" fontId="13" fillId="0" borderId="57" xfId="2" applyFont="1" applyBorder="1" applyAlignment="1">
      <alignment horizontal="center" vertical="center"/>
    </xf>
    <xf numFmtId="170" fontId="25" fillId="0" borderId="57" xfId="1" applyNumberFormat="1" applyFont="1" applyBorder="1" applyAlignment="1">
      <alignment horizontal="center" vertical="center"/>
    </xf>
    <xf numFmtId="170" fontId="25" fillId="0" borderId="58" xfId="1" applyNumberFormat="1" applyFont="1" applyBorder="1" applyAlignment="1">
      <alignment horizontal="center" vertical="center"/>
    </xf>
    <xf numFmtId="0" fontId="12" fillId="0" borderId="19" xfId="2" applyFont="1" applyBorder="1" applyAlignment="1">
      <alignment horizontal="center" vertical="center" wrapText="1"/>
    </xf>
    <xf numFmtId="0" fontId="12" fillId="0" borderId="20" xfId="2" applyFont="1" applyBorder="1" applyAlignment="1">
      <alignment horizontal="center" vertical="center" wrapText="1"/>
    </xf>
    <xf numFmtId="0" fontId="12" fillId="0" borderId="21" xfId="2" applyFont="1" applyBorder="1" applyAlignment="1">
      <alignment horizontal="center" vertical="center" wrapText="1"/>
    </xf>
    <xf numFmtId="0" fontId="12" fillId="5" borderId="55" xfId="2" applyFont="1" applyFill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 wrapText="1"/>
    </xf>
    <xf numFmtId="0" fontId="12" fillId="0" borderId="3" xfId="2" applyFont="1" applyBorder="1" applyAlignment="1">
      <alignment horizontal="center" vertical="center" wrapText="1"/>
    </xf>
    <xf numFmtId="165" fontId="26" fillId="0" borderId="56" xfId="2" applyNumberFormat="1" applyFont="1" applyBorder="1" applyAlignment="1">
      <alignment horizontal="center" vertical="center"/>
    </xf>
    <xf numFmtId="0" fontId="26" fillId="0" borderId="58" xfId="2" applyFont="1" applyBorder="1" applyAlignment="1">
      <alignment horizontal="center" vertical="center"/>
    </xf>
    <xf numFmtId="169" fontId="25" fillId="3" borderId="56" xfId="1" applyNumberFormat="1" applyFont="1" applyFill="1" applyBorder="1" applyAlignment="1" applyProtection="1">
      <alignment horizontal="center" vertical="center"/>
    </xf>
    <xf numFmtId="169" fontId="25" fillId="3" borderId="58" xfId="1" applyNumberFormat="1" applyFont="1" applyFill="1" applyBorder="1" applyAlignment="1" applyProtection="1">
      <alignment horizontal="center" vertical="center"/>
    </xf>
    <xf numFmtId="0" fontId="12" fillId="0" borderId="59" xfId="2" applyFont="1" applyBorder="1" applyAlignment="1">
      <alignment horizontal="center" vertical="center" wrapText="1"/>
    </xf>
    <xf numFmtId="0" fontId="12" fillId="0" borderId="14" xfId="2" applyFont="1" applyBorder="1" applyAlignment="1">
      <alignment horizontal="center" vertical="center" wrapText="1"/>
    </xf>
    <xf numFmtId="0" fontId="12" fillId="0" borderId="50" xfId="2" applyFont="1" applyBorder="1" applyAlignment="1">
      <alignment horizontal="center" vertical="center" wrapText="1"/>
    </xf>
    <xf numFmtId="0" fontId="12" fillId="0" borderId="26" xfId="2" applyFont="1" applyBorder="1" applyAlignment="1">
      <alignment horizontal="center" vertical="center" wrapText="1"/>
    </xf>
    <xf numFmtId="0" fontId="12" fillId="0" borderId="60" xfId="2" applyFont="1" applyBorder="1" applyAlignment="1">
      <alignment horizontal="center" vertical="center" wrapText="1"/>
    </xf>
    <xf numFmtId="0" fontId="12" fillId="0" borderId="34" xfId="2" applyFont="1" applyBorder="1" applyAlignment="1">
      <alignment horizontal="center" vertical="center" wrapText="1"/>
    </xf>
    <xf numFmtId="0" fontId="27" fillId="0" borderId="0" xfId="2" applyFont="1" applyAlignment="1">
      <alignment horizontal="center" vertical="center"/>
    </xf>
    <xf numFmtId="0" fontId="13" fillId="2" borderId="62" xfId="2" applyFont="1" applyFill="1" applyBorder="1" applyAlignment="1" applyProtection="1">
      <alignment horizontal="center" vertical="center"/>
      <protection locked="0"/>
    </xf>
    <xf numFmtId="0" fontId="13" fillId="2" borderId="4" xfId="2" applyFont="1" applyFill="1" applyBorder="1" applyAlignment="1" applyProtection="1">
      <alignment horizontal="center" vertical="center"/>
      <protection locked="0"/>
    </xf>
    <xf numFmtId="0" fontId="13" fillId="2" borderId="63" xfId="2" applyFont="1" applyFill="1" applyBorder="1" applyAlignment="1" applyProtection="1">
      <alignment horizontal="center" vertical="center"/>
      <protection locked="0"/>
    </xf>
    <xf numFmtId="0" fontId="26" fillId="0" borderId="50" xfId="2" applyFont="1" applyBorder="1" applyAlignment="1">
      <alignment horizontal="center" vertical="center"/>
    </xf>
    <xf numFmtId="0" fontId="26" fillId="0" borderId="0" xfId="2" applyFont="1" applyAlignment="1">
      <alignment horizontal="center" vertical="center"/>
    </xf>
    <xf numFmtId="0" fontId="26" fillId="0" borderId="26" xfId="2" applyFont="1" applyBorder="1" applyAlignment="1">
      <alignment horizontal="center" vertical="center"/>
    </xf>
    <xf numFmtId="0" fontId="12" fillId="0" borderId="50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26" xfId="2" applyFont="1" applyBorder="1" applyAlignment="1">
      <alignment horizontal="center" vertical="center"/>
    </xf>
    <xf numFmtId="0" fontId="13" fillId="2" borderId="2" xfId="2" applyFont="1" applyFill="1" applyBorder="1" applyAlignment="1" applyProtection="1">
      <alignment horizontal="center" vertical="center"/>
      <protection locked="0"/>
    </xf>
    <xf numFmtId="0" fontId="13" fillId="2" borderId="3" xfId="2" applyFont="1" applyFill="1" applyBorder="1" applyAlignment="1" applyProtection="1">
      <alignment horizontal="center" vertical="center"/>
      <protection locked="0"/>
    </xf>
    <xf numFmtId="0" fontId="13" fillId="2" borderId="5" xfId="2" applyFont="1" applyFill="1" applyBorder="1" applyAlignment="1" applyProtection="1">
      <alignment horizontal="center" vertical="center"/>
      <protection locked="0"/>
    </xf>
    <xf numFmtId="0" fontId="8" fillId="2" borderId="2" xfId="2" applyFont="1" applyFill="1" applyBorder="1" applyAlignment="1" applyProtection="1">
      <alignment horizontal="center" vertical="center"/>
      <protection locked="0"/>
    </xf>
    <xf numFmtId="0" fontId="8" fillId="2" borderId="3" xfId="2" applyFont="1" applyFill="1" applyBorder="1" applyAlignment="1" applyProtection="1">
      <alignment horizontal="center" vertical="center"/>
      <protection locked="0"/>
    </xf>
    <xf numFmtId="0" fontId="8" fillId="2" borderId="5" xfId="2" applyFont="1" applyFill="1" applyBorder="1" applyAlignment="1" applyProtection="1">
      <alignment horizontal="center" vertical="center"/>
      <protection locked="0"/>
    </xf>
    <xf numFmtId="0" fontId="8" fillId="0" borderId="59" xfId="2" applyFont="1" applyBorder="1" applyAlignment="1">
      <alignment horizontal="center" vertical="center"/>
    </xf>
    <xf numFmtId="0" fontId="8" fillId="0" borderId="55" xfId="2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0" fontId="8" fillId="0" borderId="50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26" xfId="2" applyFont="1" applyBorder="1" applyAlignment="1">
      <alignment horizontal="center" vertical="center"/>
    </xf>
    <xf numFmtId="0" fontId="8" fillId="0" borderId="60" xfId="2" applyFont="1" applyBorder="1" applyAlignment="1">
      <alignment horizontal="center" vertical="center"/>
    </xf>
    <xf numFmtId="0" fontId="8" fillId="0" borderId="61" xfId="2" applyFont="1" applyBorder="1" applyAlignment="1">
      <alignment horizontal="center" vertical="center"/>
    </xf>
    <xf numFmtId="0" fontId="8" fillId="0" borderId="34" xfId="2" applyFont="1" applyBorder="1" applyAlignment="1">
      <alignment horizontal="center" vertical="center"/>
    </xf>
    <xf numFmtId="0" fontId="12" fillId="0" borderId="59" xfId="2" applyFont="1" applyBorder="1" applyAlignment="1">
      <alignment horizontal="center" vertical="center"/>
    </xf>
    <xf numFmtId="0" fontId="12" fillId="0" borderId="60" xfId="2" applyFont="1" applyBorder="1" applyAlignment="1">
      <alignment horizontal="center" vertical="center"/>
    </xf>
    <xf numFmtId="0" fontId="8" fillId="2" borderId="14" xfId="2" applyFont="1" applyFill="1" applyBorder="1" applyAlignment="1" applyProtection="1">
      <alignment horizontal="center" vertical="center"/>
      <protection locked="0"/>
    </xf>
    <xf numFmtId="0" fontId="8" fillId="2" borderId="26" xfId="2" applyFont="1" applyFill="1" applyBorder="1" applyAlignment="1" applyProtection="1">
      <alignment horizontal="center" vertical="center"/>
      <protection locked="0"/>
    </xf>
    <xf numFmtId="0" fontId="8" fillId="2" borderId="34" xfId="2" applyFont="1" applyFill="1" applyBorder="1" applyAlignment="1" applyProtection="1">
      <alignment horizontal="center" vertical="center"/>
      <protection locked="0"/>
    </xf>
    <xf numFmtId="0" fontId="8" fillId="0" borderId="59" xfId="2" applyFont="1" applyBorder="1" applyAlignment="1">
      <alignment horizontal="center" vertical="center" wrapText="1"/>
    </xf>
    <xf numFmtId="0" fontId="8" fillId="0" borderId="50" xfId="2" applyFont="1" applyBorder="1" applyAlignment="1">
      <alignment horizontal="center" vertical="center" wrapText="1"/>
    </xf>
    <xf numFmtId="0" fontId="8" fillId="0" borderId="60" xfId="2" applyFont="1" applyBorder="1" applyAlignment="1">
      <alignment horizontal="center" vertical="center" wrapText="1"/>
    </xf>
    <xf numFmtId="0" fontId="8" fillId="2" borderId="59" xfId="2" applyFont="1" applyFill="1" applyBorder="1" applyAlignment="1" applyProtection="1">
      <alignment horizontal="center" vertical="center"/>
      <protection locked="0"/>
    </xf>
    <xf numFmtId="0" fontId="8" fillId="2" borderId="50" xfId="2" applyFont="1" applyFill="1" applyBorder="1" applyAlignment="1" applyProtection="1">
      <alignment horizontal="center" vertical="center"/>
      <protection locked="0"/>
    </xf>
    <xf numFmtId="0" fontId="8" fillId="2" borderId="60" xfId="2" applyFont="1" applyFill="1" applyBorder="1" applyAlignment="1" applyProtection="1">
      <alignment horizontal="center" vertical="center"/>
      <protection locked="0"/>
    </xf>
  </cellXfs>
  <cellStyles count="4">
    <cellStyle name="Comma" xfId="1" builtinId="3"/>
    <cellStyle name="Comma 2" xfId="3" xr:uid="{DA9FC9C0-E097-4EB2-A3A5-8E7516ECA6E7}"/>
    <cellStyle name="Normal" xfId="0" builtinId="0"/>
    <cellStyle name="Normal 2" xfId="2" xr:uid="{87C0751E-310A-4E7A-A08F-FC5D2CB482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9E374-C37A-45B8-A019-BA97176399C4}">
  <sheetPr>
    <tabColor rgb="FF00B050"/>
    <pageSetUpPr fitToPage="1"/>
  </sheetPr>
  <dimension ref="A1:AJ100"/>
  <sheetViews>
    <sheetView showGridLines="0" topLeftCell="A59" zoomScale="85" zoomScaleNormal="85" workbookViewId="0">
      <pane xSplit="2" topLeftCell="E1" activePane="topRight" state="frozen"/>
      <selection activeCell="M16" sqref="M16"/>
      <selection pane="topRight" activeCell="M17" sqref="M1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195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195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216</v>
      </c>
      <c r="N13" s="51">
        <v>26</v>
      </c>
      <c r="O13" s="51"/>
      <c r="P13" s="52" t="str">
        <f t="shared" ref="P13:P68" si="5">IF(M13&amp;N13="","",ROUND(((M13+N13)/G13),1)&amp;" pallets")</f>
        <v>2.2 pallets</v>
      </c>
      <c r="Q13" s="53">
        <f t="shared" ref="Q13:Q70" si="6">(J13*M13)+(K13*N13)+(O13*L13)</f>
        <v>26160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1728</v>
      </c>
      <c r="G16" s="47">
        <v>108</v>
      </c>
      <c r="H16" s="64"/>
      <c r="I16" s="49">
        <f t="shared" si="4"/>
        <v>1315008</v>
      </c>
      <c r="J16" s="50">
        <v>111</v>
      </c>
      <c r="K16" s="65"/>
      <c r="L16" s="50">
        <v>4.5</v>
      </c>
      <c r="M16" s="51">
        <v>1620</v>
      </c>
      <c r="N16" s="193"/>
      <c r="O16" s="51"/>
      <c r="P16" s="52" t="str">
        <f t="shared" si="5"/>
        <v>15 pallets</v>
      </c>
      <c r="Q16" s="53">
        <f t="shared" si="6"/>
        <v>179820</v>
      </c>
      <c r="S16" s="54"/>
      <c r="T16" s="67"/>
      <c r="U16" s="55"/>
      <c r="X16" s="56">
        <f t="shared" si="7"/>
        <v>1123200</v>
      </c>
      <c r="Y16" s="57">
        <f>F16*AI16</f>
        <v>51217.919999999998</v>
      </c>
      <c r="Z16" s="36">
        <f t="shared" si="8"/>
        <v>6048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>
        <v>64</v>
      </c>
      <c r="G19" s="71">
        <v>63</v>
      </c>
      <c r="H19" s="72" t="str">
        <f t="shared" si="11"/>
        <v>1 pallets</v>
      </c>
      <c r="I19" s="73">
        <f t="shared" si="4"/>
        <v>74880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67200</v>
      </c>
      <c r="Y19" s="57">
        <f>F19*AI19</f>
        <v>2052.48</v>
      </c>
      <c r="Z19" s="36">
        <f t="shared" si="8"/>
        <v>224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42">
        <v>26</v>
      </c>
      <c r="AH33" s="37"/>
      <c r="AI33" s="43">
        <f t="shared" si="1"/>
        <v>30.759999999999998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5" t="str">
        <f>ROUND((((M12+N12+M30+M57+M58+M59+M60+M61+N57)/72+(M13+N13+M16+M18)/108+(M15+N15)/96+SUM(M14,M19:M29,M31:M32,M50,N14)/63)),1)&amp;" pallets"</f>
        <v>17.2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1389888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205980</v>
      </c>
      <c r="P73" s="242"/>
      <c r="Q73" s="243"/>
      <c r="R73" s="152"/>
      <c r="S73" s="159" t="s">
        <v>104</v>
      </c>
      <c r="T73" s="246">
        <f>SUM(Y12:Y68)</f>
        <v>53270.400000000001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1389888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179820</v>
      </c>
      <c r="P75" s="242"/>
      <c r="Q75" s="243"/>
      <c r="R75" s="152"/>
      <c r="S75" s="159" t="s">
        <v>129</v>
      </c>
      <c r="T75" s="246">
        <f>SUM(Z12:Z70)</f>
        <v>6272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986449.05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>
        <f>1900.85+92518.5</f>
        <v>94419.35</v>
      </c>
      <c r="Q77" s="260"/>
      <c r="R77" s="152"/>
      <c r="S77" s="159" t="s">
        <v>108</v>
      </c>
      <c r="T77" s="246">
        <f>IF(SUM(X12:X68)*0.15&gt;P77,P77,SUM(X12:X68)*0.15)</f>
        <v>94419.35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>
        <f>43497.2</f>
        <v>43497.2</v>
      </c>
      <c r="Q79" s="260"/>
      <c r="R79" s="152"/>
      <c r="S79" s="159" t="s">
        <v>112</v>
      </c>
      <c r="T79" s="246">
        <f>T77+T73+T75</f>
        <v>153961.75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B83CD-6541-4369-BCD4-62A9359537BA}">
  <sheetPr>
    <tabColor rgb="FF00B050"/>
    <pageSetUpPr fitToPage="1"/>
  </sheetPr>
  <dimension ref="A1:AJ100"/>
  <sheetViews>
    <sheetView showGridLines="0" topLeftCell="A62" zoomScale="85" zoomScaleNormal="85" workbookViewId="0">
      <pane xSplit="2" topLeftCell="E1" activePane="topRight" state="frozen"/>
      <selection activeCell="M16" sqref="M16"/>
      <selection pane="topRight" activeCell="P77" sqref="P77:Q7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196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196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1836</v>
      </c>
      <c r="N16" s="193"/>
      <c r="O16" s="51"/>
      <c r="P16" s="52" t="str">
        <f t="shared" si="5"/>
        <v>17 pallets</v>
      </c>
      <c r="Q16" s="53">
        <f t="shared" si="6"/>
        <v>203796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42">
        <v>26</v>
      </c>
      <c r="AH33" s="37"/>
      <c r="AI33" s="43">
        <f t="shared" si="1"/>
        <v>30.759999999999998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6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1397196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203796</v>
      </c>
      <c r="P73" s="242"/>
      <c r="Q73" s="243"/>
      <c r="R73" s="152"/>
      <c r="S73" s="159" t="s">
        <v>104</v>
      </c>
      <c r="T73" s="246">
        <f>SUM(Y12:Y68)</f>
        <v>54419.040000000001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1397196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203796</v>
      </c>
      <c r="P75" s="242"/>
      <c r="Q75" s="243"/>
      <c r="R75" s="152"/>
      <c r="S75" s="159" t="s">
        <v>129</v>
      </c>
      <c r="T75" s="246">
        <f>SUM(Z12:Z70)</f>
        <v>6426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728310.90999999992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>
        <f>0.01+0.04</f>
        <v>0.05</v>
      </c>
      <c r="Q77" s="260"/>
      <c r="R77" s="152"/>
      <c r="S77" s="159" t="s">
        <v>108</v>
      </c>
      <c r="T77" s="246">
        <f>IF(SUM(X12:X68)*0.15&gt;P77,P77,SUM(X12:X68)*0.15)</f>
        <v>0.05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>
        <v>404244</v>
      </c>
      <c r="Q79" s="260"/>
      <c r="R79" s="152"/>
      <c r="S79" s="159" t="s">
        <v>112</v>
      </c>
      <c r="T79" s="246">
        <f>T77+T73+T75</f>
        <v>60845.090000000004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D2021-B376-4310-9981-F47D7BA7E29D}">
  <sheetPr>
    <tabColor rgb="FF00B050"/>
    <pageSetUpPr fitToPage="1"/>
  </sheetPr>
  <dimension ref="A1:AJ100"/>
  <sheetViews>
    <sheetView showGridLines="0" topLeftCell="A62" zoomScale="85" zoomScaleNormal="85" workbookViewId="0">
      <pane xSplit="2" topLeftCell="E1" activePane="topRight" state="frozen"/>
      <selection activeCell="M16" sqref="M16"/>
      <selection pane="topRight" activeCell="P79" sqref="P79:Q79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197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197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1836</v>
      </c>
      <c r="N16" s="193"/>
      <c r="O16" s="51"/>
      <c r="P16" s="52" t="str">
        <f t="shared" si="5"/>
        <v>17 pallets</v>
      </c>
      <c r="Q16" s="53">
        <f t="shared" si="6"/>
        <v>203796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42">
        <v>26</v>
      </c>
      <c r="AH33" s="37"/>
      <c r="AI33" s="43">
        <f t="shared" si="1"/>
        <v>30.759999999999998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7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1397196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203796</v>
      </c>
      <c r="P73" s="242"/>
      <c r="Q73" s="243"/>
      <c r="R73" s="152"/>
      <c r="S73" s="159" t="s">
        <v>104</v>
      </c>
      <c r="T73" s="246">
        <f>SUM(Y12:Y68)</f>
        <v>54419.040000000001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1397196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203796</v>
      </c>
      <c r="P75" s="242"/>
      <c r="Q75" s="243"/>
      <c r="R75" s="152"/>
      <c r="S75" s="159" t="s">
        <v>129</v>
      </c>
      <c r="T75" s="246">
        <f>SUM(Z12:Z70)</f>
        <v>6426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1132554.96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60845.04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A8AA7-0A82-408D-86AE-E30331C5733A}">
  <sheetPr>
    <tabColor rgb="FF00B050"/>
    <pageSetUpPr fitToPage="1"/>
  </sheetPr>
  <dimension ref="A1:AJ100"/>
  <sheetViews>
    <sheetView showGridLines="0" topLeftCell="A62" zoomScale="85" zoomScaleNormal="85" workbookViewId="0">
      <pane xSplit="2" topLeftCell="E1" activePane="topRight" state="frozen"/>
      <selection activeCell="M16" sqref="M16"/>
      <selection pane="topRight" activeCell="P79" sqref="P79:Q79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198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198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1836</v>
      </c>
      <c r="N16" s="193"/>
      <c r="O16" s="51"/>
      <c r="P16" s="52" t="str">
        <f t="shared" si="5"/>
        <v>17 pallets</v>
      </c>
      <c r="Q16" s="53">
        <f t="shared" si="6"/>
        <v>203796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42">
        <v>26</v>
      </c>
      <c r="AH33" s="37"/>
      <c r="AI33" s="43">
        <f t="shared" si="1"/>
        <v>30.759999999999998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8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1397196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203796</v>
      </c>
      <c r="P73" s="242"/>
      <c r="Q73" s="243"/>
      <c r="R73" s="152"/>
      <c r="S73" s="159" t="s">
        <v>104</v>
      </c>
      <c r="T73" s="246">
        <f>SUM(Y12:Y68)</f>
        <v>54419.040000000001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1397196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203796</v>
      </c>
      <c r="P75" s="242"/>
      <c r="Q75" s="243"/>
      <c r="R75" s="152"/>
      <c r="S75" s="159" t="s">
        <v>129</v>
      </c>
      <c r="T75" s="246">
        <f>SUM(Z12:Z70)</f>
        <v>6426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1132554.96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60845.04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DE2BC-488D-4CB8-A96A-ABD0C7819F2E}">
  <sheetPr>
    <tabColor rgb="FF00B050"/>
    <pageSetUpPr fitToPage="1"/>
  </sheetPr>
  <dimension ref="A1:AJ100"/>
  <sheetViews>
    <sheetView showGridLines="0" topLeftCell="A62" zoomScale="85" zoomScaleNormal="85" workbookViewId="0">
      <pane xSplit="2" topLeftCell="E1" activePane="topRight" state="frozen"/>
      <selection activeCell="M16" sqref="M16"/>
      <selection pane="topRight" activeCell="P79" sqref="P79:Q79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199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199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1836</v>
      </c>
      <c r="N16" s="193"/>
      <c r="O16" s="51"/>
      <c r="P16" s="52" t="str">
        <f t="shared" si="5"/>
        <v>17 pallets</v>
      </c>
      <c r="Q16" s="53">
        <f t="shared" si="6"/>
        <v>203796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42">
        <v>26</v>
      </c>
      <c r="AH33" s="37"/>
      <c r="AI33" s="43">
        <f t="shared" si="1"/>
        <v>30.759999999999998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9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1397196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203796</v>
      </c>
      <c r="P73" s="242"/>
      <c r="Q73" s="243"/>
      <c r="R73" s="152"/>
      <c r="S73" s="159" t="s">
        <v>104</v>
      </c>
      <c r="T73" s="246">
        <f>SUM(Y12:Y68)</f>
        <v>54419.040000000001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1397196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203796</v>
      </c>
      <c r="P75" s="242"/>
      <c r="Q75" s="243"/>
      <c r="R75" s="152"/>
      <c r="S75" s="159" t="s">
        <v>129</v>
      </c>
      <c r="T75" s="246">
        <f>SUM(Z12:Z70)</f>
        <v>6426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1132554.96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60845.04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E0D9E-A7DE-4A5B-A754-A20C7BEA423C}">
  <sheetPr>
    <tabColor rgb="FF00B050"/>
    <pageSetUpPr fitToPage="1"/>
  </sheetPr>
  <dimension ref="A1:AJ100"/>
  <sheetViews>
    <sheetView showGridLines="0" topLeftCell="A59" zoomScale="85" zoomScaleNormal="85" workbookViewId="0">
      <pane xSplit="2" topLeftCell="E1" activePane="topRight" state="frozen"/>
      <selection activeCell="M16" sqref="M16"/>
      <selection pane="topRight" activeCell="P79" sqref="P79:Q79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200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200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1836</v>
      </c>
      <c r="N16" s="193"/>
      <c r="O16" s="51"/>
      <c r="P16" s="52" t="str">
        <f t="shared" si="5"/>
        <v>17 pallets</v>
      </c>
      <c r="Q16" s="53">
        <f t="shared" si="6"/>
        <v>203796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42">
        <v>26</v>
      </c>
      <c r="AH33" s="37"/>
      <c r="AI33" s="43">
        <f t="shared" si="1"/>
        <v>30.759999999999998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0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1397196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203796</v>
      </c>
      <c r="P73" s="242"/>
      <c r="Q73" s="243"/>
      <c r="R73" s="152"/>
      <c r="S73" s="159" t="s">
        <v>104</v>
      </c>
      <c r="T73" s="246">
        <f>SUM(Y12:Y68)</f>
        <v>54419.040000000001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1397196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203796</v>
      </c>
      <c r="P75" s="242"/>
      <c r="Q75" s="243"/>
      <c r="R75" s="152"/>
      <c r="S75" s="159" t="s">
        <v>129</v>
      </c>
      <c r="T75" s="246">
        <f>SUM(Z12:Z70)</f>
        <v>6426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1132554.96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60845.04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B6637-F6B8-4380-9BBF-8CF05746FE7C}">
  <sheetPr>
    <tabColor rgb="FF00B050"/>
    <pageSetUpPr fitToPage="1"/>
  </sheetPr>
  <dimension ref="A1:AJ100"/>
  <sheetViews>
    <sheetView showGridLines="0" topLeftCell="A59" zoomScale="85" zoomScaleNormal="85" workbookViewId="0">
      <pane xSplit="2" topLeftCell="C1" activePane="topRight" state="frozen"/>
      <selection activeCell="M16" sqref="M16"/>
      <selection pane="topRight" activeCell="AB33" sqref="AB33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201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201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203">
        <v>1620</v>
      </c>
      <c r="G16" s="47">
        <v>108</v>
      </c>
      <c r="H16" s="64"/>
      <c r="I16" s="49">
        <f t="shared" si="4"/>
        <v>1232820</v>
      </c>
      <c r="J16" s="50">
        <v>111</v>
      </c>
      <c r="K16" s="65"/>
      <c r="L16" s="50">
        <v>4.5</v>
      </c>
      <c r="M16" s="205">
        <v>1836</v>
      </c>
      <c r="N16" s="193"/>
      <c r="O16" s="51"/>
      <c r="P16" s="52" t="str">
        <f t="shared" si="5"/>
        <v>17 pallets</v>
      </c>
      <c r="Q16" s="53">
        <f t="shared" si="6"/>
        <v>203796</v>
      </c>
      <c r="S16" s="54"/>
      <c r="T16" s="67"/>
      <c r="U16" s="55"/>
      <c r="X16" s="56">
        <f t="shared" si="7"/>
        <v>1053000</v>
      </c>
      <c r="Y16" s="57">
        <f>F16*AI16</f>
        <v>48016.800000000003</v>
      </c>
      <c r="Z16" s="36">
        <f t="shared" si="8"/>
        <v>5670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203">
        <v>64</v>
      </c>
      <c r="G20" s="47">
        <v>63</v>
      </c>
      <c r="H20" s="64" t="str">
        <f t="shared" si="11"/>
        <v>1 pallets</v>
      </c>
      <c r="I20" s="49">
        <f t="shared" si="4"/>
        <v>63488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55808</v>
      </c>
      <c r="Y20" s="57">
        <f t="shared" si="0"/>
        <v>2052.48</v>
      </c>
      <c r="Z20" s="36">
        <f t="shared" si="8"/>
        <v>224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204">
        <v>45</v>
      </c>
      <c r="G21" s="71">
        <v>63</v>
      </c>
      <c r="H21" s="72" t="str">
        <f t="shared" si="11"/>
        <v>0.7 pallets</v>
      </c>
      <c r="I21" s="73">
        <f t="shared" si="4"/>
        <v>44640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39240</v>
      </c>
      <c r="Y21" s="57">
        <f t="shared" si="0"/>
        <v>1443.15</v>
      </c>
      <c r="Z21" s="36">
        <f t="shared" si="8"/>
        <v>157.5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203">
        <v>4</v>
      </c>
      <c r="G33" s="47">
        <v>100</v>
      </c>
      <c r="H33" s="64" t="str">
        <f t="shared" si="11"/>
        <v>0 pallets</v>
      </c>
      <c r="I33" s="49">
        <f t="shared" si="4"/>
        <v>6668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6668</v>
      </c>
      <c r="Y33" s="57">
        <f t="shared" si="0"/>
        <v>115.92</v>
      </c>
      <c r="Z33" s="36">
        <f t="shared" si="8"/>
        <v>14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203">
        <v>4</v>
      </c>
      <c r="G34" s="47">
        <v>100</v>
      </c>
      <c r="H34" s="64" t="str">
        <f t="shared" si="11"/>
        <v>0 pallets</v>
      </c>
      <c r="I34" s="49">
        <f t="shared" si="4"/>
        <v>4700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4700</v>
      </c>
      <c r="Y34" s="57">
        <f t="shared" si="0"/>
        <v>112.64</v>
      </c>
      <c r="Z34" s="36">
        <f t="shared" si="8"/>
        <v>14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203">
        <v>5</v>
      </c>
      <c r="G36" s="47">
        <v>100</v>
      </c>
      <c r="H36" s="64" t="str">
        <f t="shared" si="11"/>
        <v>0.1 pallets</v>
      </c>
      <c r="I36" s="49">
        <f t="shared" si="4"/>
        <v>5875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5875</v>
      </c>
      <c r="Y36" s="57">
        <f t="shared" si="0"/>
        <v>140.80000000000001</v>
      </c>
      <c r="Z36" s="36">
        <f t="shared" si="8"/>
        <v>17.5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202">
        <f>10+20+5</f>
        <v>35</v>
      </c>
      <c r="G39" s="87">
        <v>100</v>
      </c>
      <c r="H39" s="88" t="str">
        <f t="shared" si="11"/>
        <v>0.4 pallets</v>
      </c>
      <c r="I39" s="89">
        <f t="shared" si="4"/>
        <v>22750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22750</v>
      </c>
      <c r="Y39" s="57">
        <f t="shared" si="0"/>
        <v>985.6</v>
      </c>
      <c r="Z39" s="36">
        <f t="shared" si="8"/>
        <v>122.5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202">
        <v>7</v>
      </c>
      <c r="G42" s="87">
        <v>100</v>
      </c>
      <c r="H42" s="88" t="str">
        <f t="shared" si="11"/>
        <v>0.1 pallets</v>
      </c>
      <c r="I42" s="89">
        <f t="shared" si="4"/>
        <v>7714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7714</v>
      </c>
      <c r="Y42" s="57">
        <f t="shared" si="0"/>
        <v>197.12</v>
      </c>
      <c r="Z42" s="36">
        <f t="shared" si="8"/>
        <v>24.5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17.2 pallets</v>
      </c>
      <c r="I71" s="148"/>
      <c r="J71" s="149"/>
      <c r="K71" s="150"/>
      <c r="L71" s="149"/>
      <c r="M71" s="151"/>
      <c r="N71" s="152"/>
      <c r="O71" s="152"/>
      <c r="P71" s="201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1388655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203796</v>
      </c>
      <c r="P73" s="242"/>
      <c r="Q73" s="243"/>
      <c r="R73" s="152"/>
      <c r="S73" s="159" t="s">
        <v>104</v>
      </c>
      <c r="T73" s="246">
        <f>SUM(Y12:Y68)</f>
        <v>53064.510000000009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1388655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203796</v>
      </c>
      <c r="P75" s="242"/>
      <c r="Q75" s="243"/>
      <c r="R75" s="152"/>
      <c r="S75" s="159" t="s">
        <v>129</v>
      </c>
      <c r="T75" s="246">
        <f>SUM(Z12:Z70)</f>
        <v>6244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1125550.49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59308.510000000009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567B2-60B6-4C1A-958A-780090960ED8}">
  <sheetPr>
    <tabColor rgb="FF00B050"/>
    <pageSetUpPr fitToPage="1"/>
  </sheetPr>
  <dimension ref="A1:AJ100"/>
  <sheetViews>
    <sheetView showGridLines="0" topLeftCell="A62" zoomScale="85" zoomScaleNormal="85" workbookViewId="0">
      <pane xSplit="2" topLeftCell="F1" activePane="topRight" state="frozen"/>
      <selection activeCell="M16" sqref="M16"/>
      <selection pane="topRight" activeCell="F17" sqref="F1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206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206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1836</v>
      </c>
      <c r="N16" s="193"/>
      <c r="O16" s="51"/>
      <c r="P16" s="52" t="str">
        <f t="shared" si="5"/>
        <v>17 pallets</v>
      </c>
      <c r="Q16" s="53">
        <f t="shared" si="6"/>
        <v>203796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6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1397196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203796</v>
      </c>
      <c r="P73" s="242"/>
      <c r="Q73" s="243"/>
      <c r="R73" s="152"/>
      <c r="S73" s="159" t="s">
        <v>104</v>
      </c>
      <c r="T73" s="246">
        <f>SUM(Y12:Y68)</f>
        <v>54419.040000000001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1397196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203796</v>
      </c>
      <c r="P75" s="242"/>
      <c r="Q75" s="243"/>
      <c r="R75" s="152"/>
      <c r="S75" s="159" t="s">
        <v>129</v>
      </c>
      <c r="T75" s="246">
        <f>SUM(Z12:Z70)</f>
        <v>6426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1132554.96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60845.04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C45AF-65BD-40D1-B9FF-950E7292C585}">
  <sheetPr>
    <tabColor rgb="FF00B050"/>
    <pageSetUpPr fitToPage="1"/>
  </sheetPr>
  <dimension ref="A1:AJ100"/>
  <sheetViews>
    <sheetView showGridLines="0" topLeftCell="A62" zoomScale="85" zoomScaleNormal="85" workbookViewId="0">
      <pane xSplit="2" topLeftCell="F1" activePane="topRight" state="frozen"/>
      <selection activeCell="M16" sqref="M16"/>
      <selection pane="topRight" activeCell="F16" sqref="F16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207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207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>
        <v>108</v>
      </c>
      <c r="O13" s="51"/>
      <c r="P13" s="52" t="str">
        <f t="shared" ref="P13:P68" si="5">IF(M13&amp;N13="","",ROUND(((M13+N13)/G13),1)&amp;" pallets")</f>
        <v>1 pallets</v>
      </c>
      <c r="Q13" s="53">
        <f t="shared" ref="Q13:Q70" si="6">(J13*M13)+(K13*N13)+(O13*L13)</f>
        <v>9072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>
        <v>192</v>
      </c>
      <c r="N15" s="51"/>
      <c r="O15" s="51"/>
      <c r="P15" s="52" t="str">
        <f t="shared" si="5"/>
        <v>2 pallets</v>
      </c>
      <c r="Q15" s="53">
        <f t="shared" si="6"/>
        <v>21312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1512</v>
      </c>
      <c r="N16" s="193"/>
      <c r="O16" s="51"/>
      <c r="P16" s="52" t="str">
        <f t="shared" si="5"/>
        <v>14 pallets</v>
      </c>
      <c r="Q16" s="53">
        <f t="shared" si="6"/>
        <v>167832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7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1397196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198216</v>
      </c>
      <c r="P73" s="242"/>
      <c r="Q73" s="243"/>
      <c r="R73" s="152"/>
      <c r="S73" s="159" t="s">
        <v>104</v>
      </c>
      <c r="T73" s="246">
        <f>SUM(Y12:Y68)</f>
        <v>54419.040000000001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1397196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189144</v>
      </c>
      <c r="P75" s="242"/>
      <c r="Q75" s="243"/>
      <c r="R75" s="152"/>
      <c r="S75" s="159" t="s">
        <v>129</v>
      </c>
      <c r="T75" s="246">
        <f>SUM(Z12:Z70)</f>
        <v>6426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1138134.96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60845.04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B9:B11"/>
    <mergeCell ref="C9:C11"/>
    <mergeCell ref="D9:D11"/>
    <mergeCell ref="E9:E11"/>
    <mergeCell ref="F9:Q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18C2-DA05-4996-A943-FE446DAC9040}">
  <sheetPr>
    <tabColor rgb="FF00B050"/>
    <pageSetUpPr fitToPage="1"/>
  </sheetPr>
  <dimension ref="A1:AJ100"/>
  <sheetViews>
    <sheetView showGridLines="0" tabSelected="1" topLeftCell="A59" zoomScale="85" zoomScaleNormal="85" workbookViewId="0">
      <pane xSplit="2" topLeftCell="F1" activePane="topRight" state="frozen"/>
      <selection activeCell="M16" sqref="M16"/>
      <selection pane="topRight" activeCell="M16" sqref="M16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208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208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>
        <v>96</v>
      </c>
      <c r="N15" s="51"/>
      <c r="O15" s="51"/>
      <c r="P15" s="52" t="str">
        <f t="shared" si="5"/>
        <v>1 pallets</v>
      </c>
      <c r="Q15" s="53">
        <f t="shared" si="6"/>
        <v>10656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1620</v>
      </c>
      <c r="N16" s="193"/>
      <c r="O16" s="51"/>
      <c r="P16" s="52" t="str">
        <f t="shared" si="5"/>
        <v>15 pallets</v>
      </c>
      <c r="Q16" s="53">
        <f t="shared" si="6"/>
        <v>179820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F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8" t="str">
        <f>ROUND((((M12+N12+M30+M57+M58+M59+M60+M61+N57)/72+(M13+N13+M16+M18)/108+(M15+N15)/96+SUM(M14,M19:M29,M31:M32,M50,N14)/63)),1)&amp;" pallets"</f>
        <v>16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1397196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190476</v>
      </c>
      <c r="P73" s="242"/>
      <c r="Q73" s="243"/>
      <c r="R73" s="152"/>
      <c r="S73" s="159" t="s">
        <v>104</v>
      </c>
      <c r="T73" s="246">
        <f>SUM(Y12:Y68)</f>
        <v>54419.040000000001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1397196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190476</v>
      </c>
      <c r="P75" s="242"/>
      <c r="Q75" s="243"/>
      <c r="R75" s="152"/>
      <c r="S75" s="159" t="s">
        <v>129</v>
      </c>
      <c r="T75" s="246">
        <f>SUM(Z12:Z70)</f>
        <v>6426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1145874.96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60845.04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B71:G71"/>
    <mergeCell ref="F73:I73"/>
    <mergeCell ref="M73:N73"/>
    <mergeCell ref="O73:Q73"/>
    <mergeCell ref="T73:U73"/>
    <mergeCell ref="F75:I75"/>
    <mergeCell ref="M75:N75"/>
    <mergeCell ref="O75:Q75"/>
    <mergeCell ref="T75:U75"/>
    <mergeCell ref="AE9:AE11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B9:B11"/>
    <mergeCell ref="C9:C11"/>
    <mergeCell ref="D9:D11"/>
    <mergeCell ref="E9:E11"/>
    <mergeCell ref="F9:Q9"/>
    <mergeCell ref="S9:U9"/>
    <mergeCell ref="M10:Q10"/>
    <mergeCell ref="S10:U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A8313-79BB-4643-90E7-5CEAC2A1E92D}">
  <sheetPr>
    <tabColor rgb="FF00B050"/>
    <pageSetUpPr fitToPage="1"/>
  </sheetPr>
  <dimension ref="A1:AJ100"/>
  <sheetViews>
    <sheetView showGridLines="0" topLeftCell="A56" zoomScale="85" zoomScaleNormal="85" workbookViewId="0">
      <pane xSplit="2" topLeftCell="F1" activePane="topRight" state="frozen"/>
      <selection activeCell="M16" sqref="M16"/>
      <selection pane="topRight" activeCell="N58" sqref="N58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208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208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0</v>
      </c>
      <c r="Y16" s="57">
        <f>F16*AI16</f>
        <v>0</v>
      </c>
      <c r="Z16" s="36">
        <f t="shared" si="8"/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E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>
        <v>135</v>
      </c>
      <c r="O57" s="51"/>
      <c r="P57" s="52" t="str">
        <f t="shared" si="5"/>
        <v>1.9 pallets</v>
      </c>
      <c r="Q57" s="53">
        <f>(J57*M57)+(K57*N57)+(O57*L57)</f>
        <v>5670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208" t="str">
        <f>ROUND((((M12+N12+M30+M57+M58+M59+M60+M61+N57)/72+(M13+N13+M16+M18)/108+(M15+N15)/96+SUM(M14,M19:M29,M31:M32,M50,N14)/63)),1)&amp;" pallets"</f>
        <v>1.9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0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5670</v>
      </c>
      <c r="P73" s="242"/>
      <c r="Q73" s="243"/>
      <c r="R73" s="152"/>
      <c r="S73" s="159" t="s">
        <v>104</v>
      </c>
      <c r="T73" s="246">
        <f>SUM(Y12:Y68)</f>
        <v>0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0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5670</v>
      </c>
      <c r="P75" s="242"/>
      <c r="Q75" s="243"/>
      <c r="R75" s="152"/>
      <c r="S75" s="159" t="s">
        <v>129</v>
      </c>
      <c r="T75" s="246">
        <f>SUM(Z12:Z70)</f>
        <v>0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-5670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0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B71:G71"/>
    <mergeCell ref="F73:I73"/>
    <mergeCell ref="M73:N73"/>
    <mergeCell ref="O73:Q73"/>
    <mergeCell ref="T73:U73"/>
    <mergeCell ref="F75:I75"/>
    <mergeCell ref="M75:N75"/>
    <mergeCell ref="O75:Q75"/>
    <mergeCell ref="T75:U75"/>
    <mergeCell ref="AE9:AE11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B9:B11"/>
    <mergeCell ref="C9:C11"/>
    <mergeCell ref="D9:D11"/>
    <mergeCell ref="E9:E11"/>
    <mergeCell ref="F9:Q9"/>
    <mergeCell ref="S9:U9"/>
    <mergeCell ref="M10:Q10"/>
    <mergeCell ref="S10:U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04-21-2026</vt:lpstr>
      <vt:lpstr>04-22-2026</vt:lpstr>
      <vt:lpstr>04-23-2026</vt:lpstr>
      <vt:lpstr>04-23-2026-B</vt:lpstr>
      <vt:lpstr>04-24-2026</vt:lpstr>
      <vt:lpstr>04-24-2026-B</vt:lpstr>
      <vt:lpstr>04-27-2026</vt:lpstr>
      <vt:lpstr>04-28-2026-A</vt:lpstr>
      <vt:lpstr>04-28-2026-B</vt:lpstr>
      <vt:lpstr>04-28-2026</vt:lpstr>
      <vt:lpstr>04-28-2026 NAB MTS</vt:lpstr>
      <vt:lpstr>'04-21-2026'!Print_Area</vt:lpstr>
      <vt:lpstr>'04-22-2026'!Print_Area</vt:lpstr>
      <vt:lpstr>'04-23-2026'!Print_Area</vt:lpstr>
      <vt:lpstr>'04-23-2026-B'!Print_Area</vt:lpstr>
      <vt:lpstr>'04-24-2026'!Print_Area</vt:lpstr>
      <vt:lpstr>'04-24-2026-B'!Print_Area</vt:lpstr>
      <vt:lpstr>'04-27-2026'!Print_Area</vt:lpstr>
      <vt:lpstr>'04-28-2026'!Print_Area</vt:lpstr>
      <vt:lpstr>'04-28-2026 NAB MTS'!Print_Area</vt:lpstr>
      <vt:lpstr>'04-28-2026-A'!Print_Area</vt:lpstr>
      <vt:lpstr>'04-28-2026-B'!Print_Area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2025-09-25T07:06:23Z</cp:lastPrinted>
  <dcterms:created xsi:type="dcterms:W3CDTF">2025-03-06T18:27:26Z</dcterms:created>
  <dcterms:modified xsi:type="dcterms:W3CDTF">2026-04-29T00:31:03Z</dcterms:modified>
</cp:coreProperties>
</file>