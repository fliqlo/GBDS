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26752A3-30DD-4CBB-AF05-4975A510DA23}" xr6:coauthVersionLast="45" xr6:coauthVersionMax="47" xr10:uidLastSave="{00000000-0000-0000-0000-000000000000}"/>
  <bookViews>
    <workbookView xWindow="-120" yWindow="-120" windowWidth="29040" windowHeight="15840" activeTab="7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  <sheet name="04-28-2026" sheetId="201" r:id="rId8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  <definedName name="_xlnm.Print_Area" localSheetId="7">'04-28-2026'!$A$1:$V$97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1" l="1"/>
  <c r="P71" i="201"/>
  <c r="H71" i="201"/>
  <c r="Q70" i="201"/>
  <c r="P70" i="201"/>
  <c r="H70" i="201"/>
  <c r="E70" i="201"/>
  <c r="I70" i="201" s="1"/>
  <c r="Q69" i="201"/>
  <c r="P69" i="201"/>
  <c r="I69" i="201"/>
  <c r="H69" i="201"/>
  <c r="E69" i="201"/>
  <c r="AD68" i="201"/>
  <c r="AC68" i="201"/>
  <c r="AB68" i="201"/>
  <c r="AE68" i="201" s="1"/>
  <c r="AI68" i="201" s="1"/>
  <c r="Y68" i="201" s="1"/>
  <c r="Z68" i="201"/>
  <c r="X68" i="201"/>
  <c r="Q68" i="201"/>
  <c r="P68" i="201"/>
  <c r="I68" i="201"/>
  <c r="H68" i="201"/>
  <c r="E68" i="201"/>
  <c r="AE67" i="201"/>
  <c r="AI67" i="201" s="1"/>
  <c r="Y67" i="201" s="1"/>
  <c r="AD67" i="20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E64" i="201"/>
  <c r="AI64" i="201" s="1"/>
  <c r="Y64" i="201" s="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C62" i="201"/>
  <c r="AB62" i="201"/>
  <c r="AE62" i="201" s="1"/>
  <c r="AI62" i="201" s="1"/>
  <c r="Y62" i="201" s="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C59" i="201"/>
  <c r="AB59" i="201"/>
  <c r="AE59" i="201" s="1"/>
  <c r="AI59" i="201" s="1"/>
  <c r="Y59" i="201" s="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E57" i="201"/>
  <c r="AI57" i="201" s="1"/>
  <c r="Y57" i="201" s="1"/>
  <c r="AC57" i="201"/>
  <c r="AB57" i="201"/>
  <c r="X57" i="201"/>
  <c r="Q57" i="201"/>
  <c r="P57" i="201"/>
  <c r="H57" i="201"/>
  <c r="E57" i="201"/>
  <c r="I57" i="201" s="1"/>
  <c r="AD56" i="201"/>
  <c r="AC56" i="201"/>
  <c r="AE56" i="201" s="1"/>
  <c r="AI56" i="201" s="1"/>
  <c r="Y56" i="201" s="1"/>
  <c r="AB56" i="201"/>
  <c r="Z56" i="201"/>
  <c r="X56" i="201"/>
  <c r="Q56" i="201"/>
  <c r="P56" i="201"/>
  <c r="H56" i="201"/>
  <c r="E56" i="201"/>
  <c r="I56" i="201" s="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E54" i="201" s="1"/>
  <c r="AI54" i="201" s="1"/>
  <c r="Y54" i="201" s="1"/>
  <c r="AC54" i="201"/>
  <c r="AB54" i="201"/>
  <c r="Z54" i="201"/>
  <c r="X54" i="201"/>
  <c r="Q54" i="201"/>
  <c r="P54" i="201"/>
  <c r="H54" i="201"/>
  <c r="E54" i="201"/>
  <c r="I54" i="201" s="1"/>
  <c r="AD53" i="201"/>
  <c r="AC53" i="201"/>
  <c r="AB53" i="201"/>
  <c r="AE53" i="201" s="1"/>
  <c r="AI53" i="201" s="1"/>
  <c r="Y53" i="201" s="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I52" i="201"/>
  <c r="H52" i="201"/>
  <c r="E52" i="201"/>
  <c r="AE51" i="201"/>
  <c r="AI51" i="201" s="1"/>
  <c r="Y51" i="201" s="1"/>
  <c r="AD51" i="20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AE49" i="201"/>
  <c r="Z49" i="201"/>
  <c r="Y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I47" i="201"/>
  <c r="H47" i="201"/>
  <c r="E47" i="20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D44" i="201"/>
  <c r="AC44" i="201"/>
  <c r="AE44" i="201" s="1"/>
  <c r="AI44" i="201" s="1"/>
  <c r="Y44" i="201" s="1"/>
  <c r="AB44" i="201"/>
  <c r="Z44" i="201"/>
  <c r="X44" i="201"/>
  <c r="Q44" i="201"/>
  <c r="P44" i="201"/>
  <c r="H44" i="201"/>
  <c r="E44" i="201"/>
  <c r="I44" i="201" s="1"/>
  <c r="AD43" i="201"/>
  <c r="AC43" i="201"/>
  <c r="AB43" i="201"/>
  <c r="AE43" i="201" s="1"/>
  <c r="AI43" i="201" s="1"/>
  <c r="Y43" i="201" s="1"/>
  <c r="Z43" i="201"/>
  <c r="X43" i="201"/>
  <c r="Q43" i="201"/>
  <c r="P43" i="201"/>
  <c r="I43" i="201"/>
  <c r="H43" i="201"/>
  <c r="E43" i="201"/>
  <c r="AD42" i="201"/>
  <c r="AE42" i="201" s="1"/>
  <c r="AI42" i="201" s="1"/>
  <c r="Y42" i="201" s="1"/>
  <c r="AC42" i="201"/>
  <c r="AB42" i="201"/>
  <c r="Z42" i="201"/>
  <c r="X42" i="201"/>
  <c r="Q42" i="201"/>
  <c r="P42" i="201"/>
  <c r="H42" i="201"/>
  <c r="E42" i="201"/>
  <c r="I42" i="201" s="1"/>
  <c r="AD41" i="201"/>
  <c r="AC41" i="201"/>
  <c r="AB41" i="201"/>
  <c r="AE41" i="201" s="1"/>
  <c r="AI41" i="201" s="1"/>
  <c r="Y41" i="201" s="1"/>
  <c r="Z41" i="201"/>
  <c r="X41" i="201"/>
  <c r="Q41" i="201"/>
  <c r="P41" i="201"/>
  <c r="H41" i="201"/>
  <c r="E41" i="201"/>
  <c r="I41" i="201" s="1"/>
  <c r="AD40" i="201"/>
  <c r="AE40" i="201" s="1"/>
  <c r="AI40" i="201" s="1"/>
  <c r="Y40" i="201" s="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I39" i="201"/>
  <c r="H39" i="201"/>
  <c r="E39" i="201"/>
  <c r="AD38" i="201"/>
  <c r="AC38" i="201"/>
  <c r="AB38" i="201"/>
  <c r="AE38" i="201" s="1"/>
  <c r="AI38" i="201" s="1"/>
  <c r="Y38" i="201" s="1"/>
  <c r="Z38" i="201"/>
  <c r="X38" i="201"/>
  <c r="Q38" i="201"/>
  <c r="P38" i="201"/>
  <c r="H38" i="201"/>
  <c r="E38" i="201"/>
  <c r="I38" i="201" s="1"/>
  <c r="AD37" i="201"/>
  <c r="AC37" i="201"/>
  <c r="AB37" i="201"/>
  <c r="AE37" i="201" s="1"/>
  <c r="AI37" i="201" s="1"/>
  <c r="Y37" i="201" s="1"/>
  <c r="Z37" i="201"/>
  <c r="X37" i="201"/>
  <c r="Q37" i="201"/>
  <c r="P37" i="201"/>
  <c r="I37" i="201"/>
  <c r="H37" i="201"/>
  <c r="E37" i="201"/>
  <c r="AD36" i="201"/>
  <c r="AC36" i="201"/>
  <c r="AE36" i="201" s="1"/>
  <c r="AI36" i="201" s="1"/>
  <c r="Y36" i="201" s="1"/>
  <c r="AB36" i="201"/>
  <c r="Z36" i="201"/>
  <c r="X36" i="201"/>
  <c r="Q36" i="201"/>
  <c r="P36" i="201"/>
  <c r="I36" i="201"/>
  <c r="H36" i="201"/>
  <c r="E36" i="201"/>
  <c r="AD35" i="201"/>
  <c r="AC35" i="201"/>
  <c r="AB35" i="201"/>
  <c r="AE35" i="201" s="1"/>
  <c r="AI35" i="201" s="1"/>
  <c r="Y35" i="201" s="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H34" i="201"/>
  <c r="E34" i="201"/>
  <c r="I34" i="201" s="1"/>
  <c r="AD33" i="201"/>
  <c r="AC33" i="201"/>
  <c r="AE33" i="201" s="1"/>
  <c r="AI33" i="201" s="1"/>
  <c r="Y33" i="201" s="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H31" i="201"/>
  <c r="E31" i="201"/>
  <c r="I31" i="201" s="1"/>
  <c r="AD30" i="201"/>
  <c r="AE30" i="201" s="1"/>
  <c r="AI30" i="201" s="1"/>
  <c r="Y30" i="201" s="1"/>
  <c r="AC30" i="201"/>
  <c r="AB30" i="201"/>
  <c r="Z30" i="201"/>
  <c r="X30" i="201"/>
  <c r="Q30" i="201"/>
  <c r="O73" i="201" s="1"/>
  <c r="P30" i="201"/>
  <c r="I30" i="201"/>
  <c r="H30" i="201"/>
  <c r="E30" i="201"/>
  <c r="AD29" i="201"/>
  <c r="AC29" i="201"/>
  <c r="AB29" i="201"/>
  <c r="AE29" i="201" s="1"/>
  <c r="AI29" i="201" s="1"/>
  <c r="Y29" i="201" s="1"/>
  <c r="Z29" i="201"/>
  <c r="X29" i="201"/>
  <c r="Q29" i="201"/>
  <c r="P29" i="201"/>
  <c r="I29" i="201"/>
  <c r="H29" i="201"/>
  <c r="E29" i="201"/>
  <c r="AE28" i="201"/>
  <c r="AI28" i="201" s="1"/>
  <c r="Y28" i="201" s="1"/>
  <c r="AD28" i="201"/>
  <c r="AC28" i="201"/>
  <c r="AB28" i="201"/>
  <c r="Z28" i="201"/>
  <c r="X28" i="201"/>
  <c r="Q28" i="201"/>
  <c r="P28" i="201"/>
  <c r="H28" i="201"/>
  <c r="E28" i="201"/>
  <c r="I28" i="201" s="1"/>
  <c r="AE27" i="201"/>
  <c r="AI27" i="201" s="1"/>
  <c r="Y27" i="201" s="1"/>
  <c r="AD27" i="201"/>
  <c r="AC27" i="201"/>
  <c r="AB27" i="201"/>
  <c r="Z27" i="201"/>
  <c r="X27" i="201"/>
  <c r="Q27" i="201"/>
  <c r="P27" i="201"/>
  <c r="I27" i="201"/>
  <c r="H27" i="201"/>
  <c r="E27" i="201"/>
  <c r="AD26" i="201"/>
  <c r="AC26" i="201"/>
  <c r="AB26" i="201"/>
  <c r="AE26" i="201" s="1"/>
  <c r="AI26" i="201" s="1"/>
  <c r="Y26" i="201" s="1"/>
  <c r="Z26" i="201"/>
  <c r="X26" i="201"/>
  <c r="Q26" i="201"/>
  <c r="P26" i="201"/>
  <c r="H26" i="201"/>
  <c r="E26" i="201"/>
  <c r="I26" i="201" s="1"/>
  <c r="AE25" i="201"/>
  <c r="AI25" i="201" s="1"/>
  <c r="Y25" i="201" s="1"/>
  <c r="AD25" i="201"/>
  <c r="AC25" i="201"/>
  <c r="AB25" i="201"/>
  <c r="Z25" i="201"/>
  <c r="X25" i="201"/>
  <c r="Q25" i="201"/>
  <c r="P25" i="201"/>
  <c r="I25" i="201"/>
  <c r="H25" i="201"/>
  <c r="E25" i="201"/>
  <c r="AD24" i="201"/>
  <c r="AC24" i="201"/>
  <c r="AB24" i="201"/>
  <c r="AE24" i="201" s="1"/>
  <c r="AI24" i="201" s="1"/>
  <c r="Y24" i="201" s="1"/>
  <c r="Z24" i="201"/>
  <c r="X24" i="201"/>
  <c r="Q24" i="201"/>
  <c r="P24" i="201"/>
  <c r="I24" i="201"/>
  <c r="H24" i="201"/>
  <c r="E24" i="201"/>
  <c r="AD23" i="201"/>
  <c r="AC23" i="201"/>
  <c r="AB23" i="201"/>
  <c r="AE23" i="201" s="1"/>
  <c r="AI23" i="201" s="1"/>
  <c r="Y23" i="201" s="1"/>
  <c r="Z23" i="201"/>
  <c r="X23" i="201"/>
  <c r="Q23" i="201"/>
  <c r="P23" i="201"/>
  <c r="H23" i="201"/>
  <c r="E23" i="201"/>
  <c r="I23" i="201" s="1"/>
  <c r="AD22" i="201"/>
  <c r="AC22" i="201"/>
  <c r="AB22" i="201"/>
  <c r="AE22" i="201" s="1"/>
  <c r="AI22" i="201" s="1"/>
  <c r="Y22" i="201" s="1"/>
  <c r="Z22" i="201"/>
  <c r="X22" i="201"/>
  <c r="Q22" i="201"/>
  <c r="P22" i="201"/>
  <c r="I22" i="201"/>
  <c r="H22" i="201"/>
  <c r="E22" i="201"/>
  <c r="AD21" i="201"/>
  <c r="AC21" i="201"/>
  <c r="AE21" i="201" s="1"/>
  <c r="AI21" i="201" s="1"/>
  <c r="Y21" i="201" s="1"/>
  <c r="AB21" i="201"/>
  <c r="Z21" i="201"/>
  <c r="X21" i="201"/>
  <c r="Q21" i="201"/>
  <c r="P21" i="201"/>
  <c r="I21" i="201"/>
  <c r="H21" i="201"/>
  <c r="E21" i="201"/>
  <c r="AD20" i="201"/>
  <c r="AC20" i="201"/>
  <c r="AB20" i="201"/>
  <c r="AE20" i="201" s="1"/>
  <c r="AI20" i="201" s="1"/>
  <c r="Y20" i="201" s="1"/>
  <c r="Z20" i="201"/>
  <c r="X20" i="201"/>
  <c r="Q20" i="201"/>
  <c r="P20" i="201"/>
  <c r="I20" i="201"/>
  <c r="H20" i="201"/>
  <c r="E20" i="201"/>
  <c r="AD19" i="201"/>
  <c r="AC19" i="201"/>
  <c r="AE19" i="201" s="1"/>
  <c r="AI19" i="201" s="1"/>
  <c r="Y19" i="201" s="1"/>
  <c r="AB19" i="201"/>
  <c r="Z19" i="201"/>
  <c r="X19" i="201"/>
  <c r="Q19" i="201"/>
  <c r="P19" i="201"/>
  <c r="H19" i="201"/>
  <c r="E19" i="201"/>
  <c r="I19" i="201" s="1"/>
  <c r="AD18" i="201"/>
  <c r="AC18" i="201"/>
  <c r="AB18" i="201"/>
  <c r="AE18" i="201" s="1"/>
  <c r="AI18" i="201" s="1"/>
  <c r="Y18" i="201" s="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D16" i="201"/>
  <c r="AE16" i="201" s="1"/>
  <c r="AI16" i="201" s="1"/>
  <c r="Y16" i="201" s="1"/>
  <c r="AC16" i="201"/>
  <c r="AB16" i="201"/>
  <c r="Z16" i="201"/>
  <c r="X16" i="201"/>
  <c r="Q16" i="201"/>
  <c r="P16" i="201"/>
  <c r="E16" i="201"/>
  <c r="I16" i="201" s="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I14" i="201"/>
  <c r="H14" i="201"/>
  <c r="E14" i="20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T75" i="201" l="1"/>
  <c r="T77" i="201"/>
  <c r="F73" i="201"/>
  <c r="F75" i="201"/>
  <c r="T73" i="201"/>
  <c r="F73" i="200"/>
  <c r="F39" i="200"/>
  <c r="T79" i="201" l="1"/>
  <c r="F77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T79" i="200" s="1"/>
  <c r="F77" i="200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<sst xmlns="http://schemas.openxmlformats.org/spreadsheetml/2006/main" count="1128" uniqueCount="134">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</sst>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5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5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1389888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205980</v>
      </c>
      <c r="P73" s="248"/>
      <c r="Q73" s="249"/>
      <c r="R73" s="152"/>
      <c r="S73" s="159" t="s">
        <v>104</v>
      </c>
      <c r="T73" s="253">
        <f>SUM(Y12:Y68)</f>
        <v>53270.400000000001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1389888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179820</v>
      </c>
      <c r="P75" s="248"/>
      <c r="Q75" s="249"/>
      <c r="R75" s="152"/>
      <c r="S75" s="159" t="s">
        <v>129</v>
      </c>
      <c r="T75" s="253">
        <f>SUM(Z12:Z70)</f>
        <v>6272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986449.05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>
        <f>1900.85+92518.5</f>
        <v>94419.35</v>
      </c>
      <c r="Q77" s="252"/>
      <c r="R77" s="152"/>
      <c r="S77" s="159" t="s">
        <v>108</v>
      </c>
      <c r="T77" s="253">
        <f>IF(SUM(X12:X68)*0.15&gt;P77,P77,SUM(X12:X68)*0.15)</f>
        <v>94419.35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>
        <f>43497.2</f>
        <v>43497.2</v>
      </c>
      <c r="Q79" s="252"/>
      <c r="R79" s="152"/>
      <c r="S79" s="159" t="s">
        <v>112</v>
      </c>
      <c r="T79" s="253">
        <f>T77+T73+T75</f>
        <v>153961.75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6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6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728310.90999999992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>
        <f>0.01+0.04</f>
        <v>0.05</v>
      </c>
      <c r="Q77" s="252"/>
      <c r="R77" s="152"/>
      <c r="S77" s="159" t="s">
        <v>108</v>
      </c>
      <c r="T77" s="253">
        <f>IF(SUM(X12:X68)*0.15&gt;P77,P77,SUM(X12:X68)*0.15)</f>
        <v>0.05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>
        <v>404244</v>
      </c>
      <c r="Q79" s="252"/>
      <c r="R79" s="152"/>
      <c r="S79" s="159" t="s">
        <v>112</v>
      </c>
      <c r="T79" s="253">
        <f>T77+T73+T75</f>
        <v>60845.090000000004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7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7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1132554.96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8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8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1132554.96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9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9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1132554.96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0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0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1132554.96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M16" sqref="M16"/>
      <selection pane="topRight" activeCell="AB33" sqref="AB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1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1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03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05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3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04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115.92</v>
      </c>
      <c r="Z33" s="36">
        <f t="shared" si="8"/>
        <v>14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03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03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02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02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1388655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53064.510000000009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1388655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6244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1125550.49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59308.510000000009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67B2-60B6-4C1A-958A-780090960ED8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6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6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1132554.96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04-28-2026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  <vt:lpstr>'04-28-2026'!Print_Area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2026-04-28T02:44:52Z</dcterms:modified>
</cp:coreProperties>
</file>