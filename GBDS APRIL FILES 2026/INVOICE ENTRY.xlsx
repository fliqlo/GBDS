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12CCAC58-0D3D-4AB2-836E-44CCE9858CBE}" xr6:coauthVersionLast="45" xr6:coauthVersionMax="45" xr10:uidLastSave="{00000000-0000-0000-0000-000000000000}"/>
  <bookViews>
    <workbookView xWindow="-120" yWindow="-120" windowWidth="29040" windowHeight="15840" activeTab="4" xr2:uid="{6798A834-5563-4DDE-A130-9E97ACB19E2A}"/>
  </bookViews>
  <sheets>
    <sheet name="02" sheetId="4" r:id="rId1"/>
    <sheet name="IE R1 03-02-2026" sheetId="1" r:id="rId2"/>
    <sheet name="IE R2 03-02-2026" sheetId="2" r:id="rId3"/>
    <sheet name="IE R3 03-02-2026" sheetId="3" r:id="rId4"/>
    <sheet name="03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9" i="3" l="1"/>
  <c r="R168" i="3"/>
  <c r="X167" i="3"/>
  <c r="R167" i="3"/>
  <c r="X166" i="3"/>
  <c r="R166" i="3"/>
  <c r="X165" i="3"/>
  <c r="R165" i="3"/>
  <c r="X164" i="3"/>
  <c r="R164" i="3"/>
  <c r="X163" i="3"/>
  <c r="R163" i="3"/>
  <c r="X162" i="3"/>
  <c r="R162" i="3"/>
  <c r="X161" i="3"/>
  <c r="R161" i="3"/>
  <c r="X160" i="3"/>
  <c r="R160" i="3"/>
  <c r="X159" i="3"/>
  <c r="R159" i="3"/>
  <c r="X158" i="3"/>
  <c r="R158" i="3"/>
  <c r="X157" i="3"/>
  <c r="R157" i="3"/>
  <c r="X156" i="3"/>
  <c r="R156" i="3"/>
  <c r="X155" i="3"/>
  <c r="R155" i="3"/>
  <c r="X154" i="3"/>
  <c r="R154" i="3"/>
  <c r="X153" i="3"/>
  <c r="R153" i="3"/>
  <c r="X152" i="3"/>
  <c r="R152" i="3"/>
  <c r="X151" i="3"/>
  <c r="R151" i="3"/>
  <c r="X150" i="3"/>
  <c r="R150" i="3"/>
  <c r="X149" i="3"/>
  <c r="R149" i="3"/>
  <c r="X148" i="3"/>
  <c r="R148" i="3"/>
  <c r="X147" i="3"/>
  <c r="R147" i="3"/>
  <c r="X146" i="3"/>
  <c r="X168" i="3" s="1"/>
  <c r="R146" i="3"/>
  <c r="F169" i="3"/>
  <c r="F168" i="3"/>
  <c r="L167" i="3"/>
  <c r="F167" i="3"/>
  <c r="L166" i="3"/>
  <c r="F166" i="3"/>
  <c r="L165" i="3"/>
  <c r="F165" i="3"/>
  <c r="L164" i="3"/>
  <c r="F164" i="3"/>
  <c r="L163" i="3"/>
  <c r="F163" i="3"/>
  <c r="L162" i="3"/>
  <c r="F162" i="3"/>
  <c r="L161" i="3"/>
  <c r="F161" i="3"/>
  <c r="L160" i="3"/>
  <c r="F160" i="3"/>
  <c r="L159" i="3"/>
  <c r="F159" i="3"/>
  <c r="L158" i="3"/>
  <c r="F158" i="3"/>
  <c r="L157" i="3"/>
  <c r="F157" i="3"/>
  <c r="L156" i="3"/>
  <c r="F156" i="3"/>
  <c r="L155" i="3"/>
  <c r="F155" i="3"/>
  <c r="L154" i="3"/>
  <c r="F154" i="3"/>
  <c r="L153" i="3"/>
  <c r="F153" i="3"/>
  <c r="L152" i="3"/>
  <c r="F152" i="3"/>
  <c r="L151" i="3"/>
  <c r="F151" i="3"/>
  <c r="L150" i="3"/>
  <c r="F150" i="3"/>
  <c r="L149" i="3"/>
  <c r="F149" i="3"/>
  <c r="L148" i="3"/>
  <c r="F148" i="3"/>
  <c r="L147" i="3"/>
  <c r="F147" i="3"/>
  <c r="L146" i="3"/>
  <c r="F146" i="3"/>
  <c r="R135" i="3"/>
  <c r="F135" i="3"/>
  <c r="R134" i="3"/>
  <c r="F134" i="3"/>
  <c r="X133" i="3"/>
  <c r="R133" i="3"/>
  <c r="L133" i="3"/>
  <c r="F133" i="3"/>
  <c r="X132" i="3"/>
  <c r="R132" i="3"/>
  <c r="L132" i="3"/>
  <c r="F132" i="3"/>
  <c r="X131" i="3"/>
  <c r="R131" i="3"/>
  <c r="L131" i="3"/>
  <c r="F131" i="3"/>
  <c r="X130" i="3"/>
  <c r="R130" i="3"/>
  <c r="L130" i="3"/>
  <c r="F130" i="3"/>
  <c r="X129" i="3"/>
  <c r="R129" i="3"/>
  <c r="L129" i="3"/>
  <c r="F129" i="3"/>
  <c r="X128" i="3"/>
  <c r="R128" i="3"/>
  <c r="L128" i="3"/>
  <c r="F128" i="3"/>
  <c r="X127" i="3"/>
  <c r="R127" i="3"/>
  <c r="L127" i="3"/>
  <c r="F127" i="3"/>
  <c r="X126" i="3"/>
  <c r="R126" i="3"/>
  <c r="L126" i="3"/>
  <c r="F126" i="3"/>
  <c r="X125" i="3"/>
  <c r="R125" i="3"/>
  <c r="L125" i="3"/>
  <c r="F125" i="3"/>
  <c r="X124" i="3"/>
  <c r="R124" i="3"/>
  <c r="L124" i="3"/>
  <c r="F124" i="3"/>
  <c r="X123" i="3"/>
  <c r="R123" i="3"/>
  <c r="L123" i="3"/>
  <c r="F123" i="3"/>
  <c r="X122" i="3"/>
  <c r="R122" i="3"/>
  <c r="L122" i="3"/>
  <c r="F122" i="3"/>
  <c r="X121" i="3"/>
  <c r="R121" i="3"/>
  <c r="L121" i="3"/>
  <c r="F121" i="3"/>
  <c r="X120" i="3"/>
  <c r="R120" i="3"/>
  <c r="L120" i="3"/>
  <c r="F120" i="3"/>
  <c r="X119" i="3"/>
  <c r="R119" i="3"/>
  <c r="L119" i="3"/>
  <c r="F119" i="3"/>
  <c r="X118" i="3"/>
  <c r="R118" i="3"/>
  <c r="L118" i="3"/>
  <c r="F118" i="3"/>
  <c r="X117" i="3"/>
  <c r="R117" i="3"/>
  <c r="L117" i="3"/>
  <c r="F117" i="3"/>
  <c r="X116" i="3"/>
  <c r="R116" i="3"/>
  <c r="L116" i="3"/>
  <c r="F116" i="3"/>
  <c r="X115" i="3"/>
  <c r="R115" i="3"/>
  <c r="L115" i="3"/>
  <c r="F115" i="3"/>
  <c r="X114" i="3"/>
  <c r="R114" i="3"/>
  <c r="L114" i="3"/>
  <c r="F114" i="3"/>
  <c r="X113" i="3"/>
  <c r="R113" i="3"/>
  <c r="L113" i="3"/>
  <c r="F113" i="3"/>
  <c r="X112" i="3"/>
  <c r="X134" i="3" s="1"/>
  <c r="R112" i="3"/>
  <c r="L112" i="3"/>
  <c r="F112" i="3"/>
  <c r="R101" i="3"/>
  <c r="F101" i="3"/>
  <c r="R100" i="3"/>
  <c r="F100" i="3"/>
  <c r="X99" i="3"/>
  <c r="R99" i="3"/>
  <c r="L99" i="3"/>
  <c r="F99" i="3"/>
  <c r="X98" i="3"/>
  <c r="R98" i="3"/>
  <c r="L98" i="3"/>
  <c r="F98" i="3"/>
  <c r="X97" i="3"/>
  <c r="R97" i="3"/>
  <c r="L97" i="3"/>
  <c r="F97" i="3"/>
  <c r="X96" i="3"/>
  <c r="R96" i="3"/>
  <c r="L96" i="3"/>
  <c r="F96" i="3"/>
  <c r="X95" i="3"/>
  <c r="R95" i="3"/>
  <c r="L95" i="3"/>
  <c r="F95" i="3"/>
  <c r="X94" i="3"/>
  <c r="R94" i="3"/>
  <c r="L94" i="3"/>
  <c r="F94" i="3"/>
  <c r="X93" i="3"/>
  <c r="R93" i="3"/>
  <c r="L93" i="3"/>
  <c r="F93" i="3"/>
  <c r="X92" i="3"/>
  <c r="R92" i="3"/>
  <c r="L92" i="3"/>
  <c r="F92" i="3"/>
  <c r="X91" i="3"/>
  <c r="R91" i="3"/>
  <c r="L91" i="3"/>
  <c r="F91" i="3"/>
  <c r="X90" i="3"/>
  <c r="R90" i="3"/>
  <c r="L90" i="3"/>
  <c r="F90" i="3"/>
  <c r="X89" i="3"/>
  <c r="R89" i="3"/>
  <c r="L89" i="3"/>
  <c r="F89" i="3"/>
  <c r="X88" i="3"/>
  <c r="R88" i="3"/>
  <c r="L88" i="3"/>
  <c r="F88" i="3"/>
  <c r="X87" i="3"/>
  <c r="R87" i="3"/>
  <c r="L87" i="3"/>
  <c r="F87" i="3"/>
  <c r="X86" i="3"/>
  <c r="R86" i="3"/>
  <c r="L86" i="3"/>
  <c r="F86" i="3"/>
  <c r="X85" i="3"/>
  <c r="R85" i="3"/>
  <c r="L85" i="3"/>
  <c r="F85" i="3"/>
  <c r="X84" i="3"/>
  <c r="R84" i="3"/>
  <c r="L84" i="3"/>
  <c r="F84" i="3"/>
  <c r="X83" i="3"/>
  <c r="R83" i="3"/>
  <c r="L83" i="3"/>
  <c r="F83" i="3"/>
  <c r="X82" i="3"/>
  <c r="R82" i="3"/>
  <c r="L82" i="3"/>
  <c r="F82" i="3"/>
  <c r="X81" i="3"/>
  <c r="R81" i="3"/>
  <c r="L81" i="3"/>
  <c r="F81" i="3"/>
  <c r="X80" i="3"/>
  <c r="R80" i="3"/>
  <c r="L80" i="3"/>
  <c r="F80" i="3"/>
  <c r="X79" i="3"/>
  <c r="R79" i="3"/>
  <c r="L79" i="3"/>
  <c r="F79" i="3"/>
  <c r="X78" i="3"/>
  <c r="R78" i="3"/>
  <c r="L78" i="3"/>
  <c r="F78" i="3"/>
  <c r="R67" i="3"/>
  <c r="F67" i="3"/>
  <c r="R66" i="3"/>
  <c r="F66" i="3"/>
  <c r="X65" i="3"/>
  <c r="R65" i="3"/>
  <c r="L65" i="3"/>
  <c r="F65" i="3"/>
  <c r="X64" i="3"/>
  <c r="R64" i="3"/>
  <c r="L64" i="3"/>
  <c r="F64" i="3"/>
  <c r="X63" i="3"/>
  <c r="R63" i="3"/>
  <c r="L63" i="3"/>
  <c r="F63" i="3"/>
  <c r="X62" i="3"/>
  <c r="R62" i="3"/>
  <c r="L62" i="3"/>
  <c r="F62" i="3"/>
  <c r="X61" i="3"/>
  <c r="R61" i="3"/>
  <c r="L61" i="3"/>
  <c r="F61" i="3"/>
  <c r="X60" i="3"/>
  <c r="R60" i="3"/>
  <c r="L60" i="3"/>
  <c r="F60" i="3"/>
  <c r="X59" i="3"/>
  <c r="R59" i="3"/>
  <c r="L59" i="3"/>
  <c r="F59" i="3"/>
  <c r="X58" i="3"/>
  <c r="R58" i="3"/>
  <c r="L58" i="3"/>
  <c r="F58" i="3"/>
  <c r="X57" i="3"/>
  <c r="R57" i="3"/>
  <c r="L57" i="3"/>
  <c r="F57" i="3"/>
  <c r="X56" i="3"/>
  <c r="R56" i="3"/>
  <c r="L56" i="3"/>
  <c r="F56" i="3"/>
  <c r="X55" i="3"/>
  <c r="R55" i="3"/>
  <c r="L55" i="3"/>
  <c r="F55" i="3"/>
  <c r="X54" i="3"/>
  <c r="R54" i="3"/>
  <c r="L54" i="3"/>
  <c r="F54" i="3"/>
  <c r="X53" i="3"/>
  <c r="R53" i="3"/>
  <c r="L53" i="3"/>
  <c r="F53" i="3"/>
  <c r="X52" i="3"/>
  <c r="R52" i="3"/>
  <c r="L52" i="3"/>
  <c r="F52" i="3"/>
  <c r="X51" i="3"/>
  <c r="R51" i="3"/>
  <c r="L51" i="3"/>
  <c r="F51" i="3"/>
  <c r="X50" i="3"/>
  <c r="R50" i="3"/>
  <c r="L50" i="3"/>
  <c r="F50" i="3"/>
  <c r="X49" i="3"/>
  <c r="R49" i="3"/>
  <c r="L49" i="3"/>
  <c r="F49" i="3"/>
  <c r="X48" i="3"/>
  <c r="R48" i="3"/>
  <c r="L48" i="3"/>
  <c r="F48" i="3"/>
  <c r="X47" i="3"/>
  <c r="R47" i="3"/>
  <c r="L47" i="3"/>
  <c r="F47" i="3"/>
  <c r="X46" i="3"/>
  <c r="R46" i="3"/>
  <c r="L46" i="3"/>
  <c r="F46" i="3"/>
  <c r="X45" i="3"/>
  <c r="R45" i="3"/>
  <c r="L45" i="3"/>
  <c r="F45" i="3"/>
  <c r="X44" i="3"/>
  <c r="X66" i="3" s="1"/>
  <c r="R44" i="3"/>
  <c r="L44" i="3"/>
  <c r="F44" i="3"/>
  <c r="R33" i="3"/>
  <c r="F33" i="3"/>
  <c r="R32" i="3"/>
  <c r="L32" i="3"/>
  <c r="F32" i="3"/>
  <c r="X31" i="3"/>
  <c r="R31" i="3"/>
  <c r="L31" i="3"/>
  <c r="F31" i="3"/>
  <c r="X30" i="3"/>
  <c r="R30" i="3"/>
  <c r="L30" i="3"/>
  <c r="F30" i="3"/>
  <c r="X29" i="3"/>
  <c r="R29" i="3"/>
  <c r="L29" i="3"/>
  <c r="F29" i="3"/>
  <c r="X28" i="3"/>
  <c r="R28" i="3"/>
  <c r="L28" i="3"/>
  <c r="F28" i="3"/>
  <c r="X27" i="3"/>
  <c r="R27" i="3"/>
  <c r="L27" i="3"/>
  <c r="F27" i="3"/>
  <c r="X26" i="3"/>
  <c r="R26" i="3"/>
  <c r="L26" i="3"/>
  <c r="F26" i="3"/>
  <c r="X25" i="3"/>
  <c r="R25" i="3"/>
  <c r="L25" i="3"/>
  <c r="F25" i="3"/>
  <c r="X24" i="3"/>
  <c r="R24" i="3"/>
  <c r="L24" i="3"/>
  <c r="F24" i="3"/>
  <c r="X23" i="3"/>
  <c r="R23" i="3"/>
  <c r="L23" i="3"/>
  <c r="F23" i="3"/>
  <c r="X22" i="3"/>
  <c r="R22" i="3"/>
  <c r="L22" i="3"/>
  <c r="F22" i="3"/>
  <c r="X21" i="3"/>
  <c r="R21" i="3"/>
  <c r="L21" i="3"/>
  <c r="F21" i="3"/>
  <c r="X20" i="3"/>
  <c r="R20" i="3"/>
  <c r="L20" i="3"/>
  <c r="F20" i="3"/>
  <c r="X19" i="3"/>
  <c r="R19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X15" i="3"/>
  <c r="R15" i="3"/>
  <c r="L15" i="3"/>
  <c r="F15" i="3"/>
  <c r="X14" i="3"/>
  <c r="R14" i="3"/>
  <c r="L14" i="3"/>
  <c r="F14" i="3"/>
  <c r="X13" i="3"/>
  <c r="R13" i="3"/>
  <c r="L13" i="3"/>
  <c r="F13" i="3"/>
  <c r="X12" i="3"/>
  <c r="X32" i="3" s="1"/>
  <c r="R12" i="3"/>
  <c r="L12" i="3"/>
  <c r="F12" i="3"/>
  <c r="X11" i="3"/>
  <c r="R11" i="3"/>
  <c r="L11" i="3"/>
  <c r="F11" i="3"/>
  <c r="X10" i="3"/>
  <c r="R10" i="3"/>
  <c r="L10" i="3"/>
  <c r="F10" i="3"/>
  <c r="AB3" i="3" l="1"/>
  <c r="R68" i="3"/>
  <c r="X67" i="3" s="1"/>
  <c r="X68" i="3" s="1"/>
  <c r="R170" i="3"/>
  <c r="X169" i="3" s="1"/>
  <c r="X170" i="3" s="1"/>
  <c r="X100" i="3"/>
  <c r="R102" i="3"/>
  <c r="X101" i="3" s="1"/>
  <c r="X102" i="3" s="1"/>
  <c r="L66" i="3"/>
  <c r="F68" i="3"/>
  <c r="L67" i="3" s="1"/>
  <c r="R34" i="3"/>
  <c r="X33" i="3" s="1"/>
  <c r="X34" i="3" s="1"/>
  <c r="L168" i="3"/>
  <c r="F170" i="3"/>
  <c r="L169" i="3" s="1"/>
  <c r="R136" i="3"/>
  <c r="X135" i="3" s="1"/>
  <c r="X136" i="3" s="1"/>
  <c r="L134" i="3"/>
  <c r="F136" i="3"/>
  <c r="L135" i="3" s="1"/>
  <c r="F102" i="3"/>
  <c r="L101" i="3" s="1"/>
  <c r="L100" i="3"/>
  <c r="F34" i="3"/>
  <c r="L33" i="3" l="1"/>
  <c r="L34" i="3" s="1"/>
  <c r="Z3" i="3"/>
  <c r="L68" i="3"/>
  <c r="L170" i="3"/>
  <c r="L136" i="3"/>
  <c r="L102" i="3"/>
  <c r="AF3" i="3" l="1"/>
  <c r="F169" i="2"/>
  <c r="F168" i="2"/>
  <c r="L167" i="2"/>
  <c r="F167" i="2"/>
  <c r="L166" i="2"/>
  <c r="F166" i="2"/>
  <c r="L165" i="2"/>
  <c r="F165" i="2"/>
  <c r="L164" i="2"/>
  <c r="F164" i="2"/>
  <c r="L163" i="2"/>
  <c r="F163" i="2"/>
  <c r="L162" i="2"/>
  <c r="F162" i="2"/>
  <c r="L161" i="2"/>
  <c r="F161" i="2"/>
  <c r="L160" i="2"/>
  <c r="F160" i="2"/>
  <c r="L159" i="2"/>
  <c r="F159" i="2"/>
  <c r="L158" i="2"/>
  <c r="F158" i="2"/>
  <c r="L157" i="2"/>
  <c r="F157" i="2"/>
  <c r="L156" i="2"/>
  <c r="F156" i="2"/>
  <c r="L155" i="2"/>
  <c r="F155" i="2"/>
  <c r="L154" i="2"/>
  <c r="F154" i="2"/>
  <c r="L153" i="2"/>
  <c r="F153" i="2"/>
  <c r="L152" i="2"/>
  <c r="F152" i="2"/>
  <c r="L151" i="2"/>
  <c r="F151" i="2"/>
  <c r="L150" i="2"/>
  <c r="F150" i="2"/>
  <c r="L149" i="2"/>
  <c r="F149" i="2"/>
  <c r="L148" i="2"/>
  <c r="F148" i="2"/>
  <c r="L147" i="2"/>
  <c r="F147" i="2"/>
  <c r="L146" i="2"/>
  <c r="F146" i="2"/>
  <c r="R135" i="2"/>
  <c r="F135" i="2"/>
  <c r="R134" i="2"/>
  <c r="F134" i="2"/>
  <c r="X133" i="2"/>
  <c r="R133" i="2"/>
  <c r="L133" i="2"/>
  <c r="F133" i="2"/>
  <c r="X132" i="2"/>
  <c r="R132" i="2"/>
  <c r="L132" i="2"/>
  <c r="F132" i="2"/>
  <c r="X131" i="2"/>
  <c r="R131" i="2"/>
  <c r="L131" i="2"/>
  <c r="F131" i="2"/>
  <c r="X130" i="2"/>
  <c r="R130" i="2"/>
  <c r="L130" i="2"/>
  <c r="F130" i="2"/>
  <c r="X129" i="2"/>
  <c r="R129" i="2"/>
  <c r="L129" i="2"/>
  <c r="F129" i="2"/>
  <c r="X128" i="2"/>
  <c r="R128" i="2"/>
  <c r="L128" i="2"/>
  <c r="F128" i="2"/>
  <c r="X127" i="2"/>
  <c r="R127" i="2"/>
  <c r="L127" i="2"/>
  <c r="F127" i="2"/>
  <c r="X126" i="2"/>
  <c r="R126" i="2"/>
  <c r="L126" i="2"/>
  <c r="F126" i="2"/>
  <c r="X125" i="2"/>
  <c r="R125" i="2"/>
  <c r="L125" i="2"/>
  <c r="F125" i="2"/>
  <c r="X124" i="2"/>
  <c r="R124" i="2"/>
  <c r="L124" i="2"/>
  <c r="F124" i="2"/>
  <c r="X123" i="2"/>
  <c r="R123" i="2"/>
  <c r="L123" i="2"/>
  <c r="F123" i="2"/>
  <c r="X122" i="2"/>
  <c r="R122" i="2"/>
  <c r="L122" i="2"/>
  <c r="F122" i="2"/>
  <c r="X121" i="2"/>
  <c r="R121" i="2"/>
  <c r="L121" i="2"/>
  <c r="F121" i="2"/>
  <c r="X120" i="2"/>
  <c r="R120" i="2"/>
  <c r="L120" i="2"/>
  <c r="F120" i="2"/>
  <c r="X119" i="2"/>
  <c r="R119" i="2"/>
  <c r="L119" i="2"/>
  <c r="F119" i="2"/>
  <c r="X118" i="2"/>
  <c r="R118" i="2"/>
  <c r="L118" i="2"/>
  <c r="F118" i="2"/>
  <c r="X117" i="2"/>
  <c r="R117" i="2"/>
  <c r="L117" i="2"/>
  <c r="F117" i="2"/>
  <c r="X116" i="2"/>
  <c r="R116" i="2"/>
  <c r="L116" i="2"/>
  <c r="F116" i="2"/>
  <c r="X115" i="2"/>
  <c r="R115" i="2"/>
  <c r="L115" i="2"/>
  <c r="F115" i="2"/>
  <c r="X114" i="2"/>
  <c r="R114" i="2"/>
  <c r="L114" i="2"/>
  <c r="F114" i="2"/>
  <c r="X113" i="2"/>
  <c r="R113" i="2"/>
  <c r="L113" i="2"/>
  <c r="F113" i="2"/>
  <c r="X112" i="2"/>
  <c r="X134" i="2" s="1"/>
  <c r="R112" i="2"/>
  <c r="L112" i="2"/>
  <c r="F112" i="2"/>
  <c r="R101" i="2"/>
  <c r="F101" i="2"/>
  <c r="AB3" i="2" s="1"/>
  <c r="R100" i="2"/>
  <c r="F100" i="2"/>
  <c r="X99" i="2"/>
  <c r="R99" i="2"/>
  <c r="L99" i="2"/>
  <c r="F99" i="2"/>
  <c r="X98" i="2"/>
  <c r="R98" i="2"/>
  <c r="L98" i="2"/>
  <c r="F98" i="2"/>
  <c r="X97" i="2"/>
  <c r="R97" i="2"/>
  <c r="L97" i="2"/>
  <c r="F97" i="2"/>
  <c r="X96" i="2"/>
  <c r="R96" i="2"/>
  <c r="L96" i="2"/>
  <c r="F96" i="2"/>
  <c r="X95" i="2"/>
  <c r="R95" i="2"/>
  <c r="L95" i="2"/>
  <c r="F95" i="2"/>
  <c r="X94" i="2"/>
  <c r="R94" i="2"/>
  <c r="L94" i="2"/>
  <c r="F94" i="2"/>
  <c r="X93" i="2"/>
  <c r="R93" i="2"/>
  <c r="L93" i="2"/>
  <c r="F93" i="2"/>
  <c r="X92" i="2"/>
  <c r="R92" i="2"/>
  <c r="L92" i="2"/>
  <c r="F92" i="2"/>
  <c r="X91" i="2"/>
  <c r="R91" i="2"/>
  <c r="L91" i="2"/>
  <c r="F91" i="2"/>
  <c r="X90" i="2"/>
  <c r="R90" i="2"/>
  <c r="L90" i="2"/>
  <c r="F90" i="2"/>
  <c r="X89" i="2"/>
  <c r="R89" i="2"/>
  <c r="L89" i="2"/>
  <c r="F89" i="2"/>
  <c r="X88" i="2"/>
  <c r="R88" i="2"/>
  <c r="L88" i="2"/>
  <c r="F88" i="2"/>
  <c r="X87" i="2"/>
  <c r="R87" i="2"/>
  <c r="L87" i="2"/>
  <c r="F87" i="2"/>
  <c r="X86" i="2"/>
  <c r="R86" i="2"/>
  <c r="L86" i="2"/>
  <c r="F86" i="2"/>
  <c r="X85" i="2"/>
  <c r="R85" i="2"/>
  <c r="L85" i="2"/>
  <c r="F85" i="2"/>
  <c r="X84" i="2"/>
  <c r="R84" i="2"/>
  <c r="L84" i="2"/>
  <c r="F84" i="2"/>
  <c r="X83" i="2"/>
  <c r="R83" i="2"/>
  <c r="L83" i="2"/>
  <c r="F83" i="2"/>
  <c r="X82" i="2"/>
  <c r="R82" i="2"/>
  <c r="L82" i="2"/>
  <c r="F82" i="2"/>
  <c r="X81" i="2"/>
  <c r="R81" i="2"/>
  <c r="L81" i="2"/>
  <c r="F81" i="2"/>
  <c r="X80" i="2"/>
  <c r="R80" i="2"/>
  <c r="L80" i="2"/>
  <c r="F80" i="2"/>
  <c r="X79" i="2"/>
  <c r="R79" i="2"/>
  <c r="L79" i="2"/>
  <c r="F79" i="2"/>
  <c r="X78" i="2"/>
  <c r="R78" i="2"/>
  <c r="L78" i="2"/>
  <c r="F78" i="2"/>
  <c r="R67" i="2"/>
  <c r="F67" i="2"/>
  <c r="R66" i="2"/>
  <c r="F66" i="2"/>
  <c r="X65" i="2"/>
  <c r="R65" i="2"/>
  <c r="L65" i="2"/>
  <c r="F65" i="2"/>
  <c r="X64" i="2"/>
  <c r="R64" i="2"/>
  <c r="L64" i="2"/>
  <c r="F64" i="2"/>
  <c r="X63" i="2"/>
  <c r="R63" i="2"/>
  <c r="L63" i="2"/>
  <c r="F63" i="2"/>
  <c r="X62" i="2"/>
  <c r="R62" i="2"/>
  <c r="L62" i="2"/>
  <c r="F62" i="2"/>
  <c r="X61" i="2"/>
  <c r="R61" i="2"/>
  <c r="L61" i="2"/>
  <c r="F61" i="2"/>
  <c r="X60" i="2"/>
  <c r="R60" i="2"/>
  <c r="L60" i="2"/>
  <c r="F60" i="2"/>
  <c r="X59" i="2"/>
  <c r="R59" i="2"/>
  <c r="L59" i="2"/>
  <c r="F59" i="2"/>
  <c r="X58" i="2"/>
  <c r="R58" i="2"/>
  <c r="L58" i="2"/>
  <c r="F58" i="2"/>
  <c r="X57" i="2"/>
  <c r="R57" i="2"/>
  <c r="L57" i="2"/>
  <c r="F57" i="2"/>
  <c r="X56" i="2"/>
  <c r="R56" i="2"/>
  <c r="L56" i="2"/>
  <c r="F56" i="2"/>
  <c r="X55" i="2"/>
  <c r="R55" i="2"/>
  <c r="L55" i="2"/>
  <c r="F55" i="2"/>
  <c r="X54" i="2"/>
  <c r="R54" i="2"/>
  <c r="L54" i="2"/>
  <c r="F54" i="2"/>
  <c r="X53" i="2"/>
  <c r="R53" i="2"/>
  <c r="L53" i="2"/>
  <c r="F53" i="2"/>
  <c r="X52" i="2"/>
  <c r="R52" i="2"/>
  <c r="L52" i="2"/>
  <c r="F52" i="2"/>
  <c r="X51" i="2"/>
  <c r="R51" i="2"/>
  <c r="L51" i="2"/>
  <c r="F51" i="2"/>
  <c r="X50" i="2"/>
  <c r="R50" i="2"/>
  <c r="L50" i="2"/>
  <c r="F50" i="2"/>
  <c r="X49" i="2"/>
  <c r="R49" i="2"/>
  <c r="L49" i="2"/>
  <c r="F49" i="2"/>
  <c r="X48" i="2"/>
  <c r="R48" i="2"/>
  <c r="L48" i="2"/>
  <c r="F48" i="2"/>
  <c r="X47" i="2"/>
  <c r="R47" i="2"/>
  <c r="L47" i="2"/>
  <c r="F47" i="2"/>
  <c r="X46" i="2"/>
  <c r="R46" i="2"/>
  <c r="L46" i="2"/>
  <c r="F46" i="2"/>
  <c r="X45" i="2"/>
  <c r="R45" i="2"/>
  <c r="L45" i="2"/>
  <c r="F45" i="2"/>
  <c r="X44" i="2"/>
  <c r="X66" i="2" s="1"/>
  <c r="R44" i="2"/>
  <c r="L44" i="2"/>
  <c r="F44" i="2"/>
  <c r="R33" i="2"/>
  <c r="F33" i="2"/>
  <c r="R32" i="2"/>
  <c r="L32" i="2"/>
  <c r="F32" i="2"/>
  <c r="X31" i="2"/>
  <c r="R31" i="2"/>
  <c r="L31" i="2"/>
  <c r="F31" i="2"/>
  <c r="X30" i="2"/>
  <c r="R30" i="2"/>
  <c r="L30" i="2"/>
  <c r="F30" i="2"/>
  <c r="X29" i="2"/>
  <c r="R29" i="2"/>
  <c r="L29" i="2"/>
  <c r="F29" i="2"/>
  <c r="X28" i="2"/>
  <c r="R28" i="2"/>
  <c r="L28" i="2"/>
  <c r="F28" i="2"/>
  <c r="X27" i="2"/>
  <c r="R27" i="2"/>
  <c r="L27" i="2"/>
  <c r="F27" i="2"/>
  <c r="X26" i="2"/>
  <c r="R26" i="2"/>
  <c r="L26" i="2"/>
  <c r="F26" i="2"/>
  <c r="X25" i="2"/>
  <c r="R25" i="2"/>
  <c r="L25" i="2"/>
  <c r="F25" i="2"/>
  <c r="X24" i="2"/>
  <c r="R24" i="2"/>
  <c r="L24" i="2"/>
  <c r="F24" i="2"/>
  <c r="X23" i="2"/>
  <c r="R23" i="2"/>
  <c r="L23" i="2"/>
  <c r="F23" i="2"/>
  <c r="X22" i="2"/>
  <c r="R22" i="2"/>
  <c r="L22" i="2"/>
  <c r="F22" i="2"/>
  <c r="X21" i="2"/>
  <c r="R21" i="2"/>
  <c r="L21" i="2"/>
  <c r="F21" i="2"/>
  <c r="X20" i="2"/>
  <c r="R20" i="2"/>
  <c r="L20" i="2"/>
  <c r="F20" i="2"/>
  <c r="X19" i="2"/>
  <c r="R19" i="2"/>
  <c r="L19" i="2"/>
  <c r="F19" i="2"/>
  <c r="X18" i="2"/>
  <c r="R18" i="2"/>
  <c r="L18" i="2"/>
  <c r="F18" i="2"/>
  <c r="X17" i="2"/>
  <c r="R17" i="2"/>
  <c r="L17" i="2"/>
  <c r="F17" i="2"/>
  <c r="X16" i="2"/>
  <c r="R16" i="2"/>
  <c r="L16" i="2"/>
  <c r="F16" i="2"/>
  <c r="X15" i="2"/>
  <c r="R15" i="2"/>
  <c r="L15" i="2"/>
  <c r="F15" i="2"/>
  <c r="X14" i="2"/>
  <c r="R14" i="2"/>
  <c r="L14" i="2"/>
  <c r="F14" i="2"/>
  <c r="X13" i="2"/>
  <c r="R13" i="2"/>
  <c r="L13" i="2"/>
  <c r="F13" i="2"/>
  <c r="X12" i="2"/>
  <c r="R12" i="2"/>
  <c r="L12" i="2"/>
  <c r="F12" i="2"/>
  <c r="X11" i="2"/>
  <c r="R11" i="2"/>
  <c r="L11" i="2"/>
  <c r="F11" i="2"/>
  <c r="X10" i="2"/>
  <c r="R10" i="2"/>
  <c r="L10" i="2"/>
  <c r="F10" i="2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44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44" i="1"/>
  <c r="L45" i="1"/>
  <c r="L46" i="1"/>
  <c r="L47" i="1"/>
  <c r="F54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R33" i="1"/>
  <c r="AB3" i="1" s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R102" i="2" l="1"/>
  <c r="X101" i="2" s="1"/>
  <c r="R34" i="1"/>
  <c r="X33" i="1" s="1"/>
  <c r="F170" i="2"/>
  <c r="L169" i="2" s="1"/>
  <c r="L168" i="2"/>
  <c r="L134" i="2"/>
  <c r="R136" i="2"/>
  <c r="X135" i="2" s="1"/>
  <c r="X136" i="2" s="1"/>
  <c r="F136" i="2"/>
  <c r="L135" i="2" s="1"/>
  <c r="X100" i="2"/>
  <c r="L100" i="2"/>
  <c r="F102" i="2"/>
  <c r="L101" i="2" s="1"/>
  <c r="R68" i="2"/>
  <c r="X67" i="2" s="1"/>
  <c r="X68" i="2" s="1"/>
  <c r="L66" i="2"/>
  <c r="F68" i="2"/>
  <c r="L67" i="2" s="1"/>
  <c r="L68" i="2" s="1"/>
  <c r="X32" i="2"/>
  <c r="R34" i="2"/>
  <c r="X33" i="2" s="1"/>
  <c r="F34" i="2"/>
  <c r="X32" i="1"/>
  <c r="X66" i="1"/>
  <c r="R68" i="1"/>
  <c r="X67" i="1" s="1"/>
  <c r="L66" i="1"/>
  <c r="F68" i="1"/>
  <c r="L67" i="1" s="1"/>
  <c r="X102" i="2" l="1"/>
  <c r="L102" i="2"/>
  <c r="L33" i="2"/>
  <c r="L34" i="2" s="1"/>
  <c r="Z3" i="2"/>
  <c r="X34" i="1"/>
  <c r="L170" i="2"/>
  <c r="L136" i="2"/>
  <c r="X34" i="2"/>
  <c r="X68" i="1"/>
  <c r="L68" i="1"/>
  <c r="AF3" i="2" l="1"/>
  <c r="F33" i="1"/>
  <c r="F19" i="1"/>
  <c r="F11" i="1"/>
  <c r="F12" i="1"/>
  <c r="F13" i="1"/>
  <c r="F14" i="1"/>
  <c r="F15" i="1"/>
  <c r="F16" i="1"/>
  <c r="F17" i="1"/>
  <c r="F18" i="1"/>
  <c r="F10" i="1"/>
  <c r="F34" i="1" l="1"/>
  <c r="L33" i="1" l="1"/>
  <c r="L34" i="1" s="1"/>
  <c r="AF3" i="1" s="1"/>
  <c r="Z3" i="1"/>
</calcChain>
</file>

<file path=xl/sharedStrings.xml><?xml version="1.0" encoding="utf-8"?>
<sst xmlns="http://schemas.openxmlformats.org/spreadsheetml/2006/main" count="1031" uniqueCount="105">
  <si>
    <t xml:space="preserve">SALES INVOICE: </t>
  </si>
  <si>
    <t>CUSTOMER'S NAME:</t>
  </si>
  <si>
    <t>ADDRESS:</t>
  </si>
  <si>
    <t>DATE:</t>
  </si>
  <si>
    <t>CONTENTS DELIVERED</t>
  </si>
  <si>
    <t>SKU</t>
  </si>
  <si>
    <t>QTY.</t>
  </si>
  <si>
    <t>UNIT</t>
  </si>
  <si>
    <t>UNIT PRICE</t>
  </si>
  <si>
    <t>AMOUNT</t>
  </si>
  <si>
    <t>RH1000</t>
  </si>
  <si>
    <t>RH500</t>
  </si>
  <si>
    <t>RH330</t>
  </si>
  <si>
    <t>PP1000</t>
  </si>
  <si>
    <t>PP320</t>
  </si>
  <si>
    <t>SML330</t>
  </si>
  <si>
    <t>FB330</t>
  </si>
  <si>
    <t>MHT</t>
  </si>
  <si>
    <t>CALI</t>
  </si>
  <si>
    <t>TOTAL AMOUNT DUE:</t>
  </si>
  <si>
    <t>EXTRA CONTAINERS</t>
  </si>
  <si>
    <t>RETURNED</t>
  </si>
  <si>
    <t>DELIVERED</t>
  </si>
  <si>
    <t>AMOUNT OF EXTRA CONTAINERS</t>
  </si>
  <si>
    <t>AMOUNT OF CONTENTS DELIVERED</t>
  </si>
  <si>
    <t>TOTAL INVOICE AMOUNT</t>
  </si>
  <si>
    <t>CALI CAN</t>
  </si>
  <si>
    <t>DISCOUNT</t>
  </si>
  <si>
    <t>LESS DISCOUNT</t>
  </si>
  <si>
    <t>GUILLERMO BEVERAGE DISTRIBUTION SERVICES</t>
  </si>
  <si>
    <t>0008637</t>
  </si>
  <si>
    <t>JEZELLE STORE</t>
  </si>
  <si>
    <t>01-21-2026</t>
  </si>
  <si>
    <t>POB, SIAYAN</t>
  </si>
  <si>
    <t>0008638</t>
  </si>
  <si>
    <t>BALAMBAN STORE</t>
  </si>
  <si>
    <t>GUNYAN, SIAYAN</t>
  </si>
  <si>
    <t>0008639</t>
  </si>
  <si>
    <t>BALWARTE</t>
  </si>
  <si>
    <t>DISUD, SINDANGAN</t>
  </si>
  <si>
    <t>RHSL1000</t>
  </si>
  <si>
    <t>SMLC/PPC/</t>
  </si>
  <si>
    <t>RHL/PL</t>
  </si>
  <si>
    <t>ROUTE #</t>
  </si>
  <si>
    <t>DSP</t>
  </si>
  <si>
    <t>DRIVER</t>
  </si>
  <si>
    <t>TRUCKMAN</t>
  </si>
  <si>
    <t>PORMENTO, ESTEMARK</t>
  </si>
  <si>
    <t>SALIG, JULIVEN</t>
  </si>
  <si>
    <t>BAOC, PRECILLANO</t>
  </si>
  <si>
    <t>LOPEZ, GINA GRACE</t>
  </si>
  <si>
    <t>ENCLONAR, JEROME</t>
  </si>
  <si>
    <t>SALIG, JOVANI</t>
  </si>
  <si>
    <t>0008581</t>
  </si>
  <si>
    <t>CRYSTAL STORE</t>
  </si>
  <si>
    <t>MARAS, SINDANGAN</t>
  </si>
  <si>
    <t>0008582</t>
  </si>
  <si>
    <t>MITCHEL STORE</t>
  </si>
  <si>
    <t>01-21-206</t>
  </si>
  <si>
    <t>0008583</t>
  </si>
  <si>
    <t>DON STORE</t>
  </si>
  <si>
    <t>LEIZEL</t>
  </si>
  <si>
    <t>0008584</t>
  </si>
  <si>
    <t>0008585</t>
  </si>
  <si>
    <t>BBS</t>
  </si>
  <si>
    <t>POB, BACUNGAN</t>
  </si>
  <si>
    <t>MHT BOTT</t>
  </si>
  <si>
    <t>0008586</t>
  </si>
  <si>
    <t>AGAN STORE</t>
  </si>
  <si>
    <t>PP BOTT.</t>
  </si>
  <si>
    <t>0008587</t>
  </si>
  <si>
    <t>MAMAC STORE</t>
  </si>
  <si>
    <t>TALINGA, SINDANGAN</t>
  </si>
  <si>
    <t>0008589</t>
  </si>
  <si>
    <t>BAYBAYAN STORE</t>
  </si>
  <si>
    <t>DATU TANGKILAN, SINDANGAN</t>
  </si>
  <si>
    <t>PROMO</t>
  </si>
  <si>
    <t>AMOUNT DUE</t>
  </si>
  <si>
    <t>DANDAYO, RONNEL</t>
  </si>
  <si>
    <t>ARANCES, MARIO</t>
  </si>
  <si>
    <t>GOMORA, JURLAN</t>
  </si>
  <si>
    <t>0008517</t>
  </si>
  <si>
    <t>PABUAYA, VIRGINIA</t>
  </si>
  <si>
    <t>POB, SALUG</t>
  </si>
  <si>
    <t>0008518</t>
  </si>
  <si>
    <t>0008519</t>
  </si>
  <si>
    <t>DOD'S MIRACLE</t>
  </si>
  <si>
    <t>PL</t>
  </si>
  <si>
    <t>HT</t>
  </si>
  <si>
    <t>0008520</t>
  </si>
  <si>
    <t>RAYMOND ABRIOL</t>
  </si>
  <si>
    <t>0008521</t>
  </si>
  <si>
    <t>MIRACLE BEB'S</t>
  </si>
  <si>
    <t>0008522</t>
  </si>
  <si>
    <t>VILMA TAGULOB</t>
  </si>
  <si>
    <t>0008523</t>
  </si>
  <si>
    <t>ELMY COMENDADOR</t>
  </si>
  <si>
    <t>0008524</t>
  </si>
  <si>
    <t>INDAY STORE</t>
  </si>
  <si>
    <t>CANAWAN, SALUG</t>
  </si>
  <si>
    <t>0008525</t>
  </si>
  <si>
    <t>JERIEL LAGARE</t>
  </si>
  <si>
    <t>0008526</t>
  </si>
  <si>
    <t>ROEL DIVINO</t>
  </si>
  <si>
    <t>LIPAKAN, SALUG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</si>
</sst>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43" fontId="2" fillId="0" borderId="0" xfId="1" applyFont="1"/>
    <xf numFmtId="0" fontId="0" fillId="3" borderId="0" xfId="0" applyFill="1"/>
    <xf numFmtId="0" fontId="5" fillId="3" borderId="0" xfId="0" applyFont="1" applyFill="1"/>
    <xf numFmtId="0" fontId="6" fillId="0" borderId="0" xfId="0" applyFont="1"/>
    <xf numFmtId="43" fontId="2" fillId="4" borderId="0" xfId="0" applyNumberFormat="1" applyFont="1" applyFill="1"/>
    <xf numFmtId="43" fontId="2" fillId="5" borderId="0" xfId="0" applyNumberFormat="1" applyFont="1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0" borderId="0" xfId="0" applyFill="1"/>
    <xf numFmtId="43" fontId="0" fillId="0" borderId="0" xfId="0" applyNumberForma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5B81-D0B9-4EC8-B8BF-DE1FD3C0ED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5EA2-9CD3-4CDD-A9ED-11B501E5E2B1}">
  <dimension ref="B1:AF68"/>
  <sheetViews>
    <sheetView workbookViewId="0">
      <selection activeCell="D5" sqref="D5:F5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76</v>
      </c>
      <c r="AF1" s="18" t="s">
        <v>77</v>
      </c>
    </row>
    <row r="3" spans="2:32" x14ac:dyDescent="0.25">
      <c r="B3" s="22" t="s">
        <v>0</v>
      </c>
      <c r="C3" s="22"/>
      <c r="D3" s="27" t="s">
        <v>30</v>
      </c>
      <c r="E3" s="27"/>
      <c r="F3" s="27"/>
      <c r="H3" s="22" t="s">
        <v>43</v>
      </c>
      <c r="I3" s="22"/>
      <c r="J3">
        <v>1</v>
      </c>
      <c r="N3" s="22" t="s">
        <v>0</v>
      </c>
      <c r="O3" s="22"/>
      <c r="P3" s="27" t="s">
        <v>34</v>
      </c>
      <c r="Q3" s="27"/>
      <c r="R3" s="27"/>
      <c r="T3" s="22" t="s">
        <v>43</v>
      </c>
      <c r="U3" s="22"/>
      <c r="V3">
        <v>1</v>
      </c>
      <c r="Z3" s="3">
        <f>F34+R34+F68</f>
        <v>0</v>
      </c>
      <c r="AB3">
        <f>R33</f>
        <v>0</v>
      </c>
      <c r="AF3" s="3">
        <f>L34+X34+L68</f>
        <v>0</v>
      </c>
    </row>
    <row r="4" spans="2:32" x14ac:dyDescent="0.25">
      <c r="B4" s="22" t="s">
        <v>1</v>
      </c>
      <c r="C4" s="22"/>
      <c r="D4" s="23" t="s">
        <v>31</v>
      </c>
      <c r="E4" s="23"/>
      <c r="F4" s="23"/>
      <c r="H4" s="22" t="s">
        <v>44</v>
      </c>
      <c r="I4" s="22"/>
      <c r="J4" t="s">
        <v>47</v>
      </c>
      <c r="N4" s="22" t="s">
        <v>1</v>
      </c>
      <c r="O4" s="22"/>
      <c r="P4" s="23" t="s">
        <v>35</v>
      </c>
      <c r="Q4" s="23"/>
      <c r="R4" s="23"/>
      <c r="T4" s="22" t="s">
        <v>44</v>
      </c>
      <c r="U4" s="22"/>
      <c r="V4" t="s">
        <v>47</v>
      </c>
    </row>
    <row r="5" spans="2:32" x14ac:dyDescent="0.25">
      <c r="B5" s="22" t="s">
        <v>3</v>
      </c>
      <c r="C5" s="22"/>
      <c r="D5" s="29">
        <v>46056</v>
      </c>
      <c r="E5" s="28"/>
      <c r="F5" s="28"/>
      <c r="H5" s="22" t="s">
        <v>45</v>
      </c>
      <c r="I5" s="22"/>
      <c r="J5" t="s">
        <v>48</v>
      </c>
      <c r="N5" s="22" t="s">
        <v>3</v>
      </c>
      <c r="O5" s="22"/>
      <c r="P5" s="23" t="s">
        <v>32</v>
      </c>
      <c r="Q5" s="23"/>
      <c r="R5" s="23"/>
      <c r="T5" s="22" t="s">
        <v>45</v>
      </c>
      <c r="U5" s="22"/>
      <c r="V5" t="s">
        <v>48</v>
      </c>
    </row>
    <row r="6" spans="2:32" x14ac:dyDescent="0.25">
      <c r="B6" s="22" t="s">
        <v>2</v>
      </c>
      <c r="C6" s="22"/>
      <c r="D6" s="23" t="s">
        <v>33</v>
      </c>
      <c r="E6" s="23"/>
      <c r="F6" s="23"/>
      <c r="H6" s="22" t="s">
        <v>46</v>
      </c>
      <c r="I6" s="22"/>
      <c r="J6" t="s">
        <v>49</v>
      </c>
      <c r="N6" s="22" t="s">
        <v>2</v>
      </c>
      <c r="O6" s="22"/>
      <c r="P6" s="23" t="s">
        <v>36</v>
      </c>
      <c r="Q6" s="23"/>
      <c r="R6" s="23"/>
      <c r="T6" s="22" t="s">
        <v>46</v>
      </c>
      <c r="U6" s="22"/>
      <c r="V6" t="s">
        <v>49</v>
      </c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E10">
        <v>650</v>
      </c>
      <c r="F10" s="2">
        <f>C10*E10</f>
        <v>0</v>
      </c>
      <c r="K10">
        <v>111</v>
      </c>
      <c r="L10" s="2">
        <f t="shared" ref="L10:L32" si="0">-I10*K10+J10*K10</f>
        <v>0</v>
      </c>
      <c r="N10" t="s">
        <v>10</v>
      </c>
      <c r="Q10">
        <v>650</v>
      </c>
      <c r="R10" s="2">
        <f>O10*Q10</f>
        <v>0</v>
      </c>
      <c r="T10" t="s">
        <v>42</v>
      </c>
      <c r="W10">
        <v>111</v>
      </c>
      <c r="X10" s="2">
        <f t="shared" ref="X10:X31" si="1">-U10*W10+V10*W10</f>
        <v>0</v>
      </c>
    </row>
    <row r="11" spans="2:32" x14ac:dyDescent="0.25">
      <c r="B11" t="s">
        <v>11</v>
      </c>
      <c r="F11" s="2">
        <f t="shared" ref="F11:F32" si="2">C11*E11</f>
        <v>0</v>
      </c>
      <c r="L11" s="2">
        <f t="shared" si="0"/>
        <v>0</v>
      </c>
      <c r="N11" t="s">
        <v>11</v>
      </c>
      <c r="R11" s="2">
        <f t="shared" ref="R11:R32" si="3">O11*Q11</f>
        <v>0</v>
      </c>
      <c r="X11" s="2">
        <f t="shared" si="1"/>
        <v>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E13">
        <v>622</v>
      </c>
      <c r="F13" s="2">
        <f t="shared" si="2"/>
        <v>0</v>
      </c>
      <c r="L13" s="2">
        <f t="shared" si="0"/>
        <v>0</v>
      </c>
      <c r="N13" t="s">
        <v>13</v>
      </c>
      <c r="Q13">
        <v>622</v>
      </c>
      <c r="R13" s="2">
        <f t="shared" si="3"/>
        <v>0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E17">
        <v>229</v>
      </c>
      <c r="F17" s="2">
        <f t="shared" si="2"/>
        <v>0</v>
      </c>
      <c r="K17">
        <v>42</v>
      </c>
      <c r="L17" s="2">
        <f t="shared" si="0"/>
        <v>0</v>
      </c>
      <c r="N17" t="s">
        <v>17</v>
      </c>
      <c r="Q17">
        <v>229</v>
      </c>
      <c r="R17" s="2">
        <f t="shared" si="3"/>
        <v>0</v>
      </c>
      <c r="T17" t="s">
        <v>17</v>
      </c>
      <c r="W17">
        <v>42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F20" s="2">
        <f t="shared" si="2"/>
        <v>0</v>
      </c>
      <c r="L20" s="2">
        <f t="shared" si="0"/>
        <v>0</v>
      </c>
      <c r="R20" s="2">
        <f t="shared" si="3"/>
        <v>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0</v>
      </c>
    </row>
    <row r="33" spans="2:24" x14ac:dyDescent="0.25">
      <c r="B33" s="21" t="s">
        <v>28</v>
      </c>
      <c r="C33" s="21"/>
      <c r="D33" s="8"/>
      <c r="E33" s="8"/>
      <c r="F33" s="5">
        <f>-D33*E33</f>
        <v>0</v>
      </c>
      <c r="H33" s="25" t="s">
        <v>24</v>
      </c>
      <c r="I33" s="25"/>
      <c r="J33" s="25"/>
      <c r="K33" s="25"/>
      <c r="L33" s="4">
        <f>SUM(F34)</f>
        <v>0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0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0</v>
      </c>
      <c r="H34" s="25" t="s">
        <v>25</v>
      </c>
      <c r="I34" s="25"/>
      <c r="J34" s="25"/>
      <c r="K34" s="25"/>
      <c r="L34" s="14">
        <f>SUM(L33+L32)</f>
        <v>0</v>
      </c>
      <c r="N34" s="26" t="s">
        <v>19</v>
      </c>
      <c r="O34" s="26"/>
      <c r="P34" s="26"/>
      <c r="Q34" s="26"/>
      <c r="R34" s="13">
        <f>SUM(R10:R33)</f>
        <v>0</v>
      </c>
      <c r="T34" s="25" t="s">
        <v>25</v>
      </c>
      <c r="U34" s="25"/>
      <c r="V34" s="25"/>
      <c r="W34" s="25"/>
      <c r="X34" s="14">
        <f>SUM(X33+X32)</f>
        <v>0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37</v>
      </c>
      <c r="E37" s="27"/>
      <c r="F37" s="27"/>
      <c r="H37" s="22" t="s">
        <v>43</v>
      </c>
      <c r="I37" s="22"/>
      <c r="J37">
        <v>1</v>
      </c>
      <c r="N37" s="22" t="s">
        <v>0</v>
      </c>
      <c r="O37" s="22"/>
      <c r="P37" s="27"/>
      <c r="Q37" s="27"/>
      <c r="R37" s="27"/>
      <c r="T37" s="22" t="s">
        <v>43</v>
      </c>
      <c r="U37" s="22"/>
      <c r="V37">
        <v>1</v>
      </c>
    </row>
    <row r="38" spans="2:24" x14ac:dyDescent="0.25">
      <c r="B38" s="22" t="s">
        <v>1</v>
      </c>
      <c r="C38" s="22"/>
      <c r="D38" s="23" t="s">
        <v>38</v>
      </c>
      <c r="E38" s="23"/>
      <c r="F38" s="23"/>
      <c r="H38" s="22" t="s">
        <v>44</v>
      </c>
      <c r="I38" s="22"/>
      <c r="J38" t="s">
        <v>47</v>
      </c>
      <c r="N38" s="22" t="s">
        <v>1</v>
      </c>
      <c r="O38" s="22"/>
      <c r="P38" s="23"/>
      <c r="Q38" s="23"/>
      <c r="R38" s="23"/>
      <c r="T38" s="22" t="s">
        <v>44</v>
      </c>
      <c r="U38" s="22"/>
      <c r="V38" t="s">
        <v>47</v>
      </c>
    </row>
    <row r="39" spans="2:24" x14ac:dyDescent="0.25">
      <c r="B39" s="22" t="s">
        <v>3</v>
      </c>
      <c r="C39" s="22"/>
      <c r="D39" s="23" t="s">
        <v>32</v>
      </c>
      <c r="E39" s="23"/>
      <c r="F39" s="23"/>
      <c r="H39" s="22" t="s">
        <v>45</v>
      </c>
      <c r="I39" s="22"/>
      <c r="J39" t="s">
        <v>48</v>
      </c>
      <c r="N39" s="22" t="s">
        <v>3</v>
      </c>
      <c r="O39" s="22"/>
      <c r="P39" s="23"/>
      <c r="Q39" s="23"/>
      <c r="R39" s="23"/>
      <c r="T39" s="22" t="s">
        <v>45</v>
      </c>
      <c r="U39" s="22"/>
      <c r="V39" t="s">
        <v>48</v>
      </c>
    </row>
    <row r="40" spans="2:24" x14ac:dyDescent="0.25">
      <c r="B40" s="22" t="s">
        <v>2</v>
      </c>
      <c r="C40" s="22"/>
      <c r="D40" s="23" t="s">
        <v>39</v>
      </c>
      <c r="E40" s="23"/>
      <c r="F40" s="23"/>
      <c r="H40" s="22" t="s">
        <v>46</v>
      </c>
      <c r="I40" s="22"/>
      <c r="J40" t="s">
        <v>49</v>
      </c>
      <c r="N40" s="22" t="s">
        <v>2</v>
      </c>
      <c r="O40" s="22"/>
      <c r="P40" s="23"/>
      <c r="Q40" s="23"/>
      <c r="R40" s="23"/>
      <c r="T40" s="22" t="s">
        <v>46</v>
      </c>
      <c r="U40" s="22"/>
      <c r="V40" t="s">
        <v>49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E44">
        <v>650</v>
      </c>
      <c r="F44" s="2">
        <f>C44*E44</f>
        <v>0</v>
      </c>
      <c r="K44">
        <v>111</v>
      </c>
      <c r="L44" s="2">
        <f t="shared" ref="L44:L46" si="4">-I44*K44+J44*K44</f>
        <v>0</v>
      </c>
      <c r="N44" t="s">
        <v>10</v>
      </c>
      <c r="R44" s="2">
        <f>O44*Q44</f>
        <v>0</v>
      </c>
      <c r="X44" s="2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2">
        <f t="shared" ref="F45:F66" si="6">C45*E45</f>
        <v>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E47">
        <v>622</v>
      </c>
      <c r="F47" s="2">
        <f t="shared" si="6"/>
        <v>0</v>
      </c>
      <c r="K47">
        <v>4.5</v>
      </c>
      <c r="L47" s="2">
        <f>-I47*K47+J47*K47</f>
        <v>0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E50">
        <v>872</v>
      </c>
      <c r="F50" s="2">
        <f t="shared" si="6"/>
        <v>0</v>
      </c>
      <c r="L50" s="2">
        <f t="shared" si="8"/>
        <v>0</v>
      </c>
      <c r="N50" t="s">
        <v>16</v>
      </c>
      <c r="R50" s="2">
        <f t="shared" si="7"/>
        <v>0</v>
      </c>
      <c r="X50" s="2">
        <f t="shared" si="5"/>
        <v>0</v>
      </c>
    </row>
    <row r="51" spans="2:24" x14ac:dyDescent="0.25">
      <c r="B51" t="s">
        <v>17</v>
      </c>
      <c r="E51">
        <v>229</v>
      </c>
      <c r="F51" s="2">
        <f t="shared" si="6"/>
        <v>0</v>
      </c>
      <c r="K51">
        <v>42</v>
      </c>
      <c r="L51" s="2">
        <f t="shared" si="8"/>
        <v>0</v>
      </c>
      <c r="N51" t="s">
        <v>17</v>
      </c>
      <c r="R51" s="2">
        <f t="shared" si="7"/>
        <v>0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L52" s="2">
        <f t="shared" si="8"/>
        <v>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41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40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0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0</v>
      </c>
    </row>
    <row r="67" spans="2:24" x14ac:dyDescent="0.25">
      <c r="B67" s="21" t="s">
        <v>28</v>
      </c>
      <c r="C67" s="21"/>
      <c r="D67" s="8"/>
      <c r="E67" s="8"/>
      <c r="F67" s="5">
        <f>-D67*E67</f>
        <v>0</v>
      </c>
      <c r="H67" s="25" t="s">
        <v>24</v>
      </c>
      <c r="I67" s="25"/>
      <c r="J67" s="25"/>
      <c r="K67" s="25"/>
      <c r="L67" s="4">
        <f>SUM(F68)</f>
        <v>0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0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0</v>
      </c>
      <c r="H68" s="25" t="s">
        <v>25</v>
      </c>
      <c r="I68" s="25"/>
      <c r="J68" s="25"/>
      <c r="K68" s="25"/>
      <c r="L68" s="14">
        <f>SUM(L67+L66)</f>
        <v>0</v>
      </c>
      <c r="N68" s="26" t="s">
        <v>19</v>
      </c>
      <c r="O68" s="26"/>
      <c r="P68" s="26"/>
      <c r="Q68" s="26"/>
      <c r="R68" s="13">
        <f>SUM(R44:R67)</f>
        <v>0</v>
      </c>
      <c r="T68" s="25" t="s">
        <v>25</v>
      </c>
      <c r="U68" s="25"/>
      <c r="V68" s="25"/>
      <c r="W68" s="25"/>
      <c r="X68" s="14">
        <f>SUM(X67+X66)</f>
        <v>0</v>
      </c>
    </row>
  </sheetData>
  <mergeCells count="72">
    <mergeCell ref="T40:U40"/>
    <mergeCell ref="T3:U3"/>
    <mergeCell ref="T4:U4"/>
    <mergeCell ref="T5:U5"/>
    <mergeCell ref="T6:U6"/>
    <mergeCell ref="T8:X8"/>
    <mergeCell ref="T32:W32"/>
    <mergeCell ref="T33:W33"/>
    <mergeCell ref="T37:U37"/>
    <mergeCell ref="T38:U38"/>
    <mergeCell ref="P37:R37"/>
    <mergeCell ref="P38:R38"/>
    <mergeCell ref="T39:U39"/>
    <mergeCell ref="P39:R39"/>
    <mergeCell ref="P40:R40"/>
    <mergeCell ref="H3:I3"/>
    <mergeCell ref="H4:I4"/>
    <mergeCell ref="H5:I5"/>
    <mergeCell ref="H6:I6"/>
    <mergeCell ref="H39:I39"/>
    <mergeCell ref="H40:I40"/>
    <mergeCell ref="N40:O40"/>
    <mergeCell ref="H37:I37"/>
    <mergeCell ref="H38:I38"/>
    <mergeCell ref="D6:F6"/>
    <mergeCell ref="P3:R3"/>
    <mergeCell ref="P4:R4"/>
    <mergeCell ref="P5:R5"/>
    <mergeCell ref="P6:R6"/>
    <mergeCell ref="T42:X42"/>
    <mergeCell ref="T66:W66"/>
    <mergeCell ref="N67:O67"/>
    <mergeCell ref="T67:W67"/>
    <mergeCell ref="N68:Q68"/>
    <mergeCell ref="T68:W68"/>
    <mergeCell ref="N38:O38"/>
    <mergeCell ref="N39:O39"/>
    <mergeCell ref="D37:F37"/>
    <mergeCell ref="D38:F38"/>
    <mergeCell ref="D39:F39"/>
    <mergeCell ref="D40:F40"/>
    <mergeCell ref="N34:Q34"/>
    <mergeCell ref="T34:W34"/>
    <mergeCell ref="H68:K68"/>
    <mergeCell ref="B68:E68"/>
    <mergeCell ref="H67:K67"/>
    <mergeCell ref="B67:C67"/>
    <mergeCell ref="H66:K66"/>
    <mergeCell ref="H42:L42"/>
    <mergeCell ref="B40:C40"/>
    <mergeCell ref="B39:C39"/>
    <mergeCell ref="B34:E34"/>
    <mergeCell ref="H34:K34"/>
    <mergeCell ref="B38:C38"/>
    <mergeCell ref="B37:C37"/>
    <mergeCell ref="N37:O37"/>
    <mergeCell ref="B33:C33"/>
    <mergeCell ref="N3:O3"/>
    <mergeCell ref="N4:O4"/>
    <mergeCell ref="N5:O5"/>
    <mergeCell ref="N6:O6"/>
    <mergeCell ref="N33:O33"/>
    <mergeCell ref="D4:F4"/>
    <mergeCell ref="B3:C3"/>
    <mergeCell ref="B4:C4"/>
    <mergeCell ref="B5:C5"/>
    <mergeCell ref="B6:C6"/>
    <mergeCell ref="H8:L8"/>
    <mergeCell ref="H33:K33"/>
    <mergeCell ref="H32:K32"/>
    <mergeCell ref="D3:F3"/>
    <mergeCell ref="D5:F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70A4-641B-4DA7-BCAC-505175305434}">
  <dimension ref="B1:AF170"/>
  <sheetViews>
    <sheetView zoomScaleNormal="100" workbookViewId="0">
      <selection activeCell="E101" sqref="D101:E101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76</v>
      </c>
      <c r="AF1" s="18" t="s">
        <v>77</v>
      </c>
    </row>
    <row r="3" spans="2:32" x14ac:dyDescent="0.25">
      <c r="B3" s="22" t="s">
        <v>0</v>
      </c>
      <c r="C3" s="22"/>
      <c r="D3" s="27" t="s">
        <v>53</v>
      </c>
      <c r="E3" s="27"/>
      <c r="F3" s="27"/>
      <c r="H3" s="22" t="s">
        <v>43</v>
      </c>
      <c r="I3" s="22"/>
      <c r="J3">
        <v>2</v>
      </c>
      <c r="N3" s="22" t="s">
        <v>0</v>
      </c>
      <c r="O3" s="22"/>
      <c r="P3" s="27" t="s">
        <v>56</v>
      </c>
      <c r="Q3" s="27"/>
      <c r="R3" s="27"/>
      <c r="T3" s="22" t="s">
        <v>43</v>
      </c>
      <c r="U3" s="22"/>
      <c r="V3">
        <v>2</v>
      </c>
      <c r="Z3" s="20">
        <f>F34+R34+F68+R68+F102+R102+F136+R136+F170</f>
        <v>0</v>
      </c>
      <c r="AA3" s="19"/>
      <c r="AB3" s="19">
        <f>F101</f>
        <v>0</v>
      </c>
      <c r="AC3" s="19"/>
      <c r="AD3" s="19"/>
      <c r="AF3" s="3">
        <f>L34+X34+L68+X68+L102+X102+L136+X136+L170</f>
        <v>0</v>
      </c>
    </row>
    <row r="4" spans="2:32" x14ac:dyDescent="0.25">
      <c r="B4" s="22" t="s">
        <v>1</v>
      </c>
      <c r="C4" s="22"/>
      <c r="D4" s="23" t="s">
        <v>54</v>
      </c>
      <c r="E4" s="23"/>
      <c r="F4" s="23"/>
      <c r="H4" s="22" t="s">
        <v>44</v>
      </c>
      <c r="I4" s="22"/>
      <c r="J4" t="s">
        <v>50</v>
      </c>
      <c r="N4" s="22" t="s">
        <v>1</v>
      </c>
      <c r="O4" s="22"/>
      <c r="P4" s="23" t="s">
        <v>57</v>
      </c>
      <c r="Q4" s="23"/>
      <c r="R4" s="23"/>
      <c r="T4" s="22" t="s">
        <v>44</v>
      </c>
      <c r="U4" s="22"/>
      <c r="V4" t="s">
        <v>50</v>
      </c>
      <c r="Z4" s="19"/>
      <c r="AA4" s="19"/>
      <c r="AB4" s="19"/>
      <c r="AC4" s="19"/>
      <c r="AD4" s="19"/>
    </row>
    <row r="5" spans="2:32" x14ac:dyDescent="0.25">
      <c r="B5" s="22" t="s">
        <v>3</v>
      </c>
      <c r="C5" s="22"/>
      <c r="D5" s="28" t="s">
        <v>32</v>
      </c>
      <c r="E5" s="28"/>
      <c r="F5" s="28"/>
      <c r="H5" s="22" t="s">
        <v>45</v>
      </c>
      <c r="I5" s="22"/>
      <c r="J5" t="s">
        <v>51</v>
      </c>
      <c r="N5" s="22" t="s">
        <v>3</v>
      </c>
      <c r="O5" s="22"/>
      <c r="P5" s="23" t="s">
        <v>58</v>
      </c>
      <c r="Q5" s="23"/>
      <c r="R5" s="23"/>
      <c r="T5" s="22" t="s">
        <v>45</v>
      </c>
      <c r="U5" s="22"/>
      <c r="V5" t="s">
        <v>51</v>
      </c>
      <c r="Z5" s="19"/>
      <c r="AA5" s="19"/>
      <c r="AB5" s="19"/>
      <c r="AC5" s="19"/>
      <c r="AD5" s="19"/>
    </row>
    <row r="6" spans="2:32" x14ac:dyDescent="0.25">
      <c r="B6" s="22" t="s">
        <v>2</v>
      </c>
      <c r="C6" s="22"/>
      <c r="D6" s="23" t="s">
        <v>55</v>
      </c>
      <c r="E6" s="23"/>
      <c r="F6" s="23"/>
      <c r="H6" s="22" t="s">
        <v>46</v>
      </c>
      <c r="I6" s="22"/>
      <c r="J6" t="s">
        <v>52</v>
      </c>
      <c r="N6" s="22" t="s">
        <v>2</v>
      </c>
      <c r="O6" s="22"/>
      <c r="P6" s="23" t="s">
        <v>55</v>
      </c>
      <c r="Q6" s="23"/>
      <c r="R6" s="23"/>
      <c r="T6" s="22" t="s">
        <v>46</v>
      </c>
      <c r="U6" s="22"/>
      <c r="V6" t="s">
        <v>52</v>
      </c>
      <c r="Z6" s="19"/>
      <c r="AA6" s="19"/>
      <c r="AB6" s="19"/>
      <c r="AC6" s="19"/>
      <c r="AD6" s="19"/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E10">
        <v>650</v>
      </c>
      <c r="F10" s="2">
        <f>C10*E10</f>
        <v>0</v>
      </c>
      <c r="K10">
        <v>111</v>
      </c>
      <c r="L10" s="2">
        <f t="shared" ref="L10:L32" si="0">-I10*K10+J10*K10</f>
        <v>0</v>
      </c>
      <c r="N10" t="s">
        <v>10</v>
      </c>
      <c r="Q10">
        <v>650</v>
      </c>
      <c r="R10" s="2">
        <f>O10*Q10</f>
        <v>0</v>
      </c>
      <c r="T10" t="s">
        <v>42</v>
      </c>
      <c r="W10">
        <v>111</v>
      </c>
      <c r="X10" s="2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2">
        <f t="shared" ref="F11:F32" si="2">C11*E11</f>
        <v>0</v>
      </c>
      <c r="L11" s="2">
        <f t="shared" si="0"/>
        <v>0</v>
      </c>
      <c r="N11" t="s">
        <v>11</v>
      </c>
      <c r="R11" s="2">
        <f t="shared" ref="R11:R32" si="3">O11*Q11</f>
        <v>0</v>
      </c>
      <c r="X11" s="2">
        <f t="shared" si="1"/>
        <v>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E13">
        <v>622</v>
      </c>
      <c r="F13" s="2">
        <f t="shared" si="2"/>
        <v>0</v>
      </c>
      <c r="L13" s="2">
        <f t="shared" si="0"/>
        <v>0</v>
      </c>
      <c r="N13" t="s">
        <v>13</v>
      </c>
      <c r="Q13">
        <v>622</v>
      </c>
      <c r="R13" s="2">
        <f t="shared" si="3"/>
        <v>0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E17">
        <v>9.5</v>
      </c>
      <c r="F17" s="2">
        <f t="shared" si="2"/>
        <v>0</v>
      </c>
      <c r="K17">
        <v>42</v>
      </c>
      <c r="L17" s="2">
        <f t="shared" si="0"/>
        <v>0</v>
      </c>
      <c r="N17" t="s">
        <v>17</v>
      </c>
      <c r="Q17">
        <v>9.5</v>
      </c>
      <c r="R17" s="2">
        <f t="shared" si="3"/>
        <v>0</v>
      </c>
      <c r="T17" t="s">
        <v>17</v>
      </c>
      <c r="W17">
        <v>42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F20" s="2">
        <f t="shared" si="2"/>
        <v>0</v>
      </c>
      <c r="L20" s="2">
        <f t="shared" si="0"/>
        <v>0</v>
      </c>
      <c r="R20" s="2">
        <f t="shared" si="3"/>
        <v>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0</v>
      </c>
    </row>
    <row r="33" spans="2:24" x14ac:dyDescent="0.25">
      <c r="B33" s="21" t="s">
        <v>28</v>
      </c>
      <c r="C33" s="21"/>
      <c r="D33" s="8"/>
      <c r="E33" s="8"/>
      <c r="F33" s="5">
        <f>-D33*E33</f>
        <v>0</v>
      </c>
      <c r="H33" s="25" t="s">
        <v>24</v>
      </c>
      <c r="I33" s="25"/>
      <c r="J33" s="25"/>
      <c r="K33" s="25"/>
      <c r="L33" s="4">
        <f>SUM(F34)</f>
        <v>0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0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0</v>
      </c>
      <c r="H34" s="25" t="s">
        <v>25</v>
      </c>
      <c r="I34" s="25"/>
      <c r="J34" s="25"/>
      <c r="K34" s="25"/>
      <c r="L34" s="14">
        <f>SUM(L33+L32)</f>
        <v>0</v>
      </c>
      <c r="N34" s="26" t="s">
        <v>19</v>
      </c>
      <c r="O34" s="26"/>
      <c r="P34" s="26"/>
      <c r="Q34" s="26"/>
      <c r="R34" s="13">
        <f>SUM(R10:R33)</f>
        <v>0</v>
      </c>
      <c r="T34" s="25" t="s">
        <v>25</v>
      </c>
      <c r="U34" s="25"/>
      <c r="V34" s="25"/>
      <c r="W34" s="25"/>
      <c r="X34" s="14">
        <f>SUM(X33+X32)</f>
        <v>0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59</v>
      </c>
      <c r="E37" s="27"/>
      <c r="F37" s="27"/>
      <c r="H37" s="22" t="s">
        <v>43</v>
      </c>
      <c r="I37" s="22"/>
      <c r="J37">
        <v>2</v>
      </c>
      <c r="N37" s="22" t="s">
        <v>0</v>
      </c>
      <c r="O37" s="22"/>
      <c r="P37" s="27" t="s">
        <v>62</v>
      </c>
      <c r="Q37" s="27"/>
      <c r="R37" s="27"/>
      <c r="T37" s="22" t="s">
        <v>43</v>
      </c>
      <c r="U37" s="22"/>
      <c r="V37">
        <v>2</v>
      </c>
    </row>
    <row r="38" spans="2:24" x14ac:dyDescent="0.25">
      <c r="B38" s="22" t="s">
        <v>1</v>
      </c>
      <c r="C38" s="22"/>
      <c r="D38" s="23" t="s">
        <v>60</v>
      </c>
      <c r="E38" s="23"/>
      <c r="F38" s="23"/>
      <c r="H38" s="22" t="s">
        <v>44</v>
      </c>
      <c r="I38" s="22"/>
      <c r="J38" t="s">
        <v>50</v>
      </c>
      <c r="N38" s="22" t="s">
        <v>1</v>
      </c>
      <c r="O38" s="22"/>
      <c r="P38" s="23" t="s">
        <v>61</v>
      </c>
      <c r="Q38" s="23"/>
      <c r="R38" s="23"/>
      <c r="T38" s="22" t="s">
        <v>44</v>
      </c>
      <c r="U38" s="22"/>
      <c r="V38" t="s">
        <v>50</v>
      </c>
    </row>
    <row r="39" spans="2:24" x14ac:dyDescent="0.25">
      <c r="B39" s="22" t="s">
        <v>3</v>
      </c>
      <c r="C39" s="22"/>
      <c r="D39" s="23" t="s">
        <v>32</v>
      </c>
      <c r="E39" s="23"/>
      <c r="F39" s="23"/>
      <c r="H39" s="22" t="s">
        <v>45</v>
      </c>
      <c r="I39" s="22"/>
      <c r="J39" t="s">
        <v>51</v>
      </c>
      <c r="N39" s="22" t="s">
        <v>3</v>
      </c>
      <c r="O39" s="22"/>
      <c r="P39" s="23" t="s">
        <v>32</v>
      </c>
      <c r="Q39" s="23"/>
      <c r="R39" s="23"/>
      <c r="T39" s="22" t="s">
        <v>45</v>
      </c>
      <c r="U39" s="22"/>
      <c r="V39" t="s">
        <v>51</v>
      </c>
    </row>
    <row r="40" spans="2:24" x14ac:dyDescent="0.25">
      <c r="B40" s="22" t="s">
        <v>2</v>
      </c>
      <c r="C40" s="22"/>
      <c r="D40" s="23" t="s">
        <v>55</v>
      </c>
      <c r="E40" s="23"/>
      <c r="F40" s="23"/>
      <c r="H40" s="22" t="s">
        <v>46</v>
      </c>
      <c r="I40" s="22"/>
      <c r="J40" t="s">
        <v>52</v>
      </c>
      <c r="N40" s="22" t="s">
        <v>2</v>
      </c>
      <c r="O40" s="22"/>
      <c r="P40" s="23" t="s">
        <v>55</v>
      </c>
      <c r="Q40" s="23"/>
      <c r="R40" s="23"/>
      <c r="T40" s="22" t="s">
        <v>46</v>
      </c>
      <c r="U40" s="22"/>
      <c r="V40" t="s">
        <v>52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E44">
        <v>650</v>
      </c>
      <c r="F44" s="2">
        <f>C44*E44</f>
        <v>0</v>
      </c>
      <c r="K44">
        <v>111</v>
      </c>
      <c r="L44" s="2">
        <f t="shared" ref="L44:L46" si="4">-I44*K44+J44*K44</f>
        <v>0</v>
      </c>
      <c r="N44" t="s">
        <v>10</v>
      </c>
      <c r="Q44">
        <v>650</v>
      </c>
      <c r="R44" s="2">
        <f>O44*Q44</f>
        <v>0</v>
      </c>
      <c r="X44" s="2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2">
        <f t="shared" ref="F45:F66" si="6">C45*E45</f>
        <v>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E47">
        <v>622</v>
      </c>
      <c r="F47" s="2">
        <f t="shared" si="6"/>
        <v>0</v>
      </c>
      <c r="K47">
        <v>4.5</v>
      </c>
      <c r="L47" s="2">
        <f>-I47*K47+J47*K47</f>
        <v>0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E50">
        <v>872</v>
      </c>
      <c r="F50" s="2">
        <f t="shared" si="6"/>
        <v>0</v>
      </c>
      <c r="L50" s="2">
        <f t="shared" si="8"/>
        <v>0</v>
      </c>
      <c r="N50" t="s">
        <v>16</v>
      </c>
      <c r="R50" s="2">
        <f t="shared" si="7"/>
        <v>0</v>
      </c>
      <c r="X50" s="2">
        <f t="shared" si="5"/>
        <v>0</v>
      </c>
    </row>
    <row r="51" spans="2:24" x14ac:dyDescent="0.25">
      <c r="B51" t="s">
        <v>17</v>
      </c>
      <c r="E51">
        <v>9.5</v>
      </c>
      <c r="F51" s="2">
        <f t="shared" si="6"/>
        <v>0</v>
      </c>
      <c r="K51">
        <v>42</v>
      </c>
      <c r="L51" s="2">
        <f t="shared" si="8"/>
        <v>0</v>
      </c>
      <c r="N51" t="s">
        <v>17</v>
      </c>
      <c r="Q51">
        <v>9.5</v>
      </c>
      <c r="R51" s="2">
        <f t="shared" si="7"/>
        <v>0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L52" s="2">
        <f t="shared" si="8"/>
        <v>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41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40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0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0</v>
      </c>
    </row>
    <row r="67" spans="2:24" x14ac:dyDescent="0.25">
      <c r="B67" s="21" t="s">
        <v>28</v>
      </c>
      <c r="C67" s="21"/>
      <c r="D67" s="8"/>
      <c r="E67" s="8"/>
      <c r="F67" s="5">
        <f>-D67*E67</f>
        <v>0</v>
      </c>
      <c r="H67" s="25" t="s">
        <v>24</v>
      </c>
      <c r="I67" s="25"/>
      <c r="J67" s="25"/>
      <c r="K67" s="25"/>
      <c r="L67" s="4">
        <f>SUM(F68)</f>
        <v>0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0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0</v>
      </c>
      <c r="H68" s="25" t="s">
        <v>25</v>
      </c>
      <c r="I68" s="25"/>
      <c r="J68" s="25"/>
      <c r="K68" s="25"/>
      <c r="L68" s="14">
        <f>SUM(L67+L66)</f>
        <v>0</v>
      </c>
      <c r="N68" s="26" t="s">
        <v>19</v>
      </c>
      <c r="O68" s="26"/>
      <c r="P68" s="26"/>
      <c r="Q68" s="26"/>
      <c r="R68" s="13">
        <f>SUM(R44:R67)</f>
        <v>0</v>
      </c>
      <c r="T68" s="25" t="s">
        <v>25</v>
      </c>
      <c r="U68" s="25"/>
      <c r="V68" s="25"/>
      <c r="W68" s="25"/>
      <c r="X68" s="14">
        <f>SUM(X67+X66)</f>
        <v>0</v>
      </c>
    </row>
    <row r="69" spans="2:24" ht="18.75" x14ac:dyDescent="0.3">
      <c r="B69" s="11" t="s">
        <v>29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N69" s="11" t="s">
        <v>29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1" spans="2:24" x14ac:dyDescent="0.25">
      <c r="B71" s="22" t="s">
        <v>0</v>
      </c>
      <c r="C71" s="22"/>
      <c r="D71" s="27" t="s">
        <v>63</v>
      </c>
      <c r="E71" s="27"/>
      <c r="F71" s="27"/>
      <c r="H71" s="22" t="s">
        <v>43</v>
      </c>
      <c r="I71" s="22"/>
      <c r="J71">
        <v>2</v>
      </c>
      <c r="N71" s="22" t="s">
        <v>0</v>
      </c>
      <c r="O71" s="22"/>
      <c r="P71" s="27" t="s">
        <v>67</v>
      </c>
      <c r="Q71" s="27"/>
      <c r="R71" s="27"/>
      <c r="T71" s="22" t="s">
        <v>43</v>
      </c>
      <c r="U71" s="22"/>
      <c r="V71">
        <v>2</v>
      </c>
    </row>
    <row r="72" spans="2:24" x14ac:dyDescent="0.25">
      <c r="B72" s="22" t="s">
        <v>1</v>
      </c>
      <c r="C72" s="22"/>
      <c r="D72" s="23" t="s">
        <v>64</v>
      </c>
      <c r="E72" s="23"/>
      <c r="F72" s="23"/>
      <c r="H72" s="22" t="s">
        <v>44</v>
      </c>
      <c r="I72" s="22"/>
      <c r="J72" t="s">
        <v>50</v>
      </c>
      <c r="N72" s="22" t="s">
        <v>1</v>
      </c>
      <c r="O72" s="22"/>
      <c r="P72" s="23" t="s">
        <v>68</v>
      </c>
      <c r="Q72" s="23"/>
      <c r="R72" s="23"/>
      <c r="T72" s="22" t="s">
        <v>44</v>
      </c>
      <c r="U72" s="22"/>
      <c r="V72" t="s">
        <v>50</v>
      </c>
    </row>
    <row r="73" spans="2:24" x14ac:dyDescent="0.25">
      <c r="B73" s="22" t="s">
        <v>3</v>
      </c>
      <c r="C73" s="22"/>
      <c r="D73" s="23" t="s">
        <v>32</v>
      </c>
      <c r="E73" s="23"/>
      <c r="F73" s="23"/>
      <c r="H73" s="22" t="s">
        <v>45</v>
      </c>
      <c r="I73" s="22"/>
      <c r="J73" t="s">
        <v>51</v>
      </c>
      <c r="N73" s="22" t="s">
        <v>3</v>
      </c>
      <c r="O73" s="22"/>
      <c r="P73" s="23" t="s">
        <v>32</v>
      </c>
      <c r="Q73" s="23"/>
      <c r="R73" s="23"/>
      <c r="T73" s="22" t="s">
        <v>45</v>
      </c>
      <c r="U73" s="22"/>
      <c r="V73" t="s">
        <v>51</v>
      </c>
    </row>
    <row r="74" spans="2:24" x14ac:dyDescent="0.25">
      <c r="B74" s="22" t="s">
        <v>2</v>
      </c>
      <c r="C74" s="22"/>
      <c r="D74" s="23" t="s">
        <v>65</v>
      </c>
      <c r="E74" s="23"/>
      <c r="F74" s="23"/>
      <c r="H74" s="22" t="s">
        <v>46</v>
      </c>
      <c r="I74" s="22"/>
      <c r="J74" t="s">
        <v>52</v>
      </c>
      <c r="N74" s="22" t="s">
        <v>2</v>
      </c>
      <c r="O74" s="22"/>
      <c r="P74" s="23" t="s">
        <v>65</v>
      </c>
      <c r="Q74" s="23"/>
      <c r="R74" s="23"/>
      <c r="T74" s="22" t="s">
        <v>46</v>
      </c>
      <c r="U74" s="22"/>
      <c r="V74" t="s">
        <v>52</v>
      </c>
    </row>
    <row r="76" spans="2:24" x14ac:dyDescent="0.25">
      <c r="B76" s="1"/>
      <c r="C76" s="1" t="s">
        <v>4</v>
      </c>
      <c r="D76" s="1"/>
      <c r="E76" s="1"/>
      <c r="F76" s="1"/>
      <c r="H76" s="24" t="s">
        <v>20</v>
      </c>
      <c r="I76" s="24"/>
      <c r="J76" s="24"/>
      <c r="K76" s="24"/>
      <c r="L76" s="24"/>
      <c r="N76" s="1"/>
      <c r="O76" s="1" t="s">
        <v>4</v>
      </c>
      <c r="P76" s="1"/>
      <c r="Q76" s="1"/>
      <c r="R76" s="1"/>
      <c r="T76" s="24" t="s">
        <v>20</v>
      </c>
      <c r="U76" s="24"/>
      <c r="V76" s="24"/>
      <c r="W76" s="24"/>
      <c r="X76" s="24"/>
    </row>
    <row r="77" spans="2:24" x14ac:dyDescent="0.25">
      <c r="B77" s="6" t="s">
        <v>5</v>
      </c>
      <c r="C77" s="6" t="s">
        <v>6</v>
      </c>
      <c r="D77" s="6" t="s">
        <v>7</v>
      </c>
      <c r="E77" s="7" t="s">
        <v>8</v>
      </c>
      <c r="F77" s="6" t="s">
        <v>9</v>
      </c>
      <c r="H77" s="6" t="s">
        <v>5</v>
      </c>
      <c r="I77" s="7" t="s">
        <v>21</v>
      </c>
      <c r="J77" s="7" t="s">
        <v>22</v>
      </c>
      <c r="K77" s="7" t="s">
        <v>8</v>
      </c>
      <c r="L77" s="7" t="s">
        <v>9</v>
      </c>
      <c r="N77" s="6" t="s">
        <v>5</v>
      </c>
      <c r="O77" s="6" t="s">
        <v>6</v>
      </c>
      <c r="P77" s="6" t="s">
        <v>7</v>
      </c>
      <c r="Q77" s="7" t="s">
        <v>8</v>
      </c>
      <c r="R77" s="6" t="s">
        <v>9</v>
      </c>
      <c r="T77" s="6" t="s">
        <v>5</v>
      </c>
      <c r="U77" s="7" t="s">
        <v>21</v>
      </c>
      <c r="V77" s="7" t="s">
        <v>22</v>
      </c>
      <c r="W77" s="7" t="s">
        <v>8</v>
      </c>
      <c r="X77" s="7" t="s">
        <v>9</v>
      </c>
    </row>
    <row r="78" spans="2:24" x14ac:dyDescent="0.25">
      <c r="B78" t="s">
        <v>10</v>
      </c>
      <c r="E78">
        <v>650</v>
      </c>
      <c r="F78" s="2">
        <f>C78*E78</f>
        <v>0</v>
      </c>
      <c r="K78">
        <v>111</v>
      </c>
      <c r="L78" s="2">
        <f t="shared" ref="L78:L80" si="9">-I78*K78+J78*K78</f>
        <v>0</v>
      </c>
      <c r="N78" t="s">
        <v>10</v>
      </c>
      <c r="Q78">
        <v>650</v>
      </c>
      <c r="R78" s="2">
        <f>O78*Q78</f>
        <v>0</v>
      </c>
      <c r="T78" t="s">
        <v>69</v>
      </c>
      <c r="W78">
        <v>4.5</v>
      </c>
      <c r="X78" s="2">
        <f t="shared" ref="X78:X99" si="10">-U78*W78+V78*W78</f>
        <v>0</v>
      </c>
    </row>
    <row r="79" spans="2:24" x14ac:dyDescent="0.25">
      <c r="B79" t="s">
        <v>11</v>
      </c>
      <c r="E79">
        <v>670</v>
      </c>
      <c r="F79" s="2">
        <f t="shared" ref="F79:F100" si="11">C79*E79</f>
        <v>0</v>
      </c>
      <c r="L79" s="2">
        <f t="shared" si="9"/>
        <v>0</v>
      </c>
      <c r="N79" t="s">
        <v>11</v>
      </c>
      <c r="R79" s="2">
        <f t="shared" ref="R79:R100" si="12">O79*Q79</f>
        <v>0</v>
      </c>
      <c r="T79" t="s">
        <v>17</v>
      </c>
      <c r="W79">
        <v>111</v>
      </c>
      <c r="X79" s="2">
        <f t="shared" si="10"/>
        <v>0</v>
      </c>
    </row>
    <row r="80" spans="2:24" x14ac:dyDescent="0.25">
      <c r="B80" t="s">
        <v>12</v>
      </c>
      <c r="E80">
        <v>973</v>
      </c>
      <c r="F80" s="2">
        <f t="shared" si="11"/>
        <v>0</v>
      </c>
      <c r="L80" s="2">
        <f t="shared" si="9"/>
        <v>0</v>
      </c>
      <c r="N80" t="s">
        <v>12</v>
      </c>
      <c r="R80" s="2">
        <f t="shared" si="12"/>
        <v>0</v>
      </c>
      <c r="X80" s="2">
        <f t="shared" si="10"/>
        <v>0</v>
      </c>
    </row>
    <row r="81" spans="2:24" x14ac:dyDescent="0.25">
      <c r="B81" t="s">
        <v>13</v>
      </c>
      <c r="E81">
        <v>622</v>
      </c>
      <c r="F81" s="2">
        <f t="shared" si="11"/>
        <v>0</v>
      </c>
      <c r="K81">
        <v>4.5</v>
      </c>
      <c r="L81" s="2">
        <f>-I81*K81+J81*K81</f>
        <v>0</v>
      </c>
      <c r="N81" t="s">
        <v>13</v>
      </c>
      <c r="R81" s="2">
        <f t="shared" si="12"/>
        <v>0</v>
      </c>
      <c r="X81" s="2">
        <f t="shared" si="10"/>
        <v>0</v>
      </c>
    </row>
    <row r="82" spans="2:24" x14ac:dyDescent="0.25">
      <c r="B82" t="s">
        <v>14</v>
      </c>
      <c r="E82">
        <v>912</v>
      </c>
      <c r="F82" s="2">
        <f t="shared" si="11"/>
        <v>0</v>
      </c>
      <c r="L82" s="2">
        <f t="shared" ref="L82:L99" si="13">-I82*K82+J82*K82</f>
        <v>0</v>
      </c>
      <c r="N82" t="s">
        <v>14</v>
      </c>
      <c r="R82" s="2">
        <f t="shared" si="12"/>
        <v>0</v>
      </c>
      <c r="X82" s="2">
        <f t="shared" si="10"/>
        <v>0</v>
      </c>
    </row>
    <row r="83" spans="2:24" x14ac:dyDescent="0.25">
      <c r="B83" t="s">
        <v>15</v>
      </c>
      <c r="F83" s="2">
        <f t="shared" si="11"/>
        <v>0</v>
      </c>
      <c r="L83" s="2">
        <f t="shared" si="13"/>
        <v>0</v>
      </c>
      <c r="N83" t="s">
        <v>15</v>
      </c>
      <c r="R83" s="2">
        <f t="shared" si="12"/>
        <v>0</v>
      </c>
      <c r="X83" s="2">
        <f t="shared" si="10"/>
        <v>0</v>
      </c>
    </row>
    <row r="84" spans="2:24" x14ac:dyDescent="0.25">
      <c r="B84" t="s">
        <v>16</v>
      </c>
      <c r="E84">
        <v>872</v>
      </c>
      <c r="F84" s="2">
        <f t="shared" si="11"/>
        <v>0</v>
      </c>
      <c r="L84" s="2">
        <f t="shared" si="13"/>
        <v>0</v>
      </c>
      <c r="N84" t="s">
        <v>16</v>
      </c>
      <c r="R84" s="2">
        <f t="shared" si="12"/>
        <v>0</v>
      </c>
      <c r="X84" s="2">
        <f t="shared" si="10"/>
        <v>0</v>
      </c>
    </row>
    <row r="85" spans="2:24" x14ac:dyDescent="0.25">
      <c r="B85" t="s">
        <v>17</v>
      </c>
      <c r="E85">
        <v>229</v>
      </c>
      <c r="F85" s="2">
        <f t="shared" si="11"/>
        <v>0</v>
      </c>
      <c r="H85" t="s">
        <v>66</v>
      </c>
      <c r="K85">
        <v>1.5</v>
      </c>
      <c r="L85" s="2">
        <f t="shared" si="13"/>
        <v>0</v>
      </c>
      <c r="N85" t="s">
        <v>17</v>
      </c>
      <c r="Q85">
        <v>9.5</v>
      </c>
      <c r="R85" s="2">
        <f t="shared" si="12"/>
        <v>0</v>
      </c>
      <c r="X85" s="2">
        <f t="shared" si="10"/>
        <v>0</v>
      </c>
    </row>
    <row r="86" spans="2:24" x14ac:dyDescent="0.25">
      <c r="B86" t="s">
        <v>18</v>
      </c>
      <c r="E86">
        <v>500</v>
      </c>
      <c r="F86" s="2">
        <f t="shared" si="11"/>
        <v>0</v>
      </c>
      <c r="L86" s="2">
        <f t="shared" si="13"/>
        <v>0</v>
      </c>
      <c r="N86" t="s">
        <v>18</v>
      </c>
      <c r="R86" s="2">
        <f t="shared" si="12"/>
        <v>0</v>
      </c>
      <c r="X86" s="2">
        <f t="shared" si="10"/>
        <v>0</v>
      </c>
    </row>
    <row r="87" spans="2:24" x14ac:dyDescent="0.25">
      <c r="B87" t="s">
        <v>26</v>
      </c>
      <c r="E87">
        <v>650</v>
      </c>
      <c r="F87" s="2">
        <f t="shared" si="11"/>
        <v>0</v>
      </c>
      <c r="L87" s="2">
        <f t="shared" si="13"/>
        <v>0</v>
      </c>
      <c r="N87" t="s">
        <v>26</v>
      </c>
      <c r="R87" s="2">
        <f t="shared" si="12"/>
        <v>0</v>
      </c>
      <c r="X87" s="2">
        <f t="shared" si="10"/>
        <v>0</v>
      </c>
    </row>
    <row r="88" spans="2:24" x14ac:dyDescent="0.25">
      <c r="B88" s="12" t="s">
        <v>41</v>
      </c>
      <c r="E88">
        <v>1175</v>
      </c>
      <c r="F88" s="2">
        <f t="shared" si="11"/>
        <v>0</v>
      </c>
      <c r="L88" s="2">
        <f t="shared" si="13"/>
        <v>0</v>
      </c>
      <c r="N88" t="s">
        <v>40</v>
      </c>
      <c r="Q88">
        <v>700</v>
      </c>
      <c r="R88" s="2">
        <f t="shared" si="12"/>
        <v>0</v>
      </c>
      <c r="X88" s="2">
        <f t="shared" si="10"/>
        <v>0</v>
      </c>
    </row>
    <row r="89" spans="2:24" x14ac:dyDescent="0.25">
      <c r="B89" t="s">
        <v>40</v>
      </c>
      <c r="E89">
        <v>700</v>
      </c>
      <c r="F89" s="2">
        <f t="shared" si="11"/>
        <v>0</v>
      </c>
      <c r="L89" s="2">
        <f t="shared" si="13"/>
        <v>0</v>
      </c>
      <c r="R89" s="2">
        <f t="shared" si="12"/>
        <v>0</v>
      </c>
      <c r="X89" s="2">
        <f t="shared" si="10"/>
        <v>0</v>
      </c>
    </row>
    <row r="90" spans="2:24" x14ac:dyDescent="0.25">
      <c r="F90" s="2">
        <f t="shared" si="11"/>
        <v>0</v>
      </c>
      <c r="L90" s="2">
        <f t="shared" si="13"/>
        <v>0</v>
      </c>
      <c r="R90" s="2">
        <f t="shared" si="12"/>
        <v>0</v>
      </c>
      <c r="X90" s="2">
        <f t="shared" si="10"/>
        <v>0</v>
      </c>
    </row>
    <row r="91" spans="2:24" x14ac:dyDescent="0.25">
      <c r="F91" s="2">
        <f t="shared" si="11"/>
        <v>0</v>
      </c>
      <c r="L91" s="2">
        <f t="shared" si="13"/>
        <v>0</v>
      </c>
      <c r="R91" s="2">
        <f t="shared" si="12"/>
        <v>0</v>
      </c>
      <c r="X91" s="2">
        <f t="shared" si="10"/>
        <v>0</v>
      </c>
    </row>
    <row r="92" spans="2:24" x14ac:dyDescent="0.25">
      <c r="F92" s="2">
        <f t="shared" si="11"/>
        <v>0</v>
      </c>
      <c r="L92" s="2">
        <f t="shared" si="13"/>
        <v>0</v>
      </c>
      <c r="R92" s="2">
        <f t="shared" si="12"/>
        <v>0</v>
      </c>
      <c r="X92" s="2">
        <f t="shared" si="10"/>
        <v>0</v>
      </c>
    </row>
    <row r="93" spans="2:24" x14ac:dyDescent="0.25">
      <c r="F93" s="2">
        <f t="shared" si="11"/>
        <v>0</v>
      </c>
      <c r="L93" s="2">
        <f t="shared" si="13"/>
        <v>0</v>
      </c>
      <c r="R93" s="2">
        <f t="shared" si="12"/>
        <v>0</v>
      </c>
      <c r="X93" s="2">
        <f t="shared" si="10"/>
        <v>0</v>
      </c>
    </row>
    <row r="94" spans="2:24" x14ac:dyDescent="0.25">
      <c r="F94" s="2">
        <f t="shared" si="11"/>
        <v>0</v>
      </c>
      <c r="L94" s="2">
        <f t="shared" si="13"/>
        <v>0</v>
      </c>
      <c r="R94" s="2">
        <f t="shared" si="12"/>
        <v>0</v>
      </c>
      <c r="X94" s="2">
        <f t="shared" si="10"/>
        <v>0</v>
      </c>
    </row>
    <row r="95" spans="2:24" x14ac:dyDescent="0.25">
      <c r="F95" s="2">
        <f t="shared" si="11"/>
        <v>0</v>
      </c>
      <c r="L95" s="2">
        <f t="shared" si="13"/>
        <v>0</v>
      </c>
      <c r="R95" s="2">
        <f t="shared" si="12"/>
        <v>0</v>
      </c>
      <c r="X95" s="2">
        <f t="shared" si="10"/>
        <v>0</v>
      </c>
    </row>
    <row r="96" spans="2:24" x14ac:dyDescent="0.25">
      <c r="F96" s="2">
        <f t="shared" si="11"/>
        <v>0</v>
      </c>
      <c r="L96" s="2">
        <f t="shared" si="13"/>
        <v>0</v>
      </c>
      <c r="R96" s="2">
        <f t="shared" si="12"/>
        <v>0</v>
      </c>
      <c r="X96" s="2">
        <f t="shared" si="10"/>
        <v>0</v>
      </c>
    </row>
    <row r="97" spans="2:24" x14ac:dyDescent="0.25">
      <c r="F97" s="2">
        <f t="shared" si="11"/>
        <v>0</v>
      </c>
      <c r="L97" s="2">
        <f t="shared" si="13"/>
        <v>0</v>
      </c>
      <c r="R97" s="2">
        <f t="shared" si="12"/>
        <v>0</v>
      </c>
      <c r="X97" s="2">
        <f t="shared" si="10"/>
        <v>0</v>
      </c>
    </row>
    <row r="98" spans="2:24" x14ac:dyDescent="0.25">
      <c r="F98" s="2">
        <f t="shared" si="11"/>
        <v>0</v>
      </c>
      <c r="L98" s="2">
        <f t="shared" si="13"/>
        <v>0</v>
      </c>
      <c r="R98" s="2">
        <f t="shared" si="12"/>
        <v>0</v>
      </c>
      <c r="X98" s="2">
        <f t="shared" si="10"/>
        <v>0</v>
      </c>
    </row>
    <row r="99" spans="2:24" x14ac:dyDescent="0.25">
      <c r="F99" s="2">
        <f t="shared" si="11"/>
        <v>0</v>
      </c>
      <c r="L99" s="2">
        <f t="shared" si="13"/>
        <v>0</v>
      </c>
      <c r="R99" s="2">
        <f t="shared" si="12"/>
        <v>0</v>
      </c>
      <c r="X99" s="2">
        <f t="shared" si="10"/>
        <v>0</v>
      </c>
    </row>
    <row r="100" spans="2:24" x14ac:dyDescent="0.25">
      <c r="F100" s="2">
        <f t="shared" si="11"/>
        <v>0</v>
      </c>
      <c r="H100" s="25" t="s">
        <v>23</v>
      </c>
      <c r="I100" s="25"/>
      <c r="J100" s="25"/>
      <c r="K100" s="25"/>
      <c r="L100" s="9">
        <f>SUM(L78:L99)</f>
        <v>0</v>
      </c>
      <c r="R100" s="2">
        <f t="shared" si="12"/>
        <v>0</v>
      </c>
      <c r="T100" s="25" t="s">
        <v>23</v>
      </c>
      <c r="U100" s="25"/>
      <c r="V100" s="25"/>
      <c r="W100" s="25"/>
      <c r="X100" s="9">
        <f>SUM(X78:X99)</f>
        <v>0</v>
      </c>
    </row>
    <row r="101" spans="2:24" x14ac:dyDescent="0.25">
      <c r="B101" s="21" t="s">
        <v>28</v>
      </c>
      <c r="C101" s="21"/>
      <c r="D101" s="8"/>
      <c r="E101" s="8"/>
      <c r="F101" s="5">
        <f>-D101*E101</f>
        <v>0</v>
      </c>
      <c r="H101" s="25" t="s">
        <v>24</v>
      </c>
      <c r="I101" s="25"/>
      <c r="J101" s="25"/>
      <c r="K101" s="25"/>
      <c r="L101" s="4">
        <f>SUM(F102)</f>
        <v>0</v>
      </c>
      <c r="N101" s="21" t="s">
        <v>28</v>
      </c>
      <c r="O101" s="21"/>
      <c r="P101" s="8"/>
      <c r="Q101" s="8"/>
      <c r="R101" s="5">
        <f>-P101*Q101</f>
        <v>0</v>
      </c>
      <c r="T101" s="25" t="s">
        <v>24</v>
      </c>
      <c r="U101" s="25"/>
      <c r="V101" s="25"/>
      <c r="W101" s="25"/>
      <c r="X101" s="4">
        <f>SUM(R102)</f>
        <v>0</v>
      </c>
    </row>
    <row r="102" spans="2:24" x14ac:dyDescent="0.25">
      <c r="B102" s="26" t="s">
        <v>19</v>
      </c>
      <c r="C102" s="26"/>
      <c r="D102" s="26"/>
      <c r="E102" s="26"/>
      <c r="F102" s="13">
        <f>SUM(F78:F101)</f>
        <v>0</v>
      </c>
      <c r="H102" s="25" t="s">
        <v>25</v>
      </c>
      <c r="I102" s="25"/>
      <c r="J102" s="25"/>
      <c r="K102" s="25"/>
      <c r="L102" s="14">
        <f>SUM(L101+L100)</f>
        <v>0</v>
      </c>
      <c r="N102" s="26" t="s">
        <v>19</v>
      </c>
      <c r="O102" s="26"/>
      <c r="P102" s="26"/>
      <c r="Q102" s="26"/>
      <c r="R102" s="13">
        <f>SUM(R78:R101)</f>
        <v>0</v>
      </c>
      <c r="T102" s="25" t="s">
        <v>25</v>
      </c>
      <c r="U102" s="25"/>
      <c r="V102" s="25"/>
      <c r="W102" s="25"/>
      <c r="X102" s="14">
        <f>SUM(X101+X100)</f>
        <v>0</v>
      </c>
    </row>
    <row r="103" spans="2:24" ht="18.75" x14ac:dyDescent="0.3">
      <c r="B103" s="11" t="s">
        <v>29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N103" s="11" t="s">
        <v>29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5" spans="2:24" x14ac:dyDescent="0.25">
      <c r="B105" s="22" t="s">
        <v>0</v>
      </c>
      <c r="C105" s="22"/>
      <c r="D105" s="27" t="s">
        <v>70</v>
      </c>
      <c r="E105" s="27"/>
      <c r="F105" s="27"/>
      <c r="H105" s="22" t="s">
        <v>43</v>
      </c>
      <c r="I105" s="22"/>
      <c r="J105">
        <v>2</v>
      </c>
      <c r="N105" s="22" t="s">
        <v>0</v>
      </c>
      <c r="O105" s="22"/>
      <c r="P105" s="27" t="s">
        <v>62</v>
      </c>
      <c r="Q105" s="27"/>
      <c r="R105" s="27"/>
      <c r="T105" s="22" t="s">
        <v>43</v>
      </c>
      <c r="U105" s="22"/>
      <c r="V105">
        <v>2</v>
      </c>
    </row>
    <row r="106" spans="2:24" x14ac:dyDescent="0.25">
      <c r="B106" s="22" t="s">
        <v>1</v>
      </c>
      <c r="C106" s="22"/>
      <c r="D106" s="23" t="s">
        <v>71</v>
      </c>
      <c r="E106" s="23"/>
      <c r="F106" s="23"/>
      <c r="H106" s="22" t="s">
        <v>44</v>
      </c>
      <c r="I106" s="22"/>
      <c r="J106" t="s">
        <v>50</v>
      </c>
      <c r="N106" s="22" t="s">
        <v>1</v>
      </c>
      <c r="O106" s="22"/>
      <c r="P106" s="23" t="s">
        <v>61</v>
      </c>
      <c r="Q106" s="23"/>
      <c r="R106" s="23"/>
      <c r="T106" s="22" t="s">
        <v>44</v>
      </c>
      <c r="U106" s="22"/>
      <c r="V106" t="s">
        <v>50</v>
      </c>
    </row>
    <row r="107" spans="2:24" x14ac:dyDescent="0.25">
      <c r="B107" s="22" t="s">
        <v>3</v>
      </c>
      <c r="C107" s="22"/>
      <c r="D107" s="23" t="s">
        <v>32</v>
      </c>
      <c r="E107" s="23"/>
      <c r="F107" s="23"/>
      <c r="H107" s="22" t="s">
        <v>45</v>
      </c>
      <c r="I107" s="22"/>
      <c r="J107" t="s">
        <v>51</v>
      </c>
      <c r="N107" s="22" t="s">
        <v>3</v>
      </c>
      <c r="O107" s="22"/>
      <c r="P107" s="23" t="s">
        <v>32</v>
      </c>
      <c r="Q107" s="23"/>
      <c r="R107" s="23"/>
      <c r="T107" s="22" t="s">
        <v>45</v>
      </c>
      <c r="U107" s="22"/>
      <c r="V107" t="s">
        <v>51</v>
      </c>
    </row>
    <row r="108" spans="2:24" x14ac:dyDescent="0.25">
      <c r="B108" s="22" t="s">
        <v>2</v>
      </c>
      <c r="C108" s="22"/>
      <c r="D108" s="23" t="s">
        <v>72</v>
      </c>
      <c r="E108" s="23"/>
      <c r="F108" s="23"/>
      <c r="H108" s="22" t="s">
        <v>46</v>
      </c>
      <c r="I108" s="22"/>
      <c r="J108" t="s">
        <v>52</v>
      </c>
      <c r="N108" s="22" t="s">
        <v>2</v>
      </c>
      <c r="O108" s="22"/>
      <c r="P108" s="23" t="s">
        <v>55</v>
      </c>
      <c r="Q108" s="23"/>
      <c r="R108" s="23"/>
      <c r="T108" s="22" t="s">
        <v>46</v>
      </c>
      <c r="U108" s="22"/>
      <c r="V108" t="s">
        <v>52</v>
      </c>
    </row>
    <row r="110" spans="2:24" x14ac:dyDescent="0.25">
      <c r="B110" s="1"/>
      <c r="C110" s="1" t="s">
        <v>4</v>
      </c>
      <c r="D110" s="1"/>
      <c r="E110" s="1"/>
      <c r="F110" s="1"/>
      <c r="H110" s="24" t="s">
        <v>20</v>
      </c>
      <c r="I110" s="24"/>
      <c r="J110" s="24"/>
      <c r="K110" s="24"/>
      <c r="L110" s="24"/>
      <c r="N110" s="1"/>
      <c r="O110" s="1" t="s">
        <v>4</v>
      </c>
      <c r="P110" s="1"/>
      <c r="Q110" s="1"/>
      <c r="R110" s="1"/>
      <c r="T110" s="24" t="s">
        <v>20</v>
      </c>
      <c r="U110" s="24"/>
      <c r="V110" s="24"/>
      <c r="W110" s="24"/>
      <c r="X110" s="24"/>
    </row>
    <row r="111" spans="2:24" x14ac:dyDescent="0.25">
      <c r="B111" s="6" t="s">
        <v>5</v>
      </c>
      <c r="C111" s="6" t="s">
        <v>6</v>
      </c>
      <c r="D111" s="6" t="s">
        <v>7</v>
      </c>
      <c r="E111" s="7" t="s">
        <v>8</v>
      </c>
      <c r="F111" s="6" t="s">
        <v>9</v>
      </c>
      <c r="H111" s="6" t="s">
        <v>5</v>
      </c>
      <c r="I111" s="7" t="s">
        <v>21</v>
      </c>
      <c r="J111" s="7" t="s">
        <v>22</v>
      </c>
      <c r="K111" s="7" t="s">
        <v>8</v>
      </c>
      <c r="L111" s="7" t="s">
        <v>9</v>
      </c>
      <c r="N111" s="6" t="s">
        <v>5</v>
      </c>
      <c r="O111" s="6" t="s">
        <v>6</v>
      </c>
      <c r="P111" s="6" t="s">
        <v>7</v>
      </c>
      <c r="Q111" s="7" t="s">
        <v>8</v>
      </c>
      <c r="R111" s="6" t="s">
        <v>9</v>
      </c>
      <c r="T111" s="6" t="s">
        <v>5</v>
      </c>
      <c r="U111" s="7" t="s">
        <v>21</v>
      </c>
      <c r="V111" s="7" t="s">
        <v>22</v>
      </c>
      <c r="W111" s="7" t="s">
        <v>8</v>
      </c>
      <c r="X111" s="7" t="s">
        <v>9</v>
      </c>
    </row>
    <row r="112" spans="2:24" x14ac:dyDescent="0.25">
      <c r="B112" t="s">
        <v>10</v>
      </c>
      <c r="E112">
        <v>650</v>
      </c>
      <c r="F112" s="2">
        <f>C112*E112</f>
        <v>0</v>
      </c>
      <c r="K112">
        <v>111</v>
      </c>
      <c r="L112" s="2">
        <f t="shared" ref="L112:L114" si="14">-I112*K112+J112*K112</f>
        <v>0</v>
      </c>
      <c r="N112" t="s">
        <v>10</v>
      </c>
      <c r="Q112">
        <v>650</v>
      </c>
      <c r="R112" s="2">
        <f>O112*Q112</f>
        <v>0</v>
      </c>
      <c r="X112" s="2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2">
        <f t="shared" ref="F113:F134" si="16">C113*E113</f>
        <v>0</v>
      </c>
      <c r="K113">
        <v>111</v>
      </c>
      <c r="L113" s="2">
        <f t="shared" si="14"/>
        <v>0</v>
      </c>
      <c r="N113" t="s">
        <v>11</v>
      </c>
      <c r="R113" s="2">
        <f t="shared" ref="R113:R134" si="17">O113*Q113</f>
        <v>0</v>
      </c>
      <c r="X113" s="2">
        <f t="shared" si="15"/>
        <v>0</v>
      </c>
    </row>
    <row r="114" spans="2:24" x14ac:dyDescent="0.25">
      <c r="B114" t="s">
        <v>12</v>
      </c>
      <c r="E114">
        <v>973</v>
      </c>
      <c r="F114" s="2">
        <f t="shared" si="16"/>
        <v>0</v>
      </c>
      <c r="L114" s="2">
        <f t="shared" si="14"/>
        <v>0</v>
      </c>
      <c r="N114" t="s">
        <v>12</v>
      </c>
      <c r="R114" s="2">
        <f t="shared" si="17"/>
        <v>0</v>
      </c>
      <c r="X114" s="2">
        <f t="shared" si="15"/>
        <v>0</v>
      </c>
    </row>
    <row r="115" spans="2:24" x14ac:dyDescent="0.25">
      <c r="B115" t="s">
        <v>13</v>
      </c>
      <c r="E115">
        <v>622</v>
      </c>
      <c r="F115" s="2">
        <f t="shared" si="16"/>
        <v>0</v>
      </c>
      <c r="K115">
        <v>4.5</v>
      </c>
      <c r="L115" s="2">
        <f>-I115*K115+J115*K115</f>
        <v>0</v>
      </c>
      <c r="N115" t="s">
        <v>13</v>
      </c>
      <c r="R115" s="2">
        <f t="shared" si="17"/>
        <v>0</v>
      </c>
      <c r="X115" s="2">
        <f t="shared" si="15"/>
        <v>0</v>
      </c>
    </row>
    <row r="116" spans="2:24" x14ac:dyDescent="0.25">
      <c r="B116" t="s">
        <v>14</v>
      </c>
      <c r="E116">
        <v>912</v>
      </c>
      <c r="F116" s="2">
        <f t="shared" si="16"/>
        <v>0</v>
      </c>
      <c r="K116">
        <v>1.5</v>
      </c>
      <c r="L116" s="2">
        <f t="shared" ref="L116:L133" si="18">-I116*K116+J116*K116</f>
        <v>0</v>
      </c>
      <c r="N116" t="s">
        <v>14</v>
      </c>
      <c r="R116" s="2">
        <f t="shared" si="17"/>
        <v>0</v>
      </c>
      <c r="X116" s="2">
        <f t="shared" si="15"/>
        <v>0</v>
      </c>
    </row>
    <row r="117" spans="2:24" x14ac:dyDescent="0.25">
      <c r="B117" t="s">
        <v>15</v>
      </c>
      <c r="F117" s="2">
        <f t="shared" si="16"/>
        <v>0</v>
      </c>
      <c r="L117" s="2">
        <f t="shared" si="18"/>
        <v>0</v>
      </c>
      <c r="N117" t="s">
        <v>15</v>
      </c>
      <c r="R117" s="2">
        <f t="shared" si="17"/>
        <v>0</v>
      </c>
      <c r="X117" s="2">
        <f t="shared" si="15"/>
        <v>0</v>
      </c>
    </row>
    <row r="118" spans="2:24" x14ac:dyDescent="0.25">
      <c r="B118" t="s">
        <v>16</v>
      </c>
      <c r="E118">
        <v>872</v>
      </c>
      <c r="F118" s="2">
        <f t="shared" si="16"/>
        <v>0</v>
      </c>
      <c r="L118" s="2">
        <f t="shared" si="18"/>
        <v>0</v>
      </c>
      <c r="N118" t="s">
        <v>16</v>
      </c>
      <c r="R118" s="2">
        <f t="shared" si="17"/>
        <v>0</v>
      </c>
      <c r="X118" s="2">
        <f t="shared" si="15"/>
        <v>0</v>
      </c>
    </row>
    <row r="119" spans="2:24" x14ac:dyDescent="0.25">
      <c r="B119" t="s">
        <v>17</v>
      </c>
      <c r="E119">
        <v>229</v>
      </c>
      <c r="F119" s="2">
        <f t="shared" si="16"/>
        <v>0</v>
      </c>
      <c r="K119">
        <v>42</v>
      </c>
      <c r="L119" s="2">
        <f t="shared" si="18"/>
        <v>0</v>
      </c>
      <c r="N119" t="s">
        <v>17</v>
      </c>
      <c r="Q119">
        <v>9.5</v>
      </c>
      <c r="R119" s="2">
        <f t="shared" si="17"/>
        <v>0</v>
      </c>
      <c r="X119" s="2">
        <f t="shared" si="15"/>
        <v>0</v>
      </c>
    </row>
    <row r="120" spans="2:24" x14ac:dyDescent="0.25">
      <c r="B120" t="s">
        <v>18</v>
      </c>
      <c r="E120">
        <v>500</v>
      </c>
      <c r="F120" s="2">
        <f t="shared" si="16"/>
        <v>0</v>
      </c>
      <c r="L120" s="2">
        <f t="shared" si="18"/>
        <v>0</v>
      </c>
      <c r="N120" t="s">
        <v>18</v>
      </c>
      <c r="R120" s="2">
        <f t="shared" si="17"/>
        <v>0</v>
      </c>
      <c r="X120" s="2">
        <f t="shared" si="15"/>
        <v>0</v>
      </c>
    </row>
    <row r="121" spans="2:24" x14ac:dyDescent="0.25">
      <c r="B121" t="s">
        <v>26</v>
      </c>
      <c r="E121">
        <v>650</v>
      </c>
      <c r="F121" s="2">
        <f t="shared" si="16"/>
        <v>0</v>
      </c>
      <c r="L121" s="2">
        <f t="shared" si="18"/>
        <v>0</v>
      </c>
      <c r="N121" t="s">
        <v>26</v>
      </c>
      <c r="R121" s="2">
        <f t="shared" si="17"/>
        <v>0</v>
      </c>
      <c r="X121" s="2">
        <f t="shared" si="15"/>
        <v>0</v>
      </c>
    </row>
    <row r="122" spans="2:24" x14ac:dyDescent="0.25">
      <c r="B122" s="12" t="s">
        <v>41</v>
      </c>
      <c r="E122">
        <v>1175</v>
      </c>
      <c r="F122" s="2">
        <f t="shared" si="16"/>
        <v>0</v>
      </c>
      <c r="L122" s="2">
        <f t="shared" si="18"/>
        <v>0</v>
      </c>
      <c r="R122" s="2">
        <f t="shared" si="17"/>
        <v>0</v>
      </c>
      <c r="X122" s="2">
        <f t="shared" si="15"/>
        <v>0</v>
      </c>
    </row>
    <row r="123" spans="2:24" x14ac:dyDescent="0.25">
      <c r="B123" t="s">
        <v>40</v>
      </c>
      <c r="E123">
        <v>700</v>
      </c>
      <c r="F123" s="2">
        <f t="shared" si="16"/>
        <v>0</v>
      </c>
      <c r="L123" s="2">
        <f t="shared" si="18"/>
        <v>0</v>
      </c>
      <c r="R123" s="2">
        <f t="shared" si="17"/>
        <v>0</v>
      </c>
      <c r="X123" s="2">
        <f t="shared" si="15"/>
        <v>0</v>
      </c>
    </row>
    <row r="124" spans="2:24" x14ac:dyDescent="0.25">
      <c r="F124" s="2">
        <f t="shared" si="16"/>
        <v>0</v>
      </c>
      <c r="L124" s="2">
        <f t="shared" si="18"/>
        <v>0</v>
      </c>
      <c r="R124" s="2">
        <f t="shared" si="17"/>
        <v>0</v>
      </c>
      <c r="X124" s="2">
        <f t="shared" si="15"/>
        <v>0</v>
      </c>
    </row>
    <row r="125" spans="2:24" x14ac:dyDescent="0.25">
      <c r="F125" s="2">
        <f t="shared" si="16"/>
        <v>0</v>
      </c>
      <c r="L125" s="2">
        <f t="shared" si="18"/>
        <v>0</v>
      </c>
      <c r="R125" s="2">
        <f t="shared" si="17"/>
        <v>0</v>
      </c>
      <c r="X125" s="2">
        <f t="shared" si="15"/>
        <v>0</v>
      </c>
    </row>
    <row r="126" spans="2:24" x14ac:dyDescent="0.25">
      <c r="F126" s="2">
        <f t="shared" si="16"/>
        <v>0</v>
      </c>
      <c r="L126" s="2">
        <f t="shared" si="18"/>
        <v>0</v>
      </c>
      <c r="R126" s="2">
        <f t="shared" si="17"/>
        <v>0</v>
      </c>
      <c r="X126" s="2">
        <f t="shared" si="15"/>
        <v>0</v>
      </c>
    </row>
    <row r="127" spans="2:24" x14ac:dyDescent="0.25">
      <c r="F127" s="2">
        <f t="shared" si="16"/>
        <v>0</v>
      </c>
      <c r="L127" s="2">
        <f t="shared" si="18"/>
        <v>0</v>
      </c>
      <c r="R127" s="2">
        <f t="shared" si="17"/>
        <v>0</v>
      </c>
      <c r="X127" s="2">
        <f t="shared" si="15"/>
        <v>0</v>
      </c>
    </row>
    <row r="128" spans="2:24" x14ac:dyDescent="0.25">
      <c r="F128" s="2">
        <f t="shared" si="16"/>
        <v>0</v>
      </c>
      <c r="L128" s="2">
        <f t="shared" si="18"/>
        <v>0</v>
      </c>
      <c r="R128" s="2">
        <f t="shared" si="17"/>
        <v>0</v>
      </c>
      <c r="X128" s="2">
        <f t="shared" si="15"/>
        <v>0</v>
      </c>
    </row>
    <row r="129" spans="2:24" x14ac:dyDescent="0.25">
      <c r="F129" s="2">
        <f t="shared" si="16"/>
        <v>0</v>
      </c>
      <c r="L129" s="2">
        <f t="shared" si="18"/>
        <v>0</v>
      </c>
      <c r="R129" s="2">
        <f t="shared" si="17"/>
        <v>0</v>
      </c>
      <c r="X129" s="2">
        <f t="shared" si="15"/>
        <v>0</v>
      </c>
    </row>
    <row r="130" spans="2:24" x14ac:dyDescent="0.25">
      <c r="F130" s="2">
        <f t="shared" si="16"/>
        <v>0</v>
      </c>
      <c r="L130" s="2">
        <f t="shared" si="18"/>
        <v>0</v>
      </c>
      <c r="R130" s="2">
        <f t="shared" si="17"/>
        <v>0</v>
      </c>
      <c r="X130" s="2">
        <f t="shared" si="15"/>
        <v>0</v>
      </c>
    </row>
    <row r="131" spans="2:24" x14ac:dyDescent="0.25">
      <c r="F131" s="2">
        <f t="shared" si="16"/>
        <v>0</v>
      </c>
      <c r="L131" s="2">
        <f t="shared" si="18"/>
        <v>0</v>
      </c>
      <c r="R131" s="2">
        <f t="shared" si="17"/>
        <v>0</v>
      </c>
      <c r="X131" s="2">
        <f t="shared" si="15"/>
        <v>0</v>
      </c>
    </row>
    <row r="132" spans="2:24" x14ac:dyDescent="0.25">
      <c r="F132" s="2">
        <f t="shared" si="16"/>
        <v>0</v>
      </c>
      <c r="L132" s="2">
        <f t="shared" si="18"/>
        <v>0</v>
      </c>
      <c r="R132" s="2">
        <f t="shared" si="17"/>
        <v>0</v>
      </c>
      <c r="X132" s="2">
        <f t="shared" si="15"/>
        <v>0</v>
      </c>
    </row>
    <row r="133" spans="2:24" x14ac:dyDescent="0.25">
      <c r="F133" s="2">
        <f t="shared" si="16"/>
        <v>0</v>
      </c>
      <c r="L133" s="2">
        <f t="shared" si="18"/>
        <v>0</v>
      </c>
      <c r="R133" s="2">
        <f t="shared" si="17"/>
        <v>0</v>
      </c>
      <c r="X133" s="2">
        <f t="shared" si="15"/>
        <v>0</v>
      </c>
    </row>
    <row r="134" spans="2:24" x14ac:dyDescent="0.25">
      <c r="F134" s="2">
        <f t="shared" si="16"/>
        <v>0</v>
      </c>
      <c r="H134" s="25" t="s">
        <v>23</v>
      </c>
      <c r="I134" s="25"/>
      <c r="J134" s="25"/>
      <c r="K134" s="25"/>
      <c r="L134" s="9">
        <f>SUM(L112:L133)</f>
        <v>0</v>
      </c>
      <c r="R134" s="2">
        <f t="shared" si="17"/>
        <v>0</v>
      </c>
      <c r="T134" s="25" t="s">
        <v>23</v>
      </c>
      <c r="U134" s="25"/>
      <c r="V134" s="25"/>
      <c r="W134" s="25"/>
      <c r="X134" s="9">
        <f>SUM(X112:X133)</f>
        <v>0</v>
      </c>
    </row>
    <row r="135" spans="2:24" x14ac:dyDescent="0.25">
      <c r="B135" s="21" t="s">
        <v>28</v>
      </c>
      <c r="C135" s="21"/>
      <c r="D135" s="8"/>
      <c r="E135" s="8"/>
      <c r="F135" s="5">
        <f>-D135*E135</f>
        <v>0</v>
      </c>
      <c r="H135" s="25" t="s">
        <v>24</v>
      </c>
      <c r="I135" s="25"/>
      <c r="J135" s="25"/>
      <c r="K135" s="25"/>
      <c r="L135" s="4">
        <f>SUM(F136)</f>
        <v>0</v>
      </c>
      <c r="N135" s="21" t="s">
        <v>28</v>
      </c>
      <c r="O135" s="21"/>
      <c r="P135" s="8"/>
      <c r="Q135" s="8"/>
      <c r="R135" s="5">
        <f>-P135*Q135</f>
        <v>0</v>
      </c>
      <c r="T135" s="25" t="s">
        <v>24</v>
      </c>
      <c r="U135" s="25"/>
      <c r="V135" s="25"/>
      <c r="W135" s="25"/>
      <c r="X135" s="4">
        <f>SUM(R136)</f>
        <v>0</v>
      </c>
    </row>
    <row r="136" spans="2:24" x14ac:dyDescent="0.25">
      <c r="B136" s="26" t="s">
        <v>19</v>
      </c>
      <c r="C136" s="26"/>
      <c r="D136" s="26"/>
      <c r="E136" s="26"/>
      <c r="F136" s="13">
        <f>SUM(F112:F135)</f>
        <v>0</v>
      </c>
      <c r="H136" s="25" t="s">
        <v>25</v>
      </c>
      <c r="I136" s="25"/>
      <c r="J136" s="25"/>
      <c r="K136" s="25"/>
      <c r="L136" s="14">
        <f>SUM(L135+L134)</f>
        <v>0</v>
      </c>
      <c r="N136" s="26" t="s">
        <v>19</v>
      </c>
      <c r="O136" s="26"/>
      <c r="P136" s="26"/>
      <c r="Q136" s="26"/>
      <c r="R136" s="13">
        <f>SUM(R112:R135)</f>
        <v>0</v>
      </c>
      <c r="T136" s="25" t="s">
        <v>25</v>
      </c>
      <c r="U136" s="25"/>
      <c r="V136" s="25"/>
      <c r="W136" s="25"/>
      <c r="X136" s="14">
        <f>SUM(X135+X134)</f>
        <v>0</v>
      </c>
    </row>
    <row r="137" spans="2:24" ht="18.75" x14ac:dyDescent="0.3">
      <c r="B137" s="11" t="s">
        <v>29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9" spans="2:24" x14ac:dyDescent="0.25">
      <c r="B139" s="22" t="s">
        <v>0</v>
      </c>
      <c r="C139" s="22"/>
      <c r="D139" s="27" t="s">
        <v>73</v>
      </c>
      <c r="E139" s="27"/>
      <c r="F139" s="27"/>
      <c r="H139" s="22" t="s">
        <v>43</v>
      </c>
      <c r="I139" s="22"/>
      <c r="J139">
        <v>2</v>
      </c>
    </row>
    <row r="140" spans="2:24" x14ac:dyDescent="0.25">
      <c r="B140" s="22" t="s">
        <v>1</v>
      </c>
      <c r="C140" s="22"/>
      <c r="D140" s="23" t="s">
        <v>74</v>
      </c>
      <c r="E140" s="23"/>
      <c r="F140" s="23"/>
      <c r="H140" s="22" t="s">
        <v>44</v>
      </c>
      <c r="I140" s="22"/>
      <c r="J140" t="s">
        <v>50</v>
      </c>
    </row>
    <row r="141" spans="2:24" x14ac:dyDescent="0.25">
      <c r="B141" s="22" t="s">
        <v>3</v>
      </c>
      <c r="C141" s="22"/>
      <c r="D141" s="23" t="s">
        <v>32</v>
      </c>
      <c r="E141" s="23"/>
      <c r="F141" s="23"/>
      <c r="H141" s="22" t="s">
        <v>45</v>
      </c>
      <c r="I141" s="22"/>
      <c r="J141" t="s">
        <v>51</v>
      </c>
    </row>
    <row r="142" spans="2:24" x14ac:dyDescent="0.25">
      <c r="B142" s="22" t="s">
        <v>2</v>
      </c>
      <c r="C142" s="22"/>
      <c r="D142" s="23" t="s">
        <v>75</v>
      </c>
      <c r="E142" s="23"/>
      <c r="F142" s="23"/>
      <c r="H142" s="22" t="s">
        <v>46</v>
      </c>
      <c r="I142" s="22"/>
      <c r="J142" t="s">
        <v>52</v>
      </c>
    </row>
    <row r="144" spans="2:24" x14ac:dyDescent="0.25">
      <c r="B144" s="1"/>
      <c r="C144" s="1" t="s">
        <v>4</v>
      </c>
      <c r="D144" s="1"/>
      <c r="E144" s="1"/>
      <c r="F144" s="1"/>
      <c r="H144" s="24" t="s">
        <v>20</v>
      </c>
      <c r="I144" s="24"/>
      <c r="J144" s="24"/>
      <c r="K144" s="24"/>
      <c r="L144" s="24"/>
    </row>
    <row r="145" spans="2:12" x14ac:dyDescent="0.25">
      <c r="B145" s="6" t="s">
        <v>5</v>
      </c>
      <c r="C145" s="6" t="s">
        <v>6</v>
      </c>
      <c r="D145" s="6" t="s">
        <v>7</v>
      </c>
      <c r="E145" s="7" t="s">
        <v>8</v>
      </c>
      <c r="F145" s="6" t="s">
        <v>9</v>
      </c>
      <c r="H145" s="6" t="s">
        <v>5</v>
      </c>
      <c r="I145" s="7" t="s">
        <v>21</v>
      </c>
      <c r="J145" s="7" t="s">
        <v>22</v>
      </c>
      <c r="K145" s="7" t="s">
        <v>8</v>
      </c>
      <c r="L145" s="7" t="s">
        <v>9</v>
      </c>
    </row>
    <row r="146" spans="2:12" x14ac:dyDescent="0.25">
      <c r="B146" t="s">
        <v>10</v>
      </c>
      <c r="E146">
        <v>650</v>
      </c>
      <c r="F146" s="2">
        <f>C146*E146</f>
        <v>0</v>
      </c>
      <c r="K146">
        <v>111</v>
      </c>
      <c r="L146" s="2">
        <f t="shared" ref="L146:L148" si="19">-I146*K146+J146*K146</f>
        <v>0</v>
      </c>
    </row>
    <row r="147" spans="2:12" x14ac:dyDescent="0.25">
      <c r="B147" t="s">
        <v>11</v>
      </c>
      <c r="E147">
        <v>670</v>
      </c>
      <c r="F147" s="2">
        <f t="shared" ref="F147:F168" si="20">C147*E147</f>
        <v>0</v>
      </c>
      <c r="K147">
        <v>111</v>
      </c>
      <c r="L147" s="2">
        <f t="shared" si="19"/>
        <v>0</v>
      </c>
    </row>
    <row r="148" spans="2:12" x14ac:dyDescent="0.25">
      <c r="B148" t="s">
        <v>12</v>
      </c>
      <c r="E148">
        <v>973</v>
      </c>
      <c r="F148" s="2">
        <f t="shared" si="20"/>
        <v>0</v>
      </c>
      <c r="L148" s="2">
        <f t="shared" si="19"/>
        <v>0</v>
      </c>
    </row>
    <row r="149" spans="2:12" x14ac:dyDescent="0.25">
      <c r="B149" t="s">
        <v>13</v>
      </c>
      <c r="E149">
        <v>622</v>
      </c>
      <c r="F149" s="2">
        <f t="shared" si="20"/>
        <v>0</v>
      </c>
      <c r="K149">
        <v>4.5</v>
      </c>
      <c r="L149" s="2">
        <f>-I149*K149+J149*K149</f>
        <v>0</v>
      </c>
    </row>
    <row r="150" spans="2:12" x14ac:dyDescent="0.25">
      <c r="B150" t="s">
        <v>14</v>
      </c>
      <c r="E150">
        <v>912</v>
      </c>
      <c r="F150" s="2">
        <f t="shared" si="20"/>
        <v>0</v>
      </c>
      <c r="K150">
        <v>1.5</v>
      </c>
      <c r="L150" s="2">
        <f t="shared" ref="L150:L167" si="21">-I150*K150+J150*K150</f>
        <v>0</v>
      </c>
    </row>
    <row r="151" spans="2:12" x14ac:dyDescent="0.25">
      <c r="B151" t="s">
        <v>15</v>
      </c>
      <c r="F151" s="2">
        <f t="shared" si="20"/>
        <v>0</v>
      </c>
      <c r="L151" s="2">
        <f t="shared" si="21"/>
        <v>0</v>
      </c>
    </row>
    <row r="152" spans="2:12" x14ac:dyDescent="0.25">
      <c r="B152" t="s">
        <v>16</v>
      </c>
      <c r="E152">
        <v>872</v>
      </c>
      <c r="F152" s="2">
        <f t="shared" si="20"/>
        <v>0</v>
      </c>
      <c r="L152" s="2">
        <f t="shared" si="21"/>
        <v>0</v>
      </c>
    </row>
    <row r="153" spans="2:12" x14ac:dyDescent="0.25">
      <c r="B153" t="s">
        <v>17</v>
      </c>
      <c r="E153">
        <v>229</v>
      </c>
      <c r="F153" s="2">
        <f t="shared" si="20"/>
        <v>0</v>
      </c>
      <c r="K153">
        <v>42</v>
      </c>
      <c r="L153" s="2">
        <f t="shared" si="21"/>
        <v>0</v>
      </c>
    </row>
    <row r="154" spans="2:12" x14ac:dyDescent="0.25">
      <c r="B154" t="s">
        <v>18</v>
      </c>
      <c r="E154">
        <v>500</v>
      </c>
      <c r="F154" s="2">
        <f t="shared" si="20"/>
        <v>0</v>
      </c>
      <c r="L154" s="2">
        <f t="shared" si="21"/>
        <v>0</v>
      </c>
    </row>
    <row r="155" spans="2:12" x14ac:dyDescent="0.25">
      <c r="B155" t="s">
        <v>26</v>
      </c>
      <c r="E155">
        <v>650</v>
      </c>
      <c r="F155" s="2">
        <f t="shared" si="20"/>
        <v>0</v>
      </c>
      <c r="L155" s="2">
        <f t="shared" si="21"/>
        <v>0</v>
      </c>
    </row>
    <row r="156" spans="2:12" x14ac:dyDescent="0.25">
      <c r="B156" s="12" t="s">
        <v>41</v>
      </c>
      <c r="E156">
        <v>1175</v>
      </c>
      <c r="F156" s="2">
        <f t="shared" si="20"/>
        <v>0</v>
      </c>
      <c r="L156" s="2">
        <f t="shared" si="21"/>
        <v>0</v>
      </c>
    </row>
    <row r="157" spans="2:12" x14ac:dyDescent="0.25">
      <c r="B157" t="s">
        <v>40</v>
      </c>
      <c r="E157">
        <v>700</v>
      </c>
      <c r="F157" s="2">
        <f t="shared" si="20"/>
        <v>0</v>
      </c>
      <c r="L157" s="2">
        <f t="shared" si="21"/>
        <v>0</v>
      </c>
    </row>
    <row r="158" spans="2:12" x14ac:dyDescent="0.25">
      <c r="F158" s="2">
        <f t="shared" si="20"/>
        <v>0</v>
      </c>
      <c r="L158" s="2">
        <f t="shared" si="21"/>
        <v>0</v>
      </c>
    </row>
    <row r="159" spans="2:12" x14ac:dyDescent="0.25">
      <c r="F159" s="2">
        <f t="shared" si="20"/>
        <v>0</v>
      </c>
      <c r="L159" s="2">
        <f t="shared" si="21"/>
        <v>0</v>
      </c>
    </row>
    <row r="160" spans="2:12" x14ac:dyDescent="0.25">
      <c r="F160" s="2">
        <f t="shared" si="20"/>
        <v>0</v>
      </c>
      <c r="L160" s="2">
        <f t="shared" si="21"/>
        <v>0</v>
      </c>
    </row>
    <row r="161" spans="2:12" x14ac:dyDescent="0.25">
      <c r="F161" s="2">
        <f t="shared" si="20"/>
        <v>0</v>
      </c>
      <c r="L161" s="2">
        <f t="shared" si="21"/>
        <v>0</v>
      </c>
    </row>
    <row r="162" spans="2:12" x14ac:dyDescent="0.25">
      <c r="F162" s="2">
        <f t="shared" si="20"/>
        <v>0</v>
      </c>
      <c r="L162" s="2">
        <f t="shared" si="21"/>
        <v>0</v>
      </c>
    </row>
    <row r="163" spans="2:12" x14ac:dyDescent="0.25">
      <c r="F163" s="2">
        <f t="shared" si="20"/>
        <v>0</v>
      </c>
      <c r="L163" s="2">
        <f t="shared" si="21"/>
        <v>0</v>
      </c>
    </row>
    <row r="164" spans="2:12" x14ac:dyDescent="0.25">
      <c r="F164" s="2">
        <f t="shared" si="20"/>
        <v>0</v>
      </c>
      <c r="L164" s="2">
        <f t="shared" si="21"/>
        <v>0</v>
      </c>
    </row>
    <row r="165" spans="2:12" x14ac:dyDescent="0.25">
      <c r="F165" s="2">
        <f t="shared" si="20"/>
        <v>0</v>
      </c>
      <c r="L165" s="2">
        <f t="shared" si="21"/>
        <v>0</v>
      </c>
    </row>
    <row r="166" spans="2:12" x14ac:dyDescent="0.25">
      <c r="F166" s="2">
        <f t="shared" si="20"/>
        <v>0</v>
      </c>
      <c r="L166" s="2">
        <f t="shared" si="21"/>
        <v>0</v>
      </c>
    </row>
    <row r="167" spans="2:12" x14ac:dyDescent="0.25">
      <c r="F167" s="2">
        <f t="shared" si="20"/>
        <v>0</v>
      </c>
      <c r="L167" s="2">
        <f t="shared" si="21"/>
        <v>0</v>
      </c>
    </row>
    <row r="168" spans="2:12" x14ac:dyDescent="0.25">
      <c r="F168" s="2">
        <f t="shared" si="20"/>
        <v>0</v>
      </c>
      <c r="H168" s="25" t="s">
        <v>23</v>
      </c>
      <c r="I168" s="25"/>
      <c r="J168" s="25"/>
      <c r="K168" s="25"/>
      <c r="L168" s="9">
        <f>SUM(L146:L167)</f>
        <v>0</v>
      </c>
    </row>
    <row r="169" spans="2:12" x14ac:dyDescent="0.25">
      <c r="B169" s="21" t="s">
        <v>28</v>
      </c>
      <c r="C169" s="21"/>
      <c r="D169" s="8"/>
      <c r="E169" s="8"/>
      <c r="F169" s="5">
        <f>-D169*E169</f>
        <v>0</v>
      </c>
      <c r="H169" s="25" t="s">
        <v>24</v>
      </c>
      <c r="I169" s="25"/>
      <c r="J169" s="25"/>
      <c r="K169" s="25"/>
      <c r="L169" s="4">
        <f>SUM(F170)</f>
        <v>0</v>
      </c>
    </row>
    <row r="170" spans="2:12" x14ac:dyDescent="0.25">
      <c r="B170" s="26" t="s">
        <v>19</v>
      </c>
      <c r="C170" s="26"/>
      <c r="D170" s="26"/>
      <c r="E170" s="26"/>
      <c r="F170" s="13">
        <f>SUM(F146:F169)</f>
        <v>0</v>
      </c>
      <c r="H170" s="25" t="s">
        <v>25</v>
      </c>
      <c r="I170" s="25"/>
      <c r="J170" s="25"/>
      <c r="K170" s="25"/>
      <c r="L170" s="14">
        <f>SUM(L169+L168)</f>
        <v>0</v>
      </c>
    </row>
  </sheetData>
  <mergeCells count="162">
    <mergeCell ref="B170:E170"/>
    <mergeCell ref="H170:K170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71:C71"/>
    <mergeCell ref="D71:F71"/>
    <mergeCell ref="H71:I71"/>
    <mergeCell ref="N71:O71"/>
    <mergeCell ref="P71:R71"/>
    <mergeCell ref="T71:U71"/>
    <mergeCell ref="T5:U5"/>
    <mergeCell ref="T6:U6"/>
    <mergeCell ref="H37:I37"/>
    <mergeCell ref="H38:I38"/>
    <mergeCell ref="H39:I39"/>
    <mergeCell ref="H40:I40"/>
    <mergeCell ref="T37:U37"/>
    <mergeCell ref="T38:U38"/>
    <mergeCell ref="T39:U39"/>
    <mergeCell ref="T40:U40"/>
    <mergeCell ref="B68:E68"/>
    <mergeCell ref="H68:K68"/>
    <mergeCell ref="N68:Q68"/>
    <mergeCell ref="T68:W68"/>
    <mergeCell ref="N39:O39"/>
    <mergeCell ref="P39:R39"/>
    <mergeCell ref="B34:E34"/>
    <mergeCell ref="H34:K34"/>
    <mergeCell ref="T3:U3"/>
    <mergeCell ref="T4:U4"/>
    <mergeCell ref="H66:K66"/>
    <mergeCell ref="T66:W66"/>
    <mergeCell ref="B67:C67"/>
    <mergeCell ref="H67:K67"/>
    <mergeCell ref="N67:O67"/>
    <mergeCell ref="T67:W67"/>
    <mergeCell ref="B40:C40"/>
    <mergeCell ref="D40:F40"/>
    <mergeCell ref="N40:O40"/>
    <mergeCell ref="P40:R40"/>
    <mergeCell ref="H42:L42"/>
    <mergeCell ref="T42:X42"/>
    <mergeCell ref="B38:C38"/>
    <mergeCell ref="D38:F38"/>
    <mergeCell ref="N38:O38"/>
    <mergeCell ref="P38:R38"/>
    <mergeCell ref="B39:C39"/>
    <mergeCell ref="D39:F39"/>
    <mergeCell ref="N34:Q34"/>
    <mergeCell ref="T34:W34"/>
    <mergeCell ref="B37:C37"/>
    <mergeCell ref="D37:F37"/>
    <mergeCell ref="N37:O37"/>
    <mergeCell ref="P37:R37"/>
    <mergeCell ref="H8:L8"/>
    <mergeCell ref="T8:X8"/>
    <mergeCell ref="H32:K32"/>
    <mergeCell ref="T32:W32"/>
    <mergeCell ref="B33:C33"/>
    <mergeCell ref="H33:K33"/>
    <mergeCell ref="N33:O33"/>
    <mergeCell ref="T33:W33"/>
    <mergeCell ref="B5:C5"/>
    <mergeCell ref="D5:F5"/>
    <mergeCell ref="N5:O5"/>
    <mergeCell ref="P5:R5"/>
    <mergeCell ref="B6:C6"/>
    <mergeCell ref="D6:F6"/>
    <mergeCell ref="N6:O6"/>
    <mergeCell ref="P6:R6"/>
    <mergeCell ref="B3:C3"/>
    <mergeCell ref="D3:F3"/>
    <mergeCell ref="N3:O3"/>
    <mergeCell ref="P3:R3"/>
    <mergeCell ref="B4:C4"/>
    <mergeCell ref="D4:F4"/>
    <mergeCell ref="N4:O4"/>
    <mergeCell ref="P4:R4"/>
    <mergeCell ref="H3:I3"/>
    <mergeCell ref="H4:I4"/>
    <mergeCell ref="H5:I5"/>
    <mergeCell ref="H6:I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1659-3A96-48D9-9A13-BEBB2BC345CF}">
  <dimension ref="B1:AF170"/>
  <sheetViews>
    <sheetView zoomScaleNormal="100" workbookViewId="0">
      <selection activeCell="O149" sqref="O149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76</v>
      </c>
      <c r="AF1" s="18" t="s">
        <v>77</v>
      </c>
    </row>
    <row r="3" spans="2:32" x14ac:dyDescent="0.25">
      <c r="B3" s="22" t="s">
        <v>0</v>
      </c>
      <c r="C3" s="22"/>
      <c r="D3" s="27" t="s">
        <v>81</v>
      </c>
      <c r="E3" s="27"/>
      <c r="F3" s="27"/>
      <c r="H3" s="22" t="s">
        <v>43</v>
      </c>
      <c r="I3" s="22"/>
      <c r="J3">
        <v>3</v>
      </c>
      <c r="N3" s="22" t="s">
        <v>0</v>
      </c>
      <c r="O3" s="22"/>
      <c r="P3" s="27" t="s">
        <v>84</v>
      </c>
      <c r="Q3" s="27"/>
      <c r="R3" s="27"/>
      <c r="T3" s="22" t="s">
        <v>43</v>
      </c>
      <c r="U3" s="22"/>
      <c r="V3">
        <v>3</v>
      </c>
      <c r="Z3" s="20">
        <f>F34+R34+F68+R68+F102+R102+F136+R136+F170+R170</f>
        <v>0</v>
      </c>
      <c r="AA3" s="19"/>
      <c r="AB3" s="19">
        <f>F67+F101+R101</f>
        <v>0</v>
      </c>
      <c r="AC3" s="19"/>
      <c r="AD3" s="19"/>
      <c r="AF3" s="3">
        <f>L34+X34+L68+X68+L102+X102+L136+X136+L170+X170</f>
        <v>0</v>
      </c>
    </row>
    <row r="4" spans="2:32" x14ac:dyDescent="0.25">
      <c r="B4" s="22" t="s">
        <v>1</v>
      </c>
      <c r="C4" s="22"/>
      <c r="D4" s="23" t="s">
        <v>82</v>
      </c>
      <c r="E4" s="23"/>
      <c r="F4" s="23"/>
      <c r="H4" s="22" t="s">
        <v>44</v>
      </c>
      <c r="I4" s="22"/>
      <c r="J4" t="s">
        <v>78</v>
      </c>
      <c r="N4" s="22" t="s">
        <v>1</v>
      </c>
      <c r="O4" s="22"/>
      <c r="P4" s="23" t="s">
        <v>57</v>
      </c>
      <c r="Q4" s="23"/>
      <c r="R4" s="23"/>
      <c r="T4" s="22" t="s">
        <v>44</v>
      </c>
      <c r="U4" s="22"/>
      <c r="V4" t="s">
        <v>78</v>
      </c>
      <c r="AA4" s="19"/>
      <c r="AB4" s="19"/>
      <c r="AC4" s="19"/>
      <c r="AD4" s="19"/>
    </row>
    <row r="5" spans="2:32" x14ac:dyDescent="0.25">
      <c r="B5" s="22" t="s">
        <v>3</v>
      </c>
      <c r="C5" s="22"/>
      <c r="D5" s="28" t="s">
        <v>32</v>
      </c>
      <c r="E5" s="28"/>
      <c r="F5" s="28"/>
      <c r="H5" s="22" t="s">
        <v>45</v>
      </c>
      <c r="I5" s="22"/>
      <c r="J5" t="s">
        <v>79</v>
      </c>
      <c r="N5" s="22" t="s">
        <v>3</v>
      </c>
      <c r="O5" s="22"/>
      <c r="P5" s="23" t="s">
        <v>58</v>
      </c>
      <c r="Q5" s="23"/>
      <c r="R5" s="23"/>
      <c r="T5" s="22" t="s">
        <v>45</v>
      </c>
      <c r="U5" s="22"/>
      <c r="V5" t="s">
        <v>79</v>
      </c>
      <c r="Z5" s="19"/>
      <c r="AA5" s="19"/>
      <c r="AB5" s="19"/>
      <c r="AC5" s="19"/>
      <c r="AD5" s="19"/>
    </row>
    <row r="6" spans="2:32" x14ac:dyDescent="0.25">
      <c r="B6" s="22" t="s">
        <v>2</v>
      </c>
      <c r="C6" s="22"/>
      <c r="D6" s="23" t="s">
        <v>83</v>
      </c>
      <c r="E6" s="23"/>
      <c r="F6" s="23"/>
      <c r="H6" s="22" t="s">
        <v>46</v>
      </c>
      <c r="I6" s="22"/>
      <c r="J6" t="s">
        <v>80</v>
      </c>
      <c r="N6" s="22" t="s">
        <v>2</v>
      </c>
      <c r="O6" s="22"/>
      <c r="P6" s="23" t="s">
        <v>55</v>
      </c>
      <c r="Q6" s="23"/>
      <c r="R6" s="23"/>
      <c r="T6" s="22" t="s">
        <v>46</v>
      </c>
      <c r="U6" s="22"/>
      <c r="V6" t="s">
        <v>80</v>
      </c>
      <c r="Z6" s="19"/>
      <c r="AA6" s="19"/>
      <c r="AB6" s="19"/>
      <c r="AC6" s="19"/>
      <c r="AD6" s="19"/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E10">
        <v>650</v>
      </c>
      <c r="F10" s="2">
        <f>C10*E10</f>
        <v>0</v>
      </c>
      <c r="K10">
        <v>111</v>
      </c>
      <c r="L10" s="2">
        <f t="shared" ref="L10:L32" si="0">-I10*K10+J10*K10</f>
        <v>0</v>
      </c>
      <c r="N10" t="s">
        <v>10</v>
      </c>
      <c r="Q10">
        <v>650</v>
      </c>
      <c r="R10" s="2">
        <f>O10*Q10</f>
        <v>0</v>
      </c>
      <c r="T10" t="s">
        <v>42</v>
      </c>
      <c r="W10">
        <v>111</v>
      </c>
      <c r="X10" s="2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2">
        <f t="shared" ref="F11:F32" si="2">C11*E11</f>
        <v>0</v>
      </c>
      <c r="L11" s="2">
        <f t="shared" si="0"/>
        <v>0</v>
      </c>
      <c r="N11" t="s">
        <v>11</v>
      </c>
      <c r="Q11">
        <v>670</v>
      </c>
      <c r="R11" s="2">
        <f t="shared" ref="R11:R32" si="3">O11*Q11</f>
        <v>0</v>
      </c>
      <c r="X11" s="2">
        <f t="shared" si="1"/>
        <v>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E13">
        <v>622</v>
      </c>
      <c r="F13" s="2">
        <f t="shared" si="2"/>
        <v>0</v>
      </c>
      <c r="L13" s="2">
        <f t="shared" si="0"/>
        <v>0</v>
      </c>
      <c r="N13" t="s">
        <v>13</v>
      </c>
      <c r="Q13">
        <v>622</v>
      </c>
      <c r="R13" s="2">
        <f t="shared" si="3"/>
        <v>0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E17">
        <v>9.5</v>
      </c>
      <c r="F17" s="2">
        <f t="shared" si="2"/>
        <v>0</v>
      </c>
      <c r="K17">
        <v>42</v>
      </c>
      <c r="L17" s="2">
        <f t="shared" si="0"/>
        <v>0</v>
      </c>
      <c r="N17" t="s">
        <v>17</v>
      </c>
      <c r="Q17">
        <v>9.5</v>
      </c>
      <c r="R17" s="2">
        <f t="shared" si="3"/>
        <v>0</v>
      </c>
      <c r="T17" t="s">
        <v>17</v>
      </c>
      <c r="W17">
        <v>42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B20" t="s">
        <v>40</v>
      </c>
      <c r="E20">
        <v>700</v>
      </c>
      <c r="F20" s="2">
        <f t="shared" si="2"/>
        <v>0</v>
      </c>
      <c r="L20" s="2">
        <f t="shared" si="0"/>
        <v>0</v>
      </c>
      <c r="N20" t="s">
        <v>40</v>
      </c>
      <c r="Q20">
        <v>700</v>
      </c>
      <c r="R20" s="2">
        <f t="shared" si="3"/>
        <v>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0</v>
      </c>
    </row>
    <row r="33" spans="2:24" x14ac:dyDescent="0.25">
      <c r="B33" s="21" t="s">
        <v>28</v>
      </c>
      <c r="C33" s="21"/>
      <c r="D33" s="8"/>
      <c r="E33" s="8"/>
      <c r="F33" s="5">
        <f>-D33*E33</f>
        <v>0</v>
      </c>
      <c r="H33" s="25" t="s">
        <v>24</v>
      </c>
      <c r="I33" s="25"/>
      <c r="J33" s="25"/>
      <c r="K33" s="25"/>
      <c r="L33" s="4">
        <f>SUM(F34)</f>
        <v>0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0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0</v>
      </c>
      <c r="H34" s="25" t="s">
        <v>25</v>
      </c>
      <c r="I34" s="25"/>
      <c r="J34" s="25"/>
      <c r="K34" s="25"/>
      <c r="L34" s="14">
        <f>SUM(L33+L32)</f>
        <v>0</v>
      </c>
      <c r="N34" s="26" t="s">
        <v>19</v>
      </c>
      <c r="O34" s="26"/>
      <c r="P34" s="26"/>
      <c r="Q34" s="26"/>
      <c r="R34" s="13">
        <f>SUM(R10:R33)</f>
        <v>0</v>
      </c>
      <c r="T34" s="25" t="s">
        <v>25</v>
      </c>
      <c r="U34" s="25"/>
      <c r="V34" s="25"/>
      <c r="W34" s="25"/>
      <c r="X34" s="14">
        <f>SUM(X33+X32)</f>
        <v>0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85</v>
      </c>
      <c r="E37" s="27"/>
      <c r="F37" s="27"/>
      <c r="H37" s="22" t="s">
        <v>43</v>
      </c>
      <c r="I37" s="22"/>
      <c r="J37">
        <v>3</v>
      </c>
      <c r="N37" s="22" t="s">
        <v>0</v>
      </c>
      <c r="O37" s="22"/>
      <c r="P37" s="27" t="s">
        <v>89</v>
      </c>
      <c r="Q37" s="27"/>
      <c r="R37" s="27"/>
      <c r="T37" s="22" t="s">
        <v>43</v>
      </c>
      <c r="U37" s="22"/>
      <c r="V37">
        <v>3</v>
      </c>
    </row>
    <row r="38" spans="2:24" x14ac:dyDescent="0.25">
      <c r="B38" s="22" t="s">
        <v>1</v>
      </c>
      <c r="C38" s="22"/>
      <c r="D38" s="23" t="s">
        <v>86</v>
      </c>
      <c r="E38" s="23"/>
      <c r="F38" s="23"/>
      <c r="H38" s="22" t="s">
        <v>44</v>
      </c>
      <c r="I38" s="22"/>
      <c r="J38" t="s">
        <v>78</v>
      </c>
      <c r="N38" s="22" t="s">
        <v>1</v>
      </c>
      <c r="O38" s="22"/>
      <c r="P38" s="23" t="s">
        <v>90</v>
      </c>
      <c r="Q38" s="23"/>
      <c r="R38" s="23"/>
      <c r="T38" s="22" t="s">
        <v>44</v>
      </c>
      <c r="U38" s="22"/>
      <c r="V38" t="s">
        <v>78</v>
      </c>
    </row>
    <row r="39" spans="2:24" x14ac:dyDescent="0.25">
      <c r="B39" s="22" t="s">
        <v>3</v>
      </c>
      <c r="C39" s="22"/>
      <c r="D39" s="23" t="s">
        <v>32</v>
      </c>
      <c r="E39" s="23"/>
      <c r="F39" s="23"/>
      <c r="H39" s="22" t="s">
        <v>45</v>
      </c>
      <c r="I39" s="22"/>
      <c r="J39" t="s">
        <v>79</v>
      </c>
      <c r="N39" s="22" t="s">
        <v>3</v>
      </c>
      <c r="O39" s="22"/>
      <c r="P39" s="23" t="s">
        <v>32</v>
      </c>
      <c r="Q39" s="23"/>
      <c r="R39" s="23"/>
      <c r="T39" s="22" t="s">
        <v>45</v>
      </c>
      <c r="U39" s="22"/>
      <c r="V39" t="s">
        <v>79</v>
      </c>
    </row>
    <row r="40" spans="2:24" x14ac:dyDescent="0.25">
      <c r="B40" s="22" t="s">
        <v>2</v>
      </c>
      <c r="C40" s="22"/>
      <c r="D40" s="23" t="s">
        <v>83</v>
      </c>
      <c r="E40" s="23"/>
      <c r="F40" s="23"/>
      <c r="H40" s="22" t="s">
        <v>46</v>
      </c>
      <c r="I40" s="22"/>
      <c r="J40" t="s">
        <v>80</v>
      </c>
      <c r="N40" s="22" t="s">
        <v>2</v>
      </c>
      <c r="O40" s="22"/>
      <c r="P40" s="23" t="s">
        <v>83</v>
      </c>
      <c r="Q40" s="23"/>
      <c r="R40" s="23"/>
      <c r="T40" s="22" t="s">
        <v>46</v>
      </c>
      <c r="U40" s="22"/>
      <c r="V40" t="s">
        <v>80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E44">
        <v>650</v>
      </c>
      <c r="F44" s="2">
        <f>C44*E44</f>
        <v>0</v>
      </c>
      <c r="H44" t="s">
        <v>87</v>
      </c>
      <c r="K44">
        <v>111</v>
      </c>
      <c r="L44" s="2">
        <f t="shared" ref="L44:L46" si="4">-I44*K44+J44*K44</f>
        <v>0</v>
      </c>
      <c r="N44" t="s">
        <v>10</v>
      </c>
      <c r="Q44">
        <v>650</v>
      </c>
      <c r="R44" s="2">
        <f>O44*Q44</f>
        <v>0</v>
      </c>
      <c r="X44" s="2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2">
        <f t="shared" ref="F45:F66" si="6">C45*E45</f>
        <v>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E47">
        <v>622</v>
      </c>
      <c r="F47" s="2">
        <f t="shared" si="6"/>
        <v>0</v>
      </c>
      <c r="H47" t="s">
        <v>88</v>
      </c>
      <c r="K47">
        <v>1.5</v>
      </c>
      <c r="L47" s="2">
        <f>-I47*K47+J47*K47</f>
        <v>0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E50">
        <v>872</v>
      </c>
      <c r="F50" s="2">
        <f t="shared" si="6"/>
        <v>0</v>
      </c>
      <c r="L50" s="2">
        <f t="shared" si="8"/>
        <v>0</v>
      </c>
      <c r="N50" t="s">
        <v>16</v>
      </c>
      <c r="R50" s="2">
        <f t="shared" si="7"/>
        <v>0</v>
      </c>
      <c r="X50" s="2">
        <f t="shared" si="5"/>
        <v>0</v>
      </c>
    </row>
    <row r="51" spans="2:24" x14ac:dyDescent="0.25">
      <c r="B51" t="s">
        <v>17</v>
      </c>
      <c r="E51">
        <v>229</v>
      </c>
      <c r="F51" s="2">
        <f t="shared" si="6"/>
        <v>0</v>
      </c>
      <c r="L51" s="2">
        <f t="shared" si="8"/>
        <v>0</v>
      </c>
      <c r="N51" t="s">
        <v>17</v>
      </c>
      <c r="Q51">
        <v>9.5</v>
      </c>
      <c r="R51" s="2">
        <f t="shared" si="7"/>
        <v>0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L52" s="2">
        <f t="shared" si="8"/>
        <v>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41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40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0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0</v>
      </c>
    </row>
    <row r="67" spans="2:24" x14ac:dyDescent="0.25">
      <c r="B67" s="21" t="s">
        <v>28</v>
      </c>
      <c r="C67" s="21"/>
      <c r="D67" s="8"/>
      <c r="E67" s="8"/>
      <c r="F67" s="5">
        <f>-D67*E67</f>
        <v>0</v>
      </c>
      <c r="H67" s="25" t="s">
        <v>24</v>
      </c>
      <c r="I67" s="25"/>
      <c r="J67" s="25"/>
      <c r="K67" s="25"/>
      <c r="L67" s="4">
        <f>SUM(F68)</f>
        <v>0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0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0</v>
      </c>
      <c r="H68" s="25" t="s">
        <v>25</v>
      </c>
      <c r="I68" s="25"/>
      <c r="J68" s="25"/>
      <c r="K68" s="25"/>
      <c r="L68" s="14">
        <f>SUM(L67+L66)</f>
        <v>0</v>
      </c>
      <c r="N68" s="26" t="s">
        <v>19</v>
      </c>
      <c r="O68" s="26"/>
      <c r="P68" s="26"/>
      <c r="Q68" s="26"/>
      <c r="R68" s="13">
        <f>SUM(R44:R67)</f>
        <v>0</v>
      </c>
      <c r="T68" s="25" t="s">
        <v>25</v>
      </c>
      <c r="U68" s="25"/>
      <c r="V68" s="25"/>
      <c r="W68" s="25"/>
      <c r="X68" s="14">
        <f>SUM(X67+X66)</f>
        <v>0</v>
      </c>
    </row>
    <row r="69" spans="2:24" ht="18.75" x14ac:dyDescent="0.3">
      <c r="B69" s="11" t="s">
        <v>29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N69" s="11" t="s">
        <v>29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1" spans="2:24" x14ac:dyDescent="0.25">
      <c r="B71" s="22" t="s">
        <v>0</v>
      </c>
      <c r="C71" s="22"/>
      <c r="D71" s="27" t="s">
        <v>91</v>
      </c>
      <c r="E71" s="27"/>
      <c r="F71" s="27"/>
      <c r="H71" s="22" t="s">
        <v>43</v>
      </c>
      <c r="I71" s="22"/>
      <c r="J71">
        <v>3</v>
      </c>
      <c r="N71" s="22" t="s">
        <v>0</v>
      </c>
      <c r="O71" s="22"/>
      <c r="P71" s="27" t="s">
        <v>93</v>
      </c>
      <c r="Q71" s="27"/>
      <c r="R71" s="27"/>
      <c r="T71" s="22" t="s">
        <v>43</v>
      </c>
      <c r="U71" s="22"/>
      <c r="V71">
        <v>3</v>
      </c>
    </row>
    <row r="72" spans="2:24" x14ac:dyDescent="0.25">
      <c r="B72" s="22" t="s">
        <v>1</v>
      </c>
      <c r="C72" s="22"/>
      <c r="D72" s="23" t="s">
        <v>92</v>
      </c>
      <c r="E72" s="23"/>
      <c r="F72" s="23"/>
      <c r="H72" s="22" t="s">
        <v>44</v>
      </c>
      <c r="I72" s="22"/>
      <c r="J72" t="s">
        <v>78</v>
      </c>
      <c r="N72" s="22" t="s">
        <v>1</v>
      </c>
      <c r="O72" s="22"/>
      <c r="P72" s="23" t="s">
        <v>94</v>
      </c>
      <c r="Q72" s="23"/>
      <c r="R72" s="23"/>
      <c r="T72" s="22" t="s">
        <v>44</v>
      </c>
      <c r="U72" s="22"/>
      <c r="V72" t="s">
        <v>78</v>
      </c>
    </row>
    <row r="73" spans="2:24" x14ac:dyDescent="0.25">
      <c r="B73" s="22" t="s">
        <v>3</v>
      </c>
      <c r="C73" s="22"/>
      <c r="D73" s="23" t="s">
        <v>32</v>
      </c>
      <c r="E73" s="23"/>
      <c r="F73" s="23"/>
      <c r="H73" s="22" t="s">
        <v>45</v>
      </c>
      <c r="I73" s="22"/>
      <c r="J73" t="s">
        <v>79</v>
      </c>
      <c r="N73" s="22" t="s">
        <v>3</v>
      </c>
      <c r="O73" s="22"/>
      <c r="P73" s="23" t="s">
        <v>32</v>
      </c>
      <c r="Q73" s="23"/>
      <c r="R73" s="23"/>
      <c r="T73" s="22" t="s">
        <v>45</v>
      </c>
      <c r="U73" s="22"/>
      <c r="V73" t="s">
        <v>79</v>
      </c>
    </row>
    <row r="74" spans="2:24" x14ac:dyDescent="0.25">
      <c r="B74" s="22" t="s">
        <v>2</v>
      </c>
      <c r="C74" s="22"/>
      <c r="D74" s="23" t="s">
        <v>83</v>
      </c>
      <c r="E74" s="23"/>
      <c r="F74" s="23"/>
      <c r="H74" s="22" t="s">
        <v>46</v>
      </c>
      <c r="I74" s="22"/>
      <c r="J74" t="s">
        <v>80</v>
      </c>
      <c r="N74" s="22" t="s">
        <v>2</v>
      </c>
      <c r="O74" s="22"/>
      <c r="P74" s="23" t="s">
        <v>83</v>
      </c>
      <c r="Q74" s="23"/>
      <c r="R74" s="23"/>
      <c r="T74" s="22" t="s">
        <v>46</v>
      </c>
      <c r="U74" s="22"/>
      <c r="V74" t="s">
        <v>80</v>
      </c>
    </row>
    <row r="76" spans="2:24" x14ac:dyDescent="0.25">
      <c r="B76" s="1"/>
      <c r="C76" s="1" t="s">
        <v>4</v>
      </c>
      <c r="D76" s="1"/>
      <c r="E76" s="1"/>
      <c r="F76" s="1"/>
      <c r="H76" s="24" t="s">
        <v>20</v>
      </c>
      <c r="I76" s="24"/>
      <c r="J76" s="24"/>
      <c r="K76" s="24"/>
      <c r="L76" s="24"/>
      <c r="N76" s="1"/>
      <c r="O76" s="1" t="s">
        <v>4</v>
      </c>
      <c r="P76" s="1"/>
      <c r="Q76" s="1"/>
      <c r="R76" s="1"/>
      <c r="T76" s="24" t="s">
        <v>20</v>
      </c>
      <c r="U76" s="24"/>
      <c r="V76" s="24"/>
      <c r="W76" s="24"/>
      <c r="X76" s="24"/>
    </row>
    <row r="77" spans="2:24" x14ac:dyDescent="0.25">
      <c r="B77" s="6" t="s">
        <v>5</v>
      </c>
      <c r="C77" s="6" t="s">
        <v>6</v>
      </c>
      <c r="D77" s="6" t="s">
        <v>7</v>
      </c>
      <c r="E77" s="7" t="s">
        <v>8</v>
      </c>
      <c r="F77" s="6" t="s">
        <v>9</v>
      </c>
      <c r="H77" s="6" t="s">
        <v>5</v>
      </c>
      <c r="I77" s="7" t="s">
        <v>21</v>
      </c>
      <c r="J77" s="7" t="s">
        <v>22</v>
      </c>
      <c r="K77" s="7" t="s">
        <v>8</v>
      </c>
      <c r="L77" s="7" t="s">
        <v>9</v>
      </c>
      <c r="N77" s="6" t="s">
        <v>5</v>
      </c>
      <c r="O77" s="6" t="s">
        <v>6</v>
      </c>
      <c r="P77" s="6" t="s">
        <v>7</v>
      </c>
      <c r="Q77" s="7" t="s">
        <v>8</v>
      </c>
      <c r="R77" s="6" t="s">
        <v>9</v>
      </c>
      <c r="T77" s="6" t="s">
        <v>5</v>
      </c>
      <c r="U77" s="7" t="s">
        <v>21</v>
      </c>
      <c r="V77" s="7" t="s">
        <v>22</v>
      </c>
      <c r="W77" s="7" t="s">
        <v>8</v>
      </c>
      <c r="X77" s="7" t="s">
        <v>9</v>
      </c>
    </row>
    <row r="78" spans="2:24" x14ac:dyDescent="0.25">
      <c r="B78" t="s">
        <v>10</v>
      </c>
      <c r="E78">
        <v>650</v>
      </c>
      <c r="F78" s="2">
        <f>C78*E78</f>
        <v>0</v>
      </c>
      <c r="L78" s="2">
        <f t="shared" ref="L78:L80" si="9">-I78*K78+J78*K78</f>
        <v>0</v>
      </c>
      <c r="N78" t="s">
        <v>10</v>
      </c>
      <c r="Q78">
        <v>650</v>
      </c>
      <c r="R78" s="2">
        <f>O78*Q78</f>
        <v>0</v>
      </c>
      <c r="X78" s="2">
        <f t="shared" ref="X78:X99" si="10">-U78*W78+V78*W78</f>
        <v>0</v>
      </c>
    </row>
    <row r="79" spans="2:24" x14ac:dyDescent="0.25">
      <c r="B79" t="s">
        <v>11</v>
      </c>
      <c r="E79">
        <v>670</v>
      </c>
      <c r="F79" s="2">
        <f t="shared" ref="F79:F100" si="11">C79*E79</f>
        <v>0</v>
      </c>
      <c r="L79" s="2">
        <f t="shared" si="9"/>
        <v>0</v>
      </c>
      <c r="N79" t="s">
        <v>11</v>
      </c>
      <c r="R79" s="2">
        <f t="shared" ref="R79:R100" si="12">O79*Q79</f>
        <v>0</v>
      </c>
      <c r="X79" s="2">
        <f t="shared" si="10"/>
        <v>0</v>
      </c>
    </row>
    <row r="80" spans="2:24" x14ac:dyDescent="0.25">
      <c r="B80" t="s">
        <v>12</v>
      </c>
      <c r="E80">
        <v>973</v>
      </c>
      <c r="F80" s="2">
        <f t="shared" si="11"/>
        <v>0</v>
      </c>
      <c r="L80" s="2">
        <f t="shared" si="9"/>
        <v>0</v>
      </c>
      <c r="N80" t="s">
        <v>12</v>
      </c>
      <c r="R80" s="2">
        <f t="shared" si="12"/>
        <v>0</v>
      </c>
      <c r="X80" s="2">
        <f t="shared" si="10"/>
        <v>0</v>
      </c>
    </row>
    <row r="81" spans="2:24" x14ac:dyDescent="0.25">
      <c r="B81" t="s">
        <v>13</v>
      </c>
      <c r="E81">
        <v>622</v>
      </c>
      <c r="F81" s="2">
        <f t="shared" si="11"/>
        <v>0</v>
      </c>
      <c r="L81" s="2">
        <f>-I81*K81+J81*K81</f>
        <v>0</v>
      </c>
      <c r="N81" t="s">
        <v>13</v>
      </c>
      <c r="Q81">
        <v>622</v>
      </c>
      <c r="R81" s="2">
        <f t="shared" si="12"/>
        <v>0</v>
      </c>
      <c r="X81" s="2">
        <f t="shared" si="10"/>
        <v>0</v>
      </c>
    </row>
    <row r="82" spans="2:24" x14ac:dyDescent="0.25">
      <c r="B82" t="s">
        <v>14</v>
      </c>
      <c r="E82">
        <v>912</v>
      </c>
      <c r="F82" s="2">
        <f t="shared" si="11"/>
        <v>0</v>
      </c>
      <c r="L82" s="2">
        <f t="shared" ref="L82:L99" si="13">-I82*K82+J82*K82</f>
        <v>0</v>
      </c>
      <c r="N82" t="s">
        <v>14</v>
      </c>
      <c r="R82" s="2">
        <f t="shared" si="12"/>
        <v>0</v>
      </c>
      <c r="X82" s="2">
        <f t="shared" si="10"/>
        <v>0</v>
      </c>
    </row>
    <row r="83" spans="2:24" x14ac:dyDescent="0.25">
      <c r="B83" t="s">
        <v>15</v>
      </c>
      <c r="F83" s="2">
        <f t="shared" si="11"/>
        <v>0</v>
      </c>
      <c r="L83" s="2">
        <f t="shared" si="13"/>
        <v>0</v>
      </c>
      <c r="N83" t="s">
        <v>15</v>
      </c>
      <c r="R83" s="2">
        <f t="shared" si="12"/>
        <v>0</v>
      </c>
      <c r="X83" s="2">
        <f t="shared" si="10"/>
        <v>0</v>
      </c>
    </row>
    <row r="84" spans="2:24" x14ac:dyDescent="0.25">
      <c r="B84" t="s">
        <v>16</v>
      </c>
      <c r="E84">
        <v>872</v>
      </c>
      <c r="F84" s="2">
        <f t="shared" si="11"/>
        <v>0</v>
      </c>
      <c r="L84" s="2">
        <f t="shared" si="13"/>
        <v>0</v>
      </c>
      <c r="N84" t="s">
        <v>16</v>
      </c>
      <c r="R84" s="2">
        <f t="shared" si="12"/>
        <v>0</v>
      </c>
      <c r="X84" s="2">
        <f t="shared" si="10"/>
        <v>0</v>
      </c>
    </row>
    <row r="85" spans="2:24" x14ac:dyDescent="0.25">
      <c r="B85" t="s">
        <v>17</v>
      </c>
      <c r="E85">
        <v>229</v>
      </c>
      <c r="F85" s="2">
        <f t="shared" si="11"/>
        <v>0</v>
      </c>
      <c r="L85" s="2">
        <f t="shared" si="13"/>
        <v>0</v>
      </c>
      <c r="N85" t="s">
        <v>17</v>
      </c>
      <c r="Q85">
        <v>9.5</v>
      </c>
      <c r="R85" s="2">
        <f t="shared" si="12"/>
        <v>0</v>
      </c>
      <c r="X85" s="2">
        <f t="shared" si="10"/>
        <v>0</v>
      </c>
    </row>
    <row r="86" spans="2:24" x14ac:dyDescent="0.25">
      <c r="B86" t="s">
        <v>18</v>
      </c>
      <c r="E86">
        <v>500</v>
      </c>
      <c r="F86" s="2">
        <f t="shared" si="11"/>
        <v>0</v>
      </c>
      <c r="L86" s="2">
        <f t="shared" si="13"/>
        <v>0</v>
      </c>
      <c r="N86" t="s">
        <v>18</v>
      </c>
      <c r="R86" s="2">
        <f t="shared" si="12"/>
        <v>0</v>
      </c>
      <c r="X86" s="2">
        <f t="shared" si="10"/>
        <v>0</v>
      </c>
    </row>
    <row r="87" spans="2:24" x14ac:dyDescent="0.25">
      <c r="B87" t="s">
        <v>26</v>
      </c>
      <c r="E87">
        <v>650</v>
      </c>
      <c r="F87" s="2">
        <f t="shared" si="11"/>
        <v>0</v>
      </c>
      <c r="L87" s="2">
        <f t="shared" si="13"/>
        <v>0</v>
      </c>
      <c r="N87" t="s">
        <v>26</v>
      </c>
      <c r="R87" s="2">
        <f t="shared" si="12"/>
        <v>0</v>
      </c>
      <c r="X87" s="2">
        <f t="shared" si="10"/>
        <v>0</v>
      </c>
    </row>
    <row r="88" spans="2:24" x14ac:dyDescent="0.25">
      <c r="B88" s="12" t="s">
        <v>41</v>
      </c>
      <c r="E88">
        <v>1175</v>
      </c>
      <c r="F88" s="2">
        <f t="shared" si="11"/>
        <v>0</v>
      </c>
      <c r="L88" s="2">
        <f t="shared" si="13"/>
        <v>0</v>
      </c>
      <c r="N88" t="s">
        <v>40</v>
      </c>
      <c r="Q88">
        <v>700</v>
      </c>
      <c r="R88" s="2">
        <f t="shared" si="12"/>
        <v>0</v>
      </c>
      <c r="X88" s="2">
        <f t="shared" si="10"/>
        <v>0</v>
      </c>
    </row>
    <row r="89" spans="2:24" x14ac:dyDescent="0.25">
      <c r="B89" t="s">
        <v>40</v>
      </c>
      <c r="E89">
        <v>700</v>
      </c>
      <c r="F89" s="2">
        <f t="shared" si="11"/>
        <v>0</v>
      </c>
      <c r="L89" s="2">
        <f t="shared" si="13"/>
        <v>0</v>
      </c>
      <c r="R89" s="2">
        <f t="shared" si="12"/>
        <v>0</v>
      </c>
      <c r="X89" s="2">
        <f t="shared" si="10"/>
        <v>0</v>
      </c>
    </row>
    <row r="90" spans="2:24" x14ac:dyDescent="0.25">
      <c r="F90" s="2">
        <f t="shared" si="11"/>
        <v>0</v>
      </c>
      <c r="L90" s="2">
        <f t="shared" si="13"/>
        <v>0</v>
      </c>
      <c r="R90" s="2">
        <f t="shared" si="12"/>
        <v>0</v>
      </c>
      <c r="X90" s="2">
        <f t="shared" si="10"/>
        <v>0</v>
      </c>
    </row>
    <row r="91" spans="2:24" x14ac:dyDescent="0.25">
      <c r="F91" s="2">
        <f t="shared" si="11"/>
        <v>0</v>
      </c>
      <c r="L91" s="2">
        <f t="shared" si="13"/>
        <v>0</v>
      </c>
      <c r="R91" s="2">
        <f t="shared" si="12"/>
        <v>0</v>
      </c>
      <c r="X91" s="2">
        <f t="shared" si="10"/>
        <v>0</v>
      </c>
    </row>
    <row r="92" spans="2:24" x14ac:dyDescent="0.25">
      <c r="F92" s="2">
        <f t="shared" si="11"/>
        <v>0</v>
      </c>
      <c r="L92" s="2">
        <f t="shared" si="13"/>
        <v>0</v>
      </c>
      <c r="R92" s="2">
        <f t="shared" si="12"/>
        <v>0</v>
      </c>
      <c r="X92" s="2">
        <f t="shared" si="10"/>
        <v>0</v>
      </c>
    </row>
    <row r="93" spans="2:24" x14ac:dyDescent="0.25">
      <c r="F93" s="2">
        <f t="shared" si="11"/>
        <v>0</v>
      </c>
      <c r="L93" s="2">
        <f t="shared" si="13"/>
        <v>0</v>
      </c>
      <c r="R93" s="2">
        <f t="shared" si="12"/>
        <v>0</v>
      </c>
      <c r="X93" s="2">
        <f t="shared" si="10"/>
        <v>0</v>
      </c>
    </row>
    <row r="94" spans="2:24" x14ac:dyDescent="0.25">
      <c r="F94" s="2">
        <f t="shared" si="11"/>
        <v>0</v>
      </c>
      <c r="L94" s="2">
        <f t="shared" si="13"/>
        <v>0</v>
      </c>
      <c r="R94" s="2">
        <f t="shared" si="12"/>
        <v>0</v>
      </c>
      <c r="X94" s="2">
        <f t="shared" si="10"/>
        <v>0</v>
      </c>
    </row>
    <row r="95" spans="2:24" x14ac:dyDescent="0.25">
      <c r="F95" s="2">
        <f t="shared" si="11"/>
        <v>0</v>
      </c>
      <c r="L95" s="2">
        <f t="shared" si="13"/>
        <v>0</v>
      </c>
      <c r="R95" s="2">
        <f t="shared" si="12"/>
        <v>0</v>
      </c>
      <c r="X95" s="2">
        <f t="shared" si="10"/>
        <v>0</v>
      </c>
    </row>
    <row r="96" spans="2:24" x14ac:dyDescent="0.25">
      <c r="F96" s="2">
        <f t="shared" si="11"/>
        <v>0</v>
      </c>
      <c r="L96" s="2">
        <f t="shared" si="13"/>
        <v>0</v>
      </c>
      <c r="R96" s="2">
        <f t="shared" si="12"/>
        <v>0</v>
      </c>
      <c r="X96" s="2">
        <f t="shared" si="10"/>
        <v>0</v>
      </c>
    </row>
    <row r="97" spans="2:24" x14ac:dyDescent="0.25">
      <c r="F97" s="2">
        <f t="shared" si="11"/>
        <v>0</v>
      </c>
      <c r="L97" s="2">
        <f t="shared" si="13"/>
        <v>0</v>
      </c>
      <c r="R97" s="2">
        <f t="shared" si="12"/>
        <v>0</v>
      </c>
      <c r="X97" s="2">
        <f t="shared" si="10"/>
        <v>0</v>
      </c>
    </row>
    <row r="98" spans="2:24" x14ac:dyDescent="0.25">
      <c r="F98" s="2">
        <f t="shared" si="11"/>
        <v>0</v>
      </c>
      <c r="L98" s="2">
        <f t="shared" si="13"/>
        <v>0</v>
      </c>
      <c r="R98" s="2">
        <f t="shared" si="12"/>
        <v>0</v>
      </c>
      <c r="X98" s="2">
        <f t="shared" si="10"/>
        <v>0</v>
      </c>
    </row>
    <row r="99" spans="2:24" x14ac:dyDescent="0.25">
      <c r="F99" s="2">
        <f t="shared" si="11"/>
        <v>0</v>
      </c>
      <c r="L99" s="2">
        <f t="shared" si="13"/>
        <v>0</v>
      </c>
      <c r="R99" s="2">
        <f t="shared" si="12"/>
        <v>0</v>
      </c>
      <c r="X99" s="2">
        <f t="shared" si="10"/>
        <v>0</v>
      </c>
    </row>
    <row r="100" spans="2:24" x14ac:dyDescent="0.25">
      <c r="F100" s="2">
        <f t="shared" si="11"/>
        <v>0</v>
      </c>
      <c r="H100" s="25" t="s">
        <v>23</v>
      </c>
      <c r="I100" s="25"/>
      <c r="J100" s="25"/>
      <c r="K100" s="25"/>
      <c r="L100" s="9">
        <f>SUM(L78:L99)</f>
        <v>0</v>
      </c>
      <c r="R100" s="2">
        <f t="shared" si="12"/>
        <v>0</v>
      </c>
      <c r="T100" s="25" t="s">
        <v>23</v>
      </c>
      <c r="U100" s="25"/>
      <c r="V100" s="25"/>
      <c r="W100" s="25"/>
      <c r="X100" s="9">
        <f>SUM(X78:X99)</f>
        <v>0</v>
      </c>
    </row>
    <row r="101" spans="2:24" x14ac:dyDescent="0.25">
      <c r="B101" s="21" t="s">
        <v>28</v>
      </c>
      <c r="C101" s="21"/>
      <c r="D101" s="8"/>
      <c r="E101" s="8"/>
      <c r="F101" s="5">
        <f>-D101*E101</f>
        <v>0</v>
      </c>
      <c r="H101" s="25" t="s">
        <v>24</v>
      </c>
      <c r="I101" s="25"/>
      <c r="J101" s="25"/>
      <c r="K101" s="25"/>
      <c r="L101" s="4">
        <f>SUM(F102)</f>
        <v>0</v>
      </c>
      <c r="N101" s="21" t="s">
        <v>28</v>
      </c>
      <c r="O101" s="21"/>
      <c r="P101" s="8"/>
      <c r="Q101" s="8"/>
      <c r="R101" s="5">
        <f>-P101*Q101</f>
        <v>0</v>
      </c>
      <c r="T101" s="25" t="s">
        <v>24</v>
      </c>
      <c r="U101" s="25"/>
      <c r="V101" s="25"/>
      <c r="W101" s="25"/>
      <c r="X101" s="4">
        <f>SUM(R102)</f>
        <v>0</v>
      </c>
    </row>
    <row r="102" spans="2:24" x14ac:dyDescent="0.25">
      <c r="B102" s="26" t="s">
        <v>19</v>
      </c>
      <c r="C102" s="26"/>
      <c r="D102" s="26"/>
      <c r="E102" s="26"/>
      <c r="F102" s="13">
        <f>SUM(F78:F101)</f>
        <v>0</v>
      </c>
      <c r="H102" s="25" t="s">
        <v>25</v>
      </c>
      <c r="I102" s="25"/>
      <c r="J102" s="25"/>
      <c r="K102" s="25"/>
      <c r="L102" s="14">
        <f>SUM(L101+L100)</f>
        <v>0</v>
      </c>
      <c r="N102" s="26" t="s">
        <v>19</v>
      </c>
      <c r="O102" s="26"/>
      <c r="P102" s="26"/>
      <c r="Q102" s="26"/>
      <c r="R102" s="13">
        <f>SUM(R78:R101)</f>
        <v>0</v>
      </c>
      <c r="T102" s="25" t="s">
        <v>25</v>
      </c>
      <c r="U102" s="25"/>
      <c r="V102" s="25"/>
      <c r="W102" s="25"/>
      <c r="X102" s="14">
        <f>SUM(X101+X100)</f>
        <v>0</v>
      </c>
    </row>
    <row r="103" spans="2:24" ht="18.75" x14ac:dyDescent="0.3">
      <c r="B103" s="11" t="s">
        <v>29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N103" s="11" t="s">
        <v>29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5" spans="2:24" x14ac:dyDescent="0.25">
      <c r="B105" s="22" t="s">
        <v>0</v>
      </c>
      <c r="C105" s="22"/>
      <c r="D105" s="27" t="s">
        <v>95</v>
      </c>
      <c r="E105" s="27"/>
      <c r="F105" s="27"/>
      <c r="H105" s="22" t="s">
        <v>43</v>
      </c>
      <c r="I105" s="22"/>
      <c r="J105">
        <v>3</v>
      </c>
      <c r="N105" s="22" t="s">
        <v>0</v>
      </c>
      <c r="O105" s="22"/>
      <c r="P105" s="27" t="s">
        <v>97</v>
      </c>
      <c r="Q105" s="27"/>
      <c r="R105" s="27"/>
      <c r="T105" s="22" t="s">
        <v>43</v>
      </c>
      <c r="U105" s="22"/>
      <c r="V105">
        <v>3</v>
      </c>
    </row>
    <row r="106" spans="2:24" x14ac:dyDescent="0.25">
      <c r="B106" s="22" t="s">
        <v>1</v>
      </c>
      <c r="C106" s="22"/>
      <c r="D106" s="23" t="s">
        <v>96</v>
      </c>
      <c r="E106" s="23"/>
      <c r="F106" s="23"/>
      <c r="H106" s="22" t="s">
        <v>44</v>
      </c>
      <c r="I106" s="22"/>
      <c r="J106" t="s">
        <v>78</v>
      </c>
      <c r="N106" s="22" t="s">
        <v>1</v>
      </c>
      <c r="O106" s="22"/>
      <c r="P106" s="23" t="s">
        <v>98</v>
      </c>
      <c r="Q106" s="23"/>
      <c r="R106" s="23"/>
      <c r="T106" s="22" t="s">
        <v>44</v>
      </c>
      <c r="U106" s="22"/>
      <c r="V106" t="s">
        <v>78</v>
      </c>
    </row>
    <row r="107" spans="2:24" x14ac:dyDescent="0.25">
      <c r="B107" s="22" t="s">
        <v>3</v>
      </c>
      <c r="C107" s="22"/>
      <c r="D107" s="23" t="s">
        <v>32</v>
      </c>
      <c r="E107" s="23"/>
      <c r="F107" s="23"/>
      <c r="H107" s="22" t="s">
        <v>45</v>
      </c>
      <c r="I107" s="22"/>
      <c r="J107" t="s">
        <v>79</v>
      </c>
      <c r="N107" s="22" t="s">
        <v>3</v>
      </c>
      <c r="O107" s="22"/>
      <c r="P107" s="23" t="s">
        <v>32</v>
      </c>
      <c r="Q107" s="23"/>
      <c r="R107" s="23"/>
      <c r="T107" s="22" t="s">
        <v>45</v>
      </c>
      <c r="U107" s="22"/>
      <c r="V107" t="s">
        <v>79</v>
      </c>
    </row>
    <row r="108" spans="2:24" x14ac:dyDescent="0.25">
      <c r="B108" s="22" t="s">
        <v>2</v>
      </c>
      <c r="C108" s="22"/>
      <c r="D108" s="23" t="s">
        <v>83</v>
      </c>
      <c r="E108" s="23"/>
      <c r="F108" s="23"/>
      <c r="H108" s="22" t="s">
        <v>46</v>
      </c>
      <c r="I108" s="22"/>
      <c r="J108" t="s">
        <v>80</v>
      </c>
      <c r="N108" s="22" t="s">
        <v>2</v>
      </c>
      <c r="O108" s="22"/>
      <c r="P108" s="23" t="s">
        <v>99</v>
      </c>
      <c r="Q108" s="23"/>
      <c r="R108" s="23"/>
      <c r="T108" s="22" t="s">
        <v>46</v>
      </c>
      <c r="U108" s="22"/>
      <c r="V108" t="s">
        <v>80</v>
      </c>
    </row>
    <row r="110" spans="2:24" x14ac:dyDescent="0.25">
      <c r="B110" s="1"/>
      <c r="C110" s="1" t="s">
        <v>4</v>
      </c>
      <c r="D110" s="1"/>
      <c r="E110" s="1"/>
      <c r="F110" s="1"/>
      <c r="H110" s="24" t="s">
        <v>20</v>
      </c>
      <c r="I110" s="24"/>
      <c r="J110" s="24"/>
      <c r="K110" s="24"/>
      <c r="L110" s="24"/>
      <c r="N110" s="1"/>
      <c r="O110" s="1" t="s">
        <v>4</v>
      </c>
      <c r="P110" s="1"/>
      <c r="Q110" s="1"/>
      <c r="R110" s="1"/>
      <c r="T110" s="24" t="s">
        <v>20</v>
      </c>
      <c r="U110" s="24"/>
      <c r="V110" s="24"/>
      <c r="W110" s="24"/>
      <c r="X110" s="24"/>
    </row>
    <row r="111" spans="2:24" x14ac:dyDescent="0.25">
      <c r="B111" s="6" t="s">
        <v>5</v>
      </c>
      <c r="C111" s="6" t="s">
        <v>6</v>
      </c>
      <c r="D111" s="6" t="s">
        <v>7</v>
      </c>
      <c r="E111" s="7" t="s">
        <v>8</v>
      </c>
      <c r="F111" s="6" t="s">
        <v>9</v>
      </c>
      <c r="H111" s="6" t="s">
        <v>5</v>
      </c>
      <c r="I111" s="7" t="s">
        <v>21</v>
      </c>
      <c r="J111" s="7" t="s">
        <v>22</v>
      </c>
      <c r="K111" s="7" t="s">
        <v>8</v>
      </c>
      <c r="L111" s="7" t="s">
        <v>9</v>
      </c>
      <c r="N111" s="6" t="s">
        <v>5</v>
      </c>
      <c r="O111" s="6" t="s">
        <v>6</v>
      </c>
      <c r="P111" s="6" t="s">
        <v>7</v>
      </c>
      <c r="Q111" s="7" t="s">
        <v>8</v>
      </c>
      <c r="R111" s="6" t="s">
        <v>9</v>
      </c>
      <c r="T111" s="6" t="s">
        <v>5</v>
      </c>
      <c r="U111" s="7" t="s">
        <v>21</v>
      </c>
      <c r="V111" s="7" t="s">
        <v>22</v>
      </c>
      <c r="W111" s="7" t="s">
        <v>8</v>
      </c>
      <c r="X111" s="7" t="s">
        <v>9</v>
      </c>
    </row>
    <row r="112" spans="2:24" x14ac:dyDescent="0.25">
      <c r="B112" t="s">
        <v>10</v>
      </c>
      <c r="E112">
        <v>650</v>
      </c>
      <c r="F112" s="2">
        <f>C112*E112</f>
        <v>0</v>
      </c>
      <c r="K112">
        <v>111</v>
      </c>
      <c r="L112" s="2">
        <f t="shared" ref="L112:L114" si="14">-I112*K112+J112*K112</f>
        <v>0</v>
      </c>
      <c r="N112" t="s">
        <v>10</v>
      </c>
      <c r="Q112">
        <v>650</v>
      </c>
      <c r="R112" s="2">
        <f>O112*Q112</f>
        <v>0</v>
      </c>
      <c r="X112" s="2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2">
        <f t="shared" ref="F113:F134" si="16">C113*E113</f>
        <v>0</v>
      </c>
      <c r="L113" s="2">
        <f t="shared" si="14"/>
        <v>0</v>
      </c>
      <c r="N113" t="s">
        <v>11</v>
      </c>
      <c r="R113" s="2">
        <f t="shared" ref="R113:R134" si="17">O113*Q113</f>
        <v>0</v>
      </c>
      <c r="X113" s="2">
        <f t="shared" si="15"/>
        <v>0</v>
      </c>
    </row>
    <row r="114" spans="2:24" x14ac:dyDescent="0.25">
      <c r="B114" t="s">
        <v>12</v>
      </c>
      <c r="E114">
        <v>973</v>
      </c>
      <c r="F114" s="2">
        <f t="shared" si="16"/>
        <v>0</v>
      </c>
      <c r="L114" s="2">
        <f t="shared" si="14"/>
        <v>0</v>
      </c>
      <c r="N114" t="s">
        <v>12</v>
      </c>
      <c r="R114" s="2">
        <f t="shared" si="17"/>
        <v>0</v>
      </c>
      <c r="X114" s="2">
        <f t="shared" si="15"/>
        <v>0</v>
      </c>
    </row>
    <row r="115" spans="2:24" x14ac:dyDescent="0.25">
      <c r="B115" t="s">
        <v>13</v>
      </c>
      <c r="E115">
        <v>622</v>
      </c>
      <c r="F115" s="2">
        <f t="shared" si="16"/>
        <v>0</v>
      </c>
      <c r="L115" s="2">
        <f>-I115*K115+J115*K115</f>
        <v>0</v>
      </c>
      <c r="N115" t="s">
        <v>13</v>
      </c>
      <c r="Q115">
        <v>622</v>
      </c>
      <c r="R115" s="2">
        <f t="shared" si="17"/>
        <v>0</v>
      </c>
      <c r="X115" s="2">
        <f t="shared" si="15"/>
        <v>0</v>
      </c>
    </row>
    <row r="116" spans="2:24" x14ac:dyDescent="0.25">
      <c r="B116" t="s">
        <v>14</v>
      </c>
      <c r="E116">
        <v>912</v>
      </c>
      <c r="F116" s="2">
        <f t="shared" si="16"/>
        <v>0</v>
      </c>
      <c r="L116" s="2">
        <f t="shared" ref="L116:L133" si="18">-I116*K116+J116*K116</f>
        <v>0</v>
      </c>
      <c r="N116" t="s">
        <v>14</v>
      </c>
      <c r="R116" s="2">
        <f t="shared" si="17"/>
        <v>0</v>
      </c>
      <c r="X116" s="2">
        <f t="shared" si="15"/>
        <v>0</v>
      </c>
    </row>
    <row r="117" spans="2:24" x14ac:dyDescent="0.25">
      <c r="B117" t="s">
        <v>15</v>
      </c>
      <c r="F117" s="2">
        <f t="shared" si="16"/>
        <v>0</v>
      </c>
      <c r="L117" s="2">
        <f t="shared" si="18"/>
        <v>0</v>
      </c>
      <c r="N117" t="s">
        <v>15</v>
      </c>
      <c r="R117" s="2">
        <f t="shared" si="17"/>
        <v>0</v>
      </c>
      <c r="X117" s="2">
        <f t="shared" si="15"/>
        <v>0</v>
      </c>
    </row>
    <row r="118" spans="2:24" x14ac:dyDescent="0.25">
      <c r="B118" t="s">
        <v>16</v>
      </c>
      <c r="E118">
        <v>872</v>
      </c>
      <c r="F118" s="2">
        <f t="shared" si="16"/>
        <v>0</v>
      </c>
      <c r="L118" s="2">
        <f t="shared" si="18"/>
        <v>0</v>
      </c>
      <c r="N118" t="s">
        <v>16</v>
      </c>
      <c r="R118" s="2">
        <f t="shared" si="17"/>
        <v>0</v>
      </c>
      <c r="X118" s="2">
        <f t="shared" si="15"/>
        <v>0</v>
      </c>
    </row>
    <row r="119" spans="2:24" x14ac:dyDescent="0.25">
      <c r="B119" t="s">
        <v>17</v>
      </c>
      <c r="E119">
        <v>229</v>
      </c>
      <c r="F119" s="2">
        <f t="shared" si="16"/>
        <v>0</v>
      </c>
      <c r="L119" s="2">
        <f t="shared" si="18"/>
        <v>0</v>
      </c>
      <c r="N119" t="s">
        <v>17</v>
      </c>
      <c r="Q119">
        <v>9.5</v>
      </c>
      <c r="R119" s="2">
        <f t="shared" si="17"/>
        <v>0</v>
      </c>
      <c r="X119" s="2">
        <f t="shared" si="15"/>
        <v>0</v>
      </c>
    </row>
    <row r="120" spans="2:24" x14ac:dyDescent="0.25">
      <c r="B120" t="s">
        <v>18</v>
      </c>
      <c r="E120">
        <v>500</v>
      </c>
      <c r="F120" s="2">
        <f t="shared" si="16"/>
        <v>0</v>
      </c>
      <c r="L120" s="2">
        <f t="shared" si="18"/>
        <v>0</v>
      </c>
      <c r="N120" t="s">
        <v>18</v>
      </c>
      <c r="R120" s="2">
        <f t="shared" si="17"/>
        <v>0</v>
      </c>
      <c r="X120" s="2">
        <f t="shared" si="15"/>
        <v>0</v>
      </c>
    </row>
    <row r="121" spans="2:24" x14ac:dyDescent="0.25">
      <c r="B121" t="s">
        <v>26</v>
      </c>
      <c r="E121">
        <v>650</v>
      </c>
      <c r="F121" s="2">
        <f t="shared" si="16"/>
        <v>0</v>
      </c>
      <c r="L121" s="2">
        <f t="shared" si="18"/>
        <v>0</v>
      </c>
      <c r="N121" t="s">
        <v>26</v>
      </c>
      <c r="R121" s="2">
        <f t="shared" si="17"/>
        <v>0</v>
      </c>
      <c r="X121" s="2">
        <f t="shared" si="15"/>
        <v>0</v>
      </c>
    </row>
    <row r="122" spans="2:24" x14ac:dyDescent="0.25">
      <c r="B122" s="12" t="s">
        <v>41</v>
      </c>
      <c r="E122">
        <v>1175</v>
      </c>
      <c r="F122" s="2">
        <f t="shared" si="16"/>
        <v>0</v>
      </c>
      <c r="L122" s="2">
        <f t="shared" si="18"/>
        <v>0</v>
      </c>
      <c r="R122" s="2">
        <f t="shared" si="17"/>
        <v>0</v>
      </c>
      <c r="X122" s="2">
        <f t="shared" si="15"/>
        <v>0</v>
      </c>
    </row>
    <row r="123" spans="2:24" x14ac:dyDescent="0.25">
      <c r="B123" t="s">
        <v>40</v>
      </c>
      <c r="E123">
        <v>700</v>
      </c>
      <c r="F123" s="2">
        <f t="shared" si="16"/>
        <v>0</v>
      </c>
      <c r="L123" s="2">
        <f t="shared" si="18"/>
        <v>0</v>
      </c>
      <c r="R123" s="2">
        <f t="shared" si="17"/>
        <v>0</v>
      </c>
      <c r="X123" s="2">
        <f t="shared" si="15"/>
        <v>0</v>
      </c>
    </row>
    <row r="124" spans="2:24" x14ac:dyDescent="0.25">
      <c r="F124" s="2">
        <f t="shared" si="16"/>
        <v>0</v>
      </c>
      <c r="L124" s="2">
        <f t="shared" si="18"/>
        <v>0</v>
      </c>
      <c r="R124" s="2">
        <f t="shared" si="17"/>
        <v>0</v>
      </c>
      <c r="X124" s="2">
        <f t="shared" si="15"/>
        <v>0</v>
      </c>
    </row>
    <row r="125" spans="2:24" x14ac:dyDescent="0.25">
      <c r="F125" s="2">
        <f t="shared" si="16"/>
        <v>0</v>
      </c>
      <c r="L125" s="2">
        <f t="shared" si="18"/>
        <v>0</v>
      </c>
      <c r="R125" s="2">
        <f t="shared" si="17"/>
        <v>0</v>
      </c>
      <c r="X125" s="2">
        <f t="shared" si="15"/>
        <v>0</v>
      </c>
    </row>
    <row r="126" spans="2:24" x14ac:dyDescent="0.25">
      <c r="F126" s="2">
        <f t="shared" si="16"/>
        <v>0</v>
      </c>
      <c r="L126" s="2">
        <f t="shared" si="18"/>
        <v>0</v>
      </c>
      <c r="R126" s="2">
        <f t="shared" si="17"/>
        <v>0</v>
      </c>
      <c r="X126" s="2">
        <f t="shared" si="15"/>
        <v>0</v>
      </c>
    </row>
    <row r="127" spans="2:24" x14ac:dyDescent="0.25">
      <c r="F127" s="2">
        <f t="shared" si="16"/>
        <v>0</v>
      </c>
      <c r="L127" s="2">
        <f t="shared" si="18"/>
        <v>0</v>
      </c>
      <c r="R127" s="2">
        <f t="shared" si="17"/>
        <v>0</v>
      </c>
      <c r="X127" s="2">
        <f t="shared" si="15"/>
        <v>0</v>
      </c>
    </row>
    <row r="128" spans="2:24" x14ac:dyDescent="0.25">
      <c r="F128" s="2">
        <f t="shared" si="16"/>
        <v>0</v>
      </c>
      <c r="L128" s="2">
        <f t="shared" si="18"/>
        <v>0</v>
      </c>
      <c r="R128" s="2">
        <f t="shared" si="17"/>
        <v>0</v>
      </c>
      <c r="X128" s="2">
        <f t="shared" si="15"/>
        <v>0</v>
      </c>
    </row>
    <row r="129" spans="2:24" x14ac:dyDescent="0.25">
      <c r="F129" s="2">
        <f t="shared" si="16"/>
        <v>0</v>
      </c>
      <c r="L129" s="2">
        <f t="shared" si="18"/>
        <v>0</v>
      </c>
      <c r="R129" s="2">
        <f t="shared" si="17"/>
        <v>0</v>
      </c>
      <c r="X129" s="2">
        <f t="shared" si="15"/>
        <v>0</v>
      </c>
    </row>
    <row r="130" spans="2:24" x14ac:dyDescent="0.25">
      <c r="F130" s="2">
        <f t="shared" si="16"/>
        <v>0</v>
      </c>
      <c r="L130" s="2">
        <f t="shared" si="18"/>
        <v>0</v>
      </c>
      <c r="R130" s="2">
        <f t="shared" si="17"/>
        <v>0</v>
      </c>
      <c r="X130" s="2">
        <f t="shared" si="15"/>
        <v>0</v>
      </c>
    </row>
    <row r="131" spans="2:24" x14ac:dyDescent="0.25">
      <c r="F131" s="2">
        <f t="shared" si="16"/>
        <v>0</v>
      </c>
      <c r="L131" s="2">
        <f t="shared" si="18"/>
        <v>0</v>
      </c>
      <c r="R131" s="2">
        <f t="shared" si="17"/>
        <v>0</v>
      </c>
      <c r="X131" s="2">
        <f t="shared" si="15"/>
        <v>0</v>
      </c>
    </row>
    <row r="132" spans="2:24" x14ac:dyDescent="0.25">
      <c r="F132" s="2">
        <f t="shared" si="16"/>
        <v>0</v>
      </c>
      <c r="L132" s="2">
        <f t="shared" si="18"/>
        <v>0</v>
      </c>
      <c r="R132" s="2">
        <f t="shared" si="17"/>
        <v>0</v>
      </c>
      <c r="X132" s="2">
        <f t="shared" si="15"/>
        <v>0</v>
      </c>
    </row>
    <row r="133" spans="2:24" x14ac:dyDescent="0.25">
      <c r="F133" s="2">
        <f t="shared" si="16"/>
        <v>0</v>
      </c>
      <c r="L133" s="2">
        <f t="shared" si="18"/>
        <v>0</v>
      </c>
      <c r="R133" s="2">
        <f t="shared" si="17"/>
        <v>0</v>
      </c>
      <c r="X133" s="2">
        <f t="shared" si="15"/>
        <v>0</v>
      </c>
    </row>
    <row r="134" spans="2:24" x14ac:dyDescent="0.25">
      <c r="F134" s="2">
        <f t="shared" si="16"/>
        <v>0</v>
      </c>
      <c r="H134" s="25" t="s">
        <v>23</v>
      </c>
      <c r="I134" s="25"/>
      <c r="J134" s="25"/>
      <c r="K134" s="25"/>
      <c r="L134" s="9">
        <f>SUM(L112:L133)</f>
        <v>0</v>
      </c>
      <c r="R134" s="2">
        <f t="shared" si="17"/>
        <v>0</v>
      </c>
      <c r="T134" s="25" t="s">
        <v>23</v>
      </c>
      <c r="U134" s="25"/>
      <c r="V134" s="25"/>
      <c r="W134" s="25"/>
      <c r="X134" s="9">
        <f>SUM(X112:X133)</f>
        <v>0</v>
      </c>
    </row>
    <row r="135" spans="2:24" x14ac:dyDescent="0.25">
      <c r="B135" s="21" t="s">
        <v>28</v>
      </c>
      <c r="C135" s="21"/>
      <c r="D135" s="8"/>
      <c r="E135" s="8"/>
      <c r="F135" s="5">
        <f>-D135*E135</f>
        <v>0</v>
      </c>
      <c r="H135" s="25" t="s">
        <v>24</v>
      </c>
      <c r="I135" s="25"/>
      <c r="J135" s="25"/>
      <c r="K135" s="25"/>
      <c r="L135" s="4">
        <f>SUM(F136)</f>
        <v>0</v>
      </c>
      <c r="N135" s="21" t="s">
        <v>28</v>
      </c>
      <c r="O135" s="21"/>
      <c r="P135" s="8"/>
      <c r="Q135" s="8"/>
      <c r="R135" s="5">
        <f>-P135*Q135</f>
        <v>0</v>
      </c>
      <c r="T135" s="25" t="s">
        <v>24</v>
      </c>
      <c r="U135" s="25"/>
      <c r="V135" s="25"/>
      <c r="W135" s="25"/>
      <c r="X135" s="4">
        <f>SUM(R136)</f>
        <v>0</v>
      </c>
    </row>
    <row r="136" spans="2:24" x14ac:dyDescent="0.25">
      <c r="B136" s="26" t="s">
        <v>19</v>
      </c>
      <c r="C136" s="26"/>
      <c r="D136" s="26"/>
      <c r="E136" s="26"/>
      <c r="F136" s="13">
        <f>SUM(F112:F135)</f>
        <v>0</v>
      </c>
      <c r="H136" s="25" t="s">
        <v>25</v>
      </c>
      <c r="I136" s="25"/>
      <c r="J136" s="25"/>
      <c r="K136" s="25"/>
      <c r="L136" s="14">
        <f>SUM(L135+L134)</f>
        <v>0</v>
      </c>
      <c r="N136" s="26" t="s">
        <v>19</v>
      </c>
      <c r="O136" s="26"/>
      <c r="P136" s="26"/>
      <c r="Q136" s="26"/>
      <c r="R136" s="13">
        <f>SUM(R112:R135)</f>
        <v>0</v>
      </c>
      <c r="T136" s="25" t="s">
        <v>25</v>
      </c>
      <c r="U136" s="25"/>
      <c r="V136" s="25"/>
      <c r="W136" s="25"/>
      <c r="X136" s="14">
        <f>SUM(X135+X134)</f>
        <v>0</v>
      </c>
    </row>
    <row r="137" spans="2:24" ht="18.75" x14ac:dyDescent="0.3">
      <c r="B137" s="11" t="s">
        <v>29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N137" s="11" t="s">
        <v>29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9" spans="2:24" x14ac:dyDescent="0.25">
      <c r="B139" s="22" t="s">
        <v>0</v>
      </c>
      <c r="C139" s="22"/>
      <c r="D139" s="27" t="s">
        <v>100</v>
      </c>
      <c r="E139" s="27"/>
      <c r="F139" s="27"/>
      <c r="H139" s="22" t="s">
        <v>43</v>
      </c>
      <c r="I139" s="22"/>
      <c r="J139">
        <v>3</v>
      </c>
      <c r="N139" s="22" t="s">
        <v>0</v>
      </c>
      <c r="O139" s="22"/>
      <c r="P139" s="27" t="s">
        <v>102</v>
      </c>
      <c r="Q139" s="27"/>
      <c r="R139" s="27"/>
      <c r="T139" s="22" t="s">
        <v>43</v>
      </c>
      <c r="U139" s="22"/>
      <c r="V139">
        <v>3</v>
      </c>
    </row>
    <row r="140" spans="2:24" x14ac:dyDescent="0.25">
      <c r="B140" s="22" t="s">
        <v>1</v>
      </c>
      <c r="C140" s="22"/>
      <c r="D140" s="23" t="s">
        <v>101</v>
      </c>
      <c r="E140" s="23"/>
      <c r="F140" s="23"/>
      <c r="H140" s="22" t="s">
        <v>44</v>
      </c>
      <c r="I140" s="22"/>
      <c r="J140" t="s">
        <v>78</v>
      </c>
      <c r="N140" s="22" t="s">
        <v>1</v>
      </c>
      <c r="O140" s="22"/>
      <c r="P140" s="23" t="s">
        <v>103</v>
      </c>
      <c r="Q140" s="23"/>
      <c r="R140" s="23"/>
      <c r="T140" s="22" t="s">
        <v>44</v>
      </c>
      <c r="U140" s="22"/>
      <c r="V140" t="s">
        <v>78</v>
      </c>
    </row>
    <row r="141" spans="2:24" x14ac:dyDescent="0.25">
      <c r="B141" s="22" t="s">
        <v>3</v>
      </c>
      <c r="C141" s="22"/>
      <c r="D141" s="23" t="s">
        <v>32</v>
      </c>
      <c r="E141" s="23"/>
      <c r="F141" s="23"/>
      <c r="H141" s="22" t="s">
        <v>45</v>
      </c>
      <c r="I141" s="22"/>
      <c r="J141" t="s">
        <v>79</v>
      </c>
      <c r="N141" s="22" t="s">
        <v>3</v>
      </c>
      <c r="O141" s="22"/>
      <c r="P141" s="23" t="s">
        <v>32</v>
      </c>
      <c r="Q141" s="23"/>
      <c r="R141" s="23"/>
      <c r="T141" s="22" t="s">
        <v>45</v>
      </c>
      <c r="U141" s="22"/>
      <c r="V141" t="s">
        <v>79</v>
      </c>
    </row>
    <row r="142" spans="2:24" x14ac:dyDescent="0.25">
      <c r="B142" s="22" t="s">
        <v>2</v>
      </c>
      <c r="C142" s="22"/>
      <c r="D142" s="23" t="s">
        <v>83</v>
      </c>
      <c r="E142" s="23"/>
      <c r="F142" s="23"/>
      <c r="H142" s="22" t="s">
        <v>46</v>
      </c>
      <c r="I142" s="22"/>
      <c r="J142" t="s">
        <v>80</v>
      </c>
      <c r="N142" s="22" t="s">
        <v>2</v>
      </c>
      <c r="O142" s="22"/>
      <c r="P142" s="23" t="s">
        <v>104</v>
      </c>
      <c r="Q142" s="23"/>
      <c r="R142" s="23"/>
      <c r="T142" s="22" t="s">
        <v>46</v>
      </c>
      <c r="U142" s="22"/>
      <c r="V142" t="s">
        <v>80</v>
      </c>
    </row>
    <row r="144" spans="2:24" x14ac:dyDescent="0.25">
      <c r="B144" s="1"/>
      <c r="C144" s="1" t="s">
        <v>4</v>
      </c>
      <c r="D144" s="1"/>
      <c r="E144" s="1"/>
      <c r="F144" s="1"/>
      <c r="H144" s="24" t="s">
        <v>20</v>
      </c>
      <c r="I144" s="24"/>
      <c r="J144" s="24"/>
      <c r="K144" s="24"/>
      <c r="L144" s="24"/>
      <c r="N144" s="1"/>
      <c r="O144" s="1" t="s">
        <v>4</v>
      </c>
      <c r="P144" s="1"/>
      <c r="Q144" s="1"/>
      <c r="R144" s="1"/>
      <c r="T144" s="24" t="s">
        <v>20</v>
      </c>
      <c r="U144" s="24"/>
      <c r="V144" s="24"/>
      <c r="W144" s="24"/>
      <c r="X144" s="24"/>
    </row>
    <row r="145" spans="2:24" x14ac:dyDescent="0.25">
      <c r="B145" s="6" t="s">
        <v>5</v>
      </c>
      <c r="C145" s="6" t="s">
        <v>6</v>
      </c>
      <c r="D145" s="6" t="s">
        <v>7</v>
      </c>
      <c r="E145" s="7" t="s">
        <v>8</v>
      </c>
      <c r="F145" s="6" t="s">
        <v>9</v>
      </c>
      <c r="H145" s="6" t="s">
        <v>5</v>
      </c>
      <c r="I145" s="7" t="s">
        <v>21</v>
      </c>
      <c r="J145" s="7" t="s">
        <v>22</v>
      </c>
      <c r="K145" s="7" t="s">
        <v>8</v>
      </c>
      <c r="L145" s="7" t="s">
        <v>9</v>
      </c>
      <c r="N145" s="6" t="s">
        <v>5</v>
      </c>
      <c r="O145" s="6" t="s">
        <v>6</v>
      </c>
      <c r="P145" s="6" t="s">
        <v>7</v>
      </c>
      <c r="Q145" s="7" t="s">
        <v>8</v>
      </c>
      <c r="R145" s="6" t="s">
        <v>9</v>
      </c>
      <c r="T145" s="6" t="s">
        <v>5</v>
      </c>
      <c r="U145" s="7" t="s">
        <v>21</v>
      </c>
      <c r="V145" s="7" t="s">
        <v>22</v>
      </c>
      <c r="W145" s="7" t="s">
        <v>8</v>
      </c>
      <c r="X145" s="7" t="s">
        <v>9</v>
      </c>
    </row>
    <row r="146" spans="2:24" x14ac:dyDescent="0.25">
      <c r="B146" t="s">
        <v>10</v>
      </c>
      <c r="E146">
        <v>650</v>
      </c>
      <c r="F146" s="2">
        <f>C146*E146</f>
        <v>0</v>
      </c>
      <c r="L146" s="2">
        <f t="shared" ref="L146:L148" si="19">-I146*K146+J146*K146</f>
        <v>0</v>
      </c>
      <c r="N146" t="s">
        <v>10</v>
      </c>
      <c r="Q146">
        <v>650</v>
      </c>
      <c r="R146" s="2">
        <f>O146*Q146</f>
        <v>0</v>
      </c>
      <c r="X146" s="2">
        <f t="shared" ref="X146:X148" si="20">-U146*W146+V146*W146</f>
        <v>0</v>
      </c>
    </row>
    <row r="147" spans="2:24" x14ac:dyDescent="0.25">
      <c r="B147" t="s">
        <v>11</v>
      </c>
      <c r="E147">
        <v>670</v>
      </c>
      <c r="F147" s="2">
        <f t="shared" ref="F147:F168" si="21">C147*E147</f>
        <v>0</v>
      </c>
      <c r="L147" s="2">
        <f t="shared" si="19"/>
        <v>0</v>
      </c>
      <c r="N147" t="s">
        <v>11</v>
      </c>
      <c r="Q147">
        <v>670</v>
      </c>
      <c r="R147" s="2">
        <f t="shared" ref="R147:R168" si="22">O147*Q147</f>
        <v>0</v>
      </c>
      <c r="X147" s="2">
        <f t="shared" si="20"/>
        <v>0</v>
      </c>
    </row>
    <row r="148" spans="2:24" x14ac:dyDescent="0.25">
      <c r="B148" t="s">
        <v>12</v>
      </c>
      <c r="E148">
        <v>973</v>
      </c>
      <c r="F148" s="2">
        <f t="shared" si="21"/>
        <v>0</v>
      </c>
      <c r="L148" s="2">
        <f t="shared" si="19"/>
        <v>0</v>
      </c>
      <c r="N148" t="s">
        <v>12</v>
      </c>
      <c r="Q148">
        <v>973</v>
      </c>
      <c r="R148" s="2">
        <f t="shared" si="22"/>
        <v>0</v>
      </c>
      <c r="X148" s="2">
        <f t="shared" si="20"/>
        <v>0</v>
      </c>
    </row>
    <row r="149" spans="2:24" x14ac:dyDescent="0.25">
      <c r="B149" t="s">
        <v>13</v>
      </c>
      <c r="E149">
        <v>622</v>
      </c>
      <c r="F149" s="2">
        <f t="shared" si="21"/>
        <v>0</v>
      </c>
      <c r="L149" s="2">
        <f>-I149*K149+J149*K149</f>
        <v>0</v>
      </c>
      <c r="N149" t="s">
        <v>13</v>
      </c>
      <c r="Q149">
        <v>622</v>
      </c>
      <c r="R149" s="2">
        <f t="shared" si="22"/>
        <v>0</v>
      </c>
      <c r="X149" s="2">
        <f>-U149*W149+V149*W149</f>
        <v>0</v>
      </c>
    </row>
    <row r="150" spans="2:24" x14ac:dyDescent="0.25">
      <c r="B150" t="s">
        <v>14</v>
      </c>
      <c r="E150">
        <v>912</v>
      </c>
      <c r="F150" s="2">
        <f t="shared" si="21"/>
        <v>0</v>
      </c>
      <c r="L150" s="2">
        <f t="shared" ref="L150:L167" si="23">-I150*K150+J150*K150</f>
        <v>0</v>
      </c>
      <c r="N150" t="s">
        <v>14</v>
      </c>
      <c r="Q150">
        <v>912</v>
      </c>
      <c r="R150" s="2">
        <f t="shared" si="22"/>
        <v>0</v>
      </c>
      <c r="X150" s="2">
        <f t="shared" ref="X150:X167" si="24">-U150*W150+V150*W150</f>
        <v>0</v>
      </c>
    </row>
    <row r="151" spans="2:24" x14ac:dyDescent="0.25">
      <c r="B151" t="s">
        <v>15</v>
      </c>
      <c r="F151" s="2">
        <f t="shared" si="21"/>
        <v>0</v>
      </c>
      <c r="L151" s="2">
        <f t="shared" si="23"/>
        <v>0</v>
      </c>
      <c r="N151" t="s">
        <v>15</v>
      </c>
      <c r="R151" s="2">
        <f t="shared" si="22"/>
        <v>0</v>
      </c>
      <c r="X151" s="2">
        <f t="shared" si="24"/>
        <v>0</v>
      </c>
    </row>
    <row r="152" spans="2:24" x14ac:dyDescent="0.25">
      <c r="B152" t="s">
        <v>16</v>
      </c>
      <c r="E152">
        <v>872</v>
      </c>
      <c r="F152" s="2">
        <f t="shared" si="21"/>
        <v>0</v>
      </c>
      <c r="L152" s="2">
        <f t="shared" si="23"/>
        <v>0</v>
      </c>
      <c r="N152" t="s">
        <v>16</v>
      </c>
      <c r="Q152">
        <v>872</v>
      </c>
      <c r="R152" s="2">
        <f t="shared" si="22"/>
        <v>0</v>
      </c>
      <c r="X152" s="2">
        <f t="shared" si="24"/>
        <v>0</v>
      </c>
    </row>
    <row r="153" spans="2:24" x14ac:dyDescent="0.25">
      <c r="B153" t="s">
        <v>17</v>
      </c>
      <c r="E153">
        <v>229</v>
      </c>
      <c r="F153" s="2">
        <f t="shared" si="21"/>
        <v>0</v>
      </c>
      <c r="L153" s="2">
        <f t="shared" si="23"/>
        <v>0</v>
      </c>
      <c r="N153" t="s">
        <v>17</v>
      </c>
      <c r="Q153">
        <v>229</v>
      </c>
      <c r="R153" s="2">
        <f t="shared" si="22"/>
        <v>0</v>
      </c>
      <c r="X153" s="2">
        <f t="shared" si="24"/>
        <v>0</v>
      </c>
    </row>
    <row r="154" spans="2:24" x14ac:dyDescent="0.25">
      <c r="B154" t="s">
        <v>18</v>
      </c>
      <c r="E154">
        <v>500</v>
      </c>
      <c r="F154" s="2">
        <f t="shared" si="21"/>
        <v>0</v>
      </c>
      <c r="L154" s="2">
        <f t="shared" si="23"/>
        <v>0</v>
      </c>
      <c r="N154" t="s">
        <v>18</v>
      </c>
      <c r="Q154">
        <v>500</v>
      </c>
      <c r="R154" s="2">
        <f t="shared" si="22"/>
        <v>0</v>
      </c>
      <c r="X154" s="2">
        <f t="shared" si="24"/>
        <v>0</v>
      </c>
    </row>
    <row r="155" spans="2:24" x14ac:dyDescent="0.25">
      <c r="B155" t="s">
        <v>26</v>
      </c>
      <c r="E155">
        <v>650</v>
      </c>
      <c r="F155" s="2">
        <f t="shared" si="21"/>
        <v>0</v>
      </c>
      <c r="L155" s="2">
        <f t="shared" si="23"/>
        <v>0</v>
      </c>
      <c r="N155" t="s">
        <v>26</v>
      </c>
      <c r="Q155">
        <v>650</v>
      </c>
      <c r="R155" s="2">
        <f t="shared" si="22"/>
        <v>0</v>
      </c>
      <c r="X155" s="2">
        <f t="shared" si="24"/>
        <v>0</v>
      </c>
    </row>
    <row r="156" spans="2:24" x14ac:dyDescent="0.25">
      <c r="B156" s="12" t="s">
        <v>41</v>
      </c>
      <c r="E156">
        <v>1175</v>
      </c>
      <c r="F156" s="2">
        <f t="shared" si="21"/>
        <v>0</v>
      </c>
      <c r="L156" s="2">
        <f t="shared" si="23"/>
        <v>0</v>
      </c>
      <c r="N156" s="12" t="s">
        <v>41</v>
      </c>
      <c r="Q156">
        <v>1175</v>
      </c>
      <c r="R156" s="2">
        <f t="shared" si="22"/>
        <v>0</v>
      </c>
      <c r="X156" s="2">
        <f t="shared" si="24"/>
        <v>0</v>
      </c>
    </row>
    <row r="157" spans="2:24" x14ac:dyDescent="0.25">
      <c r="B157" t="s">
        <v>40</v>
      </c>
      <c r="E157">
        <v>700</v>
      </c>
      <c r="F157" s="2">
        <f t="shared" si="21"/>
        <v>0</v>
      </c>
      <c r="L157" s="2">
        <f t="shared" si="23"/>
        <v>0</v>
      </c>
      <c r="N157" t="s">
        <v>40</v>
      </c>
      <c r="Q157">
        <v>700</v>
      </c>
      <c r="R157" s="2">
        <f t="shared" si="22"/>
        <v>0</v>
      </c>
      <c r="X157" s="2">
        <f t="shared" si="24"/>
        <v>0</v>
      </c>
    </row>
    <row r="158" spans="2:24" x14ac:dyDescent="0.25">
      <c r="F158" s="2">
        <f t="shared" si="21"/>
        <v>0</v>
      </c>
      <c r="L158" s="2">
        <f t="shared" si="23"/>
        <v>0</v>
      </c>
      <c r="R158" s="2">
        <f t="shared" si="22"/>
        <v>0</v>
      </c>
      <c r="X158" s="2">
        <f t="shared" si="24"/>
        <v>0</v>
      </c>
    </row>
    <row r="159" spans="2:24" x14ac:dyDescent="0.25">
      <c r="F159" s="2">
        <f t="shared" si="21"/>
        <v>0</v>
      </c>
      <c r="L159" s="2">
        <f t="shared" si="23"/>
        <v>0</v>
      </c>
      <c r="R159" s="2">
        <f t="shared" si="22"/>
        <v>0</v>
      </c>
      <c r="X159" s="2">
        <f t="shared" si="24"/>
        <v>0</v>
      </c>
    </row>
    <row r="160" spans="2:24" x14ac:dyDescent="0.25">
      <c r="F160" s="2">
        <f t="shared" si="21"/>
        <v>0</v>
      </c>
      <c r="L160" s="2">
        <f t="shared" si="23"/>
        <v>0</v>
      </c>
      <c r="R160" s="2">
        <f t="shared" si="22"/>
        <v>0</v>
      </c>
      <c r="X160" s="2">
        <f t="shared" si="24"/>
        <v>0</v>
      </c>
    </row>
    <row r="161" spans="2:24" x14ac:dyDescent="0.25">
      <c r="F161" s="2">
        <f t="shared" si="21"/>
        <v>0</v>
      </c>
      <c r="L161" s="2">
        <f t="shared" si="23"/>
        <v>0</v>
      </c>
      <c r="R161" s="2">
        <f t="shared" si="22"/>
        <v>0</v>
      </c>
      <c r="X161" s="2">
        <f t="shared" si="24"/>
        <v>0</v>
      </c>
    </row>
    <row r="162" spans="2:24" x14ac:dyDescent="0.25">
      <c r="F162" s="2">
        <f t="shared" si="21"/>
        <v>0</v>
      </c>
      <c r="L162" s="2">
        <f t="shared" si="23"/>
        <v>0</v>
      </c>
      <c r="R162" s="2">
        <f t="shared" si="22"/>
        <v>0</v>
      </c>
      <c r="X162" s="2">
        <f t="shared" si="24"/>
        <v>0</v>
      </c>
    </row>
    <row r="163" spans="2:24" x14ac:dyDescent="0.25">
      <c r="F163" s="2">
        <f t="shared" si="21"/>
        <v>0</v>
      </c>
      <c r="L163" s="2">
        <f t="shared" si="23"/>
        <v>0</v>
      </c>
      <c r="R163" s="2">
        <f t="shared" si="22"/>
        <v>0</v>
      </c>
      <c r="X163" s="2">
        <f t="shared" si="24"/>
        <v>0</v>
      </c>
    </row>
    <row r="164" spans="2:24" x14ac:dyDescent="0.25">
      <c r="F164" s="2">
        <f t="shared" si="21"/>
        <v>0</v>
      </c>
      <c r="L164" s="2">
        <f t="shared" si="23"/>
        <v>0</v>
      </c>
      <c r="R164" s="2">
        <f t="shared" si="22"/>
        <v>0</v>
      </c>
      <c r="X164" s="2">
        <f t="shared" si="24"/>
        <v>0</v>
      </c>
    </row>
    <row r="165" spans="2:24" x14ac:dyDescent="0.25">
      <c r="F165" s="2">
        <f t="shared" si="21"/>
        <v>0</v>
      </c>
      <c r="L165" s="2">
        <f t="shared" si="23"/>
        <v>0</v>
      </c>
      <c r="R165" s="2">
        <f t="shared" si="22"/>
        <v>0</v>
      </c>
      <c r="X165" s="2">
        <f t="shared" si="24"/>
        <v>0</v>
      </c>
    </row>
    <row r="166" spans="2:24" x14ac:dyDescent="0.25">
      <c r="F166" s="2">
        <f t="shared" si="21"/>
        <v>0</v>
      </c>
      <c r="L166" s="2">
        <f t="shared" si="23"/>
        <v>0</v>
      </c>
      <c r="R166" s="2">
        <f t="shared" si="22"/>
        <v>0</v>
      </c>
      <c r="X166" s="2">
        <f t="shared" si="24"/>
        <v>0</v>
      </c>
    </row>
    <row r="167" spans="2:24" x14ac:dyDescent="0.25">
      <c r="F167" s="2">
        <f t="shared" si="21"/>
        <v>0</v>
      </c>
      <c r="L167" s="2">
        <f t="shared" si="23"/>
        <v>0</v>
      </c>
      <c r="R167" s="2">
        <f t="shared" si="22"/>
        <v>0</v>
      </c>
      <c r="X167" s="2">
        <f t="shared" si="24"/>
        <v>0</v>
      </c>
    </row>
    <row r="168" spans="2:24" x14ac:dyDescent="0.25">
      <c r="F168" s="2">
        <f t="shared" si="21"/>
        <v>0</v>
      </c>
      <c r="H168" s="25" t="s">
        <v>23</v>
      </c>
      <c r="I168" s="25"/>
      <c r="J168" s="25"/>
      <c r="K168" s="25"/>
      <c r="L168" s="9">
        <f>SUM(L146:L167)</f>
        <v>0</v>
      </c>
      <c r="R168" s="2">
        <f t="shared" si="22"/>
        <v>0</v>
      </c>
      <c r="T168" s="25" t="s">
        <v>23</v>
      </c>
      <c r="U168" s="25"/>
      <c r="V168" s="25"/>
      <c r="W168" s="25"/>
      <c r="X168" s="9">
        <f>SUM(X146:X167)</f>
        <v>0</v>
      </c>
    </row>
    <row r="169" spans="2:24" x14ac:dyDescent="0.25">
      <c r="B169" s="21" t="s">
        <v>28</v>
      </c>
      <c r="C169" s="21"/>
      <c r="D169" s="8"/>
      <c r="E169" s="8"/>
      <c r="F169" s="5">
        <f>-D169*E169</f>
        <v>0</v>
      </c>
      <c r="H169" s="25" t="s">
        <v>24</v>
      </c>
      <c r="I169" s="25"/>
      <c r="J169" s="25"/>
      <c r="K169" s="25"/>
      <c r="L169" s="4">
        <f>SUM(F170)</f>
        <v>0</v>
      </c>
      <c r="N169" s="21" t="s">
        <v>28</v>
      </c>
      <c r="O169" s="21"/>
      <c r="P169" s="8"/>
      <c r="Q169" s="8"/>
      <c r="R169" s="5">
        <f>-P169*Q169</f>
        <v>0</v>
      </c>
      <c r="T169" s="25" t="s">
        <v>24</v>
      </c>
      <c r="U169" s="25"/>
      <c r="V169" s="25"/>
      <c r="W169" s="25"/>
      <c r="X169" s="4">
        <f>SUM(R170)</f>
        <v>0</v>
      </c>
    </row>
    <row r="170" spans="2:24" x14ac:dyDescent="0.25">
      <c r="B170" s="26" t="s">
        <v>19</v>
      </c>
      <c r="C170" s="26"/>
      <c r="D170" s="26"/>
      <c r="E170" s="26"/>
      <c r="F170" s="13">
        <f>SUM(F146:F169)</f>
        <v>0</v>
      </c>
      <c r="H170" s="25" t="s">
        <v>25</v>
      </c>
      <c r="I170" s="25"/>
      <c r="J170" s="25"/>
      <c r="K170" s="25"/>
      <c r="L170" s="14">
        <f>SUM(L169+L168)</f>
        <v>0</v>
      </c>
      <c r="N170" s="26" t="s">
        <v>19</v>
      </c>
      <c r="O170" s="26"/>
      <c r="P170" s="26"/>
      <c r="Q170" s="26"/>
      <c r="R170" s="13">
        <f>SUM(R146:R169)</f>
        <v>0</v>
      </c>
      <c r="T170" s="25" t="s">
        <v>25</v>
      </c>
      <c r="U170" s="25"/>
      <c r="V170" s="25"/>
      <c r="W170" s="25"/>
      <c r="X170" s="14">
        <f>SUM(X169+X168)</f>
        <v>0</v>
      </c>
    </row>
  </sheetData>
  <mergeCells count="180">
    <mergeCell ref="T169:W169"/>
    <mergeCell ref="N170:Q170"/>
    <mergeCell ref="T170:W170"/>
    <mergeCell ref="T141:U141"/>
    <mergeCell ref="N142:O142"/>
    <mergeCell ref="P142:R142"/>
    <mergeCell ref="T142:U142"/>
    <mergeCell ref="T144:X144"/>
    <mergeCell ref="T168:W168"/>
    <mergeCell ref="B170:E170"/>
    <mergeCell ref="H170:K170"/>
    <mergeCell ref="N139:O139"/>
    <mergeCell ref="P139:R139"/>
    <mergeCell ref="T139:U139"/>
    <mergeCell ref="N140:O140"/>
    <mergeCell ref="P140:R140"/>
    <mergeCell ref="T140:U140"/>
    <mergeCell ref="N141:O141"/>
    <mergeCell ref="P141:R141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N169:O169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68:E68"/>
    <mergeCell ref="H68:K68"/>
    <mergeCell ref="N68:Q68"/>
    <mergeCell ref="T68:W68"/>
    <mergeCell ref="B71:C71"/>
    <mergeCell ref="D71:F71"/>
    <mergeCell ref="H71:I71"/>
    <mergeCell ref="N71:O71"/>
    <mergeCell ref="P71:R71"/>
    <mergeCell ref="T71:U71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3:C3"/>
    <mergeCell ref="D3:F3"/>
    <mergeCell ref="H3:I3"/>
    <mergeCell ref="N3:O3"/>
    <mergeCell ref="P3:R3"/>
    <mergeCell ref="T3:U3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B615-F368-4A70-AFE0-F0EAE9809DA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02</vt:lpstr>
      <vt:lpstr>IE R1 03-02-2026</vt:lpstr>
      <vt:lpstr>IE R2 03-02-2026</vt:lpstr>
      <vt:lpstr>IE R3 03-02-2026</vt:lpstr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2026-01-22T05:10:18Z</dcterms:created>
  <dcterms:modified xsi:type="dcterms:W3CDTF">2026-02-27T05:16:10Z</dcterms:modified>
</cp:coreProperties>
</file>