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7BAF8ED5-D9E1-4EC3-BCD2-A081765691F3}" xr6:coauthVersionLast="45" xr6:coauthVersionMax="45" xr10:uidLastSave="{00000000-0000-0000-0000-000000000000}"/>
  <bookViews>
    <workbookView xWindow="-120" yWindow="-120" windowWidth="29040" windowHeight="15840" activeTab="9" xr2:uid="{00000000-000D-0000-FFFF-FFFF00000000}"/>
  </bookViews>
  <sheets>
    <sheet name="EXAMPLE" sheetId="89" r:id="rId1"/>
    <sheet name="04,01" sheetId="106" r:id="rId2"/>
    <sheet name="04,06" sheetId="110" r:id="rId3"/>
    <sheet name="04,08" sheetId="107" r:id="rId4"/>
    <sheet name="04,09" sheetId="109" r:id="rId5"/>
    <sheet name="04,13" sheetId="108" r:id="rId6"/>
    <sheet name="04,15" sheetId="111" r:id="rId7"/>
    <sheet name="04,16" sheetId="112" r:id="rId8"/>
    <sheet name="04,17" sheetId="113" r:id="rId9"/>
    <sheet name="04,20" sheetId="114" r:id="rId10"/>
    <sheet name="04,21" sheetId="115" r:id="rId11"/>
  </sheets>
  <definedNames>
    <definedName name="_xlnm.Print_Area" localSheetId="1">'04,01'!$A$1:$Y$61</definedName>
    <definedName name="_xlnm.Print_Area" localSheetId="2">'04,06'!$A$1:$Y$61</definedName>
    <definedName name="_xlnm.Print_Area" localSheetId="3">'04,08'!$A$1:$Y$61</definedName>
    <definedName name="_xlnm.Print_Area" localSheetId="4">'04,09'!$A$1:$Y$61</definedName>
    <definedName name="_xlnm.Print_Area" localSheetId="5">'04,13'!$A$1:$Y$61</definedName>
    <definedName name="_xlnm.Print_Area" localSheetId="6">'04,15'!$A$1:$Y$61</definedName>
    <definedName name="_xlnm.Print_Area" localSheetId="7">'04,16'!$A$1:$Y$61</definedName>
    <definedName name="_xlnm.Print_Area" localSheetId="8">'04,17'!$A$1:$Y$61</definedName>
    <definedName name="_xlnm.Print_Area" localSheetId="9">'04,20'!$A$1:$Y$61</definedName>
    <definedName name="_xlnm.Print_Area" localSheetId="10">'04,21'!$A$1:$Y$61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60" i="115" l="1"/>
  <c r="Q60" i="115"/>
  <c r="P60" i="115"/>
  <c r="O60" i="115"/>
  <c r="N60" i="115"/>
  <c r="M60" i="115"/>
  <c r="L60" i="115"/>
  <c r="H60" i="115"/>
  <c r="G60" i="115"/>
  <c r="E60" i="115"/>
  <c r="D60" i="115"/>
  <c r="C60" i="115"/>
  <c r="S59" i="115"/>
  <c r="R59" i="115"/>
  <c r="J59" i="115"/>
  <c r="I59" i="115"/>
  <c r="S58" i="115"/>
  <c r="R58" i="115"/>
  <c r="J58" i="115"/>
  <c r="I58" i="115"/>
  <c r="S57" i="115"/>
  <c r="R57" i="115"/>
  <c r="J57" i="115"/>
  <c r="I57" i="115"/>
  <c r="S56" i="115"/>
  <c r="R56" i="115"/>
  <c r="J56" i="115"/>
  <c r="I56" i="115"/>
  <c r="S55" i="115"/>
  <c r="R55" i="115"/>
  <c r="J55" i="115"/>
  <c r="I55" i="115"/>
  <c r="U54" i="115"/>
  <c r="V54" i="115" s="1"/>
  <c r="S54" i="115"/>
  <c r="R54" i="115"/>
  <c r="J54" i="115"/>
  <c r="I54" i="115"/>
  <c r="W54" i="115" s="1"/>
  <c r="U53" i="115"/>
  <c r="V53" i="115" s="1"/>
  <c r="S53" i="115"/>
  <c r="R53" i="115"/>
  <c r="J53" i="115"/>
  <c r="I53" i="115"/>
  <c r="W53" i="115" s="1"/>
  <c r="U52" i="115"/>
  <c r="V52" i="115" s="1"/>
  <c r="S52" i="115"/>
  <c r="R52" i="115"/>
  <c r="J52" i="115"/>
  <c r="I52" i="115"/>
  <c r="W52" i="115" s="1"/>
  <c r="U51" i="115"/>
  <c r="V51" i="115" s="1"/>
  <c r="S51" i="115"/>
  <c r="R51" i="115"/>
  <c r="J51" i="115"/>
  <c r="I51" i="115"/>
  <c r="W51" i="115" s="1"/>
  <c r="U50" i="115"/>
  <c r="V50" i="115" s="1"/>
  <c r="S50" i="115"/>
  <c r="R50" i="115"/>
  <c r="J50" i="115"/>
  <c r="I50" i="115"/>
  <c r="W50" i="115" s="1"/>
  <c r="U49" i="115"/>
  <c r="V49" i="115" s="1"/>
  <c r="S49" i="115"/>
  <c r="R49" i="115"/>
  <c r="J49" i="115"/>
  <c r="I49" i="115"/>
  <c r="W49" i="115" s="1"/>
  <c r="U48" i="115"/>
  <c r="V48" i="115" s="1"/>
  <c r="S48" i="115"/>
  <c r="R48" i="115"/>
  <c r="J48" i="115"/>
  <c r="I48" i="115"/>
  <c r="W48" i="115" s="1"/>
  <c r="U47" i="115"/>
  <c r="V47" i="115" s="1"/>
  <c r="S47" i="115"/>
  <c r="R47" i="115"/>
  <c r="J47" i="115"/>
  <c r="I47" i="115"/>
  <c r="W47" i="115" s="1"/>
  <c r="U46" i="115"/>
  <c r="V46" i="115" s="1"/>
  <c r="S46" i="115"/>
  <c r="R46" i="115"/>
  <c r="J46" i="115"/>
  <c r="I46" i="115"/>
  <c r="W46" i="115" s="1"/>
  <c r="S45" i="115"/>
  <c r="R45" i="115"/>
  <c r="J45" i="115"/>
  <c r="I45" i="115"/>
  <c r="U44" i="115"/>
  <c r="V44" i="115" s="1"/>
  <c r="S44" i="115"/>
  <c r="R44" i="115"/>
  <c r="J44" i="115"/>
  <c r="I44" i="115"/>
  <c r="W44" i="115" s="1"/>
  <c r="S43" i="115"/>
  <c r="R43" i="115"/>
  <c r="J43" i="115"/>
  <c r="I43" i="115"/>
  <c r="W42" i="115"/>
  <c r="V42" i="115"/>
  <c r="U42" i="115"/>
  <c r="S42" i="115"/>
  <c r="R42" i="115"/>
  <c r="J42" i="115"/>
  <c r="I42" i="115"/>
  <c r="U41" i="115"/>
  <c r="V41" i="115" s="1"/>
  <c r="S41" i="115"/>
  <c r="R41" i="115"/>
  <c r="J41" i="115"/>
  <c r="W41" i="115" s="1"/>
  <c r="I41" i="115"/>
  <c r="W40" i="115"/>
  <c r="V40" i="115"/>
  <c r="U40" i="115"/>
  <c r="S40" i="115"/>
  <c r="R40" i="115"/>
  <c r="J40" i="115"/>
  <c r="I40" i="115"/>
  <c r="U39" i="115"/>
  <c r="V39" i="115" s="1"/>
  <c r="S39" i="115"/>
  <c r="R39" i="115"/>
  <c r="J39" i="115"/>
  <c r="W39" i="115" s="1"/>
  <c r="I39" i="115"/>
  <c r="W38" i="115"/>
  <c r="V38" i="115"/>
  <c r="U38" i="115"/>
  <c r="S38" i="115"/>
  <c r="R38" i="115"/>
  <c r="J38" i="115"/>
  <c r="I38" i="115"/>
  <c r="U37" i="115"/>
  <c r="V37" i="115" s="1"/>
  <c r="S37" i="115"/>
  <c r="R37" i="115"/>
  <c r="J37" i="115"/>
  <c r="W37" i="115" s="1"/>
  <c r="I37" i="115"/>
  <c r="W36" i="115"/>
  <c r="V36" i="115"/>
  <c r="U36" i="115"/>
  <c r="S36" i="115"/>
  <c r="R36" i="115"/>
  <c r="J36" i="115"/>
  <c r="I36" i="115"/>
  <c r="U35" i="115"/>
  <c r="V35" i="115" s="1"/>
  <c r="S35" i="115"/>
  <c r="R35" i="115"/>
  <c r="J35" i="115"/>
  <c r="W35" i="115" s="1"/>
  <c r="I35" i="115"/>
  <c r="W34" i="115"/>
  <c r="V34" i="115"/>
  <c r="U34" i="115"/>
  <c r="S34" i="115"/>
  <c r="R34" i="115"/>
  <c r="J34" i="115"/>
  <c r="I34" i="115"/>
  <c r="U33" i="115"/>
  <c r="V33" i="115" s="1"/>
  <c r="S33" i="115"/>
  <c r="R33" i="115"/>
  <c r="J33" i="115"/>
  <c r="W33" i="115" s="1"/>
  <c r="I33" i="115"/>
  <c r="W32" i="115"/>
  <c r="V32" i="115"/>
  <c r="U32" i="115"/>
  <c r="S32" i="115"/>
  <c r="R32" i="115"/>
  <c r="J32" i="115"/>
  <c r="I32" i="115"/>
  <c r="U31" i="115"/>
  <c r="V31" i="115" s="1"/>
  <c r="S31" i="115"/>
  <c r="R31" i="115"/>
  <c r="J31" i="115"/>
  <c r="W31" i="115" s="1"/>
  <c r="I31" i="115"/>
  <c r="W30" i="115"/>
  <c r="V30" i="115"/>
  <c r="U30" i="115"/>
  <c r="S30" i="115"/>
  <c r="R30" i="115"/>
  <c r="J30" i="115"/>
  <c r="I30" i="115"/>
  <c r="W29" i="115"/>
  <c r="U29" i="115"/>
  <c r="V29" i="115" s="1"/>
  <c r="S29" i="115"/>
  <c r="R29" i="115"/>
  <c r="J29" i="115"/>
  <c r="I29" i="115"/>
  <c r="W28" i="115"/>
  <c r="V28" i="115"/>
  <c r="U28" i="115"/>
  <c r="S28" i="115"/>
  <c r="R28" i="115"/>
  <c r="J28" i="115"/>
  <c r="I28" i="115"/>
  <c r="U27" i="115"/>
  <c r="V27" i="115" s="1"/>
  <c r="S27" i="115"/>
  <c r="R27" i="115"/>
  <c r="J27" i="115"/>
  <c r="W27" i="115" s="1"/>
  <c r="I27" i="115"/>
  <c r="BE26" i="115"/>
  <c r="W26" i="115"/>
  <c r="V26" i="115"/>
  <c r="U26" i="115"/>
  <c r="S26" i="115"/>
  <c r="R26" i="115"/>
  <c r="J26" i="115"/>
  <c r="I26" i="115"/>
  <c r="U25" i="115"/>
  <c r="V25" i="115" s="1"/>
  <c r="S25" i="115"/>
  <c r="R25" i="115"/>
  <c r="J25" i="115"/>
  <c r="I25" i="115"/>
  <c r="W25" i="115" s="1"/>
  <c r="W24" i="115"/>
  <c r="V24" i="115"/>
  <c r="U24" i="115"/>
  <c r="S24" i="115"/>
  <c r="R24" i="115"/>
  <c r="J24" i="115"/>
  <c r="I24" i="115"/>
  <c r="U23" i="115"/>
  <c r="V23" i="115" s="1"/>
  <c r="S23" i="115"/>
  <c r="R23" i="115"/>
  <c r="J23" i="115"/>
  <c r="I23" i="115"/>
  <c r="W23" i="115" s="1"/>
  <c r="W22" i="115"/>
  <c r="V22" i="115"/>
  <c r="U22" i="115"/>
  <c r="S22" i="115"/>
  <c r="R22" i="115"/>
  <c r="J22" i="115"/>
  <c r="I22" i="115"/>
  <c r="U21" i="115"/>
  <c r="V21" i="115" s="1"/>
  <c r="S21" i="115"/>
  <c r="R21" i="115"/>
  <c r="J21" i="115"/>
  <c r="I21" i="115"/>
  <c r="W21" i="115" s="1"/>
  <c r="W20" i="115"/>
  <c r="V20" i="115"/>
  <c r="U20" i="115"/>
  <c r="S20" i="115"/>
  <c r="R20" i="115"/>
  <c r="J20" i="115"/>
  <c r="I20" i="115"/>
  <c r="U19" i="115"/>
  <c r="V19" i="115" s="1"/>
  <c r="S19" i="115"/>
  <c r="R19" i="115"/>
  <c r="J19" i="115"/>
  <c r="I19" i="115"/>
  <c r="W19" i="115" s="1"/>
  <c r="W18" i="115"/>
  <c r="V18" i="115"/>
  <c r="U18" i="115"/>
  <c r="S18" i="115"/>
  <c r="R18" i="115"/>
  <c r="J18" i="115"/>
  <c r="I18" i="115"/>
  <c r="U17" i="115"/>
  <c r="V17" i="115" s="1"/>
  <c r="S17" i="115"/>
  <c r="R17" i="115"/>
  <c r="J17" i="115"/>
  <c r="I17" i="115"/>
  <c r="W17" i="115" s="1"/>
  <c r="W16" i="115"/>
  <c r="U16" i="115"/>
  <c r="V16" i="115" s="1"/>
  <c r="S16" i="115"/>
  <c r="R16" i="115"/>
  <c r="J16" i="115"/>
  <c r="I16" i="115"/>
  <c r="U15" i="115"/>
  <c r="V15" i="115" s="1"/>
  <c r="S15" i="115"/>
  <c r="R15" i="115"/>
  <c r="J15" i="115"/>
  <c r="I15" i="115"/>
  <c r="W15" i="115" s="1"/>
  <c r="W14" i="115"/>
  <c r="V14" i="115"/>
  <c r="U14" i="115"/>
  <c r="S14" i="115"/>
  <c r="R14" i="115"/>
  <c r="J14" i="115"/>
  <c r="I14" i="115"/>
  <c r="U13" i="115"/>
  <c r="V13" i="115" s="1"/>
  <c r="S13" i="115"/>
  <c r="R13" i="115"/>
  <c r="J13" i="115"/>
  <c r="I13" i="115"/>
  <c r="W13" i="115" s="1"/>
  <c r="W12" i="115"/>
  <c r="V12" i="115"/>
  <c r="U12" i="115"/>
  <c r="S12" i="115"/>
  <c r="R12" i="115"/>
  <c r="J12" i="115"/>
  <c r="I12" i="115"/>
  <c r="U11" i="115"/>
  <c r="V11" i="115" s="1"/>
  <c r="S11" i="115"/>
  <c r="R11" i="115"/>
  <c r="J11" i="115"/>
  <c r="I11" i="115"/>
  <c r="W11" i="115" s="1"/>
  <c r="W10" i="115"/>
  <c r="U10" i="115"/>
  <c r="V10" i="115" s="1"/>
  <c r="S10" i="115"/>
  <c r="R10" i="115"/>
  <c r="J10" i="115"/>
  <c r="I10" i="115"/>
  <c r="U9" i="115"/>
  <c r="V9" i="115" s="1"/>
  <c r="S9" i="115"/>
  <c r="R9" i="115"/>
  <c r="J9" i="115"/>
  <c r="I9" i="115"/>
  <c r="W9" i="115" s="1"/>
  <c r="A9" i="115"/>
  <c r="A10" i="115" s="1"/>
  <c r="A11" i="115" s="1"/>
  <c r="A12" i="115" s="1"/>
  <c r="A13" i="115" s="1"/>
  <c r="A14" i="115" s="1"/>
  <c r="A15" i="115" s="1"/>
  <c r="A16" i="115" s="1"/>
  <c r="A17" i="115" s="1"/>
  <c r="A18" i="115" s="1"/>
  <c r="A19" i="115" s="1"/>
  <c r="A20" i="115" s="1"/>
  <c r="A21" i="115" s="1"/>
  <c r="A22" i="115" s="1"/>
  <c r="A23" i="115" s="1"/>
  <c r="A24" i="115" s="1"/>
  <c r="A25" i="115" s="1"/>
  <c r="A26" i="115" s="1"/>
  <c r="A27" i="115" s="1"/>
  <c r="A28" i="115" s="1"/>
  <c r="A29" i="115" s="1"/>
  <c r="A30" i="115" s="1"/>
  <c r="A31" i="115" s="1"/>
  <c r="A32" i="115" s="1"/>
  <c r="A33" i="115" s="1"/>
  <c r="A34" i="115" s="1"/>
  <c r="A35" i="115" s="1"/>
  <c r="A36" i="115" s="1"/>
  <c r="A37" i="115" s="1"/>
  <c r="A38" i="115" s="1"/>
  <c r="A39" i="115" s="1"/>
  <c r="A40" i="115" s="1"/>
  <c r="A41" i="115" s="1"/>
  <c r="A42" i="115" s="1"/>
  <c r="A43" i="115" s="1"/>
  <c r="A44" i="115" s="1"/>
  <c r="A45" i="115" s="1"/>
  <c r="A46" i="115" s="1"/>
  <c r="A47" i="115" s="1"/>
  <c r="A48" i="115" s="1"/>
  <c r="A49" i="115" s="1"/>
  <c r="A50" i="115" s="1"/>
  <c r="A51" i="115" s="1"/>
  <c r="A52" i="115" s="1"/>
  <c r="A53" i="115" s="1"/>
  <c r="A54" i="115" s="1"/>
  <c r="A55" i="115" s="1"/>
  <c r="A56" i="115" s="1"/>
  <c r="A57" i="115" s="1"/>
  <c r="A58" i="115" s="1"/>
  <c r="A59" i="115" s="1"/>
  <c r="W8" i="115"/>
  <c r="U8" i="115"/>
  <c r="V8" i="115" s="1"/>
  <c r="S8" i="115"/>
  <c r="S60" i="115" s="1"/>
  <c r="R8" i="115"/>
  <c r="R60" i="115" s="1"/>
  <c r="J8" i="115"/>
  <c r="J60" i="115" s="1"/>
  <c r="I8" i="115"/>
  <c r="I60" i="115" s="1"/>
  <c r="V60" i="115" l="1"/>
  <c r="W60" i="115"/>
  <c r="Q60" i="114"/>
  <c r="P60" i="114"/>
  <c r="O60" i="114"/>
  <c r="N60" i="114"/>
  <c r="M60" i="114"/>
  <c r="L60" i="114"/>
  <c r="H60" i="114"/>
  <c r="G60" i="114"/>
  <c r="E60" i="114"/>
  <c r="D60" i="114"/>
  <c r="C60" i="114"/>
  <c r="S59" i="114"/>
  <c r="R59" i="114"/>
  <c r="J59" i="114"/>
  <c r="I59" i="114"/>
  <c r="S58" i="114"/>
  <c r="R58" i="114"/>
  <c r="J58" i="114"/>
  <c r="I58" i="114"/>
  <c r="S57" i="114"/>
  <c r="R57" i="114"/>
  <c r="J57" i="114"/>
  <c r="I57" i="114"/>
  <c r="S56" i="114"/>
  <c r="R56" i="114"/>
  <c r="J56" i="114"/>
  <c r="I56" i="114"/>
  <c r="S55" i="114"/>
  <c r="R55" i="114"/>
  <c r="J55" i="114"/>
  <c r="I55" i="114"/>
  <c r="U54" i="114"/>
  <c r="V54" i="114" s="1"/>
  <c r="S54" i="114"/>
  <c r="R54" i="114"/>
  <c r="J54" i="114"/>
  <c r="I54" i="114"/>
  <c r="W54" i="114" s="1"/>
  <c r="U53" i="114"/>
  <c r="V53" i="114" s="1"/>
  <c r="S53" i="114"/>
  <c r="R53" i="114"/>
  <c r="J53" i="114"/>
  <c r="I53" i="114"/>
  <c r="W53" i="114" s="1"/>
  <c r="U52" i="114"/>
  <c r="V52" i="114" s="1"/>
  <c r="S52" i="114"/>
  <c r="R52" i="114"/>
  <c r="J52" i="114"/>
  <c r="I52" i="114"/>
  <c r="W52" i="114" s="1"/>
  <c r="U51" i="114"/>
  <c r="V51" i="114" s="1"/>
  <c r="S51" i="114"/>
  <c r="R51" i="114"/>
  <c r="J51" i="114"/>
  <c r="I51" i="114"/>
  <c r="W51" i="114" s="1"/>
  <c r="U50" i="114"/>
  <c r="V50" i="114" s="1"/>
  <c r="S50" i="114"/>
  <c r="R50" i="114"/>
  <c r="J50" i="114"/>
  <c r="I50" i="114"/>
  <c r="W50" i="114" s="1"/>
  <c r="U49" i="114"/>
  <c r="V49" i="114" s="1"/>
  <c r="S49" i="114"/>
  <c r="R49" i="114"/>
  <c r="J49" i="114"/>
  <c r="I49" i="114"/>
  <c r="W49" i="114" s="1"/>
  <c r="U48" i="114"/>
  <c r="V48" i="114" s="1"/>
  <c r="S48" i="114"/>
  <c r="R48" i="114"/>
  <c r="J48" i="114"/>
  <c r="I48" i="114"/>
  <c r="U47" i="114"/>
  <c r="V47" i="114" s="1"/>
  <c r="S47" i="114"/>
  <c r="R47" i="114"/>
  <c r="J47" i="114"/>
  <c r="I47" i="114"/>
  <c r="W47" i="114" s="1"/>
  <c r="U46" i="114"/>
  <c r="V46" i="114" s="1"/>
  <c r="S46" i="114"/>
  <c r="R46" i="114"/>
  <c r="J46" i="114"/>
  <c r="I46" i="114"/>
  <c r="W46" i="114" s="1"/>
  <c r="S45" i="114"/>
  <c r="R45" i="114"/>
  <c r="J45" i="114"/>
  <c r="I45" i="114"/>
  <c r="U44" i="114"/>
  <c r="V44" i="114" s="1"/>
  <c r="S44" i="114"/>
  <c r="R44" i="114"/>
  <c r="J44" i="114"/>
  <c r="I44" i="114"/>
  <c r="W44" i="114" s="1"/>
  <c r="S43" i="114"/>
  <c r="R43" i="114"/>
  <c r="J43" i="114"/>
  <c r="I43" i="114"/>
  <c r="U42" i="114"/>
  <c r="V42" i="114" s="1"/>
  <c r="S42" i="114"/>
  <c r="R42" i="114"/>
  <c r="J42" i="114"/>
  <c r="I42" i="114"/>
  <c r="W42" i="114" s="1"/>
  <c r="U41" i="114"/>
  <c r="V41" i="114" s="1"/>
  <c r="S41" i="114"/>
  <c r="R41" i="114"/>
  <c r="J41" i="114"/>
  <c r="I41" i="114"/>
  <c r="U40" i="114"/>
  <c r="V40" i="114" s="1"/>
  <c r="S40" i="114"/>
  <c r="R40" i="114"/>
  <c r="J40" i="114"/>
  <c r="I40" i="114"/>
  <c r="W40" i="114" s="1"/>
  <c r="W39" i="114"/>
  <c r="U39" i="114"/>
  <c r="V39" i="114" s="1"/>
  <c r="S39" i="114"/>
  <c r="R39" i="114"/>
  <c r="J39" i="114"/>
  <c r="I39" i="114"/>
  <c r="U38" i="114"/>
  <c r="V38" i="114" s="1"/>
  <c r="S38" i="114"/>
  <c r="R38" i="114"/>
  <c r="J38" i="114"/>
  <c r="I38" i="114"/>
  <c r="U37" i="114"/>
  <c r="V37" i="114" s="1"/>
  <c r="S37" i="114"/>
  <c r="R37" i="114"/>
  <c r="J37" i="114"/>
  <c r="I37" i="114"/>
  <c r="W37" i="114" s="1"/>
  <c r="W36" i="114"/>
  <c r="U36" i="114"/>
  <c r="V36" i="114" s="1"/>
  <c r="S36" i="114"/>
  <c r="R36" i="114"/>
  <c r="J36" i="114"/>
  <c r="I36" i="114"/>
  <c r="U35" i="114"/>
  <c r="V35" i="114" s="1"/>
  <c r="S35" i="114"/>
  <c r="R35" i="114"/>
  <c r="J35" i="114"/>
  <c r="I35" i="114"/>
  <c r="U34" i="114"/>
  <c r="V34" i="114" s="1"/>
  <c r="S34" i="114"/>
  <c r="R34" i="114"/>
  <c r="J34" i="114"/>
  <c r="I34" i="114"/>
  <c r="W34" i="114" s="1"/>
  <c r="U33" i="114"/>
  <c r="V33" i="114" s="1"/>
  <c r="S33" i="114"/>
  <c r="R33" i="114"/>
  <c r="J33" i="114"/>
  <c r="I33" i="114"/>
  <c r="W33" i="114" s="1"/>
  <c r="W32" i="114"/>
  <c r="U32" i="114"/>
  <c r="V32" i="114" s="1"/>
  <c r="S32" i="114"/>
  <c r="R32" i="114"/>
  <c r="J32" i="114"/>
  <c r="I32" i="114"/>
  <c r="U31" i="114"/>
  <c r="V31" i="114" s="1"/>
  <c r="S31" i="114"/>
  <c r="R31" i="114"/>
  <c r="J31" i="114"/>
  <c r="I31" i="114"/>
  <c r="W31" i="114" s="1"/>
  <c r="U30" i="114"/>
  <c r="V30" i="114" s="1"/>
  <c r="S30" i="114"/>
  <c r="R30" i="114"/>
  <c r="J30" i="114"/>
  <c r="I30" i="114"/>
  <c r="W30" i="114" s="1"/>
  <c r="W29" i="114"/>
  <c r="U29" i="114"/>
  <c r="V29" i="114" s="1"/>
  <c r="S29" i="114"/>
  <c r="R29" i="114"/>
  <c r="J29" i="114"/>
  <c r="I29" i="114"/>
  <c r="U28" i="114"/>
  <c r="V28" i="114" s="1"/>
  <c r="S28" i="114"/>
  <c r="R28" i="114"/>
  <c r="J28" i="114"/>
  <c r="I28" i="114"/>
  <c r="W28" i="114" s="1"/>
  <c r="U27" i="114"/>
  <c r="V27" i="114" s="1"/>
  <c r="S27" i="114"/>
  <c r="R27" i="114"/>
  <c r="J27" i="114"/>
  <c r="I27" i="114"/>
  <c r="W27" i="114" s="1"/>
  <c r="BE26" i="114"/>
  <c r="U26" i="114"/>
  <c r="V26" i="114" s="1"/>
  <c r="S26" i="114"/>
  <c r="R26" i="114"/>
  <c r="J26" i="114"/>
  <c r="I26" i="114"/>
  <c r="U25" i="114"/>
  <c r="V25" i="114" s="1"/>
  <c r="S25" i="114"/>
  <c r="R25" i="114"/>
  <c r="J25" i="114"/>
  <c r="I25" i="114"/>
  <c r="W25" i="114" s="1"/>
  <c r="V24" i="114"/>
  <c r="U24" i="114"/>
  <c r="S24" i="114"/>
  <c r="R24" i="114"/>
  <c r="J24" i="114"/>
  <c r="W24" i="114" s="1"/>
  <c r="I24" i="114"/>
  <c r="U23" i="114"/>
  <c r="V23" i="114" s="1"/>
  <c r="S23" i="114"/>
  <c r="R23" i="114"/>
  <c r="J23" i="114"/>
  <c r="I23" i="114"/>
  <c r="W23" i="114" s="1"/>
  <c r="V22" i="114"/>
  <c r="U22" i="114"/>
  <c r="S22" i="114"/>
  <c r="R22" i="114"/>
  <c r="J22" i="114"/>
  <c r="I22" i="114"/>
  <c r="W22" i="114" s="1"/>
  <c r="U21" i="114"/>
  <c r="V21" i="114" s="1"/>
  <c r="S21" i="114"/>
  <c r="R21" i="114"/>
  <c r="J21" i="114"/>
  <c r="I21" i="114"/>
  <c r="W21" i="114" s="1"/>
  <c r="V20" i="114"/>
  <c r="U20" i="114"/>
  <c r="S20" i="114"/>
  <c r="R20" i="114"/>
  <c r="J20" i="114"/>
  <c r="I20" i="114"/>
  <c r="U19" i="114"/>
  <c r="V19" i="114" s="1"/>
  <c r="S19" i="114"/>
  <c r="R19" i="114"/>
  <c r="J19" i="114"/>
  <c r="I19" i="114"/>
  <c r="W19" i="114" s="1"/>
  <c r="W18" i="114"/>
  <c r="V18" i="114"/>
  <c r="U18" i="114"/>
  <c r="S18" i="114"/>
  <c r="R18" i="114"/>
  <c r="J18" i="114"/>
  <c r="I18" i="114"/>
  <c r="U17" i="114"/>
  <c r="V17" i="114" s="1"/>
  <c r="S17" i="114"/>
  <c r="R17" i="114"/>
  <c r="J17" i="114"/>
  <c r="I17" i="114"/>
  <c r="W17" i="114" s="1"/>
  <c r="V16" i="114"/>
  <c r="U16" i="114"/>
  <c r="S16" i="114"/>
  <c r="R16" i="114"/>
  <c r="J16" i="114"/>
  <c r="I16" i="114"/>
  <c r="W16" i="114" s="1"/>
  <c r="U15" i="114"/>
  <c r="V15" i="114" s="1"/>
  <c r="S15" i="114"/>
  <c r="R15" i="114"/>
  <c r="J15" i="114"/>
  <c r="I15" i="114"/>
  <c r="W15" i="114" s="1"/>
  <c r="V14" i="114"/>
  <c r="U14" i="114"/>
  <c r="S14" i="114"/>
  <c r="R14" i="114"/>
  <c r="J14" i="114"/>
  <c r="W14" i="114" s="1"/>
  <c r="I14" i="114"/>
  <c r="U13" i="114"/>
  <c r="V13" i="114" s="1"/>
  <c r="S13" i="114"/>
  <c r="R13" i="114"/>
  <c r="J13" i="114"/>
  <c r="I13" i="114"/>
  <c r="W13" i="114" s="1"/>
  <c r="W12" i="114"/>
  <c r="V12" i="114"/>
  <c r="U12" i="114"/>
  <c r="S12" i="114"/>
  <c r="R12" i="114"/>
  <c r="J12" i="114"/>
  <c r="I12" i="114"/>
  <c r="U11" i="114"/>
  <c r="V11" i="114" s="1"/>
  <c r="S11" i="114"/>
  <c r="R11" i="114"/>
  <c r="J11" i="114"/>
  <c r="I11" i="114"/>
  <c r="W11" i="114" s="1"/>
  <c r="U10" i="114"/>
  <c r="V10" i="114" s="1"/>
  <c r="S10" i="114"/>
  <c r="R10" i="114"/>
  <c r="J10" i="114"/>
  <c r="I10" i="114"/>
  <c r="W10" i="114" s="1"/>
  <c r="U9" i="114"/>
  <c r="V9" i="114" s="1"/>
  <c r="S9" i="114"/>
  <c r="R9" i="114"/>
  <c r="J9" i="114"/>
  <c r="I9" i="114"/>
  <c r="W9" i="114" s="1"/>
  <c r="A9" i="114"/>
  <c r="A10" i="114" s="1"/>
  <c r="A11" i="114" s="1"/>
  <c r="A12" i="114" s="1"/>
  <c r="A13" i="114" s="1"/>
  <c r="A14" i="114" s="1"/>
  <c r="A15" i="114" s="1"/>
  <c r="A16" i="114" s="1"/>
  <c r="A17" i="114" s="1"/>
  <c r="A18" i="114" s="1"/>
  <c r="A19" i="114" s="1"/>
  <c r="A20" i="114" s="1"/>
  <c r="A21" i="114" s="1"/>
  <c r="A22" i="114" s="1"/>
  <c r="A23" i="114" s="1"/>
  <c r="A24" i="114" s="1"/>
  <c r="A25" i="114" s="1"/>
  <c r="A26" i="114" s="1"/>
  <c r="A27" i="114" s="1"/>
  <c r="A28" i="114" s="1"/>
  <c r="A29" i="114" s="1"/>
  <c r="A30" i="114" s="1"/>
  <c r="A31" i="114" s="1"/>
  <c r="A32" i="114" s="1"/>
  <c r="A33" i="114" s="1"/>
  <c r="A34" i="114" s="1"/>
  <c r="A35" i="114" s="1"/>
  <c r="A36" i="114" s="1"/>
  <c r="A37" i="114" s="1"/>
  <c r="A38" i="114" s="1"/>
  <c r="A39" i="114" s="1"/>
  <c r="A40" i="114" s="1"/>
  <c r="A41" i="114" s="1"/>
  <c r="A42" i="114" s="1"/>
  <c r="A43" i="114" s="1"/>
  <c r="A44" i="114" s="1"/>
  <c r="A45" i="114" s="1"/>
  <c r="A46" i="114" s="1"/>
  <c r="A47" i="114" s="1"/>
  <c r="A48" i="114" s="1"/>
  <c r="A49" i="114" s="1"/>
  <c r="A50" i="114" s="1"/>
  <c r="A51" i="114" s="1"/>
  <c r="A52" i="114" s="1"/>
  <c r="A53" i="114" s="1"/>
  <c r="A54" i="114" s="1"/>
  <c r="A55" i="114" s="1"/>
  <c r="A56" i="114" s="1"/>
  <c r="A57" i="114" s="1"/>
  <c r="A58" i="114" s="1"/>
  <c r="A59" i="114" s="1"/>
  <c r="V8" i="114"/>
  <c r="U8" i="114"/>
  <c r="S8" i="114"/>
  <c r="R8" i="114"/>
  <c r="J8" i="114"/>
  <c r="I8" i="114"/>
  <c r="Q60" i="113"/>
  <c r="P60" i="113"/>
  <c r="O60" i="113"/>
  <c r="N60" i="113"/>
  <c r="M60" i="113"/>
  <c r="L60" i="113"/>
  <c r="H60" i="113"/>
  <c r="G60" i="113"/>
  <c r="E60" i="113"/>
  <c r="D60" i="113"/>
  <c r="C60" i="113"/>
  <c r="S59" i="113"/>
  <c r="R59" i="113"/>
  <c r="J59" i="113"/>
  <c r="I59" i="113"/>
  <c r="S58" i="113"/>
  <c r="R58" i="113"/>
  <c r="J58" i="113"/>
  <c r="I58" i="113"/>
  <c r="S57" i="113"/>
  <c r="R57" i="113"/>
  <c r="J57" i="113"/>
  <c r="I57" i="113"/>
  <c r="S56" i="113"/>
  <c r="R56" i="113"/>
  <c r="J56" i="113"/>
  <c r="I56" i="113"/>
  <c r="S55" i="113"/>
  <c r="R55" i="113"/>
  <c r="J55" i="113"/>
  <c r="I55" i="113"/>
  <c r="U54" i="113"/>
  <c r="V54" i="113" s="1"/>
  <c r="S54" i="113"/>
  <c r="R54" i="113"/>
  <c r="J54" i="113"/>
  <c r="I54" i="113"/>
  <c r="W54" i="113" s="1"/>
  <c r="U53" i="113"/>
  <c r="V53" i="113" s="1"/>
  <c r="S53" i="113"/>
  <c r="R53" i="113"/>
  <c r="J53" i="113"/>
  <c r="I53" i="113"/>
  <c r="W53" i="113" s="1"/>
  <c r="U52" i="113"/>
  <c r="V52" i="113" s="1"/>
  <c r="S52" i="113"/>
  <c r="R52" i="113"/>
  <c r="J52" i="113"/>
  <c r="I52" i="113"/>
  <c r="W52" i="113" s="1"/>
  <c r="U51" i="113"/>
  <c r="V51" i="113" s="1"/>
  <c r="S51" i="113"/>
  <c r="R51" i="113"/>
  <c r="J51" i="113"/>
  <c r="I51" i="113"/>
  <c r="W51" i="113" s="1"/>
  <c r="U50" i="113"/>
  <c r="V50" i="113" s="1"/>
  <c r="S50" i="113"/>
  <c r="R50" i="113"/>
  <c r="J50" i="113"/>
  <c r="I50" i="113"/>
  <c r="W50" i="113" s="1"/>
  <c r="U49" i="113"/>
  <c r="V49" i="113" s="1"/>
  <c r="S49" i="113"/>
  <c r="R49" i="113"/>
  <c r="J49" i="113"/>
  <c r="I49" i="113"/>
  <c r="W49" i="113" s="1"/>
  <c r="U48" i="113"/>
  <c r="V48" i="113" s="1"/>
  <c r="S48" i="113"/>
  <c r="R48" i="113"/>
  <c r="J48" i="113"/>
  <c r="I48" i="113"/>
  <c r="W48" i="113" s="1"/>
  <c r="U47" i="113"/>
  <c r="V47" i="113" s="1"/>
  <c r="S47" i="113"/>
  <c r="R47" i="113"/>
  <c r="J47" i="113"/>
  <c r="I47" i="113"/>
  <c r="W47" i="113" s="1"/>
  <c r="U46" i="113"/>
  <c r="V46" i="113" s="1"/>
  <c r="S46" i="113"/>
  <c r="R46" i="113"/>
  <c r="J46" i="113"/>
  <c r="I46" i="113"/>
  <c r="W46" i="113" s="1"/>
  <c r="S45" i="113"/>
  <c r="R45" i="113"/>
  <c r="J45" i="113"/>
  <c r="I45" i="113"/>
  <c r="U44" i="113"/>
  <c r="V44" i="113" s="1"/>
  <c r="S44" i="113"/>
  <c r="R44" i="113"/>
  <c r="J44" i="113"/>
  <c r="I44" i="113"/>
  <c r="S43" i="113"/>
  <c r="R43" i="113"/>
  <c r="J43" i="113"/>
  <c r="I43" i="113"/>
  <c r="W42" i="113"/>
  <c r="U42" i="113"/>
  <c r="V42" i="113" s="1"/>
  <c r="S42" i="113"/>
  <c r="R42" i="113"/>
  <c r="J42" i="113"/>
  <c r="I42" i="113"/>
  <c r="U41" i="113"/>
  <c r="V41" i="113" s="1"/>
  <c r="S41" i="113"/>
  <c r="R41" i="113"/>
  <c r="J41" i="113"/>
  <c r="I41" i="113"/>
  <c r="W41" i="113" s="1"/>
  <c r="W40" i="113"/>
  <c r="V40" i="113"/>
  <c r="U40" i="113"/>
  <c r="S40" i="113"/>
  <c r="R40" i="113"/>
  <c r="J40" i="113"/>
  <c r="I40" i="113"/>
  <c r="U39" i="113"/>
  <c r="V39" i="113" s="1"/>
  <c r="S39" i="113"/>
  <c r="R39" i="113"/>
  <c r="J39" i="113"/>
  <c r="I39" i="113"/>
  <c r="W39" i="113" s="1"/>
  <c r="U38" i="113"/>
  <c r="V38" i="113" s="1"/>
  <c r="S38" i="113"/>
  <c r="R38" i="113"/>
  <c r="J38" i="113"/>
  <c r="I38" i="113"/>
  <c r="W38" i="113" s="1"/>
  <c r="W37" i="113"/>
  <c r="U37" i="113"/>
  <c r="V37" i="113" s="1"/>
  <c r="S37" i="113"/>
  <c r="R37" i="113"/>
  <c r="J37" i="113"/>
  <c r="I37" i="113"/>
  <c r="W36" i="113"/>
  <c r="V36" i="113"/>
  <c r="U36" i="113"/>
  <c r="S36" i="113"/>
  <c r="R36" i="113"/>
  <c r="J36" i="113"/>
  <c r="I36" i="113"/>
  <c r="U35" i="113"/>
  <c r="V35" i="113" s="1"/>
  <c r="S35" i="113"/>
  <c r="R35" i="113"/>
  <c r="J35" i="113"/>
  <c r="I35" i="113"/>
  <c r="W35" i="113" s="1"/>
  <c r="V34" i="113"/>
  <c r="U34" i="113"/>
  <c r="S34" i="113"/>
  <c r="R34" i="113"/>
  <c r="J34" i="113"/>
  <c r="I34" i="113"/>
  <c r="W34" i="113" s="1"/>
  <c r="W33" i="113"/>
  <c r="U33" i="113"/>
  <c r="V33" i="113" s="1"/>
  <c r="S33" i="113"/>
  <c r="R33" i="113"/>
  <c r="J33" i="113"/>
  <c r="I33" i="113"/>
  <c r="W32" i="113"/>
  <c r="V32" i="113"/>
  <c r="U32" i="113"/>
  <c r="S32" i="113"/>
  <c r="R32" i="113"/>
  <c r="J32" i="113"/>
  <c r="I32" i="113"/>
  <c r="W31" i="113"/>
  <c r="U31" i="113"/>
  <c r="V31" i="113" s="1"/>
  <c r="S31" i="113"/>
  <c r="R31" i="113"/>
  <c r="J31" i="113"/>
  <c r="I31" i="113"/>
  <c r="U30" i="113"/>
  <c r="V30" i="113" s="1"/>
  <c r="S30" i="113"/>
  <c r="R30" i="113"/>
  <c r="J30" i="113"/>
  <c r="I30" i="113"/>
  <c r="W30" i="113" s="1"/>
  <c r="W29" i="113"/>
  <c r="U29" i="113"/>
  <c r="V29" i="113" s="1"/>
  <c r="S29" i="113"/>
  <c r="R29" i="113"/>
  <c r="J29" i="113"/>
  <c r="I29" i="113"/>
  <c r="V28" i="113"/>
  <c r="U28" i="113"/>
  <c r="S28" i="113"/>
  <c r="R28" i="113"/>
  <c r="J28" i="113"/>
  <c r="I28" i="113"/>
  <c r="W28" i="113" s="1"/>
  <c r="U27" i="113"/>
  <c r="V27" i="113" s="1"/>
  <c r="S27" i="113"/>
  <c r="R27" i="113"/>
  <c r="J27" i="113"/>
  <c r="I27" i="113"/>
  <c r="W27" i="113" s="1"/>
  <c r="BE26" i="113"/>
  <c r="U26" i="113"/>
  <c r="V26" i="113" s="1"/>
  <c r="S26" i="113"/>
  <c r="R26" i="113"/>
  <c r="J26" i="113"/>
  <c r="I26" i="113"/>
  <c r="U25" i="113"/>
  <c r="V25" i="113" s="1"/>
  <c r="S25" i="113"/>
  <c r="R25" i="113"/>
  <c r="J25" i="113"/>
  <c r="I25" i="113"/>
  <c r="W25" i="113" s="1"/>
  <c r="U24" i="113"/>
  <c r="V24" i="113" s="1"/>
  <c r="S24" i="113"/>
  <c r="R24" i="113"/>
  <c r="J24" i="113"/>
  <c r="I24" i="113"/>
  <c r="U23" i="113"/>
  <c r="V23" i="113" s="1"/>
  <c r="S23" i="113"/>
  <c r="R23" i="113"/>
  <c r="J23" i="113"/>
  <c r="I23" i="113"/>
  <c r="U22" i="113"/>
  <c r="V22" i="113" s="1"/>
  <c r="S22" i="113"/>
  <c r="R22" i="113"/>
  <c r="J22" i="113"/>
  <c r="I22" i="113"/>
  <c r="W22" i="113" s="1"/>
  <c r="U21" i="113"/>
  <c r="V21" i="113" s="1"/>
  <c r="S21" i="113"/>
  <c r="R21" i="113"/>
  <c r="J21" i="113"/>
  <c r="I21" i="113"/>
  <c r="W21" i="113" s="1"/>
  <c r="U20" i="113"/>
  <c r="V20" i="113" s="1"/>
  <c r="S20" i="113"/>
  <c r="R20" i="113"/>
  <c r="J20" i="113"/>
  <c r="I20" i="113"/>
  <c r="U19" i="113"/>
  <c r="V19" i="113" s="1"/>
  <c r="S19" i="113"/>
  <c r="R19" i="113"/>
  <c r="J19" i="113"/>
  <c r="I19" i="113"/>
  <c r="W19" i="113" s="1"/>
  <c r="U18" i="113"/>
  <c r="V18" i="113" s="1"/>
  <c r="S18" i="113"/>
  <c r="R18" i="113"/>
  <c r="J18" i="113"/>
  <c r="I18" i="113"/>
  <c r="W18" i="113" s="1"/>
  <c r="U17" i="113"/>
  <c r="V17" i="113" s="1"/>
  <c r="S17" i="113"/>
  <c r="R17" i="113"/>
  <c r="J17" i="113"/>
  <c r="I17" i="113"/>
  <c r="W17" i="113" s="1"/>
  <c r="U16" i="113"/>
  <c r="V16" i="113" s="1"/>
  <c r="S16" i="113"/>
  <c r="R16" i="113"/>
  <c r="J16" i="113"/>
  <c r="I16" i="113"/>
  <c r="W16" i="113" s="1"/>
  <c r="U15" i="113"/>
  <c r="V15" i="113" s="1"/>
  <c r="S15" i="113"/>
  <c r="R15" i="113"/>
  <c r="J15" i="113"/>
  <c r="I15" i="113"/>
  <c r="W15" i="113" s="1"/>
  <c r="U14" i="113"/>
  <c r="V14" i="113" s="1"/>
  <c r="S14" i="113"/>
  <c r="R14" i="113"/>
  <c r="J14" i="113"/>
  <c r="W14" i="113" s="1"/>
  <c r="I14" i="113"/>
  <c r="U13" i="113"/>
  <c r="V13" i="113" s="1"/>
  <c r="S13" i="113"/>
  <c r="R13" i="113"/>
  <c r="J13" i="113"/>
  <c r="I13" i="113"/>
  <c r="U12" i="113"/>
  <c r="V12" i="113" s="1"/>
  <c r="S12" i="113"/>
  <c r="R12" i="113"/>
  <c r="J12" i="113"/>
  <c r="I12" i="113"/>
  <c r="W12" i="113" s="1"/>
  <c r="U11" i="113"/>
  <c r="V11" i="113" s="1"/>
  <c r="S11" i="113"/>
  <c r="R11" i="113"/>
  <c r="J11" i="113"/>
  <c r="I11" i="113"/>
  <c r="W11" i="113" s="1"/>
  <c r="U10" i="113"/>
  <c r="V10" i="113" s="1"/>
  <c r="S10" i="113"/>
  <c r="R10" i="113"/>
  <c r="J10" i="113"/>
  <c r="I10" i="113"/>
  <c r="W10" i="113" s="1"/>
  <c r="U9" i="113"/>
  <c r="V9" i="113" s="1"/>
  <c r="S9" i="113"/>
  <c r="R9" i="113"/>
  <c r="J9" i="113"/>
  <c r="I9" i="113"/>
  <c r="W9" i="113" s="1"/>
  <c r="A9" i="113"/>
  <c r="A10" i="113" s="1"/>
  <c r="A11" i="113" s="1"/>
  <c r="A12" i="113" s="1"/>
  <c r="A13" i="113" s="1"/>
  <c r="A14" i="113" s="1"/>
  <c r="A15" i="113" s="1"/>
  <c r="A16" i="113" s="1"/>
  <c r="A17" i="113" s="1"/>
  <c r="A18" i="113" s="1"/>
  <c r="A19" i="113" s="1"/>
  <c r="A20" i="113" s="1"/>
  <c r="A21" i="113" s="1"/>
  <c r="A22" i="113" s="1"/>
  <c r="A23" i="113" s="1"/>
  <c r="A24" i="113" s="1"/>
  <c r="A25" i="113" s="1"/>
  <c r="A26" i="113" s="1"/>
  <c r="A27" i="113" s="1"/>
  <c r="A28" i="113" s="1"/>
  <c r="A29" i="113" s="1"/>
  <c r="A30" i="113" s="1"/>
  <c r="A31" i="113" s="1"/>
  <c r="A32" i="113" s="1"/>
  <c r="A33" i="113" s="1"/>
  <c r="A34" i="113" s="1"/>
  <c r="A35" i="113" s="1"/>
  <c r="A36" i="113" s="1"/>
  <c r="A37" i="113" s="1"/>
  <c r="A38" i="113" s="1"/>
  <c r="A39" i="113" s="1"/>
  <c r="A40" i="113" s="1"/>
  <c r="A41" i="113" s="1"/>
  <c r="A42" i="113" s="1"/>
  <c r="A43" i="113" s="1"/>
  <c r="A44" i="113" s="1"/>
  <c r="A45" i="113" s="1"/>
  <c r="A46" i="113" s="1"/>
  <c r="A47" i="113" s="1"/>
  <c r="A48" i="113" s="1"/>
  <c r="A49" i="113" s="1"/>
  <c r="A50" i="113" s="1"/>
  <c r="A51" i="113" s="1"/>
  <c r="A52" i="113" s="1"/>
  <c r="A53" i="113" s="1"/>
  <c r="A54" i="113" s="1"/>
  <c r="A55" i="113" s="1"/>
  <c r="A56" i="113" s="1"/>
  <c r="A57" i="113" s="1"/>
  <c r="A58" i="113" s="1"/>
  <c r="A59" i="113" s="1"/>
  <c r="U8" i="113"/>
  <c r="S8" i="113"/>
  <c r="S60" i="113" s="1"/>
  <c r="R8" i="113"/>
  <c r="J8" i="113"/>
  <c r="I8" i="113"/>
  <c r="Q60" i="112"/>
  <c r="P60" i="112"/>
  <c r="O60" i="112"/>
  <c r="N60" i="112"/>
  <c r="M60" i="112"/>
  <c r="L60" i="112"/>
  <c r="H60" i="112"/>
  <c r="G60" i="112"/>
  <c r="E60" i="112"/>
  <c r="D60" i="112"/>
  <c r="C60" i="112"/>
  <c r="S59" i="112"/>
  <c r="R59" i="112"/>
  <c r="J59" i="112"/>
  <c r="I59" i="112"/>
  <c r="S58" i="112"/>
  <c r="R58" i="112"/>
  <c r="J58" i="112"/>
  <c r="I58" i="112"/>
  <c r="S57" i="112"/>
  <c r="R57" i="112"/>
  <c r="J57" i="112"/>
  <c r="I57" i="112"/>
  <c r="S56" i="112"/>
  <c r="R56" i="112"/>
  <c r="J56" i="112"/>
  <c r="I56" i="112"/>
  <c r="S55" i="112"/>
  <c r="R55" i="112"/>
  <c r="J55" i="112"/>
  <c r="I55" i="112"/>
  <c r="V54" i="112"/>
  <c r="U54" i="112"/>
  <c r="S54" i="112"/>
  <c r="R54" i="112"/>
  <c r="J54" i="112"/>
  <c r="I54" i="112"/>
  <c r="W54" i="112" s="1"/>
  <c r="U53" i="112"/>
  <c r="V53" i="112" s="1"/>
  <c r="S53" i="112"/>
  <c r="R53" i="112"/>
  <c r="J53" i="112"/>
  <c r="I53" i="112"/>
  <c r="W53" i="112" s="1"/>
  <c r="W52" i="112"/>
  <c r="V52" i="112"/>
  <c r="U52" i="112"/>
  <c r="S52" i="112"/>
  <c r="R52" i="112"/>
  <c r="J52" i="112"/>
  <c r="I52" i="112"/>
  <c r="U51" i="112"/>
  <c r="V51" i="112" s="1"/>
  <c r="S51" i="112"/>
  <c r="R51" i="112"/>
  <c r="J51" i="112"/>
  <c r="I51" i="112"/>
  <c r="W51" i="112" s="1"/>
  <c r="V50" i="112"/>
  <c r="U50" i="112"/>
  <c r="S50" i="112"/>
  <c r="R50" i="112"/>
  <c r="J50" i="112"/>
  <c r="I50" i="112"/>
  <c r="W50" i="112" s="1"/>
  <c r="U49" i="112"/>
  <c r="V49" i="112" s="1"/>
  <c r="S49" i="112"/>
  <c r="R49" i="112"/>
  <c r="J49" i="112"/>
  <c r="I49" i="112"/>
  <c r="W49" i="112" s="1"/>
  <c r="U48" i="112"/>
  <c r="V48" i="112" s="1"/>
  <c r="S48" i="112"/>
  <c r="R48" i="112"/>
  <c r="J48" i="112"/>
  <c r="I48" i="112"/>
  <c r="W48" i="112" s="1"/>
  <c r="U47" i="112"/>
  <c r="V47" i="112" s="1"/>
  <c r="S47" i="112"/>
  <c r="R47" i="112"/>
  <c r="J47" i="112"/>
  <c r="I47" i="112"/>
  <c r="W47" i="112" s="1"/>
  <c r="W46" i="112"/>
  <c r="V46" i="112"/>
  <c r="U46" i="112"/>
  <c r="S46" i="112"/>
  <c r="R46" i="112"/>
  <c r="J46" i="112"/>
  <c r="I46" i="112"/>
  <c r="S45" i="112"/>
  <c r="R45" i="112"/>
  <c r="J45" i="112"/>
  <c r="I45" i="112"/>
  <c r="U44" i="112"/>
  <c r="V44" i="112" s="1"/>
  <c r="S44" i="112"/>
  <c r="R44" i="112"/>
  <c r="J44" i="112"/>
  <c r="I44" i="112"/>
  <c r="S43" i="112"/>
  <c r="R43" i="112"/>
  <c r="J43" i="112"/>
  <c r="I43" i="112"/>
  <c r="U42" i="112"/>
  <c r="V42" i="112" s="1"/>
  <c r="S42" i="112"/>
  <c r="R42" i="112"/>
  <c r="J42" i="112"/>
  <c r="I42" i="112"/>
  <c r="W42" i="112" s="1"/>
  <c r="U41" i="112"/>
  <c r="V41" i="112" s="1"/>
  <c r="S41" i="112"/>
  <c r="R41" i="112"/>
  <c r="J41" i="112"/>
  <c r="W41" i="112" s="1"/>
  <c r="I41" i="112"/>
  <c r="V40" i="112"/>
  <c r="U40" i="112"/>
  <c r="S40" i="112"/>
  <c r="R40" i="112"/>
  <c r="J40" i="112"/>
  <c r="I40" i="112"/>
  <c r="W40" i="112" s="1"/>
  <c r="U39" i="112"/>
  <c r="V39" i="112" s="1"/>
  <c r="S39" i="112"/>
  <c r="R39" i="112"/>
  <c r="J39" i="112"/>
  <c r="I39" i="112"/>
  <c r="U38" i="112"/>
  <c r="V38" i="112" s="1"/>
  <c r="S38" i="112"/>
  <c r="R38" i="112"/>
  <c r="J38" i="112"/>
  <c r="I38" i="112"/>
  <c r="U37" i="112"/>
  <c r="V37" i="112" s="1"/>
  <c r="S37" i="112"/>
  <c r="R37" i="112"/>
  <c r="J37" i="112"/>
  <c r="I37" i="112"/>
  <c r="V36" i="112"/>
  <c r="U36" i="112"/>
  <c r="S36" i="112"/>
  <c r="R36" i="112"/>
  <c r="J36" i="112"/>
  <c r="I36" i="112"/>
  <c r="W36" i="112" s="1"/>
  <c r="U35" i="112"/>
  <c r="V35" i="112" s="1"/>
  <c r="S35" i="112"/>
  <c r="R35" i="112"/>
  <c r="J35" i="112"/>
  <c r="I35" i="112"/>
  <c r="V34" i="112"/>
  <c r="U34" i="112"/>
  <c r="S34" i="112"/>
  <c r="R34" i="112"/>
  <c r="J34" i="112"/>
  <c r="I34" i="112"/>
  <c r="W34" i="112" s="1"/>
  <c r="U33" i="112"/>
  <c r="V33" i="112" s="1"/>
  <c r="S33" i="112"/>
  <c r="R33" i="112"/>
  <c r="J33" i="112"/>
  <c r="I33" i="112"/>
  <c r="V32" i="112"/>
  <c r="U32" i="112"/>
  <c r="S32" i="112"/>
  <c r="R32" i="112"/>
  <c r="J32" i="112"/>
  <c r="I32" i="112"/>
  <c r="W32" i="112" s="1"/>
  <c r="U31" i="112"/>
  <c r="V31" i="112" s="1"/>
  <c r="S31" i="112"/>
  <c r="R31" i="112"/>
  <c r="J31" i="112"/>
  <c r="I31" i="112"/>
  <c r="U30" i="112"/>
  <c r="V30" i="112" s="1"/>
  <c r="S30" i="112"/>
  <c r="R30" i="112"/>
  <c r="J30" i="112"/>
  <c r="I30" i="112"/>
  <c r="W30" i="112" s="1"/>
  <c r="U29" i="112"/>
  <c r="V29" i="112" s="1"/>
  <c r="S29" i="112"/>
  <c r="R29" i="112"/>
  <c r="J29" i="112"/>
  <c r="I29" i="112"/>
  <c r="V28" i="112"/>
  <c r="U28" i="112"/>
  <c r="S28" i="112"/>
  <c r="R28" i="112"/>
  <c r="J28" i="112"/>
  <c r="I28" i="112"/>
  <c r="W28" i="112" s="1"/>
  <c r="U27" i="112"/>
  <c r="S27" i="112"/>
  <c r="R27" i="112"/>
  <c r="J27" i="112"/>
  <c r="I27" i="112"/>
  <c r="BE26" i="112"/>
  <c r="U26" i="112"/>
  <c r="V26" i="112" s="1"/>
  <c r="S26" i="112"/>
  <c r="R26" i="112"/>
  <c r="J26" i="112"/>
  <c r="I26" i="112"/>
  <c r="W26" i="112" s="1"/>
  <c r="V25" i="112"/>
  <c r="U25" i="112"/>
  <c r="S25" i="112"/>
  <c r="R25" i="112"/>
  <c r="J25" i="112"/>
  <c r="I25" i="112"/>
  <c r="W25" i="112" s="1"/>
  <c r="V24" i="112"/>
  <c r="U24" i="112"/>
  <c r="S24" i="112"/>
  <c r="R24" i="112"/>
  <c r="J24" i="112"/>
  <c r="I24" i="112"/>
  <c r="W24" i="112" s="1"/>
  <c r="V23" i="112"/>
  <c r="U23" i="112"/>
  <c r="S23" i="112"/>
  <c r="R23" i="112"/>
  <c r="J23" i="112"/>
  <c r="I23" i="112"/>
  <c r="W23" i="112" s="1"/>
  <c r="V22" i="112"/>
  <c r="U22" i="112"/>
  <c r="S22" i="112"/>
  <c r="R22" i="112"/>
  <c r="J22" i="112"/>
  <c r="I22" i="112"/>
  <c r="W22" i="112" s="1"/>
  <c r="V21" i="112"/>
  <c r="U21" i="112"/>
  <c r="S21" i="112"/>
  <c r="R21" i="112"/>
  <c r="J21" i="112"/>
  <c r="W21" i="112" s="1"/>
  <c r="I21" i="112"/>
  <c r="V20" i="112"/>
  <c r="U20" i="112"/>
  <c r="S20" i="112"/>
  <c r="R20" i="112"/>
  <c r="J20" i="112"/>
  <c r="I20" i="112"/>
  <c r="W20" i="112" s="1"/>
  <c r="W19" i="112"/>
  <c r="V19" i="112"/>
  <c r="U19" i="112"/>
  <c r="S19" i="112"/>
  <c r="R19" i="112"/>
  <c r="J19" i="112"/>
  <c r="I19" i="112"/>
  <c r="V18" i="112"/>
  <c r="U18" i="112"/>
  <c r="S18" i="112"/>
  <c r="R18" i="112"/>
  <c r="J18" i="112"/>
  <c r="I18" i="112"/>
  <c r="W18" i="112" s="1"/>
  <c r="V17" i="112"/>
  <c r="U17" i="112"/>
  <c r="S17" i="112"/>
  <c r="R17" i="112"/>
  <c r="J17" i="112"/>
  <c r="I17" i="112"/>
  <c r="W17" i="112" s="1"/>
  <c r="V16" i="112"/>
  <c r="U16" i="112"/>
  <c r="S16" i="112"/>
  <c r="R16" i="112"/>
  <c r="J16" i="112"/>
  <c r="I16" i="112"/>
  <c r="W16" i="112" s="1"/>
  <c r="V15" i="112"/>
  <c r="U15" i="112"/>
  <c r="S15" i="112"/>
  <c r="R15" i="112"/>
  <c r="J15" i="112"/>
  <c r="I15" i="112"/>
  <c r="V14" i="112"/>
  <c r="U14" i="112"/>
  <c r="S14" i="112"/>
  <c r="R14" i="112"/>
  <c r="J14" i="112"/>
  <c r="I14" i="112"/>
  <c r="W14" i="112" s="1"/>
  <c r="U13" i="112"/>
  <c r="V13" i="112" s="1"/>
  <c r="S13" i="112"/>
  <c r="R13" i="112"/>
  <c r="J13" i="112"/>
  <c r="I13" i="112"/>
  <c r="V12" i="112"/>
  <c r="U12" i="112"/>
  <c r="S12" i="112"/>
  <c r="R12" i="112"/>
  <c r="J12" i="112"/>
  <c r="I12" i="112"/>
  <c r="W12" i="112" s="1"/>
  <c r="W11" i="112"/>
  <c r="V11" i="112"/>
  <c r="U11" i="112"/>
  <c r="S11" i="112"/>
  <c r="R11" i="112"/>
  <c r="J11" i="112"/>
  <c r="I11" i="112"/>
  <c r="U10" i="112"/>
  <c r="V10" i="112" s="1"/>
  <c r="S10" i="112"/>
  <c r="R10" i="112"/>
  <c r="J10" i="112"/>
  <c r="I10" i="112"/>
  <c r="W10" i="112" s="1"/>
  <c r="A10" i="112"/>
  <c r="A11" i="112" s="1"/>
  <c r="A12" i="112" s="1"/>
  <c r="A13" i="112" s="1"/>
  <c r="A14" i="112" s="1"/>
  <c r="A15" i="112" s="1"/>
  <c r="A16" i="112" s="1"/>
  <c r="A17" i="112" s="1"/>
  <c r="A18" i="112" s="1"/>
  <c r="A19" i="112" s="1"/>
  <c r="A20" i="112" s="1"/>
  <c r="A21" i="112" s="1"/>
  <c r="A22" i="112" s="1"/>
  <c r="A23" i="112" s="1"/>
  <c r="A24" i="112" s="1"/>
  <c r="A25" i="112" s="1"/>
  <c r="A26" i="112" s="1"/>
  <c r="A27" i="112" s="1"/>
  <c r="A28" i="112" s="1"/>
  <c r="A29" i="112" s="1"/>
  <c r="A30" i="112" s="1"/>
  <c r="A31" i="112" s="1"/>
  <c r="A32" i="112" s="1"/>
  <c r="A33" i="112" s="1"/>
  <c r="A34" i="112" s="1"/>
  <c r="A35" i="112" s="1"/>
  <c r="A36" i="112" s="1"/>
  <c r="A37" i="112" s="1"/>
  <c r="A38" i="112" s="1"/>
  <c r="A39" i="112" s="1"/>
  <c r="A40" i="112" s="1"/>
  <c r="A41" i="112" s="1"/>
  <c r="A42" i="112" s="1"/>
  <c r="A43" i="112" s="1"/>
  <c r="A44" i="112" s="1"/>
  <c r="A45" i="112" s="1"/>
  <c r="A46" i="112" s="1"/>
  <c r="A47" i="112" s="1"/>
  <c r="A48" i="112" s="1"/>
  <c r="A49" i="112" s="1"/>
  <c r="A50" i="112" s="1"/>
  <c r="A51" i="112" s="1"/>
  <c r="A52" i="112" s="1"/>
  <c r="A53" i="112" s="1"/>
  <c r="A54" i="112" s="1"/>
  <c r="A55" i="112" s="1"/>
  <c r="A56" i="112" s="1"/>
  <c r="A57" i="112" s="1"/>
  <c r="A58" i="112" s="1"/>
  <c r="A59" i="112" s="1"/>
  <c r="W9" i="112"/>
  <c r="V9" i="112"/>
  <c r="U9" i="112"/>
  <c r="S9" i="112"/>
  <c r="R9" i="112"/>
  <c r="J9" i="112"/>
  <c r="I9" i="112"/>
  <c r="A9" i="112"/>
  <c r="U8" i="112"/>
  <c r="V8" i="112" s="1"/>
  <c r="S8" i="112"/>
  <c r="R8" i="112"/>
  <c r="J8" i="112"/>
  <c r="I8" i="112"/>
  <c r="C44" i="108"/>
  <c r="W48" i="114" l="1"/>
  <c r="W41" i="114"/>
  <c r="W38" i="114"/>
  <c r="W35" i="114"/>
  <c r="W26" i="114"/>
  <c r="W20" i="114"/>
  <c r="J60" i="114"/>
  <c r="S60" i="114"/>
  <c r="R60" i="114"/>
  <c r="U60" i="114"/>
  <c r="I60" i="114"/>
  <c r="W8" i="114"/>
  <c r="W44" i="113"/>
  <c r="W26" i="113"/>
  <c r="W24" i="113"/>
  <c r="W23" i="113"/>
  <c r="W20" i="113"/>
  <c r="W13" i="113"/>
  <c r="J60" i="113"/>
  <c r="U60" i="113"/>
  <c r="I60" i="113"/>
  <c r="R60" i="113"/>
  <c r="W8" i="113"/>
  <c r="W44" i="112"/>
  <c r="W39" i="112"/>
  <c r="W38" i="112"/>
  <c r="W37" i="112"/>
  <c r="W35" i="112"/>
  <c r="W33" i="112"/>
  <c r="W31" i="112"/>
  <c r="W29" i="112"/>
  <c r="W27" i="112"/>
  <c r="W15" i="112"/>
  <c r="W13" i="112"/>
  <c r="J60" i="112"/>
  <c r="R60" i="112"/>
  <c r="S60" i="112"/>
  <c r="I60" i="112"/>
  <c r="U60" i="112"/>
  <c r="V60" i="114"/>
  <c r="V8" i="113"/>
  <c r="V60" i="113" s="1"/>
  <c r="V27" i="112"/>
  <c r="V60" i="112" s="1"/>
  <c r="W8" i="112"/>
  <c r="Q60" i="111"/>
  <c r="P60" i="111"/>
  <c r="O60" i="111"/>
  <c r="N60" i="111"/>
  <c r="M60" i="111"/>
  <c r="L60" i="111"/>
  <c r="H60" i="111"/>
  <c r="G60" i="111"/>
  <c r="E60" i="111"/>
  <c r="D60" i="111"/>
  <c r="C60" i="111"/>
  <c r="S59" i="111"/>
  <c r="R59" i="111"/>
  <c r="J59" i="111"/>
  <c r="I59" i="111"/>
  <c r="S58" i="111"/>
  <c r="R58" i="111"/>
  <c r="J58" i="111"/>
  <c r="I58" i="111"/>
  <c r="S57" i="111"/>
  <c r="R57" i="111"/>
  <c r="J57" i="111"/>
  <c r="I57" i="111"/>
  <c r="S56" i="111"/>
  <c r="R56" i="111"/>
  <c r="J56" i="111"/>
  <c r="I56" i="111"/>
  <c r="S55" i="111"/>
  <c r="R55" i="111"/>
  <c r="J55" i="111"/>
  <c r="I55" i="111"/>
  <c r="U54" i="111"/>
  <c r="V54" i="111" s="1"/>
  <c r="S54" i="111"/>
  <c r="R54" i="111"/>
  <c r="J54" i="111"/>
  <c r="I54" i="111"/>
  <c r="W54" i="111" s="1"/>
  <c r="U53" i="111"/>
  <c r="V53" i="111" s="1"/>
  <c r="S53" i="111"/>
  <c r="R53" i="111"/>
  <c r="J53" i="111"/>
  <c r="I53" i="111"/>
  <c r="W53" i="111" s="1"/>
  <c r="W52" i="111"/>
  <c r="U52" i="111"/>
  <c r="V52" i="111" s="1"/>
  <c r="S52" i="111"/>
  <c r="R52" i="111"/>
  <c r="J52" i="111"/>
  <c r="I52" i="111"/>
  <c r="U51" i="111"/>
  <c r="V51" i="111" s="1"/>
  <c r="S51" i="111"/>
  <c r="R51" i="111"/>
  <c r="J51" i="111"/>
  <c r="I51" i="111"/>
  <c r="W51" i="111" s="1"/>
  <c r="U50" i="111"/>
  <c r="V50" i="111" s="1"/>
  <c r="S50" i="111"/>
  <c r="R50" i="111"/>
  <c r="J50" i="111"/>
  <c r="I50" i="111"/>
  <c r="W50" i="111" s="1"/>
  <c r="U49" i="111"/>
  <c r="V49" i="111" s="1"/>
  <c r="S49" i="111"/>
  <c r="R49" i="111"/>
  <c r="J49" i="111"/>
  <c r="I49" i="111"/>
  <c r="W49" i="111" s="1"/>
  <c r="U48" i="111"/>
  <c r="V48" i="111" s="1"/>
  <c r="S48" i="111"/>
  <c r="R48" i="111"/>
  <c r="J48" i="111"/>
  <c r="I48" i="111"/>
  <c r="U47" i="111"/>
  <c r="V47" i="111" s="1"/>
  <c r="S47" i="111"/>
  <c r="R47" i="111"/>
  <c r="J47" i="111"/>
  <c r="I47" i="111"/>
  <c r="W47" i="111" s="1"/>
  <c r="W46" i="111"/>
  <c r="U46" i="111"/>
  <c r="V46" i="111" s="1"/>
  <c r="S46" i="111"/>
  <c r="R46" i="111"/>
  <c r="J46" i="111"/>
  <c r="I46" i="111"/>
  <c r="S45" i="111"/>
  <c r="R45" i="111"/>
  <c r="J45" i="111"/>
  <c r="I45" i="111"/>
  <c r="U44" i="111"/>
  <c r="V44" i="111" s="1"/>
  <c r="S44" i="111"/>
  <c r="R44" i="111"/>
  <c r="J44" i="111"/>
  <c r="I44" i="111"/>
  <c r="W44" i="111" s="1"/>
  <c r="S43" i="111"/>
  <c r="R43" i="111"/>
  <c r="J43" i="111"/>
  <c r="I43" i="111"/>
  <c r="U42" i="111"/>
  <c r="V42" i="111" s="1"/>
  <c r="S42" i="111"/>
  <c r="R42" i="111"/>
  <c r="J42" i="111"/>
  <c r="I42" i="111"/>
  <c r="W42" i="111" s="1"/>
  <c r="U41" i="111"/>
  <c r="V41" i="111" s="1"/>
  <c r="S41" i="111"/>
  <c r="R41" i="111"/>
  <c r="J41" i="111"/>
  <c r="I41" i="111"/>
  <c r="U40" i="111"/>
  <c r="V40" i="111" s="1"/>
  <c r="S40" i="111"/>
  <c r="R40" i="111"/>
  <c r="J40" i="111"/>
  <c r="I40" i="111"/>
  <c r="W40" i="111" s="1"/>
  <c r="U39" i="111"/>
  <c r="V39" i="111" s="1"/>
  <c r="S39" i="111"/>
  <c r="R39" i="111"/>
  <c r="J39" i="111"/>
  <c r="I39" i="111"/>
  <c r="W39" i="111" s="1"/>
  <c r="U38" i="111"/>
  <c r="V38" i="111" s="1"/>
  <c r="S38" i="111"/>
  <c r="R38" i="111"/>
  <c r="J38" i="111"/>
  <c r="I38" i="111"/>
  <c r="W37" i="111"/>
  <c r="U37" i="111"/>
  <c r="V37" i="111" s="1"/>
  <c r="S37" i="111"/>
  <c r="R37" i="111"/>
  <c r="J37" i="111"/>
  <c r="I37" i="111"/>
  <c r="U36" i="111"/>
  <c r="V36" i="111" s="1"/>
  <c r="S36" i="111"/>
  <c r="R36" i="111"/>
  <c r="J36" i="111"/>
  <c r="I36" i="111"/>
  <c r="W36" i="111" s="1"/>
  <c r="U35" i="111"/>
  <c r="V35" i="111" s="1"/>
  <c r="S35" i="111"/>
  <c r="R35" i="111"/>
  <c r="J35" i="111"/>
  <c r="I35" i="111"/>
  <c r="U34" i="111"/>
  <c r="V34" i="111" s="1"/>
  <c r="S34" i="111"/>
  <c r="R34" i="111"/>
  <c r="J34" i="111"/>
  <c r="I34" i="111"/>
  <c r="W34" i="111" s="1"/>
  <c r="U33" i="111"/>
  <c r="V33" i="111" s="1"/>
  <c r="S33" i="111"/>
  <c r="R33" i="111"/>
  <c r="J33" i="111"/>
  <c r="I33" i="111"/>
  <c r="W33" i="111" s="1"/>
  <c r="U32" i="111"/>
  <c r="V32" i="111" s="1"/>
  <c r="S32" i="111"/>
  <c r="R32" i="111"/>
  <c r="J32" i="111"/>
  <c r="I32" i="111"/>
  <c r="W32" i="111" s="1"/>
  <c r="W31" i="111"/>
  <c r="U31" i="111"/>
  <c r="V31" i="111" s="1"/>
  <c r="S31" i="111"/>
  <c r="R31" i="111"/>
  <c r="J31" i="111"/>
  <c r="I31" i="111"/>
  <c r="U30" i="111"/>
  <c r="V30" i="111" s="1"/>
  <c r="S30" i="111"/>
  <c r="R30" i="111"/>
  <c r="J30" i="111"/>
  <c r="I30" i="111"/>
  <c r="W30" i="111" s="1"/>
  <c r="W29" i="111"/>
  <c r="U29" i="111"/>
  <c r="V29" i="111" s="1"/>
  <c r="S29" i="111"/>
  <c r="R29" i="111"/>
  <c r="J29" i="111"/>
  <c r="I29" i="111"/>
  <c r="U28" i="111"/>
  <c r="V28" i="111" s="1"/>
  <c r="S28" i="111"/>
  <c r="R28" i="111"/>
  <c r="J28" i="111"/>
  <c r="I28" i="111"/>
  <c r="W28" i="111" s="1"/>
  <c r="U27" i="111"/>
  <c r="V27" i="111" s="1"/>
  <c r="S27" i="111"/>
  <c r="R27" i="111"/>
  <c r="J27" i="111"/>
  <c r="I27" i="111"/>
  <c r="W27" i="111" s="1"/>
  <c r="BE26" i="111"/>
  <c r="U26" i="111"/>
  <c r="V26" i="111" s="1"/>
  <c r="S26" i="111"/>
  <c r="R26" i="111"/>
  <c r="J26" i="111"/>
  <c r="I26" i="111"/>
  <c r="V25" i="111"/>
  <c r="U25" i="111"/>
  <c r="S25" i="111"/>
  <c r="R25" i="111"/>
  <c r="J25" i="111"/>
  <c r="I25" i="111"/>
  <c r="W25" i="111" s="1"/>
  <c r="U24" i="111"/>
  <c r="V24" i="111" s="1"/>
  <c r="S24" i="111"/>
  <c r="R24" i="111"/>
  <c r="J24" i="111"/>
  <c r="I24" i="111"/>
  <c r="W23" i="111"/>
  <c r="V23" i="111"/>
  <c r="U23" i="111"/>
  <c r="S23" i="111"/>
  <c r="R23" i="111"/>
  <c r="J23" i="111"/>
  <c r="I23" i="111"/>
  <c r="U22" i="111"/>
  <c r="V22" i="111" s="1"/>
  <c r="S22" i="111"/>
  <c r="R22" i="111"/>
  <c r="J22" i="111"/>
  <c r="I22" i="111"/>
  <c r="W22" i="111" s="1"/>
  <c r="V21" i="111"/>
  <c r="U21" i="111"/>
  <c r="S21" i="111"/>
  <c r="R21" i="111"/>
  <c r="J21" i="111"/>
  <c r="I21" i="111"/>
  <c r="W21" i="111" s="1"/>
  <c r="U20" i="111"/>
  <c r="V20" i="111" s="1"/>
  <c r="S20" i="111"/>
  <c r="R20" i="111"/>
  <c r="J20" i="111"/>
  <c r="I20" i="111"/>
  <c r="W19" i="111"/>
  <c r="V19" i="111"/>
  <c r="U19" i="111"/>
  <c r="S19" i="111"/>
  <c r="R19" i="111"/>
  <c r="J19" i="111"/>
  <c r="I19" i="111"/>
  <c r="U18" i="111"/>
  <c r="V18" i="111" s="1"/>
  <c r="S18" i="111"/>
  <c r="R18" i="111"/>
  <c r="J18" i="111"/>
  <c r="I18" i="111"/>
  <c r="W18" i="111" s="1"/>
  <c r="V17" i="111"/>
  <c r="U17" i="111"/>
  <c r="S17" i="111"/>
  <c r="R17" i="111"/>
  <c r="J17" i="111"/>
  <c r="I17" i="111"/>
  <c r="W17" i="111" s="1"/>
  <c r="U16" i="111"/>
  <c r="V16" i="111" s="1"/>
  <c r="S16" i="111"/>
  <c r="R16" i="111"/>
  <c r="J16" i="111"/>
  <c r="I16" i="111"/>
  <c r="W16" i="111" s="1"/>
  <c r="W15" i="111"/>
  <c r="V15" i="111"/>
  <c r="U15" i="111"/>
  <c r="S15" i="111"/>
  <c r="R15" i="111"/>
  <c r="J15" i="111"/>
  <c r="I15" i="111"/>
  <c r="U14" i="111"/>
  <c r="V14" i="111" s="1"/>
  <c r="S14" i="111"/>
  <c r="R14" i="111"/>
  <c r="J14" i="111"/>
  <c r="I14" i="111"/>
  <c r="U13" i="111"/>
  <c r="V13" i="111" s="1"/>
  <c r="S13" i="111"/>
  <c r="R13" i="111"/>
  <c r="J13" i="111"/>
  <c r="I13" i="111"/>
  <c r="U12" i="111"/>
  <c r="V12" i="111" s="1"/>
  <c r="S12" i="111"/>
  <c r="R12" i="111"/>
  <c r="J12" i="111"/>
  <c r="I12" i="111"/>
  <c r="W12" i="111" s="1"/>
  <c r="W11" i="111"/>
  <c r="V11" i="111"/>
  <c r="U11" i="111"/>
  <c r="S11" i="111"/>
  <c r="R11" i="111"/>
  <c r="J11" i="111"/>
  <c r="I11" i="111"/>
  <c r="U10" i="111"/>
  <c r="V10" i="111" s="1"/>
  <c r="S10" i="111"/>
  <c r="R10" i="111"/>
  <c r="J10" i="111"/>
  <c r="I10" i="111"/>
  <c r="W10" i="111" s="1"/>
  <c r="A10" i="111"/>
  <c r="A11" i="111" s="1"/>
  <c r="A12" i="111" s="1"/>
  <c r="A13" i="111" s="1"/>
  <c r="A14" i="111" s="1"/>
  <c r="A15" i="111" s="1"/>
  <c r="A16" i="111" s="1"/>
  <c r="A17" i="111" s="1"/>
  <c r="A18" i="111" s="1"/>
  <c r="A19" i="111" s="1"/>
  <c r="A20" i="111" s="1"/>
  <c r="A21" i="111" s="1"/>
  <c r="A22" i="111" s="1"/>
  <c r="A23" i="111" s="1"/>
  <c r="A24" i="111" s="1"/>
  <c r="A25" i="111" s="1"/>
  <c r="A26" i="111" s="1"/>
  <c r="A27" i="111" s="1"/>
  <c r="A28" i="111" s="1"/>
  <c r="A29" i="111" s="1"/>
  <c r="A30" i="111" s="1"/>
  <c r="A31" i="111" s="1"/>
  <c r="A32" i="111" s="1"/>
  <c r="A33" i="111" s="1"/>
  <c r="A34" i="111" s="1"/>
  <c r="A35" i="111" s="1"/>
  <c r="A36" i="111" s="1"/>
  <c r="A37" i="111" s="1"/>
  <c r="A38" i="111" s="1"/>
  <c r="A39" i="111" s="1"/>
  <c r="A40" i="111" s="1"/>
  <c r="A41" i="111" s="1"/>
  <c r="A42" i="111" s="1"/>
  <c r="A43" i="111" s="1"/>
  <c r="A44" i="111" s="1"/>
  <c r="A45" i="111" s="1"/>
  <c r="A46" i="111" s="1"/>
  <c r="A47" i="111" s="1"/>
  <c r="A48" i="111" s="1"/>
  <c r="A49" i="111" s="1"/>
  <c r="A50" i="111" s="1"/>
  <c r="A51" i="111" s="1"/>
  <c r="A52" i="111" s="1"/>
  <c r="A53" i="111" s="1"/>
  <c r="A54" i="111" s="1"/>
  <c r="A55" i="111" s="1"/>
  <c r="A56" i="111" s="1"/>
  <c r="A57" i="111" s="1"/>
  <c r="A58" i="111" s="1"/>
  <c r="A59" i="111" s="1"/>
  <c r="U9" i="111"/>
  <c r="V9" i="111" s="1"/>
  <c r="S9" i="111"/>
  <c r="R9" i="111"/>
  <c r="J9" i="111"/>
  <c r="I9" i="111"/>
  <c r="W9" i="111" s="1"/>
  <c r="A9" i="111"/>
  <c r="U8" i="111"/>
  <c r="S8" i="111"/>
  <c r="R8" i="111"/>
  <c r="J8" i="111"/>
  <c r="I8" i="111"/>
  <c r="W60" i="114" l="1"/>
  <c r="W60" i="113"/>
  <c r="W60" i="112"/>
  <c r="W48" i="111"/>
  <c r="W41" i="111"/>
  <c r="W38" i="111"/>
  <c r="W35" i="111"/>
  <c r="W26" i="111"/>
  <c r="W24" i="111"/>
  <c r="W20" i="111"/>
  <c r="W14" i="111"/>
  <c r="S60" i="111"/>
  <c r="W13" i="111"/>
  <c r="J60" i="111"/>
  <c r="U60" i="111"/>
  <c r="R60" i="111"/>
  <c r="W8" i="111"/>
  <c r="I60" i="111"/>
  <c r="V8" i="111"/>
  <c r="V60" i="111" s="1"/>
  <c r="I9" i="106"/>
  <c r="I8" i="106"/>
  <c r="W60" i="111" l="1"/>
  <c r="Q60" i="110"/>
  <c r="P60" i="110"/>
  <c r="O60" i="110"/>
  <c r="N60" i="110"/>
  <c r="M60" i="110"/>
  <c r="L60" i="110"/>
  <c r="H60" i="110"/>
  <c r="G60" i="110"/>
  <c r="E60" i="110"/>
  <c r="D60" i="110"/>
  <c r="C60" i="110"/>
  <c r="S59" i="110"/>
  <c r="R59" i="110"/>
  <c r="J59" i="110"/>
  <c r="I59" i="110"/>
  <c r="S58" i="110"/>
  <c r="R58" i="110"/>
  <c r="J58" i="110"/>
  <c r="I58" i="110"/>
  <c r="S57" i="110"/>
  <c r="R57" i="110"/>
  <c r="J57" i="110"/>
  <c r="I57" i="110"/>
  <c r="S56" i="110"/>
  <c r="R56" i="110"/>
  <c r="J56" i="110"/>
  <c r="I56" i="110"/>
  <c r="S55" i="110"/>
  <c r="R55" i="110"/>
  <c r="J55" i="110"/>
  <c r="I55" i="110"/>
  <c r="U54" i="110"/>
  <c r="V54" i="110" s="1"/>
  <c r="S54" i="110"/>
  <c r="R54" i="110"/>
  <c r="J54" i="110"/>
  <c r="I54" i="110"/>
  <c r="W54" i="110" s="1"/>
  <c r="U53" i="110"/>
  <c r="V53" i="110" s="1"/>
  <c r="S53" i="110"/>
  <c r="R53" i="110"/>
  <c r="J53" i="110"/>
  <c r="I53" i="110"/>
  <c r="W53" i="110" s="1"/>
  <c r="U52" i="110"/>
  <c r="V52" i="110" s="1"/>
  <c r="S52" i="110"/>
  <c r="R52" i="110"/>
  <c r="J52" i="110"/>
  <c r="I52" i="110"/>
  <c r="W52" i="110" s="1"/>
  <c r="W51" i="110"/>
  <c r="U51" i="110"/>
  <c r="V51" i="110" s="1"/>
  <c r="S51" i="110"/>
  <c r="R51" i="110"/>
  <c r="J51" i="110"/>
  <c r="I51" i="110"/>
  <c r="U50" i="110"/>
  <c r="V50" i="110" s="1"/>
  <c r="S50" i="110"/>
  <c r="R50" i="110"/>
  <c r="J50" i="110"/>
  <c r="I50" i="110"/>
  <c r="W50" i="110" s="1"/>
  <c r="U49" i="110"/>
  <c r="V49" i="110" s="1"/>
  <c r="S49" i="110"/>
  <c r="R49" i="110"/>
  <c r="J49" i="110"/>
  <c r="I49" i="110"/>
  <c r="W49" i="110" s="1"/>
  <c r="U48" i="110"/>
  <c r="V48" i="110" s="1"/>
  <c r="S48" i="110"/>
  <c r="R48" i="110"/>
  <c r="J48" i="110"/>
  <c r="I48" i="110"/>
  <c r="W48" i="110" s="1"/>
  <c r="W47" i="110"/>
  <c r="U47" i="110"/>
  <c r="V47" i="110" s="1"/>
  <c r="S47" i="110"/>
  <c r="R47" i="110"/>
  <c r="J47" i="110"/>
  <c r="I47" i="110"/>
  <c r="U46" i="110"/>
  <c r="V46" i="110" s="1"/>
  <c r="S46" i="110"/>
  <c r="R46" i="110"/>
  <c r="J46" i="110"/>
  <c r="I46" i="110"/>
  <c r="W46" i="110" s="1"/>
  <c r="S45" i="110"/>
  <c r="R45" i="110"/>
  <c r="J45" i="110"/>
  <c r="I45" i="110"/>
  <c r="U44" i="110"/>
  <c r="V44" i="110" s="1"/>
  <c r="S44" i="110"/>
  <c r="R44" i="110"/>
  <c r="J44" i="110"/>
  <c r="I44" i="110"/>
  <c r="W44" i="110" s="1"/>
  <c r="S43" i="110"/>
  <c r="R43" i="110"/>
  <c r="J43" i="110"/>
  <c r="I43" i="110"/>
  <c r="U42" i="110"/>
  <c r="V42" i="110" s="1"/>
  <c r="S42" i="110"/>
  <c r="R42" i="110"/>
  <c r="J42" i="110"/>
  <c r="I42" i="110"/>
  <c r="W42" i="110" s="1"/>
  <c r="U41" i="110"/>
  <c r="V41" i="110" s="1"/>
  <c r="S41" i="110"/>
  <c r="R41" i="110"/>
  <c r="J41" i="110"/>
  <c r="I41" i="110"/>
  <c r="W41" i="110" s="1"/>
  <c r="U40" i="110"/>
  <c r="V40" i="110" s="1"/>
  <c r="S40" i="110"/>
  <c r="R40" i="110"/>
  <c r="J40" i="110"/>
  <c r="I40" i="110"/>
  <c r="W40" i="110" s="1"/>
  <c r="U39" i="110"/>
  <c r="V39" i="110" s="1"/>
  <c r="S39" i="110"/>
  <c r="R39" i="110"/>
  <c r="J39" i="110"/>
  <c r="I39" i="110"/>
  <c r="W39" i="110" s="1"/>
  <c r="U38" i="110"/>
  <c r="V38" i="110" s="1"/>
  <c r="S38" i="110"/>
  <c r="R38" i="110"/>
  <c r="J38" i="110"/>
  <c r="I38" i="110"/>
  <c r="W38" i="110" s="1"/>
  <c r="U37" i="110"/>
  <c r="V37" i="110" s="1"/>
  <c r="S37" i="110"/>
  <c r="R37" i="110"/>
  <c r="J37" i="110"/>
  <c r="I37" i="110"/>
  <c r="W37" i="110" s="1"/>
  <c r="W36" i="110"/>
  <c r="U36" i="110"/>
  <c r="V36" i="110" s="1"/>
  <c r="S36" i="110"/>
  <c r="R36" i="110"/>
  <c r="J36" i="110"/>
  <c r="I36" i="110"/>
  <c r="U35" i="110"/>
  <c r="V35" i="110" s="1"/>
  <c r="S35" i="110"/>
  <c r="R35" i="110"/>
  <c r="J35" i="110"/>
  <c r="I35" i="110"/>
  <c r="W35" i="110" s="1"/>
  <c r="U34" i="110"/>
  <c r="V34" i="110" s="1"/>
  <c r="S34" i="110"/>
  <c r="R34" i="110"/>
  <c r="J34" i="110"/>
  <c r="I34" i="110"/>
  <c r="W34" i="110" s="1"/>
  <c r="U33" i="110"/>
  <c r="V33" i="110" s="1"/>
  <c r="S33" i="110"/>
  <c r="R33" i="110"/>
  <c r="J33" i="110"/>
  <c r="I33" i="110"/>
  <c r="W33" i="110" s="1"/>
  <c r="U32" i="110"/>
  <c r="V32" i="110" s="1"/>
  <c r="S32" i="110"/>
  <c r="R32" i="110"/>
  <c r="J32" i="110"/>
  <c r="I32" i="110"/>
  <c r="W32" i="110" s="1"/>
  <c r="U31" i="110"/>
  <c r="V31" i="110" s="1"/>
  <c r="S31" i="110"/>
  <c r="R31" i="110"/>
  <c r="J31" i="110"/>
  <c r="I31" i="110"/>
  <c r="W31" i="110" s="1"/>
  <c r="W30" i="110"/>
  <c r="U30" i="110"/>
  <c r="V30" i="110" s="1"/>
  <c r="S30" i="110"/>
  <c r="R30" i="110"/>
  <c r="J30" i="110"/>
  <c r="I30" i="110"/>
  <c r="U29" i="110"/>
  <c r="V29" i="110" s="1"/>
  <c r="S29" i="110"/>
  <c r="R29" i="110"/>
  <c r="J29" i="110"/>
  <c r="I29" i="110"/>
  <c r="W29" i="110" s="1"/>
  <c r="U28" i="110"/>
  <c r="V28" i="110" s="1"/>
  <c r="S28" i="110"/>
  <c r="R28" i="110"/>
  <c r="J28" i="110"/>
  <c r="I28" i="110"/>
  <c r="W28" i="110" s="1"/>
  <c r="U27" i="110"/>
  <c r="V27" i="110" s="1"/>
  <c r="S27" i="110"/>
  <c r="R27" i="110"/>
  <c r="J27" i="110"/>
  <c r="I27" i="110"/>
  <c r="W27" i="110" s="1"/>
  <c r="BE26" i="110"/>
  <c r="V26" i="110"/>
  <c r="U26" i="110"/>
  <c r="S26" i="110"/>
  <c r="R26" i="110"/>
  <c r="J26" i="110"/>
  <c r="I26" i="110"/>
  <c r="W26" i="110" s="1"/>
  <c r="V25" i="110"/>
  <c r="U25" i="110"/>
  <c r="S25" i="110"/>
  <c r="R25" i="110"/>
  <c r="J25" i="110"/>
  <c r="I25" i="110"/>
  <c r="W25" i="110" s="1"/>
  <c r="V24" i="110"/>
  <c r="U24" i="110"/>
  <c r="S24" i="110"/>
  <c r="R24" i="110"/>
  <c r="J24" i="110"/>
  <c r="I24" i="110"/>
  <c r="W24" i="110" s="1"/>
  <c r="V23" i="110"/>
  <c r="U23" i="110"/>
  <c r="S23" i="110"/>
  <c r="R23" i="110"/>
  <c r="J23" i="110"/>
  <c r="I23" i="110"/>
  <c r="V22" i="110"/>
  <c r="U22" i="110"/>
  <c r="S22" i="110"/>
  <c r="R22" i="110"/>
  <c r="J22" i="110"/>
  <c r="I22" i="110"/>
  <c r="W22" i="110" s="1"/>
  <c r="V21" i="110"/>
  <c r="U21" i="110"/>
  <c r="S21" i="110"/>
  <c r="R21" i="110"/>
  <c r="J21" i="110"/>
  <c r="I21" i="110"/>
  <c r="W21" i="110" s="1"/>
  <c r="V20" i="110"/>
  <c r="U20" i="110"/>
  <c r="S20" i="110"/>
  <c r="R20" i="110"/>
  <c r="J20" i="110"/>
  <c r="I20" i="110"/>
  <c r="W20" i="110" s="1"/>
  <c r="W19" i="110"/>
  <c r="V19" i="110"/>
  <c r="U19" i="110"/>
  <c r="S19" i="110"/>
  <c r="R19" i="110"/>
  <c r="J19" i="110"/>
  <c r="I19" i="110"/>
  <c r="V18" i="110"/>
  <c r="U18" i="110"/>
  <c r="S18" i="110"/>
  <c r="R18" i="110"/>
  <c r="J18" i="110"/>
  <c r="I18" i="110"/>
  <c r="W18" i="110" s="1"/>
  <c r="V17" i="110"/>
  <c r="U17" i="110"/>
  <c r="S17" i="110"/>
  <c r="R17" i="110"/>
  <c r="J17" i="110"/>
  <c r="I17" i="110"/>
  <c r="W17" i="110" s="1"/>
  <c r="V16" i="110"/>
  <c r="U16" i="110"/>
  <c r="S16" i="110"/>
  <c r="R16" i="110"/>
  <c r="J16" i="110"/>
  <c r="I16" i="110"/>
  <c r="W16" i="110" s="1"/>
  <c r="V15" i="110"/>
  <c r="U15" i="110"/>
  <c r="S15" i="110"/>
  <c r="R15" i="110"/>
  <c r="J15" i="110"/>
  <c r="I15" i="110"/>
  <c r="W15" i="110" s="1"/>
  <c r="V14" i="110"/>
  <c r="U14" i="110"/>
  <c r="S14" i="110"/>
  <c r="R14" i="110"/>
  <c r="J14" i="110"/>
  <c r="I14" i="110"/>
  <c r="W14" i="110" s="1"/>
  <c r="U13" i="110"/>
  <c r="V13" i="110" s="1"/>
  <c r="S13" i="110"/>
  <c r="R13" i="110"/>
  <c r="J13" i="110"/>
  <c r="I13" i="110"/>
  <c r="V12" i="110"/>
  <c r="U12" i="110"/>
  <c r="S12" i="110"/>
  <c r="R12" i="110"/>
  <c r="J12" i="110"/>
  <c r="I12" i="110"/>
  <c r="W12" i="110" s="1"/>
  <c r="V11" i="110"/>
  <c r="U11" i="110"/>
  <c r="S11" i="110"/>
  <c r="R11" i="110"/>
  <c r="J11" i="110"/>
  <c r="I11" i="110"/>
  <c r="W11" i="110" s="1"/>
  <c r="V10" i="110"/>
  <c r="U10" i="110"/>
  <c r="S10" i="110"/>
  <c r="R10" i="110"/>
  <c r="J10" i="110"/>
  <c r="I10" i="110"/>
  <c r="W10" i="110" s="1"/>
  <c r="V9" i="110"/>
  <c r="U9" i="110"/>
  <c r="S9" i="110"/>
  <c r="R9" i="110"/>
  <c r="J9" i="110"/>
  <c r="I9" i="110"/>
  <c r="A9" i="110"/>
  <c r="A10" i="110" s="1"/>
  <c r="A11" i="110" s="1"/>
  <c r="A12" i="110" s="1"/>
  <c r="A13" i="110" s="1"/>
  <c r="A14" i="110" s="1"/>
  <c r="A15" i="110" s="1"/>
  <c r="A16" i="110" s="1"/>
  <c r="A17" i="110" s="1"/>
  <c r="A18" i="110" s="1"/>
  <c r="A19" i="110" s="1"/>
  <c r="A20" i="110" s="1"/>
  <c r="A21" i="110" s="1"/>
  <c r="A22" i="110" s="1"/>
  <c r="A23" i="110" s="1"/>
  <c r="A24" i="110" s="1"/>
  <c r="A25" i="110" s="1"/>
  <c r="A26" i="110" s="1"/>
  <c r="A27" i="110" s="1"/>
  <c r="A28" i="110" s="1"/>
  <c r="A29" i="110" s="1"/>
  <c r="A30" i="110" s="1"/>
  <c r="A31" i="110" s="1"/>
  <c r="A32" i="110" s="1"/>
  <c r="A33" i="110" s="1"/>
  <c r="A34" i="110" s="1"/>
  <c r="A35" i="110" s="1"/>
  <c r="A36" i="110" s="1"/>
  <c r="A37" i="110" s="1"/>
  <c r="A38" i="110" s="1"/>
  <c r="A39" i="110" s="1"/>
  <c r="A40" i="110" s="1"/>
  <c r="A41" i="110" s="1"/>
  <c r="A42" i="110" s="1"/>
  <c r="A43" i="110" s="1"/>
  <c r="A44" i="110" s="1"/>
  <c r="A45" i="110" s="1"/>
  <c r="A46" i="110" s="1"/>
  <c r="A47" i="110" s="1"/>
  <c r="A48" i="110" s="1"/>
  <c r="A49" i="110" s="1"/>
  <c r="A50" i="110" s="1"/>
  <c r="A51" i="110" s="1"/>
  <c r="A52" i="110" s="1"/>
  <c r="A53" i="110" s="1"/>
  <c r="A54" i="110" s="1"/>
  <c r="A55" i="110" s="1"/>
  <c r="A56" i="110" s="1"/>
  <c r="A57" i="110" s="1"/>
  <c r="A58" i="110" s="1"/>
  <c r="A59" i="110" s="1"/>
  <c r="V8" i="110"/>
  <c r="U8" i="110"/>
  <c r="S8" i="110"/>
  <c r="R8" i="110"/>
  <c r="J8" i="110"/>
  <c r="I8" i="110"/>
  <c r="W8" i="110" s="1"/>
  <c r="Q60" i="109"/>
  <c r="P60" i="109"/>
  <c r="O60" i="109"/>
  <c r="N60" i="109"/>
  <c r="M60" i="109"/>
  <c r="L60" i="109"/>
  <c r="H60" i="109"/>
  <c r="G60" i="109"/>
  <c r="E60" i="109"/>
  <c r="D60" i="109"/>
  <c r="C60" i="109"/>
  <c r="S59" i="109"/>
  <c r="R59" i="109"/>
  <c r="J59" i="109"/>
  <c r="I59" i="109"/>
  <c r="S58" i="109"/>
  <c r="R58" i="109"/>
  <c r="J58" i="109"/>
  <c r="I58" i="109"/>
  <c r="S57" i="109"/>
  <c r="R57" i="109"/>
  <c r="J57" i="109"/>
  <c r="I57" i="109"/>
  <c r="S56" i="109"/>
  <c r="R56" i="109"/>
  <c r="J56" i="109"/>
  <c r="I56" i="109"/>
  <c r="S55" i="109"/>
  <c r="R55" i="109"/>
  <c r="J55" i="109"/>
  <c r="I55" i="109"/>
  <c r="W54" i="109"/>
  <c r="V54" i="109"/>
  <c r="U54" i="109"/>
  <c r="S54" i="109"/>
  <c r="R54" i="109"/>
  <c r="J54" i="109"/>
  <c r="I54" i="109"/>
  <c r="U53" i="109"/>
  <c r="V53" i="109" s="1"/>
  <c r="S53" i="109"/>
  <c r="R53" i="109"/>
  <c r="J53" i="109"/>
  <c r="I53" i="109"/>
  <c r="W53" i="109" s="1"/>
  <c r="W52" i="109"/>
  <c r="V52" i="109"/>
  <c r="U52" i="109"/>
  <c r="S52" i="109"/>
  <c r="R52" i="109"/>
  <c r="J52" i="109"/>
  <c r="I52" i="109"/>
  <c r="W51" i="109"/>
  <c r="U51" i="109"/>
  <c r="V51" i="109" s="1"/>
  <c r="S51" i="109"/>
  <c r="R51" i="109"/>
  <c r="J51" i="109"/>
  <c r="I51" i="109"/>
  <c r="V50" i="109"/>
  <c r="U50" i="109"/>
  <c r="S50" i="109"/>
  <c r="R50" i="109"/>
  <c r="J50" i="109"/>
  <c r="I50" i="109"/>
  <c r="W50" i="109" s="1"/>
  <c r="U49" i="109"/>
  <c r="V49" i="109" s="1"/>
  <c r="S49" i="109"/>
  <c r="R49" i="109"/>
  <c r="J49" i="109"/>
  <c r="I49" i="109"/>
  <c r="W49" i="109" s="1"/>
  <c r="V48" i="109"/>
  <c r="U48" i="109"/>
  <c r="S48" i="109"/>
  <c r="R48" i="109"/>
  <c r="J48" i="109"/>
  <c r="I48" i="109"/>
  <c r="W48" i="109" s="1"/>
  <c r="W47" i="109"/>
  <c r="U47" i="109"/>
  <c r="V47" i="109" s="1"/>
  <c r="S47" i="109"/>
  <c r="R47" i="109"/>
  <c r="J47" i="109"/>
  <c r="I47" i="109"/>
  <c r="W46" i="109"/>
  <c r="V46" i="109"/>
  <c r="U46" i="109"/>
  <c r="S46" i="109"/>
  <c r="R46" i="109"/>
  <c r="J46" i="109"/>
  <c r="I46" i="109"/>
  <c r="S45" i="109"/>
  <c r="R45" i="109"/>
  <c r="J45" i="109"/>
  <c r="I45" i="109"/>
  <c r="U44" i="109"/>
  <c r="V44" i="109" s="1"/>
  <c r="S44" i="109"/>
  <c r="R44" i="109"/>
  <c r="J44" i="109"/>
  <c r="I44" i="109"/>
  <c r="W44" i="109" s="1"/>
  <c r="S43" i="109"/>
  <c r="R43" i="109"/>
  <c r="J43" i="109"/>
  <c r="I43" i="109"/>
  <c r="U42" i="109"/>
  <c r="V42" i="109" s="1"/>
  <c r="S42" i="109"/>
  <c r="R42" i="109"/>
  <c r="J42" i="109"/>
  <c r="I42" i="109"/>
  <c r="W42" i="109" s="1"/>
  <c r="U41" i="109"/>
  <c r="V41" i="109" s="1"/>
  <c r="S41" i="109"/>
  <c r="R41" i="109"/>
  <c r="J41" i="109"/>
  <c r="I41" i="109"/>
  <c r="W41" i="109" s="1"/>
  <c r="U40" i="109"/>
  <c r="V40" i="109" s="1"/>
  <c r="S40" i="109"/>
  <c r="R40" i="109"/>
  <c r="J40" i="109"/>
  <c r="I40" i="109"/>
  <c r="W40" i="109" s="1"/>
  <c r="U39" i="109"/>
  <c r="V39" i="109" s="1"/>
  <c r="S39" i="109"/>
  <c r="R39" i="109"/>
  <c r="J39" i="109"/>
  <c r="I39" i="109"/>
  <c r="W39" i="109" s="1"/>
  <c r="U38" i="109"/>
  <c r="V38" i="109" s="1"/>
  <c r="S38" i="109"/>
  <c r="R38" i="109"/>
  <c r="J38" i="109"/>
  <c r="I38" i="109"/>
  <c r="W38" i="109" s="1"/>
  <c r="U37" i="109"/>
  <c r="V37" i="109" s="1"/>
  <c r="S37" i="109"/>
  <c r="R37" i="109"/>
  <c r="J37" i="109"/>
  <c r="I37" i="109"/>
  <c r="W37" i="109" s="1"/>
  <c r="U36" i="109"/>
  <c r="V36" i="109" s="1"/>
  <c r="S36" i="109"/>
  <c r="R36" i="109"/>
  <c r="J36" i="109"/>
  <c r="I36" i="109"/>
  <c r="W36" i="109" s="1"/>
  <c r="U35" i="109"/>
  <c r="V35" i="109" s="1"/>
  <c r="S35" i="109"/>
  <c r="R35" i="109"/>
  <c r="J35" i="109"/>
  <c r="I35" i="109"/>
  <c r="W35" i="109" s="1"/>
  <c r="U34" i="109"/>
  <c r="V34" i="109" s="1"/>
  <c r="S34" i="109"/>
  <c r="R34" i="109"/>
  <c r="J34" i="109"/>
  <c r="I34" i="109"/>
  <c r="W34" i="109" s="1"/>
  <c r="U33" i="109"/>
  <c r="V33" i="109" s="1"/>
  <c r="S33" i="109"/>
  <c r="R33" i="109"/>
  <c r="J33" i="109"/>
  <c r="I33" i="109"/>
  <c r="W33" i="109" s="1"/>
  <c r="U32" i="109"/>
  <c r="V32" i="109" s="1"/>
  <c r="S32" i="109"/>
  <c r="R32" i="109"/>
  <c r="J32" i="109"/>
  <c r="I32" i="109"/>
  <c r="W32" i="109" s="1"/>
  <c r="U31" i="109"/>
  <c r="V31" i="109" s="1"/>
  <c r="S31" i="109"/>
  <c r="R31" i="109"/>
  <c r="J31" i="109"/>
  <c r="I31" i="109"/>
  <c r="W31" i="109" s="1"/>
  <c r="U30" i="109"/>
  <c r="V30" i="109" s="1"/>
  <c r="S30" i="109"/>
  <c r="R30" i="109"/>
  <c r="J30" i="109"/>
  <c r="I30" i="109"/>
  <c r="W30" i="109" s="1"/>
  <c r="U29" i="109"/>
  <c r="V29" i="109" s="1"/>
  <c r="S29" i="109"/>
  <c r="R29" i="109"/>
  <c r="J29" i="109"/>
  <c r="I29" i="109"/>
  <c r="W29" i="109" s="1"/>
  <c r="U28" i="109"/>
  <c r="V28" i="109" s="1"/>
  <c r="S28" i="109"/>
  <c r="R28" i="109"/>
  <c r="J28" i="109"/>
  <c r="I28" i="109"/>
  <c r="W28" i="109" s="1"/>
  <c r="U27" i="109"/>
  <c r="S27" i="109"/>
  <c r="R27" i="109"/>
  <c r="J27" i="109"/>
  <c r="I27" i="109"/>
  <c r="W27" i="109" s="1"/>
  <c r="BE26" i="109"/>
  <c r="V26" i="109"/>
  <c r="U26" i="109"/>
  <c r="S26" i="109"/>
  <c r="R26" i="109"/>
  <c r="J26" i="109"/>
  <c r="I26" i="109"/>
  <c r="W26" i="109" s="1"/>
  <c r="V25" i="109"/>
  <c r="U25" i="109"/>
  <c r="S25" i="109"/>
  <c r="R25" i="109"/>
  <c r="J25" i="109"/>
  <c r="I25" i="109"/>
  <c r="V24" i="109"/>
  <c r="U24" i="109"/>
  <c r="S24" i="109"/>
  <c r="R24" i="109"/>
  <c r="J24" i="109"/>
  <c r="I24" i="109"/>
  <c r="W24" i="109" s="1"/>
  <c r="V23" i="109"/>
  <c r="U23" i="109"/>
  <c r="S23" i="109"/>
  <c r="R23" i="109"/>
  <c r="J23" i="109"/>
  <c r="I23" i="109"/>
  <c r="V22" i="109"/>
  <c r="U22" i="109"/>
  <c r="S22" i="109"/>
  <c r="R22" i="109"/>
  <c r="J22" i="109"/>
  <c r="I22" i="109"/>
  <c r="W22" i="109" s="1"/>
  <c r="V21" i="109"/>
  <c r="U21" i="109"/>
  <c r="S21" i="109"/>
  <c r="R21" i="109"/>
  <c r="J21" i="109"/>
  <c r="I21" i="109"/>
  <c r="V20" i="109"/>
  <c r="U20" i="109"/>
  <c r="S20" i="109"/>
  <c r="R20" i="109"/>
  <c r="J20" i="109"/>
  <c r="I20" i="109"/>
  <c r="V19" i="109"/>
  <c r="U19" i="109"/>
  <c r="S19" i="109"/>
  <c r="R19" i="109"/>
  <c r="J19" i="109"/>
  <c r="W19" i="109" s="1"/>
  <c r="I19" i="109"/>
  <c r="V18" i="109"/>
  <c r="U18" i="109"/>
  <c r="S18" i="109"/>
  <c r="R18" i="109"/>
  <c r="J18" i="109"/>
  <c r="I18" i="109"/>
  <c r="W18" i="109" s="1"/>
  <c r="V17" i="109"/>
  <c r="U17" i="109"/>
  <c r="S17" i="109"/>
  <c r="R17" i="109"/>
  <c r="J17" i="109"/>
  <c r="I17" i="109"/>
  <c r="V16" i="109"/>
  <c r="U16" i="109"/>
  <c r="S16" i="109"/>
  <c r="R16" i="109"/>
  <c r="J16" i="109"/>
  <c r="I16" i="109"/>
  <c r="V15" i="109"/>
  <c r="U15" i="109"/>
  <c r="S15" i="109"/>
  <c r="R15" i="109"/>
  <c r="J15" i="109"/>
  <c r="I15" i="109"/>
  <c r="V14" i="109"/>
  <c r="U14" i="109"/>
  <c r="S14" i="109"/>
  <c r="R14" i="109"/>
  <c r="J14" i="109"/>
  <c r="I14" i="109"/>
  <c r="U13" i="109"/>
  <c r="V13" i="109" s="1"/>
  <c r="S13" i="109"/>
  <c r="R13" i="109"/>
  <c r="J13" i="109"/>
  <c r="I13" i="109"/>
  <c r="V12" i="109"/>
  <c r="U12" i="109"/>
  <c r="S12" i="109"/>
  <c r="R12" i="109"/>
  <c r="J12" i="109"/>
  <c r="I12" i="109"/>
  <c r="W12" i="109" s="1"/>
  <c r="V11" i="109"/>
  <c r="U11" i="109"/>
  <c r="S11" i="109"/>
  <c r="R11" i="109"/>
  <c r="J11" i="109"/>
  <c r="W11" i="109" s="1"/>
  <c r="I11" i="109"/>
  <c r="V10" i="109"/>
  <c r="U10" i="109"/>
  <c r="S10" i="109"/>
  <c r="R10" i="109"/>
  <c r="J10" i="109"/>
  <c r="I10" i="109"/>
  <c r="W10" i="109" s="1"/>
  <c r="V9" i="109"/>
  <c r="U9" i="109"/>
  <c r="S9" i="109"/>
  <c r="R9" i="109"/>
  <c r="J9" i="109"/>
  <c r="I9" i="109"/>
  <c r="A9" i="109"/>
  <c r="A10" i="109" s="1"/>
  <c r="A11" i="109" s="1"/>
  <c r="A12" i="109" s="1"/>
  <c r="A13" i="109" s="1"/>
  <c r="A14" i="109" s="1"/>
  <c r="A15" i="109" s="1"/>
  <c r="A16" i="109" s="1"/>
  <c r="A17" i="109" s="1"/>
  <c r="A18" i="109" s="1"/>
  <c r="A19" i="109" s="1"/>
  <c r="A20" i="109" s="1"/>
  <c r="A21" i="109" s="1"/>
  <c r="A22" i="109" s="1"/>
  <c r="A23" i="109" s="1"/>
  <c r="A24" i="109" s="1"/>
  <c r="A25" i="109" s="1"/>
  <c r="A26" i="109" s="1"/>
  <c r="A27" i="109" s="1"/>
  <c r="A28" i="109" s="1"/>
  <c r="A29" i="109" s="1"/>
  <c r="A30" i="109" s="1"/>
  <c r="A31" i="109" s="1"/>
  <c r="A32" i="109" s="1"/>
  <c r="A33" i="109" s="1"/>
  <c r="A34" i="109" s="1"/>
  <c r="A35" i="109" s="1"/>
  <c r="A36" i="109" s="1"/>
  <c r="A37" i="109" s="1"/>
  <c r="A38" i="109" s="1"/>
  <c r="A39" i="109" s="1"/>
  <c r="A40" i="109" s="1"/>
  <c r="A41" i="109" s="1"/>
  <c r="A42" i="109" s="1"/>
  <c r="A43" i="109" s="1"/>
  <c r="A44" i="109" s="1"/>
  <c r="A45" i="109" s="1"/>
  <c r="A46" i="109" s="1"/>
  <c r="A47" i="109" s="1"/>
  <c r="A48" i="109" s="1"/>
  <c r="A49" i="109" s="1"/>
  <c r="A50" i="109" s="1"/>
  <c r="A51" i="109" s="1"/>
  <c r="A52" i="109" s="1"/>
  <c r="A53" i="109" s="1"/>
  <c r="A54" i="109" s="1"/>
  <c r="A55" i="109" s="1"/>
  <c r="A56" i="109" s="1"/>
  <c r="A57" i="109" s="1"/>
  <c r="A58" i="109" s="1"/>
  <c r="A59" i="109" s="1"/>
  <c r="U8" i="109"/>
  <c r="V8" i="109" s="1"/>
  <c r="S8" i="109"/>
  <c r="R8" i="109"/>
  <c r="J8" i="109"/>
  <c r="I8" i="109"/>
  <c r="W25" i="109" l="1"/>
  <c r="W23" i="109"/>
  <c r="W21" i="109"/>
  <c r="W20" i="109"/>
  <c r="W17" i="109"/>
  <c r="W15" i="109"/>
  <c r="W16" i="109"/>
  <c r="W14" i="109"/>
  <c r="S60" i="109"/>
  <c r="J60" i="109"/>
  <c r="W13" i="109"/>
  <c r="R60" i="109"/>
  <c r="W9" i="109"/>
  <c r="U60" i="109"/>
  <c r="W8" i="109"/>
  <c r="W23" i="110"/>
  <c r="S60" i="110"/>
  <c r="R60" i="110"/>
  <c r="U60" i="110"/>
  <c r="W13" i="110"/>
  <c r="J60" i="110"/>
  <c r="W9" i="110"/>
  <c r="V60" i="110"/>
  <c r="I60" i="110"/>
  <c r="V27" i="109"/>
  <c r="V60" i="109" s="1"/>
  <c r="I60" i="109"/>
  <c r="Q60" i="108"/>
  <c r="P60" i="108"/>
  <c r="O60" i="108"/>
  <c r="N60" i="108"/>
  <c r="M60" i="108"/>
  <c r="L60" i="108"/>
  <c r="H60" i="108"/>
  <c r="G60" i="108"/>
  <c r="E60" i="108"/>
  <c r="D60" i="108"/>
  <c r="C60" i="108"/>
  <c r="S59" i="108"/>
  <c r="R59" i="108"/>
  <c r="J59" i="108"/>
  <c r="I59" i="108"/>
  <c r="S58" i="108"/>
  <c r="R58" i="108"/>
  <c r="J58" i="108"/>
  <c r="I58" i="108"/>
  <c r="S57" i="108"/>
  <c r="R57" i="108"/>
  <c r="J57" i="108"/>
  <c r="I57" i="108"/>
  <c r="S56" i="108"/>
  <c r="R56" i="108"/>
  <c r="J56" i="108"/>
  <c r="I56" i="108"/>
  <c r="S55" i="108"/>
  <c r="R55" i="108"/>
  <c r="J55" i="108"/>
  <c r="I55" i="108"/>
  <c r="U54" i="108"/>
  <c r="V54" i="108" s="1"/>
  <c r="S54" i="108"/>
  <c r="R54" i="108"/>
  <c r="J54" i="108"/>
  <c r="I54" i="108"/>
  <c r="W54" i="108" s="1"/>
  <c r="U53" i="108"/>
  <c r="V53" i="108" s="1"/>
  <c r="S53" i="108"/>
  <c r="R53" i="108"/>
  <c r="J53" i="108"/>
  <c r="I53" i="108"/>
  <c r="W53" i="108" s="1"/>
  <c r="W52" i="108"/>
  <c r="U52" i="108"/>
  <c r="V52" i="108" s="1"/>
  <c r="S52" i="108"/>
  <c r="R52" i="108"/>
  <c r="J52" i="108"/>
  <c r="I52" i="108"/>
  <c r="U51" i="108"/>
  <c r="V51" i="108" s="1"/>
  <c r="S51" i="108"/>
  <c r="R51" i="108"/>
  <c r="J51" i="108"/>
  <c r="I51" i="108"/>
  <c r="W51" i="108" s="1"/>
  <c r="W50" i="108"/>
  <c r="U50" i="108"/>
  <c r="V50" i="108" s="1"/>
  <c r="S50" i="108"/>
  <c r="R50" i="108"/>
  <c r="J50" i="108"/>
  <c r="I50" i="108"/>
  <c r="U49" i="108"/>
  <c r="V49" i="108" s="1"/>
  <c r="S49" i="108"/>
  <c r="R49" i="108"/>
  <c r="J49" i="108"/>
  <c r="I49" i="108"/>
  <c r="W49" i="108" s="1"/>
  <c r="U48" i="108"/>
  <c r="V48" i="108" s="1"/>
  <c r="S48" i="108"/>
  <c r="R48" i="108"/>
  <c r="J48" i="108"/>
  <c r="I48" i="108"/>
  <c r="U47" i="108"/>
  <c r="V47" i="108" s="1"/>
  <c r="S47" i="108"/>
  <c r="R47" i="108"/>
  <c r="J47" i="108"/>
  <c r="I47" i="108"/>
  <c r="W47" i="108" s="1"/>
  <c r="W46" i="108"/>
  <c r="U46" i="108"/>
  <c r="V46" i="108" s="1"/>
  <c r="S46" i="108"/>
  <c r="R46" i="108"/>
  <c r="J46" i="108"/>
  <c r="I46" i="108"/>
  <c r="S45" i="108"/>
  <c r="R45" i="108"/>
  <c r="J45" i="108"/>
  <c r="I45" i="108"/>
  <c r="U44" i="108"/>
  <c r="V44" i="108" s="1"/>
  <c r="S44" i="108"/>
  <c r="R44" i="108"/>
  <c r="J44" i="108"/>
  <c r="I44" i="108"/>
  <c r="W44" i="108" s="1"/>
  <c r="S43" i="108"/>
  <c r="R43" i="108"/>
  <c r="J43" i="108"/>
  <c r="I43" i="108"/>
  <c r="U42" i="108"/>
  <c r="V42" i="108" s="1"/>
  <c r="S42" i="108"/>
  <c r="R42" i="108"/>
  <c r="J42" i="108"/>
  <c r="I42" i="108"/>
  <c r="W42" i="108" s="1"/>
  <c r="W41" i="108"/>
  <c r="U41" i="108"/>
  <c r="V41" i="108" s="1"/>
  <c r="S41" i="108"/>
  <c r="R41" i="108"/>
  <c r="J41" i="108"/>
  <c r="I41" i="108"/>
  <c r="U40" i="108"/>
  <c r="V40" i="108" s="1"/>
  <c r="S40" i="108"/>
  <c r="R40" i="108"/>
  <c r="J40" i="108"/>
  <c r="I40" i="108"/>
  <c r="W40" i="108" s="1"/>
  <c r="U39" i="108"/>
  <c r="V39" i="108" s="1"/>
  <c r="S39" i="108"/>
  <c r="R39" i="108"/>
  <c r="J39" i="108"/>
  <c r="I39" i="108"/>
  <c r="W39" i="108" s="1"/>
  <c r="U38" i="108"/>
  <c r="V38" i="108" s="1"/>
  <c r="S38" i="108"/>
  <c r="R38" i="108"/>
  <c r="J38" i="108"/>
  <c r="I38" i="108"/>
  <c r="U37" i="108"/>
  <c r="V37" i="108" s="1"/>
  <c r="S37" i="108"/>
  <c r="R37" i="108"/>
  <c r="J37" i="108"/>
  <c r="I37" i="108"/>
  <c r="W37" i="108" s="1"/>
  <c r="U36" i="108"/>
  <c r="V36" i="108" s="1"/>
  <c r="S36" i="108"/>
  <c r="R36" i="108"/>
  <c r="J36" i="108"/>
  <c r="I36" i="108"/>
  <c r="W36" i="108" s="1"/>
  <c r="W35" i="108"/>
  <c r="U35" i="108"/>
  <c r="V35" i="108" s="1"/>
  <c r="S35" i="108"/>
  <c r="R35" i="108"/>
  <c r="J35" i="108"/>
  <c r="I35" i="108"/>
  <c r="U34" i="108"/>
  <c r="V34" i="108" s="1"/>
  <c r="S34" i="108"/>
  <c r="R34" i="108"/>
  <c r="J34" i="108"/>
  <c r="I34" i="108"/>
  <c r="W34" i="108" s="1"/>
  <c r="U33" i="108"/>
  <c r="V33" i="108" s="1"/>
  <c r="S33" i="108"/>
  <c r="R33" i="108"/>
  <c r="J33" i="108"/>
  <c r="I33" i="108"/>
  <c r="W33" i="108" s="1"/>
  <c r="U32" i="108"/>
  <c r="V32" i="108" s="1"/>
  <c r="S32" i="108"/>
  <c r="R32" i="108"/>
  <c r="J32" i="108"/>
  <c r="I32" i="108"/>
  <c r="W32" i="108" s="1"/>
  <c r="U31" i="108"/>
  <c r="V31" i="108" s="1"/>
  <c r="S31" i="108"/>
  <c r="R31" i="108"/>
  <c r="J31" i="108"/>
  <c r="I31" i="108"/>
  <c r="W31" i="108" s="1"/>
  <c r="U30" i="108"/>
  <c r="V30" i="108" s="1"/>
  <c r="S30" i="108"/>
  <c r="R30" i="108"/>
  <c r="J30" i="108"/>
  <c r="I30" i="108"/>
  <c r="W30" i="108" s="1"/>
  <c r="U29" i="108"/>
  <c r="V29" i="108" s="1"/>
  <c r="S29" i="108"/>
  <c r="R29" i="108"/>
  <c r="J29" i="108"/>
  <c r="I29" i="108"/>
  <c r="W29" i="108" s="1"/>
  <c r="U28" i="108"/>
  <c r="V28" i="108" s="1"/>
  <c r="S28" i="108"/>
  <c r="R28" i="108"/>
  <c r="J28" i="108"/>
  <c r="I28" i="108"/>
  <c r="W28" i="108" s="1"/>
  <c r="U27" i="108"/>
  <c r="V27" i="108" s="1"/>
  <c r="S27" i="108"/>
  <c r="R27" i="108"/>
  <c r="J27" i="108"/>
  <c r="I27" i="108"/>
  <c r="W27" i="108" s="1"/>
  <c r="BE26" i="108"/>
  <c r="U26" i="108"/>
  <c r="V26" i="108" s="1"/>
  <c r="S26" i="108"/>
  <c r="R26" i="108"/>
  <c r="J26" i="108"/>
  <c r="I26" i="108"/>
  <c r="W26" i="108" s="1"/>
  <c r="V25" i="108"/>
  <c r="U25" i="108"/>
  <c r="S25" i="108"/>
  <c r="R25" i="108"/>
  <c r="J25" i="108"/>
  <c r="I25" i="108"/>
  <c r="W25" i="108" s="1"/>
  <c r="U24" i="108"/>
  <c r="V24" i="108" s="1"/>
  <c r="S24" i="108"/>
  <c r="R24" i="108"/>
  <c r="J24" i="108"/>
  <c r="I24" i="108"/>
  <c r="V23" i="108"/>
  <c r="U23" i="108"/>
  <c r="S23" i="108"/>
  <c r="R23" i="108"/>
  <c r="J23" i="108"/>
  <c r="I23" i="108"/>
  <c r="V22" i="108"/>
  <c r="U22" i="108"/>
  <c r="S22" i="108"/>
  <c r="R22" i="108"/>
  <c r="J22" i="108"/>
  <c r="I22" i="108"/>
  <c r="W22" i="108" s="1"/>
  <c r="V21" i="108"/>
  <c r="U21" i="108"/>
  <c r="S21" i="108"/>
  <c r="R21" i="108"/>
  <c r="J21" i="108"/>
  <c r="I21" i="108"/>
  <c r="V20" i="108"/>
  <c r="U20" i="108"/>
  <c r="S20" i="108"/>
  <c r="R20" i="108"/>
  <c r="J20" i="108"/>
  <c r="I20" i="108"/>
  <c r="W19" i="108"/>
  <c r="V19" i="108"/>
  <c r="U19" i="108"/>
  <c r="S19" i="108"/>
  <c r="R19" i="108"/>
  <c r="J19" i="108"/>
  <c r="I19" i="108"/>
  <c r="V18" i="108"/>
  <c r="U18" i="108"/>
  <c r="S18" i="108"/>
  <c r="R18" i="108"/>
  <c r="J18" i="108"/>
  <c r="I18" i="108"/>
  <c r="W18" i="108" s="1"/>
  <c r="W17" i="108"/>
  <c r="V17" i="108"/>
  <c r="U17" i="108"/>
  <c r="S17" i="108"/>
  <c r="R17" i="108"/>
  <c r="J17" i="108"/>
  <c r="I17" i="108"/>
  <c r="U16" i="108"/>
  <c r="V16" i="108" s="1"/>
  <c r="S16" i="108"/>
  <c r="R16" i="108"/>
  <c r="J16" i="108"/>
  <c r="I16" i="108"/>
  <c r="W16" i="108" s="1"/>
  <c r="V15" i="108"/>
  <c r="U15" i="108"/>
  <c r="S15" i="108"/>
  <c r="R15" i="108"/>
  <c r="J15" i="108"/>
  <c r="I15" i="108"/>
  <c r="W15" i="108" s="1"/>
  <c r="U14" i="108"/>
  <c r="V14" i="108" s="1"/>
  <c r="S14" i="108"/>
  <c r="R14" i="108"/>
  <c r="J14" i="108"/>
  <c r="I14" i="108"/>
  <c r="U13" i="108"/>
  <c r="V13" i="108" s="1"/>
  <c r="S13" i="108"/>
  <c r="R13" i="108"/>
  <c r="J13" i="108"/>
  <c r="I13" i="108"/>
  <c r="U12" i="108"/>
  <c r="V12" i="108" s="1"/>
  <c r="S12" i="108"/>
  <c r="R12" i="108"/>
  <c r="J12" i="108"/>
  <c r="I12" i="108"/>
  <c r="W11" i="108"/>
  <c r="V11" i="108"/>
  <c r="U11" i="108"/>
  <c r="S11" i="108"/>
  <c r="R11" i="108"/>
  <c r="J11" i="108"/>
  <c r="I11" i="108"/>
  <c r="U10" i="108"/>
  <c r="V10" i="108" s="1"/>
  <c r="S10" i="108"/>
  <c r="R10" i="108"/>
  <c r="J10" i="108"/>
  <c r="I10" i="108"/>
  <c r="A10" i="108"/>
  <c r="A11" i="108" s="1"/>
  <c r="A12" i="108" s="1"/>
  <c r="A13" i="108" s="1"/>
  <c r="A14" i="108" s="1"/>
  <c r="A15" i="108" s="1"/>
  <c r="A16" i="108" s="1"/>
  <c r="A17" i="108" s="1"/>
  <c r="A18" i="108" s="1"/>
  <c r="A19" i="108" s="1"/>
  <c r="A20" i="108" s="1"/>
  <c r="A21" i="108" s="1"/>
  <c r="A22" i="108" s="1"/>
  <c r="A23" i="108" s="1"/>
  <c r="A24" i="108" s="1"/>
  <c r="A25" i="108" s="1"/>
  <c r="A26" i="108" s="1"/>
  <c r="A27" i="108" s="1"/>
  <c r="A28" i="108" s="1"/>
  <c r="A29" i="108" s="1"/>
  <c r="A30" i="108" s="1"/>
  <c r="A31" i="108" s="1"/>
  <c r="A32" i="108" s="1"/>
  <c r="A33" i="108" s="1"/>
  <c r="A34" i="108" s="1"/>
  <c r="A35" i="108" s="1"/>
  <c r="A36" i="108" s="1"/>
  <c r="A37" i="108" s="1"/>
  <c r="A38" i="108" s="1"/>
  <c r="A39" i="108" s="1"/>
  <c r="A40" i="108" s="1"/>
  <c r="A41" i="108" s="1"/>
  <c r="A42" i="108" s="1"/>
  <c r="A43" i="108" s="1"/>
  <c r="A44" i="108" s="1"/>
  <c r="A45" i="108" s="1"/>
  <c r="A46" i="108" s="1"/>
  <c r="A47" i="108" s="1"/>
  <c r="A48" i="108" s="1"/>
  <c r="A49" i="108" s="1"/>
  <c r="A50" i="108" s="1"/>
  <c r="A51" i="108" s="1"/>
  <c r="A52" i="108" s="1"/>
  <c r="A53" i="108" s="1"/>
  <c r="A54" i="108" s="1"/>
  <c r="A55" i="108" s="1"/>
  <c r="A56" i="108" s="1"/>
  <c r="A57" i="108" s="1"/>
  <c r="A58" i="108" s="1"/>
  <c r="A59" i="108" s="1"/>
  <c r="V9" i="108"/>
  <c r="U9" i="108"/>
  <c r="S9" i="108"/>
  <c r="R9" i="108"/>
  <c r="J9" i="108"/>
  <c r="I9" i="108"/>
  <c r="W9" i="108" s="1"/>
  <c r="A9" i="108"/>
  <c r="U8" i="108"/>
  <c r="S8" i="108"/>
  <c r="R8" i="108"/>
  <c r="J8" i="108"/>
  <c r="I8" i="108"/>
  <c r="W48" i="108" l="1"/>
  <c r="W38" i="108"/>
  <c r="W24" i="108"/>
  <c r="W23" i="108"/>
  <c r="W21" i="108"/>
  <c r="W20" i="108"/>
  <c r="W14" i="108"/>
  <c r="R60" i="108"/>
  <c r="U60" i="108"/>
  <c r="S60" i="108"/>
  <c r="W13" i="108"/>
  <c r="W12" i="108"/>
  <c r="W10" i="108"/>
  <c r="I60" i="108"/>
  <c r="W8" i="108"/>
  <c r="W60" i="109"/>
  <c r="W60" i="110"/>
  <c r="J60" i="108"/>
  <c r="V8" i="108"/>
  <c r="V60" i="108" s="1"/>
  <c r="Q60" i="107"/>
  <c r="P60" i="107"/>
  <c r="O60" i="107"/>
  <c r="N60" i="107"/>
  <c r="M60" i="107"/>
  <c r="L60" i="107"/>
  <c r="H60" i="107"/>
  <c r="G60" i="107"/>
  <c r="E60" i="107"/>
  <c r="D60" i="107"/>
  <c r="C60" i="107"/>
  <c r="S59" i="107"/>
  <c r="R59" i="107"/>
  <c r="J59" i="107"/>
  <c r="I59" i="107"/>
  <c r="S58" i="107"/>
  <c r="R58" i="107"/>
  <c r="J58" i="107"/>
  <c r="I58" i="107"/>
  <c r="S57" i="107"/>
  <c r="R57" i="107"/>
  <c r="J57" i="107"/>
  <c r="I57" i="107"/>
  <c r="S56" i="107"/>
  <c r="R56" i="107"/>
  <c r="J56" i="107"/>
  <c r="I56" i="107"/>
  <c r="S55" i="107"/>
  <c r="R55" i="107"/>
  <c r="J55" i="107"/>
  <c r="I55" i="107"/>
  <c r="V54" i="107"/>
  <c r="U54" i="107"/>
  <c r="S54" i="107"/>
  <c r="R54" i="107"/>
  <c r="J54" i="107"/>
  <c r="I54" i="107"/>
  <c r="W54" i="107" s="1"/>
  <c r="U53" i="107"/>
  <c r="V53" i="107" s="1"/>
  <c r="S53" i="107"/>
  <c r="R53" i="107"/>
  <c r="J53" i="107"/>
  <c r="I53" i="107"/>
  <c r="W53" i="107" s="1"/>
  <c r="W52" i="107"/>
  <c r="V52" i="107"/>
  <c r="U52" i="107"/>
  <c r="S52" i="107"/>
  <c r="R52" i="107"/>
  <c r="J52" i="107"/>
  <c r="I52" i="107"/>
  <c r="W51" i="107"/>
  <c r="U51" i="107"/>
  <c r="V51" i="107" s="1"/>
  <c r="S51" i="107"/>
  <c r="R51" i="107"/>
  <c r="J51" i="107"/>
  <c r="I51" i="107"/>
  <c r="V50" i="107"/>
  <c r="U50" i="107"/>
  <c r="S50" i="107"/>
  <c r="R50" i="107"/>
  <c r="J50" i="107"/>
  <c r="I50" i="107"/>
  <c r="W50" i="107" s="1"/>
  <c r="U49" i="107"/>
  <c r="V49" i="107" s="1"/>
  <c r="S49" i="107"/>
  <c r="R49" i="107"/>
  <c r="J49" i="107"/>
  <c r="I49" i="107"/>
  <c r="W49" i="107" s="1"/>
  <c r="V48" i="107"/>
  <c r="U48" i="107"/>
  <c r="S48" i="107"/>
  <c r="R48" i="107"/>
  <c r="J48" i="107"/>
  <c r="I48" i="107"/>
  <c r="W48" i="107" s="1"/>
  <c r="U47" i="107"/>
  <c r="V47" i="107" s="1"/>
  <c r="S47" i="107"/>
  <c r="R47" i="107"/>
  <c r="J47" i="107"/>
  <c r="I47" i="107"/>
  <c r="W47" i="107" s="1"/>
  <c r="V46" i="107"/>
  <c r="U46" i="107"/>
  <c r="S46" i="107"/>
  <c r="R46" i="107"/>
  <c r="J46" i="107"/>
  <c r="I46" i="107"/>
  <c r="W46" i="107" s="1"/>
  <c r="S45" i="107"/>
  <c r="R45" i="107"/>
  <c r="J45" i="107"/>
  <c r="I45" i="107"/>
  <c r="U44" i="107"/>
  <c r="V44" i="107" s="1"/>
  <c r="S44" i="107"/>
  <c r="R44" i="107"/>
  <c r="J44" i="107"/>
  <c r="I44" i="107"/>
  <c r="W44" i="107" s="1"/>
  <c r="S43" i="107"/>
  <c r="R43" i="107"/>
  <c r="J43" i="107"/>
  <c r="I43" i="107"/>
  <c r="U42" i="107"/>
  <c r="V42" i="107" s="1"/>
  <c r="S42" i="107"/>
  <c r="R42" i="107"/>
  <c r="J42" i="107"/>
  <c r="I42" i="107"/>
  <c r="U41" i="107"/>
  <c r="V41" i="107" s="1"/>
  <c r="S41" i="107"/>
  <c r="R41" i="107"/>
  <c r="J41" i="107"/>
  <c r="I41" i="107"/>
  <c r="W41" i="107" s="1"/>
  <c r="U40" i="107"/>
  <c r="V40" i="107" s="1"/>
  <c r="S40" i="107"/>
  <c r="R40" i="107"/>
  <c r="J40" i="107"/>
  <c r="I40" i="107"/>
  <c r="W40" i="107" s="1"/>
  <c r="U39" i="107"/>
  <c r="V39" i="107" s="1"/>
  <c r="S39" i="107"/>
  <c r="R39" i="107"/>
  <c r="J39" i="107"/>
  <c r="I39" i="107"/>
  <c r="W39" i="107" s="1"/>
  <c r="U38" i="107"/>
  <c r="V38" i="107" s="1"/>
  <c r="S38" i="107"/>
  <c r="R38" i="107"/>
  <c r="J38" i="107"/>
  <c r="I38" i="107"/>
  <c r="W38" i="107" s="1"/>
  <c r="U37" i="107"/>
  <c r="V37" i="107" s="1"/>
  <c r="S37" i="107"/>
  <c r="R37" i="107"/>
  <c r="J37" i="107"/>
  <c r="I37" i="107"/>
  <c r="W37" i="107" s="1"/>
  <c r="U36" i="107"/>
  <c r="V36" i="107" s="1"/>
  <c r="S36" i="107"/>
  <c r="R36" i="107"/>
  <c r="J36" i="107"/>
  <c r="I36" i="107"/>
  <c r="W36" i="107" s="1"/>
  <c r="U35" i="107"/>
  <c r="V35" i="107" s="1"/>
  <c r="S35" i="107"/>
  <c r="R35" i="107"/>
  <c r="J35" i="107"/>
  <c r="I35" i="107"/>
  <c r="U34" i="107"/>
  <c r="V34" i="107" s="1"/>
  <c r="S34" i="107"/>
  <c r="R34" i="107"/>
  <c r="J34" i="107"/>
  <c r="I34" i="107"/>
  <c r="W34" i="107" s="1"/>
  <c r="U33" i="107"/>
  <c r="V33" i="107" s="1"/>
  <c r="S33" i="107"/>
  <c r="R33" i="107"/>
  <c r="J33" i="107"/>
  <c r="I33" i="107"/>
  <c r="W33" i="107" s="1"/>
  <c r="U32" i="107"/>
  <c r="V32" i="107" s="1"/>
  <c r="S32" i="107"/>
  <c r="R32" i="107"/>
  <c r="J32" i="107"/>
  <c r="I32" i="107"/>
  <c r="W32" i="107" s="1"/>
  <c r="U31" i="107"/>
  <c r="V31" i="107" s="1"/>
  <c r="S31" i="107"/>
  <c r="R31" i="107"/>
  <c r="J31" i="107"/>
  <c r="I31" i="107"/>
  <c r="W31" i="107" s="1"/>
  <c r="U30" i="107"/>
  <c r="V30" i="107" s="1"/>
  <c r="S30" i="107"/>
  <c r="R30" i="107"/>
  <c r="J30" i="107"/>
  <c r="I30" i="107"/>
  <c r="W30" i="107" s="1"/>
  <c r="U29" i="107"/>
  <c r="V29" i="107" s="1"/>
  <c r="S29" i="107"/>
  <c r="R29" i="107"/>
  <c r="J29" i="107"/>
  <c r="I29" i="107"/>
  <c r="W29" i="107" s="1"/>
  <c r="U28" i="107"/>
  <c r="V28" i="107" s="1"/>
  <c r="S28" i="107"/>
  <c r="R28" i="107"/>
  <c r="J28" i="107"/>
  <c r="I28" i="107"/>
  <c r="W28" i="107" s="1"/>
  <c r="U27" i="107"/>
  <c r="V27" i="107" s="1"/>
  <c r="S27" i="107"/>
  <c r="R27" i="107"/>
  <c r="J27" i="107"/>
  <c r="I27" i="107"/>
  <c r="W27" i="107" s="1"/>
  <c r="BE26" i="107"/>
  <c r="U26" i="107"/>
  <c r="V26" i="107" s="1"/>
  <c r="S26" i="107"/>
  <c r="R26" i="107"/>
  <c r="J26" i="107"/>
  <c r="I26" i="107"/>
  <c r="U25" i="107"/>
  <c r="V25" i="107" s="1"/>
  <c r="S25" i="107"/>
  <c r="R25" i="107"/>
  <c r="J25" i="107"/>
  <c r="I25" i="107"/>
  <c r="U24" i="107"/>
  <c r="V24" i="107" s="1"/>
  <c r="S24" i="107"/>
  <c r="R24" i="107"/>
  <c r="J24" i="107"/>
  <c r="I24" i="107"/>
  <c r="U23" i="107"/>
  <c r="V23" i="107" s="1"/>
  <c r="S23" i="107"/>
  <c r="R23" i="107"/>
  <c r="J23" i="107"/>
  <c r="W23" i="107" s="1"/>
  <c r="I23" i="107"/>
  <c r="U22" i="107"/>
  <c r="V22" i="107" s="1"/>
  <c r="S22" i="107"/>
  <c r="R22" i="107"/>
  <c r="J22" i="107"/>
  <c r="I22" i="107"/>
  <c r="W22" i="107" s="1"/>
  <c r="U21" i="107"/>
  <c r="V21" i="107" s="1"/>
  <c r="S21" i="107"/>
  <c r="R21" i="107"/>
  <c r="J21" i="107"/>
  <c r="I21" i="107"/>
  <c r="U20" i="107"/>
  <c r="V20" i="107" s="1"/>
  <c r="S20" i="107"/>
  <c r="R20" i="107"/>
  <c r="J20" i="107"/>
  <c r="I20" i="107"/>
  <c r="U19" i="107"/>
  <c r="V19" i="107" s="1"/>
  <c r="S19" i="107"/>
  <c r="R19" i="107"/>
  <c r="J19" i="107"/>
  <c r="W19" i="107" s="1"/>
  <c r="I19" i="107"/>
  <c r="U18" i="107"/>
  <c r="V18" i="107" s="1"/>
  <c r="S18" i="107"/>
  <c r="R18" i="107"/>
  <c r="J18" i="107"/>
  <c r="I18" i="107"/>
  <c r="W18" i="107" s="1"/>
  <c r="U17" i="107"/>
  <c r="V17" i="107" s="1"/>
  <c r="S17" i="107"/>
  <c r="R17" i="107"/>
  <c r="J17" i="107"/>
  <c r="I17" i="107"/>
  <c r="U16" i="107"/>
  <c r="V16" i="107" s="1"/>
  <c r="S16" i="107"/>
  <c r="R16" i="107"/>
  <c r="J16" i="107"/>
  <c r="I16" i="107"/>
  <c r="W16" i="107" s="1"/>
  <c r="U15" i="107"/>
  <c r="V15" i="107" s="1"/>
  <c r="S15" i="107"/>
  <c r="R15" i="107"/>
  <c r="J15" i="107"/>
  <c r="I15" i="107"/>
  <c r="U14" i="107"/>
  <c r="V14" i="107" s="1"/>
  <c r="S14" i="107"/>
  <c r="R14" i="107"/>
  <c r="J14" i="107"/>
  <c r="I14" i="107"/>
  <c r="U13" i="107"/>
  <c r="V13" i="107" s="1"/>
  <c r="S13" i="107"/>
  <c r="R13" i="107"/>
  <c r="J13" i="107"/>
  <c r="I13" i="107"/>
  <c r="U12" i="107"/>
  <c r="V12" i="107" s="1"/>
  <c r="S12" i="107"/>
  <c r="R12" i="107"/>
  <c r="J12" i="107"/>
  <c r="I12" i="107"/>
  <c r="W12" i="107" s="1"/>
  <c r="U11" i="107"/>
  <c r="V11" i="107" s="1"/>
  <c r="S11" i="107"/>
  <c r="R11" i="107"/>
  <c r="J11" i="107"/>
  <c r="W11" i="107" s="1"/>
  <c r="I11" i="107"/>
  <c r="U10" i="107"/>
  <c r="V10" i="107" s="1"/>
  <c r="S10" i="107"/>
  <c r="R10" i="107"/>
  <c r="J10" i="107"/>
  <c r="I10" i="107"/>
  <c r="W10" i="107" s="1"/>
  <c r="U9" i="107"/>
  <c r="S9" i="107"/>
  <c r="R9" i="107"/>
  <c r="J9" i="107"/>
  <c r="I9" i="107"/>
  <c r="A9" i="107"/>
  <c r="A10" i="107" s="1"/>
  <c r="A11" i="107" s="1"/>
  <c r="A12" i="107" s="1"/>
  <c r="A13" i="107" s="1"/>
  <c r="A14" i="107" s="1"/>
  <c r="A15" i="107" s="1"/>
  <c r="A16" i="107" s="1"/>
  <c r="A17" i="107" s="1"/>
  <c r="A18" i="107" s="1"/>
  <c r="A19" i="107" s="1"/>
  <c r="A20" i="107" s="1"/>
  <c r="A21" i="107" s="1"/>
  <c r="A22" i="107" s="1"/>
  <c r="A23" i="107" s="1"/>
  <c r="A24" i="107" s="1"/>
  <c r="A25" i="107" s="1"/>
  <c r="A26" i="107" s="1"/>
  <c r="A27" i="107" s="1"/>
  <c r="A28" i="107" s="1"/>
  <c r="A29" i="107" s="1"/>
  <c r="A30" i="107" s="1"/>
  <c r="A31" i="107" s="1"/>
  <c r="A32" i="107" s="1"/>
  <c r="A33" i="107" s="1"/>
  <c r="A34" i="107" s="1"/>
  <c r="A35" i="107" s="1"/>
  <c r="A36" i="107" s="1"/>
  <c r="A37" i="107" s="1"/>
  <c r="A38" i="107" s="1"/>
  <c r="A39" i="107" s="1"/>
  <c r="A40" i="107" s="1"/>
  <c r="A41" i="107" s="1"/>
  <c r="A42" i="107" s="1"/>
  <c r="A43" i="107" s="1"/>
  <c r="A44" i="107" s="1"/>
  <c r="A45" i="107" s="1"/>
  <c r="A46" i="107" s="1"/>
  <c r="A47" i="107" s="1"/>
  <c r="A48" i="107" s="1"/>
  <c r="A49" i="107" s="1"/>
  <c r="A50" i="107" s="1"/>
  <c r="A51" i="107" s="1"/>
  <c r="A52" i="107" s="1"/>
  <c r="A53" i="107" s="1"/>
  <c r="A54" i="107" s="1"/>
  <c r="A55" i="107" s="1"/>
  <c r="A56" i="107" s="1"/>
  <c r="A57" i="107" s="1"/>
  <c r="A58" i="107" s="1"/>
  <c r="A59" i="107" s="1"/>
  <c r="U8" i="107"/>
  <c r="V8" i="107" s="1"/>
  <c r="S8" i="107"/>
  <c r="R8" i="107"/>
  <c r="J8" i="107"/>
  <c r="I8" i="107"/>
  <c r="Q60" i="106"/>
  <c r="P60" i="106"/>
  <c r="O60" i="106"/>
  <c r="N60" i="106"/>
  <c r="M60" i="106"/>
  <c r="L60" i="106"/>
  <c r="H60" i="106"/>
  <c r="G60" i="106"/>
  <c r="E60" i="106"/>
  <c r="D60" i="106"/>
  <c r="C60" i="106"/>
  <c r="S59" i="106"/>
  <c r="R59" i="106"/>
  <c r="J59" i="106"/>
  <c r="I59" i="106"/>
  <c r="S58" i="106"/>
  <c r="R58" i="106"/>
  <c r="J58" i="106"/>
  <c r="I58" i="106"/>
  <c r="S57" i="106"/>
  <c r="R57" i="106"/>
  <c r="J57" i="106"/>
  <c r="I57" i="106"/>
  <c r="S56" i="106"/>
  <c r="R56" i="106"/>
  <c r="J56" i="106"/>
  <c r="I56" i="106"/>
  <c r="S55" i="106"/>
  <c r="R55" i="106"/>
  <c r="J55" i="106"/>
  <c r="I55" i="106"/>
  <c r="U54" i="106"/>
  <c r="V54" i="106" s="1"/>
  <c r="S54" i="106"/>
  <c r="R54" i="106"/>
  <c r="J54" i="106"/>
  <c r="I54" i="106"/>
  <c r="W54" i="106" s="1"/>
  <c r="W53" i="106"/>
  <c r="U53" i="106"/>
  <c r="V53" i="106" s="1"/>
  <c r="S53" i="106"/>
  <c r="R53" i="106"/>
  <c r="J53" i="106"/>
  <c r="I53" i="106"/>
  <c r="U52" i="106"/>
  <c r="V52" i="106" s="1"/>
  <c r="S52" i="106"/>
  <c r="R52" i="106"/>
  <c r="J52" i="106"/>
  <c r="I52" i="106"/>
  <c r="U51" i="106"/>
  <c r="V51" i="106" s="1"/>
  <c r="S51" i="106"/>
  <c r="R51" i="106"/>
  <c r="J51" i="106"/>
  <c r="I51" i="106"/>
  <c r="W51" i="106" s="1"/>
  <c r="U50" i="106"/>
  <c r="V50" i="106" s="1"/>
  <c r="S50" i="106"/>
  <c r="R50" i="106"/>
  <c r="J50" i="106"/>
  <c r="I50" i="106"/>
  <c r="W50" i="106" s="1"/>
  <c r="U49" i="106"/>
  <c r="V49" i="106" s="1"/>
  <c r="S49" i="106"/>
  <c r="R49" i="106"/>
  <c r="J49" i="106"/>
  <c r="I49" i="106"/>
  <c r="W49" i="106" s="1"/>
  <c r="U48" i="106"/>
  <c r="V48" i="106" s="1"/>
  <c r="S48" i="106"/>
  <c r="R48" i="106"/>
  <c r="J48" i="106"/>
  <c r="I48" i="106"/>
  <c r="U47" i="106"/>
  <c r="V47" i="106" s="1"/>
  <c r="S47" i="106"/>
  <c r="R47" i="106"/>
  <c r="J47" i="106"/>
  <c r="I47" i="106"/>
  <c r="W47" i="106" s="1"/>
  <c r="U46" i="106"/>
  <c r="V46" i="106" s="1"/>
  <c r="S46" i="106"/>
  <c r="R46" i="106"/>
  <c r="J46" i="106"/>
  <c r="I46" i="106"/>
  <c r="W46" i="106" s="1"/>
  <c r="S45" i="106"/>
  <c r="R45" i="106"/>
  <c r="J45" i="106"/>
  <c r="I45" i="106"/>
  <c r="U44" i="106"/>
  <c r="V44" i="106" s="1"/>
  <c r="S44" i="106"/>
  <c r="R44" i="106"/>
  <c r="J44" i="106"/>
  <c r="I44" i="106"/>
  <c r="S43" i="106"/>
  <c r="R43" i="106"/>
  <c r="J43" i="106"/>
  <c r="I43" i="106"/>
  <c r="U42" i="106"/>
  <c r="V42" i="106" s="1"/>
  <c r="S42" i="106"/>
  <c r="R42" i="106"/>
  <c r="J42" i="106"/>
  <c r="I42" i="106"/>
  <c r="U41" i="106"/>
  <c r="V41" i="106" s="1"/>
  <c r="S41" i="106"/>
  <c r="R41" i="106"/>
  <c r="J41" i="106"/>
  <c r="I41" i="106"/>
  <c r="U40" i="106"/>
  <c r="V40" i="106" s="1"/>
  <c r="S40" i="106"/>
  <c r="R40" i="106"/>
  <c r="J40" i="106"/>
  <c r="I40" i="106"/>
  <c r="U39" i="106"/>
  <c r="V39" i="106" s="1"/>
  <c r="S39" i="106"/>
  <c r="R39" i="106"/>
  <c r="J39" i="106"/>
  <c r="I39" i="106"/>
  <c r="U38" i="106"/>
  <c r="V38" i="106" s="1"/>
  <c r="S38" i="106"/>
  <c r="R38" i="106"/>
  <c r="J38" i="106"/>
  <c r="I38" i="106"/>
  <c r="U37" i="106"/>
  <c r="V37" i="106" s="1"/>
  <c r="S37" i="106"/>
  <c r="R37" i="106"/>
  <c r="J37" i="106"/>
  <c r="I37" i="106"/>
  <c r="W37" i="106" s="1"/>
  <c r="U36" i="106"/>
  <c r="V36" i="106" s="1"/>
  <c r="S36" i="106"/>
  <c r="R36" i="106"/>
  <c r="J36" i="106"/>
  <c r="I36" i="106"/>
  <c r="W36" i="106" s="1"/>
  <c r="U35" i="106"/>
  <c r="V35" i="106" s="1"/>
  <c r="S35" i="106"/>
  <c r="R35" i="106"/>
  <c r="J35" i="106"/>
  <c r="I35" i="106"/>
  <c r="U34" i="106"/>
  <c r="V34" i="106" s="1"/>
  <c r="S34" i="106"/>
  <c r="R34" i="106"/>
  <c r="J34" i="106"/>
  <c r="I34" i="106"/>
  <c r="U33" i="106"/>
  <c r="V33" i="106" s="1"/>
  <c r="S33" i="106"/>
  <c r="R33" i="106"/>
  <c r="J33" i="106"/>
  <c r="I33" i="106"/>
  <c r="W33" i="106" s="1"/>
  <c r="U32" i="106"/>
  <c r="V32" i="106" s="1"/>
  <c r="S32" i="106"/>
  <c r="R32" i="106"/>
  <c r="J32" i="106"/>
  <c r="I32" i="106"/>
  <c r="W32" i="106" s="1"/>
  <c r="U31" i="106"/>
  <c r="V31" i="106" s="1"/>
  <c r="S31" i="106"/>
  <c r="R31" i="106"/>
  <c r="J31" i="106"/>
  <c r="I31" i="106"/>
  <c r="W31" i="106" s="1"/>
  <c r="U30" i="106"/>
  <c r="V30" i="106" s="1"/>
  <c r="S30" i="106"/>
  <c r="R30" i="106"/>
  <c r="J30" i="106"/>
  <c r="I30" i="106"/>
  <c r="W30" i="106" s="1"/>
  <c r="U29" i="106"/>
  <c r="V29" i="106" s="1"/>
  <c r="S29" i="106"/>
  <c r="R29" i="106"/>
  <c r="J29" i="106"/>
  <c r="I29" i="106"/>
  <c r="W29" i="106" s="1"/>
  <c r="U28" i="106"/>
  <c r="V28" i="106" s="1"/>
  <c r="S28" i="106"/>
  <c r="R28" i="106"/>
  <c r="J28" i="106"/>
  <c r="I28" i="106"/>
  <c r="W28" i="106" s="1"/>
  <c r="U27" i="106"/>
  <c r="V27" i="106" s="1"/>
  <c r="S27" i="106"/>
  <c r="R27" i="106"/>
  <c r="J27" i="106"/>
  <c r="I27" i="106"/>
  <c r="BE26" i="106"/>
  <c r="U26" i="106"/>
  <c r="V26" i="106" s="1"/>
  <c r="S26" i="106"/>
  <c r="R26" i="106"/>
  <c r="J26" i="106"/>
  <c r="I26" i="106"/>
  <c r="U25" i="106"/>
  <c r="V25" i="106" s="1"/>
  <c r="S25" i="106"/>
  <c r="R25" i="106"/>
  <c r="J25" i="106"/>
  <c r="I25" i="106"/>
  <c r="U24" i="106"/>
  <c r="V24" i="106" s="1"/>
  <c r="S24" i="106"/>
  <c r="R24" i="106"/>
  <c r="J24" i="106"/>
  <c r="I24" i="106"/>
  <c r="U23" i="106"/>
  <c r="V23" i="106" s="1"/>
  <c r="S23" i="106"/>
  <c r="R23" i="106"/>
  <c r="J23" i="106"/>
  <c r="I23" i="106"/>
  <c r="U22" i="106"/>
  <c r="V22" i="106" s="1"/>
  <c r="S22" i="106"/>
  <c r="R22" i="106"/>
  <c r="J22" i="106"/>
  <c r="I22" i="106"/>
  <c r="W22" i="106" s="1"/>
  <c r="U21" i="106"/>
  <c r="V21" i="106" s="1"/>
  <c r="S21" i="106"/>
  <c r="R21" i="106"/>
  <c r="J21" i="106"/>
  <c r="I21" i="106"/>
  <c r="U20" i="106"/>
  <c r="V20" i="106" s="1"/>
  <c r="S20" i="106"/>
  <c r="R20" i="106"/>
  <c r="J20" i="106"/>
  <c r="I20" i="106"/>
  <c r="U19" i="106"/>
  <c r="V19" i="106" s="1"/>
  <c r="S19" i="106"/>
  <c r="R19" i="106"/>
  <c r="J19" i="106"/>
  <c r="I19" i="106"/>
  <c r="U18" i="106"/>
  <c r="V18" i="106" s="1"/>
  <c r="S18" i="106"/>
  <c r="R18" i="106"/>
  <c r="J18" i="106"/>
  <c r="I18" i="106"/>
  <c r="W18" i="106" s="1"/>
  <c r="U17" i="106"/>
  <c r="V17" i="106" s="1"/>
  <c r="S17" i="106"/>
  <c r="R17" i="106"/>
  <c r="J17" i="106"/>
  <c r="I17" i="106"/>
  <c r="U16" i="106"/>
  <c r="V16" i="106" s="1"/>
  <c r="S16" i="106"/>
  <c r="R16" i="106"/>
  <c r="J16" i="106"/>
  <c r="I16" i="106"/>
  <c r="U15" i="106"/>
  <c r="V15" i="106" s="1"/>
  <c r="S15" i="106"/>
  <c r="R15" i="106"/>
  <c r="J15" i="106"/>
  <c r="I15" i="106"/>
  <c r="U14" i="106"/>
  <c r="V14" i="106" s="1"/>
  <c r="S14" i="106"/>
  <c r="R14" i="106"/>
  <c r="J14" i="106"/>
  <c r="I14" i="106"/>
  <c r="U13" i="106"/>
  <c r="V13" i="106" s="1"/>
  <c r="S13" i="106"/>
  <c r="R13" i="106"/>
  <c r="J13" i="106"/>
  <c r="I13" i="106"/>
  <c r="U12" i="106"/>
  <c r="V12" i="106" s="1"/>
  <c r="S12" i="106"/>
  <c r="R12" i="106"/>
  <c r="J12" i="106"/>
  <c r="I12" i="106"/>
  <c r="W12" i="106" s="1"/>
  <c r="U11" i="106"/>
  <c r="V11" i="106" s="1"/>
  <c r="S11" i="106"/>
  <c r="R11" i="106"/>
  <c r="J11" i="106"/>
  <c r="I11" i="106"/>
  <c r="U10" i="106"/>
  <c r="V10" i="106" s="1"/>
  <c r="S10" i="106"/>
  <c r="R10" i="106"/>
  <c r="J10" i="106"/>
  <c r="I10" i="106"/>
  <c r="W10" i="106" s="1"/>
  <c r="A10" i="106"/>
  <c r="A11" i="106" s="1"/>
  <c r="A12" i="106" s="1"/>
  <c r="A13" i="106" s="1"/>
  <c r="A14" i="106" s="1"/>
  <c r="A15" i="106" s="1"/>
  <c r="A16" i="106" s="1"/>
  <c r="A17" i="106" s="1"/>
  <c r="A18" i="106" s="1"/>
  <c r="A19" i="106" s="1"/>
  <c r="A20" i="106" s="1"/>
  <c r="A21" i="106" s="1"/>
  <c r="A22" i="106" s="1"/>
  <c r="A23" i="106" s="1"/>
  <c r="A24" i="106" s="1"/>
  <c r="A25" i="106" s="1"/>
  <c r="A26" i="106" s="1"/>
  <c r="A27" i="106" s="1"/>
  <c r="A28" i="106" s="1"/>
  <c r="A29" i="106" s="1"/>
  <c r="A30" i="106" s="1"/>
  <c r="A31" i="106" s="1"/>
  <c r="A32" i="106" s="1"/>
  <c r="A33" i="106" s="1"/>
  <c r="A34" i="106" s="1"/>
  <c r="A35" i="106" s="1"/>
  <c r="A36" i="106" s="1"/>
  <c r="A37" i="106" s="1"/>
  <c r="A38" i="106" s="1"/>
  <c r="A39" i="106" s="1"/>
  <c r="A40" i="106" s="1"/>
  <c r="A41" i="106" s="1"/>
  <c r="A42" i="106" s="1"/>
  <c r="A43" i="106" s="1"/>
  <c r="A44" i="106" s="1"/>
  <c r="A45" i="106" s="1"/>
  <c r="A46" i="106" s="1"/>
  <c r="A47" i="106" s="1"/>
  <c r="A48" i="106" s="1"/>
  <c r="A49" i="106" s="1"/>
  <c r="A50" i="106" s="1"/>
  <c r="A51" i="106" s="1"/>
  <c r="A52" i="106" s="1"/>
  <c r="A53" i="106" s="1"/>
  <c r="A54" i="106" s="1"/>
  <c r="A55" i="106" s="1"/>
  <c r="A56" i="106" s="1"/>
  <c r="A57" i="106" s="1"/>
  <c r="A58" i="106" s="1"/>
  <c r="A59" i="106" s="1"/>
  <c r="U9" i="106"/>
  <c r="S9" i="106"/>
  <c r="R9" i="106"/>
  <c r="J9" i="106"/>
  <c r="A9" i="106"/>
  <c r="U8" i="106"/>
  <c r="V8" i="106" s="1"/>
  <c r="S8" i="106"/>
  <c r="R8" i="106"/>
  <c r="J8" i="106"/>
  <c r="W60" i="108" l="1"/>
  <c r="W42" i="107"/>
  <c r="W35" i="107"/>
  <c r="W26" i="107"/>
  <c r="W25" i="107"/>
  <c r="W24" i="107"/>
  <c r="W21" i="107"/>
  <c r="W20" i="107"/>
  <c r="W17" i="107"/>
  <c r="W15" i="107"/>
  <c r="W14" i="107"/>
  <c r="S60" i="107"/>
  <c r="W13" i="107"/>
  <c r="J60" i="107"/>
  <c r="U60" i="107"/>
  <c r="R60" i="107"/>
  <c r="W9" i="107"/>
  <c r="W8" i="107"/>
  <c r="W48" i="106"/>
  <c r="W42" i="106"/>
  <c r="W41" i="106"/>
  <c r="W40" i="106"/>
  <c r="W26" i="106"/>
  <c r="W15" i="106"/>
  <c r="W14" i="106"/>
  <c r="W20" i="106"/>
  <c r="W23" i="106"/>
  <c r="W39" i="106"/>
  <c r="W11" i="106"/>
  <c r="W27" i="106"/>
  <c r="W52" i="106"/>
  <c r="W17" i="106"/>
  <c r="W34" i="106"/>
  <c r="W16" i="106"/>
  <c r="W19" i="106"/>
  <c r="W35" i="106"/>
  <c r="W44" i="106"/>
  <c r="W38" i="106"/>
  <c r="W25" i="106"/>
  <c r="W24" i="106"/>
  <c r="W21" i="106"/>
  <c r="R60" i="106"/>
  <c r="U60" i="106"/>
  <c r="S60" i="106"/>
  <c r="J60" i="106"/>
  <c r="W13" i="106"/>
  <c r="W9" i="106"/>
  <c r="W8" i="106"/>
  <c r="V9" i="107"/>
  <c r="V60" i="107" s="1"/>
  <c r="I60" i="107"/>
  <c r="V60" i="106"/>
  <c r="V9" i="106"/>
  <c r="I60" i="106"/>
  <c r="W60" i="107" l="1"/>
  <c r="W60" i="106"/>
  <c r="BE26" i="89" l="1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387BDF1-5FA4-45C1-94DF-EFC576E50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051C4C4-795B-491C-BBDA-1C562E0D3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9F84387-98A1-4A60-A18C-F1306BE9E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87743D1-D5D0-4C4F-9684-970554587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BBCB3A3-AFF6-46E3-A1E0-338068DBBB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1184CB8-68F5-4E30-9BDA-A6C0AF698C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0CCB658-4B40-424D-993B-BA6D18C73D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801EAE7-426D-4BD5-ACF4-572F8D4A21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8A1E9F6-8428-485B-BF3F-7B9F4740C2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572C990-138E-482A-9A14-9D95621BD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C65034D-65A6-40B2-8A26-F4A4D0C512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6E0B6C5-E243-4A03-895E-B92ABAA550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C18E23-3D77-4DC5-A5D8-90BF6624E9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3B7FD2E-2D80-4D38-8B0D-3EC8E7DA74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63857AD-A53C-4E51-A7EC-D51CF6CBEC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296E700-2895-43F6-A7EC-7FFC6A643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3BC4157-29E2-4BC6-B5AF-FE7050537A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3789B3B-32F5-4905-B9F3-CA215E56C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DE590A9-6253-4B5A-A435-6581552D6E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668483D-FB32-496E-AEAE-ACCD96B2B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CF7BD8A-ECC2-4AA6-84C0-1944969068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E5B42987-0BA2-46F2-9009-862E9BCA4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1A262CE-D0D2-485D-881E-F84A56C697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30F6824-A8CB-44BF-B3FC-74F27362BE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E12884-8694-4FEE-B6F4-808EF81222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6EE5968-EF55-4FD1-A0F0-F0B1FD638F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554FF69-0758-4A33-8E53-F7B7EB41D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69EC2D9-C41E-44A6-AD04-D92001559F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4593FE7-658D-47BC-8919-6739FDB27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E001D5D-F15A-495C-9CA5-42A5AACEC9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<sst xmlns="http://schemas.openxmlformats.org/spreadsheetml/2006/main" count="1166" uniqueCount="82">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</sst>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2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4"/>
      <c r="Q1" s="205"/>
      <c r="R1" s="205"/>
      <c r="S1" s="205"/>
      <c r="T1" s="205"/>
      <c r="U1" s="205"/>
      <c r="V1" s="205"/>
      <c r="W1" s="205"/>
      <c r="X1" s="20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7" t="s">
        <v>74</v>
      </c>
      <c r="C4" s="208" t="s">
        <v>3</v>
      </c>
      <c r="D4" s="209" t="s">
        <v>75</v>
      </c>
      <c r="E4" s="210" t="s">
        <v>4</v>
      </c>
      <c r="F4" s="211"/>
      <c r="G4" s="212" t="s">
        <v>5</v>
      </c>
      <c r="H4" s="214" t="s">
        <v>75</v>
      </c>
      <c r="I4" s="216" t="s">
        <v>6</v>
      </c>
      <c r="J4" s="214" t="s">
        <v>75</v>
      </c>
      <c r="L4" s="218" t="s">
        <v>7</v>
      </c>
      <c r="M4" s="219"/>
      <c r="N4" s="219"/>
      <c r="O4" s="219"/>
      <c r="P4" s="219"/>
      <c r="Q4" s="219"/>
      <c r="R4" s="219"/>
      <c r="S4" s="219"/>
      <c r="T4" s="219"/>
      <c r="U4" s="219"/>
      <c r="V4" s="220"/>
      <c r="W4" s="219"/>
      <c r="X4" s="221"/>
    </row>
    <row r="5" spans="1:60" s="3" customFormat="1" ht="57" thickBot="1" x14ac:dyDescent="0.3">
      <c r="A5" s="49"/>
      <c r="B5" s="207"/>
      <c r="C5" s="208"/>
      <c r="D5" s="209"/>
      <c r="E5" s="48" t="s">
        <v>8</v>
      </c>
      <c r="F5" s="106" t="s">
        <v>9</v>
      </c>
      <c r="G5" s="213"/>
      <c r="H5" s="215"/>
      <c r="I5" s="217"/>
      <c r="J5" s="21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0F35F-7B2A-4713-8B09-23FADD968917}">
  <sheetPr>
    <pageSetUpPr fitToPage="1"/>
  </sheetPr>
  <dimension ref="A1:BH90"/>
  <sheetViews>
    <sheetView zoomScale="85" zoomScaleNormal="85" zoomScaleSheetLayoutView="85" zoomScalePageLayoutView="80" workbookViewId="0">
      <selection activeCell="C58" sqref="C5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4">
        <v>46113</v>
      </c>
      <c r="Q1" s="205"/>
      <c r="R1" s="205"/>
      <c r="S1" s="205"/>
      <c r="T1" s="205"/>
      <c r="U1" s="205"/>
      <c r="V1" s="205"/>
      <c r="W1" s="205"/>
      <c r="X1" s="20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7" t="s">
        <v>74</v>
      </c>
      <c r="C4" s="208" t="s">
        <v>3</v>
      </c>
      <c r="D4" s="209" t="s">
        <v>75</v>
      </c>
      <c r="E4" s="210" t="s">
        <v>4</v>
      </c>
      <c r="F4" s="211"/>
      <c r="G4" s="212" t="s">
        <v>5</v>
      </c>
      <c r="H4" s="214" t="s">
        <v>75</v>
      </c>
      <c r="I4" s="216" t="s">
        <v>6</v>
      </c>
      <c r="J4" s="214" t="s">
        <v>75</v>
      </c>
      <c r="L4" s="218" t="s">
        <v>7</v>
      </c>
      <c r="M4" s="219"/>
      <c r="N4" s="219"/>
      <c r="O4" s="219"/>
      <c r="P4" s="219"/>
      <c r="Q4" s="219"/>
      <c r="R4" s="219"/>
      <c r="S4" s="219"/>
      <c r="T4" s="219"/>
      <c r="U4" s="219"/>
      <c r="V4" s="220"/>
      <c r="W4" s="219"/>
      <c r="X4" s="221"/>
    </row>
    <row r="5" spans="1:60" s="3" customFormat="1" ht="57" thickBot="1" x14ac:dyDescent="0.3">
      <c r="A5" s="49"/>
      <c r="B5" s="207"/>
      <c r="C5" s="208"/>
      <c r="D5" s="209"/>
      <c r="E5" s="48" t="s">
        <v>8</v>
      </c>
      <c r="F5" s="183" t="s">
        <v>9</v>
      </c>
      <c r="G5" s="213"/>
      <c r="H5" s="215"/>
      <c r="I5" s="217"/>
      <c r="J5" s="21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56</v>
      </c>
      <c r="D8" s="111">
        <v>21</v>
      </c>
      <c r="E8" s="112"/>
      <c r="F8" s="112"/>
      <c r="G8" s="76">
        <v>1</v>
      </c>
      <c r="H8" s="73"/>
      <c r="I8" s="73">
        <f>C8+E8-G8</f>
        <v>55</v>
      </c>
      <c r="J8" s="77">
        <f t="shared" ref="J8:J12" si="0">D8-H8</f>
        <v>21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1341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/>
      <c r="H9" s="79"/>
      <c r="I9" s="78">
        <f>C9+E9-G9</f>
        <v>106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116</v>
      </c>
      <c r="D10" s="111"/>
      <c r="E10" s="112"/>
      <c r="F10" s="112"/>
      <c r="G10" s="76"/>
      <c r="H10" s="73"/>
      <c r="I10" s="73">
        <f t="shared" ref="I10:J59" si="4">C10-G10</f>
        <v>116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2784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14</v>
      </c>
      <c r="D11" s="111"/>
      <c r="E11" s="112"/>
      <c r="F11" s="112"/>
      <c r="G11" s="76"/>
      <c r="H11" s="73"/>
      <c r="I11" s="73">
        <f t="shared" si="4"/>
        <v>14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336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6</v>
      </c>
      <c r="D12" s="111"/>
      <c r="E12" s="112"/>
      <c r="F12" s="112"/>
      <c r="G12" s="76"/>
      <c r="H12" s="73"/>
      <c r="I12" s="73">
        <f t="shared" si="4"/>
        <v>6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144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3839</v>
      </c>
      <c r="D13" s="114">
        <v>21</v>
      </c>
      <c r="E13" s="115"/>
      <c r="F13" s="115"/>
      <c r="G13" s="78">
        <v>35</v>
      </c>
      <c r="H13" s="79">
        <v>30</v>
      </c>
      <c r="I13" s="80">
        <f t="shared" si="4"/>
        <v>3804</v>
      </c>
      <c r="J13" s="94">
        <f>D13-H13</f>
        <v>-9</v>
      </c>
      <c r="K13" s="53"/>
      <c r="L13" s="121">
        <v>8</v>
      </c>
      <c r="M13" s="121">
        <v>4</v>
      </c>
      <c r="N13" s="121">
        <v>6</v>
      </c>
      <c r="O13" s="121">
        <v>4</v>
      </c>
      <c r="P13" s="121">
        <v>21</v>
      </c>
      <c r="Q13" s="122">
        <v>22</v>
      </c>
      <c r="R13" s="97">
        <f>L13+N13+P13</f>
        <v>35</v>
      </c>
      <c r="S13" s="125">
        <f>M13+O13+Q13</f>
        <v>30</v>
      </c>
      <c r="T13" s="53"/>
      <c r="U13" s="131">
        <f>L13*24+N13*24+P13*24</f>
        <v>840</v>
      </c>
      <c r="V13" s="135">
        <f t="shared" si="6"/>
        <v>35</v>
      </c>
      <c r="W13" s="133">
        <f>I13*24+J13</f>
        <v>91287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41</v>
      </c>
      <c r="D26" s="111">
        <v>23</v>
      </c>
      <c r="E26" s="112"/>
      <c r="F26" s="112"/>
      <c r="G26" s="76"/>
      <c r="H26" s="73"/>
      <c r="I26" s="73">
        <f t="shared" si="4"/>
        <v>41</v>
      </c>
      <c r="J26" s="77">
        <f t="shared" si="4"/>
        <v>23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1007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7</v>
      </c>
      <c r="D27" s="111"/>
      <c r="E27" s="112"/>
      <c r="F27" s="112"/>
      <c r="G27" s="76">
        <v>6</v>
      </c>
      <c r="H27" s="73">
        <v>12</v>
      </c>
      <c r="I27" s="73">
        <f t="shared" si="4"/>
        <v>1</v>
      </c>
      <c r="J27" s="77">
        <f t="shared" si="4"/>
        <v>-12</v>
      </c>
      <c r="K27" s="42"/>
      <c r="L27" s="112">
        <v>1</v>
      </c>
      <c r="M27" s="112"/>
      <c r="N27" s="112">
        <v>3</v>
      </c>
      <c r="O27" s="112">
        <v>12</v>
      </c>
      <c r="P27" s="112">
        <v>2</v>
      </c>
      <c r="Q27" s="120"/>
      <c r="R27" s="86">
        <f t="shared" si="7"/>
        <v>6</v>
      </c>
      <c r="S27" s="124">
        <f t="shared" si="7"/>
        <v>12</v>
      </c>
      <c r="T27" s="42"/>
      <c r="U27" s="107">
        <f t="shared" si="5"/>
        <v>144</v>
      </c>
      <c r="V27" s="130">
        <f t="shared" si="6"/>
        <v>6</v>
      </c>
      <c r="W27" s="129">
        <f t="shared" si="8"/>
        <v>12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57</v>
      </c>
      <c r="D29" s="111">
        <v>12</v>
      </c>
      <c r="E29" s="112"/>
      <c r="F29" s="112"/>
      <c r="G29" s="76">
        <v>7</v>
      </c>
      <c r="H29" s="73">
        <v>12</v>
      </c>
      <c r="I29" s="73">
        <f t="shared" si="4"/>
        <v>50</v>
      </c>
      <c r="J29" s="77">
        <f t="shared" si="4"/>
        <v>0</v>
      </c>
      <c r="K29" s="42"/>
      <c r="L29" s="112">
        <v>1</v>
      </c>
      <c r="M29" s="112"/>
      <c r="N29" s="112">
        <v>3</v>
      </c>
      <c r="O29" s="112">
        <v>14</v>
      </c>
      <c r="P29" s="112">
        <v>3</v>
      </c>
      <c r="Q29" s="120"/>
      <c r="R29" s="86">
        <f t="shared" si="7"/>
        <v>7</v>
      </c>
      <c r="S29" s="124">
        <f t="shared" si="7"/>
        <v>14</v>
      </c>
      <c r="T29" s="42"/>
      <c r="U29" s="107">
        <f t="shared" si="5"/>
        <v>168</v>
      </c>
      <c r="V29" s="130">
        <f t="shared" si="6"/>
        <v>7</v>
      </c>
      <c r="W29" s="129">
        <f t="shared" si="8"/>
        <v>1200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69</v>
      </c>
      <c r="D30" s="111"/>
      <c r="E30" s="112"/>
      <c r="F30" s="112"/>
      <c r="G30" s="76"/>
      <c r="H30" s="73"/>
      <c r="I30" s="73">
        <f t="shared" si="4"/>
        <v>69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1656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43</v>
      </c>
      <c r="D31" s="111"/>
      <c r="E31" s="112"/>
      <c r="F31" s="112"/>
      <c r="G31" s="76">
        <v>1</v>
      </c>
      <c r="H31" s="73"/>
      <c r="I31" s="73">
        <f t="shared" si="4"/>
        <v>42</v>
      </c>
      <c r="J31" s="77">
        <f t="shared" si="4"/>
        <v>0</v>
      </c>
      <c r="K31" s="41"/>
      <c r="L31" s="112"/>
      <c r="M31" s="112"/>
      <c r="N31" s="112">
        <v>1</v>
      </c>
      <c r="O31" s="112"/>
      <c r="P31" s="112"/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1008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/>
      <c r="H33" s="73"/>
      <c r="I33" s="73">
        <f t="shared" si="4"/>
        <v>5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120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133</v>
      </c>
      <c r="D35" s="111">
        <v>5</v>
      </c>
      <c r="E35" s="112"/>
      <c r="F35" s="112"/>
      <c r="G35" s="76">
        <v>1</v>
      </c>
      <c r="H35" s="73"/>
      <c r="I35" s="73">
        <f t="shared" si="4"/>
        <v>132</v>
      </c>
      <c r="J35" s="77">
        <f t="shared" si="4"/>
        <v>5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3173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4811</v>
      </c>
      <c r="D38" s="114">
        <v>2</v>
      </c>
      <c r="E38" s="115"/>
      <c r="F38" s="115"/>
      <c r="G38" s="78">
        <v>108</v>
      </c>
      <c r="H38" s="79"/>
      <c r="I38" s="139">
        <f t="shared" si="4"/>
        <v>4703</v>
      </c>
      <c r="J38" s="140">
        <f t="shared" si="4"/>
        <v>2</v>
      </c>
      <c r="K38" s="51"/>
      <c r="L38" s="121">
        <v>71</v>
      </c>
      <c r="M38" s="121"/>
      <c r="N38" s="121">
        <v>2</v>
      </c>
      <c r="O38" s="121"/>
      <c r="P38" s="121">
        <v>35</v>
      </c>
      <c r="Q38" s="122"/>
      <c r="R38" s="97">
        <f t="shared" si="7"/>
        <v>108</v>
      </c>
      <c r="S38" s="125">
        <f t="shared" si="7"/>
        <v>0</v>
      </c>
      <c r="T38" s="51"/>
      <c r="U38" s="131">
        <f>L38*6+N38*6+P38*6</f>
        <v>648</v>
      </c>
      <c r="V38" s="135">
        <f>U38/6</f>
        <v>108</v>
      </c>
      <c r="W38" s="133">
        <f>I38*6+J38</f>
        <v>28220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396</v>
      </c>
      <c r="D41" s="147"/>
      <c r="E41" s="148"/>
      <c r="F41" s="148"/>
      <c r="G41" s="149">
        <v>72</v>
      </c>
      <c r="H41" s="150"/>
      <c r="I41" s="151">
        <f t="shared" si="4"/>
        <v>324</v>
      </c>
      <c r="J41" s="152">
        <f t="shared" si="4"/>
        <v>0</v>
      </c>
      <c r="K41" s="153"/>
      <c r="L41" s="154"/>
      <c r="M41" s="154"/>
      <c r="N41" s="154">
        <v>70</v>
      </c>
      <c r="O41" s="154"/>
      <c r="P41" s="154">
        <v>2</v>
      </c>
      <c r="Q41" s="155"/>
      <c r="R41" s="156">
        <f t="shared" si="7"/>
        <v>72</v>
      </c>
      <c r="S41" s="157">
        <f t="shared" si="7"/>
        <v>0</v>
      </c>
      <c r="T41" s="153"/>
      <c r="U41" s="158">
        <f t="shared" si="9"/>
        <v>1728</v>
      </c>
      <c r="V41" s="159">
        <f t="shared" si="6"/>
        <v>72</v>
      </c>
      <c r="W41" s="159">
        <f t="shared" si="10"/>
        <v>7776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1133</v>
      </c>
      <c r="D42" s="164">
        <v>9</v>
      </c>
      <c r="E42" s="165"/>
      <c r="F42" s="165"/>
      <c r="G42" s="166">
        <v>33</v>
      </c>
      <c r="H42" s="167"/>
      <c r="I42" s="166">
        <f t="shared" si="4"/>
        <v>1100</v>
      </c>
      <c r="J42" s="168">
        <f t="shared" si="4"/>
        <v>9</v>
      </c>
      <c r="K42" s="169"/>
      <c r="L42" s="165">
        <v>3</v>
      </c>
      <c r="M42" s="165"/>
      <c r="N42" s="165">
        <v>13</v>
      </c>
      <c r="O42" s="165"/>
      <c r="P42" s="165">
        <v>17</v>
      </c>
      <c r="Q42" s="170"/>
      <c r="R42" s="171">
        <f t="shared" si="7"/>
        <v>33</v>
      </c>
      <c r="S42" s="172">
        <f t="shared" si="7"/>
        <v>0</v>
      </c>
      <c r="T42" s="169"/>
      <c r="U42" s="173">
        <f>L42*12+N42*12+P42*12</f>
        <v>396</v>
      </c>
      <c r="V42" s="174">
        <f>U42/12</f>
        <v>33</v>
      </c>
      <c r="W42" s="175">
        <f>I42*12+J42</f>
        <v>13209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37601</v>
      </c>
      <c r="D44" s="114"/>
      <c r="E44" s="115"/>
      <c r="F44" s="115"/>
      <c r="G44" s="78">
        <v>1465</v>
      </c>
      <c r="H44" s="79"/>
      <c r="I44" s="73">
        <f>C44+E44-G44</f>
        <v>36136</v>
      </c>
      <c r="J44" s="177">
        <f t="shared" si="4"/>
        <v>0</v>
      </c>
      <c r="K44" s="51"/>
      <c r="L44" s="121">
        <v>644</v>
      </c>
      <c r="M44" s="121"/>
      <c r="N44" s="121">
        <v>339</v>
      </c>
      <c r="O44" s="121"/>
      <c r="P44" s="121">
        <v>482</v>
      </c>
      <c r="Q44" s="122"/>
      <c r="R44" s="178">
        <f t="shared" si="7"/>
        <v>1465</v>
      </c>
      <c r="S44" s="179">
        <f t="shared" si="7"/>
        <v>0</v>
      </c>
      <c r="T44" s="51"/>
      <c r="U44" s="131">
        <f>L44*6+N44*6+P44*6</f>
        <v>8790</v>
      </c>
      <c r="V44" s="130">
        <f>U44/6</f>
        <v>1465</v>
      </c>
      <c r="W44" s="133">
        <f>I44*6+J44</f>
        <v>216816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3</v>
      </c>
      <c r="D46" s="111"/>
      <c r="E46" s="112"/>
      <c r="F46" s="112"/>
      <c r="G46" s="76"/>
      <c r="H46" s="73"/>
      <c r="I46" s="93">
        <f t="shared" si="4"/>
        <v>3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72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2847</v>
      </c>
      <c r="D48" s="142">
        <v>4</v>
      </c>
      <c r="E48" s="121"/>
      <c r="F48" s="121"/>
      <c r="G48" s="143">
        <v>5</v>
      </c>
      <c r="H48" s="139"/>
      <c r="I48" s="139">
        <f t="shared" si="4"/>
        <v>2842</v>
      </c>
      <c r="J48" s="140">
        <f t="shared" si="4"/>
        <v>4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7"/>
        <v>5</v>
      </c>
      <c r="S48" s="144">
        <f t="shared" si="7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17056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51444</v>
      </c>
      <c r="D60" s="54">
        <f>SUM(D8:D59)</f>
        <v>188</v>
      </c>
      <c r="E60" s="44">
        <f>SUM(E8:E59)</f>
        <v>0</v>
      </c>
      <c r="F60" s="44"/>
      <c r="G60" s="28">
        <f>SUM(G8:G59)</f>
        <v>1734</v>
      </c>
      <c r="H60" s="56">
        <f>SUM(H8:H59)</f>
        <v>54</v>
      </c>
      <c r="I60" s="56">
        <f>SUM(I8:I59)</f>
        <v>49710</v>
      </c>
      <c r="J60" s="45">
        <f>SUM(J8:J59)</f>
        <v>134</v>
      </c>
      <c r="K60" s="46"/>
      <c r="L60" s="74">
        <f t="shared" ref="L60:S60" si="20">SUM(L8:L59)</f>
        <v>735</v>
      </c>
      <c r="M60" s="74">
        <f t="shared" si="20"/>
        <v>4</v>
      </c>
      <c r="N60" s="74">
        <f t="shared" si="20"/>
        <v>437</v>
      </c>
      <c r="O60" s="74">
        <f t="shared" si="20"/>
        <v>30</v>
      </c>
      <c r="P60" s="74">
        <f t="shared" si="20"/>
        <v>562</v>
      </c>
      <c r="Q60" s="75">
        <f t="shared" si="20"/>
        <v>22</v>
      </c>
      <c r="R60" s="85">
        <f t="shared" si="20"/>
        <v>1734</v>
      </c>
      <c r="S60" s="84">
        <f t="shared" si="20"/>
        <v>56</v>
      </c>
      <c r="T60" s="46"/>
      <c r="U60" s="43">
        <f>SUM(U8:U59)</f>
        <v>12816</v>
      </c>
      <c r="V60" s="102">
        <f>SUM(V8:V59)</f>
        <v>1734</v>
      </c>
      <c r="W60" s="180">
        <f>SUM(W8:W59)</f>
        <v>393104</v>
      </c>
      <c r="X60" s="45"/>
    </row>
    <row r="61" spans="1:24" ht="19.5" thickBot="1" x14ac:dyDescent="0.3">
      <c r="V61" s="103"/>
    </row>
    <row r="62" spans="1:24" ht="18.75" customHeight="1" x14ac:dyDescent="0.25">
      <c r="G62" s="19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1" t="s">
        <v>3</v>
      </c>
      <c r="D69" s="18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CBFCF-8FDE-4A25-9852-A6618DD949A0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4">
        <v>46118</v>
      </c>
      <c r="Q1" s="205"/>
      <c r="R1" s="205"/>
      <c r="S1" s="205"/>
      <c r="T1" s="205"/>
      <c r="U1" s="205"/>
      <c r="V1" s="205"/>
      <c r="W1" s="205"/>
      <c r="X1" s="20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7" t="s">
        <v>74</v>
      </c>
      <c r="C4" s="208" t="s">
        <v>3</v>
      </c>
      <c r="D4" s="209" t="s">
        <v>75</v>
      </c>
      <c r="E4" s="210" t="s">
        <v>4</v>
      </c>
      <c r="F4" s="211"/>
      <c r="G4" s="212" t="s">
        <v>5</v>
      </c>
      <c r="H4" s="214" t="s">
        <v>75</v>
      </c>
      <c r="I4" s="216" t="s">
        <v>6</v>
      </c>
      <c r="J4" s="214" t="s">
        <v>75</v>
      </c>
      <c r="L4" s="218" t="s">
        <v>7</v>
      </c>
      <c r="M4" s="219"/>
      <c r="N4" s="219"/>
      <c r="O4" s="219"/>
      <c r="P4" s="219"/>
      <c r="Q4" s="219"/>
      <c r="R4" s="219"/>
      <c r="S4" s="219"/>
      <c r="T4" s="219"/>
      <c r="U4" s="219"/>
      <c r="V4" s="220"/>
      <c r="W4" s="219"/>
      <c r="X4" s="221"/>
    </row>
    <row r="5" spans="1:60" s="3" customFormat="1" ht="57" thickBot="1" x14ac:dyDescent="0.3">
      <c r="A5" s="49"/>
      <c r="B5" s="207"/>
      <c r="C5" s="208"/>
      <c r="D5" s="209"/>
      <c r="E5" s="48" t="s">
        <v>8</v>
      </c>
      <c r="F5" s="189" t="s">
        <v>9</v>
      </c>
      <c r="G5" s="213"/>
      <c r="H5" s="215"/>
      <c r="I5" s="217"/>
      <c r="J5" s="21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53</v>
      </c>
      <c r="D8" s="111">
        <v>21</v>
      </c>
      <c r="E8" s="112"/>
      <c r="F8" s="112"/>
      <c r="G8" s="76"/>
      <c r="H8" s="73"/>
      <c r="I8" s="73">
        <f>C8-G8</f>
        <v>53</v>
      </c>
      <c r="J8" s="77">
        <f t="shared" ref="J8:J12" si="0">D8-H8</f>
        <v>21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1293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/>
      <c r="H9" s="79"/>
      <c r="I9" s="78">
        <f t="shared" ref="I9:J59" si="4">C9-G9</f>
        <v>106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114</v>
      </c>
      <c r="D10" s="111"/>
      <c r="E10" s="112"/>
      <c r="F10" s="112"/>
      <c r="G10" s="76"/>
      <c r="H10" s="73"/>
      <c r="I10" s="73">
        <f t="shared" si="4"/>
        <v>114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2736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13</v>
      </c>
      <c r="D11" s="111"/>
      <c r="E11" s="112"/>
      <c r="F11" s="112"/>
      <c r="G11" s="76"/>
      <c r="H11" s="73"/>
      <c r="I11" s="73">
        <f t="shared" si="4"/>
        <v>13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312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6</v>
      </c>
      <c r="D12" s="111"/>
      <c r="E12" s="112"/>
      <c r="F12" s="112"/>
      <c r="G12" s="76"/>
      <c r="H12" s="73"/>
      <c r="I12" s="73">
        <f t="shared" si="4"/>
        <v>6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144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3754</v>
      </c>
      <c r="D13" s="114">
        <v>6</v>
      </c>
      <c r="E13" s="115"/>
      <c r="F13" s="115"/>
      <c r="G13" s="78">
        <v>45</v>
      </c>
      <c r="H13" s="79">
        <v>24</v>
      </c>
      <c r="I13" s="80">
        <f t="shared" si="4"/>
        <v>3709</v>
      </c>
      <c r="J13" s="94">
        <f>D13-H13</f>
        <v>-18</v>
      </c>
      <c r="K13" s="53"/>
      <c r="L13" s="121">
        <v>17</v>
      </c>
      <c r="M13" s="121">
        <v>18</v>
      </c>
      <c r="N13" s="121">
        <v>18</v>
      </c>
      <c r="O13" s="121"/>
      <c r="P13" s="121">
        <v>10</v>
      </c>
      <c r="Q13" s="122">
        <v>6</v>
      </c>
      <c r="R13" s="97">
        <f>L13+N13+P13</f>
        <v>45</v>
      </c>
      <c r="S13" s="125">
        <f>M13+O13+Q13</f>
        <v>24</v>
      </c>
      <c r="T13" s="53"/>
      <c r="U13" s="131">
        <f>L13*24+N13*24+P13*24</f>
        <v>1080</v>
      </c>
      <c r="V13" s="135">
        <f t="shared" si="6"/>
        <v>45</v>
      </c>
      <c r="W13" s="133">
        <f>I13*24+J13</f>
        <v>88998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35</v>
      </c>
      <c r="D26" s="111">
        <v>11</v>
      </c>
      <c r="E26" s="112"/>
      <c r="F26" s="112"/>
      <c r="G26" s="76"/>
      <c r="H26" s="73"/>
      <c r="I26" s="73">
        <f t="shared" si="4"/>
        <v>35</v>
      </c>
      <c r="J26" s="77">
        <f t="shared" si="4"/>
        <v>11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851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46</v>
      </c>
      <c r="D29" s="111"/>
      <c r="E29" s="112"/>
      <c r="F29" s="112"/>
      <c r="G29" s="76">
        <v>4</v>
      </c>
      <c r="H29" s="73"/>
      <c r="I29" s="73">
        <f t="shared" si="4"/>
        <v>42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1008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68</v>
      </c>
      <c r="D30" s="111"/>
      <c r="E30" s="112"/>
      <c r="F30" s="112"/>
      <c r="G30" s="76">
        <v>2</v>
      </c>
      <c r="H30" s="73"/>
      <c r="I30" s="73">
        <f t="shared" si="4"/>
        <v>66</v>
      </c>
      <c r="J30" s="77">
        <f t="shared" si="4"/>
        <v>0</v>
      </c>
      <c r="K30" s="41"/>
      <c r="L30" s="112">
        <v>2</v>
      </c>
      <c r="M30" s="112"/>
      <c r="N30" s="112"/>
      <c r="O30" s="112"/>
      <c r="P30" s="112"/>
      <c r="Q30" s="120"/>
      <c r="R30" s="86">
        <f t="shared" si="7"/>
        <v>2</v>
      </c>
      <c r="S30" s="124">
        <f t="shared" si="7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8"/>
        <v>1584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42</v>
      </c>
      <c r="D31" s="111"/>
      <c r="E31" s="112"/>
      <c r="F31" s="112"/>
      <c r="G31" s="76">
        <v>1</v>
      </c>
      <c r="H31" s="73"/>
      <c r="I31" s="73">
        <f t="shared" si="4"/>
        <v>41</v>
      </c>
      <c r="J31" s="77">
        <f t="shared" si="4"/>
        <v>0</v>
      </c>
      <c r="K31" s="41"/>
      <c r="L31" s="112">
        <v>1</v>
      </c>
      <c r="M31" s="112"/>
      <c r="N31" s="112"/>
      <c r="O31" s="112"/>
      <c r="P31" s="112"/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984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/>
      <c r="H33" s="73"/>
      <c r="I33" s="73">
        <f t="shared" si="4"/>
        <v>5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120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132</v>
      </c>
      <c r="D35" s="111">
        <v>5</v>
      </c>
      <c r="E35" s="112"/>
      <c r="F35" s="112"/>
      <c r="G35" s="76">
        <v>11</v>
      </c>
      <c r="H35" s="73"/>
      <c r="I35" s="73">
        <f t="shared" si="4"/>
        <v>121</v>
      </c>
      <c r="J35" s="77">
        <f t="shared" si="4"/>
        <v>5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2909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4604</v>
      </c>
      <c r="D38" s="114">
        <v>2</v>
      </c>
      <c r="E38" s="115"/>
      <c r="F38" s="115"/>
      <c r="G38" s="78">
        <v>398</v>
      </c>
      <c r="H38" s="79"/>
      <c r="I38" s="139">
        <f t="shared" si="4"/>
        <v>4206</v>
      </c>
      <c r="J38" s="140">
        <f t="shared" si="4"/>
        <v>2</v>
      </c>
      <c r="K38" s="51"/>
      <c r="L38" s="121">
        <v>230</v>
      </c>
      <c r="M38" s="121"/>
      <c r="N38" s="121">
        <v>60</v>
      </c>
      <c r="O38" s="121"/>
      <c r="P38" s="121">
        <v>108</v>
      </c>
      <c r="Q38" s="122"/>
      <c r="R38" s="97">
        <f t="shared" si="7"/>
        <v>398</v>
      </c>
      <c r="S38" s="125">
        <f t="shared" si="7"/>
        <v>0</v>
      </c>
      <c r="T38" s="51"/>
      <c r="U38" s="131">
        <f>L38*6+N38*6+P38*6</f>
        <v>2388</v>
      </c>
      <c r="V38" s="135">
        <f>U38/6</f>
        <v>398</v>
      </c>
      <c r="W38" s="133">
        <f>I38*6+J38</f>
        <v>25238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324</v>
      </c>
      <c r="D41" s="147"/>
      <c r="E41" s="148"/>
      <c r="F41" s="148"/>
      <c r="G41" s="149"/>
      <c r="H41" s="150"/>
      <c r="I41" s="151">
        <f t="shared" si="4"/>
        <v>324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7776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1067</v>
      </c>
      <c r="D42" s="164">
        <v>9</v>
      </c>
      <c r="E42" s="165"/>
      <c r="F42" s="165"/>
      <c r="G42" s="166">
        <v>27</v>
      </c>
      <c r="H42" s="167"/>
      <c r="I42" s="166">
        <f t="shared" si="4"/>
        <v>1040</v>
      </c>
      <c r="J42" s="168">
        <f t="shared" si="4"/>
        <v>9</v>
      </c>
      <c r="K42" s="169"/>
      <c r="L42" s="165">
        <v>1</v>
      </c>
      <c r="M42" s="165"/>
      <c r="N42" s="165">
        <v>7</v>
      </c>
      <c r="O42" s="165"/>
      <c r="P42" s="165">
        <v>19</v>
      </c>
      <c r="Q42" s="170"/>
      <c r="R42" s="171">
        <f t="shared" si="7"/>
        <v>27</v>
      </c>
      <c r="S42" s="172">
        <f t="shared" si="7"/>
        <v>0</v>
      </c>
      <c r="T42" s="169"/>
      <c r="U42" s="173">
        <f>L42*12+N42*12+P42*12</f>
        <v>324</v>
      </c>
      <c r="V42" s="174">
        <f>U42/12</f>
        <v>27</v>
      </c>
      <c r="W42" s="175">
        <f>I42*12+J42</f>
        <v>12489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34728</v>
      </c>
      <c r="D44" s="114"/>
      <c r="E44" s="115"/>
      <c r="F44" s="115"/>
      <c r="G44" s="78">
        <v>2101</v>
      </c>
      <c r="H44" s="79"/>
      <c r="I44" s="73">
        <f>C44+E44-G44</f>
        <v>32627</v>
      </c>
      <c r="J44" s="177">
        <f t="shared" si="4"/>
        <v>0</v>
      </c>
      <c r="K44" s="51"/>
      <c r="L44" s="121">
        <v>990</v>
      </c>
      <c r="M44" s="121"/>
      <c r="N44" s="121">
        <v>570</v>
      </c>
      <c r="O44" s="121"/>
      <c r="P44" s="121">
        <v>541</v>
      </c>
      <c r="Q44" s="122"/>
      <c r="R44" s="178">
        <f t="shared" si="7"/>
        <v>2101</v>
      </c>
      <c r="S44" s="179">
        <f t="shared" si="7"/>
        <v>0</v>
      </c>
      <c r="T44" s="51"/>
      <c r="U44" s="131">
        <f>L44*6+N44*6+P44*6</f>
        <v>12606</v>
      </c>
      <c r="V44" s="130">
        <f>U44/6</f>
        <v>2101</v>
      </c>
      <c r="W44" s="133">
        <f>I44*6+J44</f>
        <v>195762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3</v>
      </c>
      <c r="D46" s="111"/>
      <c r="E46" s="112"/>
      <c r="F46" s="112"/>
      <c r="G46" s="76"/>
      <c r="H46" s="73"/>
      <c r="I46" s="93">
        <f t="shared" si="4"/>
        <v>3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72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2842</v>
      </c>
      <c r="D48" s="142">
        <v>4</v>
      </c>
      <c r="E48" s="121"/>
      <c r="F48" s="121"/>
      <c r="G48" s="143"/>
      <c r="H48" s="139"/>
      <c r="I48" s="139">
        <f t="shared" si="4"/>
        <v>2842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17056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48109</v>
      </c>
      <c r="D60" s="54">
        <f>SUM(D8:D59)</f>
        <v>149</v>
      </c>
      <c r="E60" s="44">
        <f>SUM(E8:E59)</f>
        <v>0</v>
      </c>
      <c r="F60" s="44"/>
      <c r="G60" s="28">
        <f>SUM(G8:G59)</f>
        <v>2589</v>
      </c>
      <c r="H60" s="56">
        <f>SUM(H8:H59)</f>
        <v>24</v>
      </c>
      <c r="I60" s="56">
        <f>SUM(I8:I59)</f>
        <v>45520</v>
      </c>
      <c r="J60" s="45">
        <f>SUM(J8:J59)</f>
        <v>125</v>
      </c>
      <c r="K60" s="46"/>
      <c r="L60" s="74">
        <f t="shared" ref="L60:S60" si="20">SUM(L8:L59)</f>
        <v>1251</v>
      </c>
      <c r="M60" s="74">
        <f t="shared" si="20"/>
        <v>18</v>
      </c>
      <c r="N60" s="74">
        <f t="shared" si="20"/>
        <v>655</v>
      </c>
      <c r="O60" s="74">
        <f t="shared" si="20"/>
        <v>0</v>
      </c>
      <c r="P60" s="74">
        <f t="shared" si="20"/>
        <v>683</v>
      </c>
      <c r="Q60" s="75">
        <f t="shared" si="20"/>
        <v>6</v>
      </c>
      <c r="R60" s="85">
        <f t="shared" si="20"/>
        <v>2589</v>
      </c>
      <c r="S60" s="84">
        <f t="shared" si="20"/>
        <v>24</v>
      </c>
      <c r="T60" s="46"/>
      <c r="U60" s="43">
        <f>SUM(U8:U59)</f>
        <v>16830</v>
      </c>
      <c r="V60" s="102">
        <f>SUM(V8:V59)</f>
        <v>2589</v>
      </c>
      <c r="W60" s="180">
        <f>SUM(W8:W59)</f>
        <v>365363</v>
      </c>
      <c r="X60" s="45"/>
    </row>
    <row r="61" spans="1:24" ht="19.5" thickBot="1" x14ac:dyDescent="0.3">
      <c r="V61" s="103"/>
    </row>
    <row r="62" spans="1:24" ht="18.75" customHeight="1" x14ac:dyDescent="0.25">
      <c r="G62" s="19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7" t="s">
        <v>3</v>
      </c>
      <c r="D69" s="18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EF980-5574-4D62-ABF2-6898880BA2EC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Q49" sqref="Q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.570312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4">
        <v>46120</v>
      </c>
      <c r="Q1" s="205"/>
      <c r="R1" s="205"/>
      <c r="S1" s="205"/>
      <c r="T1" s="205"/>
      <c r="U1" s="205"/>
      <c r="V1" s="205"/>
      <c r="W1" s="205"/>
      <c r="X1" s="20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7" t="s">
        <v>74</v>
      </c>
      <c r="C4" s="208" t="s">
        <v>3</v>
      </c>
      <c r="D4" s="209" t="s">
        <v>75</v>
      </c>
      <c r="E4" s="210" t="s">
        <v>4</v>
      </c>
      <c r="F4" s="211"/>
      <c r="G4" s="212" t="s">
        <v>5</v>
      </c>
      <c r="H4" s="214" t="s">
        <v>75</v>
      </c>
      <c r="I4" s="216" t="s">
        <v>6</v>
      </c>
      <c r="J4" s="214" t="s">
        <v>75</v>
      </c>
      <c r="L4" s="218" t="s">
        <v>7</v>
      </c>
      <c r="M4" s="219"/>
      <c r="N4" s="219"/>
      <c r="O4" s="219"/>
      <c r="P4" s="219"/>
      <c r="Q4" s="219"/>
      <c r="R4" s="219"/>
      <c r="S4" s="219"/>
      <c r="T4" s="219"/>
      <c r="U4" s="219"/>
      <c r="V4" s="220"/>
      <c r="W4" s="219"/>
      <c r="X4" s="221"/>
    </row>
    <row r="5" spans="1:60" s="3" customFormat="1" ht="57" thickBot="1" x14ac:dyDescent="0.3">
      <c r="A5" s="49"/>
      <c r="B5" s="207"/>
      <c r="C5" s="208"/>
      <c r="D5" s="209"/>
      <c r="E5" s="48" t="s">
        <v>8</v>
      </c>
      <c r="F5" s="183" t="s">
        <v>9</v>
      </c>
      <c r="G5" s="213"/>
      <c r="H5" s="215"/>
      <c r="I5" s="217"/>
      <c r="J5" s="21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53</v>
      </c>
      <c r="D8" s="111">
        <v>21</v>
      </c>
      <c r="E8" s="112"/>
      <c r="F8" s="112"/>
      <c r="G8" s="76"/>
      <c r="H8" s="73"/>
      <c r="I8" s="73">
        <f>C8-G8</f>
        <v>53</v>
      </c>
      <c r="J8" s="77">
        <f t="shared" ref="J8:J12" si="0">D8-H8</f>
        <v>21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1293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104</v>
      </c>
      <c r="D9" s="114"/>
      <c r="E9" s="115"/>
      <c r="F9" s="115"/>
      <c r="G9" s="78"/>
      <c r="H9" s="79"/>
      <c r="I9" s="78">
        <f t="shared" ref="I9:J59" si="4">C9-G9</f>
        <v>104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2496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2</v>
      </c>
      <c r="H10" s="73"/>
      <c r="I10" s="7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/>
      <c r="E12" s="112"/>
      <c r="F12" s="112"/>
      <c r="G12" s="76"/>
      <c r="H12" s="73"/>
      <c r="I12" s="73">
        <f t="shared" si="4"/>
        <v>5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3655</v>
      </c>
      <c r="D13" s="114">
        <v>20</v>
      </c>
      <c r="E13" s="115"/>
      <c r="F13" s="115"/>
      <c r="G13" s="78">
        <v>42</v>
      </c>
      <c r="H13" s="79">
        <v>16</v>
      </c>
      <c r="I13" s="80">
        <f t="shared" si="4"/>
        <v>3613</v>
      </c>
      <c r="J13" s="94">
        <f>D13-H13</f>
        <v>4</v>
      </c>
      <c r="K13" s="53"/>
      <c r="L13" s="121">
        <v>15</v>
      </c>
      <c r="M13" s="121"/>
      <c r="N13" s="121">
        <v>7</v>
      </c>
      <c r="O13" s="121">
        <v>4</v>
      </c>
      <c r="P13" s="121">
        <v>20</v>
      </c>
      <c r="Q13" s="122">
        <v>12</v>
      </c>
      <c r="R13" s="97">
        <f>L13+N13+P13</f>
        <v>42</v>
      </c>
      <c r="S13" s="125">
        <f>M13+O13+Q13</f>
        <v>16</v>
      </c>
      <c r="T13" s="53"/>
      <c r="U13" s="131">
        <f>L13*24+N13*24+P13*24</f>
        <v>1008</v>
      </c>
      <c r="V13" s="135">
        <f t="shared" si="6"/>
        <v>42</v>
      </c>
      <c r="W13" s="133">
        <f>I13*24+J13</f>
        <v>86716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35</v>
      </c>
      <c r="D26" s="111">
        <v>11</v>
      </c>
      <c r="E26" s="112"/>
      <c r="F26" s="112"/>
      <c r="G26" s="76"/>
      <c r="H26" s="73"/>
      <c r="I26" s="73">
        <f t="shared" si="4"/>
        <v>35</v>
      </c>
      <c r="J26" s="77">
        <f t="shared" si="4"/>
        <v>11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851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28</v>
      </c>
      <c r="D29" s="111"/>
      <c r="E29" s="112"/>
      <c r="F29" s="112"/>
      <c r="G29" s="76">
        <v>4</v>
      </c>
      <c r="H29" s="73"/>
      <c r="I29" s="73">
        <f t="shared" si="4"/>
        <v>24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576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65</v>
      </c>
      <c r="D30" s="111"/>
      <c r="E30" s="112"/>
      <c r="F30" s="112"/>
      <c r="G30" s="76"/>
      <c r="H30" s="73"/>
      <c r="I30" s="73">
        <f t="shared" si="4"/>
        <v>65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1560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40</v>
      </c>
      <c r="D31" s="111"/>
      <c r="E31" s="112"/>
      <c r="F31" s="112"/>
      <c r="G31" s="76"/>
      <c r="H31" s="73"/>
      <c r="I31" s="73">
        <f t="shared" si="4"/>
        <v>40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960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/>
      <c r="H32" s="73"/>
      <c r="I32" s="73">
        <f t="shared" si="4"/>
        <v>1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118</v>
      </c>
      <c r="D35" s="111">
        <v>5</v>
      </c>
      <c r="E35" s="112"/>
      <c r="F35" s="112"/>
      <c r="G35" s="76">
        <v>2</v>
      </c>
      <c r="H35" s="73"/>
      <c r="I35" s="73">
        <f t="shared" si="4"/>
        <v>116</v>
      </c>
      <c r="J35" s="77">
        <f t="shared" si="4"/>
        <v>5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2789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4039</v>
      </c>
      <c r="D38" s="114">
        <v>2</v>
      </c>
      <c r="E38" s="115"/>
      <c r="F38" s="115"/>
      <c r="G38" s="78">
        <v>142</v>
      </c>
      <c r="H38" s="79"/>
      <c r="I38" s="139">
        <f t="shared" si="4"/>
        <v>3897</v>
      </c>
      <c r="J38" s="140">
        <f t="shared" si="4"/>
        <v>2</v>
      </c>
      <c r="K38" s="51"/>
      <c r="L38" s="121"/>
      <c r="M38" s="121"/>
      <c r="N38" s="121">
        <v>48</v>
      </c>
      <c r="O38" s="121"/>
      <c r="P38" s="121">
        <v>94</v>
      </c>
      <c r="Q38" s="122"/>
      <c r="R38" s="97">
        <f t="shared" si="7"/>
        <v>142</v>
      </c>
      <c r="S38" s="125">
        <f t="shared" si="7"/>
        <v>0</v>
      </c>
      <c r="T38" s="51"/>
      <c r="U38" s="131">
        <f>L38*6+N38*6+P38*6</f>
        <v>852</v>
      </c>
      <c r="V38" s="135">
        <f>U38/6</f>
        <v>142</v>
      </c>
      <c r="W38" s="133">
        <f>I38*6+J38</f>
        <v>23384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324</v>
      </c>
      <c r="D41" s="147"/>
      <c r="E41" s="148"/>
      <c r="F41" s="148"/>
      <c r="G41" s="149"/>
      <c r="H41" s="150"/>
      <c r="I41" s="151">
        <f t="shared" si="4"/>
        <v>324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7776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1016</v>
      </c>
      <c r="D42" s="164">
        <v>9</v>
      </c>
      <c r="E42" s="165"/>
      <c r="F42" s="165"/>
      <c r="G42" s="166">
        <v>10</v>
      </c>
      <c r="H42" s="167"/>
      <c r="I42" s="166">
        <f t="shared" si="4"/>
        <v>1006</v>
      </c>
      <c r="J42" s="168">
        <f t="shared" si="4"/>
        <v>9</v>
      </c>
      <c r="K42" s="169"/>
      <c r="L42" s="165"/>
      <c r="M42" s="165"/>
      <c r="N42" s="165"/>
      <c r="O42" s="165"/>
      <c r="P42" s="165">
        <v>10</v>
      </c>
      <c r="Q42" s="170"/>
      <c r="R42" s="171">
        <f t="shared" si="7"/>
        <v>10</v>
      </c>
      <c r="S42" s="172">
        <f t="shared" si="7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12081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30849</v>
      </c>
      <c r="D44" s="114"/>
      <c r="E44" s="115"/>
      <c r="F44" s="115"/>
      <c r="G44" s="78">
        <v>1467</v>
      </c>
      <c r="H44" s="79"/>
      <c r="I44" s="73">
        <f>C44+E44-G44</f>
        <v>29382</v>
      </c>
      <c r="J44" s="177">
        <f t="shared" si="4"/>
        <v>0</v>
      </c>
      <c r="K44" s="51"/>
      <c r="L44" s="121">
        <v>540</v>
      </c>
      <c r="M44" s="121"/>
      <c r="N44" s="121">
        <v>327</v>
      </c>
      <c r="O44" s="121"/>
      <c r="P44" s="121">
        <v>100</v>
      </c>
      <c r="Q44" s="122"/>
      <c r="R44" s="178">
        <f t="shared" si="7"/>
        <v>967</v>
      </c>
      <c r="S44" s="179">
        <f t="shared" si="7"/>
        <v>0</v>
      </c>
      <c r="T44" s="51"/>
      <c r="U44" s="131">
        <f>L44*6+N44*6+P44*6</f>
        <v>5802</v>
      </c>
      <c r="V44" s="130">
        <f>U44/6</f>
        <v>967</v>
      </c>
      <c r="W44" s="133">
        <f>I44*6+J44</f>
        <v>176292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2842</v>
      </c>
      <c r="D48" s="142">
        <v>4</v>
      </c>
      <c r="E48" s="121"/>
      <c r="F48" s="121"/>
      <c r="G48" s="143"/>
      <c r="H48" s="139"/>
      <c r="I48" s="139">
        <f t="shared" si="4"/>
        <v>2842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17056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43432</v>
      </c>
      <c r="D60" s="54">
        <f>SUM(D8:D59)</f>
        <v>163</v>
      </c>
      <c r="E60" s="44">
        <f>SUM(E8:E59)</f>
        <v>0</v>
      </c>
      <c r="F60" s="44"/>
      <c r="G60" s="28">
        <f>SUM(G8:G59)</f>
        <v>1669</v>
      </c>
      <c r="H60" s="56">
        <f>SUM(H8:H59)</f>
        <v>16</v>
      </c>
      <c r="I60" s="56">
        <f>SUM(I8:I59)</f>
        <v>41763</v>
      </c>
      <c r="J60" s="45">
        <f>SUM(J8:J59)</f>
        <v>147</v>
      </c>
      <c r="K60" s="46"/>
      <c r="L60" s="74">
        <f t="shared" ref="L60:S60" si="20">SUM(L8:L59)</f>
        <v>555</v>
      </c>
      <c r="M60" s="74">
        <f t="shared" si="20"/>
        <v>0</v>
      </c>
      <c r="N60" s="74">
        <f t="shared" si="20"/>
        <v>382</v>
      </c>
      <c r="O60" s="74">
        <f t="shared" si="20"/>
        <v>4</v>
      </c>
      <c r="P60" s="74">
        <f t="shared" si="20"/>
        <v>232</v>
      </c>
      <c r="Q60" s="75">
        <f t="shared" si="20"/>
        <v>12</v>
      </c>
      <c r="R60" s="85">
        <f t="shared" si="20"/>
        <v>1169</v>
      </c>
      <c r="S60" s="84">
        <f t="shared" si="20"/>
        <v>16</v>
      </c>
      <c r="T60" s="46"/>
      <c r="U60" s="43">
        <f>SUM(U8:U59)</f>
        <v>7974</v>
      </c>
      <c r="V60" s="102">
        <f>SUM(V8:V59)</f>
        <v>1169</v>
      </c>
      <c r="W60" s="180">
        <f>SUM(W8:W59)</f>
        <v>339597</v>
      </c>
      <c r="X60" s="45"/>
    </row>
    <row r="61" spans="1:24" ht="19.5" thickBot="1" x14ac:dyDescent="0.3">
      <c r="V61" s="103"/>
    </row>
    <row r="62" spans="1:24" ht="18.75" customHeight="1" x14ac:dyDescent="0.25">
      <c r="G62" s="19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1" t="s">
        <v>3</v>
      </c>
      <c r="D69" s="18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54B12-F159-4771-835F-10B5668BB1C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.710937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4">
        <v>46121</v>
      </c>
      <c r="Q1" s="205"/>
      <c r="R1" s="205"/>
      <c r="S1" s="205"/>
      <c r="T1" s="205"/>
      <c r="U1" s="205"/>
      <c r="V1" s="205"/>
      <c r="W1" s="205"/>
      <c r="X1" s="20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7" t="s">
        <v>74</v>
      </c>
      <c r="C4" s="208" t="s">
        <v>3</v>
      </c>
      <c r="D4" s="209" t="s">
        <v>75</v>
      </c>
      <c r="E4" s="210" t="s">
        <v>4</v>
      </c>
      <c r="F4" s="211"/>
      <c r="G4" s="212" t="s">
        <v>5</v>
      </c>
      <c r="H4" s="214" t="s">
        <v>75</v>
      </c>
      <c r="I4" s="216" t="s">
        <v>6</v>
      </c>
      <c r="J4" s="214" t="s">
        <v>75</v>
      </c>
      <c r="L4" s="218" t="s">
        <v>7</v>
      </c>
      <c r="M4" s="219"/>
      <c r="N4" s="219"/>
      <c r="O4" s="219"/>
      <c r="P4" s="219"/>
      <c r="Q4" s="219"/>
      <c r="R4" s="219"/>
      <c r="S4" s="219"/>
      <c r="T4" s="219"/>
      <c r="U4" s="219"/>
      <c r="V4" s="220"/>
      <c r="W4" s="219"/>
      <c r="X4" s="221"/>
    </row>
    <row r="5" spans="1:60" s="3" customFormat="1" ht="57" thickBot="1" x14ac:dyDescent="0.3">
      <c r="A5" s="49"/>
      <c r="B5" s="207"/>
      <c r="C5" s="208"/>
      <c r="D5" s="209"/>
      <c r="E5" s="48" t="s">
        <v>8</v>
      </c>
      <c r="F5" s="189" t="s">
        <v>9</v>
      </c>
      <c r="G5" s="213"/>
      <c r="H5" s="215"/>
      <c r="I5" s="217"/>
      <c r="J5" s="21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53</v>
      </c>
      <c r="D8" s="111">
        <v>21</v>
      </c>
      <c r="E8" s="112"/>
      <c r="F8" s="112"/>
      <c r="G8" s="76">
        <v>1</v>
      </c>
      <c r="H8" s="73"/>
      <c r="I8" s="73">
        <f>C8-G8</f>
        <v>52</v>
      </c>
      <c r="J8" s="77">
        <f t="shared" ref="J8:J12" si="0">D8-H8</f>
        <v>21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1269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104</v>
      </c>
      <c r="D9" s="114"/>
      <c r="E9" s="115"/>
      <c r="F9" s="115"/>
      <c r="G9" s="78">
        <v>1</v>
      </c>
      <c r="H9" s="79"/>
      <c r="I9" s="78">
        <f t="shared" ref="I9:J59" si="4">C9-G9</f>
        <v>103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2472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/>
      <c r="H10" s="73"/>
      <c r="I10" s="7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/>
      <c r="E12" s="112"/>
      <c r="F12" s="112"/>
      <c r="G12" s="76"/>
      <c r="H12" s="73"/>
      <c r="I12" s="73">
        <f t="shared" si="4"/>
        <v>5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3613</v>
      </c>
      <c r="D13" s="114">
        <v>4</v>
      </c>
      <c r="E13" s="115"/>
      <c r="F13" s="115"/>
      <c r="G13" s="78">
        <v>35</v>
      </c>
      <c r="H13" s="79">
        <v>25</v>
      </c>
      <c r="I13" s="80">
        <f t="shared" si="4"/>
        <v>3578</v>
      </c>
      <c r="J13" s="94">
        <f>D13-H13</f>
        <v>-21</v>
      </c>
      <c r="K13" s="53"/>
      <c r="L13" s="121">
        <v>6</v>
      </c>
      <c r="M13" s="121">
        <v>3</v>
      </c>
      <c r="N13" s="121">
        <v>11</v>
      </c>
      <c r="O13" s="121">
        <v>20</v>
      </c>
      <c r="P13" s="121">
        <v>18</v>
      </c>
      <c r="Q13" s="122">
        <v>2</v>
      </c>
      <c r="R13" s="97">
        <f>L13+N13+P13</f>
        <v>35</v>
      </c>
      <c r="S13" s="125">
        <f>M13+O13+Q13</f>
        <v>25</v>
      </c>
      <c r="T13" s="53"/>
      <c r="U13" s="131">
        <f>L13*24+N13*24+P13*24</f>
        <v>840</v>
      </c>
      <c r="V13" s="135">
        <f t="shared" si="6"/>
        <v>35</v>
      </c>
      <c r="W13" s="133">
        <f>I13*24+J13</f>
        <v>85851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35</v>
      </c>
      <c r="D26" s="111">
        <v>11</v>
      </c>
      <c r="E26" s="112"/>
      <c r="F26" s="112"/>
      <c r="G26" s="76">
        <v>1</v>
      </c>
      <c r="H26" s="73"/>
      <c r="I26" s="73">
        <f t="shared" si="4"/>
        <v>34</v>
      </c>
      <c r="J26" s="77">
        <f t="shared" si="4"/>
        <v>11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827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24</v>
      </c>
      <c r="D29" s="111"/>
      <c r="E29" s="112"/>
      <c r="F29" s="112"/>
      <c r="G29" s="76">
        <v>5</v>
      </c>
      <c r="H29" s="73">
        <v>12</v>
      </c>
      <c r="I29" s="73">
        <f t="shared" si="4"/>
        <v>19</v>
      </c>
      <c r="J29" s="77">
        <f t="shared" si="4"/>
        <v>-12</v>
      </c>
      <c r="K29" s="42"/>
      <c r="L29" s="112">
        <v>1</v>
      </c>
      <c r="M29" s="112">
        <v>12</v>
      </c>
      <c r="N29" s="112">
        <v>1</v>
      </c>
      <c r="O29" s="112"/>
      <c r="P29" s="112">
        <v>3</v>
      </c>
      <c r="Q29" s="120"/>
      <c r="R29" s="86">
        <f t="shared" si="7"/>
        <v>5</v>
      </c>
      <c r="S29" s="124">
        <f t="shared" si="7"/>
        <v>12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444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65</v>
      </c>
      <c r="D30" s="111"/>
      <c r="E30" s="112"/>
      <c r="F30" s="112"/>
      <c r="G30" s="76"/>
      <c r="H30" s="73"/>
      <c r="I30" s="73">
        <f t="shared" si="4"/>
        <v>65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1560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40</v>
      </c>
      <c r="D31" s="111"/>
      <c r="E31" s="112"/>
      <c r="F31" s="112"/>
      <c r="G31" s="76"/>
      <c r="H31" s="73"/>
      <c r="I31" s="73">
        <f t="shared" si="4"/>
        <v>40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960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>
        <v>1</v>
      </c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>
        <v>1</v>
      </c>
      <c r="Q32" s="120"/>
      <c r="R32" s="86">
        <f t="shared" si="7"/>
        <v>1</v>
      </c>
      <c r="S32" s="124">
        <f t="shared" si="7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116</v>
      </c>
      <c r="D35" s="111">
        <v>5</v>
      </c>
      <c r="E35" s="112"/>
      <c r="F35" s="112"/>
      <c r="G35" s="76"/>
      <c r="H35" s="73"/>
      <c r="I35" s="73">
        <f t="shared" si="4"/>
        <v>116</v>
      </c>
      <c r="J35" s="77">
        <f t="shared" si="4"/>
        <v>5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2789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3897</v>
      </c>
      <c r="D38" s="114">
        <v>2</v>
      </c>
      <c r="E38" s="115"/>
      <c r="F38" s="115"/>
      <c r="G38" s="78">
        <v>51</v>
      </c>
      <c r="H38" s="79"/>
      <c r="I38" s="139">
        <f t="shared" si="4"/>
        <v>3846</v>
      </c>
      <c r="J38" s="140">
        <f t="shared" si="4"/>
        <v>2</v>
      </c>
      <c r="K38" s="51"/>
      <c r="L38" s="121">
        <v>20</v>
      </c>
      <c r="M38" s="121"/>
      <c r="N38" s="121">
        <v>12</v>
      </c>
      <c r="O38" s="121"/>
      <c r="P38" s="121">
        <v>19</v>
      </c>
      <c r="Q38" s="122"/>
      <c r="R38" s="97">
        <f t="shared" si="7"/>
        <v>51</v>
      </c>
      <c r="S38" s="125">
        <f t="shared" si="7"/>
        <v>0</v>
      </c>
      <c r="T38" s="51"/>
      <c r="U38" s="131">
        <f>L38*6+N38*6+P38*6</f>
        <v>306</v>
      </c>
      <c r="V38" s="135">
        <f>U38/6</f>
        <v>51</v>
      </c>
      <c r="W38" s="133">
        <f>I38*6+J38</f>
        <v>23078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324</v>
      </c>
      <c r="D41" s="147"/>
      <c r="E41" s="148"/>
      <c r="F41" s="148"/>
      <c r="G41" s="149"/>
      <c r="H41" s="150"/>
      <c r="I41" s="151">
        <f t="shared" si="4"/>
        <v>324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7776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1006</v>
      </c>
      <c r="D42" s="164">
        <v>9</v>
      </c>
      <c r="E42" s="165"/>
      <c r="F42" s="165"/>
      <c r="G42" s="166">
        <v>37</v>
      </c>
      <c r="H42" s="167"/>
      <c r="I42" s="166">
        <f t="shared" si="4"/>
        <v>969</v>
      </c>
      <c r="J42" s="168">
        <f t="shared" si="4"/>
        <v>9</v>
      </c>
      <c r="K42" s="169"/>
      <c r="L42" s="165">
        <v>2</v>
      </c>
      <c r="M42" s="165"/>
      <c r="N42" s="165">
        <v>3</v>
      </c>
      <c r="O42" s="165"/>
      <c r="P42" s="165">
        <v>32</v>
      </c>
      <c r="Q42" s="170"/>
      <c r="R42" s="171">
        <f t="shared" si="7"/>
        <v>37</v>
      </c>
      <c r="S42" s="172">
        <f t="shared" si="7"/>
        <v>0</v>
      </c>
      <c r="T42" s="169"/>
      <c r="U42" s="173">
        <f>L42*12+N42*12+P42*12</f>
        <v>444</v>
      </c>
      <c r="V42" s="174">
        <f>U42/12</f>
        <v>37</v>
      </c>
      <c r="W42" s="175">
        <f>I42*12+J42</f>
        <v>11637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29382</v>
      </c>
      <c r="D44" s="114"/>
      <c r="E44" s="115"/>
      <c r="F44" s="115"/>
      <c r="G44" s="78">
        <v>1375</v>
      </c>
      <c r="H44" s="79"/>
      <c r="I44" s="73">
        <f>C44+E44-G44</f>
        <v>28007</v>
      </c>
      <c r="J44" s="177">
        <f t="shared" si="4"/>
        <v>0</v>
      </c>
      <c r="K44" s="51"/>
      <c r="L44" s="121">
        <v>535</v>
      </c>
      <c r="M44" s="121"/>
      <c r="N44" s="121">
        <v>317</v>
      </c>
      <c r="O44" s="121"/>
      <c r="P44" s="121">
        <v>523</v>
      </c>
      <c r="Q44" s="122"/>
      <c r="R44" s="178">
        <f t="shared" si="7"/>
        <v>1375</v>
      </c>
      <c r="S44" s="179">
        <f t="shared" si="7"/>
        <v>0</v>
      </c>
      <c r="T44" s="51"/>
      <c r="U44" s="131">
        <f>L44*6+N44*6+P44*6</f>
        <v>8250</v>
      </c>
      <c r="V44" s="130">
        <f>U44/6</f>
        <v>1375</v>
      </c>
      <c r="W44" s="133">
        <f>I44*6+J44</f>
        <v>168042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2842</v>
      </c>
      <c r="D48" s="142">
        <v>4</v>
      </c>
      <c r="E48" s="121"/>
      <c r="F48" s="121"/>
      <c r="G48" s="143"/>
      <c r="H48" s="139"/>
      <c r="I48" s="139">
        <f t="shared" si="4"/>
        <v>2842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17056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41763</v>
      </c>
      <c r="D60" s="54">
        <f>SUM(D8:D59)</f>
        <v>147</v>
      </c>
      <c r="E60" s="44">
        <f>SUM(E8:E59)</f>
        <v>0</v>
      </c>
      <c r="F60" s="44"/>
      <c r="G60" s="28">
        <f>SUM(G8:G59)</f>
        <v>1507</v>
      </c>
      <c r="H60" s="56">
        <f>SUM(H8:H59)</f>
        <v>37</v>
      </c>
      <c r="I60" s="56">
        <f>SUM(I8:I59)</f>
        <v>40256</v>
      </c>
      <c r="J60" s="45">
        <f>SUM(J8:J59)</f>
        <v>110</v>
      </c>
      <c r="K60" s="46"/>
      <c r="L60" s="74">
        <f t="shared" ref="L60:S60" si="20">SUM(L8:L59)</f>
        <v>564</v>
      </c>
      <c r="M60" s="74">
        <f t="shared" si="20"/>
        <v>15</v>
      </c>
      <c r="N60" s="74">
        <f t="shared" si="20"/>
        <v>344</v>
      </c>
      <c r="O60" s="74">
        <f t="shared" si="20"/>
        <v>20</v>
      </c>
      <c r="P60" s="74">
        <f t="shared" si="20"/>
        <v>599</v>
      </c>
      <c r="Q60" s="75">
        <f t="shared" si="20"/>
        <v>2</v>
      </c>
      <c r="R60" s="85">
        <f t="shared" si="20"/>
        <v>1507</v>
      </c>
      <c r="S60" s="84">
        <f t="shared" si="20"/>
        <v>37</v>
      </c>
      <c r="T60" s="46"/>
      <c r="U60" s="43">
        <f>SUM(U8:U59)</f>
        <v>10056</v>
      </c>
      <c r="V60" s="102">
        <f>SUM(V8:V59)</f>
        <v>1507</v>
      </c>
      <c r="W60" s="180">
        <f>SUM(W8:W59)</f>
        <v>329504</v>
      </c>
      <c r="X60" s="45"/>
    </row>
    <row r="61" spans="1:24" ht="19.5" thickBot="1" x14ac:dyDescent="0.3">
      <c r="V61" s="103"/>
    </row>
    <row r="62" spans="1:24" ht="18.75" customHeight="1" x14ac:dyDescent="0.25">
      <c r="G62" s="19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7" t="s">
        <v>3</v>
      </c>
      <c r="D69" s="18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18521-30C6-4E9C-952F-E7D2A7665E71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14062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4">
        <v>46125</v>
      </c>
      <c r="Q1" s="205"/>
      <c r="R1" s="205"/>
      <c r="S1" s="205"/>
      <c r="T1" s="205"/>
      <c r="U1" s="205"/>
      <c r="V1" s="205"/>
      <c r="W1" s="205"/>
      <c r="X1" s="20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7" t="s">
        <v>74</v>
      </c>
      <c r="C4" s="208" t="s">
        <v>3</v>
      </c>
      <c r="D4" s="209" t="s">
        <v>75</v>
      </c>
      <c r="E4" s="210" t="s">
        <v>4</v>
      </c>
      <c r="F4" s="211"/>
      <c r="G4" s="212" t="s">
        <v>5</v>
      </c>
      <c r="H4" s="214" t="s">
        <v>75</v>
      </c>
      <c r="I4" s="216" t="s">
        <v>6</v>
      </c>
      <c r="J4" s="214" t="s">
        <v>75</v>
      </c>
      <c r="L4" s="218" t="s">
        <v>7</v>
      </c>
      <c r="M4" s="219"/>
      <c r="N4" s="219"/>
      <c r="O4" s="219"/>
      <c r="P4" s="219"/>
      <c r="Q4" s="219"/>
      <c r="R4" s="219"/>
      <c r="S4" s="219"/>
      <c r="T4" s="219"/>
      <c r="U4" s="219"/>
      <c r="V4" s="220"/>
      <c r="W4" s="219"/>
      <c r="X4" s="221"/>
    </row>
    <row r="5" spans="1:60" s="3" customFormat="1" ht="57" thickBot="1" x14ac:dyDescent="0.3">
      <c r="A5" s="49"/>
      <c r="B5" s="207"/>
      <c r="C5" s="208"/>
      <c r="D5" s="209"/>
      <c r="E5" s="48" t="s">
        <v>8</v>
      </c>
      <c r="F5" s="186" t="s">
        <v>9</v>
      </c>
      <c r="G5" s="213"/>
      <c r="H5" s="215"/>
      <c r="I5" s="217"/>
      <c r="J5" s="21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50</v>
      </c>
      <c r="D8" s="111">
        <v>19</v>
      </c>
      <c r="E8" s="112"/>
      <c r="F8" s="112"/>
      <c r="G8" s="76"/>
      <c r="H8" s="73"/>
      <c r="I8" s="73">
        <f>C8-G8</f>
        <v>50</v>
      </c>
      <c r="J8" s="77">
        <f t="shared" ref="J8:J12" si="0">D8-H8</f>
        <v>19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1219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103</v>
      </c>
      <c r="D9" s="114"/>
      <c r="E9" s="115"/>
      <c r="F9" s="115"/>
      <c r="G9" s="78"/>
      <c r="H9" s="79"/>
      <c r="I9" s="78">
        <f t="shared" ref="I9:J59" si="4">C9-G9</f>
        <v>103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2472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87</v>
      </c>
      <c r="D10" s="111"/>
      <c r="E10" s="112"/>
      <c r="F10" s="112"/>
      <c r="G10" s="76"/>
      <c r="H10" s="73"/>
      <c r="I10" s="73">
        <f t="shared" si="4"/>
        <v>87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2088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/>
      <c r="E12" s="112"/>
      <c r="F12" s="112"/>
      <c r="G12" s="76"/>
      <c r="H12" s="73"/>
      <c r="I12" s="73">
        <f t="shared" si="4"/>
        <v>5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3559</v>
      </c>
      <c r="D13" s="114">
        <v>6</v>
      </c>
      <c r="E13" s="115"/>
      <c r="F13" s="115"/>
      <c r="G13" s="78">
        <v>23</v>
      </c>
      <c r="H13" s="79">
        <v>40</v>
      </c>
      <c r="I13" s="80">
        <f t="shared" si="4"/>
        <v>3536</v>
      </c>
      <c r="J13" s="94">
        <f>D13-H13</f>
        <v>-34</v>
      </c>
      <c r="K13" s="53"/>
      <c r="L13" s="121"/>
      <c r="M13" s="121">
        <v>22</v>
      </c>
      <c r="N13" s="121">
        <v>15</v>
      </c>
      <c r="O13" s="121">
        <v>15</v>
      </c>
      <c r="P13" s="121">
        <v>8</v>
      </c>
      <c r="Q13" s="122">
        <v>3</v>
      </c>
      <c r="R13" s="97">
        <f>L13+N13+P13</f>
        <v>23</v>
      </c>
      <c r="S13" s="125">
        <f>M13+O13+Q13</f>
        <v>40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84830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30</v>
      </c>
      <c r="D26" s="111">
        <v>1</v>
      </c>
      <c r="E26" s="112"/>
      <c r="F26" s="112"/>
      <c r="G26" s="76"/>
      <c r="H26" s="73"/>
      <c r="I26" s="73">
        <f t="shared" si="4"/>
        <v>30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721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</v>
      </c>
      <c r="D29" s="111"/>
      <c r="E29" s="112"/>
      <c r="F29" s="112"/>
      <c r="G29" s="76">
        <v>4</v>
      </c>
      <c r="H29" s="73"/>
      <c r="I29" s="73">
        <f t="shared" si="4"/>
        <v>9</v>
      </c>
      <c r="J29" s="77">
        <f t="shared" si="4"/>
        <v>0</v>
      </c>
      <c r="K29" s="42"/>
      <c r="L29" s="112"/>
      <c r="M29" s="112"/>
      <c r="N29" s="112">
        <v>3</v>
      </c>
      <c r="O29" s="112"/>
      <c r="P29" s="112">
        <v>1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216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65</v>
      </c>
      <c r="D30" s="111"/>
      <c r="E30" s="112"/>
      <c r="F30" s="112"/>
      <c r="G30" s="76"/>
      <c r="H30" s="73"/>
      <c r="I30" s="73">
        <f t="shared" si="4"/>
        <v>65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1560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40</v>
      </c>
      <c r="D31" s="111"/>
      <c r="E31" s="112"/>
      <c r="F31" s="112"/>
      <c r="G31" s="76"/>
      <c r="H31" s="73"/>
      <c r="I31" s="73">
        <f t="shared" si="4"/>
        <v>40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960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/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/>
      <c r="H34" s="73"/>
      <c r="I34" s="73">
        <f t="shared" si="4"/>
        <v>4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109</v>
      </c>
      <c r="D35" s="111">
        <v>1</v>
      </c>
      <c r="E35" s="112"/>
      <c r="F35" s="112"/>
      <c r="G35" s="76"/>
      <c r="H35" s="73"/>
      <c r="I35" s="73">
        <f t="shared" si="4"/>
        <v>109</v>
      </c>
      <c r="J35" s="77">
        <f t="shared" si="4"/>
        <v>1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2617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3777</v>
      </c>
      <c r="D38" s="114">
        <v>2</v>
      </c>
      <c r="E38" s="115"/>
      <c r="F38" s="115"/>
      <c r="G38" s="78">
        <v>70</v>
      </c>
      <c r="H38" s="79"/>
      <c r="I38" s="139">
        <f t="shared" si="4"/>
        <v>3707</v>
      </c>
      <c r="J38" s="140">
        <f t="shared" si="4"/>
        <v>2</v>
      </c>
      <c r="K38" s="51"/>
      <c r="L38" s="121"/>
      <c r="M38" s="121"/>
      <c r="N38" s="121">
        <v>13</v>
      </c>
      <c r="O38" s="121"/>
      <c r="P38" s="121">
        <v>57</v>
      </c>
      <c r="Q38" s="122"/>
      <c r="R38" s="97">
        <f t="shared" si="7"/>
        <v>70</v>
      </c>
      <c r="S38" s="125">
        <f t="shared" si="7"/>
        <v>0</v>
      </c>
      <c r="T38" s="51"/>
      <c r="U38" s="131">
        <f>L38*6+N38*6+P38*6</f>
        <v>420</v>
      </c>
      <c r="V38" s="135">
        <f>U38/6</f>
        <v>70</v>
      </c>
      <c r="W38" s="133">
        <f>I38*6+J38</f>
        <v>22244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323</v>
      </c>
      <c r="D41" s="147">
        <v>20</v>
      </c>
      <c r="E41" s="148"/>
      <c r="F41" s="148"/>
      <c r="G41" s="149"/>
      <c r="H41" s="150"/>
      <c r="I41" s="151">
        <f t="shared" si="4"/>
        <v>323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7772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957</v>
      </c>
      <c r="D42" s="164"/>
      <c r="E42" s="165"/>
      <c r="F42" s="165"/>
      <c r="G42" s="166">
        <v>14</v>
      </c>
      <c r="H42" s="167"/>
      <c r="I42" s="166">
        <f t="shared" si="4"/>
        <v>943</v>
      </c>
      <c r="J42" s="168">
        <f t="shared" si="4"/>
        <v>0</v>
      </c>
      <c r="K42" s="169"/>
      <c r="L42" s="165"/>
      <c r="M42" s="165"/>
      <c r="N42" s="165"/>
      <c r="O42" s="165"/>
      <c r="P42" s="165">
        <v>14</v>
      </c>
      <c r="Q42" s="170"/>
      <c r="R42" s="171">
        <f t="shared" si="7"/>
        <v>14</v>
      </c>
      <c r="S42" s="172">
        <f t="shared" si="7"/>
        <v>0</v>
      </c>
      <c r="T42" s="169"/>
      <c r="U42" s="173">
        <f>L42*12+N42*12+P42*12</f>
        <v>168</v>
      </c>
      <c r="V42" s="174">
        <f>U42/12</f>
        <v>14</v>
      </c>
      <c r="W42" s="175">
        <f>I42*12+J42</f>
        <v>11316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f>27305</f>
        <v>27305</v>
      </c>
      <c r="D44" s="114"/>
      <c r="E44" s="115"/>
      <c r="F44" s="115"/>
      <c r="G44" s="78">
        <v>1051</v>
      </c>
      <c r="H44" s="79"/>
      <c r="I44" s="73">
        <f>C44+E44-G44</f>
        <v>26254</v>
      </c>
      <c r="J44" s="177">
        <f t="shared" si="4"/>
        <v>0</v>
      </c>
      <c r="K44" s="51"/>
      <c r="L44" s="121">
        <v>316</v>
      </c>
      <c r="M44" s="121"/>
      <c r="N44" s="121">
        <v>377</v>
      </c>
      <c r="O44" s="121"/>
      <c r="P44" s="121">
        <v>358</v>
      </c>
      <c r="Q44" s="122"/>
      <c r="R44" s="178">
        <f t="shared" si="7"/>
        <v>1051</v>
      </c>
      <c r="S44" s="179">
        <f t="shared" si="7"/>
        <v>0</v>
      </c>
      <c r="T44" s="51"/>
      <c r="U44" s="131">
        <f>L44*6+N44*6+P44*6</f>
        <v>6306</v>
      </c>
      <c r="V44" s="130">
        <f>U44/6</f>
        <v>1051</v>
      </c>
      <c r="W44" s="133">
        <f>I44*6+J44</f>
        <v>157524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2841</v>
      </c>
      <c r="D48" s="142">
        <v>4</v>
      </c>
      <c r="E48" s="121"/>
      <c r="F48" s="121"/>
      <c r="G48" s="143"/>
      <c r="H48" s="139"/>
      <c r="I48" s="139">
        <f t="shared" si="4"/>
        <v>2841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17050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39424</v>
      </c>
      <c r="D60" s="54">
        <f>SUM(D8:D59)</f>
        <v>144</v>
      </c>
      <c r="E60" s="44">
        <f>SUM(E8:E59)</f>
        <v>0</v>
      </c>
      <c r="F60" s="44"/>
      <c r="G60" s="28">
        <f>SUM(G8:G59)</f>
        <v>1162</v>
      </c>
      <c r="H60" s="56">
        <f>SUM(H8:H59)</f>
        <v>40</v>
      </c>
      <c r="I60" s="56">
        <f>SUM(I8:I59)</f>
        <v>38262</v>
      </c>
      <c r="J60" s="45">
        <f>SUM(J8:J59)</f>
        <v>104</v>
      </c>
      <c r="K60" s="46"/>
      <c r="L60" s="74">
        <f t="shared" ref="L60:S60" si="20">SUM(L8:L59)</f>
        <v>316</v>
      </c>
      <c r="M60" s="74">
        <f t="shared" si="20"/>
        <v>22</v>
      </c>
      <c r="N60" s="74">
        <f t="shared" si="20"/>
        <v>408</v>
      </c>
      <c r="O60" s="74">
        <f t="shared" si="20"/>
        <v>15</v>
      </c>
      <c r="P60" s="74">
        <f t="shared" si="20"/>
        <v>438</v>
      </c>
      <c r="Q60" s="75">
        <f t="shared" si="20"/>
        <v>3</v>
      </c>
      <c r="R60" s="85">
        <f t="shared" si="20"/>
        <v>1162</v>
      </c>
      <c r="S60" s="84">
        <f t="shared" si="20"/>
        <v>40</v>
      </c>
      <c r="T60" s="46"/>
      <c r="U60" s="43">
        <f>SUM(U8:U59)</f>
        <v>7542</v>
      </c>
      <c r="V60" s="102">
        <f>SUM(V8:V59)</f>
        <v>1162</v>
      </c>
      <c r="W60" s="180">
        <f>SUM(W8:W59)</f>
        <v>316028</v>
      </c>
      <c r="X60" s="45"/>
    </row>
    <row r="61" spans="1:24" ht="19.5" thickBot="1" x14ac:dyDescent="0.3">
      <c r="V61" s="103"/>
    </row>
    <row r="62" spans="1:24" ht="18.75" customHeight="1" x14ac:dyDescent="0.25">
      <c r="G62" s="19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32E16-B4D4-47C5-ADDB-2F0F21F00F0F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14062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4">
        <v>46127</v>
      </c>
      <c r="Q1" s="205"/>
      <c r="R1" s="205"/>
      <c r="S1" s="205"/>
      <c r="T1" s="205"/>
      <c r="U1" s="205"/>
      <c r="V1" s="205"/>
      <c r="W1" s="205"/>
      <c r="X1" s="20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7" t="s">
        <v>74</v>
      </c>
      <c r="C4" s="208" t="s">
        <v>3</v>
      </c>
      <c r="D4" s="209" t="s">
        <v>75</v>
      </c>
      <c r="E4" s="210" t="s">
        <v>4</v>
      </c>
      <c r="F4" s="211"/>
      <c r="G4" s="212" t="s">
        <v>5</v>
      </c>
      <c r="H4" s="214" t="s">
        <v>75</v>
      </c>
      <c r="I4" s="216" t="s">
        <v>6</v>
      </c>
      <c r="J4" s="214" t="s">
        <v>75</v>
      </c>
      <c r="L4" s="218" t="s">
        <v>7</v>
      </c>
      <c r="M4" s="219"/>
      <c r="N4" s="219"/>
      <c r="O4" s="219"/>
      <c r="P4" s="219"/>
      <c r="Q4" s="219"/>
      <c r="R4" s="219"/>
      <c r="S4" s="219"/>
      <c r="T4" s="219"/>
      <c r="U4" s="219"/>
      <c r="V4" s="220"/>
      <c r="W4" s="219"/>
      <c r="X4" s="221"/>
    </row>
    <row r="5" spans="1:60" s="3" customFormat="1" ht="57" thickBot="1" x14ac:dyDescent="0.3">
      <c r="A5" s="49"/>
      <c r="B5" s="207"/>
      <c r="C5" s="208"/>
      <c r="D5" s="209"/>
      <c r="E5" s="48" t="s">
        <v>8</v>
      </c>
      <c r="F5" s="192" t="s">
        <v>9</v>
      </c>
      <c r="G5" s="213"/>
      <c r="H5" s="215"/>
      <c r="I5" s="217"/>
      <c r="J5" s="21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45</v>
      </c>
      <c r="D8" s="111">
        <v>19</v>
      </c>
      <c r="E8" s="112"/>
      <c r="F8" s="112"/>
      <c r="G8" s="76"/>
      <c r="H8" s="73"/>
      <c r="I8" s="73">
        <f>C8-G8</f>
        <v>45</v>
      </c>
      <c r="J8" s="77">
        <f t="shared" ref="J8:J12" si="0">D8-H8</f>
        <v>19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1099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102</v>
      </c>
      <c r="D9" s="114"/>
      <c r="E9" s="115"/>
      <c r="F9" s="115"/>
      <c r="G9" s="78">
        <v>1</v>
      </c>
      <c r="H9" s="79"/>
      <c r="I9" s="78">
        <f t="shared" ref="I9:J59" si="4">C9-G9</f>
        <v>101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2424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80</v>
      </c>
      <c r="D10" s="111"/>
      <c r="E10" s="112"/>
      <c r="F10" s="112"/>
      <c r="G10" s="76">
        <v>5</v>
      </c>
      <c r="H10" s="73"/>
      <c r="I10" s="73">
        <f t="shared" si="4"/>
        <v>75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3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1800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/>
      <c r="E12" s="112"/>
      <c r="F12" s="112"/>
      <c r="G12" s="76"/>
      <c r="H12" s="73"/>
      <c r="I12" s="73">
        <f t="shared" si="4"/>
        <v>5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3499</v>
      </c>
      <c r="D13" s="114">
        <v>14</v>
      </c>
      <c r="E13" s="115"/>
      <c r="F13" s="115"/>
      <c r="G13" s="78">
        <v>43</v>
      </c>
      <c r="H13" s="79">
        <v>37</v>
      </c>
      <c r="I13" s="80">
        <f t="shared" si="4"/>
        <v>3456</v>
      </c>
      <c r="J13" s="94">
        <f>D13-H13</f>
        <v>-23</v>
      </c>
      <c r="K13" s="53"/>
      <c r="L13" s="121">
        <v>13</v>
      </c>
      <c r="M13" s="121">
        <v>21</v>
      </c>
      <c r="N13" s="121">
        <v>13</v>
      </c>
      <c r="O13" s="121">
        <v>3</v>
      </c>
      <c r="P13" s="121">
        <v>17</v>
      </c>
      <c r="Q13" s="122">
        <v>13</v>
      </c>
      <c r="R13" s="97">
        <f>L13+N13+P13</f>
        <v>43</v>
      </c>
      <c r="S13" s="125">
        <f>M13+O13+Q13</f>
        <v>37</v>
      </c>
      <c r="T13" s="53"/>
      <c r="U13" s="131">
        <f>L13*24+N13*24+P13*24</f>
        <v>1032</v>
      </c>
      <c r="V13" s="135">
        <f t="shared" si="6"/>
        <v>43</v>
      </c>
      <c r="W13" s="133">
        <f>I13*24+J13</f>
        <v>82921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</v>
      </c>
      <c r="D26" s="111">
        <v>1</v>
      </c>
      <c r="E26" s="112"/>
      <c r="F26" s="112"/>
      <c r="G26" s="76">
        <v>4</v>
      </c>
      <c r="H26" s="73"/>
      <c r="I26" s="73">
        <f t="shared" si="4"/>
        <v>6</v>
      </c>
      <c r="J26" s="77">
        <f t="shared" si="4"/>
        <v>1</v>
      </c>
      <c r="K26" s="41"/>
      <c r="L26" s="112">
        <v>3</v>
      </c>
      <c r="M26" s="112"/>
      <c r="N26" s="112"/>
      <c r="O26" s="112"/>
      <c r="P26" s="112">
        <v>1</v>
      </c>
      <c r="Q26" s="120"/>
      <c r="R26" s="86">
        <f t="shared" si="7"/>
        <v>4</v>
      </c>
      <c r="S26" s="124">
        <f t="shared" si="7"/>
        <v>0</v>
      </c>
      <c r="T26" s="41"/>
      <c r="U26" s="107">
        <f t="shared" si="5"/>
        <v>96</v>
      </c>
      <c r="V26" s="130">
        <f t="shared" si="6"/>
        <v>4</v>
      </c>
      <c r="W26" s="129">
        <f t="shared" si="8"/>
        <v>145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</v>
      </c>
      <c r="D29" s="111"/>
      <c r="E29" s="112"/>
      <c r="F29" s="112"/>
      <c r="G29" s="76">
        <v>3</v>
      </c>
      <c r="H29" s="73"/>
      <c r="I29" s="73">
        <f t="shared" si="4"/>
        <v>1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>
        <v>2</v>
      </c>
      <c r="Q29" s="120"/>
      <c r="R29" s="86">
        <f t="shared" si="7"/>
        <v>3</v>
      </c>
      <c r="S29" s="124">
        <f t="shared" si="7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8"/>
        <v>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64</v>
      </c>
      <c r="D30" s="111"/>
      <c r="E30" s="112"/>
      <c r="F30" s="112"/>
      <c r="G30" s="76">
        <v>3</v>
      </c>
      <c r="H30" s="73"/>
      <c r="I30" s="73">
        <f t="shared" si="4"/>
        <v>61</v>
      </c>
      <c r="J30" s="77">
        <f t="shared" si="4"/>
        <v>0</v>
      </c>
      <c r="K30" s="41"/>
      <c r="L30" s="112">
        <v>2</v>
      </c>
      <c r="M30" s="112"/>
      <c r="N30" s="112"/>
      <c r="O30" s="112"/>
      <c r="P30" s="112">
        <v>1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1464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39</v>
      </c>
      <c r="D31" s="111"/>
      <c r="E31" s="112"/>
      <c r="F31" s="112"/>
      <c r="G31" s="76">
        <v>3</v>
      </c>
      <c r="H31" s="73"/>
      <c r="I31" s="73">
        <f t="shared" si="4"/>
        <v>36</v>
      </c>
      <c r="J31" s="77">
        <f t="shared" si="4"/>
        <v>0</v>
      </c>
      <c r="K31" s="41"/>
      <c r="L31" s="112">
        <v>2</v>
      </c>
      <c r="M31" s="112"/>
      <c r="N31" s="112"/>
      <c r="O31" s="112"/>
      <c r="P31" s="112">
        <v>1</v>
      </c>
      <c r="Q31" s="120"/>
      <c r="R31" s="86">
        <f t="shared" si="7"/>
        <v>3</v>
      </c>
      <c r="S31" s="124">
        <f t="shared" si="7"/>
        <v>0</v>
      </c>
      <c r="T31" s="41"/>
      <c r="U31" s="107">
        <f t="shared" si="5"/>
        <v>72</v>
      </c>
      <c r="V31" s="130">
        <f t="shared" si="6"/>
        <v>3</v>
      </c>
      <c r="W31" s="129">
        <f t="shared" si="8"/>
        <v>864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/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/>
      <c r="H34" s="73"/>
      <c r="I34" s="73">
        <f t="shared" si="4"/>
        <v>4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108</v>
      </c>
      <c r="D35" s="111">
        <v>1</v>
      </c>
      <c r="E35" s="112"/>
      <c r="F35" s="112"/>
      <c r="G35" s="76">
        <v>11</v>
      </c>
      <c r="H35" s="73"/>
      <c r="I35" s="73">
        <f t="shared" si="4"/>
        <v>97</v>
      </c>
      <c r="J35" s="77">
        <f t="shared" si="4"/>
        <v>1</v>
      </c>
      <c r="K35" s="41"/>
      <c r="L35" s="112">
        <v>10</v>
      </c>
      <c r="M35" s="112"/>
      <c r="N35" s="112">
        <v>1</v>
      </c>
      <c r="O35" s="112"/>
      <c r="P35" s="112"/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2329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3571</v>
      </c>
      <c r="D38" s="114">
        <v>2</v>
      </c>
      <c r="E38" s="115"/>
      <c r="F38" s="115"/>
      <c r="G38" s="78">
        <v>165</v>
      </c>
      <c r="H38" s="79"/>
      <c r="I38" s="139">
        <f t="shared" si="4"/>
        <v>3406</v>
      </c>
      <c r="J38" s="140">
        <f t="shared" si="4"/>
        <v>2</v>
      </c>
      <c r="K38" s="51"/>
      <c r="L38" s="121">
        <v>10</v>
      </c>
      <c r="M38" s="121"/>
      <c r="N38" s="121">
        <v>35</v>
      </c>
      <c r="O38" s="121"/>
      <c r="P38" s="121">
        <v>120</v>
      </c>
      <c r="Q38" s="122"/>
      <c r="R38" s="97">
        <f t="shared" si="7"/>
        <v>165</v>
      </c>
      <c r="S38" s="125">
        <f t="shared" si="7"/>
        <v>0</v>
      </c>
      <c r="T38" s="51"/>
      <c r="U38" s="131">
        <f>L38*6+N38*6+P38*6</f>
        <v>990</v>
      </c>
      <c r="V38" s="135">
        <f>U38/6</f>
        <v>165</v>
      </c>
      <c r="W38" s="133">
        <f>I38*6+J38</f>
        <v>20438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323</v>
      </c>
      <c r="D41" s="147">
        <v>20</v>
      </c>
      <c r="E41" s="148"/>
      <c r="F41" s="148"/>
      <c r="G41" s="149">
        <v>70</v>
      </c>
      <c r="H41" s="150"/>
      <c r="I41" s="151">
        <f t="shared" si="4"/>
        <v>253</v>
      </c>
      <c r="J41" s="152">
        <f t="shared" si="4"/>
        <v>20</v>
      </c>
      <c r="K41" s="153"/>
      <c r="L41" s="154">
        <v>65</v>
      </c>
      <c r="M41" s="154"/>
      <c r="N41" s="154">
        <v>5</v>
      </c>
      <c r="O41" s="154"/>
      <c r="P41" s="154"/>
      <c r="Q41" s="155"/>
      <c r="R41" s="156">
        <f t="shared" si="7"/>
        <v>70</v>
      </c>
      <c r="S41" s="157">
        <f t="shared" si="7"/>
        <v>0</v>
      </c>
      <c r="T41" s="153"/>
      <c r="U41" s="158">
        <f t="shared" si="9"/>
        <v>1680</v>
      </c>
      <c r="V41" s="159">
        <f t="shared" si="6"/>
        <v>70</v>
      </c>
      <c r="W41" s="159">
        <f t="shared" si="10"/>
        <v>6092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896</v>
      </c>
      <c r="D42" s="164"/>
      <c r="E42" s="165"/>
      <c r="F42" s="165"/>
      <c r="G42" s="166">
        <v>45</v>
      </c>
      <c r="H42" s="167"/>
      <c r="I42" s="166">
        <f t="shared" si="4"/>
        <v>851</v>
      </c>
      <c r="J42" s="168">
        <f t="shared" si="4"/>
        <v>0</v>
      </c>
      <c r="K42" s="169"/>
      <c r="L42" s="165">
        <v>24</v>
      </c>
      <c r="M42" s="165"/>
      <c r="N42" s="165">
        <v>1</v>
      </c>
      <c r="O42" s="165"/>
      <c r="P42" s="165">
        <v>20</v>
      </c>
      <c r="Q42" s="170"/>
      <c r="R42" s="171">
        <f t="shared" si="7"/>
        <v>45</v>
      </c>
      <c r="S42" s="172">
        <f t="shared" si="7"/>
        <v>0</v>
      </c>
      <c r="T42" s="169"/>
      <c r="U42" s="173">
        <f>L42*12+N42*12+P42*12</f>
        <v>540</v>
      </c>
      <c r="V42" s="174">
        <f>U42/12</f>
        <v>45</v>
      </c>
      <c r="W42" s="175">
        <f>I42*12+J42</f>
        <v>10212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25126</v>
      </c>
      <c r="D44" s="114"/>
      <c r="E44" s="115"/>
      <c r="F44" s="115"/>
      <c r="G44" s="78">
        <v>1235</v>
      </c>
      <c r="H44" s="79"/>
      <c r="I44" s="73">
        <f>C44+E44-G44</f>
        <v>23891</v>
      </c>
      <c r="J44" s="177">
        <f t="shared" si="4"/>
        <v>0</v>
      </c>
      <c r="K44" s="51"/>
      <c r="L44" s="121">
        <v>331</v>
      </c>
      <c r="M44" s="121"/>
      <c r="N44" s="121">
        <v>338</v>
      </c>
      <c r="O44" s="121"/>
      <c r="P44" s="121">
        <v>566</v>
      </c>
      <c r="Q44" s="122"/>
      <c r="R44" s="178">
        <f t="shared" si="7"/>
        <v>1235</v>
      </c>
      <c r="S44" s="179">
        <f t="shared" si="7"/>
        <v>0</v>
      </c>
      <c r="T44" s="51"/>
      <c r="U44" s="131">
        <f>L44*6+N44*6+P44*6</f>
        <v>7410</v>
      </c>
      <c r="V44" s="130">
        <f>U44/6</f>
        <v>1235</v>
      </c>
      <c r="W44" s="133">
        <f>I44*6+J44</f>
        <v>143346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2841</v>
      </c>
      <c r="D48" s="142">
        <v>4</v>
      </c>
      <c r="E48" s="121"/>
      <c r="F48" s="121"/>
      <c r="G48" s="143">
        <v>5</v>
      </c>
      <c r="H48" s="139"/>
      <c r="I48" s="139">
        <f t="shared" si="4"/>
        <v>2836</v>
      </c>
      <c r="J48" s="140">
        <f t="shared" si="4"/>
        <v>4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7"/>
        <v>5</v>
      </c>
      <c r="S48" s="144">
        <f t="shared" si="7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17020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36873</v>
      </c>
      <c r="D60" s="54">
        <f>SUM(D8:D59)</f>
        <v>152</v>
      </c>
      <c r="E60" s="44">
        <f>SUM(E8:E59)</f>
        <v>0</v>
      </c>
      <c r="F60" s="44"/>
      <c r="G60" s="28">
        <f>SUM(G8:G59)</f>
        <v>1593</v>
      </c>
      <c r="H60" s="56">
        <f>SUM(H8:H59)</f>
        <v>37</v>
      </c>
      <c r="I60" s="56">
        <f>SUM(I8:I59)</f>
        <v>35280</v>
      </c>
      <c r="J60" s="45">
        <f>SUM(J8:J59)</f>
        <v>115</v>
      </c>
      <c r="K60" s="46"/>
      <c r="L60" s="74">
        <f t="shared" ref="L60:S60" si="20">SUM(L8:L59)</f>
        <v>467</v>
      </c>
      <c r="M60" s="74">
        <f t="shared" si="20"/>
        <v>21</v>
      </c>
      <c r="N60" s="74">
        <f t="shared" si="20"/>
        <v>394</v>
      </c>
      <c r="O60" s="74">
        <f t="shared" si="20"/>
        <v>3</v>
      </c>
      <c r="P60" s="74">
        <f t="shared" si="20"/>
        <v>732</v>
      </c>
      <c r="Q60" s="75">
        <f t="shared" si="20"/>
        <v>13</v>
      </c>
      <c r="R60" s="85">
        <f t="shared" si="20"/>
        <v>1593</v>
      </c>
      <c r="S60" s="84">
        <f t="shared" si="20"/>
        <v>37</v>
      </c>
      <c r="T60" s="46"/>
      <c r="U60" s="43">
        <f>SUM(U8:U59)</f>
        <v>12402</v>
      </c>
      <c r="V60" s="102">
        <f>SUM(V8:V59)</f>
        <v>1593</v>
      </c>
      <c r="W60" s="180">
        <f>SUM(W8:W59)</f>
        <v>293617</v>
      </c>
      <c r="X60" s="45"/>
    </row>
    <row r="61" spans="1:24" ht="19.5" thickBot="1" x14ac:dyDescent="0.3">
      <c r="V61" s="103"/>
    </row>
    <row r="62" spans="1:24" ht="18.75" customHeight="1" x14ac:dyDescent="0.25">
      <c r="G62" s="19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0" t="s">
        <v>3</v>
      </c>
      <c r="D69" s="19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75480-FCD6-4884-AC5D-70E16A571076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S56" sqref="S5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4">
        <v>46128</v>
      </c>
      <c r="Q1" s="205"/>
      <c r="R1" s="205"/>
      <c r="S1" s="205"/>
      <c r="T1" s="205"/>
      <c r="U1" s="205"/>
      <c r="V1" s="205"/>
      <c r="W1" s="205"/>
      <c r="X1" s="20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7" t="s">
        <v>74</v>
      </c>
      <c r="C4" s="208" t="s">
        <v>3</v>
      </c>
      <c r="D4" s="209" t="s">
        <v>75</v>
      </c>
      <c r="E4" s="210" t="s">
        <v>4</v>
      </c>
      <c r="F4" s="211"/>
      <c r="G4" s="212" t="s">
        <v>5</v>
      </c>
      <c r="H4" s="214" t="s">
        <v>75</v>
      </c>
      <c r="I4" s="216" t="s">
        <v>6</v>
      </c>
      <c r="J4" s="214" t="s">
        <v>75</v>
      </c>
      <c r="L4" s="218" t="s">
        <v>7</v>
      </c>
      <c r="M4" s="219"/>
      <c r="N4" s="219"/>
      <c r="O4" s="219"/>
      <c r="P4" s="219"/>
      <c r="Q4" s="219"/>
      <c r="R4" s="219"/>
      <c r="S4" s="219"/>
      <c r="T4" s="219"/>
      <c r="U4" s="219"/>
      <c r="V4" s="220"/>
      <c r="W4" s="219"/>
      <c r="X4" s="221"/>
    </row>
    <row r="5" spans="1:60" s="3" customFormat="1" ht="57" thickBot="1" x14ac:dyDescent="0.3">
      <c r="A5" s="49"/>
      <c r="B5" s="207"/>
      <c r="C5" s="208"/>
      <c r="D5" s="209"/>
      <c r="E5" s="48" t="s">
        <v>8</v>
      </c>
      <c r="F5" s="195" t="s">
        <v>9</v>
      </c>
      <c r="G5" s="213"/>
      <c r="H5" s="215"/>
      <c r="I5" s="217"/>
      <c r="J5" s="21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45</v>
      </c>
      <c r="D8" s="111">
        <v>19</v>
      </c>
      <c r="E8" s="112"/>
      <c r="F8" s="112"/>
      <c r="G8" s="76">
        <v>3</v>
      </c>
      <c r="H8" s="73"/>
      <c r="I8" s="73">
        <f>C8-G8</f>
        <v>42</v>
      </c>
      <c r="J8" s="77">
        <f t="shared" ref="J8:J12" si="0">D8-H8</f>
        <v>19</v>
      </c>
      <c r="K8" s="41"/>
      <c r="L8" s="112">
        <v>2</v>
      </c>
      <c r="M8" s="112"/>
      <c r="N8" s="112"/>
      <c r="O8" s="112"/>
      <c r="P8" s="112">
        <v>1</v>
      </c>
      <c r="Q8" s="120"/>
      <c r="R8" s="86">
        <f t="shared" ref="R8:S12" si="1">L8+N8+P8</f>
        <v>3</v>
      </c>
      <c r="S8" s="124">
        <f t="shared" si="1"/>
        <v>0</v>
      </c>
      <c r="T8" s="41"/>
      <c r="U8" s="107">
        <f>L8*24+N8*24+P8*24</f>
        <v>72</v>
      </c>
      <c r="V8" s="130">
        <f>U8/24</f>
        <v>3</v>
      </c>
      <c r="W8" s="129">
        <f t="shared" ref="W8:W12" si="2">I8*24+J8</f>
        <v>1027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101</v>
      </c>
      <c r="D9" s="114"/>
      <c r="E9" s="115"/>
      <c r="F9" s="115"/>
      <c r="G9" s="78"/>
      <c r="H9" s="79"/>
      <c r="I9" s="78">
        <f t="shared" ref="I9:J59" si="4">C9-G9</f>
        <v>101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2424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75</v>
      </c>
      <c r="D10" s="111"/>
      <c r="E10" s="112"/>
      <c r="F10" s="112"/>
      <c r="G10" s="76">
        <v>3</v>
      </c>
      <c r="H10" s="73"/>
      <c r="I10" s="73">
        <f t="shared" si="4"/>
        <v>72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</v>
      </c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1728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/>
      <c r="E12" s="112"/>
      <c r="F12" s="112"/>
      <c r="G12" s="76"/>
      <c r="H12" s="73"/>
      <c r="I12" s="73">
        <f t="shared" si="4"/>
        <v>5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3455</v>
      </c>
      <c r="D13" s="114">
        <v>1</v>
      </c>
      <c r="E13" s="115"/>
      <c r="F13" s="115"/>
      <c r="G13" s="78">
        <v>36</v>
      </c>
      <c r="H13" s="79">
        <v>11</v>
      </c>
      <c r="I13" s="80">
        <f t="shared" si="4"/>
        <v>3419</v>
      </c>
      <c r="J13" s="94">
        <f>D13-H13</f>
        <v>-10</v>
      </c>
      <c r="K13" s="53"/>
      <c r="L13" s="121">
        <v>6</v>
      </c>
      <c r="M13" s="121">
        <v>5</v>
      </c>
      <c r="N13" s="121">
        <v>14</v>
      </c>
      <c r="O13" s="121">
        <v>6</v>
      </c>
      <c r="P13" s="121">
        <v>16</v>
      </c>
      <c r="Q13" s="122"/>
      <c r="R13" s="97">
        <f>L13+N13+P13</f>
        <v>36</v>
      </c>
      <c r="S13" s="125">
        <f>M13+O13+Q13</f>
        <v>11</v>
      </c>
      <c r="T13" s="53"/>
      <c r="U13" s="131">
        <f>L13*24+N13*24+P13*24</f>
        <v>864</v>
      </c>
      <c r="V13" s="135">
        <f t="shared" si="6"/>
        <v>36</v>
      </c>
      <c r="W13" s="133">
        <f>I13*24+J13</f>
        <v>82046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6</v>
      </c>
      <c r="D26" s="111">
        <v>1</v>
      </c>
      <c r="E26" s="112"/>
      <c r="F26" s="112"/>
      <c r="G26" s="76">
        <v>3</v>
      </c>
      <c r="H26" s="73"/>
      <c r="I26" s="73">
        <f t="shared" si="4"/>
        <v>3</v>
      </c>
      <c r="J26" s="77">
        <f t="shared" si="4"/>
        <v>1</v>
      </c>
      <c r="K26" s="41"/>
      <c r="L26" s="112">
        <v>1</v>
      </c>
      <c r="M26" s="112"/>
      <c r="N26" s="112">
        <v>1</v>
      </c>
      <c r="O26" s="112"/>
      <c r="P26" s="112">
        <v>1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73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</v>
      </c>
      <c r="D29" s="111"/>
      <c r="E29" s="112"/>
      <c r="F29" s="112"/>
      <c r="G29" s="76">
        <v>1</v>
      </c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61</v>
      </c>
      <c r="D30" s="111"/>
      <c r="E30" s="112"/>
      <c r="F30" s="112"/>
      <c r="G30" s="76">
        <v>1</v>
      </c>
      <c r="H30" s="73"/>
      <c r="I30" s="73">
        <f t="shared" si="4"/>
        <v>60</v>
      </c>
      <c r="J30" s="77">
        <f t="shared" si="4"/>
        <v>0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7"/>
        <v>1</v>
      </c>
      <c r="S30" s="124">
        <f t="shared" si="7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8"/>
        <v>1440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36</v>
      </c>
      <c r="D31" s="111"/>
      <c r="E31" s="112"/>
      <c r="F31" s="112"/>
      <c r="G31" s="76">
        <v>1</v>
      </c>
      <c r="H31" s="73"/>
      <c r="I31" s="73">
        <f t="shared" si="4"/>
        <v>35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840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/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/>
      <c r="H34" s="73"/>
      <c r="I34" s="73">
        <f t="shared" si="4"/>
        <v>4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97</v>
      </c>
      <c r="D35" s="111">
        <v>1</v>
      </c>
      <c r="E35" s="112"/>
      <c r="F35" s="112"/>
      <c r="G35" s="76">
        <v>2</v>
      </c>
      <c r="H35" s="73"/>
      <c r="I35" s="73">
        <f t="shared" si="4"/>
        <v>95</v>
      </c>
      <c r="J35" s="77">
        <f t="shared" si="4"/>
        <v>1</v>
      </c>
      <c r="K35" s="41"/>
      <c r="L35" s="112"/>
      <c r="M35" s="112"/>
      <c r="N35" s="112">
        <v>1</v>
      </c>
      <c r="O35" s="112"/>
      <c r="P35" s="112">
        <v>1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2281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3406</v>
      </c>
      <c r="D38" s="114">
        <v>2</v>
      </c>
      <c r="E38" s="115"/>
      <c r="F38" s="115"/>
      <c r="G38" s="78">
        <v>124</v>
      </c>
      <c r="H38" s="79"/>
      <c r="I38" s="139">
        <f t="shared" si="4"/>
        <v>3282</v>
      </c>
      <c r="J38" s="140">
        <f t="shared" si="4"/>
        <v>2</v>
      </c>
      <c r="K38" s="51"/>
      <c r="L38" s="121">
        <v>45</v>
      </c>
      <c r="M38" s="121"/>
      <c r="N38" s="121">
        <v>58</v>
      </c>
      <c r="O38" s="121"/>
      <c r="P38" s="121">
        <v>21</v>
      </c>
      <c r="Q38" s="122"/>
      <c r="R38" s="97">
        <f t="shared" si="7"/>
        <v>124</v>
      </c>
      <c r="S38" s="125">
        <f t="shared" si="7"/>
        <v>0</v>
      </c>
      <c r="T38" s="51"/>
      <c r="U38" s="131">
        <f>L38*6+N38*6+P38*6</f>
        <v>744</v>
      </c>
      <c r="V38" s="135">
        <f>U38/6</f>
        <v>124</v>
      </c>
      <c r="W38" s="133">
        <f>I38*6+J38</f>
        <v>19694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253</v>
      </c>
      <c r="D41" s="147">
        <v>20</v>
      </c>
      <c r="E41" s="148"/>
      <c r="F41" s="148"/>
      <c r="G41" s="149"/>
      <c r="H41" s="150"/>
      <c r="I41" s="151">
        <f t="shared" si="4"/>
        <v>253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6092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851</v>
      </c>
      <c r="D42" s="164"/>
      <c r="E42" s="165"/>
      <c r="F42" s="165"/>
      <c r="G42" s="166">
        <v>23</v>
      </c>
      <c r="H42" s="167"/>
      <c r="I42" s="166">
        <f t="shared" si="4"/>
        <v>828</v>
      </c>
      <c r="J42" s="168">
        <f t="shared" si="4"/>
        <v>0</v>
      </c>
      <c r="K42" s="169"/>
      <c r="L42" s="165">
        <v>2</v>
      </c>
      <c r="M42" s="165"/>
      <c r="N42" s="165">
        <v>2</v>
      </c>
      <c r="O42" s="165"/>
      <c r="P42" s="165">
        <v>19</v>
      </c>
      <c r="Q42" s="170"/>
      <c r="R42" s="171">
        <f t="shared" si="7"/>
        <v>23</v>
      </c>
      <c r="S42" s="172">
        <f t="shared" si="7"/>
        <v>0</v>
      </c>
      <c r="T42" s="169"/>
      <c r="U42" s="173">
        <f>L42*12+N42*12+P42*12</f>
        <v>276</v>
      </c>
      <c r="V42" s="174">
        <f>U42/12</f>
        <v>23</v>
      </c>
      <c r="W42" s="175">
        <f>I42*12+J42</f>
        <v>9936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23890</v>
      </c>
      <c r="D44" s="114">
        <v>5</v>
      </c>
      <c r="E44" s="115"/>
      <c r="F44" s="115"/>
      <c r="G44" s="78">
        <v>1113</v>
      </c>
      <c r="H44" s="79"/>
      <c r="I44" s="73">
        <f>C44+E44-G44</f>
        <v>22777</v>
      </c>
      <c r="J44" s="177">
        <f t="shared" si="4"/>
        <v>5</v>
      </c>
      <c r="K44" s="51"/>
      <c r="L44" s="121">
        <v>319</v>
      </c>
      <c r="M44" s="121"/>
      <c r="N44" s="121">
        <v>317</v>
      </c>
      <c r="O44" s="121"/>
      <c r="P44" s="121">
        <v>477</v>
      </c>
      <c r="Q44" s="122"/>
      <c r="R44" s="178">
        <f t="shared" si="7"/>
        <v>1113</v>
      </c>
      <c r="S44" s="179">
        <f t="shared" si="7"/>
        <v>0</v>
      </c>
      <c r="T44" s="51"/>
      <c r="U44" s="131">
        <f>L44*6+N44*6+P44*6</f>
        <v>6678</v>
      </c>
      <c r="V44" s="130">
        <f>U44/6</f>
        <v>1113</v>
      </c>
      <c r="W44" s="133">
        <f>I44*6+J44</f>
        <v>136667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2836</v>
      </c>
      <c r="D48" s="142">
        <v>4</v>
      </c>
      <c r="E48" s="121"/>
      <c r="F48" s="121"/>
      <c r="G48" s="143">
        <v>6</v>
      </c>
      <c r="H48" s="139"/>
      <c r="I48" s="139">
        <f t="shared" si="4"/>
        <v>2830</v>
      </c>
      <c r="J48" s="140">
        <f t="shared" si="4"/>
        <v>4</v>
      </c>
      <c r="K48" s="51"/>
      <c r="L48" s="121">
        <v>6</v>
      </c>
      <c r="M48" s="121"/>
      <c r="N48" s="121"/>
      <c r="O48" s="121"/>
      <c r="P48" s="121"/>
      <c r="Q48" s="122"/>
      <c r="R48" s="97">
        <f t="shared" si="7"/>
        <v>6</v>
      </c>
      <c r="S48" s="144">
        <f t="shared" si="7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16984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35278</v>
      </c>
      <c r="D60" s="54">
        <f>SUM(D8:D59)</f>
        <v>144</v>
      </c>
      <c r="E60" s="44">
        <f>SUM(E8:E59)</f>
        <v>0</v>
      </c>
      <c r="F60" s="44"/>
      <c r="G60" s="28">
        <f>SUM(G8:G59)</f>
        <v>1316</v>
      </c>
      <c r="H60" s="56">
        <f>SUM(H8:H59)</f>
        <v>11</v>
      </c>
      <c r="I60" s="56">
        <f>SUM(I8:I59)</f>
        <v>33962</v>
      </c>
      <c r="J60" s="45">
        <f>SUM(J8:J59)</f>
        <v>133</v>
      </c>
      <c r="K60" s="46"/>
      <c r="L60" s="74">
        <f t="shared" ref="L60:S60" si="20">SUM(L8:L59)</f>
        <v>384</v>
      </c>
      <c r="M60" s="74">
        <f t="shared" si="20"/>
        <v>5</v>
      </c>
      <c r="N60" s="74">
        <f t="shared" si="20"/>
        <v>394</v>
      </c>
      <c r="O60" s="74">
        <f t="shared" si="20"/>
        <v>6</v>
      </c>
      <c r="P60" s="74">
        <f t="shared" si="20"/>
        <v>538</v>
      </c>
      <c r="Q60" s="75">
        <f t="shared" si="20"/>
        <v>0</v>
      </c>
      <c r="R60" s="85">
        <f t="shared" si="20"/>
        <v>1316</v>
      </c>
      <c r="S60" s="84">
        <f t="shared" si="20"/>
        <v>11</v>
      </c>
      <c r="T60" s="46"/>
      <c r="U60" s="43">
        <f>SUM(U8:U59)</f>
        <v>8934</v>
      </c>
      <c r="V60" s="102">
        <f>SUM(V8:V59)</f>
        <v>1316</v>
      </c>
      <c r="W60" s="180">
        <f>SUM(W8:W59)</f>
        <v>284671</v>
      </c>
      <c r="X60" s="45"/>
    </row>
    <row r="61" spans="1:24" ht="19.5" thickBot="1" x14ac:dyDescent="0.3">
      <c r="V61" s="103"/>
    </row>
    <row r="62" spans="1:24" ht="18.75" customHeight="1" x14ac:dyDescent="0.25">
      <c r="G62" s="19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3" t="s">
        <v>3</v>
      </c>
      <c r="D69" s="19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03778-FA4A-4508-A1EC-76A330F41F0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.710937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4">
        <v>46129</v>
      </c>
      <c r="Q1" s="205"/>
      <c r="R1" s="205"/>
      <c r="S1" s="205"/>
      <c r="T1" s="205"/>
      <c r="U1" s="205"/>
      <c r="V1" s="205"/>
      <c r="W1" s="205"/>
      <c r="X1" s="20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7" t="s">
        <v>74</v>
      </c>
      <c r="C4" s="208" t="s">
        <v>3</v>
      </c>
      <c r="D4" s="209" t="s">
        <v>75</v>
      </c>
      <c r="E4" s="210" t="s">
        <v>4</v>
      </c>
      <c r="F4" s="211"/>
      <c r="G4" s="212" t="s">
        <v>5</v>
      </c>
      <c r="H4" s="214" t="s">
        <v>75</v>
      </c>
      <c r="I4" s="216" t="s">
        <v>6</v>
      </c>
      <c r="J4" s="214" t="s">
        <v>75</v>
      </c>
      <c r="L4" s="218" t="s">
        <v>7</v>
      </c>
      <c r="M4" s="219"/>
      <c r="N4" s="219"/>
      <c r="O4" s="219"/>
      <c r="P4" s="219"/>
      <c r="Q4" s="219"/>
      <c r="R4" s="219"/>
      <c r="S4" s="219"/>
      <c r="T4" s="219"/>
      <c r="U4" s="219"/>
      <c r="V4" s="220"/>
      <c r="W4" s="219"/>
      <c r="X4" s="221"/>
    </row>
    <row r="5" spans="1:60" s="3" customFormat="1" ht="57" thickBot="1" x14ac:dyDescent="0.3">
      <c r="A5" s="49"/>
      <c r="B5" s="207"/>
      <c r="C5" s="208"/>
      <c r="D5" s="209"/>
      <c r="E5" s="48" t="s">
        <v>8</v>
      </c>
      <c r="F5" s="195" t="s">
        <v>9</v>
      </c>
      <c r="G5" s="213"/>
      <c r="H5" s="215"/>
      <c r="I5" s="217"/>
      <c r="J5" s="21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42</v>
      </c>
      <c r="D8" s="111">
        <v>19</v>
      </c>
      <c r="E8" s="112"/>
      <c r="F8" s="112"/>
      <c r="G8" s="76">
        <v>1</v>
      </c>
      <c r="H8" s="73"/>
      <c r="I8" s="73">
        <f>C8-G8</f>
        <v>41</v>
      </c>
      <c r="J8" s="77">
        <f t="shared" ref="J8:J12" si="0">D8-H8</f>
        <v>19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1003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101</v>
      </c>
      <c r="D9" s="114"/>
      <c r="E9" s="115"/>
      <c r="F9" s="115"/>
      <c r="G9" s="78"/>
      <c r="H9" s="79"/>
      <c r="I9" s="78">
        <f t="shared" ref="I9:J59" si="4">C9-G9</f>
        <v>101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2424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72</v>
      </c>
      <c r="D10" s="111"/>
      <c r="E10" s="112"/>
      <c r="F10" s="112"/>
      <c r="G10" s="76">
        <v>2</v>
      </c>
      <c r="H10" s="73"/>
      <c r="I10" s="73">
        <f t="shared" si="4"/>
        <v>70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>
        <v>1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1680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/>
      <c r="E12" s="112"/>
      <c r="F12" s="112"/>
      <c r="G12" s="76">
        <v>1</v>
      </c>
      <c r="H12" s="73"/>
      <c r="I12" s="73">
        <f t="shared" si="4"/>
        <v>4</v>
      </c>
      <c r="J12" s="77">
        <f t="shared" si="0"/>
        <v>0</v>
      </c>
      <c r="K12" s="41"/>
      <c r="L12" s="112"/>
      <c r="M12" s="112"/>
      <c r="N12" s="112">
        <v>1</v>
      </c>
      <c r="O12" s="112"/>
      <c r="P12" s="112"/>
      <c r="Q12" s="120"/>
      <c r="R12" s="86">
        <f t="shared" si="1"/>
        <v>1</v>
      </c>
      <c r="S12" s="124">
        <f t="shared" si="1"/>
        <v>0</v>
      </c>
      <c r="T12" s="41"/>
      <c r="U12" s="107">
        <f t="shared" ref="U12:U37" si="5">L12*24+N12*24+P12*24</f>
        <v>24</v>
      </c>
      <c r="V12" s="130">
        <f t="shared" ref="V12:V41" si="6">U12/24</f>
        <v>1</v>
      </c>
      <c r="W12" s="129">
        <f t="shared" si="2"/>
        <v>96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3418</v>
      </c>
      <c r="D13" s="114">
        <v>14</v>
      </c>
      <c r="E13" s="115"/>
      <c r="F13" s="115"/>
      <c r="G13" s="78">
        <v>22</v>
      </c>
      <c r="H13" s="79">
        <v>17</v>
      </c>
      <c r="I13" s="80">
        <f t="shared" si="4"/>
        <v>3396</v>
      </c>
      <c r="J13" s="94">
        <f>D13-H13</f>
        <v>-3</v>
      </c>
      <c r="K13" s="53"/>
      <c r="L13" s="121"/>
      <c r="M13" s="121"/>
      <c r="N13" s="121">
        <v>9</v>
      </c>
      <c r="O13" s="121">
        <v>7</v>
      </c>
      <c r="P13" s="121">
        <v>13</v>
      </c>
      <c r="Q13" s="122">
        <v>10</v>
      </c>
      <c r="R13" s="97">
        <f>L13+N13+P13</f>
        <v>22</v>
      </c>
      <c r="S13" s="125">
        <f>M13+O13+Q13</f>
        <v>17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81501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</v>
      </c>
      <c r="D26" s="111">
        <v>1</v>
      </c>
      <c r="E26" s="112"/>
      <c r="F26" s="112"/>
      <c r="G26" s="76"/>
      <c r="H26" s="73"/>
      <c r="I26" s="73">
        <f t="shared" si="4"/>
        <v>3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73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60</v>
      </c>
      <c r="D30" s="111"/>
      <c r="E30" s="112"/>
      <c r="F30" s="112"/>
      <c r="G30" s="76">
        <v>3</v>
      </c>
      <c r="H30" s="73"/>
      <c r="I30" s="73">
        <f t="shared" si="4"/>
        <v>57</v>
      </c>
      <c r="J30" s="77">
        <f t="shared" si="4"/>
        <v>0</v>
      </c>
      <c r="K30" s="41"/>
      <c r="L30" s="112"/>
      <c r="M30" s="112"/>
      <c r="N30" s="112">
        <v>1</v>
      </c>
      <c r="O30" s="112"/>
      <c r="P30" s="112">
        <v>2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1368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35</v>
      </c>
      <c r="D31" s="111"/>
      <c r="E31" s="112"/>
      <c r="F31" s="112"/>
      <c r="G31" s="76">
        <v>1</v>
      </c>
      <c r="H31" s="73"/>
      <c r="I31" s="73">
        <f t="shared" si="4"/>
        <v>34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816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/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/>
      <c r="H34" s="73"/>
      <c r="I34" s="73">
        <f t="shared" si="4"/>
        <v>4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95</v>
      </c>
      <c r="D35" s="111">
        <v>1</v>
      </c>
      <c r="E35" s="112"/>
      <c r="F35" s="112"/>
      <c r="G35" s="76">
        <v>1</v>
      </c>
      <c r="H35" s="73"/>
      <c r="I35" s="73">
        <f t="shared" si="4"/>
        <v>94</v>
      </c>
      <c r="J35" s="77">
        <f t="shared" si="4"/>
        <v>1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2257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3282</v>
      </c>
      <c r="D38" s="114">
        <v>2</v>
      </c>
      <c r="E38" s="115"/>
      <c r="F38" s="115"/>
      <c r="G38" s="78">
        <v>43</v>
      </c>
      <c r="H38" s="79"/>
      <c r="I38" s="139">
        <f t="shared" si="4"/>
        <v>3239</v>
      </c>
      <c r="J38" s="140">
        <f t="shared" si="4"/>
        <v>2</v>
      </c>
      <c r="K38" s="51"/>
      <c r="L38" s="121"/>
      <c r="M38" s="121"/>
      <c r="N38" s="121">
        <v>28</v>
      </c>
      <c r="O38" s="121"/>
      <c r="P38" s="121">
        <v>15</v>
      </c>
      <c r="Q38" s="122"/>
      <c r="R38" s="97">
        <f t="shared" si="7"/>
        <v>43</v>
      </c>
      <c r="S38" s="125">
        <f t="shared" si="7"/>
        <v>0</v>
      </c>
      <c r="T38" s="51"/>
      <c r="U38" s="131">
        <f>L38*6+N38*6+P38*6</f>
        <v>258</v>
      </c>
      <c r="V38" s="135">
        <f>U38/6</f>
        <v>43</v>
      </c>
      <c r="W38" s="133">
        <f>I38*6+J38</f>
        <v>19436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253</v>
      </c>
      <c r="D41" s="147">
        <v>20</v>
      </c>
      <c r="E41" s="148"/>
      <c r="F41" s="148"/>
      <c r="G41" s="149">
        <v>2</v>
      </c>
      <c r="H41" s="150"/>
      <c r="I41" s="151">
        <f t="shared" si="4"/>
        <v>251</v>
      </c>
      <c r="J41" s="152">
        <f t="shared" si="4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7"/>
        <v>2</v>
      </c>
      <c r="S41" s="157">
        <f t="shared" si="7"/>
        <v>0</v>
      </c>
      <c r="T41" s="153"/>
      <c r="U41" s="158">
        <f t="shared" si="9"/>
        <v>48</v>
      </c>
      <c r="V41" s="159">
        <f t="shared" si="6"/>
        <v>2</v>
      </c>
      <c r="W41" s="159">
        <f t="shared" si="10"/>
        <v>6044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828</v>
      </c>
      <c r="D42" s="164"/>
      <c r="E42" s="165"/>
      <c r="F42" s="165"/>
      <c r="G42" s="166">
        <v>22</v>
      </c>
      <c r="H42" s="167"/>
      <c r="I42" s="166">
        <f t="shared" si="4"/>
        <v>806</v>
      </c>
      <c r="J42" s="168">
        <f t="shared" si="4"/>
        <v>0</v>
      </c>
      <c r="K42" s="169"/>
      <c r="L42" s="165"/>
      <c r="M42" s="165"/>
      <c r="N42" s="165">
        <v>2</v>
      </c>
      <c r="O42" s="165"/>
      <c r="P42" s="165">
        <v>20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9672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22777</v>
      </c>
      <c r="D44" s="114">
        <v>5</v>
      </c>
      <c r="E44" s="115"/>
      <c r="F44" s="115"/>
      <c r="G44" s="78">
        <v>856</v>
      </c>
      <c r="H44" s="79"/>
      <c r="I44" s="73">
        <f>C44+E44-G44</f>
        <v>21921</v>
      </c>
      <c r="J44" s="177">
        <f t="shared" si="4"/>
        <v>5</v>
      </c>
      <c r="K44" s="51"/>
      <c r="L44" s="121"/>
      <c r="M44" s="121"/>
      <c r="N44" s="121">
        <v>325</v>
      </c>
      <c r="O44" s="121"/>
      <c r="P44" s="121">
        <v>531</v>
      </c>
      <c r="Q44" s="122"/>
      <c r="R44" s="178">
        <f t="shared" si="7"/>
        <v>856</v>
      </c>
      <c r="S44" s="179">
        <f t="shared" si="7"/>
        <v>0</v>
      </c>
      <c r="T44" s="51"/>
      <c r="U44" s="131">
        <f>L44*6+N44*6+P44*6</f>
        <v>5136</v>
      </c>
      <c r="V44" s="130">
        <f>U44/6</f>
        <v>856</v>
      </c>
      <c r="W44" s="133">
        <f>I44*6+J44</f>
        <v>131531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2830</v>
      </c>
      <c r="D48" s="142">
        <v>4</v>
      </c>
      <c r="E48" s="121"/>
      <c r="F48" s="121"/>
      <c r="G48" s="143"/>
      <c r="H48" s="139"/>
      <c r="I48" s="139">
        <f t="shared" si="4"/>
        <v>2830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16984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33961</v>
      </c>
      <c r="D60" s="54">
        <f>SUM(D8:D59)</f>
        <v>157</v>
      </c>
      <c r="E60" s="44">
        <f>SUM(E8:E59)</f>
        <v>0</v>
      </c>
      <c r="F60" s="44"/>
      <c r="G60" s="28">
        <f>SUM(G8:G59)</f>
        <v>954</v>
      </c>
      <c r="H60" s="56">
        <f>SUM(H8:H59)</f>
        <v>17</v>
      </c>
      <c r="I60" s="56">
        <f>SUM(I8:I59)</f>
        <v>33007</v>
      </c>
      <c r="J60" s="45">
        <f>SUM(J8:J59)</f>
        <v>140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367</v>
      </c>
      <c r="O60" s="74">
        <f t="shared" si="20"/>
        <v>7</v>
      </c>
      <c r="P60" s="74">
        <f t="shared" si="20"/>
        <v>587</v>
      </c>
      <c r="Q60" s="75">
        <f t="shared" si="20"/>
        <v>10</v>
      </c>
      <c r="R60" s="85">
        <f t="shared" si="20"/>
        <v>954</v>
      </c>
      <c r="S60" s="84">
        <f t="shared" si="20"/>
        <v>17</v>
      </c>
      <c r="T60" s="46"/>
      <c r="U60" s="43">
        <f>SUM(U8:U59)</f>
        <v>6450</v>
      </c>
      <c r="V60" s="102">
        <f>SUM(V8:V59)</f>
        <v>954</v>
      </c>
      <c r="W60" s="180">
        <f>SUM(W8:W59)</f>
        <v>278204</v>
      </c>
      <c r="X60" s="45"/>
    </row>
    <row r="61" spans="1:24" ht="19.5" thickBot="1" x14ac:dyDescent="0.3">
      <c r="V61" s="103"/>
    </row>
    <row r="62" spans="1:24" ht="18.75" customHeight="1" x14ac:dyDescent="0.25">
      <c r="G62" s="19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3" t="s">
        <v>3</v>
      </c>
      <c r="D69" s="19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D9306-F107-4242-A3AB-780637800822}">
  <sheetPr>
    <pageSetUpPr fitToPage="1"/>
  </sheetPr>
  <dimension ref="A1:BH90"/>
  <sheetViews>
    <sheetView tabSelected="1" topLeftCell="A26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14062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4">
        <v>46132</v>
      </c>
      <c r="Q1" s="205"/>
      <c r="R1" s="205"/>
      <c r="S1" s="205"/>
      <c r="T1" s="205"/>
      <c r="U1" s="205"/>
      <c r="V1" s="205"/>
      <c r="W1" s="205"/>
      <c r="X1" s="20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7" t="s">
        <v>74</v>
      </c>
      <c r="C4" s="208" t="s">
        <v>3</v>
      </c>
      <c r="D4" s="209" t="s">
        <v>75</v>
      </c>
      <c r="E4" s="210" t="s">
        <v>4</v>
      </c>
      <c r="F4" s="211"/>
      <c r="G4" s="212" t="s">
        <v>5</v>
      </c>
      <c r="H4" s="214" t="s">
        <v>75</v>
      </c>
      <c r="I4" s="216" t="s">
        <v>6</v>
      </c>
      <c r="J4" s="214" t="s">
        <v>75</v>
      </c>
      <c r="L4" s="218" t="s">
        <v>7</v>
      </c>
      <c r="M4" s="219"/>
      <c r="N4" s="219"/>
      <c r="O4" s="219"/>
      <c r="P4" s="219"/>
      <c r="Q4" s="219"/>
      <c r="R4" s="219"/>
      <c r="S4" s="219"/>
      <c r="T4" s="219"/>
      <c r="U4" s="219"/>
      <c r="V4" s="220"/>
      <c r="W4" s="219"/>
      <c r="X4" s="221"/>
    </row>
    <row r="5" spans="1:60" s="3" customFormat="1" ht="57" thickBot="1" x14ac:dyDescent="0.3">
      <c r="A5" s="49"/>
      <c r="B5" s="207"/>
      <c r="C5" s="208"/>
      <c r="D5" s="209"/>
      <c r="E5" s="48" t="s">
        <v>8</v>
      </c>
      <c r="F5" s="195" t="s">
        <v>9</v>
      </c>
      <c r="G5" s="213"/>
      <c r="H5" s="215"/>
      <c r="I5" s="217"/>
      <c r="J5" s="21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19</v>
      </c>
      <c r="E8" s="112"/>
      <c r="F8" s="112"/>
      <c r="G8" s="76"/>
      <c r="H8" s="73"/>
      <c r="I8" s="73">
        <f>C8-G8</f>
        <v>41</v>
      </c>
      <c r="J8" s="77">
        <f t="shared" ref="J8:J12" si="0">D8-H8</f>
        <v>19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1003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101</v>
      </c>
      <c r="D9" s="114"/>
      <c r="E9" s="115"/>
      <c r="F9" s="115"/>
      <c r="G9" s="78"/>
      <c r="H9" s="79"/>
      <c r="I9" s="78">
        <f t="shared" ref="I9:J59" si="4">C9-G9</f>
        <v>101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2424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70</v>
      </c>
      <c r="D10" s="111"/>
      <c r="E10" s="112"/>
      <c r="F10" s="112"/>
      <c r="G10" s="76">
        <v>14</v>
      </c>
      <c r="H10" s="73"/>
      <c r="I10" s="73">
        <f t="shared" si="4"/>
        <v>56</v>
      </c>
      <c r="J10" s="95">
        <f t="shared" si="0"/>
        <v>0</v>
      </c>
      <c r="K10" s="41"/>
      <c r="L10" s="112">
        <v>2</v>
      </c>
      <c r="M10" s="112"/>
      <c r="N10" s="112">
        <v>2</v>
      </c>
      <c r="O10" s="112"/>
      <c r="P10" s="112">
        <v>10</v>
      </c>
      <c r="Q10" s="120"/>
      <c r="R10" s="99">
        <f t="shared" si="1"/>
        <v>14</v>
      </c>
      <c r="S10" s="126">
        <f t="shared" si="1"/>
        <v>0</v>
      </c>
      <c r="T10" s="41"/>
      <c r="U10" s="107">
        <f>L10*24+N10*24+P10*24</f>
        <v>336</v>
      </c>
      <c r="V10" s="134">
        <f>U10/24</f>
        <v>14</v>
      </c>
      <c r="W10" s="129">
        <f t="shared" si="2"/>
        <v>1344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4</v>
      </c>
      <c r="D12" s="111"/>
      <c r="E12" s="112"/>
      <c r="F12" s="112"/>
      <c r="G12" s="76"/>
      <c r="H12" s="73"/>
      <c r="I12" s="73">
        <f t="shared" si="4"/>
        <v>4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96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3395</v>
      </c>
      <c r="D13" s="114">
        <v>21</v>
      </c>
      <c r="E13" s="115"/>
      <c r="F13" s="115"/>
      <c r="G13" s="78">
        <v>40</v>
      </c>
      <c r="H13" s="79">
        <v>22</v>
      </c>
      <c r="I13" s="80">
        <f t="shared" si="4"/>
        <v>3355</v>
      </c>
      <c r="J13" s="94">
        <f>D13-H13</f>
        <v>-1</v>
      </c>
      <c r="K13" s="53"/>
      <c r="L13" s="121">
        <v>6</v>
      </c>
      <c r="M13" s="121">
        <v>20</v>
      </c>
      <c r="N13" s="121">
        <v>16</v>
      </c>
      <c r="O13" s="121"/>
      <c r="P13" s="121">
        <v>18</v>
      </c>
      <c r="Q13" s="122">
        <v>2</v>
      </c>
      <c r="R13" s="97">
        <f>L13+N13+P13</f>
        <v>40</v>
      </c>
      <c r="S13" s="125">
        <f>M13+O13+Q13</f>
        <v>22</v>
      </c>
      <c r="T13" s="53"/>
      <c r="U13" s="131">
        <f>L13*24+N13*24+P13*24</f>
        <v>960</v>
      </c>
      <c r="V13" s="135">
        <f t="shared" si="6"/>
        <v>40</v>
      </c>
      <c r="W13" s="133">
        <f>I13*24+J13</f>
        <v>80519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</v>
      </c>
      <c r="D26" s="111">
        <v>1</v>
      </c>
      <c r="E26" s="112"/>
      <c r="F26" s="112"/>
      <c r="G26" s="76">
        <v>3</v>
      </c>
      <c r="H26" s="73"/>
      <c r="I26" s="73">
        <f t="shared" si="4"/>
        <v>0</v>
      </c>
      <c r="J26" s="77">
        <f t="shared" si="4"/>
        <v>1</v>
      </c>
      <c r="K26" s="41"/>
      <c r="L26" s="112">
        <v>1</v>
      </c>
      <c r="M26" s="112"/>
      <c r="N26" s="112"/>
      <c r="O26" s="112"/>
      <c r="P26" s="112">
        <v>2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57</v>
      </c>
      <c r="D30" s="111"/>
      <c r="E30" s="112"/>
      <c r="F30" s="112"/>
      <c r="G30" s="76">
        <v>4</v>
      </c>
      <c r="H30" s="73"/>
      <c r="I30" s="73">
        <f t="shared" si="4"/>
        <v>53</v>
      </c>
      <c r="J30" s="77">
        <f t="shared" si="4"/>
        <v>0</v>
      </c>
      <c r="K30" s="41"/>
      <c r="L30" s="112">
        <v>3</v>
      </c>
      <c r="M30" s="112"/>
      <c r="N30" s="112">
        <v>1</v>
      </c>
      <c r="O30" s="112"/>
      <c r="P30" s="112"/>
      <c r="Q30" s="120"/>
      <c r="R30" s="86">
        <f t="shared" si="7"/>
        <v>4</v>
      </c>
      <c r="S30" s="124">
        <f t="shared" si="7"/>
        <v>0</v>
      </c>
      <c r="T30" s="41"/>
      <c r="U30" s="107">
        <f t="shared" si="5"/>
        <v>96</v>
      </c>
      <c r="V30" s="130">
        <f t="shared" si="6"/>
        <v>4</v>
      </c>
      <c r="W30" s="129">
        <f t="shared" si="8"/>
        <v>1272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34</v>
      </c>
      <c r="D31" s="111"/>
      <c r="E31" s="112"/>
      <c r="F31" s="112"/>
      <c r="G31" s="76">
        <v>1</v>
      </c>
      <c r="H31" s="73"/>
      <c r="I31" s="73">
        <f t="shared" si="4"/>
        <v>33</v>
      </c>
      <c r="J31" s="77">
        <f t="shared" si="4"/>
        <v>0</v>
      </c>
      <c r="K31" s="41"/>
      <c r="L31" s="112"/>
      <c r="M31" s="112">
        <v>1</v>
      </c>
      <c r="N31" s="112"/>
      <c r="O31" s="112"/>
      <c r="P31" s="112"/>
      <c r="Q31" s="120"/>
      <c r="R31" s="86">
        <f t="shared" si="7"/>
        <v>0</v>
      </c>
      <c r="S31" s="124">
        <f t="shared" si="7"/>
        <v>1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792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>
        <v>1</v>
      </c>
      <c r="H33" s="73"/>
      <c r="I33" s="73">
        <f t="shared" si="4"/>
        <v>1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24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>
        <v>1</v>
      </c>
      <c r="H34" s="73"/>
      <c r="I34" s="73">
        <f t="shared" si="4"/>
        <v>3</v>
      </c>
      <c r="J34" s="77">
        <f t="shared" si="4"/>
        <v>0</v>
      </c>
      <c r="K34" s="41"/>
      <c r="L34" s="112"/>
      <c r="M34" s="112"/>
      <c r="N34" s="112">
        <v>1</v>
      </c>
      <c r="O34" s="112"/>
      <c r="P34" s="112"/>
      <c r="Q34" s="120"/>
      <c r="R34" s="86">
        <f t="shared" si="7"/>
        <v>1</v>
      </c>
      <c r="S34" s="124">
        <f t="shared" si="7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94</v>
      </c>
      <c r="D35" s="111">
        <v>1</v>
      </c>
      <c r="E35" s="112"/>
      <c r="F35" s="112"/>
      <c r="G35" s="76"/>
      <c r="H35" s="73"/>
      <c r="I35" s="73">
        <f t="shared" si="4"/>
        <v>94</v>
      </c>
      <c r="J35" s="77">
        <f t="shared" si="4"/>
        <v>1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2257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3239</v>
      </c>
      <c r="D38" s="114">
        <v>2</v>
      </c>
      <c r="E38" s="115"/>
      <c r="F38" s="115"/>
      <c r="G38" s="78">
        <v>346</v>
      </c>
      <c r="H38" s="79"/>
      <c r="I38" s="139">
        <f t="shared" si="4"/>
        <v>2893</v>
      </c>
      <c r="J38" s="140">
        <f t="shared" si="4"/>
        <v>2</v>
      </c>
      <c r="K38" s="51"/>
      <c r="L38" s="121">
        <v>123</v>
      </c>
      <c r="M38" s="121"/>
      <c r="N38" s="121">
        <v>129</v>
      </c>
      <c r="O38" s="121"/>
      <c r="P38" s="121">
        <v>94</v>
      </c>
      <c r="Q38" s="122"/>
      <c r="R38" s="97">
        <f t="shared" si="7"/>
        <v>346</v>
      </c>
      <c r="S38" s="125">
        <f t="shared" si="7"/>
        <v>0</v>
      </c>
      <c r="T38" s="51"/>
      <c r="U38" s="131">
        <f>L38*6+N38*6+P38*6</f>
        <v>2076</v>
      </c>
      <c r="V38" s="135">
        <f>U38/6</f>
        <v>346</v>
      </c>
      <c r="W38" s="133">
        <f>I38*6+J38</f>
        <v>17360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251</v>
      </c>
      <c r="D41" s="147">
        <v>20</v>
      </c>
      <c r="E41" s="148"/>
      <c r="F41" s="148"/>
      <c r="G41" s="149"/>
      <c r="H41" s="150"/>
      <c r="I41" s="151">
        <f t="shared" si="4"/>
        <v>251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6044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806</v>
      </c>
      <c r="D42" s="164"/>
      <c r="E42" s="165"/>
      <c r="F42" s="165"/>
      <c r="G42" s="166">
        <v>28</v>
      </c>
      <c r="H42" s="167"/>
      <c r="I42" s="166">
        <f t="shared" si="4"/>
        <v>778</v>
      </c>
      <c r="J42" s="168">
        <f t="shared" si="4"/>
        <v>0</v>
      </c>
      <c r="K42" s="169"/>
      <c r="L42" s="165">
        <v>8</v>
      </c>
      <c r="M42" s="165"/>
      <c r="N42" s="165">
        <v>5</v>
      </c>
      <c r="O42" s="165"/>
      <c r="P42" s="165">
        <v>15</v>
      </c>
      <c r="Q42" s="170"/>
      <c r="R42" s="171">
        <f t="shared" si="7"/>
        <v>28</v>
      </c>
      <c r="S42" s="172">
        <f t="shared" si="7"/>
        <v>0</v>
      </c>
      <c r="T42" s="169"/>
      <c r="U42" s="173">
        <f>L42*12+N42*12+P42*12</f>
        <v>336</v>
      </c>
      <c r="V42" s="174">
        <f>U42/12</f>
        <v>28</v>
      </c>
      <c r="W42" s="175">
        <f>I42*12+J42</f>
        <v>9336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21921</v>
      </c>
      <c r="D44" s="114">
        <v>3</v>
      </c>
      <c r="E44" s="115"/>
      <c r="F44" s="115"/>
      <c r="G44" s="78">
        <v>1344</v>
      </c>
      <c r="H44" s="79"/>
      <c r="I44" s="73">
        <f>C44+E44-G44</f>
        <v>20577</v>
      </c>
      <c r="J44" s="177">
        <f t="shared" si="4"/>
        <v>3</v>
      </c>
      <c r="K44" s="51"/>
      <c r="L44" s="121">
        <v>582</v>
      </c>
      <c r="M44" s="121"/>
      <c r="N44" s="121">
        <v>368</v>
      </c>
      <c r="O44" s="121"/>
      <c r="P44" s="121">
        <v>394</v>
      </c>
      <c r="Q44" s="122"/>
      <c r="R44" s="178">
        <f t="shared" si="7"/>
        <v>1344</v>
      </c>
      <c r="S44" s="179">
        <f t="shared" si="7"/>
        <v>0</v>
      </c>
      <c r="T44" s="51"/>
      <c r="U44" s="131">
        <f>L44*6+N44*6+P44*6</f>
        <v>8064</v>
      </c>
      <c r="V44" s="130">
        <f>U44/6</f>
        <v>1344</v>
      </c>
      <c r="W44" s="133">
        <f>I44*6+J44</f>
        <v>123465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2830</v>
      </c>
      <c r="D48" s="142">
        <v>4</v>
      </c>
      <c r="E48" s="121"/>
      <c r="F48" s="121"/>
      <c r="G48" s="143"/>
      <c r="H48" s="139"/>
      <c r="I48" s="139">
        <f t="shared" si="4"/>
        <v>2830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16984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33006</v>
      </c>
      <c r="D60" s="54">
        <f>SUM(D8:D59)</f>
        <v>162</v>
      </c>
      <c r="E60" s="44">
        <f>SUM(E8:E59)</f>
        <v>0</v>
      </c>
      <c r="F60" s="44"/>
      <c r="G60" s="28">
        <f>SUM(G8:G59)</f>
        <v>1782</v>
      </c>
      <c r="H60" s="56">
        <f>SUM(H8:H59)</f>
        <v>22</v>
      </c>
      <c r="I60" s="56">
        <f>SUM(I8:I59)</f>
        <v>31224</v>
      </c>
      <c r="J60" s="45">
        <f>SUM(J8:J59)</f>
        <v>140</v>
      </c>
      <c r="K60" s="46"/>
      <c r="L60" s="74">
        <f t="shared" ref="L60:S60" si="20">SUM(L8:L59)</f>
        <v>725</v>
      </c>
      <c r="M60" s="74">
        <f t="shared" si="20"/>
        <v>21</v>
      </c>
      <c r="N60" s="74">
        <f t="shared" si="20"/>
        <v>523</v>
      </c>
      <c r="O60" s="74">
        <f t="shared" si="20"/>
        <v>0</v>
      </c>
      <c r="P60" s="74">
        <f t="shared" si="20"/>
        <v>533</v>
      </c>
      <c r="Q60" s="75">
        <f t="shared" si="20"/>
        <v>2</v>
      </c>
      <c r="R60" s="85">
        <f t="shared" si="20"/>
        <v>1781</v>
      </c>
      <c r="S60" s="84">
        <f t="shared" si="20"/>
        <v>23</v>
      </c>
      <c r="T60" s="46"/>
      <c r="U60" s="43">
        <f>SUM(U8:U59)</f>
        <v>11988</v>
      </c>
      <c r="V60" s="102">
        <f>SUM(V8:V59)</f>
        <v>1781</v>
      </c>
      <c r="W60" s="180">
        <f>SUM(W8:W59)</f>
        <v>266168</v>
      </c>
      <c r="X60" s="45"/>
    </row>
    <row r="61" spans="1:24" ht="19.5" thickBot="1" x14ac:dyDescent="0.3">
      <c r="V61" s="103"/>
    </row>
    <row r="62" spans="1:24" ht="18.75" customHeight="1" x14ac:dyDescent="0.25">
      <c r="G62" s="19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3" t="s">
        <v>3</v>
      </c>
      <c r="D69" s="19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6E53-6248-4078-915F-672ED3CC18D9}">
  <sheetPr>
    <pageSetUpPr fitToPage="1"/>
  </sheetPr>
  <dimension ref="A1:BH90"/>
  <sheetViews>
    <sheetView zoomScale="85" zoomScaleNormal="85" zoomScaleSheetLayoutView="85" zoomScalePageLayoutView="80" workbookViewId="0">
      <selection activeCell="L33" sqref="L33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4">
        <v>46133</v>
      </c>
      <c r="Q1" s="205"/>
      <c r="R1" s="205"/>
      <c r="S1" s="205"/>
      <c r="T1" s="205"/>
      <c r="U1" s="205"/>
      <c r="V1" s="205"/>
      <c r="W1" s="205"/>
      <c r="X1" s="20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7" t="s">
        <v>74</v>
      </c>
      <c r="C4" s="208" t="s">
        <v>3</v>
      </c>
      <c r="D4" s="209" t="s">
        <v>75</v>
      </c>
      <c r="E4" s="210" t="s">
        <v>4</v>
      </c>
      <c r="F4" s="211"/>
      <c r="G4" s="212" t="s">
        <v>5</v>
      </c>
      <c r="H4" s="214" t="s">
        <v>75</v>
      </c>
      <c r="I4" s="216" t="s">
        <v>6</v>
      </c>
      <c r="J4" s="214" t="s">
        <v>75</v>
      </c>
      <c r="L4" s="218" t="s">
        <v>7</v>
      </c>
      <c r="M4" s="219"/>
      <c r="N4" s="219"/>
      <c r="O4" s="219"/>
      <c r="P4" s="219"/>
      <c r="Q4" s="219"/>
      <c r="R4" s="219"/>
      <c r="S4" s="219"/>
      <c r="T4" s="219"/>
      <c r="U4" s="219"/>
      <c r="V4" s="220"/>
      <c r="W4" s="219"/>
      <c r="X4" s="221"/>
    </row>
    <row r="5" spans="1:60" s="3" customFormat="1" ht="57" thickBot="1" x14ac:dyDescent="0.3">
      <c r="A5" s="49"/>
      <c r="B5" s="207"/>
      <c r="C5" s="208"/>
      <c r="D5" s="209"/>
      <c r="E5" s="48" t="s">
        <v>8</v>
      </c>
      <c r="F5" s="198" t="s">
        <v>9</v>
      </c>
      <c r="G5" s="213"/>
      <c r="H5" s="215"/>
      <c r="I5" s="217"/>
      <c r="J5" s="21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9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6" t="s">
        <v>3</v>
      </c>
      <c r="D69" s="19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11</vt:i4>
      </vt:variant>
    </vt:vector>
  </HeadingPairs>
  <TitlesOfParts>
    <vt:vector size="22" baseType="lpstr">
      <vt:lpstr>EXAMPLE</vt:lpstr>
      <vt:lpstr>04,01</vt:lpstr>
      <vt:lpstr>04,06</vt:lpstr>
      <vt:lpstr>04,08</vt:lpstr>
      <vt:lpstr>04,09</vt:lpstr>
      <vt:lpstr>04,13</vt:lpstr>
      <vt:lpstr>04,15</vt:lpstr>
      <vt:lpstr>04,16</vt:lpstr>
      <vt:lpstr>04,17</vt:lpstr>
      <vt:lpstr>04,20</vt:lpstr>
      <vt:lpstr>04,21</vt:lpstr>
      <vt:lpstr>'04,01'!Print_Area</vt:lpstr>
      <vt:lpstr>'04,06'!Print_Area</vt:lpstr>
      <vt:lpstr>'04,08'!Print_Area</vt:lpstr>
      <vt:lpstr>'04,09'!Print_Area</vt:lpstr>
      <vt:lpstr>'04,13'!Print_Area</vt:lpstr>
      <vt:lpstr>'04,15'!Print_Area</vt:lpstr>
      <vt:lpstr>'04,16'!Print_Area</vt:lpstr>
      <vt:lpstr>'04,17'!Print_Area</vt:lpstr>
      <vt:lpstr>'04,20'!Print_Area</vt:lpstr>
      <vt:lpstr>'04,21'!Print_Area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2026-04-21T06:53:42Z</dcterms:modified>
</cp:coreProperties>
</file>