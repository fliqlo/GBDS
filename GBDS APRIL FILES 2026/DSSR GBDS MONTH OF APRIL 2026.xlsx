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CF4AB70-06E2-45BC-949D-88A368BCD50E}" xr6:coauthVersionLast="45" xr6:coauthVersionMax="45" xr10:uidLastSave="{00000000-0000-0000-0000-000000000000}"/>
  <bookViews>
    <workbookView xWindow="-120" yWindow="-120" windowWidth="29040" windowHeight="15840" activeTab="6" xr2:uid="{00000000-000D-0000-FFFF-FFFF00000000}"/>
  </bookViews>
  <sheets>
    <sheet name="EXAMPLE" sheetId="89" r:id="rId1"/>
    <sheet name="04,01" sheetId="106" r:id="rId2"/>
    <sheet name="04,06" sheetId="110" r:id="rId3"/>
    <sheet name="04,08" sheetId="107" r:id="rId4"/>
    <sheet name="04,09" sheetId="109" r:id="rId5"/>
    <sheet name="04,10" sheetId="108" r:id="rId6"/>
    <sheet name="04,11" sheetId="111" r:id="rId7"/>
  </sheets>
  <definedNames>
    <definedName name="_xlnm.Print_Area" localSheetId="1">'04,01'!$A$1:$Y$61</definedName>
    <definedName name="_xlnm.Print_Area" localSheetId="2">'04,06'!$A$1:$Y$61</definedName>
    <definedName name="_xlnm.Print_Area" localSheetId="3">'04,08'!$A$1:$Y$61</definedName>
    <definedName name="_xlnm.Print_Area" localSheetId="4">'04,09'!$A$1:$Y$61</definedName>
    <definedName name="_xlnm.Print_Area" localSheetId="5">'04,10'!$A$1:$Y$61</definedName>
    <definedName name="_xlnm.Print_Area" localSheetId="6">'04,11'!$A$1:$Y$61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11" l="1"/>
  <c r="P60" i="111"/>
  <c r="O60" i="111"/>
  <c r="N60" i="111"/>
  <c r="M60" i="111"/>
  <c r="L60" i="111"/>
  <c r="H60" i="111"/>
  <c r="G60" i="111"/>
  <c r="E60" i="111"/>
  <c r="D60" i="111"/>
  <c r="C60" i="111"/>
  <c r="S59" i="111"/>
  <c r="R59" i="111"/>
  <c r="J59" i="111"/>
  <c r="I59" i="111"/>
  <c r="S58" i="111"/>
  <c r="R58" i="111"/>
  <c r="J58" i="111"/>
  <c r="I58" i="111"/>
  <c r="S57" i="111"/>
  <c r="R57" i="111"/>
  <c r="J57" i="111"/>
  <c r="I57" i="111"/>
  <c r="S56" i="111"/>
  <c r="R56" i="111"/>
  <c r="J56" i="111"/>
  <c r="I56" i="111"/>
  <c r="S55" i="111"/>
  <c r="R55" i="111"/>
  <c r="J55" i="111"/>
  <c r="I55" i="111"/>
  <c r="W54" i="111"/>
  <c r="U54" i="111"/>
  <c r="V54" i="111" s="1"/>
  <c r="S54" i="111"/>
  <c r="R54" i="111"/>
  <c r="J54" i="111"/>
  <c r="I54" i="111"/>
  <c r="U53" i="111"/>
  <c r="V53" i="111" s="1"/>
  <c r="S53" i="111"/>
  <c r="R53" i="111"/>
  <c r="J53" i="111"/>
  <c r="I53" i="111"/>
  <c r="W53" i="111" s="1"/>
  <c r="W52" i="111"/>
  <c r="U52" i="111"/>
  <c r="V52" i="111" s="1"/>
  <c r="S52" i="111"/>
  <c r="R52" i="111"/>
  <c r="J52" i="111"/>
  <c r="I52" i="111"/>
  <c r="U51" i="111"/>
  <c r="V51" i="111" s="1"/>
  <c r="S51" i="111"/>
  <c r="R51" i="111"/>
  <c r="J51" i="111"/>
  <c r="I51" i="111"/>
  <c r="W51" i="111" s="1"/>
  <c r="W50" i="111"/>
  <c r="U50" i="111"/>
  <c r="V50" i="111" s="1"/>
  <c r="S50" i="111"/>
  <c r="R50" i="111"/>
  <c r="J50" i="111"/>
  <c r="I50" i="111"/>
  <c r="U49" i="111"/>
  <c r="V49" i="111" s="1"/>
  <c r="S49" i="111"/>
  <c r="R49" i="111"/>
  <c r="J49" i="111"/>
  <c r="I49" i="111"/>
  <c r="W49" i="111" s="1"/>
  <c r="W48" i="111"/>
  <c r="U48" i="111"/>
  <c r="V48" i="111" s="1"/>
  <c r="S48" i="111"/>
  <c r="R48" i="111"/>
  <c r="J48" i="111"/>
  <c r="I48" i="111"/>
  <c r="U47" i="111"/>
  <c r="V47" i="111" s="1"/>
  <c r="S47" i="111"/>
  <c r="R47" i="111"/>
  <c r="J47" i="111"/>
  <c r="I47" i="111"/>
  <c r="W47" i="111" s="1"/>
  <c r="W46" i="111"/>
  <c r="U46" i="111"/>
  <c r="V46" i="111" s="1"/>
  <c r="S46" i="111"/>
  <c r="R46" i="111"/>
  <c r="J46" i="111"/>
  <c r="I46" i="111"/>
  <c r="S45" i="111"/>
  <c r="R45" i="111"/>
  <c r="J45" i="111"/>
  <c r="I45" i="111"/>
  <c r="U44" i="111"/>
  <c r="V44" i="111" s="1"/>
  <c r="S44" i="111"/>
  <c r="R44" i="111"/>
  <c r="J44" i="111"/>
  <c r="I44" i="111"/>
  <c r="W44" i="111" s="1"/>
  <c r="S43" i="111"/>
  <c r="R43" i="111"/>
  <c r="J43" i="111"/>
  <c r="I43" i="111"/>
  <c r="U42" i="111"/>
  <c r="V42" i="111" s="1"/>
  <c r="S42" i="111"/>
  <c r="R42" i="111"/>
  <c r="J42" i="111"/>
  <c r="I42" i="111"/>
  <c r="W42" i="111" s="1"/>
  <c r="W41" i="111"/>
  <c r="U41" i="111"/>
  <c r="V41" i="111" s="1"/>
  <c r="S41" i="111"/>
  <c r="R41" i="111"/>
  <c r="J41" i="111"/>
  <c r="I41" i="111"/>
  <c r="U40" i="111"/>
  <c r="V40" i="111" s="1"/>
  <c r="S40" i="111"/>
  <c r="R40" i="111"/>
  <c r="J40" i="111"/>
  <c r="I40" i="111"/>
  <c r="W40" i="111" s="1"/>
  <c r="W39" i="111"/>
  <c r="U39" i="111"/>
  <c r="V39" i="111" s="1"/>
  <c r="S39" i="111"/>
  <c r="R39" i="111"/>
  <c r="J39" i="111"/>
  <c r="I39" i="111"/>
  <c r="U38" i="111"/>
  <c r="V38" i="111" s="1"/>
  <c r="S38" i="111"/>
  <c r="R38" i="111"/>
  <c r="J38" i="111"/>
  <c r="I38" i="111"/>
  <c r="W38" i="111" s="1"/>
  <c r="W37" i="111"/>
  <c r="U37" i="111"/>
  <c r="V37" i="111" s="1"/>
  <c r="S37" i="111"/>
  <c r="R37" i="111"/>
  <c r="J37" i="111"/>
  <c r="I37" i="111"/>
  <c r="U36" i="111"/>
  <c r="V36" i="111" s="1"/>
  <c r="S36" i="111"/>
  <c r="R36" i="111"/>
  <c r="J36" i="111"/>
  <c r="I36" i="111"/>
  <c r="W36" i="111" s="1"/>
  <c r="W35" i="111"/>
  <c r="U35" i="111"/>
  <c r="V35" i="111" s="1"/>
  <c r="S35" i="111"/>
  <c r="R35" i="111"/>
  <c r="J35" i="111"/>
  <c r="I35" i="111"/>
  <c r="U34" i="111"/>
  <c r="V34" i="111" s="1"/>
  <c r="S34" i="111"/>
  <c r="R34" i="111"/>
  <c r="J34" i="111"/>
  <c r="I34" i="111"/>
  <c r="W34" i="111" s="1"/>
  <c r="W33" i="111"/>
  <c r="U33" i="111"/>
  <c r="V33" i="111" s="1"/>
  <c r="S33" i="111"/>
  <c r="R33" i="111"/>
  <c r="J33" i="111"/>
  <c r="I33" i="111"/>
  <c r="U32" i="111"/>
  <c r="V32" i="111" s="1"/>
  <c r="S32" i="111"/>
  <c r="R32" i="111"/>
  <c r="J32" i="111"/>
  <c r="I32" i="111"/>
  <c r="W32" i="111" s="1"/>
  <c r="W31" i="111"/>
  <c r="U31" i="111"/>
  <c r="V31" i="111" s="1"/>
  <c r="S31" i="111"/>
  <c r="R31" i="111"/>
  <c r="J31" i="111"/>
  <c r="I31" i="111"/>
  <c r="U30" i="111"/>
  <c r="V30" i="111" s="1"/>
  <c r="S30" i="111"/>
  <c r="R30" i="111"/>
  <c r="J30" i="111"/>
  <c r="I30" i="111"/>
  <c r="W30" i="111" s="1"/>
  <c r="W29" i="111"/>
  <c r="U29" i="111"/>
  <c r="V29" i="111" s="1"/>
  <c r="S29" i="111"/>
  <c r="R29" i="111"/>
  <c r="J29" i="111"/>
  <c r="I29" i="111"/>
  <c r="U28" i="111"/>
  <c r="V28" i="111" s="1"/>
  <c r="S28" i="111"/>
  <c r="R28" i="111"/>
  <c r="J28" i="111"/>
  <c r="I28" i="111"/>
  <c r="W28" i="111" s="1"/>
  <c r="W27" i="111"/>
  <c r="U27" i="111"/>
  <c r="V27" i="111" s="1"/>
  <c r="S27" i="111"/>
  <c r="R27" i="111"/>
  <c r="J27" i="111"/>
  <c r="I27" i="111"/>
  <c r="BE26" i="111"/>
  <c r="U26" i="111"/>
  <c r="V26" i="111" s="1"/>
  <c r="S26" i="111"/>
  <c r="R26" i="111"/>
  <c r="J26" i="111"/>
  <c r="I26" i="111"/>
  <c r="W26" i="111" s="1"/>
  <c r="W25" i="111"/>
  <c r="V25" i="111"/>
  <c r="U25" i="111"/>
  <c r="S25" i="111"/>
  <c r="R25" i="111"/>
  <c r="J25" i="111"/>
  <c r="I25" i="111"/>
  <c r="U24" i="111"/>
  <c r="V24" i="111" s="1"/>
  <c r="S24" i="111"/>
  <c r="R24" i="111"/>
  <c r="J24" i="111"/>
  <c r="I24" i="111"/>
  <c r="W24" i="111" s="1"/>
  <c r="W23" i="111"/>
  <c r="V23" i="111"/>
  <c r="U23" i="111"/>
  <c r="S23" i="111"/>
  <c r="R23" i="111"/>
  <c r="J23" i="111"/>
  <c r="I23" i="111"/>
  <c r="U22" i="111"/>
  <c r="V22" i="111" s="1"/>
  <c r="S22" i="111"/>
  <c r="R22" i="111"/>
  <c r="J22" i="111"/>
  <c r="I22" i="111"/>
  <c r="W22" i="111" s="1"/>
  <c r="W21" i="111"/>
  <c r="V21" i="111"/>
  <c r="U21" i="111"/>
  <c r="S21" i="111"/>
  <c r="R21" i="111"/>
  <c r="J21" i="111"/>
  <c r="I21" i="111"/>
  <c r="U20" i="111"/>
  <c r="V20" i="111" s="1"/>
  <c r="S20" i="111"/>
  <c r="R20" i="111"/>
  <c r="J20" i="111"/>
  <c r="I20" i="111"/>
  <c r="W20" i="111" s="1"/>
  <c r="W19" i="111"/>
  <c r="V19" i="111"/>
  <c r="U19" i="111"/>
  <c r="S19" i="111"/>
  <c r="R19" i="111"/>
  <c r="J19" i="111"/>
  <c r="I19" i="111"/>
  <c r="U18" i="111"/>
  <c r="V18" i="111" s="1"/>
  <c r="S18" i="111"/>
  <c r="R18" i="111"/>
  <c r="J18" i="111"/>
  <c r="I18" i="111"/>
  <c r="W18" i="111" s="1"/>
  <c r="W17" i="111"/>
  <c r="V17" i="111"/>
  <c r="U17" i="111"/>
  <c r="S17" i="111"/>
  <c r="R17" i="111"/>
  <c r="J17" i="111"/>
  <c r="I17" i="111"/>
  <c r="U16" i="111"/>
  <c r="V16" i="111" s="1"/>
  <c r="S16" i="111"/>
  <c r="R16" i="111"/>
  <c r="J16" i="111"/>
  <c r="I16" i="111"/>
  <c r="W16" i="111" s="1"/>
  <c r="W15" i="111"/>
  <c r="V15" i="111"/>
  <c r="U15" i="111"/>
  <c r="S15" i="111"/>
  <c r="R15" i="111"/>
  <c r="J15" i="111"/>
  <c r="I15" i="111"/>
  <c r="U14" i="111"/>
  <c r="V14" i="111" s="1"/>
  <c r="S14" i="111"/>
  <c r="R14" i="111"/>
  <c r="J14" i="111"/>
  <c r="I14" i="111"/>
  <c r="W14" i="111" s="1"/>
  <c r="W13" i="111"/>
  <c r="V13" i="111"/>
  <c r="U13" i="111"/>
  <c r="S13" i="111"/>
  <c r="R13" i="111"/>
  <c r="J13" i="111"/>
  <c r="I13" i="111"/>
  <c r="U12" i="111"/>
  <c r="V12" i="111" s="1"/>
  <c r="S12" i="111"/>
  <c r="R12" i="111"/>
  <c r="J12" i="111"/>
  <c r="I12" i="111"/>
  <c r="W12" i="111" s="1"/>
  <c r="W11" i="111"/>
  <c r="V11" i="111"/>
  <c r="U11" i="111"/>
  <c r="S11" i="111"/>
  <c r="R11" i="111"/>
  <c r="J11" i="111"/>
  <c r="I11" i="111"/>
  <c r="U10" i="111"/>
  <c r="V10" i="111" s="1"/>
  <c r="S10" i="111"/>
  <c r="R10" i="111"/>
  <c r="J10" i="111"/>
  <c r="I10" i="111"/>
  <c r="W10" i="111" s="1"/>
  <c r="A10" i="111"/>
  <c r="A11" i="111" s="1"/>
  <c r="A12" i="111" s="1"/>
  <c r="A13" i="111" s="1"/>
  <c r="A14" i="111" s="1"/>
  <c r="A15" i="111" s="1"/>
  <c r="A16" i="111" s="1"/>
  <c r="A17" i="111" s="1"/>
  <c r="A18" i="111" s="1"/>
  <c r="A19" i="111" s="1"/>
  <c r="A20" i="111" s="1"/>
  <c r="A21" i="111" s="1"/>
  <c r="A22" i="111" s="1"/>
  <c r="A23" i="111" s="1"/>
  <c r="A24" i="111" s="1"/>
  <c r="A25" i="111" s="1"/>
  <c r="A26" i="111" s="1"/>
  <c r="A27" i="111" s="1"/>
  <c r="A28" i="111" s="1"/>
  <c r="A29" i="111" s="1"/>
  <c r="A30" i="111" s="1"/>
  <c r="A31" i="111" s="1"/>
  <c r="A32" i="111" s="1"/>
  <c r="A33" i="111" s="1"/>
  <c r="A34" i="111" s="1"/>
  <c r="A35" i="111" s="1"/>
  <c r="A36" i="111" s="1"/>
  <c r="A37" i="111" s="1"/>
  <c r="A38" i="111" s="1"/>
  <c r="A39" i="111" s="1"/>
  <c r="A40" i="111" s="1"/>
  <c r="A41" i="111" s="1"/>
  <c r="A42" i="111" s="1"/>
  <c r="A43" i="111" s="1"/>
  <c r="A44" i="111" s="1"/>
  <c r="A45" i="111" s="1"/>
  <c r="A46" i="111" s="1"/>
  <c r="A47" i="111" s="1"/>
  <c r="A48" i="111" s="1"/>
  <c r="A49" i="111" s="1"/>
  <c r="A50" i="111" s="1"/>
  <c r="A51" i="111" s="1"/>
  <c r="A52" i="111" s="1"/>
  <c r="A53" i="111" s="1"/>
  <c r="A54" i="111" s="1"/>
  <c r="A55" i="111" s="1"/>
  <c r="A56" i="111" s="1"/>
  <c r="A57" i="111" s="1"/>
  <c r="A58" i="111" s="1"/>
  <c r="A59" i="111" s="1"/>
  <c r="W9" i="111"/>
  <c r="V9" i="111"/>
  <c r="U9" i="111"/>
  <c r="S9" i="111"/>
  <c r="R9" i="111"/>
  <c r="J9" i="111"/>
  <c r="I9" i="111"/>
  <c r="A9" i="111"/>
  <c r="U8" i="111"/>
  <c r="U60" i="111" s="1"/>
  <c r="S8" i="111"/>
  <c r="S60" i="111" s="1"/>
  <c r="R8" i="111"/>
  <c r="R60" i="111" s="1"/>
  <c r="J8" i="111"/>
  <c r="J60" i="111" s="1"/>
  <c r="I8" i="111"/>
  <c r="W8" i="111" s="1"/>
  <c r="W60" i="111" l="1"/>
  <c r="I60" i="111"/>
  <c r="V8" i="111"/>
  <c r="V60" i="111" s="1"/>
  <c r="I9" i="106"/>
  <c r="I8" i="106"/>
  <c r="Q60" i="110" l="1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U53" i="110"/>
  <c r="V53" i="110" s="1"/>
  <c r="S53" i="110"/>
  <c r="R53" i="110"/>
  <c r="J53" i="110"/>
  <c r="I53" i="110"/>
  <c r="W53" i="110" s="1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U49" i="110"/>
  <c r="V49" i="110" s="1"/>
  <c r="S49" i="110"/>
  <c r="R49" i="110"/>
  <c r="J49" i="110"/>
  <c r="I49" i="110"/>
  <c r="W49" i="110" s="1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U42" i="110"/>
  <c r="V42" i="110" s="1"/>
  <c r="S42" i="110"/>
  <c r="R42" i="110"/>
  <c r="J42" i="110"/>
  <c r="I42" i="110"/>
  <c r="W42" i="110" s="1"/>
  <c r="U41" i="110"/>
  <c r="V41" i="110" s="1"/>
  <c r="S41" i="110"/>
  <c r="R41" i="110"/>
  <c r="J41" i="110"/>
  <c r="I41" i="110"/>
  <c r="W41" i="110" s="1"/>
  <c r="U40" i="110"/>
  <c r="V40" i="110" s="1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U38" i="110"/>
  <c r="V38" i="110" s="1"/>
  <c r="S38" i="110"/>
  <c r="R38" i="110"/>
  <c r="J38" i="110"/>
  <c r="I38" i="110"/>
  <c r="W38" i="110" s="1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U34" i="110"/>
  <c r="V34" i="110" s="1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U32" i="110"/>
  <c r="V32" i="110" s="1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U28" i="110"/>
  <c r="V28" i="110" s="1"/>
  <c r="S28" i="110"/>
  <c r="R28" i="110"/>
  <c r="J28" i="110"/>
  <c r="I28" i="110"/>
  <c r="W28" i="110" s="1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V25" i="110"/>
  <c r="U25" i="110"/>
  <c r="S25" i="110"/>
  <c r="R25" i="110"/>
  <c r="J25" i="110"/>
  <c r="I25" i="110"/>
  <c r="W25" i="110" s="1"/>
  <c r="V24" i="110"/>
  <c r="U24" i="110"/>
  <c r="S24" i="110"/>
  <c r="R24" i="110"/>
  <c r="J24" i="110"/>
  <c r="I24" i="110"/>
  <c r="W24" i="110" s="1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V21" i="110"/>
  <c r="U21" i="110"/>
  <c r="S21" i="110"/>
  <c r="R21" i="110"/>
  <c r="J21" i="110"/>
  <c r="I21" i="110"/>
  <c r="W21" i="110" s="1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V17" i="110"/>
  <c r="U17" i="110"/>
  <c r="S17" i="110"/>
  <c r="R17" i="110"/>
  <c r="J17" i="110"/>
  <c r="I17" i="110"/>
  <c r="W17" i="110" s="1"/>
  <c r="V16" i="110"/>
  <c r="U16" i="110"/>
  <c r="S16" i="110"/>
  <c r="R16" i="110"/>
  <c r="J16" i="110"/>
  <c r="I16" i="110"/>
  <c r="W16" i="110" s="1"/>
  <c r="V15" i="110"/>
  <c r="U15" i="110"/>
  <c r="S15" i="110"/>
  <c r="R15" i="110"/>
  <c r="J15" i="110"/>
  <c r="I15" i="110"/>
  <c r="W15" i="110" s="1"/>
  <c r="V14" i="110"/>
  <c r="U14" i="110"/>
  <c r="S14" i="110"/>
  <c r="R14" i="110"/>
  <c r="J14" i="110"/>
  <c r="I14" i="110"/>
  <c r="W14" i="110" s="1"/>
  <c r="U13" i="110"/>
  <c r="V13" i="110" s="1"/>
  <c r="S13" i="110"/>
  <c r="R13" i="110"/>
  <c r="J13" i="110"/>
  <c r="I13" i="110"/>
  <c r="V12" i="110"/>
  <c r="U12" i="110"/>
  <c r="S12" i="110"/>
  <c r="R12" i="110"/>
  <c r="J12" i="110"/>
  <c r="I12" i="110"/>
  <c r="W12" i="110" s="1"/>
  <c r="V11" i="110"/>
  <c r="U11" i="110"/>
  <c r="S11" i="110"/>
  <c r="R11" i="110"/>
  <c r="J11" i="110"/>
  <c r="I11" i="110"/>
  <c r="W11" i="110" s="1"/>
  <c r="V10" i="110"/>
  <c r="U10" i="110"/>
  <c r="S10" i="110"/>
  <c r="R10" i="110"/>
  <c r="J10" i="110"/>
  <c r="I10" i="110"/>
  <c r="W10" i="110" s="1"/>
  <c r="V9" i="110"/>
  <c r="U9" i="110"/>
  <c r="S9" i="110"/>
  <c r="R9" i="110"/>
  <c r="J9" i="110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R8" i="110"/>
  <c r="J8" i="110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U53" i="109"/>
  <c r="V53" i="109" s="1"/>
  <c r="S53" i="109"/>
  <c r="R53" i="109"/>
  <c r="J53" i="109"/>
  <c r="I53" i="109"/>
  <c r="W53" i="109" s="1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V50" i="109"/>
  <c r="U50" i="109"/>
  <c r="S50" i="109"/>
  <c r="R50" i="109"/>
  <c r="J50" i="109"/>
  <c r="I50" i="109"/>
  <c r="W50" i="109" s="1"/>
  <c r="U49" i="109"/>
  <c r="V49" i="109" s="1"/>
  <c r="S49" i="109"/>
  <c r="R49" i="109"/>
  <c r="J49" i="109"/>
  <c r="I49" i="109"/>
  <c r="W49" i="109" s="1"/>
  <c r="V48" i="109"/>
  <c r="U48" i="109"/>
  <c r="S48" i="109"/>
  <c r="R48" i="109"/>
  <c r="J48" i="109"/>
  <c r="I48" i="109"/>
  <c r="W48" i="109" s="1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I21" i="109"/>
  <c r="V20" i="109"/>
  <c r="U20" i="109"/>
  <c r="S20" i="109"/>
  <c r="R20" i="109"/>
  <c r="J20" i="109"/>
  <c r="I20" i="109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I17" i="109"/>
  <c r="V16" i="109"/>
  <c r="U16" i="109"/>
  <c r="S16" i="109"/>
  <c r="R16" i="109"/>
  <c r="J16" i="109"/>
  <c r="I16" i="109"/>
  <c r="V15" i="109"/>
  <c r="U15" i="109"/>
  <c r="S15" i="109"/>
  <c r="R15" i="109"/>
  <c r="J15" i="109"/>
  <c r="I15" i="109"/>
  <c r="V14" i="109"/>
  <c r="U14" i="109"/>
  <c r="S14" i="109"/>
  <c r="R14" i="109"/>
  <c r="J14" i="109"/>
  <c r="I14" i="109"/>
  <c r="U13" i="109"/>
  <c r="V13" i="109" s="1"/>
  <c r="S13" i="109"/>
  <c r="R13" i="109"/>
  <c r="J13" i="109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U8" i="109"/>
  <c r="V8" i="109" s="1"/>
  <c r="S8" i="109"/>
  <c r="R8" i="109"/>
  <c r="J8" i="109"/>
  <c r="I8" i="109"/>
  <c r="W25" i="109" l="1"/>
  <c r="W23" i="109"/>
  <c r="W21" i="109"/>
  <c r="W20" i="109"/>
  <c r="W17" i="109"/>
  <c r="W15" i="109"/>
  <c r="W16" i="109"/>
  <c r="W14" i="109"/>
  <c r="S60" i="109"/>
  <c r="J60" i="109"/>
  <c r="W13" i="109"/>
  <c r="R60" i="109"/>
  <c r="W9" i="109"/>
  <c r="U60" i="109"/>
  <c r="W8" i="109"/>
  <c r="W23" i="110"/>
  <c r="S60" i="110"/>
  <c r="R60" i="110"/>
  <c r="U60" i="110"/>
  <c r="W13" i="110"/>
  <c r="J60" i="110"/>
  <c r="W9" i="110"/>
  <c r="V60" i="110"/>
  <c r="I60" i="110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V44" i="108"/>
  <c r="U44" i="108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W39" i="108"/>
  <c r="U39" i="108"/>
  <c r="V39" i="108" s="1"/>
  <c r="S39" i="108"/>
  <c r="R39" i="108"/>
  <c r="J39" i="108"/>
  <c r="I39" i="108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I29" i="108"/>
  <c r="U28" i="108"/>
  <c r="V28" i="108" s="1"/>
  <c r="S28" i="108"/>
  <c r="R28" i="108"/>
  <c r="J28" i="108"/>
  <c r="I28" i="108"/>
  <c r="W28" i="108" s="1"/>
  <c r="W27" i="108"/>
  <c r="U27" i="108"/>
  <c r="V27" i="108" s="1"/>
  <c r="S27" i="108"/>
  <c r="R27" i="108"/>
  <c r="J27" i="108"/>
  <c r="I27" i="108"/>
  <c r="BE26" i="108"/>
  <c r="U26" i="108"/>
  <c r="V26" i="108" s="1"/>
  <c r="S26" i="108"/>
  <c r="R26" i="108"/>
  <c r="J26" i="108"/>
  <c r="I26" i="108"/>
  <c r="W26" i="108" s="1"/>
  <c r="W25" i="108"/>
  <c r="V25" i="108"/>
  <c r="U25" i="108"/>
  <c r="S25" i="108"/>
  <c r="R25" i="108"/>
  <c r="J25" i="108"/>
  <c r="I25" i="108"/>
  <c r="U24" i="108"/>
  <c r="V24" i="108" s="1"/>
  <c r="S24" i="108"/>
  <c r="R24" i="108"/>
  <c r="J24" i="108"/>
  <c r="I24" i="108"/>
  <c r="W24" i="108" s="1"/>
  <c r="W23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W21" i="108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20" i="108" s="1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W14" i="108" s="1"/>
  <c r="I14" i="108"/>
  <c r="W13" i="108"/>
  <c r="V13" i="108"/>
  <c r="U13" i="108"/>
  <c r="S13" i="108"/>
  <c r="R13" i="108"/>
  <c r="J13" i="108"/>
  <c r="I13" i="108"/>
  <c r="U12" i="108"/>
  <c r="V12" i="108" s="1"/>
  <c r="S12" i="108"/>
  <c r="R12" i="108"/>
  <c r="J12" i="108"/>
  <c r="W12" i="108" s="1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W10" i="108" s="1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W9" i="108"/>
  <c r="V9" i="108"/>
  <c r="U9" i="108"/>
  <c r="S9" i="108"/>
  <c r="R9" i="108"/>
  <c r="J9" i="108"/>
  <c r="I9" i="108"/>
  <c r="A9" i="108"/>
  <c r="U8" i="108"/>
  <c r="U60" i="108" s="1"/>
  <c r="S8" i="108"/>
  <c r="S60" i="108" s="1"/>
  <c r="R8" i="108"/>
  <c r="R60" i="108" s="1"/>
  <c r="J8" i="108"/>
  <c r="W8" i="108" s="1"/>
  <c r="I8" i="108"/>
  <c r="I60" i="108" s="1"/>
  <c r="W60" i="109" l="1"/>
  <c r="W60" i="110"/>
  <c r="W60" i="108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V54" i="107"/>
  <c r="U54" i="107"/>
  <c r="S54" i="107"/>
  <c r="R54" i="107"/>
  <c r="J54" i="107"/>
  <c r="I54" i="107"/>
  <c r="W54" i="107" s="1"/>
  <c r="U53" i="107"/>
  <c r="V53" i="107" s="1"/>
  <c r="S53" i="107"/>
  <c r="R53" i="107"/>
  <c r="J53" i="107"/>
  <c r="I53" i="107"/>
  <c r="W53" i="107" s="1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V50" i="107"/>
  <c r="U50" i="107"/>
  <c r="S50" i="107"/>
  <c r="R50" i="107"/>
  <c r="J50" i="107"/>
  <c r="I50" i="107"/>
  <c r="W50" i="107" s="1"/>
  <c r="U49" i="107"/>
  <c r="V49" i="107" s="1"/>
  <c r="S49" i="107"/>
  <c r="R49" i="107"/>
  <c r="J49" i="107"/>
  <c r="I49" i="107"/>
  <c r="W49" i="107" s="1"/>
  <c r="V48" i="107"/>
  <c r="U48" i="107"/>
  <c r="S48" i="107"/>
  <c r="R48" i="107"/>
  <c r="J48" i="107"/>
  <c r="I48" i="107"/>
  <c r="W48" i="107" s="1"/>
  <c r="U47" i="107"/>
  <c r="V47" i="107" s="1"/>
  <c r="S47" i="107"/>
  <c r="R47" i="107"/>
  <c r="J47" i="107"/>
  <c r="I47" i="107"/>
  <c r="W47" i="107" s="1"/>
  <c r="V46" i="107"/>
  <c r="U46" i="107"/>
  <c r="S46" i="107"/>
  <c r="R46" i="107"/>
  <c r="J46" i="107"/>
  <c r="I46" i="107"/>
  <c r="W46" i="107" s="1"/>
  <c r="S45" i="107"/>
  <c r="R45" i="107"/>
  <c r="J45" i="107"/>
  <c r="I45" i="107"/>
  <c r="U44" i="107"/>
  <c r="V44" i="107" s="1"/>
  <c r="S44" i="107"/>
  <c r="R44" i="107"/>
  <c r="J44" i="107"/>
  <c r="I44" i="107"/>
  <c r="W44" i="107" s="1"/>
  <c r="S43" i="107"/>
  <c r="R43" i="107"/>
  <c r="J43" i="107"/>
  <c r="I43" i="107"/>
  <c r="U42" i="107"/>
  <c r="V42" i="107" s="1"/>
  <c r="S42" i="107"/>
  <c r="R42" i="107"/>
  <c r="J42" i="107"/>
  <c r="I42" i="107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U25" i="107"/>
  <c r="V25" i="107" s="1"/>
  <c r="S25" i="107"/>
  <c r="R25" i="107"/>
  <c r="J25" i="107"/>
  <c r="I25" i="107"/>
  <c r="U24" i="107"/>
  <c r="V24" i="107" s="1"/>
  <c r="S24" i="107"/>
  <c r="R24" i="107"/>
  <c r="J24" i="107"/>
  <c r="I24" i="107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I21" i="107"/>
  <c r="U20" i="107"/>
  <c r="V20" i="107" s="1"/>
  <c r="S20" i="107"/>
  <c r="R20" i="107"/>
  <c r="J20" i="107"/>
  <c r="I20" i="107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I15" i="107"/>
  <c r="U14" i="107"/>
  <c r="V14" i="107" s="1"/>
  <c r="S14" i="107"/>
  <c r="R14" i="107"/>
  <c r="J14" i="107"/>
  <c r="I14" i="107"/>
  <c r="U13" i="107"/>
  <c r="V13" i="107" s="1"/>
  <c r="S13" i="107"/>
  <c r="R13" i="107"/>
  <c r="J13" i="107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S9" i="107"/>
  <c r="R9" i="107"/>
  <c r="J9" i="107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R8" i="107"/>
  <c r="J8" i="107"/>
  <c r="I8" i="107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U41" i="106"/>
  <c r="V41" i="106" s="1"/>
  <c r="S41" i="106"/>
  <c r="R41" i="106"/>
  <c r="J41" i="106"/>
  <c r="I41" i="106"/>
  <c r="U40" i="106"/>
  <c r="V40" i="106" s="1"/>
  <c r="S40" i="106"/>
  <c r="R40" i="106"/>
  <c r="J40" i="106"/>
  <c r="I40" i="106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I15" i="106"/>
  <c r="U14" i="106"/>
  <c r="V14" i="106" s="1"/>
  <c r="S14" i="106"/>
  <c r="R14" i="106"/>
  <c r="J14" i="106"/>
  <c r="I14" i="106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A9" i="106"/>
  <c r="U8" i="106"/>
  <c r="V8" i="106" s="1"/>
  <c r="S8" i="106"/>
  <c r="R8" i="106"/>
  <c r="J8" i="106"/>
  <c r="W42" i="107" l="1"/>
  <c r="W35" i="107"/>
  <c r="W26" i="107"/>
  <c r="W25" i="107"/>
  <c r="W24" i="107"/>
  <c r="W21" i="107"/>
  <c r="W20" i="107"/>
  <c r="W17" i="107"/>
  <c r="W15" i="107"/>
  <c r="W14" i="107"/>
  <c r="S60" i="107"/>
  <c r="W13" i="107"/>
  <c r="J60" i="107"/>
  <c r="U60" i="107"/>
  <c r="R60" i="107"/>
  <c r="W9" i="107"/>
  <c r="W8" i="107"/>
  <c r="W48" i="106"/>
  <c r="W42" i="106"/>
  <c r="W41" i="106"/>
  <c r="W40" i="106"/>
  <c r="W26" i="106"/>
  <c r="W15" i="106"/>
  <c r="W14" i="106"/>
  <c r="W20" i="106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V9" i="107"/>
  <c r="V60" i="107" s="1"/>
  <c r="I60" i="107"/>
  <c r="V60" i="106"/>
  <c r="V9" i="106"/>
  <c r="I60" i="106"/>
  <c r="W60" i="107" l="1"/>
  <c r="W60" i="106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96E700-2895-43F6-A7EC-7FFC6A643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BC4157-29E2-4BC6-B5AF-FE7050537A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3789B3B-32F5-4905-B9F3-CA215E56C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<sst xmlns="http://schemas.openxmlformats.org/spreadsheetml/2006/main" count="742" uniqueCount="82">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</sst>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/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06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>
        <v>46113</v>
      </c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83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56</v>
      </c>
      <c r="D8" s="111">
        <v>21</v>
      </c>
      <c r="E8" s="112"/>
      <c r="F8" s="112"/>
      <c r="G8" s="76">
        <v>1</v>
      </c>
      <c r="H8" s="73"/>
      <c r="I8" s="73">
        <f>C8+E8-G8</f>
        <v>55</v>
      </c>
      <c r="J8" s="77">
        <f t="shared" ref="J8:J12" si="0">D8-H8</f>
        <v>21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1341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/>
      <c r="H10" s="73"/>
      <c r="I10" s="73">
        <f t="shared" ref="I10:J59" si="4">C10-G10</f>
        <v>116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/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3839</v>
      </c>
      <c r="D13" s="114">
        <v>21</v>
      </c>
      <c r="E13" s="115"/>
      <c r="F13" s="115"/>
      <c r="G13" s="78">
        <v>35</v>
      </c>
      <c r="H13" s="79">
        <v>30</v>
      </c>
      <c r="I13" s="80">
        <f t="shared" si="4"/>
        <v>3804</v>
      </c>
      <c r="J13" s="94">
        <f>D13-H13</f>
        <v>-9</v>
      </c>
      <c r="K13" s="53"/>
      <c r="L13" s="121">
        <v>8</v>
      </c>
      <c r="M13" s="121">
        <v>4</v>
      </c>
      <c r="N13" s="121">
        <v>6</v>
      </c>
      <c r="O13" s="121">
        <v>4</v>
      </c>
      <c r="P13" s="121">
        <v>21</v>
      </c>
      <c r="Q13" s="122">
        <v>22</v>
      </c>
      <c r="R13" s="97">
        <f>L13+N13+P13</f>
        <v>35</v>
      </c>
      <c r="S13" s="125">
        <f>M13+O13+Q13</f>
        <v>30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91287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41</v>
      </c>
      <c r="D26" s="111">
        <v>23</v>
      </c>
      <c r="E26" s="112"/>
      <c r="F26" s="112"/>
      <c r="G26" s="76"/>
      <c r="H26" s="73"/>
      <c r="I26" s="73">
        <f t="shared" si="4"/>
        <v>41</v>
      </c>
      <c r="J26" s="77">
        <f t="shared" si="4"/>
        <v>23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7</v>
      </c>
      <c r="D27" s="111"/>
      <c r="E27" s="112"/>
      <c r="F27" s="112"/>
      <c r="G27" s="76">
        <v>6</v>
      </c>
      <c r="H27" s="73">
        <v>12</v>
      </c>
      <c r="I27" s="73">
        <f t="shared" si="4"/>
        <v>1</v>
      </c>
      <c r="J27" s="77">
        <f t="shared" si="4"/>
        <v>-12</v>
      </c>
      <c r="K27" s="42"/>
      <c r="L27" s="112">
        <v>1</v>
      </c>
      <c r="M27" s="112"/>
      <c r="N27" s="112">
        <v>3</v>
      </c>
      <c r="O27" s="112">
        <v>12</v>
      </c>
      <c r="P27" s="112">
        <v>2</v>
      </c>
      <c r="Q27" s="120"/>
      <c r="R27" s="86">
        <f t="shared" si="7"/>
        <v>6</v>
      </c>
      <c r="S27" s="124">
        <f t="shared" si="7"/>
        <v>12</v>
      </c>
      <c r="T27" s="42"/>
      <c r="U27" s="107">
        <f t="shared" si="5"/>
        <v>144</v>
      </c>
      <c r="V27" s="130">
        <f t="shared" si="6"/>
        <v>6</v>
      </c>
      <c r="W27" s="129">
        <f t="shared" si="8"/>
        <v>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>
        <v>12</v>
      </c>
      <c r="E29" s="112"/>
      <c r="F29" s="112"/>
      <c r="G29" s="76">
        <v>7</v>
      </c>
      <c r="H29" s="73">
        <v>12</v>
      </c>
      <c r="I29" s="73">
        <f t="shared" si="4"/>
        <v>50</v>
      </c>
      <c r="J29" s="77">
        <f t="shared" si="4"/>
        <v>0</v>
      </c>
      <c r="K29" s="42"/>
      <c r="L29" s="112">
        <v>1</v>
      </c>
      <c r="M29" s="112"/>
      <c r="N29" s="112">
        <v>3</v>
      </c>
      <c r="O29" s="112">
        <v>14</v>
      </c>
      <c r="P29" s="112">
        <v>3</v>
      </c>
      <c r="Q29" s="120"/>
      <c r="R29" s="86">
        <f t="shared" si="7"/>
        <v>7</v>
      </c>
      <c r="S29" s="124">
        <f t="shared" si="7"/>
        <v>14</v>
      </c>
      <c r="T29" s="42"/>
      <c r="U29" s="107">
        <f t="shared" si="5"/>
        <v>168</v>
      </c>
      <c r="V29" s="130">
        <f t="shared" si="6"/>
        <v>7</v>
      </c>
      <c r="W29" s="129">
        <f t="shared" si="8"/>
        <v>1200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69</v>
      </c>
      <c r="D30" s="111"/>
      <c r="E30" s="112"/>
      <c r="F30" s="112"/>
      <c r="G30" s="76"/>
      <c r="H30" s="73"/>
      <c r="I30" s="73">
        <f t="shared" si="4"/>
        <v>69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1656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43</v>
      </c>
      <c r="D31" s="111"/>
      <c r="E31" s="112"/>
      <c r="F31" s="112"/>
      <c r="G31" s="76">
        <v>1</v>
      </c>
      <c r="H31" s="73"/>
      <c r="I31" s="73">
        <f t="shared" si="4"/>
        <v>42</v>
      </c>
      <c r="J31" s="77">
        <f t="shared" si="4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1008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133</v>
      </c>
      <c r="D35" s="111">
        <v>5</v>
      </c>
      <c r="E35" s="112"/>
      <c r="F35" s="112"/>
      <c r="G35" s="76">
        <v>1</v>
      </c>
      <c r="H35" s="73"/>
      <c r="I35" s="73">
        <f t="shared" si="4"/>
        <v>132</v>
      </c>
      <c r="J35" s="77">
        <f t="shared" si="4"/>
        <v>5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4811</v>
      </c>
      <c r="D38" s="114">
        <v>2</v>
      </c>
      <c r="E38" s="115"/>
      <c r="F38" s="115"/>
      <c r="G38" s="78">
        <v>108</v>
      </c>
      <c r="H38" s="79"/>
      <c r="I38" s="139">
        <f t="shared" si="4"/>
        <v>4703</v>
      </c>
      <c r="J38" s="140">
        <f t="shared" si="4"/>
        <v>2</v>
      </c>
      <c r="K38" s="51"/>
      <c r="L38" s="121">
        <v>71</v>
      </c>
      <c r="M38" s="121"/>
      <c r="N38" s="121">
        <v>2</v>
      </c>
      <c r="O38" s="121"/>
      <c r="P38" s="121">
        <v>35</v>
      </c>
      <c r="Q38" s="122"/>
      <c r="R38" s="97">
        <f t="shared" si="7"/>
        <v>108</v>
      </c>
      <c r="S38" s="125">
        <f t="shared" si="7"/>
        <v>0</v>
      </c>
      <c r="T38" s="51"/>
      <c r="U38" s="131">
        <f>L38*6+N38*6+P38*6</f>
        <v>648</v>
      </c>
      <c r="V38" s="135">
        <f>U38/6</f>
        <v>108</v>
      </c>
      <c r="W38" s="133">
        <f>I38*6+J38</f>
        <v>28220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396</v>
      </c>
      <c r="D41" s="147"/>
      <c r="E41" s="148"/>
      <c r="F41" s="148"/>
      <c r="G41" s="149">
        <v>72</v>
      </c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>
        <v>70</v>
      </c>
      <c r="O41" s="154"/>
      <c r="P41" s="154">
        <v>2</v>
      </c>
      <c r="Q41" s="155"/>
      <c r="R41" s="156">
        <f t="shared" si="7"/>
        <v>72</v>
      </c>
      <c r="S41" s="157">
        <f t="shared" si="7"/>
        <v>0</v>
      </c>
      <c r="T41" s="153"/>
      <c r="U41" s="158">
        <f t="shared" si="9"/>
        <v>1728</v>
      </c>
      <c r="V41" s="159">
        <f t="shared" si="6"/>
        <v>72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1133</v>
      </c>
      <c r="D42" s="164">
        <v>9</v>
      </c>
      <c r="E42" s="165"/>
      <c r="F42" s="165"/>
      <c r="G42" s="166">
        <v>33</v>
      </c>
      <c r="H42" s="167"/>
      <c r="I42" s="166">
        <f t="shared" si="4"/>
        <v>1100</v>
      </c>
      <c r="J42" s="168">
        <f t="shared" si="4"/>
        <v>9</v>
      </c>
      <c r="K42" s="169"/>
      <c r="L42" s="165">
        <v>3</v>
      </c>
      <c r="M42" s="165"/>
      <c r="N42" s="165">
        <v>13</v>
      </c>
      <c r="O42" s="165"/>
      <c r="P42" s="165">
        <v>17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13209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37601</v>
      </c>
      <c r="D44" s="114"/>
      <c r="E44" s="115"/>
      <c r="F44" s="115"/>
      <c r="G44" s="78">
        <v>1465</v>
      </c>
      <c r="H44" s="79"/>
      <c r="I44" s="73">
        <f>C44+E44-G44</f>
        <v>36136</v>
      </c>
      <c r="J44" s="177">
        <f t="shared" si="4"/>
        <v>0</v>
      </c>
      <c r="K44" s="51"/>
      <c r="L44" s="121">
        <v>644</v>
      </c>
      <c r="M44" s="121"/>
      <c r="N44" s="121">
        <v>339</v>
      </c>
      <c r="O44" s="121"/>
      <c r="P44" s="121">
        <v>482</v>
      </c>
      <c r="Q44" s="122"/>
      <c r="R44" s="178">
        <f t="shared" si="7"/>
        <v>1465</v>
      </c>
      <c r="S44" s="179">
        <f t="shared" si="7"/>
        <v>0</v>
      </c>
      <c r="T44" s="51"/>
      <c r="U44" s="131">
        <f>L44*6+N44*6+P44*6</f>
        <v>8790</v>
      </c>
      <c r="V44" s="130">
        <f>U44/6</f>
        <v>1465</v>
      </c>
      <c r="W44" s="133">
        <f>I44*6+J44</f>
        <v>216816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2847</v>
      </c>
      <c r="D48" s="142">
        <v>4</v>
      </c>
      <c r="E48" s="121"/>
      <c r="F48" s="121"/>
      <c r="G48" s="143">
        <v>5</v>
      </c>
      <c r="H48" s="139"/>
      <c r="I48" s="139">
        <f t="shared" si="4"/>
        <v>2842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51444</v>
      </c>
      <c r="D60" s="54">
        <f>SUM(D8:D59)</f>
        <v>188</v>
      </c>
      <c r="E60" s="44">
        <f>SUM(E8:E59)</f>
        <v>0</v>
      </c>
      <c r="F60" s="44"/>
      <c r="G60" s="28">
        <f>SUM(G8:G59)</f>
        <v>1734</v>
      </c>
      <c r="H60" s="56">
        <f>SUM(H8:H59)</f>
        <v>54</v>
      </c>
      <c r="I60" s="56">
        <f>SUM(I8:I59)</f>
        <v>49710</v>
      </c>
      <c r="J60" s="45">
        <f>SUM(J8:J59)</f>
        <v>134</v>
      </c>
      <c r="K60" s="46"/>
      <c r="L60" s="74">
        <f t="shared" ref="L60:S60" si="20">SUM(L8:L59)</f>
        <v>735</v>
      </c>
      <c r="M60" s="74">
        <f t="shared" si="20"/>
        <v>4</v>
      </c>
      <c r="N60" s="74">
        <f t="shared" si="20"/>
        <v>437</v>
      </c>
      <c r="O60" s="74">
        <f t="shared" si="20"/>
        <v>30</v>
      </c>
      <c r="P60" s="74">
        <f t="shared" si="20"/>
        <v>562</v>
      </c>
      <c r="Q60" s="75">
        <f t="shared" si="20"/>
        <v>22</v>
      </c>
      <c r="R60" s="85">
        <f t="shared" si="20"/>
        <v>1734</v>
      </c>
      <c r="S60" s="84">
        <f t="shared" si="20"/>
        <v>56</v>
      </c>
      <c r="T60" s="46"/>
      <c r="U60" s="43">
        <f>SUM(U8:U59)</f>
        <v>12816</v>
      </c>
      <c r="V60" s="102">
        <f>SUM(V8:V59)</f>
        <v>1734</v>
      </c>
      <c r="W60" s="180">
        <f>SUM(W8:W59)</f>
        <v>393104</v>
      </c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>
        <v>46118</v>
      </c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89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 t="shared" ref="I9:J59" si="4">C9-G9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/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/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3754</v>
      </c>
      <c r="D13" s="114">
        <v>6</v>
      </c>
      <c r="E13" s="115"/>
      <c r="F13" s="115"/>
      <c r="G13" s="78">
        <v>45</v>
      </c>
      <c r="H13" s="79">
        <v>24</v>
      </c>
      <c r="I13" s="80">
        <f t="shared" si="4"/>
        <v>3709</v>
      </c>
      <c r="J13" s="94">
        <f>D13-H13</f>
        <v>-18</v>
      </c>
      <c r="K13" s="53"/>
      <c r="L13" s="121">
        <v>17</v>
      </c>
      <c r="M13" s="121">
        <v>18</v>
      </c>
      <c r="N13" s="121">
        <v>18</v>
      </c>
      <c r="O13" s="121"/>
      <c r="P13" s="121">
        <v>10</v>
      </c>
      <c r="Q13" s="122">
        <v>6</v>
      </c>
      <c r="R13" s="97">
        <f>L13+N13+P13</f>
        <v>45</v>
      </c>
      <c r="S13" s="125">
        <f>M13+O13+Q13</f>
        <v>24</v>
      </c>
      <c r="T13" s="53"/>
      <c r="U13" s="131">
        <f>L13*24+N13*24+P13*24</f>
        <v>1080</v>
      </c>
      <c r="V13" s="135">
        <f t="shared" si="6"/>
        <v>45</v>
      </c>
      <c r="W13" s="133">
        <f>I13*24+J13</f>
        <v>88998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46</v>
      </c>
      <c r="D29" s="111"/>
      <c r="E29" s="112"/>
      <c r="F29" s="112"/>
      <c r="G29" s="76">
        <v>4</v>
      </c>
      <c r="H29" s="73"/>
      <c r="I29" s="73">
        <f t="shared" si="4"/>
        <v>42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68</v>
      </c>
      <c r="D30" s="111"/>
      <c r="E30" s="112"/>
      <c r="F30" s="112"/>
      <c r="G30" s="76">
        <v>2</v>
      </c>
      <c r="H30" s="73"/>
      <c r="I30" s="73">
        <f t="shared" si="4"/>
        <v>66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/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1584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42</v>
      </c>
      <c r="D31" s="111"/>
      <c r="E31" s="112"/>
      <c r="F31" s="112"/>
      <c r="G31" s="76">
        <v>1</v>
      </c>
      <c r="H31" s="73"/>
      <c r="I31" s="73">
        <f t="shared" si="4"/>
        <v>41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984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5</v>
      </c>
      <c r="E35" s="112"/>
      <c r="F35" s="112"/>
      <c r="G35" s="76">
        <v>11</v>
      </c>
      <c r="H35" s="73"/>
      <c r="I35" s="73">
        <f t="shared" si="4"/>
        <v>121</v>
      </c>
      <c r="J35" s="77">
        <f t="shared" si="4"/>
        <v>5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2909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4604</v>
      </c>
      <c r="D38" s="114">
        <v>2</v>
      </c>
      <c r="E38" s="115"/>
      <c r="F38" s="115"/>
      <c r="G38" s="78">
        <v>398</v>
      </c>
      <c r="H38" s="79"/>
      <c r="I38" s="139">
        <f t="shared" si="4"/>
        <v>4206</v>
      </c>
      <c r="J38" s="140">
        <f t="shared" si="4"/>
        <v>2</v>
      </c>
      <c r="K38" s="51"/>
      <c r="L38" s="121">
        <v>230</v>
      </c>
      <c r="M38" s="121"/>
      <c r="N38" s="121">
        <v>60</v>
      </c>
      <c r="O38" s="121"/>
      <c r="P38" s="121">
        <v>108</v>
      </c>
      <c r="Q38" s="122"/>
      <c r="R38" s="97">
        <f t="shared" si="7"/>
        <v>398</v>
      </c>
      <c r="S38" s="125">
        <f t="shared" si="7"/>
        <v>0</v>
      </c>
      <c r="T38" s="51"/>
      <c r="U38" s="131">
        <f>L38*6+N38*6+P38*6</f>
        <v>2388</v>
      </c>
      <c r="V38" s="135">
        <f>U38/6</f>
        <v>398</v>
      </c>
      <c r="W38" s="133">
        <f>I38*6+J38</f>
        <v>25238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1067</v>
      </c>
      <c r="D42" s="164">
        <v>9</v>
      </c>
      <c r="E42" s="165"/>
      <c r="F42" s="165"/>
      <c r="G42" s="166">
        <v>27</v>
      </c>
      <c r="H42" s="167"/>
      <c r="I42" s="166">
        <f t="shared" si="4"/>
        <v>1040</v>
      </c>
      <c r="J42" s="168">
        <f t="shared" si="4"/>
        <v>9</v>
      </c>
      <c r="K42" s="169"/>
      <c r="L42" s="165">
        <v>1</v>
      </c>
      <c r="M42" s="165"/>
      <c r="N42" s="165">
        <v>7</v>
      </c>
      <c r="O42" s="165"/>
      <c r="P42" s="165">
        <v>19</v>
      </c>
      <c r="Q42" s="170"/>
      <c r="R42" s="171">
        <f t="shared" si="7"/>
        <v>27</v>
      </c>
      <c r="S42" s="172">
        <f t="shared" si="7"/>
        <v>0</v>
      </c>
      <c r="T42" s="169"/>
      <c r="U42" s="173">
        <f>L42*12+N42*12+P42*12</f>
        <v>324</v>
      </c>
      <c r="V42" s="174">
        <f>U42/12</f>
        <v>27</v>
      </c>
      <c r="W42" s="175">
        <f>I42*12+J42</f>
        <v>12489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34728</v>
      </c>
      <c r="D44" s="114"/>
      <c r="E44" s="115"/>
      <c r="F44" s="115"/>
      <c r="G44" s="78">
        <v>2101</v>
      </c>
      <c r="H44" s="79"/>
      <c r="I44" s="73">
        <f>C44+E44-G44</f>
        <v>32627</v>
      </c>
      <c r="J44" s="177">
        <f t="shared" si="4"/>
        <v>0</v>
      </c>
      <c r="K44" s="51"/>
      <c r="L44" s="121">
        <v>990</v>
      </c>
      <c r="M44" s="121"/>
      <c r="N44" s="121">
        <v>570</v>
      </c>
      <c r="O44" s="121"/>
      <c r="P44" s="121">
        <v>541</v>
      </c>
      <c r="Q44" s="122"/>
      <c r="R44" s="178">
        <f t="shared" si="7"/>
        <v>2101</v>
      </c>
      <c r="S44" s="179">
        <f t="shared" si="7"/>
        <v>0</v>
      </c>
      <c r="T44" s="51"/>
      <c r="U44" s="131">
        <f>L44*6+N44*6+P44*6</f>
        <v>12606</v>
      </c>
      <c r="V44" s="130">
        <f>U44/6</f>
        <v>2101</v>
      </c>
      <c r="W44" s="133">
        <f>I44*6+J44</f>
        <v>195762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48109</v>
      </c>
      <c r="D60" s="54">
        <f>SUM(D8:D59)</f>
        <v>149</v>
      </c>
      <c r="E60" s="44">
        <f>SUM(E8:E59)</f>
        <v>0</v>
      </c>
      <c r="F60" s="44"/>
      <c r="G60" s="28">
        <f>SUM(G8:G59)</f>
        <v>2589</v>
      </c>
      <c r="H60" s="56">
        <f>SUM(H8:H59)</f>
        <v>24</v>
      </c>
      <c r="I60" s="56">
        <f>SUM(I8:I59)</f>
        <v>45520</v>
      </c>
      <c r="J60" s="45">
        <f>SUM(J8:J59)</f>
        <v>125</v>
      </c>
      <c r="K60" s="46"/>
      <c r="L60" s="74">
        <f t="shared" ref="L60:S60" si="20">SUM(L8:L59)</f>
        <v>1251</v>
      </c>
      <c r="M60" s="74">
        <f t="shared" si="20"/>
        <v>18</v>
      </c>
      <c r="N60" s="74">
        <f t="shared" si="20"/>
        <v>655</v>
      </c>
      <c r="O60" s="74">
        <f t="shared" si="20"/>
        <v>0</v>
      </c>
      <c r="P60" s="74">
        <f t="shared" si="20"/>
        <v>683</v>
      </c>
      <c r="Q60" s="75">
        <f t="shared" si="20"/>
        <v>6</v>
      </c>
      <c r="R60" s="85">
        <f t="shared" si="20"/>
        <v>2589</v>
      </c>
      <c r="S60" s="84">
        <f t="shared" si="20"/>
        <v>24</v>
      </c>
      <c r="T60" s="46"/>
      <c r="U60" s="43">
        <f>SUM(U8:U59)</f>
        <v>16830</v>
      </c>
      <c r="V60" s="102">
        <f>SUM(V8:V59)</f>
        <v>2589</v>
      </c>
      <c r="W60" s="180">
        <f>SUM(W8:W59)</f>
        <v>365363</v>
      </c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Q49" sqref="Q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57031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>
        <v>46120</v>
      </c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83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/>
      <c r="H9" s="79"/>
      <c r="I9" s="78">
        <f t="shared" ref="I9:J59" si="4">C9-G9</f>
        <v>104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2496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2</v>
      </c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3655</v>
      </c>
      <c r="D13" s="114">
        <v>20</v>
      </c>
      <c r="E13" s="115"/>
      <c r="F13" s="115"/>
      <c r="G13" s="78">
        <v>42</v>
      </c>
      <c r="H13" s="79">
        <v>16</v>
      </c>
      <c r="I13" s="80">
        <f t="shared" si="4"/>
        <v>3613</v>
      </c>
      <c r="J13" s="94">
        <f>D13-H13</f>
        <v>4</v>
      </c>
      <c r="K13" s="53"/>
      <c r="L13" s="121">
        <v>15</v>
      </c>
      <c r="M13" s="121"/>
      <c r="N13" s="121">
        <v>7</v>
      </c>
      <c r="O13" s="121">
        <v>4</v>
      </c>
      <c r="P13" s="121">
        <v>20</v>
      </c>
      <c r="Q13" s="122">
        <v>12</v>
      </c>
      <c r="R13" s="97">
        <f>L13+N13+P13</f>
        <v>42</v>
      </c>
      <c r="S13" s="125">
        <f>M13+O13+Q13</f>
        <v>16</v>
      </c>
      <c r="T13" s="53"/>
      <c r="U13" s="131">
        <f>L13*24+N13*24+P13*24</f>
        <v>1008</v>
      </c>
      <c r="V13" s="135">
        <f t="shared" si="6"/>
        <v>42</v>
      </c>
      <c r="W13" s="133">
        <f>I13*24+J13</f>
        <v>86716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4</v>
      </c>
      <c r="H29" s="73"/>
      <c r="I29" s="73">
        <f t="shared" si="4"/>
        <v>24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576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118</v>
      </c>
      <c r="D35" s="111">
        <v>5</v>
      </c>
      <c r="E35" s="112"/>
      <c r="F35" s="112"/>
      <c r="G35" s="76">
        <v>2</v>
      </c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4039</v>
      </c>
      <c r="D38" s="114">
        <v>2</v>
      </c>
      <c r="E38" s="115"/>
      <c r="F38" s="115"/>
      <c r="G38" s="78">
        <v>142</v>
      </c>
      <c r="H38" s="79"/>
      <c r="I38" s="139">
        <f t="shared" si="4"/>
        <v>3897</v>
      </c>
      <c r="J38" s="140">
        <f t="shared" si="4"/>
        <v>2</v>
      </c>
      <c r="K38" s="51"/>
      <c r="L38" s="121"/>
      <c r="M38" s="121"/>
      <c r="N38" s="121">
        <v>48</v>
      </c>
      <c r="O38" s="121"/>
      <c r="P38" s="121">
        <v>94</v>
      </c>
      <c r="Q38" s="122"/>
      <c r="R38" s="97">
        <f t="shared" si="7"/>
        <v>142</v>
      </c>
      <c r="S38" s="125">
        <f t="shared" si="7"/>
        <v>0</v>
      </c>
      <c r="T38" s="51"/>
      <c r="U38" s="131">
        <f>L38*6+N38*6+P38*6</f>
        <v>852</v>
      </c>
      <c r="V38" s="135">
        <f>U38/6</f>
        <v>142</v>
      </c>
      <c r="W38" s="133">
        <f>I38*6+J38</f>
        <v>23384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1016</v>
      </c>
      <c r="D42" s="164">
        <v>9</v>
      </c>
      <c r="E42" s="165"/>
      <c r="F42" s="165"/>
      <c r="G42" s="166">
        <v>10</v>
      </c>
      <c r="H42" s="167"/>
      <c r="I42" s="166">
        <f t="shared" si="4"/>
        <v>1006</v>
      </c>
      <c r="J42" s="168">
        <f t="shared" si="4"/>
        <v>9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12081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30849</v>
      </c>
      <c r="D44" s="114"/>
      <c r="E44" s="115"/>
      <c r="F44" s="115"/>
      <c r="G44" s="78">
        <v>1467</v>
      </c>
      <c r="H44" s="79"/>
      <c r="I44" s="73">
        <f>C44+E44-G44</f>
        <v>29382</v>
      </c>
      <c r="J44" s="177">
        <f t="shared" si="4"/>
        <v>0</v>
      </c>
      <c r="K44" s="51"/>
      <c r="L44" s="121">
        <v>540</v>
      </c>
      <c r="M44" s="121"/>
      <c r="N44" s="121">
        <v>327</v>
      </c>
      <c r="O44" s="121"/>
      <c r="P44" s="121">
        <v>100</v>
      </c>
      <c r="Q44" s="122"/>
      <c r="R44" s="178">
        <f t="shared" si="7"/>
        <v>967</v>
      </c>
      <c r="S44" s="179">
        <f t="shared" si="7"/>
        <v>0</v>
      </c>
      <c r="T44" s="51"/>
      <c r="U44" s="131">
        <f>L44*6+N44*6+P44*6</f>
        <v>5802</v>
      </c>
      <c r="V44" s="130">
        <f>U44/6</f>
        <v>967</v>
      </c>
      <c r="W44" s="133">
        <f>I44*6+J44</f>
        <v>176292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43432</v>
      </c>
      <c r="D60" s="54">
        <f>SUM(D8:D59)</f>
        <v>163</v>
      </c>
      <c r="E60" s="44">
        <f>SUM(E8:E59)</f>
        <v>0</v>
      </c>
      <c r="F60" s="44"/>
      <c r="G60" s="28">
        <f>SUM(G8:G59)</f>
        <v>1669</v>
      </c>
      <c r="H60" s="56">
        <f>SUM(H8:H59)</f>
        <v>16</v>
      </c>
      <c r="I60" s="56">
        <f>SUM(I8:I59)</f>
        <v>41763</v>
      </c>
      <c r="J60" s="45">
        <f>SUM(J8:J59)</f>
        <v>147</v>
      </c>
      <c r="K60" s="46"/>
      <c r="L60" s="74">
        <f t="shared" ref="L60:S60" si="20">SUM(L8:L59)</f>
        <v>555</v>
      </c>
      <c r="M60" s="74">
        <f t="shared" si="20"/>
        <v>0</v>
      </c>
      <c r="N60" s="74">
        <f t="shared" si="20"/>
        <v>382</v>
      </c>
      <c r="O60" s="74">
        <f t="shared" si="20"/>
        <v>4</v>
      </c>
      <c r="P60" s="74">
        <f t="shared" si="20"/>
        <v>232</v>
      </c>
      <c r="Q60" s="75">
        <f t="shared" si="20"/>
        <v>12</v>
      </c>
      <c r="R60" s="85">
        <f t="shared" si="20"/>
        <v>1169</v>
      </c>
      <c r="S60" s="84">
        <f t="shared" si="20"/>
        <v>16</v>
      </c>
      <c r="T60" s="46"/>
      <c r="U60" s="43">
        <f>SUM(U8:U59)</f>
        <v>7974</v>
      </c>
      <c r="V60" s="102">
        <f>SUM(V8:V59)</f>
        <v>1169</v>
      </c>
      <c r="W60" s="180">
        <f>SUM(W8:W59)</f>
        <v>339597</v>
      </c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>
        <v>46121</v>
      </c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89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>
        <v>1</v>
      </c>
      <c r="H8" s="73"/>
      <c r="I8" s="73">
        <f>C8-G8</f>
        <v>52</v>
      </c>
      <c r="J8" s="77">
        <f t="shared" ref="J8:J12" si="0">D8-H8</f>
        <v>21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1269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>
        <v>1</v>
      </c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3613</v>
      </c>
      <c r="D13" s="114">
        <v>4</v>
      </c>
      <c r="E13" s="115"/>
      <c r="F13" s="115"/>
      <c r="G13" s="78">
        <v>35</v>
      </c>
      <c r="H13" s="79">
        <v>25</v>
      </c>
      <c r="I13" s="80">
        <f t="shared" si="4"/>
        <v>3578</v>
      </c>
      <c r="J13" s="94">
        <f>D13-H13</f>
        <v>-21</v>
      </c>
      <c r="K13" s="53"/>
      <c r="L13" s="121">
        <v>6</v>
      </c>
      <c r="M13" s="121">
        <v>3</v>
      </c>
      <c r="N13" s="121">
        <v>11</v>
      </c>
      <c r="O13" s="121">
        <v>20</v>
      </c>
      <c r="P13" s="121">
        <v>18</v>
      </c>
      <c r="Q13" s="122">
        <v>2</v>
      </c>
      <c r="R13" s="97">
        <f>L13+N13+P13</f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85851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>
        <v>1</v>
      </c>
      <c r="H26" s="73"/>
      <c r="I26" s="73">
        <f t="shared" si="4"/>
        <v>34</v>
      </c>
      <c r="J26" s="77">
        <f t="shared" si="4"/>
        <v>11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827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24</v>
      </c>
      <c r="D29" s="111"/>
      <c r="E29" s="112"/>
      <c r="F29" s="112"/>
      <c r="G29" s="76">
        <v>5</v>
      </c>
      <c r="H29" s="73">
        <v>12</v>
      </c>
      <c r="I29" s="73">
        <f t="shared" si="4"/>
        <v>19</v>
      </c>
      <c r="J29" s="77">
        <f t="shared" si="4"/>
        <v>-12</v>
      </c>
      <c r="K29" s="42"/>
      <c r="L29" s="112">
        <v>1</v>
      </c>
      <c r="M29" s="112">
        <v>12</v>
      </c>
      <c r="N29" s="112">
        <v>1</v>
      </c>
      <c r="O29" s="112"/>
      <c r="P29" s="112">
        <v>3</v>
      </c>
      <c r="Q29" s="120"/>
      <c r="R29" s="86">
        <f t="shared" si="7"/>
        <v>5</v>
      </c>
      <c r="S29" s="124">
        <f t="shared" si="7"/>
        <v>12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116</v>
      </c>
      <c r="D35" s="111">
        <v>5</v>
      </c>
      <c r="E35" s="112"/>
      <c r="F35" s="112"/>
      <c r="G35" s="76"/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3897</v>
      </c>
      <c r="D38" s="114">
        <v>2</v>
      </c>
      <c r="E38" s="115"/>
      <c r="F38" s="115"/>
      <c r="G38" s="78">
        <v>51</v>
      </c>
      <c r="H38" s="79"/>
      <c r="I38" s="139">
        <f t="shared" si="4"/>
        <v>3846</v>
      </c>
      <c r="J38" s="140">
        <f t="shared" si="4"/>
        <v>2</v>
      </c>
      <c r="K38" s="51"/>
      <c r="L38" s="121">
        <v>20</v>
      </c>
      <c r="M38" s="121"/>
      <c r="N38" s="121">
        <v>12</v>
      </c>
      <c r="O38" s="121"/>
      <c r="P38" s="121">
        <v>19</v>
      </c>
      <c r="Q38" s="122"/>
      <c r="R38" s="97">
        <f t="shared" si="7"/>
        <v>51</v>
      </c>
      <c r="S38" s="125">
        <f t="shared" si="7"/>
        <v>0</v>
      </c>
      <c r="T38" s="51"/>
      <c r="U38" s="131">
        <f>L38*6+N38*6+P38*6</f>
        <v>306</v>
      </c>
      <c r="V38" s="135">
        <f>U38/6</f>
        <v>51</v>
      </c>
      <c r="W38" s="133">
        <f>I38*6+J38</f>
        <v>23078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1006</v>
      </c>
      <c r="D42" s="164">
        <v>9</v>
      </c>
      <c r="E42" s="165"/>
      <c r="F42" s="165"/>
      <c r="G42" s="166">
        <v>37</v>
      </c>
      <c r="H42" s="167"/>
      <c r="I42" s="166">
        <f t="shared" si="4"/>
        <v>969</v>
      </c>
      <c r="J42" s="168">
        <f t="shared" si="4"/>
        <v>9</v>
      </c>
      <c r="K42" s="169"/>
      <c r="L42" s="165">
        <v>2</v>
      </c>
      <c r="M42" s="165"/>
      <c r="N42" s="165">
        <v>3</v>
      </c>
      <c r="O42" s="165"/>
      <c r="P42" s="165">
        <v>32</v>
      </c>
      <c r="Q42" s="170"/>
      <c r="R42" s="171">
        <f t="shared" si="7"/>
        <v>37</v>
      </c>
      <c r="S42" s="172">
        <f t="shared" si="7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11637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29382</v>
      </c>
      <c r="D44" s="114"/>
      <c r="E44" s="115"/>
      <c r="F44" s="115"/>
      <c r="G44" s="78">
        <v>1375</v>
      </c>
      <c r="H44" s="79"/>
      <c r="I44" s="73">
        <f>C44+E44-G44</f>
        <v>28007</v>
      </c>
      <c r="J44" s="177">
        <f t="shared" si="4"/>
        <v>0</v>
      </c>
      <c r="K44" s="51"/>
      <c r="L44" s="121">
        <v>535</v>
      </c>
      <c r="M44" s="121"/>
      <c r="N44" s="121">
        <v>317</v>
      </c>
      <c r="O44" s="121"/>
      <c r="P44" s="121">
        <v>523</v>
      </c>
      <c r="Q44" s="122"/>
      <c r="R44" s="178">
        <f t="shared" si="7"/>
        <v>1375</v>
      </c>
      <c r="S44" s="179">
        <f t="shared" si="7"/>
        <v>0</v>
      </c>
      <c r="T44" s="51"/>
      <c r="U44" s="131">
        <f>L44*6+N44*6+P44*6</f>
        <v>8250</v>
      </c>
      <c r="V44" s="130">
        <f>U44/6</f>
        <v>1375</v>
      </c>
      <c r="W44" s="133">
        <f>I44*6+J44</f>
        <v>168042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41763</v>
      </c>
      <c r="D60" s="54">
        <f>SUM(D8:D59)</f>
        <v>147</v>
      </c>
      <c r="E60" s="44">
        <f>SUM(E8:E59)</f>
        <v>0</v>
      </c>
      <c r="F60" s="44"/>
      <c r="G60" s="28">
        <f>SUM(G8:G59)</f>
        <v>1507</v>
      </c>
      <c r="H60" s="56">
        <f>SUM(H8:H59)</f>
        <v>37</v>
      </c>
      <c r="I60" s="56">
        <f>SUM(I8:I59)</f>
        <v>40256</v>
      </c>
      <c r="J60" s="45">
        <f>SUM(J8:J59)</f>
        <v>110</v>
      </c>
      <c r="K60" s="46"/>
      <c r="L60" s="74">
        <f t="shared" ref="L60:S60" si="20">SUM(L8:L59)</f>
        <v>564</v>
      </c>
      <c r="M60" s="74">
        <f t="shared" si="20"/>
        <v>15</v>
      </c>
      <c r="N60" s="74">
        <f t="shared" si="20"/>
        <v>344</v>
      </c>
      <c r="O60" s="74">
        <f t="shared" si="20"/>
        <v>20</v>
      </c>
      <c r="P60" s="74">
        <f t="shared" si="20"/>
        <v>599</v>
      </c>
      <c r="Q60" s="75">
        <f t="shared" si="20"/>
        <v>2</v>
      </c>
      <c r="R60" s="85">
        <f t="shared" si="20"/>
        <v>1507</v>
      </c>
      <c r="S60" s="84">
        <f t="shared" si="20"/>
        <v>37</v>
      </c>
      <c r="T60" s="46"/>
      <c r="U60" s="43">
        <f>SUM(U8:U59)</f>
        <v>10056</v>
      </c>
      <c r="V60" s="102">
        <f>SUM(V8:V59)</f>
        <v>1507</v>
      </c>
      <c r="W60" s="180">
        <f>SUM(W8:W59)</f>
        <v>329504</v>
      </c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>
        <v>46122</v>
      </c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86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32E16-B4D4-47C5-ADDB-2F0F21F00F0F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8">
        <v>46123</v>
      </c>
      <c r="Q1" s="199"/>
      <c r="R1" s="199"/>
      <c r="S1" s="199"/>
      <c r="T1" s="199"/>
      <c r="U1" s="199"/>
      <c r="V1" s="199"/>
      <c r="W1" s="199"/>
      <c r="X1" s="2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1" t="s">
        <v>74</v>
      </c>
      <c r="C4" s="202" t="s">
        <v>3</v>
      </c>
      <c r="D4" s="203" t="s">
        <v>75</v>
      </c>
      <c r="E4" s="204" t="s">
        <v>4</v>
      </c>
      <c r="F4" s="205"/>
      <c r="G4" s="206" t="s">
        <v>5</v>
      </c>
      <c r="H4" s="208" t="s">
        <v>75</v>
      </c>
      <c r="I4" s="210" t="s">
        <v>6</v>
      </c>
      <c r="J4" s="208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  <c r="W4" s="213"/>
      <c r="X4" s="215"/>
    </row>
    <row r="5" spans="1:60" s="3" customFormat="1" ht="57" thickBot="1" x14ac:dyDescent="0.3">
      <c r="A5" s="49"/>
      <c r="B5" s="201"/>
      <c r="C5" s="202"/>
      <c r="D5" s="203"/>
      <c r="E5" s="48" t="s">
        <v>8</v>
      </c>
      <c r="F5" s="192" t="s">
        <v>9</v>
      </c>
      <c r="G5" s="207"/>
      <c r="H5" s="209"/>
      <c r="I5" s="211"/>
      <c r="J5" s="20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EXAMPLE</vt:lpstr>
      <vt:lpstr>04,01</vt:lpstr>
      <vt:lpstr>04,06</vt:lpstr>
      <vt:lpstr>04,08</vt:lpstr>
      <vt:lpstr>04,09</vt:lpstr>
      <vt:lpstr>04,10</vt:lpstr>
      <vt:lpstr>04,11</vt:lpstr>
      <vt:lpstr>'04,01'!Print_Area</vt:lpstr>
      <vt:lpstr>'04,06'!Print_Area</vt:lpstr>
      <vt:lpstr>'04,08'!Print_Area</vt:lpstr>
      <vt:lpstr>'04,09'!Print_Area</vt:lpstr>
      <vt:lpstr>'04,10'!Print_Area</vt:lpstr>
      <vt:lpstr>'04,11'!Print_Area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2026-04-16T08:56:34Z</dcterms:modified>
</cp:coreProperties>
</file>