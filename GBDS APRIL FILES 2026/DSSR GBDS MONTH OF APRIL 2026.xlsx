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740FE4BC-0202-4EEF-87FE-F1748AC77ED2}" xr6:coauthVersionLast="45" xr6:coauthVersionMax="45" xr10:uidLastSave="{00000000-0000-0000-0000-000000000000}"/>
  <bookViews>
    <workbookView xWindow="-120" yWindow="-120" windowWidth="29040" windowHeight="15840" activeTab="1" xr2:uid="{00000000-000D-0000-FFFF-FFFF00000000}"/>
  </bookViews>
  <sheets>
    <sheet name="EXAMPLE" sheetId="89" r:id="rId1"/>
    <sheet name="04,01" sheetId="106" r:id="rId2"/>
    <sheet name="04,02" sheetId="108" r:id="rId3"/>
    <sheet name="04,03" sheetId="107" r:id="rId4"/>
    <sheet name="04,04" sheetId="109" r:id="rId5"/>
    <sheet name="04,06" sheetId="110" r:id="rId6"/>
  </sheets>
  <definedNames>
    <definedName name="_xlnm.Print_Area" localSheetId="1">'04,01'!$A$1:$Y$61</definedName>
    <definedName name="_xlnm.Print_Area" localSheetId="2">'04,02'!$A$1:$Y$61</definedName>
    <definedName name="_xlnm.Print_Area" localSheetId="3">'04,03'!$A$1:$Y$61</definedName>
    <definedName name="_xlnm.Print_Area" localSheetId="4">'04,04'!$A$1:$Y$61</definedName>
    <definedName name="_xlnm.Print_Area" localSheetId="5">'04,06'!$A$1:$Y$61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9" i="106" l="1"/>
  <c r="I8" i="106"/>
  <c r="Q60" i="110" l="1"/>
  <c r="P60" i="110"/>
  <c r="O60" i="110"/>
  <c r="N60" i="110"/>
  <c r="M60" i="110"/>
  <c r="L60" i="110"/>
  <c r="H60" i="110"/>
  <c r="G60" i="110"/>
  <c r="E60" i="110"/>
  <c r="D60" i="110"/>
  <c r="C60" i="110"/>
  <c r="S59" i="110"/>
  <c r="R59" i="110"/>
  <c r="J59" i="110"/>
  <c r="I59" i="110"/>
  <c r="S58" i="110"/>
  <c r="R58" i="110"/>
  <c r="J58" i="110"/>
  <c r="I58" i="110"/>
  <c r="S57" i="110"/>
  <c r="R57" i="110"/>
  <c r="J57" i="110"/>
  <c r="I57" i="110"/>
  <c r="S56" i="110"/>
  <c r="R56" i="110"/>
  <c r="J56" i="110"/>
  <c r="I56" i="110"/>
  <c r="S55" i="110"/>
  <c r="R55" i="110"/>
  <c r="J55" i="110"/>
  <c r="I55" i="110"/>
  <c r="U54" i="110"/>
  <c r="V54" i="110" s="1"/>
  <c r="S54" i="110"/>
  <c r="R54" i="110"/>
  <c r="J54" i="110"/>
  <c r="I54" i="110"/>
  <c r="W54" i="110" s="1"/>
  <c r="W53" i="110"/>
  <c r="U53" i="110"/>
  <c r="V53" i="110" s="1"/>
  <c r="S53" i="110"/>
  <c r="R53" i="110"/>
  <c r="J53" i="110"/>
  <c r="I53" i="110"/>
  <c r="U52" i="110"/>
  <c r="V52" i="110" s="1"/>
  <c r="S52" i="110"/>
  <c r="R52" i="110"/>
  <c r="J52" i="110"/>
  <c r="I52" i="110"/>
  <c r="W52" i="110" s="1"/>
  <c r="W51" i="110"/>
  <c r="U51" i="110"/>
  <c r="V51" i="110" s="1"/>
  <c r="S51" i="110"/>
  <c r="R51" i="110"/>
  <c r="J51" i="110"/>
  <c r="I51" i="110"/>
  <c r="U50" i="110"/>
  <c r="V50" i="110" s="1"/>
  <c r="S50" i="110"/>
  <c r="R50" i="110"/>
  <c r="J50" i="110"/>
  <c r="I50" i="110"/>
  <c r="W50" i="110" s="1"/>
  <c r="W49" i="110"/>
  <c r="U49" i="110"/>
  <c r="V49" i="110" s="1"/>
  <c r="S49" i="110"/>
  <c r="R49" i="110"/>
  <c r="J49" i="110"/>
  <c r="I49" i="110"/>
  <c r="U48" i="110"/>
  <c r="V48" i="110" s="1"/>
  <c r="S48" i="110"/>
  <c r="R48" i="110"/>
  <c r="J48" i="110"/>
  <c r="I48" i="110"/>
  <c r="W48" i="110" s="1"/>
  <c r="W47" i="110"/>
  <c r="U47" i="110"/>
  <c r="V47" i="110" s="1"/>
  <c r="S47" i="110"/>
  <c r="R47" i="110"/>
  <c r="J47" i="110"/>
  <c r="I47" i="110"/>
  <c r="U46" i="110"/>
  <c r="V46" i="110" s="1"/>
  <c r="S46" i="110"/>
  <c r="R46" i="110"/>
  <c r="J46" i="110"/>
  <c r="I46" i="110"/>
  <c r="W46" i="110" s="1"/>
  <c r="S45" i="110"/>
  <c r="R45" i="110"/>
  <c r="J45" i="110"/>
  <c r="I45" i="110"/>
  <c r="U44" i="110"/>
  <c r="V44" i="110" s="1"/>
  <c r="S44" i="110"/>
  <c r="R44" i="110"/>
  <c r="J44" i="110"/>
  <c r="I44" i="110"/>
  <c r="W44" i="110" s="1"/>
  <c r="S43" i="110"/>
  <c r="R43" i="110"/>
  <c r="J43" i="110"/>
  <c r="I43" i="110"/>
  <c r="W42" i="110"/>
  <c r="U42" i="110"/>
  <c r="V42" i="110" s="1"/>
  <c r="S42" i="110"/>
  <c r="R42" i="110"/>
  <c r="J42" i="110"/>
  <c r="I42" i="110"/>
  <c r="U41" i="110"/>
  <c r="V41" i="110" s="1"/>
  <c r="S41" i="110"/>
  <c r="R41" i="110"/>
  <c r="J41" i="110"/>
  <c r="I41" i="110"/>
  <c r="W41" i="110" s="1"/>
  <c r="W40" i="110"/>
  <c r="U40" i="110"/>
  <c r="V40" i="110" s="1"/>
  <c r="S40" i="110"/>
  <c r="R40" i="110"/>
  <c r="J40" i="110"/>
  <c r="I40" i="110"/>
  <c r="U39" i="110"/>
  <c r="V39" i="110" s="1"/>
  <c r="S39" i="110"/>
  <c r="R39" i="110"/>
  <c r="J39" i="110"/>
  <c r="I39" i="110"/>
  <c r="W39" i="110" s="1"/>
  <c r="W38" i="110"/>
  <c r="U38" i="110"/>
  <c r="V38" i="110" s="1"/>
  <c r="S38" i="110"/>
  <c r="R38" i="110"/>
  <c r="J38" i="110"/>
  <c r="I38" i="110"/>
  <c r="U37" i="110"/>
  <c r="V37" i="110" s="1"/>
  <c r="S37" i="110"/>
  <c r="R37" i="110"/>
  <c r="J37" i="110"/>
  <c r="I37" i="110"/>
  <c r="W37" i="110" s="1"/>
  <c r="W36" i="110"/>
  <c r="U36" i="110"/>
  <c r="V36" i="110" s="1"/>
  <c r="S36" i="110"/>
  <c r="R36" i="110"/>
  <c r="J36" i="110"/>
  <c r="I36" i="110"/>
  <c r="U35" i="110"/>
  <c r="V35" i="110" s="1"/>
  <c r="S35" i="110"/>
  <c r="R35" i="110"/>
  <c r="J35" i="110"/>
  <c r="I35" i="110"/>
  <c r="W35" i="110" s="1"/>
  <c r="W34" i="110"/>
  <c r="U34" i="110"/>
  <c r="V34" i="110" s="1"/>
  <c r="S34" i="110"/>
  <c r="R34" i="110"/>
  <c r="J34" i="110"/>
  <c r="I34" i="110"/>
  <c r="U33" i="110"/>
  <c r="V33" i="110" s="1"/>
  <c r="S33" i="110"/>
  <c r="R33" i="110"/>
  <c r="J33" i="110"/>
  <c r="I33" i="110"/>
  <c r="W33" i="110" s="1"/>
  <c r="W32" i="110"/>
  <c r="U32" i="110"/>
  <c r="V32" i="110" s="1"/>
  <c r="S32" i="110"/>
  <c r="R32" i="110"/>
  <c r="J32" i="110"/>
  <c r="I32" i="110"/>
  <c r="U31" i="110"/>
  <c r="V31" i="110" s="1"/>
  <c r="S31" i="110"/>
  <c r="R31" i="110"/>
  <c r="J31" i="110"/>
  <c r="I31" i="110"/>
  <c r="W31" i="110" s="1"/>
  <c r="W30" i="110"/>
  <c r="U30" i="110"/>
  <c r="V30" i="110" s="1"/>
  <c r="S30" i="110"/>
  <c r="R30" i="110"/>
  <c r="J30" i="110"/>
  <c r="I30" i="110"/>
  <c r="U29" i="110"/>
  <c r="V29" i="110" s="1"/>
  <c r="S29" i="110"/>
  <c r="R29" i="110"/>
  <c r="J29" i="110"/>
  <c r="I29" i="110"/>
  <c r="W29" i="110" s="1"/>
  <c r="W28" i="110"/>
  <c r="U28" i="110"/>
  <c r="V28" i="110" s="1"/>
  <c r="S28" i="110"/>
  <c r="R28" i="110"/>
  <c r="J28" i="110"/>
  <c r="I28" i="110"/>
  <c r="U27" i="110"/>
  <c r="V27" i="110" s="1"/>
  <c r="S27" i="110"/>
  <c r="R27" i="110"/>
  <c r="J27" i="110"/>
  <c r="I27" i="110"/>
  <c r="W27" i="110" s="1"/>
  <c r="BE26" i="110"/>
  <c r="V26" i="110"/>
  <c r="U26" i="110"/>
  <c r="S26" i="110"/>
  <c r="R26" i="110"/>
  <c r="J26" i="110"/>
  <c r="I26" i="110"/>
  <c r="W26" i="110" s="1"/>
  <c r="W25" i="110"/>
  <c r="V25" i="110"/>
  <c r="U25" i="110"/>
  <c r="S25" i="110"/>
  <c r="R25" i="110"/>
  <c r="J25" i="110"/>
  <c r="I25" i="110"/>
  <c r="V24" i="110"/>
  <c r="U24" i="110"/>
  <c r="S24" i="110"/>
  <c r="R24" i="110"/>
  <c r="J24" i="110"/>
  <c r="I24" i="110"/>
  <c r="W24" i="110" s="1"/>
  <c r="W23" i="110"/>
  <c r="V23" i="110"/>
  <c r="U23" i="110"/>
  <c r="S23" i="110"/>
  <c r="R23" i="110"/>
  <c r="J23" i="110"/>
  <c r="I23" i="110"/>
  <c r="V22" i="110"/>
  <c r="U22" i="110"/>
  <c r="S22" i="110"/>
  <c r="R22" i="110"/>
  <c r="J22" i="110"/>
  <c r="I22" i="110"/>
  <c r="W22" i="110" s="1"/>
  <c r="W21" i="110"/>
  <c r="V21" i="110"/>
  <c r="U21" i="110"/>
  <c r="S21" i="110"/>
  <c r="R21" i="110"/>
  <c r="J21" i="110"/>
  <c r="I21" i="110"/>
  <c r="V20" i="110"/>
  <c r="U20" i="110"/>
  <c r="S20" i="110"/>
  <c r="R20" i="110"/>
  <c r="J20" i="110"/>
  <c r="I20" i="110"/>
  <c r="W20" i="110" s="1"/>
  <c r="W19" i="110"/>
  <c r="V19" i="110"/>
  <c r="U19" i="110"/>
  <c r="S19" i="110"/>
  <c r="R19" i="110"/>
  <c r="J19" i="110"/>
  <c r="I19" i="110"/>
  <c r="V18" i="110"/>
  <c r="U18" i="110"/>
  <c r="S18" i="110"/>
  <c r="R18" i="110"/>
  <c r="J18" i="110"/>
  <c r="I18" i="110"/>
  <c r="W18" i="110" s="1"/>
  <c r="W17" i="110"/>
  <c r="V17" i="110"/>
  <c r="U17" i="110"/>
  <c r="S17" i="110"/>
  <c r="R17" i="110"/>
  <c r="J17" i="110"/>
  <c r="I17" i="110"/>
  <c r="V16" i="110"/>
  <c r="U16" i="110"/>
  <c r="S16" i="110"/>
  <c r="R16" i="110"/>
  <c r="J16" i="110"/>
  <c r="I16" i="110"/>
  <c r="W16" i="110" s="1"/>
  <c r="W15" i="110"/>
  <c r="V15" i="110"/>
  <c r="U15" i="110"/>
  <c r="S15" i="110"/>
  <c r="R15" i="110"/>
  <c r="J15" i="110"/>
  <c r="I15" i="110"/>
  <c r="V14" i="110"/>
  <c r="U14" i="110"/>
  <c r="S14" i="110"/>
  <c r="R14" i="110"/>
  <c r="J14" i="110"/>
  <c r="I14" i="110"/>
  <c r="W14" i="110" s="1"/>
  <c r="W13" i="110"/>
  <c r="V13" i="110"/>
  <c r="U13" i="110"/>
  <c r="S13" i="110"/>
  <c r="R13" i="110"/>
  <c r="J13" i="110"/>
  <c r="I13" i="110"/>
  <c r="V12" i="110"/>
  <c r="U12" i="110"/>
  <c r="S12" i="110"/>
  <c r="R12" i="110"/>
  <c r="J12" i="110"/>
  <c r="I12" i="110"/>
  <c r="W12" i="110" s="1"/>
  <c r="W11" i="110"/>
  <c r="V11" i="110"/>
  <c r="U11" i="110"/>
  <c r="S11" i="110"/>
  <c r="R11" i="110"/>
  <c r="J11" i="110"/>
  <c r="I11" i="110"/>
  <c r="V10" i="110"/>
  <c r="U10" i="110"/>
  <c r="S10" i="110"/>
  <c r="R10" i="110"/>
  <c r="J10" i="110"/>
  <c r="I10" i="110"/>
  <c r="W10" i="110" s="1"/>
  <c r="V9" i="110"/>
  <c r="U9" i="110"/>
  <c r="U60" i="110" s="1"/>
  <c r="S9" i="110"/>
  <c r="R9" i="110"/>
  <c r="J9" i="110"/>
  <c r="W9" i="110" s="1"/>
  <c r="I9" i="110"/>
  <c r="A9" i="110"/>
  <c r="A10" i="110" s="1"/>
  <c r="A11" i="110" s="1"/>
  <c r="A12" i="110" s="1"/>
  <c r="A13" i="110" s="1"/>
  <c r="A14" i="110" s="1"/>
  <c r="A15" i="110" s="1"/>
  <c r="A16" i="110" s="1"/>
  <c r="A17" i="110" s="1"/>
  <c r="A18" i="110" s="1"/>
  <c r="A19" i="110" s="1"/>
  <c r="A20" i="110" s="1"/>
  <c r="A21" i="110" s="1"/>
  <c r="A22" i="110" s="1"/>
  <c r="A23" i="110" s="1"/>
  <c r="A24" i="110" s="1"/>
  <c r="A25" i="110" s="1"/>
  <c r="A26" i="110" s="1"/>
  <c r="A27" i="110" s="1"/>
  <c r="A28" i="110" s="1"/>
  <c r="A29" i="110" s="1"/>
  <c r="A30" i="110" s="1"/>
  <c r="A31" i="110" s="1"/>
  <c r="A32" i="110" s="1"/>
  <c r="A33" i="110" s="1"/>
  <c r="A34" i="110" s="1"/>
  <c r="A35" i="110" s="1"/>
  <c r="A36" i="110" s="1"/>
  <c r="A37" i="110" s="1"/>
  <c r="A38" i="110" s="1"/>
  <c r="A39" i="110" s="1"/>
  <c r="A40" i="110" s="1"/>
  <c r="A41" i="110" s="1"/>
  <c r="A42" i="110" s="1"/>
  <c r="A43" i="110" s="1"/>
  <c r="A44" i="110" s="1"/>
  <c r="A45" i="110" s="1"/>
  <c r="A46" i="110" s="1"/>
  <c r="A47" i="110" s="1"/>
  <c r="A48" i="110" s="1"/>
  <c r="A49" i="110" s="1"/>
  <c r="A50" i="110" s="1"/>
  <c r="A51" i="110" s="1"/>
  <c r="A52" i="110" s="1"/>
  <c r="A53" i="110" s="1"/>
  <c r="A54" i="110" s="1"/>
  <c r="A55" i="110" s="1"/>
  <c r="A56" i="110" s="1"/>
  <c r="A57" i="110" s="1"/>
  <c r="A58" i="110" s="1"/>
  <c r="A59" i="110" s="1"/>
  <c r="V8" i="110"/>
  <c r="U8" i="110"/>
  <c r="S8" i="110"/>
  <c r="S60" i="110" s="1"/>
  <c r="R8" i="110"/>
  <c r="R60" i="110" s="1"/>
  <c r="J8" i="110"/>
  <c r="J60" i="110" s="1"/>
  <c r="I8" i="110"/>
  <c r="W8" i="110" s="1"/>
  <c r="Q60" i="109"/>
  <c r="P60" i="109"/>
  <c r="O60" i="109"/>
  <c r="N60" i="109"/>
  <c r="M60" i="109"/>
  <c r="L60" i="109"/>
  <c r="H60" i="109"/>
  <c r="G60" i="109"/>
  <c r="E60" i="109"/>
  <c r="D60" i="109"/>
  <c r="C60" i="109"/>
  <c r="S59" i="109"/>
  <c r="R59" i="109"/>
  <c r="J59" i="109"/>
  <c r="I59" i="109"/>
  <c r="S58" i="109"/>
  <c r="R58" i="109"/>
  <c r="J58" i="109"/>
  <c r="I58" i="109"/>
  <c r="S57" i="109"/>
  <c r="R57" i="109"/>
  <c r="J57" i="109"/>
  <c r="I57" i="109"/>
  <c r="S56" i="109"/>
  <c r="R56" i="109"/>
  <c r="J56" i="109"/>
  <c r="I56" i="109"/>
  <c r="S55" i="109"/>
  <c r="R55" i="109"/>
  <c r="J55" i="109"/>
  <c r="I55" i="109"/>
  <c r="W54" i="109"/>
  <c r="V54" i="109"/>
  <c r="U54" i="109"/>
  <c r="S54" i="109"/>
  <c r="R54" i="109"/>
  <c r="J54" i="109"/>
  <c r="I54" i="109"/>
  <c r="W53" i="109"/>
  <c r="U53" i="109"/>
  <c r="V53" i="109" s="1"/>
  <c r="S53" i="109"/>
  <c r="R53" i="109"/>
  <c r="J53" i="109"/>
  <c r="I53" i="109"/>
  <c r="W52" i="109"/>
  <c r="V52" i="109"/>
  <c r="U52" i="109"/>
  <c r="S52" i="109"/>
  <c r="R52" i="109"/>
  <c r="J52" i="109"/>
  <c r="I52" i="109"/>
  <c r="W51" i="109"/>
  <c r="U51" i="109"/>
  <c r="V51" i="109" s="1"/>
  <c r="S51" i="109"/>
  <c r="R51" i="109"/>
  <c r="J51" i="109"/>
  <c r="I51" i="109"/>
  <c r="W50" i="109"/>
  <c r="V50" i="109"/>
  <c r="U50" i="109"/>
  <c r="S50" i="109"/>
  <c r="R50" i="109"/>
  <c r="J50" i="109"/>
  <c r="I50" i="109"/>
  <c r="W49" i="109"/>
  <c r="U49" i="109"/>
  <c r="V49" i="109" s="1"/>
  <c r="S49" i="109"/>
  <c r="R49" i="109"/>
  <c r="J49" i="109"/>
  <c r="I49" i="109"/>
  <c r="W48" i="109"/>
  <c r="V48" i="109"/>
  <c r="U48" i="109"/>
  <c r="S48" i="109"/>
  <c r="R48" i="109"/>
  <c r="J48" i="109"/>
  <c r="I48" i="109"/>
  <c r="W47" i="109"/>
  <c r="U47" i="109"/>
  <c r="V47" i="109" s="1"/>
  <c r="S47" i="109"/>
  <c r="R47" i="109"/>
  <c r="J47" i="109"/>
  <c r="I47" i="109"/>
  <c r="W46" i="109"/>
  <c r="V46" i="109"/>
  <c r="U46" i="109"/>
  <c r="S46" i="109"/>
  <c r="R46" i="109"/>
  <c r="J46" i="109"/>
  <c r="I46" i="109"/>
  <c r="S45" i="109"/>
  <c r="R45" i="109"/>
  <c r="J45" i="109"/>
  <c r="I45" i="109"/>
  <c r="U44" i="109"/>
  <c r="V44" i="109" s="1"/>
  <c r="S44" i="109"/>
  <c r="S60" i="109" s="1"/>
  <c r="R44" i="109"/>
  <c r="J44" i="109"/>
  <c r="I44" i="109"/>
  <c r="W44" i="109" s="1"/>
  <c r="S43" i="109"/>
  <c r="R43" i="109"/>
  <c r="J43" i="109"/>
  <c r="I43" i="109"/>
  <c r="U42" i="109"/>
  <c r="V42" i="109" s="1"/>
  <c r="S42" i="109"/>
  <c r="R42" i="109"/>
  <c r="J42" i="109"/>
  <c r="I42" i="109"/>
  <c r="W42" i="109" s="1"/>
  <c r="U41" i="109"/>
  <c r="V41" i="109" s="1"/>
  <c r="S41" i="109"/>
  <c r="R41" i="109"/>
  <c r="J41" i="109"/>
  <c r="I41" i="109"/>
  <c r="W41" i="109" s="1"/>
  <c r="U40" i="109"/>
  <c r="V40" i="109" s="1"/>
  <c r="S40" i="109"/>
  <c r="R40" i="109"/>
  <c r="J40" i="109"/>
  <c r="I40" i="109"/>
  <c r="W40" i="109" s="1"/>
  <c r="U39" i="109"/>
  <c r="V39" i="109" s="1"/>
  <c r="S39" i="109"/>
  <c r="R39" i="109"/>
  <c r="J39" i="109"/>
  <c r="I39" i="109"/>
  <c r="W39" i="109" s="1"/>
  <c r="U38" i="109"/>
  <c r="V38" i="109" s="1"/>
  <c r="S38" i="109"/>
  <c r="R38" i="109"/>
  <c r="J38" i="109"/>
  <c r="I38" i="109"/>
  <c r="W38" i="109" s="1"/>
  <c r="U37" i="109"/>
  <c r="V37" i="109" s="1"/>
  <c r="S37" i="109"/>
  <c r="R37" i="109"/>
  <c r="J37" i="109"/>
  <c r="I37" i="109"/>
  <c r="W37" i="109" s="1"/>
  <c r="U36" i="109"/>
  <c r="V36" i="109" s="1"/>
  <c r="S36" i="109"/>
  <c r="R36" i="109"/>
  <c r="J36" i="109"/>
  <c r="I36" i="109"/>
  <c r="W36" i="109" s="1"/>
  <c r="U35" i="109"/>
  <c r="V35" i="109" s="1"/>
  <c r="S35" i="109"/>
  <c r="R35" i="109"/>
  <c r="J35" i="109"/>
  <c r="I35" i="109"/>
  <c r="W35" i="109" s="1"/>
  <c r="U34" i="109"/>
  <c r="V34" i="109" s="1"/>
  <c r="S34" i="109"/>
  <c r="R34" i="109"/>
  <c r="J34" i="109"/>
  <c r="I34" i="109"/>
  <c r="W34" i="109" s="1"/>
  <c r="U33" i="109"/>
  <c r="V33" i="109" s="1"/>
  <c r="S33" i="109"/>
  <c r="R33" i="109"/>
  <c r="J33" i="109"/>
  <c r="I33" i="109"/>
  <c r="W33" i="109" s="1"/>
  <c r="U32" i="109"/>
  <c r="V32" i="109" s="1"/>
  <c r="S32" i="109"/>
  <c r="R32" i="109"/>
  <c r="J32" i="109"/>
  <c r="I32" i="109"/>
  <c r="W32" i="109" s="1"/>
  <c r="U31" i="109"/>
  <c r="V31" i="109" s="1"/>
  <c r="S31" i="109"/>
  <c r="R31" i="109"/>
  <c r="J31" i="109"/>
  <c r="I31" i="109"/>
  <c r="W31" i="109" s="1"/>
  <c r="U30" i="109"/>
  <c r="V30" i="109" s="1"/>
  <c r="S30" i="109"/>
  <c r="R30" i="109"/>
  <c r="J30" i="109"/>
  <c r="I30" i="109"/>
  <c r="W30" i="109" s="1"/>
  <c r="U29" i="109"/>
  <c r="V29" i="109" s="1"/>
  <c r="S29" i="109"/>
  <c r="R29" i="109"/>
  <c r="J29" i="109"/>
  <c r="I29" i="109"/>
  <c r="W29" i="109" s="1"/>
  <c r="U28" i="109"/>
  <c r="V28" i="109" s="1"/>
  <c r="S28" i="109"/>
  <c r="R28" i="109"/>
  <c r="J28" i="109"/>
  <c r="I28" i="109"/>
  <c r="W28" i="109" s="1"/>
  <c r="U27" i="109"/>
  <c r="U60" i="109" s="1"/>
  <c r="S27" i="109"/>
  <c r="R27" i="109"/>
  <c r="J27" i="109"/>
  <c r="I27" i="109"/>
  <c r="W27" i="109" s="1"/>
  <c r="BE26" i="109"/>
  <c r="V26" i="109"/>
  <c r="U26" i="109"/>
  <c r="S26" i="109"/>
  <c r="R26" i="109"/>
  <c r="J26" i="109"/>
  <c r="I26" i="109"/>
  <c r="W26" i="109" s="1"/>
  <c r="V25" i="109"/>
  <c r="U25" i="109"/>
  <c r="S25" i="109"/>
  <c r="R25" i="109"/>
  <c r="J25" i="109"/>
  <c r="W25" i="109" s="1"/>
  <c r="I25" i="109"/>
  <c r="V24" i="109"/>
  <c r="U24" i="109"/>
  <c r="S24" i="109"/>
  <c r="R24" i="109"/>
  <c r="J24" i="109"/>
  <c r="I24" i="109"/>
  <c r="W24" i="109" s="1"/>
  <c r="V23" i="109"/>
  <c r="U23" i="109"/>
  <c r="S23" i="109"/>
  <c r="R23" i="109"/>
  <c r="J23" i="109"/>
  <c r="W23" i="109" s="1"/>
  <c r="I23" i="109"/>
  <c r="V22" i="109"/>
  <c r="U22" i="109"/>
  <c r="S22" i="109"/>
  <c r="R22" i="109"/>
  <c r="J22" i="109"/>
  <c r="I22" i="109"/>
  <c r="W22" i="109" s="1"/>
  <c r="V21" i="109"/>
  <c r="U21" i="109"/>
  <c r="S21" i="109"/>
  <c r="R21" i="109"/>
  <c r="J21" i="109"/>
  <c r="W21" i="109" s="1"/>
  <c r="I21" i="109"/>
  <c r="V20" i="109"/>
  <c r="U20" i="109"/>
  <c r="S20" i="109"/>
  <c r="R20" i="109"/>
  <c r="J20" i="109"/>
  <c r="I20" i="109"/>
  <c r="W20" i="109" s="1"/>
  <c r="V19" i="109"/>
  <c r="U19" i="109"/>
  <c r="S19" i="109"/>
  <c r="R19" i="109"/>
  <c r="J19" i="109"/>
  <c r="W19" i="109" s="1"/>
  <c r="I19" i="109"/>
  <c r="V18" i="109"/>
  <c r="U18" i="109"/>
  <c r="S18" i="109"/>
  <c r="R18" i="109"/>
  <c r="J18" i="109"/>
  <c r="I18" i="109"/>
  <c r="W18" i="109" s="1"/>
  <c r="V17" i="109"/>
  <c r="U17" i="109"/>
  <c r="S17" i="109"/>
  <c r="R17" i="109"/>
  <c r="J17" i="109"/>
  <c r="W17" i="109" s="1"/>
  <c r="I17" i="109"/>
  <c r="V16" i="109"/>
  <c r="U16" i="109"/>
  <c r="S16" i="109"/>
  <c r="R16" i="109"/>
  <c r="J16" i="109"/>
  <c r="I16" i="109"/>
  <c r="W16" i="109" s="1"/>
  <c r="V15" i="109"/>
  <c r="U15" i="109"/>
  <c r="S15" i="109"/>
  <c r="R15" i="109"/>
  <c r="J15" i="109"/>
  <c r="W15" i="109" s="1"/>
  <c r="I15" i="109"/>
  <c r="V14" i="109"/>
  <c r="U14" i="109"/>
  <c r="S14" i="109"/>
  <c r="R14" i="109"/>
  <c r="J14" i="109"/>
  <c r="I14" i="109"/>
  <c r="W14" i="109" s="1"/>
  <c r="V13" i="109"/>
  <c r="U13" i="109"/>
  <c r="S13" i="109"/>
  <c r="R13" i="109"/>
  <c r="J13" i="109"/>
  <c r="W13" i="109" s="1"/>
  <c r="I13" i="109"/>
  <c r="V12" i="109"/>
  <c r="U12" i="109"/>
  <c r="S12" i="109"/>
  <c r="R12" i="109"/>
  <c r="J12" i="109"/>
  <c r="I12" i="109"/>
  <c r="W12" i="109" s="1"/>
  <c r="V11" i="109"/>
  <c r="U11" i="109"/>
  <c r="S11" i="109"/>
  <c r="R11" i="109"/>
  <c r="J11" i="109"/>
  <c r="W11" i="109" s="1"/>
  <c r="I11" i="109"/>
  <c r="V10" i="109"/>
  <c r="U10" i="109"/>
  <c r="S10" i="109"/>
  <c r="R10" i="109"/>
  <c r="J10" i="109"/>
  <c r="I10" i="109"/>
  <c r="W10" i="109" s="1"/>
  <c r="V9" i="109"/>
  <c r="U9" i="109"/>
  <c r="S9" i="109"/>
  <c r="R9" i="109"/>
  <c r="J9" i="109"/>
  <c r="W9" i="109" s="1"/>
  <c r="I9" i="109"/>
  <c r="A9" i="109"/>
  <c r="A10" i="109" s="1"/>
  <c r="A11" i="109" s="1"/>
  <c r="A12" i="109" s="1"/>
  <c r="A13" i="109" s="1"/>
  <c r="A14" i="109" s="1"/>
  <c r="A15" i="109" s="1"/>
  <c r="A16" i="109" s="1"/>
  <c r="A17" i="109" s="1"/>
  <c r="A18" i="109" s="1"/>
  <c r="A19" i="109" s="1"/>
  <c r="A20" i="109" s="1"/>
  <c r="A21" i="109" s="1"/>
  <c r="A22" i="109" s="1"/>
  <c r="A23" i="109" s="1"/>
  <c r="A24" i="109" s="1"/>
  <c r="A25" i="109" s="1"/>
  <c r="A26" i="109" s="1"/>
  <c r="A27" i="109" s="1"/>
  <c r="A28" i="109" s="1"/>
  <c r="A29" i="109" s="1"/>
  <c r="A30" i="109" s="1"/>
  <c r="A31" i="109" s="1"/>
  <c r="A32" i="109" s="1"/>
  <c r="A33" i="109" s="1"/>
  <c r="A34" i="109" s="1"/>
  <c r="A35" i="109" s="1"/>
  <c r="A36" i="109" s="1"/>
  <c r="A37" i="109" s="1"/>
  <c r="A38" i="109" s="1"/>
  <c r="A39" i="109" s="1"/>
  <c r="A40" i="109" s="1"/>
  <c r="A41" i="109" s="1"/>
  <c r="A42" i="109" s="1"/>
  <c r="A43" i="109" s="1"/>
  <c r="A44" i="109" s="1"/>
  <c r="A45" i="109" s="1"/>
  <c r="A46" i="109" s="1"/>
  <c r="A47" i="109" s="1"/>
  <c r="A48" i="109" s="1"/>
  <c r="A49" i="109" s="1"/>
  <c r="A50" i="109" s="1"/>
  <c r="A51" i="109" s="1"/>
  <c r="A52" i="109" s="1"/>
  <c r="A53" i="109" s="1"/>
  <c r="A54" i="109" s="1"/>
  <c r="A55" i="109" s="1"/>
  <c r="A56" i="109" s="1"/>
  <c r="A57" i="109" s="1"/>
  <c r="A58" i="109" s="1"/>
  <c r="A59" i="109" s="1"/>
  <c r="V8" i="109"/>
  <c r="U8" i="109"/>
  <c r="S8" i="109"/>
  <c r="R8" i="109"/>
  <c r="R60" i="109" s="1"/>
  <c r="J8" i="109"/>
  <c r="J60" i="109" s="1"/>
  <c r="I8" i="109"/>
  <c r="W8" i="109" s="1"/>
  <c r="W60" i="110" l="1"/>
  <c r="V60" i="110"/>
  <c r="I60" i="110"/>
  <c r="W60" i="109"/>
  <c r="V27" i="109"/>
  <c r="V60" i="109" s="1"/>
  <c r="I60" i="109"/>
  <c r="Q60" i="108"/>
  <c r="P60" i="108"/>
  <c r="O60" i="108"/>
  <c r="N60" i="108"/>
  <c r="M60" i="108"/>
  <c r="L60" i="108"/>
  <c r="H60" i="108"/>
  <c r="G60" i="108"/>
  <c r="E60" i="108"/>
  <c r="D60" i="108"/>
  <c r="C60" i="108"/>
  <c r="S59" i="108"/>
  <c r="R59" i="108"/>
  <c r="J59" i="108"/>
  <c r="I59" i="108"/>
  <c r="S58" i="108"/>
  <c r="R58" i="108"/>
  <c r="J58" i="108"/>
  <c r="I58" i="108"/>
  <c r="S57" i="108"/>
  <c r="R57" i="108"/>
  <c r="J57" i="108"/>
  <c r="I57" i="108"/>
  <c r="S56" i="108"/>
  <c r="R56" i="108"/>
  <c r="J56" i="108"/>
  <c r="I56" i="108"/>
  <c r="S55" i="108"/>
  <c r="R55" i="108"/>
  <c r="J55" i="108"/>
  <c r="I55" i="108"/>
  <c r="W54" i="108"/>
  <c r="U54" i="108"/>
  <c r="V54" i="108" s="1"/>
  <c r="S54" i="108"/>
  <c r="R54" i="108"/>
  <c r="J54" i="108"/>
  <c r="I54" i="108"/>
  <c r="U53" i="108"/>
  <c r="V53" i="108" s="1"/>
  <c r="S53" i="108"/>
  <c r="R53" i="108"/>
  <c r="J53" i="108"/>
  <c r="I53" i="108"/>
  <c r="W53" i="108" s="1"/>
  <c r="W52" i="108"/>
  <c r="U52" i="108"/>
  <c r="V52" i="108" s="1"/>
  <c r="S52" i="108"/>
  <c r="R52" i="108"/>
  <c r="J52" i="108"/>
  <c r="I52" i="108"/>
  <c r="U51" i="108"/>
  <c r="V51" i="108" s="1"/>
  <c r="S51" i="108"/>
  <c r="R51" i="108"/>
  <c r="J51" i="108"/>
  <c r="I51" i="108"/>
  <c r="W51" i="108" s="1"/>
  <c r="W50" i="108"/>
  <c r="U50" i="108"/>
  <c r="V50" i="108" s="1"/>
  <c r="S50" i="108"/>
  <c r="R50" i="108"/>
  <c r="J50" i="108"/>
  <c r="I50" i="108"/>
  <c r="U49" i="108"/>
  <c r="V49" i="108" s="1"/>
  <c r="S49" i="108"/>
  <c r="R49" i="108"/>
  <c r="J49" i="108"/>
  <c r="I49" i="108"/>
  <c r="W49" i="108" s="1"/>
  <c r="W48" i="108"/>
  <c r="U48" i="108"/>
  <c r="V48" i="108" s="1"/>
  <c r="S48" i="108"/>
  <c r="R48" i="108"/>
  <c r="J48" i="108"/>
  <c r="I48" i="108"/>
  <c r="U47" i="108"/>
  <c r="V47" i="108" s="1"/>
  <c r="S47" i="108"/>
  <c r="R47" i="108"/>
  <c r="J47" i="108"/>
  <c r="I47" i="108"/>
  <c r="W47" i="108" s="1"/>
  <c r="W46" i="108"/>
  <c r="U46" i="108"/>
  <c r="V46" i="108" s="1"/>
  <c r="S46" i="108"/>
  <c r="R46" i="108"/>
  <c r="J46" i="108"/>
  <c r="I46" i="108"/>
  <c r="S45" i="108"/>
  <c r="R45" i="108"/>
  <c r="J45" i="108"/>
  <c r="I45" i="108"/>
  <c r="V44" i="108"/>
  <c r="U44" i="108"/>
  <c r="S44" i="108"/>
  <c r="R44" i="108"/>
  <c r="J44" i="108"/>
  <c r="I44" i="108"/>
  <c r="W44" i="108" s="1"/>
  <c r="S43" i="108"/>
  <c r="R43" i="108"/>
  <c r="J43" i="108"/>
  <c r="I43" i="108"/>
  <c r="U42" i="108"/>
  <c r="V42" i="108" s="1"/>
  <c r="S42" i="108"/>
  <c r="R42" i="108"/>
  <c r="J42" i="108"/>
  <c r="I42" i="108"/>
  <c r="W42" i="108" s="1"/>
  <c r="W41" i="108"/>
  <c r="U41" i="108"/>
  <c r="V41" i="108" s="1"/>
  <c r="S41" i="108"/>
  <c r="R41" i="108"/>
  <c r="J41" i="108"/>
  <c r="I41" i="108"/>
  <c r="U40" i="108"/>
  <c r="V40" i="108" s="1"/>
  <c r="S40" i="108"/>
  <c r="R40" i="108"/>
  <c r="J40" i="108"/>
  <c r="I40" i="108"/>
  <c r="W40" i="108" s="1"/>
  <c r="W39" i="108"/>
  <c r="U39" i="108"/>
  <c r="V39" i="108" s="1"/>
  <c r="S39" i="108"/>
  <c r="R39" i="108"/>
  <c r="J39" i="108"/>
  <c r="I39" i="108"/>
  <c r="U38" i="108"/>
  <c r="V38" i="108" s="1"/>
  <c r="S38" i="108"/>
  <c r="R38" i="108"/>
  <c r="J38" i="108"/>
  <c r="I38" i="108"/>
  <c r="W38" i="108" s="1"/>
  <c r="W37" i="108"/>
  <c r="U37" i="108"/>
  <c r="V37" i="108" s="1"/>
  <c r="S37" i="108"/>
  <c r="R37" i="108"/>
  <c r="J37" i="108"/>
  <c r="I37" i="108"/>
  <c r="U36" i="108"/>
  <c r="V36" i="108" s="1"/>
  <c r="S36" i="108"/>
  <c r="R36" i="108"/>
  <c r="J36" i="108"/>
  <c r="I36" i="108"/>
  <c r="W36" i="108" s="1"/>
  <c r="W35" i="108"/>
  <c r="U35" i="108"/>
  <c r="V35" i="108" s="1"/>
  <c r="S35" i="108"/>
  <c r="R35" i="108"/>
  <c r="J35" i="108"/>
  <c r="I35" i="108"/>
  <c r="U34" i="108"/>
  <c r="V34" i="108" s="1"/>
  <c r="S34" i="108"/>
  <c r="R34" i="108"/>
  <c r="J34" i="108"/>
  <c r="I34" i="108"/>
  <c r="W34" i="108" s="1"/>
  <c r="W33" i="108"/>
  <c r="U33" i="108"/>
  <c r="V33" i="108" s="1"/>
  <c r="S33" i="108"/>
  <c r="R33" i="108"/>
  <c r="J33" i="108"/>
  <c r="I33" i="108"/>
  <c r="U32" i="108"/>
  <c r="V32" i="108" s="1"/>
  <c r="S32" i="108"/>
  <c r="R32" i="108"/>
  <c r="J32" i="108"/>
  <c r="I32" i="108"/>
  <c r="W32" i="108" s="1"/>
  <c r="W31" i="108"/>
  <c r="U31" i="108"/>
  <c r="V31" i="108" s="1"/>
  <c r="S31" i="108"/>
  <c r="R31" i="108"/>
  <c r="J31" i="108"/>
  <c r="I31" i="108"/>
  <c r="U30" i="108"/>
  <c r="V30" i="108" s="1"/>
  <c r="S30" i="108"/>
  <c r="R30" i="108"/>
  <c r="J30" i="108"/>
  <c r="I30" i="108"/>
  <c r="W30" i="108" s="1"/>
  <c r="W29" i="108"/>
  <c r="U29" i="108"/>
  <c r="V29" i="108" s="1"/>
  <c r="S29" i="108"/>
  <c r="R29" i="108"/>
  <c r="J29" i="108"/>
  <c r="I29" i="108"/>
  <c r="U28" i="108"/>
  <c r="V28" i="108" s="1"/>
  <c r="S28" i="108"/>
  <c r="R28" i="108"/>
  <c r="J28" i="108"/>
  <c r="I28" i="108"/>
  <c r="W28" i="108" s="1"/>
  <c r="W27" i="108"/>
  <c r="U27" i="108"/>
  <c r="V27" i="108" s="1"/>
  <c r="S27" i="108"/>
  <c r="R27" i="108"/>
  <c r="J27" i="108"/>
  <c r="I27" i="108"/>
  <c r="BE26" i="108"/>
  <c r="U26" i="108"/>
  <c r="V26" i="108" s="1"/>
  <c r="S26" i="108"/>
  <c r="R26" i="108"/>
  <c r="J26" i="108"/>
  <c r="I26" i="108"/>
  <c r="W26" i="108" s="1"/>
  <c r="W25" i="108"/>
  <c r="V25" i="108"/>
  <c r="U25" i="108"/>
  <c r="S25" i="108"/>
  <c r="R25" i="108"/>
  <c r="J25" i="108"/>
  <c r="I25" i="108"/>
  <c r="U24" i="108"/>
  <c r="V24" i="108" s="1"/>
  <c r="S24" i="108"/>
  <c r="R24" i="108"/>
  <c r="J24" i="108"/>
  <c r="I24" i="108"/>
  <c r="W24" i="108" s="1"/>
  <c r="W23" i="108"/>
  <c r="V23" i="108"/>
  <c r="U23" i="108"/>
  <c r="S23" i="108"/>
  <c r="R23" i="108"/>
  <c r="J23" i="108"/>
  <c r="I23" i="108"/>
  <c r="V22" i="108"/>
  <c r="U22" i="108"/>
  <c r="S22" i="108"/>
  <c r="R22" i="108"/>
  <c r="J22" i="108"/>
  <c r="I22" i="108"/>
  <c r="W22" i="108" s="1"/>
  <c r="W21" i="108"/>
  <c r="V21" i="108"/>
  <c r="U21" i="108"/>
  <c r="S21" i="108"/>
  <c r="R21" i="108"/>
  <c r="J21" i="108"/>
  <c r="I21" i="108"/>
  <c r="V20" i="108"/>
  <c r="U20" i="108"/>
  <c r="S20" i="108"/>
  <c r="R20" i="108"/>
  <c r="J20" i="108"/>
  <c r="I20" i="108"/>
  <c r="W20" i="108" s="1"/>
  <c r="W19" i="108"/>
  <c r="V19" i="108"/>
  <c r="U19" i="108"/>
  <c r="S19" i="108"/>
  <c r="R19" i="108"/>
  <c r="J19" i="108"/>
  <c r="I19" i="108"/>
  <c r="V18" i="108"/>
  <c r="U18" i="108"/>
  <c r="S18" i="108"/>
  <c r="R18" i="108"/>
  <c r="J18" i="108"/>
  <c r="I18" i="108"/>
  <c r="W18" i="108" s="1"/>
  <c r="W17" i="108"/>
  <c r="V17" i="108"/>
  <c r="U17" i="108"/>
  <c r="S17" i="108"/>
  <c r="R17" i="108"/>
  <c r="J17" i="108"/>
  <c r="I17" i="108"/>
  <c r="W16" i="108"/>
  <c r="U16" i="108"/>
  <c r="V16" i="108" s="1"/>
  <c r="S16" i="108"/>
  <c r="R16" i="108"/>
  <c r="J16" i="108"/>
  <c r="I16" i="108"/>
  <c r="W15" i="108"/>
  <c r="V15" i="108"/>
  <c r="U15" i="108"/>
  <c r="S15" i="108"/>
  <c r="R15" i="108"/>
  <c r="J15" i="108"/>
  <c r="I15" i="108"/>
  <c r="U14" i="108"/>
  <c r="V14" i="108" s="1"/>
  <c r="S14" i="108"/>
  <c r="R14" i="108"/>
  <c r="J14" i="108"/>
  <c r="W14" i="108" s="1"/>
  <c r="I14" i="108"/>
  <c r="W13" i="108"/>
  <c r="V13" i="108"/>
  <c r="U13" i="108"/>
  <c r="S13" i="108"/>
  <c r="R13" i="108"/>
  <c r="J13" i="108"/>
  <c r="I13" i="108"/>
  <c r="U12" i="108"/>
  <c r="V12" i="108" s="1"/>
  <c r="S12" i="108"/>
  <c r="R12" i="108"/>
  <c r="J12" i="108"/>
  <c r="W12" i="108" s="1"/>
  <c r="I12" i="108"/>
  <c r="W11" i="108"/>
  <c r="V11" i="108"/>
  <c r="U11" i="108"/>
  <c r="S11" i="108"/>
  <c r="R11" i="108"/>
  <c r="J11" i="108"/>
  <c r="I11" i="108"/>
  <c r="U10" i="108"/>
  <c r="V10" i="108" s="1"/>
  <c r="S10" i="108"/>
  <c r="R10" i="108"/>
  <c r="J10" i="108"/>
  <c r="W10" i="108" s="1"/>
  <c r="I10" i="108"/>
  <c r="A10" i="108"/>
  <c r="A11" i="108" s="1"/>
  <c r="A12" i="108" s="1"/>
  <c r="A13" i="108" s="1"/>
  <c r="A14" i="108" s="1"/>
  <c r="A15" i="108" s="1"/>
  <c r="A16" i="108" s="1"/>
  <c r="A17" i="108" s="1"/>
  <c r="A18" i="108" s="1"/>
  <c r="A19" i="108" s="1"/>
  <c r="A20" i="108" s="1"/>
  <c r="A21" i="108" s="1"/>
  <c r="A22" i="108" s="1"/>
  <c r="A23" i="108" s="1"/>
  <c r="A24" i="108" s="1"/>
  <c r="A25" i="108" s="1"/>
  <c r="A26" i="108" s="1"/>
  <c r="A27" i="108" s="1"/>
  <c r="A28" i="108" s="1"/>
  <c r="A29" i="108" s="1"/>
  <c r="A30" i="108" s="1"/>
  <c r="A31" i="108" s="1"/>
  <c r="A32" i="108" s="1"/>
  <c r="A33" i="108" s="1"/>
  <c r="A34" i="108" s="1"/>
  <c r="A35" i="108" s="1"/>
  <c r="A36" i="108" s="1"/>
  <c r="A37" i="108" s="1"/>
  <c r="A38" i="108" s="1"/>
  <c r="A39" i="108" s="1"/>
  <c r="A40" i="108" s="1"/>
  <c r="A41" i="108" s="1"/>
  <c r="A42" i="108" s="1"/>
  <c r="A43" i="108" s="1"/>
  <c r="A44" i="108" s="1"/>
  <c r="A45" i="108" s="1"/>
  <c r="A46" i="108" s="1"/>
  <c r="A47" i="108" s="1"/>
  <c r="A48" i="108" s="1"/>
  <c r="A49" i="108" s="1"/>
  <c r="A50" i="108" s="1"/>
  <c r="A51" i="108" s="1"/>
  <c r="A52" i="108" s="1"/>
  <c r="A53" i="108" s="1"/>
  <c r="A54" i="108" s="1"/>
  <c r="A55" i="108" s="1"/>
  <c r="A56" i="108" s="1"/>
  <c r="A57" i="108" s="1"/>
  <c r="A58" i="108" s="1"/>
  <c r="A59" i="108" s="1"/>
  <c r="W9" i="108"/>
  <c r="V9" i="108"/>
  <c r="U9" i="108"/>
  <c r="S9" i="108"/>
  <c r="R9" i="108"/>
  <c r="J9" i="108"/>
  <c r="I9" i="108"/>
  <c r="A9" i="108"/>
  <c r="U8" i="108"/>
  <c r="U60" i="108" s="1"/>
  <c r="S8" i="108"/>
  <c r="S60" i="108" s="1"/>
  <c r="R8" i="108"/>
  <c r="R60" i="108" s="1"/>
  <c r="J8" i="108"/>
  <c r="W8" i="108" s="1"/>
  <c r="I8" i="108"/>
  <c r="I60" i="108" s="1"/>
  <c r="W60" i="108" l="1"/>
  <c r="J60" i="108"/>
  <c r="V8" i="108"/>
  <c r="V60" i="108" s="1"/>
  <c r="Q60" i="107"/>
  <c r="P60" i="107"/>
  <c r="O60" i="107"/>
  <c r="N60" i="107"/>
  <c r="M60" i="107"/>
  <c r="L60" i="107"/>
  <c r="H60" i="107"/>
  <c r="G60" i="107"/>
  <c r="E60" i="107"/>
  <c r="D60" i="107"/>
  <c r="C60" i="107"/>
  <c r="S59" i="107"/>
  <c r="R59" i="107"/>
  <c r="J59" i="107"/>
  <c r="I59" i="107"/>
  <c r="S58" i="107"/>
  <c r="R58" i="107"/>
  <c r="J58" i="107"/>
  <c r="I58" i="107"/>
  <c r="S57" i="107"/>
  <c r="R57" i="107"/>
  <c r="J57" i="107"/>
  <c r="I57" i="107"/>
  <c r="S56" i="107"/>
  <c r="R56" i="107"/>
  <c r="J56" i="107"/>
  <c r="I56" i="107"/>
  <c r="S55" i="107"/>
  <c r="R55" i="107"/>
  <c r="J55" i="107"/>
  <c r="I55" i="107"/>
  <c r="W54" i="107"/>
  <c r="V54" i="107"/>
  <c r="U54" i="107"/>
  <c r="S54" i="107"/>
  <c r="R54" i="107"/>
  <c r="J54" i="107"/>
  <c r="I54" i="107"/>
  <c r="W53" i="107"/>
  <c r="U53" i="107"/>
  <c r="V53" i="107" s="1"/>
  <c r="S53" i="107"/>
  <c r="R53" i="107"/>
  <c r="J53" i="107"/>
  <c r="I53" i="107"/>
  <c r="W52" i="107"/>
  <c r="V52" i="107"/>
  <c r="U52" i="107"/>
  <c r="S52" i="107"/>
  <c r="R52" i="107"/>
  <c r="J52" i="107"/>
  <c r="I52" i="107"/>
  <c r="W51" i="107"/>
  <c r="U51" i="107"/>
  <c r="V51" i="107" s="1"/>
  <c r="S51" i="107"/>
  <c r="R51" i="107"/>
  <c r="J51" i="107"/>
  <c r="I51" i="107"/>
  <c r="W50" i="107"/>
  <c r="V50" i="107"/>
  <c r="U50" i="107"/>
  <c r="S50" i="107"/>
  <c r="R50" i="107"/>
  <c r="J50" i="107"/>
  <c r="I50" i="107"/>
  <c r="W49" i="107"/>
  <c r="U49" i="107"/>
  <c r="V49" i="107" s="1"/>
  <c r="S49" i="107"/>
  <c r="R49" i="107"/>
  <c r="J49" i="107"/>
  <c r="I49" i="107"/>
  <c r="W48" i="107"/>
  <c r="V48" i="107"/>
  <c r="U48" i="107"/>
  <c r="S48" i="107"/>
  <c r="R48" i="107"/>
  <c r="J48" i="107"/>
  <c r="I48" i="107"/>
  <c r="U47" i="107"/>
  <c r="V47" i="107" s="1"/>
  <c r="S47" i="107"/>
  <c r="R47" i="107"/>
  <c r="J47" i="107"/>
  <c r="I47" i="107"/>
  <c r="W47" i="107" s="1"/>
  <c r="W46" i="107"/>
  <c r="V46" i="107"/>
  <c r="U46" i="107"/>
  <c r="S46" i="107"/>
  <c r="R46" i="107"/>
  <c r="J46" i="107"/>
  <c r="I46" i="107"/>
  <c r="S45" i="107"/>
  <c r="R45" i="107"/>
  <c r="J45" i="107"/>
  <c r="I45" i="107"/>
  <c r="W44" i="107"/>
  <c r="V44" i="107"/>
  <c r="U44" i="107"/>
  <c r="S44" i="107"/>
  <c r="R44" i="107"/>
  <c r="J44" i="107"/>
  <c r="I44" i="107"/>
  <c r="S43" i="107"/>
  <c r="R43" i="107"/>
  <c r="J43" i="107"/>
  <c r="I43" i="107"/>
  <c r="U42" i="107"/>
  <c r="V42" i="107" s="1"/>
  <c r="S42" i="107"/>
  <c r="R42" i="107"/>
  <c r="J42" i="107"/>
  <c r="I42" i="107"/>
  <c r="W42" i="107" s="1"/>
  <c r="U41" i="107"/>
  <c r="V41" i="107" s="1"/>
  <c r="S41" i="107"/>
  <c r="R41" i="107"/>
  <c r="J41" i="107"/>
  <c r="I41" i="107"/>
  <c r="W41" i="107" s="1"/>
  <c r="U40" i="107"/>
  <c r="V40" i="107" s="1"/>
  <c r="S40" i="107"/>
  <c r="R40" i="107"/>
  <c r="J40" i="107"/>
  <c r="I40" i="107"/>
  <c r="W40" i="107" s="1"/>
  <c r="U39" i="107"/>
  <c r="V39" i="107" s="1"/>
  <c r="S39" i="107"/>
  <c r="R39" i="107"/>
  <c r="J39" i="107"/>
  <c r="I39" i="107"/>
  <c r="W39" i="107" s="1"/>
  <c r="U38" i="107"/>
  <c r="V38" i="107" s="1"/>
  <c r="S38" i="107"/>
  <c r="R38" i="107"/>
  <c r="J38" i="107"/>
  <c r="I38" i="107"/>
  <c r="W38" i="107" s="1"/>
  <c r="U37" i="107"/>
  <c r="V37" i="107" s="1"/>
  <c r="S37" i="107"/>
  <c r="R37" i="107"/>
  <c r="J37" i="107"/>
  <c r="I37" i="107"/>
  <c r="W37" i="107" s="1"/>
  <c r="U36" i="107"/>
  <c r="V36" i="107" s="1"/>
  <c r="S36" i="107"/>
  <c r="R36" i="107"/>
  <c r="J36" i="107"/>
  <c r="I36" i="107"/>
  <c r="W36" i="107" s="1"/>
  <c r="U35" i="107"/>
  <c r="V35" i="107" s="1"/>
  <c r="S35" i="107"/>
  <c r="R35" i="107"/>
  <c r="J35" i="107"/>
  <c r="I35" i="107"/>
  <c r="W35" i="107" s="1"/>
  <c r="U34" i="107"/>
  <c r="V34" i="107" s="1"/>
  <c r="S34" i="107"/>
  <c r="R34" i="107"/>
  <c r="J34" i="107"/>
  <c r="I34" i="107"/>
  <c r="W34" i="107" s="1"/>
  <c r="U33" i="107"/>
  <c r="V33" i="107" s="1"/>
  <c r="S33" i="107"/>
  <c r="R33" i="107"/>
  <c r="J33" i="107"/>
  <c r="I33" i="107"/>
  <c r="W33" i="107" s="1"/>
  <c r="U32" i="107"/>
  <c r="V32" i="107" s="1"/>
  <c r="S32" i="107"/>
  <c r="R32" i="107"/>
  <c r="J32" i="107"/>
  <c r="I32" i="107"/>
  <c r="W32" i="107" s="1"/>
  <c r="U31" i="107"/>
  <c r="V31" i="107" s="1"/>
  <c r="S31" i="107"/>
  <c r="R31" i="107"/>
  <c r="J31" i="107"/>
  <c r="I31" i="107"/>
  <c r="W31" i="107" s="1"/>
  <c r="U30" i="107"/>
  <c r="V30" i="107" s="1"/>
  <c r="S30" i="107"/>
  <c r="R30" i="107"/>
  <c r="J30" i="107"/>
  <c r="I30" i="107"/>
  <c r="W30" i="107" s="1"/>
  <c r="U29" i="107"/>
  <c r="V29" i="107" s="1"/>
  <c r="S29" i="107"/>
  <c r="R29" i="107"/>
  <c r="J29" i="107"/>
  <c r="I29" i="107"/>
  <c r="W29" i="107" s="1"/>
  <c r="U28" i="107"/>
  <c r="V28" i="107" s="1"/>
  <c r="S28" i="107"/>
  <c r="R28" i="107"/>
  <c r="J28" i="107"/>
  <c r="I28" i="107"/>
  <c r="W28" i="107" s="1"/>
  <c r="U27" i="107"/>
  <c r="V27" i="107" s="1"/>
  <c r="S27" i="107"/>
  <c r="R27" i="107"/>
  <c r="J27" i="107"/>
  <c r="I27" i="107"/>
  <c r="W27" i="107" s="1"/>
  <c r="BE26" i="107"/>
  <c r="U26" i="107"/>
  <c r="V26" i="107" s="1"/>
  <c r="S26" i="107"/>
  <c r="R26" i="107"/>
  <c r="J26" i="107"/>
  <c r="I26" i="107"/>
  <c r="W26" i="107" s="1"/>
  <c r="U25" i="107"/>
  <c r="V25" i="107" s="1"/>
  <c r="S25" i="107"/>
  <c r="R25" i="107"/>
  <c r="J25" i="107"/>
  <c r="W25" i="107" s="1"/>
  <c r="I25" i="107"/>
  <c r="U24" i="107"/>
  <c r="V24" i="107" s="1"/>
  <c r="S24" i="107"/>
  <c r="R24" i="107"/>
  <c r="J24" i="107"/>
  <c r="I24" i="107"/>
  <c r="W24" i="107" s="1"/>
  <c r="U23" i="107"/>
  <c r="V23" i="107" s="1"/>
  <c r="S23" i="107"/>
  <c r="R23" i="107"/>
  <c r="J23" i="107"/>
  <c r="W23" i="107" s="1"/>
  <c r="I23" i="107"/>
  <c r="U22" i="107"/>
  <c r="V22" i="107" s="1"/>
  <c r="S22" i="107"/>
  <c r="R22" i="107"/>
  <c r="J22" i="107"/>
  <c r="I22" i="107"/>
  <c r="W22" i="107" s="1"/>
  <c r="U21" i="107"/>
  <c r="V21" i="107" s="1"/>
  <c r="S21" i="107"/>
  <c r="R21" i="107"/>
  <c r="J21" i="107"/>
  <c r="W21" i="107" s="1"/>
  <c r="I21" i="107"/>
  <c r="U20" i="107"/>
  <c r="V20" i="107" s="1"/>
  <c r="S20" i="107"/>
  <c r="R20" i="107"/>
  <c r="J20" i="107"/>
  <c r="I20" i="107"/>
  <c r="W20" i="107" s="1"/>
  <c r="U19" i="107"/>
  <c r="V19" i="107" s="1"/>
  <c r="S19" i="107"/>
  <c r="R19" i="107"/>
  <c r="J19" i="107"/>
  <c r="W19" i="107" s="1"/>
  <c r="I19" i="107"/>
  <c r="U18" i="107"/>
  <c r="V18" i="107" s="1"/>
  <c r="S18" i="107"/>
  <c r="R18" i="107"/>
  <c r="J18" i="107"/>
  <c r="I18" i="107"/>
  <c r="W18" i="107" s="1"/>
  <c r="U17" i="107"/>
  <c r="V17" i="107" s="1"/>
  <c r="S17" i="107"/>
  <c r="R17" i="107"/>
  <c r="J17" i="107"/>
  <c r="W17" i="107" s="1"/>
  <c r="I17" i="107"/>
  <c r="U16" i="107"/>
  <c r="V16" i="107" s="1"/>
  <c r="S16" i="107"/>
  <c r="R16" i="107"/>
  <c r="J16" i="107"/>
  <c r="I16" i="107"/>
  <c r="W16" i="107" s="1"/>
  <c r="U15" i="107"/>
  <c r="V15" i="107" s="1"/>
  <c r="S15" i="107"/>
  <c r="R15" i="107"/>
  <c r="J15" i="107"/>
  <c r="W15" i="107" s="1"/>
  <c r="I15" i="107"/>
  <c r="U14" i="107"/>
  <c r="V14" i="107" s="1"/>
  <c r="S14" i="107"/>
  <c r="R14" i="107"/>
  <c r="J14" i="107"/>
  <c r="I14" i="107"/>
  <c r="W14" i="107" s="1"/>
  <c r="U13" i="107"/>
  <c r="V13" i="107" s="1"/>
  <c r="S13" i="107"/>
  <c r="R13" i="107"/>
  <c r="J13" i="107"/>
  <c r="W13" i="107" s="1"/>
  <c r="I13" i="107"/>
  <c r="U12" i="107"/>
  <c r="V12" i="107" s="1"/>
  <c r="S12" i="107"/>
  <c r="R12" i="107"/>
  <c r="J12" i="107"/>
  <c r="I12" i="107"/>
  <c r="W12" i="107" s="1"/>
  <c r="U11" i="107"/>
  <c r="V11" i="107" s="1"/>
  <c r="S11" i="107"/>
  <c r="R11" i="107"/>
  <c r="J11" i="107"/>
  <c r="W11" i="107" s="1"/>
  <c r="I11" i="107"/>
  <c r="U10" i="107"/>
  <c r="V10" i="107" s="1"/>
  <c r="S10" i="107"/>
  <c r="R10" i="107"/>
  <c r="J10" i="107"/>
  <c r="I10" i="107"/>
  <c r="W10" i="107" s="1"/>
  <c r="U9" i="107"/>
  <c r="U60" i="107" s="1"/>
  <c r="S9" i="107"/>
  <c r="R9" i="107"/>
  <c r="J9" i="107"/>
  <c r="W9" i="107" s="1"/>
  <c r="I9" i="107"/>
  <c r="A9" i="107"/>
  <c r="A10" i="107" s="1"/>
  <c r="A11" i="107" s="1"/>
  <c r="A12" i="107" s="1"/>
  <c r="A13" i="107" s="1"/>
  <c r="A14" i="107" s="1"/>
  <c r="A15" i="107" s="1"/>
  <c r="A16" i="107" s="1"/>
  <c r="A17" i="107" s="1"/>
  <c r="A18" i="107" s="1"/>
  <c r="A19" i="107" s="1"/>
  <c r="A20" i="107" s="1"/>
  <c r="A21" i="107" s="1"/>
  <c r="A22" i="107" s="1"/>
  <c r="A23" i="107" s="1"/>
  <c r="A24" i="107" s="1"/>
  <c r="A25" i="107" s="1"/>
  <c r="A26" i="107" s="1"/>
  <c r="A27" i="107" s="1"/>
  <c r="A28" i="107" s="1"/>
  <c r="A29" i="107" s="1"/>
  <c r="A30" i="107" s="1"/>
  <c r="A31" i="107" s="1"/>
  <c r="A32" i="107" s="1"/>
  <c r="A33" i="107" s="1"/>
  <c r="A34" i="107" s="1"/>
  <c r="A35" i="107" s="1"/>
  <c r="A36" i="107" s="1"/>
  <c r="A37" i="107" s="1"/>
  <c r="A38" i="107" s="1"/>
  <c r="A39" i="107" s="1"/>
  <c r="A40" i="107" s="1"/>
  <c r="A41" i="107" s="1"/>
  <c r="A42" i="107" s="1"/>
  <c r="A43" i="107" s="1"/>
  <c r="A44" i="107" s="1"/>
  <c r="A45" i="107" s="1"/>
  <c r="A46" i="107" s="1"/>
  <c r="A47" i="107" s="1"/>
  <c r="A48" i="107" s="1"/>
  <c r="A49" i="107" s="1"/>
  <c r="A50" i="107" s="1"/>
  <c r="A51" i="107" s="1"/>
  <c r="A52" i="107" s="1"/>
  <c r="A53" i="107" s="1"/>
  <c r="A54" i="107" s="1"/>
  <c r="A55" i="107" s="1"/>
  <c r="A56" i="107" s="1"/>
  <c r="A57" i="107" s="1"/>
  <c r="A58" i="107" s="1"/>
  <c r="A59" i="107" s="1"/>
  <c r="U8" i="107"/>
  <c r="V8" i="107" s="1"/>
  <c r="S8" i="107"/>
  <c r="S60" i="107" s="1"/>
  <c r="R8" i="107"/>
  <c r="R60" i="107" s="1"/>
  <c r="J8" i="107"/>
  <c r="J60" i="107" s="1"/>
  <c r="I8" i="107"/>
  <c r="W8" i="107" s="1"/>
  <c r="Q60" i="106"/>
  <c r="P60" i="106"/>
  <c r="O60" i="106"/>
  <c r="N60" i="106"/>
  <c r="M60" i="106"/>
  <c r="L60" i="106"/>
  <c r="H60" i="106"/>
  <c r="G60" i="106"/>
  <c r="E60" i="106"/>
  <c r="D60" i="106"/>
  <c r="C60" i="106"/>
  <c r="S59" i="106"/>
  <c r="R59" i="106"/>
  <c r="J59" i="106"/>
  <c r="I59" i="106"/>
  <c r="S58" i="106"/>
  <c r="R58" i="106"/>
  <c r="J58" i="106"/>
  <c r="I58" i="106"/>
  <c r="S57" i="106"/>
  <c r="R57" i="106"/>
  <c r="J57" i="106"/>
  <c r="I57" i="106"/>
  <c r="S56" i="106"/>
  <c r="R56" i="106"/>
  <c r="J56" i="106"/>
  <c r="I56" i="106"/>
  <c r="S55" i="106"/>
  <c r="R55" i="106"/>
  <c r="J55" i="106"/>
  <c r="I55" i="106"/>
  <c r="U54" i="106"/>
  <c r="V54" i="106" s="1"/>
  <c r="S54" i="106"/>
  <c r="R54" i="106"/>
  <c r="J54" i="106"/>
  <c r="I54" i="106"/>
  <c r="W54" i="106" s="1"/>
  <c r="W53" i="106"/>
  <c r="U53" i="106"/>
  <c r="V53" i="106" s="1"/>
  <c r="S53" i="106"/>
  <c r="R53" i="106"/>
  <c r="J53" i="106"/>
  <c r="I53" i="106"/>
  <c r="U52" i="106"/>
  <c r="V52" i="106" s="1"/>
  <c r="S52" i="106"/>
  <c r="R52" i="106"/>
  <c r="J52" i="106"/>
  <c r="I52" i="106"/>
  <c r="U51" i="106"/>
  <c r="V51" i="106" s="1"/>
  <c r="S51" i="106"/>
  <c r="R51" i="106"/>
  <c r="J51" i="106"/>
  <c r="I51" i="106"/>
  <c r="W51" i="106" s="1"/>
  <c r="U50" i="106"/>
  <c r="V50" i="106" s="1"/>
  <c r="S50" i="106"/>
  <c r="R50" i="106"/>
  <c r="J50" i="106"/>
  <c r="I50" i="106"/>
  <c r="W50" i="106" s="1"/>
  <c r="U49" i="106"/>
  <c r="V49" i="106" s="1"/>
  <c r="S49" i="106"/>
  <c r="R49" i="106"/>
  <c r="J49" i="106"/>
  <c r="I49" i="106"/>
  <c r="W49" i="106" s="1"/>
  <c r="U48" i="106"/>
  <c r="V48" i="106" s="1"/>
  <c r="S48" i="106"/>
  <c r="R48" i="106"/>
  <c r="J48" i="106"/>
  <c r="I48" i="106"/>
  <c r="U47" i="106"/>
  <c r="V47" i="106" s="1"/>
  <c r="S47" i="106"/>
  <c r="R47" i="106"/>
  <c r="J47" i="106"/>
  <c r="I47" i="106"/>
  <c r="W47" i="106" s="1"/>
  <c r="U46" i="106"/>
  <c r="V46" i="106" s="1"/>
  <c r="S46" i="106"/>
  <c r="R46" i="106"/>
  <c r="J46" i="106"/>
  <c r="I46" i="106"/>
  <c r="W46" i="106" s="1"/>
  <c r="S45" i="106"/>
  <c r="R45" i="106"/>
  <c r="J45" i="106"/>
  <c r="I45" i="106"/>
  <c r="U44" i="106"/>
  <c r="V44" i="106" s="1"/>
  <c r="S44" i="106"/>
  <c r="R44" i="106"/>
  <c r="J44" i="106"/>
  <c r="I44" i="106"/>
  <c r="S43" i="106"/>
  <c r="R43" i="106"/>
  <c r="J43" i="106"/>
  <c r="I43" i="106"/>
  <c r="U42" i="106"/>
  <c r="V42" i="106" s="1"/>
  <c r="S42" i="106"/>
  <c r="R42" i="106"/>
  <c r="J42" i="106"/>
  <c r="I42" i="106"/>
  <c r="U41" i="106"/>
  <c r="V41" i="106" s="1"/>
  <c r="S41" i="106"/>
  <c r="R41" i="106"/>
  <c r="J41" i="106"/>
  <c r="I41" i="106"/>
  <c r="U40" i="106"/>
  <c r="V40" i="106" s="1"/>
  <c r="S40" i="106"/>
  <c r="R40" i="106"/>
  <c r="J40" i="106"/>
  <c r="I40" i="106"/>
  <c r="U39" i="106"/>
  <c r="V39" i="106" s="1"/>
  <c r="S39" i="106"/>
  <c r="R39" i="106"/>
  <c r="J39" i="106"/>
  <c r="I39" i="106"/>
  <c r="U38" i="106"/>
  <c r="V38" i="106" s="1"/>
  <c r="S38" i="106"/>
  <c r="R38" i="106"/>
  <c r="J38" i="106"/>
  <c r="I38" i="106"/>
  <c r="U37" i="106"/>
  <c r="V37" i="106" s="1"/>
  <c r="S37" i="106"/>
  <c r="R37" i="106"/>
  <c r="J37" i="106"/>
  <c r="I37" i="106"/>
  <c r="W37" i="106" s="1"/>
  <c r="U36" i="106"/>
  <c r="V36" i="106" s="1"/>
  <c r="S36" i="106"/>
  <c r="R36" i="106"/>
  <c r="J36" i="106"/>
  <c r="I36" i="106"/>
  <c r="W36" i="106" s="1"/>
  <c r="U35" i="106"/>
  <c r="V35" i="106" s="1"/>
  <c r="S35" i="106"/>
  <c r="R35" i="106"/>
  <c r="J35" i="106"/>
  <c r="I35" i="106"/>
  <c r="U34" i="106"/>
  <c r="V34" i="106" s="1"/>
  <c r="S34" i="106"/>
  <c r="R34" i="106"/>
  <c r="J34" i="106"/>
  <c r="I34" i="106"/>
  <c r="U33" i="106"/>
  <c r="V33" i="106" s="1"/>
  <c r="S33" i="106"/>
  <c r="R33" i="106"/>
  <c r="J33" i="106"/>
  <c r="I33" i="106"/>
  <c r="W33" i="106" s="1"/>
  <c r="U32" i="106"/>
  <c r="V32" i="106" s="1"/>
  <c r="S32" i="106"/>
  <c r="R32" i="106"/>
  <c r="J32" i="106"/>
  <c r="I32" i="106"/>
  <c r="W32" i="106" s="1"/>
  <c r="U31" i="106"/>
  <c r="V31" i="106" s="1"/>
  <c r="S31" i="106"/>
  <c r="R31" i="106"/>
  <c r="J31" i="106"/>
  <c r="I31" i="106"/>
  <c r="W31" i="106" s="1"/>
  <c r="U30" i="106"/>
  <c r="V30" i="106" s="1"/>
  <c r="S30" i="106"/>
  <c r="R30" i="106"/>
  <c r="J30" i="106"/>
  <c r="I30" i="106"/>
  <c r="W30" i="106" s="1"/>
  <c r="U29" i="106"/>
  <c r="V29" i="106" s="1"/>
  <c r="S29" i="106"/>
  <c r="R29" i="106"/>
  <c r="J29" i="106"/>
  <c r="I29" i="106"/>
  <c r="W29" i="106" s="1"/>
  <c r="U28" i="106"/>
  <c r="V28" i="106" s="1"/>
  <c r="S28" i="106"/>
  <c r="R28" i="106"/>
  <c r="J28" i="106"/>
  <c r="I28" i="106"/>
  <c r="W28" i="106" s="1"/>
  <c r="U27" i="106"/>
  <c r="V27" i="106" s="1"/>
  <c r="S27" i="106"/>
  <c r="R27" i="106"/>
  <c r="J27" i="106"/>
  <c r="I27" i="106"/>
  <c r="BE26" i="106"/>
  <c r="U26" i="106"/>
  <c r="V26" i="106" s="1"/>
  <c r="S26" i="106"/>
  <c r="R26" i="106"/>
  <c r="J26" i="106"/>
  <c r="I26" i="106"/>
  <c r="U25" i="106"/>
  <c r="V25" i="106" s="1"/>
  <c r="S25" i="106"/>
  <c r="R25" i="106"/>
  <c r="J25" i="106"/>
  <c r="I25" i="106"/>
  <c r="U24" i="106"/>
  <c r="V24" i="106" s="1"/>
  <c r="S24" i="106"/>
  <c r="R24" i="106"/>
  <c r="J24" i="106"/>
  <c r="I24" i="106"/>
  <c r="U23" i="106"/>
  <c r="V23" i="106" s="1"/>
  <c r="S23" i="106"/>
  <c r="R23" i="106"/>
  <c r="J23" i="106"/>
  <c r="I23" i="106"/>
  <c r="U22" i="106"/>
  <c r="V22" i="106" s="1"/>
  <c r="S22" i="106"/>
  <c r="R22" i="106"/>
  <c r="J22" i="106"/>
  <c r="I22" i="106"/>
  <c r="W22" i="106" s="1"/>
  <c r="U21" i="106"/>
  <c r="V21" i="106" s="1"/>
  <c r="S21" i="106"/>
  <c r="R21" i="106"/>
  <c r="J21" i="106"/>
  <c r="I21" i="106"/>
  <c r="U20" i="106"/>
  <c r="V20" i="106" s="1"/>
  <c r="S20" i="106"/>
  <c r="R20" i="106"/>
  <c r="J20" i="106"/>
  <c r="I20" i="106"/>
  <c r="U19" i="106"/>
  <c r="V19" i="106" s="1"/>
  <c r="S19" i="106"/>
  <c r="R19" i="106"/>
  <c r="J19" i="106"/>
  <c r="I19" i="106"/>
  <c r="U18" i="106"/>
  <c r="V18" i="106" s="1"/>
  <c r="S18" i="106"/>
  <c r="R18" i="106"/>
  <c r="J18" i="106"/>
  <c r="I18" i="106"/>
  <c r="W18" i="106" s="1"/>
  <c r="U17" i="106"/>
  <c r="V17" i="106" s="1"/>
  <c r="S17" i="106"/>
  <c r="R17" i="106"/>
  <c r="J17" i="106"/>
  <c r="I17" i="106"/>
  <c r="U16" i="106"/>
  <c r="V16" i="106" s="1"/>
  <c r="S16" i="106"/>
  <c r="R16" i="106"/>
  <c r="J16" i="106"/>
  <c r="I16" i="106"/>
  <c r="U15" i="106"/>
  <c r="V15" i="106" s="1"/>
  <c r="S15" i="106"/>
  <c r="R15" i="106"/>
  <c r="J15" i="106"/>
  <c r="I15" i="106"/>
  <c r="U14" i="106"/>
  <c r="V14" i="106" s="1"/>
  <c r="S14" i="106"/>
  <c r="R14" i="106"/>
  <c r="J14" i="106"/>
  <c r="I14" i="106"/>
  <c r="U13" i="106"/>
  <c r="V13" i="106" s="1"/>
  <c r="S13" i="106"/>
  <c r="R13" i="106"/>
  <c r="J13" i="106"/>
  <c r="I13" i="106"/>
  <c r="U12" i="106"/>
  <c r="V12" i="106" s="1"/>
  <c r="S12" i="106"/>
  <c r="R12" i="106"/>
  <c r="J12" i="106"/>
  <c r="I12" i="106"/>
  <c r="W12" i="106" s="1"/>
  <c r="U11" i="106"/>
  <c r="V11" i="106" s="1"/>
  <c r="S11" i="106"/>
  <c r="R11" i="106"/>
  <c r="J11" i="106"/>
  <c r="I11" i="106"/>
  <c r="U10" i="106"/>
  <c r="V10" i="106" s="1"/>
  <c r="S10" i="106"/>
  <c r="R10" i="106"/>
  <c r="J10" i="106"/>
  <c r="I10" i="106"/>
  <c r="W10" i="106" s="1"/>
  <c r="A10" i="106"/>
  <c r="A11" i="106" s="1"/>
  <c r="A12" i="106" s="1"/>
  <c r="A13" i="106" s="1"/>
  <c r="A14" i="106" s="1"/>
  <c r="A15" i="106" s="1"/>
  <c r="A16" i="106" s="1"/>
  <c r="A17" i="106" s="1"/>
  <c r="A18" i="106" s="1"/>
  <c r="A19" i="106" s="1"/>
  <c r="A20" i="106" s="1"/>
  <c r="A21" i="106" s="1"/>
  <c r="A22" i="106" s="1"/>
  <c r="A23" i="106" s="1"/>
  <c r="A24" i="106" s="1"/>
  <c r="A25" i="106" s="1"/>
  <c r="A26" i="106" s="1"/>
  <c r="A27" i="106" s="1"/>
  <c r="A28" i="106" s="1"/>
  <c r="A29" i="106" s="1"/>
  <c r="A30" i="106" s="1"/>
  <c r="A31" i="106" s="1"/>
  <c r="A32" i="106" s="1"/>
  <c r="A33" i="106" s="1"/>
  <c r="A34" i="106" s="1"/>
  <c r="A35" i="106" s="1"/>
  <c r="A36" i="106" s="1"/>
  <c r="A37" i="106" s="1"/>
  <c r="A38" i="106" s="1"/>
  <c r="A39" i="106" s="1"/>
  <c r="A40" i="106" s="1"/>
  <c r="A41" i="106" s="1"/>
  <c r="A42" i="106" s="1"/>
  <c r="A43" i="106" s="1"/>
  <c r="A44" i="106" s="1"/>
  <c r="A45" i="106" s="1"/>
  <c r="A46" i="106" s="1"/>
  <c r="A47" i="106" s="1"/>
  <c r="A48" i="106" s="1"/>
  <c r="A49" i="106" s="1"/>
  <c r="A50" i="106" s="1"/>
  <c r="A51" i="106" s="1"/>
  <c r="A52" i="106" s="1"/>
  <c r="A53" i="106" s="1"/>
  <c r="A54" i="106" s="1"/>
  <c r="A55" i="106" s="1"/>
  <c r="A56" i="106" s="1"/>
  <c r="A57" i="106" s="1"/>
  <c r="A58" i="106" s="1"/>
  <c r="A59" i="106" s="1"/>
  <c r="U9" i="106"/>
  <c r="S9" i="106"/>
  <c r="R9" i="106"/>
  <c r="J9" i="106"/>
  <c r="A9" i="106"/>
  <c r="U8" i="106"/>
  <c r="V8" i="106" s="1"/>
  <c r="S8" i="106"/>
  <c r="R8" i="106"/>
  <c r="J8" i="106"/>
  <c r="W48" i="106" l="1"/>
  <c r="W42" i="106"/>
  <c r="W41" i="106"/>
  <c r="W40" i="106"/>
  <c r="W26" i="106"/>
  <c r="W15" i="106"/>
  <c r="W14" i="106"/>
  <c r="W20" i="106"/>
  <c r="W23" i="106"/>
  <c r="W39" i="106"/>
  <c r="W11" i="106"/>
  <c r="W27" i="106"/>
  <c r="W52" i="106"/>
  <c r="W17" i="106"/>
  <c r="W34" i="106"/>
  <c r="W16" i="106"/>
  <c r="W19" i="106"/>
  <c r="W35" i="106"/>
  <c r="W44" i="106"/>
  <c r="W38" i="106"/>
  <c r="W25" i="106"/>
  <c r="W24" i="106"/>
  <c r="W21" i="106"/>
  <c r="R60" i="106"/>
  <c r="U60" i="106"/>
  <c r="S60" i="106"/>
  <c r="J60" i="106"/>
  <c r="W13" i="106"/>
  <c r="W9" i="106"/>
  <c r="W8" i="106"/>
  <c r="W60" i="107"/>
  <c r="V9" i="107"/>
  <c r="V60" i="107" s="1"/>
  <c r="I60" i="107"/>
  <c r="V60" i="106"/>
  <c r="V9" i="106"/>
  <c r="I60" i="106"/>
  <c r="W60" i="106" l="1"/>
  <c r="BE26" i="89" l="1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387BDF1-5FA4-45C1-94DF-EFC576E50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051C4C4-795B-491C-BBDA-1C562E0D3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9F84387-98A1-4A60-A18C-F1306BE9E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C18E23-3D77-4DC5-A5D8-90BF6624E9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3B7FD2E-2D80-4D38-8B0D-3EC8E7DA74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63857AD-A53C-4E51-A7EC-D51CF6CBEC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0CCB658-4B40-424D-993B-BA6D18C73D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801EAE7-426D-4BD5-ACF4-572F8D4A21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8A1E9F6-8428-485B-BF3F-7B9F4740C2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572C990-138E-482A-9A14-9D95621BD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C65034D-65A6-40B2-8A26-F4A4D0C512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6E0B6C5-E243-4A03-895E-B92ABAA550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87743D1-D5D0-4C4F-9684-970554587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BBCB3A3-AFF6-46E3-A1E0-338068DBBB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1184CB8-68F5-4E30-9BDA-A6C0AF698C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<sst xmlns="http://schemas.openxmlformats.org/spreadsheetml/2006/main" count="636" uniqueCount="82">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</sst>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3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5"/>
      <c r="Q1" s="196"/>
      <c r="R1" s="196"/>
      <c r="S1" s="196"/>
      <c r="T1" s="196"/>
      <c r="U1" s="196"/>
      <c r="V1" s="196"/>
      <c r="W1" s="196"/>
      <c r="X1" s="19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8" t="s">
        <v>74</v>
      </c>
      <c r="C4" s="199" t="s">
        <v>3</v>
      </c>
      <c r="D4" s="200" t="s">
        <v>75</v>
      </c>
      <c r="E4" s="201" t="s">
        <v>4</v>
      </c>
      <c r="F4" s="202"/>
      <c r="G4" s="203" t="s">
        <v>5</v>
      </c>
      <c r="H4" s="205" t="s">
        <v>75</v>
      </c>
      <c r="I4" s="207" t="s">
        <v>6</v>
      </c>
      <c r="J4" s="205" t="s">
        <v>75</v>
      </c>
      <c r="L4" s="209" t="s">
        <v>7</v>
      </c>
      <c r="M4" s="210"/>
      <c r="N4" s="210"/>
      <c r="O4" s="210"/>
      <c r="P4" s="210"/>
      <c r="Q4" s="210"/>
      <c r="R4" s="210"/>
      <c r="S4" s="210"/>
      <c r="T4" s="210"/>
      <c r="U4" s="210"/>
      <c r="V4" s="211"/>
      <c r="W4" s="210"/>
      <c r="X4" s="212"/>
    </row>
    <row r="5" spans="1:60" s="3" customFormat="1" ht="57" thickBot="1" x14ac:dyDescent="0.3">
      <c r="A5" s="49"/>
      <c r="B5" s="198"/>
      <c r="C5" s="199"/>
      <c r="D5" s="200"/>
      <c r="E5" s="48" t="s">
        <v>8</v>
      </c>
      <c r="F5" s="106" t="s">
        <v>9</v>
      </c>
      <c r="G5" s="204"/>
      <c r="H5" s="206"/>
      <c r="I5" s="208"/>
      <c r="J5" s="20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0F35F-7B2A-4713-8B09-23FADD968917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C58" sqref="C5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5">
        <v>46113</v>
      </c>
      <c r="Q1" s="196"/>
      <c r="R1" s="196"/>
      <c r="S1" s="196"/>
      <c r="T1" s="196"/>
      <c r="U1" s="196"/>
      <c r="V1" s="196"/>
      <c r="W1" s="196"/>
      <c r="X1" s="19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8" t="s">
        <v>74</v>
      </c>
      <c r="C4" s="199" t="s">
        <v>3</v>
      </c>
      <c r="D4" s="200" t="s">
        <v>75</v>
      </c>
      <c r="E4" s="201" t="s">
        <v>4</v>
      </c>
      <c r="F4" s="202"/>
      <c r="G4" s="203" t="s">
        <v>5</v>
      </c>
      <c r="H4" s="205" t="s">
        <v>75</v>
      </c>
      <c r="I4" s="207" t="s">
        <v>6</v>
      </c>
      <c r="J4" s="205" t="s">
        <v>75</v>
      </c>
      <c r="L4" s="209" t="s">
        <v>7</v>
      </c>
      <c r="M4" s="210"/>
      <c r="N4" s="210"/>
      <c r="O4" s="210"/>
      <c r="P4" s="210"/>
      <c r="Q4" s="210"/>
      <c r="R4" s="210"/>
      <c r="S4" s="210"/>
      <c r="T4" s="210"/>
      <c r="U4" s="210"/>
      <c r="V4" s="211"/>
      <c r="W4" s="210"/>
      <c r="X4" s="212"/>
    </row>
    <row r="5" spans="1:60" s="3" customFormat="1" ht="57" thickBot="1" x14ac:dyDescent="0.3">
      <c r="A5" s="49"/>
      <c r="B5" s="198"/>
      <c r="C5" s="199"/>
      <c r="D5" s="200"/>
      <c r="E5" s="48" t="s">
        <v>8</v>
      </c>
      <c r="F5" s="183" t="s">
        <v>9</v>
      </c>
      <c r="G5" s="204"/>
      <c r="H5" s="206"/>
      <c r="I5" s="208"/>
      <c r="J5" s="20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56</v>
      </c>
      <c r="D8" s="111">
        <v>21</v>
      </c>
      <c r="E8" s="112"/>
      <c r="F8" s="112"/>
      <c r="G8" s="76">
        <v>1</v>
      </c>
      <c r="H8" s="73"/>
      <c r="I8" s="73">
        <f>C8+E8-G8</f>
        <v>55</v>
      </c>
      <c r="J8" s="77">
        <f t="shared" ref="J8:J12" si="0">D8-H8</f>
        <v>21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1341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/>
      <c r="H9" s="79"/>
      <c r="I9" s="78">
        <f>C9+E9-G9</f>
        <v>106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116</v>
      </c>
      <c r="D10" s="111"/>
      <c r="E10" s="112"/>
      <c r="F10" s="112"/>
      <c r="G10" s="76"/>
      <c r="H10" s="73"/>
      <c r="I10" s="73">
        <f t="shared" ref="I9:J59" si="4">C10-G10</f>
        <v>116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2784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14</v>
      </c>
      <c r="D11" s="111"/>
      <c r="E11" s="112"/>
      <c r="F11" s="112"/>
      <c r="G11" s="76"/>
      <c r="H11" s="73"/>
      <c r="I11" s="73">
        <f t="shared" si="4"/>
        <v>14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336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6</v>
      </c>
      <c r="D12" s="111"/>
      <c r="E12" s="112"/>
      <c r="F12" s="112"/>
      <c r="G12" s="76"/>
      <c r="H12" s="73"/>
      <c r="I12" s="73">
        <f t="shared" si="4"/>
        <v>6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144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3839</v>
      </c>
      <c r="D13" s="114">
        <v>21</v>
      </c>
      <c r="E13" s="115"/>
      <c r="F13" s="115"/>
      <c r="G13" s="78">
        <v>35</v>
      </c>
      <c r="H13" s="79">
        <v>30</v>
      </c>
      <c r="I13" s="80">
        <f t="shared" si="4"/>
        <v>3804</v>
      </c>
      <c r="J13" s="94">
        <f>D13-H13</f>
        <v>-9</v>
      </c>
      <c r="K13" s="53"/>
      <c r="L13" s="121">
        <v>8</v>
      </c>
      <c r="M13" s="121">
        <v>4</v>
      </c>
      <c r="N13" s="121">
        <v>6</v>
      </c>
      <c r="O13" s="121">
        <v>4</v>
      </c>
      <c r="P13" s="121">
        <v>21</v>
      </c>
      <c r="Q13" s="122">
        <v>22</v>
      </c>
      <c r="R13" s="97">
        <f>L13+N13+P13</f>
        <v>35</v>
      </c>
      <c r="S13" s="125">
        <f>M13+O13+Q13</f>
        <v>30</v>
      </c>
      <c r="T13" s="53"/>
      <c r="U13" s="131">
        <f>L13*24+N13*24+P13*24</f>
        <v>840</v>
      </c>
      <c r="V13" s="135">
        <f t="shared" si="6"/>
        <v>35</v>
      </c>
      <c r="W13" s="133">
        <f>I13*24+J13</f>
        <v>91287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41</v>
      </c>
      <c r="D26" s="111">
        <v>23</v>
      </c>
      <c r="E26" s="112"/>
      <c r="F26" s="112"/>
      <c r="G26" s="76"/>
      <c r="H26" s="73"/>
      <c r="I26" s="73">
        <f t="shared" si="4"/>
        <v>41</v>
      </c>
      <c r="J26" s="77">
        <f t="shared" si="4"/>
        <v>23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1007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7</v>
      </c>
      <c r="D27" s="111"/>
      <c r="E27" s="112"/>
      <c r="F27" s="112"/>
      <c r="G27" s="76">
        <v>6</v>
      </c>
      <c r="H27" s="73">
        <v>12</v>
      </c>
      <c r="I27" s="73">
        <f t="shared" si="4"/>
        <v>1</v>
      </c>
      <c r="J27" s="77">
        <f t="shared" si="4"/>
        <v>-12</v>
      </c>
      <c r="K27" s="42"/>
      <c r="L27" s="112">
        <v>1</v>
      </c>
      <c r="M27" s="112"/>
      <c r="N27" s="112">
        <v>3</v>
      </c>
      <c r="O27" s="112">
        <v>12</v>
      </c>
      <c r="P27" s="112">
        <v>2</v>
      </c>
      <c r="Q27" s="120"/>
      <c r="R27" s="86">
        <f t="shared" si="7"/>
        <v>6</v>
      </c>
      <c r="S27" s="124">
        <f t="shared" si="7"/>
        <v>12</v>
      </c>
      <c r="T27" s="42"/>
      <c r="U27" s="107">
        <f t="shared" si="5"/>
        <v>144</v>
      </c>
      <c r="V27" s="130">
        <f t="shared" si="6"/>
        <v>6</v>
      </c>
      <c r="W27" s="129">
        <f t="shared" si="8"/>
        <v>12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57</v>
      </c>
      <c r="D29" s="111">
        <v>12</v>
      </c>
      <c r="E29" s="112"/>
      <c r="F29" s="112"/>
      <c r="G29" s="76">
        <v>7</v>
      </c>
      <c r="H29" s="73">
        <v>12</v>
      </c>
      <c r="I29" s="73">
        <f t="shared" si="4"/>
        <v>50</v>
      </c>
      <c r="J29" s="77">
        <f t="shared" si="4"/>
        <v>0</v>
      </c>
      <c r="K29" s="42"/>
      <c r="L29" s="112">
        <v>1</v>
      </c>
      <c r="M29" s="112"/>
      <c r="N29" s="112">
        <v>3</v>
      </c>
      <c r="O29" s="112">
        <v>14</v>
      </c>
      <c r="P29" s="112">
        <v>3</v>
      </c>
      <c r="Q29" s="120"/>
      <c r="R29" s="86">
        <f t="shared" si="7"/>
        <v>7</v>
      </c>
      <c r="S29" s="124">
        <f t="shared" si="7"/>
        <v>14</v>
      </c>
      <c r="T29" s="42"/>
      <c r="U29" s="107">
        <f t="shared" si="5"/>
        <v>168</v>
      </c>
      <c r="V29" s="130">
        <f t="shared" si="6"/>
        <v>7</v>
      </c>
      <c r="W29" s="129">
        <f t="shared" si="8"/>
        <v>1200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69</v>
      </c>
      <c r="D30" s="111"/>
      <c r="E30" s="112"/>
      <c r="F30" s="112"/>
      <c r="G30" s="76"/>
      <c r="H30" s="73"/>
      <c r="I30" s="73">
        <f t="shared" si="4"/>
        <v>69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1656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43</v>
      </c>
      <c r="D31" s="111"/>
      <c r="E31" s="112"/>
      <c r="F31" s="112"/>
      <c r="G31" s="76">
        <v>1</v>
      </c>
      <c r="H31" s="73"/>
      <c r="I31" s="73">
        <f t="shared" si="4"/>
        <v>42</v>
      </c>
      <c r="J31" s="77">
        <f t="shared" si="4"/>
        <v>0</v>
      </c>
      <c r="K31" s="41"/>
      <c r="L31" s="112"/>
      <c r="M31" s="112"/>
      <c r="N31" s="112">
        <v>1</v>
      </c>
      <c r="O31" s="112"/>
      <c r="P31" s="112"/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1008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/>
      <c r="H33" s="73"/>
      <c r="I33" s="73">
        <f t="shared" si="4"/>
        <v>5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120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133</v>
      </c>
      <c r="D35" s="111">
        <v>5</v>
      </c>
      <c r="E35" s="112"/>
      <c r="F35" s="112"/>
      <c r="G35" s="76">
        <v>1</v>
      </c>
      <c r="H35" s="73"/>
      <c r="I35" s="73">
        <f t="shared" si="4"/>
        <v>132</v>
      </c>
      <c r="J35" s="77">
        <f t="shared" si="4"/>
        <v>5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3173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4811</v>
      </c>
      <c r="D38" s="114">
        <v>2</v>
      </c>
      <c r="E38" s="115"/>
      <c r="F38" s="115"/>
      <c r="G38" s="78">
        <v>108</v>
      </c>
      <c r="H38" s="79"/>
      <c r="I38" s="139">
        <f t="shared" si="4"/>
        <v>4703</v>
      </c>
      <c r="J38" s="140">
        <f t="shared" si="4"/>
        <v>2</v>
      </c>
      <c r="K38" s="51"/>
      <c r="L38" s="121">
        <v>71</v>
      </c>
      <c r="M38" s="121"/>
      <c r="N38" s="121">
        <v>2</v>
      </c>
      <c r="O38" s="121"/>
      <c r="P38" s="121">
        <v>35</v>
      </c>
      <c r="Q38" s="122"/>
      <c r="R38" s="97">
        <f t="shared" si="7"/>
        <v>108</v>
      </c>
      <c r="S38" s="125">
        <f t="shared" si="7"/>
        <v>0</v>
      </c>
      <c r="T38" s="51"/>
      <c r="U38" s="131">
        <f>L38*6+N38*6+P38*6</f>
        <v>648</v>
      </c>
      <c r="V38" s="135">
        <f>U38/6</f>
        <v>108</v>
      </c>
      <c r="W38" s="133">
        <f>I38*6+J38</f>
        <v>28220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396</v>
      </c>
      <c r="D41" s="147"/>
      <c r="E41" s="148"/>
      <c r="F41" s="148"/>
      <c r="G41" s="149">
        <v>72</v>
      </c>
      <c r="H41" s="150"/>
      <c r="I41" s="151">
        <f t="shared" si="4"/>
        <v>324</v>
      </c>
      <c r="J41" s="152">
        <f t="shared" si="4"/>
        <v>0</v>
      </c>
      <c r="K41" s="153"/>
      <c r="L41" s="154"/>
      <c r="M41" s="154"/>
      <c r="N41" s="154">
        <v>70</v>
      </c>
      <c r="O41" s="154"/>
      <c r="P41" s="154">
        <v>2</v>
      </c>
      <c r="Q41" s="155"/>
      <c r="R41" s="156">
        <f t="shared" si="7"/>
        <v>72</v>
      </c>
      <c r="S41" s="157">
        <f t="shared" si="7"/>
        <v>0</v>
      </c>
      <c r="T41" s="153"/>
      <c r="U41" s="158">
        <f t="shared" si="9"/>
        <v>1728</v>
      </c>
      <c r="V41" s="159">
        <f t="shared" si="6"/>
        <v>72</v>
      </c>
      <c r="W41" s="159">
        <f t="shared" si="10"/>
        <v>7776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1133</v>
      </c>
      <c r="D42" s="164">
        <v>9</v>
      </c>
      <c r="E42" s="165"/>
      <c r="F42" s="165"/>
      <c r="G42" s="166">
        <v>33</v>
      </c>
      <c r="H42" s="167"/>
      <c r="I42" s="166">
        <f t="shared" si="4"/>
        <v>1100</v>
      </c>
      <c r="J42" s="168">
        <f t="shared" si="4"/>
        <v>9</v>
      </c>
      <c r="K42" s="169"/>
      <c r="L42" s="165">
        <v>3</v>
      </c>
      <c r="M42" s="165"/>
      <c r="N42" s="165">
        <v>13</v>
      </c>
      <c r="O42" s="165"/>
      <c r="P42" s="165">
        <v>17</v>
      </c>
      <c r="Q42" s="170"/>
      <c r="R42" s="171">
        <f t="shared" si="7"/>
        <v>33</v>
      </c>
      <c r="S42" s="172">
        <f t="shared" si="7"/>
        <v>0</v>
      </c>
      <c r="T42" s="169"/>
      <c r="U42" s="173">
        <f>L42*12+N42*12+P42*12</f>
        <v>396</v>
      </c>
      <c r="V42" s="174">
        <f>U42/12</f>
        <v>33</v>
      </c>
      <c r="W42" s="175">
        <f>I42*12+J42</f>
        <v>13209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37601</v>
      </c>
      <c r="D44" s="114"/>
      <c r="E44" s="115"/>
      <c r="F44" s="115"/>
      <c r="G44" s="78">
        <v>1465</v>
      </c>
      <c r="H44" s="79"/>
      <c r="I44" s="73">
        <f>C44+E44-G44</f>
        <v>36136</v>
      </c>
      <c r="J44" s="177">
        <f t="shared" si="4"/>
        <v>0</v>
      </c>
      <c r="K44" s="51"/>
      <c r="L44" s="121">
        <v>644</v>
      </c>
      <c r="M44" s="121"/>
      <c r="N44" s="121">
        <v>339</v>
      </c>
      <c r="O44" s="121"/>
      <c r="P44" s="121">
        <v>482</v>
      </c>
      <c r="Q44" s="122"/>
      <c r="R44" s="178">
        <f t="shared" si="7"/>
        <v>1465</v>
      </c>
      <c r="S44" s="179">
        <f t="shared" si="7"/>
        <v>0</v>
      </c>
      <c r="T44" s="51"/>
      <c r="U44" s="131">
        <f>L44*6+N44*6+P44*6</f>
        <v>8790</v>
      </c>
      <c r="V44" s="130">
        <f>U44/6</f>
        <v>1465</v>
      </c>
      <c r="W44" s="133">
        <f>I44*6+J44</f>
        <v>216816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3</v>
      </c>
      <c r="D46" s="111"/>
      <c r="E46" s="112"/>
      <c r="F46" s="112"/>
      <c r="G46" s="76"/>
      <c r="H46" s="73"/>
      <c r="I46" s="93">
        <f t="shared" si="4"/>
        <v>3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72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2847</v>
      </c>
      <c r="D48" s="142">
        <v>4</v>
      </c>
      <c r="E48" s="121"/>
      <c r="F48" s="121"/>
      <c r="G48" s="143">
        <v>5</v>
      </c>
      <c r="H48" s="139"/>
      <c r="I48" s="139">
        <f t="shared" si="4"/>
        <v>2842</v>
      </c>
      <c r="J48" s="140">
        <f t="shared" si="4"/>
        <v>4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7"/>
        <v>5</v>
      </c>
      <c r="S48" s="144">
        <f t="shared" si="7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17056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51444</v>
      </c>
      <c r="D60" s="54">
        <f>SUM(D8:D59)</f>
        <v>188</v>
      </c>
      <c r="E60" s="44">
        <f>SUM(E8:E59)</f>
        <v>0</v>
      </c>
      <c r="F60" s="44"/>
      <c r="G60" s="28">
        <f>SUM(G8:G59)</f>
        <v>1734</v>
      </c>
      <c r="H60" s="56">
        <f>SUM(H8:H59)</f>
        <v>54</v>
      </c>
      <c r="I60" s="56">
        <f>SUM(I8:I59)</f>
        <v>49710</v>
      </c>
      <c r="J60" s="45">
        <f>SUM(J8:J59)</f>
        <v>134</v>
      </c>
      <c r="K60" s="46"/>
      <c r="L60" s="74">
        <f t="shared" ref="L60:S60" si="20">SUM(L8:L59)</f>
        <v>735</v>
      </c>
      <c r="M60" s="74">
        <f t="shared" si="20"/>
        <v>4</v>
      </c>
      <c r="N60" s="74">
        <f t="shared" si="20"/>
        <v>437</v>
      </c>
      <c r="O60" s="74">
        <f t="shared" si="20"/>
        <v>30</v>
      </c>
      <c r="P60" s="74">
        <f t="shared" si="20"/>
        <v>562</v>
      </c>
      <c r="Q60" s="75">
        <f t="shared" si="20"/>
        <v>22</v>
      </c>
      <c r="R60" s="85">
        <f t="shared" si="20"/>
        <v>1734</v>
      </c>
      <c r="S60" s="84">
        <f t="shared" si="20"/>
        <v>56</v>
      </c>
      <c r="T60" s="46"/>
      <c r="U60" s="43">
        <f>SUM(U8:U59)</f>
        <v>12816</v>
      </c>
      <c r="V60" s="102">
        <f>SUM(V8:V59)</f>
        <v>1734</v>
      </c>
      <c r="W60" s="180">
        <f>SUM(W8:W59)</f>
        <v>393104</v>
      </c>
      <c r="X60" s="45"/>
    </row>
    <row r="61" spans="1:24" ht="19.5" thickBot="1" x14ac:dyDescent="0.3">
      <c r="V61" s="103"/>
    </row>
    <row r="62" spans="1:24" ht="18.75" customHeight="1" x14ac:dyDescent="0.25">
      <c r="G62" s="19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1" t="s">
        <v>3</v>
      </c>
      <c r="D69" s="18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18521-30C6-4E9C-952F-E7D2A7665E71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5">
        <v>46114</v>
      </c>
      <c r="Q1" s="196"/>
      <c r="R1" s="196"/>
      <c r="S1" s="196"/>
      <c r="T1" s="196"/>
      <c r="U1" s="196"/>
      <c r="V1" s="196"/>
      <c r="W1" s="196"/>
      <c r="X1" s="19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8" t="s">
        <v>74</v>
      </c>
      <c r="C4" s="199" t="s">
        <v>3</v>
      </c>
      <c r="D4" s="200" t="s">
        <v>75</v>
      </c>
      <c r="E4" s="201" t="s">
        <v>4</v>
      </c>
      <c r="F4" s="202"/>
      <c r="G4" s="203" t="s">
        <v>5</v>
      </c>
      <c r="H4" s="205" t="s">
        <v>75</v>
      </c>
      <c r="I4" s="207" t="s">
        <v>6</v>
      </c>
      <c r="J4" s="205" t="s">
        <v>75</v>
      </c>
      <c r="L4" s="209" t="s">
        <v>7</v>
      </c>
      <c r="M4" s="210"/>
      <c r="N4" s="210"/>
      <c r="O4" s="210"/>
      <c r="P4" s="210"/>
      <c r="Q4" s="210"/>
      <c r="R4" s="210"/>
      <c r="S4" s="210"/>
      <c r="T4" s="210"/>
      <c r="U4" s="210"/>
      <c r="V4" s="211"/>
      <c r="W4" s="210"/>
      <c r="X4" s="212"/>
    </row>
    <row r="5" spans="1:60" s="3" customFormat="1" ht="57" thickBot="1" x14ac:dyDescent="0.3">
      <c r="A5" s="49"/>
      <c r="B5" s="198"/>
      <c r="C5" s="199"/>
      <c r="D5" s="200"/>
      <c r="E5" s="48" t="s">
        <v>8</v>
      </c>
      <c r="F5" s="186" t="s">
        <v>9</v>
      </c>
      <c r="G5" s="204"/>
      <c r="H5" s="206"/>
      <c r="I5" s="208"/>
      <c r="J5" s="20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9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EF980-5574-4D62-ABF2-6898880BA2EC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5">
        <v>46115</v>
      </c>
      <c r="Q1" s="196"/>
      <c r="R1" s="196"/>
      <c r="S1" s="196"/>
      <c r="T1" s="196"/>
      <c r="U1" s="196"/>
      <c r="V1" s="196"/>
      <c r="W1" s="196"/>
      <c r="X1" s="19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8" t="s">
        <v>74</v>
      </c>
      <c r="C4" s="199" t="s">
        <v>3</v>
      </c>
      <c r="D4" s="200" t="s">
        <v>75</v>
      </c>
      <c r="E4" s="201" t="s">
        <v>4</v>
      </c>
      <c r="F4" s="202"/>
      <c r="G4" s="203" t="s">
        <v>5</v>
      </c>
      <c r="H4" s="205" t="s">
        <v>75</v>
      </c>
      <c r="I4" s="207" t="s">
        <v>6</v>
      </c>
      <c r="J4" s="205" t="s">
        <v>75</v>
      </c>
      <c r="L4" s="209" t="s">
        <v>7</v>
      </c>
      <c r="M4" s="210"/>
      <c r="N4" s="210"/>
      <c r="O4" s="210"/>
      <c r="P4" s="210"/>
      <c r="Q4" s="210"/>
      <c r="R4" s="210"/>
      <c r="S4" s="210"/>
      <c r="T4" s="210"/>
      <c r="U4" s="210"/>
      <c r="V4" s="211"/>
      <c r="W4" s="210"/>
      <c r="X4" s="212"/>
    </row>
    <row r="5" spans="1:60" s="3" customFormat="1" ht="57" thickBot="1" x14ac:dyDescent="0.3">
      <c r="A5" s="49"/>
      <c r="B5" s="198"/>
      <c r="C5" s="199"/>
      <c r="D5" s="200"/>
      <c r="E5" s="48" t="s">
        <v>8</v>
      </c>
      <c r="F5" s="183" t="s">
        <v>9</v>
      </c>
      <c r="G5" s="204"/>
      <c r="H5" s="206"/>
      <c r="I5" s="208"/>
      <c r="J5" s="20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9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1" t="s">
        <v>3</v>
      </c>
      <c r="D69" s="18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54B12-F159-4771-835F-10B5668BB1C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5">
        <v>46116</v>
      </c>
      <c r="Q1" s="196"/>
      <c r="R1" s="196"/>
      <c r="S1" s="196"/>
      <c r="T1" s="196"/>
      <c r="U1" s="196"/>
      <c r="V1" s="196"/>
      <c r="W1" s="196"/>
      <c r="X1" s="19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8" t="s">
        <v>74</v>
      </c>
      <c r="C4" s="199" t="s">
        <v>3</v>
      </c>
      <c r="D4" s="200" t="s">
        <v>75</v>
      </c>
      <c r="E4" s="201" t="s">
        <v>4</v>
      </c>
      <c r="F4" s="202"/>
      <c r="G4" s="203" t="s">
        <v>5</v>
      </c>
      <c r="H4" s="205" t="s">
        <v>75</v>
      </c>
      <c r="I4" s="207" t="s">
        <v>6</v>
      </c>
      <c r="J4" s="205" t="s">
        <v>75</v>
      </c>
      <c r="L4" s="209" t="s">
        <v>7</v>
      </c>
      <c r="M4" s="210"/>
      <c r="N4" s="210"/>
      <c r="O4" s="210"/>
      <c r="P4" s="210"/>
      <c r="Q4" s="210"/>
      <c r="R4" s="210"/>
      <c r="S4" s="210"/>
      <c r="T4" s="210"/>
      <c r="U4" s="210"/>
      <c r="V4" s="211"/>
      <c r="W4" s="210"/>
      <c r="X4" s="212"/>
    </row>
    <row r="5" spans="1:60" s="3" customFormat="1" ht="57" thickBot="1" x14ac:dyDescent="0.3">
      <c r="A5" s="49"/>
      <c r="B5" s="198"/>
      <c r="C5" s="199"/>
      <c r="D5" s="200"/>
      <c r="E5" s="48" t="s">
        <v>8</v>
      </c>
      <c r="F5" s="189" t="s">
        <v>9</v>
      </c>
      <c r="G5" s="204"/>
      <c r="H5" s="206"/>
      <c r="I5" s="208"/>
      <c r="J5" s="20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9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7" t="s">
        <v>3</v>
      </c>
      <c r="D69" s="18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CBFCF-8FDE-4A25-9852-A6618DD949A0}">
  <sheetPr>
    <pageSetUpPr fitToPage="1"/>
  </sheetPr>
  <dimension ref="A1:BH90"/>
  <sheetViews>
    <sheetView zoomScale="85" zoomScaleNormal="85" zoomScaleSheetLayoutView="85" zoomScalePageLayoutView="80" workbookViewId="0">
      <selection activeCell="N12" sqref="N1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5">
        <v>46118</v>
      </c>
      <c r="Q1" s="196"/>
      <c r="R1" s="196"/>
      <c r="S1" s="196"/>
      <c r="T1" s="196"/>
      <c r="U1" s="196"/>
      <c r="V1" s="196"/>
      <c r="W1" s="196"/>
      <c r="X1" s="19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8" t="s">
        <v>74</v>
      </c>
      <c r="C4" s="199" t="s">
        <v>3</v>
      </c>
      <c r="D4" s="200" t="s">
        <v>75</v>
      </c>
      <c r="E4" s="201" t="s">
        <v>4</v>
      </c>
      <c r="F4" s="202"/>
      <c r="G4" s="203" t="s">
        <v>5</v>
      </c>
      <c r="H4" s="205" t="s">
        <v>75</v>
      </c>
      <c r="I4" s="207" t="s">
        <v>6</v>
      </c>
      <c r="J4" s="205" t="s">
        <v>75</v>
      </c>
      <c r="L4" s="209" t="s">
        <v>7</v>
      </c>
      <c r="M4" s="210"/>
      <c r="N4" s="210"/>
      <c r="O4" s="210"/>
      <c r="P4" s="210"/>
      <c r="Q4" s="210"/>
      <c r="R4" s="210"/>
      <c r="S4" s="210"/>
      <c r="T4" s="210"/>
      <c r="U4" s="210"/>
      <c r="V4" s="211"/>
      <c r="W4" s="210"/>
      <c r="X4" s="212"/>
    </row>
    <row r="5" spans="1:60" s="3" customFormat="1" ht="57" thickBot="1" x14ac:dyDescent="0.3">
      <c r="A5" s="49"/>
      <c r="B5" s="198"/>
      <c r="C5" s="199"/>
      <c r="D5" s="200"/>
      <c r="E5" s="48" t="s">
        <v>8</v>
      </c>
      <c r="F5" s="189" t="s">
        <v>9</v>
      </c>
      <c r="G5" s="204"/>
      <c r="H5" s="206"/>
      <c r="I5" s="208"/>
      <c r="J5" s="20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9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7" t="s">
        <v>3</v>
      </c>
      <c r="D69" s="18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EXAMPLE</vt:lpstr>
      <vt:lpstr>04,01</vt:lpstr>
      <vt:lpstr>04,02</vt:lpstr>
      <vt:lpstr>04,03</vt:lpstr>
      <vt:lpstr>04,04</vt:lpstr>
      <vt:lpstr>04,06</vt:lpstr>
      <vt:lpstr>'04,01'!Print_Area</vt:lpstr>
      <vt:lpstr>'04,02'!Print_Area</vt:lpstr>
      <vt:lpstr>'04,03'!Print_Area</vt:lpstr>
      <vt:lpstr>'04,04'!Print_Area</vt:lpstr>
      <vt:lpstr>'04,06'!Print_Area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2026-04-02T07:50:25Z</dcterms:modified>
</cp:coreProperties>
</file>