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APRIL FILES 2026\"/>
    </mc:Choice>
  </mc:AlternateContent>
  <xr:revisionPtr revIDLastSave="0" documentId="13_ncr:1_{5335A894-2025-4DA8-95C6-AA2932051952}" xr6:coauthVersionLast="45" xr6:coauthVersionMax="45" xr10:uidLastSave="{00000000-0000-0000-0000-000000000000}"/>
  <bookViews>
    <workbookView xWindow="-120" yWindow="-120" windowWidth="29040" windowHeight="15840" activeTab="7" xr2:uid="{00000000-000D-0000-FFFF-FFFF00000000}"/>
  </bookViews>
  <sheets>
    <sheet name="EXAMPLE" sheetId="89" r:id="rId1"/>
    <sheet name="04,01" sheetId="106" r:id="rId2"/>
    <sheet name="04,06" sheetId="110" r:id="rId3"/>
    <sheet name="04,08" sheetId="107" r:id="rId4"/>
    <sheet name="04,09" sheetId="109" r:id="rId5"/>
    <sheet name="04,13" sheetId="108" r:id="rId6"/>
    <sheet name="04,15" sheetId="111" r:id="rId7"/>
    <sheet name="04,16" sheetId="112" r:id="rId8"/>
    <sheet name="04,17" sheetId="113" r:id="rId9"/>
    <sheet name="04,18" sheetId="114" r:id="rId10"/>
  </sheets>
  <definedNames>
    <definedName name="_xlnm.Print_Area" localSheetId="1">'04,01'!$A$1:$Y$61</definedName>
    <definedName name="_xlnm.Print_Area" localSheetId="2">'04,06'!$A$1:$Y$61</definedName>
    <definedName name="_xlnm.Print_Area" localSheetId="3">'04,08'!$A$1:$Y$61</definedName>
    <definedName name="_xlnm.Print_Area" localSheetId="4">'04,09'!$A$1:$Y$61</definedName>
    <definedName name="_xlnm.Print_Area" localSheetId="5">'04,13'!$A$1:$Y$61</definedName>
    <definedName name="_xlnm.Print_Area" localSheetId="6">'04,15'!$A$1:$Y$61</definedName>
    <definedName name="_xlnm.Print_Area" localSheetId="7">'04,16'!$A$1:$Y$61</definedName>
    <definedName name="_xlnm.Print_Area" localSheetId="8">'04,17'!$A$1:$Y$61</definedName>
    <definedName name="_xlnm.Print_Area" localSheetId="9">'04,18'!$A$1:$Y$61</definedName>
    <definedName name="_xlnm.Print_Area" localSheetId="0">EXAMPLE!$A$1:$Y$91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60" i="114" l="1"/>
  <c r="P60" i="114"/>
  <c r="O60" i="114"/>
  <c r="N60" i="114"/>
  <c r="M60" i="114"/>
  <c r="L60" i="114"/>
  <c r="H60" i="114"/>
  <c r="G60" i="114"/>
  <c r="E60" i="114"/>
  <c r="D60" i="114"/>
  <c r="C60" i="114"/>
  <c r="S59" i="114"/>
  <c r="R59" i="114"/>
  <c r="J59" i="114"/>
  <c r="I59" i="114"/>
  <c r="S58" i="114"/>
  <c r="R58" i="114"/>
  <c r="J58" i="114"/>
  <c r="I58" i="114"/>
  <c r="S57" i="114"/>
  <c r="R57" i="114"/>
  <c r="J57" i="114"/>
  <c r="I57" i="114"/>
  <c r="S56" i="114"/>
  <c r="R56" i="114"/>
  <c r="J56" i="114"/>
  <c r="I56" i="114"/>
  <c r="S55" i="114"/>
  <c r="R55" i="114"/>
  <c r="J55" i="114"/>
  <c r="I55" i="114"/>
  <c r="U54" i="114"/>
  <c r="V54" i="114" s="1"/>
  <c r="S54" i="114"/>
  <c r="R54" i="114"/>
  <c r="J54" i="114"/>
  <c r="I54" i="114"/>
  <c r="W54" i="114" s="1"/>
  <c r="U53" i="114"/>
  <c r="V53" i="114" s="1"/>
  <c r="S53" i="114"/>
  <c r="R53" i="114"/>
  <c r="J53" i="114"/>
  <c r="I53" i="114"/>
  <c r="W53" i="114" s="1"/>
  <c r="U52" i="114"/>
  <c r="V52" i="114" s="1"/>
  <c r="S52" i="114"/>
  <c r="R52" i="114"/>
  <c r="J52" i="114"/>
  <c r="I52" i="114"/>
  <c r="W52" i="114" s="1"/>
  <c r="U51" i="114"/>
  <c r="V51" i="114" s="1"/>
  <c r="S51" i="114"/>
  <c r="R51" i="114"/>
  <c r="J51" i="114"/>
  <c r="I51" i="114"/>
  <c r="W51" i="114" s="1"/>
  <c r="U50" i="114"/>
  <c r="V50" i="114" s="1"/>
  <c r="S50" i="114"/>
  <c r="R50" i="114"/>
  <c r="J50" i="114"/>
  <c r="I50" i="114"/>
  <c r="W50" i="114" s="1"/>
  <c r="U49" i="114"/>
  <c r="V49" i="114" s="1"/>
  <c r="S49" i="114"/>
  <c r="R49" i="114"/>
  <c r="J49" i="114"/>
  <c r="I49" i="114"/>
  <c r="W49" i="114" s="1"/>
  <c r="U48" i="114"/>
  <c r="V48" i="114" s="1"/>
  <c r="S48" i="114"/>
  <c r="R48" i="114"/>
  <c r="J48" i="114"/>
  <c r="I48" i="114"/>
  <c r="W48" i="114" s="1"/>
  <c r="U47" i="114"/>
  <c r="V47" i="114" s="1"/>
  <c r="S47" i="114"/>
  <c r="R47" i="114"/>
  <c r="J47" i="114"/>
  <c r="I47" i="114"/>
  <c r="W47" i="114" s="1"/>
  <c r="U46" i="114"/>
  <c r="V46" i="114" s="1"/>
  <c r="S46" i="114"/>
  <c r="R46" i="114"/>
  <c r="J46" i="114"/>
  <c r="I46" i="114"/>
  <c r="W46" i="114" s="1"/>
  <c r="S45" i="114"/>
  <c r="R45" i="114"/>
  <c r="J45" i="114"/>
  <c r="I45" i="114"/>
  <c r="W44" i="114"/>
  <c r="V44" i="114"/>
  <c r="U44" i="114"/>
  <c r="S44" i="114"/>
  <c r="R44" i="114"/>
  <c r="J44" i="114"/>
  <c r="I44" i="114"/>
  <c r="S43" i="114"/>
  <c r="R43" i="114"/>
  <c r="J43" i="114"/>
  <c r="I43" i="114"/>
  <c r="W42" i="114"/>
  <c r="U42" i="114"/>
  <c r="V42" i="114" s="1"/>
  <c r="S42" i="114"/>
  <c r="R42" i="114"/>
  <c r="J42" i="114"/>
  <c r="I42" i="114"/>
  <c r="W41" i="114"/>
  <c r="U41" i="114"/>
  <c r="V41" i="114" s="1"/>
  <c r="S41" i="114"/>
  <c r="R41" i="114"/>
  <c r="J41" i="114"/>
  <c r="I41" i="114"/>
  <c r="W40" i="114"/>
  <c r="U40" i="114"/>
  <c r="V40" i="114" s="1"/>
  <c r="S40" i="114"/>
  <c r="R40" i="114"/>
  <c r="J40" i="114"/>
  <c r="I40" i="114"/>
  <c r="W39" i="114"/>
  <c r="U39" i="114"/>
  <c r="V39" i="114" s="1"/>
  <c r="S39" i="114"/>
  <c r="R39" i="114"/>
  <c r="J39" i="114"/>
  <c r="I39" i="114"/>
  <c r="W38" i="114"/>
  <c r="U38" i="114"/>
  <c r="V38" i="114" s="1"/>
  <c r="S38" i="114"/>
  <c r="R38" i="114"/>
  <c r="J38" i="114"/>
  <c r="I38" i="114"/>
  <c r="W37" i="114"/>
  <c r="U37" i="114"/>
  <c r="V37" i="114" s="1"/>
  <c r="S37" i="114"/>
  <c r="R37" i="114"/>
  <c r="J37" i="114"/>
  <c r="I37" i="114"/>
  <c r="W36" i="114"/>
  <c r="U36" i="114"/>
  <c r="V36" i="114" s="1"/>
  <c r="S36" i="114"/>
  <c r="R36" i="114"/>
  <c r="J36" i="114"/>
  <c r="I36" i="114"/>
  <c r="W35" i="114"/>
  <c r="U35" i="114"/>
  <c r="V35" i="114" s="1"/>
  <c r="S35" i="114"/>
  <c r="R35" i="114"/>
  <c r="J35" i="114"/>
  <c r="I35" i="114"/>
  <c r="W34" i="114"/>
  <c r="U34" i="114"/>
  <c r="V34" i="114" s="1"/>
  <c r="S34" i="114"/>
  <c r="R34" i="114"/>
  <c r="J34" i="114"/>
  <c r="I34" i="114"/>
  <c r="W33" i="114"/>
  <c r="U33" i="114"/>
  <c r="V33" i="114" s="1"/>
  <c r="S33" i="114"/>
  <c r="R33" i="114"/>
  <c r="J33" i="114"/>
  <c r="I33" i="114"/>
  <c r="W32" i="114"/>
  <c r="U32" i="114"/>
  <c r="V32" i="114" s="1"/>
  <c r="S32" i="114"/>
  <c r="R32" i="114"/>
  <c r="J32" i="114"/>
  <c r="I32" i="114"/>
  <c r="W31" i="114"/>
  <c r="U31" i="114"/>
  <c r="V31" i="114" s="1"/>
  <c r="S31" i="114"/>
  <c r="R31" i="114"/>
  <c r="J31" i="114"/>
  <c r="I31" i="114"/>
  <c r="W30" i="114"/>
  <c r="U30" i="114"/>
  <c r="V30" i="114" s="1"/>
  <c r="S30" i="114"/>
  <c r="R30" i="114"/>
  <c r="J30" i="114"/>
  <c r="I30" i="114"/>
  <c r="W29" i="114"/>
  <c r="U29" i="114"/>
  <c r="V29" i="114" s="1"/>
  <c r="S29" i="114"/>
  <c r="R29" i="114"/>
  <c r="J29" i="114"/>
  <c r="I29" i="114"/>
  <c r="W28" i="114"/>
  <c r="U28" i="114"/>
  <c r="V28" i="114" s="1"/>
  <c r="S28" i="114"/>
  <c r="R28" i="114"/>
  <c r="J28" i="114"/>
  <c r="I28" i="114"/>
  <c r="W27" i="114"/>
  <c r="U27" i="114"/>
  <c r="V27" i="114" s="1"/>
  <c r="S27" i="114"/>
  <c r="R27" i="114"/>
  <c r="R60" i="114" s="1"/>
  <c r="J27" i="114"/>
  <c r="I27" i="114"/>
  <c r="BE26" i="114"/>
  <c r="W26" i="114"/>
  <c r="V26" i="114"/>
  <c r="U26" i="114"/>
  <c r="S26" i="114"/>
  <c r="R26" i="114"/>
  <c r="J26" i="114"/>
  <c r="I26" i="114"/>
  <c r="U25" i="114"/>
  <c r="V25" i="114" s="1"/>
  <c r="S25" i="114"/>
  <c r="R25" i="114"/>
  <c r="J25" i="114"/>
  <c r="I25" i="114"/>
  <c r="W25" i="114" s="1"/>
  <c r="W24" i="114"/>
  <c r="V24" i="114"/>
  <c r="U24" i="114"/>
  <c r="S24" i="114"/>
  <c r="R24" i="114"/>
  <c r="J24" i="114"/>
  <c r="I24" i="114"/>
  <c r="U23" i="114"/>
  <c r="V23" i="114" s="1"/>
  <c r="S23" i="114"/>
  <c r="R23" i="114"/>
  <c r="J23" i="114"/>
  <c r="I23" i="114"/>
  <c r="W23" i="114" s="1"/>
  <c r="W22" i="114"/>
  <c r="V22" i="114"/>
  <c r="U22" i="114"/>
  <c r="S22" i="114"/>
  <c r="R22" i="114"/>
  <c r="J22" i="114"/>
  <c r="I22" i="114"/>
  <c r="U21" i="114"/>
  <c r="V21" i="114" s="1"/>
  <c r="S21" i="114"/>
  <c r="R21" i="114"/>
  <c r="J21" i="114"/>
  <c r="I21" i="114"/>
  <c r="W21" i="114" s="1"/>
  <c r="W20" i="114"/>
  <c r="V20" i="114"/>
  <c r="U20" i="114"/>
  <c r="S20" i="114"/>
  <c r="R20" i="114"/>
  <c r="J20" i="114"/>
  <c r="I20" i="114"/>
  <c r="U19" i="114"/>
  <c r="V19" i="114" s="1"/>
  <c r="S19" i="114"/>
  <c r="R19" i="114"/>
  <c r="J19" i="114"/>
  <c r="I19" i="114"/>
  <c r="W19" i="114" s="1"/>
  <c r="W18" i="114"/>
  <c r="V18" i="114"/>
  <c r="U18" i="114"/>
  <c r="S18" i="114"/>
  <c r="R18" i="114"/>
  <c r="J18" i="114"/>
  <c r="I18" i="114"/>
  <c r="U17" i="114"/>
  <c r="V17" i="114" s="1"/>
  <c r="S17" i="114"/>
  <c r="R17" i="114"/>
  <c r="J17" i="114"/>
  <c r="I17" i="114"/>
  <c r="W17" i="114" s="1"/>
  <c r="W16" i="114"/>
  <c r="V16" i="114"/>
  <c r="U16" i="114"/>
  <c r="S16" i="114"/>
  <c r="R16" i="114"/>
  <c r="J16" i="114"/>
  <c r="I16" i="114"/>
  <c r="U15" i="114"/>
  <c r="V15" i="114" s="1"/>
  <c r="S15" i="114"/>
  <c r="R15" i="114"/>
  <c r="J15" i="114"/>
  <c r="I15" i="114"/>
  <c r="W15" i="114" s="1"/>
  <c r="W14" i="114"/>
  <c r="V14" i="114"/>
  <c r="U14" i="114"/>
  <c r="S14" i="114"/>
  <c r="R14" i="114"/>
  <c r="J14" i="114"/>
  <c r="I14" i="114"/>
  <c r="U13" i="114"/>
  <c r="V13" i="114" s="1"/>
  <c r="S13" i="114"/>
  <c r="R13" i="114"/>
  <c r="J13" i="114"/>
  <c r="I13" i="114"/>
  <c r="W13" i="114" s="1"/>
  <c r="W12" i="114"/>
  <c r="V12" i="114"/>
  <c r="U12" i="114"/>
  <c r="S12" i="114"/>
  <c r="R12" i="114"/>
  <c r="J12" i="114"/>
  <c r="I12" i="114"/>
  <c r="U11" i="114"/>
  <c r="V11" i="114" s="1"/>
  <c r="S11" i="114"/>
  <c r="R11" i="114"/>
  <c r="J11" i="114"/>
  <c r="I11" i="114"/>
  <c r="W11" i="114" s="1"/>
  <c r="W10" i="114"/>
  <c r="V10" i="114"/>
  <c r="U10" i="114"/>
  <c r="S10" i="114"/>
  <c r="R10" i="114"/>
  <c r="J10" i="114"/>
  <c r="I10" i="114"/>
  <c r="U9" i="114"/>
  <c r="V9" i="114" s="1"/>
  <c r="S9" i="114"/>
  <c r="R9" i="114"/>
  <c r="J9" i="114"/>
  <c r="I9" i="114"/>
  <c r="W9" i="114" s="1"/>
  <c r="A9" i="114"/>
  <c r="A10" i="114" s="1"/>
  <c r="A11" i="114" s="1"/>
  <c r="A12" i="114" s="1"/>
  <c r="A13" i="114" s="1"/>
  <c r="A14" i="114" s="1"/>
  <c r="A15" i="114" s="1"/>
  <c r="A16" i="114" s="1"/>
  <c r="A17" i="114" s="1"/>
  <c r="A18" i="114" s="1"/>
  <c r="A19" i="114" s="1"/>
  <c r="A20" i="114" s="1"/>
  <c r="A21" i="114" s="1"/>
  <c r="A22" i="114" s="1"/>
  <c r="A23" i="114" s="1"/>
  <c r="A24" i="114" s="1"/>
  <c r="A25" i="114" s="1"/>
  <c r="A26" i="114" s="1"/>
  <c r="A27" i="114" s="1"/>
  <c r="A28" i="114" s="1"/>
  <c r="A29" i="114" s="1"/>
  <c r="A30" i="114" s="1"/>
  <c r="A31" i="114" s="1"/>
  <c r="A32" i="114" s="1"/>
  <c r="A33" i="114" s="1"/>
  <c r="A34" i="114" s="1"/>
  <c r="A35" i="114" s="1"/>
  <c r="A36" i="114" s="1"/>
  <c r="A37" i="114" s="1"/>
  <c r="A38" i="114" s="1"/>
  <c r="A39" i="114" s="1"/>
  <c r="A40" i="114" s="1"/>
  <c r="A41" i="114" s="1"/>
  <c r="A42" i="114" s="1"/>
  <c r="A43" i="114" s="1"/>
  <c r="A44" i="114" s="1"/>
  <c r="A45" i="114" s="1"/>
  <c r="A46" i="114" s="1"/>
  <c r="A47" i="114" s="1"/>
  <c r="A48" i="114" s="1"/>
  <c r="A49" i="114" s="1"/>
  <c r="A50" i="114" s="1"/>
  <c r="A51" i="114" s="1"/>
  <c r="A52" i="114" s="1"/>
  <c r="A53" i="114" s="1"/>
  <c r="A54" i="114" s="1"/>
  <c r="A55" i="114" s="1"/>
  <c r="A56" i="114" s="1"/>
  <c r="A57" i="114" s="1"/>
  <c r="A58" i="114" s="1"/>
  <c r="A59" i="114" s="1"/>
  <c r="W8" i="114"/>
  <c r="V8" i="114"/>
  <c r="U8" i="114"/>
  <c r="U60" i="114" s="1"/>
  <c r="S8" i="114"/>
  <c r="S60" i="114" s="1"/>
  <c r="R8" i="114"/>
  <c r="J8" i="114"/>
  <c r="J60" i="114" s="1"/>
  <c r="I8" i="114"/>
  <c r="I60" i="114" s="1"/>
  <c r="Q60" i="113"/>
  <c r="P60" i="113"/>
  <c r="O60" i="113"/>
  <c r="N60" i="113"/>
  <c r="M60" i="113"/>
  <c r="L60" i="113"/>
  <c r="H60" i="113"/>
  <c r="G60" i="113"/>
  <c r="E60" i="113"/>
  <c r="D60" i="113"/>
  <c r="C60" i="113"/>
  <c r="S59" i="113"/>
  <c r="R59" i="113"/>
  <c r="J59" i="113"/>
  <c r="I59" i="113"/>
  <c r="S58" i="113"/>
  <c r="R58" i="113"/>
  <c r="J58" i="113"/>
  <c r="I58" i="113"/>
  <c r="S57" i="113"/>
  <c r="R57" i="113"/>
  <c r="J57" i="113"/>
  <c r="I57" i="113"/>
  <c r="S56" i="113"/>
  <c r="R56" i="113"/>
  <c r="J56" i="113"/>
  <c r="I56" i="113"/>
  <c r="S55" i="113"/>
  <c r="R55" i="113"/>
  <c r="J55" i="113"/>
  <c r="I55" i="113"/>
  <c r="U54" i="113"/>
  <c r="V54" i="113" s="1"/>
  <c r="S54" i="113"/>
  <c r="R54" i="113"/>
  <c r="J54" i="113"/>
  <c r="I54" i="113"/>
  <c r="W54" i="113" s="1"/>
  <c r="U53" i="113"/>
  <c r="V53" i="113" s="1"/>
  <c r="S53" i="113"/>
  <c r="R53" i="113"/>
  <c r="J53" i="113"/>
  <c r="I53" i="113"/>
  <c r="W53" i="113" s="1"/>
  <c r="U52" i="113"/>
  <c r="V52" i="113" s="1"/>
  <c r="S52" i="113"/>
  <c r="R52" i="113"/>
  <c r="J52" i="113"/>
  <c r="I52" i="113"/>
  <c r="W52" i="113" s="1"/>
  <c r="U51" i="113"/>
  <c r="V51" i="113" s="1"/>
  <c r="S51" i="113"/>
  <c r="R51" i="113"/>
  <c r="J51" i="113"/>
  <c r="I51" i="113"/>
  <c r="W51" i="113" s="1"/>
  <c r="U50" i="113"/>
  <c r="V50" i="113" s="1"/>
  <c r="S50" i="113"/>
  <c r="R50" i="113"/>
  <c r="J50" i="113"/>
  <c r="I50" i="113"/>
  <c r="W50" i="113" s="1"/>
  <c r="U49" i="113"/>
  <c r="V49" i="113" s="1"/>
  <c r="S49" i="113"/>
  <c r="R49" i="113"/>
  <c r="J49" i="113"/>
  <c r="I49" i="113"/>
  <c r="W49" i="113" s="1"/>
  <c r="U48" i="113"/>
  <c r="V48" i="113" s="1"/>
  <c r="S48" i="113"/>
  <c r="R48" i="113"/>
  <c r="J48" i="113"/>
  <c r="I48" i="113"/>
  <c r="W48" i="113" s="1"/>
  <c r="U47" i="113"/>
  <c r="V47" i="113" s="1"/>
  <c r="S47" i="113"/>
  <c r="R47" i="113"/>
  <c r="J47" i="113"/>
  <c r="I47" i="113"/>
  <c r="W47" i="113" s="1"/>
  <c r="U46" i="113"/>
  <c r="V46" i="113" s="1"/>
  <c r="S46" i="113"/>
  <c r="R46" i="113"/>
  <c r="J46" i="113"/>
  <c r="I46" i="113"/>
  <c r="W46" i="113" s="1"/>
  <c r="S45" i="113"/>
  <c r="R45" i="113"/>
  <c r="J45" i="113"/>
  <c r="I45" i="113"/>
  <c r="V44" i="113"/>
  <c r="U44" i="113"/>
  <c r="S44" i="113"/>
  <c r="R44" i="113"/>
  <c r="J44" i="113"/>
  <c r="W44" i="113" s="1"/>
  <c r="I44" i="113"/>
  <c r="S43" i="113"/>
  <c r="R43" i="113"/>
  <c r="J43" i="113"/>
  <c r="I43" i="113"/>
  <c r="W42" i="113"/>
  <c r="V42" i="113"/>
  <c r="U42" i="113"/>
  <c r="S42" i="113"/>
  <c r="R42" i="113"/>
  <c r="J42" i="113"/>
  <c r="I42" i="113"/>
  <c r="W41" i="113"/>
  <c r="U41" i="113"/>
  <c r="V41" i="113" s="1"/>
  <c r="S41" i="113"/>
  <c r="R41" i="113"/>
  <c r="J41" i="113"/>
  <c r="I41" i="113"/>
  <c r="W40" i="113"/>
  <c r="V40" i="113"/>
  <c r="U40" i="113"/>
  <c r="S40" i="113"/>
  <c r="R40" i="113"/>
  <c r="J40" i="113"/>
  <c r="I40" i="113"/>
  <c r="W39" i="113"/>
  <c r="U39" i="113"/>
  <c r="V39" i="113" s="1"/>
  <c r="S39" i="113"/>
  <c r="R39" i="113"/>
  <c r="J39" i="113"/>
  <c r="I39" i="113"/>
  <c r="W38" i="113"/>
  <c r="V38" i="113"/>
  <c r="U38" i="113"/>
  <c r="S38" i="113"/>
  <c r="R38" i="113"/>
  <c r="J38" i="113"/>
  <c r="I38" i="113"/>
  <c r="W37" i="113"/>
  <c r="U37" i="113"/>
  <c r="V37" i="113" s="1"/>
  <c r="S37" i="113"/>
  <c r="R37" i="113"/>
  <c r="J37" i="113"/>
  <c r="I37" i="113"/>
  <c r="W36" i="113"/>
  <c r="V36" i="113"/>
  <c r="U36" i="113"/>
  <c r="S36" i="113"/>
  <c r="R36" i="113"/>
  <c r="J36" i="113"/>
  <c r="I36" i="113"/>
  <c r="W35" i="113"/>
  <c r="U35" i="113"/>
  <c r="V35" i="113" s="1"/>
  <c r="S35" i="113"/>
  <c r="R35" i="113"/>
  <c r="J35" i="113"/>
  <c r="I35" i="113"/>
  <c r="W34" i="113"/>
  <c r="V34" i="113"/>
  <c r="U34" i="113"/>
  <c r="S34" i="113"/>
  <c r="R34" i="113"/>
  <c r="J34" i="113"/>
  <c r="I34" i="113"/>
  <c r="W33" i="113"/>
  <c r="U33" i="113"/>
  <c r="V33" i="113" s="1"/>
  <c r="S33" i="113"/>
  <c r="R33" i="113"/>
  <c r="J33" i="113"/>
  <c r="I33" i="113"/>
  <c r="W32" i="113"/>
  <c r="V32" i="113"/>
  <c r="U32" i="113"/>
  <c r="S32" i="113"/>
  <c r="R32" i="113"/>
  <c r="J32" i="113"/>
  <c r="I32" i="113"/>
  <c r="W31" i="113"/>
  <c r="U31" i="113"/>
  <c r="V31" i="113" s="1"/>
  <c r="S31" i="113"/>
  <c r="R31" i="113"/>
  <c r="J31" i="113"/>
  <c r="I31" i="113"/>
  <c r="W30" i="113"/>
  <c r="V30" i="113"/>
  <c r="U30" i="113"/>
  <c r="S30" i="113"/>
  <c r="R30" i="113"/>
  <c r="J30" i="113"/>
  <c r="I30" i="113"/>
  <c r="W29" i="113"/>
  <c r="U29" i="113"/>
  <c r="V29" i="113" s="1"/>
  <c r="S29" i="113"/>
  <c r="R29" i="113"/>
  <c r="J29" i="113"/>
  <c r="I29" i="113"/>
  <c r="W28" i="113"/>
  <c r="V28" i="113"/>
  <c r="U28" i="113"/>
  <c r="S28" i="113"/>
  <c r="R28" i="113"/>
  <c r="J28" i="113"/>
  <c r="I28" i="113"/>
  <c r="W27" i="113"/>
  <c r="U27" i="113"/>
  <c r="V27" i="113" s="1"/>
  <c r="S27" i="113"/>
  <c r="R27" i="113"/>
  <c r="R60" i="113" s="1"/>
  <c r="J27" i="113"/>
  <c r="I27" i="113"/>
  <c r="BE26" i="113"/>
  <c r="W26" i="113"/>
  <c r="U26" i="113"/>
  <c r="V26" i="113" s="1"/>
  <c r="S26" i="113"/>
  <c r="R26" i="113"/>
  <c r="J26" i="113"/>
  <c r="I26" i="113"/>
  <c r="U25" i="113"/>
  <c r="V25" i="113" s="1"/>
  <c r="S25" i="113"/>
  <c r="R25" i="113"/>
  <c r="J25" i="113"/>
  <c r="I25" i="113"/>
  <c r="W25" i="113" s="1"/>
  <c r="W24" i="113"/>
  <c r="U24" i="113"/>
  <c r="V24" i="113" s="1"/>
  <c r="S24" i="113"/>
  <c r="R24" i="113"/>
  <c r="J24" i="113"/>
  <c r="I24" i="113"/>
  <c r="U23" i="113"/>
  <c r="V23" i="113" s="1"/>
  <c r="S23" i="113"/>
  <c r="R23" i="113"/>
  <c r="J23" i="113"/>
  <c r="I23" i="113"/>
  <c r="W23" i="113" s="1"/>
  <c r="W22" i="113"/>
  <c r="U22" i="113"/>
  <c r="V22" i="113" s="1"/>
  <c r="S22" i="113"/>
  <c r="R22" i="113"/>
  <c r="J22" i="113"/>
  <c r="I22" i="113"/>
  <c r="U21" i="113"/>
  <c r="V21" i="113" s="1"/>
  <c r="S21" i="113"/>
  <c r="R21" i="113"/>
  <c r="J21" i="113"/>
  <c r="I21" i="113"/>
  <c r="W21" i="113" s="1"/>
  <c r="W20" i="113"/>
  <c r="U20" i="113"/>
  <c r="V20" i="113" s="1"/>
  <c r="S20" i="113"/>
  <c r="R20" i="113"/>
  <c r="J20" i="113"/>
  <c r="I20" i="113"/>
  <c r="U19" i="113"/>
  <c r="V19" i="113" s="1"/>
  <c r="S19" i="113"/>
  <c r="R19" i="113"/>
  <c r="J19" i="113"/>
  <c r="I19" i="113"/>
  <c r="W19" i="113" s="1"/>
  <c r="W18" i="113"/>
  <c r="U18" i="113"/>
  <c r="V18" i="113" s="1"/>
  <c r="S18" i="113"/>
  <c r="R18" i="113"/>
  <c r="J18" i="113"/>
  <c r="I18" i="113"/>
  <c r="U17" i="113"/>
  <c r="V17" i="113" s="1"/>
  <c r="S17" i="113"/>
  <c r="R17" i="113"/>
  <c r="J17" i="113"/>
  <c r="I17" i="113"/>
  <c r="W17" i="113" s="1"/>
  <c r="W16" i="113"/>
  <c r="U16" i="113"/>
  <c r="V16" i="113" s="1"/>
  <c r="S16" i="113"/>
  <c r="R16" i="113"/>
  <c r="J16" i="113"/>
  <c r="I16" i="113"/>
  <c r="U15" i="113"/>
  <c r="V15" i="113" s="1"/>
  <c r="S15" i="113"/>
  <c r="R15" i="113"/>
  <c r="J15" i="113"/>
  <c r="I15" i="113"/>
  <c r="W15" i="113" s="1"/>
  <c r="W14" i="113"/>
  <c r="U14" i="113"/>
  <c r="V14" i="113" s="1"/>
  <c r="S14" i="113"/>
  <c r="R14" i="113"/>
  <c r="J14" i="113"/>
  <c r="I14" i="113"/>
  <c r="U13" i="113"/>
  <c r="V13" i="113" s="1"/>
  <c r="S13" i="113"/>
  <c r="R13" i="113"/>
  <c r="J13" i="113"/>
  <c r="I13" i="113"/>
  <c r="W13" i="113" s="1"/>
  <c r="W12" i="113"/>
  <c r="U12" i="113"/>
  <c r="V12" i="113" s="1"/>
  <c r="S12" i="113"/>
  <c r="R12" i="113"/>
  <c r="J12" i="113"/>
  <c r="I12" i="113"/>
  <c r="U11" i="113"/>
  <c r="V11" i="113" s="1"/>
  <c r="S11" i="113"/>
  <c r="R11" i="113"/>
  <c r="J11" i="113"/>
  <c r="I11" i="113"/>
  <c r="W11" i="113" s="1"/>
  <c r="W10" i="113"/>
  <c r="U10" i="113"/>
  <c r="V10" i="113" s="1"/>
  <c r="S10" i="113"/>
  <c r="R10" i="113"/>
  <c r="J10" i="113"/>
  <c r="I10" i="113"/>
  <c r="U9" i="113"/>
  <c r="V9" i="113" s="1"/>
  <c r="S9" i="113"/>
  <c r="R9" i="113"/>
  <c r="J9" i="113"/>
  <c r="I9" i="113"/>
  <c r="W9" i="113" s="1"/>
  <c r="A9" i="113"/>
  <c r="A10" i="113" s="1"/>
  <c r="A11" i="113" s="1"/>
  <c r="A12" i="113" s="1"/>
  <c r="A13" i="113" s="1"/>
  <c r="A14" i="113" s="1"/>
  <c r="A15" i="113" s="1"/>
  <c r="A16" i="113" s="1"/>
  <c r="A17" i="113" s="1"/>
  <c r="A18" i="113" s="1"/>
  <c r="A19" i="113" s="1"/>
  <c r="A20" i="113" s="1"/>
  <c r="A21" i="113" s="1"/>
  <c r="A22" i="113" s="1"/>
  <c r="A23" i="113" s="1"/>
  <c r="A24" i="113" s="1"/>
  <c r="A25" i="113" s="1"/>
  <c r="A26" i="113" s="1"/>
  <c r="A27" i="113" s="1"/>
  <c r="A28" i="113" s="1"/>
  <c r="A29" i="113" s="1"/>
  <c r="A30" i="113" s="1"/>
  <c r="A31" i="113" s="1"/>
  <c r="A32" i="113" s="1"/>
  <c r="A33" i="113" s="1"/>
  <c r="A34" i="113" s="1"/>
  <c r="A35" i="113" s="1"/>
  <c r="A36" i="113" s="1"/>
  <c r="A37" i="113" s="1"/>
  <c r="A38" i="113" s="1"/>
  <c r="A39" i="113" s="1"/>
  <c r="A40" i="113" s="1"/>
  <c r="A41" i="113" s="1"/>
  <c r="A42" i="113" s="1"/>
  <c r="A43" i="113" s="1"/>
  <c r="A44" i="113" s="1"/>
  <c r="A45" i="113" s="1"/>
  <c r="A46" i="113" s="1"/>
  <c r="A47" i="113" s="1"/>
  <c r="A48" i="113" s="1"/>
  <c r="A49" i="113" s="1"/>
  <c r="A50" i="113" s="1"/>
  <c r="A51" i="113" s="1"/>
  <c r="A52" i="113" s="1"/>
  <c r="A53" i="113" s="1"/>
  <c r="A54" i="113" s="1"/>
  <c r="A55" i="113" s="1"/>
  <c r="A56" i="113" s="1"/>
  <c r="A57" i="113" s="1"/>
  <c r="A58" i="113" s="1"/>
  <c r="A59" i="113" s="1"/>
  <c r="W8" i="113"/>
  <c r="U8" i="113"/>
  <c r="U60" i="113" s="1"/>
  <c r="S8" i="113"/>
  <c r="S60" i="113" s="1"/>
  <c r="R8" i="113"/>
  <c r="J8" i="113"/>
  <c r="J60" i="113" s="1"/>
  <c r="I8" i="113"/>
  <c r="I60" i="113" s="1"/>
  <c r="Q60" i="112"/>
  <c r="P60" i="112"/>
  <c r="O60" i="112"/>
  <c r="N60" i="112"/>
  <c r="M60" i="112"/>
  <c r="L60" i="112"/>
  <c r="H60" i="112"/>
  <c r="G60" i="112"/>
  <c r="E60" i="112"/>
  <c r="D60" i="112"/>
  <c r="C60" i="112"/>
  <c r="S59" i="112"/>
  <c r="R59" i="112"/>
  <c r="J59" i="112"/>
  <c r="I59" i="112"/>
  <c r="S58" i="112"/>
  <c r="R58" i="112"/>
  <c r="J58" i="112"/>
  <c r="I58" i="112"/>
  <c r="S57" i="112"/>
  <c r="R57" i="112"/>
  <c r="J57" i="112"/>
  <c r="I57" i="112"/>
  <c r="S56" i="112"/>
  <c r="R56" i="112"/>
  <c r="J56" i="112"/>
  <c r="I56" i="112"/>
  <c r="S55" i="112"/>
  <c r="R55" i="112"/>
  <c r="J55" i="112"/>
  <c r="I55" i="112"/>
  <c r="V54" i="112"/>
  <c r="U54" i="112"/>
  <c r="S54" i="112"/>
  <c r="R54" i="112"/>
  <c r="J54" i="112"/>
  <c r="I54" i="112"/>
  <c r="W54" i="112" s="1"/>
  <c r="U53" i="112"/>
  <c r="V53" i="112" s="1"/>
  <c r="S53" i="112"/>
  <c r="R53" i="112"/>
  <c r="J53" i="112"/>
  <c r="I53" i="112"/>
  <c r="W53" i="112" s="1"/>
  <c r="W52" i="112"/>
  <c r="V52" i="112"/>
  <c r="U52" i="112"/>
  <c r="S52" i="112"/>
  <c r="R52" i="112"/>
  <c r="J52" i="112"/>
  <c r="I52" i="112"/>
  <c r="U51" i="112"/>
  <c r="V51" i="112" s="1"/>
  <c r="S51" i="112"/>
  <c r="R51" i="112"/>
  <c r="J51" i="112"/>
  <c r="I51" i="112"/>
  <c r="W51" i="112" s="1"/>
  <c r="V50" i="112"/>
  <c r="U50" i="112"/>
  <c r="S50" i="112"/>
  <c r="R50" i="112"/>
  <c r="J50" i="112"/>
  <c r="I50" i="112"/>
  <c r="W50" i="112" s="1"/>
  <c r="U49" i="112"/>
  <c r="V49" i="112" s="1"/>
  <c r="S49" i="112"/>
  <c r="R49" i="112"/>
  <c r="J49" i="112"/>
  <c r="I49" i="112"/>
  <c r="W49" i="112" s="1"/>
  <c r="U48" i="112"/>
  <c r="V48" i="112" s="1"/>
  <c r="S48" i="112"/>
  <c r="R48" i="112"/>
  <c r="J48" i="112"/>
  <c r="I48" i="112"/>
  <c r="W48" i="112" s="1"/>
  <c r="U47" i="112"/>
  <c r="V47" i="112" s="1"/>
  <c r="S47" i="112"/>
  <c r="R47" i="112"/>
  <c r="J47" i="112"/>
  <c r="I47" i="112"/>
  <c r="W47" i="112" s="1"/>
  <c r="W46" i="112"/>
  <c r="V46" i="112"/>
  <c r="U46" i="112"/>
  <c r="S46" i="112"/>
  <c r="R46" i="112"/>
  <c r="J46" i="112"/>
  <c r="I46" i="112"/>
  <c r="S45" i="112"/>
  <c r="R45" i="112"/>
  <c r="J45" i="112"/>
  <c r="I45" i="112"/>
  <c r="U44" i="112"/>
  <c r="V44" i="112" s="1"/>
  <c r="S44" i="112"/>
  <c r="R44" i="112"/>
  <c r="J44" i="112"/>
  <c r="I44" i="112"/>
  <c r="S43" i="112"/>
  <c r="R43" i="112"/>
  <c r="J43" i="112"/>
  <c r="I43" i="112"/>
  <c r="U42" i="112"/>
  <c r="V42" i="112" s="1"/>
  <c r="S42" i="112"/>
  <c r="R42" i="112"/>
  <c r="J42" i="112"/>
  <c r="I42" i="112"/>
  <c r="W42" i="112" s="1"/>
  <c r="U41" i="112"/>
  <c r="V41" i="112" s="1"/>
  <c r="S41" i="112"/>
  <c r="R41" i="112"/>
  <c r="J41" i="112"/>
  <c r="W41" i="112" s="1"/>
  <c r="I41" i="112"/>
  <c r="V40" i="112"/>
  <c r="U40" i="112"/>
  <c r="S40" i="112"/>
  <c r="R40" i="112"/>
  <c r="J40" i="112"/>
  <c r="I40" i="112"/>
  <c r="W40" i="112" s="1"/>
  <c r="U39" i="112"/>
  <c r="V39" i="112" s="1"/>
  <c r="S39" i="112"/>
  <c r="R39" i="112"/>
  <c r="J39" i="112"/>
  <c r="I39" i="112"/>
  <c r="U38" i="112"/>
  <c r="V38" i="112" s="1"/>
  <c r="S38" i="112"/>
  <c r="R38" i="112"/>
  <c r="J38" i="112"/>
  <c r="I38" i="112"/>
  <c r="U37" i="112"/>
  <c r="V37" i="112" s="1"/>
  <c r="S37" i="112"/>
  <c r="R37" i="112"/>
  <c r="J37" i="112"/>
  <c r="I37" i="112"/>
  <c r="V36" i="112"/>
  <c r="U36" i="112"/>
  <c r="S36" i="112"/>
  <c r="R36" i="112"/>
  <c r="J36" i="112"/>
  <c r="I36" i="112"/>
  <c r="W36" i="112" s="1"/>
  <c r="U35" i="112"/>
  <c r="V35" i="112" s="1"/>
  <c r="S35" i="112"/>
  <c r="R35" i="112"/>
  <c r="J35" i="112"/>
  <c r="I35" i="112"/>
  <c r="V34" i="112"/>
  <c r="U34" i="112"/>
  <c r="S34" i="112"/>
  <c r="R34" i="112"/>
  <c r="J34" i="112"/>
  <c r="I34" i="112"/>
  <c r="W34" i="112" s="1"/>
  <c r="U33" i="112"/>
  <c r="V33" i="112" s="1"/>
  <c r="S33" i="112"/>
  <c r="R33" i="112"/>
  <c r="J33" i="112"/>
  <c r="I33" i="112"/>
  <c r="V32" i="112"/>
  <c r="U32" i="112"/>
  <c r="S32" i="112"/>
  <c r="R32" i="112"/>
  <c r="J32" i="112"/>
  <c r="I32" i="112"/>
  <c r="W32" i="112" s="1"/>
  <c r="U31" i="112"/>
  <c r="V31" i="112" s="1"/>
  <c r="S31" i="112"/>
  <c r="R31" i="112"/>
  <c r="J31" i="112"/>
  <c r="I31" i="112"/>
  <c r="U30" i="112"/>
  <c r="V30" i="112" s="1"/>
  <c r="S30" i="112"/>
  <c r="R30" i="112"/>
  <c r="J30" i="112"/>
  <c r="I30" i="112"/>
  <c r="W30" i="112" s="1"/>
  <c r="U29" i="112"/>
  <c r="V29" i="112" s="1"/>
  <c r="S29" i="112"/>
  <c r="R29" i="112"/>
  <c r="J29" i="112"/>
  <c r="I29" i="112"/>
  <c r="V28" i="112"/>
  <c r="U28" i="112"/>
  <c r="S28" i="112"/>
  <c r="R28" i="112"/>
  <c r="J28" i="112"/>
  <c r="I28" i="112"/>
  <c r="W28" i="112" s="1"/>
  <c r="U27" i="112"/>
  <c r="S27" i="112"/>
  <c r="R27" i="112"/>
  <c r="J27" i="112"/>
  <c r="I27" i="112"/>
  <c r="BE26" i="112"/>
  <c r="U26" i="112"/>
  <c r="V26" i="112" s="1"/>
  <c r="S26" i="112"/>
  <c r="R26" i="112"/>
  <c r="J26" i="112"/>
  <c r="I26" i="112"/>
  <c r="W26" i="112" s="1"/>
  <c r="V25" i="112"/>
  <c r="U25" i="112"/>
  <c r="S25" i="112"/>
  <c r="R25" i="112"/>
  <c r="J25" i="112"/>
  <c r="I25" i="112"/>
  <c r="W25" i="112" s="1"/>
  <c r="V24" i="112"/>
  <c r="U24" i="112"/>
  <c r="S24" i="112"/>
  <c r="R24" i="112"/>
  <c r="J24" i="112"/>
  <c r="I24" i="112"/>
  <c r="W24" i="112" s="1"/>
  <c r="V23" i="112"/>
  <c r="U23" i="112"/>
  <c r="S23" i="112"/>
  <c r="R23" i="112"/>
  <c r="J23" i="112"/>
  <c r="I23" i="112"/>
  <c r="W23" i="112" s="1"/>
  <c r="V22" i="112"/>
  <c r="U22" i="112"/>
  <c r="S22" i="112"/>
  <c r="R22" i="112"/>
  <c r="J22" i="112"/>
  <c r="I22" i="112"/>
  <c r="W22" i="112" s="1"/>
  <c r="V21" i="112"/>
  <c r="U21" i="112"/>
  <c r="S21" i="112"/>
  <c r="R21" i="112"/>
  <c r="J21" i="112"/>
  <c r="W21" i="112" s="1"/>
  <c r="I21" i="112"/>
  <c r="V20" i="112"/>
  <c r="U20" i="112"/>
  <c r="S20" i="112"/>
  <c r="R20" i="112"/>
  <c r="J20" i="112"/>
  <c r="I20" i="112"/>
  <c r="W20" i="112" s="1"/>
  <c r="W19" i="112"/>
  <c r="V19" i="112"/>
  <c r="U19" i="112"/>
  <c r="S19" i="112"/>
  <c r="R19" i="112"/>
  <c r="J19" i="112"/>
  <c r="I19" i="112"/>
  <c r="V18" i="112"/>
  <c r="U18" i="112"/>
  <c r="S18" i="112"/>
  <c r="R18" i="112"/>
  <c r="J18" i="112"/>
  <c r="I18" i="112"/>
  <c r="W18" i="112" s="1"/>
  <c r="V17" i="112"/>
  <c r="U17" i="112"/>
  <c r="S17" i="112"/>
  <c r="R17" i="112"/>
  <c r="J17" i="112"/>
  <c r="I17" i="112"/>
  <c r="W17" i="112" s="1"/>
  <c r="V16" i="112"/>
  <c r="U16" i="112"/>
  <c r="S16" i="112"/>
  <c r="R16" i="112"/>
  <c r="J16" i="112"/>
  <c r="I16" i="112"/>
  <c r="W16" i="112" s="1"/>
  <c r="V15" i="112"/>
  <c r="U15" i="112"/>
  <c r="S15" i="112"/>
  <c r="R15" i="112"/>
  <c r="J15" i="112"/>
  <c r="I15" i="112"/>
  <c r="V14" i="112"/>
  <c r="U14" i="112"/>
  <c r="S14" i="112"/>
  <c r="R14" i="112"/>
  <c r="J14" i="112"/>
  <c r="I14" i="112"/>
  <c r="W14" i="112" s="1"/>
  <c r="U13" i="112"/>
  <c r="V13" i="112" s="1"/>
  <c r="S13" i="112"/>
  <c r="R13" i="112"/>
  <c r="J13" i="112"/>
  <c r="I13" i="112"/>
  <c r="V12" i="112"/>
  <c r="U12" i="112"/>
  <c r="S12" i="112"/>
  <c r="R12" i="112"/>
  <c r="J12" i="112"/>
  <c r="I12" i="112"/>
  <c r="W12" i="112" s="1"/>
  <c r="W11" i="112"/>
  <c r="V11" i="112"/>
  <c r="U11" i="112"/>
  <c r="S11" i="112"/>
  <c r="R11" i="112"/>
  <c r="J11" i="112"/>
  <c r="I11" i="112"/>
  <c r="U10" i="112"/>
  <c r="V10" i="112" s="1"/>
  <c r="S10" i="112"/>
  <c r="R10" i="112"/>
  <c r="J10" i="112"/>
  <c r="I10" i="112"/>
  <c r="W10" i="112" s="1"/>
  <c r="A10" i="112"/>
  <c r="A11" i="112" s="1"/>
  <c r="A12" i="112" s="1"/>
  <c r="A13" i="112" s="1"/>
  <c r="A14" i="112" s="1"/>
  <c r="A15" i="112" s="1"/>
  <c r="A16" i="112" s="1"/>
  <c r="A17" i="112" s="1"/>
  <c r="A18" i="112" s="1"/>
  <c r="A19" i="112" s="1"/>
  <c r="A20" i="112" s="1"/>
  <c r="A21" i="112" s="1"/>
  <c r="A22" i="112" s="1"/>
  <c r="A23" i="112" s="1"/>
  <c r="A24" i="112" s="1"/>
  <c r="A25" i="112" s="1"/>
  <c r="A26" i="112" s="1"/>
  <c r="A27" i="112" s="1"/>
  <c r="A28" i="112" s="1"/>
  <c r="A29" i="112" s="1"/>
  <c r="A30" i="112" s="1"/>
  <c r="A31" i="112" s="1"/>
  <c r="A32" i="112" s="1"/>
  <c r="A33" i="112" s="1"/>
  <c r="A34" i="112" s="1"/>
  <c r="A35" i="112" s="1"/>
  <c r="A36" i="112" s="1"/>
  <c r="A37" i="112" s="1"/>
  <c r="A38" i="112" s="1"/>
  <c r="A39" i="112" s="1"/>
  <c r="A40" i="112" s="1"/>
  <c r="A41" i="112" s="1"/>
  <c r="A42" i="112" s="1"/>
  <c r="A43" i="112" s="1"/>
  <c r="A44" i="112" s="1"/>
  <c r="A45" i="112" s="1"/>
  <c r="A46" i="112" s="1"/>
  <c r="A47" i="112" s="1"/>
  <c r="A48" i="112" s="1"/>
  <c r="A49" i="112" s="1"/>
  <c r="A50" i="112" s="1"/>
  <c r="A51" i="112" s="1"/>
  <c r="A52" i="112" s="1"/>
  <c r="A53" i="112" s="1"/>
  <c r="A54" i="112" s="1"/>
  <c r="A55" i="112" s="1"/>
  <c r="A56" i="112" s="1"/>
  <c r="A57" i="112" s="1"/>
  <c r="A58" i="112" s="1"/>
  <c r="A59" i="112" s="1"/>
  <c r="W9" i="112"/>
  <c r="V9" i="112"/>
  <c r="U9" i="112"/>
  <c r="S9" i="112"/>
  <c r="R9" i="112"/>
  <c r="J9" i="112"/>
  <c r="I9" i="112"/>
  <c r="A9" i="112"/>
  <c r="U8" i="112"/>
  <c r="V8" i="112" s="1"/>
  <c r="S8" i="112"/>
  <c r="R8" i="112"/>
  <c r="J8" i="112"/>
  <c r="I8" i="112"/>
  <c r="C44" i="108"/>
  <c r="W44" i="112" l="1"/>
  <c r="W39" i="112"/>
  <c r="W38" i="112"/>
  <c r="W37" i="112"/>
  <c r="W35" i="112"/>
  <c r="W33" i="112"/>
  <c r="W31" i="112"/>
  <c r="W29" i="112"/>
  <c r="W27" i="112"/>
  <c r="W15" i="112"/>
  <c r="W13" i="112"/>
  <c r="J60" i="112"/>
  <c r="R60" i="112"/>
  <c r="S60" i="112"/>
  <c r="I60" i="112"/>
  <c r="U60" i="112"/>
  <c r="V60" i="114"/>
  <c r="W60" i="114"/>
  <c r="W60" i="113"/>
  <c r="V8" i="113"/>
  <c r="V60" i="113" s="1"/>
  <c r="V27" i="112"/>
  <c r="V60" i="112" s="1"/>
  <c r="W8" i="112"/>
  <c r="Q60" i="111"/>
  <c r="P60" i="111"/>
  <c r="O60" i="111"/>
  <c r="N60" i="111"/>
  <c r="M60" i="111"/>
  <c r="L60" i="111"/>
  <c r="H60" i="111"/>
  <c r="G60" i="111"/>
  <c r="E60" i="111"/>
  <c r="D60" i="111"/>
  <c r="C60" i="111"/>
  <c r="S59" i="111"/>
  <c r="R59" i="111"/>
  <c r="J59" i="111"/>
  <c r="I59" i="111"/>
  <c r="S58" i="111"/>
  <c r="R58" i="111"/>
  <c r="J58" i="111"/>
  <c r="I58" i="111"/>
  <c r="S57" i="111"/>
  <c r="R57" i="111"/>
  <c r="J57" i="111"/>
  <c r="I57" i="111"/>
  <c r="S56" i="111"/>
  <c r="R56" i="111"/>
  <c r="J56" i="111"/>
  <c r="I56" i="111"/>
  <c r="S55" i="111"/>
  <c r="R55" i="111"/>
  <c r="J55" i="111"/>
  <c r="I55" i="111"/>
  <c r="U54" i="111"/>
  <c r="V54" i="111" s="1"/>
  <c r="S54" i="111"/>
  <c r="R54" i="111"/>
  <c r="J54" i="111"/>
  <c r="I54" i="111"/>
  <c r="W54" i="111" s="1"/>
  <c r="U53" i="111"/>
  <c r="V53" i="111" s="1"/>
  <c r="S53" i="111"/>
  <c r="R53" i="111"/>
  <c r="J53" i="111"/>
  <c r="I53" i="111"/>
  <c r="W53" i="111" s="1"/>
  <c r="W52" i="111"/>
  <c r="U52" i="111"/>
  <c r="V52" i="111" s="1"/>
  <c r="S52" i="111"/>
  <c r="R52" i="111"/>
  <c r="J52" i="111"/>
  <c r="I52" i="111"/>
  <c r="U51" i="111"/>
  <c r="V51" i="111" s="1"/>
  <c r="S51" i="111"/>
  <c r="R51" i="111"/>
  <c r="J51" i="111"/>
  <c r="I51" i="111"/>
  <c r="W51" i="111" s="1"/>
  <c r="U50" i="111"/>
  <c r="V50" i="111" s="1"/>
  <c r="S50" i="111"/>
  <c r="R50" i="111"/>
  <c r="J50" i="111"/>
  <c r="I50" i="111"/>
  <c r="W50" i="111" s="1"/>
  <c r="U49" i="111"/>
  <c r="V49" i="111" s="1"/>
  <c r="S49" i="111"/>
  <c r="R49" i="111"/>
  <c r="J49" i="111"/>
  <c r="I49" i="111"/>
  <c r="W49" i="111" s="1"/>
  <c r="U48" i="111"/>
  <c r="V48" i="111" s="1"/>
  <c r="S48" i="111"/>
  <c r="R48" i="111"/>
  <c r="J48" i="111"/>
  <c r="I48" i="111"/>
  <c r="U47" i="111"/>
  <c r="V47" i="111" s="1"/>
  <c r="S47" i="111"/>
  <c r="R47" i="111"/>
  <c r="J47" i="111"/>
  <c r="I47" i="111"/>
  <c r="W47" i="111" s="1"/>
  <c r="W46" i="111"/>
  <c r="U46" i="111"/>
  <c r="V46" i="111" s="1"/>
  <c r="S46" i="111"/>
  <c r="R46" i="111"/>
  <c r="J46" i="111"/>
  <c r="I46" i="111"/>
  <c r="S45" i="111"/>
  <c r="R45" i="111"/>
  <c r="J45" i="111"/>
  <c r="I45" i="111"/>
  <c r="U44" i="111"/>
  <c r="V44" i="111" s="1"/>
  <c r="S44" i="111"/>
  <c r="R44" i="111"/>
  <c r="J44" i="111"/>
  <c r="I44" i="111"/>
  <c r="W44" i="111" s="1"/>
  <c r="S43" i="111"/>
  <c r="R43" i="111"/>
  <c r="J43" i="111"/>
  <c r="I43" i="111"/>
  <c r="U42" i="111"/>
  <c r="V42" i="111" s="1"/>
  <c r="S42" i="111"/>
  <c r="R42" i="111"/>
  <c r="J42" i="111"/>
  <c r="I42" i="111"/>
  <c r="W42" i="111" s="1"/>
  <c r="U41" i="111"/>
  <c r="V41" i="111" s="1"/>
  <c r="S41" i="111"/>
  <c r="R41" i="111"/>
  <c r="J41" i="111"/>
  <c r="I41" i="111"/>
  <c r="U40" i="111"/>
  <c r="V40" i="111" s="1"/>
  <c r="S40" i="111"/>
  <c r="R40" i="111"/>
  <c r="J40" i="111"/>
  <c r="I40" i="111"/>
  <c r="W40" i="111" s="1"/>
  <c r="U39" i="111"/>
  <c r="V39" i="111" s="1"/>
  <c r="S39" i="111"/>
  <c r="R39" i="111"/>
  <c r="J39" i="111"/>
  <c r="I39" i="111"/>
  <c r="W39" i="111" s="1"/>
  <c r="U38" i="111"/>
  <c r="V38" i="111" s="1"/>
  <c r="S38" i="111"/>
  <c r="R38" i="111"/>
  <c r="J38" i="111"/>
  <c r="I38" i="111"/>
  <c r="W37" i="111"/>
  <c r="U37" i="111"/>
  <c r="V37" i="111" s="1"/>
  <c r="S37" i="111"/>
  <c r="R37" i="111"/>
  <c r="J37" i="111"/>
  <c r="I37" i="111"/>
  <c r="U36" i="111"/>
  <c r="V36" i="111" s="1"/>
  <c r="S36" i="111"/>
  <c r="R36" i="111"/>
  <c r="J36" i="111"/>
  <c r="I36" i="111"/>
  <c r="W36" i="111" s="1"/>
  <c r="U35" i="111"/>
  <c r="V35" i="111" s="1"/>
  <c r="S35" i="111"/>
  <c r="R35" i="111"/>
  <c r="J35" i="111"/>
  <c r="I35" i="111"/>
  <c r="U34" i="111"/>
  <c r="V34" i="111" s="1"/>
  <c r="S34" i="111"/>
  <c r="R34" i="111"/>
  <c r="J34" i="111"/>
  <c r="I34" i="111"/>
  <c r="W34" i="111" s="1"/>
  <c r="U33" i="111"/>
  <c r="V33" i="111" s="1"/>
  <c r="S33" i="111"/>
  <c r="R33" i="111"/>
  <c r="J33" i="111"/>
  <c r="I33" i="111"/>
  <c r="W33" i="111" s="1"/>
  <c r="U32" i="111"/>
  <c r="V32" i="111" s="1"/>
  <c r="S32" i="111"/>
  <c r="R32" i="111"/>
  <c r="J32" i="111"/>
  <c r="I32" i="111"/>
  <c r="W32" i="111" s="1"/>
  <c r="W31" i="111"/>
  <c r="U31" i="111"/>
  <c r="V31" i="111" s="1"/>
  <c r="S31" i="111"/>
  <c r="R31" i="111"/>
  <c r="J31" i="111"/>
  <c r="I31" i="111"/>
  <c r="U30" i="111"/>
  <c r="V30" i="111" s="1"/>
  <c r="S30" i="111"/>
  <c r="R30" i="111"/>
  <c r="J30" i="111"/>
  <c r="I30" i="111"/>
  <c r="W30" i="111" s="1"/>
  <c r="W29" i="111"/>
  <c r="U29" i="111"/>
  <c r="V29" i="111" s="1"/>
  <c r="S29" i="111"/>
  <c r="R29" i="111"/>
  <c r="J29" i="111"/>
  <c r="I29" i="111"/>
  <c r="U28" i="111"/>
  <c r="V28" i="111" s="1"/>
  <c r="S28" i="111"/>
  <c r="R28" i="111"/>
  <c r="J28" i="111"/>
  <c r="I28" i="111"/>
  <c r="W28" i="111" s="1"/>
  <c r="U27" i="111"/>
  <c r="V27" i="111" s="1"/>
  <c r="S27" i="111"/>
  <c r="R27" i="111"/>
  <c r="J27" i="111"/>
  <c r="I27" i="111"/>
  <c r="W27" i="111" s="1"/>
  <c r="BE26" i="111"/>
  <c r="U26" i="111"/>
  <c r="V26" i="111" s="1"/>
  <c r="S26" i="111"/>
  <c r="R26" i="111"/>
  <c r="J26" i="111"/>
  <c r="I26" i="111"/>
  <c r="V25" i="111"/>
  <c r="U25" i="111"/>
  <c r="S25" i="111"/>
  <c r="R25" i="111"/>
  <c r="J25" i="111"/>
  <c r="I25" i="111"/>
  <c r="W25" i="111" s="1"/>
  <c r="U24" i="111"/>
  <c r="V24" i="111" s="1"/>
  <c r="S24" i="111"/>
  <c r="R24" i="111"/>
  <c r="J24" i="111"/>
  <c r="I24" i="111"/>
  <c r="W23" i="111"/>
  <c r="V23" i="111"/>
  <c r="U23" i="111"/>
  <c r="S23" i="111"/>
  <c r="R23" i="111"/>
  <c r="J23" i="111"/>
  <c r="I23" i="111"/>
  <c r="U22" i="111"/>
  <c r="V22" i="111" s="1"/>
  <c r="S22" i="111"/>
  <c r="R22" i="111"/>
  <c r="J22" i="111"/>
  <c r="I22" i="111"/>
  <c r="W22" i="111" s="1"/>
  <c r="V21" i="111"/>
  <c r="U21" i="111"/>
  <c r="S21" i="111"/>
  <c r="R21" i="111"/>
  <c r="J21" i="111"/>
  <c r="I21" i="111"/>
  <c r="W21" i="111" s="1"/>
  <c r="U20" i="111"/>
  <c r="V20" i="111" s="1"/>
  <c r="S20" i="111"/>
  <c r="R20" i="111"/>
  <c r="J20" i="111"/>
  <c r="I20" i="111"/>
  <c r="W19" i="111"/>
  <c r="V19" i="111"/>
  <c r="U19" i="111"/>
  <c r="S19" i="111"/>
  <c r="R19" i="111"/>
  <c r="J19" i="111"/>
  <c r="I19" i="111"/>
  <c r="U18" i="111"/>
  <c r="V18" i="111" s="1"/>
  <c r="S18" i="111"/>
  <c r="R18" i="111"/>
  <c r="J18" i="111"/>
  <c r="I18" i="111"/>
  <c r="W18" i="111" s="1"/>
  <c r="V17" i="111"/>
  <c r="U17" i="111"/>
  <c r="S17" i="111"/>
  <c r="R17" i="111"/>
  <c r="J17" i="111"/>
  <c r="I17" i="111"/>
  <c r="W17" i="111" s="1"/>
  <c r="U16" i="111"/>
  <c r="V16" i="111" s="1"/>
  <c r="S16" i="111"/>
  <c r="R16" i="111"/>
  <c r="J16" i="111"/>
  <c r="I16" i="111"/>
  <c r="W16" i="111" s="1"/>
  <c r="W15" i="111"/>
  <c r="V15" i="111"/>
  <c r="U15" i="111"/>
  <c r="S15" i="111"/>
  <c r="R15" i="111"/>
  <c r="J15" i="111"/>
  <c r="I15" i="111"/>
  <c r="U14" i="111"/>
  <c r="V14" i="111" s="1"/>
  <c r="S14" i="111"/>
  <c r="R14" i="111"/>
  <c r="J14" i="111"/>
  <c r="I14" i="111"/>
  <c r="U13" i="111"/>
  <c r="V13" i="111" s="1"/>
  <c r="S13" i="111"/>
  <c r="R13" i="111"/>
  <c r="J13" i="111"/>
  <c r="I13" i="111"/>
  <c r="U12" i="111"/>
  <c r="V12" i="111" s="1"/>
  <c r="S12" i="111"/>
  <c r="R12" i="111"/>
  <c r="J12" i="111"/>
  <c r="I12" i="111"/>
  <c r="W12" i="111" s="1"/>
  <c r="W11" i="111"/>
  <c r="V11" i="111"/>
  <c r="U11" i="111"/>
  <c r="S11" i="111"/>
  <c r="R11" i="111"/>
  <c r="J11" i="111"/>
  <c r="I11" i="111"/>
  <c r="U10" i="111"/>
  <c r="V10" i="111" s="1"/>
  <c r="S10" i="111"/>
  <c r="R10" i="111"/>
  <c r="J10" i="111"/>
  <c r="I10" i="111"/>
  <c r="W10" i="111" s="1"/>
  <c r="A10" i="111"/>
  <c r="A11" i="111" s="1"/>
  <c r="A12" i="111" s="1"/>
  <c r="A13" i="111" s="1"/>
  <c r="A14" i="111" s="1"/>
  <c r="A15" i="111" s="1"/>
  <c r="A16" i="111" s="1"/>
  <c r="A17" i="111" s="1"/>
  <c r="A18" i="111" s="1"/>
  <c r="A19" i="111" s="1"/>
  <c r="A20" i="111" s="1"/>
  <c r="A21" i="111" s="1"/>
  <c r="A22" i="111" s="1"/>
  <c r="A23" i="111" s="1"/>
  <c r="A24" i="111" s="1"/>
  <c r="A25" i="111" s="1"/>
  <c r="A26" i="111" s="1"/>
  <c r="A27" i="111" s="1"/>
  <c r="A28" i="111" s="1"/>
  <c r="A29" i="111" s="1"/>
  <c r="A30" i="111" s="1"/>
  <c r="A31" i="111" s="1"/>
  <c r="A32" i="111" s="1"/>
  <c r="A33" i="111" s="1"/>
  <c r="A34" i="111" s="1"/>
  <c r="A35" i="111" s="1"/>
  <c r="A36" i="111" s="1"/>
  <c r="A37" i="111" s="1"/>
  <c r="A38" i="111" s="1"/>
  <c r="A39" i="111" s="1"/>
  <c r="A40" i="111" s="1"/>
  <c r="A41" i="111" s="1"/>
  <c r="A42" i="111" s="1"/>
  <c r="A43" i="111" s="1"/>
  <c r="A44" i="111" s="1"/>
  <c r="A45" i="111" s="1"/>
  <c r="A46" i="111" s="1"/>
  <c r="A47" i="111" s="1"/>
  <c r="A48" i="111" s="1"/>
  <c r="A49" i="111" s="1"/>
  <c r="A50" i="111" s="1"/>
  <c r="A51" i="111" s="1"/>
  <c r="A52" i="111" s="1"/>
  <c r="A53" i="111" s="1"/>
  <c r="A54" i="111" s="1"/>
  <c r="A55" i="111" s="1"/>
  <c r="A56" i="111" s="1"/>
  <c r="A57" i="111" s="1"/>
  <c r="A58" i="111" s="1"/>
  <c r="A59" i="111" s="1"/>
  <c r="U9" i="111"/>
  <c r="V9" i="111" s="1"/>
  <c r="S9" i="111"/>
  <c r="R9" i="111"/>
  <c r="J9" i="111"/>
  <c r="I9" i="111"/>
  <c r="W9" i="111" s="1"/>
  <c r="A9" i="111"/>
  <c r="U8" i="111"/>
  <c r="S8" i="111"/>
  <c r="R8" i="111"/>
  <c r="J8" i="111"/>
  <c r="I8" i="111"/>
  <c r="W60" i="112" l="1"/>
  <c r="W48" i="111"/>
  <c r="W41" i="111"/>
  <c r="W38" i="111"/>
  <c r="W35" i="111"/>
  <c r="W26" i="111"/>
  <c r="W24" i="111"/>
  <c r="W20" i="111"/>
  <c r="W14" i="111"/>
  <c r="S60" i="111"/>
  <c r="W13" i="111"/>
  <c r="J60" i="111"/>
  <c r="U60" i="111"/>
  <c r="R60" i="111"/>
  <c r="W8" i="111"/>
  <c r="I60" i="111"/>
  <c r="V8" i="111"/>
  <c r="V60" i="111" s="1"/>
  <c r="I9" i="106"/>
  <c r="I8" i="106"/>
  <c r="W60" i="111" l="1"/>
  <c r="Q60" i="110"/>
  <c r="P60" i="110"/>
  <c r="O60" i="110"/>
  <c r="N60" i="110"/>
  <c r="M60" i="110"/>
  <c r="L60" i="110"/>
  <c r="H60" i="110"/>
  <c r="G60" i="110"/>
  <c r="E60" i="110"/>
  <c r="D60" i="110"/>
  <c r="C60" i="110"/>
  <c r="S59" i="110"/>
  <c r="R59" i="110"/>
  <c r="J59" i="110"/>
  <c r="I59" i="110"/>
  <c r="S58" i="110"/>
  <c r="R58" i="110"/>
  <c r="J58" i="110"/>
  <c r="I58" i="110"/>
  <c r="S57" i="110"/>
  <c r="R57" i="110"/>
  <c r="J57" i="110"/>
  <c r="I57" i="110"/>
  <c r="S56" i="110"/>
  <c r="R56" i="110"/>
  <c r="J56" i="110"/>
  <c r="I56" i="110"/>
  <c r="S55" i="110"/>
  <c r="R55" i="110"/>
  <c r="J55" i="110"/>
  <c r="I55" i="110"/>
  <c r="U54" i="110"/>
  <c r="V54" i="110" s="1"/>
  <c r="S54" i="110"/>
  <c r="R54" i="110"/>
  <c r="J54" i="110"/>
  <c r="I54" i="110"/>
  <c r="W54" i="110" s="1"/>
  <c r="U53" i="110"/>
  <c r="V53" i="110" s="1"/>
  <c r="S53" i="110"/>
  <c r="R53" i="110"/>
  <c r="J53" i="110"/>
  <c r="I53" i="110"/>
  <c r="W53" i="110" s="1"/>
  <c r="U52" i="110"/>
  <c r="V52" i="110" s="1"/>
  <c r="S52" i="110"/>
  <c r="R52" i="110"/>
  <c r="J52" i="110"/>
  <c r="I52" i="110"/>
  <c r="W52" i="110" s="1"/>
  <c r="W51" i="110"/>
  <c r="U51" i="110"/>
  <c r="V51" i="110" s="1"/>
  <c r="S51" i="110"/>
  <c r="R51" i="110"/>
  <c r="J51" i="110"/>
  <c r="I51" i="110"/>
  <c r="U50" i="110"/>
  <c r="V50" i="110" s="1"/>
  <c r="S50" i="110"/>
  <c r="R50" i="110"/>
  <c r="J50" i="110"/>
  <c r="I50" i="110"/>
  <c r="W50" i="110" s="1"/>
  <c r="U49" i="110"/>
  <c r="V49" i="110" s="1"/>
  <c r="S49" i="110"/>
  <c r="R49" i="110"/>
  <c r="J49" i="110"/>
  <c r="I49" i="110"/>
  <c r="W49" i="110" s="1"/>
  <c r="U48" i="110"/>
  <c r="V48" i="110" s="1"/>
  <c r="S48" i="110"/>
  <c r="R48" i="110"/>
  <c r="J48" i="110"/>
  <c r="I48" i="110"/>
  <c r="W48" i="110" s="1"/>
  <c r="W47" i="110"/>
  <c r="U47" i="110"/>
  <c r="V47" i="110" s="1"/>
  <c r="S47" i="110"/>
  <c r="R47" i="110"/>
  <c r="J47" i="110"/>
  <c r="I47" i="110"/>
  <c r="U46" i="110"/>
  <c r="V46" i="110" s="1"/>
  <c r="S46" i="110"/>
  <c r="R46" i="110"/>
  <c r="J46" i="110"/>
  <c r="I46" i="110"/>
  <c r="W46" i="110" s="1"/>
  <c r="S45" i="110"/>
  <c r="R45" i="110"/>
  <c r="J45" i="110"/>
  <c r="I45" i="110"/>
  <c r="U44" i="110"/>
  <c r="V44" i="110" s="1"/>
  <c r="S44" i="110"/>
  <c r="R44" i="110"/>
  <c r="J44" i="110"/>
  <c r="I44" i="110"/>
  <c r="W44" i="110" s="1"/>
  <c r="S43" i="110"/>
  <c r="R43" i="110"/>
  <c r="J43" i="110"/>
  <c r="I43" i="110"/>
  <c r="U42" i="110"/>
  <c r="V42" i="110" s="1"/>
  <c r="S42" i="110"/>
  <c r="R42" i="110"/>
  <c r="J42" i="110"/>
  <c r="I42" i="110"/>
  <c r="W42" i="110" s="1"/>
  <c r="U41" i="110"/>
  <c r="V41" i="110" s="1"/>
  <c r="S41" i="110"/>
  <c r="R41" i="110"/>
  <c r="J41" i="110"/>
  <c r="I41" i="110"/>
  <c r="W41" i="110" s="1"/>
  <c r="U40" i="110"/>
  <c r="V40" i="110" s="1"/>
  <c r="S40" i="110"/>
  <c r="R40" i="110"/>
  <c r="J40" i="110"/>
  <c r="I40" i="110"/>
  <c r="W40" i="110" s="1"/>
  <c r="U39" i="110"/>
  <c r="V39" i="110" s="1"/>
  <c r="S39" i="110"/>
  <c r="R39" i="110"/>
  <c r="J39" i="110"/>
  <c r="I39" i="110"/>
  <c r="W39" i="110" s="1"/>
  <c r="U38" i="110"/>
  <c r="V38" i="110" s="1"/>
  <c r="S38" i="110"/>
  <c r="R38" i="110"/>
  <c r="J38" i="110"/>
  <c r="I38" i="110"/>
  <c r="W38" i="110" s="1"/>
  <c r="U37" i="110"/>
  <c r="V37" i="110" s="1"/>
  <c r="S37" i="110"/>
  <c r="R37" i="110"/>
  <c r="J37" i="110"/>
  <c r="I37" i="110"/>
  <c r="W37" i="110" s="1"/>
  <c r="W36" i="110"/>
  <c r="U36" i="110"/>
  <c r="V36" i="110" s="1"/>
  <c r="S36" i="110"/>
  <c r="R36" i="110"/>
  <c r="J36" i="110"/>
  <c r="I36" i="110"/>
  <c r="U35" i="110"/>
  <c r="V35" i="110" s="1"/>
  <c r="S35" i="110"/>
  <c r="R35" i="110"/>
  <c r="J35" i="110"/>
  <c r="I35" i="110"/>
  <c r="W35" i="110" s="1"/>
  <c r="U34" i="110"/>
  <c r="V34" i="110" s="1"/>
  <c r="S34" i="110"/>
  <c r="R34" i="110"/>
  <c r="J34" i="110"/>
  <c r="I34" i="110"/>
  <c r="W34" i="110" s="1"/>
  <c r="U33" i="110"/>
  <c r="V33" i="110" s="1"/>
  <c r="S33" i="110"/>
  <c r="R33" i="110"/>
  <c r="J33" i="110"/>
  <c r="I33" i="110"/>
  <c r="W33" i="110" s="1"/>
  <c r="U32" i="110"/>
  <c r="V32" i="110" s="1"/>
  <c r="S32" i="110"/>
  <c r="R32" i="110"/>
  <c r="J32" i="110"/>
  <c r="I32" i="110"/>
  <c r="W32" i="110" s="1"/>
  <c r="U31" i="110"/>
  <c r="V31" i="110" s="1"/>
  <c r="S31" i="110"/>
  <c r="R31" i="110"/>
  <c r="J31" i="110"/>
  <c r="I31" i="110"/>
  <c r="W31" i="110" s="1"/>
  <c r="W30" i="110"/>
  <c r="U30" i="110"/>
  <c r="V30" i="110" s="1"/>
  <c r="S30" i="110"/>
  <c r="R30" i="110"/>
  <c r="J30" i="110"/>
  <c r="I30" i="110"/>
  <c r="U29" i="110"/>
  <c r="V29" i="110" s="1"/>
  <c r="S29" i="110"/>
  <c r="R29" i="110"/>
  <c r="J29" i="110"/>
  <c r="I29" i="110"/>
  <c r="W29" i="110" s="1"/>
  <c r="U28" i="110"/>
  <c r="V28" i="110" s="1"/>
  <c r="S28" i="110"/>
  <c r="R28" i="110"/>
  <c r="J28" i="110"/>
  <c r="I28" i="110"/>
  <c r="W28" i="110" s="1"/>
  <c r="U27" i="110"/>
  <c r="V27" i="110" s="1"/>
  <c r="S27" i="110"/>
  <c r="R27" i="110"/>
  <c r="J27" i="110"/>
  <c r="I27" i="110"/>
  <c r="W27" i="110" s="1"/>
  <c r="BE26" i="110"/>
  <c r="V26" i="110"/>
  <c r="U26" i="110"/>
  <c r="S26" i="110"/>
  <c r="R26" i="110"/>
  <c r="J26" i="110"/>
  <c r="I26" i="110"/>
  <c r="W26" i="110" s="1"/>
  <c r="V25" i="110"/>
  <c r="U25" i="110"/>
  <c r="S25" i="110"/>
  <c r="R25" i="110"/>
  <c r="J25" i="110"/>
  <c r="I25" i="110"/>
  <c r="W25" i="110" s="1"/>
  <c r="V24" i="110"/>
  <c r="U24" i="110"/>
  <c r="S24" i="110"/>
  <c r="R24" i="110"/>
  <c r="J24" i="110"/>
  <c r="I24" i="110"/>
  <c r="W24" i="110" s="1"/>
  <c r="V23" i="110"/>
  <c r="U23" i="110"/>
  <c r="S23" i="110"/>
  <c r="R23" i="110"/>
  <c r="J23" i="110"/>
  <c r="I23" i="110"/>
  <c r="V22" i="110"/>
  <c r="U22" i="110"/>
  <c r="S22" i="110"/>
  <c r="R22" i="110"/>
  <c r="J22" i="110"/>
  <c r="I22" i="110"/>
  <c r="W22" i="110" s="1"/>
  <c r="V21" i="110"/>
  <c r="U21" i="110"/>
  <c r="S21" i="110"/>
  <c r="R21" i="110"/>
  <c r="J21" i="110"/>
  <c r="I21" i="110"/>
  <c r="W21" i="110" s="1"/>
  <c r="V20" i="110"/>
  <c r="U20" i="110"/>
  <c r="S20" i="110"/>
  <c r="R20" i="110"/>
  <c r="J20" i="110"/>
  <c r="I20" i="110"/>
  <c r="W20" i="110" s="1"/>
  <c r="W19" i="110"/>
  <c r="V19" i="110"/>
  <c r="U19" i="110"/>
  <c r="S19" i="110"/>
  <c r="R19" i="110"/>
  <c r="J19" i="110"/>
  <c r="I19" i="110"/>
  <c r="V18" i="110"/>
  <c r="U18" i="110"/>
  <c r="S18" i="110"/>
  <c r="R18" i="110"/>
  <c r="J18" i="110"/>
  <c r="I18" i="110"/>
  <c r="W18" i="110" s="1"/>
  <c r="V17" i="110"/>
  <c r="U17" i="110"/>
  <c r="S17" i="110"/>
  <c r="R17" i="110"/>
  <c r="J17" i="110"/>
  <c r="I17" i="110"/>
  <c r="W17" i="110" s="1"/>
  <c r="V16" i="110"/>
  <c r="U16" i="110"/>
  <c r="S16" i="110"/>
  <c r="R16" i="110"/>
  <c r="J16" i="110"/>
  <c r="I16" i="110"/>
  <c r="W16" i="110" s="1"/>
  <c r="V15" i="110"/>
  <c r="U15" i="110"/>
  <c r="S15" i="110"/>
  <c r="R15" i="110"/>
  <c r="J15" i="110"/>
  <c r="I15" i="110"/>
  <c r="W15" i="110" s="1"/>
  <c r="V14" i="110"/>
  <c r="U14" i="110"/>
  <c r="S14" i="110"/>
  <c r="R14" i="110"/>
  <c r="J14" i="110"/>
  <c r="I14" i="110"/>
  <c r="W14" i="110" s="1"/>
  <c r="U13" i="110"/>
  <c r="V13" i="110" s="1"/>
  <c r="S13" i="110"/>
  <c r="R13" i="110"/>
  <c r="J13" i="110"/>
  <c r="I13" i="110"/>
  <c r="V12" i="110"/>
  <c r="U12" i="110"/>
  <c r="S12" i="110"/>
  <c r="R12" i="110"/>
  <c r="J12" i="110"/>
  <c r="I12" i="110"/>
  <c r="W12" i="110" s="1"/>
  <c r="V11" i="110"/>
  <c r="U11" i="110"/>
  <c r="S11" i="110"/>
  <c r="R11" i="110"/>
  <c r="J11" i="110"/>
  <c r="I11" i="110"/>
  <c r="W11" i="110" s="1"/>
  <c r="V10" i="110"/>
  <c r="U10" i="110"/>
  <c r="S10" i="110"/>
  <c r="R10" i="110"/>
  <c r="J10" i="110"/>
  <c r="I10" i="110"/>
  <c r="W10" i="110" s="1"/>
  <c r="V9" i="110"/>
  <c r="U9" i="110"/>
  <c r="S9" i="110"/>
  <c r="R9" i="110"/>
  <c r="J9" i="110"/>
  <c r="I9" i="110"/>
  <c r="A9" i="110"/>
  <c r="A10" i="110" s="1"/>
  <c r="A11" i="110" s="1"/>
  <c r="A12" i="110" s="1"/>
  <c r="A13" i="110" s="1"/>
  <c r="A14" i="110" s="1"/>
  <c r="A15" i="110" s="1"/>
  <c r="A16" i="110" s="1"/>
  <c r="A17" i="110" s="1"/>
  <c r="A18" i="110" s="1"/>
  <c r="A19" i="110" s="1"/>
  <c r="A20" i="110" s="1"/>
  <c r="A21" i="110" s="1"/>
  <c r="A22" i="110" s="1"/>
  <c r="A23" i="110" s="1"/>
  <c r="A24" i="110" s="1"/>
  <c r="A25" i="110" s="1"/>
  <c r="A26" i="110" s="1"/>
  <c r="A27" i="110" s="1"/>
  <c r="A28" i="110" s="1"/>
  <c r="A29" i="110" s="1"/>
  <c r="A30" i="110" s="1"/>
  <c r="A31" i="110" s="1"/>
  <c r="A32" i="110" s="1"/>
  <c r="A33" i="110" s="1"/>
  <c r="A34" i="110" s="1"/>
  <c r="A35" i="110" s="1"/>
  <c r="A36" i="110" s="1"/>
  <c r="A37" i="110" s="1"/>
  <c r="A38" i="110" s="1"/>
  <c r="A39" i="110" s="1"/>
  <c r="A40" i="110" s="1"/>
  <c r="A41" i="110" s="1"/>
  <c r="A42" i="110" s="1"/>
  <c r="A43" i="110" s="1"/>
  <c r="A44" i="110" s="1"/>
  <c r="A45" i="110" s="1"/>
  <c r="A46" i="110" s="1"/>
  <c r="A47" i="110" s="1"/>
  <c r="A48" i="110" s="1"/>
  <c r="A49" i="110" s="1"/>
  <c r="A50" i="110" s="1"/>
  <c r="A51" i="110" s="1"/>
  <c r="A52" i="110" s="1"/>
  <c r="A53" i="110" s="1"/>
  <c r="A54" i="110" s="1"/>
  <c r="A55" i="110" s="1"/>
  <c r="A56" i="110" s="1"/>
  <c r="A57" i="110" s="1"/>
  <c r="A58" i="110" s="1"/>
  <c r="A59" i="110" s="1"/>
  <c r="V8" i="110"/>
  <c r="U8" i="110"/>
  <c r="S8" i="110"/>
  <c r="R8" i="110"/>
  <c r="J8" i="110"/>
  <c r="I8" i="110"/>
  <c r="W8" i="110" s="1"/>
  <c r="Q60" i="109"/>
  <c r="P60" i="109"/>
  <c r="O60" i="109"/>
  <c r="N60" i="109"/>
  <c r="M60" i="109"/>
  <c r="L60" i="109"/>
  <c r="H60" i="109"/>
  <c r="G60" i="109"/>
  <c r="E60" i="109"/>
  <c r="D60" i="109"/>
  <c r="C60" i="109"/>
  <c r="S59" i="109"/>
  <c r="R59" i="109"/>
  <c r="J59" i="109"/>
  <c r="I59" i="109"/>
  <c r="S58" i="109"/>
  <c r="R58" i="109"/>
  <c r="J58" i="109"/>
  <c r="I58" i="109"/>
  <c r="S57" i="109"/>
  <c r="R57" i="109"/>
  <c r="J57" i="109"/>
  <c r="I57" i="109"/>
  <c r="S56" i="109"/>
  <c r="R56" i="109"/>
  <c r="J56" i="109"/>
  <c r="I56" i="109"/>
  <c r="S55" i="109"/>
  <c r="R55" i="109"/>
  <c r="J55" i="109"/>
  <c r="I55" i="109"/>
  <c r="W54" i="109"/>
  <c r="V54" i="109"/>
  <c r="U54" i="109"/>
  <c r="S54" i="109"/>
  <c r="R54" i="109"/>
  <c r="J54" i="109"/>
  <c r="I54" i="109"/>
  <c r="U53" i="109"/>
  <c r="V53" i="109" s="1"/>
  <c r="S53" i="109"/>
  <c r="R53" i="109"/>
  <c r="J53" i="109"/>
  <c r="I53" i="109"/>
  <c r="W53" i="109" s="1"/>
  <c r="W52" i="109"/>
  <c r="V52" i="109"/>
  <c r="U52" i="109"/>
  <c r="S52" i="109"/>
  <c r="R52" i="109"/>
  <c r="J52" i="109"/>
  <c r="I52" i="109"/>
  <c r="W51" i="109"/>
  <c r="U51" i="109"/>
  <c r="V51" i="109" s="1"/>
  <c r="S51" i="109"/>
  <c r="R51" i="109"/>
  <c r="J51" i="109"/>
  <c r="I51" i="109"/>
  <c r="V50" i="109"/>
  <c r="U50" i="109"/>
  <c r="S50" i="109"/>
  <c r="R50" i="109"/>
  <c r="J50" i="109"/>
  <c r="I50" i="109"/>
  <c r="W50" i="109" s="1"/>
  <c r="U49" i="109"/>
  <c r="V49" i="109" s="1"/>
  <c r="S49" i="109"/>
  <c r="R49" i="109"/>
  <c r="J49" i="109"/>
  <c r="I49" i="109"/>
  <c r="W49" i="109" s="1"/>
  <c r="V48" i="109"/>
  <c r="U48" i="109"/>
  <c r="S48" i="109"/>
  <c r="R48" i="109"/>
  <c r="J48" i="109"/>
  <c r="I48" i="109"/>
  <c r="W48" i="109" s="1"/>
  <c r="W47" i="109"/>
  <c r="U47" i="109"/>
  <c r="V47" i="109" s="1"/>
  <c r="S47" i="109"/>
  <c r="R47" i="109"/>
  <c r="J47" i="109"/>
  <c r="I47" i="109"/>
  <c r="W46" i="109"/>
  <c r="V46" i="109"/>
  <c r="U46" i="109"/>
  <c r="S46" i="109"/>
  <c r="R46" i="109"/>
  <c r="J46" i="109"/>
  <c r="I46" i="109"/>
  <c r="S45" i="109"/>
  <c r="R45" i="109"/>
  <c r="J45" i="109"/>
  <c r="I45" i="109"/>
  <c r="U44" i="109"/>
  <c r="V44" i="109" s="1"/>
  <c r="S44" i="109"/>
  <c r="R44" i="109"/>
  <c r="J44" i="109"/>
  <c r="I44" i="109"/>
  <c r="W44" i="109" s="1"/>
  <c r="S43" i="109"/>
  <c r="R43" i="109"/>
  <c r="J43" i="109"/>
  <c r="I43" i="109"/>
  <c r="U42" i="109"/>
  <c r="V42" i="109" s="1"/>
  <c r="S42" i="109"/>
  <c r="R42" i="109"/>
  <c r="J42" i="109"/>
  <c r="I42" i="109"/>
  <c r="W42" i="109" s="1"/>
  <c r="U41" i="109"/>
  <c r="V41" i="109" s="1"/>
  <c r="S41" i="109"/>
  <c r="R41" i="109"/>
  <c r="J41" i="109"/>
  <c r="I41" i="109"/>
  <c r="W41" i="109" s="1"/>
  <c r="U40" i="109"/>
  <c r="V40" i="109" s="1"/>
  <c r="S40" i="109"/>
  <c r="R40" i="109"/>
  <c r="J40" i="109"/>
  <c r="I40" i="109"/>
  <c r="W40" i="109" s="1"/>
  <c r="U39" i="109"/>
  <c r="V39" i="109" s="1"/>
  <c r="S39" i="109"/>
  <c r="R39" i="109"/>
  <c r="J39" i="109"/>
  <c r="I39" i="109"/>
  <c r="W39" i="109" s="1"/>
  <c r="U38" i="109"/>
  <c r="V38" i="109" s="1"/>
  <c r="S38" i="109"/>
  <c r="R38" i="109"/>
  <c r="J38" i="109"/>
  <c r="I38" i="109"/>
  <c r="W38" i="109" s="1"/>
  <c r="U37" i="109"/>
  <c r="V37" i="109" s="1"/>
  <c r="S37" i="109"/>
  <c r="R37" i="109"/>
  <c r="J37" i="109"/>
  <c r="I37" i="109"/>
  <c r="W37" i="109" s="1"/>
  <c r="U36" i="109"/>
  <c r="V36" i="109" s="1"/>
  <c r="S36" i="109"/>
  <c r="R36" i="109"/>
  <c r="J36" i="109"/>
  <c r="I36" i="109"/>
  <c r="W36" i="109" s="1"/>
  <c r="U35" i="109"/>
  <c r="V35" i="109" s="1"/>
  <c r="S35" i="109"/>
  <c r="R35" i="109"/>
  <c r="J35" i="109"/>
  <c r="I35" i="109"/>
  <c r="W35" i="109" s="1"/>
  <c r="U34" i="109"/>
  <c r="V34" i="109" s="1"/>
  <c r="S34" i="109"/>
  <c r="R34" i="109"/>
  <c r="J34" i="109"/>
  <c r="I34" i="109"/>
  <c r="W34" i="109" s="1"/>
  <c r="U33" i="109"/>
  <c r="V33" i="109" s="1"/>
  <c r="S33" i="109"/>
  <c r="R33" i="109"/>
  <c r="J33" i="109"/>
  <c r="I33" i="109"/>
  <c r="W33" i="109" s="1"/>
  <c r="U32" i="109"/>
  <c r="V32" i="109" s="1"/>
  <c r="S32" i="109"/>
  <c r="R32" i="109"/>
  <c r="J32" i="109"/>
  <c r="I32" i="109"/>
  <c r="W32" i="109" s="1"/>
  <c r="U31" i="109"/>
  <c r="V31" i="109" s="1"/>
  <c r="S31" i="109"/>
  <c r="R31" i="109"/>
  <c r="J31" i="109"/>
  <c r="I31" i="109"/>
  <c r="W31" i="109" s="1"/>
  <c r="U30" i="109"/>
  <c r="V30" i="109" s="1"/>
  <c r="S30" i="109"/>
  <c r="R30" i="109"/>
  <c r="J30" i="109"/>
  <c r="I30" i="109"/>
  <c r="W30" i="109" s="1"/>
  <c r="U29" i="109"/>
  <c r="V29" i="109" s="1"/>
  <c r="S29" i="109"/>
  <c r="R29" i="109"/>
  <c r="J29" i="109"/>
  <c r="I29" i="109"/>
  <c r="W29" i="109" s="1"/>
  <c r="U28" i="109"/>
  <c r="V28" i="109" s="1"/>
  <c r="S28" i="109"/>
  <c r="R28" i="109"/>
  <c r="J28" i="109"/>
  <c r="I28" i="109"/>
  <c r="W28" i="109" s="1"/>
  <c r="U27" i="109"/>
  <c r="S27" i="109"/>
  <c r="R27" i="109"/>
  <c r="J27" i="109"/>
  <c r="I27" i="109"/>
  <c r="W27" i="109" s="1"/>
  <c r="BE26" i="109"/>
  <c r="V26" i="109"/>
  <c r="U26" i="109"/>
  <c r="S26" i="109"/>
  <c r="R26" i="109"/>
  <c r="J26" i="109"/>
  <c r="I26" i="109"/>
  <c r="W26" i="109" s="1"/>
  <c r="V25" i="109"/>
  <c r="U25" i="109"/>
  <c r="S25" i="109"/>
  <c r="R25" i="109"/>
  <c r="J25" i="109"/>
  <c r="I25" i="109"/>
  <c r="V24" i="109"/>
  <c r="U24" i="109"/>
  <c r="S24" i="109"/>
  <c r="R24" i="109"/>
  <c r="J24" i="109"/>
  <c r="I24" i="109"/>
  <c r="W24" i="109" s="1"/>
  <c r="V23" i="109"/>
  <c r="U23" i="109"/>
  <c r="S23" i="109"/>
  <c r="R23" i="109"/>
  <c r="J23" i="109"/>
  <c r="I23" i="109"/>
  <c r="V22" i="109"/>
  <c r="U22" i="109"/>
  <c r="S22" i="109"/>
  <c r="R22" i="109"/>
  <c r="J22" i="109"/>
  <c r="I22" i="109"/>
  <c r="W22" i="109" s="1"/>
  <c r="V21" i="109"/>
  <c r="U21" i="109"/>
  <c r="S21" i="109"/>
  <c r="R21" i="109"/>
  <c r="J21" i="109"/>
  <c r="I21" i="109"/>
  <c r="V20" i="109"/>
  <c r="U20" i="109"/>
  <c r="S20" i="109"/>
  <c r="R20" i="109"/>
  <c r="J20" i="109"/>
  <c r="I20" i="109"/>
  <c r="V19" i="109"/>
  <c r="U19" i="109"/>
  <c r="S19" i="109"/>
  <c r="R19" i="109"/>
  <c r="J19" i="109"/>
  <c r="W19" i="109" s="1"/>
  <c r="I19" i="109"/>
  <c r="V18" i="109"/>
  <c r="U18" i="109"/>
  <c r="S18" i="109"/>
  <c r="R18" i="109"/>
  <c r="J18" i="109"/>
  <c r="I18" i="109"/>
  <c r="W18" i="109" s="1"/>
  <c r="V17" i="109"/>
  <c r="U17" i="109"/>
  <c r="S17" i="109"/>
  <c r="R17" i="109"/>
  <c r="J17" i="109"/>
  <c r="I17" i="109"/>
  <c r="V16" i="109"/>
  <c r="U16" i="109"/>
  <c r="S16" i="109"/>
  <c r="R16" i="109"/>
  <c r="J16" i="109"/>
  <c r="I16" i="109"/>
  <c r="V15" i="109"/>
  <c r="U15" i="109"/>
  <c r="S15" i="109"/>
  <c r="R15" i="109"/>
  <c r="J15" i="109"/>
  <c r="I15" i="109"/>
  <c r="V14" i="109"/>
  <c r="U14" i="109"/>
  <c r="S14" i="109"/>
  <c r="R14" i="109"/>
  <c r="J14" i="109"/>
  <c r="I14" i="109"/>
  <c r="U13" i="109"/>
  <c r="V13" i="109" s="1"/>
  <c r="S13" i="109"/>
  <c r="R13" i="109"/>
  <c r="J13" i="109"/>
  <c r="I13" i="109"/>
  <c r="V12" i="109"/>
  <c r="U12" i="109"/>
  <c r="S12" i="109"/>
  <c r="R12" i="109"/>
  <c r="J12" i="109"/>
  <c r="I12" i="109"/>
  <c r="W12" i="109" s="1"/>
  <c r="V11" i="109"/>
  <c r="U11" i="109"/>
  <c r="S11" i="109"/>
  <c r="R11" i="109"/>
  <c r="J11" i="109"/>
  <c r="W11" i="109" s="1"/>
  <c r="I11" i="109"/>
  <c r="V10" i="109"/>
  <c r="U10" i="109"/>
  <c r="S10" i="109"/>
  <c r="R10" i="109"/>
  <c r="J10" i="109"/>
  <c r="I10" i="109"/>
  <c r="W10" i="109" s="1"/>
  <c r="V9" i="109"/>
  <c r="U9" i="109"/>
  <c r="S9" i="109"/>
  <c r="R9" i="109"/>
  <c r="J9" i="109"/>
  <c r="I9" i="109"/>
  <c r="A9" i="109"/>
  <c r="A10" i="109" s="1"/>
  <c r="A11" i="109" s="1"/>
  <c r="A12" i="109" s="1"/>
  <c r="A13" i="109" s="1"/>
  <c r="A14" i="109" s="1"/>
  <c r="A15" i="109" s="1"/>
  <c r="A16" i="109" s="1"/>
  <c r="A17" i="109" s="1"/>
  <c r="A18" i="109" s="1"/>
  <c r="A19" i="109" s="1"/>
  <c r="A20" i="109" s="1"/>
  <c r="A21" i="109" s="1"/>
  <c r="A22" i="109" s="1"/>
  <c r="A23" i="109" s="1"/>
  <c r="A24" i="109" s="1"/>
  <c r="A25" i="109" s="1"/>
  <c r="A26" i="109" s="1"/>
  <c r="A27" i="109" s="1"/>
  <c r="A28" i="109" s="1"/>
  <c r="A29" i="109" s="1"/>
  <c r="A30" i="109" s="1"/>
  <c r="A31" i="109" s="1"/>
  <c r="A32" i="109" s="1"/>
  <c r="A33" i="109" s="1"/>
  <c r="A34" i="109" s="1"/>
  <c r="A35" i="109" s="1"/>
  <c r="A36" i="109" s="1"/>
  <c r="A37" i="109" s="1"/>
  <c r="A38" i="109" s="1"/>
  <c r="A39" i="109" s="1"/>
  <c r="A40" i="109" s="1"/>
  <c r="A41" i="109" s="1"/>
  <c r="A42" i="109" s="1"/>
  <c r="A43" i="109" s="1"/>
  <c r="A44" i="109" s="1"/>
  <c r="A45" i="109" s="1"/>
  <c r="A46" i="109" s="1"/>
  <c r="A47" i="109" s="1"/>
  <c r="A48" i="109" s="1"/>
  <c r="A49" i="109" s="1"/>
  <c r="A50" i="109" s="1"/>
  <c r="A51" i="109" s="1"/>
  <c r="A52" i="109" s="1"/>
  <c r="A53" i="109" s="1"/>
  <c r="A54" i="109" s="1"/>
  <c r="A55" i="109" s="1"/>
  <c r="A56" i="109" s="1"/>
  <c r="A57" i="109" s="1"/>
  <c r="A58" i="109" s="1"/>
  <c r="A59" i="109" s="1"/>
  <c r="U8" i="109"/>
  <c r="V8" i="109" s="1"/>
  <c r="S8" i="109"/>
  <c r="R8" i="109"/>
  <c r="J8" i="109"/>
  <c r="I8" i="109"/>
  <c r="W25" i="109" l="1"/>
  <c r="W23" i="109"/>
  <c r="W21" i="109"/>
  <c r="W20" i="109"/>
  <c r="W17" i="109"/>
  <c r="W15" i="109"/>
  <c r="W16" i="109"/>
  <c r="W14" i="109"/>
  <c r="S60" i="109"/>
  <c r="J60" i="109"/>
  <c r="W13" i="109"/>
  <c r="R60" i="109"/>
  <c r="W9" i="109"/>
  <c r="U60" i="109"/>
  <c r="W8" i="109"/>
  <c r="W23" i="110"/>
  <c r="S60" i="110"/>
  <c r="R60" i="110"/>
  <c r="U60" i="110"/>
  <c r="W13" i="110"/>
  <c r="J60" i="110"/>
  <c r="W9" i="110"/>
  <c r="V60" i="110"/>
  <c r="I60" i="110"/>
  <c r="V27" i="109"/>
  <c r="V60" i="109" s="1"/>
  <c r="I60" i="109"/>
  <c r="Q60" i="108"/>
  <c r="P60" i="108"/>
  <c r="O60" i="108"/>
  <c r="N60" i="108"/>
  <c r="M60" i="108"/>
  <c r="L60" i="108"/>
  <c r="H60" i="108"/>
  <c r="G60" i="108"/>
  <c r="E60" i="108"/>
  <c r="D60" i="108"/>
  <c r="C60" i="108"/>
  <c r="S59" i="108"/>
  <c r="R59" i="108"/>
  <c r="J59" i="108"/>
  <c r="I59" i="108"/>
  <c r="S58" i="108"/>
  <c r="R58" i="108"/>
  <c r="J58" i="108"/>
  <c r="I58" i="108"/>
  <c r="S57" i="108"/>
  <c r="R57" i="108"/>
  <c r="J57" i="108"/>
  <c r="I57" i="108"/>
  <c r="S56" i="108"/>
  <c r="R56" i="108"/>
  <c r="J56" i="108"/>
  <c r="I56" i="108"/>
  <c r="S55" i="108"/>
  <c r="R55" i="108"/>
  <c r="J55" i="108"/>
  <c r="I55" i="108"/>
  <c r="U54" i="108"/>
  <c r="V54" i="108" s="1"/>
  <c r="S54" i="108"/>
  <c r="R54" i="108"/>
  <c r="J54" i="108"/>
  <c r="I54" i="108"/>
  <c r="W54" i="108" s="1"/>
  <c r="U53" i="108"/>
  <c r="V53" i="108" s="1"/>
  <c r="S53" i="108"/>
  <c r="R53" i="108"/>
  <c r="J53" i="108"/>
  <c r="I53" i="108"/>
  <c r="W53" i="108" s="1"/>
  <c r="W52" i="108"/>
  <c r="U52" i="108"/>
  <c r="V52" i="108" s="1"/>
  <c r="S52" i="108"/>
  <c r="R52" i="108"/>
  <c r="J52" i="108"/>
  <c r="I52" i="108"/>
  <c r="U51" i="108"/>
  <c r="V51" i="108" s="1"/>
  <c r="S51" i="108"/>
  <c r="R51" i="108"/>
  <c r="J51" i="108"/>
  <c r="I51" i="108"/>
  <c r="W51" i="108" s="1"/>
  <c r="W50" i="108"/>
  <c r="U50" i="108"/>
  <c r="V50" i="108" s="1"/>
  <c r="S50" i="108"/>
  <c r="R50" i="108"/>
  <c r="J50" i="108"/>
  <c r="I50" i="108"/>
  <c r="U49" i="108"/>
  <c r="V49" i="108" s="1"/>
  <c r="S49" i="108"/>
  <c r="R49" i="108"/>
  <c r="J49" i="108"/>
  <c r="I49" i="108"/>
  <c r="W49" i="108" s="1"/>
  <c r="U48" i="108"/>
  <c r="V48" i="108" s="1"/>
  <c r="S48" i="108"/>
  <c r="R48" i="108"/>
  <c r="J48" i="108"/>
  <c r="I48" i="108"/>
  <c r="U47" i="108"/>
  <c r="V47" i="108" s="1"/>
  <c r="S47" i="108"/>
  <c r="R47" i="108"/>
  <c r="J47" i="108"/>
  <c r="I47" i="108"/>
  <c r="W47" i="108" s="1"/>
  <c r="W46" i="108"/>
  <c r="U46" i="108"/>
  <c r="V46" i="108" s="1"/>
  <c r="S46" i="108"/>
  <c r="R46" i="108"/>
  <c r="J46" i="108"/>
  <c r="I46" i="108"/>
  <c r="S45" i="108"/>
  <c r="R45" i="108"/>
  <c r="J45" i="108"/>
  <c r="I45" i="108"/>
  <c r="U44" i="108"/>
  <c r="V44" i="108" s="1"/>
  <c r="S44" i="108"/>
  <c r="R44" i="108"/>
  <c r="J44" i="108"/>
  <c r="I44" i="108"/>
  <c r="W44" i="108" s="1"/>
  <c r="S43" i="108"/>
  <c r="R43" i="108"/>
  <c r="J43" i="108"/>
  <c r="I43" i="108"/>
  <c r="U42" i="108"/>
  <c r="V42" i="108" s="1"/>
  <c r="S42" i="108"/>
  <c r="R42" i="108"/>
  <c r="J42" i="108"/>
  <c r="I42" i="108"/>
  <c r="W42" i="108" s="1"/>
  <c r="W41" i="108"/>
  <c r="U41" i="108"/>
  <c r="V41" i="108" s="1"/>
  <c r="S41" i="108"/>
  <c r="R41" i="108"/>
  <c r="J41" i="108"/>
  <c r="I41" i="108"/>
  <c r="U40" i="108"/>
  <c r="V40" i="108" s="1"/>
  <c r="S40" i="108"/>
  <c r="R40" i="108"/>
  <c r="J40" i="108"/>
  <c r="I40" i="108"/>
  <c r="W40" i="108" s="1"/>
  <c r="U39" i="108"/>
  <c r="V39" i="108" s="1"/>
  <c r="S39" i="108"/>
  <c r="R39" i="108"/>
  <c r="J39" i="108"/>
  <c r="I39" i="108"/>
  <c r="W39" i="108" s="1"/>
  <c r="U38" i="108"/>
  <c r="V38" i="108" s="1"/>
  <c r="S38" i="108"/>
  <c r="R38" i="108"/>
  <c r="J38" i="108"/>
  <c r="I38" i="108"/>
  <c r="U37" i="108"/>
  <c r="V37" i="108" s="1"/>
  <c r="S37" i="108"/>
  <c r="R37" i="108"/>
  <c r="J37" i="108"/>
  <c r="I37" i="108"/>
  <c r="W37" i="108" s="1"/>
  <c r="U36" i="108"/>
  <c r="V36" i="108" s="1"/>
  <c r="S36" i="108"/>
  <c r="R36" i="108"/>
  <c r="J36" i="108"/>
  <c r="I36" i="108"/>
  <c r="W36" i="108" s="1"/>
  <c r="W35" i="108"/>
  <c r="U35" i="108"/>
  <c r="V35" i="108" s="1"/>
  <c r="S35" i="108"/>
  <c r="R35" i="108"/>
  <c r="J35" i="108"/>
  <c r="I35" i="108"/>
  <c r="U34" i="108"/>
  <c r="V34" i="108" s="1"/>
  <c r="S34" i="108"/>
  <c r="R34" i="108"/>
  <c r="J34" i="108"/>
  <c r="I34" i="108"/>
  <c r="W34" i="108" s="1"/>
  <c r="U33" i="108"/>
  <c r="V33" i="108" s="1"/>
  <c r="S33" i="108"/>
  <c r="R33" i="108"/>
  <c r="J33" i="108"/>
  <c r="I33" i="108"/>
  <c r="W33" i="108" s="1"/>
  <c r="U32" i="108"/>
  <c r="V32" i="108" s="1"/>
  <c r="S32" i="108"/>
  <c r="R32" i="108"/>
  <c r="J32" i="108"/>
  <c r="I32" i="108"/>
  <c r="W32" i="108" s="1"/>
  <c r="U31" i="108"/>
  <c r="V31" i="108" s="1"/>
  <c r="S31" i="108"/>
  <c r="R31" i="108"/>
  <c r="J31" i="108"/>
  <c r="I31" i="108"/>
  <c r="W31" i="108" s="1"/>
  <c r="U30" i="108"/>
  <c r="V30" i="108" s="1"/>
  <c r="S30" i="108"/>
  <c r="R30" i="108"/>
  <c r="J30" i="108"/>
  <c r="I30" i="108"/>
  <c r="W30" i="108" s="1"/>
  <c r="U29" i="108"/>
  <c r="V29" i="108" s="1"/>
  <c r="S29" i="108"/>
  <c r="R29" i="108"/>
  <c r="J29" i="108"/>
  <c r="I29" i="108"/>
  <c r="W29" i="108" s="1"/>
  <c r="U28" i="108"/>
  <c r="V28" i="108" s="1"/>
  <c r="S28" i="108"/>
  <c r="R28" i="108"/>
  <c r="J28" i="108"/>
  <c r="I28" i="108"/>
  <c r="W28" i="108" s="1"/>
  <c r="U27" i="108"/>
  <c r="V27" i="108" s="1"/>
  <c r="S27" i="108"/>
  <c r="R27" i="108"/>
  <c r="J27" i="108"/>
  <c r="I27" i="108"/>
  <c r="W27" i="108" s="1"/>
  <c r="BE26" i="108"/>
  <c r="U26" i="108"/>
  <c r="V26" i="108" s="1"/>
  <c r="S26" i="108"/>
  <c r="R26" i="108"/>
  <c r="J26" i="108"/>
  <c r="I26" i="108"/>
  <c r="W26" i="108" s="1"/>
  <c r="V25" i="108"/>
  <c r="U25" i="108"/>
  <c r="S25" i="108"/>
  <c r="R25" i="108"/>
  <c r="J25" i="108"/>
  <c r="I25" i="108"/>
  <c r="W25" i="108" s="1"/>
  <c r="U24" i="108"/>
  <c r="V24" i="108" s="1"/>
  <c r="S24" i="108"/>
  <c r="R24" i="108"/>
  <c r="J24" i="108"/>
  <c r="I24" i="108"/>
  <c r="V23" i="108"/>
  <c r="U23" i="108"/>
  <c r="S23" i="108"/>
  <c r="R23" i="108"/>
  <c r="J23" i="108"/>
  <c r="I23" i="108"/>
  <c r="V22" i="108"/>
  <c r="U22" i="108"/>
  <c r="S22" i="108"/>
  <c r="R22" i="108"/>
  <c r="J22" i="108"/>
  <c r="I22" i="108"/>
  <c r="W22" i="108" s="1"/>
  <c r="V21" i="108"/>
  <c r="U21" i="108"/>
  <c r="S21" i="108"/>
  <c r="R21" i="108"/>
  <c r="J21" i="108"/>
  <c r="I21" i="108"/>
  <c r="V20" i="108"/>
  <c r="U20" i="108"/>
  <c r="S20" i="108"/>
  <c r="R20" i="108"/>
  <c r="J20" i="108"/>
  <c r="I20" i="108"/>
  <c r="W19" i="108"/>
  <c r="V19" i="108"/>
  <c r="U19" i="108"/>
  <c r="S19" i="108"/>
  <c r="R19" i="108"/>
  <c r="J19" i="108"/>
  <c r="I19" i="108"/>
  <c r="V18" i="108"/>
  <c r="U18" i="108"/>
  <c r="S18" i="108"/>
  <c r="R18" i="108"/>
  <c r="J18" i="108"/>
  <c r="I18" i="108"/>
  <c r="W18" i="108" s="1"/>
  <c r="W17" i="108"/>
  <c r="V17" i="108"/>
  <c r="U17" i="108"/>
  <c r="S17" i="108"/>
  <c r="R17" i="108"/>
  <c r="J17" i="108"/>
  <c r="I17" i="108"/>
  <c r="U16" i="108"/>
  <c r="V16" i="108" s="1"/>
  <c r="S16" i="108"/>
  <c r="R16" i="108"/>
  <c r="J16" i="108"/>
  <c r="I16" i="108"/>
  <c r="W16" i="108" s="1"/>
  <c r="V15" i="108"/>
  <c r="U15" i="108"/>
  <c r="S15" i="108"/>
  <c r="R15" i="108"/>
  <c r="J15" i="108"/>
  <c r="I15" i="108"/>
  <c r="W15" i="108" s="1"/>
  <c r="U14" i="108"/>
  <c r="V14" i="108" s="1"/>
  <c r="S14" i="108"/>
  <c r="R14" i="108"/>
  <c r="J14" i="108"/>
  <c r="I14" i="108"/>
  <c r="U13" i="108"/>
  <c r="V13" i="108" s="1"/>
  <c r="S13" i="108"/>
  <c r="R13" i="108"/>
  <c r="J13" i="108"/>
  <c r="I13" i="108"/>
  <c r="U12" i="108"/>
  <c r="V12" i="108" s="1"/>
  <c r="S12" i="108"/>
  <c r="R12" i="108"/>
  <c r="J12" i="108"/>
  <c r="I12" i="108"/>
  <c r="W11" i="108"/>
  <c r="V11" i="108"/>
  <c r="U11" i="108"/>
  <c r="S11" i="108"/>
  <c r="R11" i="108"/>
  <c r="J11" i="108"/>
  <c r="I11" i="108"/>
  <c r="U10" i="108"/>
  <c r="V10" i="108" s="1"/>
  <c r="S10" i="108"/>
  <c r="R10" i="108"/>
  <c r="J10" i="108"/>
  <c r="I10" i="108"/>
  <c r="A10" i="108"/>
  <c r="A11" i="108" s="1"/>
  <c r="A12" i="108" s="1"/>
  <c r="A13" i="108" s="1"/>
  <c r="A14" i="108" s="1"/>
  <c r="A15" i="108" s="1"/>
  <c r="A16" i="108" s="1"/>
  <c r="A17" i="108" s="1"/>
  <c r="A18" i="108" s="1"/>
  <c r="A19" i="108" s="1"/>
  <c r="A20" i="108" s="1"/>
  <c r="A21" i="108" s="1"/>
  <c r="A22" i="108" s="1"/>
  <c r="A23" i="108" s="1"/>
  <c r="A24" i="108" s="1"/>
  <c r="A25" i="108" s="1"/>
  <c r="A26" i="108" s="1"/>
  <c r="A27" i="108" s="1"/>
  <c r="A28" i="108" s="1"/>
  <c r="A29" i="108" s="1"/>
  <c r="A30" i="108" s="1"/>
  <c r="A31" i="108" s="1"/>
  <c r="A32" i="108" s="1"/>
  <c r="A33" i="108" s="1"/>
  <c r="A34" i="108" s="1"/>
  <c r="A35" i="108" s="1"/>
  <c r="A36" i="108" s="1"/>
  <c r="A37" i="108" s="1"/>
  <c r="A38" i="108" s="1"/>
  <c r="A39" i="108" s="1"/>
  <c r="A40" i="108" s="1"/>
  <c r="A41" i="108" s="1"/>
  <c r="A42" i="108" s="1"/>
  <c r="A43" i="108" s="1"/>
  <c r="A44" i="108" s="1"/>
  <c r="A45" i="108" s="1"/>
  <c r="A46" i="108" s="1"/>
  <c r="A47" i="108" s="1"/>
  <c r="A48" i="108" s="1"/>
  <c r="A49" i="108" s="1"/>
  <c r="A50" i="108" s="1"/>
  <c r="A51" i="108" s="1"/>
  <c r="A52" i="108" s="1"/>
  <c r="A53" i="108" s="1"/>
  <c r="A54" i="108" s="1"/>
  <c r="A55" i="108" s="1"/>
  <c r="A56" i="108" s="1"/>
  <c r="A57" i="108" s="1"/>
  <c r="A58" i="108" s="1"/>
  <c r="A59" i="108" s="1"/>
  <c r="V9" i="108"/>
  <c r="U9" i="108"/>
  <c r="S9" i="108"/>
  <c r="R9" i="108"/>
  <c r="J9" i="108"/>
  <c r="I9" i="108"/>
  <c r="W9" i="108" s="1"/>
  <c r="A9" i="108"/>
  <c r="U8" i="108"/>
  <c r="S8" i="108"/>
  <c r="R8" i="108"/>
  <c r="J8" i="108"/>
  <c r="I8" i="108"/>
  <c r="W48" i="108" l="1"/>
  <c r="W38" i="108"/>
  <c r="W24" i="108"/>
  <c r="W23" i="108"/>
  <c r="W21" i="108"/>
  <c r="W20" i="108"/>
  <c r="W14" i="108"/>
  <c r="R60" i="108"/>
  <c r="U60" i="108"/>
  <c r="S60" i="108"/>
  <c r="W13" i="108"/>
  <c r="W12" i="108"/>
  <c r="W10" i="108"/>
  <c r="I60" i="108"/>
  <c r="W8" i="108"/>
  <c r="W60" i="109"/>
  <c r="W60" i="110"/>
  <c r="J60" i="108"/>
  <c r="V8" i="108"/>
  <c r="V60" i="108" s="1"/>
  <c r="Q60" i="107"/>
  <c r="P60" i="107"/>
  <c r="O60" i="107"/>
  <c r="N60" i="107"/>
  <c r="M60" i="107"/>
  <c r="L60" i="107"/>
  <c r="H60" i="107"/>
  <c r="G60" i="107"/>
  <c r="E60" i="107"/>
  <c r="D60" i="107"/>
  <c r="C60" i="107"/>
  <c r="S59" i="107"/>
  <c r="R59" i="107"/>
  <c r="J59" i="107"/>
  <c r="I59" i="107"/>
  <c r="S58" i="107"/>
  <c r="R58" i="107"/>
  <c r="J58" i="107"/>
  <c r="I58" i="107"/>
  <c r="S57" i="107"/>
  <c r="R57" i="107"/>
  <c r="J57" i="107"/>
  <c r="I57" i="107"/>
  <c r="S56" i="107"/>
  <c r="R56" i="107"/>
  <c r="J56" i="107"/>
  <c r="I56" i="107"/>
  <c r="S55" i="107"/>
  <c r="R55" i="107"/>
  <c r="J55" i="107"/>
  <c r="I55" i="107"/>
  <c r="V54" i="107"/>
  <c r="U54" i="107"/>
  <c r="S54" i="107"/>
  <c r="R54" i="107"/>
  <c r="J54" i="107"/>
  <c r="I54" i="107"/>
  <c r="W54" i="107" s="1"/>
  <c r="U53" i="107"/>
  <c r="V53" i="107" s="1"/>
  <c r="S53" i="107"/>
  <c r="R53" i="107"/>
  <c r="J53" i="107"/>
  <c r="I53" i="107"/>
  <c r="W53" i="107" s="1"/>
  <c r="W52" i="107"/>
  <c r="V52" i="107"/>
  <c r="U52" i="107"/>
  <c r="S52" i="107"/>
  <c r="R52" i="107"/>
  <c r="J52" i="107"/>
  <c r="I52" i="107"/>
  <c r="W51" i="107"/>
  <c r="U51" i="107"/>
  <c r="V51" i="107" s="1"/>
  <c r="S51" i="107"/>
  <c r="R51" i="107"/>
  <c r="J51" i="107"/>
  <c r="I51" i="107"/>
  <c r="V50" i="107"/>
  <c r="U50" i="107"/>
  <c r="S50" i="107"/>
  <c r="R50" i="107"/>
  <c r="J50" i="107"/>
  <c r="I50" i="107"/>
  <c r="W50" i="107" s="1"/>
  <c r="U49" i="107"/>
  <c r="V49" i="107" s="1"/>
  <c r="S49" i="107"/>
  <c r="R49" i="107"/>
  <c r="J49" i="107"/>
  <c r="I49" i="107"/>
  <c r="W49" i="107" s="1"/>
  <c r="V48" i="107"/>
  <c r="U48" i="107"/>
  <c r="S48" i="107"/>
  <c r="R48" i="107"/>
  <c r="J48" i="107"/>
  <c r="I48" i="107"/>
  <c r="W48" i="107" s="1"/>
  <c r="U47" i="107"/>
  <c r="V47" i="107" s="1"/>
  <c r="S47" i="107"/>
  <c r="R47" i="107"/>
  <c r="J47" i="107"/>
  <c r="I47" i="107"/>
  <c r="W47" i="107" s="1"/>
  <c r="V46" i="107"/>
  <c r="U46" i="107"/>
  <c r="S46" i="107"/>
  <c r="R46" i="107"/>
  <c r="J46" i="107"/>
  <c r="I46" i="107"/>
  <c r="W46" i="107" s="1"/>
  <c r="S45" i="107"/>
  <c r="R45" i="107"/>
  <c r="J45" i="107"/>
  <c r="I45" i="107"/>
  <c r="U44" i="107"/>
  <c r="V44" i="107" s="1"/>
  <c r="S44" i="107"/>
  <c r="R44" i="107"/>
  <c r="J44" i="107"/>
  <c r="I44" i="107"/>
  <c r="W44" i="107" s="1"/>
  <c r="S43" i="107"/>
  <c r="R43" i="107"/>
  <c r="J43" i="107"/>
  <c r="I43" i="107"/>
  <c r="U42" i="107"/>
  <c r="V42" i="107" s="1"/>
  <c r="S42" i="107"/>
  <c r="R42" i="107"/>
  <c r="J42" i="107"/>
  <c r="I42" i="107"/>
  <c r="U41" i="107"/>
  <c r="V41" i="107" s="1"/>
  <c r="S41" i="107"/>
  <c r="R41" i="107"/>
  <c r="J41" i="107"/>
  <c r="I41" i="107"/>
  <c r="W41" i="107" s="1"/>
  <c r="U40" i="107"/>
  <c r="V40" i="107" s="1"/>
  <c r="S40" i="107"/>
  <c r="R40" i="107"/>
  <c r="J40" i="107"/>
  <c r="I40" i="107"/>
  <c r="W40" i="107" s="1"/>
  <c r="U39" i="107"/>
  <c r="V39" i="107" s="1"/>
  <c r="S39" i="107"/>
  <c r="R39" i="107"/>
  <c r="J39" i="107"/>
  <c r="I39" i="107"/>
  <c r="W39" i="107" s="1"/>
  <c r="U38" i="107"/>
  <c r="V38" i="107" s="1"/>
  <c r="S38" i="107"/>
  <c r="R38" i="107"/>
  <c r="J38" i="107"/>
  <c r="I38" i="107"/>
  <c r="W38" i="107" s="1"/>
  <c r="U37" i="107"/>
  <c r="V37" i="107" s="1"/>
  <c r="S37" i="107"/>
  <c r="R37" i="107"/>
  <c r="J37" i="107"/>
  <c r="I37" i="107"/>
  <c r="W37" i="107" s="1"/>
  <c r="U36" i="107"/>
  <c r="V36" i="107" s="1"/>
  <c r="S36" i="107"/>
  <c r="R36" i="107"/>
  <c r="J36" i="107"/>
  <c r="I36" i="107"/>
  <c r="W36" i="107" s="1"/>
  <c r="U35" i="107"/>
  <c r="V35" i="107" s="1"/>
  <c r="S35" i="107"/>
  <c r="R35" i="107"/>
  <c r="J35" i="107"/>
  <c r="I35" i="107"/>
  <c r="U34" i="107"/>
  <c r="V34" i="107" s="1"/>
  <c r="S34" i="107"/>
  <c r="R34" i="107"/>
  <c r="J34" i="107"/>
  <c r="I34" i="107"/>
  <c r="W34" i="107" s="1"/>
  <c r="U33" i="107"/>
  <c r="V33" i="107" s="1"/>
  <c r="S33" i="107"/>
  <c r="R33" i="107"/>
  <c r="J33" i="107"/>
  <c r="I33" i="107"/>
  <c r="W33" i="107" s="1"/>
  <c r="U32" i="107"/>
  <c r="V32" i="107" s="1"/>
  <c r="S32" i="107"/>
  <c r="R32" i="107"/>
  <c r="J32" i="107"/>
  <c r="I32" i="107"/>
  <c r="W32" i="107" s="1"/>
  <c r="U31" i="107"/>
  <c r="V31" i="107" s="1"/>
  <c r="S31" i="107"/>
  <c r="R31" i="107"/>
  <c r="J31" i="107"/>
  <c r="I31" i="107"/>
  <c r="W31" i="107" s="1"/>
  <c r="U30" i="107"/>
  <c r="V30" i="107" s="1"/>
  <c r="S30" i="107"/>
  <c r="R30" i="107"/>
  <c r="J30" i="107"/>
  <c r="I30" i="107"/>
  <c r="W30" i="107" s="1"/>
  <c r="U29" i="107"/>
  <c r="V29" i="107" s="1"/>
  <c r="S29" i="107"/>
  <c r="R29" i="107"/>
  <c r="J29" i="107"/>
  <c r="I29" i="107"/>
  <c r="W29" i="107" s="1"/>
  <c r="U28" i="107"/>
  <c r="V28" i="107" s="1"/>
  <c r="S28" i="107"/>
  <c r="R28" i="107"/>
  <c r="J28" i="107"/>
  <c r="I28" i="107"/>
  <c r="W28" i="107" s="1"/>
  <c r="U27" i="107"/>
  <c r="V27" i="107" s="1"/>
  <c r="S27" i="107"/>
  <c r="R27" i="107"/>
  <c r="J27" i="107"/>
  <c r="I27" i="107"/>
  <c r="W27" i="107" s="1"/>
  <c r="BE26" i="107"/>
  <c r="U26" i="107"/>
  <c r="V26" i="107" s="1"/>
  <c r="S26" i="107"/>
  <c r="R26" i="107"/>
  <c r="J26" i="107"/>
  <c r="I26" i="107"/>
  <c r="U25" i="107"/>
  <c r="V25" i="107" s="1"/>
  <c r="S25" i="107"/>
  <c r="R25" i="107"/>
  <c r="J25" i="107"/>
  <c r="I25" i="107"/>
  <c r="U24" i="107"/>
  <c r="V24" i="107" s="1"/>
  <c r="S24" i="107"/>
  <c r="R24" i="107"/>
  <c r="J24" i="107"/>
  <c r="I24" i="107"/>
  <c r="U23" i="107"/>
  <c r="V23" i="107" s="1"/>
  <c r="S23" i="107"/>
  <c r="R23" i="107"/>
  <c r="J23" i="107"/>
  <c r="W23" i="107" s="1"/>
  <c r="I23" i="107"/>
  <c r="U22" i="107"/>
  <c r="V22" i="107" s="1"/>
  <c r="S22" i="107"/>
  <c r="R22" i="107"/>
  <c r="J22" i="107"/>
  <c r="I22" i="107"/>
  <c r="W22" i="107" s="1"/>
  <c r="U21" i="107"/>
  <c r="V21" i="107" s="1"/>
  <c r="S21" i="107"/>
  <c r="R21" i="107"/>
  <c r="J21" i="107"/>
  <c r="I21" i="107"/>
  <c r="U20" i="107"/>
  <c r="V20" i="107" s="1"/>
  <c r="S20" i="107"/>
  <c r="R20" i="107"/>
  <c r="J20" i="107"/>
  <c r="I20" i="107"/>
  <c r="U19" i="107"/>
  <c r="V19" i="107" s="1"/>
  <c r="S19" i="107"/>
  <c r="R19" i="107"/>
  <c r="J19" i="107"/>
  <c r="W19" i="107" s="1"/>
  <c r="I19" i="107"/>
  <c r="U18" i="107"/>
  <c r="V18" i="107" s="1"/>
  <c r="S18" i="107"/>
  <c r="R18" i="107"/>
  <c r="J18" i="107"/>
  <c r="I18" i="107"/>
  <c r="W18" i="107" s="1"/>
  <c r="U17" i="107"/>
  <c r="V17" i="107" s="1"/>
  <c r="S17" i="107"/>
  <c r="R17" i="107"/>
  <c r="J17" i="107"/>
  <c r="I17" i="107"/>
  <c r="U16" i="107"/>
  <c r="V16" i="107" s="1"/>
  <c r="S16" i="107"/>
  <c r="R16" i="107"/>
  <c r="J16" i="107"/>
  <c r="I16" i="107"/>
  <c r="W16" i="107" s="1"/>
  <c r="U15" i="107"/>
  <c r="V15" i="107" s="1"/>
  <c r="S15" i="107"/>
  <c r="R15" i="107"/>
  <c r="J15" i="107"/>
  <c r="I15" i="107"/>
  <c r="U14" i="107"/>
  <c r="V14" i="107" s="1"/>
  <c r="S14" i="107"/>
  <c r="R14" i="107"/>
  <c r="J14" i="107"/>
  <c r="I14" i="107"/>
  <c r="U13" i="107"/>
  <c r="V13" i="107" s="1"/>
  <c r="S13" i="107"/>
  <c r="R13" i="107"/>
  <c r="J13" i="107"/>
  <c r="I13" i="107"/>
  <c r="U12" i="107"/>
  <c r="V12" i="107" s="1"/>
  <c r="S12" i="107"/>
  <c r="R12" i="107"/>
  <c r="J12" i="107"/>
  <c r="I12" i="107"/>
  <c r="W12" i="107" s="1"/>
  <c r="U11" i="107"/>
  <c r="V11" i="107" s="1"/>
  <c r="S11" i="107"/>
  <c r="R11" i="107"/>
  <c r="J11" i="107"/>
  <c r="W11" i="107" s="1"/>
  <c r="I11" i="107"/>
  <c r="U10" i="107"/>
  <c r="V10" i="107" s="1"/>
  <c r="S10" i="107"/>
  <c r="R10" i="107"/>
  <c r="J10" i="107"/>
  <c r="I10" i="107"/>
  <c r="W10" i="107" s="1"/>
  <c r="U9" i="107"/>
  <c r="S9" i="107"/>
  <c r="R9" i="107"/>
  <c r="J9" i="107"/>
  <c r="I9" i="107"/>
  <c r="A9" i="107"/>
  <c r="A10" i="107" s="1"/>
  <c r="A11" i="107" s="1"/>
  <c r="A12" i="107" s="1"/>
  <c r="A13" i="107" s="1"/>
  <c r="A14" i="107" s="1"/>
  <c r="A15" i="107" s="1"/>
  <c r="A16" i="107" s="1"/>
  <c r="A17" i="107" s="1"/>
  <c r="A18" i="107" s="1"/>
  <c r="A19" i="107" s="1"/>
  <c r="A20" i="107" s="1"/>
  <c r="A21" i="107" s="1"/>
  <c r="A22" i="107" s="1"/>
  <c r="A23" i="107" s="1"/>
  <c r="A24" i="107" s="1"/>
  <c r="A25" i="107" s="1"/>
  <c r="A26" i="107" s="1"/>
  <c r="A27" i="107" s="1"/>
  <c r="A28" i="107" s="1"/>
  <c r="A29" i="107" s="1"/>
  <c r="A30" i="107" s="1"/>
  <c r="A31" i="107" s="1"/>
  <c r="A32" i="107" s="1"/>
  <c r="A33" i="107" s="1"/>
  <c r="A34" i="107" s="1"/>
  <c r="A35" i="107" s="1"/>
  <c r="A36" i="107" s="1"/>
  <c r="A37" i="107" s="1"/>
  <c r="A38" i="107" s="1"/>
  <c r="A39" i="107" s="1"/>
  <c r="A40" i="107" s="1"/>
  <c r="A41" i="107" s="1"/>
  <c r="A42" i="107" s="1"/>
  <c r="A43" i="107" s="1"/>
  <c r="A44" i="107" s="1"/>
  <c r="A45" i="107" s="1"/>
  <c r="A46" i="107" s="1"/>
  <c r="A47" i="107" s="1"/>
  <c r="A48" i="107" s="1"/>
  <c r="A49" i="107" s="1"/>
  <c r="A50" i="107" s="1"/>
  <c r="A51" i="107" s="1"/>
  <c r="A52" i="107" s="1"/>
  <c r="A53" i="107" s="1"/>
  <c r="A54" i="107" s="1"/>
  <c r="A55" i="107" s="1"/>
  <c r="A56" i="107" s="1"/>
  <c r="A57" i="107" s="1"/>
  <c r="A58" i="107" s="1"/>
  <c r="A59" i="107" s="1"/>
  <c r="U8" i="107"/>
  <c r="V8" i="107" s="1"/>
  <c r="S8" i="107"/>
  <c r="R8" i="107"/>
  <c r="J8" i="107"/>
  <c r="I8" i="107"/>
  <c r="Q60" i="106"/>
  <c r="P60" i="106"/>
  <c r="O60" i="106"/>
  <c r="N60" i="106"/>
  <c r="M60" i="106"/>
  <c r="L60" i="106"/>
  <c r="H60" i="106"/>
  <c r="G60" i="106"/>
  <c r="E60" i="106"/>
  <c r="D60" i="106"/>
  <c r="C60" i="106"/>
  <c r="S59" i="106"/>
  <c r="R59" i="106"/>
  <c r="J59" i="106"/>
  <c r="I59" i="106"/>
  <c r="S58" i="106"/>
  <c r="R58" i="106"/>
  <c r="J58" i="106"/>
  <c r="I58" i="106"/>
  <c r="S57" i="106"/>
  <c r="R57" i="106"/>
  <c r="J57" i="106"/>
  <c r="I57" i="106"/>
  <c r="S56" i="106"/>
  <c r="R56" i="106"/>
  <c r="J56" i="106"/>
  <c r="I56" i="106"/>
  <c r="S55" i="106"/>
  <c r="R55" i="106"/>
  <c r="J55" i="106"/>
  <c r="I55" i="106"/>
  <c r="U54" i="106"/>
  <c r="V54" i="106" s="1"/>
  <c r="S54" i="106"/>
  <c r="R54" i="106"/>
  <c r="J54" i="106"/>
  <c r="I54" i="106"/>
  <c r="W54" i="106" s="1"/>
  <c r="W53" i="106"/>
  <c r="U53" i="106"/>
  <c r="V53" i="106" s="1"/>
  <c r="S53" i="106"/>
  <c r="R53" i="106"/>
  <c r="J53" i="106"/>
  <c r="I53" i="106"/>
  <c r="U52" i="106"/>
  <c r="V52" i="106" s="1"/>
  <c r="S52" i="106"/>
  <c r="R52" i="106"/>
  <c r="J52" i="106"/>
  <c r="I52" i="106"/>
  <c r="U51" i="106"/>
  <c r="V51" i="106" s="1"/>
  <c r="S51" i="106"/>
  <c r="R51" i="106"/>
  <c r="J51" i="106"/>
  <c r="I51" i="106"/>
  <c r="W51" i="106" s="1"/>
  <c r="U50" i="106"/>
  <c r="V50" i="106" s="1"/>
  <c r="S50" i="106"/>
  <c r="R50" i="106"/>
  <c r="J50" i="106"/>
  <c r="I50" i="106"/>
  <c r="W50" i="106" s="1"/>
  <c r="U49" i="106"/>
  <c r="V49" i="106" s="1"/>
  <c r="S49" i="106"/>
  <c r="R49" i="106"/>
  <c r="J49" i="106"/>
  <c r="I49" i="106"/>
  <c r="W49" i="106" s="1"/>
  <c r="U48" i="106"/>
  <c r="V48" i="106" s="1"/>
  <c r="S48" i="106"/>
  <c r="R48" i="106"/>
  <c r="J48" i="106"/>
  <c r="I48" i="106"/>
  <c r="U47" i="106"/>
  <c r="V47" i="106" s="1"/>
  <c r="S47" i="106"/>
  <c r="R47" i="106"/>
  <c r="J47" i="106"/>
  <c r="I47" i="106"/>
  <c r="W47" i="106" s="1"/>
  <c r="U46" i="106"/>
  <c r="V46" i="106" s="1"/>
  <c r="S46" i="106"/>
  <c r="R46" i="106"/>
  <c r="J46" i="106"/>
  <c r="I46" i="106"/>
  <c r="W46" i="106" s="1"/>
  <c r="S45" i="106"/>
  <c r="R45" i="106"/>
  <c r="J45" i="106"/>
  <c r="I45" i="106"/>
  <c r="U44" i="106"/>
  <c r="V44" i="106" s="1"/>
  <c r="S44" i="106"/>
  <c r="R44" i="106"/>
  <c r="J44" i="106"/>
  <c r="I44" i="106"/>
  <c r="S43" i="106"/>
  <c r="R43" i="106"/>
  <c r="J43" i="106"/>
  <c r="I43" i="106"/>
  <c r="U42" i="106"/>
  <c r="V42" i="106" s="1"/>
  <c r="S42" i="106"/>
  <c r="R42" i="106"/>
  <c r="J42" i="106"/>
  <c r="I42" i="106"/>
  <c r="U41" i="106"/>
  <c r="V41" i="106" s="1"/>
  <c r="S41" i="106"/>
  <c r="R41" i="106"/>
  <c r="J41" i="106"/>
  <c r="I41" i="106"/>
  <c r="U40" i="106"/>
  <c r="V40" i="106" s="1"/>
  <c r="S40" i="106"/>
  <c r="R40" i="106"/>
  <c r="J40" i="106"/>
  <c r="I40" i="106"/>
  <c r="U39" i="106"/>
  <c r="V39" i="106" s="1"/>
  <c r="S39" i="106"/>
  <c r="R39" i="106"/>
  <c r="J39" i="106"/>
  <c r="I39" i="106"/>
  <c r="U38" i="106"/>
  <c r="V38" i="106" s="1"/>
  <c r="S38" i="106"/>
  <c r="R38" i="106"/>
  <c r="J38" i="106"/>
  <c r="I38" i="106"/>
  <c r="U37" i="106"/>
  <c r="V37" i="106" s="1"/>
  <c r="S37" i="106"/>
  <c r="R37" i="106"/>
  <c r="J37" i="106"/>
  <c r="I37" i="106"/>
  <c r="W37" i="106" s="1"/>
  <c r="U36" i="106"/>
  <c r="V36" i="106" s="1"/>
  <c r="S36" i="106"/>
  <c r="R36" i="106"/>
  <c r="J36" i="106"/>
  <c r="I36" i="106"/>
  <c r="W36" i="106" s="1"/>
  <c r="U35" i="106"/>
  <c r="V35" i="106" s="1"/>
  <c r="S35" i="106"/>
  <c r="R35" i="106"/>
  <c r="J35" i="106"/>
  <c r="I35" i="106"/>
  <c r="U34" i="106"/>
  <c r="V34" i="106" s="1"/>
  <c r="S34" i="106"/>
  <c r="R34" i="106"/>
  <c r="J34" i="106"/>
  <c r="I34" i="106"/>
  <c r="U33" i="106"/>
  <c r="V33" i="106" s="1"/>
  <c r="S33" i="106"/>
  <c r="R33" i="106"/>
  <c r="J33" i="106"/>
  <c r="I33" i="106"/>
  <c r="W33" i="106" s="1"/>
  <c r="U32" i="106"/>
  <c r="V32" i="106" s="1"/>
  <c r="S32" i="106"/>
  <c r="R32" i="106"/>
  <c r="J32" i="106"/>
  <c r="I32" i="106"/>
  <c r="W32" i="106" s="1"/>
  <c r="U31" i="106"/>
  <c r="V31" i="106" s="1"/>
  <c r="S31" i="106"/>
  <c r="R31" i="106"/>
  <c r="J31" i="106"/>
  <c r="I31" i="106"/>
  <c r="W31" i="106" s="1"/>
  <c r="U30" i="106"/>
  <c r="V30" i="106" s="1"/>
  <c r="S30" i="106"/>
  <c r="R30" i="106"/>
  <c r="J30" i="106"/>
  <c r="I30" i="106"/>
  <c r="W30" i="106" s="1"/>
  <c r="U29" i="106"/>
  <c r="V29" i="106" s="1"/>
  <c r="S29" i="106"/>
  <c r="R29" i="106"/>
  <c r="J29" i="106"/>
  <c r="I29" i="106"/>
  <c r="W29" i="106" s="1"/>
  <c r="U28" i="106"/>
  <c r="V28" i="106" s="1"/>
  <c r="S28" i="106"/>
  <c r="R28" i="106"/>
  <c r="J28" i="106"/>
  <c r="I28" i="106"/>
  <c r="W28" i="106" s="1"/>
  <c r="U27" i="106"/>
  <c r="V27" i="106" s="1"/>
  <c r="S27" i="106"/>
  <c r="R27" i="106"/>
  <c r="J27" i="106"/>
  <c r="I27" i="106"/>
  <c r="BE26" i="106"/>
  <c r="U26" i="106"/>
  <c r="V26" i="106" s="1"/>
  <c r="S26" i="106"/>
  <c r="R26" i="106"/>
  <c r="J26" i="106"/>
  <c r="I26" i="106"/>
  <c r="U25" i="106"/>
  <c r="V25" i="106" s="1"/>
  <c r="S25" i="106"/>
  <c r="R25" i="106"/>
  <c r="J25" i="106"/>
  <c r="I25" i="106"/>
  <c r="U24" i="106"/>
  <c r="V24" i="106" s="1"/>
  <c r="S24" i="106"/>
  <c r="R24" i="106"/>
  <c r="J24" i="106"/>
  <c r="I24" i="106"/>
  <c r="U23" i="106"/>
  <c r="V23" i="106" s="1"/>
  <c r="S23" i="106"/>
  <c r="R23" i="106"/>
  <c r="J23" i="106"/>
  <c r="I23" i="106"/>
  <c r="U22" i="106"/>
  <c r="V22" i="106" s="1"/>
  <c r="S22" i="106"/>
  <c r="R22" i="106"/>
  <c r="J22" i="106"/>
  <c r="I22" i="106"/>
  <c r="W22" i="106" s="1"/>
  <c r="U21" i="106"/>
  <c r="V21" i="106" s="1"/>
  <c r="S21" i="106"/>
  <c r="R21" i="106"/>
  <c r="J21" i="106"/>
  <c r="I21" i="106"/>
  <c r="U20" i="106"/>
  <c r="V20" i="106" s="1"/>
  <c r="S20" i="106"/>
  <c r="R20" i="106"/>
  <c r="J20" i="106"/>
  <c r="I20" i="106"/>
  <c r="U19" i="106"/>
  <c r="V19" i="106" s="1"/>
  <c r="S19" i="106"/>
  <c r="R19" i="106"/>
  <c r="J19" i="106"/>
  <c r="I19" i="106"/>
  <c r="U18" i="106"/>
  <c r="V18" i="106" s="1"/>
  <c r="S18" i="106"/>
  <c r="R18" i="106"/>
  <c r="J18" i="106"/>
  <c r="I18" i="106"/>
  <c r="W18" i="106" s="1"/>
  <c r="U17" i="106"/>
  <c r="V17" i="106" s="1"/>
  <c r="S17" i="106"/>
  <c r="R17" i="106"/>
  <c r="J17" i="106"/>
  <c r="I17" i="106"/>
  <c r="U16" i="106"/>
  <c r="V16" i="106" s="1"/>
  <c r="S16" i="106"/>
  <c r="R16" i="106"/>
  <c r="J16" i="106"/>
  <c r="I16" i="106"/>
  <c r="U15" i="106"/>
  <c r="V15" i="106" s="1"/>
  <c r="S15" i="106"/>
  <c r="R15" i="106"/>
  <c r="J15" i="106"/>
  <c r="I15" i="106"/>
  <c r="U14" i="106"/>
  <c r="V14" i="106" s="1"/>
  <c r="S14" i="106"/>
  <c r="R14" i="106"/>
  <c r="J14" i="106"/>
  <c r="I14" i="106"/>
  <c r="U13" i="106"/>
  <c r="V13" i="106" s="1"/>
  <c r="S13" i="106"/>
  <c r="R13" i="106"/>
  <c r="J13" i="106"/>
  <c r="I13" i="106"/>
  <c r="U12" i="106"/>
  <c r="V12" i="106" s="1"/>
  <c r="S12" i="106"/>
  <c r="R12" i="106"/>
  <c r="J12" i="106"/>
  <c r="I12" i="106"/>
  <c r="W12" i="106" s="1"/>
  <c r="U11" i="106"/>
  <c r="V11" i="106" s="1"/>
  <c r="S11" i="106"/>
  <c r="R11" i="106"/>
  <c r="J11" i="106"/>
  <c r="I11" i="106"/>
  <c r="U10" i="106"/>
  <c r="V10" i="106" s="1"/>
  <c r="S10" i="106"/>
  <c r="R10" i="106"/>
  <c r="J10" i="106"/>
  <c r="I10" i="106"/>
  <c r="W10" i="106" s="1"/>
  <c r="A10" i="106"/>
  <c r="A11" i="106" s="1"/>
  <c r="A12" i="106" s="1"/>
  <c r="A13" i="106" s="1"/>
  <c r="A14" i="106" s="1"/>
  <c r="A15" i="106" s="1"/>
  <c r="A16" i="106" s="1"/>
  <c r="A17" i="106" s="1"/>
  <c r="A18" i="106" s="1"/>
  <c r="A19" i="106" s="1"/>
  <c r="A20" i="106" s="1"/>
  <c r="A21" i="106" s="1"/>
  <c r="A22" i="106" s="1"/>
  <c r="A23" i="106" s="1"/>
  <c r="A24" i="106" s="1"/>
  <c r="A25" i="106" s="1"/>
  <c r="A26" i="106" s="1"/>
  <c r="A27" i="106" s="1"/>
  <c r="A28" i="106" s="1"/>
  <c r="A29" i="106" s="1"/>
  <c r="A30" i="106" s="1"/>
  <c r="A31" i="106" s="1"/>
  <c r="A32" i="106" s="1"/>
  <c r="A33" i="106" s="1"/>
  <c r="A34" i="106" s="1"/>
  <c r="A35" i="106" s="1"/>
  <c r="A36" i="106" s="1"/>
  <c r="A37" i="106" s="1"/>
  <c r="A38" i="106" s="1"/>
  <c r="A39" i="106" s="1"/>
  <c r="A40" i="106" s="1"/>
  <c r="A41" i="106" s="1"/>
  <c r="A42" i="106" s="1"/>
  <c r="A43" i="106" s="1"/>
  <c r="A44" i="106" s="1"/>
  <c r="A45" i="106" s="1"/>
  <c r="A46" i="106" s="1"/>
  <c r="A47" i="106" s="1"/>
  <c r="A48" i="106" s="1"/>
  <c r="A49" i="106" s="1"/>
  <c r="A50" i="106" s="1"/>
  <c r="A51" i="106" s="1"/>
  <c r="A52" i="106" s="1"/>
  <c r="A53" i="106" s="1"/>
  <c r="A54" i="106" s="1"/>
  <c r="A55" i="106" s="1"/>
  <c r="A56" i="106" s="1"/>
  <c r="A57" i="106" s="1"/>
  <c r="A58" i="106" s="1"/>
  <c r="A59" i="106" s="1"/>
  <c r="U9" i="106"/>
  <c r="S9" i="106"/>
  <c r="R9" i="106"/>
  <c r="J9" i="106"/>
  <c r="A9" i="106"/>
  <c r="U8" i="106"/>
  <c r="V8" i="106" s="1"/>
  <c r="S8" i="106"/>
  <c r="R8" i="106"/>
  <c r="J8" i="106"/>
  <c r="W60" i="108" l="1"/>
  <c r="W42" i="107"/>
  <c r="W35" i="107"/>
  <c r="W26" i="107"/>
  <c r="W25" i="107"/>
  <c r="W24" i="107"/>
  <c r="W21" i="107"/>
  <c r="W20" i="107"/>
  <c r="W17" i="107"/>
  <c r="W15" i="107"/>
  <c r="W14" i="107"/>
  <c r="S60" i="107"/>
  <c r="W13" i="107"/>
  <c r="J60" i="107"/>
  <c r="U60" i="107"/>
  <c r="R60" i="107"/>
  <c r="W9" i="107"/>
  <c r="W8" i="107"/>
  <c r="W48" i="106"/>
  <c r="W42" i="106"/>
  <c r="W41" i="106"/>
  <c r="W40" i="106"/>
  <c r="W26" i="106"/>
  <c r="W15" i="106"/>
  <c r="W14" i="106"/>
  <c r="W20" i="106"/>
  <c r="W23" i="106"/>
  <c r="W39" i="106"/>
  <c r="W11" i="106"/>
  <c r="W27" i="106"/>
  <c r="W52" i="106"/>
  <c r="W17" i="106"/>
  <c r="W34" i="106"/>
  <c r="W16" i="106"/>
  <c r="W19" i="106"/>
  <c r="W35" i="106"/>
  <c r="W44" i="106"/>
  <c r="W38" i="106"/>
  <c r="W25" i="106"/>
  <c r="W24" i="106"/>
  <c r="W21" i="106"/>
  <c r="R60" i="106"/>
  <c r="U60" i="106"/>
  <c r="S60" i="106"/>
  <c r="J60" i="106"/>
  <c r="W13" i="106"/>
  <c r="W9" i="106"/>
  <c r="W8" i="106"/>
  <c r="V9" i="107"/>
  <c r="V60" i="107" s="1"/>
  <c r="I60" i="107"/>
  <c r="V60" i="106"/>
  <c r="V9" i="106"/>
  <c r="I60" i="106"/>
  <c r="W60" i="107" l="1"/>
  <c r="W60" i="106"/>
  <c r="BE26" i="89" l="1"/>
  <c r="A9" i="89"/>
  <c r="A10" i="89" s="1"/>
  <c r="A11" i="89" s="1"/>
  <c r="A12" i="89" s="1"/>
  <c r="A13" i="89" s="1"/>
  <c r="A14" i="89" s="1"/>
  <c r="A15" i="89" s="1"/>
  <c r="A16" i="89" s="1"/>
  <c r="A17" i="89" s="1"/>
  <c r="A18" i="89" s="1"/>
  <c r="A19" i="89" s="1"/>
  <c r="A20" i="89" s="1"/>
  <c r="A21" i="89" s="1"/>
  <c r="A22" i="89" s="1"/>
  <c r="A23" i="89" s="1"/>
  <c r="A24" i="89" s="1"/>
  <c r="A25" i="89" s="1"/>
  <c r="A26" i="89" s="1"/>
  <c r="A27" i="89" s="1"/>
  <c r="A28" i="89" s="1"/>
  <c r="A29" i="89" s="1"/>
  <c r="A30" i="89" s="1"/>
  <c r="A31" i="89" s="1"/>
  <c r="A32" i="89" s="1"/>
  <c r="A33" i="89" s="1"/>
  <c r="A34" i="89" s="1"/>
  <c r="A35" i="89" s="1"/>
  <c r="A36" i="89" s="1"/>
  <c r="A37" i="89" s="1"/>
  <c r="A38" i="89" s="1"/>
  <c r="A39" i="89" s="1"/>
  <c r="A40" i="89" s="1"/>
  <c r="A41" i="89" s="1"/>
  <c r="A42" i="89" s="1"/>
  <c r="A43" i="89" s="1"/>
  <c r="A44" i="89" s="1"/>
  <c r="A45" i="89" s="1"/>
  <c r="A46" i="89" s="1"/>
  <c r="A47" i="89" s="1"/>
  <c r="A48" i="89" s="1"/>
  <c r="A49" i="89" s="1"/>
  <c r="A50" i="89" s="1"/>
  <c r="A51" i="89" s="1"/>
  <c r="A52" i="89" s="1"/>
  <c r="A53" i="89" s="1"/>
  <c r="A54" i="89" s="1"/>
  <c r="A55" i="89" s="1"/>
  <c r="A56" i="89" s="1"/>
  <c r="A57" i="89" s="1"/>
  <c r="A58" i="89" s="1"/>
  <c r="A59" i="8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7D93DD96-0685-4540-AFE6-99F1CDD7C24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A4EEC3EC-BDBC-4338-97E6-BE0B8FA2433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716ACC37-6F2E-471E-B5FB-7CB8AA42546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8387BDF1-5FA4-45C1-94DF-EFC576E50C0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D051C4C4-795B-491C-BBDA-1C562E0D3C1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89F84387-98A1-4A60-A18C-F1306BE9EAF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D87743D1-D5D0-4C4F-9684-97055458707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ABBCB3A3-AFF6-46E3-A1E0-338068DBBB3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C1184CB8-68F5-4E30-9BDA-A6C0AF698C4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C0CCB658-4B40-424D-993B-BA6D18C73D4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0801EAE7-426D-4BD5-ACF4-572F8D4A213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C8A1E9F6-8428-485B-BF3F-7B9F4740C21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2572C990-138E-482A-9A14-9D95621BD9C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3C65034D-65A6-40B2-8A26-F4A4D0C5129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D6E0B6C5-E243-4A03-895E-B92ABAA550F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8CC18E23-3D77-4DC5-A5D8-90BF6624E91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83B7FD2E-2D80-4D38-8B0D-3EC8E7DA746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A63857AD-A53C-4E51-A7EC-D51CF6CBEC7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3296E700-2895-43F6-A7EC-7FFC6A6438B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93BC4157-29E2-4BC6-B5AF-FE7050537A6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23789B3B-32F5-4905-B9F3-CA215E56CAD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0DE590A9-6253-4B5A-A435-6581552D6E9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3668483D-FB32-496E-AEAE-ACCD96B2B1C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BCF7BD8A-ECC2-4AA6-84C0-19449690683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E5B42987-0BA2-46F2-9009-862E9BCA46A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31A262CE-D0D2-485D-881E-F84A56C6975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530F6824-A8CB-44BF-B3FC-74F27362BE7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5" authorId="0" shapeId="0" xr:uid="{F2E12884-8694-4FEE-B6F4-808EF812227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 
Bottle Per Case
All Route</t>
        </r>
      </text>
    </comment>
    <comment ref="V5" authorId="0" shapeId="0" xr:uid="{56EE5968-EF55-4FD1-A0F0-F0B1FD638F7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Inventory
Per Case</t>
        </r>
      </text>
    </comment>
    <comment ref="W5" authorId="0" shapeId="0" xr:uid="{8554FF69-0758-4A33-8E53-F7B7EB41DD6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Total Ending Inventory
Bottle Per Case</t>
        </r>
      </text>
    </comment>
  </commentList>
</comments>
</file>

<file path=xl/sharedStrings.xml><?xml version="1.0" encoding="utf-8"?>
<sst xmlns="http://schemas.openxmlformats.org/spreadsheetml/2006/main" count="1060" uniqueCount="82">
  <si>
    <t>GUILLERMO BEVERAGE DISTRIBUTION SERVICES</t>
  </si>
  <si>
    <t>DATE</t>
  </si>
  <si>
    <t>DAILY SALES/ STOCK ISSUANCE AND RECEIPTS</t>
  </si>
  <si>
    <t>BEG INVTY</t>
  </si>
  <si>
    <t>WITHDRAWAL (+)</t>
  </si>
  <si>
    <t>TOTAL
SALES (-)</t>
  </si>
  <si>
    <t>ENDING INVTY</t>
  </si>
  <si>
    <t>SALES TO TRADE</t>
  </si>
  <si>
    <t>WW</t>
  </si>
  <si>
    <t>PROMO</t>
  </si>
  <si>
    <t>ROUTE 1</t>
  </si>
  <si>
    <t>ROUTE 2</t>
  </si>
  <si>
    <t>ROUTE 3</t>
  </si>
  <si>
    <t>TOTAL</t>
  </si>
  <si>
    <t>MONTH TO DATE</t>
  </si>
  <si>
    <t>PAMB</t>
  </si>
  <si>
    <t>PAMC</t>
  </si>
  <si>
    <t>KRB</t>
  </si>
  <si>
    <t>KRC</t>
  </si>
  <si>
    <t>CBC</t>
  </si>
  <si>
    <t>SDB</t>
  </si>
  <si>
    <t>SDC</t>
  </si>
  <si>
    <t>SMLB</t>
  </si>
  <si>
    <t>SMLL</t>
  </si>
  <si>
    <t>SMLC</t>
  </si>
  <si>
    <t>FBA</t>
  </si>
  <si>
    <t>FBAC</t>
  </si>
  <si>
    <t>FBL</t>
  </si>
  <si>
    <t>FBLC</t>
  </si>
  <si>
    <t>FBLY</t>
  </si>
  <si>
    <t>FBLYC</t>
  </si>
  <si>
    <t>PP</t>
  </si>
  <si>
    <t>PPG</t>
  </si>
  <si>
    <t>PL</t>
  </si>
  <si>
    <t>PPC</t>
  </si>
  <si>
    <t>RHS</t>
  </si>
  <si>
    <t>RHP</t>
  </si>
  <si>
    <t>RHL</t>
  </si>
  <si>
    <t>RHC</t>
  </si>
  <si>
    <t>RHSL</t>
  </si>
  <si>
    <t>SMFC</t>
  </si>
  <si>
    <t>GEK</t>
  </si>
  <si>
    <t>HSC</t>
  </si>
  <si>
    <t>HTL</t>
  </si>
  <si>
    <t>HTA</t>
  </si>
  <si>
    <t>HTS</t>
  </si>
  <si>
    <t>CB</t>
  </si>
  <si>
    <t>CC</t>
  </si>
  <si>
    <t>C10C</t>
  </si>
  <si>
    <t>CIB</t>
  </si>
  <si>
    <t>CIC</t>
  </si>
  <si>
    <t>PREV STT</t>
  </si>
  <si>
    <t>MTD STT</t>
  </si>
  <si>
    <t>EMPTIES</t>
  </si>
  <si>
    <t>EMPTIES
RETURN</t>
  </si>
  <si>
    <t>TOTAL
EMPTIES RECEIVED</t>
  </si>
  <si>
    <t>EMPTIES
ON HAND</t>
  </si>
  <si>
    <t>SHL</t>
  </si>
  <si>
    <t>BOT</t>
  </si>
  <si>
    <t>PL/RHL</t>
  </si>
  <si>
    <t>RH5</t>
  </si>
  <si>
    <t>FB/SML/RHS</t>
  </si>
  <si>
    <t>HT</t>
  </si>
  <si>
    <t>PALLETS</t>
  </si>
  <si>
    <t>NAB</t>
  </si>
  <si>
    <t>BEER
CONV</t>
  </si>
  <si>
    <t>TODAY STT</t>
  </si>
  <si>
    <t>CBB</t>
  </si>
  <si>
    <t>CNB</t>
  </si>
  <si>
    <t>CLC</t>
  </si>
  <si>
    <t>SMZB</t>
  </si>
  <si>
    <t>RH500C</t>
  </si>
  <si>
    <t>SMFB</t>
  </si>
  <si>
    <t>GE320</t>
  </si>
  <si>
    <t>FULL SKU</t>
  </si>
  <si>
    <t>BOTT.</t>
  </si>
  <si>
    <t>PP500C</t>
  </si>
  <si>
    <t>SML500C</t>
  </si>
  <si>
    <t>MGYZ</t>
  </si>
  <si>
    <t>TI PER CASE</t>
  </si>
  <si>
    <t>BOTT. PER CASE</t>
  </si>
  <si>
    <t>TOTAL BOTT PER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</si>
</sst>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F800]dddd\,\ mmmm\ dd\,\ yyyy"/>
    <numFmt numFmtId="166" formatCode="_(* #,##0_);_(* \(#,##0\);_(* &quot;-&quot;??_);_(@_)"/>
    <numFmt numFmtId="167" formatCode="_-* #,##0.0_-;\-* #,##0.0_-;_-* &quot;-&quot;??_-;_-@_-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9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auto="1"/>
      </right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 style="medium">
        <color rgb="FFFF0000"/>
      </bottom>
      <diagonal/>
    </border>
    <border>
      <left style="medium">
        <color auto="1"/>
      </left>
      <right style="thin">
        <color auto="1"/>
      </right>
      <top/>
      <bottom style="medium">
        <color rgb="FFFF0000"/>
      </bottom>
      <diagonal/>
    </border>
    <border>
      <left/>
      <right style="thin">
        <color auto="1"/>
      </right>
      <top style="thin">
        <color auto="1"/>
      </top>
      <bottom style="medium">
        <color rgb="FFFF0000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FF0000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rgb="FFFF0000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auto="1"/>
      </right>
      <top style="medium">
        <color auto="1"/>
      </top>
      <bottom style="medium">
        <color rgb="FFFF000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rgb="FFFF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auto="1"/>
      </right>
      <top style="medium">
        <color rgb="FFFF0000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theme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rgb="FFFF0000"/>
      </bottom>
      <diagonal/>
    </border>
    <border>
      <left/>
      <right style="thin">
        <color auto="1"/>
      </right>
      <top/>
      <bottom style="medium">
        <color rgb="FFFF0000"/>
      </bottom>
      <diagonal/>
    </border>
    <border>
      <left/>
      <right style="medium">
        <color auto="1"/>
      </right>
      <top style="medium">
        <color auto="1"/>
      </top>
      <bottom style="medium">
        <color rgb="FFFF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CC3399"/>
      </bottom>
      <diagonal/>
    </border>
    <border>
      <left/>
      <right style="thin">
        <color auto="1"/>
      </right>
      <top style="thin">
        <color auto="1"/>
      </top>
      <bottom style="medium">
        <color rgb="FFCC33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CC3399"/>
      </bottom>
      <diagonal/>
    </border>
    <border>
      <left style="thin">
        <color auto="1"/>
      </left>
      <right/>
      <top style="thin">
        <color auto="1"/>
      </top>
      <bottom style="medium">
        <color rgb="FFCC3399"/>
      </bottom>
      <diagonal/>
    </border>
    <border>
      <left style="thin">
        <color auto="1"/>
      </left>
      <right/>
      <top/>
      <bottom style="medium">
        <color rgb="FFCC3399"/>
      </bottom>
      <diagonal/>
    </border>
    <border>
      <left style="thin">
        <color auto="1"/>
      </left>
      <right style="medium">
        <color auto="1"/>
      </right>
      <top/>
      <bottom style="medium">
        <color rgb="FFCC3399"/>
      </bottom>
      <diagonal/>
    </border>
    <border>
      <left/>
      <right/>
      <top/>
      <bottom style="medium">
        <color rgb="FFCC3399"/>
      </bottom>
      <diagonal/>
    </border>
    <border>
      <left style="thin">
        <color auto="1"/>
      </left>
      <right style="thin">
        <color auto="1"/>
      </right>
      <top/>
      <bottom style="medium">
        <color rgb="FFCC3399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CC3399"/>
      </bottom>
      <diagonal/>
    </border>
    <border>
      <left style="thin">
        <color theme="1"/>
      </left>
      <right style="medium">
        <color auto="1"/>
      </right>
      <top style="medium">
        <color auto="1"/>
      </top>
      <bottom style="medium">
        <color rgb="FFCC3399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auto="1"/>
      </left>
      <right style="thin">
        <color auto="1"/>
      </right>
      <top style="medium">
        <color rgb="FFCC3399"/>
      </top>
      <bottom style="medium">
        <color rgb="FF00B0F0"/>
      </bottom>
      <diagonal/>
    </border>
    <border>
      <left/>
      <right style="thin">
        <color auto="1"/>
      </right>
      <top style="medium">
        <color rgb="FFCC3399"/>
      </top>
      <bottom style="medium">
        <color rgb="FF00B0F0"/>
      </bottom>
      <diagonal/>
    </border>
    <border>
      <left style="thin">
        <color auto="1"/>
      </left>
      <right style="thin">
        <color auto="1"/>
      </right>
      <top style="medium">
        <color rgb="FFCC3399"/>
      </top>
      <bottom style="medium">
        <color rgb="FF00B0F0"/>
      </bottom>
      <diagonal/>
    </border>
    <border>
      <left style="thin">
        <color auto="1"/>
      </left>
      <right/>
      <top style="medium">
        <color rgb="FFCC3399"/>
      </top>
      <bottom style="medium">
        <color rgb="FF00B0F0"/>
      </bottom>
      <diagonal/>
    </border>
    <border>
      <left style="thin">
        <color auto="1"/>
      </left>
      <right style="medium">
        <color auto="1"/>
      </right>
      <top style="medium">
        <color rgb="FFCC3399"/>
      </top>
      <bottom style="medium">
        <color rgb="FF00B0F0"/>
      </bottom>
      <diagonal/>
    </border>
    <border>
      <left/>
      <right/>
      <top style="medium">
        <color rgb="FFCC3399"/>
      </top>
      <bottom style="medium">
        <color rgb="FF00B0F0"/>
      </bottom>
      <diagonal/>
    </border>
    <border>
      <left style="thin">
        <color theme="1"/>
      </left>
      <right style="thin">
        <color theme="1"/>
      </right>
      <top style="medium">
        <color rgb="FFCC3399"/>
      </top>
      <bottom style="medium">
        <color rgb="FF00B0F0"/>
      </bottom>
      <diagonal/>
    </border>
    <border>
      <left style="thin">
        <color theme="1"/>
      </left>
      <right style="medium">
        <color auto="1"/>
      </right>
      <top style="medium">
        <color rgb="FFCC3399"/>
      </top>
      <bottom style="medium">
        <color rgb="FF00B0F0"/>
      </bottom>
      <diagonal/>
    </border>
    <border>
      <left style="thin">
        <color auto="1"/>
      </left>
      <right style="medium">
        <color auto="1"/>
      </right>
      <top style="medium">
        <color rgb="FF00B0F0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medium">
        <color rgb="FF00B0F0"/>
      </top>
      <bottom style="medium">
        <color rgb="FFFF0000"/>
      </bottom>
      <diagonal/>
    </border>
    <border>
      <left style="thin">
        <color theme="1"/>
      </left>
      <right style="medium">
        <color auto="1"/>
      </right>
      <top style="medium">
        <color rgb="FF00B0F0"/>
      </top>
      <bottom style="medium">
        <color rgb="FFFF0000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1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 wrapText="1"/>
    </xf>
    <xf numFmtId="165" fontId="2" fillId="0" borderId="0" xfId="1" applyNumberFormat="1" applyFont="1" applyAlignment="1">
      <alignment horizontal="center" vertical="center"/>
    </xf>
    <xf numFmtId="0" fontId="2" fillId="0" borderId="14" xfId="1" applyFont="1" applyBorder="1" applyAlignment="1">
      <alignment vertical="center"/>
    </xf>
    <xf numFmtId="166" fontId="3" fillId="0" borderId="15" xfId="2" applyNumberFormat="1" applyFont="1" applyFill="1" applyBorder="1" applyAlignment="1">
      <alignment vertical="center"/>
    </xf>
    <xf numFmtId="165" fontId="2" fillId="0" borderId="0" xfId="1" applyNumberFormat="1" applyFont="1" applyAlignment="1">
      <alignment vertical="center"/>
    </xf>
    <xf numFmtId="0" fontId="2" fillId="0" borderId="17" xfId="1" applyFont="1" applyBorder="1" applyAlignment="1">
      <alignment vertical="center"/>
    </xf>
    <xf numFmtId="166" fontId="3" fillId="0" borderId="0" xfId="1" applyNumberFormat="1" applyFont="1" applyAlignment="1">
      <alignment vertical="center"/>
    </xf>
    <xf numFmtId="0" fontId="2" fillId="0" borderId="7" xfId="1" applyFont="1" applyBorder="1" applyAlignment="1">
      <alignment vertical="center" wrapText="1"/>
    </xf>
    <xf numFmtId="0" fontId="3" fillId="0" borderId="18" xfId="1" applyFont="1" applyBorder="1" applyAlignment="1">
      <alignment vertical="center"/>
    </xf>
    <xf numFmtId="0" fontId="2" fillId="0" borderId="19" xfId="1" applyFont="1" applyBorder="1" applyAlignment="1">
      <alignment vertical="center"/>
    </xf>
    <xf numFmtId="0" fontId="2" fillId="0" borderId="21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3" fillId="0" borderId="15" xfId="1" applyFont="1" applyBorder="1" applyAlignment="1">
      <alignment vertical="center"/>
    </xf>
    <xf numFmtId="166" fontId="3" fillId="0" borderId="18" xfId="2" applyNumberFormat="1" applyFont="1" applyFill="1" applyBorder="1" applyAlignment="1">
      <alignment vertical="center"/>
    </xf>
    <xf numFmtId="0" fontId="3" fillId="0" borderId="6" xfId="1" applyFont="1" applyBorder="1" applyAlignment="1">
      <alignment vertical="center"/>
    </xf>
    <xf numFmtId="0" fontId="3" fillId="0" borderId="25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167" fontId="3" fillId="0" borderId="15" xfId="3" applyNumberFormat="1" applyFont="1" applyFill="1" applyBorder="1" applyAlignment="1">
      <alignment vertical="center"/>
    </xf>
    <xf numFmtId="167" fontId="3" fillId="0" borderId="16" xfId="3" applyNumberFormat="1" applyFont="1" applyFill="1" applyBorder="1" applyAlignment="1">
      <alignment vertical="center"/>
    </xf>
    <xf numFmtId="167" fontId="2" fillId="0" borderId="11" xfId="3" applyNumberFormat="1" applyFont="1" applyFill="1" applyBorder="1" applyAlignment="1">
      <alignment vertical="center"/>
    </xf>
    <xf numFmtId="167" fontId="2" fillId="0" borderId="9" xfId="3" applyNumberFormat="1" applyFont="1" applyBorder="1" applyAlignment="1">
      <alignment vertical="center"/>
    </xf>
    <xf numFmtId="167" fontId="2" fillId="0" borderId="4" xfId="3" applyNumberFormat="1" applyFont="1" applyBorder="1" applyAlignment="1">
      <alignment vertical="center"/>
    </xf>
    <xf numFmtId="167" fontId="2" fillId="0" borderId="5" xfId="3" applyNumberFormat="1" applyFont="1" applyBorder="1" applyAlignment="1">
      <alignment vertical="center"/>
    </xf>
    <xf numFmtId="167" fontId="2" fillId="0" borderId="6" xfId="3" applyNumberFormat="1" applyFont="1" applyBorder="1" applyAlignment="1">
      <alignment vertical="center"/>
    </xf>
    <xf numFmtId="167" fontId="2" fillId="2" borderId="17" xfId="3" applyNumberFormat="1" applyFont="1" applyFill="1" applyBorder="1" applyAlignment="1">
      <alignment vertical="center"/>
    </xf>
    <xf numFmtId="167" fontId="2" fillId="2" borderId="18" xfId="3" applyNumberFormat="1" applyFont="1" applyFill="1" applyBorder="1" applyAlignment="1">
      <alignment vertical="center"/>
    </xf>
    <xf numFmtId="167" fontId="2" fillId="2" borderId="25" xfId="3" applyNumberFormat="1" applyFont="1" applyFill="1" applyBorder="1" applyAlignment="1">
      <alignment vertical="center"/>
    </xf>
    <xf numFmtId="167" fontId="2" fillId="0" borderId="17" xfId="3" applyNumberFormat="1" applyFont="1" applyBorder="1" applyAlignment="1">
      <alignment vertical="center"/>
    </xf>
    <xf numFmtId="167" fontId="2" fillId="0" borderId="18" xfId="3" applyNumberFormat="1" applyFont="1" applyBorder="1" applyAlignment="1">
      <alignment vertical="center"/>
    </xf>
    <xf numFmtId="167" fontId="2" fillId="0" borderId="25" xfId="3" applyNumberFormat="1" applyFont="1" applyBorder="1" applyAlignment="1">
      <alignment vertical="center"/>
    </xf>
    <xf numFmtId="167" fontId="2" fillId="0" borderId="7" xfId="3" applyNumberFormat="1" applyFont="1" applyBorder="1" applyAlignment="1">
      <alignment vertical="center"/>
    </xf>
    <xf numFmtId="167" fontId="2" fillId="0" borderId="8" xfId="3" applyNumberFormat="1" applyFont="1" applyBorder="1" applyAlignment="1">
      <alignment vertical="center"/>
    </xf>
    <xf numFmtId="167" fontId="3" fillId="0" borderId="0" xfId="3" applyNumberFormat="1" applyFont="1" applyAlignment="1">
      <alignment vertical="center"/>
    </xf>
    <xf numFmtId="167" fontId="2" fillId="0" borderId="0" xfId="3" applyNumberFormat="1" applyFont="1" applyAlignment="1">
      <alignment vertical="center"/>
    </xf>
    <xf numFmtId="167" fontId="2" fillId="0" borderId="7" xfId="3" applyNumberFormat="1" applyFont="1" applyFill="1" applyBorder="1" applyAlignment="1">
      <alignment vertical="center"/>
    </xf>
    <xf numFmtId="167" fontId="2" fillId="0" borderId="8" xfId="3" applyNumberFormat="1" applyFont="1" applyFill="1" applyBorder="1" applyAlignment="1">
      <alignment vertical="center"/>
    </xf>
    <xf numFmtId="167" fontId="2" fillId="0" borderId="9" xfId="3" applyNumberFormat="1" applyFont="1" applyFill="1" applyBorder="1" applyAlignment="1">
      <alignment vertical="center"/>
    </xf>
    <xf numFmtId="0" fontId="2" fillId="0" borderId="0" xfId="1" applyFont="1" applyFill="1" applyAlignment="1">
      <alignment vertical="center"/>
    </xf>
    <xf numFmtId="2" fontId="3" fillId="0" borderId="0" xfId="1" applyNumberFormat="1" applyFont="1" applyAlignment="1">
      <alignment vertical="center"/>
    </xf>
    <xf numFmtId="0" fontId="2" fillId="0" borderId="27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2" fillId="0" borderId="28" xfId="1" applyFont="1" applyBorder="1" applyAlignment="1">
      <alignment vertical="center"/>
    </xf>
    <xf numFmtId="167" fontId="3" fillId="0" borderId="31" xfId="3" applyNumberFormat="1" applyFont="1" applyBorder="1" applyAlignment="1">
      <alignment vertical="center"/>
    </xf>
    <xf numFmtId="167" fontId="3" fillId="0" borderId="30" xfId="3" applyNumberFormat="1" applyFont="1" applyFill="1" applyBorder="1" applyAlignment="1">
      <alignment vertical="center"/>
    </xf>
    <xf numFmtId="167" fontId="2" fillId="0" borderId="31" xfId="3" applyNumberFormat="1" applyFont="1" applyBorder="1" applyAlignment="1">
      <alignment vertical="center"/>
    </xf>
    <xf numFmtId="167" fontId="2" fillId="0" borderId="27" xfId="3" applyNumberFormat="1" applyFont="1" applyFill="1" applyBorder="1" applyAlignment="1">
      <alignment vertical="center"/>
    </xf>
    <xf numFmtId="167" fontId="3" fillId="0" borderId="39" xfId="3" applyNumberFormat="1" applyFont="1" applyFill="1" applyBorder="1" applyAlignment="1">
      <alignment vertical="center"/>
    </xf>
    <xf numFmtId="167" fontId="2" fillId="0" borderId="41" xfId="3" applyNumberFormat="1" applyFont="1" applyFill="1" applyBorder="1" applyAlignment="1">
      <alignment vertical="center"/>
    </xf>
    <xf numFmtId="0" fontId="3" fillId="0" borderId="35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3" fillId="0" borderId="42" xfId="1" applyFont="1" applyBorder="1" applyAlignment="1">
      <alignment horizontal="center" vertical="center" wrapText="1"/>
    </xf>
    <xf numFmtId="0" fontId="3" fillId="0" borderId="43" xfId="1" applyFont="1" applyBorder="1" applyAlignment="1">
      <alignment horizontal="center" vertical="center"/>
    </xf>
    <xf numFmtId="0" fontId="3" fillId="0" borderId="44" xfId="1" applyFont="1" applyBorder="1" applyAlignment="1">
      <alignment horizontal="center" vertical="center"/>
    </xf>
    <xf numFmtId="167" fontId="2" fillId="0" borderId="26" xfId="3" applyNumberFormat="1" applyFont="1" applyBorder="1" applyAlignment="1">
      <alignment vertical="center"/>
    </xf>
    <xf numFmtId="167" fontId="2" fillId="2" borderId="46" xfId="3" applyNumberFormat="1" applyFont="1" applyFill="1" applyBorder="1" applyAlignment="1">
      <alignment vertical="center"/>
    </xf>
    <xf numFmtId="167" fontId="2" fillId="0" borderId="46" xfId="3" applyNumberFormat="1" applyFont="1" applyBorder="1" applyAlignment="1">
      <alignment vertical="center"/>
    </xf>
    <xf numFmtId="167" fontId="2" fillId="0" borderId="27" xfId="3" applyNumberFormat="1" applyFont="1" applyBorder="1" applyAlignment="1">
      <alignment vertical="center"/>
    </xf>
    <xf numFmtId="0" fontId="2" fillId="0" borderId="47" xfId="1" applyFont="1" applyBorder="1" applyAlignment="1">
      <alignment horizontal="center" vertical="center"/>
    </xf>
    <xf numFmtId="167" fontId="2" fillId="0" borderId="37" xfId="3" applyNumberFormat="1" applyFont="1" applyBorder="1" applyAlignment="1">
      <alignment vertical="center"/>
    </xf>
    <xf numFmtId="167" fontId="2" fillId="2" borderId="49" xfId="3" applyNumberFormat="1" applyFont="1" applyFill="1" applyBorder="1" applyAlignment="1">
      <alignment vertical="center"/>
    </xf>
    <xf numFmtId="167" fontId="2" fillId="0" borderId="49" xfId="3" applyNumberFormat="1" applyFont="1" applyBorder="1" applyAlignment="1">
      <alignment vertical="center"/>
    </xf>
    <xf numFmtId="167" fontId="2" fillId="0" borderId="38" xfId="3" applyNumberFormat="1" applyFont="1" applyBorder="1" applyAlignment="1">
      <alignment vertical="center"/>
    </xf>
    <xf numFmtId="0" fontId="2" fillId="0" borderId="50" xfId="1" applyFont="1" applyBorder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3" fontId="3" fillId="0" borderId="39" xfId="3" applyNumberFormat="1" applyFont="1" applyFill="1" applyBorder="1" applyAlignment="1">
      <alignment vertical="center"/>
    </xf>
    <xf numFmtId="3" fontId="2" fillId="0" borderId="8" xfId="3" applyNumberFormat="1" applyFont="1" applyFill="1" applyBorder="1" applyAlignment="1">
      <alignment vertical="center"/>
    </xf>
    <xf numFmtId="3" fontId="2" fillId="0" borderId="38" xfId="3" applyNumberFormat="1" applyFont="1" applyFill="1" applyBorder="1" applyAlignment="1">
      <alignment vertical="center"/>
    </xf>
    <xf numFmtId="3" fontId="3" fillId="0" borderId="15" xfId="3" applyNumberFormat="1" applyFont="1" applyFill="1" applyBorder="1" applyAlignment="1">
      <alignment vertical="center"/>
    </xf>
    <xf numFmtId="3" fontId="3" fillId="0" borderId="16" xfId="3" applyNumberFormat="1" applyFont="1" applyFill="1" applyBorder="1" applyAlignment="1">
      <alignment vertical="center"/>
    </xf>
    <xf numFmtId="3" fontId="3" fillId="0" borderId="29" xfId="3" applyNumberFormat="1" applyFont="1" applyFill="1" applyBorder="1" applyAlignment="1">
      <alignment vertical="center"/>
    </xf>
    <xf numFmtId="3" fontId="3" fillId="0" borderId="40" xfId="3" applyNumberFormat="1" applyFont="1" applyFill="1" applyBorder="1" applyAlignment="1">
      <alignment vertical="center"/>
    </xf>
    <xf numFmtId="3" fontId="3" fillId="0" borderId="51" xfId="3" applyNumberFormat="1" applyFont="1" applyFill="1" applyBorder="1" applyAlignment="1">
      <alignment vertical="center"/>
    </xf>
    <xf numFmtId="0" fontId="2" fillId="0" borderId="24" xfId="1" applyFont="1" applyBorder="1" applyAlignment="1">
      <alignment vertical="center"/>
    </xf>
    <xf numFmtId="3" fontId="3" fillId="0" borderId="54" xfId="3" applyNumberFormat="1" applyFont="1" applyFill="1" applyBorder="1" applyAlignment="1">
      <alignment vertical="center"/>
    </xf>
    <xf numFmtId="0" fontId="5" fillId="0" borderId="53" xfId="1" applyFont="1" applyBorder="1" applyAlignment="1">
      <alignment horizontal="center" vertical="center"/>
    </xf>
    <xf numFmtId="3" fontId="2" fillId="0" borderId="12" xfId="3" applyNumberFormat="1" applyFont="1" applyFill="1" applyBorder="1" applyAlignment="1">
      <alignment vertical="center"/>
    </xf>
    <xf numFmtId="3" fontId="2" fillId="0" borderId="41" xfId="3" applyNumberFormat="1" applyFont="1" applyFill="1" applyBorder="1" applyAlignment="1">
      <alignment vertical="center"/>
    </xf>
    <xf numFmtId="3" fontId="3" fillId="0" borderId="55" xfId="3" applyNumberFormat="1" applyFont="1" applyFill="1" applyBorder="1" applyAlignment="1">
      <alignment vertical="center"/>
    </xf>
    <xf numFmtId="0" fontId="2" fillId="0" borderId="52" xfId="1" applyFont="1" applyBorder="1" applyAlignment="1">
      <alignment horizontal="center" vertical="center" wrapText="1"/>
    </xf>
    <xf numFmtId="167" fontId="3" fillId="0" borderId="55" xfId="3" applyNumberFormat="1" applyFont="1" applyFill="1" applyBorder="1" applyAlignment="1">
      <alignment vertical="center"/>
    </xf>
    <xf numFmtId="0" fontId="2" fillId="0" borderId="13" xfId="1" applyFont="1" applyBorder="1" applyAlignment="1">
      <alignment horizontal="center" vertical="center" wrapText="1"/>
    </xf>
    <xf numFmtId="167" fontId="2" fillId="0" borderId="44" xfId="3" applyNumberFormat="1" applyFont="1" applyFill="1" applyBorder="1" applyAlignment="1">
      <alignment vertical="center"/>
    </xf>
    <xf numFmtId="0" fontId="2" fillId="0" borderId="22" xfId="1" applyFont="1" applyBorder="1" applyAlignment="1">
      <alignment horizontal="center" vertical="center" wrapText="1"/>
    </xf>
    <xf numFmtId="167" fontId="3" fillId="0" borderId="25" xfId="3" applyNumberFormat="1" applyFont="1" applyFill="1" applyBorder="1" applyAlignment="1">
      <alignment vertical="center"/>
    </xf>
    <xf numFmtId="3" fontId="3" fillId="0" borderId="56" xfId="3" applyNumberFormat="1" applyFont="1" applyFill="1" applyBorder="1" applyAlignment="1">
      <alignment vertical="center"/>
    </xf>
    <xf numFmtId="3" fontId="3" fillId="0" borderId="52" xfId="3" applyNumberFormat="1" applyFont="1" applyFill="1" applyBorder="1" applyAlignment="1">
      <alignment vertical="center"/>
    </xf>
    <xf numFmtId="3" fontId="3" fillId="0" borderId="57" xfId="3" applyNumberFormat="1" applyFont="1" applyFill="1" applyBorder="1" applyAlignment="1">
      <alignment vertical="center"/>
    </xf>
    <xf numFmtId="3" fontId="3" fillId="0" borderId="59" xfId="3" applyNumberFormat="1" applyFont="1" applyFill="1" applyBorder="1" applyAlignment="1">
      <alignment vertical="center"/>
    </xf>
    <xf numFmtId="3" fontId="3" fillId="0" borderId="58" xfId="3" applyNumberFormat="1" applyFont="1" applyFill="1" applyBorder="1" applyAlignment="1">
      <alignment vertical="center"/>
    </xf>
    <xf numFmtId="3" fontId="3" fillId="0" borderId="64" xfId="3" applyNumberFormat="1" applyFont="1" applyFill="1" applyBorder="1" applyAlignment="1">
      <alignment vertical="center"/>
    </xf>
    <xf numFmtId="3" fontId="3" fillId="0" borderId="63" xfId="3" applyNumberFormat="1" applyFont="1" applyFill="1" applyBorder="1" applyAlignment="1">
      <alignment vertical="center"/>
    </xf>
    <xf numFmtId="0" fontId="5" fillId="0" borderId="21" xfId="1" applyFont="1" applyBorder="1" applyAlignment="1">
      <alignment horizontal="center" vertical="center" wrapText="1"/>
    </xf>
    <xf numFmtId="0" fontId="8" fillId="0" borderId="20" xfId="1" applyFont="1" applyBorder="1" applyAlignment="1">
      <alignment horizontal="center" vertical="center" wrapText="1"/>
    </xf>
    <xf numFmtId="167" fontId="2" fillId="0" borderId="62" xfId="3" applyNumberFormat="1" applyFont="1" applyFill="1" applyBorder="1" applyAlignment="1">
      <alignment vertical="center"/>
    </xf>
    <xf numFmtId="0" fontId="3" fillId="0" borderId="67" xfId="1" applyFont="1" applyBorder="1" applyAlignment="1">
      <alignment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167" fontId="3" fillId="3" borderId="14" xfId="3" applyNumberFormat="1" applyFont="1" applyFill="1" applyBorder="1" applyAlignment="1">
      <alignment vertical="center"/>
    </xf>
    <xf numFmtId="167" fontId="3" fillId="3" borderId="36" xfId="3" applyNumberFormat="1" applyFont="1" applyFill="1" applyBorder="1" applyAlignment="1">
      <alignment vertical="center"/>
    </xf>
    <xf numFmtId="167" fontId="3" fillId="3" borderId="15" xfId="3" applyNumberFormat="1" applyFont="1" applyFill="1" applyBorder="1" applyAlignment="1">
      <alignment vertical="center"/>
    </xf>
    <xf numFmtId="3" fontId="3" fillId="3" borderId="14" xfId="3" applyNumberFormat="1" applyFont="1" applyFill="1" applyBorder="1" applyAlignment="1">
      <alignment vertical="center"/>
    </xf>
    <xf numFmtId="3" fontId="3" fillId="3" borderId="36" xfId="3" applyNumberFormat="1" applyFont="1" applyFill="1" applyBorder="1" applyAlignment="1">
      <alignment vertical="center"/>
    </xf>
    <xf numFmtId="3" fontId="3" fillId="3" borderId="15" xfId="3" applyNumberFormat="1" applyFont="1" applyFill="1" applyBorder="1" applyAlignment="1">
      <alignment vertical="center"/>
    </xf>
    <xf numFmtId="3" fontId="3" fillId="3" borderId="28" xfId="3" applyNumberFormat="1" applyFont="1" applyFill="1" applyBorder="1" applyAlignment="1">
      <alignment vertical="center"/>
    </xf>
    <xf numFmtId="3" fontId="3" fillId="3" borderId="34" xfId="3" applyNumberFormat="1" applyFont="1" applyFill="1" applyBorder="1" applyAlignment="1">
      <alignment vertical="center"/>
    </xf>
    <xf numFmtId="3" fontId="3" fillId="3" borderId="29" xfId="3" applyNumberFormat="1" applyFont="1" applyFill="1" applyBorder="1" applyAlignment="1">
      <alignment vertical="center"/>
    </xf>
    <xf numFmtId="3" fontId="3" fillId="3" borderId="24" xfId="3" applyNumberFormat="1" applyFont="1" applyFill="1" applyBorder="1" applyAlignment="1">
      <alignment vertical="center"/>
    </xf>
    <xf numFmtId="3" fontId="3" fillId="3" borderId="53" xfId="3" applyNumberFormat="1" applyFont="1" applyFill="1" applyBorder="1" applyAlignment="1">
      <alignment vertical="center"/>
    </xf>
    <xf numFmtId="3" fontId="3" fillId="3" borderId="54" xfId="3" applyNumberFormat="1" applyFont="1" applyFill="1" applyBorder="1" applyAlignment="1">
      <alignment vertical="center"/>
    </xf>
    <xf numFmtId="167" fontId="3" fillId="3" borderId="39" xfId="3" applyNumberFormat="1" applyFont="1" applyFill="1" applyBorder="1" applyAlignment="1">
      <alignment vertical="center"/>
    </xf>
    <xf numFmtId="3" fontId="3" fillId="3" borderId="39" xfId="3" applyNumberFormat="1" applyFont="1" applyFill="1" applyBorder="1" applyAlignment="1">
      <alignment vertical="center"/>
    </xf>
    <xf numFmtId="3" fontId="3" fillId="3" borderId="32" xfId="3" applyNumberFormat="1" applyFont="1" applyFill="1" applyBorder="1" applyAlignment="1">
      <alignment vertical="center"/>
    </xf>
    <xf numFmtId="3" fontId="3" fillId="3" borderId="48" xfId="3" applyNumberFormat="1" applyFont="1" applyFill="1" applyBorder="1" applyAlignment="1">
      <alignment vertical="center"/>
    </xf>
    <xf numFmtId="167" fontId="3" fillId="4" borderId="3" xfId="3" applyNumberFormat="1" applyFont="1" applyFill="1" applyBorder="1" applyAlignment="1">
      <alignment vertical="center"/>
    </xf>
    <xf numFmtId="3" fontId="3" fillId="4" borderId="3" xfId="3" applyNumberFormat="1" applyFont="1" applyFill="1" applyBorder="1" applyAlignment="1">
      <alignment vertical="center"/>
    </xf>
    <xf numFmtId="3" fontId="3" fillId="4" borderId="60" xfId="3" applyNumberFormat="1" applyFont="1" applyFill="1" applyBorder="1" applyAlignment="1">
      <alignment vertical="center"/>
    </xf>
    <xf numFmtId="3" fontId="3" fillId="4" borderId="61" xfId="3" applyNumberFormat="1" applyFont="1" applyFill="1" applyBorder="1" applyAlignment="1">
      <alignment vertical="center"/>
    </xf>
    <xf numFmtId="3" fontId="3" fillId="4" borderId="66" xfId="3" applyNumberFormat="1" applyFont="1" applyFill="1" applyBorder="1" applyAlignment="1">
      <alignment vertical="center"/>
    </xf>
    <xf numFmtId="3" fontId="3" fillId="4" borderId="65" xfId="3" applyNumberFormat="1" applyFont="1" applyFill="1" applyBorder="1" applyAlignment="1">
      <alignment vertical="center"/>
    </xf>
    <xf numFmtId="167" fontId="3" fillId="3" borderId="42" xfId="3" applyNumberFormat="1" applyFont="1" applyFill="1" applyBorder="1" applyAlignment="1">
      <alignment vertical="center"/>
    </xf>
    <xf numFmtId="167" fontId="3" fillId="3" borderId="18" xfId="3" applyNumberFormat="1" applyFont="1" applyFill="1" applyBorder="1" applyAlignment="1">
      <alignment vertical="center"/>
    </xf>
    <xf numFmtId="167" fontId="3" fillId="3" borderId="33" xfId="3" applyNumberFormat="1" applyFont="1" applyFill="1" applyBorder="1" applyAlignment="1">
      <alignment vertical="center"/>
    </xf>
    <xf numFmtId="167" fontId="3" fillId="3" borderId="62" xfId="3" applyNumberFormat="1" applyFont="1" applyFill="1" applyBorder="1" applyAlignment="1">
      <alignment vertical="center"/>
    </xf>
    <xf numFmtId="167" fontId="3" fillId="3" borderId="31" xfId="3" applyNumberFormat="1" applyFont="1" applyFill="1" applyBorder="1" applyAlignment="1">
      <alignment vertical="center"/>
    </xf>
    <xf numFmtId="167" fontId="3" fillId="3" borderId="56" xfId="3" applyNumberFormat="1" applyFont="1" applyFill="1" applyBorder="1" applyAlignment="1">
      <alignment vertical="center"/>
    </xf>
    <xf numFmtId="167" fontId="3" fillId="3" borderId="29" xfId="3" applyNumberFormat="1" applyFont="1" applyFill="1" applyBorder="1" applyAlignment="1">
      <alignment vertical="center"/>
    </xf>
    <xf numFmtId="167" fontId="3" fillId="3" borderId="24" xfId="3" applyNumberFormat="1" applyFont="1" applyFill="1" applyBorder="1" applyAlignment="1">
      <alignment vertical="center"/>
    </xf>
    <xf numFmtId="167" fontId="3" fillId="3" borderId="0" xfId="3" applyNumberFormat="1" applyFont="1" applyFill="1" applyBorder="1" applyAlignment="1">
      <alignment vertical="center"/>
    </xf>
    <xf numFmtId="0" fontId="2" fillId="0" borderId="68" xfId="1" applyFont="1" applyBorder="1" applyAlignment="1">
      <alignment vertical="center"/>
    </xf>
    <xf numFmtId="3" fontId="3" fillId="0" borderId="48" xfId="3" applyNumberFormat="1" applyFont="1" applyFill="1" applyBorder="1" applyAlignment="1">
      <alignment vertical="center"/>
    </xf>
    <xf numFmtId="3" fontId="3" fillId="0" borderId="30" xfId="3" applyNumberFormat="1" applyFont="1" applyFill="1" applyBorder="1" applyAlignment="1">
      <alignment vertical="center"/>
    </xf>
    <xf numFmtId="3" fontId="3" fillId="3" borderId="33" xfId="3" applyNumberFormat="1" applyFont="1" applyFill="1" applyBorder="1" applyAlignment="1">
      <alignment vertical="center"/>
    </xf>
    <xf numFmtId="3" fontId="3" fillId="3" borderId="69" xfId="3" applyNumberFormat="1" applyFont="1" applyFill="1" applyBorder="1" applyAlignment="1">
      <alignment vertical="center"/>
    </xf>
    <xf numFmtId="3" fontId="3" fillId="0" borderId="32" xfId="3" applyNumberFormat="1" applyFont="1" applyFill="1" applyBorder="1" applyAlignment="1">
      <alignment vertical="center"/>
    </xf>
    <xf numFmtId="3" fontId="3" fillId="4" borderId="70" xfId="3" applyNumberFormat="1" applyFont="1" applyFill="1" applyBorder="1" applyAlignment="1">
      <alignment vertical="center"/>
    </xf>
    <xf numFmtId="0" fontId="2" fillId="0" borderId="71" xfId="1" applyFont="1" applyBorder="1" applyAlignment="1">
      <alignment vertical="center"/>
    </xf>
    <xf numFmtId="3" fontId="3" fillId="3" borderId="71" xfId="3" applyNumberFormat="1" applyFont="1" applyFill="1" applyBorder="1" applyAlignment="1">
      <alignment vertical="center"/>
    </xf>
    <xf numFmtId="3" fontId="3" fillId="3" borderId="72" xfId="3" applyNumberFormat="1" applyFont="1" applyFill="1" applyBorder="1" applyAlignment="1">
      <alignment vertical="center"/>
    </xf>
    <xf numFmtId="3" fontId="3" fillId="3" borderId="73" xfId="3" applyNumberFormat="1" applyFont="1" applyFill="1" applyBorder="1" applyAlignment="1">
      <alignment vertical="center"/>
    </xf>
    <xf numFmtId="3" fontId="3" fillId="0" borderId="73" xfId="3" applyNumberFormat="1" applyFont="1" applyFill="1" applyBorder="1" applyAlignment="1">
      <alignment vertical="center"/>
    </xf>
    <xf numFmtId="3" fontId="3" fillId="0" borderId="74" xfId="3" applyNumberFormat="1" applyFont="1" applyFill="1" applyBorder="1" applyAlignment="1">
      <alignment vertical="center"/>
    </xf>
    <xf numFmtId="3" fontId="3" fillId="0" borderId="75" xfId="3" applyNumberFormat="1" applyFont="1" applyFill="1" applyBorder="1" applyAlignment="1">
      <alignment vertical="center"/>
    </xf>
    <xf numFmtId="3" fontId="3" fillId="0" borderId="76" xfId="3" applyNumberFormat="1" applyFont="1" applyFill="1" applyBorder="1" applyAlignment="1">
      <alignment vertical="center"/>
    </xf>
    <xf numFmtId="167" fontId="3" fillId="0" borderId="77" xfId="3" applyNumberFormat="1" applyFont="1" applyBorder="1" applyAlignment="1">
      <alignment vertical="center"/>
    </xf>
    <xf numFmtId="3" fontId="3" fillId="3" borderId="78" xfId="3" applyNumberFormat="1" applyFont="1" applyFill="1" applyBorder="1" applyAlignment="1">
      <alignment vertical="center"/>
    </xf>
    <xf numFmtId="3" fontId="3" fillId="3" borderId="75" xfId="3" applyNumberFormat="1" applyFont="1" applyFill="1" applyBorder="1" applyAlignment="1">
      <alignment vertical="center"/>
    </xf>
    <xf numFmtId="3" fontId="3" fillId="0" borderId="79" xfId="3" applyNumberFormat="1" applyFont="1" applyFill="1" applyBorder="1" applyAlignment="1">
      <alignment vertical="center"/>
    </xf>
    <xf numFmtId="3" fontId="3" fillId="4" borderId="80" xfId="3" applyNumberFormat="1" applyFont="1" applyFill="1" applyBorder="1" applyAlignment="1">
      <alignment vertical="center"/>
    </xf>
    <xf numFmtId="167" fontId="3" fillId="3" borderId="71" xfId="3" applyNumberFormat="1" applyFont="1" applyFill="1" applyBorder="1" applyAlignment="1">
      <alignment vertical="center"/>
    </xf>
    <xf numFmtId="167" fontId="3" fillId="3" borderId="73" xfId="3" applyNumberFormat="1" applyFont="1" applyFill="1" applyBorder="1" applyAlignment="1">
      <alignment vertical="center"/>
    </xf>
    <xf numFmtId="167" fontId="3" fillId="0" borderId="76" xfId="3" applyNumberFormat="1" applyFont="1" applyFill="1" applyBorder="1" applyAlignment="1">
      <alignment vertical="center"/>
    </xf>
    <xf numFmtId="3" fontId="3" fillId="0" borderId="81" xfId="3" applyNumberFormat="1" applyFont="1" applyFill="1" applyBorder="1" applyAlignment="1">
      <alignment vertical="center"/>
    </xf>
    <xf numFmtId="0" fontId="2" fillId="0" borderId="82" xfId="1" applyFont="1" applyBorder="1" applyAlignment="1">
      <alignment vertical="center"/>
    </xf>
    <xf numFmtId="3" fontId="3" fillId="3" borderId="82" xfId="3" applyNumberFormat="1" applyFont="1" applyFill="1" applyBorder="1" applyAlignment="1">
      <alignment vertical="center"/>
    </xf>
    <xf numFmtId="3" fontId="3" fillId="3" borderId="83" xfId="3" applyNumberFormat="1" applyFont="1" applyFill="1" applyBorder="1" applyAlignment="1">
      <alignment vertical="center"/>
    </xf>
    <xf numFmtId="3" fontId="3" fillId="3" borderId="84" xfId="3" applyNumberFormat="1" applyFont="1" applyFill="1" applyBorder="1" applyAlignment="1">
      <alignment vertical="center"/>
    </xf>
    <xf numFmtId="3" fontId="3" fillId="0" borderId="84" xfId="3" applyNumberFormat="1" applyFont="1" applyFill="1" applyBorder="1" applyAlignment="1">
      <alignment vertical="center"/>
    </xf>
    <xf numFmtId="3" fontId="3" fillId="0" borderId="85" xfId="3" applyNumberFormat="1" applyFont="1" applyFill="1" applyBorder="1" applyAlignment="1">
      <alignment vertical="center"/>
    </xf>
    <xf numFmtId="3" fontId="3" fillId="0" borderId="86" xfId="3" applyNumberFormat="1" applyFont="1" applyFill="1" applyBorder="1" applyAlignment="1">
      <alignment vertical="center"/>
    </xf>
    <xf numFmtId="167" fontId="3" fillId="0" borderId="87" xfId="3" applyNumberFormat="1" applyFont="1" applyBorder="1" applyAlignment="1">
      <alignment vertical="center"/>
    </xf>
    <xf numFmtId="3" fontId="3" fillId="3" borderId="85" xfId="3" applyNumberFormat="1" applyFont="1" applyFill="1" applyBorder="1" applyAlignment="1">
      <alignment vertical="center"/>
    </xf>
    <xf numFmtId="3" fontId="3" fillId="0" borderId="88" xfId="3" applyNumberFormat="1" applyFont="1" applyFill="1" applyBorder="1" applyAlignment="1">
      <alignment vertical="center"/>
    </xf>
    <xf numFmtId="3" fontId="3" fillId="4" borderId="89" xfId="3" applyNumberFormat="1" applyFont="1" applyFill="1" applyBorder="1" applyAlignment="1">
      <alignment vertical="center"/>
    </xf>
    <xf numFmtId="167" fontId="3" fillId="3" borderId="82" xfId="3" applyNumberFormat="1" applyFont="1" applyFill="1" applyBorder="1" applyAlignment="1">
      <alignment vertical="center"/>
    </xf>
    <xf numFmtId="167" fontId="3" fillId="3" borderId="84" xfId="3" applyNumberFormat="1" applyFont="1" applyFill="1" applyBorder="1" applyAlignment="1">
      <alignment vertical="center"/>
    </xf>
    <xf numFmtId="167" fontId="3" fillId="3" borderId="87" xfId="3" applyNumberFormat="1" applyFont="1" applyFill="1" applyBorder="1" applyAlignment="1">
      <alignment vertical="center"/>
    </xf>
    <xf numFmtId="167" fontId="3" fillId="0" borderId="86" xfId="3" applyNumberFormat="1" applyFont="1" applyFill="1" applyBorder="1" applyAlignment="1">
      <alignment vertical="center"/>
    </xf>
    <xf numFmtId="3" fontId="3" fillId="0" borderId="90" xfId="3" applyNumberFormat="1" applyFont="1" applyFill="1" applyBorder="1" applyAlignment="1">
      <alignment vertical="center"/>
    </xf>
    <xf numFmtId="3" fontId="3" fillId="0" borderId="91" xfId="3" applyNumberFormat="1" applyFont="1" applyFill="1" applyBorder="1" applyAlignment="1">
      <alignment vertical="center"/>
    </xf>
    <xf numFmtId="3" fontId="3" fillId="4" borderId="92" xfId="3" applyNumberFormat="1" applyFont="1" applyFill="1" applyBorder="1" applyAlignment="1">
      <alignment vertical="center"/>
    </xf>
    <xf numFmtId="167" fontId="2" fillId="5" borderId="44" xfId="3" applyNumberFormat="1" applyFont="1" applyFill="1" applyBorder="1" applyAlignment="1">
      <alignment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3" fillId="0" borderId="23" xfId="1" applyFont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5" fontId="2" fillId="0" borderId="2" xfId="1" applyNumberFormat="1" applyFont="1" applyBorder="1" applyAlignment="1">
      <alignment horizontal="center" vertical="center"/>
    </xf>
    <xf numFmtId="165" fontId="2" fillId="0" borderId="3" xfId="1" applyNumberFormat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2" fillId="0" borderId="26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5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4">
    <cellStyle name="Comma" xfId="3" builtinId="3"/>
    <cellStyle name="Comma 3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colors>
    <mruColors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F750-3D1C-4077-BE1E-4E3AB73F0352}">
  <sheetPr>
    <pageSetUpPr fitToPage="1"/>
  </sheetPr>
  <dimension ref="A1:BH90"/>
  <sheetViews>
    <sheetView view="pageBreakPreview" zoomScale="55" zoomScaleNormal="85" zoomScaleSheetLayoutView="5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01"/>
      <c r="Q1" s="202"/>
      <c r="R1" s="202"/>
      <c r="S1" s="202"/>
      <c r="T1" s="202"/>
      <c r="U1" s="202"/>
      <c r="V1" s="202"/>
      <c r="W1" s="202"/>
      <c r="X1" s="203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04" t="s">
        <v>74</v>
      </c>
      <c r="C4" s="205" t="s">
        <v>3</v>
      </c>
      <c r="D4" s="206" t="s">
        <v>75</v>
      </c>
      <c r="E4" s="207" t="s">
        <v>4</v>
      </c>
      <c r="F4" s="208"/>
      <c r="G4" s="209" t="s">
        <v>5</v>
      </c>
      <c r="H4" s="211" t="s">
        <v>75</v>
      </c>
      <c r="I4" s="213" t="s">
        <v>6</v>
      </c>
      <c r="J4" s="211" t="s">
        <v>75</v>
      </c>
      <c r="L4" s="215" t="s">
        <v>7</v>
      </c>
      <c r="M4" s="216"/>
      <c r="N4" s="216"/>
      <c r="O4" s="216"/>
      <c r="P4" s="216"/>
      <c r="Q4" s="216"/>
      <c r="R4" s="216"/>
      <c r="S4" s="216"/>
      <c r="T4" s="216"/>
      <c r="U4" s="216"/>
      <c r="V4" s="217"/>
      <c r="W4" s="216"/>
      <c r="X4" s="218"/>
    </row>
    <row r="5" spans="1:60" s="3" customFormat="1" ht="57" thickBot="1" x14ac:dyDescent="0.3">
      <c r="A5" s="49"/>
      <c r="B5" s="204"/>
      <c r="C5" s="205"/>
      <c r="D5" s="206"/>
      <c r="E5" s="48" t="s">
        <v>8</v>
      </c>
      <c r="F5" s="106" t="s">
        <v>9</v>
      </c>
      <c r="G5" s="210"/>
      <c r="H5" s="212"/>
      <c r="I5" s="214"/>
      <c r="J5" s="212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/>
      <c r="D8" s="111"/>
      <c r="E8" s="112"/>
      <c r="F8" s="112"/>
      <c r="G8" s="76"/>
      <c r="H8" s="73"/>
      <c r="I8" s="73"/>
      <c r="J8" s="77"/>
      <c r="K8" s="41"/>
      <c r="L8" s="112"/>
      <c r="M8" s="112"/>
      <c r="N8" s="112"/>
      <c r="O8" s="112"/>
      <c r="P8" s="112"/>
      <c r="Q8" s="120"/>
      <c r="R8" s="86"/>
      <c r="S8" s="124"/>
      <c r="T8" s="41"/>
      <c r="U8" s="107"/>
      <c r="V8" s="130"/>
      <c r="W8" s="129"/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0">A8+1</f>
        <v>2</v>
      </c>
      <c r="B9" s="50" t="s">
        <v>49</v>
      </c>
      <c r="C9" s="113"/>
      <c r="D9" s="114"/>
      <c r="E9" s="115"/>
      <c r="F9" s="115"/>
      <c r="G9" s="78"/>
      <c r="H9" s="79"/>
      <c r="I9" s="78"/>
      <c r="J9" s="94"/>
      <c r="K9" s="51"/>
      <c r="L9" s="121"/>
      <c r="M9" s="121"/>
      <c r="N9" s="121"/>
      <c r="O9" s="121"/>
      <c r="P9" s="121"/>
      <c r="Q9" s="122"/>
      <c r="R9" s="98"/>
      <c r="S9" s="125"/>
      <c r="T9" s="51"/>
      <c r="U9" s="131"/>
      <c r="V9" s="132"/>
      <c r="W9" s="133"/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0"/>
        <v>3</v>
      </c>
      <c r="B10" s="10" t="s">
        <v>47</v>
      </c>
      <c r="C10" s="110"/>
      <c r="D10" s="111"/>
      <c r="E10" s="112"/>
      <c r="F10" s="112"/>
      <c r="G10" s="76"/>
      <c r="H10" s="73"/>
      <c r="I10" s="73"/>
      <c r="J10" s="95"/>
      <c r="K10" s="41"/>
      <c r="L10" s="112"/>
      <c r="M10" s="112"/>
      <c r="N10" s="112"/>
      <c r="O10" s="112"/>
      <c r="P10" s="112"/>
      <c r="Q10" s="120"/>
      <c r="R10" s="99"/>
      <c r="S10" s="126"/>
      <c r="T10" s="41"/>
      <c r="U10" s="107"/>
      <c r="V10" s="134"/>
      <c r="W10" s="129"/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0"/>
        <v>4</v>
      </c>
      <c r="B11" s="13" t="s">
        <v>50</v>
      </c>
      <c r="C11" s="110"/>
      <c r="D11" s="111"/>
      <c r="E11" s="112"/>
      <c r="F11" s="112"/>
      <c r="G11" s="76"/>
      <c r="H11" s="73"/>
      <c r="I11" s="73"/>
      <c r="J11" s="77"/>
      <c r="K11" s="41"/>
      <c r="L11" s="112"/>
      <c r="M11" s="112"/>
      <c r="N11" s="112"/>
      <c r="O11" s="112"/>
      <c r="P11" s="112"/>
      <c r="Q11" s="120"/>
      <c r="R11" s="86"/>
      <c r="S11" s="124"/>
      <c r="T11" s="41"/>
      <c r="U11" s="107"/>
      <c r="V11" s="130"/>
      <c r="W11" s="129"/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0"/>
        <v>5</v>
      </c>
      <c r="B12" s="13" t="s">
        <v>48</v>
      </c>
      <c r="C12" s="110"/>
      <c r="D12" s="111"/>
      <c r="E12" s="112"/>
      <c r="F12" s="112"/>
      <c r="G12" s="76"/>
      <c r="H12" s="73"/>
      <c r="I12" s="73"/>
      <c r="J12" s="77"/>
      <c r="K12" s="41"/>
      <c r="L12" s="112"/>
      <c r="M12" s="112"/>
      <c r="N12" s="112"/>
      <c r="O12" s="112"/>
      <c r="P12" s="112"/>
      <c r="Q12" s="120"/>
      <c r="R12" s="86"/>
      <c r="S12" s="124"/>
      <c r="T12" s="41"/>
      <c r="U12" s="107"/>
      <c r="V12" s="130"/>
      <c r="W12" s="129"/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0"/>
        <v>6</v>
      </c>
      <c r="B13" s="50" t="s">
        <v>44</v>
      </c>
      <c r="C13" s="113"/>
      <c r="D13" s="114"/>
      <c r="E13" s="115"/>
      <c r="F13" s="115"/>
      <c r="G13" s="78"/>
      <c r="H13" s="79"/>
      <c r="I13" s="80"/>
      <c r="J13" s="94"/>
      <c r="K13" s="53"/>
      <c r="L13" s="121"/>
      <c r="M13" s="121"/>
      <c r="N13" s="121"/>
      <c r="O13" s="121"/>
      <c r="P13" s="121"/>
      <c r="Q13" s="122"/>
      <c r="R13" s="97"/>
      <c r="S13" s="125"/>
      <c r="T13" s="53"/>
      <c r="U13" s="131"/>
      <c r="V13" s="135"/>
      <c r="W13" s="133"/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0"/>
        <v>7</v>
      </c>
      <c r="B14" s="10" t="s">
        <v>15</v>
      </c>
      <c r="C14" s="110"/>
      <c r="D14" s="111"/>
      <c r="E14" s="112"/>
      <c r="F14" s="112"/>
      <c r="G14" s="76"/>
      <c r="H14" s="73"/>
      <c r="I14" s="93"/>
      <c r="J14" s="95"/>
      <c r="K14" s="41"/>
      <c r="L14" s="112"/>
      <c r="M14" s="112"/>
      <c r="N14" s="112"/>
      <c r="O14" s="112"/>
      <c r="P14" s="112"/>
      <c r="Q14" s="120"/>
      <c r="R14" s="96"/>
      <c r="S14" s="126"/>
      <c r="T14" s="41"/>
      <c r="U14" s="107"/>
      <c r="V14" s="109"/>
      <c r="W14" s="129"/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0"/>
        <v>8</v>
      </c>
      <c r="B15" s="13" t="s">
        <v>16</v>
      </c>
      <c r="C15" s="110"/>
      <c r="D15" s="111"/>
      <c r="E15" s="112"/>
      <c r="F15" s="112"/>
      <c r="G15" s="76"/>
      <c r="H15" s="73"/>
      <c r="I15" s="73"/>
      <c r="J15" s="77"/>
      <c r="K15" s="41"/>
      <c r="L15" s="112"/>
      <c r="M15" s="112"/>
      <c r="N15" s="112"/>
      <c r="O15" s="112"/>
      <c r="P15" s="112"/>
      <c r="Q15" s="120"/>
      <c r="R15" s="86"/>
      <c r="S15" s="124"/>
      <c r="T15" s="41"/>
      <c r="U15" s="107"/>
      <c r="V15" s="130"/>
      <c r="W15" s="129"/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0"/>
        <v>9</v>
      </c>
      <c r="B16" s="13" t="s">
        <v>17</v>
      </c>
      <c r="C16" s="110"/>
      <c r="D16" s="111"/>
      <c r="E16" s="112"/>
      <c r="F16" s="112"/>
      <c r="G16" s="76"/>
      <c r="H16" s="73"/>
      <c r="I16" s="73"/>
      <c r="J16" s="77"/>
      <c r="K16" s="41"/>
      <c r="L16" s="112"/>
      <c r="M16" s="112"/>
      <c r="N16" s="112"/>
      <c r="O16" s="112"/>
      <c r="P16" s="112"/>
      <c r="Q16" s="120"/>
      <c r="R16" s="86"/>
      <c r="S16" s="124"/>
      <c r="T16" s="41"/>
      <c r="U16" s="107"/>
      <c r="V16" s="130"/>
      <c r="W16" s="129"/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0"/>
        <v>10</v>
      </c>
      <c r="B17" s="13" t="s">
        <v>18</v>
      </c>
      <c r="C17" s="110"/>
      <c r="D17" s="111"/>
      <c r="E17" s="112"/>
      <c r="F17" s="112"/>
      <c r="G17" s="76"/>
      <c r="H17" s="73"/>
      <c r="I17" s="73"/>
      <c r="J17" s="77"/>
      <c r="K17" s="41"/>
      <c r="L17" s="112"/>
      <c r="M17" s="112"/>
      <c r="N17" s="112"/>
      <c r="O17" s="112"/>
      <c r="P17" s="112"/>
      <c r="Q17" s="120"/>
      <c r="R17" s="86"/>
      <c r="S17" s="124"/>
      <c r="T17" s="41"/>
      <c r="U17" s="107"/>
      <c r="V17" s="130"/>
      <c r="W17" s="129"/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0"/>
        <v>11</v>
      </c>
      <c r="B18" s="13" t="s">
        <v>19</v>
      </c>
      <c r="C18" s="110"/>
      <c r="D18" s="111"/>
      <c r="E18" s="112"/>
      <c r="F18" s="112"/>
      <c r="G18" s="76"/>
      <c r="H18" s="73"/>
      <c r="I18" s="73"/>
      <c r="J18" s="77"/>
      <c r="K18" s="41"/>
      <c r="L18" s="112"/>
      <c r="M18" s="112"/>
      <c r="N18" s="112"/>
      <c r="O18" s="112"/>
      <c r="P18" s="112"/>
      <c r="Q18" s="120"/>
      <c r="R18" s="86"/>
      <c r="S18" s="124"/>
      <c r="T18" s="41"/>
      <c r="U18" s="107"/>
      <c r="V18" s="130"/>
      <c r="W18" s="129"/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0"/>
        <v>12</v>
      </c>
      <c r="B19" s="13" t="s">
        <v>23</v>
      </c>
      <c r="C19" s="110"/>
      <c r="D19" s="111"/>
      <c r="E19" s="112"/>
      <c r="F19" s="112"/>
      <c r="G19" s="76"/>
      <c r="H19" s="73"/>
      <c r="I19" s="73"/>
      <c r="J19" s="77"/>
      <c r="K19" s="41"/>
      <c r="L19" s="112"/>
      <c r="M19" s="112"/>
      <c r="N19" s="112"/>
      <c r="O19" s="112"/>
      <c r="P19" s="112"/>
      <c r="Q19" s="120"/>
      <c r="R19" s="86"/>
      <c r="S19" s="124"/>
      <c r="T19" s="41"/>
      <c r="U19" s="107"/>
      <c r="V19" s="130"/>
      <c r="W19" s="129"/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0"/>
        <v>13</v>
      </c>
      <c r="B20" s="13" t="s">
        <v>67</v>
      </c>
      <c r="C20" s="110"/>
      <c r="D20" s="111"/>
      <c r="E20" s="112"/>
      <c r="F20" s="112"/>
      <c r="G20" s="76"/>
      <c r="H20" s="73"/>
      <c r="I20" s="73"/>
      <c r="J20" s="77"/>
      <c r="K20" s="41"/>
      <c r="L20" s="112"/>
      <c r="M20" s="112"/>
      <c r="N20" s="112"/>
      <c r="O20" s="112"/>
      <c r="P20" s="112"/>
      <c r="Q20" s="120"/>
      <c r="R20" s="86"/>
      <c r="S20" s="124"/>
      <c r="T20" s="41"/>
      <c r="U20" s="107"/>
      <c r="V20" s="130"/>
      <c r="W20" s="129"/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0"/>
        <v>14</v>
      </c>
      <c r="B21" s="13" t="s">
        <v>20</v>
      </c>
      <c r="C21" s="110"/>
      <c r="D21" s="111"/>
      <c r="E21" s="112"/>
      <c r="F21" s="112"/>
      <c r="G21" s="76"/>
      <c r="H21" s="73"/>
      <c r="I21" s="73"/>
      <c r="J21" s="77"/>
      <c r="K21" s="41"/>
      <c r="L21" s="112"/>
      <c r="M21" s="112"/>
      <c r="N21" s="112"/>
      <c r="O21" s="112"/>
      <c r="P21" s="112"/>
      <c r="Q21" s="120"/>
      <c r="R21" s="86"/>
      <c r="S21" s="124"/>
      <c r="T21" s="41"/>
      <c r="U21" s="107"/>
      <c r="V21" s="130"/>
      <c r="W21" s="129"/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0"/>
        <v>15</v>
      </c>
      <c r="B22" s="13" t="s">
        <v>21</v>
      </c>
      <c r="C22" s="110"/>
      <c r="D22" s="111"/>
      <c r="E22" s="112"/>
      <c r="F22" s="112"/>
      <c r="G22" s="76"/>
      <c r="H22" s="73"/>
      <c r="I22" s="73"/>
      <c r="J22" s="77"/>
      <c r="K22" s="41"/>
      <c r="L22" s="112"/>
      <c r="M22" s="112"/>
      <c r="N22" s="112"/>
      <c r="O22" s="112"/>
      <c r="P22" s="112"/>
      <c r="Q22" s="120"/>
      <c r="R22" s="86"/>
      <c r="S22" s="124"/>
      <c r="T22" s="41"/>
      <c r="U22" s="107"/>
      <c r="V22" s="130"/>
      <c r="W22" s="129"/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0"/>
        <v>16</v>
      </c>
      <c r="B23" s="13" t="s">
        <v>68</v>
      </c>
      <c r="C23" s="110"/>
      <c r="D23" s="111"/>
      <c r="E23" s="112"/>
      <c r="F23" s="112"/>
      <c r="G23" s="76"/>
      <c r="H23" s="73"/>
      <c r="I23" s="73"/>
      <c r="J23" s="77"/>
      <c r="K23" s="42"/>
      <c r="L23" s="112"/>
      <c r="M23" s="112"/>
      <c r="N23" s="112"/>
      <c r="O23" s="112"/>
      <c r="P23" s="112"/>
      <c r="Q23" s="120"/>
      <c r="R23" s="86"/>
      <c r="S23" s="124"/>
      <c r="T23" s="42"/>
      <c r="U23" s="107"/>
      <c r="V23" s="130"/>
      <c r="W23" s="129"/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0"/>
        <v>17</v>
      </c>
      <c r="B24" s="13" t="s">
        <v>69</v>
      </c>
      <c r="C24" s="110"/>
      <c r="D24" s="111"/>
      <c r="E24" s="112"/>
      <c r="F24" s="112"/>
      <c r="G24" s="76"/>
      <c r="H24" s="73"/>
      <c r="I24" s="73"/>
      <c r="J24" s="77"/>
      <c r="K24" s="42"/>
      <c r="L24" s="112"/>
      <c r="M24" s="112"/>
      <c r="N24" s="112"/>
      <c r="O24" s="112"/>
      <c r="P24" s="112"/>
      <c r="Q24" s="120"/>
      <c r="R24" s="86"/>
      <c r="S24" s="124"/>
      <c r="T24" s="42"/>
      <c r="U24" s="107"/>
      <c r="V24" s="130"/>
      <c r="W24" s="129"/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0"/>
        <v>18</v>
      </c>
      <c r="B25" s="13" t="s">
        <v>70</v>
      </c>
      <c r="C25" s="110"/>
      <c r="D25" s="111"/>
      <c r="E25" s="112"/>
      <c r="F25" s="112"/>
      <c r="G25" s="76"/>
      <c r="H25" s="73"/>
      <c r="I25" s="73"/>
      <c r="J25" s="77"/>
      <c r="K25" s="41"/>
      <c r="L25" s="112"/>
      <c r="M25" s="112"/>
      <c r="N25" s="112"/>
      <c r="O25" s="112"/>
      <c r="P25" s="112"/>
      <c r="Q25" s="120"/>
      <c r="R25" s="86"/>
      <c r="S25" s="124"/>
      <c r="T25" s="41"/>
      <c r="U25" s="107"/>
      <c r="V25" s="130"/>
      <c r="W25" s="129"/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0"/>
        <v>19</v>
      </c>
      <c r="B26" s="13" t="s">
        <v>22</v>
      </c>
      <c r="C26" s="110"/>
      <c r="D26" s="111"/>
      <c r="E26" s="112"/>
      <c r="F26" s="112"/>
      <c r="G26" s="76"/>
      <c r="H26" s="73"/>
      <c r="I26" s="73"/>
      <c r="J26" s="77"/>
      <c r="K26" s="41"/>
      <c r="L26" s="112"/>
      <c r="M26" s="112"/>
      <c r="N26" s="112"/>
      <c r="O26" s="112"/>
      <c r="P26" s="112"/>
      <c r="Q26" s="120"/>
      <c r="R26" s="86"/>
      <c r="S26" s="124"/>
      <c r="T26" s="41"/>
      <c r="U26" s="107"/>
      <c r="V26" s="130"/>
      <c r="W26" s="129"/>
      <c r="X26" s="27"/>
      <c r="BE26" s="14" t="e">
        <f>#REF!-BE25</f>
        <v>#REF!</v>
      </c>
    </row>
    <row r="27" spans="1:60" s="1" customFormat="1" ht="19.5" thickBot="1" x14ac:dyDescent="0.3">
      <c r="A27" s="3">
        <f t="shared" si="0"/>
        <v>20</v>
      </c>
      <c r="B27" s="13" t="s">
        <v>24</v>
      </c>
      <c r="C27" s="110"/>
      <c r="D27" s="111"/>
      <c r="E27" s="112"/>
      <c r="F27" s="112"/>
      <c r="G27" s="76"/>
      <c r="H27" s="73"/>
      <c r="I27" s="73"/>
      <c r="J27" s="77"/>
      <c r="K27" s="42"/>
      <c r="L27" s="112"/>
      <c r="M27" s="112"/>
      <c r="N27" s="112"/>
      <c r="O27" s="112"/>
      <c r="P27" s="112"/>
      <c r="Q27" s="120"/>
      <c r="R27" s="86"/>
      <c r="S27" s="124"/>
      <c r="T27" s="42"/>
      <c r="U27" s="107"/>
      <c r="V27" s="130"/>
      <c r="W27" s="129"/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0"/>
        <v>21</v>
      </c>
      <c r="B28" s="13" t="s">
        <v>77</v>
      </c>
      <c r="C28" s="110"/>
      <c r="D28" s="111"/>
      <c r="E28" s="112"/>
      <c r="F28" s="112"/>
      <c r="G28" s="76"/>
      <c r="H28" s="73"/>
      <c r="I28" s="73"/>
      <c r="J28" s="77"/>
      <c r="K28" s="42"/>
      <c r="L28" s="112"/>
      <c r="M28" s="112"/>
      <c r="N28" s="112"/>
      <c r="O28" s="112"/>
      <c r="P28" s="112"/>
      <c r="Q28" s="120"/>
      <c r="R28" s="86"/>
      <c r="S28" s="124"/>
      <c r="T28" s="42"/>
      <c r="U28" s="107"/>
      <c r="V28" s="130"/>
      <c r="W28" s="129"/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0"/>
        <v>22</v>
      </c>
      <c r="B29" s="13" t="s">
        <v>25</v>
      </c>
      <c r="C29" s="110"/>
      <c r="D29" s="111"/>
      <c r="E29" s="112"/>
      <c r="F29" s="112"/>
      <c r="G29" s="76"/>
      <c r="H29" s="73"/>
      <c r="I29" s="73"/>
      <c r="J29" s="77"/>
      <c r="K29" s="42"/>
      <c r="L29" s="112"/>
      <c r="M29" s="112"/>
      <c r="N29" s="112"/>
      <c r="O29" s="112"/>
      <c r="P29" s="112"/>
      <c r="Q29" s="120"/>
      <c r="R29" s="86"/>
      <c r="S29" s="124"/>
      <c r="T29" s="42"/>
      <c r="U29" s="107"/>
      <c r="V29" s="130"/>
      <c r="W29" s="129"/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0"/>
        <v>23</v>
      </c>
      <c r="B30" s="13" t="s">
        <v>27</v>
      </c>
      <c r="C30" s="110"/>
      <c r="D30" s="111"/>
      <c r="E30" s="112"/>
      <c r="F30" s="112"/>
      <c r="G30" s="76"/>
      <c r="H30" s="73"/>
      <c r="I30" s="73"/>
      <c r="J30" s="77"/>
      <c r="K30" s="41"/>
      <c r="L30" s="112"/>
      <c r="M30" s="112"/>
      <c r="N30" s="112"/>
      <c r="O30" s="112"/>
      <c r="P30" s="112"/>
      <c r="Q30" s="120"/>
      <c r="R30" s="86"/>
      <c r="S30" s="124"/>
      <c r="T30" s="41"/>
      <c r="U30" s="107"/>
      <c r="V30" s="130"/>
      <c r="W30" s="129"/>
      <c r="X30" s="27"/>
    </row>
    <row r="31" spans="1:60" ht="19.5" thickBot="1" x14ac:dyDescent="0.3">
      <c r="A31" s="3">
        <f t="shared" si="0"/>
        <v>24</v>
      </c>
      <c r="B31" s="13" t="s">
        <v>29</v>
      </c>
      <c r="C31" s="110"/>
      <c r="D31" s="111"/>
      <c r="E31" s="112"/>
      <c r="F31" s="112"/>
      <c r="G31" s="76"/>
      <c r="H31" s="73"/>
      <c r="I31" s="73"/>
      <c r="J31" s="77"/>
      <c r="K31" s="41"/>
      <c r="L31" s="112"/>
      <c r="M31" s="112"/>
      <c r="N31" s="112"/>
      <c r="O31" s="112"/>
      <c r="P31" s="112"/>
      <c r="Q31" s="120"/>
      <c r="R31" s="86"/>
      <c r="S31" s="124"/>
      <c r="T31" s="41"/>
      <c r="U31" s="107"/>
      <c r="V31" s="130"/>
      <c r="W31" s="129"/>
      <c r="X31" s="27"/>
    </row>
    <row r="32" spans="1:60" ht="19.5" thickBot="1" x14ac:dyDescent="0.3">
      <c r="A32" s="3">
        <f t="shared" si="0"/>
        <v>25</v>
      </c>
      <c r="B32" s="13" t="s">
        <v>26</v>
      </c>
      <c r="C32" s="110"/>
      <c r="D32" s="111"/>
      <c r="E32" s="112"/>
      <c r="F32" s="112"/>
      <c r="G32" s="76"/>
      <c r="H32" s="73"/>
      <c r="I32" s="73"/>
      <c r="J32" s="77"/>
      <c r="K32" s="41"/>
      <c r="L32" s="112"/>
      <c r="M32" s="112"/>
      <c r="N32" s="112"/>
      <c r="O32" s="112"/>
      <c r="P32" s="112"/>
      <c r="Q32" s="120"/>
      <c r="R32" s="86"/>
      <c r="S32" s="124"/>
      <c r="T32" s="41"/>
      <c r="U32" s="107"/>
      <c r="V32" s="130"/>
      <c r="W32" s="129"/>
      <c r="X32" s="27"/>
    </row>
    <row r="33" spans="1:26" ht="19.5" thickBot="1" x14ac:dyDescent="0.3">
      <c r="A33" s="3">
        <f t="shared" si="0"/>
        <v>26</v>
      </c>
      <c r="B33" s="13" t="s">
        <v>28</v>
      </c>
      <c r="C33" s="110"/>
      <c r="D33" s="111"/>
      <c r="E33" s="112"/>
      <c r="F33" s="112"/>
      <c r="G33" s="76"/>
      <c r="H33" s="73"/>
      <c r="I33" s="73"/>
      <c r="J33" s="77"/>
      <c r="K33" s="41"/>
      <c r="L33" s="112"/>
      <c r="M33" s="112"/>
      <c r="N33" s="112"/>
      <c r="O33" s="112"/>
      <c r="P33" s="112"/>
      <c r="Q33" s="120"/>
      <c r="R33" s="86"/>
      <c r="S33" s="124"/>
      <c r="T33" s="41"/>
      <c r="U33" s="107"/>
      <c r="V33" s="130"/>
      <c r="W33" s="129"/>
      <c r="X33" s="27"/>
    </row>
    <row r="34" spans="1:26" ht="19.5" thickBot="1" x14ac:dyDescent="0.3">
      <c r="A34" s="3">
        <f t="shared" si="0"/>
        <v>27</v>
      </c>
      <c r="B34" s="13" t="s">
        <v>30</v>
      </c>
      <c r="C34" s="110"/>
      <c r="D34" s="111"/>
      <c r="E34" s="112"/>
      <c r="F34" s="112"/>
      <c r="G34" s="76"/>
      <c r="H34" s="73"/>
      <c r="I34" s="73"/>
      <c r="J34" s="77"/>
      <c r="K34" s="41"/>
      <c r="L34" s="112"/>
      <c r="M34" s="112"/>
      <c r="N34" s="112"/>
      <c r="O34" s="112"/>
      <c r="P34" s="112"/>
      <c r="Q34" s="120"/>
      <c r="R34" s="86"/>
      <c r="S34" s="124"/>
      <c r="T34" s="41"/>
      <c r="U34" s="107"/>
      <c r="V34" s="130"/>
      <c r="W34" s="129"/>
      <c r="X34" s="27"/>
    </row>
    <row r="35" spans="1:26" ht="19.5" thickBot="1" x14ac:dyDescent="0.3">
      <c r="A35" s="3">
        <f t="shared" si="0"/>
        <v>28</v>
      </c>
      <c r="B35" s="13" t="s">
        <v>31</v>
      </c>
      <c r="C35" s="110"/>
      <c r="D35" s="111"/>
      <c r="E35" s="112"/>
      <c r="F35" s="112"/>
      <c r="G35" s="76"/>
      <c r="H35" s="73"/>
      <c r="I35" s="73"/>
      <c r="J35" s="77"/>
      <c r="K35" s="41"/>
      <c r="L35" s="112"/>
      <c r="M35" s="112"/>
      <c r="N35" s="112"/>
      <c r="O35" s="112"/>
      <c r="P35" s="112"/>
      <c r="Q35" s="120"/>
      <c r="R35" s="86"/>
      <c r="S35" s="124"/>
      <c r="T35" s="41"/>
      <c r="U35" s="107"/>
      <c r="V35" s="130"/>
      <c r="W35" s="129"/>
      <c r="X35" s="27"/>
    </row>
    <row r="36" spans="1:26" ht="18.75" hidden="1" customHeight="1" x14ac:dyDescent="0.3">
      <c r="A36" s="3">
        <f t="shared" si="0"/>
        <v>29</v>
      </c>
      <c r="B36" s="13" t="s">
        <v>39</v>
      </c>
      <c r="C36" s="110"/>
      <c r="D36" s="111"/>
      <c r="E36" s="112"/>
      <c r="F36" s="112"/>
      <c r="G36" s="76"/>
      <c r="H36" s="73"/>
      <c r="I36" s="73"/>
      <c r="J36" s="77"/>
      <c r="K36" s="41"/>
      <c r="L36" s="112"/>
      <c r="M36" s="112"/>
      <c r="N36" s="112"/>
      <c r="O36" s="112"/>
      <c r="P36" s="112"/>
      <c r="Q36" s="120"/>
      <c r="R36" s="86"/>
      <c r="S36" s="124"/>
      <c r="T36" s="41"/>
      <c r="U36" s="107"/>
      <c r="V36" s="130"/>
      <c r="W36" s="129"/>
      <c r="X36" s="27"/>
    </row>
    <row r="37" spans="1:26" ht="18.75" customHeight="1" thickBot="1" x14ac:dyDescent="0.3">
      <c r="A37" s="3">
        <f t="shared" si="0"/>
        <v>30</v>
      </c>
      <c r="B37" s="13" t="s">
        <v>32</v>
      </c>
      <c r="C37" s="110"/>
      <c r="D37" s="111"/>
      <c r="E37" s="112"/>
      <c r="F37" s="112"/>
      <c r="G37" s="76"/>
      <c r="H37" s="73"/>
      <c r="I37" s="73"/>
      <c r="J37" s="77"/>
      <c r="K37" s="41"/>
      <c r="L37" s="112"/>
      <c r="M37" s="112"/>
      <c r="N37" s="112"/>
      <c r="O37" s="112"/>
      <c r="P37" s="112"/>
      <c r="Q37" s="120"/>
      <c r="R37" s="86"/>
      <c r="S37" s="124"/>
      <c r="T37" s="41"/>
      <c r="U37" s="107"/>
      <c r="V37" s="130"/>
      <c r="W37" s="129"/>
      <c r="X37" s="27"/>
    </row>
    <row r="38" spans="1:26" ht="19.5" thickBot="1" x14ac:dyDescent="0.3">
      <c r="A38" s="3">
        <f t="shared" si="0"/>
        <v>31</v>
      </c>
      <c r="B38" s="138" t="s">
        <v>33</v>
      </c>
      <c r="C38" s="113"/>
      <c r="D38" s="114"/>
      <c r="E38" s="115"/>
      <c r="F38" s="115"/>
      <c r="G38" s="78"/>
      <c r="H38" s="79"/>
      <c r="I38" s="139"/>
      <c r="J38" s="140"/>
      <c r="K38" s="51"/>
      <c r="L38" s="121"/>
      <c r="M38" s="121"/>
      <c r="N38" s="121"/>
      <c r="O38" s="121"/>
      <c r="P38" s="121"/>
      <c r="Q38" s="122"/>
      <c r="R38" s="97"/>
      <c r="S38" s="125"/>
      <c r="T38" s="51"/>
      <c r="U38" s="131"/>
      <c r="V38" s="135"/>
      <c r="W38" s="133"/>
      <c r="X38" s="52"/>
    </row>
    <row r="39" spans="1:26" ht="19.5" thickBot="1" x14ac:dyDescent="0.3">
      <c r="A39" s="3">
        <f t="shared" si="0"/>
        <v>32</v>
      </c>
      <c r="B39" s="10" t="s">
        <v>34</v>
      </c>
      <c r="C39" s="110"/>
      <c r="D39" s="111"/>
      <c r="E39" s="112"/>
      <c r="F39" s="112"/>
      <c r="G39" s="76"/>
      <c r="H39" s="73"/>
      <c r="I39" s="76"/>
      <c r="J39" s="77"/>
      <c r="K39" s="41"/>
      <c r="L39" s="112"/>
      <c r="M39" s="112"/>
      <c r="N39" s="112"/>
      <c r="O39" s="112"/>
      <c r="P39" s="112"/>
      <c r="Q39" s="120"/>
      <c r="R39" s="96"/>
      <c r="S39" s="126"/>
      <c r="T39" s="41"/>
      <c r="U39" s="107"/>
      <c r="V39" s="109"/>
      <c r="W39" s="129"/>
      <c r="X39" s="27"/>
    </row>
    <row r="40" spans="1:26" ht="19.5" thickBot="1" x14ac:dyDescent="0.3">
      <c r="A40" s="3">
        <f t="shared" si="0"/>
        <v>33</v>
      </c>
      <c r="B40" s="81" t="s">
        <v>76</v>
      </c>
      <c r="C40" s="116"/>
      <c r="D40" s="117"/>
      <c r="E40" s="118"/>
      <c r="F40" s="118"/>
      <c r="G40" s="82"/>
      <c r="H40" s="80"/>
      <c r="I40" s="73"/>
      <c r="J40" s="77"/>
      <c r="K40" s="41"/>
      <c r="L40" s="112"/>
      <c r="M40" s="112"/>
      <c r="N40" s="112"/>
      <c r="O40" s="112"/>
      <c r="P40" s="112"/>
      <c r="Q40" s="120"/>
      <c r="R40" s="86"/>
      <c r="S40" s="124"/>
      <c r="T40" s="41"/>
      <c r="U40" s="136"/>
      <c r="V40" s="130"/>
      <c r="W40" s="137"/>
      <c r="X40" s="92"/>
    </row>
    <row r="41" spans="1:26" ht="19.5" thickBot="1" x14ac:dyDescent="0.3">
      <c r="A41" s="3">
        <f t="shared" si="0"/>
        <v>34</v>
      </c>
      <c r="B41" s="145" t="s">
        <v>35</v>
      </c>
      <c r="C41" s="146"/>
      <c r="D41" s="147"/>
      <c r="E41" s="148"/>
      <c r="F41" s="148"/>
      <c r="G41" s="149"/>
      <c r="H41" s="150"/>
      <c r="I41" s="151"/>
      <c r="J41" s="152"/>
      <c r="K41" s="153"/>
      <c r="L41" s="154"/>
      <c r="M41" s="154"/>
      <c r="N41" s="154"/>
      <c r="O41" s="154"/>
      <c r="P41" s="154"/>
      <c r="Q41" s="155"/>
      <c r="R41" s="156"/>
      <c r="S41" s="157"/>
      <c r="T41" s="153"/>
      <c r="U41" s="158"/>
      <c r="V41" s="159"/>
      <c r="W41" s="159"/>
      <c r="X41" s="160"/>
    </row>
    <row r="42" spans="1:26" ht="19.5" thickBot="1" x14ac:dyDescent="0.3">
      <c r="A42" s="3">
        <f t="shared" si="0"/>
        <v>35</v>
      </c>
      <c r="B42" s="162" t="s">
        <v>36</v>
      </c>
      <c r="C42" s="163"/>
      <c r="D42" s="164"/>
      <c r="E42" s="165"/>
      <c r="F42" s="165"/>
      <c r="G42" s="166"/>
      <c r="H42" s="167"/>
      <c r="I42" s="166"/>
      <c r="J42" s="168"/>
      <c r="K42" s="169"/>
      <c r="L42" s="165"/>
      <c r="M42" s="165"/>
      <c r="N42" s="165"/>
      <c r="O42" s="165"/>
      <c r="P42" s="165"/>
      <c r="Q42" s="170"/>
      <c r="R42" s="171"/>
      <c r="S42" s="172"/>
      <c r="T42" s="169"/>
      <c r="U42" s="173"/>
      <c r="V42" s="174"/>
      <c r="W42" s="175"/>
      <c r="X42" s="176"/>
    </row>
    <row r="43" spans="1:26" ht="18.75" hidden="1" customHeight="1" x14ac:dyDescent="0.3">
      <c r="A43" s="3">
        <f t="shared" si="0"/>
        <v>36</v>
      </c>
      <c r="B43" s="10" t="s">
        <v>43</v>
      </c>
      <c r="C43" s="110"/>
      <c r="D43" s="111"/>
      <c r="E43" s="112"/>
      <c r="F43" s="112"/>
      <c r="G43" s="76"/>
      <c r="H43" s="73"/>
      <c r="I43" s="73"/>
      <c r="J43" s="94"/>
      <c r="K43" s="41"/>
      <c r="L43" s="112"/>
      <c r="M43" s="112"/>
      <c r="N43" s="112"/>
      <c r="O43" s="112"/>
      <c r="P43" s="112"/>
      <c r="Q43" s="120"/>
      <c r="R43" s="161"/>
      <c r="S43" s="127"/>
      <c r="T43" s="41"/>
      <c r="U43" s="107"/>
      <c r="V43" s="109"/>
      <c r="W43" s="129"/>
      <c r="X43" s="27"/>
    </row>
    <row r="44" spans="1:26" ht="19.5" thickBot="1" x14ac:dyDescent="0.3">
      <c r="A44" s="3">
        <f t="shared" si="0"/>
        <v>37</v>
      </c>
      <c r="B44" s="50" t="s">
        <v>37</v>
      </c>
      <c r="C44" s="113"/>
      <c r="D44" s="114"/>
      <c r="E44" s="115"/>
      <c r="F44" s="115"/>
      <c r="G44" s="78"/>
      <c r="H44" s="79"/>
      <c r="I44" s="73"/>
      <c r="J44" s="177"/>
      <c r="K44" s="51"/>
      <c r="L44" s="121"/>
      <c r="M44" s="121"/>
      <c r="N44" s="121"/>
      <c r="O44" s="121"/>
      <c r="P44" s="121"/>
      <c r="Q44" s="122"/>
      <c r="R44" s="178"/>
      <c r="S44" s="179"/>
      <c r="T44" s="51"/>
      <c r="U44" s="131"/>
      <c r="V44" s="130"/>
      <c r="W44" s="133"/>
      <c r="X44" s="52"/>
      <c r="Z44" s="47"/>
    </row>
    <row r="45" spans="1:26" ht="18.75" hidden="1" customHeight="1" x14ac:dyDescent="0.3">
      <c r="A45" s="3">
        <f t="shared" si="0"/>
        <v>38</v>
      </c>
      <c r="B45" s="10" t="s">
        <v>45</v>
      </c>
      <c r="C45" s="110"/>
      <c r="D45" s="111"/>
      <c r="E45" s="112"/>
      <c r="F45" s="112"/>
      <c r="G45" s="76"/>
      <c r="H45" s="73"/>
      <c r="I45" s="80"/>
      <c r="J45" s="77"/>
      <c r="K45" s="41"/>
      <c r="L45" s="112"/>
      <c r="M45" s="112"/>
      <c r="N45" s="112"/>
      <c r="O45" s="112"/>
      <c r="P45" s="112"/>
      <c r="Q45" s="120"/>
      <c r="R45" s="96"/>
      <c r="S45" s="127"/>
      <c r="T45" s="41"/>
      <c r="U45" s="107"/>
      <c r="V45" s="132"/>
      <c r="W45" s="129"/>
      <c r="X45" s="27"/>
    </row>
    <row r="46" spans="1:26" ht="19.5" thickBot="1" x14ac:dyDescent="0.3">
      <c r="A46" s="3">
        <f t="shared" si="0"/>
        <v>39</v>
      </c>
      <c r="B46" s="13" t="s">
        <v>38</v>
      </c>
      <c r="C46" s="110"/>
      <c r="D46" s="111"/>
      <c r="E46" s="112"/>
      <c r="F46" s="112"/>
      <c r="G46" s="76"/>
      <c r="H46" s="73"/>
      <c r="I46" s="93"/>
      <c r="J46" s="77"/>
      <c r="K46" s="41"/>
      <c r="L46" s="112"/>
      <c r="M46" s="112"/>
      <c r="N46" s="112"/>
      <c r="O46" s="112"/>
      <c r="P46" s="112"/>
      <c r="Q46" s="120"/>
      <c r="R46" s="86"/>
      <c r="S46" s="128"/>
      <c r="T46" s="41"/>
      <c r="U46" s="107"/>
      <c r="V46" s="134"/>
      <c r="W46" s="129"/>
      <c r="X46" s="27"/>
    </row>
    <row r="47" spans="1:26" ht="19.5" thickBot="1" x14ac:dyDescent="0.3">
      <c r="A47" s="3">
        <f t="shared" si="0"/>
        <v>40</v>
      </c>
      <c r="B47" s="13" t="s">
        <v>71</v>
      </c>
      <c r="C47" s="110"/>
      <c r="D47" s="111"/>
      <c r="E47" s="112"/>
      <c r="F47" s="112"/>
      <c r="G47" s="76"/>
      <c r="H47" s="73"/>
      <c r="I47" s="73"/>
      <c r="J47" s="77"/>
      <c r="K47" s="41"/>
      <c r="L47" s="112"/>
      <c r="M47" s="112"/>
      <c r="N47" s="112"/>
      <c r="O47" s="112"/>
      <c r="P47" s="112"/>
      <c r="Q47" s="120"/>
      <c r="R47" s="86"/>
      <c r="S47" s="124"/>
      <c r="T47" s="41"/>
      <c r="U47" s="107"/>
      <c r="V47" s="130"/>
      <c r="W47" s="129"/>
      <c r="X47" s="27"/>
    </row>
    <row r="48" spans="1:26" ht="19.5" thickBot="1" x14ac:dyDescent="0.3">
      <c r="A48" s="3">
        <f t="shared" si="0"/>
        <v>41</v>
      </c>
      <c r="B48" s="50" t="s">
        <v>39</v>
      </c>
      <c r="C48" s="141"/>
      <c r="D48" s="142"/>
      <c r="E48" s="121"/>
      <c r="F48" s="121"/>
      <c r="G48" s="143"/>
      <c r="H48" s="139"/>
      <c r="I48" s="139"/>
      <c r="J48" s="140"/>
      <c r="K48" s="51"/>
      <c r="L48" s="121"/>
      <c r="M48" s="121"/>
      <c r="N48" s="121"/>
      <c r="O48" s="121"/>
      <c r="P48" s="121"/>
      <c r="Q48" s="122"/>
      <c r="R48" s="97"/>
      <c r="S48" s="144"/>
      <c r="T48" s="51"/>
      <c r="U48" s="131"/>
      <c r="V48" s="135"/>
      <c r="W48" s="133"/>
      <c r="X48" s="52"/>
    </row>
    <row r="49" spans="1:24" ht="19.5" thickBot="1" x14ac:dyDescent="0.3">
      <c r="A49" s="3">
        <f t="shared" si="0"/>
        <v>42</v>
      </c>
      <c r="B49" s="10" t="s">
        <v>72</v>
      </c>
      <c r="C49" s="110"/>
      <c r="D49" s="111"/>
      <c r="E49" s="112"/>
      <c r="F49" s="112"/>
      <c r="G49" s="76"/>
      <c r="H49" s="73"/>
      <c r="I49" s="73"/>
      <c r="J49" s="77"/>
      <c r="K49" s="41"/>
      <c r="L49" s="112"/>
      <c r="M49" s="112"/>
      <c r="N49" s="112"/>
      <c r="O49" s="112"/>
      <c r="P49" s="112"/>
      <c r="Q49" s="120"/>
      <c r="R49" s="96"/>
      <c r="S49" s="126"/>
      <c r="T49" s="41"/>
      <c r="U49" s="107"/>
      <c r="V49" s="109"/>
      <c r="W49" s="129"/>
      <c r="X49" s="27"/>
    </row>
    <row r="50" spans="1:24" ht="19.5" thickBot="1" x14ac:dyDescent="0.3">
      <c r="A50" s="3">
        <f t="shared" si="0"/>
        <v>43</v>
      </c>
      <c r="B50" s="13" t="s">
        <v>40</v>
      </c>
      <c r="C50" s="110"/>
      <c r="D50" s="111"/>
      <c r="E50" s="112"/>
      <c r="F50" s="112"/>
      <c r="G50" s="76"/>
      <c r="H50" s="73"/>
      <c r="I50" s="73"/>
      <c r="J50" s="77"/>
      <c r="K50" s="41"/>
      <c r="L50" s="112"/>
      <c r="M50" s="112"/>
      <c r="N50" s="112"/>
      <c r="O50" s="112"/>
      <c r="P50" s="112"/>
      <c r="Q50" s="120"/>
      <c r="R50" s="86"/>
      <c r="S50" s="124"/>
      <c r="T50" s="41"/>
      <c r="U50" s="107"/>
      <c r="V50" s="130"/>
      <c r="W50" s="129"/>
      <c r="X50" s="27"/>
    </row>
    <row r="51" spans="1:24" ht="19.5" thickBot="1" x14ac:dyDescent="0.3">
      <c r="A51" s="3">
        <f t="shared" si="0"/>
        <v>44</v>
      </c>
      <c r="B51" s="13" t="s">
        <v>73</v>
      </c>
      <c r="C51" s="110"/>
      <c r="D51" s="111"/>
      <c r="E51" s="112"/>
      <c r="F51" s="112"/>
      <c r="G51" s="76"/>
      <c r="H51" s="73"/>
      <c r="I51" s="73"/>
      <c r="J51" s="77"/>
      <c r="K51" s="41"/>
      <c r="L51" s="112"/>
      <c r="M51" s="112"/>
      <c r="N51" s="112"/>
      <c r="O51" s="112"/>
      <c r="P51" s="112"/>
      <c r="Q51" s="120"/>
      <c r="R51" s="86"/>
      <c r="S51" s="124"/>
      <c r="T51" s="41"/>
      <c r="U51" s="107"/>
      <c r="V51" s="130"/>
      <c r="W51" s="129"/>
      <c r="X51" s="27"/>
    </row>
    <row r="52" spans="1:24" ht="19.5" thickBot="1" x14ac:dyDescent="0.3">
      <c r="A52" s="3">
        <f t="shared" si="0"/>
        <v>45</v>
      </c>
      <c r="B52" s="50" t="s">
        <v>41</v>
      </c>
      <c r="C52" s="141"/>
      <c r="D52" s="142"/>
      <c r="E52" s="121"/>
      <c r="F52" s="121"/>
      <c r="G52" s="143"/>
      <c r="H52" s="139"/>
      <c r="I52" s="139"/>
      <c r="J52" s="140"/>
      <c r="K52" s="51"/>
      <c r="L52" s="121"/>
      <c r="M52" s="121"/>
      <c r="N52" s="121"/>
      <c r="O52" s="121"/>
      <c r="P52" s="121"/>
      <c r="Q52" s="122"/>
      <c r="R52" s="97"/>
      <c r="S52" s="144"/>
      <c r="T52" s="51"/>
      <c r="U52" s="131"/>
      <c r="V52" s="135"/>
      <c r="W52" s="133"/>
      <c r="X52" s="52"/>
    </row>
    <row r="53" spans="1:24" ht="19.5" thickBot="1" x14ac:dyDescent="0.3">
      <c r="A53" s="3">
        <f t="shared" si="0"/>
        <v>46</v>
      </c>
      <c r="B53" s="10" t="s">
        <v>42</v>
      </c>
      <c r="C53" s="110"/>
      <c r="D53" s="111"/>
      <c r="E53" s="112"/>
      <c r="F53" s="112"/>
      <c r="G53" s="76"/>
      <c r="H53" s="73"/>
      <c r="I53" s="73"/>
      <c r="J53" s="77"/>
      <c r="K53" s="41"/>
      <c r="L53" s="112"/>
      <c r="M53" s="112"/>
      <c r="N53" s="112"/>
      <c r="O53" s="112"/>
      <c r="P53" s="112"/>
      <c r="Q53" s="120"/>
      <c r="R53" s="96"/>
      <c r="S53" s="126"/>
      <c r="T53" s="41"/>
      <c r="U53" s="107"/>
      <c r="V53" s="109"/>
      <c r="W53" s="129"/>
      <c r="X53" s="27"/>
    </row>
    <row r="54" spans="1:24" ht="19.5" thickBot="1" x14ac:dyDescent="0.3">
      <c r="A54" s="3">
        <f t="shared" si="0"/>
        <v>47</v>
      </c>
      <c r="B54" s="13" t="s">
        <v>78</v>
      </c>
      <c r="C54" s="110"/>
      <c r="D54" s="111"/>
      <c r="E54" s="112"/>
      <c r="F54" s="112"/>
      <c r="G54" s="76"/>
      <c r="H54" s="73"/>
      <c r="I54" s="73"/>
      <c r="J54" s="77"/>
      <c r="K54" s="41"/>
      <c r="L54" s="112"/>
      <c r="M54" s="112"/>
      <c r="N54" s="112"/>
      <c r="O54" s="112"/>
      <c r="P54" s="112"/>
      <c r="Q54" s="120"/>
      <c r="R54" s="86"/>
      <c r="S54" s="124"/>
      <c r="T54" s="41"/>
      <c r="U54" s="107"/>
      <c r="V54" s="130"/>
      <c r="W54" s="129"/>
      <c r="X54" s="27"/>
    </row>
    <row r="55" spans="1:24" ht="19.5" thickBot="1" x14ac:dyDescent="0.3">
      <c r="A55" s="3">
        <f t="shared" si="0"/>
        <v>48</v>
      </c>
      <c r="B55" s="13"/>
      <c r="C55" s="110"/>
      <c r="D55" s="111"/>
      <c r="E55" s="112"/>
      <c r="F55" s="112"/>
      <c r="G55" s="76"/>
      <c r="H55" s="73"/>
      <c r="I55" s="73"/>
      <c r="J55" s="77"/>
      <c r="K55" s="41"/>
      <c r="L55" s="112"/>
      <c r="M55" s="112"/>
      <c r="N55" s="112"/>
      <c r="O55" s="112"/>
      <c r="P55" s="112"/>
      <c r="Q55" s="120"/>
      <c r="R55" s="86"/>
      <c r="S55" s="124"/>
      <c r="T55" s="41"/>
      <c r="U55" s="107"/>
      <c r="V55" s="130"/>
      <c r="W55" s="129"/>
      <c r="X55" s="27"/>
    </row>
    <row r="56" spans="1:24" ht="19.5" thickBot="1" x14ac:dyDescent="0.3">
      <c r="A56" s="3">
        <f t="shared" si="0"/>
        <v>49</v>
      </c>
      <c r="B56" s="13"/>
      <c r="C56" s="110"/>
      <c r="D56" s="111"/>
      <c r="E56" s="112"/>
      <c r="F56" s="112"/>
      <c r="G56" s="76"/>
      <c r="H56" s="73"/>
      <c r="I56" s="73"/>
      <c r="J56" s="77"/>
      <c r="K56" s="41"/>
      <c r="L56" s="112"/>
      <c r="M56" s="112"/>
      <c r="N56" s="112"/>
      <c r="O56" s="112"/>
      <c r="P56" s="112"/>
      <c r="Q56" s="120"/>
      <c r="R56" s="86"/>
      <c r="S56" s="124"/>
      <c r="T56" s="41"/>
      <c r="U56" s="107"/>
      <c r="V56" s="130"/>
      <c r="W56" s="129"/>
      <c r="X56" s="27"/>
    </row>
    <row r="57" spans="1:24" ht="19.5" thickBot="1" x14ac:dyDescent="0.3">
      <c r="A57" s="3">
        <f t="shared" si="0"/>
        <v>50</v>
      </c>
      <c r="B57" s="13"/>
      <c r="C57" s="110"/>
      <c r="D57" s="111"/>
      <c r="E57" s="112"/>
      <c r="F57" s="112"/>
      <c r="G57" s="76"/>
      <c r="H57" s="73"/>
      <c r="I57" s="73"/>
      <c r="J57" s="77"/>
      <c r="K57" s="41"/>
      <c r="L57" s="112"/>
      <c r="M57" s="112"/>
      <c r="N57" s="112"/>
      <c r="O57" s="112"/>
      <c r="P57" s="112"/>
      <c r="Q57" s="120"/>
      <c r="R57" s="86"/>
      <c r="S57" s="124"/>
      <c r="T57" s="41"/>
      <c r="U57" s="107"/>
      <c r="V57" s="130"/>
      <c r="W57" s="129"/>
      <c r="X57" s="27"/>
    </row>
    <row r="58" spans="1:24" ht="19.5" thickBot="1" x14ac:dyDescent="0.3">
      <c r="A58" s="3">
        <f t="shared" si="0"/>
        <v>51</v>
      </c>
      <c r="B58" s="13"/>
      <c r="C58" s="110"/>
      <c r="D58" s="111"/>
      <c r="E58" s="112"/>
      <c r="F58" s="112"/>
      <c r="G58" s="76"/>
      <c r="H58" s="73"/>
      <c r="I58" s="73"/>
      <c r="J58" s="77"/>
      <c r="K58" s="41"/>
      <c r="L58" s="112"/>
      <c r="M58" s="112"/>
      <c r="N58" s="112"/>
      <c r="O58" s="112"/>
      <c r="P58" s="112"/>
      <c r="Q58" s="120"/>
      <c r="R58" s="86"/>
      <c r="S58" s="124"/>
      <c r="T58" s="41"/>
      <c r="U58" s="107"/>
      <c r="V58" s="130"/>
      <c r="W58" s="129"/>
      <c r="X58" s="27"/>
    </row>
    <row r="59" spans="1:24" ht="19.5" thickBot="1" x14ac:dyDescent="0.3">
      <c r="A59" s="3">
        <f t="shared" si="0"/>
        <v>52</v>
      </c>
      <c r="B59" s="13"/>
      <c r="C59" s="110"/>
      <c r="D59" s="111"/>
      <c r="E59" s="112"/>
      <c r="F59" s="112"/>
      <c r="G59" s="76"/>
      <c r="H59" s="73"/>
      <c r="I59" s="73"/>
      <c r="J59" s="77"/>
      <c r="K59" s="41"/>
      <c r="L59" s="112"/>
      <c r="M59" s="112"/>
      <c r="N59" s="112"/>
      <c r="O59" s="112"/>
      <c r="P59" s="112"/>
      <c r="Q59" s="120"/>
      <c r="R59" s="86"/>
      <c r="S59" s="124"/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/>
      <c r="D60" s="54"/>
      <c r="E60" s="44"/>
      <c r="F60" s="44"/>
      <c r="G60" s="28"/>
      <c r="H60" s="56"/>
      <c r="I60" s="56"/>
      <c r="J60" s="45"/>
      <c r="K60" s="46"/>
      <c r="L60" s="74"/>
      <c r="M60" s="74"/>
      <c r="N60" s="74"/>
      <c r="O60" s="74"/>
      <c r="P60" s="74"/>
      <c r="Q60" s="75"/>
      <c r="R60" s="85"/>
      <c r="S60" s="84"/>
      <c r="T60" s="46"/>
      <c r="U60" s="43"/>
      <c r="V60" s="102"/>
      <c r="W60" s="90"/>
      <c r="X60" s="45"/>
    </row>
    <row r="61" spans="1:24" ht="19.5" thickBot="1" x14ac:dyDescent="0.3">
      <c r="V61" s="103"/>
    </row>
    <row r="62" spans="1:24" ht="18.75" customHeight="1" x14ac:dyDescent="0.25">
      <c r="G62" s="196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197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198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199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199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00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04" t="s">
        <v>3</v>
      </c>
      <c r="D69" s="105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" footer="0"/>
  <pageSetup paperSize="9" scale="46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0F35F-7B2A-4713-8B09-23FADD968917}">
  <sheetPr>
    <pageSetUpPr fitToPage="1"/>
  </sheetPr>
  <dimension ref="A1:BH90"/>
  <sheetViews>
    <sheetView zoomScale="85" zoomScaleNormal="85" zoomScaleSheetLayoutView="85" zoomScalePageLayoutView="80" workbookViewId="0">
      <selection activeCell="C58" sqref="C58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42578125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01">
        <v>46113</v>
      </c>
      <c r="Q1" s="202"/>
      <c r="R1" s="202"/>
      <c r="S1" s="202"/>
      <c r="T1" s="202"/>
      <c r="U1" s="202"/>
      <c r="V1" s="202"/>
      <c r="W1" s="202"/>
      <c r="X1" s="203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04" t="s">
        <v>74</v>
      </c>
      <c r="C4" s="205" t="s">
        <v>3</v>
      </c>
      <c r="D4" s="206" t="s">
        <v>75</v>
      </c>
      <c r="E4" s="207" t="s">
        <v>4</v>
      </c>
      <c r="F4" s="208"/>
      <c r="G4" s="209" t="s">
        <v>5</v>
      </c>
      <c r="H4" s="211" t="s">
        <v>75</v>
      </c>
      <c r="I4" s="213" t="s">
        <v>6</v>
      </c>
      <c r="J4" s="211" t="s">
        <v>75</v>
      </c>
      <c r="L4" s="215" t="s">
        <v>7</v>
      </c>
      <c r="M4" s="216"/>
      <c r="N4" s="216"/>
      <c r="O4" s="216"/>
      <c r="P4" s="216"/>
      <c r="Q4" s="216"/>
      <c r="R4" s="216"/>
      <c r="S4" s="216"/>
      <c r="T4" s="216"/>
      <c r="U4" s="216"/>
      <c r="V4" s="217"/>
      <c r="W4" s="216"/>
      <c r="X4" s="218"/>
    </row>
    <row r="5" spans="1:60" s="3" customFormat="1" ht="57" thickBot="1" x14ac:dyDescent="0.3">
      <c r="A5" s="49"/>
      <c r="B5" s="204"/>
      <c r="C5" s="205"/>
      <c r="D5" s="206"/>
      <c r="E5" s="48" t="s">
        <v>8</v>
      </c>
      <c r="F5" s="183" t="s">
        <v>9</v>
      </c>
      <c r="G5" s="210"/>
      <c r="H5" s="212"/>
      <c r="I5" s="214"/>
      <c r="J5" s="212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56</v>
      </c>
      <c r="D8" s="111">
        <v>21</v>
      </c>
      <c r="E8" s="112"/>
      <c r="F8" s="112"/>
      <c r="G8" s="76">
        <v>1</v>
      </c>
      <c r="H8" s="73"/>
      <c r="I8" s="73">
        <f>C8+E8-G8</f>
        <v>55</v>
      </c>
      <c r="J8" s="77">
        <f t="shared" ref="J8:J12" si="0">D8-H8</f>
        <v>21</v>
      </c>
      <c r="K8" s="41"/>
      <c r="L8" s="112">
        <v>1</v>
      </c>
      <c r="M8" s="112"/>
      <c r="N8" s="112"/>
      <c r="O8" s="112"/>
      <c r="P8" s="112"/>
      <c r="Q8" s="120"/>
      <c r="R8" s="86">
        <f t="shared" ref="R8:S12" si="1">L8+N8+P8</f>
        <v>1</v>
      </c>
      <c r="S8" s="124">
        <f t="shared" si="1"/>
        <v>0</v>
      </c>
      <c r="T8" s="41"/>
      <c r="U8" s="107">
        <f>L8*24+N8*24+P8*24</f>
        <v>24</v>
      </c>
      <c r="V8" s="130">
        <f>U8/24</f>
        <v>1</v>
      </c>
      <c r="W8" s="129">
        <f t="shared" ref="W8:W12" si="2">I8*24+J8</f>
        <v>1341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106</v>
      </c>
      <c r="D9" s="114"/>
      <c r="E9" s="115"/>
      <c r="F9" s="115"/>
      <c r="G9" s="78"/>
      <c r="H9" s="79"/>
      <c r="I9" s="78">
        <f>C9+E9-G9</f>
        <v>106</v>
      </c>
      <c r="J9" s="94">
        <f t="shared" si="0"/>
        <v>0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2544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116</v>
      </c>
      <c r="D10" s="111"/>
      <c r="E10" s="112"/>
      <c r="F10" s="112"/>
      <c r="G10" s="76"/>
      <c r="H10" s="73"/>
      <c r="I10" s="73">
        <f t="shared" ref="I10:J59" si="4">C10-G10</f>
        <v>116</v>
      </c>
      <c r="J10" s="95">
        <f t="shared" si="0"/>
        <v>0</v>
      </c>
      <c r="K10" s="41"/>
      <c r="L10" s="112"/>
      <c r="M10" s="112"/>
      <c r="N10" s="112"/>
      <c r="O10" s="112"/>
      <c r="P10" s="112"/>
      <c r="Q10" s="120"/>
      <c r="R10" s="99">
        <f t="shared" si="1"/>
        <v>0</v>
      </c>
      <c r="S10" s="126">
        <f t="shared" si="1"/>
        <v>0</v>
      </c>
      <c r="T10" s="41"/>
      <c r="U10" s="107">
        <f>L10*24+N10*24+P10*24</f>
        <v>0</v>
      </c>
      <c r="V10" s="134">
        <f>U10/24</f>
        <v>0</v>
      </c>
      <c r="W10" s="129">
        <f t="shared" si="2"/>
        <v>2784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14</v>
      </c>
      <c r="D11" s="111"/>
      <c r="E11" s="112"/>
      <c r="F11" s="112"/>
      <c r="G11" s="76"/>
      <c r="H11" s="73"/>
      <c r="I11" s="73">
        <f t="shared" si="4"/>
        <v>14</v>
      </c>
      <c r="J11" s="77">
        <f t="shared" si="0"/>
        <v>0</v>
      </c>
      <c r="K11" s="41"/>
      <c r="L11" s="112"/>
      <c r="M11" s="112"/>
      <c r="N11" s="112"/>
      <c r="O11" s="112"/>
      <c r="P11" s="112"/>
      <c r="Q11" s="120"/>
      <c r="R11" s="86">
        <f t="shared" si="1"/>
        <v>0</v>
      </c>
      <c r="S11" s="124">
        <f t="shared" si="1"/>
        <v>0</v>
      </c>
      <c r="T11" s="41"/>
      <c r="U11" s="107">
        <f>L11*24+N11*24+P11*24</f>
        <v>0</v>
      </c>
      <c r="V11" s="130">
        <f>U11/24</f>
        <v>0</v>
      </c>
      <c r="W11" s="129">
        <f t="shared" si="2"/>
        <v>336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6</v>
      </c>
      <c r="D12" s="111"/>
      <c r="E12" s="112"/>
      <c r="F12" s="112"/>
      <c r="G12" s="76"/>
      <c r="H12" s="73"/>
      <c r="I12" s="73">
        <f t="shared" si="4"/>
        <v>6</v>
      </c>
      <c r="J12" s="77">
        <f t="shared" si="0"/>
        <v>0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144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3839</v>
      </c>
      <c r="D13" s="114">
        <v>21</v>
      </c>
      <c r="E13" s="115"/>
      <c r="F13" s="115"/>
      <c r="G13" s="78">
        <v>35</v>
      </c>
      <c r="H13" s="79">
        <v>30</v>
      </c>
      <c r="I13" s="80">
        <f t="shared" si="4"/>
        <v>3804</v>
      </c>
      <c r="J13" s="94">
        <f>D13-H13</f>
        <v>-9</v>
      </c>
      <c r="K13" s="53"/>
      <c r="L13" s="121">
        <v>8</v>
      </c>
      <c r="M13" s="121">
        <v>4</v>
      </c>
      <c r="N13" s="121">
        <v>6</v>
      </c>
      <c r="O13" s="121">
        <v>4</v>
      </c>
      <c r="P13" s="121">
        <v>21</v>
      </c>
      <c r="Q13" s="122">
        <v>22</v>
      </c>
      <c r="R13" s="97">
        <f>L13+N13+P13</f>
        <v>35</v>
      </c>
      <c r="S13" s="125">
        <f>M13+O13+Q13</f>
        <v>30</v>
      </c>
      <c r="T13" s="53"/>
      <c r="U13" s="131">
        <f>L13*24+N13*24+P13*24</f>
        <v>840</v>
      </c>
      <c r="V13" s="135">
        <f t="shared" si="6"/>
        <v>35</v>
      </c>
      <c r="W13" s="133">
        <f>I13*24+J13</f>
        <v>91287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4</v>
      </c>
      <c r="D14" s="111">
        <v>16</v>
      </c>
      <c r="E14" s="112"/>
      <c r="F14" s="112"/>
      <c r="G14" s="76"/>
      <c r="H14" s="73"/>
      <c r="I14" s="93">
        <f t="shared" si="4"/>
        <v>4</v>
      </c>
      <c r="J14" s="95">
        <f t="shared" si="4"/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7">L14+N14+P14</f>
        <v>0</v>
      </c>
      <c r="S14" s="126">
        <f t="shared" si="7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8">I14*24+J14</f>
        <v>112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3</v>
      </c>
      <c r="D15" s="111"/>
      <c r="E15" s="112"/>
      <c r="F15" s="112"/>
      <c r="G15" s="76"/>
      <c r="H15" s="73"/>
      <c r="I15" s="73">
        <f t="shared" si="4"/>
        <v>3</v>
      </c>
      <c r="J15" s="77">
        <f t="shared" si="4"/>
        <v>0</v>
      </c>
      <c r="K15" s="41"/>
      <c r="L15" s="112"/>
      <c r="M15" s="112"/>
      <c r="N15" s="112"/>
      <c r="O15" s="112"/>
      <c r="P15" s="112"/>
      <c r="Q15" s="120"/>
      <c r="R15" s="86">
        <f t="shared" si="7"/>
        <v>0</v>
      </c>
      <c r="S15" s="124">
        <f t="shared" si="7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8"/>
        <v>72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>
        <v>2</v>
      </c>
      <c r="D16" s="111"/>
      <c r="E16" s="112"/>
      <c r="F16" s="112"/>
      <c r="G16" s="76"/>
      <c r="H16" s="73"/>
      <c r="I16" s="73">
        <f t="shared" si="4"/>
        <v>2</v>
      </c>
      <c r="J16" s="77">
        <f t="shared" si="4"/>
        <v>0</v>
      </c>
      <c r="K16" s="41"/>
      <c r="L16" s="112"/>
      <c r="M16" s="112"/>
      <c r="N16" s="112"/>
      <c r="O16" s="112"/>
      <c r="P16" s="112"/>
      <c r="Q16" s="120"/>
      <c r="R16" s="86">
        <f t="shared" si="7"/>
        <v>0</v>
      </c>
      <c r="S16" s="124">
        <f t="shared" si="7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8"/>
        <v>48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>
        <v>1</v>
      </c>
      <c r="D17" s="111"/>
      <c r="E17" s="112"/>
      <c r="F17" s="112"/>
      <c r="G17" s="76"/>
      <c r="H17" s="73"/>
      <c r="I17" s="73">
        <f t="shared" si="4"/>
        <v>1</v>
      </c>
      <c r="J17" s="77">
        <f t="shared" si="4"/>
        <v>0</v>
      </c>
      <c r="K17" s="41"/>
      <c r="L17" s="112"/>
      <c r="M17" s="112"/>
      <c r="N17" s="112"/>
      <c r="O17" s="112"/>
      <c r="P17" s="112"/>
      <c r="Q17" s="120"/>
      <c r="R17" s="86">
        <f t="shared" si="7"/>
        <v>0</v>
      </c>
      <c r="S17" s="124">
        <f t="shared" si="7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8"/>
        <v>24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4"/>
        <v>0</v>
      </c>
      <c r="K18" s="41"/>
      <c r="L18" s="112"/>
      <c r="M18" s="112"/>
      <c r="N18" s="112"/>
      <c r="O18" s="112"/>
      <c r="P18" s="112"/>
      <c r="Q18" s="120"/>
      <c r="R18" s="86">
        <f t="shared" si="7"/>
        <v>0</v>
      </c>
      <c r="S18" s="124">
        <f t="shared" si="7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8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4"/>
        <v>0</v>
      </c>
      <c r="K19" s="41"/>
      <c r="L19" s="112"/>
      <c r="M19" s="112"/>
      <c r="N19" s="112"/>
      <c r="O19" s="112"/>
      <c r="P19" s="112"/>
      <c r="Q19" s="120"/>
      <c r="R19" s="86">
        <f t="shared" si="7"/>
        <v>0</v>
      </c>
      <c r="S19" s="124">
        <f t="shared" si="7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4</v>
      </c>
      <c r="D20" s="111">
        <v>20</v>
      </c>
      <c r="E20" s="112"/>
      <c r="F20" s="112"/>
      <c r="G20" s="76"/>
      <c r="H20" s="73"/>
      <c r="I20" s="73">
        <f t="shared" si="4"/>
        <v>4</v>
      </c>
      <c r="J20" s="77">
        <f t="shared" si="4"/>
        <v>20</v>
      </c>
      <c r="K20" s="41"/>
      <c r="L20" s="112"/>
      <c r="M20" s="112"/>
      <c r="N20" s="112"/>
      <c r="O20" s="112"/>
      <c r="P20" s="112"/>
      <c r="Q20" s="120"/>
      <c r="R20" s="86">
        <f t="shared" si="7"/>
        <v>0</v>
      </c>
      <c r="S20" s="124">
        <f t="shared" si="7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8"/>
        <v>116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>
        <v>16</v>
      </c>
      <c r="E21" s="112"/>
      <c r="F21" s="112"/>
      <c r="G21" s="76"/>
      <c r="H21" s="73"/>
      <c r="I21" s="73">
        <f t="shared" si="4"/>
        <v>5</v>
      </c>
      <c r="J21" s="77">
        <f t="shared" si="4"/>
        <v>16</v>
      </c>
      <c r="K21" s="41"/>
      <c r="L21" s="112"/>
      <c r="M21" s="112"/>
      <c r="N21" s="112"/>
      <c r="O21" s="112"/>
      <c r="P21" s="112"/>
      <c r="Q21" s="120"/>
      <c r="R21" s="86">
        <f t="shared" si="7"/>
        <v>0</v>
      </c>
      <c r="S21" s="124">
        <f t="shared" si="7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8"/>
        <v>136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4</v>
      </c>
      <c r="D22" s="111"/>
      <c r="E22" s="112"/>
      <c r="F22" s="112"/>
      <c r="G22" s="76"/>
      <c r="H22" s="73"/>
      <c r="I22" s="73">
        <f t="shared" si="4"/>
        <v>4</v>
      </c>
      <c r="J22" s="77">
        <f t="shared" si="4"/>
        <v>0</v>
      </c>
      <c r="K22" s="41"/>
      <c r="L22" s="112"/>
      <c r="M22" s="112"/>
      <c r="N22" s="112"/>
      <c r="O22" s="112"/>
      <c r="P22" s="112"/>
      <c r="Q22" s="120"/>
      <c r="R22" s="86">
        <f t="shared" si="7"/>
        <v>0</v>
      </c>
      <c r="S22" s="124">
        <f t="shared" si="7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8"/>
        <v>96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>
        <v>2</v>
      </c>
      <c r="D23" s="111">
        <v>20</v>
      </c>
      <c r="E23" s="112"/>
      <c r="F23" s="112"/>
      <c r="G23" s="76"/>
      <c r="H23" s="73"/>
      <c r="I23" s="73">
        <f t="shared" si="4"/>
        <v>2</v>
      </c>
      <c r="J23" s="77">
        <f t="shared" si="4"/>
        <v>20</v>
      </c>
      <c r="K23" s="42"/>
      <c r="L23" s="112"/>
      <c r="M23" s="112"/>
      <c r="N23" s="112"/>
      <c r="O23" s="112"/>
      <c r="P23" s="112"/>
      <c r="Q23" s="120"/>
      <c r="R23" s="86">
        <f t="shared" si="7"/>
        <v>0</v>
      </c>
      <c r="S23" s="124">
        <f t="shared" si="7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8"/>
        <v>68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4"/>
        <v>19</v>
      </c>
      <c r="K24" s="42"/>
      <c r="L24" s="112"/>
      <c r="M24" s="112"/>
      <c r="N24" s="112"/>
      <c r="O24" s="112"/>
      <c r="P24" s="112"/>
      <c r="Q24" s="120"/>
      <c r="R24" s="86">
        <f t="shared" si="7"/>
        <v>0</v>
      </c>
      <c r="S24" s="124">
        <f t="shared" si="7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8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11</v>
      </c>
      <c r="D25" s="111"/>
      <c r="E25" s="112"/>
      <c r="F25" s="112"/>
      <c r="G25" s="76"/>
      <c r="H25" s="73"/>
      <c r="I25" s="73">
        <f t="shared" si="4"/>
        <v>11</v>
      </c>
      <c r="J25" s="77">
        <f t="shared" si="4"/>
        <v>0</v>
      </c>
      <c r="K25" s="41"/>
      <c r="L25" s="112"/>
      <c r="M25" s="112"/>
      <c r="N25" s="112"/>
      <c r="O25" s="112"/>
      <c r="P25" s="112"/>
      <c r="Q25" s="120"/>
      <c r="R25" s="86">
        <f t="shared" si="7"/>
        <v>0</v>
      </c>
      <c r="S25" s="124">
        <f t="shared" si="7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8"/>
        <v>264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41</v>
      </c>
      <c r="D26" s="111">
        <v>23</v>
      </c>
      <c r="E26" s="112"/>
      <c r="F26" s="112"/>
      <c r="G26" s="76"/>
      <c r="H26" s="73"/>
      <c r="I26" s="73">
        <f t="shared" si="4"/>
        <v>41</v>
      </c>
      <c r="J26" s="77">
        <f t="shared" si="4"/>
        <v>23</v>
      </c>
      <c r="K26" s="41"/>
      <c r="L26" s="112"/>
      <c r="M26" s="112"/>
      <c r="N26" s="112"/>
      <c r="O26" s="112"/>
      <c r="P26" s="112"/>
      <c r="Q26" s="120"/>
      <c r="R26" s="86">
        <f t="shared" si="7"/>
        <v>0</v>
      </c>
      <c r="S26" s="124">
        <f t="shared" si="7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8"/>
        <v>1007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>
        <v>7</v>
      </c>
      <c r="D27" s="111"/>
      <c r="E27" s="112"/>
      <c r="F27" s="112"/>
      <c r="G27" s="76">
        <v>6</v>
      </c>
      <c r="H27" s="73">
        <v>12</v>
      </c>
      <c r="I27" s="73">
        <f t="shared" si="4"/>
        <v>1</v>
      </c>
      <c r="J27" s="77">
        <f t="shared" si="4"/>
        <v>-12</v>
      </c>
      <c r="K27" s="42"/>
      <c r="L27" s="112">
        <v>1</v>
      </c>
      <c r="M27" s="112"/>
      <c r="N27" s="112">
        <v>3</v>
      </c>
      <c r="O27" s="112">
        <v>12</v>
      </c>
      <c r="P27" s="112">
        <v>2</v>
      </c>
      <c r="Q27" s="120"/>
      <c r="R27" s="86">
        <f t="shared" si="7"/>
        <v>6</v>
      </c>
      <c r="S27" s="124">
        <f t="shared" si="7"/>
        <v>12</v>
      </c>
      <c r="T27" s="42"/>
      <c r="U27" s="107">
        <f t="shared" si="5"/>
        <v>144</v>
      </c>
      <c r="V27" s="130">
        <f t="shared" si="6"/>
        <v>6</v>
      </c>
      <c r="W27" s="129">
        <f t="shared" si="8"/>
        <v>12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4</v>
      </c>
      <c r="D28" s="111"/>
      <c r="E28" s="112"/>
      <c r="F28" s="112"/>
      <c r="G28" s="76"/>
      <c r="H28" s="73"/>
      <c r="I28" s="73">
        <f t="shared" si="4"/>
        <v>4</v>
      </c>
      <c r="J28" s="77">
        <f t="shared" si="4"/>
        <v>0</v>
      </c>
      <c r="K28" s="42"/>
      <c r="L28" s="112"/>
      <c r="M28" s="112"/>
      <c r="N28" s="112"/>
      <c r="O28" s="112"/>
      <c r="P28" s="112"/>
      <c r="Q28" s="120"/>
      <c r="R28" s="86">
        <f t="shared" si="7"/>
        <v>0</v>
      </c>
      <c r="S28" s="124">
        <f t="shared" si="7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8"/>
        <v>96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57</v>
      </c>
      <c r="D29" s="111">
        <v>12</v>
      </c>
      <c r="E29" s="112"/>
      <c r="F29" s="112"/>
      <c r="G29" s="76">
        <v>7</v>
      </c>
      <c r="H29" s="73">
        <v>12</v>
      </c>
      <c r="I29" s="73">
        <f t="shared" si="4"/>
        <v>50</v>
      </c>
      <c r="J29" s="77">
        <f t="shared" si="4"/>
        <v>0</v>
      </c>
      <c r="K29" s="42"/>
      <c r="L29" s="112">
        <v>1</v>
      </c>
      <c r="M29" s="112"/>
      <c r="N29" s="112">
        <v>3</v>
      </c>
      <c r="O29" s="112">
        <v>14</v>
      </c>
      <c r="P29" s="112">
        <v>3</v>
      </c>
      <c r="Q29" s="120"/>
      <c r="R29" s="86">
        <f t="shared" si="7"/>
        <v>7</v>
      </c>
      <c r="S29" s="124">
        <f t="shared" si="7"/>
        <v>14</v>
      </c>
      <c r="T29" s="42"/>
      <c r="U29" s="107">
        <f t="shared" si="5"/>
        <v>168</v>
      </c>
      <c r="V29" s="130">
        <f t="shared" si="6"/>
        <v>7</v>
      </c>
      <c r="W29" s="129">
        <f t="shared" si="8"/>
        <v>1200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69</v>
      </c>
      <c r="D30" s="111"/>
      <c r="E30" s="112"/>
      <c r="F30" s="112"/>
      <c r="G30" s="76"/>
      <c r="H30" s="73"/>
      <c r="I30" s="73">
        <f t="shared" si="4"/>
        <v>69</v>
      </c>
      <c r="J30" s="77">
        <f t="shared" si="4"/>
        <v>0</v>
      </c>
      <c r="K30" s="41"/>
      <c r="L30" s="112"/>
      <c r="M30" s="112"/>
      <c r="N30" s="112"/>
      <c r="O30" s="112"/>
      <c r="P30" s="112"/>
      <c r="Q30" s="120"/>
      <c r="R30" s="86">
        <f t="shared" si="7"/>
        <v>0</v>
      </c>
      <c r="S30" s="124">
        <f t="shared" si="7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8"/>
        <v>1656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43</v>
      </c>
      <c r="D31" s="111"/>
      <c r="E31" s="112"/>
      <c r="F31" s="112"/>
      <c r="G31" s="76">
        <v>1</v>
      </c>
      <c r="H31" s="73"/>
      <c r="I31" s="73">
        <f t="shared" si="4"/>
        <v>42</v>
      </c>
      <c r="J31" s="77">
        <f t="shared" si="4"/>
        <v>0</v>
      </c>
      <c r="K31" s="41"/>
      <c r="L31" s="112"/>
      <c r="M31" s="112"/>
      <c r="N31" s="112">
        <v>1</v>
      </c>
      <c r="O31" s="112"/>
      <c r="P31" s="112"/>
      <c r="Q31" s="120"/>
      <c r="R31" s="86">
        <f t="shared" si="7"/>
        <v>1</v>
      </c>
      <c r="S31" s="124">
        <f t="shared" si="7"/>
        <v>0</v>
      </c>
      <c r="T31" s="41"/>
      <c r="U31" s="107">
        <f t="shared" si="5"/>
        <v>24</v>
      </c>
      <c r="V31" s="130">
        <f t="shared" si="6"/>
        <v>1</v>
      </c>
      <c r="W31" s="129">
        <f t="shared" si="8"/>
        <v>1008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>
        <v>2</v>
      </c>
      <c r="D32" s="111"/>
      <c r="E32" s="112"/>
      <c r="F32" s="112"/>
      <c r="G32" s="76"/>
      <c r="H32" s="73"/>
      <c r="I32" s="73">
        <f t="shared" si="4"/>
        <v>2</v>
      </c>
      <c r="J32" s="77">
        <f t="shared" si="4"/>
        <v>0</v>
      </c>
      <c r="K32" s="41"/>
      <c r="L32" s="112"/>
      <c r="M32" s="112"/>
      <c r="N32" s="112"/>
      <c r="O32" s="112"/>
      <c r="P32" s="112"/>
      <c r="Q32" s="120"/>
      <c r="R32" s="86">
        <f t="shared" si="7"/>
        <v>0</v>
      </c>
      <c r="S32" s="124">
        <f t="shared" si="7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8"/>
        <v>48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>
        <v>5</v>
      </c>
      <c r="D33" s="111"/>
      <c r="E33" s="112"/>
      <c r="F33" s="112"/>
      <c r="G33" s="76"/>
      <c r="H33" s="73"/>
      <c r="I33" s="73">
        <f t="shared" si="4"/>
        <v>5</v>
      </c>
      <c r="J33" s="77">
        <f t="shared" si="4"/>
        <v>0</v>
      </c>
      <c r="K33" s="41"/>
      <c r="L33" s="112"/>
      <c r="M33" s="112"/>
      <c r="N33" s="112"/>
      <c r="O33" s="112"/>
      <c r="P33" s="112"/>
      <c r="Q33" s="120"/>
      <c r="R33" s="86">
        <f t="shared" si="7"/>
        <v>0</v>
      </c>
      <c r="S33" s="124">
        <f t="shared" si="7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8"/>
        <v>120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5</v>
      </c>
      <c r="D34" s="111"/>
      <c r="E34" s="112"/>
      <c r="F34" s="112"/>
      <c r="G34" s="76"/>
      <c r="H34" s="73"/>
      <c r="I34" s="73">
        <f t="shared" si="4"/>
        <v>5</v>
      </c>
      <c r="J34" s="77">
        <f t="shared" si="4"/>
        <v>0</v>
      </c>
      <c r="K34" s="41"/>
      <c r="L34" s="112"/>
      <c r="M34" s="112"/>
      <c r="N34" s="112"/>
      <c r="O34" s="112"/>
      <c r="P34" s="112"/>
      <c r="Q34" s="120"/>
      <c r="R34" s="86">
        <f t="shared" si="7"/>
        <v>0</v>
      </c>
      <c r="S34" s="124">
        <f t="shared" si="7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8"/>
        <v>120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133</v>
      </c>
      <c r="D35" s="111">
        <v>5</v>
      </c>
      <c r="E35" s="112"/>
      <c r="F35" s="112"/>
      <c r="G35" s="76">
        <v>1</v>
      </c>
      <c r="H35" s="73"/>
      <c r="I35" s="73">
        <f t="shared" si="4"/>
        <v>132</v>
      </c>
      <c r="J35" s="77">
        <f t="shared" si="4"/>
        <v>5</v>
      </c>
      <c r="K35" s="41"/>
      <c r="L35" s="112">
        <v>1</v>
      </c>
      <c r="M35" s="112"/>
      <c r="N35" s="112"/>
      <c r="O35" s="112"/>
      <c r="P35" s="112"/>
      <c r="Q35" s="120"/>
      <c r="R35" s="86">
        <f t="shared" si="7"/>
        <v>1</v>
      </c>
      <c r="S35" s="124">
        <f t="shared" si="7"/>
        <v>0</v>
      </c>
      <c r="T35" s="41"/>
      <c r="U35" s="107">
        <f t="shared" si="5"/>
        <v>24</v>
      </c>
      <c r="V35" s="130">
        <f t="shared" si="6"/>
        <v>1</v>
      </c>
      <c r="W35" s="129">
        <f t="shared" si="8"/>
        <v>3173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4"/>
        <v>0</v>
      </c>
      <c r="K36" s="41"/>
      <c r="L36" s="112"/>
      <c r="M36" s="112"/>
      <c r="N36" s="112"/>
      <c r="O36" s="112"/>
      <c r="P36" s="112"/>
      <c r="Q36" s="120"/>
      <c r="R36" s="86">
        <f t="shared" si="7"/>
        <v>0</v>
      </c>
      <c r="S36" s="124">
        <f t="shared" si="7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>
        <v>2</v>
      </c>
      <c r="D37" s="111"/>
      <c r="E37" s="112"/>
      <c r="F37" s="112"/>
      <c r="G37" s="76"/>
      <c r="H37" s="73"/>
      <c r="I37" s="73">
        <f t="shared" si="4"/>
        <v>2</v>
      </c>
      <c r="J37" s="77">
        <f t="shared" si="4"/>
        <v>0</v>
      </c>
      <c r="K37" s="41"/>
      <c r="L37" s="112"/>
      <c r="M37" s="112"/>
      <c r="N37" s="112"/>
      <c r="O37" s="112"/>
      <c r="P37" s="112"/>
      <c r="Q37" s="120"/>
      <c r="R37" s="86">
        <f t="shared" si="7"/>
        <v>0</v>
      </c>
      <c r="S37" s="124">
        <f t="shared" si="7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8"/>
        <v>48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4811</v>
      </c>
      <c r="D38" s="114">
        <v>2</v>
      </c>
      <c r="E38" s="115"/>
      <c r="F38" s="115"/>
      <c r="G38" s="78">
        <v>108</v>
      </c>
      <c r="H38" s="79"/>
      <c r="I38" s="139">
        <f t="shared" si="4"/>
        <v>4703</v>
      </c>
      <c r="J38" s="140">
        <f t="shared" si="4"/>
        <v>2</v>
      </c>
      <c r="K38" s="51"/>
      <c r="L38" s="121">
        <v>71</v>
      </c>
      <c r="M38" s="121"/>
      <c r="N38" s="121">
        <v>2</v>
      </c>
      <c r="O38" s="121"/>
      <c r="P38" s="121">
        <v>35</v>
      </c>
      <c r="Q38" s="122"/>
      <c r="R38" s="97">
        <f t="shared" si="7"/>
        <v>108</v>
      </c>
      <c r="S38" s="125">
        <f t="shared" si="7"/>
        <v>0</v>
      </c>
      <c r="T38" s="51"/>
      <c r="U38" s="131">
        <f>L38*6+N38*6+P38*6</f>
        <v>648</v>
      </c>
      <c r="V38" s="135">
        <f>U38/6</f>
        <v>108</v>
      </c>
      <c r="W38" s="133">
        <f>I38*6+J38</f>
        <v>28220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>
        <v>7</v>
      </c>
      <c r="D39" s="111"/>
      <c r="E39" s="112"/>
      <c r="F39" s="112"/>
      <c r="G39" s="76"/>
      <c r="H39" s="73"/>
      <c r="I39" s="76">
        <f t="shared" si="4"/>
        <v>7</v>
      </c>
      <c r="J39" s="77">
        <f t="shared" si="4"/>
        <v>0</v>
      </c>
      <c r="K39" s="41"/>
      <c r="L39" s="112"/>
      <c r="M39" s="112"/>
      <c r="N39" s="112"/>
      <c r="O39" s="112"/>
      <c r="P39" s="112"/>
      <c r="Q39" s="120"/>
      <c r="R39" s="96">
        <f t="shared" si="7"/>
        <v>0</v>
      </c>
      <c r="S39" s="126">
        <f t="shared" si="7"/>
        <v>0</v>
      </c>
      <c r="T39" s="41"/>
      <c r="U39" s="107">
        <f t="shared" ref="U39:U41" si="9">L39*24+N39*24+P39*24</f>
        <v>0</v>
      </c>
      <c r="V39" s="109">
        <f t="shared" si="6"/>
        <v>0</v>
      </c>
      <c r="W39" s="129">
        <f t="shared" ref="W39:W41" si="10">I39*24+J39</f>
        <v>168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>
        <v>4</v>
      </c>
      <c r="D40" s="117"/>
      <c r="E40" s="118"/>
      <c r="F40" s="118"/>
      <c r="G40" s="82"/>
      <c r="H40" s="80"/>
      <c r="I40" s="73">
        <f t="shared" si="4"/>
        <v>4</v>
      </c>
      <c r="J40" s="77">
        <f t="shared" si="4"/>
        <v>0</v>
      </c>
      <c r="K40" s="41"/>
      <c r="L40" s="112"/>
      <c r="M40" s="112"/>
      <c r="N40" s="112"/>
      <c r="O40" s="112"/>
      <c r="P40" s="112"/>
      <c r="Q40" s="120"/>
      <c r="R40" s="86">
        <f t="shared" si="7"/>
        <v>0</v>
      </c>
      <c r="S40" s="124">
        <f t="shared" si="7"/>
        <v>0</v>
      </c>
      <c r="T40" s="41"/>
      <c r="U40" s="136">
        <f t="shared" si="9"/>
        <v>0</v>
      </c>
      <c r="V40" s="130">
        <f t="shared" si="6"/>
        <v>0</v>
      </c>
      <c r="W40" s="137">
        <f t="shared" si="10"/>
        <v>96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396</v>
      </c>
      <c r="D41" s="147"/>
      <c r="E41" s="148"/>
      <c r="F41" s="148"/>
      <c r="G41" s="149">
        <v>72</v>
      </c>
      <c r="H41" s="150"/>
      <c r="I41" s="151">
        <f t="shared" si="4"/>
        <v>324</v>
      </c>
      <c r="J41" s="152">
        <f t="shared" si="4"/>
        <v>0</v>
      </c>
      <c r="K41" s="153"/>
      <c r="L41" s="154"/>
      <c r="M41" s="154"/>
      <c r="N41" s="154">
        <v>70</v>
      </c>
      <c r="O41" s="154"/>
      <c r="P41" s="154">
        <v>2</v>
      </c>
      <c r="Q41" s="155"/>
      <c r="R41" s="156">
        <f t="shared" si="7"/>
        <v>72</v>
      </c>
      <c r="S41" s="157">
        <f t="shared" si="7"/>
        <v>0</v>
      </c>
      <c r="T41" s="153"/>
      <c r="U41" s="158">
        <f t="shared" si="9"/>
        <v>1728</v>
      </c>
      <c r="V41" s="159">
        <f t="shared" si="6"/>
        <v>72</v>
      </c>
      <c r="W41" s="159">
        <f t="shared" si="10"/>
        <v>7776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1133</v>
      </c>
      <c r="D42" s="164">
        <v>9</v>
      </c>
      <c r="E42" s="165"/>
      <c r="F42" s="165"/>
      <c r="G42" s="166">
        <v>33</v>
      </c>
      <c r="H42" s="167"/>
      <c r="I42" s="166">
        <f t="shared" si="4"/>
        <v>1100</v>
      </c>
      <c r="J42" s="168">
        <f t="shared" si="4"/>
        <v>9</v>
      </c>
      <c r="K42" s="169"/>
      <c r="L42" s="165">
        <v>3</v>
      </c>
      <c r="M42" s="165"/>
      <c r="N42" s="165">
        <v>13</v>
      </c>
      <c r="O42" s="165"/>
      <c r="P42" s="165">
        <v>17</v>
      </c>
      <c r="Q42" s="170"/>
      <c r="R42" s="171">
        <f t="shared" si="7"/>
        <v>33</v>
      </c>
      <c r="S42" s="172">
        <f t="shared" si="7"/>
        <v>0</v>
      </c>
      <c r="T42" s="169"/>
      <c r="U42" s="173">
        <f>L42*12+N42*12+P42*12</f>
        <v>396</v>
      </c>
      <c r="V42" s="174">
        <f>U42/12</f>
        <v>33</v>
      </c>
      <c r="W42" s="175">
        <f>I42*12+J42</f>
        <v>13209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73">
        <f t="shared" si="4"/>
        <v>0</v>
      </c>
      <c r="J43" s="94">
        <f t="shared" si="4"/>
        <v>0</v>
      </c>
      <c r="K43" s="41"/>
      <c r="L43" s="112"/>
      <c r="M43" s="112"/>
      <c r="N43" s="112"/>
      <c r="O43" s="112"/>
      <c r="P43" s="112"/>
      <c r="Q43" s="120"/>
      <c r="R43" s="161">
        <f t="shared" si="7"/>
        <v>0</v>
      </c>
      <c r="S43" s="127">
        <f t="shared" si="7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37601</v>
      </c>
      <c r="D44" s="114"/>
      <c r="E44" s="115"/>
      <c r="F44" s="115"/>
      <c r="G44" s="78">
        <v>1465</v>
      </c>
      <c r="H44" s="79"/>
      <c r="I44" s="73">
        <f>C44+E44-G44</f>
        <v>36136</v>
      </c>
      <c r="J44" s="177">
        <f t="shared" si="4"/>
        <v>0</v>
      </c>
      <c r="K44" s="51"/>
      <c r="L44" s="121">
        <v>644</v>
      </c>
      <c r="M44" s="121"/>
      <c r="N44" s="121">
        <v>339</v>
      </c>
      <c r="O44" s="121"/>
      <c r="P44" s="121">
        <v>482</v>
      </c>
      <c r="Q44" s="122"/>
      <c r="R44" s="178">
        <f t="shared" si="7"/>
        <v>1465</v>
      </c>
      <c r="S44" s="179">
        <f t="shared" si="7"/>
        <v>0</v>
      </c>
      <c r="T44" s="51"/>
      <c r="U44" s="131">
        <f>L44*6+N44*6+P44*6</f>
        <v>8790</v>
      </c>
      <c r="V44" s="130">
        <f>U44/6</f>
        <v>1465</v>
      </c>
      <c r="W44" s="133">
        <f>I44*6+J44</f>
        <v>216816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4"/>
        <v>0</v>
      </c>
      <c r="K45" s="41"/>
      <c r="L45" s="112"/>
      <c r="M45" s="112"/>
      <c r="N45" s="112"/>
      <c r="O45" s="112"/>
      <c r="P45" s="112"/>
      <c r="Q45" s="120"/>
      <c r="R45" s="96">
        <f t="shared" si="7"/>
        <v>0</v>
      </c>
      <c r="S45" s="127">
        <f t="shared" si="7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>
        <v>3</v>
      </c>
      <c r="D46" s="111"/>
      <c r="E46" s="112"/>
      <c r="F46" s="112"/>
      <c r="G46" s="76"/>
      <c r="H46" s="73"/>
      <c r="I46" s="93">
        <f t="shared" si="4"/>
        <v>3</v>
      </c>
      <c r="J46" s="77">
        <f t="shared" si="4"/>
        <v>0</v>
      </c>
      <c r="K46" s="41"/>
      <c r="L46" s="112"/>
      <c r="M46" s="112"/>
      <c r="N46" s="112"/>
      <c r="O46" s="112"/>
      <c r="P46" s="112"/>
      <c r="Q46" s="120"/>
      <c r="R46" s="86">
        <f t="shared" si="7"/>
        <v>0</v>
      </c>
      <c r="S46" s="128">
        <f t="shared" si="7"/>
        <v>0</v>
      </c>
      <c r="T46" s="41"/>
      <c r="U46" s="107">
        <f t="shared" ref="U46:U47" si="11">L46*24+N46*24+P46*24</f>
        <v>0</v>
      </c>
      <c r="V46" s="134">
        <f t="shared" ref="V46:V47" si="12">U46/24</f>
        <v>0</v>
      </c>
      <c r="W46" s="129">
        <f t="shared" ref="W46:W47" si="13">I46*24+J46</f>
        <v>72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4"/>
        <v>0</v>
      </c>
      <c r="K47" s="41"/>
      <c r="L47" s="112"/>
      <c r="M47" s="112"/>
      <c r="N47" s="112"/>
      <c r="O47" s="112"/>
      <c r="P47" s="112"/>
      <c r="Q47" s="120"/>
      <c r="R47" s="86">
        <f t="shared" si="7"/>
        <v>0</v>
      </c>
      <c r="S47" s="124">
        <f t="shared" si="7"/>
        <v>0</v>
      </c>
      <c r="T47" s="41"/>
      <c r="U47" s="107">
        <f t="shared" si="11"/>
        <v>0</v>
      </c>
      <c r="V47" s="130">
        <f t="shared" si="12"/>
        <v>0</v>
      </c>
      <c r="W47" s="129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2847</v>
      </c>
      <c r="D48" s="142">
        <v>4</v>
      </c>
      <c r="E48" s="121"/>
      <c r="F48" s="121"/>
      <c r="G48" s="143">
        <v>5</v>
      </c>
      <c r="H48" s="139"/>
      <c r="I48" s="139">
        <f t="shared" si="4"/>
        <v>2842</v>
      </c>
      <c r="J48" s="140">
        <f t="shared" si="4"/>
        <v>4</v>
      </c>
      <c r="K48" s="51"/>
      <c r="L48" s="121">
        <v>5</v>
      </c>
      <c r="M48" s="121"/>
      <c r="N48" s="121"/>
      <c r="O48" s="121"/>
      <c r="P48" s="121"/>
      <c r="Q48" s="122"/>
      <c r="R48" s="97">
        <f t="shared" si="7"/>
        <v>5</v>
      </c>
      <c r="S48" s="144">
        <f t="shared" si="7"/>
        <v>0</v>
      </c>
      <c r="T48" s="51"/>
      <c r="U48" s="131">
        <f>L48*6+N48*6+P48*6</f>
        <v>30</v>
      </c>
      <c r="V48" s="135">
        <f>U48/6</f>
        <v>5</v>
      </c>
      <c r="W48" s="133">
        <f>I48*6+J48</f>
        <v>17056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73">
        <f t="shared" si="4"/>
        <v>1</v>
      </c>
      <c r="J49" s="77">
        <f t="shared" si="4"/>
        <v>0</v>
      </c>
      <c r="K49" s="41"/>
      <c r="L49" s="112"/>
      <c r="M49" s="112"/>
      <c r="N49" s="112"/>
      <c r="O49" s="112"/>
      <c r="P49" s="112"/>
      <c r="Q49" s="120"/>
      <c r="R49" s="96">
        <f t="shared" si="7"/>
        <v>0</v>
      </c>
      <c r="S49" s="126">
        <f t="shared" si="7"/>
        <v>0</v>
      </c>
      <c r="T49" s="41"/>
      <c r="U49" s="107">
        <f t="shared" ref="U49:U51" si="14">L49*24+N49*24+P49*24</f>
        <v>0</v>
      </c>
      <c r="V49" s="109">
        <f t="shared" ref="V49:V51" si="15">U49/24</f>
        <v>0</v>
      </c>
      <c r="W49" s="129">
        <f t="shared" ref="W49:W51" si="16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>
        <v>10</v>
      </c>
      <c r="D50" s="111"/>
      <c r="E50" s="112"/>
      <c r="F50" s="112"/>
      <c r="G50" s="76"/>
      <c r="H50" s="73"/>
      <c r="I50" s="73">
        <f t="shared" si="4"/>
        <v>10</v>
      </c>
      <c r="J50" s="77">
        <f t="shared" si="4"/>
        <v>0</v>
      </c>
      <c r="K50" s="41"/>
      <c r="L50" s="112"/>
      <c r="M50" s="112"/>
      <c r="N50" s="112"/>
      <c r="O50" s="112"/>
      <c r="P50" s="112"/>
      <c r="Q50" s="120"/>
      <c r="R50" s="86">
        <f t="shared" si="7"/>
        <v>0</v>
      </c>
      <c r="S50" s="124">
        <f t="shared" si="7"/>
        <v>0</v>
      </c>
      <c r="T50" s="41"/>
      <c r="U50" s="107">
        <f t="shared" si="14"/>
        <v>0</v>
      </c>
      <c r="V50" s="130">
        <f t="shared" si="15"/>
        <v>0</v>
      </c>
      <c r="W50" s="129">
        <f t="shared" si="16"/>
        <v>240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4"/>
        <v>0</v>
      </c>
      <c r="K51" s="41"/>
      <c r="L51" s="112"/>
      <c r="M51" s="112"/>
      <c r="N51" s="112"/>
      <c r="O51" s="112"/>
      <c r="P51" s="112"/>
      <c r="Q51" s="120"/>
      <c r="R51" s="86">
        <f t="shared" si="7"/>
        <v>0</v>
      </c>
      <c r="S51" s="124">
        <f t="shared" si="7"/>
        <v>0</v>
      </c>
      <c r="T51" s="41"/>
      <c r="U51" s="107">
        <f t="shared" si="14"/>
        <v>0</v>
      </c>
      <c r="V51" s="130">
        <f t="shared" si="15"/>
        <v>0</v>
      </c>
      <c r="W51" s="129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139">
        <f t="shared" si="4"/>
        <v>34</v>
      </c>
      <c r="J52" s="140">
        <f t="shared" si="4"/>
        <v>0</v>
      </c>
      <c r="K52" s="51"/>
      <c r="L52" s="121"/>
      <c r="M52" s="121"/>
      <c r="N52" s="121"/>
      <c r="O52" s="121"/>
      <c r="P52" s="121"/>
      <c r="Q52" s="122"/>
      <c r="R52" s="97">
        <f t="shared" si="7"/>
        <v>0</v>
      </c>
      <c r="S52" s="144">
        <f t="shared" si="7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>
        <v>2</v>
      </c>
      <c r="D53" s="111"/>
      <c r="E53" s="112"/>
      <c r="F53" s="112"/>
      <c r="G53" s="76"/>
      <c r="H53" s="73"/>
      <c r="I53" s="73">
        <f t="shared" si="4"/>
        <v>2</v>
      </c>
      <c r="J53" s="77">
        <f t="shared" si="4"/>
        <v>0</v>
      </c>
      <c r="K53" s="41"/>
      <c r="L53" s="112"/>
      <c r="M53" s="112"/>
      <c r="N53" s="112"/>
      <c r="O53" s="112"/>
      <c r="P53" s="112"/>
      <c r="Q53" s="120"/>
      <c r="R53" s="96">
        <f t="shared" si="7"/>
        <v>0</v>
      </c>
      <c r="S53" s="126">
        <f t="shared" si="7"/>
        <v>0</v>
      </c>
      <c r="T53" s="41"/>
      <c r="U53" s="107">
        <f t="shared" ref="U53:U54" si="17">L53*24+N53*24+P53*24</f>
        <v>0</v>
      </c>
      <c r="V53" s="109">
        <f t="shared" ref="V53:V54" si="18">U53/24</f>
        <v>0</v>
      </c>
      <c r="W53" s="129">
        <f t="shared" ref="W53:W54" si="19">I53*24+J53</f>
        <v>48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14</v>
      </c>
      <c r="D54" s="111"/>
      <c r="E54" s="112"/>
      <c r="F54" s="112"/>
      <c r="G54" s="76"/>
      <c r="H54" s="73"/>
      <c r="I54" s="73">
        <f t="shared" si="4"/>
        <v>14</v>
      </c>
      <c r="J54" s="77">
        <f t="shared" si="4"/>
        <v>0</v>
      </c>
      <c r="K54" s="41"/>
      <c r="L54" s="112"/>
      <c r="M54" s="112"/>
      <c r="N54" s="112"/>
      <c r="O54" s="112"/>
      <c r="P54" s="112"/>
      <c r="Q54" s="120"/>
      <c r="R54" s="86">
        <f t="shared" si="7"/>
        <v>0</v>
      </c>
      <c r="S54" s="124">
        <f t="shared" si="7"/>
        <v>0</v>
      </c>
      <c r="T54" s="41"/>
      <c r="U54" s="107">
        <f t="shared" si="17"/>
        <v>0</v>
      </c>
      <c r="V54" s="130">
        <f t="shared" si="18"/>
        <v>0</v>
      </c>
      <c r="W54" s="129">
        <f t="shared" si="19"/>
        <v>336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4"/>
        <v>0</v>
      </c>
      <c r="K55" s="41"/>
      <c r="L55" s="112"/>
      <c r="M55" s="112"/>
      <c r="N55" s="112"/>
      <c r="O55" s="112"/>
      <c r="P55" s="112"/>
      <c r="Q55" s="120"/>
      <c r="R55" s="86">
        <f t="shared" si="7"/>
        <v>0</v>
      </c>
      <c r="S55" s="124">
        <f t="shared" si="7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4"/>
        <v>0</v>
      </c>
      <c r="K56" s="41"/>
      <c r="L56" s="112"/>
      <c r="M56" s="112"/>
      <c r="N56" s="112"/>
      <c r="O56" s="112"/>
      <c r="P56" s="112"/>
      <c r="Q56" s="120"/>
      <c r="R56" s="86">
        <f t="shared" si="7"/>
        <v>0</v>
      </c>
      <c r="S56" s="124">
        <f t="shared" si="7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4"/>
        <v>0</v>
      </c>
      <c r="K57" s="41"/>
      <c r="L57" s="112"/>
      <c r="M57" s="112"/>
      <c r="N57" s="112"/>
      <c r="O57" s="112"/>
      <c r="P57" s="112"/>
      <c r="Q57" s="120"/>
      <c r="R57" s="86">
        <f t="shared" si="7"/>
        <v>0</v>
      </c>
      <c r="S57" s="124">
        <f t="shared" si="7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4"/>
        <v>0</v>
      </c>
      <c r="K58" s="41"/>
      <c r="L58" s="112"/>
      <c r="M58" s="112"/>
      <c r="N58" s="112"/>
      <c r="O58" s="112"/>
      <c r="P58" s="112"/>
      <c r="Q58" s="120"/>
      <c r="R58" s="86">
        <f t="shared" si="7"/>
        <v>0</v>
      </c>
      <c r="S58" s="124">
        <f t="shared" si="7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4"/>
        <v>0</v>
      </c>
      <c r="K59" s="41"/>
      <c r="L59" s="112"/>
      <c r="M59" s="112"/>
      <c r="N59" s="112"/>
      <c r="O59" s="112"/>
      <c r="P59" s="112"/>
      <c r="Q59" s="120"/>
      <c r="R59" s="86">
        <f t="shared" si="7"/>
        <v>0</v>
      </c>
      <c r="S59" s="124">
        <f t="shared" si="7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51444</v>
      </c>
      <c r="D60" s="54">
        <f>SUM(D8:D59)</f>
        <v>188</v>
      </c>
      <c r="E60" s="44">
        <f>SUM(E8:E59)</f>
        <v>0</v>
      </c>
      <c r="F60" s="44"/>
      <c r="G60" s="28">
        <f>SUM(G8:G59)</f>
        <v>1734</v>
      </c>
      <c r="H60" s="56">
        <f>SUM(H8:H59)</f>
        <v>54</v>
      </c>
      <c r="I60" s="56">
        <f>SUM(I8:I59)</f>
        <v>49710</v>
      </c>
      <c r="J60" s="45">
        <f>SUM(J8:J59)</f>
        <v>134</v>
      </c>
      <c r="K60" s="46"/>
      <c r="L60" s="74">
        <f t="shared" ref="L60:S60" si="20">SUM(L8:L59)</f>
        <v>735</v>
      </c>
      <c r="M60" s="74">
        <f t="shared" si="20"/>
        <v>4</v>
      </c>
      <c r="N60" s="74">
        <f t="shared" si="20"/>
        <v>437</v>
      </c>
      <c r="O60" s="74">
        <f t="shared" si="20"/>
        <v>30</v>
      </c>
      <c r="P60" s="74">
        <f t="shared" si="20"/>
        <v>562</v>
      </c>
      <c r="Q60" s="75">
        <f t="shared" si="20"/>
        <v>22</v>
      </c>
      <c r="R60" s="85">
        <f t="shared" si="20"/>
        <v>1734</v>
      </c>
      <c r="S60" s="84">
        <f t="shared" si="20"/>
        <v>56</v>
      </c>
      <c r="T60" s="46"/>
      <c r="U60" s="43">
        <f>SUM(U8:U59)</f>
        <v>12816</v>
      </c>
      <c r="V60" s="102">
        <f>SUM(V8:V59)</f>
        <v>1734</v>
      </c>
      <c r="W60" s="180">
        <f>SUM(W8:W59)</f>
        <v>393104</v>
      </c>
      <c r="X60" s="45"/>
    </row>
    <row r="61" spans="1:24" ht="19.5" thickBot="1" x14ac:dyDescent="0.3">
      <c r="V61" s="103"/>
    </row>
    <row r="62" spans="1:24" ht="18.75" customHeight="1" x14ac:dyDescent="0.25">
      <c r="G62" s="196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197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198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199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199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00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1" t="s">
        <v>3</v>
      </c>
      <c r="D69" s="182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BFCF-8FDE-4A25-9852-A6618DD949A0}">
  <sheetPr>
    <pageSetUpPr fitToPage="1"/>
  </sheetPr>
  <dimension ref="A1:BH90"/>
  <sheetViews>
    <sheetView zoomScale="85" zoomScaleNormal="85" zoomScaleSheetLayoutView="85" zoomScalePageLayoutView="80" workbookViewId="0">
      <selection activeCell="W60" sqref="W60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" style="2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01">
        <v>46118</v>
      </c>
      <c r="Q1" s="202"/>
      <c r="R1" s="202"/>
      <c r="S1" s="202"/>
      <c r="T1" s="202"/>
      <c r="U1" s="202"/>
      <c r="V1" s="202"/>
      <c r="W1" s="202"/>
      <c r="X1" s="203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04" t="s">
        <v>74</v>
      </c>
      <c r="C4" s="205" t="s">
        <v>3</v>
      </c>
      <c r="D4" s="206" t="s">
        <v>75</v>
      </c>
      <c r="E4" s="207" t="s">
        <v>4</v>
      </c>
      <c r="F4" s="208"/>
      <c r="G4" s="209" t="s">
        <v>5</v>
      </c>
      <c r="H4" s="211" t="s">
        <v>75</v>
      </c>
      <c r="I4" s="213" t="s">
        <v>6</v>
      </c>
      <c r="J4" s="211" t="s">
        <v>75</v>
      </c>
      <c r="L4" s="215" t="s">
        <v>7</v>
      </c>
      <c r="M4" s="216"/>
      <c r="N4" s="216"/>
      <c r="O4" s="216"/>
      <c r="P4" s="216"/>
      <c r="Q4" s="216"/>
      <c r="R4" s="216"/>
      <c r="S4" s="216"/>
      <c r="T4" s="216"/>
      <c r="U4" s="216"/>
      <c r="V4" s="217"/>
      <c r="W4" s="216"/>
      <c r="X4" s="218"/>
    </row>
    <row r="5" spans="1:60" s="3" customFormat="1" ht="57" thickBot="1" x14ac:dyDescent="0.3">
      <c r="A5" s="49"/>
      <c r="B5" s="204"/>
      <c r="C5" s="205"/>
      <c r="D5" s="206"/>
      <c r="E5" s="48" t="s">
        <v>8</v>
      </c>
      <c r="F5" s="189" t="s">
        <v>9</v>
      </c>
      <c r="G5" s="210"/>
      <c r="H5" s="212"/>
      <c r="I5" s="214"/>
      <c r="J5" s="212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53</v>
      </c>
      <c r="D8" s="111">
        <v>21</v>
      </c>
      <c r="E8" s="112"/>
      <c r="F8" s="112"/>
      <c r="G8" s="76"/>
      <c r="H8" s="73"/>
      <c r="I8" s="73">
        <f>C8-G8</f>
        <v>53</v>
      </c>
      <c r="J8" s="77">
        <f t="shared" ref="J8:J12" si="0">D8-H8</f>
        <v>21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1293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106</v>
      </c>
      <c r="D9" s="114"/>
      <c r="E9" s="115"/>
      <c r="F9" s="115"/>
      <c r="G9" s="78"/>
      <c r="H9" s="79"/>
      <c r="I9" s="78">
        <f t="shared" ref="I9:J59" si="4">C9-G9</f>
        <v>106</v>
      </c>
      <c r="J9" s="94">
        <f t="shared" si="0"/>
        <v>0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2544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114</v>
      </c>
      <c r="D10" s="111"/>
      <c r="E10" s="112"/>
      <c r="F10" s="112"/>
      <c r="G10" s="76"/>
      <c r="H10" s="73"/>
      <c r="I10" s="73">
        <f t="shared" si="4"/>
        <v>114</v>
      </c>
      <c r="J10" s="95">
        <f t="shared" si="0"/>
        <v>0</v>
      </c>
      <c r="K10" s="41"/>
      <c r="L10" s="112"/>
      <c r="M10" s="112"/>
      <c r="N10" s="112"/>
      <c r="O10" s="112"/>
      <c r="P10" s="112"/>
      <c r="Q10" s="120"/>
      <c r="R10" s="99">
        <f t="shared" si="1"/>
        <v>0</v>
      </c>
      <c r="S10" s="126">
        <f t="shared" si="1"/>
        <v>0</v>
      </c>
      <c r="T10" s="41"/>
      <c r="U10" s="107">
        <f>L10*24+N10*24+P10*24</f>
        <v>0</v>
      </c>
      <c r="V10" s="134">
        <f>U10/24</f>
        <v>0</v>
      </c>
      <c r="W10" s="129">
        <f t="shared" si="2"/>
        <v>2736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>
        <v>13</v>
      </c>
      <c r="D11" s="111"/>
      <c r="E11" s="112"/>
      <c r="F11" s="112"/>
      <c r="G11" s="76"/>
      <c r="H11" s="73"/>
      <c r="I11" s="73">
        <f t="shared" si="4"/>
        <v>13</v>
      </c>
      <c r="J11" s="77">
        <f t="shared" si="0"/>
        <v>0</v>
      </c>
      <c r="K11" s="41"/>
      <c r="L11" s="112"/>
      <c r="M11" s="112"/>
      <c r="N11" s="112"/>
      <c r="O11" s="112"/>
      <c r="P11" s="112"/>
      <c r="Q11" s="120"/>
      <c r="R11" s="86">
        <f t="shared" si="1"/>
        <v>0</v>
      </c>
      <c r="S11" s="124">
        <f t="shared" si="1"/>
        <v>0</v>
      </c>
      <c r="T11" s="41"/>
      <c r="U11" s="107">
        <f>L11*24+N11*24+P11*24</f>
        <v>0</v>
      </c>
      <c r="V11" s="130">
        <f>U11/24</f>
        <v>0</v>
      </c>
      <c r="W11" s="129">
        <f t="shared" si="2"/>
        <v>312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6</v>
      </c>
      <c r="D12" s="111"/>
      <c r="E12" s="112"/>
      <c r="F12" s="112"/>
      <c r="G12" s="76"/>
      <c r="H12" s="73"/>
      <c r="I12" s="73">
        <f t="shared" si="4"/>
        <v>6</v>
      </c>
      <c r="J12" s="77">
        <f t="shared" si="0"/>
        <v>0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144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3754</v>
      </c>
      <c r="D13" s="114">
        <v>6</v>
      </c>
      <c r="E13" s="115"/>
      <c r="F13" s="115"/>
      <c r="G13" s="78">
        <v>45</v>
      </c>
      <c r="H13" s="79">
        <v>24</v>
      </c>
      <c r="I13" s="80">
        <f t="shared" si="4"/>
        <v>3709</v>
      </c>
      <c r="J13" s="94">
        <f>D13-H13</f>
        <v>-18</v>
      </c>
      <c r="K13" s="53"/>
      <c r="L13" s="121">
        <v>17</v>
      </c>
      <c r="M13" s="121">
        <v>18</v>
      </c>
      <c r="N13" s="121">
        <v>18</v>
      </c>
      <c r="O13" s="121"/>
      <c r="P13" s="121">
        <v>10</v>
      </c>
      <c r="Q13" s="122">
        <v>6</v>
      </c>
      <c r="R13" s="97">
        <f>L13+N13+P13</f>
        <v>45</v>
      </c>
      <c r="S13" s="125">
        <f>M13+O13+Q13</f>
        <v>24</v>
      </c>
      <c r="T13" s="53"/>
      <c r="U13" s="131">
        <f>L13*24+N13*24+P13*24</f>
        <v>1080</v>
      </c>
      <c r="V13" s="135">
        <f t="shared" si="6"/>
        <v>45</v>
      </c>
      <c r="W13" s="133">
        <f>I13*24+J13</f>
        <v>88998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4</v>
      </c>
      <c r="D14" s="111">
        <v>16</v>
      </c>
      <c r="E14" s="112"/>
      <c r="F14" s="112"/>
      <c r="G14" s="76"/>
      <c r="H14" s="73"/>
      <c r="I14" s="93">
        <f t="shared" si="4"/>
        <v>4</v>
      </c>
      <c r="J14" s="95">
        <f t="shared" si="4"/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7">L14+N14+P14</f>
        <v>0</v>
      </c>
      <c r="S14" s="126">
        <f t="shared" si="7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8">I14*24+J14</f>
        <v>112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3</v>
      </c>
      <c r="D15" s="111"/>
      <c r="E15" s="112"/>
      <c r="F15" s="112"/>
      <c r="G15" s="76"/>
      <c r="H15" s="73"/>
      <c r="I15" s="73">
        <f t="shared" si="4"/>
        <v>3</v>
      </c>
      <c r="J15" s="77">
        <f t="shared" si="4"/>
        <v>0</v>
      </c>
      <c r="K15" s="41"/>
      <c r="L15" s="112"/>
      <c r="M15" s="112"/>
      <c r="N15" s="112"/>
      <c r="O15" s="112"/>
      <c r="P15" s="112"/>
      <c r="Q15" s="120"/>
      <c r="R15" s="86">
        <f t="shared" si="7"/>
        <v>0</v>
      </c>
      <c r="S15" s="124">
        <f t="shared" si="7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8"/>
        <v>72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>
        <v>2</v>
      </c>
      <c r="D16" s="111"/>
      <c r="E16" s="112"/>
      <c r="F16" s="112"/>
      <c r="G16" s="76"/>
      <c r="H16" s="73"/>
      <c r="I16" s="73">
        <f t="shared" si="4"/>
        <v>2</v>
      </c>
      <c r="J16" s="77">
        <f t="shared" si="4"/>
        <v>0</v>
      </c>
      <c r="K16" s="41"/>
      <c r="L16" s="112"/>
      <c r="M16" s="112"/>
      <c r="N16" s="112"/>
      <c r="O16" s="112"/>
      <c r="P16" s="112"/>
      <c r="Q16" s="120"/>
      <c r="R16" s="86">
        <f t="shared" si="7"/>
        <v>0</v>
      </c>
      <c r="S16" s="124">
        <f t="shared" si="7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8"/>
        <v>48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>
        <v>1</v>
      </c>
      <c r="D17" s="111"/>
      <c r="E17" s="112"/>
      <c r="F17" s="112"/>
      <c r="G17" s="76"/>
      <c r="H17" s="73"/>
      <c r="I17" s="73">
        <f t="shared" si="4"/>
        <v>1</v>
      </c>
      <c r="J17" s="77">
        <f t="shared" si="4"/>
        <v>0</v>
      </c>
      <c r="K17" s="41"/>
      <c r="L17" s="112"/>
      <c r="M17" s="112"/>
      <c r="N17" s="112"/>
      <c r="O17" s="112"/>
      <c r="P17" s="112"/>
      <c r="Q17" s="120"/>
      <c r="R17" s="86">
        <f t="shared" si="7"/>
        <v>0</v>
      </c>
      <c r="S17" s="124">
        <f t="shared" si="7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8"/>
        <v>24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4"/>
        <v>0</v>
      </c>
      <c r="K18" s="41"/>
      <c r="L18" s="112"/>
      <c r="M18" s="112"/>
      <c r="N18" s="112"/>
      <c r="O18" s="112"/>
      <c r="P18" s="112"/>
      <c r="Q18" s="120"/>
      <c r="R18" s="86">
        <f t="shared" si="7"/>
        <v>0</v>
      </c>
      <c r="S18" s="124">
        <f t="shared" si="7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8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4"/>
        <v>0</v>
      </c>
      <c r="K19" s="41"/>
      <c r="L19" s="112"/>
      <c r="M19" s="112"/>
      <c r="N19" s="112"/>
      <c r="O19" s="112"/>
      <c r="P19" s="112"/>
      <c r="Q19" s="120"/>
      <c r="R19" s="86">
        <f t="shared" si="7"/>
        <v>0</v>
      </c>
      <c r="S19" s="124">
        <f t="shared" si="7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4</v>
      </c>
      <c r="D20" s="111">
        <v>20</v>
      </c>
      <c r="E20" s="112"/>
      <c r="F20" s="112"/>
      <c r="G20" s="76"/>
      <c r="H20" s="73"/>
      <c r="I20" s="73">
        <f t="shared" si="4"/>
        <v>4</v>
      </c>
      <c r="J20" s="77">
        <f t="shared" si="4"/>
        <v>20</v>
      </c>
      <c r="K20" s="41"/>
      <c r="L20" s="112"/>
      <c r="M20" s="112"/>
      <c r="N20" s="112"/>
      <c r="O20" s="112"/>
      <c r="P20" s="112"/>
      <c r="Q20" s="120"/>
      <c r="R20" s="86">
        <f t="shared" si="7"/>
        <v>0</v>
      </c>
      <c r="S20" s="124">
        <f t="shared" si="7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8"/>
        <v>116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>
        <v>16</v>
      </c>
      <c r="E21" s="112"/>
      <c r="F21" s="112"/>
      <c r="G21" s="76"/>
      <c r="H21" s="73"/>
      <c r="I21" s="73">
        <f t="shared" si="4"/>
        <v>5</v>
      </c>
      <c r="J21" s="77">
        <f t="shared" si="4"/>
        <v>16</v>
      </c>
      <c r="K21" s="41"/>
      <c r="L21" s="112"/>
      <c r="M21" s="112"/>
      <c r="N21" s="112"/>
      <c r="O21" s="112"/>
      <c r="P21" s="112"/>
      <c r="Q21" s="120"/>
      <c r="R21" s="86">
        <f t="shared" si="7"/>
        <v>0</v>
      </c>
      <c r="S21" s="124">
        <f t="shared" si="7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8"/>
        <v>136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4</v>
      </c>
      <c r="D22" s="111"/>
      <c r="E22" s="112"/>
      <c r="F22" s="112"/>
      <c r="G22" s="76"/>
      <c r="H22" s="73"/>
      <c r="I22" s="73">
        <f t="shared" si="4"/>
        <v>4</v>
      </c>
      <c r="J22" s="77">
        <f t="shared" si="4"/>
        <v>0</v>
      </c>
      <c r="K22" s="41"/>
      <c r="L22" s="112"/>
      <c r="M22" s="112"/>
      <c r="N22" s="112"/>
      <c r="O22" s="112"/>
      <c r="P22" s="112"/>
      <c r="Q22" s="120"/>
      <c r="R22" s="86">
        <f t="shared" si="7"/>
        <v>0</v>
      </c>
      <c r="S22" s="124">
        <f t="shared" si="7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8"/>
        <v>96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>
        <v>2</v>
      </c>
      <c r="D23" s="111">
        <v>20</v>
      </c>
      <c r="E23" s="112"/>
      <c r="F23" s="112"/>
      <c r="G23" s="76"/>
      <c r="H23" s="73"/>
      <c r="I23" s="73">
        <f t="shared" si="4"/>
        <v>2</v>
      </c>
      <c r="J23" s="77">
        <f t="shared" si="4"/>
        <v>20</v>
      </c>
      <c r="K23" s="42"/>
      <c r="L23" s="112"/>
      <c r="M23" s="112"/>
      <c r="N23" s="112"/>
      <c r="O23" s="112"/>
      <c r="P23" s="112"/>
      <c r="Q23" s="120"/>
      <c r="R23" s="86">
        <f t="shared" si="7"/>
        <v>0</v>
      </c>
      <c r="S23" s="124">
        <f t="shared" si="7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8"/>
        <v>68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4"/>
        <v>19</v>
      </c>
      <c r="K24" s="42"/>
      <c r="L24" s="112"/>
      <c r="M24" s="112"/>
      <c r="N24" s="112"/>
      <c r="O24" s="112"/>
      <c r="P24" s="112"/>
      <c r="Q24" s="120"/>
      <c r="R24" s="86">
        <f t="shared" si="7"/>
        <v>0</v>
      </c>
      <c r="S24" s="124">
        <f t="shared" si="7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8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11</v>
      </c>
      <c r="D25" s="111"/>
      <c r="E25" s="112"/>
      <c r="F25" s="112"/>
      <c r="G25" s="76"/>
      <c r="H25" s="73"/>
      <c r="I25" s="73">
        <f t="shared" si="4"/>
        <v>11</v>
      </c>
      <c r="J25" s="77">
        <f t="shared" si="4"/>
        <v>0</v>
      </c>
      <c r="K25" s="41"/>
      <c r="L25" s="112"/>
      <c r="M25" s="112"/>
      <c r="N25" s="112"/>
      <c r="O25" s="112"/>
      <c r="P25" s="112"/>
      <c r="Q25" s="120"/>
      <c r="R25" s="86">
        <f t="shared" si="7"/>
        <v>0</v>
      </c>
      <c r="S25" s="124">
        <f t="shared" si="7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8"/>
        <v>264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35</v>
      </c>
      <c r="D26" s="111">
        <v>11</v>
      </c>
      <c r="E26" s="112"/>
      <c r="F26" s="112"/>
      <c r="G26" s="76"/>
      <c r="H26" s="73"/>
      <c r="I26" s="73">
        <f t="shared" si="4"/>
        <v>35</v>
      </c>
      <c r="J26" s="77">
        <f t="shared" si="4"/>
        <v>11</v>
      </c>
      <c r="K26" s="41"/>
      <c r="L26" s="112"/>
      <c r="M26" s="112"/>
      <c r="N26" s="112"/>
      <c r="O26" s="112"/>
      <c r="P26" s="112"/>
      <c r="Q26" s="120"/>
      <c r="R26" s="86">
        <f t="shared" si="7"/>
        <v>0</v>
      </c>
      <c r="S26" s="124">
        <f t="shared" si="7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8"/>
        <v>851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>
        <v>6</v>
      </c>
      <c r="D27" s="111"/>
      <c r="E27" s="112"/>
      <c r="F27" s="112"/>
      <c r="G27" s="76"/>
      <c r="H27" s="73"/>
      <c r="I27" s="73">
        <f t="shared" si="4"/>
        <v>6</v>
      </c>
      <c r="J27" s="77">
        <f t="shared" si="4"/>
        <v>0</v>
      </c>
      <c r="K27" s="42"/>
      <c r="L27" s="112"/>
      <c r="M27" s="112"/>
      <c r="N27" s="112"/>
      <c r="O27" s="112"/>
      <c r="P27" s="112"/>
      <c r="Q27" s="120"/>
      <c r="R27" s="86">
        <f t="shared" si="7"/>
        <v>0</v>
      </c>
      <c r="S27" s="124">
        <f t="shared" si="7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8"/>
        <v>144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4</v>
      </c>
      <c r="D28" s="111"/>
      <c r="E28" s="112"/>
      <c r="F28" s="112"/>
      <c r="G28" s="76"/>
      <c r="H28" s="73"/>
      <c r="I28" s="73">
        <f t="shared" si="4"/>
        <v>4</v>
      </c>
      <c r="J28" s="77">
        <f t="shared" si="4"/>
        <v>0</v>
      </c>
      <c r="K28" s="42"/>
      <c r="L28" s="112"/>
      <c r="M28" s="112"/>
      <c r="N28" s="112"/>
      <c r="O28" s="112"/>
      <c r="P28" s="112"/>
      <c r="Q28" s="120"/>
      <c r="R28" s="86">
        <f t="shared" si="7"/>
        <v>0</v>
      </c>
      <c r="S28" s="124">
        <f t="shared" si="7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8"/>
        <v>96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46</v>
      </c>
      <c r="D29" s="111"/>
      <c r="E29" s="112"/>
      <c r="F29" s="112"/>
      <c r="G29" s="76">
        <v>4</v>
      </c>
      <c r="H29" s="73"/>
      <c r="I29" s="73">
        <f t="shared" si="4"/>
        <v>42</v>
      </c>
      <c r="J29" s="77">
        <f t="shared" si="4"/>
        <v>0</v>
      </c>
      <c r="K29" s="42"/>
      <c r="L29" s="112"/>
      <c r="M29" s="112"/>
      <c r="N29" s="112"/>
      <c r="O29" s="112"/>
      <c r="P29" s="112">
        <v>4</v>
      </c>
      <c r="Q29" s="120"/>
      <c r="R29" s="86">
        <f t="shared" si="7"/>
        <v>4</v>
      </c>
      <c r="S29" s="124">
        <f t="shared" si="7"/>
        <v>0</v>
      </c>
      <c r="T29" s="42"/>
      <c r="U29" s="107">
        <f t="shared" si="5"/>
        <v>96</v>
      </c>
      <c r="V29" s="130">
        <f t="shared" si="6"/>
        <v>4</v>
      </c>
      <c r="W29" s="129">
        <f t="shared" si="8"/>
        <v>1008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68</v>
      </c>
      <c r="D30" s="111"/>
      <c r="E30" s="112"/>
      <c r="F30" s="112"/>
      <c r="G30" s="76">
        <v>2</v>
      </c>
      <c r="H30" s="73"/>
      <c r="I30" s="73">
        <f t="shared" si="4"/>
        <v>66</v>
      </c>
      <c r="J30" s="77">
        <f t="shared" si="4"/>
        <v>0</v>
      </c>
      <c r="K30" s="41"/>
      <c r="L30" s="112">
        <v>2</v>
      </c>
      <c r="M30" s="112"/>
      <c r="N30" s="112"/>
      <c r="O30" s="112"/>
      <c r="P30" s="112"/>
      <c r="Q30" s="120"/>
      <c r="R30" s="86">
        <f t="shared" si="7"/>
        <v>2</v>
      </c>
      <c r="S30" s="124">
        <f t="shared" si="7"/>
        <v>0</v>
      </c>
      <c r="T30" s="41"/>
      <c r="U30" s="107">
        <f t="shared" si="5"/>
        <v>48</v>
      </c>
      <c r="V30" s="130">
        <f t="shared" si="6"/>
        <v>2</v>
      </c>
      <c r="W30" s="129">
        <f t="shared" si="8"/>
        <v>1584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42</v>
      </c>
      <c r="D31" s="111"/>
      <c r="E31" s="112"/>
      <c r="F31" s="112"/>
      <c r="G31" s="76">
        <v>1</v>
      </c>
      <c r="H31" s="73"/>
      <c r="I31" s="73">
        <f t="shared" si="4"/>
        <v>41</v>
      </c>
      <c r="J31" s="77">
        <f t="shared" si="4"/>
        <v>0</v>
      </c>
      <c r="K31" s="41"/>
      <c r="L31" s="112">
        <v>1</v>
      </c>
      <c r="M31" s="112"/>
      <c r="N31" s="112"/>
      <c r="O31" s="112"/>
      <c r="P31" s="112"/>
      <c r="Q31" s="120"/>
      <c r="R31" s="86">
        <f t="shared" si="7"/>
        <v>1</v>
      </c>
      <c r="S31" s="124">
        <f t="shared" si="7"/>
        <v>0</v>
      </c>
      <c r="T31" s="41"/>
      <c r="U31" s="107">
        <f t="shared" si="5"/>
        <v>24</v>
      </c>
      <c r="V31" s="130">
        <f t="shared" si="6"/>
        <v>1</v>
      </c>
      <c r="W31" s="129">
        <f t="shared" si="8"/>
        <v>984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>
        <v>2</v>
      </c>
      <c r="D32" s="111"/>
      <c r="E32" s="112"/>
      <c r="F32" s="112"/>
      <c r="G32" s="76"/>
      <c r="H32" s="73"/>
      <c r="I32" s="73">
        <f t="shared" si="4"/>
        <v>2</v>
      </c>
      <c r="J32" s="77">
        <f t="shared" si="4"/>
        <v>0</v>
      </c>
      <c r="K32" s="41"/>
      <c r="L32" s="112"/>
      <c r="M32" s="112"/>
      <c r="N32" s="112"/>
      <c r="O32" s="112"/>
      <c r="P32" s="112"/>
      <c r="Q32" s="120"/>
      <c r="R32" s="86">
        <f t="shared" si="7"/>
        <v>0</v>
      </c>
      <c r="S32" s="124">
        <f t="shared" si="7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8"/>
        <v>48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>
        <v>5</v>
      </c>
      <c r="D33" s="111"/>
      <c r="E33" s="112"/>
      <c r="F33" s="112"/>
      <c r="G33" s="76"/>
      <c r="H33" s="73"/>
      <c r="I33" s="73">
        <f t="shared" si="4"/>
        <v>5</v>
      </c>
      <c r="J33" s="77">
        <f t="shared" si="4"/>
        <v>0</v>
      </c>
      <c r="K33" s="41"/>
      <c r="L33" s="112"/>
      <c r="M33" s="112"/>
      <c r="N33" s="112"/>
      <c r="O33" s="112"/>
      <c r="P33" s="112"/>
      <c r="Q33" s="120"/>
      <c r="R33" s="86">
        <f t="shared" si="7"/>
        <v>0</v>
      </c>
      <c r="S33" s="124">
        <f t="shared" si="7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8"/>
        <v>120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5</v>
      </c>
      <c r="D34" s="111"/>
      <c r="E34" s="112"/>
      <c r="F34" s="112"/>
      <c r="G34" s="76"/>
      <c r="H34" s="73"/>
      <c r="I34" s="73">
        <f t="shared" si="4"/>
        <v>5</v>
      </c>
      <c r="J34" s="77">
        <f t="shared" si="4"/>
        <v>0</v>
      </c>
      <c r="K34" s="41"/>
      <c r="L34" s="112"/>
      <c r="M34" s="112"/>
      <c r="N34" s="112"/>
      <c r="O34" s="112"/>
      <c r="P34" s="112"/>
      <c r="Q34" s="120"/>
      <c r="R34" s="86">
        <f t="shared" si="7"/>
        <v>0</v>
      </c>
      <c r="S34" s="124">
        <f t="shared" si="7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8"/>
        <v>120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132</v>
      </c>
      <c r="D35" s="111">
        <v>5</v>
      </c>
      <c r="E35" s="112"/>
      <c r="F35" s="112"/>
      <c r="G35" s="76">
        <v>11</v>
      </c>
      <c r="H35" s="73"/>
      <c r="I35" s="73">
        <f t="shared" si="4"/>
        <v>121</v>
      </c>
      <c r="J35" s="77">
        <f t="shared" si="4"/>
        <v>5</v>
      </c>
      <c r="K35" s="41"/>
      <c r="L35" s="112">
        <v>10</v>
      </c>
      <c r="M35" s="112"/>
      <c r="N35" s="112"/>
      <c r="O35" s="112"/>
      <c r="P35" s="112">
        <v>1</v>
      </c>
      <c r="Q35" s="120"/>
      <c r="R35" s="86">
        <f t="shared" si="7"/>
        <v>11</v>
      </c>
      <c r="S35" s="124">
        <f t="shared" si="7"/>
        <v>0</v>
      </c>
      <c r="T35" s="41"/>
      <c r="U35" s="107">
        <f t="shared" si="5"/>
        <v>264</v>
      </c>
      <c r="V35" s="130">
        <f t="shared" si="6"/>
        <v>11</v>
      </c>
      <c r="W35" s="129">
        <f t="shared" si="8"/>
        <v>2909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4"/>
        <v>0</v>
      </c>
      <c r="K36" s="41"/>
      <c r="L36" s="112"/>
      <c r="M36" s="112"/>
      <c r="N36" s="112"/>
      <c r="O36" s="112"/>
      <c r="P36" s="112"/>
      <c r="Q36" s="120"/>
      <c r="R36" s="86">
        <f t="shared" si="7"/>
        <v>0</v>
      </c>
      <c r="S36" s="124">
        <f t="shared" si="7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>
        <v>2</v>
      </c>
      <c r="D37" s="111"/>
      <c r="E37" s="112"/>
      <c r="F37" s="112"/>
      <c r="G37" s="76"/>
      <c r="H37" s="73"/>
      <c r="I37" s="73">
        <f t="shared" si="4"/>
        <v>2</v>
      </c>
      <c r="J37" s="77">
        <f t="shared" si="4"/>
        <v>0</v>
      </c>
      <c r="K37" s="41"/>
      <c r="L37" s="112"/>
      <c r="M37" s="112"/>
      <c r="N37" s="112"/>
      <c r="O37" s="112"/>
      <c r="P37" s="112"/>
      <c r="Q37" s="120"/>
      <c r="R37" s="86">
        <f t="shared" si="7"/>
        <v>0</v>
      </c>
      <c r="S37" s="124">
        <f t="shared" si="7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8"/>
        <v>48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4604</v>
      </c>
      <c r="D38" s="114">
        <v>2</v>
      </c>
      <c r="E38" s="115"/>
      <c r="F38" s="115"/>
      <c r="G38" s="78">
        <v>398</v>
      </c>
      <c r="H38" s="79"/>
      <c r="I38" s="139">
        <f t="shared" si="4"/>
        <v>4206</v>
      </c>
      <c r="J38" s="140">
        <f t="shared" si="4"/>
        <v>2</v>
      </c>
      <c r="K38" s="51"/>
      <c r="L38" s="121">
        <v>230</v>
      </c>
      <c r="M38" s="121"/>
      <c r="N38" s="121">
        <v>60</v>
      </c>
      <c r="O38" s="121"/>
      <c r="P38" s="121">
        <v>108</v>
      </c>
      <c r="Q38" s="122"/>
      <c r="R38" s="97">
        <f t="shared" si="7"/>
        <v>398</v>
      </c>
      <c r="S38" s="125">
        <f t="shared" si="7"/>
        <v>0</v>
      </c>
      <c r="T38" s="51"/>
      <c r="U38" s="131">
        <f>L38*6+N38*6+P38*6</f>
        <v>2388</v>
      </c>
      <c r="V38" s="135">
        <f>U38/6</f>
        <v>398</v>
      </c>
      <c r="W38" s="133">
        <f>I38*6+J38</f>
        <v>25238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>
        <v>7</v>
      </c>
      <c r="D39" s="111"/>
      <c r="E39" s="112"/>
      <c r="F39" s="112"/>
      <c r="G39" s="76"/>
      <c r="H39" s="73"/>
      <c r="I39" s="76">
        <f t="shared" si="4"/>
        <v>7</v>
      </c>
      <c r="J39" s="77">
        <f t="shared" si="4"/>
        <v>0</v>
      </c>
      <c r="K39" s="41"/>
      <c r="L39" s="112"/>
      <c r="M39" s="112"/>
      <c r="N39" s="112"/>
      <c r="O39" s="112"/>
      <c r="P39" s="112"/>
      <c r="Q39" s="120"/>
      <c r="R39" s="96">
        <f t="shared" si="7"/>
        <v>0</v>
      </c>
      <c r="S39" s="126">
        <f t="shared" si="7"/>
        <v>0</v>
      </c>
      <c r="T39" s="41"/>
      <c r="U39" s="107">
        <f t="shared" ref="U39:U41" si="9">L39*24+N39*24+P39*24</f>
        <v>0</v>
      </c>
      <c r="V39" s="109">
        <f t="shared" si="6"/>
        <v>0</v>
      </c>
      <c r="W39" s="129">
        <f t="shared" ref="W39:W41" si="10">I39*24+J39</f>
        <v>168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>
        <v>4</v>
      </c>
      <c r="D40" s="117"/>
      <c r="E40" s="118"/>
      <c r="F40" s="118"/>
      <c r="G40" s="82"/>
      <c r="H40" s="80"/>
      <c r="I40" s="73">
        <f t="shared" si="4"/>
        <v>4</v>
      </c>
      <c r="J40" s="77">
        <f t="shared" si="4"/>
        <v>0</v>
      </c>
      <c r="K40" s="41"/>
      <c r="L40" s="112"/>
      <c r="M40" s="112"/>
      <c r="N40" s="112"/>
      <c r="O40" s="112"/>
      <c r="P40" s="112"/>
      <c r="Q40" s="120"/>
      <c r="R40" s="86">
        <f t="shared" si="7"/>
        <v>0</v>
      </c>
      <c r="S40" s="124">
        <f t="shared" si="7"/>
        <v>0</v>
      </c>
      <c r="T40" s="41"/>
      <c r="U40" s="136">
        <f t="shared" si="9"/>
        <v>0</v>
      </c>
      <c r="V40" s="130">
        <f t="shared" si="6"/>
        <v>0</v>
      </c>
      <c r="W40" s="137">
        <f t="shared" si="10"/>
        <v>96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324</v>
      </c>
      <c r="D41" s="147"/>
      <c r="E41" s="148"/>
      <c r="F41" s="148"/>
      <c r="G41" s="149"/>
      <c r="H41" s="150"/>
      <c r="I41" s="151">
        <f t="shared" si="4"/>
        <v>324</v>
      </c>
      <c r="J41" s="152">
        <f t="shared" si="4"/>
        <v>0</v>
      </c>
      <c r="K41" s="153"/>
      <c r="L41" s="154"/>
      <c r="M41" s="154"/>
      <c r="N41" s="154"/>
      <c r="O41" s="154"/>
      <c r="P41" s="154"/>
      <c r="Q41" s="155"/>
      <c r="R41" s="156">
        <f t="shared" si="7"/>
        <v>0</v>
      </c>
      <c r="S41" s="157">
        <f t="shared" si="7"/>
        <v>0</v>
      </c>
      <c r="T41" s="153"/>
      <c r="U41" s="158">
        <f t="shared" si="9"/>
        <v>0</v>
      </c>
      <c r="V41" s="159">
        <f t="shared" si="6"/>
        <v>0</v>
      </c>
      <c r="W41" s="159">
        <f t="shared" si="10"/>
        <v>7776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1067</v>
      </c>
      <c r="D42" s="164">
        <v>9</v>
      </c>
      <c r="E42" s="165"/>
      <c r="F42" s="165"/>
      <c r="G42" s="166">
        <v>27</v>
      </c>
      <c r="H42" s="167"/>
      <c r="I42" s="166">
        <f t="shared" si="4"/>
        <v>1040</v>
      </c>
      <c r="J42" s="168">
        <f t="shared" si="4"/>
        <v>9</v>
      </c>
      <c r="K42" s="169"/>
      <c r="L42" s="165">
        <v>1</v>
      </c>
      <c r="M42" s="165"/>
      <c r="N42" s="165">
        <v>7</v>
      </c>
      <c r="O42" s="165"/>
      <c r="P42" s="165">
        <v>19</v>
      </c>
      <c r="Q42" s="170"/>
      <c r="R42" s="171">
        <f t="shared" si="7"/>
        <v>27</v>
      </c>
      <c r="S42" s="172">
        <f t="shared" si="7"/>
        <v>0</v>
      </c>
      <c r="T42" s="169"/>
      <c r="U42" s="173">
        <f>L42*12+N42*12+P42*12</f>
        <v>324</v>
      </c>
      <c r="V42" s="174">
        <f>U42/12</f>
        <v>27</v>
      </c>
      <c r="W42" s="175">
        <f>I42*12+J42</f>
        <v>12489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73">
        <f t="shared" si="4"/>
        <v>0</v>
      </c>
      <c r="J43" s="94">
        <f t="shared" si="4"/>
        <v>0</v>
      </c>
      <c r="K43" s="41"/>
      <c r="L43" s="112"/>
      <c r="M43" s="112"/>
      <c r="N43" s="112"/>
      <c r="O43" s="112"/>
      <c r="P43" s="112"/>
      <c r="Q43" s="120"/>
      <c r="R43" s="161">
        <f t="shared" si="7"/>
        <v>0</v>
      </c>
      <c r="S43" s="127">
        <f t="shared" si="7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34728</v>
      </c>
      <c r="D44" s="114"/>
      <c r="E44" s="115"/>
      <c r="F44" s="115"/>
      <c r="G44" s="78">
        <v>2101</v>
      </c>
      <c r="H44" s="79"/>
      <c r="I44" s="73">
        <f>C44+E44-G44</f>
        <v>32627</v>
      </c>
      <c r="J44" s="177">
        <f t="shared" si="4"/>
        <v>0</v>
      </c>
      <c r="K44" s="51"/>
      <c r="L44" s="121">
        <v>990</v>
      </c>
      <c r="M44" s="121"/>
      <c r="N44" s="121">
        <v>570</v>
      </c>
      <c r="O44" s="121"/>
      <c r="P44" s="121">
        <v>541</v>
      </c>
      <c r="Q44" s="122"/>
      <c r="R44" s="178">
        <f t="shared" si="7"/>
        <v>2101</v>
      </c>
      <c r="S44" s="179">
        <f t="shared" si="7"/>
        <v>0</v>
      </c>
      <c r="T44" s="51"/>
      <c r="U44" s="131">
        <f>L44*6+N44*6+P44*6</f>
        <v>12606</v>
      </c>
      <c r="V44" s="130">
        <f>U44/6</f>
        <v>2101</v>
      </c>
      <c r="W44" s="133">
        <f>I44*6+J44</f>
        <v>195762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4"/>
        <v>0</v>
      </c>
      <c r="K45" s="41"/>
      <c r="L45" s="112"/>
      <c r="M45" s="112"/>
      <c r="N45" s="112"/>
      <c r="O45" s="112"/>
      <c r="P45" s="112"/>
      <c r="Q45" s="120"/>
      <c r="R45" s="96">
        <f t="shared" si="7"/>
        <v>0</v>
      </c>
      <c r="S45" s="127">
        <f t="shared" si="7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>
        <v>3</v>
      </c>
      <c r="D46" s="111"/>
      <c r="E46" s="112"/>
      <c r="F46" s="112"/>
      <c r="G46" s="76"/>
      <c r="H46" s="73"/>
      <c r="I46" s="93">
        <f t="shared" si="4"/>
        <v>3</v>
      </c>
      <c r="J46" s="77">
        <f t="shared" si="4"/>
        <v>0</v>
      </c>
      <c r="K46" s="41"/>
      <c r="L46" s="112"/>
      <c r="M46" s="112"/>
      <c r="N46" s="112"/>
      <c r="O46" s="112"/>
      <c r="P46" s="112"/>
      <c r="Q46" s="120"/>
      <c r="R46" s="86">
        <f t="shared" si="7"/>
        <v>0</v>
      </c>
      <c r="S46" s="128">
        <f t="shared" si="7"/>
        <v>0</v>
      </c>
      <c r="T46" s="41"/>
      <c r="U46" s="107">
        <f t="shared" ref="U46:U47" si="11">L46*24+N46*24+P46*24</f>
        <v>0</v>
      </c>
      <c r="V46" s="134">
        <f t="shared" ref="V46:V47" si="12">U46/24</f>
        <v>0</v>
      </c>
      <c r="W46" s="129">
        <f t="shared" ref="W46:W47" si="13">I46*24+J46</f>
        <v>72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4"/>
        <v>0</v>
      </c>
      <c r="K47" s="41"/>
      <c r="L47" s="112"/>
      <c r="M47" s="112"/>
      <c r="N47" s="112"/>
      <c r="O47" s="112"/>
      <c r="P47" s="112"/>
      <c r="Q47" s="120"/>
      <c r="R47" s="86">
        <f t="shared" si="7"/>
        <v>0</v>
      </c>
      <c r="S47" s="124">
        <f t="shared" si="7"/>
        <v>0</v>
      </c>
      <c r="T47" s="41"/>
      <c r="U47" s="107">
        <f t="shared" si="11"/>
        <v>0</v>
      </c>
      <c r="V47" s="130">
        <f t="shared" si="12"/>
        <v>0</v>
      </c>
      <c r="W47" s="129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2842</v>
      </c>
      <c r="D48" s="142">
        <v>4</v>
      </c>
      <c r="E48" s="121"/>
      <c r="F48" s="121"/>
      <c r="G48" s="143"/>
      <c r="H48" s="139"/>
      <c r="I48" s="139">
        <f t="shared" si="4"/>
        <v>2842</v>
      </c>
      <c r="J48" s="140">
        <f t="shared" si="4"/>
        <v>4</v>
      </c>
      <c r="K48" s="51"/>
      <c r="L48" s="121"/>
      <c r="M48" s="121"/>
      <c r="N48" s="121"/>
      <c r="O48" s="121"/>
      <c r="P48" s="121"/>
      <c r="Q48" s="122"/>
      <c r="R48" s="97">
        <f t="shared" si="7"/>
        <v>0</v>
      </c>
      <c r="S48" s="144">
        <f t="shared" si="7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17056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73">
        <f t="shared" si="4"/>
        <v>1</v>
      </c>
      <c r="J49" s="77">
        <f t="shared" si="4"/>
        <v>0</v>
      </c>
      <c r="K49" s="41"/>
      <c r="L49" s="112"/>
      <c r="M49" s="112"/>
      <c r="N49" s="112"/>
      <c r="O49" s="112"/>
      <c r="P49" s="112"/>
      <c r="Q49" s="120"/>
      <c r="R49" s="96">
        <f t="shared" si="7"/>
        <v>0</v>
      </c>
      <c r="S49" s="126">
        <f t="shared" si="7"/>
        <v>0</v>
      </c>
      <c r="T49" s="41"/>
      <c r="U49" s="107">
        <f t="shared" ref="U49:U51" si="14">L49*24+N49*24+P49*24</f>
        <v>0</v>
      </c>
      <c r="V49" s="109">
        <f t="shared" ref="V49:V51" si="15">U49/24</f>
        <v>0</v>
      </c>
      <c r="W49" s="129">
        <f t="shared" ref="W49:W51" si="16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>
        <v>10</v>
      </c>
      <c r="D50" s="111"/>
      <c r="E50" s="112"/>
      <c r="F50" s="112"/>
      <c r="G50" s="76"/>
      <c r="H50" s="73"/>
      <c r="I50" s="73">
        <f t="shared" si="4"/>
        <v>10</v>
      </c>
      <c r="J50" s="77">
        <f t="shared" si="4"/>
        <v>0</v>
      </c>
      <c r="K50" s="41"/>
      <c r="L50" s="112"/>
      <c r="M50" s="112"/>
      <c r="N50" s="112"/>
      <c r="O50" s="112"/>
      <c r="P50" s="112"/>
      <c r="Q50" s="120"/>
      <c r="R50" s="86">
        <f t="shared" si="7"/>
        <v>0</v>
      </c>
      <c r="S50" s="124">
        <f t="shared" si="7"/>
        <v>0</v>
      </c>
      <c r="T50" s="41"/>
      <c r="U50" s="107">
        <f t="shared" si="14"/>
        <v>0</v>
      </c>
      <c r="V50" s="130">
        <f t="shared" si="15"/>
        <v>0</v>
      </c>
      <c r="W50" s="129">
        <f t="shared" si="16"/>
        <v>240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4"/>
        <v>0</v>
      </c>
      <c r="K51" s="41"/>
      <c r="L51" s="112"/>
      <c r="M51" s="112"/>
      <c r="N51" s="112"/>
      <c r="O51" s="112"/>
      <c r="P51" s="112"/>
      <c r="Q51" s="120"/>
      <c r="R51" s="86">
        <f t="shared" si="7"/>
        <v>0</v>
      </c>
      <c r="S51" s="124">
        <f t="shared" si="7"/>
        <v>0</v>
      </c>
      <c r="T51" s="41"/>
      <c r="U51" s="107">
        <f t="shared" si="14"/>
        <v>0</v>
      </c>
      <c r="V51" s="130">
        <f t="shared" si="15"/>
        <v>0</v>
      </c>
      <c r="W51" s="129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139">
        <f t="shared" si="4"/>
        <v>34</v>
      </c>
      <c r="J52" s="140">
        <f t="shared" si="4"/>
        <v>0</v>
      </c>
      <c r="K52" s="51"/>
      <c r="L52" s="121"/>
      <c r="M52" s="121"/>
      <c r="N52" s="121"/>
      <c r="O52" s="121"/>
      <c r="P52" s="121"/>
      <c r="Q52" s="122"/>
      <c r="R52" s="97">
        <f t="shared" si="7"/>
        <v>0</v>
      </c>
      <c r="S52" s="144">
        <f t="shared" si="7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>
        <v>2</v>
      </c>
      <c r="D53" s="111"/>
      <c r="E53" s="112"/>
      <c r="F53" s="112"/>
      <c r="G53" s="76"/>
      <c r="H53" s="73"/>
      <c r="I53" s="73">
        <f t="shared" si="4"/>
        <v>2</v>
      </c>
      <c r="J53" s="77">
        <f t="shared" si="4"/>
        <v>0</v>
      </c>
      <c r="K53" s="41"/>
      <c r="L53" s="112"/>
      <c r="M53" s="112"/>
      <c r="N53" s="112"/>
      <c r="O53" s="112"/>
      <c r="P53" s="112"/>
      <c r="Q53" s="120"/>
      <c r="R53" s="96">
        <f t="shared" si="7"/>
        <v>0</v>
      </c>
      <c r="S53" s="126">
        <f t="shared" si="7"/>
        <v>0</v>
      </c>
      <c r="T53" s="41"/>
      <c r="U53" s="107">
        <f t="shared" ref="U53:U54" si="17">L53*24+N53*24+P53*24</f>
        <v>0</v>
      </c>
      <c r="V53" s="109">
        <f t="shared" ref="V53:V54" si="18">U53/24</f>
        <v>0</v>
      </c>
      <c r="W53" s="129">
        <f t="shared" ref="W53:W54" si="19">I53*24+J53</f>
        <v>48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14</v>
      </c>
      <c r="D54" s="111"/>
      <c r="E54" s="112"/>
      <c r="F54" s="112"/>
      <c r="G54" s="76"/>
      <c r="H54" s="73"/>
      <c r="I54" s="73">
        <f t="shared" si="4"/>
        <v>14</v>
      </c>
      <c r="J54" s="77">
        <f t="shared" si="4"/>
        <v>0</v>
      </c>
      <c r="K54" s="41"/>
      <c r="L54" s="112"/>
      <c r="M54" s="112"/>
      <c r="N54" s="112"/>
      <c r="O54" s="112"/>
      <c r="P54" s="112"/>
      <c r="Q54" s="120"/>
      <c r="R54" s="86">
        <f t="shared" si="7"/>
        <v>0</v>
      </c>
      <c r="S54" s="124">
        <f t="shared" si="7"/>
        <v>0</v>
      </c>
      <c r="T54" s="41"/>
      <c r="U54" s="107">
        <f t="shared" si="17"/>
        <v>0</v>
      </c>
      <c r="V54" s="130">
        <f t="shared" si="18"/>
        <v>0</v>
      </c>
      <c r="W54" s="129">
        <f t="shared" si="19"/>
        <v>336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4"/>
        <v>0</v>
      </c>
      <c r="K55" s="41"/>
      <c r="L55" s="112"/>
      <c r="M55" s="112"/>
      <c r="N55" s="112"/>
      <c r="O55" s="112"/>
      <c r="P55" s="112"/>
      <c r="Q55" s="120"/>
      <c r="R55" s="86">
        <f t="shared" si="7"/>
        <v>0</v>
      </c>
      <c r="S55" s="124">
        <f t="shared" si="7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4"/>
        <v>0</v>
      </c>
      <c r="K56" s="41"/>
      <c r="L56" s="112"/>
      <c r="M56" s="112"/>
      <c r="N56" s="112"/>
      <c r="O56" s="112"/>
      <c r="P56" s="112"/>
      <c r="Q56" s="120"/>
      <c r="R56" s="86">
        <f t="shared" si="7"/>
        <v>0</v>
      </c>
      <c r="S56" s="124">
        <f t="shared" si="7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4"/>
        <v>0</v>
      </c>
      <c r="K57" s="41"/>
      <c r="L57" s="112"/>
      <c r="M57" s="112"/>
      <c r="N57" s="112"/>
      <c r="O57" s="112"/>
      <c r="P57" s="112"/>
      <c r="Q57" s="120"/>
      <c r="R57" s="86">
        <f t="shared" si="7"/>
        <v>0</v>
      </c>
      <c r="S57" s="124">
        <f t="shared" si="7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4"/>
        <v>0</v>
      </c>
      <c r="K58" s="41"/>
      <c r="L58" s="112"/>
      <c r="M58" s="112"/>
      <c r="N58" s="112"/>
      <c r="O58" s="112"/>
      <c r="P58" s="112"/>
      <c r="Q58" s="120"/>
      <c r="R58" s="86">
        <f t="shared" si="7"/>
        <v>0</v>
      </c>
      <c r="S58" s="124">
        <f t="shared" si="7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4"/>
        <v>0</v>
      </c>
      <c r="K59" s="41"/>
      <c r="L59" s="112"/>
      <c r="M59" s="112"/>
      <c r="N59" s="112"/>
      <c r="O59" s="112"/>
      <c r="P59" s="112"/>
      <c r="Q59" s="120"/>
      <c r="R59" s="86">
        <f t="shared" si="7"/>
        <v>0</v>
      </c>
      <c r="S59" s="124">
        <f t="shared" si="7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48109</v>
      </c>
      <c r="D60" s="54">
        <f>SUM(D8:D59)</f>
        <v>149</v>
      </c>
      <c r="E60" s="44">
        <f>SUM(E8:E59)</f>
        <v>0</v>
      </c>
      <c r="F60" s="44"/>
      <c r="G60" s="28">
        <f>SUM(G8:G59)</f>
        <v>2589</v>
      </c>
      <c r="H60" s="56">
        <f>SUM(H8:H59)</f>
        <v>24</v>
      </c>
      <c r="I60" s="56">
        <f>SUM(I8:I59)</f>
        <v>45520</v>
      </c>
      <c r="J60" s="45">
        <f>SUM(J8:J59)</f>
        <v>125</v>
      </c>
      <c r="K60" s="46"/>
      <c r="L60" s="74">
        <f t="shared" ref="L60:S60" si="20">SUM(L8:L59)</f>
        <v>1251</v>
      </c>
      <c r="M60" s="74">
        <f t="shared" si="20"/>
        <v>18</v>
      </c>
      <c r="N60" s="74">
        <f t="shared" si="20"/>
        <v>655</v>
      </c>
      <c r="O60" s="74">
        <f t="shared" si="20"/>
        <v>0</v>
      </c>
      <c r="P60" s="74">
        <f t="shared" si="20"/>
        <v>683</v>
      </c>
      <c r="Q60" s="75">
        <f t="shared" si="20"/>
        <v>6</v>
      </c>
      <c r="R60" s="85">
        <f t="shared" si="20"/>
        <v>2589</v>
      </c>
      <c r="S60" s="84">
        <f t="shared" si="20"/>
        <v>24</v>
      </c>
      <c r="T60" s="46"/>
      <c r="U60" s="43">
        <f>SUM(U8:U59)</f>
        <v>16830</v>
      </c>
      <c r="V60" s="102">
        <f>SUM(V8:V59)</f>
        <v>2589</v>
      </c>
      <c r="W60" s="180">
        <f>SUM(W8:W59)</f>
        <v>365363</v>
      </c>
      <c r="X60" s="45"/>
    </row>
    <row r="61" spans="1:24" ht="19.5" thickBot="1" x14ac:dyDescent="0.3">
      <c r="V61" s="103"/>
    </row>
    <row r="62" spans="1:24" ht="18.75" customHeight="1" x14ac:dyDescent="0.25">
      <c r="G62" s="196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197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198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199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199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00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7" t="s">
        <v>3</v>
      </c>
      <c r="D69" s="188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F980-5574-4D62-ABF2-6898880BA2EC}">
  <sheetPr>
    <pageSetUpPr fitToPage="1"/>
  </sheetPr>
  <dimension ref="A1:BH90"/>
  <sheetViews>
    <sheetView topLeftCell="A26" zoomScale="85" zoomScaleNormal="85" zoomScaleSheetLayoutView="85" zoomScalePageLayoutView="80" workbookViewId="0">
      <selection activeCell="Q49" sqref="Q49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.5703125" style="2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01">
        <v>46120</v>
      </c>
      <c r="Q1" s="202"/>
      <c r="R1" s="202"/>
      <c r="S1" s="202"/>
      <c r="T1" s="202"/>
      <c r="U1" s="202"/>
      <c r="V1" s="202"/>
      <c r="W1" s="202"/>
      <c r="X1" s="203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04" t="s">
        <v>74</v>
      </c>
      <c r="C4" s="205" t="s">
        <v>3</v>
      </c>
      <c r="D4" s="206" t="s">
        <v>75</v>
      </c>
      <c r="E4" s="207" t="s">
        <v>4</v>
      </c>
      <c r="F4" s="208"/>
      <c r="G4" s="209" t="s">
        <v>5</v>
      </c>
      <c r="H4" s="211" t="s">
        <v>75</v>
      </c>
      <c r="I4" s="213" t="s">
        <v>6</v>
      </c>
      <c r="J4" s="211" t="s">
        <v>75</v>
      </c>
      <c r="L4" s="215" t="s">
        <v>7</v>
      </c>
      <c r="M4" s="216"/>
      <c r="N4" s="216"/>
      <c r="O4" s="216"/>
      <c r="P4" s="216"/>
      <c r="Q4" s="216"/>
      <c r="R4" s="216"/>
      <c r="S4" s="216"/>
      <c r="T4" s="216"/>
      <c r="U4" s="216"/>
      <c r="V4" s="217"/>
      <c r="W4" s="216"/>
      <c r="X4" s="218"/>
    </row>
    <row r="5" spans="1:60" s="3" customFormat="1" ht="57" thickBot="1" x14ac:dyDescent="0.3">
      <c r="A5" s="49"/>
      <c r="B5" s="204"/>
      <c r="C5" s="205"/>
      <c r="D5" s="206"/>
      <c r="E5" s="48" t="s">
        <v>8</v>
      </c>
      <c r="F5" s="183" t="s">
        <v>9</v>
      </c>
      <c r="G5" s="210"/>
      <c r="H5" s="212"/>
      <c r="I5" s="214"/>
      <c r="J5" s="212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53</v>
      </c>
      <c r="D8" s="111">
        <v>21</v>
      </c>
      <c r="E8" s="112"/>
      <c r="F8" s="112"/>
      <c r="G8" s="76"/>
      <c r="H8" s="73"/>
      <c r="I8" s="73">
        <f>C8-G8</f>
        <v>53</v>
      </c>
      <c r="J8" s="77">
        <f t="shared" ref="J8:J12" si="0">D8-H8</f>
        <v>21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1293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104</v>
      </c>
      <c r="D9" s="114"/>
      <c r="E9" s="115"/>
      <c r="F9" s="115"/>
      <c r="G9" s="78"/>
      <c r="H9" s="79"/>
      <c r="I9" s="78">
        <f t="shared" ref="I9:J59" si="4">C9-G9</f>
        <v>104</v>
      </c>
      <c r="J9" s="94">
        <f t="shared" si="0"/>
        <v>0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2496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94</v>
      </c>
      <c r="D10" s="111"/>
      <c r="E10" s="112"/>
      <c r="F10" s="112"/>
      <c r="G10" s="76">
        <v>2</v>
      </c>
      <c r="H10" s="73"/>
      <c r="I10" s="73">
        <f t="shared" si="4"/>
        <v>92</v>
      </c>
      <c r="J10" s="95">
        <f t="shared" si="0"/>
        <v>0</v>
      </c>
      <c r="K10" s="41"/>
      <c r="L10" s="112"/>
      <c r="M10" s="112"/>
      <c r="N10" s="112"/>
      <c r="O10" s="112"/>
      <c r="P10" s="112">
        <v>2</v>
      </c>
      <c r="Q10" s="120"/>
      <c r="R10" s="99">
        <f t="shared" si="1"/>
        <v>2</v>
      </c>
      <c r="S10" s="126">
        <f t="shared" si="1"/>
        <v>0</v>
      </c>
      <c r="T10" s="41"/>
      <c r="U10" s="107">
        <f>L10*24+N10*24+P10*24</f>
        <v>48</v>
      </c>
      <c r="V10" s="134">
        <f>U10/24</f>
        <v>2</v>
      </c>
      <c r="W10" s="129">
        <f t="shared" si="2"/>
        <v>2208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/>
      <c r="D11" s="111"/>
      <c r="E11" s="112"/>
      <c r="F11" s="112"/>
      <c r="G11" s="76"/>
      <c r="H11" s="73"/>
      <c r="I11" s="73">
        <f t="shared" si="4"/>
        <v>0</v>
      </c>
      <c r="J11" s="77">
        <f t="shared" si="0"/>
        <v>0</v>
      </c>
      <c r="K11" s="41"/>
      <c r="L11" s="112"/>
      <c r="M11" s="112"/>
      <c r="N11" s="112"/>
      <c r="O11" s="112"/>
      <c r="P11" s="112"/>
      <c r="Q11" s="120"/>
      <c r="R11" s="86">
        <f t="shared" si="1"/>
        <v>0</v>
      </c>
      <c r="S11" s="124">
        <f t="shared" si="1"/>
        <v>0</v>
      </c>
      <c r="T11" s="41"/>
      <c r="U11" s="107">
        <f>L11*24+N11*24+P11*24</f>
        <v>0</v>
      </c>
      <c r="V11" s="130">
        <f>U11/24</f>
        <v>0</v>
      </c>
      <c r="W11" s="129">
        <f t="shared" si="2"/>
        <v>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5</v>
      </c>
      <c r="D12" s="111"/>
      <c r="E12" s="112"/>
      <c r="F12" s="112"/>
      <c r="G12" s="76"/>
      <c r="H12" s="73"/>
      <c r="I12" s="73">
        <f t="shared" si="4"/>
        <v>5</v>
      </c>
      <c r="J12" s="77">
        <f t="shared" si="0"/>
        <v>0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120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3655</v>
      </c>
      <c r="D13" s="114">
        <v>20</v>
      </c>
      <c r="E13" s="115"/>
      <c r="F13" s="115"/>
      <c r="G13" s="78">
        <v>42</v>
      </c>
      <c r="H13" s="79">
        <v>16</v>
      </c>
      <c r="I13" s="80">
        <f t="shared" si="4"/>
        <v>3613</v>
      </c>
      <c r="J13" s="94">
        <f>D13-H13</f>
        <v>4</v>
      </c>
      <c r="K13" s="53"/>
      <c r="L13" s="121">
        <v>15</v>
      </c>
      <c r="M13" s="121"/>
      <c r="N13" s="121">
        <v>7</v>
      </c>
      <c r="O13" s="121">
        <v>4</v>
      </c>
      <c r="P13" s="121">
        <v>20</v>
      </c>
      <c r="Q13" s="122">
        <v>12</v>
      </c>
      <c r="R13" s="97">
        <f>L13+N13+P13</f>
        <v>42</v>
      </c>
      <c r="S13" s="125">
        <f>M13+O13+Q13</f>
        <v>16</v>
      </c>
      <c r="T13" s="53"/>
      <c r="U13" s="131">
        <f>L13*24+N13*24+P13*24</f>
        <v>1008</v>
      </c>
      <c r="V13" s="135">
        <f t="shared" si="6"/>
        <v>42</v>
      </c>
      <c r="W13" s="133">
        <f>I13*24+J13</f>
        <v>86716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4</v>
      </c>
      <c r="D14" s="111">
        <v>16</v>
      </c>
      <c r="E14" s="112"/>
      <c r="F14" s="112"/>
      <c r="G14" s="76"/>
      <c r="H14" s="73"/>
      <c r="I14" s="93">
        <f t="shared" si="4"/>
        <v>4</v>
      </c>
      <c r="J14" s="95">
        <f t="shared" si="4"/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7">L14+N14+P14</f>
        <v>0</v>
      </c>
      <c r="S14" s="126">
        <f t="shared" si="7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8">I14*24+J14</f>
        <v>112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3</v>
      </c>
      <c r="D15" s="111"/>
      <c r="E15" s="112"/>
      <c r="F15" s="112"/>
      <c r="G15" s="76"/>
      <c r="H15" s="73"/>
      <c r="I15" s="73">
        <f t="shared" si="4"/>
        <v>3</v>
      </c>
      <c r="J15" s="77">
        <f t="shared" si="4"/>
        <v>0</v>
      </c>
      <c r="K15" s="41"/>
      <c r="L15" s="112"/>
      <c r="M15" s="112"/>
      <c r="N15" s="112"/>
      <c r="O15" s="112"/>
      <c r="P15" s="112"/>
      <c r="Q15" s="120"/>
      <c r="R15" s="86">
        <f t="shared" si="7"/>
        <v>0</v>
      </c>
      <c r="S15" s="124">
        <f t="shared" si="7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8"/>
        <v>72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>
        <v>2</v>
      </c>
      <c r="D16" s="111"/>
      <c r="E16" s="112"/>
      <c r="F16" s="112"/>
      <c r="G16" s="76"/>
      <c r="H16" s="73"/>
      <c r="I16" s="73">
        <f t="shared" si="4"/>
        <v>2</v>
      </c>
      <c r="J16" s="77">
        <f t="shared" si="4"/>
        <v>0</v>
      </c>
      <c r="K16" s="41"/>
      <c r="L16" s="112"/>
      <c r="M16" s="112"/>
      <c r="N16" s="112"/>
      <c r="O16" s="112"/>
      <c r="P16" s="112"/>
      <c r="Q16" s="120"/>
      <c r="R16" s="86">
        <f t="shared" si="7"/>
        <v>0</v>
      </c>
      <c r="S16" s="124">
        <f t="shared" si="7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8"/>
        <v>48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>
        <v>1</v>
      </c>
      <c r="D17" s="111"/>
      <c r="E17" s="112"/>
      <c r="F17" s="112"/>
      <c r="G17" s="76"/>
      <c r="H17" s="73"/>
      <c r="I17" s="73">
        <f t="shared" si="4"/>
        <v>1</v>
      </c>
      <c r="J17" s="77">
        <f t="shared" si="4"/>
        <v>0</v>
      </c>
      <c r="K17" s="41"/>
      <c r="L17" s="112"/>
      <c r="M17" s="112"/>
      <c r="N17" s="112"/>
      <c r="O17" s="112"/>
      <c r="P17" s="112"/>
      <c r="Q17" s="120"/>
      <c r="R17" s="86">
        <f t="shared" si="7"/>
        <v>0</v>
      </c>
      <c r="S17" s="124">
        <f t="shared" si="7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8"/>
        <v>24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4"/>
        <v>0</v>
      </c>
      <c r="K18" s="41"/>
      <c r="L18" s="112"/>
      <c r="M18" s="112"/>
      <c r="N18" s="112"/>
      <c r="O18" s="112"/>
      <c r="P18" s="112"/>
      <c r="Q18" s="120"/>
      <c r="R18" s="86">
        <f t="shared" si="7"/>
        <v>0</v>
      </c>
      <c r="S18" s="124">
        <f t="shared" si="7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8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4"/>
        <v>0</v>
      </c>
      <c r="K19" s="41"/>
      <c r="L19" s="112"/>
      <c r="M19" s="112"/>
      <c r="N19" s="112"/>
      <c r="O19" s="112"/>
      <c r="P19" s="112"/>
      <c r="Q19" s="120"/>
      <c r="R19" s="86">
        <f t="shared" si="7"/>
        <v>0</v>
      </c>
      <c r="S19" s="124">
        <f t="shared" si="7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4</v>
      </c>
      <c r="D20" s="111">
        <v>20</v>
      </c>
      <c r="E20" s="112"/>
      <c r="F20" s="112"/>
      <c r="G20" s="76"/>
      <c r="H20" s="73"/>
      <c r="I20" s="73">
        <f t="shared" si="4"/>
        <v>4</v>
      </c>
      <c r="J20" s="77">
        <f t="shared" si="4"/>
        <v>20</v>
      </c>
      <c r="K20" s="41"/>
      <c r="L20" s="112"/>
      <c r="M20" s="112"/>
      <c r="N20" s="112"/>
      <c r="O20" s="112"/>
      <c r="P20" s="112"/>
      <c r="Q20" s="120"/>
      <c r="R20" s="86">
        <f t="shared" si="7"/>
        <v>0</v>
      </c>
      <c r="S20" s="124">
        <f t="shared" si="7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8"/>
        <v>116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>
        <v>16</v>
      </c>
      <c r="E21" s="112"/>
      <c r="F21" s="112"/>
      <c r="G21" s="76"/>
      <c r="H21" s="73"/>
      <c r="I21" s="73">
        <f t="shared" si="4"/>
        <v>5</v>
      </c>
      <c r="J21" s="77">
        <f t="shared" si="4"/>
        <v>16</v>
      </c>
      <c r="K21" s="41"/>
      <c r="L21" s="112"/>
      <c r="M21" s="112"/>
      <c r="N21" s="112"/>
      <c r="O21" s="112"/>
      <c r="P21" s="112"/>
      <c r="Q21" s="120"/>
      <c r="R21" s="86">
        <f t="shared" si="7"/>
        <v>0</v>
      </c>
      <c r="S21" s="124">
        <f t="shared" si="7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8"/>
        <v>136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4</v>
      </c>
      <c r="D22" s="111"/>
      <c r="E22" s="112"/>
      <c r="F22" s="112"/>
      <c r="G22" s="76"/>
      <c r="H22" s="73"/>
      <c r="I22" s="73">
        <f t="shared" si="4"/>
        <v>4</v>
      </c>
      <c r="J22" s="77">
        <f t="shared" si="4"/>
        <v>0</v>
      </c>
      <c r="K22" s="41"/>
      <c r="L22" s="112"/>
      <c r="M22" s="112"/>
      <c r="N22" s="112"/>
      <c r="O22" s="112"/>
      <c r="P22" s="112"/>
      <c r="Q22" s="120"/>
      <c r="R22" s="86">
        <f t="shared" si="7"/>
        <v>0</v>
      </c>
      <c r="S22" s="124">
        <f t="shared" si="7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8"/>
        <v>96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>
        <v>2</v>
      </c>
      <c r="D23" s="111">
        <v>20</v>
      </c>
      <c r="E23" s="112"/>
      <c r="F23" s="112"/>
      <c r="G23" s="76"/>
      <c r="H23" s="73"/>
      <c r="I23" s="73">
        <f t="shared" si="4"/>
        <v>2</v>
      </c>
      <c r="J23" s="77">
        <f t="shared" si="4"/>
        <v>20</v>
      </c>
      <c r="K23" s="42"/>
      <c r="L23" s="112"/>
      <c r="M23" s="112"/>
      <c r="N23" s="112"/>
      <c r="O23" s="112"/>
      <c r="P23" s="112"/>
      <c r="Q23" s="120"/>
      <c r="R23" s="86">
        <f t="shared" si="7"/>
        <v>0</v>
      </c>
      <c r="S23" s="124">
        <f t="shared" si="7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8"/>
        <v>68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4"/>
        <v>19</v>
      </c>
      <c r="K24" s="42"/>
      <c r="L24" s="112"/>
      <c r="M24" s="112"/>
      <c r="N24" s="112"/>
      <c r="O24" s="112"/>
      <c r="P24" s="112"/>
      <c r="Q24" s="120"/>
      <c r="R24" s="86">
        <f t="shared" si="7"/>
        <v>0</v>
      </c>
      <c r="S24" s="124">
        <f t="shared" si="7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8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11</v>
      </c>
      <c r="D25" s="111"/>
      <c r="E25" s="112"/>
      <c r="F25" s="112"/>
      <c r="G25" s="76"/>
      <c r="H25" s="73"/>
      <c r="I25" s="73">
        <f t="shared" si="4"/>
        <v>11</v>
      </c>
      <c r="J25" s="77">
        <f t="shared" si="4"/>
        <v>0</v>
      </c>
      <c r="K25" s="41"/>
      <c r="L25" s="112"/>
      <c r="M25" s="112"/>
      <c r="N25" s="112"/>
      <c r="O25" s="112"/>
      <c r="P25" s="112"/>
      <c r="Q25" s="120"/>
      <c r="R25" s="86">
        <f t="shared" si="7"/>
        <v>0</v>
      </c>
      <c r="S25" s="124">
        <f t="shared" si="7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8"/>
        <v>264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35</v>
      </c>
      <c r="D26" s="111">
        <v>11</v>
      </c>
      <c r="E26" s="112"/>
      <c r="F26" s="112"/>
      <c r="G26" s="76"/>
      <c r="H26" s="73"/>
      <c r="I26" s="73">
        <f t="shared" si="4"/>
        <v>35</v>
      </c>
      <c r="J26" s="77">
        <f t="shared" si="4"/>
        <v>11</v>
      </c>
      <c r="K26" s="41"/>
      <c r="L26" s="112"/>
      <c r="M26" s="112"/>
      <c r="N26" s="112"/>
      <c r="O26" s="112"/>
      <c r="P26" s="112"/>
      <c r="Q26" s="120"/>
      <c r="R26" s="86">
        <f t="shared" si="7"/>
        <v>0</v>
      </c>
      <c r="S26" s="124">
        <f t="shared" si="7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8"/>
        <v>851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>
        <v>6</v>
      </c>
      <c r="D27" s="111"/>
      <c r="E27" s="112"/>
      <c r="F27" s="112"/>
      <c r="G27" s="76"/>
      <c r="H27" s="73"/>
      <c r="I27" s="73">
        <f t="shared" si="4"/>
        <v>6</v>
      </c>
      <c r="J27" s="77">
        <f t="shared" si="4"/>
        <v>0</v>
      </c>
      <c r="K27" s="42"/>
      <c r="L27" s="112"/>
      <c r="M27" s="112"/>
      <c r="N27" s="112"/>
      <c r="O27" s="112"/>
      <c r="P27" s="112"/>
      <c r="Q27" s="120"/>
      <c r="R27" s="86">
        <f t="shared" si="7"/>
        <v>0</v>
      </c>
      <c r="S27" s="124">
        <f t="shared" si="7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8"/>
        <v>144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4</v>
      </c>
      <c r="D28" s="111"/>
      <c r="E28" s="112"/>
      <c r="F28" s="112"/>
      <c r="G28" s="76"/>
      <c r="H28" s="73"/>
      <c r="I28" s="73">
        <f t="shared" si="4"/>
        <v>4</v>
      </c>
      <c r="J28" s="77">
        <f t="shared" si="4"/>
        <v>0</v>
      </c>
      <c r="K28" s="42"/>
      <c r="L28" s="112"/>
      <c r="M28" s="112"/>
      <c r="N28" s="112"/>
      <c r="O28" s="112"/>
      <c r="P28" s="112"/>
      <c r="Q28" s="120"/>
      <c r="R28" s="86">
        <f t="shared" si="7"/>
        <v>0</v>
      </c>
      <c r="S28" s="124">
        <f t="shared" si="7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8"/>
        <v>96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28</v>
      </c>
      <c r="D29" s="111"/>
      <c r="E29" s="112"/>
      <c r="F29" s="112"/>
      <c r="G29" s="76">
        <v>4</v>
      </c>
      <c r="H29" s="73"/>
      <c r="I29" s="73">
        <f t="shared" si="4"/>
        <v>24</v>
      </c>
      <c r="J29" s="77">
        <f t="shared" si="4"/>
        <v>0</v>
      </c>
      <c r="K29" s="42"/>
      <c r="L29" s="112"/>
      <c r="M29" s="112"/>
      <c r="N29" s="112"/>
      <c r="O29" s="112"/>
      <c r="P29" s="112">
        <v>4</v>
      </c>
      <c r="Q29" s="120"/>
      <c r="R29" s="86">
        <f t="shared" si="7"/>
        <v>4</v>
      </c>
      <c r="S29" s="124">
        <f t="shared" si="7"/>
        <v>0</v>
      </c>
      <c r="T29" s="42"/>
      <c r="U29" s="107">
        <f t="shared" si="5"/>
        <v>96</v>
      </c>
      <c r="V29" s="130">
        <f t="shared" si="6"/>
        <v>4</v>
      </c>
      <c r="W29" s="129">
        <f t="shared" si="8"/>
        <v>576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65</v>
      </c>
      <c r="D30" s="111"/>
      <c r="E30" s="112"/>
      <c r="F30" s="112"/>
      <c r="G30" s="76"/>
      <c r="H30" s="73"/>
      <c r="I30" s="73">
        <f t="shared" si="4"/>
        <v>65</v>
      </c>
      <c r="J30" s="77">
        <f t="shared" si="4"/>
        <v>0</v>
      </c>
      <c r="K30" s="41"/>
      <c r="L30" s="112"/>
      <c r="M30" s="112"/>
      <c r="N30" s="112"/>
      <c r="O30" s="112"/>
      <c r="P30" s="112"/>
      <c r="Q30" s="120"/>
      <c r="R30" s="86">
        <f t="shared" si="7"/>
        <v>0</v>
      </c>
      <c r="S30" s="124">
        <f t="shared" si="7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8"/>
        <v>1560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40</v>
      </c>
      <c r="D31" s="111"/>
      <c r="E31" s="112"/>
      <c r="F31" s="112"/>
      <c r="G31" s="76"/>
      <c r="H31" s="73"/>
      <c r="I31" s="73">
        <f t="shared" si="4"/>
        <v>40</v>
      </c>
      <c r="J31" s="77">
        <f t="shared" si="4"/>
        <v>0</v>
      </c>
      <c r="K31" s="41"/>
      <c r="L31" s="112"/>
      <c r="M31" s="112"/>
      <c r="N31" s="112"/>
      <c r="O31" s="112"/>
      <c r="P31" s="112"/>
      <c r="Q31" s="120"/>
      <c r="R31" s="86">
        <f t="shared" si="7"/>
        <v>0</v>
      </c>
      <c r="S31" s="124">
        <f t="shared" si="7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8"/>
        <v>960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>
        <v>1</v>
      </c>
      <c r="D32" s="111"/>
      <c r="E32" s="112"/>
      <c r="F32" s="112"/>
      <c r="G32" s="76"/>
      <c r="H32" s="73"/>
      <c r="I32" s="73">
        <f t="shared" si="4"/>
        <v>1</v>
      </c>
      <c r="J32" s="77">
        <f t="shared" si="4"/>
        <v>0</v>
      </c>
      <c r="K32" s="41"/>
      <c r="L32" s="112"/>
      <c r="M32" s="112"/>
      <c r="N32" s="112"/>
      <c r="O32" s="112"/>
      <c r="P32" s="112"/>
      <c r="Q32" s="120"/>
      <c r="R32" s="86">
        <f t="shared" si="7"/>
        <v>0</v>
      </c>
      <c r="S32" s="124">
        <f t="shared" si="7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8"/>
        <v>24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>
        <v>4</v>
      </c>
      <c r="D33" s="111"/>
      <c r="E33" s="112"/>
      <c r="F33" s="112"/>
      <c r="G33" s="76"/>
      <c r="H33" s="73"/>
      <c r="I33" s="73">
        <f t="shared" si="4"/>
        <v>4</v>
      </c>
      <c r="J33" s="77">
        <f t="shared" si="4"/>
        <v>0</v>
      </c>
      <c r="K33" s="41"/>
      <c r="L33" s="112"/>
      <c r="M33" s="112"/>
      <c r="N33" s="112"/>
      <c r="O33" s="112"/>
      <c r="P33" s="112"/>
      <c r="Q33" s="120"/>
      <c r="R33" s="86">
        <f t="shared" si="7"/>
        <v>0</v>
      </c>
      <c r="S33" s="124">
        <f t="shared" si="7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8"/>
        <v>96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5</v>
      </c>
      <c r="D34" s="111"/>
      <c r="E34" s="112"/>
      <c r="F34" s="112"/>
      <c r="G34" s="76"/>
      <c r="H34" s="73"/>
      <c r="I34" s="73">
        <f t="shared" si="4"/>
        <v>5</v>
      </c>
      <c r="J34" s="77">
        <f t="shared" si="4"/>
        <v>0</v>
      </c>
      <c r="K34" s="41"/>
      <c r="L34" s="112"/>
      <c r="M34" s="112"/>
      <c r="N34" s="112"/>
      <c r="O34" s="112"/>
      <c r="P34" s="112"/>
      <c r="Q34" s="120"/>
      <c r="R34" s="86">
        <f t="shared" si="7"/>
        <v>0</v>
      </c>
      <c r="S34" s="124">
        <f t="shared" si="7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8"/>
        <v>120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118</v>
      </c>
      <c r="D35" s="111">
        <v>5</v>
      </c>
      <c r="E35" s="112"/>
      <c r="F35" s="112"/>
      <c r="G35" s="76">
        <v>2</v>
      </c>
      <c r="H35" s="73"/>
      <c r="I35" s="73">
        <f t="shared" si="4"/>
        <v>116</v>
      </c>
      <c r="J35" s="77">
        <f t="shared" si="4"/>
        <v>5</v>
      </c>
      <c r="K35" s="41"/>
      <c r="L35" s="112"/>
      <c r="M35" s="112"/>
      <c r="N35" s="112"/>
      <c r="O35" s="112"/>
      <c r="P35" s="112">
        <v>2</v>
      </c>
      <c r="Q35" s="120"/>
      <c r="R35" s="86">
        <f t="shared" si="7"/>
        <v>2</v>
      </c>
      <c r="S35" s="124">
        <f t="shared" si="7"/>
        <v>0</v>
      </c>
      <c r="T35" s="41"/>
      <c r="U35" s="107">
        <f t="shared" si="5"/>
        <v>48</v>
      </c>
      <c r="V35" s="130">
        <f t="shared" si="6"/>
        <v>2</v>
      </c>
      <c r="W35" s="129">
        <f t="shared" si="8"/>
        <v>2789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4"/>
        <v>0</v>
      </c>
      <c r="K36" s="41"/>
      <c r="L36" s="112"/>
      <c r="M36" s="112"/>
      <c r="N36" s="112"/>
      <c r="O36" s="112"/>
      <c r="P36" s="112"/>
      <c r="Q36" s="120"/>
      <c r="R36" s="86">
        <f t="shared" si="7"/>
        <v>0</v>
      </c>
      <c r="S36" s="124">
        <f t="shared" si="7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>
        <v>2</v>
      </c>
      <c r="D37" s="111"/>
      <c r="E37" s="112"/>
      <c r="F37" s="112"/>
      <c r="G37" s="76"/>
      <c r="H37" s="73"/>
      <c r="I37" s="73">
        <f t="shared" si="4"/>
        <v>2</v>
      </c>
      <c r="J37" s="77">
        <f t="shared" si="4"/>
        <v>0</v>
      </c>
      <c r="K37" s="41"/>
      <c r="L37" s="112"/>
      <c r="M37" s="112"/>
      <c r="N37" s="112"/>
      <c r="O37" s="112"/>
      <c r="P37" s="112"/>
      <c r="Q37" s="120"/>
      <c r="R37" s="86">
        <f t="shared" si="7"/>
        <v>0</v>
      </c>
      <c r="S37" s="124">
        <f t="shared" si="7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8"/>
        <v>48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4039</v>
      </c>
      <c r="D38" s="114">
        <v>2</v>
      </c>
      <c r="E38" s="115"/>
      <c r="F38" s="115"/>
      <c r="G38" s="78">
        <v>142</v>
      </c>
      <c r="H38" s="79"/>
      <c r="I38" s="139">
        <f t="shared" si="4"/>
        <v>3897</v>
      </c>
      <c r="J38" s="140">
        <f t="shared" si="4"/>
        <v>2</v>
      </c>
      <c r="K38" s="51"/>
      <c r="L38" s="121"/>
      <c r="M38" s="121"/>
      <c r="N38" s="121">
        <v>48</v>
      </c>
      <c r="O38" s="121"/>
      <c r="P38" s="121">
        <v>94</v>
      </c>
      <c r="Q38" s="122"/>
      <c r="R38" s="97">
        <f t="shared" si="7"/>
        <v>142</v>
      </c>
      <c r="S38" s="125">
        <f t="shared" si="7"/>
        <v>0</v>
      </c>
      <c r="T38" s="51"/>
      <c r="U38" s="131">
        <f>L38*6+N38*6+P38*6</f>
        <v>852</v>
      </c>
      <c r="V38" s="135">
        <f>U38/6</f>
        <v>142</v>
      </c>
      <c r="W38" s="133">
        <f>I38*6+J38</f>
        <v>23384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>
        <v>7</v>
      </c>
      <c r="D39" s="111"/>
      <c r="E39" s="112"/>
      <c r="F39" s="112"/>
      <c r="G39" s="76"/>
      <c r="H39" s="73"/>
      <c r="I39" s="76">
        <f t="shared" si="4"/>
        <v>7</v>
      </c>
      <c r="J39" s="77">
        <f t="shared" si="4"/>
        <v>0</v>
      </c>
      <c r="K39" s="41"/>
      <c r="L39" s="112"/>
      <c r="M39" s="112"/>
      <c r="N39" s="112"/>
      <c r="O39" s="112"/>
      <c r="P39" s="112"/>
      <c r="Q39" s="120"/>
      <c r="R39" s="96">
        <f t="shared" si="7"/>
        <v>0</v>
      </c>
      <c r="S39" s="126">
        <f t="shared" si="7"/>
        <v>0</v>
      </c>
      <c r="T39" s="41"/>
      <c r="U39" s="107">
        <f t="shared" ref="U39:U41" si="9">L39*24+N39*24+P39*24</f>
        <v>0</v>
      </c>
      <c r="V39" s="109">
        <f t="shared" si="6"/>
        <v>0</v>
      </c>
      <c r="W39" s="129">
        <f t="shared" ref="W39:W41" si="10">I39*24+J39</f>
        <v>168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>
        <v>4</v>
      </c>
      <c r="D40" s="117"/>
      <c r="E40" s="118"/>
      <c r="F40" s="118"/>
      <c r="G40" s="82"/>
      <c r="H40" s="80"/>
      <c r="I40" s="73">
        <f t="shared" si="4"/>
        <v>4</v>
      </c>
      <c r="J40" s="77">
        <f t="shared" si="4"/>
        <v>0</v>
      </c>
      <c r="K40" s="41"/>
      <c r="L40" s="112"/>
      <c r="M40" s="112"/>
      <c r="N40" s="112"/>
      <c r="O40" s="112"/>
      <c r="P40" s="112"/>
      <c r="Q40" s="120"/>
      <c r="R40" s="86">
        <f t="shared" si="7"/>
        <v>0</v>
      </c>
      <c r="S40" s="124">
        <f t="shared" si="7"/>
        <v>0</v>
      </c>
      <c r="T40" s="41"/>
      <c r="U40" s="136">
        <f t="shared" si="9"/>
        <v>0</v>
      </c>
      <c r="V40" s="130">
        <f t="shared" si="6"/>
        <v>0</v>
      </c>
      <c r="W40" s="137">
        <f t="shared" si="10"/>
        <v>96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324</v>
      </c>
      <c r="D41" s="147"/>
      <c r="E41" s="148"/>
      <c r="F41" s="148"/>
      <c r="G41" s="149"/>
      <c r="H41" s="150"/>
      <c r="I41" s="151">
        <f t="shared" si="4"/>
        <v>324</v>
      </c>
      <c r="J41" s="152">
        <f t="shared" si="4"/>
        <v>0</v>
      </c>
      <c r="K41" s="153"/>
      <c r="L41" s="154"/>
      <c r="M41" s="154"/>
      <c r="N41" s="154"/>
      <c r="O41" s="154"/>
      <c r="P41" s="154"/>
      <c r="Q41" s="155"/>
      <c r="R41" s="156">
        <f t="shared" si="7"/>
        <v>0</v>
      </c>
      <c r="S41" s="157">
        <f t="shared" si="7"/>
        <v>0</v>
      </c>
      <c r="T41" s="153"/>
      <c r="U41" s="158">
        <f t="shared" si="9"/>
        <v>0</v>
      </c>
      <c r="V41" s="159">
        <f t="shared" si="6"/>
        <v>0</v>
      </c>
      <c r="W41" s="159">
        <f t="shared" si="10"/>
        <v>7776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1016</v>
      </c>
      <c r="D42" s="164">
        <v>9</v>
      </c>
      <c r="E42" s="165"/>
      <c r="F42" s="165"/>
      <c r="G42" s="166">
        <v>10</v>
      </c>
      <c r="H42" s="167"/>
      <c r="I42" s="166">
        <f t="shared" si="4"/>
        <v>1006</v>
      </c>
      <c r="J42" s="168">
        <f t="shared" si="4"/>
        <v>9</v>
      </c>
      <c r="K42" s="169"/>
      <c r="L42" s="165"/>
      <c r="M42" s="165"/>
      <c r="N42" s="165"/>
      <c r="O42" s="165"/>
      <c r="P42" s="165">
        <v>10</v>
      </c>
      <c r="Q42" s="170"/>
      <c r="R42" s="171">
        <f t="shared" si="7"/>
        <v>10</v>
      </c>
      <c r="S42" s="172">
        <f t="shared" si="7"/>
        <v>0</v>
      </c>
      <c r="T42" s="169"/>
      <c r="U42" s="173">
        <f>L42*12+N42*12+P42*12</f>
        <v>120</v>
      </c>
      <c r="V42" s="174">
        <f>U42/12</f>
        <v>10</v>
      </c>
      <c r="W42" s="175">
        <f>I42*12+J42</f>
        <v>12081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73">
        <f t="shared" si="4"/>
        <v>0</v>
      </c>
      <c r="J43" s="94">
        <f t="shared" si="4"/>
        <v>0</v>
      </c>
      <c r="K43" s="41"/>
      <c r="L43" s="112"/>
      <c r="M43" s="112"/>
      <c r="N43" s="112"/>
      <c r="O43" s="112"/>
      <c r="P43" s="112"/>
      <c r="Q43" s="120"/>
      <c r="R43" s="161">
        <f t="shared" si="7"/>
        <v>0</v>
      </c>
      <c r="S43" s="127">
        <f t="shared" si="7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30849</v>
      </c>
      <c r="D44" s="114"/>
      <c r="E44" s="115"/>
      <c r="F44" s="115"/>
      <c r="G44" s="78">
        <v>1467</v>
      </c>
      <c r="H44" s="79"/>
      <c r="I44" s="73">
        <f>C44+E44-G44</f>
        <v>29382</v>
      </c>
      <c r="J44" s="177">
        <f t="shared" si="4"/>
        <v>0</v>
      </c>
      <c r="K44" s="51"/>
      <c r="L44" s="121">
        <v>540</v>
      </c>
      <c r="M44" s="121"/>
      <c r="N44" s="121">
        <v>327</v>
      </c>
      <c r="O44" s="121"/>
      <c r="P44" s="121">
        <v>100</v>
      </c>
      <c r="Q44" s="122"/>
      <c r="R44" s="178">
        <f t="shared" si="7"/>
        <v>967</v>
      </c>
      <c r="S44" s="179">
        <f t="shared" si="7"/>
        <v>0</v>
      </c>
      <c r="T44" s="51"/>
      <c r="U44" s="131">
        <f>L44*6+N44*6+P44*6</f>
        <v>5802</v>
      </c>
      <c r="V44" s="130">
        <f>U44/6</f>
        <v>967</v>
      </c>
      <c r="W44" s="133">
        <f>I44*6+J44</f>
        <v>176292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4"/>
        <v>0</v>
      </c>
      <c r="K45" s="41"/>
      <c r="L45" s="112"/>
      <c r="M45" s="112"/>
      <c r="N45" s="112"/>
      <c r="O45" s="112"/>
      <c r="P45" s="112"/>
      <c r="Q45" s="120"/>
      <c r="R45" s="96">
        <f t="shared" si="7"/>
        <v>0</v>
      </c>
      <c r="S45" s="127">
        <f t="shared" si="7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>
        <v>1</v>
      </c>
      <c r="D46" s="111"/>
      <c r="E46" s="112"/>
      <c r="F46" s="112"/>
      <c r="G46" s="76"/>
      <c r="H46" s="73"/>
      <c r="I46" s="93">
        <f t="shared" si="4"/>
        <v>1</v>
      </c>
      <c r="J46" s="77">
        <f t="shared" si="4"/>
        <v>0</v>
      </c>
      <c r="K46" s="41"/>
      <c r="L46" s="112"/>
      <c r="M46" s="112"/>
      <c r="N46" s="112"/>
      <c r="O46" s="112"/>
      <c r="P46" s="112"/>
      <c r="Q46" s="120"/>
      <c r="R46" s="86">
        <f t="shared" si="7"/>
        <v>0</v>
      </c>
      <c r="S46" s="128">
        <f t="shared" si="7"/>
        <v>0</v>
      </c>
      <c r="T46" s="41"/>
      <c r="U46" s="107">
        <f t="shared" ref="U46:U47" si="11">L46*24+N46*24+P46*24</f>
        <v>0</v>
      </c>
      <c r="V46" s="134">
        <f t="shared" ref="V46:V47" si="12">U46/24</f>
        <v>0</v>
      </c>
      <c r="W46" s="129">
        <f t="shared" ref="W46:W47" si="13">I46*24+J46</f>
        <v>24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4"/>
        <v>0</v>
      </c>
      <c r="K47" s="41"/>
      <c r="L47" s="112"/>
      <c r="M47" s="112"/>
      <c r="N47" s="112"/>
      <c r="O47" s="112"/>
      <c r="P47" s="112"/>
      <c r="Q47" s="120"/>
      <c r="R47" s="86">
        <f t="shared" si="7"/>
        <v>0</v>
      </c>
      <c r="S47" s="124">
        <f t="shared" si="7"/>
        <v>0</v>
      </c>
      <c r="T47" s="41"/>
      <c r="U47" s="107">
        <f t="shared" si="11"/>
        <v>0</v>
      </c>
      <c r="V47" s="130">
        <f t="shared" si="12"/>
        <v>0</v>
      </c>
      <c r="W47" s="129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2842</v>
      </c>
      <c r="D48" s="142">
        <v>4</v>
      </c>
      <c r="E48" s="121"/>
      <c r="F48" s="121"/>
      <c r="G48" s="143"/>
      <c r="H48" s="139"/>
      <c r="I48" s="139">
        <f t="shared" si="4"/>
        <v>2842</v>
      </c>
      <c r="J48" s="140">
        <f t="shared" si="4"/>
        <v>4</v>
      </c>
      <c r="K48" s="51"/>
      <c r="L48" s="121"/>
      <c r="M48" s="121"/>
      <c r="N48" s="121"/>
      <c r="O48" s="121"/>
      <c r="P48" s="121"/>
      <c r="Q48" s="122"/>
      <c r="R48" s="97">
        <f t="shared" si="7"/>
        <v>0</v>
      </c>
      <c r="S48" s="144">
        <f t="shared" si="7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17056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73">
        <f t="shared" si="4"/>
        <v>1</v>
      </c>
      <c r="J49" s="77">
        <f t="shared" si="4"/>
        <v>0</v>
      </c>
      <c r="K49" s="41"/>
      <c r="L49" s="112"/>
      <c r="M49" s="112"/>
      <c r="N49" s="112"/>
      <c r="O49" s="112"/>
      <c r="P49" s="112"/>
      <c r="Q49" s="120"/>
      <c r="R49" s="96">
        <f t="shared" si="7"/>
        <v>0</v>
      </c>
      <c r="S49" s="126">
        <f t="shared" si="7"/>
        <v>0</v>
      </c>
      <c r="T49" s="41"/>
      <c r="U49" s="107">
        <f t="shared" ref="U49:U51" si="14">L49*24+N49*24+P49*24</f>
        <v>0</v>
      </c>
      <c r="V49" s="109">
        <f t="shared" ref="V49:V51" si="15">U49/24</f>
        <v>0</v>
      </c>
      <c r="W49" s="129">
        <f t="shared" ref="W49:W51" si="16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>
        <v>4</v>
      </c>
      <c r="D50" s="111"/>
      <c r="E50" s="112"/>
      <c r="F50" s="112"/>
      <c r="G50" s="76"/>
      <c r="H50" s="73"/>
      <c r="I50" s="73">
        <f t="shared" si="4"/>
        <v>4</v>
      </c>
      <c r="J50" s="77">
        <f t="shared" si="4"/>
        <v>0</v>
      </c>
      <c r="K50" s="41"/>
      <c r="L50" s="112"/>
      <c r="M50" s="112"/>
      <c r="N50" s="112"/>
      <c r="O50" s="112"/>
      <c r="P50" s="112"/>
      <c r="Q50" s="120"/>
      <c r="R50" s="86">
        <f t="shared" si="7"/>
        <v>0</v>
      </c>
      <c r="S50" s="124">
        <f t="shared" si="7"/>
        <v>0</v>
      </c>
      <c r="T50" s="41"/>
      <c r="U50" s="107">
        <f t="shared" si="14"/>
        <v>0</v>
      </c>
      <c r="V50" s="130">
        <f t="shared" si="15"/>
        <v>0</v>
      </c>
      <c r="W50" s="129">
        <f t="shared" si="16"/>
        <v>96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4"/>
        <v>0</v>
      </c>
      <c r="K51" s="41"/>
      <c r="L51" s="112"/>
      <c r="M51" s="112"/>
      <c r="N51" s="112"/>
      <c r="O51" s="112"/>
      <c r="P51" s="112"/>
      <c r="Q51" s="120"/>
      <c r="R51" s="86">
        <f t="shared" si="7"/>
        <v>0</v>
      </c>
      <c r="S51" s="124">
        <f t="shared" si="7"/>
        <v>0</v>
      </c>
      <c r="T51" s="41"/>
      <c r="U51" s="107">
        <f t="shared" si="14"/>
        <v>0</v>
      </c>
      <c r="V51" s="130">
        <f t="shared" si="15"/>
        <v>0</v>
      </c>
      <c r="W51" s="129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139">
        <f t="shared" si="4"/>
        <v>34</v>
      </c>
      <c r="J52" s="140">
        <f t="shared" si="4"/>
        <v>0</v>
      </c>
      <c r="K52" s="51"/>
      <c r="L52" s="121"/>
      <c r="M52" s="121"/>
      <c r="N52" s="121"/>
      <c r="O52" s="121"/>
      <c r="P52" s="121"/>
      <c r="Q52" s="122"/>
      <c r="R52" s="97">
        <f t="shared" si="7"/>
        <v>0</v>
      </c>
      <c r="S52" s="144">
        <f t="shared" si="7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>
        <v>2</v>
      </c>
      <c r="D53" s="111"/>
      <c r="E53" s="112"/>
      <c r="F53" s="112"/>
      <c r="G53" s="76"/>
      <c r="H53" s="73"/>
      <c r="I53" s="73">
        <f t="shared" si="4"/>
        <v>2</v>
      </c>
      <c r="J53" s="77">
        <f t="shared" si="4"/>
        <v>0</v>
      </c>
      <c r="K53" s="41"/>
      <c r="L53" s="112"/>
      <c r="M53" s="112"/>
      <c r="N53" s="112"/>
      <c r="O53" s="112"/>
      <c r="P53" s="112"/>
      <c r="Q53" s="120"/>
      <c r="R53" s="96">
        <f t="shared" si="7"/>
        <v>0</v>
      </c>
      <c r="S53" s="126">
        <f t="shared" si="7"/>
        <v>0</v>
      </c>
      <c r="T53" s="41"/>
      <c r="U53" s="107">
        <f t="shared" ref="U53:U54" si="17">L53*24+N53*24+P53*24</f>
        <v>0</v>
      </c>
      <c r="V53" s="109">
        <f t="shared" ref="V53:V54" si="18">U53/24</f>
        <v>0</v>
      </c>
      <c r="W53" s="129">
        <f t="shared" ref="W53:W54" si="19">I53*24+J53</f>
        <v>48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14</v>
      </c>
      <c r="D54" s="111"/>
      <c r="E54" s="112"/>
      <c r="F54" s="112"/>
      <c r="G54" s="76"/>
      <c r="H54" s="73"/>
      <c r="I54" s="73">
        <f t="shared" si="4"/>
        <v>14</v>
      </c>
      <c r="J54" s="77">
        <f t="shared" si="4"/>
        <v>0</v>
      </c>
      <c r="K54" s="41"/>
      <c r="L54" s="112"/>
      <c r="M54" s="112"/>
      <c r="N54" s="112"/>
      <c r="O54" s="112"/>
      <c r="P54" s="112"/>
      <c r="Q54" s="120"/>
      <c r="R54" s="86">
        <f t="shared" si="7"/>
        <v>0</v>
      </c>
      <c r="S54" s="124">
        <f t="shared" si="7"/>
        <v>0</v>
      </c>
      <c r="T54" s="41"/>
      <c r="U54" s="107">
        <f t="shared" si="17"/>
        <v>0</v>
      </c>
      <c r="V54" s="130">
        <f t="shared" si="18"/>
        <v>0</v>
      </c>
      <c r="W54" s="129">
        <f t="shared" si="19"/>
        <v>336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4"/>
        <v>0</v>
      </c>
      <c r="K55" s="41"/>
      <c r="L55" s="112"/>
      <c r="M55" s="112"/>
      <c r="N55" s="112"/>
      <c r="O55" s="112"/>
      <c r="P55" s="112"/>
      <c r="Q55" s="120"/>
      <c r="R55" s="86">
        <f t="shared" si="7"/>
        <v>0</v>
      </c>
      <c r="S55" s="124">
        <f t="shared" si="7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4"/>
        <v>0</v>
      </c>
      <c r="K56" s="41"/>
      <c r="L56" s="112"/>
      <c r="M56" s="112"/>
      <c r="N56" s="112"/>
      <c r="O56" s="112"/>
      <c r="P56" s="112"/>
      <c r="Q56" s="120"/>
      <c r="R56" s="86">
        <f t="shared" si="7"/>
        <v>0</v>
      </c>
      <c r="S56" s="124">
        <f t="shared" si="7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4"/>
        <v>0</v>
      </c>
      <c r="K57" s="41"/>
      <c r="L57" s="112"/>
      <c r="M57" s="112"/>
      <c r="N57" s="112"/>
      <c r="O57" s="112"/>
      <c r="P57" s="112"/>
      <c r="Q57" s="120"/>
      <c r="R57" s="86">
        <f t="shared" si="7"/>
        <v>0</v>
      </c>
      <c r="S57" s="124">
        <f t="shared" si="7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4"/>
        <v>0</v>
      </c>
      <c r="K58" s="41"/>
      <c r="L58" s="112"/>
      <c r="M58" s="112"/>
      <c r="N58" s="112"/>
      <c r="O58" s="112"/>
      <c r="P58" s="112"/>
      <c r="Q58" s="120"/>
      <c r="R58" s="86">
        <f t="shared" si="7"/>
        <v>0</v>
      </c>
      <c r="S58" s="124">
        <f t="shared" si="7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4"/>
        <v>0</v>
      </c>
      <c r="K59" s="41"/>
      <c r="L59" s="112"/>
      <c r="M59" s="112"/>
      <c r="N59" s="112"/>
      <c r="O59" s="112"/>
      <c r="P59" s="112"/>
      <c r="Q59" s="120"/>
      <c r="R59" s="86">
        <f t="shared" si="7"/>
        <v>0</v>
      </c>
      <c r="S59" s="124">
        <f t="shared" si="7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43432</v>
      </c>
      <c r="D60" s="54">
        <f>SUM(D8:D59)</f>
        <v>163</v>
      </c>
      <c r="E60" s="44">
        <f>SUM(E8:E59)</f>
        <v>0</v>
      </c>
      <c r="F60" s="44"/>
      <c r="G60" s="28">
        <f>SUM(G8:G59)</f>
        <v>1669</v>
      </c>
      <c r="H60" s="56">
        <f>SUM(H8:H59)</f>
        <v>16</v>
      </c>
      <c r="I60" s="56">
        <f>SUM(I8:I59)</f>
        <v>41763</v>
      </c>
      <c r="J60" s="45">
        <f>SUM(J8:J59)</f>
        <v>147</v>
      </c>
      <c r="K60" s="46"/>
      <c r="L60" s="74">
        <f t="shared" ref="L60:S60" si="20">SUM(L8:L59)</f>
        <v>555</v>
      </c>
      <c r="M60" s="74">
        <f t="shared" si="20"/>
        <v>0</v>
      </c>
      <c r="N60" s="74">
        <f t="shared" si="20"/>
        <v>382</v>
      </c>
      <c r="O60" s="74">
        <f t="shared" si="20"/>
        <v>4</v>
      </c>
      <c r="P60" s="74">
        <f t="shared" si="20"/>
        <v>232</v>
      </c>
      <c r="Q60" s="75">
        <f t="shared" si="20"/>
        <v>12</v>
      </c>
      <c r="R60" s="85">
        <f t="shared" si="20"/>
        <v>1169</v>
      </c>
      <c r="S60" s="84">
        <f t="shared" si="20"/>
        <v>16</v>
      </c>
      <c r="T60" s="46"/>
      <c r="U60" s="43">
        <f>SUM(U8:U59)</f>
        <v>7974</v>
      </c>
      <c r="V60" s="102">
        <f>SUM(V8:V59)</f>
        <v>1169</v>
      </c>
      <c r="W60" s="180">
        <f>SUM(W8:W59)</f>
        <v>339597</v>
      </c>
      <c r="X60" s="45"/>
    </row>
    <row r="61" spans="1:24" ht="19.5" thickBot="1" x14ac:dyDescent="0.3">
      <c r="V61" s="103"/>
    </row>
    <row r="62" spans="1:24" ht="18.75" customHeight="1" x14ac:dyDescent="0.25">
      <c r="G62" s="196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197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198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199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199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00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1" t="s">
        <v>3</v>
      </c>
      <c r="D69" s="182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54B12-F159-4771-835F-10B5668BB1C8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.7109375" style="2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01">
        <v>46121</v>
      </c>
      <c r="Q1" s="202"/>
      <c r="R1" s="202"/>
      <c r="S1" s="202"/>
      <c r="T1" s="202"/>
      <c r="U1" s="202"/>
      <c r="V1" s="202"/>
      <c r="W1" s="202"/>
      <c r="X1" s="203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04" t="s">
        <v>74</v>
      </c>
      <c r="C4" s="205" t="s">
        <v>3</v>
      </c>
      <c r="D4" s="206" t="s">
        <v>75</v>
      </c>
      <c r="E4" s="207" t="s">
        <v>4</v>
      </c>
      <c r="F4" s="208"/>
      <c r="G4" s="209" t="s">
        <v>5</v>
      </c>
      <c r="H4" s="211" t="s">
        <v>75</v>
      </c>
      <c r="I4" s="213" t="s">
        <v>6</v>
      </c>
      <c r="J4" s="211" t="s">
        <v>75</v>
      </c>
      <c r="L4" s="215" t="s">
        <v>7</v>
      </c>
      <c r="M4" s="216"/>
      <c r="N4" s="216"/>
      <c r="O4" s="216"/>
      <c r="P4" s="216"/>
      <c r="Q4" s="216"/>
      <c r="R4" s="216"/>
      <c r="S4" s="216"/>
      <c r="T4" s="216"/>
      <c r="U4" s="216"/>
      <c r="V4" s="217"/>
      <c r="W4" s="216"/>
      <c r="X4" s="218"/>
    </row>
    <row r="5" spans="1:60" s="3" customFormat="1" ht="57" thickBot="1" x14ac:dyDescent="0.3">
      <c r="A5" s="49"/>
      <c r="B5" s="204"/>
      <c r="C5" s="205"/>
      <c r="D5" s="206"/>
      <c r="E5" s="48" t="s">
        <v>8</v>
      </c>
      <c r="F5" s="189" t="s">
        <v>9</v>
      </c>
      <c r="G5" s="210"/>
      <c r="H5" s="212"/>
      <c r="I5" s="214"/>
      <c r="J5" s="212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53</v>
      </c>
      <c r="D8" s="111">
        <v>21</v>
      </c>
      <c r="E8" s="112"/>
      <c r="F8" s="112"/>
      <c r="G8" s="76">
        <v>1</v>
      </c>
      <c r="H8" s="73"/>
      <c r="I8" s="73">
        <f>C8-G8</f>
        <v>52</v>
      </c>
      <c r="J8" s="77">
        <f t="shared" ref="J8:J12" si="0">D8-H8</f>
        <v>21</v>
      </c>
      <c r="K8" s="41"/>
      <c r="L8" s="112"/>
      <c r="M8" s="112"/>
      <c r="N8" s="112"/>
      <c r="O8" s="112"/>
      <c r="P8" s="112">
        <v>1</v>
      </c>
      <c r="Q8" s="120"/>
      <c r="R8" s="86">
        <f t="shared" ref="R8:S12" si="1">L8+N8+P8</f>
        <v>1</v>
      </c>
      <c r="S8" s="124">
        <f t="shared" si="1"/>
        <v>0</v>
      </c>
      <c r="T8" s="41"/>
      <c r="U8" s="107">
        <f>L8*24+N8*24+P8*24</f>
        <v>24</v>
      </c>
      <c r="V8" s="130">
        <f>U8/24</f>
        <v>1</v>
      </c>
      <c r="W8" s="129">
        <f t="shared" ref="W8:W12" si="2">I8*24+J8</f>
        <v>1269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104</v>
      </c>
      <c r="D9" s="114"/>
      <c r="E9" s="115"/>
      <c r="F9" s="115"/>
      <c r="G9" s="78">
        <v>1</v>
      </c>
      <c r="H9" s="79"/>
      <c r="I9" s="78">
        <f t="shared" ref="I9:J59" si="4">C9-G9</f>
        <v>103</v>
      </c>
      <c r="J9" s="94">
        <f t="shared" si="0"/>
        <v>0</v>
      </c>
      <c r="K9" s="51"/>
      <c r="L9" s="121"/>
      <c r="M9" s="121"/>
      <c r="N9" s="121"/>
      <c r="O9" s="121"/>
      <c r="P9" s="121">
        <v>1</v>
      </c>
      <c r="Q9" s="122"/>
      <c r="R9" s="98">
        <f t="shared" si="1"/>
        <v>1</v>
      </c>
      <c r="S9" s="125">
        <f t="shared" si="1"/>
        <v>0</v>
      </c>
      <c r="T9" s="51"/>
      <c r="U9" s="131">
        <f>L9*24+N9*24+P9*24</f>
        <v>24</v>
      </c>
      <c r="V9" s="132">
        <f>U9/24</f>
        <v>1</v>
      </c>
      <c r="W9" s="133">
        <f t="shared" si="2"/>
        <v>2472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92</v>
      </c>
      <c r="D10" s="111"/>
      <c r="E10" s="112"/>
      <c r="F10" s="112"/>
      <c r="G10" s="76"/>
      <c r="H10" s="73"/>
      <c r="I10" s="73">
        <f t="shared" si="4"/>
        <v>92</v>
      </c>
      <c r="J10" s="95">
        <f t="shared" si="0"/>
        <v>0</v>
      </c>
      <c r="K10" s="41"/>
      <c r="L10" s="112"/>
      <c r="M10" s="112"/>
      <c r="N10" s="112"/>
      <c r="O10" s="112"/>
      <c r="P10" s="112"/>
      <c r="Q10" s="120"/>
      <c r="R10" s="99">
        <f t="shared" si="1"/>
        <v>0</v>
      </c>
      <c r="S10" s="126">
        <f t="shared" si="1"/>
        <v>0</v>
      </c>
      <c r="T10" s="41"/>
      <c r="U10" s="107">
        <f>L10*24+N10*24+P10*24</f>
        <v>0</v>
      </c>
      <c r="V10" s="134">
        <f>U10/24</f>
        <v>0</v>
      </c>
      <c r="W10" s="129">
        <f t="shared" si="2"/>
        <v>2208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/>
      <c r="D11" s="111"/>
      <c r="E11" s="112"/>
      <c r="F11" s="112"/>
      <c r="G11" s="76"/>
      <c r="H11" s="73"/>
      <c r="I11" s="73">
        <f t="shared" si="4"/>
        <v>0</v>
      </c>
      <c r="J11" s="77">
        <f t="shared" si="0"/>
        <v>0</v>
      </c>
      <c r="K11" s="41"/>
      <c r="L11" s="112"/>
      <c r="M11" s="112"/>
      <c r="N11" s="112"/>
      <c r="O11" s="112"/>
      <c r="P11" s="112"/>
      <c r="Q11" s="120"/>
      <c r="R11" s="86">
        <f t="shared" si="1"/>
        <v>0</v>
      </c>
      <c r="S11" s="124">
        <f t="shared" si="1"/>
        <v>0</v>
      </c>
      <c r="T11" s="41"/>
      <c r="U11" s="107">
        <f>L11*24+N11*24+P11*24</f>
        <v>0</v>
      </c>
      <c r="V11" s="130">
        <f>U11/24</f>
        <v>0</v>
      </c>
      <c r="W11" s="129">
        <f t="shared" si="2"/>
        <v>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5</v>
      </c>
      <c r="D12" s="111"/>
      <c r="E12" s="112"/>
      <c r="F12" s="112"/>
      <c r="G12" s="76"/>
      <c r="H12" s="73"/>
      <c r="I12" s="73">
        <f t="shared" si="4"/>
        <v>5</v>
      </c>
      <c r="J12" s="77">
        <f t="shared" si="0"/>
        <v>0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120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3613</v>
      </c>
      <c r="D13" s="114">
        <v>4</v>
      </c>
      <c r="E13" s="115"/>
      <c r="F13" s="115"/>
      <c r="G13" s="78">
        <v>35</v>
      </c>
      <c r="H13" s="79">
        <v>25</v>
      </c>
      <c r="I13" s="80">
        <f t="shared" si="4"/>
        <v>3578</v>
      </c>
      <c r="J13" s="94">
        <f>D13-H13</f>
        <v>-21</v>
      </c>
      <c r="K13" s="53"/>
      <c r="L13" s="121">
        <v>6</v>
      </c>
      <c r="M13" s="121">
        <v>3</v>
      </c>
      <c r="N13" s="121">
        <v>11</v>
      </c>
      <c r="O13" s="121">
        <v>20</v>
      </c>
      <c r="P13" s="121">
        <v>18</v>
      </c>
      <c r="Q13" s="122">
        <v>2</v>
      </c>
      <c r="R13" s="97">
        <f>L13+N13+P13</f>
        <v>35</v>
      </c>
      <c r="S13" s="125">
        <f>M13+O13+Q13</f>
        <v>25</v>
      </c>
      <c r="T13" s="53"/>
      <c r="U13" s="131">
        <f>L13*24+N13*24+P13*24</f>
        <v>840</v>
      </c>
      <c r="V13" s="135">
        <f t="shared" si="6"/>
        <v>35</v>
      </c>
      <c r="W13" s="133">
        <f>I13*24+J13</f>
        <v>85851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4</v>
      </c>
      <c r="D14" s="111">
        <v>16</v>
      </c>
      <c r="E14" s="112"/>
      <c r="F14" s="112"/>
      <c r="G14" s="76"/>
      <c r="H14" s="73"/>
      <c r="I14" s="93">
        <f t="shared" si="4"/>
        <v>4</v>
      </c>
      <c r="J14" s="95">
        <f t="shared" si="4"/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7">L14+N14+P14</f>
        <v>0</v>
      </c>
      <c r="S14" s="126">
        <f t="shared" si="7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8">I14*24+J14</f>
        <v>112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3</v>
      </c>
      <c r="D15" s="111"/>
      <c r="E15" s="112"/>
      <c r="F15" s="112"/>
      <c r="G15" s="76"/>
      <c r="H15" s="73"/>
      <c r="I15" s="73">
        <f t="shared" si="4"/>
        <v>3</v>
      </c>
      <c r="J15" s="77">
        <f t="shared" si="4"/>
        <v>0</v>
      </c>
      <c r="K15" s="41"/>
      <c r="L15" s="112"/>
      <c r="M15" s="112"/>
      <c r="N15" s="112"/>
      <c r="O15" s="112"/>
      <c r="P15" s="112"/>
      <c r="Q15" s="120"/>
      <c r="R15" s="86">
        <f t="shared" si="7"/>
        <v>0</v>
      </c>
      <c r="S15" s="124">
        <f t="shared" si="7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8"/>
        <v>72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>
        <v>2</v>
      </c>
      <c r="D16" s="111"/>
      <c r="E16" s="112"/>
      <c r="F16" s="112"/>
      <c r="G16" s="76"/>
      <c r="H16" s="73"/>
      <c r="I16" s="73">
        <f t="shared" si="4"/>
        <v>2</v>
      </c>
      <c r="J16" s="77">
        <f t="shared" si="4"/>
        <v>0</v>
      </c>
      <c r="K16" s="41"/>
      <c r="L16" s="112"/>
      <c r="M16" s="112"/>
      <c r="N16" s="112"/>
      <c r="O16" s="112"/>
      <c r="P16" s="112"/>
      <c r="Q16" s="120"/>
      <c r="R16" s="86">
        <f t="shared" si="7"/>
        <v>0</v>
      </c>
      <c r="S16" s="124">
        <f t="shared" si="7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8"/>
        <v>48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>
        <v>1</v>
      </c>
      <c r="D17" s="111"/>
      <c r="E17" s="112"/>
      <c r="F17" s="112"/>
      <c r="G17" s="76"/>
      <c r="H17" s="73"/>
      <c r="I17" s="73">
        <f t="shared" si="4"/>
        <v>1</v>
      </c>
      <c r="J17" s="77">
        <f t="shared" si="4"/>
        <v>0</v>
      </c>
      <c r="K17" s="41"/>
      <c r="L17" s="112"/>
      <c r="M17" s="112"/>
      <c r="N17" s="112"/>
      <c r="O17" s="112"/>
      <c r="P17" s="112"/>
      <c r="Q17" s="120"/>
      <c r="R17" s="86">
        <f t="shared" si="7"/>
        <v>0</v>
      </c>
      <c r="S17" s="124">
        <f t="shared" si="7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8"/>
        <v>24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4"/>
        <v>0</v>
      </c>
      <c r="K18" s="41"/>
      <c r="L18" s="112"/>
      <c r="M18" s="112"/>
      <c r="N18" s="112"/>
      <c r="O18" s="112"/>
      <c r="P18" s="112"/>
      <c r="Q18" s="120"/>
      <c r="R18" s="86">
        <f t="shared" si="7"/>
        <v>0</v>
      </c>
      <c r="S18" s="124">
        <f t="shared" si="7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8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4"/>
        <v>0</v>
      </c>
      <c r="K19" s="41"/>
      <c r="L19" s="112"/>
      <c r="M19" s="112"/>
      <c r="N19" s="112"/>
      <c r="O19" s="112"/>
      <c r="P19" s="112"/>
      <c r="Q19" s="120"/>
      <c r="R19" s="86">
        <f t="shared" si="7"/>
        <v>0</v>
      </c>
      <c r="S19" s="124">
        <f t="shared" si="7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4</v>
      </c>
      <c r="D20" s="111">
        <v>20</v>
      </c>
      <c r="E20" s="112"/>
      <c r="F20" s="112"/>
      <c r="G20" s="76"/>
      <c r="H20" s="73"/>
      <c r="I20" s="73">
        <f t="shared" si="4"/>
        <v>4</v>
      </c>
      <c r="J20" s="77">
        <f t="shared" si="4"/>
        <v>20</v>
      </c>
      <c r="K20" s="41"/>
      <c r="L20" s="112"/>
      <c r="M20" s="112"/>
      <c r="N20" s="112"/>
      <c r="O20" s="112"/>
      <c r="P20" s="112"/>
      <c r="Q20" s="120"/>
      <c r="R20" s="86">
        <f t="shared" si="7"/>
        <v>0</v>
      </c>
      <c r="S20" s="124">
        <f t="shared" si="7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8"/>
        <v>116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>
        <v>16</v>
      </c>
      <c r="E21" s="112"/>
      <c r="F21" s="112"/>
      <c r="G21" s="76"/>
      <c r="H21" s="73"/>
      <c r="I21" s="73">
        <f t="shared" si="4"/>
        <v>5</v>
      </c>
      <c r="J21" s="77">
        <f t="shared" si="4"/>
        <v>16</v>
      </c>
      <c r="K21" s="41"/>
      <c r="L21" s="112"/>
      <c r="M21" s="112"/>
      <c r="N21" s="112"/>
      <c r="O21" s="112"/>
      <c r="P21" s="112"/>
      <c r="Q21" s="120"/>
      <c r="R21" s="86">
        <f t="shared" si="7"/>
        <v>0</v>
      </c>
      <c r="S21" s="124">
        <f t="shared" si="7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8"/>
        <v>136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4</v>
      </c>
      <c r="D22" s="111"/>
      <c r="E22" s="112"/>
      <c r="F22" s="112"/>
      <c r="G22" s="76"/>
      <c r="H22" s="73"/>
      <c r="I22" s="73">
        <f t="shared" si="4"/>
        <v>4</v>
      </c>
      <c r="J22" s="77">
        <f t="shared" si="4"/>
        <v>0</v>
      </c>
      <c r="K22" s="41"/>
      <c r="L22" s="112"/>
      <c r="M22" s="112"/>
      <c r="N22" s="112"/>
      <c r="O22" s="112"/>
      <c r="P22" s="112"/>
      <c r="Q22" s="120"/>
      <c r="R22" s="86">
        <f t="shared" si="7"/>
        <v>0</v>
      </c>
      <c r="S22" s="124">
        <f t="shared" si="7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8"/>
        <v>96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>
        <v>2</v>
      </c>
      <c r="D23" s="111">
        <v>20</v>
      </c>
      <c r="E23" s="112"/>
      <c r="F23" s="112"/>
      <c r="G23" s="76"/>
      <c r="H23" s="73"/>
      <c r="I23" s="73">
        <f t="shared" si="4"/>
        <v>2</v>
      </c>
      <c r="J23" s="77">
        <f t="shared" si="4"/>
        <v>20</v>
      </c>
      <c r="K23" s="42"/>
      <c r="L23" s="112"/>
      <c r="M23" s="112"/>
      <c r="N23" s="112"/>
      <c r="O23" s="112"/>
      <c r="P23" s="112"/>
      <c r="Q23" s="120"/>
      <c r="R23" s="86">
        <f t="shared" si="7"/>
        <v>0</v>
      </c>
      <c r="S23" s="124">
        <f t="shared" si="7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8"/>
        <v>68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4"/>
        <v>19</v>
      </c>
      <c r="K24" s="42"/>
      <c r="L24" s="112"/>
      <c r="M24" s="112"/>
      <c r="N24" s="112"/>
      <c r="O24" s="112"/>
      <c r="P24" s="112"/>
      <c r="Q24" s="120"/>
      <c r="R24" s="86">
        <f t="shared" si="7"/>
        <v>0</v>
      </c>
      <c r="S24" s="124">
        <f t="shared" si="7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8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11</v>
      </c>
      <c r="D25" s="111"/>
      <c r="E25" s="112"/>
      <c r="F25" s="112"/>
      <c r="G25" s="76"/>
      <c r="H25" s="73"/>
      <c r="I25" s="73">
        <f t="shared" si="4"/>
        <v>11</v>
      </c>
      <c r="J25" s="77">
        <f t="shared" si="4"/>
        <v>0</v>
      </c>
      <c r="K25" s="41"/>
      <c r="L25" s="112"/>
      <c r="M25" s="112"/>
      <c r="N25" s="112"/>
      <c r="O25" s="112"/>
      <c r="P25" s="112"/>
      <c r="Q25" s="120"/>
      <c r="R25" s="86">
        <f t="shared" si="7"/>
        <v>0</v>
      </c>
      <c r="S25" s="124">
        <f t="shared" si="7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8"/>
        <v>264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35</v>
      </c>
      <c r="D26" s="111">
        <v>11</v>
      </c>
      <c r="E26" s="112"/>
      <c r="F26" s="112"/>
      <c r="G26" s="76">
        <v>1</v>
      </c>
      <c r="H26" s="73"/>
      <c r="I26" s="73">
        <f t="shared" si="4"/>
        <v>34</v>
      </c>
      <c r="J26" s="77">
        <f t="shared" si="4"/>
        <v>11</v>
      </c>
      <c r="K26" s="41"/>
      <c r="L26" s="112"/>
      <c r="M26" s="112"/>
      <c r="N26" s="112"/>
      <c r="O26" s="112"/>
      <c r="P26" s="112">
        <v>1</v>
      </c>
      <c r="Q26" s="120"/>
      <c r="R26" s="86">
        <f t="shared" si="7"/>
        <v>1</v>
      </c>
      <c r="S26" s="124">
        <f t="shared" si="7"/>
        <v>0</v>
      </c>
      <c r="T26" s="41"/>
      <c r="U26" s="107">
        <f t="shared" si="5"/>
        <v>24</v>
      </c>
      <c r="V26" s="130">
        <f t="shared" si="6"/>
        <v>1</v>
      </c>
      <c r="W26" s="129">
        <f t="shared" si="8"/>
        <v>827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>
        <v>6</v>
      </c>
      <c r="D27" s="111"/>
      <c r="E27" s="112"/>
      <c r="F27" s="112"/>
      <c r="G27" s="76"/>
      <c r="H27" s="73"/>
      <c r="I27" s="73">
        <f t="shared" si="4"/>
        <v>6</v>
      </c>
      <c r="J27" s="77">
        <f t="shared" si="4"/>
        <v>0</v>
      </c>
      <c r="K27" s="42"/>
      <c r="L27" s="112"/>
      <c r="M27" s="112"/>
      <c r="N27" s="112"/>
      <c r="O27" s="112"/>
      <c r="P27" s="112"/>
      <c r="Q27" s="120"/>
      <c r="R27" s="86">
        <f t="shared" si="7"/>
        <v>0</v>
      </c>
      <c r="S27" s="124">
        <f t="shared" si="7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8"/>
        <v>144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4</v>
      </c>
      <c r="D28" s="111"/>
      <c r="E28" s="112"/>
      <c r="F28" s="112"/>
      <c r="G28" s="76"/>
      <c r="H28" s="73"/>
      <c r="I28" s="73">
        <f t="shared" si="4"/>
        <v>4</v>
      </c>
      <c r="J28" s="77">
        <f t="shared" si="4"/>
        <v>0</v>
      </c>
      <c r="K28" s="42"/>
      <c r="L28" s="112"/>
      <c r="M28" s="112"/>
      <c r="N28" s="112"/>
      <c r="O28" s="112"/>
      <c r="P28" s="112"/>
      <c r="Q28" s="120"/>
      <c r="R28" s="86">
        <f t="shared" si="7"/>
        <v>0</v>
      </c>
      <c r="S28" s="124">
        <f t="shared" si="7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8"/>
        <v>96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24</v>
      </c>
      <c r="D29" s="111"/>
      <c r="E29" s="112"/>
      <c r="F29" s="112"/>
      <c r="G29" s="76">
        <v>5</v>
      </c>
      <c r="H29" s="73">
        <v>12</v>
      </c>
      <c r="I29" s="73">
        <f t="shared" si="4"/>
        <v>19</v>
      </c>
      <c r="J29" s="77">
        <f t="shared" si="4"/>
        <v>-12</v>
      </c>
      <c r="K29" s="42"/>
      <c r="L29" s="112">
        <v>1</v>
      </c>
      <c r="M29" s="112">
        <v>12</v>
      </c>
      <c r="N29" s="112">
        <v>1</v>
      </c>
      <c r="O29" s="112"/>
      <c r="P29" s="112">
        <v>3</v>
      </c>
      <c r="Q29" s="120"/>
      <c r="R29" s="86">
        <f t="shared" si="7"/>
        <v>5</v>
      </c>
      <c r="S29" s="124">
        <f t="shared" si="7"/>
        <v>12</v>
      </c>
      <c r="T29" s="42"/>
      <c r="U29" s="107">
        <f t="shared" si="5"/>
        <v>120</v>
      </c>
      <c r="V29" s="130">
        <f t="shared" si="6"/>
        <v>5</v>
      </c>
      <c r="W29" s="129">
        <f t="shared" si="8"/>
        <v>444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65</v>
      </c>
      <c r="D30" s="111"/>
      <c r="E30" s="112"/>
      <c r="F30" s="112"/>
      <c r="G30" s="76"/>
      <c r="H30" s="73"/>
      <c r="I30" s="73">
        <f t="shared" si="4"/>
        <v>65</v>
      </c>
      <c r="J30" s="77">
        <f t="shared" si="4"/>
        <v>0</v>
      </c>
      <c r="K30" s="41"/>
      <c r="L30" s="112"/>
      <c r="M30" s="112"/>
      <c r="N30" s="112"/>
      <c r="O30" s="112"/>
      <c r="P30" s="112"/>
      <c r="Q30" s="120"/>
      <c r="R30" s="86">
        <f t="shared" si="7"/>
        <v>0</v>
      </c>
      <c r="S30" s="124">
        <f t="shared" si="7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8"/>
        <v>1560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40</v>
      </c>
      <c r="D31" s="111"/>
      <c r="E31" s="112"/>
      <c r="F31" s="112"/>
      <c r="G31" s="76"/>
      <c r="H31" s="73"/>
      <c r="I31" s="73">
        <f t="shared" si="4"/>
        <v>40</v>
      </c>
      <c r="J31" s="77">
        <f t="shared" si="4"/>
        <v>0</v>
      </c>
      <c r="K31" s="41"/>
      <c r="L31" s="112"/>
      <c r="M31" s="112"/>
      <c r="N31" s="112"/>
      <c r="O31" s="112"/>
      <c r="P31" s="112"/>
      <c r="Q31" s="120"/>
      <c r="R31" s="86">
        <f t="shared" si="7"/>
        <v>0</v>
      </c>
      <c r="S31" s="124">
        <f t="shared" si="7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8"/>
        <v>960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>
        <v>1</v>
      </c>
      <c r="D32" s="111"/>
      <c r="E32" s="112"/>
      <c r="F32" s="112"/>
      <c r="G32" s="76">
        <v>1</v>
      </c>
      <c r="H32" s="73"/>
      <c r="I32" s="73">
        <f t="shared" si="4"/>
        <v>0</v>
      </c>
      <c r="J32" s="77">
        <f t="shared" si="4"/>
        <v>0</v>
      </c>
      <c r="K32" s="41"/>
      <c r="L32" s="112"/>
      <c r="M32" s="112"/>
      <c r="N32" s="112"/>
      <c r="O32" s="112"/>
      <c r="P32" s="112">
        <v>1</v>
      </c>
      <c r="Q32" s="120"/>
      <c r="R32" s="86">
        <f t="shared" si="7"/>
        <v>1</v>
      </c>
      <c r="S32" s="124">
        <f t="shared" si="7"/>
        <v>0</v>
      </c>
      <c r="T32" s="41"/>
      <c r="U32" s="107">
        <f t="shared" si="5"/>
        <v>24</v>
      </c>
      <c r="V32" s="130">
        <f t="shared" si="6"/>
        <v>1</v>
      </c>
      <c r="W32" s="129">
        <f t="shared" si="8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>
        <v>4</v>
      </c>
      <c r="D33" s="111"/>
      <c r="E33" s="112"/>
      <c r="F33" s="112"/>
      <c r="G33" s="76"/>
      <c r="H33" s="73"/>
      <c r="I33" s="73">
        <f t="shared" si="4"/>
        <v>4</v>
      </c>
      <c r="J33" s="77">
        <f t="shared" si="4"/>
        <v>0</v>
      </c>
      <c r="K33" s="41"/>
      <c r="L33" s="112"/>
      <c r="M33" s="112"/>
      <c r="N33" s="112"/>
      <c r="O33" s="112"/>
      <c r="P33" s="112"/>
      <c r="Q33" s="120"/>
      <c r="R33" s="86">
        <f t="shared" si="7"/>
        <v>0</v>
      </c>
      <c r="S33" s="124">
        <f t="shared" si="7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8"/>
        <v>96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5</v>
      </c>
      <c r="D34" s="111"/>
      <c r="E34" s="112"/>
      <c r="F34" s="112"/>
      <c r="G34" s="76"/>
      <c r="H34" s="73"/>
      <c r="I34" s="73">
        <f t="shared" si="4"/>
        <v>5</v>
      </c>
      <c r="J34" s="77">
        <f t="shared" si="4"/>
        <v>0</v>
      </c>
      <c r="K34" s="41"/>
      <c r="L34" s="112"/>
      <c r="M34" s="112"/>
      <c r="N34" s="112"/>
      <c r="O34" s="112"/>
      <c r="P34" s="112"/>
      <c r="Q34" s="120"/>
      <c r="R34" s="86">
        <f t="shared" si="7"/>
        <v>0</v>
      </c>
      <c r="S34" s="124">
        <f t="shared" si="7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8"/>
        <v>120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116</v>
      </c>
      <c r="D35" s="111">
        <v>5</v>
      </c>
      <c r="E35" s="112"/>
      <c r="F35" s="112"/>
      <c r="G35" s="76"/>
      <c r="H35" s="73"/>
      <c r="I35" s="73">
        <f t="shared" si="4"/>
        <v>116</v>
      </c>
      <c r="J35" s="77">
        <f t="shared" si="4"/>
        <v>5</v>
      </c>
      <c r="K35" s="41"/>
      <c r="L35" s="112"/>
      <c r="M35" s="112"/>
      <c r="N35" s="112"/>
      <c r="O35" s="112"/>
      <c r="P35" s="112"/>
      <c r="Q35" s="120"/>
      <c r="R35" s="86">
        <f t="shared" si="7"/>
        <v>0</v>
      </c>
      <c r="S35" s="124">
        <f t="shared" si="7"/>
        <v>0</v>
      </c>
      <c r="T35" s="41"/>
      <c r="U35" s="107">
        <f t="shared" si="5"/>
        <v>0</v>
      </c>
      <c r="V35" s="130">
        <f t="shared" si="6"/>
        <v>0</v>
      </c>
      <c r="W35" s="129">
        <f t="shared" si="8"/>
        <v>2789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4"/>
        <v>0</v>
      </c>
      <c r="K36" s="41"/>
      <c r="L36" s="112"/>
      <c r="M36" s="112"/>
      <c r="N36" s="112"/>
      <c r="O36" s="112"/>
      <c r="P36" s="112"/>
      <c r="Q36" s="120"/>
      <c r="R36" s="86">
        <f t="shared" si="7"/>
        <v>0</v>
      </c>
      <c r="S36" s="124">
        <f t="shared" si="7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>
        <v>2</v>
      </c>
      <c r="D37" s="111"/>
      <c r="E37" s="112"/>
      <c r="F37" s="112"/>
      <c r="G37" s="76"/>
      <c r="H37" s="73"/>
      <c r="I37" s="73">
        <f t="shared" si="4"/>
        <v>2</v>
      </c>
      <c r="J37" s="77">
        <f t="shared" si="4"/>
        <v>0</v>
      </c>
      <c r="K37" s="41"/>
      <c r="L37" s="112"/>
      <c r="M37" s="112"/>
      <c r="N37" s="112"/>
      <c r="O37" s="112"/>
      <c r="P37" s="112"/>
      <c r="Q37" s="120"/>
      <c r="R37" s="86">
        <f t="shared" si="7"/>
        <v>0</v>
      </c>
      <c r="S37" s="124">
        <f t="shared" si="7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8"/>
        <v>48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3897</v>
      </c>
      <c r="D38" s="114">
        <v>2</v>
      </c>
      <c r="E38" s="115"/>
      <c r="F38" s="115"/>
      <c r="G38" s="78">
        <v>51</v>
      </c>
      <c r="H38" s="79"/>
      <c r="I38" s="139">
        <f t="shared" si="4"/>
        <v>3846</v>
      </c>
      <c r="J38" s="140">
        <f t="shared" si="4"/>
        <v>2</v>
      </c>
      <c r="K38" s="51"/>
      <c r="L38" s="121">
        <v>20</v>
      </c>
      <c r="M38" s="121"/>
      <c r="N38" s="121">
        <v>12</v>
      </c>
      <c r="O38" s="121"/>
      <c r="P38" s="121">
        <v>19</v>
      </c>
      <c r="Q38" s="122"/>
      <c r="R38" s="97">
        <f t="shared" si="7"/>
        <v>51</v>
      </c>
      <c r="S38" s="125">
        <f t="shared" si="7"/>
        <v>0</v>
      </c>
      <c r="T38" s="51"/>
      <c r="U38" s="131">
        <f>L38*6+N38*6+P38*6</f>
        <v>306</v>
      </c>
      <c r="V38" s="135">
        <f>U38/6</f>
        <v>51</v>
      </c>
      <c r="W38" s="133">
        <f>I38*6+J38</f>
        <v>23078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>
        <v>7</v>
      </c>
      <c r="D39" s="111"/>
      <c r="E39" s="112"/>
      <c r="F39" s="112"/>
      <c r="G39" s="76"/>
      <c r="H39" s="73"/>
      <c r="I39" s="76">
        <f t="shared" si="4"/>
        <v>7</v>
      </c>
      <c r="J39" s="77">
        <f t="shared" si="4"/>
        <v>0</v>
      </c>
      <c r="K39" s="41"/>
      <c r="L39" s="112"/>
      <c r="M39" s="112"/>
      <c r="N39" s="112"/>
      <c r="O39" s="112"/>
      <c r="P39" s="112"/>
      <c r="Q39" s="120"/>
      <c r="R39" s="96">
        <f t="shared" si="7"/>
        <v>0</v>
      </c>
      <c r="S39" s="126">
        <f t="shared" si="7"/>
        <v>0</v>
      </c>
      <c r="T39" s="41"/>
      <c r="U39" s="107">
        <f t="shared" ref="U39:U41" si="9">L39*24+N39*24+P39*24</f>
        <v>0</v>
      </c>
      <c r="V39" s="109">
        <f t="shared" si="6"/>
        <v>0</v>
      </c>
      <c r="W39" s="129">
        <f t="shared" ref="W39:W41" si="10">I39*24+J39</f>
        <v>168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>
        <v>4</v>
      </c>
      <c r="D40" s="117"/>
      <c r="E40" s="118"/>
      <c r="F40" s="118"/>
      <c r="G40" s="82"/>
      <c r="H40" s="80"/>
      <c r="I40" s="73">
        <f t="shared" si="4"/>
        <v>4</v>
      </c>
      <c r="J40" s="77">
        <f t="shared" si="4"/>
        <v>0</v>
      </c>
      <c r="K40" s="41"/>
      <c r="L40" s="112"/>
      <c r="M40" s="112"/>
      <c r="N40" s="112"/>
      <c r="O40" s="112"/>
      <c r="P40" s="112"/>
      <c r="Q40" s="120"/>
      <c r="R40" s="86">
        <f t="shared" si="7"/>
        <v>0</v>
      </c>
      <c r="S40" s="124">
        <f t="shared" si="7"/>
        <v>0</v>
      </c>
      <c r="T40" s="41"/>
      <c r="U40" s="136">
        <f t="shared" si="9"/>
        <v>0</v>
      </c>
      <c r="V40" s="130">
        <f t="shared" si="6"/>
        <v>0</v>
      </c>
      <c r="W40" s="137">
        <f t="shared" si="10"/>
        <v>96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324</v>
      </c>
      <c r="D41" s="147"/>
      <c r="E41" s="148"/>
      <c r="F41" s="148"/>
      <c r="G41" s="149"/>
      <c r="H41" s="150"/>
      <c r="I41" s="151">
        <f t="shared" si="4"/>
        <v>324</v>
      </c>
      <c r="J41" s="152">
        <f t="shared" si="4"/>
        <v>0</v>
      </c>
      <c r="K41" s="153"/>
      <c r="L41" s="154"/>
      <c r="M41" s="154"/>
      <c r="N41" s="154"/>
      <c r="O41" s="154"/>
      <c r="P41" s="154"/>
      <c r="Q41" s="155"/>
      <c r="R41" s="156">
        <f t="shared" si="7"/>
        <v>0</v>
      </c>
      <c r="S41" s="157">
        <f t="shared" si="7"/>
        <v>0</v>
      </c>
      <c r="T41" s="153"/>
      <c r="U41" s="158">
        <f t="shared" si="9"/>
        <v>0</v>
      </c>
      <c r="V41" s="159">
        <f t="shared" si="6"/>
        <v>0</v>
      </c>
      <c r="W41" s="159">
        <f t="shared" si="10"/>
        <v>7776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1006</v>
      </c>
      <c r="D42" s="164">
        <v>9</v>
      </c>
      <c r="E42" s="165"/>
      <c r="F42" s="165"/>
      <c r="G42" s="166">
        <v>37</v>
      </c>
      <c r="H42" s="167"/>
      <c r="I42" s="166">
        <f t="shared" si="4"/>
        <v>969</v>
      </c>
      <c r="J42" s="168">
        <f t="shared" si="4"/>
        <v>9</v>
      </c>
      <c r="K42" s="169"/>
      <c r="L42" s="165">
        <v>2</v>
      </c>
      <c r="M42" s="165"/>
      <c r="N42" s="165">
        <v>3</v>
      </c>
      <c r="O42" s="165"/>
      <c r="P42" s="165">
        <v>32</v>
      </c>
      <c r="Q42" s="170"/>
      <c r="R42" s="171">
        <f t="shared" si="7"/>
        <v>37</v>
      </c>
      <c r="S42" s="172">
        <f t="shared" si="7"/>
        <v>0</v>
      </c>
      <c r="T42" s="169"/>
      <c r="U42" s="173">
        <f>L42*12+N42*12+P42*12</f>
        <v>444</v>
      </c>
      <c r="V42" s="174">
        <f>U42/12</f>
        <v>37</v>
      </c>
      <c r="W42" s="175">
        <f>I42*12+J42</f>
        <v>11637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73">
        <f t="shared" si="4"/>
        <v>0</v>
      </c>
      <c r="J43" s="94">
        <f t="shared" si="4"/>
        <v>0</v>
      </c>
      <c r="K43" s="41"/>
      <c r="L43" s="112"/>
      <c r="M43" s="112"/>
      <c r="N43" s="112"/>
      <c r="O43" s="112"/>
      <c r="P43" s="112"/>
      <c r="Q43" s="120"/>
      <c r="R43" s="161">
        <f t="shared" si="7"/>
        <v>0</v>
      </c>
      <c r="S43" s="127">
        <f t="shared" si="7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29382</v>
      </c>
      <c r="D44" s="114"/>
      <c r="E44" s="115"/>
      <c r="F44" s="115"/>
      <c r="G44" s="78">
        <v>1375</v>
      </c>
      <c r="H44" s="79"/>
      <c r="I44" s="73">
        <f>C44+E44-G44</f>
        <v>28007</v>
      </c>
      <c r="J44" s="177">
        <f t="shared" si="4"/>
        <v>0</v>
      </c>
      <c r="K44" s="51"/>
      <c r="L44" s="121">
        <v>535</v>
      </c>
      <c r="M44" s="121"/>
      <c r="N44" s="121">
        <v>317</v>
      </c>
      <c r="O44" s="121"/>
      <c r="P44" s="121">
        <v>523</v>
      </c>
      <c r="Q44" s="122"/>
      <c r="R44" s="178">
        <f t="shared" si="7"/>
        <v>1375</v>
      </c>
      <c r="S44" s="179">
        <f t="shared" si="7"/>
        <v>0</v>
      </c>
      <c r="T44" s="51"/>
      <c r="U44" s="131">
        <f>L44*6+N44*6+P44*6</f>
        <v>8250</v>
      </c>
      <c r="V44" s="130">
        <f>U44/6</f>
        <v>1375</v>
      </c>
      <c r="W44" s="133">
        <f>I44*6+J44</f>
        <v>168042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4"/>
        <v>0</v>
      </c>
      <c r="K45" s="41"/>
      <c r="L45" s="112"/>
      <c r="M45" s="112"/>
      <c r="N45" s="112"/>
      <c r="O45" s="112"/>
      <c r="P45" s="112"/>
      <c r="Q45" s="120"/>
      <c r="R45" s="96">
        <f t="shared" si="7"/>
        <v>0</v>
      </c>
      <c r="S45" s="127">
        <f t="shared" si="7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>
        <v>1</v>
      </c>
      <c r="D46" s="111"/>
      <c r="E46" s="112"/>
      <c r="F46" s="112"/>
      <c r="G46" s="76"/>
      <c r="H46" s="73"/>
      <c r="I46" s="93">
        <f t="shared" si="4"/>
        <v>1</v>
      </c>
      <c r="J46" s="77">
        <f t="shared" si="4"/>
        <v>0</v>
      </c>
      <c r="K46" s="41"/>
      <c r="L46" s="112"/>
      <c r="M46" s="112"/>
      <c r="N46" s="112"/>
      <c r="O46" s="112"/>
      <c r="P46" s="112"/>
      <c r="Q46" s="120"/>
      <c r="R46" s="86">
        <f t="shared" si="7"/>
        <v>0</v>
      </c>
      <c r="S46" s="128">
        <f t="shared" si="7"/>
        <v>0</v>
      </c>
      <c r="T46" s="41"/>
      <c r="U46" s="107">
        <f t="shared" ref="U46:U47" si="11">L46*24+N46*24+P46*24</f>
        <v>0</v>
      </c>
      <c r="V46" s="134">
        <f t="shared" ref="V46:V47" si="12">U46/24</f>
        <v>0</v>
      </c>
      <c r="W46" s="129">
        <f t="shared" ref="W46:W47" si="13">I46*24+J46</f>
        <v>24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4"/>
        <v>0</v>
      </c>
      <c r="K47" s="41"/>
      <c r="L47" s="112"/>
      <c r="M47" s="112"/>
      <c r="N47" s="112"/>
      <c r="O47" s="112"/>
      <c r="P47" s="112"/>
      <c r="Q47" s="120"/>
      <c r="R47" s="86">
        <f t="shared" si="7"/>
        <v>0</v>
      </c>
      <c r="S47" s="124">
        <f t="shared" si="7"/>
        <v>0</v>
      </c>
      <c r="T47" s="41"/>
      <c r="U47" s="107">
        <f t="shared" si="11"/>
        <v>0</v>
      </c>
      <c r="V47" s="130">
        <f t="shared" si="12"/>
        <v>0</v>
      </c>
      <c r="W47" s="129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2842</v>
      </c>
      <c r="D48" s="142">
        <v>4</v>
      </c>
      <c r="E48" s="121"/>
      <c r="F48" s="121"/>
      <c r="G48" s="143"/>
      <c r="H48" s="139"/>
      <c r="I48" s="139">
        <f t="shared" si="4"/>
        <v>2842</v>
      </c>
      <c r="J48" s="140">
        <f t="shared" si="4"/>
        <v>4</v>
      </c>
      <c r="K48" s="51"/>
      <c r="L48" s="121"/>
      <c r="M48" s="121"/>
      <c r="N48" s="121"/>
      <c r="O48" s="121"/>
      <c r="P48" s="121"/>
      <c r="Q48" s="122"/>
      <c r="R48" s="97">
        <f t="shared" si="7"/>
        <v>0</v>
      </c>
      <c r="S48" s="144">
        <f t="shared" si="7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17056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73">
        <f t="shared" si="4"/>
        <v>1</v>
      </c>
      <c r="J49" s="77">
        <f t="shared" si="4"/>
        <v>0</v>
      </c>
      <c r="K49" s="41"/>
      <c r="L49" s="112"/>
      <c r="M49" s="112"/>
      <c r="N49" s="112"/>
      <c r="O49" s="112"/>
      <c r="P49" s="112"/>
      <c r="Q49" s="120"/>
      <c r="R49" s="96">
        <f t="shared" si="7"/>
        <v>0</v>
      </c>
      <c r="S49" s="126">
        <f t="shared" si="7"/>
        <v>0</v>
      </c>
      <c r="T49" s="41"/>
      <c r="U49" s="107">
        <f t="shared" ref="U49:U51" si="14">L49*24+N49*24+P49*24</f>
        <v>0</v>
      </c>
      <c r="V49" s="109">
        <f t="shared" ref="V49:V51" si="15">U49/24</f>
        <v>0</v>
      </c>
      <c r="W49" s="129">
        <f t="shared" ref="W49:W51" si="16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>
        <v>4</v>
      </c>
      <c r="D50" s="111"/>
      <c r="E50" s="112"/>
      <c r="F50" s="112"/>
      <c r="G50" s="76"/>
      <c r="H50" s="73"/>
      <c r="I50" s="73">
        <f t="shared" si="4"/>
        <v>4</v>
      </c>
      <c r="J50" s="77">
        <f t="shared" si="4"/>
        <v>0</v>
      </c>
      <c r="K50" s="41"/>
      <c r="L50" s="112"/>
      <c r="M50" s="112"/>
      <c r="N50" s="112"/>
      <c r="O50" s="112"/>
      <c r="P50" s="112"/>
      <c r="Q50" s="120"/>
      <c r="R50" s="86">
        <f t="shared" si="7"/>
        <v>0</v>
      </c>
      <c r="S50" s="124">
        <f t="shared" si="7"/>
        <v>0</v>
      </c>
      <c r="T50" s="41"/>
      <c r="U50" s="107">
        <f t="shared" si="14"/>
        <v>0</v>
      </c>
      <c r="V50" s="130">
        <f t="shared" si="15"/>
        <v>0</v>
      </c>
      <c r="W50" s="129">
        <f t="shared" si="16"/>
        <v>96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4"/>
        <v>0</v>
      </c>
      <c r="K51" s="41"/>
      <c r="L51" s="112"/>
      <c r="M51" s="112"/>
      <c r="N51" s="112"/>
      <c r="O51" s="112"/>
      <c r="P51" s="112"/>
      <c r="Q51" s="120"/>
      <c r="R51" s="86">
        <f t="shared" si="7"/>
        <v>0</v>
      </c>
      <c r="S51" s="124">
        <f t="shared" si="7"/>
        <v>0</v>
      </c>
      <c r="T51" s="41"/>
      <c r="U51" s="107">
        <f t="shared" si="14"/>
        <v>0</v>
      </c>
      <c r="V51" s="130">
        <f t="shared" si="15"/>
        <v>0</v>
      </c>
      <c r="W51" s="129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139">
        <f t="shared" si="4"/>
        <v>34</v>
      </c>
      <c r="J52" s="140">
        <f t="shared" si="4"/>
        <v>0</v>
      </c>
      <c r="K52" s="51"/>
      <c r="L52" s="121"/>
      <c r="M52" s="121"/>
      <c r="N52" s="121"/>
      <c r="O52" s="121"/>
      <c r="P52" s="121"/>
      <c r="Q52" s="122"/>
      <c r="R52" s="97">
        <f t="shared" si="7"/>
        <v>0</v>
      </c>
      <c r="S52" s="144">
        <f t="shared" si="7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>
        <v>2</v>
      </c>
      <c r="D53" s="111"/>
      <c r="E53" s="112"/>
      <c r="F53" s="112"/>
      <c r="G53" s="76"/>
      <c r="H53" s="73"/>
      <c r="I53" s="73">
        <f t="shared" si="4"/>
        <v>2</v>
      </c>
      <c r="J53" s="77">
        <f t="shared" si="4"/>
        <v>0</v>
      </c>
      <c r="K53" s="41"/>
      <c r="L53" s="112"/>
      <c r="M53" s="112"/>
      <c r="N53" s="112"/>
      <c r="O53" s="112"/>
      <c r="P53" s="112"/>
      <c r="Q53" s="120"/>
      <c r="R53" s="96">
        <f t="shared" si="7"/>
        <v>0</v>
      </c>
      <c r="S53" s="126">
        <f t="shared" si="7"/>
        <v>0</v>
      </c>
      <c r="T53" s="41"/>
      <c r="U53" s="107">
        <f t="shared" ref="U53:U54" si="17">L53*24+N53*24+P53*24</f>
        <v>0</v>
      </c>
      <c r="V53" s="109">
        <f t="shared" ref="V53:V54" si="18">U53/24</f>
        <v>0</v>
      </c>
      <c r="W53" s="129">
        <f t="shared" ref="W53:W54" si="19">I53*24+J53</f>
        <v>48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14</v>
      </c>
      <c r="D54" s="111"/>
      <c r="E54" s="112"/>
      <c r="F54" s="112"/>
      <c r="G54" s="76"/>
      <c r="H54" s="73"/>
      <c r="I54" s="73">
        <f t="shared" si="4"/>
        <v>14</v>
      </c>
      <c r="J54" s="77">
        <f t="shared" si="4"/>
        <v>0</v>
      </c>
      <c r="K54" s="41"/>
      <c r="L54" s="112"/>
      <c r="M54" s="112"/>
      <c r="N54" s="112"/>
      <c r="O54" s="112"/>
      <c r="P54" s="112"/>
      <c r="Q54" s="120"/>
      <c r="R54" s="86">
        <f t="shared" si="7"/>
        <v>0</v>
      </c>
      <c r="S54" s="124">
        <f t="shared" si="7"/>
        <v>0</v>
      </c>
      <c r="T54" s="41"/>
      <c r="U54" s="107">
        <f t="shared" si="17"/>
        <v>0</v>
      </c>
      <c r="V54" s="130">
        <f t="shared" si="18"/>
        <v>0</v>
      </c>
      <c r="W54" s="129">
        <f t="shared" si="19"/>
        <v>336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4"/>
        <v>0</v>
      </c>
      <c r="K55" s="41"/>
      <c r="L55" s="112"/>
      <c r="M55" s="112"/>
      <c r="N55" s="112"/>
      <c r="O55" s="112"/>
      <c r="P55" s="112"/>
      <c r="Q55" s="120"/>
      <c r="R55" s="86">
        <f t="shared" si="7"/>
        <v>0</v>
      </c>
      <c r="S55" s="124">
        <f t="shared" si="7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4"/>
        <v>0</v>
      </c>
      <c r="K56" s="41"/>
      <c r="L56" s="112"/>
      <c r="M56" s="112"/>
      <c r="N56" s="112"/>
      <c r="O56" s="112"/>
      <c r="P56" s="112"/>
      <c r="Q56" s="120"/>
      <c r="R56" s="86">
        <f t="shared" si="7"/>
        <v>0</v>
      </c>
      <c r="S56" s="124">
        <f t="shared" si="7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4"/>
        <v>0</v>
      </c>
      <c r="K57" s="41"/>
      <c r="L57" s="112"/>
      <c r="M57" s="112"/>
      <c r="N57" s="112"/>
      <c r="O57" s="112"/>
      <c r="P57" s="112"/>
      <c r="Q57" s="120"/>
      <c r="R57" s="86">
        <f t="shared" si="7"/>
        <v>0</v>
      </c>
      <c r="S57" s="124">
        <f t="shared" si="7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4"/>
        <v>0</v>
      </c>
      <c r="K58" s="41"/>
      <c r="L58" s="112"/>
      <c r="M58" s="112"/>
      <c r="N58" s="112"/>
      <c r="O58" s="112"/>
      <c r="P58" s="112"/>
      <c r="Q58" s="120"/>
      <c r="R58" s="86">
        <f t="shared" si="7"/>
        <v>0</v>
      </c>
      <c r="S58" s="124">
        <f t="shared" si="7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4"/>
        <v>0</v>
      </c>
      <c r="K59" s="41"/>
      <c r="L59" s="112"/>
      <c r="M59" s="112"/>
      <c r="N59" s="112"/>
      <c r="O59" s="112"/>
      <c r="P59" s="112"/>
      <c r="Q59" s="120"/>
      <c r="R59" s="86">
        <f t="shared" si="7"/>
        <v>0</v>
      </c>
      <c r="S59" s="124">
        <f t="shared" si="7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41763</v>
      </c>
      <c r="D60" s="54">
        <f>SUM(D8:D59)</f>
        <v>147</v>
      </c>
      <c r="E60" s="44">
        <f>SUM(E8:E59)</f>
        <v>0</v>
      </c>
      <c r="F60" s="44"/>
      <c r="G60" s="28">
        <f>SUM(G8:G59)</f>
        <v>1507</v>
      </c>
      <c r="H60" s="56">
        <f>SUM(H8:H59)</f>
        <v>37</v>
      </c>
      <c r="I60" s="56">
        <f>SUM(I8:I59)</f>
        <v>40256</v>
      </c>
      <c r="J60" s="45">
        <f>SUM(J8:J59)</f>
        <v>110</v>
      </c>
      <c r="K60" s="46"/>
      <c r="L60" s="74">
        <f t="shared" ref="L60:S60" si="20">SUM(L8:L59)</f>
        <v>564</v>
      </c>
      <c r="M60" s="74">
        <f t="shared" si="20"/>
        <v>15</v>
      </c>
      <c r="N60" s="74">
        <f t="shared" si="20"/>
        <v>344</v>
      </c>
      <c r="O60" s="74">
        <f t="shared" si="20"/>
        <v>20</v>
      </c>
      <c r="P60" s="74">
        <f t="shared" si="20"/>
        <v>599</v>
      </c>
      <c r="Q60" s="75">
        <f t="shared" si="20"/>
        <v>2</v>
      </c>
      <c r="R60" s="85">
        <f t="shared" si="20"/>
        <v>1507</v>
      </c>
      <c r="S60" s="84">
        <f t="shared" si="20"/>
        <v>37</v>
      </c>
      <c r="T60" s="46"/>
      <c r="U60" s="43">
        <f>SUM(U8:U59)</f>
        <v>10056</v>
      </c>
      <c r="V60" s="102">
        <f>SUM(V8:V59)</f>
        <v>1507</v>
      </c>
      <c r="W60" s="180">
        <f>SUM(W8:W59)</f>
        <v>329504</v>
      </c>
      <c r="X60" s="45"/>
    </row>
    <row r="61" spans="1:24" ht="19.5" thickBot="1" x14ac:dyDescent="0.3">
      <c r="V61" s="103"/>
    </row>
    <row r="62" spans="1:24" ht="18.75" customHeight="1" x14ac:dyDescent="0.25">
      <c r="G62" s="196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197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198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199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199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00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7" t="s">
        <v>3</v>
      </c>
      <c r="D69" s="188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18521-30C6-4E9C-952F-E7D2A7665E71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140625" style="2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01">
        <v>46125</v>
      </c>
      <c r="Q1" s="202"/>
      <c r="R1" s="202"/>
      <c r="S1" s="202"/>
      <c r="T1" s="202"/>
      <c r="U1" s="202"/>
      <c r="V1" s="202"/>
      <c r="W1" s="202"/>
      <c r="X1" s="203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04" t="s">
        <v>74</v>
      </c>
      <c r="C4" s="205" t="s">
        <v>3</v>
      </c>
      <c r="D4" s="206" t="s">
        <v>75</v>
      </c>
      <c r="E4" s="207" t="s">
        <v>4</v>
      </c>
      <c r="F4" s="208"/>
      <c r="G4" s="209" t="s">
        <v>5</v>
      </c>
      <c r="H4" s="211" t="s">
        <v>75</v>
      </c>
      <c r="I4" s="213" t="s">
        <v>6</v>
      </c>
      <c r="J4" s="211" t="s">
        <v>75</v>
      </c>
      <c r="L4" s="215" t="s">
        <v>7</v>
      </c>
      <c r="M4" s="216"/>
      <c r="N4" s="216"/>
      <c r="O4" s="216"/>
      <c r="P4" s="216"/>
      <c r="Q4" s="216"/>
      <c r="R4" s="216"/>
      <c r="S4" s="216"/>
      <c r="T4" s="216"/>
      <c r="U4" s="216"/>
      <c r="V4" s="217"/>
      <c r="W4" s="216"/>
      <c r="X4" s="218"/>
    </row>
    <row r="5" spans="1:60" s="3" customFormat="1" ht="57" thickBot="1" x14ac:dyDescent="0.3">
      <c r="A5" s="49"/>
      <c r="B5" s="204"/>
      <c r="C5" s="205"/>
      <c r="D5" s="206"/>
      <c r="E5" s="48" t="s">
        <v>8</v>
      </c>
      <c r="F5" s="186" t="s">
        <v>9</v>
      </c>
      <c r="G5" s="210"/>
      <c r="H5" s="212"/>
      <c r="I5" s="214"/>
      <c r="J5" s="212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50</v>
      </c>
      <c r="D8" s="111">
        <v>19</v>
      </c>
      <c r="E8" s="112"/>
      <c r="F8" s="112"/>
      <c r="G8" s="76"/>
      <c r="H8" s="73"/>
      <c r="I8" s="73">
        <f>C8-G8</f>
        <v>50</v>
      </c>
      <c r="J8" s="77">
        <f t="shared" ref="J8:J12" si="0">D8-H8</f>
        <v>19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1219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103</v>
      </c>
      <c r="D9" s="114"/>
      <c r="E9" s="115"/>
      <c r="F9" s="115"/>
      <c r="G9" s="78"/>
      <c r="H9" s="79"/>
      <c r="I9" s="78">
        <f t="shared" ref="I9:J59" si="4">C9-G9</f>
        <v>103</v>
      </c>
      <c r="J9" s="94">
        <f t="shared" si="0"/>
        <v>0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2472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87</v>
      </c>
      <c r="D10" s="111"/>
      <c r="E10" s="112"/>
      <c r="F10" s="112"/>
      <c r="G10" s="76"/>
      <c r="H10" s="73"/>
      <c r="I10" s="73">
        <f t="shared" si="4"/>
        <v>87</v>
      </c>
      <c r="J10" s="95">
        <f t="shared" si="0"/>
        <v>0</v>
      </c>
      <c r="K10" s="41"/>
      <c r="L10" s="112"/>
      <c r="M10" s="112"/>
      <c r="N10" s="112"/>
      <c r="O10" s="112"/>
      <c r="P10" s="112"/>
      <c r="Q10" s="120"/>
      <c r="R10" s="99">
        <f t="shared" si="1"/>
        <v>0</v>
      </c>
      <c r="S10" s="126">
        <f t="shared" si="1"/>
        <v>0</v>
      </c>
      <c r="T10" s="41"/>
      <c r="U10" s="107">
        <f>L10*24+N10*24+P10*24</f>
        <v>0</v>
      </c>
      <c r="V10" s="134">
        <f>U10/24</f>
        <v>0</v>
      </c>
      <c r="W10" s="129">
        <f t="shared" si="2"/>
        <v>2088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/>
      <c r="D11" s="111"/>
      <c r="E11" s="112"/>
      <c r="F11" s="112"/>
      <c r="G11" s="76"/>
      <c r="H11" s="73"/>
      <c r="I11" s="73">
        <f t="shared" si="4"/>
        <v>0</v>
      </c>
      <c r="J11" s="77">
        <f t="shared" si="0"/>
        <v>0</v>
      </c>
      <c r="K11" s="41"/>
      <c r="L11" s="112"/>
      <c r="M11" s="112"/>
      <c r="N11" s="112"/>
      <c r="O11" s="112"/>
      <c r="P11" s="112"/>
      <c r="Q11" s="120"/>
      <c r="R11" s="86">
        <f t="shared" si="1"/>
        <v>0</v>
      </c>
      <c r="S11" s="124">
        <f t="shared" si="1"/>
        <v>0</v>
      </c>
      <c r="T11" s="41"/>
      <c r="U11" s="107">
        <f>L11*24+N11*24+P11*24</f>
        <v>0</v>
      </c>
      <c r="V11" s="130">
        <f>U11/24</f>
        <v>0</v>
      </c>
      <c r="W11" s="129">
        <f t="shared" si="2"/>
        <v>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5</v>
      </c>
      <c r="D12" s="111"/>
      <c r="E12" s="112"/>
      <c r="F12" s="112"/>
      <c r="G12" s="76"/>
      <c r="H12" s="73"/>
      <c r="I12" s="73">
        <f t="shared" si="4"/>
        <v>5</v>
      </c>
      <c r="J12" s="77">
        <f t="shared" si="0"/>
        <v>0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120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3559</v>
      </c>
      <c r="D13" s="114">
        <v>6</v>
      </c>
      <c r="E13" s="115"/>
      <c r="F13" s="115"/>
      <c r="G13" s="78">
        <v>23</v>
      </c>
      <c r="H13" s="79">
        <v>40</v>
      </c>
      <c r="I13" s="80">
        <f t="shared" si="4"/>
        <v>3536</v>
      </c>
      <c r="J13" s="94">
        <f>D13-H13</f>
        <v>-34</v>
      </c>
      <c r="K13" s="53"/>
      <c r="L13" s="121"/>
      <c r="M13" s="121">
        <v>22</v>
      </c>
      <c r="N13" s="121">
        <v>15</v>
      </c>
      <c r="O13" s="121">
        <v>15</v>
      </c>
      <c r="P13" s="121">
        <v>8</v>
      </c>
      <c r="Q13" s="122">
        <v>3</v>
      </c>
      <c r="R13" s="97">
        <f>L13+N13+P13</f>
        <v>23</v>
      </c>
      <c r="S13" s="125">
        <f>M13+O13+Q13</f>
        <v>40</v>
      </c>
      <c r="T13" s="53"/>
      <c r="U13" s="131">
        <f>L13*24+N13*24+P13*24</f>
        <v>552</v>
      </c>
      <c r="V13" s="135">
        <f t="shared" si="6"/>
        <v>23</v>
      </c>
      <c r="W13" s="133">
        <f>I13*24+J13</f>
        <v>84830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4</v>
      </c>
      <c r="D14" s="111">
        <v>16</v>
      </c>
      <c r="E14" s="112"/>
      <c r="F14" s="112"/>
      <c r="G14" s="76"/>
      <c r="H14" s="73"/>
      <c r="I14" s="93">
        <f t="shared" si="4"/>
        <v>4</v>
      </c>
      <c r="J14" s="95">
        <f t="shared" si="4"/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7">L14+N14+P14</f>
        <v>0</v>
      </c>
      <c r="S14" s="126">
        <f t="shared" si="7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8">I14*24+J14</f>
        <v>112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3</v>
      </c>
      <c r="D15" s="111"/>
      <c r="E15" s="112"/>
      <c r="F15" s="112"/>
      <c r="G15" s="76"/>
      <c r="H15" s="73"/>
      <c r="I15" s="73">
        <f t="shared" si="4"/>
        <v>3</v>
      </c>
      <c r="J15" s="77">
        <f t="shared" si="4"/>
        <v>0</v>
      </c>
      <c r="K15" s="41"/>
      <c r="L15" s="112"/>
      <c r="M15" s="112"/>
      <c r="N15" s="112"/>
      <c r="O15" s="112"/>
      <c r="P15" s="112"/>
      <c r="Q15" s="120"/>
      <c r="R15" s="86">
        <f t="shared" si="7"/>
        <v>0</v>
      </c>
      <c r="S15" s="124">
        <f t="shared" si="7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8"/>
        <v>72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>
        <v>2</v>
      </c>
      <c r="D16" s="111"/>
      <c r="E16" s="112"/>
      <c r="F16" s="112"/>
      <c r="G16" s="76"/>
      <c r="H16" s="73"/>
      <c r="I16" s="73">
        <f t="shared" si="4"/>
        <v>2</v>
      </c>
      <c r="J16" s="77">
        <f t="shared" si="4"/>
        <v>0</v>
      </c>
      <c r="K16" s="41"/>
      <c r="L16" s="112"/>
      <c r="M16" s="112"/>
      <c r="N16" s="112"/>
      <c r="O16" s="112"/>
      <c r="P16" s="112"/>
      <c r="Q16" s="120"/>
      <c r="R16" s="86">
        <f t="shared" si="7"/>
        <v>0</v>
      </c>
      <c r="S16" s="124">
        <f t="shared" si="7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8"/>
        <v>48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>
        <v>1</v>
      </c>
      <c r="D17" s="111"/>
      <c r="E17" s="112"/>
      <c r="F17" s="112"/>
      <c r="G17" s="76"/>
      <c r="H17" s="73"/>
      <c r="I17" s="73">
        <f t="shared" si="4"/>
        <v>1</v>
      </c>
      <c r="J17" s="77">
        <f t="shared" si="4"/>
        <v>0</v>
      </c>
      <c r="K17" s="41"/>
      <c r="L17" s="112"/>
      <c r="M17" s="112"/>
      <c r="N17" s="112"/>
      <c r="O17" s="112"/>
      <c r="P17" s="112"/>
      <c r="Q17" s="120"/>
      <c r="R17" s="86">
        <f t="shared" si="7"/>
        <v>0</v>
      </c>
      <c r="S17" s="124">
        <f t="shared" si="7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8"/>
        <v>24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4"/>
        <v>0</v>
      </c>
      <c r="K18" s="41"/>
      <c r="L18" s="112"/>
      <c r="M18" s="112"/>
      <c r="N18" s="112"/>
      <c r="O18" s="112"/>
      <c r="P18" s="112"/>
      <c r="Q18" s="120"/>
      <c r="R18" s="86">
        <f t="shared" si="7"/>
        <v>0</v>
      </c>
      <c r="S18" s="124">
        <f t="shared" si="7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8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4"/>
        <v>0</v>
      </c>
      <c r="K19" s="41"/>
      <c r="L19" s="112"/>
      <c r="M19" s="112"/>
      <c r="N19" s="112"/>
      <c r="O19" s="112"/>
      <c r="P19" s="112"/>
      <c r="Q19" s="120"/>
      <c r="R19" s="86">
        <f t="shared" si="7"/>
        <v>0</v>
      </c>
      <c r="S19" s="124">
        <f t="shared" si="7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4</v>
      </c>
      <c r="D20" s="111">
        <v>20</v>
      </c>
      <c r="E20" s="112"/>
      <c r="F20" s="112"/>
      <c r="G20" s="76"/>
      <c r="H20" s="73"/>
      <c r="I20" s="73">
        <f t="shared" si="4"/>
        <v>4</v>
      </c>
      <c r="J20" s="77">
        <f t="shared" si="4"/>
        <v>20</v>
      </c>
      <c r="K20" s="41"/>
      <c r="L20" s="112"/>
      <c r="M20" s="112"/>
      <c r="N20" s="112"/>
      <c r="O20" s="112"/>
      <c r="P20" s="112"/>
      <c r="Q20" s="120"/>
      <c r="R20" s="86">
        <f t="shared" si="7"/>
        <v>0</v>
      </c>
      <c r="S20" s="124">
        <f t="shared" si="7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8"/>
        <v>116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>
        <v>16</v>
      </c>
      <c r="E21" s="112"/>
      <c r="F21" s="112"/>
      <c r="G21" s="76"/>
      <c r="H21" s="73"/>
      <c r="I21" s="73">
        <f t="shared" si="4"/>
        <v>5</v>
      </c>
      <c r="J21" s="77">
        <f t="shared" si="4"/>
        <v>16</v>
      </c>
      <c r="K21" s="41"/>
      <c r="L21" s="112"/>
      <c r="M21" s="112"/>
      <c r="N21" s="112"/>
      <c r="O21" s="112"/>
      <c r="P21" s="112"/>
      <c r="Q21" s="120"/>
      <c r="R21" s="86">
        <f t="shared" si="7"/>
        <v>0</v>
      </c>
      <c r="S21" s="124">
        <f t="shared" si="7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8"/>
        <v>136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4</v>
      </c>
      <c r="D22" s="111"/>
      <c r="E22" s="112"/>
      <c r="F22" s="112"/>
      <c r="G22" s="76"/>
      <c r="H22" s="73"/>
      <c r="I22" s="73">
        <f t="shared" si="4"/>
        <v>4</v>
      </c>
      <c r="J22" s="77">
        <f t="shared" si="4"/>
        <v>0</v>
      </c>
      <c r="K22" s="41"/>
      <c r="L22" s="112"/>
      <c r="M22" s="112"/>
      <c r="N22" s="112"/>
      <c r="O22" s="112"/>
      <c r="P22" s="112"/>
      <c r="Q22" s="120"/>
      <c r="R22" s="86">
        <f t="shared" si="7"/>
        <v>0</v>
      </c>
      <c r="S22" s="124">
        <f t="shared" si="7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8"/>
        <v>96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>
        <v>2</v>
      </c>
      <c r="D23" s="111">
        <v>20</v>
      </c>
      <c r="E23" s="112"/>
      <c r="F23" s="112"/>
      <c r="G23" s="76"/>
      <c r="H23" s="73"/>
      <c r="I23" s="73">
        <f t="shared" si="4"/>
        <v>2</v>
      </c>
      <c r="J23" s="77">
        <f t="shared" si="4"/>
        <v>20</v>
      </c>
      <c r="K23" s="42"/>
      <c r="L23" s="112"/>
      <c r="M23" s="112"/>
      <c r="N23" s="112"/>
      <c r="O23" s="112"/>
      <c r="P23" s="112"/>
      <c r="Q23" s="120"/>
      <c r="R23" s="86">
        <f t="shared" si="7"/>
        <v>0</v>
      </c>
      <c r="S23" s="124">
        <f t="shared" si="7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8"/>
        <v>68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4"/>
        <v>19</v>
      </c>
      <c r="K24" s="42"/>
      <c r="L24" s="112"/>
      <c r="M24" s="112"/>
      <c r="N24" s="112"/>
      <c r="O24" s="112"/>
      <c r="P24" s="112"/>
      <c r="Q24" s="120"/>
      <c r="R24" s="86">
        <f t="shared" si="7"/>
        <v>0</v>
      </c>
      <c r="S24" s="124">
        <f t="shared" si="7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8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11</v>
      </c>
      <c r="D25" s="111"/>
      <c r="E25" s="112"/>
      <c r="F25" s="112"/>
      <c r="G25" s="76"/>
      <c r="H25" s="73"/>
      <c r="I25" s="73">
        <f t="shared" si="4"/>
        <v>11</v>
      </c>
      <c r="J25" s="77">
        <f t="shared" si="4"/>
        <v>0</v>
      </c>
      <c r="K25" s="41"/>
      <c r="L25" s="112"/>
      <c r="M25" s="112"/>
      <c r="N25" s="112"/>
      <c r="O25" s="112"/>
      <c r="P25" s="112"/>
      <c r="Q25" s="120"/>
      <c r="R25" s="86">
        <f t="shared" si="7"/>
        <v>0</v>
      </c>
      <c r="S25" s="124">
        <f t="shared" si="7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8"/>
        <v>264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30</v>
      </c>
      <c r="D26" s="111">
        <v>1</v>
      </c>
      <c r="E26" s="112"/>
      <c r="F26" s="112"/>
      <c r="G26" s="76"/>
      <c r="H26" s="73"/>
      <c r="I26" s="73">
        <f t="shared" si="4"/>
        <v>30</v>
      </c>
      <c r="J26" s="77">
        <f t="shared" si="4"/>
        <v>1</v>
      </c>
      <c r="K26" s="41"/>
      <c r="L26" s="112"/>
      <c r="M26" s="112"/>
      <c r="N26" s="112"/>
      <c r="O26" s="112"/>
      <c r="P26" s="112"/>
      <c r="Q26" s="120"/>
      <c r="R26" s="86">
        <f t="shared" si="7"/>
        <v>0</v>
      </c>
      <c r="S26" s="124">
        <f t="shared" si="7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8"/>
        <v>721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>
        <v>6</v>
      </c>
      <c r="D27" s="111"/>
      <c r="E27" s="112"/>
      <c r="F27" s="112"/>
      <c r="G27" s="76"/>
      <c r="H27" s="73"/>
      <c r="I27" s="73">
        <f t="shared" si="4"/>
        <v>6</v>
      </c>
      <c r="J27" s="77">
        <f t="shared" si="4"/>
        <v>0</v>
      </c>
      <c r="K27" s="42"/>
      <c r="L27" s="112"/>
      <c r="M27" s="112"/>
      <c r="N27" s="112"/>
      <c r="O27" s="112"/>
      <c r="P27" s="112"/>
      <c r="Q27" s="120"/>
      <c r="R27" s="86">
        <f t="shared" si="7"/>
        <v>0</v>
      </c>
      <c r="S27" s="124">
        <f t="shared" si="7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8"/>
        <v>144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4</v>
      </c>
      <c r="D28" s="111"/>
      <c r="E28" s="112"/>
      <c r="F28" s="112"/>
      <c r="G28" s="76"/>
      <c r="H28" s="73"/>
      <c r="I28" s="73">
        <f t="shared" si="4"/>
        <v>4</v>
      </c>
      <c r="J28" s="77">
        <f t="shared" si="4"/>
        <v>0</v>
      </c>
      <c r="K28" s="42"/>
      <c r="L28" s="112"/>
      <c r="M28" s="112"/>
      <c r="N28" s="112"/>
      <c r="O28" s="112"/>
      <c r="P28" s="112"/>
      <c r="Q28" s="120"/>
      <c r="R28" s="86">
        <f t="shared" si="7"/>
        <v>0</v>
      </c>
      <c r="S28" s="124">
        <f t="shared" si="7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8"/>
        <v>96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13</v>
      </c>
      <c r="D29" s="111"/>
      <c r="E29" s="112"/>
      <c r="F29" s="112"/>
      <c r="G29" s="76">
        <v>4</v>
      </c>
      <c r="H29" s="73"/>
      <c r="I29" s="73">
        <f t="shared" si="4"/>
        <v>9</v>
      </c>
      <c r="J29" s="77">
        <f t="shared" si="4"/>
        <v>0</v>
      </c>
      <c r="K29" s="42"/>
      <c r="L29" s="112"/>
      <c r="M29" s="112"/>
      <c r="N29" s="112">
        <v>3</v>
      </c>
      <c r="O29" s="112"/>
      <c r="P29" s="112">
        <v>1</v>
      </c>
      <c r="Q29" s="120"/>
      <c r="R29" s="86">
        <f t="shared" si="7"/>
        <v>4</v>
      </c>
      <c r="S29" s="124">
        <f t="shared" si="7"/>
        <v>0</v>
      </c>
      <c r="T29" s="42"/>
      <c r="U29" s="107">
        <f t="shared" si="5"/>
        <v>96</v>
      </c>
      <c r="V29" s="130">
        <f t="shared" si="6"/>
        <v>4</v>
      </c>
      <c r="W29" s="129">
        <f t="shared" si="8"/>
        <v>216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65</v>
      </c>
      <c r="D30" s="111"/>
      <c r="E30" s="112"/>
      <c r="F30" s="112"/>
      <c r="G30" s="76"/>
      <c r="H30" s="73"/>
      <c r="I30" s="73">
        <f t="shared" si="4"/>
        <v>65</v>
      </c>
      <c r="J30" s="77">
        <f t="shared" si="4"/>
        <v>0</v>
      </c>
      <c r="K30" s="41"/>
      <c r="L30" s="112"/>
      <c r="M30" s="112"/>
      <c r="N30" s="112"/>
      <c r="O30" s="112"/>
      <c r="P30" s="112"/>
      <c r="Q30" s="120"/>
      <c r="R30" s="86">
        <f t="shared" si="7"/>
        <v>0</v>
      </c>
      <c r="S30" s="124">
        <f t="shared" si="7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8"/>
        <v>1560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40</v>
      </c>
      <c r="D31" s="111"/>
      <c r="E31" s="112"/>
      <c r="F31" s="112"/>
      <c r="G31" s="76"/>
      <c r="H31" s="73"/>
      <c r="I31" s="73">
        <f t="shared" si="4"/>
        <v>40</v>
      </c>
      <c r="J31" s="77">
        <f t="shared" si="4"/>
        <v>0</v>
      </c>
      <c r="K31" s="41"/>
      <c r="L31" s="112"/>
      <c r="M31" s="112"/>
      <c r="N31" s="112"/>
      <c r="O31" s="112"/>
      <c r="P31" s="112"/>
      <c r="Q31" s="120"/>
      <c r="R31" s="86">
        <f t="shared" si="7"/>
        <v>0</v>
      </c>
      <c r="S31" s="124">
        <f t="shared" si="7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8"/>
        <v>960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4"/>
        <v>0</v>
      </c>
      <c r="K32" s="41"/>
      <c r="L32" s="112"/>
      <c r="M32" s="112"/>
      <c r="N32" s="112"/>
      <c r="O32" s="112"/>
      <c r="P32" s="112"/>
      <c r="Q32" s="120"/>
      <c r="R32" s="86">
        <f t="shared" si="7"/>
        <v>0</v>
      </c>
      <c r="S32" s="124">
        <f t="shared" si="7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8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>
        <v>2</v>
      </c>
      <c r="D33" s="111"/>
      <c r="E33" s="112"/>
      <c r="F33" s="112"/>
      <c r="G33" s="76"/>
      <c r="H33" s="73"/>
      <c r="I33" s="73">
        <f t="shared" si="4"/>
        <v>2</v>
      </c>
      <c r="J33" s="77">
        <f t="shared" si="4"/>
        <v>0</v>
      </c>
      <c r="K33" s="41"/>
      <c r="L33" s="112"/>
      <c r="M33" s="112"/>
      <c r="N33" s="112"/>
      <c r="O33" s="112"/>
      <c r="P33" s="112"/>
      <c r="Q33" s="120"/>
      <c r="R33" s="86">
        <f t="shared" si="7"/>
        <v>0</v>
      </c>
      <c r="S33" s="124">
        <f t="shared" si="7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8"/>
        <v>48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4</v>
      </c>
      <c r="D34" s="111"/>
      <c r="E34" s="112"/>
      <c r="F34" s="112"/>
      <c r="G34" s="76"/>
      <c r="H34" s="73"/>
      <c r="I34" s="73">
        <f t="shared" si="4"/>
        <v>4</v>
      </c>
      <c r="J34" s="77">
        <f t="shared" si="4"/>
        <v>0</v>
      </c>
      <c r="K34" s="41"/>
      <c r="L34" s="112"/>
      <c r="M34" s="112"/>
      <c r="N34" s="112"/>
      <c r="O34" s="112"/>
      <c r="P34" s="112"/>
      <c r="Q34" s="120"/>
      <c r="R34" s="86">
        <f t="shared" si="7"/>
        <v>0</v>
      </c>
      <c r="S34" s="124">
        <f t="shared" si="7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8"/>
        <v>96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109</v>
      </c>
      <c r="D35" s="111">
        <v>1</v>
      </c>
      <c r="E35" s="112"/>
      <c r="F35" s="112"/>
      <c r="G35" s="76"/>
      <c r="H35" s="73"/>
      <c r="I35" s="73">
        <f t="shared" si="4"/>
        <v>109</v>
      </c>
      <c r="J35" s="77">
        <f t="shared" si="4"/>
        <v>1</v>
      </c>
      <c r="K35" s="41"/>
      <c r="L35" s="112"/>
      <c r="M35" s="112"/>
      <c r="N35" s="112"/>
      <c r="O35" s="112"/>
      <c r="P35" s="112"/>
      <c r="Q35" s="120"/>
      <c r="R35" s="86">
        <f t="shared" si="7"/>
        <v>0</v>
      </c>
      <c r="S35" s="124">
        <f t="shared" si="7"/>
        <v>0</v>
      </c>
      <c r="T35" s="41"/>
      <c r="U35" s="107">
        <f t="shared" si="5"/>
        <v>0</v>
      </c>
      <c r="V35" s="130">
        <f t="shared" si="6"/>
        <v>0</v>
      </c>
      <c r="W35" s="129">
        <f t="shared" si="8"/>
        <v>2617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4"/>
        <v>0</v>
      </c>
      <c r="K36" s="41"/>
      <c r="L36" s="112"/>
      <c r="M36" s="112"/>
      <c r="N36" s="112"/>
      <c r="O36" s="112"/>
      <c r="P36" s="112"/>
      <c r="Q36" s="120"/>
      <c r="R36" s="86">
        <f t="shared" si="7"/>
        <v>0</v>
      </c>
      <c r="S36" s="124">
        <f t="shared" si="7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>
        <v>2</v>
      </c>
      <c r="D37" s="111"/>
      <c r="E37" s="112"/>
      <c r="F37" s="112"/>
      <c r="G37" s="76"/>
      <c r="H37" s="73"/>
      <c r="I37" s="73">
        <f t="shared" si="4"/>
        <v>2</v>
      </c>
      <c r="J37" s="77">
        <f t="shared" si="4"/>
        <v>0</v>
      </c>
      <c r="K37" s="41"/>
      <c r="L37" s="112"/>
      <c r="M37" s="112"/>
      <c r="N37" s="112"/>
      <c r="O37" s="112"/>
      <c r="P37" s="112"/>
      <c r="Q37" s="120"/>
      <c r="R37" s="86">
        <f t="shared" si="7"/>
        <v>0</v>
      </c>
      <c r="S37" s="124">
        <f t="shared" si="7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8"/>
        <v>48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3777</v>
      </c>
      <c r="D38" s="114">
        <v>2</v>
      </c>
      <c r="E38" s="115"/>
      <c r="F38" s="115"/>
      <c r="G38" s="78">
        <v>70</v>
      </c>
      <c r="H38" s="79"/>
      <c r="I38" s="139">
        <f t="shared" si="4"/>
        <v>3707</v>
      </c>
      <c r="J38" s="140">
        <f t="shared" si="4"/>
        <v>2</v>
      </c>
      <c r="K38" s="51"/>
      <c r="L38" s="121"/>
      <c r="M38" s="121"/>
      <c r="N38" s="121">
        <v>13</v>
      </c>
      <c r="O38" s="121"/>
      <c r="P38" s="121">
        <v>57</v>
      </c>
      <c r="Q38" s="122"/>
      <c r="R38" s="97">
        <f t="shared" si="7"/>
        <v>70</v>
      </c>
      <c r="S38" s="125">
        <f t="shared" si="7"/>
        <v>0</v>
      </c>
      <c r="T38" s="51"/>
      <c r="U38" s="131">
        <f>L38*6+N38*6+P38*6</f>
        <v>420</v>
      </c>
      <c r="V38" s="135">
        <f>U38/6</f>
        <v>70</v>
      </c>
      <c r="W38" s="133">
        <f>I38*6+J38</f>
        <v>22244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>
        <v>7</v>
      </c>
      <c r="D39" s="111"/>
      <c r="E39" s="112"/>
      <c r="F39" s="112"/>
      <c r="G39" s="76"/>
      <c r="H39" s="73"/>
      <c r="I39" s="76">
        <f t="shared" si="4"/>
        <v>7</v>
      </c>
      <c r="J39" s="77">
        <f t="shared" si="4"/>
        <v>0</v>
      </c>
      <c r="K39" s="41"/>
      <c r="L39" s="112"/>
      <c r="M39" s="112"/>
      <c r="N39" s="112"/>
      <c r="O39" s="112"/>
      <c r="P39" s="112"/>
      <c r="Q39" s="120"/>
      <c r="R39" s="96">
        <f t="shared" si="7"/>
        <v>0</v>
      </c>
      <c r="S39" s="126">
        <f t="shared" si="7"/>
        <v>0</v>
      </c>
      <c r="T39" s="41"/>
      <c r="U39" s="107">
        <f t="shared" ref="U39:U41" si="9">L39*24+N39*24+P39*24</f>
        <v>0</v>
      </c>
      <c r="V39" s="109">
        <f t="shared" si="6"/>
        <v>0</v>
      </c>
      <c r="W39" s="129">
        <f t="shared" ref="W39:W41" si="10">I39*24+J39</f>
        <v>168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>
        <v>4</v>
      </c>
      <c r="D40" s="117"/>
      <c r="E40" s="118"/>
      <c r="F40" s="118"/>
      <c r="G40" s="82"/>
      <c r="H40" s="80"/>
      <c r="I40" s="73">
        <f t="shared" si="4"/>
        <v>4</v>
      </c>
      <c r="J40" s="77">
        <f t="shared" si="4"/>
        <v>0</v>
      </c>
      <c r="K40" s="41"/>
      <c r="L40" s="112"/>
      <c r="M40" s="112"/>
      <c r="N40" s="112"/>
      <c r="O40" s="112"/>
      <c r="P40" s="112"/>
      <c r="Q40" s="120"/>
      <c r="R40" s="86">
        <f t="shared" si="7"/>
        <v>0</v>
      </c>
      <c r="S40" s="124">
        <f t="shared" si="7"/>
        <v>0</v>
      </c>
      <c r="T40" s="41"/>
      <c r="U40" s="136">
        <f t="shared" si="9"/>
        <v>0</v>
      </c>
      <c r="V40" s="130">
        <f t="shared" si="6"/>
        <v>0</v>
      </c>
      <c r="W40" s="137">
        <f t="shared" si="10"/>
        <v>96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323</v>
      </c>
      <c r="D41" s="147">
        <v>20</v>
      </c>
      <c r="E41" s="148"/>
      <c r="F41" s="148"/>
      <c r="G41" s="149"/>
      <c r="H41" s="150"/>
      <c r="I41" s="151">
        <f t="shared" si="4"/>
        <v>323</v>
      </c>
      <c r="J41" s="152">
        <f t="shared" si="4"/>
        <v>20</v>
      </c>
      <c r="K41" s="153"/>
      <c r="L41" s="154"/>
      <c r="M41" s="154"/>
      <c r="N41" s="154"/>
      <c r="O41" s="154"/>
      <c r="P41" s="154"/>
      <c r="Q41" s="155"/>
      <c r="R41" s="156">
        <f t="shared" si="7"/>
        <v>0</v>
      </c>
      <c r="S41" s="157">
        <f t="shared" si="7"/>
        <v>0</v>
      </c>
      <c r="T41" s="153"/>
      <c r="U41" s="158">
        <f t="shared" si="9"/>
        <v>0</v>
      </c>
      <c r="V41" s="159">
        <f t="shared" si="6"/>
        <v>0</v>
      </c>
      <c r="W41" s="159">
        <f t="shared" si="10"/>
        <v>7772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957</v>
      </c>
      <c r="D42" s="164"/>
      <c r="E42" s="165"/>
      <c r="F42" s="165"/>
      <c r="G42" s="166">
        <v>14</v>
      </c>
      <c r="H42" s="167"/>
      <c r="I42" s="166">
        <f t="shared" si="4"/>
        <v>943</v>
      </c>
      <c r="J42" s="168">
        <f t="shared" si="4"/>
        <v>0</v>
      </c>
      <c r="K42" s="169"/>
      <c r="L42" s="165"/>
      <c r="M42" s="165"/>
      <c r="N42" s="165"/>
      <c r="O42" s="165"/>
      <c r="P42" s="165">
        <v>14</v>
      </c>
      <c r="Q42" s="170"/>
      <c r="R42" s="171">
        <f t="shared" si="7"/>
        <v>14</v>
      </c>
      <c r="S42" s="172">
        <f t="shared" si="7"/>
        <v>0</v>
      </c>
      <c r="T42" s="169"/>
      <c r="U42" s="173">
        <f>L42*12+N42*12+P42*12</f>
        <v>168</v>
      </c>
      <c r="V42" s="174">
        <f>U42/12</f>
        <v>14</v>
      </c>
      <c r="W42" s="175">
        <f>I42*12+J42</f>
        <v>11316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73">
        <f t="shared" si="4"/>
        <v>0</v>
      </c>
      <c r="J43" s="94">
        <f t="shared" si="4"/>
        <v>0</v>
      </c>
      <c r="K43" s="41"/>
      <c r="L43" s="112"/>
      <c r="M43" s="112"/>
      <c r="N43" s="112"/>
      <c r="O43" s="112"/>
      <c r="P43" s="112"/>
      <c r="Q43" s="120"/>
      <c r="R43" s="161">
        <f t="shared" si="7"/>
        <v>0</v>
      </c>
      <c r="S43" s="127">
        <f t="shared" si="7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f>27305</f>
        <v>27305</v>
      </c>
      <c r="D44" s="114"/>
      <c r="E44" s="115"/>
      <c r="F44" s="115"/>
      <c r="G44" s="78">
        <v>1051</v>
      </c>
      <c r="H44" s="79"/>
      <c r="I44" s="73">
        <f>C44+E44-G44</f>
        <v>26254</v>
      </c>
      <c r="J44" s="177">
        <f t="shared" si="4"/>
        <v>0</v>
      </c>
      <c r="K44" s="51"/>
      <c r="L44" s="121">
        <v>316</v>
      </c>
      <c r="M44" s="121"/>
      <c r="N44" s="121">
        <v>377</v>
      </c>
      <c r="O44" s="121"/>
      <c r="P44" s="121">
        <v>358</v>
      </c>
      <c r="Q44" s="122"/>
      <c r="R44" s="178">
        <f t="shared" si="7"/>
        <v>1051</v>
      </c>
      <c r="S44" s="179">
        <f t="shared" si="7"/>
        <v>0</v>
      </c>
      <c r="T44" s="51"/>
      <c r="U44" s="131">
        <f>L44*6+N44*6+P44*6</f>
        <v>6306</v>
      </c>
      <c r="V44" s="130">
        <f>U44/6</f>
        <v>1051</v>
      </c>
      <c r="W44" s="133">
        <f>I44*6+J44</f>
        <v>157524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4"/>
        <v>0</v>
      </c>
      <c r="K45" s="41"/>
      <c r="L45" s="112"/>
      <c r="M45" s="112"/>
      <c r="N45" s="112"/>
      <c r="O45" s="112"/>
      <c r="P45" s="112"/>
      <c r="Q45" s="120"/>
      <c r="R45" s="96">
        <f t="shared" si="7"/>
        <v>0</v>
      </c>
      <c r="S45" s="127">
        <f t="shared" si="7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4"/>
        <v>0</v>
      </c>
      <c r="K46" s="41"/>
      <c r="L46" s="112"/>
      <c r="M46" s="112"/>
      <c r="N46" s="112"/>
      <c r="O46" s="112"/>
      <c r="P46" s="112"/>
      <c r="Q46" s="120"/>
      <c r="R46" s="86">
        <f t="shared" si="7"/>
        <v>0</v>
      </c>
      <c r="S46" s="128">
        <f t="shared" si="7"/>
        <v>0</v>
      </c>
      <c r="T46" s="41"/>
      <c r="U46" s="107">
        <f t="shared" ref="U46:U47" si="11">L46*24+N46*24+P46*24</f>
        <v>0</v>
      </c>
      <c r="V46" s="134">
        <f t="shared" ref="V46:V47" si="12">U46/24</f>
        <v>0</v>
      </c>
      <c r="W46" s="129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4"/>
        <v>0</v>
      </c>
      <c r="K47" s="41"/>
      <c r="L47" s="112"/>
      <c r="M47" s="112"/>
      <c r="N47" s="112"/>
      <c r="O47" s="112"/>
      <c r="P47" s="112"/>
      <c r="Q47" s="120"/>
      <c r="R47" s="86">
        <f t="shared" si="7"/>
        <v>0</v>
      </c>
      <c r="S47" s="124">
        <f t="shared" si="7"/>
        <v>0</v>
      </c>
      <c r="T47" s="41"/>
      <c r="U47" s="107">
        <f t="shared" si="11"/>
        <v>0</v>
      </c>
      <c r="V47" s="130">
        <f t="shared" si="12"/>
        <v>0</v>
      </c>
      <c r="W47" s="129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2841</v>
      </c>
      <c r="D48" s="142">
        <v>4</v>
      </c>
      <c r="E48" s="121"/>
      <c r="F48" s="121"/>
      <c r="G48" s="143"/>
      <c r="H48" s="139"/>
      <c r="I48" s="139">
        <f t="shared" si="4"/>
        <v>2841</v>
      </c>
      <c r="J48" s="140">
        <f t="shared" si="4"/>
        <v>4</v>
      </c>
      <c r="K48" s="51"/>
      <c r="L48" s="121"/>
      <c r="M48" s="121"/>
      <c r="N48" s="121"/>
      <c r="O48" s="121"/>
      <c r="P48" s="121"/>
      <c r="Q48" s="122"/>
      <c r="R48" s="97">
        <f t="shared" si="7"/>
        <v>0</v>
      </c>
      <c r="S48" s="144">
        <f t="shared" si="7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17050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73">
        <f t="shared" si="4"/>
        <v>1</v>
      </c>
      <c r="J49" s="77">
        <f t="shared" si="4"/>
        <v>0</v>
      </c>
      <c r="K49" s="41"/>
      <c r="L49" s="112"/>
      <c r="M49" s="112"/>
      <c r="N49" s="112"/>
      <c r="O49" s="112"/>
      <c r="P49" s="112"/>
      <c r="Q49" s="120"/>
      <c r="R49" s="96">
        <f t="shared" si="7"/>
        <v>0</v>
      </c>
      <c r="S49" s="126">
        <f t="shared" si="7"/>
        <v>0</v>
      </c>
      <c r="T49" s="41"/>
      <c r="U49" s="107">
        <f t="shared" ref="U49:U51" si="14">L49*24+N49*24+P49*24</f>
        <v>0</v>
      </c>
      <c r="V49" s="109">
        <f t="shared" ref="V49:V51" si="15">U49/24</f>
        <v>0</v>
      </c>
      <c r="W49" s="129">
        <f t="shared" ref="W49:W51" si="16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>
        <v>4</v>
      </c>
      <c r="D50" s="111"/>
      <c r="E50" s="112"/>
      <c r="F50" s="112"/>
      <c r="G50" s="76"/>
      <c r="H50" s="73"/>
      <c r="I50" s="73">
        <f t="shared" si="4"/>
        <v>4</v>
      </c>
      <c r="J50" s="77">
        <f t="shared" si="4"/>
        <v>0</v>
      </c>
      <c r="K50" s="41"/>
      <c r="L50" s="112"/>
      <c r="M50" s="112"/>
      <c r="N50" s="112"/>
      <c r="O50" s="112"/>
      <c r="P50" s="112"/>
      <c r="Q50" s="120"/>
      <c r="R50" s="86">
        <f t="shared" si="7"/>
        <v>0</v>
      </c>
      <c r="S50" s="124">
        <f t="shared" si="7"/>
        <v>0</v>
      </c>
      <c r="T50" s="41"/>
      <c r="U50" s="107">
        <f t="shared" si="14"/>
        <v>0</v>
      </c>
      <c r="V50" s="130">
        <f t="shared" si="15"/>
        <v>0</v>
      </c>
      <c r="W50" s="129">
        <f t="shared" si="16"/>
        <v>96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4"/>
        <v>0</v>
      </c>
      <c r="K51" s="41"/>
      <c r="L51" s="112"/>
      <c r="M51" s="112"/>
      <c r="N51" s="112"/>
      <c r="O51" s="112"/>
      <c r="P51" s="112"/>
      <c r="Q51" s="120"/>
      <c r="R51" s="86">
        <f t="shared" si="7"/>
        <v>0</v>
      </c>
      <c r="S51" s="124">
        <f t="shared" si="7"/>
        <v>0</v>
      </c>
      <c r="T51" s="41"/>
      <c r="U51" s="107">
        <f t="shared" si="14"/>
        <v>0</v>
      </c>
      <c r="V51" s="130">
        <f t="shared" si="15"/>
        <v>0</v>
      </c>
      <c r="W51" s="129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139">
        <f t="shared" si="4"/>
        <v>34</v>
      </c>
      <c r="J52" s="140">
        <f t="shared" si="4"/>
        <v>0</v>
      </c>
      <c r="K52" s="51"/>
      <c r="L52" s="121"/>
      <c r="M52" s="121"/>
      <c r="N52" s="121"/>
      <c r="O52" s="121"/>
      <c r="P52" s="121"/>
      <c r="Q52" s="122"/>
      <c r="R52" s="97">
        <f t="shared" si="7"/>
        <v>0</v>
      </c>
      <c r="S52" s="144">
        <f t="shared" si="7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>
        <v>2</v>
      </c>
      <c r="D53" s="111"/>
      <c r="E53" s="112"/>
      <c r="F53" s="112"/>
      <c r="G53" s="76"/>
      <c r="H53" s="73"/>
      <c r="I53" s="73">
        <f t="shared" si="4"/>
        <v>2</v>
      </c>
      <c r="J53" s="77">
        <f t="shared" si="4"/>
        <v>0</v>
      </c>
      <c r="K53" s="41"/>
      <c r="L53" s="112"/>
      <c r="M53" s="112"/>
      <c r="N53" s="112"/>
      <c r="O53" s="112"/>
      <c r="P53" s="112"/>
      <c r="Q53" s="120"/>
      <c r="R53" s="96">
        <f t="shared" si="7"/>
        <v>0</v>
      </c>
      <c r="S53" s="126">
        <f t="shared" si="7"/>
        <v>0</v>
      </c>
      <c r="T53" s="41"/>
      <c r="U53" s="107">
        <f t="shared" ref="U53:U54" si="17">L53*24+N53*24+P53*24</f>
        <v>0</v>
      </c>
      <c r="V53" s="109">
        <f t="shared" ref="V53:V54" si="18">U53/24</f>
        <v>0</v>
      </c>
      <c r="W53" s="129">
        <f t="shared" ref="W53:W54" si="19">I53*24+J53</f>
        <v>48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14</v>
      </c>
      <c r="D54" s="111"/>
      <c r="E54" s="112"/>
      <c r="F54" s="112"/>
      <c r="G54" s="76"/>
      <c r="H54" s="73"/>
      <c r="I54" s="73">
        <f t="shared" si="4"/>
        <v>14</v>
      </c>
      <c r="J54" s="77">
        <f t="shared" si="4"/>
        <v>0</v>
      </c>
      <c r="K54" s="41"/>
      <c r="L54" s="112"/>
      <c r="M54" s="112"/>
      <c r="N54" s="112"/>
      <c r="O54" s="112"/>
      <c r="P54" s="112"/>
      <c r="Q54" s="120"/>
      <c r="R54" s="86">
        <f t="shared" si="7"/>
        <v>0</v>
      </c>
      <c r="S54" s="124">
        <f t="shared" si="7"/>
        <v>0</v>
      </c>
      <c r="T54" s="41"/>
      <c r="U54" s="107">
        <f t="shared" si="17"/>
        <v>0</v>
      </c>
      <c r="V54" s="130">
        <f t="shared" si="18"/>
        <v>0</v>
      </c>
      <c r="W54" s="129">
        <f t="shared" si="19"/>
        <v>336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4"/>
        <v>0</v>
      </c>
      <c r="K55" s="41"/>
      <c r="L55" s="112"/>
      <c r="M55" s="112"/>
      <c r="N55" s="112"/>
      <c r="O55" s="112"/>
      <c r="P55" s="112"/>
      <c r="Q55" s="120"/>
      <c r="R55" s="86">
        <f t="shared" si="7"/>
        <v>0</v>
      </c>
      <c r="S55" s="124">
        <f t="shared" si="7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4"/>
        <v>0</v>
      </c>
      <c r="K56" s="41"/>
      <c r="L56" s="112"/>
      <c r="M56" s="112"/>
      <c r="N56" s="112"/>
      <c r="O56" s="112"/>
      <c r="P56" s="112"/>
      <c r="Q56" s="120"/>
      <c r="R56" s="86">
        <f t="shared" si="7"/>
        <v>0</v>
      </c>
      <c r="S56" s="124">
        <f t="shared" si="7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4"/>
        <v>0</v>
      </c>
      <c r="K57" s="41"/>
      <c r="L57" s="112"/>
      <c r="M57" s="112"/>
      <c r="N57" s="112"/>
      <c r="O57" s="112"/>
      <c r="P57" s="112"/>
      <c r="Q57" s="120"/>
      <c r="R57" s="86">
        <f t="shared" si="7"/>
        <v>0</v>
      </c>
      <c r="S57" s="124">
        <f t="shared" si="7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4"/>
        <v>0</v>
      </c>
      <c r="K58" s="41"/>
      <c r="L58" s="112"/>
      <c r="M58" s="112"/>
      <c r="N58" s="112"/>
      <c r="O58" s="112"/>
      <c r="P58" s="112"/>
      <c r="Q58" s="120"/>
      <c r="R58" s="86">
        <f t="shared" si="7"/>
        <v>0</v>
      </c>
      <c r="S58" s="124">
        <f t="shared" si="7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4"/>
        <v>0</v>
      </c>
      <c r="K59" s="41"/>
      <c r="L59" s="112"/>
      <c r="M59" s="112"/>
      <c r="N59" s="112"/>
      <c r="O59" s="112"/>
      <c r="P59" s="112"/>
      <c r="Q59" s="120"/>
      <c r="R59" s="86">
        <f t="shared" si="7"/>
        <v>0</v>
      </c>
      <c r="S59" s="124">
        <f t="shared" si="7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39424</v>
      </c>
      <c r="D60" s="54">
        <f>SUM(D8:D59)</f>
        <v>144</v>
      </c>
      <c r="E60" s="44">
        <f>SUM(E8:E59)</f>
        <v>0</v>
      </c>
      <c r="F60" s="44"/>
      <c r="G60" s="28">
        <f>SUM(G8:G59)</f>
        <v>1162</v>
      </c>
      <c r="H60" s="56">
        <f>SUM(H8:H59)</f>
        <v>40</v>
      </c>
      <c r="I60" s="56">
        <f>SUM(I8:I59)</f>
        <v>38262</v>
      </c>
      <c r="J60" s="45">
        <f>SUM(J8:J59)</f>
        <v>104</v>
      </c>
      <c r="K60" s="46"/>
      <c r="L60" s="74">
        <f t="shared" ref="L60:S60" si="20">SUM(L8:L59)</f>
        <v>316</v>
      </c>
      <c r="M60" s="74">
        <f t="shared" si="20"/>
        <v>22</v>
      </c>
      <c r="N60" s="74">
        <f t="shared" si="20"/>
        <v>408</v>
      </c>
      <c r="O60" s="74">
        <f t="shared" si="20"/>
        <v>15</v>
      </c>
      <c r="P60" s="74">
        <f t="shared" si="20"/>
        <v>438</v>
      </c>
      <c r="Q60" s="75">
        <f t="shared" si="20"/>
        <v>3</v>
      </c>
      <c r="R60" s="85">
        <f t="shared" si="20"/>
        <v>1162</v>
      </c>
      <c r="S60" s="84">
        <f t="shared" si="20"/>
        <v>40</v>
      </c>
      <c r="T60" s="46"/>
      <c r="U60" s="43">
        <f>SUM(U8:U59)</f>
        <v>7542</v>
      </c>
      <c r="V60" s="102">
        <f>SUM(V8:V59)</f>
        <v>1162</v>
      </c>
      <c r="W60" s="180">
        <f>SUM(W8:W59)</f>
        <v>316028</v>
      </c>
      <c r="X60" s="45"/>
    </row>
    <row r="61" spans="1:24" ht="19.5" thickBot="1" x14ac:dyDescent="0.3">
      <c r="V61" s="103"/>
    </row>
    <row r="62" spans="1:24" ht="18.75" customHeight="1" x14ac:dyDescent="0.25">
      <c r="G62" s="196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197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198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199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199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00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84" t="s">
        <v>3</v>
      </c>
      <c r="D69" s="185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2E16-B4D4-47C5-ADDB-2F0F21F00F0F}">
  <sheetPr>
    <pageSetUpPr fitToPage="1"/>
  </sheetPr>
  <dimension ref="A1:BH90"/>
  <sheetViews>
    <sheetView topLeftCell="A26" zoomScale="85" zoomScaleNormal="85" zoomScaleSheetLayoutView="85" zoomScalePageLayoutView="80" workbookViewId="0">
      <selection activeCell="W60" sqref="W60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.140625" style="2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01">
        <v>46127</v>
      </c>
      <c r="Q1" s="202"/>
      <c r="R1" s="202"/>
      <c r="S1" s="202"/>
      <c r="T1" s="202"/>
      <c r="U1" s="202"/>
      <c r="V1" s="202"/>
      <c r="W1" s="202"/>
      <c r="X1" s="203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04" t="s">
        <v>74</v>
      </c>
      <c r="C4" s="205" t="s">
        <v>3</v>
      </c>
      <c r="D4" s="206" t="s">
        <v>75</v>
      </c>
      <c r="E4" s="207" t="s">
        <v>4</v>
      </c>
      <c r="F4" s="208"/>
      <c r="G4" s="209" t="s">
        <v>5</v>
      </c>
      <c r="H4" s="211" t="s">
        <v>75</v>
      </c>
      <c r="I4" s="213" t="s">
        <v>6</v>
      </c>
      <c r="J4" s="211" t="s">
        <v>75</v>
      </c>
      <c r="L4" s="215" t="s">
        <v>7</v>
      </c>
      <c r="M4" s="216"/>
      <c r="N4" s="216"/>
      <c r="O4" s="216"/>
      <c r="P4" s="216"/>
      <c r="Q4" s="216"/>
      <c r="R4" s="216"/>
      <c r="S4" s="216"/>
      <c r="T4" s="216"/>
      <c r="U4" s="216"/>
      <c r="V4" s="217"/>
      <c r="W4" s="216"/>
      <c r="X4" s="218"/>
    </row>
    <row r="5" spans="1:60" s="3" customFormat="1" ht="57" thickBot="1" x14ac:dyDescent="0.3">
      <c r="A5" s="49"/>
      <c r="B5" s="204"/>
      <c r="C5" s="205"/>
      <c r="D5" s="206"/>
      <c r="E5" s="48" t="s">
        <v>8</v>
      </c>
      <c r="F5" s="192" t="s">
        <v>9</v>
      </c>
      <c r="G5" s="210"/>
      <c r="H5" s="212"/>
      <c r="I5" s="214"/>
      <c r="J5" s="212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45</v>
      </c>
      <c r="D8" s="111">
        <v>19</v>
      </c>
      <c r="E8" s="112"/>
      <c r="F8" s="112"/>
      <c r="G8" s="76"/>
      <c r="H8" s="73"/>
      <c r="I8" s="73">
        <f>C8-G8</f>
        <v>45</v>
      </c>
      <c r="J8" s="77">
        <f t="shared" ref="J8:J12" si="0">D8-H8</f>
        <v>19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1099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102</v>
      </c>
      <c r="D9" s="114"/>
      <c r="E9" s="115"/>
      <c r="F9" s="115"/>
      <c r="G9" s="78">
        <v>1</v>
      </c>
      <c r="H9" s="79"/>
      <c r="I9" s="78">
        <f t="shared" ref="I9:J59" si="4">C9-G9</f>
        <v>101</v>
      </c>
      <c r="J9" s="94">
        <f t="shared" si="0"/>
        <v>0</v>
      </c>
      <c r="K9" s="51"/>
      <c r="L9" s="121"/>
      <c r="M9" s="121"/>
      <c r="N9" s="121"/>
      <c r="O9" s="121"/>
      <c r="P9" s="121">
        <v>1</v>
      </c>
      <c r="Q9" s="122"/>
      <c r="R9" s="98">
        <f t="shared" si="1"/>
        <v>1</v>
      </c>
      <c r="S9" s="125">
        <f t="shared" si="1"/>
        <v>0</v>
      </c>
      <c r="T9" s="51"/>
      <c r="U9" s="131">
        <f>L9*24+N9*24+P9*24</f>
        <v>24</v>
      </c>
      <c r="V9" s="132">
        <f>U9/24</f>
        <v>1</v>
      </c>
      <c r="W9" s="133">
        <f t="shared" si="2"/>
        <v>2424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80</v>
      </c>
      <c r="D10" s="111"/>
      <c r="E10" s="112"/>
      <c r="F10" s="112"/>
      <c r="G10" s="76">
        <v>5</v>
      </c>
      <c r="H10" s="73"/>
      <c r="I10" s="73">
        <f t="shared" si="4"/>
        <v>75</v>
      </c>
      <c r="J10" s="95">
        <f t="shared" si="0"/>
        <v>0</v>
      </c>
      <c r="K10" s="41"/>
      <c r="L10" s="112">
        <v>2</v>
      </c>
      <c r="M10" s="112"/>
      <c r="N10" s="112"/>
      <c r="O10" s="112"/>
      <c r="P10" s="112">
        <v>3</v>
      </c>
      <c r="Q10" s="120"/>
      <c r="R10" s="99">
        <f t="shared" si="1"/>
        <v>5</v>
      </c>
      <c r="S10" s="126">
        <f t="shared" si="1"/>
        <v>0</v>
      </c>
      <c r="T10" s="41"/>
      <c r="U10" s="107">
        <f>L10*24+N10*24+P10*24</f>
        <v>120</v>
      </c>
      <c r="V10" s="134">
        <f>U10/24</f>
        <v>5</v>
      </c>
      <c r="W10" s="129">
        <f t="shared" si="2"/>
        <v>1800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/>
      <c r="D11" s="111"/>
      <c r="E11" s="112"/>
      <c r="F11" s="112"/>
      <c r="G11" s="76"/>
      <c r="H11" s="73"/>
      <c r="I11" s="73">
        <f t="shared" si="4"/>
        <v>0</v>
      </c>
      <c r="J11" s="77">
        <f t="shared" si="0"/>
        <v>0</v>
      </c>
      <c r="K11" s="41"/>
      <c r="L11" s="112"/>
      <c r="M11" s="112"/>
      <c r="N11" s="112"/>
      <c r="O11" s="112"/>
      <c r="P11" s="112"/>
      <c r="Q11" s="120"/>
      <c r="R11" s="86">
        <f t="shared" si="1"/>
        <v>0</v>
      </c>
      <c r="S11" s="124">
        <f t="shared" si="1"/>
        <v>0</v>
      </c>
      <c r="T11" s="41"/>
      <c r="U11" s="107">
        <f>L11*24+N11*24+P11*24</f>
        <v>0</v>
      </c>
      <c r="V11" s="130">
        <f>U11/24</f>
        <v>0</v>
      </c>
      <c r="W11" s="129">
        <f t="shared" si="2"/>
        <v>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5</v>
      </c>
      <c r="D12" s="111"/>
      <c r="E12" s="112"/>
      <c r="F12" s="112"/>
      <c r="G12" s="76"/>
      <c r="H12" s="73"/>
      <c r="I12" s="73">
        <f t="shared" si="4"/>
        <v>5</v>
      </c>
      <c r="J12" s="77">
        <f t="shared" si="0"/>
        <v>0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120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3499</v>
      </c>
      <c r="D13" s="114">
        <v>14</v>
      </c>
      <c r="E13" s="115"/>
      <c r="F13" s="115"/>
      <c r="G13" s="78">
        <v>43</v>
      </c>
      <c r="H13" s="79">
        <v>37</v>
      </c>
      <c r="I13" s="80">
        <f t="shared" si="4"/>
        <v>3456</v>
      </c>
      <c r="J13" s="94">
        <f>D13-H13</f>
        <v>-23</v>
      </c>
      <c r="K13" s="53"/>
      <c r="L13" s="121">
        <v>13</v>
      </c>
      <c r="M13" s="121">
        <v>21</v>
      </c>
      <c r="N13" s="121">
        <v>13</v>
      </c>
      <c r="O13" s="121">
        <v>3</v>
      </c>
      <c r="P13" s="121">
        <v>17</v>
      </c>
      <c r="Q13" s="122">
        <v>13</v>
      </c>
      <c r="R13" s="97">
        <f>L13+N13+P13</f>
        <v>43</v>
      </c>
      <c r="S13" s="125">
        <f>M13+O13+Q13</f>
        <v>37</v>
      </c>
      <c r="T13" s="53"/>
      <c r="U13" s="131">
        <f>L13*24+N13*24+P13*24</f>
        <v>1032</v>
      </c>
      <c r="V13" s="135">
        <f t="shared" si="6"/>
        <v>43</v>
      </c>
      <c r="W13" s="133">
        <f>I13*24+J13</f>
        <v>82921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4</v>
      </c>
      <c r="D14" s="111">
        <v>16</v>
      </c>
      <c r="E14" s="112"/>
      <c r="F14" s="112"/>
      <c r="G14" s="76"/>
      <c r="H14" s="73"/>
      <c r="I14" s="93">
        <f t="shared" si="4"/>
        <v>4</v>
      </c>
      <c r="J14" s="95">
        <f t="shared" si="4"/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7">L14+N14+P14</f>
        <v>0</v>
      </c>
      <c r="S14" s="126">
        <f t="shared" si="7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8">I14*24+J14</f>
        <v>112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3</v>
      </c>
      <c r="D15" s="111"/>
      <c r="E15" s="112"/>
      <c r="F15" s="112"/>
      <c r="G15" s="76"/>
      <c r="H15" s="73"/>
      <c r="I15" s="73">
        <f t="shared" si="4"/>
        <v>3</v>
      </c>
      <c r="J15" s="77">
        <f t="shared" si="4"/>
        <v>0</v>
      </c>
      <c r="K15" s="41"/>
      <c r="L15" s="112"/>
      <c r="M15" s="112"/>
      <c r="N15" s="112"/>
      <c r="O15" s="112"/>
      <c r="P15" s="112"/>
      <c r="Q15" s="120"/>
      <c r="R15" s="86">
        <f t="shared" si="7"/>
        <v>0</v>
      </c>
      <c r="S15" s="124">
        <f t="shared" si="7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8"/>
        <v>72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>
        <v>2</v>
      </c>
      <c r="D16" s="111"/>
      <c r="E16" s="112"/>
      <c r="F16" s="112"/>
      <c r="G16" s="76"/>
      <c r="H16" s="73"/>
      <c r="I16" s="73">
        <f t="shared" si="4"/>
        <v>2</v>
      </c>
      <c r="J16" s="77">
        <f t="shared" si="4"/>
        <v>0</v>
      </c>
      <c r="K16" s="41"/>
      <c r="L16" s="112"/>
      <c r="M16" s="112"/>
      <c r="N16" s="112"/>
      <c r="O16" s="112"/>
      <c r="P16" s="112"/>
      <c r="Q16" s="120"/>
      <c r="R16" s="86">
        <f t="shared" si="7"/>
        <v>0</v>
      </c>
      <c r="S16" s="124">
        <f t="shared" si="7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8"/>
        <v>48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>
        <v>1</v>
      </c>
      <c r="D17" s="111"/>
      <c r="E17" s="112"/>
      <c r="F17" s="112"/>
      <c r="G17" s="76"/>
      <c r="H17" s="73"/>
      <c r="I17" s="73">
        <f t="shared" si="4"/>
        <v>1</v>
      </c>
      <c r="J17" s="77">
        <f t="shared" si="4"/>
        <v>0</v>
      </c>
      <c r="K17" s="41"/>
      <c r="L17" s="112"/>
      <c r="M17" s="112"/>
      <c r="N17" s="112"/>
      <c r="O17" s="112"/>
      <c r="P17" s="112"/>
      <c r="Q17" s="120"/>
      <c r="R17" s="86">
        <f t="shared" si="7"/>
        <v>0</v>
      </c>
      <c r="S17" s="124">
        <f t="shared" si="7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8"/>
        <v>24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4"/>
        <v>0</v>
      </c>
      <c r="K18" s="41"/>
      <c r="L18" s="112"/>
      <c r="M18" s="112"/>
      <c r="N18" s="112"/>
      <c r="O18" s="112"/>
      <c r="P18" s="112"/>
      <c r="Q18" s="120"/>
      <c r="R18" s="86">
        <f t="shared" si="7"/>
        <v>0</v>
      </c>
      <c r="S18" s="124">
        <f t="shared" si="7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8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4"/>
        <v>0</v>
      </c>
      <c r="K19" s="41"/>
      <c r="L19" s="112"/>
      <c r="M19" s="112"/>
      <c r="N19" s="112"/>
      <c r="O19" s="112"/>
      <c r="P19" s="112"/>
      <c r="Q19" s="120"/>
      <c r="R19" s="86">
        <f t="shared" si="7"/>
        <v>0</v>
      </c>
      <c r="S19" s="124">
        <f t="shared" si="7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4</v>
      </c>
      <c r="D20" s="111">
        <v>20</v>
      </c>
      <c r="E20" s="112"/>
      <c r="F20" s="112"/>
      <c r="G20" s="76"/>
      <c r="H20" s="73"/>
      <c r="I20" s="73">
        <f t="shared" si="4"/>
        <v>4</v>
      </c>
      <c r="J20" s="77">
        <f t="shared" si="4"/>
        <v>20</v>
      </c>
      <c r="K20" s="41"/>
      <c r="L20" s="112"/>
      <c r="M20" s="112"/>
      <c r="N20" s="112"/>
      <c r="O20" s="112"/>
      <c r="P20" s="112"/>
      <c r="Q20" s="120"/>
      <c r="R20" s="86">
        <f t="shared" si="7"/>
        <v>0</v>
      </c>
      <c r="S20" s="124">
        <f t="shared" si="7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8"/>
        <v>116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>
        <v>16</v>
      </c>
      <c r="E21" s="112"/>
      <c r="F21" s="112"/>
      <c r="G21" s="76"/>
      <c r="H21" s="73"/>
      <c r="I21" s="73">
        <f t="shared" si="4"/>
        <v>5</v>
      </c>
      <c r="J21" s="77">
        <f t="shared" si="4"/>
        <v>16</v>
      </c>
      <c r="K21" s="41"/>
      <c r="L21" s="112"/>
      <c r="M21" s="112"/>
      <c r="N21" s="112"/>
      <c r="O21" s="112"/>
      <c r="P21" s="112"/>
      <c r="Q21" s="120"/>
      <c r="R21" s="86">
        <f t="shared" si="7"/>
        <v>0</v>
      </c>
      <c r="S21" s="124">
        <f t="shared" si="7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8"/>
        <v>136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4</v>
      </c>
      <c r="D22" s="111"/>
      <c r="E22" s="112"/>
      <c r="F22" s="112"/>
      <c r="G22" s="76"/>
      <c r="H22" s="73"/>
      <c r="I22" s="73">
        <f t="shared" si="4"/>
        <v>4</v>
      </c>
      <c r="J22" s="77">
        <f t="shared" si="4"/>
        <v>0</v>
      </c>
      <c r="K22" s="41"/>
      <c r="L22" s="112"/>
      <c r="M22" s="112"/>
      <c r="N22" s="112"/>
      <c r="O22" s="112"/>
      <c r="P22" s="112"/>
      <c r="Q22" s="120"/>
      <c r="R22" s="86">
        <f t="shared" si="7"/>
        <v>0</v>
      </c>
      <c r="S22" s="124">
        <f t="shared" si="7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8"/>
        <v>96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>
        <v>2</v>
      </c>
      <c r="D23" s="111">
        <v>20</v>
      </c>
      <c r="E23" s="112"/>
      <c r="F23" s="112"/>
      <c r="G23" s="76"/>
      <c r="H23" s="73"/>
      <c r="I23" s="73">
        <f t="shared" si="4"/>
        <v>2</v>
      </c>
      <c r="J23" s="77">
        <f t="shared" si="4"/>
        <v>20</v>
      </c>
      <c r="K23" s="42"/>
      <c r="L23" s="112"/>
      <c r="M23" s="112"/>
      <c r="N23" s="112"/>
      <c r="O23" s="112"/>
      <c r="P23" s="112"/>
      <c r="Q23" s="120"/>
      <c r="R23" s="86">
        <f t="shared" si="7"/>
        <v>0</v>
      </c>
      <c r="S23" s="124">
        <f t="shared" si="7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8"/>
        <v>68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4"/>
        <v>19</v>
      </c>
      <c r="K24" s="42"/>
      <c r="L24" s="112"/>
      <c r="M24" s="112"/>
      <c r="N24" s="112"/>
      <c r="O24" s="112"/>
      <c r="P24" s="112"/>
      <c r="Q24" s="120"/>
      <c r="R24" s="86">
        <f t="shared" si="7"/>
        <v>0</v>
      </c>
      <c r="S24" s="124">
        <f t="shared" si="7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8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11</v>
      </c>
      <c r="D25" s="111"/>
      <c r="E25" s="112"/>
      <c r="F25" s="112"/>
      <c r="G25" s="76"/>
      <c r="H25" s="73"/>
      <c r="I25" s="73">
        <f t="shared" si="4"/>
        <v>11</v>
      </c>
      <c r="J25" s="77">
        <f t="shared" si="4"/>
        <v>0</v>
      </c>
      <c r="K25" s="41"/>
      <c r="L25" s="112"/>
      <c r="M25" s="112"/>
      <c r="N25" s="112"/>
      <c r="O25" s="112"/>
      <c r="P25" s="112"/>
      <c r="Q25" s="120"/>
      <c r="R25" s="86">
        <f t="shared" si="7"/>
        <v>0</v>
      </c>
      <c r="S25" s="124">
        <f t="shared" si="7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8"/>
        <v>264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10</v>
      </c>
      <c r="D26" s="111">
        <v>1</v>
      </c>
      <c r="E26" s="112"/>
      <c r="F26" s="112"/>
      <c r="G26" s="76">
        <v>4</v>
      </c>
      <c r="H26" s="73"/>
      <c r="I26" s="73">
        <f t="shared" si="4"/>
        <v>6</v>
      </c>
      <c r="J26" s="77">
        <f t="shared" si="4"/>
        <v>1</v>
      </c>
      <c r="K26" s="41"/>
      <c r="L26" s="112">
        <v>3</v>
      </c>
      <c r="M26" s="112"/>
      <c r="N26" s="112"/>
      <c r="O26" s="112"/>
      <c r="P26" s="112">
        <v>1</v>
      </c>
      <c r="Q26" s="120"/>
      <c r="R26" s="86">
        <f t="shared" si="7"/>
        <v>4</v>
      </c>
      <c r="S26" s="124">
        <f t="shared" si="7"/>
        <v>0</v>
      </c>
      <c r="T26" s="41"/>
      <c r="U26" s="107">
        <f t="shared" si="5"/>
        <v>96</v>
      </c>
      <c r="V26" s="130">
        <f t="shared" si="6"/>
        <v>4</v>
      </c>
      <c r="W26" s="129">
        <f t="shared" si="8"/>
        <v>145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>
        <v>6</v>
      </c>
      <c r="D27" s="111"/>
      <c r="E27" s="112"/>
      <c r="F27" s="112"/>
      <c r="G27" s="76"/>
      <c r="H27" s="73"/>
      <c r="I27" s="73">
        <f t="shared" si="4"/>
        <v>6</v>
      </c>
      <c r="J27" s="77">
        <f t="shared" si="4"/>
        <v>0</v>
      </c>
      <c r="K27" s="42"/>
      <c r="L27" s="112"/>
      <c r="M27" s="112"/>
      <c r="N27" s="112"/>
      <c r="O27" s="112"/>
      <c r="P27" s="112"/>
      <c r="Q27" s="120"/>
      <c r="R27" s="86">
        <f t="shared" si="7"/>
        <v>0</v>
      </c>
      <c r="S27" s="124">
        <f t="shared" si="7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8"/>
        <v>144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4</v>
      </c>
      <c r="D28" s="111"/>
      <c r="E28" s="112"/>
      <c r="F28" s="112"/>
      <c r="G28" s="76"/>
      <c r="H28" s="73"/>
      <c r="I28" s="73">
        <f t="shared" si="4"/>
        <v>4</v>
      </c>
      <c r="J28" s="77">
        <f t="shared" si="4"/>
        <v>0</v>
      </c>
      <c r="K28" s="42"/>
      <c r="L28" s="112"/>
      <c r="M28" s="112"/>
      <c r="N28" s="112"/>
      <c r="O28" s="112"/>
      <c r="P28" s="112"/>
      <c r="Q28" s="120"/>
      <c r="R28" s="86">
        <f t="shared" si="7"/>
        <v>0</v>
      </c>
      <c r="S28" s="124">
        <f t="shared" si="7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8"/>
        <v>96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4</v>
      </c>
      <c r="D29" s="111"/>
      <c r="E29" s="112"/>
      <c r="F29" s="112"/>
      <c r="G29" s="76">
        <v>3</v>
      </c>
      <c r="H29" s="73"/>
      <c r="I29" s="73">
        <f t="shared" si="4"/>
        <v>1</v>
      </c>
      <c r="J29" s="77">
        <f t="shared" si="4"/>
        <v>0</v>
      </c>
      <c r="K29" s="42"/>
      <c r="L29" s="112"/>
      <c r="M29" s="112"/>
      <c r="N29" s="112">
        <v>1</v>
      </c>
      <c r="O29" s="112"/>
      <c r="P29" s="112">
        <v>2</v>
      </c>
      <c r="Q29" s="120"/>
      <c r="R29" s="86">
        <f t="shared" si="7"/>
        <v>3</v>
      </c>
      <c r="S29" s="124">
        <f t="shared" si="7"/>
        <v>0</v>
      </c>
      <c r="T29" s="42"/>
      <c r="U29" s="107">
        <f t="shared" si="5"/>
        <v>72</v>
      </c>
      <c r="V29" s="130">
        <f t="shared" si="6"/>
        <v>3</v>
      </c>
      <c r="W29" s="129">
        <f t="shared" si="8"/>
        <v>24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64</v>
      </c>
      <c r="D30" s="111"/>
      <c r="E30" s="112"/>
      <c r="F30" s="112"/>
      <c r="G30" s="76">
        <v>3</v>
      </c>
      <c r="H30" s="73"/>
      <c r="I30" s="73">
        <f t="shared" si="4"/>
        <v>61</v>
      </c>
      <c r="J30" s="77">
        <f t="shared" si="4"/>
        <v>0</v>
      </c>
      <c r="K30" s="41"/>
      <c r="L30" s="112">
        <v>2</v>
      </c>
      <c r="M30" s="112"/>
      <c r="N30" s="112"/>
      <c r="O30" s="112"/>
      <c r="P30" s="112">
        <v>1</v>
      </c>
      <c r="Q30" s="120"/>
      <c r="R30" s="86">
        <f t="shared" si="7"/>
        <v>3</v>
      </c>
      <c r="S30" s="124">
        <f t="shared" si="7"/>
        <v>0</v>
      </c>
      <c r="T30" s="41"/>
      <c r="U30" s="107">
        <f t="shared" si="5"/>
        <v>72</v>
      </c>
      <c r="V30" s="130">
        <f t="shared" si="6"/>
        <v>3</v>
      </c>
      <c r="W30" s="129">
        <f t="shared" si="8"/>
        <v>1464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39</v>
      </c>
      <c r="D31" s="111"/>
      <c r="E31" s="112"/>
      <c r="F31" s="112"/>
      <c r="G31" s="76">
        <v>3</v>
      </c>
      <c r="H31" s="73"/>
      <c r="I31" s="73">
        <f t="shared" si="4"/>
        <v>36</v>
      </c>
      <c r="J31" s="77">
        <f t="shared" si="4"/>
        <v>0</v>
      </c>
      <c r="K31" s="41"/>
      <c r="L31" s="112">
        <v>2</v>
      </c>
      <c r="M31" s="112"/>
      <c r="N31" s="112"/>
      <c r="O31" s="112"/>
      <c r="P31" s="112">
        <v>1</v>
      </c>
      <c r="Q31" s="120"/>
      <c r="R31" s="86">
        <f t="shared" si="7"/>
        <v>3</v>
      </c>
      <c r="S31" s="124">
        <f t="shared" si="7"/>
        <v>0</v>
      </c>
      <c r="T31" s="41"/>
      <c r="U31" s="107">
        <f t="shared" si="5"/>
        <v>72</v>
      </c>
      <c r="V31" s="130">
        <f t="shared" si="6"/>
        <v>3</v>
      </c>
      <c r="W31" s="129">
        <f t="shared" si="8"/>
        <v>864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4"/>
        <v>0</v>
      </c>
      <c r="K32" s="41"/>
      <c r="L32" s="112"/>
      <c r="M32" s="112"/>
      <c r="N32" s="112"/>
      <c r="O32" s="112"/>
      <c r="P32" s="112"/>
      <c r="Q32" s="120"/>
      <c r="R32" s="86">
        <f t="shared" si="7"/>
        <v>0</v>
      </c>
      <c r="S32" s="124">
        <f t="shared" si="7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8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>
        <v>2</v>
      </c>
      <c r="D33" s="111"/>
      <c r="E33" s="112"/>
      <c r="F33" s="112"/>
      <c r="G33" s="76"/>
      <c r="H33" s="73"/>
      <c r="I33" s="73">
        <f t="shared" si="4"/>
        <v>2</v>
      </c>
      <c r="J33" s="77">
        <f t="shared" si="4"/>
        <v>0</v>
      </c>
      <c r="K33" s="41"/>
      <c r="L33" s="112"/>
      <c r="M33" s="112"/>
      <c r="N33" s="112"/>
      <c r="O33" s="112"/>
      <c r="P33" s="112"/>
      <c r="Q33" s="120"/>
      <c r="R33" s="86">
        <f t="shared" si="7"/>
        <v>0</v>
      </c>
      <c r="S33" s="124">
        <f t="shared" si="7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8"/>
        <v>48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4</v>
      </c>
      <c r="D34" s="111"/>
      <c r="E34" s="112"/>
      <c r="F34" s="112"/>
      <c r="G34" s="76"/>
      <c r="H34" s="73"/>
      <c r="I34" s="73">
        <f t="shared" si="4"/>
        <v>4</v>
      </c>
      <c r="J34" s="77">
        <f t="shared" si="4"/>
        <v>0</v>
      </c>
      <c r="K34" s="41"/>
      <c r="L34" s="112"/>
      <c r="M34" s="112"/>
      <c r="N34" s="112"/>
      <c r="O34" s="112"/>
      <c r="P34" s="112"/>
      <c r="Q34" s="120"/>
      <c r="R34" s="86">
        <f t="shared" si="7"/>
        <v>0</v>
      </c>
      <c r="S34" s="124">
        <f t="shared" si="7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8"/>
        <v>96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108</v>
      </c>
      <c r="D35" s="111">
        <v>1</v>
      </c>
      <c r="E35" s="112"/>
      <c r="F35" s="112"/>
      <c r="G35" s="76">
        <v>11</v>
      </c>
      <c r="H35" s="73"/>
      <c r="I35" s="73">
        <f t="shared" si="4"/>
        <v>97</v>
      </c>
      <c r="J35" s="77">
        <f t="shared" si="4"/>
        <v>1</v>
      </c>
      <c r="K35" s="41"/>
      <c r="L35" s="112">
        <v>10</v>
      </c>
      <c r="M35" s="112"/>
      <c r="N35" s="112">
        <v>1</v>
      </c>
      <c r="O35" s="112"/>
      <c r="P35" s="112"/>
      <c r="Q35" s="120"/>
      <c r="R35" s="86">
        <f t="shared" si="7"/>
        <v>11</v>
      </c>
      <c r="S35" s="124">
        <f t="shared" si="7"/>
        <v>0</v>
      </c>
      <c r="T35" s="41"/>
      <c r="U35" s="107">
        <f t="shared" si="5"/>
        <v>264</v>
      </c>
      <c r="V35" s="130">
        <f t="shared" si="6"/>
        <v>11</v>
      </c>
      <c r="W35" s="129">
        <f t="shared" si="8"/>
        <v>2329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4"/>
        <v>0</v>
      </c>
      <c r="K36" s="41"/>
      <c r="L36" s="112"/>
      <c r="M36" s="112"/>
      <c r="N36" s="112"/>
      <c r="O36" s="112"/>
      <c r="P36" s="112"/>
      <c r="Q36" s="120"/>
      <c r="R36" s="86">
        <f t="shared" si="7"/>
        <v>0</v>
      </c>
      <c r="S36" s="124">
        <f t="shared" si="7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>
        <v>2</v>
      </c>
      <c r="D37" s="111"/>
      <c r="E37" s="112"/>
      <c r="F37" s="112"/>
      <c r="G37" s="76"/>
      <c r="H37" s="73"/>
      <c r="I37" s="73">
        <f t="shared" si="4"/>
        <v>2</v>
      </c>
      <c r="J37" s="77">
        <f t="shared" si="4"/>
        <v>0</v>
      </c>
      <c r="K37" s="41"/>
      <c r="L37" s="112"/>
      <c r="M37" s="112"/>
      <c r="N37" s="112"/>
      <c r="O37" s="112"/>
      <c r="P37" s="112"/>
      <c r="Q37" s="120"/>
      <c r="R37" s="86">
        <f t="shared" si="7"/>
        <v>0</v>
      </c>
      <c r="S37" s="124">
        <f t="shared" si="7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8"/>
        <v>48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3571</v>
      </c>
      <c r="D38" s="114">
        <v>2</v>
      </c>
      <c r="E38" s="115"/>
      <c r="F38" s="115"/>
      <c r="G38" s="78">
        <v>165</v>
      </c>
      <c r="H38" s="79"/>
      <c r="I38" s="139">
        <f t="shared" si="4"/>
        <v>3406</v>
      </c>
      <c r="J38" s="140">
        <f t="shared" si="4"/>
        <v>2</v>
      </c>
      <c r="K38" s="51"/>
      <c r="L38" s="121">
        <v>10</v>
      </c>
      <c r="M38" s="121"/>
      <c r="N38" s="121">
        <v>35</v>
      </c>
      <c r="O38" s="121"/>
      <c r="P38" s="121">
        <v>120</v>
      </c>
      <c r="Q38" s="122"/>
      <c r="R38" s="97">
        <f t="shared" si="7"/>
        <v>165</v>
      </c>
      <c r="S38" s="125">
        <f t="shared" si="7"/>
        <v>0</v>
      </c>
      <c r="T38" s="51"/>
      <c r="U38" s="131">
        <f>L38*6+N38*6+P38*6</f>
        <v>990</v>
      </c>
      <c r="V38" s="135">
        <f>U38/6</f>
        <v>165</v>
      </c>
      <c r="W38" s="133">
        <f>I38*6+J38</f>
        <v>20438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>
        <v>7</v>
      </c>
      <c r="D39" s="111"/>
      <c r="E39" s="112"/>
      <c r="F39" s="112"/>
      <c r="G39" s="76"/>
      <c r="H39" s="73"/>
      <c r="I39" s="76">
        <f t="shared" si="4"/>
        <v>7</v>
      </c>
      <c r="J39" s="77">
        <f t="shared" si="4"/>
        <v>0</v>
      </c>
      <c r="K39" s="41"/>
      <c r="L39" s="112"/>
      <c r="M39" s="112"/>
      <c r="N39" s="112"/>
      <c r="O39" s="112"/>
      <c r="P39" s="112"/>
      <c r="Q39" s="120"/>
      <c r="R39" s="96">
        <f t="shared" si="7"/>
        <v>0</v>
      </c>
      <c r="S39" s="126">
        <f t="shared" si="7"/>
        <v>0</v>
      </c>
      <c r="T39" s="41"/>
      <c r="U39" s="107">
        <f t="shared" ref="U39:U41" si="9">L39*24+N39*24+P39*24</f>
        <v>0</v>
      </c>
      <c r="V39" s="109">
        <f t="shared" si="6"/>
        <v>0</v>
      </c>
      <c r="W39" s="129">
        <f t="shared" ref="W39:W41" si="10">I39*24+J39</f>
        <v>168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>
        <v>4</v>
      </c>
      <c r="D40" s="117"/>
      <c r="E40" s="118"/>
      <c r="F40" s="118"/>
      <c r="G40" s="82"/>
      <c r="H40" s="80"/>
      <c r="I40" s="73">
        <f t="shared" si="4"/>
        <v>4</v>
      </c>
      <c r="J40" s="77">
        <f t="shared" si="4"/>
        <v>0</v>
      </c>
      <c r="K40" s="41"/>
      <c r="L40" s="112"/>
      <c r="M40" s="112"/>
      <c r="N40" s="112"/>
      <c r="O40" s="112"/>
      <c r="P40" s="112"/>
      <c r="Q40" s="120"/>
      <c r="R40" s="86">
        <f t="shared" si="7"/>
        <v>0</v>
      </c>
      <c r="S40" s="124">
        <f t="shared" si="7"/>
        <v>0</v>
      </c>
      <c r="T40" s="41"/>
      <c r="U40" s="136">
        <f t="shared" si="9"/>
        <v>0</v>
      </c>
      <c r="V40" s="130">
        <f t="shared" si="6"/>
        <v>0</v>
      </c>
      <c r="W40" s="137">
        <f t="shared" si="10"/>
        <v>96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323</v>
      </c>
      <c r="D41" s="147">
        <v>20</v>
      </c>
      <c r="E41" s="148"/>
      <c r="F41" s="148"/>
      <c r="G41" s="149">
        <v>70</v>
      </c>
      <c r="H41" s="150"/>
      <c r="I41" s="151">
        <f t="shared" si="4"/>
        <v>253</v>
      </c>
      <c r="J41" s="152">
        <f t="shared" si="4"/>
        <v>20</v>
      </c>
      <c r="K41" s="153"/>
      <c r="L41" s="154">
        <v>65</v>
      </c>
      <c r="M41" s="154"/>
      <c r="N41" s="154">
        <v>5</v>
      </c>
      <c r="O41" s="154"/>
      <c r="P41" s="154"/>
      <c r="Q41" s="155"/>
      <c r="R41" s="156">
        <f t="shared" si="7"/>
        <v>70</v>
      </c>
      <c r="S41" s="157">
        <f t="shared" si="7"/>
        <v>0</v>
      </c>
      <c r="T41" s="153"/>
      <c r="U41" s="158">
        <f t="shared" si="9"/>
        <v>1680</v>
      </c>
      <c r="V41" s="159">
        <f t="shared" si="6"/>
        <v>70</v>
      </c>
      <c r="W41" s="159">
        <f t="shared" si="10"/>
        <v>6092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896</v>
      </c>
      <c r="D42" s="164"/>
      <c r="E42" s="165"/>
      <c r="F42" s="165"/>
      <c r="G42" s="166">
        <v>45</v>
      </c>
      <c r="H42" s="167"/>
      <c r="I42" s="166">
        <f t="shared" si="4"/>
        <v>851</v>
      </c>
      <c r="J42" s="168">
        <f t="shared" si="4"/>
        <v>0</v>
      </c>
      <c r="K42" s="169"/>
      <c r="L42" s="165">
        <v>24</v>
      </c>
      <c r="M42" s="165"/>
      <c r="N42" s="165">
        <v>1</v>
      </c>
      <c r="O42" s="165"/>
      <c r="P42" s="165">
        <v>20</v>
      </c>
      <c r="Q42" s="170"/>
      <c r="R42" s="171">
        <f t="shared" si="7"/>
        <v>45</v>
      </c>
      <c r="S42" s="172">
        <f t="shared" si="7"/>
        <v>0</v>
      </c>
      <c r="T42" s="169"/>
      <c r="U42" s="173">
        <f>L42*12+N42*12+P42*12</f>
        <v>540</v>
      </c>
      <c r="V42" s="174">
        <f>U42/12</f>
        <v>45</v>
      </c>
      <c r="W42" s="175">
        <f>I42*12+J42</f>
        <v>10212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73">
        <f t="shared" si="4"/>
        <v>0</v>
      </c>
      <c r="J43" s="94">
        <f t="shared" si="4"/>
        <v>0</v>
      </c>
      <c r="K43" s="41"/>
      <c r="L43" s="112"/>
      <c r="M43" s="112"/>
      <c r="N43" s="112"/>
      <c r="O43" s="112"/>
      <c r="P43" s="112"/>
      <c r="Q43" s="120"/>
      <c r="R43" s="161">
        <f t="shared" si="7"/>
        <v>0</v>
      </c>
      <c r="S43" s="127">
        <f t="shared" si="7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25126</v>
      </c>
      <c r="D44" s="114"/>
      <c r="E44" s="115"/>
      <c r="F44" s="115"/>
      <c r="G44" s="78">
        <v>1235</v>
      </c>
      <c r="H44" s="79"/>
      <c r="I44" s="73">
        <f>C44+E44-G44</f>
        <v>23891</v>
      </c>
      <c r="J44" s="177">
        <f t="shared" si="4"/>
        <v>0</v>
      </c>
      <c r="K44" s="51"/>
      <c r="L44" s="121">
        <v>331</v>
      </c>
      <c r="M44" s="121"/>
      <c r="N44" s="121">
        <v>338</v>
      </c>
      <c r="O44" s="121"/>
      <c r="P44" s="121">
        <v>566</v>
      </c>
      <c r="Q44" s="122"/>
      <c r="R44" s="178">
        <f t="shared" si="7"/>
        <v>1235</v>
      </c>
      <c r="S44" s="179">
        <f t="shared" si="7"/>
        <v>0</v>
      </c>
      <c r="T44" s="51"/>
      <c r="U44" s="131">
        <f>L44*6+N44*6+P44*6</f>
        <v>7410</v>
      </c>
      <c r="V44" s="130">
        <f>U44/6</f>
        <v>1235</v>
      </c>
      <c r="W44" s="133">
        <f>I44*6+J44</f>
        <v>143346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4"/>
        <v>0</v>
      </c>
      <c r="K45" s="41"/>
      <c r="L45" s="112"/>
      <c r="M45" s="112"/>
      <c r="N45" s="112"/>
      <c r="O45" s="112"/>
      <c r="P45" s="112"/>
      <c r="Q45" s="120"/>
      <c r="R45" s="96">
        <f t="shared" si="7"/>
        <v>0</v>
      </c>
      <c r="S45" s="127">
        <f t="shared" si="7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4"/>
        <v>0</v>
      </c>
      <c r="K46" s="41"/>
      <c r="L46" s="112"/>
      <c r="M46" s="112"/>
      <c r="N46" s="112"/>
      <c r="O46" s="112"/>
      <c r="P46" s="112"/>
      <c r="Q46" s="120"/>
      <c r="R46" s="86">
        <f t="shared" si="7"/>
        <v>0</v>
      </c>
      <c r="S46" s="128">
        <f t="shared" si="7"/>
        <v>0</v>
      </c>
      <c r="T46" s="41"/>
      <c r="U46" s="107">
        <f t="shared" ref="U46:U47" si="11">L46*24+N46*24+P46*24</f>
        <v>0</v>
      </c>
      <c r="V46" s="134">
        <f t="shared" ref="V46:V47" si="12">U46/24</f>
        <v>0</v>
      </c>
      <c r="W46" s="129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4"/>
        <v>0</v>
      </c>
      <c r="K47" s="41"/>
      <c r="L47" s="112"/>
      <c r="M47" s="112"/>
      <c r="N47" s="112"/>
      <c r="O47" s="112"/>
      <c r="P47" s="112"/>
      <c r="Q47" s="120"/>
      <c r="R47" s="86">
        <f t="shared" si="7"/>
        <v>0</v>
      </c>
      <c r="S47" s="124">
        <f t="shared" si="7"/>
        <v>0</v>
      </c>
      <c r="T47" s="41"/>
      <c r="U47" s="107">
        <f t="shared" si="11"/>
        <v>0</v>
      </c>
      <c r="V47" s="130">
        <f t="shared" si="12"/>
        <v>0</v>
      </c>
      <c r="W47" s="129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2841</v>
      </c>
      <c r="D48" s="142">
        <v>4</v>
      </c>
      <c r="E48" s="121"/>
      <c r="F48" s="121"/>
      <c r="G48" s="143">
        <v>5</v>
      </c>
      <c r="H48" s="139"/>
      <c r="I48" s="139">
        <f t="shared" si="4"/>
        <v>2836</v>
      </c>
      <c r="J48" s="140">
        <f t="shared" si="4"/>
        <v>4</v>
      </c>
      <c r="K48" s="51"/>
      <c r="L48" s="121">
        <v>5</v>
      </c>
      <c r="M48" s="121"/>
      <c r="N48" s="121"/>
      <c r="O48" s="121"/>
      <c r="P48" s="121"/>
      <c r="Q48" s="122"/>
      <c r="R48" s="97">
        <f t="shared" si="7"/>
        <v>5</v>
      </c>
      <c r="S48" s="144">
        <f t="shared" si="7"/>
        <v>0</v>
      </c>
      <c r="T48" s="51"/>
      <c r="U48" s="131">
        <f>L48*6+N48*6+P48*6</f>
        <v>30</v>
      </c>
      <c r="V48" s="135">
        <f>U48/6</f>
        <v>5</v>
      </c>
      <c r="W48" s="133">
        <f>I48*6+J48</f>
        <v>17020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73">
        <f t="shared" si="4"/>
        <v>1</v>
      </c>
      <c r="J49" s="77">
        <f t="shared" si="4"/>
        <v>0</v>
      </c>
      <c r="K49" s="41"/>
      <c r="L49" s="112"/>
      <c r="M49" s="112"/>
      <c r="N49" s="112"/>
      <c r="O49" s="112"/>
      <c r="P49" s="112"/>
      <c r="Q49" s="120"/>
      <c r="R49" s="96">
        <f t="shared" si="7"/>
        <v>0</v>
      </c>
      <c r="S49" s="126">
        <f t="shared" si="7"/>
        <v>0</v>
      </c>
      <c r="T49" s="41"/>
      <c r="U49" s="107">
        <f t="shared" ref="U49:U51" si="14">L49*24+N49*24+P49*24</f>
        <v>0</v>
      </c>
      <c r="V49" s="109">
        <f t="shared" ref="V49:V51" si="15">U49/24</f>
        <v>0</v>
      </c>
      <c r="W49" s="129">
        <f t="shared" ref="W49:W51" si="16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>
        <v>4</v>
      </c>
      <c r="D50" s="111"/>
      <c r="E50" s="112"/>
      <c r="F50" s="112"/>
      <c r="G50" s="76"/>
      <c r="H50" s="73"/>
      <c r="I50" s="73">
        <f t="shared" si="4"/>
        <v>4</v>
      </c>
      <c r="J50" s="77">
        <f t="shared" si="4"/>
        <v>0</v>
      </c>
      <c r="K50" s="41"/>
      <c r="L50" s="112"/>
      <c r="M50" s="112"/>
      <c r="N50" s="112"/>
      <c r="O50" s="112"/>
      <c r="P50" s="112"/>
      <c r="Q50" s="120"/>
      <c r="R50" s="86">
        <f t="shared" si="7"/>
        <v>0</v>
      </c>
      <c r="S50" s="124">
        <f t="shared" si="7"/>
        <v>0</v>
      </c>
      <c r="T50" s="41"/>
      <c r="U50" s="107">
        <f t="shared" si="14"/>
        <v>0</v>
      </c>
      <c r="V50" s="130">
        <f t="shared" si="15"/>
        <v>0</v>
      </c>
      <c r="W50" s="129">
        <f t="shared" si="16"/>
        <v>96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4"/>
        <v>0</v>
      </c>
      <c r="K51" s="41"/>
      <c r="L51" s="112"/>
      <c r="M51" s="112"/>
      <c r="N51" s="112"/>
      <c r="O51" s="112"/>
      <c r="P51" s="112"/>
      <c r="Q51" s="120"/>
      <c r="R51" s="86">
        <f t="shared" si="7"/>
        <v>0</v>
      </c>
      <c r="S51" s="124">
        <f t="shared" si="7"/>
        <v>0</v>
      </c>
      <c r="T51" s="41"/>
      <c r="U51" s="107">
        <f t="shared" si="14"/>
        <v>0</v>
      </c>
      <c r="V51" s="130">
        <f t="shared" si="15"/>
        <v>0</v>
      </c>
      <c r="W51" s="129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139">
        <f t="shared" si="4"/>
        <v>34</v>
      </c>
      <c r="J52" s="140">
        <f t="shared" si="4"/>
        <v>0</v>
      </c>
      <c r="K52" s="51"/>
      <c r="L52" s="121"/>
      <c r="M52" s="121"/>
      <c r="N52" s="121"/>
      <c r="O52" s="121"/>
      <c r="P52" s="121"/>
      <c r="Q52" s="122"/>
      <c r="R52" s="97">
        <f t="shared" si="7"/>
        <v>0</v>
      </c>
      <c r="S52" s="144">
        <f t="shared" si="7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>
        <v>2</v>
      </c>
      <c r="D53" s="111"/>
      <c r="E53" s="112"/>
      <c r="F53" s="112"/>
      <c r="G53" s="76"/>
      <c r="H53" s="73"/>
      <c r="I53" s="73">
        <f t="shared" si="4"/>
        <v>2</v>
      </c>
      <c r="J53" s="77">
        <f t="shared" si="4"/>
        <v>0</v>
      </c>
      <c r="K53" s="41"/>
      <c r="L53" s="112"/>
      <c r="M53" s="112"/>
      <c r="N53" s="112"/>
      <c r="O53" s="112"/>
      <c r="P53" s="112"/>
      <c r="Q53" s="120"/>
      <c r="R53" s="96">
        <f t="shared" si="7"/>
        <v>0</v>
      </c>
      <c r="S53" s="126">
        <f t="shared" si="7"/>
        <v>0</v>
      </c>
      <c r="T53" s="41"/>
      <c r="U53" s="107">
        <f t="shared" ref="U53:U54" si="17">L53*24+N53*24+P53*24</f>
        <v>0</v>
      </c>
      <c r="V53" s="109">
        <f t="shared" ref="V53:V54" si="18">U53/24</f>
        <v>0</v>
      </c>
      <c r="W53" s="129">
        <f t="shared" ref="W53:W54" si="19">I53*24+J53</f>
        <v>48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14</v>
      </c>
      <c r="D54" s="111"/>
      <c r="E54" s="112"/>
      <c r="F54" s="112"/>
      <c r="G54" s="76"/>
      <c r="H54" s="73"/>
      <c r="I54" s="73">
        <f t="shared" si="4"/>
        <v>14</v>
      </c>
      <c r="J54" s="77">
        <f t="shared" si="4"/>
        <v>0</v>
      </c>
      <c r="K54" s="41"/>
      <c r="L54" s="112"/>
      <c r="M54" s="112"/>
      <c r="N54" s="112"/>
      <c r="O54" s="112"/>
      <c r="P54" s="112"/>
      <c r="Q54" s="120"/>
      <c r="R54" s="86">
        <f t="shared" si="7"/>
        <v>0</v>
      </c>
      <c r="S54" s="124">
        <f t="shared" si="7"/>
        <v>0</v>
      </c>
      <c r="T54" s="41"/>
      <c r="U54" s="107">
        <f t="shared" si="17"/>
        <v>0</v>
      </c>
      <c r="V54" s="130">
        <f t="shared" si="18"/>
        <v>0</v>
      </c>
      <c r="W54" s="129">
        <f t="shared" si="19"/>
        <v>336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4"/>
        <v>0</v>
      </c>
      <c r="K55" s="41"/>
      <c r="L55" s="112"/>
      <c r="M55" s="112"/>
      <c r="N55" s="112"/>
      <c r="O55" s="112"/>
      <c r="P55" s="112"/>
      <c r="Q55" s="120"/>
      <c r="R55" s="86">
        <f t="shared" si="7"/>
        <v>0</v>
      </c>
      <c r="S55" s="124">
        <f t="shared" si="7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4"/>
        <v>0</v>
      </c>
      <c r="K56" s="41"/>
      <c r="L56" s="112"/>
      <c r="M56" s="112"/>
      <c r="N56" s="112"/>
      <c r="O56" s="112"/>
      <c r="P56" s="112"/>
      <c r="Q56" s="120"/>
      <c r="R56" s="86">
        <f t="shared" si="7"/>
        <v>0</v>
      </c>
      <c r="S56" s="124">
        <f t="shared" si="7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4"/>
        <v>0</v>
      </c>
      <c r="K57" s="41"/>
      <c r="L57" s="112"/>
      <c r="M57" s="112"/>
      <c r="N57" s="112"/>
      <c r="O57" s="112"/>
      <c r="P57" s="112"/>
      <c r="Q57" s="120"/>
      <c r="R57" s="86">
        <f t="shared" si="7"/>
        <v>0</v>
      </c>
      <c r="S57" s="124">
        <f t="shared" si="7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4"/>
        <v>0</v>
      </c>
      <c r="K58" s="41"/>
      <c r="L58" s="112"/>
      <c r="M58" s="112"/>
      <c r="N58" s="112"/>
      <c r="O58" s="112"/>
      <c r="P58" s="112"/>
      <c r="Q58" s="120"/>
      <c r="R58" s="86">
        <f t="shared" si="7"/>
        <v>0</v>
      </c>
      <c r="S58" s="124">
        <f t="shared" si="7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4"/>
        <v>0</v>
      </c>
      <c r="K59" s="41"/>
      <c r="L59" s="112"/>
      <c r="M59" s="112"/>
      <c r="N59" s="112"/>
      <c r="O59" s="112"/>
      <c r="P59" s="112"/>
      <c r="Q59" s="120"/>
      <c r="R59" s="86">
        <f t="shared" si="7"/>
        <v>0</v>
      </c>
      <c r="S59" s="124">
        <f t="shared" si="7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36873</v>
      </c>
      <c r="D60" s="54">
        <f>SUM(D8:D59)</f>
        <v>152</v>
      </c>
      <c r="E60" s="44">
        <f>SUM(E8:E59)</f>
        <v>0</v>
      </c>
      <c r="F60" s="44"/>
      <c r="G60" s="28">
        <f>SUM(G8:G59)</f>
        <v>1593</v>
      </c>
      <c r="H60" s="56">
        <f>SUM(H8:H59)</f>
        <v>37</v>
      </c>
      <c r="I60" s="56">
        <f>SUM(I8:I59)</f>
        <v>35280</v>
      </c>
      <c r="J60" s="45">
        <f>SUM(J8:J59)</f>
        <v>115</v>
      </c>
      <c r="K60" s="46"/>
      <c r="L60" s="74">
        <f t="shared" ref="L60:S60" si="20">SUM(L8:L59)</f>
        <v>467</v>
      </c>
      <c r="M60" s="74">
        <f t="shared" si="20"/>
        <v>21</v>
      </c>
      <c r="N60" s="74">
        <f t="shared" si="20"/>
        <v>394</v>
      </c>
      <c r="O60" s="74">
        <f t="shared" si="20"/>
        <v>3</v>
      </c>
      <c r="P60" s="74">
        <f t="shared" si="20"/>
        <v>732</v>
      </c>
      <c r="Q60" s="75">
        <f t="shared" si="20"/>
        <v>13</v>
      </c>
      <c r="R60" s="85">
        <f t="shared" si="20"/>
        <v>1593</v>
      </c>
      <c r="S60" s="84">
        <f t="shared" si="20"/>
        <v>37</v>
      </c>
      <c r="T60" s="46"/>
      <c r="U60" s="43">
        <f>SUM(U8:U59)</f>
        <v>12402</v>
      </c>
      <c r="V60" s="102">
        <f>SUM(V8:V59)</f>
        <v>1593</v>
      </c>
      <c r="W60" s="180">
        <f>SUM(W8:W59)</f>
        <v>293617</v>
      </c>
      <c r="X60" s="45"/>
    </row>
    <row r="61" spans="1:24" ht="19.5" thickBot="1" x14ac:dyDescent="0.3">
      <c r="V61" s="103"/>
    </row>
    <row r="62" spans="1:24" ht="18.75" customHeight="1" x14ac:dyDescent="0.25">
      <c r="G62" s="196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197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198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199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199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00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90" t="s">
        <v>3</v>
      </c>
      <c r="D69" s="191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75480-FCD6-4884-AC5D-70E16A571076}">
  <sheetPr>
    <pageSetUpPr fitToPage="1"/>
  </sheetPr>
  <dimension ref="A1:BH90"/>
  <sheetViews>
    <sheetView tabSelected="1" topLeftCell="A26" zoomScale="85" zoomScaleNormal="85" zoomScaleSheetLayoutView="85" zoomScalePageLayoutView="80" workbookViewId="0">
      <selection activeCell="S56" sqref="S56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9" style="2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01">
        <v>46128</v>
      </c>
      <c r="Q1" s="202"/>
      <c r="R1" s="202"/>
      <c r="S1" s="202"/>
      <c r="T1" s="202"/>
      <c r="U1" s="202"/>
      <c r="V1" s="202"/>
      <c r="W1" s="202"/>
      <c r="X1" s="203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04" t="s">
        <v>74</v>
      </c>
      <c r="C4" s="205" t="s">
        <v>3</v>
      </c>
      <c r="D4" s="206" t="s">
        <v>75</v>
      </c>
      <c r="E4" s="207" t="s">
        <v>4</v>
      </c>
      <c r="F4" s="208"/>
      <c r="G4" s="209" t="s">
        <v>5</v>
      </c>
      <c r="H4" s="211" t="s">
        <v>75</v>
      </c>
      <c r="I4" s="213" t="s">
        <v>6</v>
      </c>
      <c r="J4" s="211" t="s">
        <v>75</v>
      </c>
      <c r="L4" s="215" t="s">
        <v>7</v>
      </c>
      <c r="M4" s="216"/>
      <c r="N4" s="216"/>
      <c r="O4" s="216"/>
      <c r="P4" s="216"/>
      <c r="Q4" s="216"/>
      <c r="R4" s="216"/>
      <c r="S4" s="216"/>
      <c r="T4" s="216"/>
      <c r="U4" s="216"/>
      <c r="V4" s="217"/>
      <c r="W4" s="216"/>
      <c r="X4" s="218"/>
    </row>
    <row r="5" spans="1:60" s="3" customFormat="1" ht="57" thickBot="1" x14ac:dyDescent="0.3">
      <c r="A5" s="49"/>
      <c r="B5" s="204"/>
      <c r="C5" s="205"/>
      <c r="D5" s="206"/>
      <c r="E5" s="48" t="s">
        <v>8</v>
      </c>
      <c r="F5" s="195" t="s">
        <v>9</v>
      </c>
      <c r="G5" s="210"/>
      <c r="H5" s="212"/>
      <c r="I5" s="214"/>
      <c r="J5" s="212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>
        <v>45</v>
      </c>
      <c r="D8" s="111">
        <v>19</v>
      </c>
      <c r="E8" s="112"/>
      <c r="F8" s="112"/>
      <c r="G8" s="76">
        <v>3</v>
      </c>
      <c r="H8" s="73"/>
      <c r="I8" s="73">
        <f>C8-G8</f>
        <v>42</v>
      </c>
      <c r="J8" s="77">
        <f t="shared" ref="J8:J12" si="0">D8-H8</f>
        <v>19</v>
      </c>
      <c r="K8" s="41"/>
      <c r="L8" s="112">
        <v>2</v>
      </c>
      <c r="M8" s="112"/>
      <c r="N8" s="112"/>
      <c r="O8" s="112"/>
      <c r="P8" s="112">
        <v>1</v>
      </c>
      <c r="Q8" s="120"/>
      <c r="R8" s="86">
        <f t="shared" ref="R8:S12" si="1">L8+N8+P8</f>
        <v>3</v>
      </c>
      <c r="S8" s="124">
        <f t="shared" si="1"/>
        <v>0</v>
      </c>
      <c r="T8" s="41"/>
      <c r="U8" s="107">
        <f>L8*24+N8*24+P8*24</f>
        <v>72</v>
      </c>
      <c r="V8" s="130">
        <f>U8/24</f>
        <v>3</v>
      </c>
      <c r="W8" s="129">
        <f t="shared" ref="W8:W12" si="2">I8*24+J8</f>
        <v>1027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>
        <v>101</v>
      </c>
      <c r="D9" s="114"/>
      <c r="E9" s="115"/>
      <c r="F9" s="115"/>
      <c r="G9" s="78"/>
      <c r="H9" s="79"/>
      <c r="I9" s="78">
        <f t="shared" ref="I9:J59" si="4">C9-G9</f>
        <v>101</v>
      </c>
      <c r="J9" s="94">
        <f t="shared" si="0"/>
        <v>0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2424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>
        <v>75</v>
      </c>
      <c r="D10" s="111"/>
      <c r="E10" s="112"/>
      <c r="F10" s="112"/>
      <c r="G10" s="76">
        <v>3</v>
      </c>
      <c r="H10" s="73"/>
      <c r="I10" s="73">
        <f t="shared" si="4"/>
        <v>72</v>
      </c>
      <c r="J10" s="95">
        <f t="shared" si="0"/>
        <v>0</v>
      </c>
      <c r="K10" s="41"/>
      <c r="L10" s="112">
        <v>2</v>
      </c>
      <c r="M10" s="112"/>
      <c r="N10" s="112"/>
      <c r="O10" s="112"/>
      <c r="P10" s="112">
        <v>1</v>
      </c>
      <c r="Q10" s="120"/>
      <c r="R10" s="99">
        <f t="shared" si="1"/>
        <v>3</v>
      </c>
      <c r="S10" s="126">
        <f t="shared" si="1"/>
        <v>0</v>
      </c>
      <c r="T10" s="41"/>
      <c r="U10" s="107">
        <f>L10*24+N10*24+P10*24</f>
        <v>72</v>
      </c>
      <c r="V10" s="134">
        <f>U10/24</f>
        <v>3</v>
      </c>
      <c r="W10" s="129">
        <f t="shared" si="2"/>
        <v>1728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/>
      <c r="D11" s="111"/>
      <c r="E11" s="112"/>
      <c r="F11" s="112"/>
      <c r="G11" s="76"/>
      <c r="H11" s="73"/>
      <c r="I11" s="73">
        <f t="shared" si="4"/>
        <v>0</v>
      </c>
      <c r="J11" s="77">
        <f t="shared" si="0"/>
        <v>0</v>
      </c>
      <c r="K11" s="41"/>
      <c r="L11" s="112"/>
      <c r="M11" s="112"/>
      <c r="N11" s="112"/>
      <c r="O11" s="112"/>
      <c r="P11" s="112"/>
      <c r="Q11" s="120"/>
      <c r="R11" s="86">
        <f t="shared" si="1"/>
        <v>0</v>
      </c>
      <c r="S11" s="124">
        <f t="shared" si="1"/>
        <v>0</v>
      </c>
      <c r="T11" s="41"/>
      <c r="U11" s="107">
        <f>L11*24+N11*24+P11*24</f>
        <v>0</v>
      </c>
      <c r="V11" s="130">
        <f>U11/24</f>
        <v>0</v>
      </c>
      <c r="W11" s="129">
        <f t="shared" si="2"/>
        <v>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>
        <v>5</v>
      </c>
      <c r="D12" s="111"/>
      <c r="E12" s="112"/>
      <c r="F12" s="112"/>
      <c r="G12" s="76"/>
      <c r="H12" s="73"/>
      <c r="I12" s="73">
        <f t="shared" si="4"/>
        <v>5</v>
      </c>
      <c r="J12" s="77">
        <f t="shared" si="0"/>
        <v>0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120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>
        <v>3455</v>
      </c>
      <c r="D13" s="114">
        <v>1</v>
      </c>
      <c r="E13" s="115"/>
      <c r="F13" s="115"/>
      <c r="G13" s="78">
        <v>36</v>
      </c>
      <c r="H13" s="79">
        <v>11</v>
      </c>
      <c r="I13" s="80">
        <f t="shared" si="4"/>
        <v>3419</v>
      </c>
      <c r="J13" s="94">
        <f>D13-H13</f>
        <v>-10</v>
      </c>
      <c r="K13" s="53"/>
      <c r="L13" s="121">
        <v>6</v>
      </c>
      <c r="M13" s="121">
        <v>5</v>
      </c>
      <c r="N13" s="121">
        <v>14</v>
      </c>
      <c r="O13" s="121">
        <v>6</v>
      </c>
      <c r="P13" s="121">
        <v>16</v>
      </c>
      <c r="Q13" s="122"/>
      <c r="R13" s="97">
        <f>L13+N13+P13</f>
        <v>36</v>
      </c>
      <c r="S13" s="125">
        <f>M13+O13+Q13</f>
        <v>11</v>
      </c>
      <c r="T13" s="53"/>
      <c r="U13" s="131">
        <f>L13*24+N13*24+P13*24</f>
        <v>864</v>
      </c>
      <c r="V13" s="135">
        <f t="shared" si="6"/>
        <v>36</v>
      </c>
      <c r="W13" s="133">
        <f>I13*24+J13</f>
        <v>82046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>
        <v>4</v>
      </c>
      <c r="D14" s="111">
        <v>16</v>
      </c>
      <c r="E14" s="112"/>
      <c r="F14" s="112"/>
      <c r="G14" s="76"/>
      <c r="H14" s="73"/>
      <c r="I14" s="93">
        <f t="shared" si="4"/>
        <v>4</v>
      </c>
      <c r="J14" s="95">
        <f t="shared" si="4"/>
        <v>16</v>
      </c>
      <c r="K14" s="41"/>
      <c r="L14" s="112"/>
      <c r="M14" s="112"/>
      <c r="N14" s="112"/>
      <c r="O14" s="112"/>
      <c r="P14" s="112"/>
      <c r="Q14" s="120"/>
      <c r="R14" s="96">
        <f t="shared" ref="R14:S59" si="7">L14+N14+P14</f>
        <v>0</v>
      </c>
      <c r="S14" s="126">
        <f t="shared" si="7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8">I14*24+J14</f>
        <v>112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>
        <v>3</v>
      </c>
      <c r="D15" s="111"/>
      <c r="E15" s="112"/>
      <c r="F15" s="112"/>
      <c r="G15" s="76"/>
      <c r="H15" s="73"/>
      <c r="I15" s="73">
        <f t="shared" si="4"/>
        <v>3</v>
      </c>
      <c r="J15" s="77">
        <f t="shared" si="4"/>
        <v>0</v>
      </c>
      <c r="K15" s="41"/>
      <c r="L15" s="112"/>
      <c r="M15" s="112"/>
      <c r="N15" s="112"/>
      <c r="O15" s="112"/>
      <c r="P15" s="112"/>
      <c r="Q15" s="120"/>
      <c r="R15" s="86">
        <f t="shared" si="7"/>
        <v>0</v>
      </c>
      <c r="S15" s="124">
        <f t="shared" si="7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8"/>
        <v>72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>
        <v>2</v>
      </c>
      <c r="D16" s="111"/>
      <c r="E16" s="112"/>
      <c r="F16" s="112"/>
      <c r="G16" s="76"/>
      <c r="H16" s="73"/>
      <c r="I16" s="73">
        <f t="shared" si="4"/>
        <v>2</v>
      </c>
      <c r="J16" s="77">
        <f t="shared" si="4"/>
        <v>0</v>
      </c>
      <c r="K16" s="41"/>
      <c r="L16" s="112"/>
      <c r="M16" s="112"/>
      <c r="N16" s="112"/>
      <c r="O16" s="112"/>
      <c r="P16" s="112"/>
      <c r="Q16" s="120"/>
      <c r="R16" s="86">
        <f t="shared" si="7"/>
        <v>0</v>
      </c>
      <c r="S16" s="124">
        <f t="shared" si="7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8"/>
        <v>48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>
        <v>1</v>
      </c>
      <c r="D17" s="111"/>
      <c r="E17" s="112"/>
      <c r="F17" s="112"/>
      <c r="G17" s="76"/>
      <c r="H17" s="73"/>
      <c r="I17" s="73">
        <f t="shared" si="4"/>
        <v>1</v>
      </c>
      <c r="J17" s="77">
        <f t="shared" si="4"/>
        <v>0</v>
      </c>
      <c r="K17" s="41"/>
      <c r="L17" s="112"/>
      <c r="M17" s="112"/>
      <c r="N17" s="112"/>
      <c r="O17" s="112"/>
      <c r="P17" s="112"/>
      <c r="Q17" s="120"/>
      <c r="R17" s="86">
        <f t="shared" si="7"/>
        <v>0</v>
      </c>
      <c r="S17" s="124">
        <f t="shared" si="7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8"/>
        <v>24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>
        <v>3</v>
      </c>
      <c r="D18" s="111"/>
      <c r="E18" s="112"/>
      <c r="F18" s="112"/>
      <c r="G18" s="76"/>
      <c r="H18" s="73"/>
      <c r="I18" s="73">
        <f t="shared" si="4"/>
        <v>3</v>
      </c>
      <c r="J18" s="77">
        <f t="shared" si="4"/>
        <v>0</v>
      </c>
      <c r="K18" s="41"/>
      <c r="L18" s="112"/>
      <c r="M18" s="112"/>
      <c r="N18" s="112"/>
      <c r="O18" s="112"/>
      <c r="P18" s="112"/>
      <c r="Q18" s="120"/>
      <c r="R18" s="86">
        <f t="shared" si="7"/>
        <v>0</v>
      </c>
      <c r="S18" s="124">
        <f t="shared" si="7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8"/>
        <v>72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4"/>
        <v>0</v>
      </c>
      <c r="K19" s="41"/>
      <c r="L19" s="112"/>
      <c r="M19" s="112"/>
      <c r="N19" s="112"/>
      <c r="O19" s="112"/>
      <c r="P19" s="112"/>
      <c r="Q19" s="120"/>
      <c r="R19" s="86">
        <f t="shared" si="7"/>
        <v>0</v>
      </c>
      <c r="S19" s="124">
        <f t="shared" si="7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>
        <v>4</v>
      </c>
      <c r="D20" s="111">
        <v>20</v>
      </c>
      <c r="E20" s="112"/>
      <c r="F20" s="112"/>
      <c r="G20" s="76"/>
      <c r="H20" s="73"/>
      <c r="I20" s="73">
        <f t="shared" si="4"/>
        <v>4</v>
      </c>
      <c r="J20" s="77">
        <f t="shared" si="4"/>
        <v>20</v>
      </c>
      <c r="K20" s="41"/>
      <c r="L20" s="112"/>
      <c r="M20" s="112"/>
      <c r="N20" s="112"/>
      <c r="O20" s="112"/>
      <c r="P20" s="112"/>
      <c r="Q20" s="120"/>
      <c r="R20" s="86">
        <f t="shared" si="7"/>
        <v>0</v>
      </c>
      <c r="S20" s="124">
        <f t="shared" si="7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8"/>
        <v>116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>
        <v>5</v>
      </c>
      <c r="D21" s="111">
        <v>16</v>
      </c>
      <c r="E21" s="112"/>
      <c r="F21" s="112"/>
      <c r="G21" s="76"/>
      <c r="H21" s="73"/>
      <c r="I21" s="73">
        <f t="shared" si="4"/>
        <v>5</v>
      </c>
      <c r="J21" s="77">
        <f t="shared" si="4"/>
        <v>16</v>
      </c>
      <c r="K21" s="41"/>
      <c r="L21" s="112"/>
      <c r="M21" s="112"/>
      <c r="N21" s="112"/>
      <c r="O21" s="112"/>
      <c r="P21" s="112"/>
      <c r="Q21" s="120"/>
      <c r="R21" s="86">
        <f t="shared" si="7"/>
        <v>0</v>
      </c>
      <c r="S21" s="124">
        <f t="shared" si="7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8"/>
        <v>136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>
        <v>4</v>
      </c>
      <c r="D22" s="111"/>
      <c r="E22" s="112"/>
      <c r="F22" s="112"/>
      <c r="G22" s="76"/>
      <c r="H22" s="73"/>
      <c r="I22" s="73">
        <f t="shared" si="4"/>
        <v>4</v>
      </c>
      <c r="J22" s="77">
        <f t="shared" si="4"/>
        <v>0</v>
      </c>
      <c r="K22" s="41"/>
      <c r="L22" s="112"/>
      <c r="M22" s="112"/>
      <c r="N22" s="112"/>
      <c r="O22" s="112"/>
      <c r="P22" s="112"/>
      <c r="Q22" s="120"/>
      <c r="R22" s="86">
        <f t="shared" si="7"/>
        <v>0</v>
      </c>
      <c r="S22" s="124">
        <f t="shared" si="7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8"/>
        <v>96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>
        <v>2</v>
      </c>
      <c r="D23" s="111">
        <v>20</v>
      </c>
      <c r="E23" s="112"/>
      <c r="F23" s="112"/>
      <c r="G23" s="76"/>
      <c r="H23" s="73"/>
      <c r="I23" s="73">
        <f t="shared" si="4"/>
        <v>2</v>
      </c>
      <c r="J23" s="77">
        <f t="shared" si="4"/>
        <v>20</v>
      </c>
      <c r="K23" s="42"/>
      <c r="L23" s="112"/>
      <c r="M23" s="112"/>
      <c r="N23" s="112"/>
      <c r="O23" s="112"/>
      <c r="P23" s="112"/>
      <c r="Q23" s="120"/>
      <c r="R23" s="86">
        <f t="shared" si="7"/>
        <v>0</v>
      </c>
      <c r="S23" s="124">
        <f t="shared" si="7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8"/>
        <v>68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>
        <v>37</v>
      </c>
      <c r="D24" s="111">
        <v>19</v>
      </c>
      <c r="E24" s="112"/>
      <c r="F24" s="112"/>
      <c r="G24" s="76"/>
      <c r="H24" s="73"/>
      <c r="I24" s="73">
        <f t="shared" si="4"/>
        <v>37</v>
      </c>
      <c r="J24" s="77">
        <f t="shared" si="4"/>
        <v>19</v>
      </c>
      <c r="K24" s="42"/>
      <c r="L24" s="112"/>
      <c r="M24" s="112"/>
      <c r="N24" s="112"/>
      <c r="O24" s="112"/>
      <c r="P24" s="112"/>
      <c r="Q24" s="120"/>
      <c r="R24" s="86">
        <f t="shared" si="7"/>
        <v>0</v>
      </c>
      <c r="S24" s="124">
        <f t="shared" si="7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8"/>
        <v>907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>
        <v>11</v>
      </c>
      <c r="D25" s="111"/>
      <c r="E25" s="112"/>
      <c r="F25" s="112"/>
      <c r="G25" s="76"/>
      <c r="H25" s="73"/>
      <c r="I25" s="73">
        <f t="shared" si="4"/>
        <v>11</v>
      </c>
      <c r="J25" s="77">
        <f t="shared" si="4"/>
        <v>0</v>
      </c>
      <c r="K25" s="41"/>
      <c r="L25" s="112"/>
      <c r="M25" s="112"/>
      <c r="N25" s="112"/>
      <c r="O25" s="112"/>
      <c r="P25" s="112"/>
      <c r="Q25" s="120"/>
      <c r="R25" s="86">
        <f t="shared" si="7"/>
        <v>0</v>
      </c>
      <c r="S25" s="124">
        <f t="shared" si="7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8"/>
        <v>264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>
        <v>6</v>
      </c>
      <c r="D26" s="111">
        <v>1</v>
      </c>
      <c r="E26" s="112"/>
      <c r="F26" s="112"/>
      <c r="G26" s="76">
        <v>3</v>
      </c>
      <c r="H26" s="73"/>
      <c r="I26" s="73">
        <f t="shared" si="4"/>
        <v>3</v>
      </c>
      <c r="J26" s="77">
        <f t="shared" si="4"/>
        <v>1</v>
      </c>
      <c r="K26" s="41"/>
      <c r="L26" s="112">
        <v>1</v>
      </c>
      <c r="M26" s="112"/>
      <c r="N26" s="112">
        <v>1</v>
      </c>
      <c r="O26" s="112"/>
      <c r="P26" s="112">
        <v>1</v>
      </c>
      <c r="Q26" s="120"/>
      <c r="R26" s="86">
        <f t="shared" si="7"/>
        <v>3</v>
      </c>
      <c r="S26" s="124">
        <f t="shared" si="7"/>
        <v>0</v>
      </c>
      <c r="T26" s="41"/>
      <c r="U26" s="107">
        <f t="shared" si="5"/>
        <v>72</v>
      </c>
      <c r="V26" s="130">
        <f t="shared" si="6"/>
        <v>3</v>
      </c>
      <c r="W26" s="129">
        <f t="shared" si="8"/>
        <v>73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>
        <v>6</v>
      </c>
      <c r="D27" s="111"/>
      <c r="E27" s="112"/>
      <c r="F27" s="112"/>
      <c r="G27" s="76"/>
      <c r="H27" s="73"/>
      <c r="I27" s="73">
        <f t="shared" si="4"/>
        <v>6</v>
      </c>
      <c r="J27" s="77">
        <f t="shared" si="4"/>
        <v>0</v>
      </c>
      <c r="K27" s="42"/>
      <c r="L27" s="112"/>
      <c r="M27" s="112"/>
      <c r="N27" s="112"/>
      <c r="O27" s="112"/>
      <c r="P27" s="112"/>
      <c r="Q27" s="120"/>
      <c r="R27" s="86">
        <f t="shared" si="7"/>
        <v>0</v>
      </c>
      <c r="S27" s="124">
        <f t="shared" si="7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8"/>
        <v>144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>
        <v>4</v>
      </c>
      <c r="D28" s="111"/>
      <c r="E28" s="112"/>
      <c r="F28" s="112"/>
      <c r="G28" s="76"/>
      <c r="H28" s="73"/>
      <c r="I28" s="73">
        <f t="shared" si="4"/>
        <v>4</v>
      </c>
      <c r="J28" s="77">
        <f t="shared" si="4"/>
        <v>0</v>
      </c>
      <c r="K28" s="42"/>
      <c r="L28" s="112"/>
      <c r="M28" s="112"/>
      <c r="N28" s="112"/>
      <c r="O28" s="112"/>
      <c r="P28" s="112"/>
      <c r="Q28" s="120"/>
      <c r="R28" s="86">
        <f t="shared" si="7"/>
        <v>0</v>
      </c>
      <c r="S28" s="124">
        <f t="shared" si="7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8"/>
        <v>96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>
        <v>1</v>
      </c>
      <c r="D29" s="111"/>
      <c r="E29" s="112"/>
      <c r="F29" s="112"/>
      <c r="G29" s="76">
        <v>1</v>
      </c>
      <c r="H29" s="73"/>
      <c r="I29" s="73">
        <f t="shared" si="4"/>
        <v>0</v>
      </c>
      <c r="J29" s="77">
        <f t="shared" si="4"/>
        <v>0</v>
      </c>
      <c r="K29" s="42"/>
      <c r="L29" s="112"/>
      <c r="M29" s="112"/>
      <c r="N29" s="112">
        <v>1</v>
      </c>
      <c r="O29" s="112"/>
      <c r="P29" s="112"/>
      <c r="Q29" s="120"/>
      <c r="R29" s="86">
        <f t="shared" si="7"/>
        <v>1</v>
      </c>
      <c r="S29" s="124">
        <f t="shared" si="7"/>
        <v>0</v>
      </c>
      <c r="T29" s="42"/>
      <c r="U29" s="107">
        <f t="shared" si="5"/>
        <v>24</v>
      </c>
      <c r="V29" s="130">
        <f t="shared" si="6"/>
        <v>1</v>
      </c>
      <c r="W29" s="129">
        <f t="shared" si="8"/>
        <v>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>
        <v>61</v>
      </c>
      <c r="D30" s="111"/>
      <c r="E30" s="112"/>
      <c r="F30" s="112"/>
      <c r="G30" s="76">
        <v>1</v>
      </c>
      <c r="H30" s="73"/>
      <c r="I30" s="73">
        <f t="shared" si="4"/>
        <v>60</v>
      </c>
      <c r="J30" s="77">
        <f t="shared" si="4"/>
        <v>0</v>
      </c>
      <c r="K30" s="41"/>
      <c r="L30" s="112">
        <v>1</v>
      </c>
      <c r="M30" s="112"/>
      <c r="N30" s="112"/>
      <c r="O30" s="112"/>
      <c r="P30" s="112"/>
      <c r="Q30" s="120"/>
      <c r="R30" s="86">
        <f t="shared" si="7"/>
        <v>1</v>
      </c>
      <c r="S30" s="124">
        <f t="shared" si="7"/>
        <v>0</v>
      </c>
      <c r="T30" s="41"/>
      <c r="U30" s="107">
        <f t="shared" si="5"/>
        <v>24</v>
      </c>
      <c r="V30" s="130">
        <f t="shared" si="6"/>
        <v>1</v>
      </c>
      <c r="W30" s="129">
        <f t="shared" si="8"/>
        <v>1440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>
        <v>36</v>
      </c>
      <c r="D31" s="111"/>
      <c r="E31" s="112"/>
      <c r="F31" s="112"/>
      <c r="G31" s="76">
        <v>1</v>
      </c>
      <c r="H31" s="73"/>
      <c r="I31" s="73">
        <f t="shared" si="4"/>
        <v>35</v>
      </c>
      <c r="J31" s="77">
        <f t="shared" si="4"/>
        <v>0</v>
      </c>
      <c r="K31" s="41"/>
      <c r="L31" s="112"/>
      <c r="M31" s="112"/>
      <c r="N31" s="112"/>
      <c r="O31" s="112"/>
      <c r="P31" s="112">
        <v>1</v>
      </c>
      <c r="Q31" s="120"/>
      <c r="R31" s="86">
        <f t="shared" si="7"/>
        <v>1</v>
      </c>
      <c r="S31" s="124">
        <f t="shared" si="7"/>
        <v>0</v>
      </c>
      <c r="T31" s="41"/>
      <c r="U31" s="107">
        <f t="shared" si="5"/>
        <v>24</v>
      </c>
      <c r="V31" s="130">
        <f t="shared" si="6"/>
        <v>1</v>
      </c>
      <c r="W31" s="129">
        <f t="shared" si="8"/>
        <v>840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4"/>
        <v>0</v>
      </c>
      <c r="K32" s="41"/>
      <c r="L32" s="112"/>
      <c r="M32" s="112"/>
      <c r="N32" s="112"/>
      <c r="O32" s="112"/>
      <c r="P32" s="112"/>
      <c r="Q32" s="120"/>
      <c r="R32" s="86">
        <f t="shared" si="7"/>
        <v>0</v>
      </c>
      <c r="S32" s="124">
        <f t="shared" si="7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8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>
        <v>2</v>
      </c>
      <c r="D33" s="111"/>
      <c r="E33" s="112"/>
      <c r="F33" s="112"/>
      <c r="G33" s="76"/>
      <c r="H33" s="73"/>
      <c r="I33" s="73">
        <f t="shared" si="4"/>
        <v>2</v>
      </c>
      <c r="J33" s="77">
        <f t="shared" si="4"/>
        <v>0</v>
      </c>
      <c r="K33" s="41"/>
      <c r="L33" s="112"/>
      <c r="M33" s="112"/>
      <c r="N33" s="112"/>
      <c r="O33" s="112"/>
      <c r="P33" s="112"/>
      <c r="Q33" s="120"/>
      <c r="R33" s="86">
        <f t="shared" si="7"/>
        <v>0</v>
      </c>
      <c r="S33" s="124">
        <f t="shared" si="7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8"/>
        <v>48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>
        <v>4</v>
      </c>
      <c r="D34" s="111"/>
      <c r="E34" s="112"/>
      <c r="F34" s="112"/>
      <c r="G34" s="76"/>
      <c r="H34" s="73"/>
      <c r="I34" s="73">
        <f t="shared" si="4"/>
        <v>4</v>
      </c>
      <c r="J34" s="77">
        <f t="shared" si="4"/>
        <v>0</v>
      </c>
      <c r="K34" s="41"/>
      <c r="L34" s="112"/>
      <c r="M34" s="112"/>
      <c r="N34" s="112"/>
      <c r="O34" s="112"/>
      <c r="P34" s="112"/>
      <c r="Q34" s="120"/>
      <c r="R34" s="86">
        <f t="shared" si="7"/>
        <v>0</v>
      </c>
      <c r="S34" s="124">
        <f t="shared" si="7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8"/>
        <v>96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>
        <v>97</v>
      </c>
      <c r="D35" s="111">
        <v>1</v>
      </c>
      <c r="E35" s="112"/>
      <c r="F35" s="112"/>
      <c r="G35" s="76">
        <v>2</v>
      </c>
      <c r="H35" s="73"/>
      <c r="I35" s="73">
        <f t="shared" si="4"/>
        <v>95</v>
      </c>
      <c r="J35" s="77">
        <f t="shared" si="4"/>
        <v>1</v>
      </c>
      <c r="K35" s="41"/>
      <c r="L35" s="112"/>
      <c r="M35" s="112"/>
      <c r="N35" s="112">
        <v>1</v>
      </c>
      <c r="O35" s="112"/>
      <c r="P35" s="112">
        <v>1</v>
      </c>
      <c r="Q35" s="120"/>
      <c r="R35" s="86">
        <f t="shared" si="7"/>
        <v>2</v>
      </c>
      <c r="S35" s="124">
        <f t="shared" si="7"/>
        <v>0</v>
      </c>
      <c r="T35" s="41"/>
      <c r="U35" s="107">
        <f t="shared" si="5"/>
        <v>48</v>
      </c>
      <c r="V35" s="130">
        <f t="shared" si="6"/>
        <v>2</v>
      </c>
      <c r="W35" s="129">
        <f t="shared" si="8"/>
        <v>2281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4"/>
        <v>0</v>
      </c>
      <c r="K36" s="41"/>
      <c r="L36" s="112"/>
      <c r="M36" s="112"/>
      <c r="N36" s="112"/>
      <c r="O36" s="112"/>
      <c r="P36" s="112"/>
      <c r="Q36" s="120"/>
      <c r="R36" s="86">
        <f t="shared" si="7"/>
        <v>0</v>
      </c>
      <c r="S36" s="124">
        <f t="shared" si="7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>
        <v>2</v>
      </c>
      <c r="D37" s="111"/>
      <c r="E37" s="112"/>
      <c r="F37" s="112"/>
      <c r="G37" s="76"/>
      <c r="H37" s="73"/>
      <c r="I37" s="73">
        <f t="shared" si="4"/>
        <v>2</v>
      </c>
      <c r="J37" s="77">
        <f t="shared" si="4"/>
        <v>0</v>
      </c>
      <c r="K37" s="41"/>
      <c r="L37" s="112"/>
      <c r="M37" s="112"/>
      <c r="N37" s="112"/>
      <c r="O37" s="112"/>
      <c r="P37" s="112"/>
      <c r="Q37" s="120"/>
      <c r="R37" s="86">
        <f t="shared" si="7"/>
        <v>0</v>
      </c>
      <c r="S37" s="124">
        <f t="shared" si="7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8"/>
        <v>48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>
        <v>3406</v>
      </c>
      <c r="D38" s="114">
        <v>2</v>
      </c>
      <c r="E38" s="115"/>
      <c r="F38" s="115"/>
      <c r="G38" s="78">
        <v>124</v>
      </c>
      <c r="H38" s="79"/>
      <c r="I38" s="139">
        <f t="shared" si="4"/>
        <v>3282</v>
      </c>
      <c r="J38" s="140">
        <f t="shared" si="4"/>
        <v>2</v>
      </c>
      <c r="K38" s="51"/>
      <c r="L38" s="121">
        <v>45</v>
      </c>
      <c r="M38" s="121"/>
      <c r="N38" s="121">
        <v>58</v>
      </c>
      <c r="O38" s="121"/>
      <c r="P38" s="121">
        <v>21</v>
      </c>
      <c r="Q38" s="122"/>
      <c r="R38" s="97">
        <f t="shared" si="7"/>
        <v>124</v>
      </c>
      <c r="S38" s="125">
        <f t="shared" si="7"/>
        <v>0</v>
      </c>
      <c r="T38" s="51"/>
      <c r="U38" s="131">
        <f>L38*6+N38*6+P38*6</f>
        <v>744</v>
      </c>
      <c r="V38" s="135">
        <f>U38/6</f>
        <v>124</v>
      </c>
      <c r="W38" s="133">
        <f>I38*6+J38</f>
        <v>19694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>
        <v>7</v>
      </c>
      <c r="D39" s="111"/>
      <c r="E39" s="112"/>
      <c r="F39" s="112"/>
      <c r="G39" s="76"/>
      <c r="H39" s="73"/>
      <c r="I39" s="76">
        <f t="shared" si="4"/>
        <v>7</v>
      </c>
      <c r="J39" s="77">
        <f t="shared" si="4"/>
        <v>0</v>
      </c>
      <c r="K39" s="41"/>
      <c r="L39" s="112"/>
      <c r="M39" s="112"/>
      <c r="N39" s="112"/>
      <c r="O39" s="112"/>
      <c r="P39" s="112"/>
      <c r="Q39" s="120"/>
      <c r="R39" s="96">
        <f t="shared" si="7"/>
        <v>0</v>
      </c>
      <c r="S39" s="126">
        <f t="shared" si="7"/>
        <v>0</v>
      </c>
      <c r="T39" s="41"/>
      <c r="U39" s="107">
        <f t="shared" ref="U39:U41" si="9">L39*24+N39*24+P39*24</f>
        <v>0</v>
      </c>
      <c r="V39" s="109">
        <f t="shared" si="6"/>
        <v>0</v>
      </c>
      <c r="W39" s="129">
        <f t="shared" ref="W39:W41" si="10">I39*24+J39</f>
        <v>168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>
        <v>4</v>
      </c>
      <c r="D40" s="117"/>
      <c r="E40" s="118"/>
      <c r="F40" s="118"/>
      <c r="G40" s="82"/>
      <c r="H40" s="80"/>
      <c r="I40" s="73">
        <f t="shared" si="4"/>
        <v>4</v>
      </c>
      <c r="J40" s="77">
        <f t="shared" si="4"/>
        <v>0</v>
      </c>
      <c r="K40" s="41"/>
      <c r="L40" s="112"/>
      <c r="M40" s="112"/>
      <c r="N40" s="112"/>
      <c r="O40" s="112"/>
      <c r="P40" s="112"/>
      <c r="Q40" s="120"/>
      <c r="R40" s="86">
        <f t="shared" si="7"/>
        <v>0</v>
      </c>
      <c r="S40" s="124">
        <f t="shared" si="7"/>
        <v>0</v>
      </c>
      <c r="T40" s="41"/>
      <c r="U40" s="136">
        <f t="shared" si="9"/>
        <v>0</v>
      </c>
      <c r="V40" s="130">
        <f t="shared" si="6"/>
        <v>0</v>
      </c>
      <c r="W40" s="137">
        <f t="shared" si="10"/>
        <v>96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>
        <v>253</v>
      </c>
      <c r="D41" s="147">
        <v>20</v>
      </c>
      <c r="E41" s="148"/>
      <c r="F41" s="148"/>
      <c r="G41" s="149"/>
      <c r="H41" s="150"/>
      <c r="I41" s="151">
        <f t="shared" si="4"/>
        <v>253</v>
      </c>
      <c r="J41" s="152">
        <f t="shared" si="4"/>
        <v>20</v>
      </c>
      <c r="K41" s="153"/>
      <c r="L41" s="154"/>
      <c r="M41" s="154"/>
      <c r="N41" s="154"/>
      <c r="O41" s="154"/>
      <c r="P41" s="154"/>
      <c r="Q41" s="155"/>
      <c r="R41" s="156">
        <f t="shared" si="7"/>
        <v>0</v>
      </c>
      <c r="S41" s="157">
        <f t="shared" si="7"/>
        <v>0</v>
      </c>
      <c r="T41" s="153"/>
      <c r="U41" s="158">
        <f t="shared" si="9"/>
        <v>0</v>
      </c>
      <c r="V41" s="159">
        <f t="shared" si="6"/>
        <v>0</v>
      </c>
      <c r="W41" s="159">
        <f t="shared" si="10"/>
        <v>6092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>
        <v>851</v>
      </c>
      <c r="D42" s="164"/>
      <c r="E42" s="165"/>
      <c r="F42" s="165"/>
      <c r="G42" s="166">
        <v>23</v>
      </c>
      <c r="H42" s="167"/>
      <c r="I42" s="166">
        <f t="shared" si="4"/>
        <v>828</v>
      </c>
      <c r="J42" s="168">
        <f t="shared" si="4"/>
        <v>0</v>
      </c>
      <c r="K42" s="169"/>
      <c r="L42" s="165">
        <v>2</v>
      </c>
      <c r="M42" s="165"/>
      <c r="N42" s="165">
        <v>2</v>
      </c>
      <c r="O42" s="165"/>
      <c r="P42" s="165">
        <v>19</v>
      </c>
      <c r="Q42" s="170"/>
      <c r="R42" s="171">
        <f t="shared" si="7"/>
        <v>23</v>
      </c>
      <c r="S42" s="172">
        <f t="shared" si="7"/>
        <v>0</v>
      </c>
      <c r="T42" s="169"/>
      <c r="U42" s="173">
        <f>L42*12+N42*12+P42*12</f>
        <v>276</v>
      </c>
      <c r="V42" s="174">
        <f>U42/12</f>
        <v>23</v>
      </c>
      <c r="W42" s="175">
        <f>I42*12+J42</f>
        <v>9936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73">
        <f t="shared" si="4"/>
        <v>0</v>
      </c>
      <c r="J43" s="94">
        <f t="shared" si="4"/>
        <v>0</v>
      </c>
      <c r="K43" s="41"/>
      <c r="L43" s="112"/>
      <c r="M43" s="112"/>
      <c r="N43" s="112"/>
      <c r="O43" s="112"/>
      <c r="P43" s="112"/>
      <c r="Q43" s="120"/>
      <c r="R43" s="161">
        <f t="shared" si="7"/>
        <v>0</v>
      </c>
      <c r="S43" s="127">
        <f t="shared" si="7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>
        <v>23890</v>
      </c>
      <c r="D44" s="114">
        <v>5</v>
      </c>
      <c r="E44" s="115"/>
      <c r="F44" s="115"/>
      <c r="G44" s="78">
        <v>1113</v>
      </c>
      <c r="H44" s="79"/>
      <c r="I44" s="73">
        <f>C44+E44-G44</f>
        <v>22777</v>
      </c>
      <c r="J44" s="177">
        <f t="shared" si="4"/>
        <v>5</v>
      </c>
      <c r="K44" s="51"/>
      <c r="L44" s="121">
        <v>319</v>
      </c>
      <c r="M44" s="121"/>
      <c r="N44" s="121">
        <v>317</v>
      </c>
      <c r="O44" s="121"/>
      <c r="P44" s="121">
        <v>477</v>
      </c>
      <c r="Q44" s="122"/>
      <c r="R44" s="178">
        <f t="shared" si="7"/>
        <v>1113</v>
      </c>
      <c r="S44" s="179">
        <f t="shared" si="7"/>
        <v>0</v>
      </c>
      <c r="T44" s="51"/>
      <c r="U44" s="131">
        <f>L44*6+N44*6+P44*6</f>
        <v>6678</v>
      </c>
      <c r="V44" s="130">
        <f>U44/6</f>
        <v>1113</v>
      </c>
      <c r="W44" s="133">
        <f>I44*6+J44</f>
        <v>136667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4"/>
        <v>0</v>
      </c>
      <c r="K45" s="41"/>
      <c r="L45" s="112"/>
      <c r="M45" s="112"/>
      <c r="N45" s="112"/>
      <c r="O45" s="112"/>
      <c r="P45" s="112"/>
      <c r="Q45" s="120"/>
      <c r="R45" s="96">
        <f t="shared" si="7"/>
        <v>0</v>
      </c>
      <c r="S45" s="127">
        <f t="shared" si="7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4"/>
        <v>0</v>
      </c>
      <c r="K46" s="41"/>
      <c r="L46" s="112"/>
      <c r="M46" s="112"/>
      <c r="N46" s="112"/>
      <c r="O46" s="112"/>
      <c r="P46" s="112"/>
      <c r="Q46" s="120"/>
      <c r="R46" s="86">
        <f t="shared" si="7"/>
        <v>0</v>
      </c>
      <c r="S46" s="128">
        <f t="shared" si="7"/>
        <v>0</v>
      </c>
      <c r="T46" s="41"/>
      <c r="U46" s="107">
        <f t="shared" ref="U46:U47" si="11">L46*24+N46*24+P46*24</f>
        <v>0</v>
      </c>
      <c r="V46" s="134">
        <f t="shared" ref="V46:V47" si="12">U46/24</f>
        <v>0</v>
      </c>
      <c r="W46" s="129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4"/>
        <v>0</v>
      </c>
      <c r="K47" s="41"/>
      <c r="L47" s="112"/>
      <c r="M47" s="112"/>
      <c r="N47" s="112"/>
      <c r="O47" s="112"/>
      <c r="P47" s="112"/>
      <c r="Q47" s="120"/>
      <c r="R47" s="86">
        <f t="shared" si="7"/>
        <v>0</v>
      </c>
      <c r="S47" s="124">
        <f t="shared" si="7"/>
        <v>0</v>
      </c>
      <c r="T47" s="41"/>
      <c r="U47" s="107">
        <f t="shared" si="11"/>
        <v>0</v>
      </c>
      <c r="V47" s="130">
        <f t="shared" si="12"/>
        <v>0</v>
      </c>
      <c r="W47" s="129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>
        <v>2836</v>
      </c>
      <c r="D48" s="142">
        <v>4</v>
      </c>
      <c r="E48" s="121"/>
      <c r="F48" s="121"/>
      <c r="G48" s="143">
        <v>6</v>
      </c>
      <c r="H48" s="139"/>
      <c r="I48" s="139">
        <f t="shared" si="4"/>
        <v>2830</v>
      </c>
      <c r="J48" s="140">
        <f t="shared" si="4"/>
        <v>4</v>
      </c>
      <c r="K48" s="51"/>
      <c r="L48" s="121">
        <v>6</v>
      </c>
      <c r="M48" s="121"/>
      <c r="N48" s="121"/>
      <c r="O48" s="121"/>
      <c r="P48" s="121"/>
      <c r="Q48" s="122"/>
      <c r="R48" s="97">
        <f t="shared" si="7"/>
        <v>6</v>
      </c>
      <c r="S48" s="144">
        <f t="shared" si="7"/>
        <v>0</v>
      </c>
      <c r="T48" s="51"/>
      <c r="U48" s="131">
        <f>L48*6+N48*6+P48*6</f>
        <v>36</v>
      </c>
      <c r="V48" s="135">
        <f>U48/6</f>
        <v>6</v>
      </c>
      <c r="W48" s="133">
        <f>I48*6+J48</f>
        <v>16984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>
        <v>1</v>
      </c>
      <c r="D49" s="111"/>
      <c r="E49" s="112"/>
      <c r="F49" s="112"/>
      <c r="G49" s="76"/>
      <c r="H49" s="73"/>
      <c r="I49" s="73">
        <f t="shared" si="4"/>
        <v>1</v>
      </c>
      <c r="J49" s="77">
        <f t="shared" si="4"/>
        <v>0</v>
      </c>
      <c r="K49" s="41"/>
      <c r="L49" s="112"/>
      <c r="M49" s="112"/>
      <c r="N49" s="112"/>
      <c r="O49" s="112"/>
      <c r="P49" s="112"/>
      <c r="Q49" s="120"/>
      <c r="R49" s="96">
        <f t="shared" si="7"/>
        <v>0</v>
      </c>
      <c r="S49" s="126">
        <f t="shared" si="7"/>
        <v>0</v>
      </c>
      <c r="T49" s="41"/>
      <c r="U49" s="107">
        <f t="shared" ref="U49:U51" si="14">L49*24+N49*24+P49*24</f>
        <v>0</v>
      </c>
      <c r="V49" s="109">
        <f t="shared" ref="V49:V51" si="15">U49/24</f>
        <v>0</v>
      </c>
      <c r="W49" s="129">
        <f t="shared" ref="W49:W51" si="16">I49*24+J49</f>
        <v>24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>
        <v>4</v>
      </c>
      <c r="D50" s="111"/>
      <c r="E50" s="112"/>
      <c r="F50" s="112"/>
      <c r="G50" s="76"/>
      <c r="H50" s="73"/>
      <c r="I50" s="73">
        <f t="shared" si="4"/>
        <v>4</v>
      </c>
      <c r="J50" s="77">
        <f t="shared" si="4"/>
        <v>0</v>
      </c>
      <c r="K50" s="41"/>
      <c r="L50" s="112"/>
      <c r="M50" s="112"/>
      <c r="N50" s="112"/>
      <c r="O50" s="112"/>
      <c r="P50" s="112"/>
      <c r="Q50" s="120"/>
      <c r="R50" s="86">
        <f t="shared" si="7"/>
        <v>0</v>
      </c>
      <c r="S50" s="124">
        <f t="shared" si="7"/>
        <v>0</v>
      </c>
      <c r="T50" s="41"/>
      <c r="U50" s="107">
        <f t="shared" si="14"/>
        <v>0</v>
      </c>
      <c r="V50" s="130">
        <f t="shared" si="15"/>
        <v>0</v>
      </c>
      <c r="W50" s="129">
        <f t="shared" si="16"/>
        <v>96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4"/>
        <v>0</v>
      </c>
      <c r="K51" s="41"/>
      <c r="L51" s="112"/>
      <c r="M51" s="112"/>
      <c r="N51" s="112"/>
      <c r="O51" s="112"/>
      <c r="P51" s="112"/>
      <c r="Q51" s="120"/>
      <c r="R51" s="86">
        <f t="shared" si="7"/>
        <v>0</v>
      </c>
      <c r="S51" s="124">
        <f t="shared" si="7"/>
        <v>0</v>
      </c>
      <c r="T51" s="41"/>
      <c r="U51" s="107">
        <f t="shared" si="14"/>
        <v>0</v>
      </c>
      <c r="V51" s="130">
        <f t="shared" si="15"/>
        <v>0</v>
      </c>
      <c r="W51" s="129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>
        <v>34</v>
      </c>
      <c r="D52" s="142"/>
      <c r="E52" s="121"/>
      <c r="F52" s="121"/>
      <c r="G52" s="143"/>
      <c r="H52" s="139"/>
      <c r="I52" s="139">
        <f t="shared" si="4"/>
        <v>34</v>
      </c>
      <c r="J52" s="140">
        <f t="shared" si="4"/>
        <v>0</v>
      </c>
      <c r="K52" s="51"/>
      <c r="L52" s="121"/>
      <c r="M52" s="121"/>
      <c r="N52" s="121"/>
      <c r="O52" s="121"/>
      <c r="P52" s="121"/>
      <c r="Q52" s="122"/>
      <c r="R52" s="97">
        <f t="shared" si="7"/>
        <v>0</v>
      </c>
      <c r="S52" s="144">
        <f t="shared" si="7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204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>
        <v>2</v>
      </c>
      <c r="D53" s="111"/>
      <c r="E53" s="112"/>
      <c r="F53" s="112"/>
      <c r="G53" s="76"/>
      <c r="H53" s="73"/>
      <c r="I53" s="73">
        <f t="shared" si="4"/>
        <v>2</v>
      </c>
      <c r="J53" s="77">
        <f t="shared" si="4"/>
        <v>0</v>
      </c>
      <c r="K53" s="41"/>
      <c r="L53" s="112"/>
      <c r="M53" s="112"/>
      <c r="N53" s="112"/>
      <c r="O53" s="112"/>
      <c r="P53" s="112"/>
      <c r="Q53" s="120"/>
      <c r="R53" s="96">
        <f t="shared" si="7"/>
        <v>0</v>
      </c>
      <c r="S53" s="126">
        <f t="shared" si="7"/>
        <v>0</v>
      </c>
      <c r="T53" s="41"/>
      <c r="U53" s="107">
        <f t="shared" ref="U53:U54" si="17">L53*24+N53*24+P53*24</f>
        <v>0</v>
      </c>
      <c r="V53" s="109">
        <f t="shared" ref="V53:V54" si="18">U53/24</f>
        <v>0</v>
      </c>
      <c r="W53" s="129">
        <f t="shared" ref="W53:W54" si="19">I53*24+J53</f>
        <v>48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>
        <v>14</v>
      </c>
      <c r="D54" s="111"/>
      <c r="E54" s="112"/>
      <c r="F54" s="112"/>
      <c r="G54" s="76"/>
      <c r="H54" s="73"/>
      <c r="I54" s="73">
        <f t="shared" si="4"/>
        <v>14</v>
      </c>
      <c r="J54" s="77">
        <f t="shared" si="4"/>
        <v>0</v>
      </c>
      <c r="K54" s="41"/>
      <c r="L54" s="112"/>
      <c r="M54" s="112"/>
      <c r="N54" s="112"/>
      <c r="O54" s="112"/>
      <c r="P54" s="112"/>
      <c r="Q54" s="120"/>
      <c r="R54" s="86">
        <f t="shared" si="7"/>
        <v>0</v>
      </c>
      <c r="S54" s="124">
        <f t="shared" si="7"/>
        <v>0</v>
      </c>
      <c r="T54" s="41"/>
      <c r="U54" s="107">
        <f t="shared" si="17"/>
        <v>0</v>
      </c>
      <c r="V54" s="130">
        <f t="shared" si="18"/>
        <v>0</v>
      </c>
      <c r="W54" s="129">
        <f t="shared" si="19"/>
        <v>336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4"/>
        <v>0</v>
      </c>
      <c r="K55" s="41"/>
      <c r="L55" s="112"/>
      <c r="M55" s="112"/>
      <c r="N55" s="112"/>
      <c r="O55" s="112"/>
      <c r="P55" s="112"/>
      <c r="Q55" s="120"/>
      <c r="R55" s="86">
        <f t="shared" si="7"/>
        <v>0</v>
      </c>
      <c r="S55" s="124">
        <f t="shared" si="7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4"/>
        <v>0</v>
      </c>
      <c r="K56" s="41"/>
      <c r="L56" s="112"/>
      <c r="M56" s="112"/>
      <c r="N56" s="112"/>
      <c r="O56" s="112"/>
      <c r="P56" s="112"/>
      <c r="Q56" s="120"/>
      <c r="R56" s="86">
        <f t="shared" si="7"/>
        <v>0</v>
      </c>
      <c r="S56" s="124">
        <f t="shared" si="7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4"/>
        <v>0</v>
      </c>
      <c r="K57" s="41"/>
      <c r="L57" s="112"/>
      <c r="M57" s="112"/>
      <c r="N57" s="112"/>
      <c r="O57" s="112"/>
      <c r="P57" s="112"/>
      <c r="Q57" s="120"/>
      <c r="R57" s="86">
        <f t="shared" si="7"/>
        <v>0</v>
      </c>
      <c r="S57" s="124">
        <f t="shared" si="7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4"/>
        <v>0</v>
      </c>
      <c r="K58" s="41"/>
      <c r="L58" s="112"/>
      <c r="M58" s="112"/>
      <c r="N58" s="112"/>
      <c r="O58" s="112"/>
      <c r="P58" s="112"/>
      <c r="Q58" s="120"/>
      <c r="R58" s="86">
        <f t="shared" si="7"/>
        <v>0</v>
      </c>
      <c r="S58" s="124">
        <f t="shared" si="7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4"/>
        <v>0</v>
      </c>
      <c r="K59" s="41"/>
      <c r="L59" s="112"/>
      <c r="M59" s="112"/>
      <c r="N59" s="112"/>
      <c r="O59" s="112"/>
      <c r="P59" s="112"/>
      <c r="Q59" s="120"/>
      <c r="R59" s="86">
        <f t="shared" si="7"/>
        <v>0</v>
      </c>
      <c r="S59" s="124">
        <f t="shared" si="7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35278</v>
      </c>
      <c r="D60" s="54">
        <f>SUM(D8:D59)</f>
        <v>144</v>
      </c>
      <c r="E60" s="44">
        <f>SUM(E8:E59)</f>
        <v>0</v>
      </c>
      <c r="F60" s="44"/>
      <c r="G60" s="28">
        <f>SUM(G8:G59)</f>
        <v>1316</v>
      </c>
      <c r="H60" s="56">
        <f>SUM(H8:H59)</f>
        <v>11</v>
      </c>
      <c r="I60" s="56">
        <f>SUM(I8:I59)</f>
        <v>33962</v>
      </c>
      <c r="J60" s="45">
        <f>SUM(J8:J59)</f>
        <v>133</v>
      </c>
      <c r="K60" s="46"/>
      <c r="L60" s="74">
        <f t="shared" ref="L60:S60" si="20">SUM(L8:L59)</f>
        <v>384</v>
      </c>
      <c r="M60" s="74">
        <f t="shared" si="20"/>
        <v>5</v>
      </c>
      <c r="N60" s="74">
        <f t="shared" si="20"/>
        <v>394</v>
      </c>
      <c r="O60" s="74">
        <f t="shared" si="20"/>
        <v>6</v>
      </c>
      <c r="P60" s="74">
        <f t="shared" si="20"/>
        <v>538</v>
      </c>
      <c r="Q60" s="75">
        <f t="shared" si="20"/>
        <v>0</v>
      </c>
      <c r="R60" s="85">
        <f t="shared" si="20"/>
        <v>1316</v>
      </c>
      <c r="S60" s="84">
        <f t="shared" si="20"/>
        <v>11</v>
      </c>
      <c r="T60" s="46"/>
      <c r="U60" s="43">
        <f>SUM(U8:U59)</f>
        <v>8934</v>
      </c>
      <c r="V60" s="102">
        <f>SUM(V8:V59)</f>
        <v>1316</v>
      </c>
      <c r="W60" s="180">
        <f>SUM(W8:W59)</f>
        <v>284671</v>
      </c>
      <c r="X60" s="45"/>
    </row>
    <row r="61" spans="1:24" ht="19.5" thickBot="1" x14ac:dyDescent="0.3">
      <c r="V61" s="103"/>
    </row>
    <row r="62" spans="1:24" ht="18.75" customHeight="1" x14ac:dyDescent="0.25">
      <c r="G62" s="196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197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198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199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199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00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93" t="s">
        <v>3</v>
      </c>
      <c r="D69" s="194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03778-FA4A-4508-A1EC-76A330F41F0F}">
  <sheetPr>
    <pageSetUpPr fitToPage="1"/>
  </sheetPr>
  <dimension ref="A1:BH90"/>
  <sheetViews>
    <sheetView zoomScale="85" zoomScaleNormal="85" zoomScaleSheetLayoutView="85" zoomScalePageLayoutView="80" workbookViewId="0">
      <selection activeCell="P1" sqref="P1:X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01">
        <v>46129</v>
      </c>
      <c r="Q1" s="202"/>
      <c r="R1" s="202"/>
      <c r="S1" s="202"/>
      <c r="T1" s="202"/>
      <c r="U1" s="202"/>
      <c r="V1" s="202"/>
      <c r="W1" s="202"/>
      <c r="X1" s="203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04" t="s">
        <v>74</v>
      </c>
      <c r="C4" s="205" t="s">
        <v>3</v>
      </c>
      <c r="D4" s="206" t="s">
        <v>75</v>
      </c>
      <c r="E4" s="207" t="s">
        <v>4</v>
      </c>
      <c r="F4" s="208"/>
      <c r="G4" s="209" t="s">
        <v>5</v>
      </c>
      <c r="H4" s="211" t="s">
        <v>75</v>
      </c>
      <c r="I4" s="213" t="s">
        <v>6</v>
      </c>
      <c r="J4" s="211" t="s">
        <v>75</v>
      </c>
      <c r="L4" s="215" t="s">
        <v>7</v>
      </c>
      <c r="M4" s="216"/>
      <c r="N4" s="216"/>
      <c r="O4" s="216"/>
      <c r="P4" s="216"/>
      <c r="Q4" s="216"/>
      <c r="R4" s="216"/>
      <c r="S4" s="216"/>
      <c r="T4" s="216"/>
      <c r="U4" s="216"/>
      <c r="V4" s="217"/>
      <c r="W4" s="216"/>
      <c r="X4" s="218"/>
    </row>
    <row r="5" spans="1:60" s="3" customFormat="1" ht="57" thickBot="1" x14ac:dyDescent="0.3">
      <c r="A5" s="49"/>
      <c r="B5" s="204"/>
      <c r="C5" s="205"/>
      <c r="D5" s="206"/>
      <c r="E5" s="48" t="s">
        <v>8</v>
      </c>
      <c r="F5" s="195" t="s">
        <v>9</v>
      </c>
      <c r="G5" s="210"/>
      <c r="H5" s="212"/>
      <c r="I5" s="214"/>
      <c r="J5" s="212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/>
      <c r="D8" s="111"/>
      <c r="E8" s="112"/>
      <c r="F8" s="112"/>
      <c r="G8" s="76"/>
      <c r="H8" s="73"/>
      <c r="I8" s="73">
        <f>C8-G8</f>
        <v>0</v>
      </c>
      <c r="J8" s="77">
        <f t="shared" ref="J8:J12" si="0">D8-H8</f>
        <v>0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0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/>
      <c r="D9" s="114"/>
      <c r="E9" s="115"/>
      <c r="F9" s="115"/>
      <c r="G9" s="78"/>
      <c r="H9" s="79"/>
      <c r="I9" s="78">
        <f t="shared" ref="I9:J59" si="4">C9-G9</f>
        <v>0</v>
      </c>
      <c r="J9" s="94">
        <f t="shared" si="0"/>
        <v>0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0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/>
      <c r="D10" s="111"/>
      <c r="E10" s="112"/>
      <c r="F10" s="112"/>
      <c r="G10" s="76"/>
      <c r="H10" s="73"/>
      <c r="I10" s="73">
        <f t="shared" si="4"/>
        <v>0</v>
      </c>
      <c r="J10" s="95">
        <f t="shared" si="0"/>
        <v>0</v>
      </c>
      <c r="K10" s="41"/>
      <c r="L10" s="112"/>
      <c r="M10" s="112"/>
      <c r="N10" s="112"/>
      <c r="O10" s="112"/>
      <c r="P10" s="112"/>
      <c r="Q10" s="120"/>
      <c r="R10" s="99">
        <f t="shared" si="1"/>
        <v>0</v>
      </c>
      <c r="S10" s="126">
        <f t="shared" si="1"/>
        <v>0</v>
      </c>
      <c r="T10" s="41"/>
      <c r="U10" s="107">
        <f>L10*24+N10*24+P10*24</f>
        <v>0</v>
      </c>
      <c r="V10" s="134">
        <f>U10/24</f>
        <v>0</v>
      </c>
      <c r="W10" s="129">
        <f t="shared" si="2"/>
        <v>0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/>
      <c r="D11" s="111"/>
      <c r="E11" s="112"/>
      <c r="F11" s="112"/>
      <c r="G11" s="76"/>
      <c r="H11" s="73"/>
      <c r="I11" s="73">
        <f t="shared" si="4"/>
        <v>0</v>
      </c>
      <c r="J11" s="77">
        <f t="shared" si="0"/>
        <v>0</v>
      </c>
      <c r="K11" s="41"/>
      <c r="L11" s="112"/>
      <c r="M11" s="112"/>
      <c r="N11" s="112"/>
      <c r="O11" s="112"/>
      <c r="P11" s="112"/>
      <c r="Q11" s="120"/>
      <c r="R11" s="86">
        <f t="shared" si="1"/>
        <v>0</v>
      </c>
      <c r="S11" s="124">
        <f t="shared" si="1"/>
        <v>0</v>
      </c>
      <c r="T11" s="41"/>
      <c r="U11" s="107">
        <f>L11*24+N11*24+P11*24</f>
        <v>0</v>
      </c>
      <c r="V11" s="130">
        <f>U11/24</f>
        <v>0</v>
      </c>
      <c r="W11" s="129">
        <f t="shared" si="2"/>
        <v>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/>
      <c r="D12" s="111"/>
      <c r="E12" s="112"/>
      <c r="F12" s="112"/>
      <c r="G12" s="76"/>
      <c r="H12" s="73"/>
      <c r="I12" s="73">
        <f t="shared" si="4"/>
        <v>0</v>
      </c>
      <c r="J12" s="77">
        <f t="shared" si="0"/>
        <v>0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/>
      <c r="D13" s="114"/>
      <c r="E13" s="115"/>
      <c r="F13" s="115"/>
      <c r="G13" s="78"/>
      <c r="H13" s="79"/>
      <c r="I13" s="80">
        <f t="shared" si="4"/>
        <v>0</v>
      </c>
      <c r="J13" s="94">
        <f>D13-H13</f>
        <v>0</v>
      </c>
      <c r="K13" s="53"/>
      <c r="L13" s="121"/>
      <c r="M13" s="121"/>
      <c r="N13" s="121"/>
      <c r="O13" s="121"/>
      <c r="P13" s="121"/>
      <c r="Q13" s="122"/>
      <c r="R13" s="97">
        <f>L13+N13+P13</f>
        <v>0</v>
      </c>
      <c r="S13" s="125">
        <f>M13+O13+Q13</f>
        <v>0</v>
      </c>
      <c r="T13" s="53"/>
      <c r="U13" s="131">
        <f>L13*24+N13*24+P13*24</f>
        <v>0</v>
      </c>
      <c r="V13" s="135">
        <f t="shared" si="6"/>
        <v>0</v>
      </c>
      <c r="W13" s="133">
        <f>I13*24+J13</f>
        <v>0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/>
      <c r="D14" s="111"/>
      <c r="E14" s="112"/>
      <c r="F14" s="112"/>
      <c r="G14" s="76"/>
      <c r="H14" s="73"/>
      <c r="I14" s="93">
        <f t="shared" si="4"/>
        <v>0</v>
      </c>
      <c r="J14" s="95">
        <f t="shared" si="4"/>
        <v>0</v>
      </c>
      <c r="K14" s="41"/>
      <c r="L14" s="112"/>
      <c r="M14" s="112"/>
      <c r="N14" s="112"/>
      <c r="O14" s="112"/>
      <c r="P14" s="112"/>
      <c r="Q14" s="120"/>
      <c r="R14" s="96">
        <f t="shared" ref="R14:S59" si="7">L14+N14+P14</f>
        <v>0</v>
      </c>
      <c r="S14" s="126">
        <f t="shared" si="7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8">I14*24+J14</f>
        <v>0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/>
      <c r="D15" s="111"/>
      <c r="E15" s="112"/>
      <c r="F15" s="112"/>
      <c r="G15" s="76"/>
      <c r="H15" s="73"/>
      <c r="I15" s="73">
        <f t="shared" si="4"/>
        <v>0</v>
      </c>
      <c r="J15" s="77">
        <f t="shared" si="4"/>
        <v>0</v>
      </c>
      <c r="K15" s="41"/>
      <c r="L15" s="112"/>
      <c r="M15" s="112"/>
      <c r="N15" s="112"/>
      <c r="O15" s="112"/>
      <c r="P15" s="112"/>
      <c r="Q15" s="120"/>
      <c r="R15" s="86">
        <f t="shared" si="7"/>
        <v>0</v>
      </c>
      <c r="S15" s="124">
        <f t="shared" si="7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4"/>
        <v>0</v>
      </c>
      <c r="K16" s="41"/>
      <c r="L16" s="112"/>
      <c r="M16" s="112"/>
      <c r="N16" s="112"/>
      <c r="O16" s="112"/>
      <c r="P16" s="112"/>
      <c r="Q16" s="120"/>
      <c r="R16" s="86">
        <f t="shared" si="7"/>
        <v>0</v>
      </c>
      <c r="S16" s="124">
        <f t="shared" si="7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4"/>
        <v>0</v>
      </c>
      <c r="K17" s="41"/>
      <c r="L17" s="112"/>
      <c r="M17" s="112"/>
      <c r="N17" s="112"/>
      <c r="O17" s="112"/>
      <c r="P17" s="112"/>
      <c r="Q17" s="120"/>
      <c r="R17" s="86">
        <f t="shared" si="7"/>
        <v>0</v>
      </c>
      <c r="S17" s="124">
        <f t="shared" si="7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/>
      <c r="D18" s="111"/>
      <c r="E18" s="112"/>
      <c r="F18" s="112"/>
      <c r="G18" s="76"/>
      <c r="H18" s="73"/>
      <c r="I18" s="73">
        <f t="shared" si="4"/>
        <v>0</v>
      </c>
      <c r="J18" s="77">
        <f t="shared" si="4"/>
        <v>0</v>
      </c>
      <c r="K18" s="41"/>
      <c r="L18" s="112"/>
      <c r="M18" s="112"/>
      <c r="N18" s="112"/>
      <c r="O18" s="112"/>
      <c r="P18" s="112"/>
      <c r="Q18" s="120"/>
      <c r="R18" s="86">
        <f t="shared" si="7"/>
        <v>0</v>
      </c>
      <c r="S18" s="124">
        <f t="shared" si="7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8"/>
        <v>0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4"/>
        <v>0</v>
      </c>
      <c r="K19" s="41"/>
      <c r="L19" s="112"/>
      <c r="M19" s="112"/>
      <c r="N19" s="112"/>
      <c r="O19" s="112"/>
      <c r="P19" s="112"/>
      <c r="Q19" s="120"/>
      <c r="R19" s="86">
        <f t="shared" si="7"/>
        <v>0</v>
      </c>
      <c r="S19" s="124">
        <f t="shared" si="7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/>
      <c r="D20" s="111"/>
      <c r="E20" s="112"/>
      <c r="F20" s="112"/>
      <c r="G20" s="76"/>
      <c r="H20" s="73"/>
      <c r="I20" s="73">
        <f t="shared" si="4"/>
        <v>0</v>
      </c>
      <c r="J20" s="77">
        <f t="shared" si="4"/>
        <v>0</v>
      </c>
      <c r="K20" s="41"/>
      <c r="L20" s="112"/>
      <c r="M20" s="112"/>
      <c r="N20" s="112"/>
      <c r="O20" s="112"/>
      <c r="P20" s="112"/>
      <c r="Q20" s="120"/>
      <c r="R20" s="86">
        <f t="shared" si="7"/>
        <v>0</v>
      </c>
      <c r="S20" s="124">
        <f t="shared" si="7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8"/>
        <v>0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/>
      <c r="D21" s="111"/>
      <c r="E21" s="112"/>
      <c r="F21" s="112"/>
      <c r="G21" s="76"/>
      <c r="H21" s="73"/>
      <c r="I21" s="73">
        <f t="shared" si="4"/>
        <v>0</v>
      </c>
      <c r="J21" s="77">
        <f t="shared" si="4"/>
        <v>0</v>
      </c>
      <c r="K21" s="41"/>
      <c r="L21" s="112"/>
      <c r="M21" s="112"/>
      <c r="N21" s="112"/>
      <c r="O21" s="112"/>
      <c r="P21" s="112"/>
      <c r="Q21" s="120"/>
      <c r="R21" s="86">
        <f t="shared" si="7"/>
        <v>0</v>
      </c>
      <c r="S21" s="124">
        <f t="shared" si="7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8"/>
        <v>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/>
      <c r="D22" s="111"/>
      <c r="E22" s="112"/>
      <c r="F22" s="112"/>
      <c r="G22" s="76"/>
      <c r="H22" s="73"/>
      <c r="I22" s="73">
        <f t="shared" si="4"/>
        <v>0</v>
      </c>
      <c r="J22" s="77">
        <f t="shared" si="4"/>
        <v>0</v>
      </c>
      <c r="K22" s="41"/>
      <c r="L22" s="112"/>
      <c r="M22" s="112"/>
      <c r="N22" s="112"/>
      <c r="O22" s="112"/>
      <c r="P22" s="112"/>
      <c r="Q22" s="120"/>
      <c r="R22" s="86">
        <f t="shared" si="7"/>
        <v>0</v>
      </c>
      <c r="S22" s="124">
        <f t="shared" si="7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8"/>
        <v>0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/>
      <c r="D23" s="111"/>
      <c r="E23" s="112"/>
      <c r="F23" s="112"/>
      <c r="G23" s="76"/>
      <c r="H23" s="73"/>
      <c r="I23" s="73">
        <f t="shared" si="4"/>
        <v>0</v>
      </c>
      <c r="J23" s="77">
        <f t="shared" si="4"/>
        <v>0</v>
      </c>
      <c r="K23" s="42"/>
      <c r="L23" s="112"/>
      <c r="M23" s="112"/>
      <c r="N23" s="112"/>
      <c r="O23" s="112"/>
      <c r="P23" s="112"/>
      <c r="Q23" s="120"/>
      <c r="R23" s="86">
        <f t="shared" si="7"/>
        <v>0</v>
      </c>
      <c r="S23" s="124">
        <f t="shared" si="7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8"/>
        <v>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/>
      <c r="D24" s="111"/>
      <c r="E24" s="112"/>
      <c r="F24" s="112"/>
      <c r="G24" s="76"/>
      <c r="H24" s="73"/>
      <c r="I24" s="73">
        <f t="shared" si="4"/>
        <v>0</v>
      </c>
      <c r="J24" s="77">
        <f t="shared" si="4"/>
        <v>0</v>
      </c>
      <c r="K24" s="42"/>
      <c r="L24" s="112"/>
      <c r="M24" s="112"/>
      <c r="N24" s="112"/>
      <c r="O24" s="112"/>
      <c r="P24" s="112"/>
      <c r="Q24" s="120"/>
      <c r="R24" s="86">
        <f t="shared" si="7"/>
        <v>0</v>
      </c>
      <c r="S24" s="124">
        <f t="shared" si="7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8"/>
        <v>0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/>
      <c r="D25" s="111"/>
      <c r="E25" s="112"/>
      <c r="F25" s="112"/>
      <c r="G25" s="76"/>
      <c r="H25" s="73"/>
      <c r="I25" s="73">
        <f t="shared" si="4"/>
        <v>0</v>
      </c>
      <c r="J25" s="77">
        <f t="shared" si="4"/>
        <v>0</v>
      </c>
      <c r="K25" s="41"/>
      <c r="L25" s="112"/>
      <c r="M25" s="112"/>
      <c r="N25" s="112"/>
      <c r="O25" s="112"/>
      <c r="P25" s="112"/>
      <c r="Q25" s="120"/>
      <c r="R25" s="86">
        <f t="shared" si="7"/>
        <v>0</v>
      </c>
      <c r="S25" s="124">
        <f t="shared" si="7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8"/>
        <v>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/>
      <c r="D26" s="111"/>
      <c r="E26" s="112"/>
      <c r="F26" s="112"/>
      <c r="G26" s="76"/>
      <c r="H26" s="73"/>
      <c r="I26" s="73">
        <f t="shared" si="4"/>
        <v>0</v>
      </c>
      <c r="J26" s="77">
        <f t="shared" si="4"/>
        <v>0</v>
      </c>
      <c r="K26" s="41"/>
      <c r="L26" s="112"/>
      <c r="M26" s="112"/>
      <c r="N26" s="112"/>
      <c r="O26" s="112"/>
      <c r="P26" s="112"/>
      <c r="Q26" s="120"/>
      <c r="R26" s="86">
        <f t="shared" si="7"/>
        <v>0</v>
      </c>
      <c r="S26" s="124">
        <f t="shared" si="7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8"/>
        <v>0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4"/>
        <v>0</v>
      </c>
      <c r="K27" s="42"/>
      <c r="L27" s="112"/>
      <c r="M27" s="112"/>
      <c r="N27" s="112"/>
      <c r="O27" s="112"/>
      <c r="P27" s="112"/>
      <c r="Q27" s="120"/>
      <c r="R27" s="86">
        <f t="shared" si="7"/>
        <v>0</v>
      </c>
      <c r="S27" s="124">
        <f t="shared" si="7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8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/>
      <c r="D28" s="111"/>
      <c r="E28" s="112"/>
      <c r="F28" s="112"/>
      <c r="G28" s="76"/>
      <c r="H28" s="73"/>
      <c r="I28" s="73">
        <f t="shared" si="4"/>
        <v>0</v>
      </c>
      <c r="J28" s="77">
        <f t="shared" si="4"/>
        <v>0</v>
      </c>
      <c r="K28" s="42"/>
      <c r="L28" s="112"/>
      <c r="M28" s="112"/>
      <c r="N28" s="112"/>
      <c r="O28" s="112"/>
      <c r="P28" s="112"/>
      <c r="Q28" s="120"/>
      <c r="R28" s="86">
        <f t="shared" si="7"/>
        <v>0</v>
      </c>
      <c r="S28" s="124">
        <f t="shared" si="7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/>
      <c r="D29" s="111"/>
      <c r="E29" s="112"/>
      <c r="F29" s="112"/>
      <c r="G29" s="76"/>
      <c r="H29" s="73"/>
      <c r="I29" s="73">
        <f t="shared" si="4"/>
        <v>0</v>
      </c>
      <c r="J29" s="77">
        <f t="shared" si="4"/>
        <v>0</v>
      </c>
      <c r="K29" s="42"/>
      <c r="L29" s="112"/>
      <c r="M29" s="112"/>
      <c r="N29" s="112"/>
      <c r="O29" s="112"/>
      <c r="P29" s="112"/>
      <c r="Q29" s="120"/>
      <c r="R29" s="86">
        <f t="shared" si="7"/>
        <v>0</v>
      </c>
      <c r="S29" s="124">
        <f t="shared" si="7"/>
        <v>0</v>
      </c>
      <c r="T29" s="42"/>
      <c r="U29" s="107">
        <f t="shared" si="5"/>
        <v>0</v>
      </c>
      <c r="V29" s="130">
        <f t="shared" si="6"/>
        <v>0</v>
      </c>
      <c r="W29" s="129">
        <f t="shared" si="8"/>
        <v>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/>
      <c r="D30" s="111"/>
      <c r="E30" s="112"/>
      <c r="F30" s="112"/>
      <c r="G30" s="76"/>
      <c r="H30" s="73"/>
      <c r="I30" s="73">
        <f t="shared" si="4"/>
        <v>0</v>
      </c>
      <c r="J30" s="77">
        <f t="shared" si="4"/>
        <v>0</v>
      </c>
      <c r="K30" s="41"/>
      <c r="L30" s="112"/>
      <c r="M30" s="112"/>
      <c r="N30" s="112"/>
      <c r="O30" s="112"/>
      <c r="P30" s="112"/>
      <c r="Q30" s="120"/>
      <c r="R30" s="86">
        <f t="shared" si="7"/>
        <v>0</v>
      </c>
      <c r="S30" s="124">
        <f t="shared" si="7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8"/>
        <v>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/>
      <c r="D31" s="111"/>
      <c r="E31" s="112"/>
      <c r="F31" s="112"/>
      <c r="G31" s="76"/>
      <c r="H31" s="73"/>
      <c r="I31" s="73">
        <f t="shared" si="4"/>
        <v>0</v>
      </c>
      <c r="J31" s="77">
        <f t="shared" si="4"/>
        <v>0</v>
      </c>
      <c r="K31" s="41"/>
      <c r="L31" s="112"/>
      <c r="M31" s="112"/>
      <c r="N31" s="112"/>
      <c r="O31" s="112"/>
      <c r="P31" s="112"/>
      <c r="Q31" s="120"/>
      <c r="R31" s="86">
        <f t="shared" si="7"/>
        <v>0</v>
      </c>
      <c r="S31" s="124">
        <f t="shared" si="7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8"/>
        <v>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4"/>
        <v>0</v>
      </c>
      <c r="K32" s="41"/>
      <c r="L32" s="112"/>
      <c r="M32" s="112"/>
      <c r="N32" s="112"/>
      <c r="O32" s="112"/>
      <c r="P32" s="112"/>
      <c r="Q32" s="120"/>
      <c r="R32" s="86">
        <f t="shared" si="7"/>
        <v>0</v>
      </c>
      <c r="S32" s="124">
        <f t="shared" si="7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8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4"/>
        <v>0</v>
      </c>
      <c r="K33" s="41"/>
      <c r="L33" s="112"/>
      <c r="M33" s="112"/>
      <c r="N33" s="112"/>
      <c r="O33" s="112"/>
      <c r="P33" s="112"/>
      <c r="Q33" s="120"/>
      <c r="R33" s="86">
        <f t="shared" si="7"/>
        <v>0</v>
      </c>
      <c r="S33" s="124">
        <f t="shared" si="7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/>
      <c r="D34" s="111"/>
      <c r="E34" s="112"/>
      <c r="F34" s="112"/>
      <c r="G34" s="76"/>
      <c r="H34" s="73"/>
      <c r="I34" s="73">
        <f t="shared" si="4"/>
        <v>0</v>
      </c>
      <c r="J34" s="77">
        <f t="shared" si="4"/>
        <v>0</v>
      </c>
      <c r="K34" s="41"/>
      <c r="L34" s="112"/>
      <c r="M34" s="112"/>
      <c r="N34" s="112"/>
      <c r="O34" s="112"/>
      <c r="P34" s="112"/>
      <c r="Q34" s="120"/>
      <c r="R34" s="86">
        <f t="shared" si="7"/>
        <v>0</v>
      </c>
      <c r="S34" s="124">
        <f t="shared" si="7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8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/>
      <c r="D35" s="111"/>
      <c r="E35" s="112"/>
      <c r="F35" s="112"/>
      <c r="G35" s="76"/>
      <c r="H35" s="73"/>
      <c r="I35" s="73">
        <f t="shared" si="4"/>
        <v>0</v>
      </c>
      <c r="J35" s="77">
        <f t="shared" si="4"/>
        <v>0</v>
      </c>
      <c r="K35" s="41"/>
      <c r="L35" s="112"/>
      <c r="M35" s="112"/>
      <c r="N35" s="112"/>
      <c r="O35" s="112"/>
      <c r="P35" s="112"/>
      <c r="Q35" s="120"/>
      <c r="R35" s="86">
        <f t="shared" si="7"/>
        <v>0</v>
      </c>
      <c r="S35" s="124">
        <f t="shared" si="7"/>
        <v>0</v>
      </c>
      <c r="T35" s="41"/>
      <c r="U35" s="107">
        <f t="shared" si="5"/>
        <v>0</v>
      </c>
      <c r="V35" s="130">
        <f t="shared" si="6"/>
        <v>0</v>
      </c>
      <c r="W35" s="129">
        <f t="shared" si="8"/>
        <v>0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4"/>
        <v>0</v>
      </c>
      <c r="K36" s="41"/>
      <c r="L36" s="112"/>
      <c r="M36" s="112"/>
      <c r="N36" s="112"/>
      <c r="O36" s="112"/>
      <c r="P36" s="112"/>
      <c r="Q36" s="120"/>
      <c r="R36" s="86">
        <f t="shared" si="7"/>
        <v>0</v>
      </c>
      <c r="S36" s="124">
        <f t="shared" si="7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4"/>
        <v>0</v>
      </c>
      <c r="K37" s="41"/>
      <c r="L37" s="112"/>
      <c r="M37" s="112"/>
      <c r="N37" s="112"/>
      <c r="O37" s="112"/>
      <c r="P37" s="112"/>
      <c r="Q37" s="120"/>
      <c r="R37" s="86">
        <f t="shared" si="7"/>
        <v>0</v>
      </c>
      <c r="S37" s="124">
        <f t="shared" si="7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8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/>
      <c r="D38" s="114"/>
      <c r="E38" s="115"/>
      <c r="F38" s="115"/>
      <c r="G38" s="78"/>
      <c r="H38" s="79"/>
      <c r="I38" s="139">
        <f t="shared" si="4"/>
        <v>0</v>
      </c>
      <c r="J38" s="140">
        <f t="shared" si="4"/>
        <v>0</v>
      </c>
      <c r="K38" s="51"/>
      <c r="L38" s="121"/>
      <c r="M38" s="121"/>
      <c r="N38" s="121"/>
      <c r="O38" s="121"/>
      <c r="P38" s="121"/>
      <c r="Q38" s="122"/>
      <c r="R38" s="97">
        <f t="shared" si="7"/>
        <v>0</v>
      </c>
      <c r="S38" s="125">
        <f t="shared" si="7"/>
        <v>0</v>
      </c>
      <c r="T38" s="51"/>
      <c r="U38" s="131">
        <f>L38*6+N38*6+P38*6</f>
        <v>0</v>
      </c>
      <c r="V38" s="135">
        <f>U38/6</f>
        <v>0</v>
      </c>
      <c r="W38" s="133">
        <f>I38*6+J38</f>
        <v>0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76">
        <f t="shared" si="4"/>
        <v>0</v>
      </c>
      <c r="J39" s="77">
        <f t="shared" si="4"/>
        <v>0</v>
      </c>
      <c r="K39" s="41"/>
      <c r="L39" s="112"/>
      <c r="M39" s="112"/>
      <c r="N39" s="112"/>
      <c r="O39" s="112"/>
      <c r="P39" s="112"/>
      <c r="Q39" s="120"/>
      <c r="R39" s="96">
        <f t="shared" si="7"/>
        <v>0</v>
      </c>
      <c r="S39" s="126">
        <f t="shared" si="7"/>
        <v>0</v>
      </c>
      <c r="T39" s="41"/>
      <c r="U39" s="107">
        <f t="shared" ref="U39:U41" si="9">L39*24+N39*24+P39*24</f>
        <v>0</v>
      </c>
      <c r="V39" s="109">
        <f t="shared" si="6"/>
        <v>0</v>
      </c>
      <c r="W39" s="129">
        <f t="shared" ref="W39:W41" si="10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4"/>
        <v>0</v>
      </c>
      <c r="K40" s="41"/>
      <c r="L40" s="112"/>
      <c r="M40" s="112"/>
      <c r="N40" s="112"/>
      <c r="O40" s="112"/>
      <c r="P40" s="112"/>
      <c r="Q40" s="120"/>
      <c r="R40" s="86">
        <f t="shared" si="7"/>
        <v>0</v>
      </c>
      <c r="S40" s="124">
        <f t="shared" si="7"/>
        <v>0</v>
      </c>
      <c r="T40" s="41"/>
      <c r="U40" s="136">
        <f t="shared" si="9"/>
        <v>0</v>
      </c>
      <c r="V40" s="130">
        <f t="shared" si="6"/>
        <v>0</v>
      </c>
      <c r="W40" s="137">
        <f t="shared" si="10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/>
      <c r="D41" s="147"/>
      <c r="E41" s="148"/>
      <c r="F41" s="148"/>
      <c r="G41" s="149"/>
      <c r="H41" s="150"/>
      <c r="I41" s="151">
        <f t="shared" si="4"/>
        <v>0</v>
      </c>
      <c r="J41" s="152">
        <f t="shared" si="4"/>
        <v>0</v>
      </c>
      <c r="K41" s="153"/>
      <c r="L41" s="154"/>
      <c r="M41" s="154"/>
      <c r="N41" s="154"/>
      <c r="O41" s="154"/>
      <c r="P41" s="154"/>
      <c r="Q41" s="155"/>
      <c r="R41" s="156">
        <f t="shared" si="7"/>
        <v>0</v>
      </c>
      <c r="S41" s="157">
        <f t="shared" si="7"/>
        <v>0</v>
      </c>
      <c r="T41" s="153"/>
      <c r="U41" s="158">
        <f t="shared" si="9"/>
        <v>0</v>
      </c>
      <c r="V41" s="159">
        <f t="shared" si="6"/>
        <v>0</v>
      </c>
      <c r="W41" s="159">
        <f t="shared" si="10"/>
        <v>0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/>
      <c r="D42" s="164"/>
      <c r="E42" s="165"/>
      <c r="F42" s="165"/>
      <c r="G42" s="166"/>
      <c r="H42" s="167"/>
      <c r="I42" s="166">
        <f t="shared" si="4"/>
        <v>0</v>
      </c>
      <c r="J42" s="168">
        <f t="shared" si="4"/>
        <v>0</v>
      </c>
      <c r="K42" s="169"/>
      <c r="L42" s="165"/>
      <c r="M42" s="165"/>
      <c r="N42" s="165"/>
      <c r="O42" s="165"/>
      <c r="P42" s="165"/>
      <c r="Q42" s="170"/>
      <c r="R42" s="171">
        <f t="shared" si="7"/>
        <v>0</v>
      </c>
      <c r="S42" s="172">
        <f t="shared" si="7"/>
        <v>0</v>
      </c>
      <c r="T42" s="169"/>
      <c r="U42" s="173">
        <f>L42*12+N42*12+P42*12</f>
        <v>0</v>
      </c>
      <c r="V42" s="174">
        <f>U42/12</f>
        <v>0</v>
      </c>
      <c r="W42" s="175">
        <f>I42*12+J42</f>
        <v>0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73">
        <f t="shared" si="4"/>
        <v>0</v>
      </c>
      <c r="J43" s="94">
        <f t="shared" si="4"/>
        <v>0</v>
      </c>
      <c r="K43" s="41"/>
      <c r="L43" s="112"/>
      <c r="M43" s="112"/>
      <c r="N43" s="112"/>
      <c r="O43" s="112"/>
      <c r="P43" s="112"/>
      <c r="Q43" s="120"/>
      <c r="R43" s="161">
        <f t="shared" si="7"/>
        <v>0</v>
      </c>
      <c r="S43" s="127">
        <f t="shared" si="7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/>
      <c r="D44" s="114"/>
      <c r="E44" s="115"/>
      <c r="F44" s="115"/>
      <c r="G44" s="78"/>
      <c r="H44" s="79"/>
      <c r="I44" s="73">
        <f>C44+E44-G44</f>
        <v>0</v>
      </c>
      <c r="J44" s="177">
        <f t="shared" si="4"/>
        <v>0</v>
      </c>
      <c r="K44" s="51"/>
      <c r="L44" s="121"/>
      <c r="M44" s="121"/>
      <c r="N44" s="121"/>
      <c r="O44" s="121"/>
      <c r="P44" s="121"/>
      <c r="Q44" s="122"/>
      <c r="R44" s="178">
        <f t="shared" si="7"/>
        <v>0</v>
      </c>
      <c r="S44" s="179">
        <f t="shared" si="7"/>
        <v>0</v>
      </c>
      <c r="T44" s="51"/>
      <c r="U44" s="131">
        <f>L44*6+N44*6+P44*6</f>
        <v>0</v>
      </c>
      <c r="V44" s="130">
        <f>U44/6</f>
        <v>0</v>
      </c>
      <c r="W44" s="133">
        <f>I44*6+J44</f>
        <v>0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4"/>
        <v>0</v>
      </c>
      <c r="K45" s="41"/>
      <c r="L45" s="112"/>
      <c r="M45" s="112"/>
      <c r="N45" s="112"/>
      <c r="O45" s="112"/>
      <c r="P45" s="112"/>
      <c r="Q45" s="120"/>
      <c r="R45" s="96">
        <f t="shared" si="7"/>
        <v>0</v>
      </c>
      <c r="S45" s="127">
        <f t="shared" si="7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4"/>
        <v>0</v>
      </c>
      <c r="K46" s="41"/>
      <c r="L46" s="112"/>
      <c r="M46" s="112"/>
      <c r="N46" s="112"/>
      <c r="O46" s="112"/>
      <c r="P46" s="112"/>
      <c r="Q46" s="120"/>
      <c r="R46" s="86">
        <f t="shared" si="7"/>
        <v>0</v>
      </c>
      <c r="S46" s="128">
        <f t="shared" si="7"/>
        <v>0</v>
      </c>
      <c r="T46" s="41"/>
      <c r="U46" s="107">
        <f t="shared" ref="U46:U47" si="11">L46*24+N46*24+P46*24</f>
        <v>0</v>
      </c>
      <c r="V46" s="134">
        <f t="shared" ref="V46:V47" si="12">U46/24</f>
        <v>0</v>
      </c>
      <c r="W46" s="129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4"/>
        <v>0</v>
      </c>
      <c r="K47" s="41"/>
      <c r="L47" s="112"/>
      <c r="M47" s="112"/>
      <c r="N47" s="112"/>
      <c r="O47" s="112"/>
      <c r="P47" s="112"/>
      <c r="Q47" s="120"/>
      <c r="R47" s="86">
        <f t="shared" si="7"/>
        <v>0</v>
      </c>
      <c r="S47" s="124">
        <f t="shared" si="7"/>
        <v>0</v>
      </c>
      <c r="T47" s="41"/>
      <c r="U47" s="107">
        <f t="shared" si="11"/>
        <v>0</v>
      </c>
      <c r="V47" s="130">
        <f t="shared" si="12"/>
        <v>0</v>
      </c>
      <c r="W47" s="129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/>
      <c r="D48" s="142"/>
      <c r="E48" s="121"/>
      <c r="F48" s="121"/>
      <c r="G48" s="143"/>
      <c r="H48" s="139"/>
      <c r="I48" s="139">
        <f t="shared" si="4"/>
        <v>0</v>
      </c>
      <c r="J48" s="140">
        <f t="shared" si="4"/>
        <v>0</v>
      </c>
      <c r="K48" s="51"/>
      <c r="L48" s="121"/>
      <c r="M48" s="121"/>
      <c r="N48" s="121"/>
      <c r="O48" s="121"/>
      <c r="P48" s="121"/>
      <c r="Q48" s="122"/>
      <c r="R48" s="97">
        <f t="shared" si="7"/>
        <v>0</v>
      </c>
      <c r="S48" s="144">
        <f t="shared" si="7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0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/>
      <c r="D49" s="111"/>
      <c r="E49" s="112"/>
      <c r="F49" s="112"/>
      <c r="G49" s="76"/>
      <c r="H49" s="73"/>
      <c r="I49" s="73">
        <f t="shared" si="4"/>
        <v>0</v>
      </c>
      <c r="J49" s="77">
        <f t="shared" si="4"/>
        <v>0</v>
      </c>
      <c r="K49" s="41"/>
      <c r="L49" s="112"/>
      <c r="M49" s="112"/>
      <c r="N49" s="112"/>
      <c r="O49" s="112"/>
      <c r="P49" s="112"/>
      <c r="Q49" s="120"/>
      <c r="R49" s="96">
        <f t="shared" si="7"/>
        <v>0</v>
      </c>
      <c r="S49" s="126">
        <f t="shared" si="7"/>
        <v>0</v>
      </c>
      <c r="T49" s="41"/>
      <c r="U49" s="107">
        <f t="shared" ref="U49:U51" si="14">L49*24+N49*24+P49*24</f>
        <v>0</v>
      </c>
      <c r="V49" s="109">
        <f t="shared" ref="V49:V51" si="15">U49/24</f>
        <v>0</v>
      </c>
      <c r="W49" s="129">
        <f t="shared" ref="W49:W51" si="16">I49*24+J49</f>
        <v>0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4"/>
        <v>0</v>
      </c>
      <c r="K50" s="41"/>
      <c r="L50" s="112"/>
      <c r="M50" s="112"/>
      <c r="N50" s="112"/>
      <c r="O50" s="112"/>
      <c r="P50" s="112"/>
      <c r="Q50" s="120"/>
      <c r="R50" s="86">
        <f t="shared" si="7"/>
        <v>0</v>
      </c>
      <c r="S50" s="124">
        <f t="shared" si="7"/>
        <v>0</v>
      </c>
      <c r="T50" s="41"/>
      <c r="U50" s="107">
        <f t="shared" si="14"/>
        <v>0</v>
      </c>
      <c r="V50" s="130">
        <f t="shared" si="15"/>
        <v>0</v>
      </c>
      <c r="W50" s="129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4"/>
        <v>0</v>
      </c>
      <c r="K51" s="41"/>
      <c r="L51" s="112"/>
      <c r="M51" s="112"/>
      <c r="N51" s="112"/>
      <c r="O51" s="112"/>
      <c r="P51" s="112"/>
      <c r="Q51" s="120"/>
      <c r="R51" s="86">
        <f t="shared" si="7"/>
        <v>0</v>
      </c>
      <c r="S51" s="124">
        <f t="shared" si="7"/>
        <v>0</v>
      </c>
      <c r="T51" s="41"/>
      <c r="U51" s="107">
        <f t="shared" si="14"/>
        <v>0</v>
      </c>
      <c r="V51" s="130">
        <f t="shared" si="15"/>
        <v>0</v>
      </c>
      <c r="W51" s="129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/>
      <c r="D52" s="142"/>
      <c r="E52" s="121"/>
      <c r="F52" s="121"/>
      <c r="G52" s="143"/>
      <c r="H52" s="139"/>
      <c r="I52" s="139">
        <f t="shared" si="4"/>
        <v>0</v>
      </c>
      <c r="J52" s="140">
        <f t="shared" si="4"/>
        <v>0</v>
      </c>
      <c r="K52" s="51"/>
      <c r="L52" s="121"/>
      <c r="M52" s="121"/>
      <c r="N52" s="121"/>
      <c r="O52" s="121"/>
      <c r="P52" s="121"/>
      <c r="Q52" s="122"/>
      <c r="R52" s="97">
        <f t="shared" si="7"/>
        <v>0</v>
      </c>
      <c r="S52" s="144">
        <f t="shared" si="7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0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4"/>
        <v>0</v>
      </c>
      <c r="K53" s="41"/>
      <c r="L53" s="112"/>
      <c r="M53" s="112"/>
      <c r="N53" s="112"/>
      <c r="O53" s="112"/>
      <c r="P53" s="112"/>
      <c r="Q53" s="120"/>
      <c r="R53" s="96">
        <f t="shared" si="7"/>
        <v>0</v>
      </c>
      <c r="S53" s="126">
        <f t="shared" si="7"/>
        <v>0</v>
      </c>
      <c r="T53" s="41"/>
      <c r="U53" s="107">
        <f t="shared" ref="U53:U54" si="17">L53*24+N53*24+P53*24</f>
        <v>0</v>
      </c>
      <c r="V53" s="109">
        <f t="shared" ref="V53:V54" si="18">U53/24</f>
        <v>0</v>
      </c>
      <c r="W53" s="129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/>
      <c r="D54" s="111"/>
      <c r="E54" s="112"/>
      <c r="F54" s="112"/>
      <c r="G54" s="76"/>
      <c r="H54" s="73"/>
      <c r="I54" s="73">
        <f t="shared" si="4"/>
        <v>0</v>
      </c>
      <c r="J54" s="77">
        <f t="shared" si="4"/>
        <v>0</v>
      </c>
      <c r="K54" s="41"/>
      <c r="L54" s="112"/>
      <c r="M54" s="112"/>
      <c r="N54" s="112"/>
      <c r="O54" s="112"/>
      <c r="P54" s="112"/>
      <c r="Q54" s="120"/>
      <c r="R54" s="86">
        <f t="shared" si="7"/>
        <v>0</v>
      </c>
      <c r="S54" s="124">
        <f t="shared" si="7"/>
        <v>0</v>
      </c>
      <c r="T54" s="41"/>
      <c r="U54" s="107">
        <f t="shared" si="17"/>
        <v>0</v>
      </c>
      <c r="V54" s="130">
        <f t="shared" si="18"/>
        <v>0</v>
      </c>
      <c r="W54" s="129">
        <f t="shared" si="19"/>
        <v>0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4"/>
        <v>0</v>
      </c>
      <c r="K55" s="41"/>
      <c r="L55" s="112"/>
      <c r="M55" s="112"/>
      <c r="N55" s="112"/>
      <c r="O55" s="112"/>
      <c r="P55" s="112"/>
      <c r="Q55" s="120"/>
      <c r="R55" s="86">
        <f t="shared" si="7"/>
        <v>0</v>
      </c>
      <c r="S55" s="124">
        <f t="shared" si="7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4"/>
        <v>0</v>
      </c>
      <c r="K56" s="41"/>
      <c r="L56" s="112"/>
      <c r="M56" s="112"/>
      <c r="N56" s="112"/>
      <c r="O56" s="112"/>
      <c r="P56" s="112"/>
      <c r="Q56" s="120"/>
      <c r="R56" s="86">
        <f t="shared" si="7"/>
        <v>0</v>
      </c>
      <c r="S56" s="124">
        <f t="shared" si="7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4"/>
        <v>0</v>
      </c>
      <c r="K57" s="41"/>
      <c r="L57" s="112"/>
      <c r="M57" s="112"/>
      <c r="N57" s="112"/>
      <c r="O57" s="112"/>
      <c r="P57" s="112"/>
      <c r="Q57" s="120"/>
      <c r="R57" s="86">
        <f t="shared" si="7"/>
        <v>0</v>
      </c>
      <c r="S57" s="124">
        <f t="shared" si="7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4"/>
        <v>0</v>
      </c>
      <c r="K58" s="41"/>
      <c r="L58" s="112"/>
      <c r="M58" s="112"/>
      <c r="N58" s="112"/>
      <c r="O58" s="112"/>
      <c r="P58" s="112"/>
      <c r="Q58" s="120"/>
      <c r="R58" s="86">
        <f t="shared" si="7"/>
        <v>0</v>
      </c>
      <c r="S58" s="124">
        <f t="shared" si="7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4"/>
        <v>0</v>
      </c>
      <c r="K59" s="41"/>
      <c r="L59" s="112"/>
      <c r="M59" s="112"/>
      <c r="N59" s="112"/>
      <c r="O59" s="112"/>
      <c r="P59" s="112"/>
      <c r="Q59" s="120"/>
      <c r="R59" s="86">
        <f t="shared" si="7"/>
        <v>0</v>
      </c>
      <c r="S59" s="124">
        <f t="shared" si="7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0</v>
      </c>
      <c r="D60" s="54">
        <f>SUM(D8:D59)</f>
        <v>0</v>
      </c>
      <c r="E60" s="44">
        <f>SUM(E8:E59)</f>
        <v>0</v>
      </c>
      <c r="F60" s="44"/>
      <c r="G60" s="28">
        <f>SUM(G8:G59)</f>
        <v>0</v>
      </c>
      <c r="H60" s="56">
        <f>SUM(H8:H59)</f>
        <v>0</v>
      </c>
      <c r="I60" s="56">
        <f>SUM(I8:I59)</f>
        <v>0</v>
      </c>
      <c r="J60" s="45">
        <f>SUM(J8:J59)</f>
        <v>0</v>
      </c>
      <c r="K60" s="46"/>
      <c r="L60" s="74">
        <f t="shared" ref="L60:S60" si="20">SUM(L8:L59)</f>
        <v>0</v>
      </c>
      <c r="M60" s="74">
        <f t="shared" si="20"/>
        <v>0</v>
      </c>
      <c r="N60" s="74">
        <f t="shared" si="20"/>
        <v>0</v>
      </c>
      <c r="O60" s="74">
        <f t="shared" si="20"/>
        <v>0</v>
      </c>
      <c r="P60" s="74">
        <f t="shared" si="20"/>
        <v>0</v>
      </c>
      <c r="Q60" s="75">
        <f t="shared" si="20"/>
        <v>0</v>
      </c>
      <c r="R60" s="85">
        <f t="shared" si="20"/>
        <v>0</v>
      </c>
      <c r="S60" s="84">
        <f t="shared" si="20"/>
        <v>0</v>
      </c>
      <c r="T60" s="46"/>
      <c r="U60" s="43">
        <f>SUM(U8:U59)</f>
        <v>0</v>
      </c>
      <c r="V60" s="102">
        <f>SUM(V8:V59)</f>
        <v>0</v>
      </c>
      <c r="W60" s="90">
        <f>SUM(W8:W59)</f>
        <v>0</v>
      </c>
      <c r="X60" s="45"/>
    </row>
    <row r="61" spans="1:24" ht="19.5" thickBot="1" x14ac:dyDescent="0.3">
      <c r="V61" s="103"/>
    </row>
    <row r="62" spans="1:24" ht="18.75" customHeight="1" x14ac:dyDescent="0.25">
      <c r="G62" s="196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197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198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199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199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00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93" t="s">
        <v>3</v>
      </c>
      <c r="D69" s="194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D9306-F107-4242-A3AB-780637800822}">
  <sheetPr>
    <pageSetUpPr fitToPage="1"/>
  </sheetPr>
  <dimension ref="A1:BH90"/>
  <sheetViews>
    <sheetView zoomScale="85" zoomScaleNormal="85" zoomScaleSheetLayoutView="85" zoomScalePageLayoutView="80" workbookViewId="0">
      <selection activeCell="P2" sqref="P2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2.7109375" style="2" hidden="1" customWidth="1"/>
    <col min="23" max="23" width="14.5703125" style="2" bestFit="1" customWidth="1"/>
    <col min="24" max="24" width="11.5703125" style="2" bestFit="1" customWidth="1"/>
    <col min="25" max="25" width="2" style="2" customWidth="1"/>
    <col min="26" max="26" width="10.5703125" style="2" bestFit="1" customWidth="1"/>
    <col min="27" max="55" width="7.28515625" style="2" customWidth="1"/>
    <col min="56" max="56" width="1.5703125" style="2" customWidth="1"/>
    <col min="57" max="57" width="9.42578125" style="2" customWidth="1"/>
    <col min="58" max="58" width="1.28515625" style="2" customWidth="1"/>
    <col min="59" max="59" width="12.7109375" style="2" bestFit="1" customWidth="1"/>
    <col min="60" max="60" width="10.28515625" style="2" bestFit="1" customWidth="1"/>
    <col min="61" max="16384" width="9.140625" style="2"/>
  </cols>
  <sheetData>
    <row r="1" spans="1:60" ht="19.5" thickBot="1" x14ac:dyDescent="0.3">
      <c r="B1" s="1" t="s">
        <v>0</v>
      </c>
      <c r="N1" s="2" t="s">
        <v>1</v>
      </c>
      <c r="P1" s="201">
        <v>46130</v>
      </c>
      <c r="Q1" s="202"/>
      <c r="R1" s="202"/>
      <c r="S1" s="202"/>
      <c r="T1" s="202"/>
      <c r="U1" s="202"/>
      <c r="V1" s="202"/>
      <c r="W1" s="202"/>
      <c r="X1" s="203"/>
    </row>
    <row r="2" spans="1:60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60" ht="19.5" thickBot="1" x14ac:dyDescent="0.3"/>
    <row r="4" spans="1:60" ht="19.5" customHeight="1" thickBot="1" x14ac:dyDescent="0.3">
      <c r="A4" s="49"/>
      <c r="B4" s="204" t="s">
        <v>74</v>
      </c>
      <c r="C4" s="205" t="s">
        <v>3</v>
      </c>
      <c r="D4" s="206" t="s">
        <v>75</v>
      </c>
      <c r="E4" s="207" t="s">
        <v>4</v>
      </c>
      <c r="F4" s="208"/>
      <c r="G4" s="209" t="s">
        <v>5</v>
      </c>
      <c r="H4" s="211" t="s">
        <v>75</v>
      </c>
      <c r="I4" s="213" t="s">
        <v>6</v>
      </c>
      <c r="J4" s="211" t="s">
        <v>75</v>
      </c>
      <c r="L4" s="215" t="s">
        <v>7</v>
      </c>
      <c r="M4" s="216"/>
      <c r="N4" s="216"/>
      <c r="O4" s="216"/>
      <c r="P4" s="216"/>
      <c r="Q4" s="216"/>
      <c r="R4" s="216"/>
      <c r="S4" s="216"/>
      <c r="T4" s="216"/>
      <c r="U4" s="216"/>
      <c r="V4" s="217"/>
      <c r="W4" s="216"/>
      <c r="X4" s="218"/>
    </row>
    <row r="5" spans="1:60" s="3" customFormat="1" ht="57" thickBot="1" x14ac:dyDescent="0.3">
      <c r="A5" s="49"/>
      <c r="B5" s="204"/>
      <c r="C5" s="205"/>
      <c r="D5" s="206"/>
      <c r="E5" s="48" t="s">
        <v>8</v>
      </c>
      <c r="F5" s="195" t="s">
        <v>9</v>
      </c>
      <c r="G5" s="210"/>
      <c r="H5" s="212"/>
      <c r="I5" s="214"/>
      <c r="J5" s="212"/>
      <c r="L5" s="4" t="s">
        <v>10</v>
      </c>
      <c r="M5" s="72" t="s">
        <v>75</v>
      </c>
      <c r="N5" s="5" t="s">
        <v>11</v>
      </c>
      <c r="O5" s="72" t="s">
        <v>75</v>
      </c>
      <c r="P5" s="5" t="s">
        <v>12</v>
      </c>
      <c r="Q5" s="72" t="s">
        <v>75</v>
      </c>
      <c r="R5" s="87" t="s">
        <v>13</v>
      </c>
      <c r="S5" s="83" t="s">
        <v>75</v>
      </c>
      <c r="T5" s="7"/>
      <c r="U5" s="8" t="s">
        <v>80</v>
      </c>
      <c r="V5" s="91" t="s">
        <v>79</v>
      </c>
      <c r="W5" s="89" t="s">
        <v>81</v>
      </c>
      <c r="X5" s="6" t="s">
        <v>14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s="3" customFormat="1" ht="19.5" thickBot="1" x14ac:dyDescent="0.3">
      <c r="B6" s="10"/>
      <c r="C6" s="107"/>
      <c r="D6" s="108"/>
      <c r="E6" s="109"/>
      <c r="F6" s="109"/>
      <c r="G6" s="26"/>
      <c r="H6" s="55"/>
      <c r="I6" s="55"/>
      <c r="J6" s="27"/>
      <c r="K6" s="41"/>
      <c r="L6" s="109"/>
      <c r="M6" s="109"/>
      <c r="N6" s="109"/>
      <c r="O6" s="109"/>
      <c r="P6" s="109"/>
      <c r="Q6" s="119"/>
      <c r="R6" s="88"/>
      <c r="S6" s="123"/>
      <c r="T6" s="41"/>
      <c r="U6" s="107"/>
      <c r="V6" s="109"/>
      <c r="W6" s="129"/>
      <c r="X6" s="27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3" customFormat="1" ht="19.5" thickBot="1" x14ac:dyDescent="0.3">
      <c r="B7" s="10"/>
      <c r="C7" s="107"/>
      <c r="D7" s="108"/>
      <c r="E7" s="109"/>
      <c r="F7" s="109"/>
      <c r="G7" s="26"/>
      <c r="H7" s="55"/>
      <c r="I7" s="55"/>
      <c r="J7" s="27"/>
      <c r="K7" s="41"/>
      <c r="L7" s="109"/>
      <c r="M7" s="109"/>
      <c r="N7" s="109"/>
      <c r="O7" s="109"/>
      <c r="P7" s="109"/>
      <c r="Q7" s="119"/>
      <c r="R7" s="88"/>
      <c r="S7" s="123"/>
      <c r="T7" s="41"/>
      <c r="U7" s="107"/>
      <c r="V7" s="130"/>
      <c r="W7" s="129"/>
      <c r="X7" s="2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spans="1:60" ht="19.5" thickBot="1" x14ac:dyDescent="0.3">
      <c r="A8" s="3">
        <v>1</v>
      </c>
      <c r="B8" s="10" t="s">
        <v>46</v>
      </c>
      <c r="C8" s="110"/>
      <c r="D8" s="111"/>
      <c r="E8" s="112"/>
      <c r="F8" s="112"/>
      <c r="G8" s="76"/>
      <c r="H8" s="73"/>
      <c r="I8" s="73">
        <f>C8-G8</f>
        <v>0</v>
      </c>
      <c r="J8" s="77">
        <f t="shared" ref="J8:J12" si="0">D8-H8</f>
        <v>0</v>
      </c>
      <c r="K8" s="41"/>
      <c r="L8" s="112"/>
      <c r="M8" s="112"/>
      <c r="N8" s="112"/>
      <c r="O8" s="112"/>
      <c r="P8" s="112"/>
      <c r="Q8" s="120"/>
      <c r="R8" s="86">
        <f t="shared" ref="R8:S12" si="1">L8+N8+P8</f>
        <v>0</v>
      </c>
      <c r="S8" s="124">
        <f t="shared" si="1"/>
        <v>0</v>
      </c>
      <c r="T8" s="41"/>
      <c r="U8" s="107">
        <f>L8*24+N8*24+P8*24</f>
        <v>0</v>
      </c>
      <c r="V8" s="130">
        <f>U8/24</f>
        <v>0</v>
      </c>
      <c r="W8" s="129">
        <f t="shared" ref="W8:W12" si="2">I8*24+J8</f>
        <v>0</v>
      </c>
      <c r="X8" s="27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</row>
    <row r="9" spans="1:60" ht="19.5" thickBot="1" x14ac:dyDescent="0.3">
      <c r="A9" s="3">
        <f t="shared" ref="A9:A59" si="3">A8+1</f>
        <v>2</v>
      </c>
      <c r="B9" s="50" t="s">
        <v>49</v>
      </c>
      <c r="C9" s="113"/>
      <c r="D9" s="114"/>
      <c r="E9" s="115"/>
      <c r="F9" s="115"/>
      <c r="G9" s="78"/>
      <c r="H9" s="79"/>
      <c r="I9" s="78">
        <f t="shared" ref="I9:J59" si="4">C9-G9</f>
        <v>0</v>
      </c>
      <c r="J9" s="94">
        <f t="shared" si="0"/>
        <v>0</v>
      </c>
      <c r="K9" s="51"/>
      <c r="L9" s="121"/>
      <c r="M9" s="121"/>
      <c r="N9" s="121"/>
      <c r="O9" s="121"/>
      <c r="P9" s="121"/>
      <c r="Q9" s="122"/>
      <c r="R9" s="98">
        <f t="shared" si="1"/>
        <v>0</v>
      </c>
      <c r="S9" s="125">
        <f t="shared" si="1"/>
        <v>0</v>
      </c>
      <c r="T9" s="51"/>
      <c r="U9" s="131">
        <f>L9*24+N9*24+P9*24</f>
        <v>0</v>
      </c>
      <c r="V9" s="132">
        <f>U9/24</f>
        <v>0</v>
      </c>
      <c r="W9" s="133">
        <f t="shared" si="2"/>
        <v>0</v>
      </c>
      <c r="X9" s="5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1:60" ht="19.5" thickBot="1" x14ac:dyDescent="0.3">
      <c r="A10" s="3">
        <f t="shared" si="3"/>
        <v>3</v>
      </c>
      <c r="B10" s="10" t="s">
        <v>47</v>
      </c>
      <c r="C10" s="110"/>
      <c r="D10" s="111"/>
      <c r="E10" s="112"/>
      <c r="F10" s="112"/>
      <c r="G10" s="76"/>
      <c r="H10" s="73"/>
      <c r="I10" s="73">
        <f t="shared" si="4"/>
        <v>0</v>
      </c>
      <c r="J10" s="95">
        <f t="shared" si="0"/>
        <v>0</v>
      </c>
      <c r="K10" s="41"/>
      <c r="L10" s="112"/>
      <c r="M10" s="112"/>
      <c r="N10" s="112"/>
      <c r="O10" s="112"/>
      <c r="P10" s="112"/>
      <c r="Q10" s="120"/>
      <c r="R10" s="99">
        <f t="shared" si="1"/>
        <v>0</v>
      </c>
      <c r="S10" s="126">
        <f t="shared" si="1"/>
        <v>0</v>
      </c>
      <c r="T10" s="41"/>
      <c r="U10" s="107">
        <f>L10*24+N10*24+P10*24</f>
        <v>0</v>
      </c>
      <c r="V10" s="134">
        <f>U10/24</f>
        <v>0</v>
      </c>
      <c r="W10" s="129">
        <f t="shared" si="2"/>
        <v>0</v>
      </c>
      <c r="X10" s="27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</row>
    <row r="11" spans="1:60" ht="19.5" thickBot="1" x14ac:dyDescent="0.3">
      <c r="A11" s="3">
        <f t="shared" si="3"/>
        <v>4</v>
      </c>
      <c r="B11" s="13" t="s">
        <v>50</v>
      </c>
      <c r="C11" s="110"/>
      <c r="D11" s="111"/>
      <c r="E11" s="112"/>
      <c r="F11" s="112"/>
      <c r="G11" s="76"/>
      <c r="H11" s="73"/>
      <c r="I11" s="73">
        <f t="shared" si="4"/>
        <v>0</v>
      </c>
      <c r="J11" s="77">
        <f t="shared" si="0"/>
        <v>0</v>
      </c>
      <c r="K11" s="41"/>
      <c r="L11" s="112"/>
      <c r="M11" s="112"/>
      <c r="N11" s="112"/>
      <c r="O11" s="112"/>
      <c r="P11" s="112"/>
      <c r="Q11" s="120"/>
      <c r="R11" s="86">
        <f t="shared" si="1"/>
        <v>0</v>
      </c>
      <c r="S11" s="124">
        <f t="shared" si="1"/>
        <v>0</v>
      </c>
      <c r="T11" s="41"/>
      <c r="U11" s="107">
        <f>L11*24+N11*24+P11*24</f>
        <v>0</v>
      </c>
      <c r="V11" s="130">
        <f>U11/24</f>
        <v>0</v>
      </c>
      <c r="W11" s="129">
        <f t="shared" si="2"/>
        <v>0</v>
      </c>
      <c r="X11" s="27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</row>
    <row r="12" spans="1:60" ht="19.5" thickBot="1" x14ac:dyDescent="0.3">
      <c r="A12" s="3">
        <f t="shared" si="3"/>
        <v>5</v>
      </c>
      <c r="B12" s="13" t="s">
        <v>48</v>
      </c>
      <c r="C12" s="110"/>
      <c r="D12" s="111"/>
      <c r="E12" s="112"/>
      <c r="F12" s="112"/>
      <c r="G12" s="76"/>
      <c r="H12" s="73"/>
      <c r="I12" s="73">
        <f t="shared" si="4"/>
        <v>0</v>
      </c>
      <c r="J12" s="77">
        <f t="shared" si="0"/>
        <v>0</v>
      </c>
      <c r="K12" s="41"/>
      <c r="L12" s="112"/>
      <c r="M12" s="112"/>
      <c r="N12" s="112"/>
      <c r="O12" s="112"/>
      <c r="P12" s="112"/>
      <c r="Q12" s="120"/>
      <c r="R12" s="86">
        <f t="shared" si="1"/>
        <v>0</v>
      </c>
      <c r="S12" s="124">
        <f t="shared" si="1"/>
        <v>0</v>
      </c>
      <c r="T12" s="41"/>
      <c r="U12" s="107">
        <f t="shared" ref="U12:U37" si="5">L12*24+N12*24+P12*24</f>
        <v>0</v>
      </c>
      <c r="V12" s="130">
        <f t="shared" ref="V12:V41" si="6">U12/24</f>
        <v>0</v>
      </c>
      <c r="W12" s="129">
        <f t="shared" si="2"/>
        <v>0</v>
      </c>
      <c r="X12" s="27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60" s="1" customFormat="1" ht="19.5" thickBot="1" x14ac:dyDescent="0.3">
      <c r="A13" s="3">
        <f t="shared" si="3"/>
        <v>6</v>
      </c>
      <c r="B13" s="50" t="s">
        <v>44</v>
      </c>
      <c r="C13" s="113"/>
      <c r="D13" s="114"/>
      <c r="E13" s="115"/>
      <c r="F13" s="115"/>
      <c r="G13" s="78"/>
      <c r="H13" s="79"/>
      <c r="I13" s="80">
        <f t="shared" si="4"/>
        <v>0</v>
      </c>
      <c r="J13" s="94">
        <f>D13-H13</f>
        <v>0</v>
      </c>
      <c r="K13" s="53"/>
      <c r="L13" s="121"/>
      <c r="M13" s="121"/>
      <c r="N13" s="121"/>
      <c r="O13" s="121"/>
      <c r="P13" s="121"/>
      <c r="Q13" s="122"/>
      <c r="R13" s="97">
        <f>L13+N13+P13</f>
        <v>0</v>
      </c>
      <c r="S13" s="125">
        <f>M13+O13+Q13</f>
        <v>0</v>
      </c>
      <c r="T13" s="53"/>
      <c r="U13" s="131">
        <f>L13*24+N13*24+P13*24</f>
        <v>0</v>
      </c>
      <c r="V13" s="135">
        <f t="shared" si="6"/>
        <v>0</v>
      </c>
      <c r="W13" s="133">
        <f>I13*24+J13</f>
        <v>0</v>
      </c>
      <c r="X13" s="52"/>
      <c r="Y13" s="2"/>
      <c r="AD13" s="2"/>
      <c r="AG13" s="2"/>
      <c r="AH13" s="2"/>
      <c r="AI13" s="2"/>
      <c r="AJ13" s="2"/>
      <c r="AK13" s="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</row>
    <row r="14" spans="1:60" ht="19.5" thickBot="1" x14ac:dyDescent="0.3">
      <c r="A14" s="3">
        <f t="shared" si="3"/>
        <v>7</v>
      </c>
      <c r="B14" s="10" t="s">
        <v>15</v>
      </c>
      <c r="C14" s="110"/>
      <c r="D14" s="111"/>
      <c r="E14" s="112"/>
      <c r="F14" s="112"/>
      <c r="G14" s="76"/>
      <c r="H14" s="73"/>
      <c r="I14" s="93">
        <f t="shared" si="4"/>
        <v>0</v>
      </c>
      <c r="J14" s="95">
        <f t="shared" si="4"/>
        <v>0</v>
      </c>
      <c r="K14" s="41"/>
      <c r="L14" s="112"/>
      <c r="M14" s="112"/>
      <c r="N14" s="112"/>
      <c r="O14" s="112"/>
      <c r="P14" s="112"/>
      <c r="Q14" s="120"/>
      <c r="R14" s="96">
        <f t="shared" ref="R14:S59" si="7">L14+N14+P14</f>
        <v>0</v>
      </c>
      <c r="S14" s="126">
        <f t="shared" si="7"/>
        <v>0</v>
      </c>
      <c r="T14" s="41"/>
      <c r="U14" s="107">
        <f t="shared" si="5"/>
        <v>0</v>
      </c>
      <c r="V14" s="109">
        <f t="shared" si="6"/>
        <v>0</v>
      </c>
      <c r="W14" s="129">
        <f t="shared" ref="W14:W37" si="8">I14*24+J14</f>
        <v>0</v>
      </c>
      <c r="X14" s="27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</row>
    <row r="15" spans="1:60" ht="19.5" thickBot="1" x14ac:dyDescent="0.3">
      <c r="A15" s="3">
        <f t="shared" si="3"/>
        <v>8</v>
      </c>
      <c r="B15" s="13" t="s">
        <v>16</v>
      </c>
      <c r="C15" s="110"/>
      <c r="D15" s="111"/>
      <c r="E15" s="112"/>
      <c r="F15" s="112"/>
      <c r="G15" s="76"/>
      <c r="H15" s="73"/>
      <c r="I15" s="73">
        <f t="shared" si="4"/>
        <v>0</v>
      </c>
      <c r="J15" s="77">
        <f t="shared" si="4"/>
        <v>0</v>
      </c>
      <c r="K15" s="41"/>
      <c r="L15" s="112"/>
      <c r="M15" s="112"/>
      <c r="N15" s="112"/>
      <c r="O15" s="112"/>
      <c r="P15" s="112"/>
      <c r="Q15" s="120"/>
      <c r="R15" s="86">
        <f t="shared" si="7"/>
        <v>0</v>
      </c>
      <c r="S15" s="124">
        <f t="shared" si="7"/>
        <v>0</v>
      </c>
      <c r="T15" s="41"/>
      <c r="U15" s="107">
        <f t="shared" si="5"/>
        <v>0</v>
      </c>
      <c r="V15" s="130">
        <f t="shared" si="6"/>
        <v>0</v>
      </c>
      <c r="W15" s="129">
        <f t="shared" si="8"/>
        <v>0</v>
      </c>
      <c r="X15" s="27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</row>
    <row r="16" spans="1:60" ht="19.5" thickBot="1" x14ac:dyDescent="0.3">
      <c r="A16" s="3">
        <f t="shared" si="3"/>
        <v>9</v>
      </c>
      <c r="B16" s="13" t="s">
        <v>17</v>
      </c>
      <c r="C16" s="110"/>
      <c r="D16" s="111"/>
      <c r="E16" s="112"/>
      <c r="F16" s="112"/>
      <c r="G16" s="76"/>
      <c r="H16" s="73"/>
      <c r="I16" s="73">
        <f t="shared" si="4"/>
        <v>0</v>
      </c>
      <c r="J16" s="77">
        <f t="shared" si="4"/>
        <v>0</v>
      </c>
      <c r="K16" s="41"/>
      <c r="L16" s="112"/>
      <c r="M16" s="112"/>
      <c r="N16" s="112"/>
      <c r="O16" s="112"/>
      <c r="P16" s="112"/>
      <c r="Q16" s="120"/>
      <c r="R16" s="86">
        <f t="shared" si="7"/>
        <v>0</v>
      </c>
      <c r="S16" s="124">
        <f t="shared" si="7"/>
        <v>0</v>
      </c>
      <c r="T16" s="41"/>
      <c r="U16" s="107">
        <f t="shared" si="5"/>
        <v>0</v>
      </c>
      <c r="V16" s="130">
        <f t="shared" si="6"/>
        <v>0</v>
      </c>
      <c r="W16" s="129">
        <f t="shared" si="8"/>
        <v>0</v>
      </c>
      <c r="X16" s="27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</row>
    <row r="17" spans="1:60" ht="19.5" thickBot="1" x14ac:dyDescent="0.3">
      <c r="A17" s="3">
        <f t="shared" si="3"/>
        <v>10</v>
      </c>
      <c r="B17" s="13" t="s">
        <v>18</v>
      </c>
      <c r="C17" s="110"/>
      <c r="D17" s="111"/>
      <c r="E17" s="112"/>
      <c r="F17" s="112"/>
      <c r="G17" s="76"/>
      <c r="H17" s="73"/>
      <c r="I17" s="73">
        <f t="shared" si="4"/>
        <v>0</v>
      </c>
      <c r="J17" s="77">
        <f t="shared" si="4"/>
        <v>0</v>
      </c>
      <c r="K17" s="41"/>
      <c r="L17" s="112"/>
      <c r="M17" s="112"/>
      <c r="N17" s="112"/>
      <c r="O17" s="112"/>
      <c r="P17" s="112"/>
      <c r="Q17" s="120"/>
      <c r="R17" s="86">
        <f t="shared" si="7"/>
        <v>0</v>
      </c>
      <c r="S17" s="124">
        <f t="shared" si="7"/>
        <v>0</v>
      </c>
      <c r="T17" s="41"/>
      <c r="U17" s="107">
        <f t="shared" si="5"/>
        <v>0</v>
      </c>
      <c r="V17" s="130">
        <f t="shared" si="6"/>
        <v>0</v>
      </c>
      <c r="W17" s="129">
        <f t="shared" si="8"/>
        <v>0</v>
      </c>
      <c r="X17" s="27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spans="1:60" ht="19.5" thickBot="1" x14ac:dyDescent="0.3">
      <c r="A18" s="3">
        <f t="shared" si="3"/>
        <v>11</v>
      </c>
      <c r="B18" s="13" t="s">
        <v>19</v>
      </c>
      <c r="C18" s="110"/>
      <c r="D18" s="111"/>
      <c r="E18" s="112"/>
      <c r="F18" s="112"/>
      <c r="G18" s="76"/>
      <c r="H18" s="73"/>
      <c r="I18" s="73">
        <f t="shared" si="4"/>
        <v>0</v>
      </c>
      <c r="J18" s="77">
        <f t="shared" si="4"/>
        <v>0</v>
      </c>
      <c r="K18" s="41"/>
      <c r="L18" s="112"/>
      <c r="M18" s="112"/>
      <c r="N18" s="112"/>
      <c r="O18" s="112"/>
      <c r="P18" s="112"/>
      <c r="Q18" s="120"/>
      <c r="R18" s="86">
        <f t="shared" si="7"/>
        <v>0</v>
      </c>
      <c r="S18" s="124">
        <f t="shared" si="7"/>
        <v>0</v>
      </c>
      <c r="T18" s="41"/>
      <c r="U18" s="107">
        <f t="shared" si="5"/>
        <v>0</v>
      </c>
      <c r="V18" s="130">
        <f t="shared" si="6"/>
        <v>0</v>
      </c>
      <c r="W18" s="129">
        <f t="shared" si="8"/>
        <v>0</v>
      </c>
      <c r="X18" s="27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</row>
    <row r="19" spans="1:60" ht="18.75" hidden="1" customHeight="1" x14ac:dyDescent="0.3">
      <c r="A19" s="3">
        <f t="shared" si="3"/>
        <v>12</v>
      </c>
      <c r="B19" s="13" t="s">
        <v>23</v>
      </c>
      <c r="C19" s="110"/>
      <c r="D19" s="111"/>
      <c r="E19" s="112"/>
      <c r="F19" s="112"/>
      <c r="G19" s="76"/>
      <c r="H19" s="73"/>
      <c r="I19" s="73">
        <f t="shared" si="4"/>
        <v>0</v>
      </c>
      <c r="J19" s="77">
        <f t="shared" si="4"/>
        <v>0</v>
      </c>
      <c r="K19" s="41"/>
      <c r="L19" s="112"/>
      <c r="M19" s="112"/>
      <c r="N19" s="112"/>
      <c r="O19" s="112"/>
      <c r="P19" s="112"/>
      <c r="Q19" s="120"/>
      <c r="R19" s="86">
        <f t="shared" si="7"/>
        <v>0</v>
      </c>
      <c r="S19" s="124">
        <f t="shared" si="7"/>
        <v>0</v>
      </c>
      <c r="T19" s="41"/>
      <c r="U19" s="107">
        <f t="shared" si="5"/>
        <v>0</v>
      </c>
      <c r="V19" s="130">
        <f t="shared" si="6"/>
        <v>0</v>
      </c>
      <c r="W19" s="129">
        <f t="shared" si="8"/>
        <v>0</v>
      </c>
      <c r="X19" s="27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</row>
    <row r="20" spans="1:60" ht="19.5" thickBot="1" x14ac:dyDescent="0.3">
      <c r="A20" s="3">
        <f t="shared" si="3"/>
        <v>13</v>
      </c>
      <c r="B20" s="13" t="s">
        <v>67</v>
      </c>
      <c r="C20" s="110"/>
      <c r="D20" s="111"/>
      <c r="E20" s="112"/>
      <c r="F20" s="112"/>
      <c r="G20" s="76"/>
      <c r="H20" s="73"/>
      <c r="I20" s="73">
        <f t="shared" si="4"/>
        <v>0</v>
      </c>
      <c r="J20" s="77">
        <f t="shared" si="4"/>
        <v>0</v>
      </c>
      <c r="K20" s="41"/>
      <c r="L20" s="112"/>
      <c r="M20" s="112"/>
      <c r="N20" s="112"/>
      <c r="O20" s="112"/>
      <c r="P20" s="112"/>
      <c r="Q20" s="120"/>
      <c r="R20" s="86">
        <f t="shared" si="7"/>
        <v>0</v>
      </c>
      <c r="S20" s="124">
        <f t="shared" si="7"/>
        <v>0</v>
      </c>
      <c r="T20" s="41"/>
      <c r="U20" s="107">
        <f t="shared" si="5"/>
        <v>0</v>
      </c>
      <c r="V20" s="130">
        <f t="shared" si="6"/>
        <v>0</v>
      </c>
      <c r="W20" s="129">
        <f t="shared" si="8"/>
        <v>0</v>
      </c>
      <c r="X20" s="27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</row>
    <row r="21" spans="1:60" ht="19.5" thickBot="1" x14ac:dyDescent="0.3">
      <c r="A21" s="3">
        <f t="shared" si="3"/>
        <v>14</v>
      </c>
      <c r="B21" s="13" t="s">
        <v>20</v>
      </c>
      <c r="C21" s="110"/>
      <c r="D21" s="111"/>
      <c r="E21" s="112"/>
      <c r="F21" s="112"/>
      <c r="G21" s="76"/>
      <c r="H21" s="73"/>
      <c r="I21" s="73">
        <f t="shared" si="4"/>
        <v>0</v>
      </c>
      <c r="J21" s="77">
        <f t="shared" si="4"/>
        <v>0</v>
      </c>
      <c r="K21" s="41"/>
      <c r="L21" s="112"/>
      <c r="M21" s="112"/>
      <c r="N21" s="112"/>
      <c r="O21" s="112"/>
      <c r="P21" s="112"/>
      <c r="Q21" s="120"/>
      <c r="R21" s="86">
        <f t="shared" si="7"/>
        <v>0</v>
      </c>
      <c r="S21" s="124">
        <f t="shared" si="7"/>
        <v>0</v>
      </c>
      <c r="T21" s="41"/>
      <c r="U21" s="107">
        <f t="shared" si="5"/>
        <v>0</v>
      </c>
      <c r="V21" s="130">
        <f t="shared" si="6"/>
        <v>0</v>
      </c>
      <c r="W21" s="129">
        <f t="shared" si="8"/>
        <v>0</v>
      </c>
      <c r="X21" s="27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</row>
    <row r="22" spans="1:60" ht="19.5" thickBot="1" x14ac:dyDescent="0.3">
      <c r="A22" s="3">
        <f t="shared" si="3"/>
        <v>15</v>
      </c>
      <c r="B22" s="13" t="s">
        <v>21</v>
      </c>
      <c r="C22" s="110"/>
      <c r="D22" s="111"/>
      <c r="E22" s="112"/>
      <c r="F22" s="112"/>
      <c r="G22" s="76"/>
      <c r="H22" s="73"/>
      <c r="I22" s="73">
        <f t="shared" si="4"/>
        <v>0</v>
      </c>
      <c r="J22" s="77">
        <f t="shared" si="4"/>
        <v>0</v>
      </c>
      <c r="K22" s="41"/>
      <c r="L22" s="112"/>
      <c r="M22" s="112"/>
      <c r="N22" s="112"/>
      <c r="O22" s="112"/>
      <c r="P22" s="112"/>
      <c r="Q22" s="120"/>
      <c r="R22" s="86">
        <f t="shared" si="7"/>
        <v>0</v>
      </c>
      <c r="S22" s="124">
        <f t="shared" si="7"/>
        <v>0</v>
      </c>
      <c r="T22" s="41"/>
      <c r="U22" s="107">
        <f t="shared" si="5"/>
        <v>0</v>
      </c>
      <c r="V22" s="130">
        <f t="shared" si="6"/>
        <v>0</v>
      </c>
      <c r="W22" s="129">
        <f t="shared" si="8"/>
        <v>0</v>
      </c>
      <c r="X22" s="27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spans="1:60" s="1" customFormat="1" ht="19.5" thickBot="1" x14ac:dyDescent="0.3">
      <c r="A23" s="3">
        <f t="shared" si="3"/>
        <v>16</v>
      </c>
      <c r="B23" s="13" t="s">
        <v>68</v>
      </c>
      <c r="C23" s="110"/>
      <c r="D23" s="111"/>
      <c r="E23" s="112"/>
      <c r="F23" s="112"/>
      <c r="G23" s="76"/>
      <c r="H23" s="73"/>
      <c r="I23" s="73">
        <f t="shared" si="4"/>
        <v>0</v>
      </c>
      <c r="J23" s="77">
        <f t="shared" si="4"/>
        <v>0</v>
      </c>
      <c r="K23" s="42"/>
      <c r="L23" s="112"/>
      <c r="M23" s="112"/>
      <c r="N23" s="112"/>
      <c r="O23" s="112"/>
      <c r="P23" s="112"/>
      <c r="Q23" s="120"/>
      <c r="R23" s="86">
        <f t="shared" si="7"/>
        <v>0</v>
      </c>
      <c r="S23" s="124">
        <f t="shared" si="7"/>
        <v>0</v>
      </c>
      <c r="T23" s="42"/>
      <c r="U23" s="107">
        <f t="shared" si="5"/>
        <v>0</v>
      </c>
      <c r="V23" s="130">
        <f t="shared" si="6"/>
        <v>0</v>
      </c>
      <c r="W23" s="129">
        <f t="shared" si="8"/>
        <v>0</v>
      </c>
      <c r="X23" s="27"/>
      <c r="Y23" s="2"/>
      <c r="AD23" s="2"/>
      <c r="AG23" s="2"/>
      <c r="AH23" s="2"/>
      <c r="AI23" s="2"/>
      <c r="AJ23" s="2"/>
      <c r="AK23" s="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spans="1:60" s="1" customFormat="1" ht="19.5" thickBot="1" x14ac:dyDescent="0.3">
      <c r="A24" s="3">
        <f t="shared" si="3"/>
        <v>17</v>
      </c>
      <c r="B24" s="13" t="s">
        <v>69</v>
      </c>
      <c r="C24" s="110"/>
      <c r="D24" s="111"/>
      <c r="E24" s="112"/>
      <c r="F24" s="112"/>
      <c r="G24" s="76"/>
      <c r="H24" s="73"/>
      <c r="I24" s="73">
        <f t="shared" si="4"/>
        <v>0</v>
      </c>
      <c r="J24" s="77">
        <f t="shared" si="4"/>
        <v>0</v>
      </c>
      <c r="K24" s="42"/>
      <c r="L24" s="112"/>
      <c r="M24" s="112"/>
      <c r="N24" s="112"/>
      <c r="O24" s="112"/>
      <c r="P24" s="112"/>
      <c r="Q24" s="120"/>
      <c r="R24" s="86">
        <f t="shared" si="7"/>
        <v>0</v>
      </c>
      <c r="S24" s="124">
        <f t="shared" si="7"/>
        <v>0</v>
      </c>
      <c r="T24" s="42"/>
      <c r="U24" s="107">
        <f t="shared" si="5"/>
        <v>0</v>
      </c>
      <c r="V24" s="130">
        <f t="shared" si="6"/>
        <v>0</v>
      </c>
      <c r="W24" s="129">
        <f t="shared" si="8"/>
        <v>0</v>
      </c>
      <c r="X24" s="27"/>
      <c r="Y24" s="2"/>
      <c r="AD24" s="2"/>
      <c r="AG24" s="2"/>
      <c r="AH24" s="2"/>
      <c r="AI24" s="2"/>
      <c r="AJ24" s="2"/>
      <c r="AK24" s="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spans="1:60" ht="19.5" thickBot="1" x14ac:dyDescent="0.3">
      <c r="A25" s="3">
        <f t="shared" si="3"/>
        <v>18</v>
      </c>
      <c r="B25" s="13" t="s">
        <v>70</v>
      </c>
      <c r="C25" s="110"/>
      <c r="D25" s="111"/>
      <c r="E25" s="112"/>
      <c r="F25" s="112"/>
      <c r="G25" s="76"/>
      <c r="H25" s="73"/>
      <c r="I25" s="73">
        <f t="shared" si="4"/>
        <v>0</v>
      </c>
      <c r="J25" s="77">
        <f t="shared" si="4"/>
        <v>0</v>
      </c>
      <c r="K25" s="41"/>
      <c r="L25" s="112"/>
      <c r="M25" s="112"/>
      <c r="N25" s="112"/>
      <c r="O25" s="112"/>
      <c r="P25" s="112"/>
      <c r="Q25" s="120"/>
      <c r="R25" s="86">
        <f t="shared" si="7"/>
        <v>0</v>
      </c>
      <c r="S25" s="124">
        <f t="shared" si="7"/>
        <v>0</v>
      </c>
      <c r="T25" s="41"/>
      <c r="U25" s="107">
        <f t="shared" si="5"/>
        <v>0</v>
      </c>
      <c r="V25" s="130">
        <f t="shared" si="6"/>
        <v>0</v>
      </c>
      <c r="W25" s="129">
        <f t="shared" si="8"/>
        <v>0</v>
      </c>
      <c r="X25" s="27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spans="1:60" ht="19.5" thickBot="1" x14ac:dyDescent="0.3">
      <c r="A26" s="3">
        <f t="shared" si="3"/>
        <v>19</v>
      </c>
      <c r="B26" s="13" t="s">
        <v>22</v>
      </c>
      <c r="C26" s="110"/>
      <c r="D26" s="111"/>
      <c r="E26" s="112"/>
      <c r="F26" s="112"/>
      <c r="G26" s="76"/>
      <c r="H26" s="73"/>
      <c r="I26" s="73">
        <f t="shared" si="4"/>
        <v>0</v>
      </c>
      <c r="J26" s="77">
        <f t="shared" si="4"/>
        <v>0</v>
      </c>
      <c r="K26" s="41"/>
      <c r="L26" s="112"/>
      <c r="M26" s="112"/>
      <c r="N26" s="112"/>
      <c r="O26" s="112"/>
      <c r="P26" s="112"/>
      <c r="Q26" s="120"/>
      <c r="R26" s="86">
        <f t="shared" si="7"/>
        <v>0</v>
      </c>
      <c r="S26" s="124">
        <f t="shared" si="7"/>
        <v>0</v>
      </c>
      <c r="T26" s="41"/>
      <c r="U26" s="107">
        <f t="shared" si="5"/>
        <v>0</v>
      </c>
      <c r="V26" s="130">
        <f t="shared" si="6"/>
        <v>0</v>
      </c>
      <c r="W26" s="129">
        <f t="shared" si="8"/>
        <v>0</v>
      </c>
      <c r="X26" s="27"/>
      <c r="BE26" s="14" t="e">
        <f>#REF!-BE25</f>
        <v>#REF!</v>
      </c>
    </row>
    <row r="27" spans="1:60" s="1" customFormat="1" ht="19.5" thickBot="1" x14ac:dyDescent="0.3">
      <c r="A27" s="3">
        <f t="shared" si="3"/>
        <v>20</v>
      </c>
      <c r="B27" s="13" t="s">
        <v>24</v>
      </c>
      <c r="C27" s="110"/>
      <c r="D27" s="111"/>
      <c r="E27" s="112"/>
      <c r="F27" s="112"/>
      <c r="G27" s="76"/>
      <c r="H27" s="73"/>
      <c r="I27" s="73">
        <f t="shared" si="4"/>
        <v>0</v>
      </c>
      <c r="J27" s="77">
        <f t="shared" si="4"/>
        <v>0</v>
      </c>
      <c r="K27" s="42"/>
      <c r="L27" s="112"/>
      <c r="M27" s="112"/>
      <c r="N27" s="112"/>
      <c r="O27" s="112"/>
      <c r="P27" s="112"/>
      <c r="Q27" s="120"/>
      <c r="R27" s="86">
        <f t="shared" si="7"/>
        <v>0</v>
      </c>
      <c r="S27" s="124">
        <f t="shared" si="7"/>
        <v>0</v>
      </c>
      <c r="T27" s="42"/>
      <c r="U27" s="107">
        <f t="shared" si="5"/>
        <v>0</v>
      </c>
      <c r="V27" s="130">
        <f t="shared" si="6"/>
        <v>0</v>
      </c>
      <c r="W27" s="129">
        <f t="shared" si="8"/>
        <v>0</v>
      </c>
      <c r="X27" s="27"/>
      <c r="Y27" s="2"/>
      <c r="AD27" s="2"/>
      <c r="AG27" s="2"/>
      <c r="AH27" s="2"/>
      <c r="AI27" s="2"/>
      <c r="AJ27" s="2"/>
      <c r="AK27" s="2"/>
    </row>
    <row r="28" spans="1:60" s="1" customFormat="1" ht="19.5" thickBot="1" x14ac:dyDescent="0.3">
      <c r="A28" s="3">
        <f t="shared" si="3"/>
        <v>21</v>
      </c>
      <c r="B28" s="13" t="s">
        <v>77</v>
      </c>
      <c r="C28" s="110"/>
      <c r="D28" s="111"/>
      <c r="E28" s="112"/>
      <c r="F28" s="112"/>
      <c r="G28" s="76"/>
      <c r="H28" s="73"/>
      <c r="I28" s="73">
        <f t="shared" si="4"/>
        <v>0</v>
      </c>
      <c r="J28" s="77">
        <f t="shared" si="4"/>
        <v>0</v>
      </c>
      <c r="K28" s="42"/>
      <c r="L28" s="112"/>
      <c r="M28" s="112"/>
      <c r="N28" s="112"/>
      <c r="O28" s="112"/>
      <c r="P28" s="112"/>
      <c r="Q28" s="120"/>
      <c r="R28" s="86">
        <f t="shared" si="7"/>
        <v>0</v>
      </c>
      <c r="S28" s="124">
        <f t="shared" si="7"/>
        <v>0</v>
      </c>
      <c r="T28" s="42"/>
      <c r="U28" s="107">
        <f t="shared" si="5"/>
        <v>0</v>
      </c>
      <c r="V28" s="130">
        <f t="shared" si="6"/>
        <v>0</v>
      </c>
      <c r="W28" s="129">
        <f t="shared" si="8"/>
        <v>0</v>
      </c>
      <c r="X28" s="27"/>
      <c r="Y28" s="2"/>
      <c r="AD28" s="2"/>
      <c r="AG28" s="2"/>
      <c r="AH28" s="2"/>
      <c r="AI28" s="2"/>
      <c r="AJ28" s="2"/>
      <c r="AK28" s="2"/>
    </row>
    <row r="29" spans="1:60" s="1" customFormat="1" ht="19.5" thickBot="1" x14ac:dyDescent="0.3">
      <c r="A29" s="3">
        <f t="shared" si="3"/>
        <v>22</v>
      </c>
      <c r="B29" s="13" t="s">
        <v>25</v>
      </c>
      <c r="C29" s="110"/>
      <c r="D29" s="111"/>
      <c r="E29" s="112"/>
      <c r="F29" s="112"/>
      <c r="G29" s="76"/>
      <c r="H29" s="73"/>
      <c r="I29" s="73">
        <f t="shared" si="4"/>
        <v>0</v>
      </c>
      <c r="J29" s="77">
        <f t="shared" si="4"/>
        <v>0</v>
      </c>
      <c r="K29" s="42"/>
      <c r="L29" s="112"/>
      <c r="M29" s="112"/>
      <c r="N29" s="112"/>
      <c r="O29" s="112"/>
      <c r="P29" s="112"/>
      <c r="Q29" s="120"/>
      <c r="R29" s="86">
        <f t="shared" si="7"/>
        <v>0</v>
      </c>
      <c r="S29" s="124">
        <f t="shared" si="7"/>
        <v>0</v>
      </c>
      <c r="T29" s="42"/>
      <c r="U29" s="107">
        <f t="shared" si="5"/>
        <v>0</v>
      </c>
      <c r="V29" s="130">
        <f t="shared" si="6"/>
        <v>0</v>
      </c>
      <c r="W29" s="129">
        <f t="shared" si="8"/>
        <v>0</v>
      </c>
      <c r="X29" s="27"/>
      <c r="Y29" s="2"/>
      <c r="AD29" s="2"/>
      <c r="AG29" s="2"/>
      <c r="AH29" s="2"/>
      <c r="AI29" s="2"/>
      <c r="AJ29" s="2"/>
      <c r="AK29" s="2"/>
    </row>
    <row r="30" spans="1:60" ht="19.5" thickBot="1" x14ac:dyDescent="0.3">
      <c r="A30" s="3">
        <f t="shared" si="3"/>
        <v>23</v>
      </c>
      <c r="B30" s="13" t="s">
        <v>27</v>
      </c>
      <c r="C30" s="110"/>
      <c r="D30" s="111"/>
      <c r="E30" s="112"/>
      <c r="F30" s="112"/>
      <c r="G30" s="76"/>
      <c r="H30" s="73"/>
      <c r="I30" s="73">
        <f t="shared" si="4"/>
        <v>0</v>
      </c>
      <c r="J30" s="77">
        <f t="shared" si="4"/>
        <v>0</v>
      </c>
      <c r="K30" s="41"/>
      <c r="L30" s="112"/>
      <c r="M30" s="112"/>
      <c r="N30" s="112"/>
      <c r="O30" s="112"/>
      <c r="P30" s="112"/>
      <c r="Q30" s="120"/>
      <c r="R30" s="86">
        <f t="shared" si="7"/>
        <v>0</v>
      </c>
      <c r="S30" s="124">
        <f t="shared" si="7"/>
        <v>0</v>
      </c>
      <c r="T30" s="41"/>
      <c r="U30" s="107">
        <f t="shared" si="5"/>
        <v>0</v>
      </c>
      <c r="V30" s="130">
        <f t="shared" si="6"/>
        <v>0</v>
      </c>
      <c r="W30" s="129">
        <f t="shared" si="8"/>
        <v>0</v>
      </c>
      <c r="X30" s="27"/>
    </row>
    <row r="31" spans="1:60" ht="19.5" thickBot="1" x14ac:dyDescent="0.3">
      <c r="A31" s="3">
        <f t="shared" si="3"/>
        <v>24</v>
      </c>
      <c r="B31" s="13" t="s">
        <v>29</v>
      </c>
      <c r="C31" s="110"/>
      <c r="D31" s="111"/>
      <c r="E31" s="112"/>
      <c r="F31" s="112"/>
      <c r="G31" s="76"/>
      <c r="H31" s="73"/>
      <c r="I31" s="73">
        <f t="shared" si="4"/>
        <v>0</v>
      </c>
      <c r="J31" s="77">
        <f t="shared" si="4"/>
        <v>0</v>
      </c>
      <c r="K31" s="41"/>
      <c r="L31" s="112"/>
      <c r="M31" s="112"/>
      <c r="N31" s="112"/>
      <c r="O31" s="112"/>
      <c r="P31" s="112"/>
      <c r="Q31" s="120"/>
      <c r="R31" s="86">
        <f t="shared" si="7"/>
        <v>0</v>
      </c>
      <c r="S31" s="124">
        <f t="shared" si="7"/>
        <v>0</v>
      </c>
      <c r="T31" s="41"/>
      <c r="U31" s="107">
        <f t="shared" si="5"/>
        <v>0</v>
      </c>
      <c r="V31" s="130">
        <f t="shared" si="6"/>
        <v>0</v>
      </c>
      <c r="W31" s="129">
        <f t="shared" si="8"/>
        <v>0</v>
      </c>
      <c r="X31" s="27"/>
    </row>
    <row r="32" spans="1:60" ht="19.5" thickBot="1" x14ac:dyDescent="0.3">
      <c r="A32" s="3">
        <f t="shared" si="3"/>
        <v>25</v>
      </c>
      <c r="B32" s="13" t="s">
        <v>26</v>
      </c>
      <c r="C32" s="110"/>
      <c r="D32" s="111"/>
      <c r="E32" s="112"/>
      <c r="F32" s="112"/>
      <c r="G32" s="76"/>
      <c r="H32" s="73"/>
      <c r="I32" s="73">
        <f t="shared" si="4"/>
        <v>0</v>
      </c>
      <c r="J32" s="77">
        <f t="shared" si="4"/>
        <v>0</v>
      </c>
      <c r="K32" s="41"/>
      <c r="L32" s="112"/>
      <c r="M32" s="112"/>
      <c r="N32" s="112"/>
      <c r="O32" s="112"/>
      <c r="P32" s="112"/>
      <c r="Q32" s="120"/>
      <c r="R32" s="86">
        <f t="shared" si="7"/>
        <v>0</v>
      </c>
      <c r="S32" s="124">
        <f t="shared" si="7"/>
        <v>0</v>
      </c>
      <c r="T32" s="41"/>
      <c r="U32" s="107">
        <f t="shared" si="5"/>
        <v>0</v>
      </c>
      <c r="V32" s="130">
        <f t="shared" si="6"/>
        <v>0</v>
      </c>
      <c r="W32" s="129">
        <f t="shared" si="8"/>
        <v>0</v>
      </c>
      <c r="X32" s="27"/>
    </row>
    <row r="33" spans="1:26" ht="19.5" thickBot="1" x14ac:dyDescent="0.3">
      <c r="A33" s="3">
        <f t="shared" si="3"/>
        <v>26</v>
      </c>
      <c r="B33" s="13" t="s">
        <v>28</v>
      </c>
      <c r="C33" s="110"/>
      <c r="D33" s="111"/>
      <c r="E33" s="112"/>
      <c r="F33" s="112"/>
      <c r="G33" s="76"/>
      <c r="H33" s="73"/>
      <c r="I33" s="73">
        <f t="shared" si="4"/>
        <v>0</v>
      </c>
      <c r="J33" s="77">
        <f t="shared" si="4"/>
        <v>0</v>
      </c>
      <c r="K33" s="41"/>
      <c r="L33" s="112"/>
      <c r="M33" s="112"/>
      <c r="N33" s="112"/>
      <c r="O33" s="112"/>
      <c r="P33" s="112"/>
      <c r="Q33" s="120"/>
      <c r="R33" s="86">
        <f t="shared" si="7"/>
        <v>0</v>
      </c>
      <c r="S33" s="124">
        <f t="shared" si="7"/>
        <v>0</v>
      </c>
      <c r="T33" s="41"/>
      <c r="U33" s="107">
        <f t="shared" si="5"/>
        <v>0</v>
      </c>
      <c r="V33" s="130">
        <f t="shared" si="6"/>
        <v>0</v>
      </c>
      <c r="W33" s="129">
        <f t="shared" si="8"/>
        <v>0</v>
      </c>
      <c r="X33" s="27"/>
    </row>
    <row r="34" spans="1:26" ht="19.5" thickBot="1" x14ac:dyDescent="0.3">
      <c r="A34" s="3">
        <f t="shared" si="3"/>
        <v>27</v>
      </c>
      <c r="B34" s="13" t="s">
        <v>30</v>
      </c>
      <c r="C34" s="110"/>
      <c r="D34" s="111"/>
      <c r="E34" s="112"/>
      <c r="F34" s="112"/>
      <c r="G34" s="76"/>
      <c r="H34" s="73"/>
      <c r="I34" s="73">
        <f t="shared" si="4"/>
        <v>0</v>
      </c>
      <c r="J34" s="77">
        <f t="shared" si="4"/>
        <v>0</v>
      </c>
      <c r="K34" s="41"/>
      <c r="L34" s="112"/>
      <c r="M34" s="112"/>
      <c r="N34" s="112"/>
      <c r="O34" s="112"/>
      <c r="P34" s="112"/>
      <c r="Q34" s="120"/>
      <c r="R34" s="86">
        <f t="shared" si="7"/>
        <v>0</v>
      </c>
      <c r="S34" s="124">
        <f t="shared" si="7"/>
        <v>0</v>
      </c>
      <c r="T34" s="41"/>
      <c r="U34" s="107">
        <f t="shared" si="5"/>
        <v>0</v>
      </c>
      <c r="V34" s="130">
        <f t="shared" si="6"/>
        <v>0</v>
      </c>
      <c r="W34" s="129">
        <f t="shared" si="8"/>
        <v>0</v>
      </c>
      <c r="X34" s="27"/>
    </row>
    <row r="35" spans="1:26" ht="19.5" thickBot="1" x14ac:dyDescent="0.3">
      <c r="A35" s="3">
        <f t="shared" si="3"/>
        <v>28</v>
      </c>
      <c r="B35" s="13" t="s">
        <v>31</v>
      </c>
      <c r="C35" s="110"/>
      <c r="D35" s="111"/>
      <c r="E35" s="112"/>
      <c r="F35" s="112"/>
      <c r="G35" s="76"/>
      <c r="H35" s="73"/>
      <c r="I35" s="73">
        <f t="shared" si="4"/>
        <v>0</v>
      </c>
      <c r="J35" s="77">
        <f t="shared" si="4"/>
        <v>0</v>
      </c>
      <c r="K35" s="41"/>
      <c r="L35" s="112"/>
      <c r="M35" s="112"/>
      <c r="N35" s="112"/>
      <c r="O35" s="112"/>
      <c r="P35" s="112"/>
      <c r="Q35" s="120"/>
      <c r="R35" s="86">
        <f t="shared" si="7"/>
        <v>0</v>
      </c>
      <c r="S35" s="124">
        <f t="shared" si="7"/>
        <v>0</v>
      </c>
      <c r="T35" s="41"/>
      <c r="U35" s="107">
        <f t="shared" si="5"/>
        <v>0</v>
      </c>
      <c r="V35" s="130">
        <f t="shared" si="6"/>
        <v>0</v>
      </c>
      <c r="W35" s="129">
        <f t="shared" si="8"/>
        <v>0</v>
      </c>
      <c r="X35" s="27"/>
    </row>
    <row r="36" spans="1:26" ht="18.75" hidden="1" customHeight="1" x14ac:dyDescent="0.3">
      <c r="A36" s="3">
        <f t="shared" si="3"/>
        <v>29</v>
      </c>
      <c r="B36" s="13" t="s">
        <v>39</v>
      </c>
      <c r="C36" s="110"/>
      <c r="D36" s="111"/>
      <c r="E36" s="112"/>
      <c r="F36" s="112"/>
      <c r="G36" s="76"/>
      <c r="H36" s="73"/>
      <c r="I36" s="73">
        <f t="shared" si="4"/>
        <v>0</v>
      </c>
      <c r="J36" s="77">
        <f t="shared" si="4"/>
        <v>0</v>
      </c>
      <c r="K36" s="41"/>
      <c r="L36" s="112"/>
      <c r="M36" s="112"/>
      <c r="N36" s="112"/>
      <c r="O36" s="112"/>
      <c r="P36" s="112"/>
      <c r="Q36" s="120"/>
      <c r="R36" s="86">
        <f t="shared" si="7"/>
        <v>0</v>
      </c>
      <c r="S36" s="124">
        <f t="shared" si="7"/>
        <v>0</v>
      </c>
      <c r="T36" s="41"/>
      <c r="U36" s="107">
        <f t="shared" si="5"/>
        <v>0</v>
      </c>
      <c r="V36" s="130">
        <f t="shared" si="6"/>
        <v>0</v>
      </c>
      <c r="W36" s="129">
        <f t="shared" si="8"/>
        <v>0</v>
      </c>
      <c r="X36" s="27"/>
    </row>
    <row r="37" spans="1:26" ht="18.75" customHeight="1" thickBot="1" x14ac:dyDescent="0.3">
      <c r="A37" s="3">
        <f t="shared" si="3"/>
        <v>30</v>
      </c>
      <c r="B37" s="13" t="s">
        <v>32</v>
      </c>
      <c r="C37" s="110"/>
      <c r="D37" s="111"/>
      <c r="E37" s="112"/>
      <c r="F37" s="112"/>
      <c r="G37" s="76"/>
      <c r="H37" s="73"/>
      <c r="I37" s="73">
        <f t="shared" si="4"/>
        <v>0</v>
      </c>
      <c r="J37" s="77">
        <f t="shared" si="4"/>
        <v>0</v>
      </c>
      <c r="K37" s="41"/>
      <c r="L37" s="112"/>
      <c r="M37" s="112"/>
      <c r="N37" s="112"/>
      <c r="O37" s="112"/>
      <c r="P37" s="112"/>
      <c r="Q37" s="120"/>
      <c r="R37" s="86">
        <f t="shared" si="7"/>
        <v>0</v>
      </c>
      <c r="S37" s="124">
        <f t="shared" si="7"/>
        <v>0</v>
      </c>
      <c r="T37" s="41"/>
      <c r="U37" s="107">
        <f t="shared" si="5"/>
        <v>0</v>
      </c>
      <c r="V37" s="130">
        <f t="shared" si="6"/>
        <v>0</v>
      </c>
      <c r="W37" s="129">
        <f t="shared" si="8"/>
        <v>0</v>
      </c>
      <c r="X37" s="27"/>
    </row>
    <row r="38" spans="1:26" ht="19.5" thickBot="1" x14ac:dyDescent="0.3">
      <c r="A38" s="3">
        <f t="shared" si="3"/>
        <v>31</v>
      </c>
      <c r="B38" s="138" t="s">
        <v>33</v>
      </c>
      <c r="C38" s="113"/>
      <c r="D38" s="114"/>
      <c r="E38" s="115"/>
      <c r="F38" s="115"/>
      <c r="G38" s="78"/>
      <c r="H38" s="79"/>
      <c r="I38" s="139">
        <f t="shared" si="4"/>
        <v>0</v>
      </c>
      <c r="J38" s="140">
        <f t="shared" si="4"/>
        <v>0</v>
      </c>
      <c r="K38" s="51"/>
      <c r="L38" s="121"/>
      <c r="M38" s="121"/>
      <c r="N38" s="121"/>
      <c r="O38" s="121"/>
      <c r="P38" s="121"/>
      <c r="Q38" s="122"/>
      <c r="R38" s="97">
        <f t="shared" si="7"/>
        <v>0</v>
      </c>
      <c r="S38" s="125">
        <f t="shared" si="7"/>
        <v>0</v>
      </c>
      <c r="T38" s="51"/>
      <c r="U38" s="131">
        <f>L38*6+N38*6+P38*6</f>
        <v>0</v>
      </c>
      <c r="V38" s="135">
        <f>U38/6</f>
        <v>0</v>
      </c>
      <c r="W38" s="133">
        <f>I38*6+J38</f>
        <v>0</v>
      </c>
      <c r="X38" s="52"/>
    </row>
    <row r="39" spans="1:26" ht="19.5" thickBot="1" x14ac:dyDescent="0.3">
      <c r="A39" s="3">
        <f t="shared" si="3"/>
        <v>32</v>
      </c>
      <c r="B39" s="10" t="s">
        <v>34</v>
      </c>
      <c r="C39" s="110"/>
      <c r="D39" s="111"/>
      <c r="E39" s="112"/>
      <c r="F39" s="112"/>
      <c r="G39" s="76"/>
      <c r="H39" s="73"/>
      <c r="I39" s="76">
        <f t="shared" si="4"/>
        <v>0</v>
      </c>
      <c r="J39" s="77">
        <f t="shared" si="4"/>
        <v>0</v>
      </c>
      <c r="K39" s="41"/>
      <c r="L39" s="112"/>
      <c r="M39" s="112"/>
      <c r="N39" s="112"/>
      <c r="O39" s="112"/>
      <c r="P39" s="112"/>
      <c r="Q39" s="120"/>
      <c r="R39" s="96">
        <f t="shared" si="7"/>
        <v>0</v>
      </c>
      <c r="S39" s="126">
        <f t="shared" si="7"/>
        <v>0</v>
      </c>
      <c r="T39" s="41"/>
      <c r="U39" s="107">
        <f t="shared" ref="U39:U41" si="9">L39*24+N39*24+P39*24</f>
        <v>0</v>
      </c>
      <c r="V39" s="109">
        <f t="shared" si="6"/>
        <v>0</v>
      </c>
      <c r="W39" s="129">
        <f t="shared" ref="W39:W41" si="10">I39*24+J39</f>
        <v>0</v>
      </c>
      <c r="X39" s="27"/>
    </row>
    <row r="40" spans="1:26" ht="19.5" thickBot="1" x14ac:dyDescent="0.3">
      <c r="A40" s="3">
        <f t="shared" si="3"/>
        <v>33</v>
      </c>
      <c r="B40" s="81" t="s">
        <v>76</v>
      </c>
      <c r="C40" s="116"/>
      <c r="D40" s="117"/>
      <c r="E40" s="118"/>
      <c r="F40" s="118"/>
      <c r="G40" s="82"/>
      <c r="H40" s="80"/>
      <c r="I40" s="73">
        <f t="shared" si="4"/>
        <v>0</v>
      </c>
      <c r="J40" s="77">
        <f t="shared" si="4"/>
        <v>0</v>
      </c>
      <c r="K40" s="41"/>
      <c r="L40" s="112"/>
      <c r="M40" s="112"/>
      <c r="N40" s="112"/>
      <c r="O40" s="112"/>
      <c r="P40" s="112"/>
      <c r="Q40" s="120"/>
      <c r="R40" s="86">
        <f t="shared" si="7"/>
        <v>0</v>
      </c>
      <c r="S40" s="124">
        <f t="shared" si="7"/>
        <v>0</v>
      </c>
      <c r="T40" s="41"/>
      <c r="U40" s="136">
        <f t="shared" si="9"/>
        <v>0</v>
      </c>
      <c r="V40" s="130">
        <f t="shared" si="6"/>
        <v>0</v>
      </c>
      <c r="W40" s="137">
        <f t="shared" si="10"/>
        <v>0</v>
      </c>
      <c r="X40" s="92"/>
    </row>
    <row r="41" spans="1:26" ht="19.5" thickBot="1" x14ac:dyDescent="0.3">
      <c r="A41" s="3">
        <f t="shared" si="3"/>
        <v>34</v>
      </c>
      <c r="B41" s="145" t="s">
        <v>35</v>
      </c>
      <c r="C41" s="146"/>
      <c r="D41" s="147"/>
      <c r="E41" s="148"/>
      <c r="F41" s="148"/>
      <c r="G41" s="149"/>
      <c r="H41" s="150"/>
      <c r="I41" s="151">
        <f t="shared" si="4"/>
        <v>0</v>
      </c>
      <c r="J41" s="152">
        <f t="shared" si="4"/>
        <v>0</v>
      </c>
      <c r="K41" s="153"/>
      <c r="L41" s="154"/>
      <c r="M41" s="154"/>
      <c r="N41" s="154"/>
      <c r="O41" s="154"/>
      <c r="P41" s="154"/>
      <c r="Q41" s="155"/>
      <c r="R41" s="156">
        <f t="shared" si="7"/>
        <v>0</v>
      </c>
      <c r="S41" s="157">
        <f t="shared" si="7"/>
        <v>0</v>
      </c>
      <c r="T41" s="153"/>
      <c r="U41" s="158">
        <f t="shared" si="9"/>
        <v>0</v>
      </c>
      <c r="V41" s="159">
        <f t="shared" si="6"/>
        <v>0</v>
      </c>
      <c r="W41" s="159">
        <f t="shared" si="10"/>
        <v>0</v>
      </c>
      <c r="X41" s="160"/>
    </row>
    <row r="42" spans="1:26" ht="19.5" thickBot="1" x14ac:dyDescent="0.3">
      <c r="A42" s="3">
        <f t="shared" si="3"/>
        <v>35</v>
      </c>
      <c r="B42" s="162" t="s">
        <v>36</v>
      </c>
      <c r="C42" s="163"/>
      <c r="D42" s="164"/>
      <c r="E42" s="165"/>
      <c r="F42" s="165"/>
      <c r="G42" s="166"/>
      <c r="H42" s="167"/>
      <c r="I42" s="166">
        <f t="shared" si="4"/>
        <v>0</v>
      </c>
      <c r="J42" s="168">
        <f t="shared" si="4"/>
        <v>0</v>
      </c>
      <c r="K42" s="169"/>
      <c r="L42" s="165"/>
      <c r="M42" s="165"/>
      <c r="N42" s="165"/>
      <c r="O42" s="165"/>
      <c r="P42" s="165"/>
      <c r="Q42" s="170"/>
      <c r="R42" s="171">
        <f t="shared" si="7"/>
        <v>0</v>
      </c>
      <c r="S42" s="172">
        <f t="shared" si="7"/>
        <v>0</v>
      </c>
      <c r="T42" s="169"/>
      <c r="U42" s="173">
        <f>L42*12+N42*12+P42*12</f>
        <v>0</v>
      </c>
      <c r="V42" s="174">
        <f>U42/12</f>
        <v>0</v>
      </c>
      <c r="W42" s="175">
        <f>I42*12+J42</f>
        <v>0</v>
      </c>
      <c r="X42" s="176"/>
    </row>
    <row r="43" spans="1:26" ht="18.75" hidden="1" customHeight="1" x14ac:dyDescent="0.3">
      <c r="A43" s="3">
        <f t="shared" si="3"/>
        <v>36</v>
      </c>
      <c r="B43" s="10" t="s">
        <v>43</v>
      </c>
      <c r="C43" s="110"/>
      <c r="D43" s="111"/>
      <c r="E43" s="112"/>
      <c r="F43" s="112"/>
      <c r="G43" s="76"/>
      <c r="H43" s="73"/>
      <c r="I43" s="73">
        <f t="shared" si="4"/>
        <v>0</v>
      </c>
      <c r="J43" s="94">
        <f t="shared" si="4"/>
        <v>0</v>
      </c>
      <c r="K43" s="41"/>
      <c r="L43" s="112"/>
      <c r="M43" s="112"/>
      <c r="N43" s="112"/>
      <c r="O43" s="112"/>
      <c r="P43" s="112"/>
      <c r="Q43" s="120"/>
      <c r="R43" s="161">
        <f t="shared" si="7"/>
        <v>0</v>
      </c>
      <c r="S43" s="127">
        <f t="shared" si="7"/>
        <v>0</v>
      </c>
      <c r="T43" s="41"/>
      <c r="U43" s="107"/>
      <c r="V43" s="109"/>
      <c r="W43" s="129"/>
      <c r="X43" s="27"/>
    </row>
    <row r="44" spans="1:26" ht="19.5" thickBot="1" x14ac:dyDescent="0.3">
      <c r="A44" s="3">
        <f t="shared" si="3"/>
        <v>37</v>
      </c>
      <c r="B44" s="50" t="s">
        <v>37</v>
      </c>
      <c r="C44" s="113"/>
      <c r="D44" s="114"/>
      <c r="E44" s="115"/>
      <c r="F44" s="115"/>
      <c r="G44" s="78"/>
      <c r="H44" s="79"/>
      <c r="I44" s="73">
        <f>C44+E44-G44</f>
        <v>0</v>
      </c>
      <c r="J44" s="177">
        <f t="shared" si="4"/>
        <v>0</v>
      </c>
      <c r="K44" s="51"/>
      <c r="L44" s="121"/>
      <c r="M44" s="121"/>
      <c r="N44" s="121"/>
      <c r="O44" s="121"/>
      <c r="P44" s="121"/>
      <c r="Q44" s="122"/>
      <c r="R44" s="178">
        <f t="shared" si="7"/>
        <v>0</v>
      </c>
      <c r="S44" s="179">
        <f t="shared" si="7"/>
        <v>0</v>
      </c>
      <c r="T44" s="51"/>
      <c r="U44" s="131">
        <f>L44*6+N44*6+P44*6</f>
        <v>0</v>
      </c>
      <c r="V44" s="130">
        <f>U44/6</f>
        <v>0</v>
      </c>
      <c r="W44" s="133">
        <f>I44*6+J44</f>
        <v>0</v>
      </c>
      <c r="X44" s="52"/>
      <c r="Z44" s="47"/>
    </row>
    <row r="45" spans="1:26" ht="18.75" hidden="1" customHeight="1" x14ac:dyDescent="0.3">
      <c r="A45" s="3">
        <f t="shared" si="3"/>
        <v>38</v>
      </c>
      <c r="B45" s="10" t="s">
        <v>45</v>
      </c>
      <c r="C45" s="110"/>
      <c r="D45" s="111"/>
      <c r="E45" s="112"/>
      <c r="F45" s="112"/>
      <c r="G45" s="76"/>
      <c r="H45" s="73"/>
      <c r="I45" s="80">
        <f t="shared" si="4"/>
        <v>0</v>
      </c>
      <c r="J45" s="77">
        <f t="shared" si="4"/>
        <v>0</v>
      </c>
      <c r="K45" s="41"/>
      <c r="L45" s="112"/>
      <c r="M45" s="112"/>
      <c r="N45" s="112"/>
      <c r="O45" s="112"/>
      <c r="P45" s="112"/>
      <c r="Q45" s="120"/>
      <c r="R45" s="96">
        <f t="shared" si="7"/>
        <v>0</v>
      </c>
      <c r="S45" s="127">
        <f t="shared" si="7"/>
        <v>0</v>
      </c>
      <c r="T45" s="41"/>
      <c r="U45" s="107"/>
      <c r="V45" s="132"/>
      <c r="W45" s="129"/>
      <c r="X45" s="27"/>
    </row>
    <row r="46" spans="1:26" ht="19.5" thickBot="1" x14ac:dyDescent="0.3">
      <c r="A46" s="3">
        <f t="shared" si="3"/>
        <v>39</v>
      </c>
      <c r="B46" s="13" t="s">
        <v>38</v>
      </c>
      <c r="C46" s="110"/>
      <c r="D46" s="111"/>
      <c r="E46" s="112"/>
      <c r="F46" s="112"/>
      <c r="G46" s="76"/>
      <c r="H46" s="73"/>
      <c r="I46" s="93">
        <f t="shared" si="4"/>
        <v>0</v>
      </c>
      <c r="J46" s="77">
        <f t="shared" si="4"/>
        <v>0</v>
      </c>
      <c r="K46" s="41"/>
      <c r="L46" s="112"/>
      <c r="M46" s="112"/>
      <c r="N46" s="112"/>
      <c r="O46" s="112"/>
      <c r="P46" s="112"/>
      <c r="Q46" s="120"/>
      <c r="R46" s="86">
        <f t="shared" si="7"/>
        <v>0</v>
      </c>
      <c r="S46" s="128">
        <f t="shared" si="7"/>
        <v>0</v>
      </c>
      <c r="T46" s="41"/>
      <c r="U46" s="107">
        <f t="shared" ref="U46:U47" si="11">L46*24+N46*24+P46*24</f>
        <v>0</v>
      </c>
      <c r="V46" s="134">
        <f t="shared" ref="V46:V47" si="12">U46/24</f>
        <v>0</v>
      </c>
      <c r="W46" s="129">
        <f t="shared" ref="W46:W47" si="13">I46*24+J46</f>
        <v>0</v>
      </c>
      <c r="X46" s="27"/>
    </row>
    <row r="47" spans="1:26" ht="19.5" thickBot="1" x14ac:dyDescent="0.3">
      <c r="A47" s="3">
        <f t="shared" si="3"/>
        <v>40</v>
      </c>
      <c r="B47" s="13" t="s">
        <v>71</v>
      </c>
      <c r="C47" s="110"/>
      <c r="D47" s="111"/>
      <c r="E47" s="112"/>
      <c r="F47" s="112"/>
      <c r="G47" s="76"/>
      <c r="H47" s="73"/>
      <c r="I47" s="73">
        <f t="shared" si="4"/>
        <v>0</v>
      </c>
      <c r="J47" s="77">
        <f t="shared" si="4"/>
        <v>0</v>
      </c>
      <c r="K47" s="41"/>
      <c r="L47" s="112"/>
      <c r="M47" s="112"/>
      <c r="N47" s="112"/>
      <c r="O47" s="112"/>
      <c r="P47" s="112"/>
      <c r="Q47" s="120"/>
      <c r="R47" s="86">
        <f t="shared" si="7"/>
        <v>0</v>
      </c>
      <c r="S47" s="124">
        <f t="shared" si="7"/>
        <v>0</v>
      </c>
      <c r="T47" s="41"/>
      <c r="U47" s="107">
        <f t="shared" si="11"/>
        <v>0</v>
      </c>
      <c r="V47" s="130">
        <f t="shared" si="12"/>
        <v>0</v>
      </c>
      <c r="W47" s="129">
        <f t="shared" si="13"/>
        <v>0</v>
      </c>
      <c r="X47" s="27"/>
    </row>
    <row r="48" spans="1:26" ht="19.5" thickBot="1" x14ac:dyDescent="0.3">
      <c r="A48" s="3">
        <f t="shared" si="3"/>
        <v>41</v>
      </c>
      <c r="B48" s="50" t="s">
        <v>39</v>
      </c>
      <c r="C48" s="141"/>
      <c r="D48" s="142"/>
      <c r="E48" s="121"/>
      <c r="F48" s="121"/>
      <c r="G48" s="143"/>
      <c r="H48" s="139"/>
      <c r="I48" s="139">
        <f t="shared" si="4"/>
        <v>0</v>
      </c>
      <c r="J48" s="140">
        <f t="shared" si="4"/>
        <v>0</v>
      </c>
      <c r="K48" s="51"/>
      <c r="L48" s="121"/>
      <c r="M48" s="121"/>
      <c r="N48" s="121"/>
      <c r="O48" s="121"/>
      <c r="P48" s="121"/>
      <c r="Q48" s="122"/>
      <c r="R48" s="97">
        <f t="shared" si="7"/>
        <v>0</v>
      </c>
      <c r="S48" s="144">
        <f t="shared" si="7"/>
        <v>0</v>
      </c>
      <c r="T48" s="51"/>
      <c r="U48" s="131">
        <f>L48*6+N48*6+P48*6</f>
        <v>0</v>
      </c>
      <c r="V48" s="135">
        <f>U48/6</f>
        <v>0</v>
      </c>
      <c r="W48" s="133">
        <f>I48*6+J48</f>
        <v>0</v>
      </c>
      <c r="X48" s="52"/>
    </row>
    <row r="49" spans="1:24" ht="19.5" thickBot="1" x14ac:dyDescent="0.3">
      <c r="A49" s="3">
        <f t="shared" si="3"/>
        <v>42</v>
      </c>
      <c r="B49" s="10" t="s">
        <v>72</v>
      </c>
      <c r="C49" s="110"/>
      <c r="D49" s="111"/>
      <c r="E49" s="112"/>
      <c r="F49" s="112"/>
      <c r="G49" s="76"/>
      <c r="H49" s="73"/>
      <c r="I49" s="73">
        <f t="shared" si="4"/>
        <v>0</v>
      </c>
      <c r="J49" s="77">
        <f t="shared" si="4"/>
        <v>0</v>
      </c>
      <c r="K49" s="41"/>
      <c r="L49" s="112"/>
      <c r="M49" s="112"/>
      <c r="N49" s="112"/>
      <c r="O49" s="112"/>
      <c r="P49" s="112"/>
      <c r="Q49" s="120"/>
      <c r="R49" s="96">
        <f t="shared" si="7"/>
        <v>0</v>
      </c>
      <c r="S49" s="126">
        <f t="shared" si="7"/>
        <v>0</v>
      </c>
      <c r="T49" s="41"/>
      <c r="U49" s="107">
        <f t="shared" ref="U49:U51" si="14">L49*24+N49*24+P49*24</f>
        <v>0</v>
      </c>
      <c r="V49" s="109">
        <f t="shared" ref="V49:V51" si="15">U49/24</f>
        <v>0</v>
      </c>
      <c r="W49" s="129">
        <f t="shared" ref="W49:W51" si="16">I49*24+J49</f>
        <v>0</v>
      </c>
      <c r="X49" s="27"/>
    </row>
    <row r="50" spans="1:24" ht="19.5" thickBot="1" x14ac:dyDescent="0.3">
      <c r="A50" s="3">
        <f t="shared" si="3"/>
        <v>43</v>
      </c>
      <c r="B50" s="13" t="s">
        <v>40</v>
      </c>
      <c r="C50" s="110"/>
      <c r="D50" s="111"/>
      <c r="E50" s="112"/>
      <c r="F50" s="112"/>
      <c r="G50" s="76"/>
      <c r="H50" s="73"/>
      <c r="I50" s="73">
        <f t="shared" si="4"/>
        <v>0</v>
      </c>
      <c r="J50" s="77">
        <f t="shared" si="4"/>
        <v>0</v>
      </c>
      <c r="K50" s="41"/>
      <c r="L50" s="112"/>
      <c r="M50" s="112"/>
      <c r="N50" s="112"/>
      <c r="O50" s="112"/>
      <c r="P50" s="112"/>
      <c r="Q50" s="120"/>
      <c r="R50" s="86">
        <f t="shared" si="7"/>
        <v>0</v>
      </c>
      <c r="S50" s="124">
        <f t="shared" si="7"/>
        <v>0</v>
      </c>
      <c r="T50" s="41"/>
      <c r="U50" s="107">
        <f t="shared" si="14"/>
        <v>0</v>
      </c>
      <c r="V50" s="130">
        <f t="shared" si="15"/>
        <v>0</v>
      </c>
      <c r="W50" s="129">
        <f t="shared" si="16"/>
        <v>0</v>
      </c>
      <c r="X50" s="27"/>
    </row>
    <row r="51" spans="1:24" ht="19.5" thickBot="1" x14ac:dyDescent="0.3">
      <c r="A51" s="3">
        <f t="shared" si="3"/>
        <v>44</v>
      </c>
      <c r="B51" s="13" t="s">
        <v>73</v>
      </c>
      <c r="C51" s="110"/>
      <c r="D51" s="111"/>
      <c r="E51" s="112"/>
      <c r="F51" s="112"/>
      <c r="G51" s="76"/>
      <c r="H51" s="73"/>
      <c r="I51" s="73">
        <f t="shared" si="4"/>
        <v>0</v>
      </c>
      <c r="J51" s="77">
        <f t="shared" si="4"/>
        <v>0</v>
      </c>
      <c r="K51" s="41"/>
      <c r="L51" s="112"/>
      <c r="M51" s="112"/>
      <c r="N51" s="112"/>
      <c r="O51" s="112"/>
      <c r="P51" s="112"/>
      <c r="Q51" s="120"/>
      <c r="R51" s="86">
        <f t="shared" si="7"/>
        <v>0</v>
      </c>
      <c r="S51" s="124">
        <f t="shared" si="7"/>
        <v>0</v>
      </c>
      <c r="T51" s="41"/>
      <c r="U51" s="107">
        <f t="shared" si="14"/>
        <v>0</v>
      </c>
      <c r="V51" s="130">
        <f t="shared" si="15"/>
        <v>0</v>
      </c>
      <c r="W51" s="129">
        <f t="shared" si="16"/>
        <v>0</v>
      </c>
      <c r="X51" s="27"/>
    </row>
    <row r="52" spans="1:24" ht="19.5" thickBot="1" x14ac:dyDescent="0.3">
      <c r="A52" s="3">
        <f t="shared" si="3"/>
        <v>45</v>
      </c>
      <c r="B52" s="50" t="s">
        <v>41</v>
      </c>
      <c r="C52" s="141"/>
      <c r="D52" s="142"/>
      <c r="E52" s="121"/>
      <c r="F52" s="121"/>
      <c r="G52" s="143"/>
      <c r="H52" s="139"/>
      <c r="I52" s="139">
        <f t="shared" si="4"/>
        <v>0</v>
      </c>
      <c r="J52" s="140">
        <f t="shared" si="4"/>
        <v>0</v>
      </c>
      <c r="K52" s="51"/>
      <c r="L52" s="121"/>
      <c r="M52" s="121"/>
      <c r="N52" s="121"/>
      <c r="O52" s="121"/>
      <c r="P52" s="121"/>
      <c r="Q52" s="122"/>
      <c r="R52" s="97">
        <f t="shared" si="7"/>
        <v>0</v>
      </c>
      <c r="S52" s="144">
        <f t="shared" si="7"/>
        <v>0</v>
      </c>
      <c r="T52" s="51"/>
      <c r="U52" s="131">
        <f>L52*6+N52*6+P52*6</f>
        <v>0</v>
      </c>
      <c r="V52" s="135">
        <f>U52/6</f>
        <v>0</v>
      </c>
      <c r="W52" s="133">
        <f>I52*6+J52</f>
        <v>0</v>
      </c>
      <c r="X52" s="52"/>
    </row>
    <row r="53" spans="1:24" ht="19.5" thickBot="1" x14ac:dyDescent="0.3">
      <c r="A53" s="3">
        <f t="shared" si="3"/>
        <v>46</v>
      </c>
      <c r="B53" s="10" t="s">
        <v>42</v>
      </c>
      <c r="C53" s="110"/>
      <c r="D53" s="111"/>
      <c r="E53" s="112"/>
      <c r="F53" s="112"/>
      <c r="G53" s="76"/>
      <c r="H53" s="73"/>
      <c r="I53" s="73">
        <f t="shared" si="4"/>
        <v>0</v>
      </c>
      <c r="J53" s="77">
        <f t="shared" si="4"/>
        <v>0</v>
      </c>
      <c r="K53" s="41"/>
      <c r="L53" s="112"/>
      <c r="M53" s="112"/>
      <c r="N53" s="112"/>
      <c r="O53" s="112"/>
      <c r="P53" s="112"/>
      <c r="Q53" s="120"/>
      <c r="R53" s="96">
        <f t="shared" si="7"/>
        <v>0</v>
      </c>
      <c r="S53" s="126">
        <f t="shared" si="7"/>
        <v>0</v>
      </c>
      <c r="T53" s="41"/>
      <c r="U53" s="107">
        <f t="shared" ref="U53:U54" si="17">L53*24+N53*24+P53*24</f>
        <v>0</v>
      </c>
      <c r="V53" s="109">
        <f t="shared" ref="V53:V54" si="18">U53/24</f>
        <v>0</v>
      </c>
      <c r="W53" s="129">
        <f t="shared" ref="W53:W54" si="19">I53*24+J53</f>
        <v>0</v>
      </c>
      <c r="X53" s="27"/>
    </row>
    <row r="54" spans="1:24" ht="19.5" thickBot="1" x14ac:dyDescent="0.3">
      <c r="A54" s="3">
        <f t="shared" si="3"/>
        <v>47</v>
      </c>
      <c r="B54" s="13" t="s">
        <v>78</v>
      </c>
      <c r="C54" s="110"/>
      <c r="D54" s="111"/>
      <c r="E54" s="112"/>
      <c r="F54" s="112"/>
      <c r="G54" s="76"/>
      <c r="H54" s="73"/>
      <c r="I54" s="73">
        <f t="shared" si="4"/>
        <v>0</v>
      </c>
      <c r="J54" s="77">
        <f t="shared" si="4"/>
        <v>0</v>
      </c>
      <c r="K54" s="41"/>
      <c r="L54" s="112"/>
      <c r="M54" s="112"/>
      <c r="N54" s="112"/>
      <c r="O54" s="112"/>
      <c r="P54" s="112"/>
      <c r="Q54" s="120"/>
      <c r="R54" s="86">
        <f t="shared" si="7"/>
        <v>0</v>
      </c>
      <c r="S54" s="124">
        <f t="shared" si="7"/>
        <v>0</v>
      </c>
      <c r="T54" s="41"/>
      <c r="U54" s="107">
        <f t="shared" si="17"/>
        <v>0</v>
      </c>
      <c r="V54" s="130">
        <f t="shared" si="18"/>
        <v>0</v>
      </c>
      <c r="W54" s="129">
        <f t="shared" si="19"/>
        <v>0</v>
      </c>
      <c r="X54" s="27"/>
    </row>
    <row r="55" spans="1:24" ht="19.5" thickBot="1" x14ac:dyDescent="0.3">
      <c r="A55" s="3">
        <f t="shared" si="3"/>
        <v>48</v>
      </c>
      <c r="B55" s="13"/>
      <c r="C55" s="110"/>
      <c r="D55" s="111"/>
      <c r="E55" s="112"/>
      <c r="F55" s="112"/>
      <c r="G55" s="76"/>
      <c r="H55" s="73"/>
      <c r="I55" s="73">
        <f t="shared" si="4"/>
        <v>0</v>
      </c>
      <c r="J55" s="77">
        <f t="shared" si="4"/>
        <v>0</v>
      </c>
      <c r="K55" s="41"/>
      <c r="L55" s="112"/>
      <c r="M55" s="112"/>
      <c r="N55" s="112"/>
      <c r="O55" s="112"/>
      <c r="P55" s="112"/>
      <c r="Q55" s="120"/>
      <c r="R55" s="86">
        <f t="shared" si="7"/>
        <v>0</v>
      </c>
      <c r="S55" s="124">
        <f t="shared" si="7"/>
        <v>0</v>
      </c>
      <c r="T55" s="41"/>
      <c r="U55" s="107"/>
      <c r="V55" s="130"/>
      <c r="W55" s="129"/>
      <c r="X55" s="27"/>
    </row>
    <row r="56" spans="1:24" ht="19.5" thickBot="1" x14ac:dyDescent="0.3">
      <c r="A56" s="3">
        <f t="shared" si="3"/>
        <v>49</v>
      </c>
      <c r="B56" s="13"/>
      <c r="C56" s="110"/>
      <c r="D56" s="111"/>
      <c r="E56" s="112"/>
      <c r="F56" s="112"/>
      <c r="G56" s="76"/>
      <c r="H56" s="73"/>
      <c r="I56" s="73">
        <f t="shared" si="4"/>
        <v>0</v>
      </c>
      <c r="J56" s="77">
        <f t="shared" si="4"/>
        <v>0</v>
      </c>
      <c r="K56" s="41"/>
      <c r="L56" s="112"/>
      <c r="M56" s="112"/>
      <c r="N56" s="112"/>
      <c r="O56" s="112"/>
      <c r="P56" s="112"/>
      <c r="Q56" s="120"/>
      <c r="R56" s="86">
        <f t="shared" si="7"/>
        <v>0</v>
      </c>
      <c r="S56" s="124">
        <f t="shared" si="7"/>
        <v>0</v>
      </c>
      <c r="T56" s="41"/>
      <c r="U56" s="107"/>
      <c r="V56" s="130"/>
      <c r="W56" s="129"/>
      <c r="X56" s="27"/>
    </row>
    <row r="57" spans="1:24" ht="19.5" thickBot="1" x14ac:dyDescent="0.3">
      <c r="A57" s="3">
        <f t="shared" si="3"/>
        <v>50</v>
      </c>
      <c r="B57" s="13"/>
      <c r="C57" s="110"/>
      <c r="D57" s="111"/>
      <c r="E57" s="112"/>
      <c r="F57" s="112"/>
      <c r="G57" s="76"/>
      <c r="H57" s="73"/>
      <c r="I57" s="73">
        <f t="shared" si="4"/>
        <v>0</v>
      </c>
      <c r="J57" s="77">
        <f t="shared" si="4"/>
        <v>0</v>
      </c>
      <c r="K57" s="41"/>
      <c r="L57" s="112"/>
      <c r="M57" s="112"/>
      <c r="N57" s="112"/>
      <c r="O57" s="112"/>
      <c r="P57" s="112"/>
      <c r="Q57" s="120"/>
      <c r="R57" s="86">
        <f t="shared" si="7"/>
        <v>0</v>
      </c>
      <c r="S57" s="124">
        <f t="shared" si="7"/>
        <v>0</v>
      </c>
      <c r="T57" s="41"/>
      <c r="U57" s="107"/>
      <c r="V57" s="130"/>
      <c r="W57" s="129"/>
      <c r="X57" s="27"/>
    </row>
    <row r="58" spans="1:24" ht="19.5" thickBot="1" x14ac:dyDescent="0.3">
      <c r="A58" s="3">
        <f t="shared" si="3"/>
        <v>51</v>
      </c>
      <c r="B58" s="13"/>
      <c r="C58" s="110"/>
      <c r="D58" s="111"/>
      <c r="E58" s="112"/>
      <c r="F58" s="112"/>
      <c r="G58" s="76"/>
      <c r="H58" s="73"/>
      <c r="I58" s="73">
        <f t="shared" si="4"/>
        <v>0</v>
      </c>
      <c r="J58" s="77">
        <f t="shared" si="4"/>
        <v>0</v>
      </c>
      <c r="K58" s="41"/>
      <c r="L58" s="112"/>
      <c r="M58" s="112"/>
      <c r="N58" s="112"/>
      <c r="O58" s="112"/>
      <c r="P58" s="112"/>
      <c r="Q58" s="120"/>
      <c r="R58" s="86">
        <f t="shared" si="7"/>
        <v>0</v>
      </c>
      <c r="S58" s="124">
        <f t="shared" si="7"/>
        <v>0</v>
      </c>
      <c r="T58" s="41"/>
      <c r="U58" s="107"/>
      <c r="V58" s="130"/>
      <c r="W58" s="129"/>
      <c r="X58" s="27"/>
    </row>
    <row r="59" spans="1:24" ht="19.5" thickBot="1" x14ac:dyDescent="0.3">
      <c r="A59" s="3">
        <f t="shared" si="3"/>
        <v>52</v>
      </c>
      <c r="B59" s="13"/>
      <c r="C59" s="110"/>
      <c r="D59" s="111"/>
      <c r="E59" s="112"/>
      <c r="F59" s="112"/>
      <c r="G59" s="76"/>
      <c r="H59" s="73"/>
      <c r="I59" s="73">
        <f t="shared" si="4"/>
        <v>0</v>
      </c>
      <c r="J59" s="77">
        <f t="shared" si="4"/>
        <v>0</v>
      </c>
      <c r="K59" s="41"/>
      <c r="L59" s="112"/>
      <c r="M59" s="112"/>
      <c r="N59" s="112"/>
      <c r="O59" s="112"/>
      <c r="P59" s="112"/>
      <c r="Q59" s="120"/>
      <c r="R59" s="86">
        <f t="shared" si="7"/>
        <v>0</v>
      </c>
      <c r="S59" s="124">
        <f t="shared" si="7"/>
        <v>0</v>
      </c>
      <c r="T59" s="41"/>
      <c r="U59" s="107"/>
      <c r="V59" s="130"/>
      <c r="W59" s="129"/>
      <c r="X59" s="27"/>
    </row>
    <row r="60" spans="1:24" s="1" customFormat="1" ht="19.5" thickBot="1" x14ac:dyDescent="0.3">
      <c r="B60" s="15" t="s">
        <v>13</v>
      </c>
      <c r="C60" s="43">
        <f>SUM(C8:C59)</f>
        <v>0</v>
      </c>
      <c r="D60" s="54">
        <f>SUM(D8:D59)</f>
        <v>0</v>
      </c>
      <c r="E60" s="44">
        <f>SUM(E8:E59)</f>
        <v>0</v>
      </c>
      <c r="F60" s="44"/>
      <c r="G60" s="28">
        <f>SUM(G8:G59)</f>
        <v>0</v>
      </c>
      <c r="H60" s="56">
        <f>SUM(H8:H59)</f>
        <v>0</v>
      </c>
      <c r="I60" s="56">
        <f>SUM(I8:I59)</f>
        <v>0</v>
      </c>
      <c r="J60" s="45">
        <f>SUM(J8:J59)</f>
        <v>0</v>
      </c>
      <c r="K60" s="46"/>
      <c r="L60" s="74">
        <f t="shared" ref="L60:S60" si="20">SUM(L8:L59)</f>
        <v>0</v>
      </c>
      <c r="M60" s="74">
        <f t="shared" si="20"/>
        <v>0</v>
      </c>
      <c r="N60" s="74">
        <f t="shared" si="20"/>
        <v>0</v>
      </c>
      <c r="O60" s="74">
        <f t="shared" si="20"/>
        <v>0</v>
      </c>
      <c r="P60" s="74">
        <f t="shared" si="20"/>
        <v>0</v>
      </c>
      <c r="Q60" s="75">
        <f t="shared" si="20"/>
        <v>0</v>
      </c>
      <c r="R60" s="85">
        <f t="shared" si="20"/>
        <v>0</v>
      </c>
      <c r="S60" s="84">
        <f t="shared" si="20"/>
        <v>0</v>
      </c>
      <c r="T60" s="46"/>
      <c r="U60" s="43">
        <f>SUM(U8:U59)</f>
        <v>0</v>
      </c>
      <c r="V60" s="102">
        <f>SUM(V8:V59)</f>
        <v>0</v>
      </c>
      <c r="W60" s="90">
        <f>SUM(W8:W59)</f>
        <v>0</v>
      </c>
      <c r="X60" s="45"/>
    </row>
    <row r="61" spans="1:24" ht="19.5" thickBot="1" x14ac:dyDescent="0.3">
      <c r="V61" s="103"/>
    </row>
    <row r="62" spans="1:24" ht="18.75" customHeight="1" x14ac:dyDescent="0.25">
      <c r="G62" s="196" t="s">
        <v>65</v>
      </c>
      <c r="H62" s="57"/>
      <c r="I62" s="57"/>
      <c r="J62" s="23" t="s">
        <v>66</v>
      </c>
      <c r="L62" s="30"/>
      <c r="M62" s="62"/>
      <c r="N62" s="31"/>
      <c r="O62" s="31"/>
      <c r="P62" s="31"/>
      <c r="Q62" s="67"/>
      <c r="R62" s="67"/>
      <c r="S62" s="32"/>
    </row>
    <row r="63" spans="1:24" x14ac:dyDescent="0.25">
      <c r="G63" s="197"/>
      <c r="H63" s="58"/>
      <c r="I63" s="58"/>
      <c r="J63" s="24" t="s">
        <v>51</v>
      </c>
      <c r="L63" s="33"/>
      <c r="M63" s="63"/>
      <c r="N63" s="34"/>
      <c r="O63" s="34"/>
      <c r="P63" s="34"/>
      <c r="Q63" s="68"/>
      <c r="R63" s="68"/>
      <c r="S63" s="35"/>
    </row>
    <row r="64" spans="1:24" x14ac:dyDescent="0.25">
      <c r="G64" s="198"/>
      <c r="H64" s="59"/>
      <c r="I64" s="59"/>
      <c r="J64" s="24" t="s">
        <v>52</v>
      </c>
      <c r="L64" s="36"/>
      <c r="M64" s="64"/>
      <c r="N64" s="37"/>
      <c r="O64" s="37"/>
      <c r="P64" s="37"/>
      <c r="Q64" s="69"/>
      <c r="R64" s="69"/>
      <c r="S64" s="38"/>
    </row>
    <row r="65" spans="2:24" x14ac:dyDescent="0.25">
      <c r="G65" s="199" t="s">
        <v>64</v>
      </c>
      <c r="H65" s="60"/>
      <c r="I65" s="60"/>
      <c r="J65" s="24" t="s">
        <v>66</v>
      </c>
      <c r="L65" s="36"/>
      <c r="M65" s="64"/>
      <c r="N65" s="37"/>
      <c r="O65" s="37"/>
      <c r="P65" s="37"/>
      <c r="Q65" s="69"/>
      <c r="R65" s="69"/>
      <c r="S65" s="38"/>
    </row>
    <row r="66" spans="2:24" x14ac:dyDescent="0.25">
      <c r="G66" s="199"/>
      <c r="H66" s="60"/>
      <c r="I66" s="60"/>
      <c r="J66" s="24" t="s">
        <v>51</v>
      </c>
      <c r="L66" s="33"/>
      <c r="M66" s="63"/>
      <c r="N66" s="34"/>
      <c r="O66" s="34"/>
      <c r="P66" s="34"/>
      <c r="Q66" s="68"/>
      <c r="R66" s="68"/>
      <c r="S66" s="35"/>
    </row>
    <row r="67" spans="2:24" ht="19.5" thickBot="1" x14ac:dyDescent="0.3">
      <c r="G67" s="200"/>
      <c r="H67" s="61"/>
      <c r="I67" s="61"/>
      <c r="J67" s="25" t="s">
        <v>52</v>
      </c>
      <c r="L67" s="39"/>
      <c r="M67" s="65"/>
      <c r="N67" s="40"/>
      <c r="O67" s="40"/>
      <c r="P67" s="40"/>
      <c r="Q67" s="70"/>
      <c r="R67" s="70"/>
      <c r="S67" s="29"/>
    </row>
    <row r="68" spans="2:24" ht="19.5" thickBot="1" x14ac:dyDescent="0.3"/>
    <row r="69" spans="2:24" ht="49.5" customHeight="1" thickBot="1" x14ac:dyDescent="0.3">
      <c r="B69" s="17" t="s">
        <v>53</v>
      </c>
      <c r="C69" s="193" t="s">
        <v>3</v>
      </c>
      <c r="D69" s="194"/>
      <c r="E69" s="18" t="s">
        <v>54</v>
      </c>
      <c r="L69" s="19" t="s">
        <v>10</v>
      </c>
      <c r="M69" s="66"/>
      <c r="N69" s="20" t="s">
        <v>11</v>
      </c>
      <c r="O69" s="20"/>
      <c r="P69" s="20" t="s">
        <v>12</v>
      </c>
      <c r="Q69" s="71"/>
      <c r="R69" s="71"/>
      <c r="S69" s="100" t="s">
        <v>55</v>
      </c>
      <c r="X69" s="101" t="s">
        <v>56</v>
      </c>
    </row>
    <row r="70" spans="2:24" x14ac:dyDescent="0.25">
      <c r="B70" s="21" t="s">
        <v>31</v>
      </c>
      <c r="C70" s="11"/>
      <c r="D70" s="11"/>
      <c r="E70" s="22"/>
      <c r="L70" s="11"/>
      <c r="M70" s="11"/>
      <c r="N70" s="11"/>
      <c r="O70" s="11"/>
      <c r="P70" s="11"/>
      <c r="Q70" s="11"/>
      <c r="R70" s="11"/>
      <c r="S70" s="11"/>
      <c r="X70" s="22"/>
    </row>
    <row r="71" spans="2:24" x14ac:dyDescent="0.25">
      <c r="B71" s="16" t="s">
        <v>57</v>
      </c>
      <c r="C71" s="11"/>
      <c r="D71" s="11"/>
      <c r="E71" s="22"/>
      <c r="L71" s="22"/>
      <c r="M71" s="22"/>
      <c r="N71" s="22"/>
      <c r="O71" s="22"/>
      <c r="P71" s="22"/>
      <c r="Q71" s="22"/>
      <c r="R71" s="22"/>
      <c r="S71" s="22"/>
      <c r="X71" s="22"/>
    </row>
    <row r="72" spans="2:24" x14ac:dyDescent="0.25">
      <c r="B72" s="16" t="s">
        <v>58</v>
      </c>
      <c r="C72" s="11"/>
      <c r="D72" s="11"/>
      <c r="E72" s="22"/>
      <c r="L72" s="22"/>
      <c r="M72" s="22"/>
      <c r="N72" s="22"/>
      <c r="O72" s="22"/>
      <c r="P72" s="22"/>
      <c r="Q72" s="22"/>
      <c r="R72" s="22"/>
      <c r="S72" s="22"/>
      <c r="X72" s="22"/>
    </row>
    <row r="73" spans="2:24" ht="11.25" customHeight="1" x14ac:dyDescent="0.25"/>
    <row r="74" spans="2:24" x14ac:dyDescent="0.25">
      <c r="B74" s="16" t="s">
        <v>59</v>
      </c>
      <c r="C74" s="22"/>
      <c r="D74" s="22"/>
      <c r="E74" s="22"/>
      <c r="L74" s="22"/>
      <c r="M74" s="22"/>
      <c r="N74" s="22"/>
      <c r="O74" s="22"/>
      <c r="P74" s="22"/>
      <c r="Q74" s="22"/>
      <c r="R74" s="22"/>
      <c r="S74" s="22"/>
      <c r="X74" s="22"/>
    </row>
    <row r="75" spans="2:24" x14ac:dyDescent="0.25">
      <c r="B75" s="16" t="s">
        <v>57</v>
      </c>
      <c r="C75" s="22"/>
      <c r="D75" s="22"/>
      <c r="E75" s="22"/>
      <c r="L75" s="22"/>
      <c r="M75" s="22"/>
      <c r="N75" s="22"/>
      <c r="O75" s="22"/>
      <c r="P75" s="22"/>
      <c r="Q75" s="22"/>
      <c r="R75" s="22"/>
      <c r="S75" s="22"/>
      <c r="X75" s="22"/>
    </row>
    <row r="76" spans="2:24" x14ac:dyDescent="0.25">
      <c r="B76" s="16" t="s">
        <v>58</v>
      </c>
      <c r="C76" s="22"/>
      <c r="D76" s="22"/>
      <c r="E76" s="22"/>
      <c r="L76" s="22"/>
      <c r="M76" s="22"/>
      <c r="N76" s="22"/>
      <c r="O76" s="22"/>
      <c r="P76" s="22"/>
      <c r="Q76" s="22"/>
      <c r="R76" s="22"/>
      <c r="S76" s="22"/>
      <c r="X76" s="22"/>
    </row>
    <row r="77" spans="2:24" ht="11.25" customHeight="1" x14ac:dyDescent="0.25"/>
    <row r="78" spans="2:24" x14ac:dyDescent="0.25">
      <c r="B78" s="16" t="s">
        <v>60</v>
      </c>
      <c r="C78" s="22"/>
      <c r="D78" s="22"/>
      <c r="E78" s="22"/>
      <c r="L78" s="22"/>
      <c r="M78" s="22"/>
      <c r="N78" s="22"/>
      <c r="O78" s="22"/>
      <c r="P78" s="22"/>
      <c r="Q78" s="22"/>
      <c r="R78" s="22"/>
      <c r="S78" s="22"/>
      <c r="X78" s="22"/>
    </row>
    <row r="79" spans="2:24" x14ac:dyDescent="0.25">
      <c r="B79" s="16" t="s">
        <v>57</v>
      </c>
      <c r="C79" s="22"/>
      <c r="D79" s="22"/>
      <c r="E79" s="22"/>
      <c r="L79" s="22"/>
      <c r="M79" s="22"/>
      <c r="N79" s="22"/>
      <c r="O79" s="22"/>
      <c r="P79" s="22"/>
      <c r="Q79" s="22"/>
      <c r="R79" s="22"/>
      <c r="S79" s="22"/>
      <c r="X79" s="22"/>
    </row>
    <row r="80" spans="2:24" x14ac:dyDescent="0.25">
      <c r="B80" s="16" t="s">
        <v>58</v>
      </c>
      <c r="C80" s="22"/>
      <c r="D80" s="22"/>
      <c r="E80" s="22"/>
      <c r="L80" s="22"/>
      <c r="M80" s="22"/>
      <c r="N80" s="22"/>
      <c r="O80" s="22"/>
      <c r="P80" s="22"/>
      <c r="Q80" s="22"/>
      <c r="R80" s="22"/>
      <c r="S80" s="22"/>
      <c r="X80" s="22"/>
    </row>
    <row r="81" spans="2:24" ht="11.25" customHeight="1" x14ac:dyDescent="0.25"/>
    <row r="82" spans="2:24" x14ac:dyDescent="0.25">
      <c r="B82" s="16" t="s">
        <v>61</v>
      </c>
      <c r="C82" s="22"/>
      <c r="D82" s="22"/>
      <c r="E82" s="22"/>
      <c r="L82" s="22"/>
      <c r="M82" s="22"/>
      <c r="N82" s="22"/>
      <c r="O82" s="22"/>
      <c r="P82" s="22"/>
      <c r="Q82" s="22"/>
      <c r="R82" s="22"/>
      <c r="S82" s="22"/>
      <c r="X82" s="22"/>
    </row>
    <row r="83" spans="2:24" x14ac:dyDescent="0.25">
      <c r="B83" s="16" t="s">
        <v>57</v>
      </c>
      <c r="C83" s="22"/>
      <c r="D83" s="22"/>
      <c r="E83" s="22"/>
      <c r="L83" s="22"/>
      <c r="M83" s="22"/>
      <c r="N83" s="22"/>
      <c r="O83" s="22"/>
      <c r="P83" s="22"/>
      <c r="Q83" s="22"/>
      <c r="R83" s="22"/>
      <c r="S83" s="22"/>
      <c r="X83" s="22"/>
    </row>
    <row r="84" spans="2:24" x14ac:dyDescent="0.25">
      <c r="B84" s="16" t="s">
        <v>58</v>
      </c>
      <c r="C84" s="11"/>
      <c r="D84" s="11"/>
      <c r="E84" s="22"/>
      <c r="L84" s="22"/>
      <c r="M84" s="22"/>
      <c r="N84" s="22"/>
      <c r="O84" s="22"/>
      <c r="P84" s="22"/>
      <c r="Q84" s="22"/>
      <c r="R84" s="22"/>
      <c r="S84" s="22"/>
      <c r="X84" s="22"/>
    </row>
    <row r="85" spans="2:24" ht="11.25" customHeight="1" x14ac:dyDescent="0.25"/>
    <row r="86" spans="2:24" x14ac:dyDescent="0.25">
      <c r="B86" s="16" t="s">
        <v>62</v>
      </c>
      <c r="C86" s="22"/>
      <c r="D86" s="22"/>
      <c r="E86" s="22"/>
      <c r="L86" s="22"/>
      <c r="M86" s="22"/>
      <c r="N86" s="22"/>
      <c r="O86" s="22"/>
      <c r="P86" s="22"/>
      <c r="Q86" s="22"/>
      <c r="R86" s="22"/>
      <c r="S86" s="22"/>
      <c r="X86" s="22"/>
    </row>
    <row r="87" spans="2:24" x14ac:dyDescent="0.25">
      <c r="B87" s="16" t="s">
        <v>57</v>
      </c>
      <c r="C87" s="22"/>
      <c r="D87" s="22"/>
      <c r="E87" s="22"/>
      <c r="L87" s="22"/>
      <c r="M87" s="22"/>
      <c r="N87" s="22"/>
      <c r="O87" s="22"/>
      <c r="P87" s="22"/>
      <c r="Q87" s="22"/>
      <c r="R87" s="22"/>
      <c r="S87" s="22"/>
      <c r="X87" s="22"/>
    </row>
    <row r="88" spans="2:24" x14ac:dyDescent="0.25">
      <c r="B88" s="16" t="s">
        <v>58</v>
      </c>
      <c r="C88" s="22"/>
      <c r="D88" s="22"/>
      <c r="E88" s="22"/>
      <c r="L88" s="22"/>
      <c r="M88" s="22"/>
      <c r="N88" s="22"/>
      <c r="O88" s="22"/>
      <c r="P88" s="22"/>
      <c r="Q88" s="22"/>
      <c r="R88" s="22"/>
      <c r="S88" s="22"/>
      <c r="X88" s="22"/>
    </row>
    <row r="90" spans="2:24" x14ac:dyDescent="0.25">
      <c r="B90" s="16" t="s">
        <v>63</v>
      </c>
      <c r="C90" s="22"/>
      <c r="D90" s="22"/>
      <c r="E90" s="22"/>
      <c r="L90" s="22"/>
      <c r="M90" s="22"/>
      <c r="N90" s="22"/>
      <c r="O90" s="22"/>
      <c r="P90" s="22"/>
      <c r="Q90" s="22"/>
      <c r="R90" s="22"/>
      <c r="S90" s="22"/>
      <c r="X90" s="22"/>
    </row>
  </sheetData>
  <mergeCells count="12">
    <mergeCell ref="G62:G64"/>
    <mergeCell ref="G65:G67"/>
    <mergeCell ref="P1:X1"/>
    <mergeCell ref="B4:B5"/>
    <mergeCell ref="C4:C5"/>
    <mergeCell ref="D4:D5"/>
    <mergeCell ref="E4:F4"/>
    <mergeCell ref="G4:G5"/>
    <mergeCell ref="H4:H5"/>
    <mergeCell ref="I4:I5"/>
    <mergeCell ref="J4:J5"/>
    <mergeCell ref="L4:X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EXAMPLE</vt:lpstr>
      <vt:lpstr>04,01</vt:lpstr>
      <vt:lpstr>04,06</vt:lpstr>
      <vt:lpstr>04,08</vt:lpstr>
      <vt:lpstr>04,09</vt:lpstr>
      <vt:lpstr>04,13</vt:lpstr>
      <vt:lpstr>04,15</vt:lpstr>
      <vt:lpstr>04,16</vt:lpstr>
      <vt:lpstr>04,17</vt:lpstr>
      <vt:lpstr>04,18</vt:lpstr>
      <vt:lpstr>'04,01'!Print_Area</vt:lpstr>
      <vt:lpstr>'04,06'!Print_Area</vt:lpstr>
      <vt:lpstr>'04,08'!Print_Area</vt:lpstr>
      <vt:lpstr>'04,09'!Print_Area</vt:lpstr>
      <vt:lpstr>'04,13'!Print_Area</vt:lpstr>
      <vt:lpstr>'04,15'!Print_Area</vt:lpstr>
      <vt:lpstr>'04,16'!Print_Area</vt:lpstr>
      <vt:lpstr>'04,17'!Print_Area</vt:lpstr>
      <vt:lpstr>'04,18'!Print_Area</vt:lpstr>
      <vt:lpstr>EXAMPLE!Print_Area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2026-02-19T01:52:56Z</cp:lastPrinted>
  <dcterms:created xsi:type="dcterms:W3CDTF">2024-09-01T23:32:49Z</dcterms:created>
  <dcterms:modified xsi:type="dcterms:W3CDTF">2026-04-17T07:33:52Z</dcterms:modified>
</cp:coreProperties>
</file>