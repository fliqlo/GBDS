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2EB04AE1-B679-4B96-AAAB-97BD6C2DC585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APRIL" sheetId="6" r:id="rId2"/>
  </sheets>
  <definedNames>
    <definedName name="_xlnm.Print_Area" localSheetId="1">'PE, APRIL'!#REF!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0" i="6" l="1"/>
  <c r="I9" i="6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<sst xmlns="http://schemas.openxmlformats.org/spreadsheetml/2006/main" count="255" uniqueCount="79">
  <si>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</si>
  <si>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</si>
  <si>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</si>
  <si>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</si>
  <si>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</si>
  <si>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</si>
  <si>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</si>
  <si>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</si>
  <si>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</si>
  <si>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</si>
  <si>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</si>
  <si>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</si>
  <si>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</si>
  <si>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</si>
  <si>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</si>
  <si>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</si>
  <si>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</si>
  <si>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</si>
  <si>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</si>
  <si>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</si>
  <si>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</si>
  <si>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</si>
  <si>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</si>
  <si>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</si>
  <si>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</si>
  <si>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</si>
  <si>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</si>
  <si>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</si>
  <si>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</si>
  <si>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</si>
  <si>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</si>
  <si>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</si>
  <si>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</si>
  <si>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</si>
  <si>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</si>
  <si>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</si>
  <si>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</si>
  <si>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</si>
  <si>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</si>
  <si>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</si>
  <si>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</si>
  <si>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</si>
  <si>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</si>
  <si>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</si>
  <si>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</si>
  <si>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</si>
  <si>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</si>
  <si>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</si>
  <si>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</si>
  <si>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</si>
  <si>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</si>
  <si>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</si>
  <si>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</si>
  <si>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</si>
  <si>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</si>
  <si>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</si>
  <si>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</si>
  <si>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</si>
  <si>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</si>
  <si>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</si>
  <si>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</si>
  <si>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</si>
  <si>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</si>
  <si>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</si>
  <si>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</si>
  <si>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</si>
  <si>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</si>
  <si>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</si>
  <si>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</si>
  <si>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</si>
  <si>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</si>
  <si>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</si>
  <si>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</si>
  <si>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</si>
  <si>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</si>
  <si>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APRIL 2026</t>
  </si>
  <si>
    <t>04/21/2026</t>
  </si>
  <si>
    <t>04/22/2026</t>
  </si>
  <si>
    <t>04/23/2026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</si>
</sst>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9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0" fontId="0" fillId="5" borderId="0" xfId="0" applyFill="1"/>
    <xf numFmtId="164" fontId="9" fillId="5" borderId="0" xfId="0" applyNumberFormat="1" applyFont="1" applyFill="1" applyProtection="1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11" sqref="I11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9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6" customWidth="1"/>
    <col min="14" max="14" width="13.140625" bestFit="1" customWidth="1"/>
    <col min="15" max="15" width="11.28515625" bestFit="1" customWidth="1"/>
  </cols>
  <sheetData>
    <row r="1" spans="1:15" x14ac:dyDescent="0.25">
      <c r="C1" s="41" t="s">
        <v>67</v>
      </c>
      <c r="D1" s="42"/>
      <c r="E1" s="42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43" t="s">
        <v>1</v>
      </c>
      <c r="D3" s="44"/>
      <c r="E3" s="44"/>
      <c r="F3" s="45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518567067</v>
      </c>
      <c r="H7" s="20" t="s">
        <v>74</v>
      </c>
      <c r="I7" s="21">
        <f>1389888-197458.95</f>
        <v>1192429.05</v>
      </c>
      <c r="K7" s="21">
        <f>M7*12</f>
        <v>127760.25535714286</v>
      </c>
      <c r="L7" s="27">
        <f>I7-K7</f>
        <v>1064668.7946428573</v>
      </c>
      <c r="M7" s="33">
        <f>I7/112</f>
        <v>10646.687946428572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 t="s">
        <v>77</v>
      </c>
      <c r="D8" s="20" t="s">
        <v>68</v>
      </c>
      <c r="E8" s="20"/>
      <c r="F8" s="20" t="s">
        <v>70</v>
      </c>
      <c r="G8" s="20">
        <v>518571189</v>
      </c>
      <c r="H8" s="20" t="s">
        <v>74</v>
      </c>
      <c r="I8" s="21">
        <f>1397196-60845.09</f>
        <v>1336350.9099999999</v>
      </c>
      <c r="K8" s="21">
        <f>M8*12</f>
        <v>143180.45464285713</v>
      </c>
      <c r="L8" s="27">
        <f>I8-K8</f>
        <v>1193170.4553571427</v>
      </c>
      <c r="M8" s="33">
        <f t="shared" ref="M8:M26" si="0">I8/112</f>
        <v>11931.704553571428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 t="s">
        <v>78</v>
      </c>
      <c r="D9" s="20" t="s">
        <v>68</v>
      </c>
      <c r="E9" s="20"/>
      <c r="F9" s="20" t="s">
        <v>70</v>
      </c>
      <c r="G9" s="20">
        <v>518575196</v>
      </c>
      <c r="H9" s="20" t="s">
        <v>74</v>
      </c>
      <c r="I9" s="21">
        <f>1397196-60845.04</f>
        <v>1336350.96</v>
      </c>
      <c r="K9" s="21">
        <f t="shared" ref="K9:K26" si="2">M9*12</f>
        <v>143180.46</v>
      </c>
      <c r="L9" s="27">
        <f t="shared" ref="L9:L26" si="3">I9-K9</f>
        <v>1193170.5</v>
      </c>
      <c r="M9" s="33">
        <f t="shared" si="0"/>
        <v>11931.705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78</v>
      </c>
      <c r="D10" s="20" t="s">
        <v>68</v>
      </c>
      <c r="E10" s="20"/>
      <c r="F10" s="20" t="s">
        <v>70</v>
      </c>
      <c r="G10" s="20">
        <v>518574796</v>
      </c>
      <c r="H10" s="20" t="s">
        <v>74</v>
      </c>
      <c r="I10" s="21">
        <f>1397196-60845.04</f>
        <v>1336350.96</v>
      </c>
      <c r="K10" s="21">
        <f t="shared" si="2"/>
        <v>143180.46</v>
      </c>
      <c r="L10" s="27">
        <f t="shared" si="3"/>
        <v>1193170.5</v>
      </c>
      <c r="M10" s="33">
        <f t="shared" si="0"/>
        <v>11931.705</v>
      </c>
    </row>
    <row r="11" spans="1:15" x14ac:dyDescent="0.25">
      <c r="A11">
        <f t="shared" si="1"/>
        <v>5</v>
      </c>
      <c r="B11" s="23">
        <f t="shared" si="1"/>
        <v>5</v>
      </c>
      <c r="C11" s="19"/>
      <c r="D11" s="20" t="s">
        <v>68</v>
      </c>
      <c r="E11" s="20"/>
      <c r="F11" s="20" t="s">
        <v>70</v>
      </c>
      <c r="G11" s="20"/>
      <c r="H11" s="20" t="s">
        <v>74</v>
      </c>
      <c r="I11" s="21"/>
      <c r="K11" s="21">
        <f t="shared" si="2"/>
        <v>0</v>
      </c>
      <c r="L11" s="27">
        <f t="shared" si="3"/>
        <v>0</v>
      </c>
      <c r="M11" s="33">
        <f t="shared" si="0"/>
        <v>0</v>
      </c>
    </row>
    <row r="12" spans="1:15" x14ac:dyDescent="0.25">
      <c r="A12">
        <f t="shared" si="1"/>
        <v>6</v>
      </c>
      <c r="B12" s="23">
        <f t="shared" si="1"/>
        <v>6</v>
      </c>
      <c r="C12" s="19"/>
      <c r="D12" s="20" t="s">
        <v>68</v>
      </c>
      <c r="E12" s="20"/>
      <c r="F12" s="20" t="s">
        <v>70</v>
      </c>
      <c r="G12" s="20"/>
      <c r="H12" s="20" t="s">
        <v>74</v>
      </c>
      <c r="I12" s="21"/>
      <c r="K12" s="21">
        <f t="shared" si="2"/>
        <v>0</v>
      </c>
      <c r="L12" s="27">
        <f t="shared" si="3"/>
        <v>0</v>
      </c>
      <c r="M12" s="33">
        <f t="shared" si="0"/>
        <v>0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7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46">
        <f>SUM(I7:I31)</f>
        <v>5201481.88</v>
      </c>
      <c r="J32" s="47"/>
      <c r="K32" s="46">
        <f>SUM(K7:K31)</f>
        <v>557301.62999999989</v>
      </c>
      <c r="L32" s="46">
        <f>SUM(L7:L31)</f>
        <v>4644180.25</v>
      </c>
      <c r="M32" s="48">
        <f>SUM(M7:M31)</f>
        <v>46441.802500000005</v>
      </c>
    </row>
    <row r="33" spans="1:13" x14ac:dyDescent="0.25">
      <c r="G33"/>
    </row>
    <row r="34" spans="1:13" x14ac:dyDescent="0.25">
      <c r="C34" s="41" t="s">
        <v>67</v>
      </c>
      <c r="D34" s="42"/>
      <c r="E34" s="42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43" t="s">
        <v>14</v>
      </c>
      <c r="D36" s="44"/>
      <c r="E36" s="44"/>
      <c r="F36" s="45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8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8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8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8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8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8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8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8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8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8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8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8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8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8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8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8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8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8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8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8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8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0"/>
      <c r="H64" s="23"/>
      <c r="I64" s="24"/>
      <c r="K64" s="23"/>
      <c r="L64" s="23"/>
      <c r="M64" s="35"/>
    </row>
    <row r="65" spans="9:13" x14ac:dyDescent="0.25">
      <c r="I65" s="46">
        <f>SUM(I40:I64)</f>
        <v>0</v>
      </c>
      <c r="J65" s="47"/>
      <c r="K65" s="46">
        <f>SUM(K40:K64)</f>
        <v>0</v>
      </c>
      <c r="L65" s="46">
        <f>SUM(L40:L64)</f>
        <v>0</v>
      </c>
      <c r="M65" s="48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APRIL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2026-04-24T03:53:32Z</dcterms:modified>
</cp:coreProperties>
</file>