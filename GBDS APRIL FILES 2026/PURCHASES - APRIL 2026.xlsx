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9F78E4A2-D854-4CF0-9C0E-28C1C190B498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APRIL" sheetId="6" r:id="rId2"/>
  </sheets>
  <definedNames>
    <definedName name="_xlnm.Print_Area" localSheetId="1">'PE, APRIL'!#REF!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2" i="6" l="1"/>
  <c r="I11" i="6"/>
  <c r="I10" i="6" l="1"/>
  <c r="I9" i="6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<sst xmlns="http://schemas.openxmlformats.org/spreadsheetml/2006/main" count="257" uniqueCount="80">
  <si>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</si>
  <si>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</si>
  <si>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</si>
  <si>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</si>
  <si>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</si>
  <si>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</si>
  <si>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</si>
  <si>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</si>
  <si>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</si>
  <si>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</si>
  <si>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</si>
  <si>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</si>
  <si>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</si>
  <si>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</si>
  <si>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</si>
  <si>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</si>
  <si>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</si>
  <si>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</si>
  <si>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</si>
  <si>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</si>
  <si>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</si>
  <si>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</si>
  <si>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</si>
  <si>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</si>
  <si>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</si>
  <si>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</si>
  <si>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</si>
  <si>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</si>
  <si>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</si>
  <si>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</si>
  <si>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</si>
  <si>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</si>
  <si>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</si>
  <si>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</si>
  <si>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</si>
  <si>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</si>
  <si>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</si>
  <si>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</si>
  <si>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</si>
  <si>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</si>
  <si>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</si>
  <si>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</si>
  <si>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</si>
  <si>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</si>
  <si>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</si>
  <si>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</si>
  <si>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</si>
  <si>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</si>
  <si>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</si>
  <si>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</si>
  <si>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</si>
  <si>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</si>
  <si>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</si>
  <si>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</si>
  <si>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</si>
  <si>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</si>
  <si>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</si>
  <si>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</si>
  <si>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</si>
  <si>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</si>
  <si>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</si>
  <si>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</si>
  <si>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</si>
  <si>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</si>
  <si>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</si>
  <si>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</si>
  <si>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</si>
  <si>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</si>
  <si>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</si>
  <si>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</si>
  <si>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</si>
  <si>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</si>
  <si>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</si>
  <si>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</si>
  <si>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</si>
  <si>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APRIL 2026</t>
  </si>
  <si>
    <t>04/21/2026</t>
  </si>
  <si>
    <t>04/22/2026</t>
  </si>
  <si>
    <t>04/23/2026</t>
  </si>
  <si>
    <t>04/24/2026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</si>
</sst>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3" sqref="I13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518567067</v>
      </c>
      <c r="H7" s="20" t="s">
        <v>74</v>
      </c>
      <c r="I7" s="21">
        <f>1389888-197458.95</f>
        <v>1192429.05</v>
      </c>
      <c r="K7" s="21">
        <f>M7*12</f>
        <v>127760.25535714286</v>
      </c>
      <c r="L7" s="27">
        <f>I7-K7</f>
        <v>1064668.7946428573</v>
      </c>
      <c r="M7" s="33">
        <f>I7/112</f>
        <v>10646.687946428572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518571189</v>
      </c>
      <c r="H8" s="20" t="s">
        <v>74</v>
      </c>
      <c r="I8" s="21">
        <f>1397196-60845.09</f>
        <v>1336350.9099999999</v>
      </c>
      <c r="K8" s="21">
        <f>M8*12</f>
        <v>143180.45464285713</v>
      </c>
      <c r="L8" s="27">
        <f>I8-K8</f>
        <v>1193170.4553571427</v>
      </c>
      <c r="M8" s="33">
        <f t="shared" ref="M8:M26" si="0">I8/112</f>
        <v>11931.704553571428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518575196</v>
      </c>
      <c r="H9" s="20" t="s">
        <v>74</v>
      </c>
      <c r="I9" s="21">
        <f>1397196-60845.04</f>
        <v>1336350.96</v>
      </c>
      <c r="K9" s="21">
        <f t="shared" ref="K9:K26" si="2">M9*12</f>
        <v>143180.46</v>
      </c>
      <c r="L9" s="27">
        <f t="shared" ref="L9:L26" si="3">I9-K9</f>
        <v>1193170.5</v>
      </c>
      <c r="M9" s="33">
        <f t="shared" si="0"/>
        <v>11931.705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78</v>
      </c>
      <c r="D10" s="20" t="s">
        <v>68</v>
      </c>
      <c r="E10" s="20"/>
      <c r="F10" s="20" t="s">
        <v>70</v>
      </c>
      <c r="G10" s="20">
        <v>518574796</v>
      </c>
      <c r="H10" s="20" t="s">
        <v>74</v>
      </c>
      <c r="I10" s="21">
        <f>1397196-60845.04</f>
        <v>1336350.96</v>
      </c>
      <c r="K10" s="21">
        <f t="shared" si="2"/>
        <v>143180.46</v>
      </c>
      <c r="L10" s="27">
        <f t="shared" si="3"/>
        <v>1193170.5</v>
      </c>
      <c r="M10" s="33">
        <f t="shared" si="0"/>
        <v>11931.705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79</v>
      </c>
      <c r="D11" s="20" t="s">
        <v>68</v>
      </c>
      <c r="E11" s="20"/>
      <c r="F11" s="20" t="s">
        <v>70</v>
      </c>
      <c r="G11" s="20">
        <v>518579559</v>
      </c>
      <c r="H11" s="20" t="s">
        <v>74</v>
      </c>
      <c r="I11" s="21">
        <f>1397196-60845.04</f>
        <v>1336350.96</v>
      </c>
      <c r="K11" s="21">
        <f t="shared" si="2"/>
        <v>143180.46</v>
      </c>
      <c r="L11" s="27">
        <f t="shared" si="3"/>
        <v>1193170.5</v>
      </c>
      <c r="M11" s="33">
        <f t="shared" si="0"/>
        <v>11931.705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79</v>
      </c>
      <c r="D12" s="20" t="s">
        <v>68</v>
      </c>
      <c r="E12" s="20"/>
      <c r="F12" s="20" t="s">
        <v>70</v>
      </c>
      <c r="G12" s="20">
        <v>518578932</v>
      </c>
      <c r="H12" s="20" t="s">
        <v>74</v>
      </c>
      <c r="I12" s="21">
        <f>1397196-60845.04</f>
        <v>1336350.96</v>
      </c>
      <c r="K12" s="21">
        <f t="shared" si="2"/>
        <v>143180.46</v>
      </c>
      <c r="L12" s="27">
        <f t="shared" si="3"/>
        <v>1193170.5</v>
      </c>
      <c r="M12" s="33">
        <f t="shared" si="0"/>
        <v>11931.705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7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7874183.7999999998</v>
      </c>
      <c r="J32" s="47"/>
      <c r="K32" s="46">
        <f>SUM(K7:K31)</f>
        <v>843662.54999999981</v>
      </c>
      <c r="L32" s="46">
        <f>SUM(L7:L31)</f>
        <v>7030521.25</v>
      </c>
      <c r="M32" s="48">
        <f>SUM(M7:M31)</f>
        <v>70305.212500000009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14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APRIL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2026-04-24T09:57:54Z</dcterms:modified>
</cp:coreProperties>
</file>