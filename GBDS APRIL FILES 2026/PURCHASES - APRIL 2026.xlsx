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7A302831-DEE3-466A-9096-7EE570058BE1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APRIL" sheetId="6" r:id="rId2"/>
  </sheets>
  <definedNames>
    <definedName name="_xlnm.Print_Area" localSheetId="1">'PE, APRIL'!#REF!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3" i="6" l="1"/>
  <c r="I22" i="6"/>
  <c r="I21" i="6"/>
  <c r="I20" i="6" l="1"/>
  <c r="I19" i="6"/>
  <c r="I18" i="6"/>
  <c r="I17" i="6" l="1"/>
  <c r="I16" i="6" l="1"/>
  <c r="I15" i="6" l="1"/>
  <c r="I14" i="6" l="1"/>
  <c r="I13" i="6"/>
  <c r="I12" i="6" l="1"/>
  <c r="I11" i="6"/>
  <c r="I10" i="6" l="1"/>
  <c r="I9" i="6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<sst xmlns="http://schemas.openxmlformats.org/spreadsheetml/2006/main" count="268" uniqueCount="83">
  <si>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</si>
  <si>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</si>
  <si>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</si>
  <si>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</si>
  <si>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</si>
  <si>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</si>
  <si>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</si>
  <si>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</si>
  <si>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</si>
  <si>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</si>
  <si>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</si>
  <si>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</si>
  <si>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</si>
  <si>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</si>
  <si>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</si>
  <si>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</si>
  <si>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</si>
  <si>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</si>
  <si>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</si>
  <si>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</si>
  <si>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</si>
  <si>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</si>
  <si>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</si>
  <si>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</si>
  <si>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</si>
  <si>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</si>
  <si>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</si>
  <si>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</si>
  <si>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</si>
  <si>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</si>
  <si>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</si>
  <si>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</si>
  <si>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</si>
  <si>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</si>
  <si>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</si>
  <si>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</si>
  <si>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</si>
  <si>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</si>
  <si>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</si>
  <si>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</si>
  <si>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</si>
  <si>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</si>
  <si>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</si>
  <si>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</si>
  <si>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</si>
  <si>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</si>
  <si>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</si>
  <si>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</si>
  <si>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</si>
  <si>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</si>
  <si>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</si>
  <si>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</si>
  <si>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</si>
  <si>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</si>
  <si>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</si>
  <si>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</si>
  <si>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</si>
  <si>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</si>
  <si>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</si>
  <si>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</si>
  <si>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</si>
  <si>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</si>
  <si>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</si>
  <si>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</si>
  <si>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</si>
  <si>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</si>
  <si>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</si>
  <si>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</si>
  <si>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</si>
  <si>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</si>
  <si>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</si>
  <si>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</si>
  <si>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</si>
  <si>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</si>
  <si>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</si>
  <si>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APRIL 2026</t>
  </si>
  <si>
    <t>04/21/2026</t>
  </si>
  <si>
    <t>04/22/2026</t>
  </si>
  <si>
    <t>04/23/2026</t>
  </si>
  <si>
    <t>04/24/2026</t>
  </si>
  <si>
    <t>04/28/2026</t>
  </si>
  <si>
    <t>04/29/2026</t>
  </si>
  <si>
    <t>04/30/2026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</si>
</sst>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24" sqref="I24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518567067</v>
      </c>
      <c r="H7" s="20" t="s">
        <v>74</v>
      </c>
      <c r="I7" s="21">
        <f>1389888-197458.95</f>
        <v>1192429.05</v>
      </c>
      <c r="K7" s="21">
        <f>M7*12</f>
        <v>127760.25535714286</v>
      </c>
      <c r="L7" s="27">
        <f>I7-K7</f>
        <v>1064668.7946428573</v>
      </c>
      <c r="M7" s="33">
        <f>I7/112</f>
        <v>10646.687946428572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518571189</v>
      </c>
      <c r="H8" s="20" t="s">
        <v>74</v>
      </c>
      <c r="I8" s="21">
        <f>1397196-60845.09</f>
        <v>1336350.9099999999</v>
      </c>
      <c r="K8" s="21">
        <f>M8*12</f>
        <v>143180.45464285713</v>
      </c>
      <c r="L8" s="27">
        <f>I8-K8</f>
        <v>1193170.4553571427</v>
      </c>
      <c r="M8" s="33">
        <f t="shared" ref="M8:M26" si="0">I8/112</f>
        <v>11931.704553571428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518575196</v>
      </c>
      <c r="H9" s="20" t="s">
        <v>74</v>
      </c>
      <c r="I9" s="21">
        <f t="shared" ref="I9:I14" si="2">1397196-60845.04</f>
        <v>1336350.96</v>
      </c>
      <c r="K9" s="21">
        <f t="shared" ref="K9:K26" si="3">M9*12</f>
        <v>143180.46</v>
      </c>
      <c r="L9" s="27">
        <f t="shared" ref="L9:L26" si="4">I9-K9</f>
        <v>1193170.5</v>
      </c>
      <c r="M9" s="33">
        <f t="shared" si="0"/>
        <v>11931.705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78</v>
      </c>
      <c r="D10" s="20" t="s">
        <v>68</v>
      </c>
      <c r="E10" s="20"/>
      <c r="F10" s="20" t="s">
        <v>70</v>
      </c>
      <c r="G10" s="20">
        <v>518574796</v>
      </c>
      <c r="H10" s="20" t="s">
        <v>74</v>
      </c>
      <c r="I10" s="21">
        <f t="shared" si="2"/>
        <v>1336350.96</v>
      </c>
      <c r="K10" s="21">
        <f t="shared" si="3"/>
        <v>143180.46</v>
      </c>
      <c r="L10" s="27">
        <f t="shared" si="4"/>
        <v>1193170.5</v>
      </c>
      <c r="M10" s="33">
        <f t="shared" si="0"/>
        <v>11931.705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79</v>
      </c>
      <c r="D11" s="20" t="s">
        <v>68</v>
      </c>
      <c r="E11" s="20"/>
      <c r="F11" s="20" t="s">
        <v>70</v>
      </c>
      <c r="G11" s="20">
        <v>518579559</v>
      </c>
      <c r="H11" s="20" t="s">
        <v>74</v>
      </c>
      <c r="I11" s="21">
        <f t="shared" si="2"/>
        <v>1336350.96</v>
      </c>
      <c r="K11" s="21">
        <f t="shared" si="3"/>
        <v>143180.46</v>
      </c>
      <c r="L11" s="27">
        <f t="shared" si="4"/>
        <v>1193170.5</v>
      </c>
      <c r="M11" s="33">
        <f t="shared" si="0"/>
        <v>11931.705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79</v>
      </c>
      <c r="D12" s="20" t="s">
        <v>68</v>
      </c>
      <c r="E12" s="20"/>
      <c r="F12" s="20" t="s">
        <v>70</v>
      </c>
      <c r="G12" s="20">
        <v>518578932</v>
      </c>
      <c r="H12" s="20" t="s">
        <v>74</v>
      </c>
      <c r="I12" s="21">
        <f t="shared" si="2"/>
        <v>1336350.96</v>
      </c>
      <c r="K12" s="21">
        <f t="shared" si="3"/>
        <v>143180.46</v>
      </c>
      <c r="L12" s="27">
        <f t="shared" si="4"/>
        <v>1193170.5</v>
      </c>
      <c r="M12" s="33">
        <f t="shared" si="0"/>
        <v>11931.705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80</v>
      </c>
      <c r="D13" s="20" t="s">
        <v>68</v>
      </c>
      <c r="E13" s="20"/>
      <c r="F13" s="20" t="s">
        <v>70</v>
      </c>
      <c r="G13" s="20">
        <v>518591718</v>
      </c>
      <c r="H13" s="20" t="s">
        <v>74</v>
      </c>
      <c r="I13" s="21">
        <f t="shared" si="2"/>
        <v>1336350.96</v>
      </c>
      <c r="K13" s="21">
        <f t="shared" si="3"/>
        <v>143180.46</v>
      </c>
      <c r="L13" s="27">
        <f>I13-K13</f>
        <v>1193170.5</v>
      </c>
      <c r="M13" s="33">
        <f>I13/112</f>
        <v>11931.705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80</v>
      </c>
      <c r="D14" s="20" t="s">
        <v>68</v>
      </c>
      <c r="E14" s="20"/>
      <c r="F14" s="20" t="s">
        <v>70</v>
      </c>
      <c r="G14" s="20">
        <v>518592064</v>
      </c>
      <c r="H14" s="20" t="s">
        <v>74</v>
      </c>
      <c r="I14" s="37">
        <f t="shared" si="2"/>
        <v>1336350.96</v>
      </c>
      <c r="K14" s="21">
        <f t="shared" si="3"/>
        <v>143180.46</v>
      </c>
      <c r="L14" s="27">
        <f t="shared" si="4"/>
        <v>1193170.5</v>
      </c>
      <c r="M14" s="33">
        <f t="shared" si="0"/>
        <v>11931.705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81</v>
      </c>
      <c r="D15" s="20" t="s">
        <v>68</v>
      </c>
      <c r="E15" s="20"/>
      <c r="F15" s="20" t="s">
        <v>70</v>
      </c>
      <c r="G15" s="20">
        <v>518598013</v>
      </c>
      <c r="H15" s="20" t="s">
        <v>74</v>
      </c>
      <c r="I15" s="21">
        <f>1397196-87924.62</f>
        <v>1309271.3799999999</v>
      </c>
      <c r="K15" s="21">
        <f t="shared" si="3"/>
        <v>140279.07642857142</v>
      </c>
      <c r="L15" s="27">
        <f>I15-K15</f>
        <v>1168992.3035714284</v>
      </c>
      <c r="M15" s="33">
        <f>I15/112</f>
        <v>11689.923035714284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81</v>
      </c>
      <c r="D16" s="20" t="s">
        <v>68</v>
      </c>
      <c r="E16" s="20"/>
      <c r="F16" s="20" t="s">
        <v>70</v>
      </c>
      <c r="G16" s="20">
        <v>518596521</v>
      </c>
      <c r="H16" s="20" t="s">
        <v>74</v>
      </c>
      <c r="I16" s="21">
        <f>1397196-60845.04</f>
        <v>1336350.96</v>
      </c>
      <c r="K16" s="21">
        <f t="shared" si="3"/>
        <v>143180.46</v>
      </c>
      <c r="L16" s="27">
        <f t="shared" si="4"/>
        <v>1193170.5</v>
      </c>
      <c r="M16" s="33">
        <f t="shared" si="0"/>
        <v>11931.705</v>
      </c>
    </row>
    <row r="17" spans="1:13" x14ac:dyDescent="0.25">
      <c r="A17">
        <f t="shared" si="1"/>
        <v>11</v>
      </c>
      <c r="B17" s="23">
        <f t="shared" si="1"/>
        <v>11</v>
      </c>
      <c r="C17" s="19" t="s">
        <v>81</v>
      </c>
      <c r="D17" s="20" t="s">
        <v>68</v>
      </c>
      <c r="E17" s="20"/>
      <c r="F17" s="20" t="s">
        <v>70</v>
      </c>
      <c r="G17" s="20">
        <v>518596660</v>
      </c>
      <c r="H17" s="20" t="s">
        <v>74</v>
      </c>
      <c r="I17" s="21">
        <f>1397196-60845.04</f>
        <v>1336350.96</v>
      </c>
      <c r="K17" s="21">
        <f t="shared" si="3"/>
        <v>143180.46</v>
      </c>
      <c r="L17" s="27">
        <f t="shared" si="4"/>
        <v>1193170.5</v>
      </c>
      <c r="M17" s="33">
        <f t="shared" si="0"/>
        <v>11931.705</v>
      </c>
    </row>
    <row r="18" spans="1:13" x14ac:dyDescent="0.25">
      <c r="A18">
        <f t="shared" si="1"/>
        <v>12</v>
      </c>
      <c r="B18" s="23">
        <f t="shared" si="1"/>
        <v>12</v>
      </c>
      <c r="C18" s="19" t="s">
        <v>82</v>
      </c>
      <c r="D18" s="20" t="s">
        <v>68</v>
      </c>
      <c r="E18" s="20"/>
      <c r="F18" s="20" t="s">
        <v>70</v>
      </c>
      <c r="G18" s="20">
        <v>518601437</v>
      </c>
      <c r="H18" s="20" t="s">
        <v>74</v>
      </c>
      <c r="I18" s="21">
        <f>1595030-71899</f>
        <v>1523131</v>
      </c>
      <c r="K18" s="21">
        <f t="shared" si="3"/>
        <v>163192.60714285716</v>
      </c>
      <c r="L18" s="27">
        <f t="shared" si="4"/>
        <v>1359938.3928571427</v>
      </c>
      <c r="M18" s="33">
        <f t="shared" si="0"/>
        <v>13599.383928571429</v>
      </c>
    </row>
    <row r="19" spans="1:13" x14ac:dyDescent="0.25">
      <c r="A19">
        <f t="shared" si="1"/>
        <v>13</v>
      </c>
      <c r="B19" s="23">
        <f t="shared" si="1"/>
        <v>13</v>
      </c>
      <c r="C19" s="19" t="s">
        <v>82</v>
      </c>
      <c r="D19" s="20" t="s">
        <v>68</v>
      </c>
      <c r="E19" s="20"/>
      <c r="F19" s="20" t="s">
        <v>70</v>
      </c>
      <c r="G19" s="20">
        <v>518601395</v>
      </c>
      <c r="H19" s="20" t="s">
        <v>74</v>
      </c>
      <c r="I19" s="21">
        <f>1338502-58774.06</f>
        <v>1279727.94</v>
      </c>
      <c r="K19" s="21">
        <f t="shared" si="3"/>
        <v>137113.70785714284</v>
      </c>
      <c r="L19" s="27">
        <f t="shared" si="4"/>
        <v>1142614.232142857</v>
      </c>
      <c r="M19" s="33">
        <f t="shared" si="0"/>
        <v>11426.142321428571</v>
      </c>
    </row>
    <row r="20" spans="1:13" x14ac:dyDescent="0.25">
      <c r="A20">
        <f t="shared" si="1"/>
        <v>14</v>
      </c>
      <c r="B20" s="23">
        <f t="shared" si="1"/>
        <v>14</v>
      </c>
      <c r="C20" s="19" t="s">
        <v>82</v>
      </c>
      <c r="D20" s="20" t="s">
        <v>68</v>
      </c>
      <c r="E20" s="20"/>
      <c r="F20" s="20" t="s">
        <v>70</v>
      </c>
      <c r="G20" s="20">
        <v>518602149</v>
      </c>
      <c r="H20" s="20" t="s">
        <v>74</v>
      </c>
      <c r="I20" s="21">
        <f>1408992-61129.98</f>
        <v>1347862.02</v>
      </c>
      <c r="K20" s="21">
        <f t="shared" si="3"/>
        <v>144413.78785714286</v>
      </c>
      <c r="L20" s="27">
        <f t="shared" si="4"/>
        <v>1203448.2321428573</v>
      </c>
      <c r="M20" s="33">
        <f t="shared" si="0"/>
        <v>12034.482321428572</v>
      </c>
    </row>
    <row r="21" spans="1:13" x14ac:dyDescent="0.25">
      <c r="A21">
        <f t="shared" si="1"/>
        <v>15</v>
      </c>
      <c r="B21" s="23">
        <f t="shared" si="1"/>
        <v>15</v>
      </c>
      <c r="C21" s="19" t="s">
        <v>82</v>
      </c>
      <c r="D21" s="20" t="s">
        <v>68</v>
      </c>
      <c r="E21" s="20"/>
      <c r="F21" s="20" t="s">
        <v>70</v>
      </c>
      <c r="G21" s="20">
        <v>518602662</v>
      </c>
      <c r="H21" s="20" t="s">
        <v>74</v>
      </c>
      <c r="I21" s="21">
        <f>1388076-60442.05</f>
        <v>1327633.95</v>
      </c>
      <c r="K21" s="21">
        <f t="shared" si="3"/>
        <v>142246.49464285714</v>
      </c>
      <c r="L21" s="27">
        <f t="shared" si="4"/>
        <v>1185387.4553571427</v>
      </c>
      <c r="M21" s="33">
        <f t="shared" si="0"/>
        <v>11853.874553571428</v>
      </c>
    </row>
    <row r="22" spans="1:13" x14ac:dyDescent="0.25">
      <c r="A22">
        <f t="shared" si="1"/>
        <v>16</v>
      </c>
      <c r="B22" s="23">
        <f t="shared" si="1"/>
        <v>16</v>
      </c>
      <c r="C22" s="19" t="s">
        <v>82</v>
      </c>
      <c r="D22" s="20" t="s">
        <v>68</v>
      </c>
      <c r="E22" s="20"/>
      <c r="F22" s="20" t="s">
        <v>70</v>
      </c>
      <c r="G22" s="20">
        <v>518602686</v>
      </c>
      <c r="H22" s="20" t="s">
        <v>74</v>
      </c>
      <c r="I22" s="21">
        <f>173455-21781.45</f>
        <v>151673.54999999999</v>
      </c>
      <c r="K22" s="21">
        <f t="shared" si="3"/>
        <v>16250.737499999999</v>
      </c>
      <c r="L22" s="27">
        <f t="shared" si="4"/>
        <v>135422.8125</v>
      </c>
      <c r="M22" s="33">
        <f t="shared" si="0"/>
        <v>1354.2281249999999</v>
      </c>
    </row>
    <row r="23" spans="1:13" x14ac:dyDescent="0.25">
      <c r="A23">
        <f t="shared" si="1"/>
        <v>17</v>
      </c>
      <c r="B23" s="23">
        <f t="shared" si="1"/>
        <v>17</v>
      </c>
      <c r="C23" s="19" t="s">
        <v>82</v>
      </c>
      <c r="D23" s="20" t="s">
        <v>68</v>
      </c>
      <c r="E23" s="20"/>
      <c r="F23" s="20" t="s">
        <v>70</v>
      </c>
      <c r="G23" s="20">
        <v>518602635</v>
      </c>
      <c r="H23" s="20" t="s">
        <v>74</v>
      </c>
      <c r="I23" s="21">
        <f>1449144-64424.16</f>
        <v>1384719.84</v>
      </c>
      <c r="K23" s="21">
        <f t="shared" si="3"/>
        <v>148362.84000000003</v>
      </c>
      <c r="L23" s="27">
        <f t="shared" si="4"/>
        <v>1236357</v>
      </c>
      <c r="M23" s="33">
        <f t="shared" si="0"/>
        <v>12363.570000000002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3"/>
        <v>0</v>
      </c>
      <c r="L24" s="27">
        <f t="shared" si="4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3"/>
        <v>0</v>
      </c>
      <c r="L25" s="27">
        <f t="shared" si="4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3"/>
        <v>0</v>
      </c>
      <c r="L26" s="27">
        <f t="shared" si="4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5">M27*12</f>
        <v>0</v>
      </c>
      <c r="L27" s="27">
        <f t="shared" ref="L27" si="6">I27-K27</f>
        <v>0</v>
      </c>
      <c r="M27" s="33">
        <f t="shared" ref="M27" si="7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21543607.32</v>
      </c>
      <c r="J32" s="47"/>
      <c r="K32" s="46">
        <f>SUM(K7:K31)</f>
        <v>2308243.6414285707</v>
      </c>
      <c r="L32" s="46">
        <f>SUM(L7:L31)</f>
        <v>19235363.678571425</v>
      </c>
      <c r="M32" s="48">
        <f>SUM(M7:M31)</f>
        <v>192353.63678571431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14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8">M40*12</f>
        <v>0</v>
      </c>
      <c r="L40" s="27">
        <f>I40-K40</f>
        <v>0</v>
      </c>
      <c r="M40" s="33">
        <f t="shared" ref="M40:M59" si="9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8"/>
        <v>0</v>
      </c>
      <c r="L41" s="27">
        <f t="shared" ref="L41:L59" si="10">I41-K41</f>
        <v>0</v>
      </c>
      <c r="M41" s="33">
        <f t="shared" si="9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8"/>
        <v>0</v>
      </c>
      <c r="L42" s="27">
        <f t="shared" si="10"/>
        <v>0</v>
      </c>
      <c r="M42" s="33">
        <f t="shared" si="9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8"/>
        <v>0</v>
      </c>
      <c r="L43" s="27">
        <f t="shared" si="10"/>
        <v>0</v>
      </c>
      <c r="M43" s="33">
        <f t="shared" si="9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8"/>
        <v>0</v>
      </c>
      <c r="L44" s="27">
        <f t="shared" si="10"/>
        <v>0</v>
      </c>
      <c r="M44" s="33">
        <f t="shared" si="9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8"/>
        <v>0</v>
      </c>
      <c r="L45" s="27">
        <f t="shared" si="10"/>
        <v>0</v>
      </c>
      <c r="M45" s="33">
        <f t="shared" si="9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8"/>
        <v>0</v>
      </c>
      <c r="L46" s="27">
        <f t="shared" si="10"/>
        <v>0</v>
      </c>
      <c r="M46" s="33">
        <f t="shared" si="9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8"/>
        <v>0</v>
      </c>
      <c r="L47" s="27">
        <f t="shared" si="10"/>
        <v>0</v>
      </c>
      <c r="M47" s="33">
        <f t="shared" si="9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8"/>
        <v>0</v>
      </c>
      <c r="L48" s="27">
        <f t="shared" si="10"/>
        <v>0</v>
      </c>
      <c r="M48" s="33">
        <f t="shared" si="9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8"/>
        <v>0</v>
      </c>
      <c r="L49" s="27">
        <f t="shared" si="10"/>
        <v>0</v>
      </c>
      <c r="M49" s="33">
        <f t="shared" si="9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8"/>
        <v>0</v>
      </c>
      <c r="L50" s="27">
        <f t="shared" si="10"/>
        <v>0</v>
      </c>
      <c r="M50" s="33">
        <f t="shared" si="9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8"/>
        <v>0</v>
      </c>
      <c r="L51" s="27">
        <f t="shared" si="10"/>
        <v>0</v>
      </c>
      <c r="M51" s="33">
        <f t="shared" si="9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8"/>
        <v>0</v>
      </c>
      <c r="L52" s="27">
        <f t="shared" si="10"/>
        <v>0</v>
      </c>
      <c r="M52" s="33">
        <f t="shared" si="9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8"/>
        <v>0</v>
      </c>
      <c r="L53" s="27">
        <f t="shared" si="10"/>
        <v>0</v>
      </c>
      <c r="M53" s="33">
        <f t="shared" si="9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8"/>
        <v>0</v>
      </c>
      <c r="L54" s="27">
        <f t="shared" si="10"/>
        <v>0</v>
      </c>
      <c r="M54" s="33">
        <f t="shared" si="9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8"/>
        <v>0</v>
      </c>
      <c r="L55" s="27">
        <f t="shared" si="10"/>
        <v>0</v>
      </c>
      <c r="M55" s="33">
        <f t="shared" si="9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8"/>
        <v>0</v>
      </c>
      <c r="L56" s="27">
        <f t="shared" si="10"/>
        <v>0</v>
      </c>
      <c r="M56" s="33">
        <f t="shared" si="9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8"/>
        <v>0</v>
      </c>
      <c r="L57" s="27">
        <f t="shared" si="10"/>
        <v>0</v>
      </c>
      <c r="M57" s="33">
        <f t="shared" si="9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8"/>
        <v>0</v>
      </c>
      <c r="L58" s="27">
        <f t="shared" si="10"/>
        <v>0</v>
      </c>
      <c r="M58" s="33">
        <f t="shared" si="9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8"/>
        <v>0</v>
      </c>
      <c r="L59" s="27">
        <f t="shared" si="10"/>
        <v>0</v>
      </c>
      <c r="M59" s="33">
        <f t="shared" si="9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APRIL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2026-05-02T07:44:39Z</dcterms:modified>
</cp:coreProperties>
</file>