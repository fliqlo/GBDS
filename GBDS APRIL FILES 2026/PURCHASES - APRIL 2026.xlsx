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4EB21FB-4FFD-43BB-AEEC-AC44CB85850D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I16" i="6" l="1"/>
  <c r="I15" i="6" l="1"/>
  <c r="I14" i="6" l="1"/>
  <c r="I13" i="6"/>
  <c r="I12" i="6" l="1"/>
  <c r="I11" i="6"/>
  <c r="I10" i="6" l="1"/>
  <c r="I9" i="6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<sst xmlns="http://schemas.openxmlformats.org/spreadsheetml/2006/main" count="262" uniqueCount="82">
  <si>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</si>
  <si>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</si>
  <si>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</si>
  <si>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</si>
  <si>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</si>
  <si>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</si>
  <si>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</si>
  <si>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</si>
  <si>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</si>
  <si>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</si>
  <si>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</si>
  <si>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</si>
  <si>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</si>
  <si>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</si>
  <si>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</si>
  <si>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</si>
  <si>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</si>
  <si>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</si>
  <si>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</si>
  <si>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</si>
  <si>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</si>
  <si>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</si>
  <si>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</si>
  <si>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</si>
  <si>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</si>
  <si>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</si>
  <si>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</si>
  <si>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</si>
  <si>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</si>
  <si>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</si>
  <si>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</si>
  <si>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</si>
  <si>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</si>
  <si>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</si>
  <si>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</si>
  <si>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</si>
  <si>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</si>
  <si>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</si>
  <si>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</si>
  <si>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</si>
  <si>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</si>
  <si>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</si>
  <si>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</si>
  <si>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</si>
  <si>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</si>
  <si>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</si>
  <si>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</si>
  <si>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</si>
  <si>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</si>
  <si>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</si>
  <si>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</si>
  <si>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</si>
  <si>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</si>
  <si>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</si>
  <si>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</si>
  <si>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</si>
  <si>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</si>
  <si>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</si>
  <si>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</si>
  <si>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</si>
  <si>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</si>
  <si>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</si>
  <si>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</si>
  <si>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</si>
  <si>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</si>
  <si>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</si>
  <si>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</si>
  <si>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</si>
  <si>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</si>
  <si>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</si>
  <si>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</si>
  <si>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</si>
  <si>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</si>
  <si>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</si>
  <si>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</si>
  <si>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</si>
  <si>
    <t>04/21/2026</t>
  </si>
  <si>
    <t>04/22/2026</t>
  </si>
  <si>
    <t>04/23/2026</t>
  </si>
  <si>
    <t>04/24/2026</t>
  </si>
  <si>
    <t>04/28/2026</t>
  </si>
  <si>
    <t>04/29/2026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</si>
</sst>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518567067</v>
      </c>
      <c r="H7" s="20" t="s">
        <v>74</v>
      </c>
      <c r="I7" s="21">
        <f>1389888-197458.95</f>
        <v>1192429.05</v>
      </c>
      <c r="K7" s="21">
        <f>M7*12</f>
        <v>127760.25535714286</v>
      </c>
      <c r="L7" s="27">
        <f>I7-K7</f>
        <v>1064668.7946428573</v>
      </c>
      <c r="M7" s="33">
        <f>I7/112</f>
        <v>10646.687946428572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518571189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518575196</v>
      </c>
      <c r="H9" s="20" t="s">
        <v>74</v>
      </c>
      <c r="I9" s="21">
        <f t="shared" ref="I9:I14" si="2">1397196-60845.04</f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518574796</v>
      </c>
      <c r="H10" s="20" t="s">
        <v>74</v>
      </c>
      <c r="I10" s="21">
        <f t="shared" si="2"/>
        <v>1336350.96</v>
      </c>
      <c r="K10" s="21">
        <f t="shared" si="3"/>
        <v>143180.46</v>
      </c>
      <c r="L10" s="27">
        <f t="shared" si="4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79</v>
      </c>
      <c r="D11" s="20" t="s">
        <v>68</v>
      </c>
      <c r="E11" s="20"/>
      <c r="F11" s="20" t="s">
        <v>70</v>
      </c>
      <c r="G11" s="20">
        <v>518579559</v>
      </c>
      <c r="H11" s="20" t="s">
        <v>74</v>
      </c>
      <c r="I11" s="21">
        <f t="shared" si="2"/>
        <v>1336350.96</v>
      </c>
      <c r="K11" s="21">
        <f t="shared" si="3"/>
        <v>143180.46</v>
      </c>
      <c r="L11" s="27">
        <f t="shared" si="4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79</v>
      </c>
      <c r="D12" s="20" t="s">
        <v>68</v>
      </c>
      <c r="E12" s="20"/>
      <c r="F12" s="20" t="s">
        <v>70</v>
      </c>
      <c r="G12" s="20">
        <v>518578932</v>
      </c>
      <c r="H12" s="20" t="s">
        <v>74</v>
      </c>
      <c r="I12" s="21">
        <f t="shared" si="2"/>
        <v>1336350.96</v>
      </c>
      <c r="K12" s="21">
        <f t="shared" si="3"/>
        <v>143180.46</v>
      </c>
      <c r="L12" s="27">
        <f t="shared" si="4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80</v>
      </c>
      <c r="D13" s="20" t="s">
        <v>68</v>
      </c>
      <c r="E13" s="20"/>
      <c r="F13" s="20" t="s">
        <v>70</v>
      </c>
      <c r="G13" s="20">
        <v>518591718</v>
      </c>
      <c r="H13" s="20" t="s">
        <v>74</v>
      </c>
      <c r="I13" s="21">
        <f t="shared" si="2"/>
        <v>1336350.96</v>
      </c>
      <c r="K13" s="21">
        <f t="shared" si="3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80</v>
      </c>
      <c r="D14" s="20" t="s">
        <v>68</v>
      </c>
      <c r="E14" s="20"/>
      <c r="F14" s="20" t="s">
        <v>70</v>
      </c>
      <c r="G14" s="20">
        <v>518592064</v>
      </c>
      <c r="H14" s="20" t="s">
        <v>74</v>
      </c>
      <c r="I14" s="37">
        <f t="shared" si="2"/>
        <v>1336350.96</v>
      </c>
      <c r="K14" s="21">
        <f t="shared" si="3"/>
        <v>143180.46</v>
      </c>
      <c r="L14" s="27">
        <f t="shared" si="4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81</v>
      </c>
      <c r="D15" s="20" t="s">
        <v>68</v>
      </c>
      <c r="E15" s="20"/>
      <c r="F15" s="20" t="s">
        <v>70</v>
      </c>
      <c r="G15" s="20">
        <v>518598013</v>
      </c>
      <c r="H15" s="20" t="s">
        <v>74</v>
      </c>
      <c r="I15" s="21">
        <f>1397196-87924.62</f>
        <v>1309271.3799999999</v>
      </c>
      <c r="K15" s="21">
        <f t="shared" si="3"/>
        <v>140279.07642857142</v>
      </c>
      <c r="L15" s="27">
        <f>I15-K15</f>
        <v>1168992.3035714284</v>
      </c>
      <c r="M15" s="33">
        <f>I15/112</f>
        <v>11689.923035714284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81</v>
      </c>
      <c r="D16" s="20" t="s">
        <v>68</v>
      </c>
      <c r="E16" s="20"/>
      <c r="F16" s="20" t="s">
        <v>70</v>
      </c>
      <c r="G16" s="20">
        <v>518596521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v>518596660</v>
      </c>
      <c r="H17" s="20" t="s">
        <v>74</v>
      </c>
      <c r="I17" s="21">
        <f>1397196-60845.04</f>
        <v>1336350.96</v>
      </c>
      <c r="K17" s="21">
        <f t="shared" si="3"/>
        <v>143180.46</v>
      </c>
      <c r="L17" s="27">
        <f t="shared" si="4"/>
        <v>1193170.5</v>
      </c>
      <c r="M17" s="33">
        <f t="shared" si="0"/>
        <v>11931.705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14528859.02</v>
      </c>
      <c r="J32" s="47"/>
      <c r="K32" s="46">
        <f>SUM(K7:K31)</f>
        <v>1556663.4664285711</v>
      </c>
      <c r="L32" s="46">
        <f>SUM(L7:L31)</f>
        <v>12972195.553571429</v>
      </c>
      <c r="M32" s="48">
        <f>SUM(M7:M31)</f>
        <v>129721.9555357143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2026-05-01T04:08:41Z</dcterms:modified>
</cp:coreProperties>
</file>