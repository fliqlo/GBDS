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9833C787-13B4-4545-A7FF-3CDB8FD12E38}" xr6:coauthVersionLast="45" xr6:coauthVersionMax="45" xr10:uidLastSave="{00000000-0000-0000-0000-000000000000}"/>
  <bookViews>
    <workbookView xWindow="-120" yWindow="-120" windowWidth="29040" windowHeight="15840" activeTab="1" xr2:uid="{D34C963E-9680-4B45-A4EE-B681FF0CEC08}"/>
  </bookViews>
  <sheets>
    <sheet name="SAMPLE" sheetId="32" r:id="rId1"/>
    <sheet name="04-02-2026" sheetId="43" r:id="rId2"/>
    <sheet name="04-03-2026" sheetId="44" r:id="rId3"/>
    <sheet name="04-04-2026" sheetId="45" r:id="rId4"/>
    <sheet name="04-05-2026" sheetId="46" r:id="rId5"/>
    <sheet name="04-06-2026" sheetId="47" r:id="rId6"/>
  </sheets>
  <definedNames>
    <definedName name="_xlnm.Print_Area" localSheetId="1">'04-02-2026'!$A$1:$W$59</definedName>
    <definedName name="_xlnm.Print_Area" localSheetId="2">'04-03-2026'!$A$1:$W$59</definedName>
    <definedName name="_xlnm.Print_Area" localSheetId="3">'04-04-2026'!$A$1:$W$59</definedName>
    <definedName name="_xlnm.Print_Area" localSheetId="4">'04-05-2026'!$A$1:$W$59</definedName>
    <definedName name="_xlnm.Print_Area" localSheetId="5">'04-06-2026'!$A$1:$W$59</definedName>
    <definedName name="_xlnm.Print_Area" localSheetId="0">SAMPLE!$A$1:$W$61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39" i="47" l="1"/>
  <c r="U39" i="47" s="1"/>
  <c r="V39" i="47" s="1"/>
  <c r="T27" i="47"/>
  <c r="U27" i="47" s="1"/>
  <c r="V27" i="47" s="1"/>
  <c r="T39" i="46"/>
  <c r="U39" i="46" s="1"/>
  <c r="V39" i="46" s="1"/>
  <c r="T27" i="46"/>
  <c r="U27" i="46" s="1"/>
  <c r="V27" i="46" s="1"/>
  <c r="T39" i="45"/>
  <c r="U39" i="45" s="1"/>
  <c r="V39" i="45" s="1"/>
  <c r="T27" i="45"/>
  <c r="U27" i="45"/>
  <c r="V27" i="45" s="1"/>
  <c r="T27" i="44"/>
  <c r="U27" i="44"/>
  <c r="V27" i="44" s="1"/>
  <c r="T39" i="44"/>
  <c r="U39" i="44" s="1"/>
  <c r="V39" i="44" s="1"/>
  <c r="V39" i="43"/>
  <c r="U39" i="43"/>
  <c r="T39" i="43"/>
  <c r="C43" i="43"/>
  <c r="V27" i="43"/>
  <c r="U27" i="43"/>
  <c r="T27" i="43"/>
  <c r="C53" i="43"/>
  <c r="C47" i="43"/>
  <c r="K43" i="43"/>
  <c r="J43" i="43"/>
  <c r="C41" i="43"/>
  <c r="C40" i="43"/>
  <c r="C37" i="43"/>
  <c r="C34" i="43"/>
  <c r="C29" i="43"/>
  <c r="C28" i="43"/>
  <c r="C24" i="43"/>
  <c r="C21" i="43"/>
  <c r="C19" i="43"/>
  <c r="C13" i="43"/>
  <c r="C12" i="43"/>
  <c r="C8" i="43"/>
  <c r="C7" i="43"/>
  <c r="R58" i="47" l="1"/>
  <c r="Q58" i="47"/>
  <c r="P58" i="47"/>
  <c r="O58" i="47"/>
  <c r="N58" i="47"/>
  <c r="M58" i="47"/>
  <c r="K58" i="47"/>
  <c r="J58" i="47"/>
  <c r="I58" i="47"/>
  <c r="H58" i="47"/>
  <c r="G58" i="47"/>
  <c r="F58" i="47"/>
  <c r="C58" i="47"/>
  <c r="T54" i="47"/>
  <c r="U54" i="47" s="1"/>
  <c r="V54" i="47" s="1"/>
  <c r="T53" i="47"/>
  <c r="U53" i="47" s="1"/>
  <c r="V53" i="47" s="1"/>
  <c r="T52" i="47"/>
  <c r="U52" i="47" s="1"/>
  <c r="V52" i="47" s="1"/>
  <c r="T51" i="47"/>
  <c r="U51" i="47" s="1"/>
  <c r="V51" i="47" s="1"/>
  <c r="T50" i="47"/>
  <c r="U50" i="47" s="1"/>
  <c r="V50" i="47" s="1"/>
  <c r="T49" i="47"/>
  <c r="U49" i="47" s="1"/>
  <c r="V49" i="47" s="1"/>
  <c r="T48" i="47"/>
  <c r="U48" i="47" s="1"/>
  <c r="V48" i="47" s="1"/>
  <c r="T47" i="47"/>
  <c r="U47" i="47" s="1"/>
  <c r="V47" i="47" s="1"/>
  <c r="T46" i="47"/>
  <c r="U46" i="47" s="1"/>
  <c r="V46" i="47" s="1"/>
  <c r="T45" i="47"/>
  <c r="U45" i="47" s="1"/>
  <c r="V45" i="47" s="1"/>
  <c r="U43" i="47"/>
  <c r="V43" i="47" s="1"/>
  <c r="T43" i="47"/>
  <c r="T41" i="47"/>
  <c r="U41" i="47" s="1"/>
  <c r="V41" i="47" s="1"/>
  <c r="V40" i="47"/>
  <c r="U40" i="47"/>
  <c r="T40" i="47"/>
  <c r="T38" i="47"/>
  <c r="U38" i="47" s="1"/>
  <c r="V38" i="47" s="1"/>
  <c r="T37" i="47"/>
  <c r="U37" i="47" s="1"/>
  <c r="V37" i="47" s="1"/>
  <c r="T36" i="47"/>
  <c r="U36" i="47" s="1"/>
  <c r="V36" i="47" s="1"/>
  <c r="T35" i="47"/>
  <c r="U35" i="47" s="1"/>
  <c r="V35" i="47" s="1"/>
  <c r="T34" i="47"/>
  <c r="U34" i="47" s="1"/>
  <c r="V34" i="47" s="1"/>
  <c r="T33" i="47"/>
  <c r="U33" i="47" s="1"/>
  <c r="V33" i="47" s="1"/>
  <c r="T32" i="47"/>
  <c r="U32" i="47" s="1"/>
  <c r="V32" i="47" s="1"/>
  <c r="T31" i="47"/>
  <c r="U31" i="47" s="1"/>
  <c r="V31" i="47" s="1"/>
  <c r="T30" i="47"/>
  <c r="U30" i="47" s="1"/>
  <c r="V30" i="47" s="1"/>
  <c r="T29" i="47"/>
  <c r="U29" i="47" s="1"/>
  <c r="V29" i="47" s="1"/>
  <c r="T28" i="47"/>
  <c r="U28" i="47" s="1"/>
  <c r="V28" i="47" s="1"/>
  <c r="T26" i="47"/>
  <c r="U26" i="47" s="1"/>
  <c r="V26" i="47" s="1"/>
  <c r="AY25" i="47"/>
  <c r="U25" i="47"/>
  <c r="V25" i="47" s="1"/>
  <c r="T25" i="47"/>
  <c r="U24" i="47"/>
  <c r="V24" i="47" s="1"/>
  <c r="T24" i="47"/>
  <c r="U23" i="47"/>
  <c r="V23" i="47" s="1"/>
  <c r="T23" i="47"/>
  <c r="U22" i="47"/>
  <c r="V22" i="47" s="1"/>
  <c r="T22" i="47"/>
  <c r="U21" i="47"/>
  <c r="V21" i="47" s="1"/>
  <c r="T21" i="47"/>
  <c r="A21" i="47"/>
  <c r="A22" i="47" s="1"/>
  <c r="A23" i="47" s="1"/>
  <c r="A24" i="47" s="1"/>
  <c r="A25" i="47" s="1"/>
  <c r="A26" i="47" s="1"/>
  <c r="A27" i="47" s="1"/>
  <c r="A28" i="47" s="1"/>
  <c r="A29" i="47" s="1"/>
  <c r="A30" i="47" s="1"/>
  <c r="A31" i="47" s="1"/>
  <c r="A32" i="47" s="1"/>
  <c r="A33" i="47" s="1"/>
  <c r="A34" i="47" s="1"/>
  <c r="A35" i="47" s="1"/>
  <c r="A36" i="47" s="1"/>
  <c r="A37" i="47" s="1"/>
  <c r="A38" i="47" s="1"/>
  <c r="A39" i="47" s="1"/>
  <c r="A40" i="47" s="1"/>
  <c r="A41" i="47" s="1"/>
  <c r="A42" i="47" s="1"/>
  <c r="A43" i="47" s="1"/>
  <c r="A44" i="47" s="1"/>
  <c r="A45" i="47" s="1"/>
  <c r="A46" i="47" s="1"/>
  <c r="A47" i="47" s="1"/>
  <c r="A48" i="47" s="1"/>
  <c r="A49" i="47" s="1"/>
  <c r="A50" i="47" s="1"/>
  <c r="A51" i="47" s="1"/>
  <c r="A52" i="47" s="1"/>
  <c r="A53" i="47" s="1"/>
  <c r="A54" i="47" s="1"/>
  <c r="A55" i="47" s="1"/>
  <c r="A56" i="47" s="1"/>
  <c r="A57" i="47" s="1"/>
  <c r="U20" i="47"/>
  <c r="V20" i="47" s="1"/>
  <c r="T20" i="47"/>
  <c r="A20" i="47"/>
  <c r="U19" i="47"/>
  <c r="V19" i="47" s="1"/>
  <c r="T19" i="47"/>
  <c r="T18" i="47"/>
  <c r="U18" i="47" s="1"/>
  <c r="V18" i="47" s="1"/>
  <c r="T17" i="47"/>
  <c r="U17" i="47" s="1"/>
  <c r="V17" i="47" s="1"/>
  <c r="T16" i="47"/>
  <c r="U16" i="47" s="1"/>
  <c r="V16" i="47" s="1"/>
  <c r="T15" i="47"/>
  <c r="U15" i="47" s="1"/>
  <c r="V15" i="47" s="1"/>
  <c r="T14" i="47"/>
  <c r="U14" i="47" s="1"/>
  <c r="V14" i="47" s="1"/>
  <c r="A14" i="47"/>
  <c r="A15" i="47" s="1"/>
  <c r="A16" i="47" s="1"/>
  <c r="A17" i="47" s="1"/>
  <c r="A18" i="47" s="1"/>
  <c r="T13" i="47"/>
  <c r="U13" i="47" s="1"/>
  <c r="V13" i="47" s="1"/>
  <c r="T12" i="47"/>
  <c r="U12" i="47" s="1"/>
  <c r="V12" i="47" s="1"/>
  <c r="T11" i="47"/>
  <c r="U11" i="47" s="1"/>
  <c r="V11" i="47" s="1"/>
  <c r="V10" i="47"/>
  <c r="U10" i="47"/>
  <c r="T10" i="47"/>
  <c r="T9" i="47"/>
  <c r="U9" i="47" s="1"/>
  <c r="V9" i="47" s="1"/>
  <c r="T8" i="47"/>
  <c r="U8" i="47" s="1"/>
  <c r="V8" i="47" s="1"/>
  <c r="A8" i="47"/>
  <c r="A9" i="47" s="1"/>
  <c r="A10" i="47" s="1"/>
  <c r="A11" i="47" s="1"/>
  <c r="T7" i="47"/>
  <c r="T58" i="47" s="1"/>
  <c r="R58" i="46"/>
  <c r="Q58" i="46"/>
  <c r="P58" i="46"/>
  <c r="O58" i="46"/>
  <c r="N58" i="46"/>
  <c r="M58" i="46"/>
  <c r="K58" i="46"/>
  <c r="J58" i="46"/>
  <c r="I58" i="46"/>
  <c r="H58" i="46"/>
  <c r="G58" i="46"/>
  <c r="F58" i="46"/>
  <c r="C58" i="46"/>
  <c r="T54" i="46"/>
  <c r="U54" i="46" s="1"/>
  <c r="V54" i="46" s="1"/>
  <c r="T53" i="46"/>
  <c r="U53" i="46" s="1"/>
  <c r="V53" i="46" s="1"/>
  <c r="T52" i="46"/>
  <c r="U52" i="46" s="1"/>
  <c r="V52" i="46" s="1"/>
  <c r="T51" i="46"/>
  <c r="U51" i="46" s="1"/>
  <c r="V51" i="46" s="1"/>
  <c r="U50" i="46"/>
  <c r="V50" i="46" s="1"/>
  <c r="T50" i="46"/>
  <c r="T49" i="46"/>
  <c r="U49" i="46" s="1"/>
  <c r="V49" i="46" s="1"/>
  <c r="T48" i="46"/>
  <c r="U48" i="46" s="1"/>
  <c r="V48" i="46" s="1"/>
  <c r="T47" i="46"/>
  <c r="U47" i="46" s="1"/>
  <c r="V47" i="46" s="1"/>
  <c r="T46" i="46"/>
  <c r="U46" i="46" s="1"/>
  <c r="V46" i="46" s="1"/>
  <c r="T45" i="46"/>
  <c r="U45" i="46" s="1"/>
  <c r="V45" i="46" s="1"/>
  <c r="T43" i="46"/>
  <c r="U43" i="46" s="1"/>
  <c r="V43" i="46" s="1"/>
  <c r="T41" i="46"/>
  <c r="U41" i="46" s="1"/>
  <c r="V41" i="46" s="1"/>
  <c r="T40" i="46"/>
  <c r="U40" i="46" s="1"/>
  <c r="V40" i="46" s="1"/>
  <c r="T38" i="46"/>
  <c r="U38" i="46" s="1"/>
  <c r="V38" i="46" s="1"/>
  <c r="T37" i="46"/>
  <c r="U37" i="46" s="1"/>
  <c r="V37" i="46" s="1"/>
  <c r="T36" i="46"/>
  <c r="U36" i="46" s="1"/>
  <c r="V36" i="46" s="1"/>
  <c r="U35" i="46"/>
  <c r="V35" i="46" s="1"/>
  <c r="T35" i="46"/>
  <c r="T34" i="46"/>
  <c r="U34" i="46" s="1"/>
  <c r="V34" i="46" s="1"/>
  <c r="T33" i="46"/>
  <c r="U33" i="46" s="1"/>
  <c r="V33" i="46" s="1"/>
  <c r="T32" i="46"/>
  <c r="U32" i="46" s="1"/>
  <c r="V32" i="46" s="1"/>
  <c r="T31" i="46"/>
  <c r="U31" i="46" s="1"/>
  <c r="V31" i="46" s="1"/>
  <c r="T30" i="46"/>
  <c r="U30" i="46" s="1"/>
  <c r="V30" i="46" s="1"/>
  <c r="U29" i="46"/>
  <c r="V29" i="46" s="1"/>
  <c r="T29" i="46"/>
  <c r="T28" i="46"/>
  <c r="U28" i="46" s="1"/>
  <c r="V28" i="46" s="1"/>
  <c r="T26" i="46"/>
  <c r="U26" i="46" s="1"/>
  <c r="V26" i="46" s="1"/>
  <c r="AY25" i="46"/>
  <c r="T25" i="46"/>
  <c r="U25" i="46" s="1"/>
  <c r="V25" i="46" s="1"/>
  <c r="T24" i="46"/>
  <c r="U24" i="46" s="1"/>
  <c r="V24" i="46" s="1"/>
  <c r="T23" i="46"/>
  <c r="U23" i="46" s="1"/>
  <c r="V23" i="46" s="1"/>
  <c r="T22" i="46"/>
  <c r="U22" i="46" s="1"/>
  <c r="V22" i="46" s="1"/>
  <c r="T21" i="46"/>
  <c r="U21" i="46" s="1"/>
  <c r="V21" i="46" s="1"/>
  <c r="A21" i="46"/>
  <c r="A22" i="46" s="1"/>
  <c r="A23" i="46" s="1"/>
  <c r="A24" i="46" s="1"/>
  <c r="A25" i="46" s="1"/>
  <c r="A26" i="46" s="1"/>
  <c r="A27" i="46" s="1"/>
  <c r="A28" i="46" s="1"/>
  <c r="A29" i="46" s="1"/>
  <c r="A30" i="46" s="1"/>
  <c r="A31" i="46" s="1"/>
  <c r="A32" i="46" s="1"/>
  <c r="A33" i="46" s="1"/>
  <c r="A34" i="46" s="1"/>
  <c r="A35" i="46" s="1"/>
  <c r="A36" i="46" s="1"/>
  <c r="A37" i="46" s="1"/>
  <c r="A38" i="46" s="1"/>
  <c r="A39" i="46" s="1"/>
  <c r="A40" i="46" s="1"/>
  <c r="A41" i="46" s="1"/>
  <c r="A42" i="46" s="1"/>
  <c r="A43" i="46" s="1"/>
  <c r="A44" i="46" s="1"/>
  <c r="A45" i="46" s="1"/>
  <c r="A46" i="46" s="1"/>
  <c r="A47" i="46" s="1"/>
  <c r="A48" i="46" s="1"/>
  <c r="A49" i="46" s="1"/>
  <c r="A50" i="46" s="1"/>
  <c r="A51" i="46" s="1"/>
  <c r="A52" i="46" s="1"/>
  <c r="A53" i="46" s="1"/>
  <c r="A54" i="46" s="1"/>
  <c r="A55" i="46" s="1"/>
  <c r="A56" i="46" s="1"/>
  <c r="A57" i="46" s="1"/>
  <c r="T20" i="46"/>
  <c r="U20" i="46" s="1"/>
  <c r="V20" i="46" s="1"/>
  <c r="A20" i="46"/>
  <c r="T19" i="46"/>
  <c r="U19" i="46" s="1"/>
  <c r="V19" i="46" s="1"/>
  <c r="T18" i="46"/>
  <c r="U18" i="46" s="1"/>
  <c r="V18" i="46" s="1"/>
  <c r="U17" i="46"/>
  <c r="V17" i="46" s="1"/>
  <c r="T17" i="46"/>
  <c r="T16" i="46"/>
  <c r="U16" i="46" s="1"/>
  <c r="V16" i="46" s="1"/>
  <c r="U15" i="46"/>
  <c r="V15" i="46" s="1"/>
  <c r="T15" i="46"/>
  <c r="T14" i="46"/>
  <c r="U14" i="46" s="1"/>
  <c r="V14" i="46" s="1"/>
  <c r="A14" i="46"/>
  <c r="A15" i="46" s="1"/>
  <c r="A16" i="46" s="1"/>
  <c r="A17" i="46" s="1"/>
  <c r="A18" i="46" s="1"/>
  <c r="T13" i="46"/>
  <c r="U13" i="46" s="1"/>
  <c r="V13" i="46" s="1"/>
  <c r="T12" i="46"/>
  <c r="U12" i="46" s="1"/>
  <c r="V12" i="46" s="1"/>
  <c r="T11" i="46"/>
  <c r="U11" i="46" s="1"/>
  <c r="V11" i="46" s="1"/>
  <c r="T10" i="46"/>
  <c r="U10" i="46" s="1"/>
  <c r="V10" i="46" s="1"/>
  <c r="T9" i="46"/>
  <c r="U9" i="46" s="1"/>
  <c r="V9" i="46" s="1"/>
  <c r="A9" i="46"/>
  <c r="A10" i="46" s="1"/>
  <c r="A11" i="46" s="1"/>
  <c r="T8" i="46"/>
  <c r="U8" i="46" s="1"/>
  <c r="V8" i="46" s="1"/>
  <c r="A8" i="46"/>
  <c r="T7" i="46"/>
  <c r="R58" i="45"/>
  <c r="Q58" i="45"/>
  <c r="P58" i="45"/>
  <c r="O58" i="45"/>
  <c r="N58" i="45"/>
  <c r="M58" i="45"/>
  <c r="K58" i="45"/>
  <c r="J58" i="45"/>
  <c r="I58" i="45"/>
  <c r="H58" i="45"/>
  <c r="G58" i="45"/>
  <c r="F58" i="45"/>
  <c r="T54" i="45"/>
  <c r="U54" i="45" s="1"/>
  <c r="V54" i="45" s="1"/>
  <c r="T53" i="45"/>
  <c r="U53" i="45" s="1"/>
  <c r="V53" i="45" s="1"/>
  <c r="T52" i="45"/>
  <c r="U52" i="45" s="1"/>
  <c r="V52" i="45" s="1"/>
  <c r="T51" i="45"/>
  <c r="U51" i="45" s="1"/>
  <c r="V51" i="45" s="1"/>
  <c r="T50" i="45"/>
  <c r="U50" i="45" s="1"/>
  <c r="V50" i="45" s="1"/>
  <c r="T49" i="45"/>
  <c r="U49" i="45" s="1"/>
  <c r="V49" i="45" s="1"/>
  <c r="U48" i="45"/>
  <c r="V48" i="45" s="1"/>
  <c r="T48" i="45"/>
  <c r="T47" i="45"/>
  <c r="U47" i="45" s="1"/>
  <c r="V47" i="45" s="1"/>
  <c r="T46" i="45"/>
  <c r="U46" i="45" s="1"/>
  <c r="V46" i="45" s="1"/>
  <c r="T45" i="45"/>
  <c r="U45" i="45" s="1"/>
  <c r="V45" i="45" s="1"/>
  <c r="T43" i="45"/>
  <c r="U43" i="45" s="1"/>
  <c r="V43" i="45" s="1"/>
  <c r="T41" i="45"/>
  <c r="U41" i="45" s="1"/>
  <c r="V41" i="45" s="1"/>
  <c r="T40" i="45"/>
  <c r="U40" i="45" s="1"/>
  <c r="V40" i="45" s="1"/>
  <c r="U38" i="45"/>
  <c r="V38" i="45" s="1"/>
  <c r="T38" i="45"/>
  <c r="T37" i="45"/>
  <c r="U37" i="45" s="1"/>
  <c r="V37" i="45" s="1"/>
  <c r="T36" i="45"/>
  <c r="U36" i="45" s="1"/>
  <c r="V36" i="45" s="1"/>
  <c r="T35" i="45"/>
  <c r="U35" i="45" s="1"/>
  <c r="V35" i="45" s="1"/>
  <c r="T34" i="45"/>
  <c r="U34" i="45" s="1"/>
  <c r="V34" i="45" s="1"/>
  <c r="T33" i="45"/>
  <c r="U33" i="45" s="1"/>
  <c r="V33" i="45" s="1"/>
  <c r="T32" i="45"/>
  <c r="U32" i="45" s="1"/>
  <c r="V32" i="45" s="1"/>
  <c r="T31" i="45"/>
  <c r="U31" i="45" s="1"/>
  <c r="V31" i="45" s="1"/>
  <c r="T30" i="45"/>
  <c r="U30" i="45" s="1"/>
  <c r="V30" i="45" s="1"/>
  <c r="T29" i="45"/>
  <c r="U29" i="45" s="1"/>
  <c r="V29" i="45" s="1"/>
  <c r="T28" i="45"/>
  <c r="U28" i="45" s="1"/>
  <c r="V28" i="45" s="1"/>
  <c r="T26" i="45"/>
  <c r="U26" i="45" s="1"/>
  <c r="V26" i="45" s="1"/>
  <c r="AY25" i="45"/>
  <c r="T25" i="45"/>
  <c r="U25" i="45" s="1"/>
  <c r="V25" i="45" s="1"/>
  <c r="T24" i="45"/>
  <c r="U24" i="45" s="1"/>
  <c r="V24" i="45" s="1"/>
  <c r="T23" i="45"/>
  <c r="U23" i="45" s="1"/>
  <c r="V23" i="45" s="1"/>
  <c r="T22" i="45"/>
  <c r="U22" i="45" s="1"/>
  <c r="V22" i="45" s="1"/>
  <c r="T21" i="45"/>
  <c r="U21" i="45" s="1"/>
  <c r="V21" i="45" s="1"/>
  <c r="A21" i="45"/>
  <c r="A22" i="45" s="1"/>
  <c r="A23" i="45" s="1"/>
  <c r="A24" i="45" s="1"/>
  <c r="A25" i="45" s="1"/>
  <c r="A26" i="45" s="1"/>
  <c r="A27" i="45" s="1"/>
  <c r="A28" i="45" s="1"/>
  <c r="A29" i="45" s="1"/>
  <c r="A30" i="45" s="1"/>
  <c r="A31" i="45" s="1"/>
  <c r="A32" i="45" s="1"/>
  <c r="A33" i="45" s="1"/>
  <c r="A34" i="45" s="1"/>
  <c r="A35" i="45" s="1"/>
  <c r="A36" i="45" s="1"/>
  <c r="A37" i="45" s="1"/>
  <c r="A38" i="45" s="1"/>
  <c r="A39" i="45" s="1"/>
  <c r="A40" i="45" s="1"/>
  <c r="A41" i="45" s="1"/>
  <c r="A42" i="45" s="1"/>
  <c r="A43" i="45" s="1"/>
  <c r="A44" i="45" s="1"/>
  <c r="A45" i="45" s="1"/>
  <c r="A46" i="45" s="1"/>
  <c r="A47" i="45" s="1"/>
  <c r="A48" i="45" s="1"/>
  <c r="A49" i="45" s="1"/>
  <c r="A50" i="45" s="1"/>
  <c r="A51" i="45" s="1"/>
  <c r="A52" i="45" s="1"/>
  <c r="A53" i="45" s="1"/>
  <c r="A54" i="45" s="1"/>
  <c r="A55" i="45" s="1"/>
  <c r="A56" i="45" s="1"/>
  <c r="A57" i="45" s="1"/>
  <c r="T20" i="45"/>
  <c r="U20" i="45" s="1"/>
  <c r="V20" i="45" s="1"/>
  <c r="A20" i="45"/>
  <c r="T19" i="45"/>
  <c r="U19" i="45" s="1"/>
  <c r="V19" i="45" s="1"/>
  <c r="T18" i="45"/>
  <c r="U18" i="45" s="1"/>
  <c r="V18" i="45" s="1"/>
  <c r="T17" i="45"/>
  <c r="U17" i="45" s="1"/>
  <c r="V17" i="45" s="1"/>
  <c r="T16" i="45"/>
  <c r="U16" i="45" s="1"/>
  <c r="V16" i="45" s="1"/>
  <c r="T15" i="45"/>
  <c r="U15" i="45" s="1"/>
  <c r="V15" i="45" s="1"/>
  <c r="T14" i="45"/>
  <c r="U14" i="45" s="1"/>
  <c r="V14" i="45" s="1"/>
  <c r="A14" i="45"/>
  <c r="A15" i="45" s="1"/>
  <c r="A16" i="45" s="1"/>
  <c r="A17" i="45" s="1"/>
  <c r="A18" i="45" s="1"/>
  <c r="T13" i="45"/>
  <c r="U13" i="45" s="1"/>
  <c r="V13" i="45" s="1"/>
  <c r="T12" i="45"/>
  <c r="U12" i="45" s="1"/>
  <c r="V12" i="45" s="1"/>
  <c r="T11" i="45"/>
  <c r="U11" i="45" s="1"/>
  <c r="V11" i="45" s="1"/>
  <c r="T10" i="45"/>
  <c r="U10" i="45" s="1"/>
  <c r="V10" i="45" s="1"/>
  <c r="T9" i="45"/>
  <c r="U9" i="45" s="1"/>
  <c r="V9" i="45" s="1"/>
  <c r="A9" i="45"/>
  <c r="A10" i="45" s="1"/>
  <c r="A11" i="45" s="1"/>
  <c r="T8" i="45"/>
  <c r="U8" i="45" s="1"/>
  <c r="V8" i="45" s="1"/>
  <c r="A8" i="45"/>
  <c r="T7" i="45"/>
  <c r="T58" i="46" l="1"/>
  <c r="C58" i="45"/>
  <c r="U7" i="45"/>
  <c r="U58" i="45" s="1"/>
  <c r="U7" i="47"/>
  <c r="U7" i="46"/>
  <c r="T58" i="45"/>
  <c r="J58" i="43"/>
  <c r="C58" i="43"/>
  <c r="R58" i="44"/>
  <c r="Q58" i="44"/>
  <c r="P58" i="44"/>
  <c r="O58" i="44"/>
  <c r="N58" i="44"/>
  <c r="M58" i="44"/>
  <c r="K58" i="44"/>
  <c r="J58" i="44"/>
  <c r="I58" i="44"/>
  <c r="H58" i="44"/>
  <c r="G58" i="44"/>
  <c r="F58" i="44"/>
  <c r="C58" i="44"/>
  <c r="T54" i="44"/>
  <c r="U54" i="44" s="1"/>
  <c r="V54" i="44" s="1"/>
  <c r="T53" i="44"/>
  <c r="U53" i="44" s="1"/>
  <c r="V53" i="44" s="1"/>
  <c r="T52" i="44"/>
  <c r="U52" i="44" s="1"/>
  <c r="V52" i="44" s="1"/>
  <c r="T51" i="44"/>
  <c r="U51" i="44" s="1"/>
  <c r="V51" i="44" s="1"/>
  <c r="T50" i="44"/>
  <c r="U50" i="44" s="1"/>
  <c r="V50" i="44" s="1"/>
  <c r="T49" i="44"/>
  <c r="U49" i="44" s="1"/>
  <c r="V49" i="44" s="1"/>
  <c r="T48" i="44"/>
  <c r="U48" i="44" s="1"/>
  <c r="V48" i="44" s="1"/>
  <c r="T47" i="44"/>
  <c r="U47" i="44" s="1"/>
  <c r="V47" i="44" s="1"/>
  <c r="T46" i="44"/>
  <c r="U46" i="44" s="1"/>
  <c r="V46" i="44" s="1"/>
  <c r="T45" i="44"/>
  <c r="U45" i="44" s="1"/>
  <c r="V45" i="44" s="1"/>
  <c r="T43" i="44"/>
  <c r="U43" i="44" s="1"/>
  <c r="V43" i="44" s="1"/>
  <c r="T41" i="44"/>
  <c r="U41" i="44" s="1"/>
  <c r="V41" i="44" s="1"/>
  <c r="T40" i="44"/>
  <c r="U40" i="44" s="1"/>
  <c r="V40" i="44" s="1"/>
  <c r="T38" i="44"/>
  <c r="U38" i="44" s="1"/>
  <c r="V38" i="44" s="1"/>
  <c r="T37" i="44"/>
  <c r="U37" i="44" s="1"/>
  <c r="V37" i="44" s="1"/>
  <c r="T36" i="44"/>
  <c r="U36" i="44" s="1"/>
  <c r="V36" i="44" s="1"/>
  <c r="T35" i="44"/>
  <c r="U35" i="44" s="1"/>
  <c r="V35" i="44" s="1"/>
  <c r="T34" i="44"/>
  <c r="U34" i="44" s="1"/>
  <c r="V34" i="44" s="1"/>
  <c r="T33" i="44"/>
  <c r="U33" i="44" s="1"/>
  <c r="V33" i="44" s="1"/>
  <c r="T32" i="44"/>
  <c r="U32" i="44" s="1"/>
  <c r="V32" i="44" s="1"/>
  <c r="T31" i="44"/>
  <c r="U31" i="44" s="1"/>
  <c r="V31" i="44" s="1"/>
  <c r="T30" i="44"/>
  <c r="U30" i="44" s="1"/>
  <c r="V30" i="44" s="1"/>
  <c r="T29" i="44"/>
  <c r="U29" i="44" s="1"/>
  <c r="V29" i="44" s="1"/>
  <c r="T28" i="44"/>
  <c r="U28" i="44" s="1"/>
  <c r="V28" i="44" s="1"/>
  <c r="T26" i="44"/>
  <c r="U26" i="44" s="1"/>
  <c r="V26" i="44" s="1"/>
  <c r="AY25" i="44"/>
  <c r="T25" i="44"/>
  <c r="U25" i="44" s="1"/>
  <c r="V25" i="44" s="1"/>
  <c r="T24" i="44"/>
  <c r="U24" i="44" s="1"/>
  <c r="V24" i="44" s="1"/>
  <c r="T23" i="44"/>
  <c r="U23" i="44" s="1"/>
  <c r="V23" i="44" s="1"/>
  <c r="T22" i="44"/>
  <c r="U22" i="44" s="1"/>
  <c r="V22" i="44" s="1"/>
  <c r="U21" i="44"/>
  <c r="V21" i="44" s="1"/>
  <c r="T21" i="44"/>
  <c r="T20" i="44"/>
  <c r="U20" i="44" s="1"/>
  <c r="V20" i="44" s="1"/>
  <c r="A20" i="44"/>
  <c r="A21" i="44" s="1"/>
  <c r="A22" i="44" s="1"/>
  <c r="A23" i="44" s="1"/>
  <c r="A24" i="44" s="1"/>
  <c r="A25" i="44" s="1"/>
  <c r="A26" i="44" s="1"/>
  <c r="A27" i="44" s="1"/>
  <c r="A28" i="44" s="1"/>
  <c r="A29" i="44" s="1"/>
  <c r="A30" i="44" s="1"/>
  <c r="A31" i="44" s="1"/>
  <c r="A32" i="44" s="1"/>
  <c r="A33" i="44" s="1"/>
  <c r="A34" i="44" s="1"/>
  <c r="A35" i="44" s="1"/>
  <c r="A36" i="44" s="1"/>
  <c r="A37" i="44" s="1"/>
  <c r="A38" i="44" s="1"/>
  <c r="A39" i="44" s="1"/>
  <c r="A40" i="44" s="1"/>
  <c r="A41" i="44" s="1"/>
  <c r="A42" i="44" s="1"/>
  <c r="A43" i="44" s="1"/>
  <c r="A44" i="44" s="1"/>
  <c r="A45" i="44" s="1"/>
  <c r="A46" i="44" s="1"/>
  <c r="A47" i="44" s="1"/>
  <c r="A48" i="44" s="1"/>
  <c r="A49" i="44" s="1"/>
  <c r="A50" i="44" s="1"/>
  <c r="A51" i="44" s="1"/>
  <c r="A52" i="44" s="1"/>
  <c r="A53" i="44" s="1"/>
  <c r="A54" i="44" s="1"/>
  <c r="A55" i="44" s="1"/>
  <c r="A56" i="44" s="1"/>
  <c r="A57" i="44" s="1"/>
  <c r="T19" i="44"/>
  <c r="U19" i="44" s="1"/>
  <c r="V19" i="44" s="1"/>
  <c r="T18" i="44"/>
  <c r="U18" i="44" s="1"/>
  <c r="V18" i="44" s="1"/>
  <c r="T17" i="44"/>
  <c r="U17" i="44" s="1"/>
  <c r="V17" i="44" s="1"/>
  <c r="T16" i="44"/>
  <c r="U16" i="44" s="1"/>
  <c r="V16" i="44" s="1"/>
  <c r="T15" i="44"/>
  <c r="U15" i="44" s="1"/>
  <c r="V15" i="44" s="1"/>
  <c r="T14" i="44"/>
  <c r="U14" i="44" s="1"/>
  <c r="V14" i="44" s="1"/>
  <c r="A14" i="44"/>
  <c r="A15" i="44" s="1"/>
  <c r="A16" i="44" s="1"/>
  <c r="A17" i="44" s="1"/>
  <c r="A18" i="44" s="1"/>
  <c r="T13" i="44"/>
  <c r="U13" i="44" s="1"/>
  <c r="V13" i="44" s="1"/>
  <c r="T12" i="44"/>
  <c r="U12" i="44" s="1"/>
  <c r="V12" i="44" s="1"/>
  <c r="T11" i="44"/>
  <c r="U11" i="44" s="1"/>
  <c r="V11" i="44" s="1"/>
  <c r="T10" i="44"/>
  <c r="U10" i="44" s="1"/>
  <c r="V10" i="44" s="1"/>
  <c r="T9" i="44"/>
  <c r="U9" i="44" s="1"/>
  <c r="V9" i="44" s="1"/>
  <c r="A9" i="44"/>
  <c r="A10" i="44" s="1"/>
  <c r="A11" i="44" s="1"/>
  <c r="T8" i="44"/>
  <c r="U8" i="44" s="1"/>
  <c r="V8" i="44" s="1"/>
  <c r="A8" i="44"/>
  <c r="T7" i="44"/>
  <c r="U7" i="44" s="1"/>
  <c r="R58" i="43"/>
  <c r="Q58" i="43"/>
  <c r="P58" i="43"/>
  <c r="O58" i="43"/>
  <c r="N58" i="43"/>
  <c r="M58" i="43"/>
  <c r="K58" i="43"/>
  <c r="I58" i="43"/>
  <c r="H58" i="43"/>
  <c r="G58" i="43"/>
  <c r="F58" i="43"/>
  <c r="U54" i="43"/>
  <c r="V54" i="43" s="1"/>
  <c r="T54" i="43"/>
  <c r="T53" i="43"/>
  <c r="U53" i="43" s="1"/>
  <c r="V53" i="43" s="1"/>
  <c r="T52" i="43"/>
  <c r="U52" i="43" s="1"/>
  <c r="V52" i="43" s="1"/>
  <c r="T51" i="43"/>
  <c r="U51" i="43" s="1"/>
  <c r="V51" i="43" s="1"/>
  <c r="T50" i="43"/>
  <c r="U50" i="43" s="1"/>
  <c r="V50" i="43" s="1"/>
  <c r="T49" i="43"/>
  <c r="U49" i="43" s="1"/>
  <c r="V49" i="43" s="1"/>
  <c r="T48" i="43"/>
  <c r="U48" i="43" s="1"/>
  <c r="V48" i="43" s="1"/>
  <c r="T47" i="43"/>
  <c r="U47" i="43" s="1"/>
  <c r="V47" i="43" s="1"/>
  <c r="T46" i="43"/>
  <c r="U46" i="43" s="1"/>
  <c r="V46" i="43" s="1"/>
  <c r="T45" i="43"/>
  <c r="U45" i="43" s="1"/>
  <c r="V45" i="43" s="1"/>
  <c r="T41" i="43"/>
  <c r="U41" i="43" s="1"/>
  <c r="V41" i="43" s="1"/>
  <c r="T40" i="43"/>
  <c r="U40" i="43" s="1"/>
  <c r="V40" i="43" s="1"/>
  <c r="T38" i="43"/>
  <c r="U38" i="43" s="1"/>
  <c r="V38" i="43" s="1"/>
  <c r="T37" i="43"/>
  <c r="U37" i="43" s="1"/>
  <c r="V37" i="43" s="1"/>
  <c r="T36" i="43"/>
  <c r="U36" i="43" s="1"/>
  <c r="V36" i="43" s="1"/>
  <c r="T35" i="43"/>
  <c r="U35" i="43" s="1"/>
  <c r="V35" i="43" s="1"/>
  <c r="T34" i="43"/>
  <c r="U34" i="43" s="1"/>
  <c r="V34" i="43" s="1"/>
  <c r="T33" i="43"/>
  <c r="U33" i="43" s="1"/>
  <c r="V33" i="43" s="1"/>
  <c r="T32" i="43"/>
  <c r="U32" i="43" s="1"/>
  <c r="V32" i="43" s="1"/>
  <c r="T31" i="43"/>
  <c r="U31" i="43" s="1"/>
  <c r="V31" i="43" s="1"/>
  <c r="T30" i="43"/>
  <c r="U30" i="43" s="1"/>
  <c r="V30" i="43" s="1"/>
  <c r="U29" i="43"/>
  <c r="V29" i="43" s="1"/>
  <c r="T29" i="43"/>
  <c r="T28" i="43"/>
  <c r="U28" i="43" s="1"/>
  <c r="V28" i="43" s="1"/>
  <c r="T26" i="43"/>
  <c r="U26" i="43" s="1"/>
  <c r="V26" i="43" s="1"/>
  <c r="AY25" i="43"/>
  <c r="T25" i="43"/>
  <c r="U25" i="43" s="1"/>
  <c r="V25" i="43" s="1"/>
  <c r="T24" i="43"/>
  <c r="U24" i="43" s="1"/>
  <c r="V24" i="43" s="1"/>
  <c r="T23" i="43"/>
  <c r="U23" i="43" s="1"/>
  <c r="V23" i="43" s="1"/>
  <c r="T22" i="43"/>
  <c r="U22" i="43" s="1"/>
  <c r="V22" i="43" s="1"/>
  <c r="T21" i="43"/>
  <c r="U21" i="43" s="1"/>
  <c r="V21" i="43" s="1"/>
  <c r="T20" i="43"/>
  <c r="U20" i="43" s="1"/>
  <c r="V20" i="43" s="1"/>
  <c r="A20" i="43"/>
  <c r="A21" i="43" s="1"/>
  <c r="A22" i="43" s="1"/>
  <c r="A23" i="43" s="1"/>
  <c r="A24" i="43" s="1"/>
  <c r="A25" i="43" s="1"/>
  <c r="A26" i="43" s="1"/>
  <c r="A27" i="43" s="1"/>
  <c r="A28" i="43" s="1"/>
  <c r="A29" i="43" s="1"/>
  <c r="A30" i="43" s="1"/>
  <c r="A31" i="43" s="1"/>
  <c r="A32" i="43" s="1"/>
  <c r="A33" i="43" s="1"/>
  <c r="A34" i="43" s="1"/>
  <c r="A35" i="43" s="1"/>
  <c r="A36" i="43" s="1"/>
  <c r="A37" i="43" s="1"/>
  <c r="A38" i="43" s="1"/>
  <c r="A39" i="43" s="1"/>
  <c r="A40" i="43" s="1"/>
  <c r="A41" i="43" s="1"/>
  <c r="A42" i="43" s="1"/>
  <c r="A43" i="43" s="1"/>
  <c r="A44" i="43" s="1"/>
  <c r="A45" i="43" s="1"/>
  <c r="A46" i="43" s="1"/>
  <c r="A47" i="43" s="1"/>
  <c r="A48" i="43" s="1"/>
  <c r="A49" i="43" s="1"/>
  <c r="A50" i="43" s="1"/>
  <c r="A51" i="43" s="1"/>
  <c r="A52" i="43" s="1"/>
  <c r="A53" i="43" s="1"/>
  <c r="A54" i="43" s="1"/>
  <c r="A55" i="43" s="1"/>
  <c r="A56" i="43" s="1"/>
  <c r="A57" i="43" s="1"/>
  <c r="T19" i="43"/>
  <c r="U19" i="43" s="1"/>
  <c r="V19" i="43" s="1"/>
  <c r="T18" i="43"/>
  <c r="U18" i="43" s="1"/>
  <c r="V18" i="43" s="1"/>
  <c r="T17" i="43"/>
  <c r="U17" i="43" s="1"/>
  <c r="V17" i="43" s="1"/>
  <c r="T16" i="43"/>
  <c r="U16" i="43" s="1"/>
  <c r="V16" i="43" s="1"/>
  <c r="U15" i="43"/>
  <c r="V15" i="43" s="1"/>
  <c r="T15" i="43"/>
  <c r="T14" i="43"/>
  <c r="U14" i="43" s="1"/>
  <c r="V14" i="43" s="1"/>
  <c r="A14" i="43"/>
  <c r="A15" i="43" s="1"/>
  <c r="A16" i="43" s="1"/>
  <c r="A17" i="43" s="1"/>
  <c r="A18" i="43" s="1"/>
  <c r="T13" i="43"/>
  <c r="U13" i="43" s="1"/>
  <c r="V13" i="43" s="1"/>
  <c r="T12" i="43"/>
  <c r="U12" i="43" s="1"/>
  <c r="V12" i="43" s="1"/>
  <c r="T11" i="43"/>
  <c r="U11" i="43" s="1"/>
  <c r="V11" i="43" s="1"/>
  <c r="T10" i="43"/>
  <c r="U10" i="43" s="1"/>
  <c r="V10" i="43" s="1"/>
  <c r="T9" i="43"/>
  <c r="U9" i="43" s="1"/>
  <c r="V9" i="43" s="1"/>
  <c r="T8" i="43"/>
  <c r="U8" i="43" s="1"/>
  <c r="V8" i="43" s="1"/>
  <c r="A8" i="43"/>
  <c r="A9" i="43" s="1"/>
  <c r="A10" i="43" s="1"/>
  <c r="A11" i="43" s="1"/>
  <c r="T7" i="43"/>
  <c r="U7" i="43" s="1"/>
  <c r="V7" i="45" l="1"/>
  <c r="V58" i="45" s="1"/>
  <c r="U58" i="47"/>
  <c r="V7" i="47"/>
  <c r="V58" i="47" s="1"/>
  <c r="U58" i="46"/>
  <c r="V7" i="46"/>
  <c r="V58" i="46" s="1"/>
  <c r="T43" i="43"/>
  <c r="U43" i="43" s="1"/>
  <c r="V43" i="43" s="1"/>
  <c r="V7" i="44"/>
  <c r="V58" i="44" s="1"/>
  <c r="U58" i="44"/>
  <c r="T58" i="44"/>
  <c r="V7" i="43"/>
  <c r="T58" i="43" l="1"/>
  <c r="V58" i="43"/>
  <c r="U58" i="43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<sst xmlns="http://schemas.openxmlformats.org/spreadsheetml/2006/main" count="504" uniqueCount="76">
  <si>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</si>
  <si>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</si>
  <si>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</si>
  <si>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</si>
  <si>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</si>
  <si>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</si>
  <si>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</si>
  <si>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</si>
  <si>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</si>
  <si>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</si>
  <si>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</si>
  <si>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</si>
  <si>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</si>
  <si>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</si>
  <si>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</si>
  <si>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</si>
  <si>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</si>
  <si>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</si>
  <si>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</si>
  <si>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</si>
  <si>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</si>
  <si>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</si>
  <si>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</si>
  <si>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</si>
  <si>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</si>
  <si>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</si>
  <si>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</si>
  <si>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</si>
  <si>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</si>
  <si>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</si>
  <si>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</si>
  <si>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</si>
  <si>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</si>
  <si>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</si>
  <si>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</si>
  <si>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</si>
  <si>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</si>
  <si>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</si>
  <si>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</si>
  <si>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</si>
  <si>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</si>
  <si>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</si>
  <si>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</si>
  <si>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</si>
  <si>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</si>
  <si>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</si>
  <si>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</si>
  <si>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</si>
  <si>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</si>
  <si>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</si>
  <si>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</si>
  <si>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</si>
  <si>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</si>
  <si>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</si>
  <si>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</si>
  <si>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</si>
  <si>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</si>
  <si>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</si>
  <si>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</si>
  <si>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</si>
  <si>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</si>
  <si>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</si>
  <si>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</si>
  <si>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</si>
  <si>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</si>
  <si>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</si>
  <si>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</si>
  <si>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</si>
  <si>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</si>
  <si>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</si>
  <si>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</si>
  <si>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04/02/2026</t>
  </si>
  <si>
    <t>DATE: 04/03/2026</t>
  </si>
  <si>
    <t>DATE: 04/04/2026</t>
  </si>
  <si>
    <t>DATE: 04/05/2026</t>
  </si>
  <si>
    <t>DATE: 04/06/2026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</si>
</sst>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7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09" t="s">
        <v>68</v>
      </c>
      <c r="U4" s="111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0" t="s">
        <v>65</v>
      </c>
      <c r="K5" s="101"/>
      <c r="M5" s="37"/>
      <c r="N5" s="49"/>
      <c r="O5" s="40"/>
      <c r="P5" s="89"/>
      <c r="Q5" s="89"/>
      <c r="R5" s="38"/>
      <c r="S5" s="9"/>
      <c r="T5" s="110"/>
      <c r="U5" s="112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2" t="s">
        <v>41</v>
      </c>
      <c r="D62" s="103"/>
      <c r="E62" s="103"/>
      <c r="F62" s="103"/>
      <c r="G62" s="103"/>
      <c r="H62" s="103"/>
      <c r="I62" s="103"/>
      <c r="J62" s="103"/>
      <c r="K62" s="104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18DA-50BA-446D-A669-D0F3DA86ED1F}">
  <sheetPr>
    <pageSetUpPr fitToPage="1"/>
  </sheetPr>
  <dimension ref="A1:BB81"/>
  <sheetViews>
    <sheetView tabSelected="1" zoomScaleNormal="100" zoomScaleSheetLayoutView="115" workbookViewId="0">
      <selection activeCell="V38" sqref="V38:V39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6"/>
      <c r="Q5" s="96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20+30</f>
        <v>50</v>
      </c>
      <c r="D7" s="52"/>
      <c r="E7" s="52"/>
      <c r="F7" s="52"/>
      <c r="G7" s="52"/>
      <c r="H7" s="52">
        <v>2</v>
      </c>
      <c r="I7" s="52">
        <v>1</v>
      </c>
      <c r="J7" s="53"/>
      <c r="K7" s="54">
        <v>6</v>
      </c>
      <c r="L7" s="55"/>
      <c r="M7" s="56">
        <v>1</v>
      </c>
      <c r="N7" s="57"/>
      <c r="O7" s="52">
        <v>2</v>
      </c>
      <c r="P7" s="53">
        <v>12</v>
      </c>
      <c r="Q7" s="53">
        <v>2</v>
      </c>
      <c r="R7" s="54"/>
      <c r="S7" s="55"/>
      <c r="T7" s="58">
        <f>H7+I7+J7+K7+N7+P7+R7</f>
        <v>21</v>
      </c>
      <c r="U7" s="58">
        <f>C7*24+M7*24+O7*24+Q7*24+T7</f>
        <v>1341</v>
      </c>
      <c r="V7" s="58">
        <f>U7/24</f>
        <v>55.875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20+63+15+8</f>
        <v>106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114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2784</v>
      </c>
      <c r="V9" s="76">
        <f t="shared" ref="V9:V11" si="3">U9/24</f>
        <v>116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336</v>
      </c>
      <c r="V10" s="58">
        <f t="shared" si="3"/>
        <v>14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144</v>
      </c>
      <c r="V11" s="58">
        <f t="shared" si="3"/>
        <v>6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720+63+33+216+42+648+1440+576</f>
        <v>3738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18</v>
      </c>
      <c r="N12" s="64">
        <v>20</v>
      </c>
      <c r="O12" s="65">
        <v>13</v>
      </c>
      <c r="P12" s="66">
        <v>16</v>
      </c>
      <c r="Q12" s="66">
        <v>33</v>
      </c>
      <c r="R12" s="67">
        <v>3</v>
      </c>
      <c r="S12" s="62"/>
      <c r="T12" s="58">
        <f t="shared" si="0"/>
        <v>39</v>
      </c>
      <c r="U12" s="69">
        <f>C12*24+M12*24+O12*24+Q12*24+T12</f>
        <v>91287</v>
      </c>
      <c r="V12" s="69">
        <f>U12/24</f>
        <v>3803.625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34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>
        <v>2</v>
      </c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34</v>
      </c>
      <c r="D25" s="70"/>
      <c r="E25" s="70"/>
      <c r="F25" s="70"/>
      <c r="G25" s="70"/>
      <c r="H25" s="70">
        <v>10</v>
      </c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11</v>
      </c>
      <c r="U25" s="75">
        <f t="shared" si="4"/>
        <v>851</v>
      </c>
      <c r="V25" s="75">
        <f t="shared" si="5"/>
        <v>35.458333333333336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168</v>
      </c>
      <c r="V26" s="75">
        <f t="shared" si="5"/>
        <v>7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5+36</f>
        <v>41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1200</v>
      </c>
      <c r="V28" s="75">
        <f t="shared" si="5"/>
        <v>50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4+63</f>
        <v>67</v>
      </c>
      <c r="D29" s="70"/>
      <c r="E29" s="70"/>
      <c r="F29" s="70"/>
      <c r="G29" s="70"/>
      <c r="H29" s="70"/>
      <c r="I29" s="70"/>
      <c r="J29" s="71"/>
      <c r="K29" s="72"/>
      <c r="L29" s="55"/>
      <c r="M29" s="73">
        <v>1</v>
      </c>
      <c r="N29" s="74"/>
      <c r="O29" s="70"/>
      <c r="P29" s="71"/>
      <c r="Q29" s="71">
        <v>1</v>
      </c>
      <c r="R29" s="72"/>
      <c r="S29" s="55"/>
      <c r="T29" s="58">
        <f t="shared" si="0"/>
        <v>0</v>
      </c>
      <c r="U29" s="75">
        <f t="shared" si="4"/>
        <v>1656</v>
      </c>
      <c r="V29" s="75">
        <f t="shared" si="5"/>
        <v>69</v>
      </c>
    </row>
    <row r="30" spans="1:54" x14ac:dyDescent="0.25">
      <c r="A30" s="27">
        <f t="shared" si="1"/>
        <v>27</v>
      </c>
      <c r="B30" s="26" t="s">
        <v>15</v>
      </c>
      <c r="C30" s="70">
        <v>40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1008</v>
      </c>
      <c r="V30" s="75">
        <f t="shared" si="5"/>
        <v>42</v>
      </c>
    </row>
    <row r="31" spans="1:54" x14ac:dyDescent="0.25">
      <c r="A31" s="27">
        <f t="shared" si="1"/>
        <v>28</v>
      </c>
      <c r="B31" s="26" t="s">
        <v>12</v>
      </c>
      <c r="C31" s="70">
        <v>1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>
        <v>5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120</v>
      </c>
      <c r="V32" s="75">
        <f t="shared" si="5"/>
        <v>5</v>
      </c>
    </row>
    <row r="33" spans="1:23" x14ac:dyDescent="0.25">
      <c r="A33" s="27">
        <f t="shared" si="1"/>
        <v>30</v>
      </c>
      <c r="B33" s="26" t="s">
        <v>16</v>
      </c>
      <c r="C33" s="70">
        <v>5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72+55</f>
        <v>127</v>
      </c>
      <c r="D34" s="70"/>
      <c r="E34" s="70"/>
      <c r="F34" s="70"/>
      <c r="G34" s="70"/>
      <c r="H34" s="70">
        <v>4</v>
      </c>
      <c r="I34" s="70"/>
      <c r="J34" s="71"/>
      <c r="K34" s="72">
        <v>1</v>
      </c>
      <c r="L34" s="55"/>
      <c r="M34" s="73">
        <v>1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5</v>
      </c>
      <c r="U34" s="75">
        <f t="shared" si="4"/>
        <v>3173</v>
      </c>
      <c r="V34" s="75">
        <f t="shared" si="5"/>
        <v>132.20833333333334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432+46+2592+1512</f>
        <v>4582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20</v>
      </c>
      <c r="N37" s="64"/>
      <c r="O37" s="65">
        <v>24</v>
      </c>
      <c r="P37" s="66"/>
      <c r="Q37" s="66">
        <v>77</v>
      </c>
      <c r="R37" s="67"/>
      <c r="S37" s="62"/>
      <c r="T37" s="77">
        <f t="shared" si="0"/>
        <v>2</v>
      </c>
      <c r="U37" s="77">
        <f>C37*6+M37*6+O37*6+Q37*6+T37</f>
        <v>28220</v>
      </c>
      <c r="V37" s="77">
        <f>U37/6</f>
        <v>4703.333333333333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315+7</f>
        <v>322</v>
      </c>
      <c r="D40" s="59"/>
      <c r="E40" s="59"/>
      <c r="F40" s="59"/>
      <c r="G40" s="59"/>
      <c r="H40" s="59">
        <v>4</v>
      </c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24</v>
      </c>
      <c r="U40" s="77">
        <f>C40*24+M40*24+O40*24+Q40*24+T40</f>
        <v>7776</v>
      </c>
      <c r="V40" s="77">
        <f>U40/24</f>
        <v>324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192+768+94+4</f>
        <v>1058</v>
      </c>
      <c r="D41" s="82"/>
      <c r="E41" s="82"/>
      <c r="F41" s="82"/>
      <c r="G41" s="82"/>
      <c r="H41" s="82">
        <v>9</v>
      </c>
      <c r="I41" s="82"/>
      <c r="J41" s="83"/>
      <c r="K41" s="84"/>
      <c r="L41" s="85"/>
      <c r="M41" s="86">
        <v>7</v>
      </c>
      <c r="N41" s="87"/>
      <c r="O41" s="82">
        <v>5</v>
      </c>
      <c r="P41" s="83"/>
      <c r="Q41" s="83">
        <v>30</v>
      </c>
      <c r="R41" s="84"/>
      <c r="S41" s="85"/>
      <c r="T41" s="88">
        <f t="shared" si="0"/>
        <v>9</v>
      </c>
      <c r="U41" s="88">
        <f>C41*12+M41*12+O41*12+Q41*12+T41</f>
        <v>13209</v>
      </c>
      <c r="V41" s="88">
        <f>U41/12</f>
        <v>1100.75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7776+5940+1080+5616+88+4536+9612</f>
        <v>34648</v>
      </c>
      <c r="D43" s="65"/>
      <c r="E43" s="65"/>
      <c r="F43" s="65"/>
      <c r="G43" s="65"/>
      <c r="H43" s="65">
        <v>1</v>
      </c>
      <c r="I43" s="65">
        <v>7</v>
      </c>
      <c r="J43" s="66">
        <f>19*6+2</f>
        <v>116</v>
      </c>
      <c r="K43" s="67">
        <f>21*6+2</f>
        <v>128</v>
      </c>
      <c r="L43" s="62"/>
      <c r="M43" s="63">
        <v>373</v>
      </c>
      <c r="N43" s="64"/>
      <c r="O43" s="65">
        <v>417</v>
      </c>
      <c r="P43" s="66"/>
      <c r="Q43" s="66">
        <v>656</v>
      </c>
      <c r="R43" s="67"/>
      <c r="S43" s="62"/>
      <c r="T43" s="77">
        <f t="shared" ref="T43" si="6">H43+I43+J43+K43+N43+P43+R43</f>
        <v>252</v>
      </c>
      <c r="U43" s="77">
        <f>C43*6+M43*6+O43*6+Q43*6+T43</f>
        <v>216816</v>
      </c>
      <c r="V43" s="77">
        <f>U43/6</f>
        <v>36136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3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72</v>
      </c>
      <c r="V45" s="75">
        <f>U45/24</f>
        <v>3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432+106+2268+24</f>
        <v>2830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3</v>
      </c>
      <c r="P47" s="66">
        <v>4</v>
      </c>
      <c r="Q47" s="66">
        <v>8</v>
      </c>
      <c r="R47" s="67"/>
      <c r="S47" s="62"/>
      <c r="T47" s="77">
        <f t="shared" si="7"/>
        <v>10</v>
      </c>
      <c r="U47" s="77">
        <f>C47*6+M47*6+O47*6+Q47*6+T47</f>
        <v>17056</v>
      </c>
      <c r="V47" s="77">
        <f>U47/6</f>
        <v>2842.6666666666665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48</v>
      </c>
      <c r="V52" s="75">
        <f t="shared" si="9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336</v>
      </c>
      <c r="V53" s="75">
        <f t="shared" si="9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47946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126</v>
      </c>
      <c r="I58" s="6">
        <f t="shared" si="11"/>
        <v>9</v>
      </c>
      <c r="J58" s="6">
        <f t="shared" si="11"/>
        <v>116</v>
      </c>
      <c r="K58" s="6">
        <f t="shared" si="11"/>
        <v>163</v>
      </c>
      <c r="M58" s="5">
        <f t="shared" ref="M58:R58" si="12">SUM(M7:M57)</f>
        <v>425</v>
      </c>
      <c r="N58" s="5">
        <f t="shared" si="12"/>
        <v>20</v>
      </c>
      <c r="O58" s="5">
        <f t="shared" si="12"/>
        <v>472</v>
      </c>
      <c r="P58" s="5">
        <f t="shared" si="12"/>
        <v>51</v>
      </c>
      <c r="Q58" s="5">
        <f t="shared" si="12"/>
        <v>820</v>
      </c>
      <c r="R58" s="5">
        <f t="shared" si="12"/>
        <v>3</v>
      </c>
      <c r="S58" s="55"/>
      <c r="T58" s="4">
        <f>SUM(T7:T57)</f>
        <v>488</v>
      </c>
      <c r="U58" s="90">
        <f>SUM(U7:U57)</f>
        <v>393104</v>
      </c>
      <c r="V58" s="4">
        <f>SUM(V7:V57)</f>
        <v>49716.708333333328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DB1-C2C1-437F-82FE-1324F6CC2192}">
  <sheetPr>
    <pageSetUpPr fitToPage="1"/>
  </sheetPr>
  <dimension ref="A1:BB81"/>
  <sheetViews>
    <sheetView topLeftCell="A13" zoomScaleNormal="100" zoomScaleSheetLayoutView="115" workbookViewId="0">
      <selection activeCell="T26" sqref="T26:V2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6"/>
      <c r="Q5" s="96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ref="T27" si="6">H27+I27+J27+K27+N27+P27+R27</f>
        <v>0</v>
      </c>
      <c r="U27" s="75">
        <f t="shared" ref="U27" si="7">C27*24+M27*24+O27*24+Q27*24+T27</f>
        <v>0</v>
      </c>
      <c r="V27" s="75">
        <f t="shared" ref="V27" si="8">U27/24</f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ref="T39" si="9">H39+I39+J39+K39+N39+P39+R39</f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10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11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11"/>
        <v>0</v>
      </c>
      <c r="U46" s="75">
        <f t="shared" ref="U46:U50" si="12">C46*24+M46*24+O46*24+Q46*24+T46</f>
        <v>0</v>
      </c>
      <c r="V46" s="75">
        <f t="shared" ref="V46:V54" si="13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11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11"/>
        <v>0</v>
      </c>
      <c r="U48" s="75">
        <f t="shared" si="12"/>
        <v>0</v>
      </c>
      <c r="V48" s="75">
        <f t="shared" si="13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11"/>
        <v>0</v>
      </c>
      <c r="U49" s="75">
        <f t="shared" si="12"/>
        <v>0</v>
      </c>
      <c r="V49" s="75">
        <f t="shared" si="13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11"/>
        <v>0</v>
      </c>
      <c r="U50" s="75">
        <f t="shared" si="12"/>
        <v>0</v>
      </c>
      <c r="V50" s="75">
        <f t="shared" si="13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11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11"/>
        <v>0</v>
      </c>
      <c r="U52" s="75">
        <f t="shared" ref="U52:U54" si="14">C52*24+M52*24+O52*24+Q52*24+T52</f>
        <v>0</v>
      </c>
      <c r="V52" s="75">
        <f t="shared" si="13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11"/>
        <v>0</v>
      </c>
      <c r="U53" s="75">
        <f t="shared" si="14"/>
        <v>0</v>
      </c>
      <c r="V53" s="75">
        <f t="shared" si="13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11"/>
        <v>0</v>
      </c>
      <c r="U54" s="75">
        <f t="shared" si="14"/>
        <v>0</v>
      </c>
      <c r="V54" s="75">
        <f t="shared" si="13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5">SUM(F7:F57)</f>
        <v>0</v>
      </c>
      <c r="G58" s="2">
        <f t="shared" si="15"/>
        <v>0</v>
      </c>
      <c r="H58" s="2">
        <f t="shared" si="15"/>
        <v>0</v>
      </c>
      <c r="I58" s="6">
        <f t="shared" si="15"/>
        <v>0</v>
      </c>
      <c r="J58" s="6">
        <f t="shared" si="15"/>
        <v>0</v>
      </c>
      <c r="K58" s="6">
        <f t="shared" si="15"/>
        <v>0</v>
      </c>
      <c r="M58" s="5">
        <f t="shared" ref="M58:R58" si="16">SUM(M7:M57)</f>
        <v>0</v>
      </c>
      <c r="N58" s="5">
        <f t="shared" si="16"/>
        <v>0</v>
      </c>
      <c r="O58" s="5">
        <f t="shared" si="16"/>
        <v>0</v>
      </c>
      <c r="P58" s="5">
        <f t="shared" si="16"/>
        <v>0</v>
      </c>
      <c r="Q58" s="5">
        <f t="shared" si="16"/>
        <v>0</v>
      </c>
      <c r="R58" s="5">
        <f t="shared" si="16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A05CE-7D22-43DC-A171-02A7DBD1AB5D}">
  <sheetPr>
    <pageSetUpPr fitToPage="1"/>
  </sheetPr>
  <dimension ref="A1:BB81"/>
  <sheetViews>
    <sheetView zoomScaleNormal="100" zoomScaleSheetLayoutView="115" workbookViewId="0">
      <selection activeCell="V6" sqref="V6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7"/>
      <c r="Q5" s="97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ref="T27" si="6">H27+I27+J27+K27+N27+P27+R27</f>
        <v>0</v>
      </c>
      <c r="U27" s="75">
        <f t="shared" ref="U27" si="7">C27*24+M27*24+O27*24+Q27*24+T27</f>
        <v>0</v>
      </c>
      <c r="V27" s="75">
        <f t="shared" ref="V27" si="8">U27/24</f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ref="T39" si="9">H39+I39+J39+K39+N39+P39+R39</f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10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11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11"/>
        <v>0</v>
      </c>
      <c r="U46" s="75">
        <f t="shared" ref="U46:U50" si="12">C46*24+M46*24+O46*24+Q46*24+T46</f>
        <v>0</v>
      </c>
      <c r="V46" s="75">
        <f t="shared" ref="V46:V54" si="13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11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11"/>
        <v>0</v>
      </c>
      <c r="U48" s="75">
        <f t="shared" si="12"/>
        <v>0</v>
      </c>
      <c r="V48" s="75">
        <f t="shared" si="13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11"/>
        <v>0</v>
      </c>
      <c r="U49" s="75">
        <f t="shared" si="12"/>
        <v>0</v>
      </c>
      <c r="V49" s="75">
        <f t="shared" si="13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11"/>
        <v>0</v>
      </c>
      <c r="U50" s="75">
        <f t="shared" si="12"/>
        <v>0</v>
      </c>
      <c r="V50" s="75">
        <f t="shared" si="13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11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11"/>
        <v>0</v>
      </c>
      <c r="U52" s="75">
        <f t="shared" ref="U52:U54" si="14">C52*24+M52*24+O52*24+Q52*24+T52</f>
        <v>0</v>
      </c>
      <c r="V52" s="75">
        <f t="shared" si="13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11"/>
        <v>0</v>
      </c>
      <c r="U53" s="75">
        <f t="shared" si="14"/>
        <v>0</v>
      </c>
      <c r="V53" s="75">
        <f t="shared" si="13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11"/>
        <v>0</v>
      </c>
      <c r="U54" s="75">
        <f t="shared" si="14"/>
        <v>0</v>
      </c>
      <c r="V54" s="75">
        <f t="shared" si="13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5">SUM(F7:F57)</f>
        <v>0</v>
      </c>
      <c r="G58" s="2">
        <f t="shared" si="15"/>
        <v>0</v>
      </c>
      <c r="H58" s="2">
        <f t="shared" si="15"/>
        <v>0</v>
      </c>
      <c r="I58" s="6">
        <f t="shared" si="15"/>
        <v>0</v>
      </c>
      <c r="J58" s="6">
        <f t="shared" si="15"/>
        <v>0</v>
      </c>
      <c r="K58" s="6">
        <f t="shared" si="15"/>
        <v>0</v>
      </c>
      <c r="M58" s="5">
        <f t="shared" ref="M58:R58" si="16">SUM(M7:M57)</f>
        <v>0</v>
      </c>
      <c r="N58" s="5">
        <f t="shared" si="16"/>
        <v>0</v>
      </c>
      <c r="O58" s="5">
        <f t="shared" si="16"/>
        <v>0</v>
      </c>
      <c r="P58" s="5">
        <f t="shared" si="16"/>
        <v>0</v>
      </c>
      <c r="Q58" s="5">
        <f t="shared" si="16"/>
        <v>0</v>
      </c>
      <c r="R58" s="5">
        <f t="shared" si="16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D993-F3E9-4FE3-983E-F3145948B2B7}">
  <sheetPr>
    <pageSetUpPr fitToPage="1"/>
  </sheetPr>
  <dimension ref="A1:BB81"/>
  <sheetViews>
    <sheetView topLeftCell="A40" zoomScaleNormal="100" zoomScaleSheetLayoutView="115" workbookViewId="0">
      <selection activeCell="U55" sqref="U5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7"/>
      <c r="Q5" s="97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ref="T27" si="6">H27+I27+J27+K27+N27+P27+R27</f>
        <v>0</v>
      </c>
      <c r="U27" s="75">
        <f t="shared" ref="U27" si="7">C27*24+M27*24+O27*24+Q27*24+T27</f>
        <v>0</v>
      </c>
      <c r="V27" s="75">
        <f t="shared" ref="V27" si="8">U27/24</f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ref="T39" si="9">H39+I39+J39+K39+N39+P39+R39</f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10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11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11"/>
        <v>0</v>
      </c>
      <c r="U46" s="75">
        <f t="shared" ref="U46:U50" si="12">C46*24+M46*24+O46*24+Q46*24+T46</f>
        <v>0</v>
      </c>
      <c r="V46" s="75">
        <f t="shared" ref="V46:V54" si="13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11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11"/>
        <v>0</v>
      </c>
      <c r="U48" s="75">
        <f t="shared" si="12"/>
        <v>0</v>
      </c>
      <c r="V48" s="75">
        <f t="shared" si="13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11"/>
        <v>0</v>
      </c>
      <c r="U49" s="75">
        <f t="shared" si="12"/>
        <v>0</v>
      </c>
      <c r="V49" s="75">
        <f t="shared" si="13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11"/>
        <v>0</v>
      </c>
      <c r="U50" s="75">
        <f t="shared" si="12"/>
        <v>0</v>
      </c>
      <c r="V50" s="75">
        <f t="shared" si="13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11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11"/>
        <v>0</v>
      </c>
      <c r="U52" s="75">
        <f t="shared" ref="U52:U54" si="14">C52*24+M52*24+O52*24+Q52*24+T52</f>
        <v>0</v>
      </c>
      <c r="V52" s="75">
        <f t="shared" si="13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11"/>
        <v>0</v>
      </c>
      <c r="U53" s="75">
        <f t="shared" si="14"/>
        <v>0</v>
      </c>
      <c r="V53" s="75">
        <f t="shared" si="13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11"/>
        <v>0</v>
      </c>
      <c r="U54" s="75">
        <f t="shared" si="14"/>
        <v>0</v>
      </c>
      <c r="V54" s="75">
        <f t="shared" si="13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5">SUM(F7:F57)</f>
        <v>0</v>
      </c>
      <c r="G58" s="2">
        <f t="shared" si="15"/>
        <v>0</v>
      </c>
      <c r="H58" s="2">
        <f t="shared" si="15"/>
        <v>0</v>
      </c>
      <c r="I58" s="6">
        <f t="shared" si="15"/>
        <v>0</v>
      </c>
      <c r="J58" s="6">
        <f t="shared" si="15"/>
        <v>0</v>
      </c>
      <c r="K58" s="6">
        <f t="shared" si="15"/>
        <v>0</v>
      </c>
      <c r="M58" s="5">
        <f t="shared" ref="M58:R58" si="16">SUM(M7:M57)</f>
        <v>0</v>
      </c>
      <c r="N58" s="5">
        <f t="shared" si="16"/>
        <v>0</v>
      </c>
      <c r="O58" s="5">
        <f t="shared" si="16"/>
        <v>0</v>
      </c>
      <c r="P58" s="5">
        <f t="shared" si="16"/>
        <v>0</v>
      </c>
      <c r="Q58" s="5">
        <f t="shared" si="16"/>
        <v>0</v>
      </c>
      <c r="R58" s="5">
        <f t="shared" si="16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74D12-0076-42A5-9528-69B257B3A780}">
  <sheetPr>
    <pageSetUpPr fitToPage="1"/>
  </sheetPr>
  <dimension ref="A1:BB81"/>
  <sheetViews>
    <sheetView zoomScaleNormal="100" zoomScaleSheetLayoutView="115" workbookViewId="0">
      <selection activeCell="V38" sqref="T38:V39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7"/>
      <c r="Q5" s="97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ref="T27" si="6">H27+I27+J27+K27+N27+P27+R27</f>
        <v>0</v>
      </c>
      <c r="U27" s="75">
        <f t="shared" ref="U27" si="7">C27*24+M27*24+O27*24+Q27*24+T27</f>
        <v>0</v>
      </c>
      <c r="V27" s="75">
        <f t="shared" ref="V27" si="8">U27/24</f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ref="T39" si="9">H39+I39+J39+K39+N39+P39+R39</f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10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11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11"/>
        <v>0</v>
      </c>
      <c r="U46" s="75">
        <f t="shared" ref="U46:U50" si="12">C46*24+M46*24+O46*24+Q46*24+T46</f>
        <v>0</v>
      </c>
      <c r="V46" s="75">
        <f t="shared" ref="V46:V54" si="13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11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11"/>
        <v>0</v>
      </c>
      <c r="U48" s="75">
        <f t="shared" si="12"/>
        <v>0</v>
      </c>
      <c r="V48" s="75">
        <f t="shared" si="13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11"/>
        <v>0</v>
      </c>
      <c r="U49" s="75">
        <f t="shared" si="12"/>
        <v>0</v>
      </c>
      <c r="V49" s="75">
        <f t="shared" si="13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11"/>
        <v>0</v>
      </c>
      <c r="U50" s="75">
        <f t="shared" si="12"/>
        <v>0</v>
      </c>
      <c r="V50" s="75">
        <f t="shared" si="13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11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11"/>
        <v>0</v>
      </c>
      <c r="U52" s="75">
        <f t="shared" ref="U52:U54" si="14">C52*24+M52*24+O52*24+Q52*24+T52</f>
        <v>0</v>
      </c>
      <c r="V52" s="75">
        <f t="shared" si="13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11"/>
        <v>0</v>
      </c>
      <c r="U53" s="75">
        <f t="shared" si="14"/>
        <v>0</v>
      </c>
      <c r="V53" s="75">
        <f t="shared" si="13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11"/>
        <v>0</v>
      </c>
      <c r="U54" s="75">
        <f t="shared" si="14"/>
        <v>0</v>
      </c>
      <c r="V54" s="75">
        <f t="shared" si="13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5">SUM(F7:F57)</f>
        <v>0</v>
      </c>
      <c r="G58" s="2">
        <f t="shared" si="15"/>
        <v>0</v>
      </c>
      <c r="H58" s="2">
        <f t="shared" si="15"/>
        <v>0</v>
      </c>
      <c r="I58" s="6">
        <f t="shared" si="15"/>
        <v>0</v>
      </c>
      <c r="J58" s="6">
        <f t="shared" si="15"/>
        <v>0</v>
      </c>
      <c r="K58" s="6">
        <f t="shared" si="15"/>
        <v>0</v>
      </c>
      <c r="M58" s="5">
        <f t="shared" ref="M58:R58" si="16">SUM(M7:M57)</f>
        <v>0</v>
      </c>
      <c r="N58" s="5">
        <f t="shared" si="16"/>
        <v>0</v>
      </c>
      <c r="O58" s="5">
        <f t="shared" si="16"/>
        <v>0</v>
      </c>
      <c r="P58" s="5">
        <f t="shared" si="16"/>
        <v>0</v>
      </c>
      <c r="Q58" s="5">
        <f t="shared" si="16"/>
        <v>0</v>
      </c>
      <c r="R58" s="5">
        <f t="shared" si="16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SAMPLE</vt:lpstr>
      <vt:lpstr>04-02-2026</vt:lpstr>
      <vt:lpstr>04-03-2026</vt:lpstr>
      <vt:lpstr>04-04-2026</vt:lpstr>
      <vt:lpstr>04-05-2026</vt:lpstr>
      <vt:lpstr>04-06-2026</vt:lpstr>
      <vt:lpstr>'04-02-2026'!Print_Area</vt:lpstr>
      <vt:lpstr>'04-03-2026'!Print_Area</vt:lpstr>
      <vt:lpstr>'04-04-2026'!Print_Area</vt:lpstr>
      <vt:lpstr>'04-05-2026'!Print_Area</vt:lpstr>
      <vt:lpstr>'04-06-2026'!Print_Area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2026-04-02T08:02:08Z</dcterms:modified>
</cp:coreProperties>
</file>