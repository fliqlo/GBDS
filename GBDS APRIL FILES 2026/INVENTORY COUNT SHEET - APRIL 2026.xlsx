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4CB6021D-884C-4864-8204-B92AF4A22FDC}" xr6:coauthVersionLast="45" xr6:coauthVersionMax="45" xr10:uidLastSave="{00000000-0000-0000-0000-000000000000}"/>
  <bookViews>
    <workbookView xWindow="-120" yWindow="-120" windowWidth="29040" windowHeight="15840" activeTab="2" xr2:uid="{D34C963E-9680-4B45-A4EE-B681FF0CEC08}"/>
  </bookViews>
  <sheets>
    <sheet name="SAMPLE" sheetId="32" r:id="rId1"/>
    <sheet name="04-02-2026" sheetId="43" r:id="rId2"/>
    <sheet name="04-06-2026" sheetId="47" r:id="rId3"/>
    <sheet name="04-07-2026" sheetId="44" r:id="rId4"/>
    <sheet name="04-08-2026" sheetId="45" r:id="rId5"/>
    <sheet name="04-09-2026" sheetId="46" r:id="rId6"/>
  </sheets>
  <definedNames>
    <definedName name="_xlnm.Print_Area" localSheetId="1">'04-02-2026'!$A$1:$W$59</definedName>
    <definedName name="_xlnm.Print_Area" localSheetId="2">'04-06-2026'!$A$1:$W$59</definedName>
    <definedName name="_xlnm.Print_Area" localSheetId="3">'04-07-2026'!$A$1:$W$59</definedName>
    <definedName name="_xlnm.Print_Area" localSheetId="4">'04-08-2026'!$A$1:$W$59</definedName>
    <definedName name="_xlnm.Print_Area" localSheetId="5">'04-09-2026'!$A$1:$W$59</definedName>
    <definedName name="_xlnm.Print_Area" localSheetId="0">SAMPLE!$A$1:$W$61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41" i="47" l="1"/>
  <c r="F41" i="47"/>
  <c r="C40" i="47"/>
  <c r="G23" i="47"/>
  <c r="G43" i="47"/>
  <c r="G37" i="47"/>
  <c r="F43" i="47"/>
  <c r="T43" i="47" s="1"/>
  <c r="G28" i="47"/>
  <c r="F28" i="47"/>
  <c r="F12" i="47"/>
  <c r="T12" i="47" s="1"/>
  <c r="T35" i="47"/>
  <c r="T36" i="47"/>
  <c r="T37" i="47"/>
  <c r="T38" i="47"/>
  <c r="T39" i="47"/>
  <c r="T40" i="47"/>
  <c r="T42" i="47"/>
  <c r="T44" i="47"/>
  <c r="T45" i="47"/>
  <c r="T46" i="47"/>
  <c r="T47" i="47"/>
  <c r="T48" i="47"/>
  <c r="T49" i="47"/>
  <c r="T50" i="47"/>
  <c r="T51" i="47"/>
  <c r="T52" i="47"/>
  <c r="T53" i="47"/>
  <c r="T54" i="47"/>
  <c r="C53" i="47"/>
  <c r="G47" i="47"/>
  <c r="C47" i="47"/>
  <c r="K43" i="47"/>
  <c r="J43" i="47"/>
  <c r="C43" i="47"/>
  <c r="C41" i="47"/>
  <c r="C37" i="47"/>
  <c r="G34" i="47"/>
  <c r="T29" i="47"/>
  <c r="T30" i="47"/>
  <c r="T31" i="47"/>
  <c r="T32" i="47"/>
  <c r="T33" i="47"/>
  <c r="T34" i="47"/>
  <c r="C34" i="47"/>
  <c r="C29" i="47"/>
  <c r="T26" i="47"/>
  <c r="T27" i="47"/>
  <c r="C28" i="47"/>
  <c r="T25" i="47"/>
  <c r="C24" i="47"/>
  <c r="T23" i="47"/>
  <c r="C21" i="47"/>
  <c r="C19" i="47"/>
  <c r="C13" i="47"/>
  <c r="C12" i="47"/>
  <c r="C8" i="47"/>
  <c r="T7" i="47"/>
  <c r="G7" i="47"/>
  <c r="C7" i="47"/>
  <c r="T41" i="47" l="1"/>
  <c r="T28" i="47"/>
  <c r="U39" i="47"/>
  <c r="V39" i="47" s="1"/>
  <c r="U27" i="47"/>
  <c r="V27" i="47" s="1"/>
  <c r="T39" i="46"/>
  <c r="U39" i="46" s="1"/>
  <c r="V39" i="46" s="1"/>
  <c r="T27" i="46"/>
  <c r="U27" i="46" s="1"/>
  <c r="V27" i="46" s="1"/>
  <c r="T39" i="45"/>
  <c r="U39" i="45" s="1"/>
  <c r="V39" i="45" s="1"/>
  <c r="T27" i="45"/>
  <c r="U27" i="45"/>
  <c r="V27" i="45" s="1"/>
  <c r="T27" i="44"/>
  <c r="U27" i="44"/>
  <c r="V27" i="44" s="1"/>
  <c r="T39" i="44"/>
  <c r="U39" i="44" s="1"/>
  <c r="V39" i="44" s="1"/>
  <c r="V39" i="43"/>
  <c r="U39" i="43"/>
  <c r="T39" i="43"/>
  <c r="C43" i="43"/>
  <c r="V27" i="43"/>
  <c r="U27" i="43"/>
  <c r="T27" i="43"/>
  <c r="C53" i="43"/>
  <c r="C47" i="43"/>
  <c r="K43" i="43"/>
  <c r="J43" i="43"/>
  <c r="C41" i="43"/>
  <c r="C40" i="43"/>
  <c r="C37" i="43"/>
  <c r="C34" i="43"/>
  <c r="C29" i="43"/>
  <c r="C28" i="43"/>
  <c r="C24" i="43"/>
  <c r="C21" i="43"/>
  <c r="C19" i="43"/>
  <c r="C13" i="43"/>
  <c r="C12" i="43"/>
  <c r="C8" i="43"/>
  <c r="C7" i="43"/>
  <c r="R58" i="47" l="1"/>
  <c r="Q58" i="47"/>
  <c r="P58" i="47"/>
  <c r="O58" i="47"/>
  <c r="N58" i="47"/>
  <c r="M58" i="47"/>
  <c r="K58" i="47"/>
  <c r="J58" i="47"/>
  <c r="I58" i="47"/>
  <c r="H58" i="47"/>
  <c r="G58" i="47"/>
  <c r="F58" i="47"/>
  <c r="C58" i="47"/>
  <c r="U54" i="47"/>
  <c r="V54" i="47" s="1"/>
  <c r="U53" i="47"/>
  <c r="V53" i="47" s="1"/>
  <c r="U52" i="47"/>
  <c r="V52" i="47" s="1"/>
  <c r="U51" i="47"/>
  <c r="V51" i="47" s="1"/>
  <c r="U50" i="47"/>
  <c r="V50" i="47" s="1"/>
  <c r="U49" i="47"/>
  <c r="V49" i="47" s="1"/>
  <c r="U48" i="47"/>
  <c r="V48" i="47" s="1"/>
  <c r="U47" i="47"/>
  <c r="V47" i="47" s="1"/>
  <c r="U46" i="47"/>
  <c r="V46" i="47" s="1"/>
  <c r="U45" i="47"/>
  <c r="V45" i="47" s="1"/>
  <c r="U43" i="47"/>
  <c r="V43" i="47" s="1"/>
  <c r="U41" i="47"/>
  <c r="V41" i="47" s="1"/>
  <c r="U40" i="47"/>
  <c r="V40" i="47" s="1"/>
  <c r="U38" i="47"/>
  <c r="V38" i="47" s="1"/>
  <c r="U37" i="47"/>
  <c r="V37" i="47" s="1"/>
  <c r="U36" i="47"/>
  <c r="V36" i="47" s="1"/>
  <c r="U35" i="47"/>
  <c r="V35" i="47" s="1"/>
  <c r="U34" i="47"/>
  <c r="V34" i="47" s="1"/>
  <c r="U33" i="47"/>
  <c r="V33" i="47" s="1"/>
  <c r="U32" i="47"/>
  <c r="V32" i="47" s="1"/>
  <c r="U31" i="47"/>
  <c r="V31" i="47" s="1"/>
  <c r="U30" i="47"/>
  <c r="V30" i="47" s="1"/>
  <c r="U29" i="47"/>
  <c r="V29" i="47" s="1"/>
  <c r="U28" i="47"/>
  <c r="V28" i="47" s="1"/>
  <c r="U26" i="47"/>
  <c r="V26" i="47" s="1"/>
  <c r="AY25" i="47"/>
  <c r="U25" i="47"/>
  <c r="V25" i="47" s="1"/>
  <c r="U24" i="47"/>
  <c r="V24" i="47" s="1"/>
  <c r="T24" i="47"/>
  <c r="U23" i="47"/>
  <c r="V23" i="47" s="1"/>
  <c r="T22" i="47"/>
  <c r="U22" i="47" s="1"/>
  <c r="V22" i="47" s="1"/>
  <c r="U21" i="47"/>
  <c r="V21" i="47" s="1"/>
  <c r="T21" i="47"/>
  <c r="A21" i="47"/>
  <c r="A22" i="47" s="1"/>
  <c r="A23" i="47" s="1"/>
  <c r="A24" i="47" s="1"/>
  <c r="A25" i="47" s="1"/>
  <c r="A26" i="47" s="1"/>
  <c r="A27" i="47" s="1"/>
  <c r="A28" i="47" s="1"/>
  <c r="A29" i="47" s="1"/>
  <c r="A30" i="47" s="1"/>
  <c r="A31" i="47" s="1"/>
  <c r="A32" i="47" s="1"/>
  <c r="A33" i="47" s="1"/>
  <c r="A34" i="47" s="1"/>
  <c r="A35" i="47" s="1"/>
  <c r="A36" i="47" s="1"/>
  <c r="A37" i="47" s="1"/>
  <c r="A38" i="47" s="1"/>
  <c r="A39" i="47" s="1"/>
  <c r="A40" i="47" s="1"/>
  <c r="A41" i="47" s="1"/>
  <c r="A42" i="47" s="1"/>
  <c r="A43" i="47" s="1"/>
  <c r="A44" i="47" s="1"/>
  <c r="A45" i="47" s="1"/>
  <c r="A46" i="47" s="1"/>
  <c r="A47" i="47" s="1"/>
  <c r="A48" i="47" s="1"/>
  <c r="A49" i="47" s="1"/>
  <c r="A50" i="47" s="1"/>
  <c r="A51" i="47" s="1"/>
  <c r="A52" i="47" s="1"/>
  <c r="A53" i="47" s="1"/>
  <c r="A54" i="47" s="1"/>
  <c r="A55" i="47" s="1"/>
  <c r="A56" i="47" s="1"/>
  <c r="A57" i="47" s="1"/>
  <c r="T20" i="47"/>
  <c r="U20" i="47" s="1"/>
  <c r="V20" i="47" s="1"/>
  <c r="A20" i="47"/>
  <c r="T19" i="47"/>
  <c r="U19" i="47" s="1"/>
  <c r="V19" i="47" s="1"/>
  <c r="T18" i="47"/>
  <c r="U18" i="47" s="1"/>
  <c r="V18" i="47" s="1"/>
  <c r="T17" i="47"/>
  <c r="U17" i="47" s="1"/>
  <c r="V17" i="47" s="1"/>
  <c r="T16" i="47"/>
  <c r="U16" i="47" s="1"/>
  <c r="V16" i="47" s="1"/>
  <c r="T15" i="47"/>
  <c r="U15" i="47" s="1"/>
  <c r="V15" i="47" s="1"/>
  <c r="T14" i="47"/>
  <c r="U14" i="47" s="1"/>
  <c r="V14" i="47" s="1"/>
  <c r="A14" i="47"/>
  <c r="A15" i="47" s="1"/>
  <c r="A16" i="47" s="1"/>
  <c r="A17" i="47" s="1"/>
  <c r="A18" i="47" s="1"/>
  <c r="T13" i="47"/>
  <c r="U13" i="47" s="1"/>
  <c r="V13" i="47" s="1"/>
  <c r="U12" i="47"/>
  <c r="V12" i="47" s="1"/>
  <c r="T11" i="47"/>
  <c r="U11" i="47" s="1"/>
  <c r="V11" i="47" s="1"/>
  <c r="U10" i="47"/>
  <c r="V10" i="47" s="1"/>
  <c r="T10" i="47"/>
  <c r="T9" i="47"/>
  <c r="U9" i="47" s="1"/>
  <c r="V9" i="47" s="1"/>
  <c r="T8" i="47"/>
  <c r="U8" i="47" s="1"/>
  <c r="V8" i="47" s="1"/>
  <c r="A8" i="47"/>
  <c r="A9" i="47" s="1"/>
  <c r="A10" i="47" s="1"/>
  <c r="A11" i="47" s="1"/>
  <c r="R58" i="46"/>
  <c r="Q58" i="46"/>
  <c r="P58" i="46"/>
  <c r="O58" i="46"/>
  <c r="N58" i="46"/>
  <c r="M58" i="46"/>
  <c r="K58" i="46"/>
  <c r="J58" i="46"/>
  <c r="I58" i="46"/>
  <c r="H58" i="46"/>
  <c r="G58" i="46"/>
  <c r="F58" i="46"/>
  <c r="C58" i="46"/>
  <c r="T54" i="46"/>
  <c r="U54" i="46" s="1"/>
  <c r="V54" i="46" s="1"/>
  <c r="T53" i="46"/>
  <c r="U53" i="46" s="1"/>
  <c r="V53" i="46" s="1"/>
  <c r="T52" i="46"/>
  <c r="U52" i="46" s="1"/>
  <c r="V52" i="46" s="1"/>
  <c r="T51" i="46"/>
  <c r="U51" i="46" s="1"/>
  <c r="V51" i="46" s="1"/>
  <c r="U50" i="46"/>
  <c r="V50" i="46" s="1"/>
  <c r="T50" i="46"/>
  <c r="T49" i="46"/>
  <c r="U49" i="46" s="1"/>
  <c r="V49" i="46" s="1"/>
  <c r="T48" i="46"/>
  <c r="U48" i="46" s="1"/>
  <c r="V48" i="46" s="1"/>
  <c r="T47" i="46"/>
  <c r="U47" i="46" s="1"/>
  <c r="V47" i="46" s="1"/>
  <c r="T46" i="46"/>
  <c r="U46" i="46" s="1"/>
  <c r="V46" i="46" s="1"/>
  <c r="T45" i="46"/>
  <c r="U45" i="46" s="1"/>
  <c r="V45" i="46" s="1"/>
  <c r="T43" i="46"/>
  <c r="U43" i="46" s="1"/>
  <c r="V43" i="46" s="1"/>
  <c r="T41" i="46"/>
  <c r="U41" i="46" s="1"/>
  <c r="V41" i="46" s="1"/>
  <c r="T40" i="46"/>
  <c r="U40" i="46" s="1"/>
  <c r="V40" i="46" s="1"/>
  <c r="T38" i="46"/>
  <c r="U38" i="46" s="1"/>
  <c r="V38" i="46" s="1"/>
  <c r="T37" i="46"/>
  <c r="U37" i="46" s="1"/>
  <c r="V37" i="46" s="1"/>
  <c r="T36" i="46"/>
  <c r="U36" i="46" s="1"/>
  <c r="V36" i="46" s="1"/>
  <c r="U35" i="46"/>
  <c r="V35" i="46" s="1"/>
  <c r="T35" i="46"/>
  <c r="T34" i="46"/>
  <c r="U34" i="46" s="1"/>
  <c r="V34" i="46" s="1"/>
  <c r="T33" i="46"/>
  <c r="U33" i="46" s="1"/>
  <c r="V33" i="46" s="1"/>
  <c r="T32" i="46"/>
  <c r="U32" i="46" s="1"/>
  <c r="V32" i="46" s="1"/>
  <c r="T31" i="46"/>
  <c r="U31" i="46" s="1"/>
  <c r="V31" i="46" s="1"/>
  <c r="T30" i="46"/>
  <c r="U30" i="46" s="1"/>
  <c r="V30" i="46" s="1"/>
  <c r="U29" i="46"/>
  <c r="V29" i="46" s="1"/>
  <c r="T29" i="46"/>
  <c r="T28" i="46"/>
  <c r="U28" i="46" s="1"/>
  <c r="V28" i="46" s="1"/>
  <c r="T26" i="46"/>
  <c r="U26" i="46" s="1"/>
  <c r="V26" i="46" s="1"/>
  <c r="AY25" i="46"/>
  <c r="T25" i="46"/>
  <c r="U25" i="46" s="1"/>
  <c r="V25" i="46" s="1"/>
  <c r="T24" i="46"/>
  <c r="U24" i="46" s="1"/>
  <c r="V24" i="46" s="1"/>
  <c r="T23" i="46"/>
  <c r="U23" i="46" s="1"/>
  <c r="V23" i="46" s="1"/>
  <c r="T22" i="46"/>
  <c r="U22" i="46" s="1"/>
  <c r="V22" i="46" s="1"/>
  <c r="T21" i="46"/>
  <c r="U21" i="46" s="1"/>
  <c r="V21" i="46" s="1"/>
  <c r="A21" i="46"/>
  <c r="A22" i="46" s="1"/>
  <c r="A23" i="46" s="1"/>
  <c r="A24" i="46" s="1"/>
  <c r="A25" i="46" s="1"/>
  <c r="A26" i="46" s="1"/>
  <c r="A27" i="46" s="1"/>
  <c r="A28" i="46" s="1"/>
  <c r="A29" i="46" s="1"/>
  <c r="A30" i="46" s="1"/>
  <c r="A31" i="46" s="1"/>
  <c r="A32" i="46" s="1"/>
  <c r="A33" i="46" s="1"/>
  <c r="A34" i="46" s="1"/>
  <c r="A35" i="46" s="1"/>
  <c r="A36" i="46" s="1"/>
  <c r="A37" i="46" s="1"/>
  <c r="A38" i="46" s="1"/>
  <c r="A39" i="46" s="1"/>
  <c r="A40" i="46" s="1"/>
  <c r="A41" i="46" s="1"/>
  <c r="A42" i="46" s="1"/>
  <c r="A43" i="46" s="1"/>
  <c r="A44" i="46" s="1"/>
  <c r="A45" i="46" s="1"/>
  <c r="A46" i="46" s="1"/>
  <c r="A47" i="46" s="1"/>
  <c r="A48" i="46" s="1"/>
  <c r="A49" i="46" s="1"/>
  <c r="A50" i="46" s="1"/>
  <c r="A51" i="46" s="1"/>
  <c r="A52" i="46" s="1"/>
  <c r="A53" i="46" s="1"/>
  <c r="A54" i="46" s="1"/>
  <c r="A55" i="46" s="1"/>
  <c r="A56" i="46" s="1"/>
  <c r="A57" i="46" s="1"/>
  <c r="T20" i="46"/>
  <c r="U20" i="46" s="1"/>
  <c r="V20" i="46" s="1"/>
  <c r="A20" i="46"/>
  <c r="T19" i="46"/>
  <c r="U19" i="46" s="1"/>
  <c r="V19" i="46" s="1"/>
  <c r="T18" i="46"/>
  <c r="U18" i="46" s="1"/>
  <c r="V18" i="46" s="1"/>
  <c r="U17" i="46"/>
  <c r="V17" i="46" s="1"/>
  <c r="T17" i="46"/>
  <c r="T16" i="46"/>
  <c r="U16" i="46" s="1"/>
  <c r="V16" i="46" s="1"/>
  <c r="U15" i="46"/>
  <c r="V15" i="46" s="1"/>
  <c r="T15" i="46"/>
  <c r="T14" i="46"/>
  <c r="U14" i="46" s="1"/>
  <c r="V14" i="46" s="1"/>
  <c r="A14" i="46"/>
  <c r="A15" i="46" s="1"/>
  <c r="A16" i="46" s="1"/>
  <c r="A17" i="46" s="1"/>
  <c r="A18" i="46" s="1"/>
  <c r="T13" i="46"/>
  <c r="U13" i="46" s="1"/>
  <c r="V13" i="46" s="1"/>
  <c r="T12" i="46"/>
  <c r="U12" i="46" s="1"/>
  <c r="V12" i="46" s="1"/>
  <c r="T11" i="46"/>
  <c r="U11" i="46" s="1"/>
  <c r="V11" i="46" s="1"/>
  <c r="T10" i="46"/>
  <c r="U10" i="46" s="1"/>
  <c r="V10" i="46" s="1"/>
  <c r="T9" i="46"/>
  <c r="U9" i="46" s="1"/>
  <c r="V9" i="46" s="1"/>
  <c r="A9" i="46"/>
  <c r="A10" i="46" s="1"/>
  <c r="A11" i="46" s="1"/>
  <c r="T8" i="46"/>
  <c r="U8" i="46" s="1"/>
  <c r="V8" i="46" s="1"/>
  <c r="A8" i="46"/>
  <c r="T7" i="46"/>
  <c r="R58" i="45"/>
  <c r="Q58" i="45"/>
  <c r="P58" i="45"/>
  <c r="O58" i="45"/>
  <c r="N58" i="45"/>
  <c r="M58" i="45"/>
  <c r="K58" i="45"/>
  <c r="J58" i="45"/>
  <c r="I58" i="45"/>
  <c r="H58" i="45"/>
  <c r="G58" i="45"/>
  <c r="F58" i="45"/>
  <c r="T54" i="45"/>
  <c r="U54" i="45" s="1"/>
  <c r="V54" i="45" s="1"/>
  <c r="T53" i="45"/>
  <c r="U53" i="45" s="1"/>
  <c r="V53" i="45" s="1"/>
  <c r="T52" i="45"/>
  <c r="U52" i="45" s="1"/>
  <c r="V52" i="45" s="1"/>
  <c r="T51" i="45"/>
  <c r="U51" i="45" s="1"/>
  <c r="V51" i="45" s="1"/>
  <c r="T50" i="45"/>
  <c r="U50" i="45" s="1"/>
  <c r="V50" i="45" s="1"/>
  <c r="T49" i="45"/>
  <c r="U49" i="45" s="1"/>
  <c r="V49" i="45" s="1"/>
  <c r="U48" i="45"/>
  <c r="V48" i="45" s="1"/>
  <c r="T48" i="45"/>
  <c r="T47" i="45"/>
  <c r="U47" i="45" s="1"/>
  <c r="V47" i="45" s="1"/>
  <c r="T46" i="45"/>
  <c r="U46" i="45" s="1"/>
  <c r="V46" i="45" s="1"/>
  <c r="T45" i="45"/>
  <c r="U45" i="45" s="1"/>
  <c r="V45" i="45" s="1"/>
  <c r="T43" i="45"/>
  <c r="U43" i="45" s="1"/>
  <c r="V43" i="45" s="1"/>
  <c r="T41" i="45"/>
  <c r="U41" i="45" s="1"/>
  <c r="V41" i="45" s="1"/>
  <c r="T40" i="45"/>
  <c r="U40" i="45" s="1"/>
  <c r="V40" i="45" s="1"/>
  <c r="U38" i="45"/>
  <c r="V38" i="45" s="1"/>
  <c r="T38" i="45"/>
  <c r="T37" i="45"/>
  <c r="U37" i="45" s="1"/>
  <c r="V37" i="45" s="1"/>
  <c r="T36" i="45"/>
  <c r="U36" i="45" s="1"/>
  <c r="V36" i="45" s="1"/>
  <c r="T35" i="45"/>
  <c r="U35" i="45" s="1"/>
  <c r="V35" i="45" s="1"/>
  <c r="T34" i="45"/>
  <c r="U34" i="45" s="1"/>
  <c r="V34" i="45" s="1"/>
  <c r="T33" i="45"/>
  <c r="U33" i="45" s="1"/>
  <c r="V33" i="45" s="1"/>
  <c r="T32" i="45"/>
  <c r="U32" i="45" s="1"/>
  <c r="V32" i="45" s="1"/>
  <c r="T31" i="45"/>
  <c r="U31" i="45" s="1"/>
  <c r="V31" i="45" s="1"/>
  <c r="T30" i="45"/>
  <c r="U30" i="45" s="1"/>
  <c r="V30" i="45" s="1"/>
  <c r="T29" i="45"/>
  <c r="U29" i="45" s="1"/>
  <c r="V29" i="45" s="1"/>
  <c r="T28" i="45"/>
  <c r="U28" i="45" s="1"/>
  <c r="V28" i="45" s="1"/>
  <c r="T26" i="45"/>
  <c r="U26" i="45" s="1"/>
  <c r="V26" i="45" s="1"/>
  <c r="AY25" i="45"/>
  <c r="T25" i="45"/>
  <c r="U25" i="45" s="1"/>
  <c r="V25" i="45" s="1"/>
  <c r="T24" i="45"/>
  <c r="U24" i="45" s="1"/>
  <c r="V24" i="45" s="1"/>
  <c r="T23" i="45"/>
  <c r="U23" i="45" s="1"/>
  <c r="V23" i="45" s="1"/>
  <c r="T22" i="45"/>
  <c r="U22" i="45" s="1"/>
  <c r="V22" i="45" s="1"/>
  <c r="T21" i="45"/>
  <c r="U21" i="45" s="1"/>
  <c r="V21" i="45" s="1"/>
  <c r="A21" i="45"/>
  <c r="A22" i="45" s="1"/>
  <c r="A23" i="45" s="1"/>
  <c r="A24" i="45" s="1"/>
  <c r="A25" i="45" s="1"/>
  <c r="A26" i="45" s="1"/>
  <c r="A27" i="45" s="1"/>
  <c r="A28" i="45" s="1"/>
  <c r="A29" i="45" s="1"/>
  <c r="A30" i="45" s="1"/>
  <c r="A31" i="45" s="1"/>
  <c r="A32" i="45" s="1"/>
  <c r="A33" i="45" s="1"/>
  <c r="A34" i="45" s="1"/>
  <c r="A35" i="45" s="1"/>
  <c r="A36" i="45" s="1"/>
  <c r="A37" i="45" s="1"/>
  <c r="A38" i="45" s="1"/>
  <c r="A39" i="45" s="1"/>
  <c r="A40" i="45" s="1"/>
  <c r="A41" i="45" s="1"/>
  <c r="A42" i="45" s="1"/>
  <c r="A43" i="45" s="1"/>
  <c r="A44" i="45" s="1"/>
  <c r="A45" i="45" s="1"/>
  <c r="A46" i="45" s="1"/>
  <c r="A47" i="45" s="1"/>
  <c r="A48" i="45" s="1"/>
  <c r="A49" i="45" s="1"/>
  <c r="A50" i="45" s="1"/>
  <c r="A51" i="45" s="1"/>
  <c r="A52" i="45" s="1"/>
  <c r="A53" i="45" s="1"/>
  <c r="A54" i="45" s="1"/>
  <c r="A55" i="45" s="1"/>
  <c r="A56" i="45" s="1"/>
  <c r="A57" i="45" s="1"/>
  <c r="T20" i="45"/>
  <c r="U20" i="45" s="1"/>
  <c r="V20" i="45" s="1"/>
  <c r="A20" i="45"/>
  <c r="T19" i="45"/>
  <c r="U19" i="45" s="1"/>
  <c r="V19" i="45" s="1"/>
  <c r="T18" i="45"/>
  <c r="U18" i="45" s="1"/>
  <c r="V18" i="45" s="1"/>
  <c r="T17" i="45"/>
  <c r="U17" i="45" s="1"/>
  <c r="V17" i="45" s="1"/>
  <c r="T16" i="45"/>
  <c r="U16" i="45" s="1"/>
  <c r="V16" i="45" s="1"/>
  <c r="T15" i="45"/>
  <c r="U15" i="45" s="1"/>
  <c r="V15" i="45" s="1"/>
  <c r="T14" i="45"/>
  <c r="U14" i="45" s="1"/>
  <c r="V14" i="45" s="1"/>
  <c r="A14" i="45"/>
  <c r="A15" i="45" s="1"/>
  <c r="A16" i="45" s="1"/>
  <c r="A17" i="45" s="1"/>
  <c r="A18" i="45" s="1"/>
  <c r="T13" i="45"/>
  <c r="U13" i="45" s="1"/>
  <c r="V13" i="45" s="1"/>
  <c r="T12" i="45"/>
  <c r="U12" i="45" s="1"/>
  <c r="V12" i="45" s="1"/>
  <c r="T11" i="45"/>
  <c r="U11" i="45" s="1"/>
  <c r="V11" i="45" s="1"/>
  <c r="T10" i="45"/>
  <c r="U10" i="45" s="1"/>
  <c r="V10" i="45" s="1"/>
  <c r="T9" i="45"/>
  <c r="U9" i="45" s="1"/>
  <c r="V9" i="45" s="1"/>
  <c r="A9" i="45"/>
  <c r="A10" i="45" s="1"/>
  <c r="A11" i="45" s="1"/>
  <c r="T8" i="45"/>
  <c r="U8" i="45" s="1"/>
  <c r="V8" i="45" s="1"/>
  <c r="A8" i="45"/>
  <c r="T7" i="45"/>
  <c r="T58" i="47" l="1"/>
  <c r="T58" i="46"/>
  <c r="C58" i="45"/>
  <c r="U7" i="45"/>
  <c r="U58" i="45" s="1"/>
  <c r="U7" i="47"/>
  <c r="U7" i="46"/>
  <c r="T58" i="45"/>
  <c r="J58" i="43"/>
  <c r="C58" i="43"/>
  <c r="R58" i="44"/>
  <c r="Q58" i="44"/>
  <c r="P58" i="44"/>
  <c r="O58" i="44"/>
  <c r="N58" i="44"/>
  <c r="M58" i="44"/>
  <c r="K58" i="44"/>
  <c r="J58" i="44"/>
  <c r="I58" i="44"/>
  <c r="H58" i="44"/>
  <c r="G58" i="44"/>
  <c r="F58" i="44"/>
  <c r="C58" i="44"/>
  <c r="T54" i="44"/>
  <c r="U54" i="44" s="1"/>
  <c r="V54" i="44" s="1"/>
  <c r="T53" i="44"/>
  <c r="U53" i="44" s="1"/>
  <c r="V53" i="44" s="1"/>
  <c r="T52" i="44"/>
  <c r="U52" i="44" s="1"/>
  <c r="V52" i="44" s="1"/>
  <c r="T51" i="44"/>
  <c r="U51" i="44" s="1"/>
  <c r="V51" i="44" s="1"/>
  <c r="T50" i="44"/>
  <c r="U50" i="44" s="1"/>
  <c r="V50" i="44" s="1"/>
  <c r="T49" i="44"/>
  <c r="U49" i="44" s="1"/>
  <c r="V49" i="44" s="1"/>
  <c r="T48" i="44"/>
  <c r="U48" i="44" s="1"/>
  <c r="V48" i="44" s="1"/>
  <c r="T47" i="44"/>
  <c r="U47" i="44" s="1"/>
  <c r="V47" i="44" s="1"/>
  <c r="T46" i="44"/>
  <c r="U46" i="44" s="1"/>
  <c r="V46" i="44" s="1"/>
  <c r="T45" i="44"/>
  <c r="U45" i="44" s="1"/>
  <c r="V45" i="44" s="1"/>
  <c r="T43" i="44"/>
  <c r="U43" i="44" s="1"/>
  <c r="V43" i="44" s="1"/>
  <c r="T41" i="44"/>
  <c r="U41" i="44" s="1"/>
  <c r="V41" i="44" s="1"/>
  <c r="T40" i="44"/>
  <c r="U40" i="44" s="1"/>
  <c r="V40" i="44" s="1"/>
  <c r="T38" i="44"/>
  <c r="U38" i="44" s="1"/>
  <c r="V38" i="44" s="1"/>
  <c r="T37" i="44"/>
  <c r="U37" i="44" s="1"/>
  <c r="V37" i="44" s="1"/>
  <c r="T36" i="44"/>
  <c r="U36" i="44" s="1"/>
  <c r="V36" i="44" s="1"/>
  <c r="T35" i="44"/>
  <c r="U35" i="44" s="1"/>
  <c r="V35" i="44" s="1"/>
  <c r="T34" i="44"/>
  <c r="U34" i="44" s="1"/>
  <c r="V34" i="44" s="1"/>
  <c r="T33" i="44"/>
  <c r="U33" i="44" s="1"/>
  <c r="V33" i="44" s="1"/>
  <c r="T32" i="44"/>
  <c r="U32" i="44" s="1"/>
  <c r="V32" i="44" s="1"/>
  <c r="T31" i="44"/>
  <c r="U31" i="44" s="1"/>
  <c r="V31" i="44" s="1"/>
  <c r="T30" i="44"/>
  <c r="U30" i="44" s="1"/>
  <c r="V30" i="44" s="1"/>
  <c r="T29" i="44"/>
  <c r="U29" i="44" s="1"/>
  <c r="V29" i="44" s="1"/>
  <c r="T28" i="44"/>
  <c r="U28" i="44" s="1"/>
  <c r="V28" i="44" s="1"/>
  <c r="T26" i="44"/>
  <c r="U26" i="44" s="1"/>
  <c r="V26" i="44" s="1"/>
  <c r="AY25" i="44"/>
  <c r="T25" i="44"/>
  <c r="U25" i="44" s="1"/>
  <c r="V25" i="44" s="1"/>
  <c r="T24" i="44"/>
  <c r="U24" i="44" s="1"/>
  <c r="V24" i="44" s="1"/>
  <c r="T23" i="44"/>
  <c r="U23" i="44" s="1"/>
  <c r="V23" i="44" s="1"/>
  <c r="T22" i="44"/>
  <c r="U22" i="44" s="1"/>
  <c r="V22" i="44" s="1"/>
  <c r="U21" i="44"/>
  <c r="V21" i="44" s="1"/>
  <c r="T21" i="44"/>
  <c r="T20" i="44"/>
  <c r="U20" i="44" s="1"/>
  <c r="V20" i="44" s="1"/>
  <c r="A20" i="44"/>
  <c r="A21" i="44" s="1"/>
  <c r="A22" i="44" s="1"/>
  <c r="A23" i="44" s="1"/>
  <c r="A24" i="44" s="1"/>
  <c r="A25" i="44" s="1"/>
  <c r="A26" i="44" s="1"/>
  <c r="A27" i="44" s="1"/>
  <c r="A28" i="44" s="1"/>
  <c r="A29" i="44" s="1"/>
  <c r="A30" i="44" s="1"/>
  <c r="A31" i="44" s="1"/>
  <c r="A32" i="44" s="1"/>
  <c r="A33" i="44" s="1"/>
  <c r="A34" i="44" s="1"/>
  <c r="A35" i="44" s="1"/>
  <c r="A36" i="44" s="1"/>
  <c r="A37" i="44" s="1"/>
  <c r="A38" i="44" s="1"/>
  <c r="A39" i="44" s="1"/>
  <c r="A40" i="44" s="1"/>
  <c r="A41" i="44" s="1"/>
  <c r="A42" i="44" s="1"/>
  <c r="A43" i="44" s="1"/>
  <c r="A44" i="44" s="1"/>
  <c r="A45" i="44" s="1"/>
  <c r="A46" i="44" s="1"/>
  <c r="A47" i="44" s="1"/>
  <c r="A48" i="44" s="1"/>
  <c r="A49" i="44" s="1"/>
  <c r="A50" i="44" s="1"/>
  <c r="A51" i="44" s="1"/>
  <c r="A52" i="44" s="1"/>
  <c r="A53" i="44" s="1"/>
  <c r="A54" i="44" s="1"/>
  <c r="A55" i="44" s="1"/>
  <c r="A56" i="44" s="1"/>
  <c r="A57" i="44" s="1"/>
  <c r="T19" i="44"/>
  <c r="U19" i="44" s="1"/>
  <c r="V19" i="44" s="1"/>
  <c r="T18" i="44"/>
  <c r="U18" i="44" s="1"/>
  <c r="V18" i="44" s="1"/>
  <c r="T17" i="44"/>
  <c r="U17" i="44" s="1"/>
  <c r="V17" i="44" s="1"/>
  <c r="T16" i="44"/>
  <c r="U16" i="44" s="1"/>
  <c r="V16" i="44" s="1"/>
  <c r="T15" i="44"/>
  <c r="U15" i="44" s="1"/>
  <c r="V15" i="44" s="1"/>
  <c r="T14" i="44"/>
  <c r="U14" i="44" s="1"/>
  <c r="V14" i="44" s="1"/>
  <c r="A14" i="44"/>
  <c r="A15" i="44" s="1"/>
  <c r="A16" i="44" s="1"/>
  <c r="A17" i="44" s="1"/>
  <c r="A18" i="44" s="1"/>
  <c r="T13" i="44"/>
  <c r="U13" i="44" s="1"/>
  <c r="V13" i="44" s="1"/>
  <c r="T12" i="44"/>
  <c r="U12" i="44" s="1"/>
  <c r="V12" i="44" s="1"/>
  <c r="T11" i="44"/>
  <c r="U11" i="44" s="1"/>
  <c r="V11" i="44" s="1"/>
  <c r="T10" i="44"/>
  <c r="U10" i="44" s="1"/>
  <c r="V10" i="44" s="1"/>
  <c r="T9" i="44"/>
  <c r="U9" i="44" s="1"/>
  <c r="V9" i="44" s="1"/>
  <c r="A9" i="44"/>
  <c r="A10" i="44" s="1"/>
  <c r="A11" i="44" s="1"/>
  <c r="T8" i="44"/>
  <c r="U8" i="44" s="1"/>
  <c r="V8" i="44" s="1"/>
  <c r="A8" i="44"/>
  <c r="T7" i="44"/>
  <c r="U7" i="44" s="1"/>
  <c r="R58" i="43"/>
  <c r="Q58" i="43"/>
  <c r="P58" i="43"/>
  <c r="O58" i="43"/>
  <c r="N58" i="43"/>
  <c r="M58" i="43"/>
  <c r="K58" i="43"/>
  <c r="I58" i="43"/>
  <c r="H58" i="43"/>
  <c r="G58" i="43"/>
  <c r="F58" i="43"/>
  <c r="U54" i="43"/>
  <c r="V54" i="43" s="1"/>
  <c r="T54" i="43"/>
  <c r="T53" i="43"/>
  <c r="U53" i="43" s="1"/>
  <c r="V53" i="43" s="1"/>
  <c r="T52" i="43"/>
  <c r="U52" i="43" s="1"/>
  <c r="V52" i="43" s="1"/>
  <c r="T51" i="43"/>
  <c r="U51" i="43" s="1"/>
  <c r="V51" i="43" s="1"/>
  <c r="T50" i="43"/>
  <c r="U50" i="43" s="1"/>
  <c r="V50" i="43" s="1"/>
  <c r="T49" i="43"/>
  <c r="U49" i="43" s="1"/>
  <c r="V49" i="43" s="1"/>
  <c r="T48" i="43"/>
  <c r="U48" i="43" s="1"/>
  <c r="V48" i="43" s="1"/>
  <c r="T47" i="43"/>
  <c r="U47" i="43" s="1"/>
  <c r="V47" i="43" s="1"/>
  <c r="T46" i="43"/>
  <c r="U46" i="43" s="1"/>
  <c r="V46" i="43" s="1"/>
  <c r="T45" i="43"/>
  <c r="U45" i="43" s="1"/>
  <c r="V45" i="43" s="1"/>
  <c r="T41" i="43"/>
  <c r="U41" i="43" s="1"/>
  <c r="V41" i="43" s="1"/>
  <c r="T40" i="43"/>
  <c r="U40" i="43" s="1"/>
  <c r="V40" i="43" s="1"/>
  <c r="T38" i="43"/>
  <c r="U38" i="43" s="1"/>
  <c r="V38" i="43" s="1"/>
  <c r="T37" i="43"/>
  <c r="U37" i="43" s="1"/>
  <c r="V37" i="43" s="1"/>
  <c r="T36" i="43"/>
  <c r="U36" i="43" s="1"/>
  <c r="V36" i="43" s="1"/>
  <c r="T35" i="43"/>
  <c r="U35" i="43" s="1"/>
  <c r="V35" i="43" s="1"/>
  <c r="T34" i="43"/>
  <c r="U34" i="43" s="1"/>
  <c r="V34" i="43" s="1"/>
  <c r="T33" i="43"/>
  <c r="U33" i="43" s="1"/>
  <c r="V33" i="43" s="1"/>
  <c r="T32" i="43"/>
  <c r="U32" i="43" s="1"/>
  <c r="V32" i="43" s="1"/>
  <c r="T31" i="43"/>
  <c r="U31" i="43" s="1"/>
  <c r="V31" i="43" s="1"/>
  <c r="T30" i="43"/>
  <c r="U30" i="43" s="1"/>
  <c r="V30" i="43" s="1"/>
  <c r="U29" i="43"/>
  <c r="V29" i="43" s="1"/>
  <c r="T29" i="43"/>
  <c r="T28" i="43"/>
  <c r="U28" i="43" s="1"/>
  <c r="V28" i="43" s="1"/>
  <c r="T26" i="43"/>
  <c r="U26" i="43" s="1"/>
  <c r="V26" i="43" s="1"/>
  <c r="AY25" i="43"/>
  <c r="T25" i="43"/>
  <c r="U25" i="43" s="1"/>
  <c r="V25" i="43" s="1"/>
  <c r="T24" i="43"/>
  <c r="U24" i="43" s="1"/>
  <c r="V24" i="43" s="1"/>
  <c r="T23" i="43"/>
  <c r="U23" i="43" s="1"/>
  <c r="V23" i="43" s="1"/>
  <c r="T22" i="43"/>
  <c r="U22" i="43" s="1"/>
  <c r="V22" i="43" s="1"/>
  <c r="T21" i="43"/>
  <c r="U21" i="43" s="1"/>
  <c r="V21" i="43" s="1"/>
  <c r="T20" i="43"/>
  <c r="U20" i="43" s="1"/>
  <c r="V20" i="43" s="1"/>
  <c r="A20" i="43"/>
  <c r="A21" i="43" s="1"/>
  <c r="A22" i="43" s="1"/>
  <c r="A23" i="43" s="1"/>
  <c r="A24" i="43" s="1"/>
  <c r="A25" i="43" s="1"/>
  <c r="A26" i="43" s="1"/>
  <c r="A27" i="43" s="1"/>
  <c r="A28" i="43" s="1"/>
  <c r="A29" i="43" s="1"/>
  <c r="A30" i="43" s="1"/>
  <c r="A31" i="43" s="1"/>
  <c r="A32" i="43" s="1"/>
  <c r="A33" i="43" s="1"/>
  <c r="A34" i="43" s="1"/>
  <c r="A35" i="43" s="1"/>
  <c r="A36" i="43" s="1"/>
  <c r="A37" i="43" s="1"/>
  <c r="A38" i="43" s="1"/>
  <c r="A39" i="43" s="1"/>
  <c r="A40" i="43" s="1"/>
  <c r="A41" i="43" s="1"/>
  <c r="A42" i="43" s="1"/>
  <c r="A43" i="43" s="1"/>
  <c r="A44" i="43" s="1"/>
  <c r="A45" i="43" s="1"/>
  <c r="A46" i="43" s="1"/>
  <c r="A47" i="43" s="1"/>
  <c r="A48" i="43" s="1"/>
  <c r="A49" i="43" s="1"/>
  <c r="A50" i="43" s="1"/>
  <c r="A51" i="43" s="1"/>
  <c r="A52" i="43" s="1"/>
  <c r="A53" i="43" s="1"/>
  <c r="A54" i="43" s="1"/>
  <c r="A55" i="43" s="1"/>
  <c r="A56" i="43" s="1"/>
  <c r="A57" i="43" s="1"/>
  <c r="T19" i="43"/>
  <c r="U19" i="43" s="1"/>
  <c r="V19" i="43" s="1"/>
  <c r="T18" i="43"/>
  <c r="U18" i="43" s="1"/>
  <c r="V18" i="43" s="1"/>
  <c r="T17" i="43"/>
  <c r="U17" i="43" s="1"/>
  <c r="V17" i="43" s="1"/>
  <c r="T16" i="43"/>
  <c r="U16" i="43" s="1"/>
  <c r="V16" i="43" s="1"/>
  <c r="U15" i="43"/>
  <c r="V15" i="43" s="1"/>
  <c r="T15" i="43"/>
  <c r="T14" i="43"/>
  <c r="U14" i="43" s="1"/>
  <c r="V14" i="43" s="1"/>
  <c r="A14" i="43"/>
  <c r="A15" i="43" s="1"/>
  <c r="A16" i="43" s="1"/>
  <c r="A17" i="43" s="1"/>
  <c r="A18" i="43" s="1"/>
  <c r="T13" i="43"/>
  <c r="U13" i="43" s="1"/>
  <c r="V13" i="43" s="1"/>
  <c r="T12" i="43"/>
  <c r="U12" i="43" s="1"/>
  <c r="V12" i="43" s="1"/>
  <c r="T11" i="43"/>
  <c r="U11" i="43" s="1"/>
  <c r="V11" i="43" s="1"/>
  <c r="T10" i="43"/>
  <c r="U10" i="43" s="1"/>
  <c r="V10" i="43" s="1"/>
  <c r="T9" i="43"/>
  <c r="U9" i="43" s="1"/>
  <c r="V9" i="43" s="1"/>
  <c r="T8" i="43"/>
  <c r="U8" i="43" s="1"/>
  <c r="V8" i="43" s="1"/>
  <c r="A8" i="43"/>
  <c r="A9" i="43" s="1"/>
  <c r="A10" i="43" s="1"/>
  <c r="A11" i="43" s="1"/>
  <c r="T7" i="43"/>
  <c r="U7" i="43" s="1"/>
  <c r="V7" i="45" l="1"/>
  <c r="V58" i="45" s="1"/>
  <c r="U58" i="47"/>
  <c r="V7" i="47"/>
  <c r="V58" i="47" s="1"/>
  <c r="U58" i="46"/>
  <c r="V7" i="46"/>
  <c r="V58" i="46" s="1"/>
  <c r="T43" i="43"/>
  <c r="U43" i="43" s="1"/>
  <c r="V43" i="43" s="1"/>
  <c r="V7" i="44"/>
  <c r="V58" i="44" s="1"/>
  <c r="U58" i="44"/>
  <c r="T58" i="44"/>
  <c r="V7" i="43"/>
  <c r="T58" i="43" l="1"/>
  <c r="V58" i="43"/>
  <c r="U58" i="43"/>
  <c r="R58" i="32" l="1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T58" i="32" l="1"/>
  <c r="U7" i="32"/>
  <c r="U58" i="32" l="1"/>
  <c r="V7" i="32"/>
  <c r="V58" i="32" s="1"/>
</calcChain>
</file>

<file path=xl/sharedStrings.xml><?xml version="1.0" encoding="utf-8"?>
<sst xmlns="http://schemas.openxmlformats.org/spreadsheetml/2006/main" count="504" uniqueCount="76">
  <si>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</si>
  <si>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</si>
  <si>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</si>
  <si>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</si>
  <si>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</si>
  <si>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</si>
  <si>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</si>
  <si>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</si>
  <si>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</si>
  <si>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</si>
  <si>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</si>
  <si>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</si>
  <si>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</si>
  <si>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</si>
  <si>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</si>
  <si>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</si>
  <si>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</si>
  <si>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</si>
  <si>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</si>
  <si>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</si>
  <si>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</si>
  <si>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</si>
  <si>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</si>
  <si>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</si>
  <si>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</si>
  <si>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</si>
  <si>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</si>
  <si>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</si>
  <si>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</si>
  <si>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</si>
  <si>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</si>
  <si>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</si>
  <si>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</si>
  <si>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</si>
  <si>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</si>
  <si>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</si>
  <si>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</si>
  <si>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</si>
  <si>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</si>
  <si>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</si>
  <si>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</si>
  <si>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</si>
  <si>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</si>
  <si>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</si>
  <si>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</si>
  <si>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</si>
  <si>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</si>
  <si>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</si>
  <si>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</si>
  <si>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</si>
  <si>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</si>
  <si>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</si>
  <si>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</si>
  <si>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</si>
  <si>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</si>
  <si>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</si>
  <si>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</si>
  <si>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</si>
  <si>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</si>
  <si>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</si>
  <si>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</si>
  <si>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</si>
  <si>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</si>
  <si>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</si>
  <si>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</si>
  <si>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</si>
  <si>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</si>
  <si>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</si>
  <si>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</si>
  <si>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</si>
  <si>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</si>
  <si>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04/02/2026</t>
  </si>
  <si>
    <t>DATE: 04/06/2026</t>
  </si>
  <si>
    <t>DATE: 04/07/2026</t>
  </si>
  <si>
    <t>DATE: 04/09/2026</t>
  </si>
  <si>
    <t>DATE: 04/08/2026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</si>
</sst>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17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  <xf numFmtId="0" fontId="15" fillId="0" borderId="6" xfId="2" applyFont="1" applyFill="1" applyBorder="1" applyAlignment="1">
      <alignment horizontal="center" vertical="center"/>
    </xf>
    <xf numFmtId="0" fontId="15" fillId="0" borderId="50" xfId="2" applyFont="1" applyFill="1" applyBorder="1" applyAlignment="1">
      <alignment horizontal="center" vertical="center"/>
    </xf>
    <xf numFmtId="0" fontId="13" fillId="0" borderId="63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15" fillId="0" borderId="45" xfId="2" applyFont="1" applyFill="1" applyBorder="1" applyAlignment="1">
      <alignment horizontal="center" vertical="center"/>
    </xf>
    <xf numFmtId="0" fontId="15" fillId="0" borderId="5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4" fillId="0" borderId="9" xfId="2" applyFont="1" applyFill="1" applyBorder="1" applyAlignment="1">
      <alignment horizontal="center" vertical="center" wrapText="1"/>
    </xf>
    <xf numFmtId="0" fontId="14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5" t="s">
        <v>43</v>
      </c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106" t="s">
        <v>41</v>
      </c>
      <c r="D4" s="106"/>
      <c r="E4" s="106"/>
      <c r="F4" s="106"/>
      <c r="G4" s="106"/>
      <c r="H4" s="106"/>
      <c r="I4" s="106"/>
      <c r="J4" s="107"/>
      <c r="K4" s="108"/>
      <c r="M4" s="34" t="s">
        <v>0</v>
      </c>
      <c r="N4" s="94" t="s">
        <v>61</v>
      </c>
      <c r="O4" s="35" t="s">
        <v>39</v>
      </c>
      <c r="P4" s="94" t="s">
        <v>61</v>
      </c>
      <c r="Q4" s="36" t="s">
        <v>40</v>
      </c>
      <c r="R4" s="94" t="s">
        <v>61</v>
      </c>
      <c r="S4" s="9"/>
      <c r="T4" s="109" t="s">
        <v>68</v>
      </c>
      <c r="U4" s="111" t="s">
        <v>67</v>
      </c>
      <c r="V4" s="9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93" t="s">
        <v>64</v>
      </c>
      <c r="I5" s="93" t="s">
        <v>60</v>
      </c>
      <c r="J5" s="100" t="s">
        <v>65</v>
      </c>
      <c r="K5" s="101"/>
      <c r="M5" s="37"/>
      <c r="N5" s="49"/>
      <c r="O5" s="40"/>
      <c r="P5" s="89"/>
      <c r="Q5" s="89"/>
      <c r="R5" s="38"/>
      <c r="S5" s="9"/>
      <c r="T5" s="110"/>
      <c r="U5" s="112"/>
      <c r="V5" s="9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89"/>
      <c r="K6" s="38"/>
      <c r="M6" s="37"/>
      <c r="N6" s="49"/>
      <c r="O6" s="40"/>
      <c r="P6" s="89"/>
      <c r="Q6" s="8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/>
      <c r="U27" s="75"/>
      <c r="V27" s="75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56"/>
      <c r="N39" s="57"/>
      <c r="O39" s="52"/>
      <c r="P39" s="53"/>
      <c r="Q39" s="52"/>
      <c r="R39" s="80"/>
      <c r="S39" s="55"/>
      <c r="T39" s="81"/>
      <c r="U39" s="81"/>
      <c r="V39" s="81"/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91"/>
      <c r="C59" s="92"/>
      <c r="D59" s="92"/>
      <c r="E59" s="92"/>
      <c r="F59" s="92"/>
      <c r="G59" s="92"/>
      <c r="H59" s="92"/>
      <c r="I59" s="92"/>
      <c r="J59" s="92"/>
      <c r="K59" s="92"/>
      <c r="M59" s="92"/>
      <c r="N59" s="92"/>
      <c r="O59" s="92"/>
      <c r="P59" s="92"/>
      <c r="Q59" s="92"/>
      <c r="R59" s="92"/>
      <c r="S59" s="55"/>
      <c r="T59" s="92"/>
      <c r="U59" s="92"/>
      <c r="V59" s="92"/>
    </row>
    <row r="60" spans="1:22" s="15" customFormat="1" x14ac:dyDescent="0.25">
      <c r="B60" s="91"/>
      <c r="C60" s="92"/>
      <c r="D60" s="92"/>
      <c r="E60" s="92"/>
      <c r="F60" s="92"/>
      <c r="G60" s="92"/>
      <c r="H60" s="92"/>
      <c r="I60" s="92"/>
      <c r="J60" s="92"/>
      <c r="K60" s="92"/>
      <c r="M60" s="92"/>
      <c r="N60" s="92"/>
      <c r="O60" s="92"/>
      <c r="P60" s="92"/>
      <c r="Q60" s="92"/>
      <c r="R60" s="92"/>
      <c r="S60" s="55"/>
      <c r="T60" s="92"/>
      <c r="U60" s="92"/>
      <c r="V60" s="92"/>
    </row>
    <row r="61" spans="1:22" ht="20.25" customHeight="1" thickBot="1" x14ac:dyDescent="0.3"/>
    <row r="62" spans="1:22" ht="19.5" thickBot="1" x14ac:dyDescent="0.3">
      <c r="B62" s="30" t="s">
        <v>37</v>
      </c>
      <c r="C62" s="102" t="s">
        <v>41</v>
      </c>
      <c r="D62" s="103"/>
      <c r="E62" s="103"/>
      <c r="F62" s="103"/>
      <c r="G62" s="103"/>
      <c r="H62" s="103"/>
      <c r="I62" s="103"/>
      <c r="J62" s="103"/>
      <c r="K62" s="104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E18DA-50BA-446D-A669-D0F3DA86ED1F}">
  <sheetPr>
    <pageSetUpPr fitToPage="1"/>
  </sheetPr>
  <dimension ref="A1:BB81"/>
  <sheetViews>
    <sheetView topLeftCell="A16" zoomScaleNormal="100" zoomScaleSheetLayoutView="115" workbookViewId="0">
      <selection activeCell="H41" sqref="H41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5" t="s">
        <v>43</v>
      </c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06" t="s">
        <v>41</v>
      </c>
      <c r="D4" s="106"/>
      <c r="E4" s="106"/>
      <c r="F4" s="106"/>
      <c r="G4" s="106"/>
      <c r="H4" s="106"/>
      <c r="I4" s="106"/>
      <c r="J4" s="107"/>
      <c r="K4" s="10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09" t="s">
        <v>68</v>
      </c>
      <c r="U4" s="115" t="s">
        <v>67</v>
      </c>
      <c r="V4" s="9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3" t="s">
        <v>65</v>
      </c>
      <c r="K5" s="114"/>
      <c r="M5" s="37"/>
      <c r="N5" s="49"/>
      <c r="O5" s="40"/>
      <c r="P5" s="96"/>
      <c r="Q5" s="96"/>
      <c r="R5" s="38"/>
      <c r="S5" s="9"/>
      <c r="T5" s="110"/>
      <c r="U5" s="116"/>
      <c r="V5" s="9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6"/>
      <c r="K6" s="38"/>
      <c r="M6" s="37"/>
      <c r="N6" s="49"/>
      <c r="O6" s="40"/>
      <c r="P6" s="96"/>
      <c r="Q6" s="9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f>20+30</f>
        <v>50</v>
      </c>
      <c r="D7" s="52"/>
      <c r="E7" s="52"/>
      <c r="F7" s="52"/>
      <c r="G7" s="52"/>
      <c r="H7" s="52">
        <v>2</v>
      </c>
      <c r="I7" s="52">
        <v>1</v>
      </c>
      <c r="J7" s="53"/>
      <c r="K7" s="54">
        <v>6</v>
      </c>
      <c r="L7" s="55"/>
      <c r="M7" s="56">
        <v>1</v>
      </c>
      <c r="N7" s="57"/>
      <c r="O7" s="52">
        <v>2</v>
      </c>
      <c r="P7" s="53">
        <v>12</v>
      </c>
      <c r="Q7" s="53">
        <v>2</v>
      </c>
      <c r="R7" s="54"/>
      <c r="S7" s="55"/>
      <c r="T7" s="58">
        <f>H7+I7+J7+K7+N7+P7+R7</f>
        <v>21</v>
      </c>
      <c r="U7" s="58">
        <f>C7*24+M7*24+O7*24+Q7*24+T7</f>
        <v>1341</v>
      </c>
      <c r="V7" s="58">
        <f>U7/24</f>
        <v>55.875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20+63+15+8</f>
        <v>106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2544</v>
      </c>
      <c r="V8" s="69">
        <f>U8/24</f>
        <v>106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114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1</v>
      </c>
      <c r="R9" s="72"/>
      <c r="S9" s="55"/>
      <c r="T9" s="75">
        <f t="shared" si="0"/>
        <v>0</v>
      </c>
      <c r="U9" s="76">
        <f t="shared" ref="U9:U11" si="2">C9*24+M9*24+O9*24+Q9*24+T9</f>
        <v>2784</v>
      </c>
      <c r="V9" s="76">
        <f t="shared" ref="V9:V11" si="3">U9/24</f>
        <v>116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13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>
        <v>1</v>
      </c>
      <c r="R10" s="72"/>
      <c r="S10" s="55"/>
      <c r="T10" s="58">
        <f t="shared" si="0"/>
        <v>0</v>
      </c>
      <c r="U10" s="58">
        <f t="shared" si="2"/>
        <v>336</v>
      </c>
      <c r="V10" s="58">
        <f t="shared" si="3"/>
        <v>14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>
        <v>22</v>
      </c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24</v>
      </c>
      <c r="U11" s="58">
        <f t="shared" si="2"/>
        <v>144</v>
      </c>
      <c r="V11" s="58">
        <f t="shared" si="3"/>
        <v>6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720+63+33+216+42+648+1440+576</f>
        <v>3738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18</v>
      </c>
      <c r="N12" s="64">
        <v>20</v>
      </c>
      <c r="O12" s="65">
        <v>13</v>
      </c>
      <c r="P12" s="66">
        <v>16</v>
      </c>
      <c r="Q12" s="66">
        <v>33</v>
      </c>
      <c r="R12" s="67">
        <v>3</v>
      </c>
      <c r="S12" s="62"/>
      <c r="T12" s="58">
        <f t="shared" si="0"/>
        <v>39</v>
      </c>
      <c r="U12" s="69">
        <f>C12*24+M12*24+O12*24+Q12*24+T12</f>
        <v>91287</v>
      </c>
      <c r="V12" s="69">
        <f>U12/24</f>
        <v>3803.625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f>2+2</f>
        <v>4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16</v>
      </c>
      <c r="U13" s="76">
        <f>C13*24+M13*24+O13*24+Q13*24+T13</f>
        <v>112</v>
      </c>
      <c r="V13" s="76">
        <f>U13/24</f>
        <v>4.666666666666667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3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72</v>
      </c>
      <c r="V14" s="75">
        <f t="shared" ref="V14:V36" si="5">U14/24</f>
        <v>3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>
        <v>2</v>
      </c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48</v>
      </c>
      <c r="V15" s="75">
        <f t="shared" si="5"/>
        <v>2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>
        <v>1</v>
      </c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24</v>
      </c>
      <c r="V16" s="75">
        <f t="shared" si="5"/>
        <v>1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>
        <v>3</v>
      </c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f>2+2</f>
        <v>4</v>
      </c>
      <c r="D19" s="70"/>
      <c r="E19" s="70"/>
      <c r="F19" s="70"/>
      <c r="G19" s="70"/>
      <c r="H19" s="70">
        <v>20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20</v>
      </c>
      <c r="U19" s="75">
        <f t="shared" si="4"/>
        <v>116</v>
      </c>
      <c r="V19" s="75">
        <f t="shared" si="5"/>
        <v>4.833333333333333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>
        <v>16</v>
      </c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16</v>
      </c>
      <c r="U20" s="75">
        <f t="shared" si="4"/>
        <v>136</v>
      </c>
      <c r="V20" s="75">
        <f t="shared" si="5"/>
        <v>5.666666666666667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>
        <f>1+3</f>
        <v>4</v>
      </c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96</v>
      </c>
      <c r="V21" s="75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>
        <v>34</v>
      </c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>
        <v>1</v>
      </c>
      <c r="P23" s="71">
        <v>19</v>
      </c>
      <c r="Q23" s="71">
        <v>2</v>
      </c>
      <c r="R23" s="72"/>
      <c r="S23" s="55"/>
      <c r="T23" s="58">
        <f t="shared" si="0"/>
        <v>19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f>5+6</f>
        <v>11</v>
      </c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264</v>
      </c>
      <c r="V24" s="75">
        <f t="shared" si="5"/>
        <v>11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34</v>
      </c>
      <c r="D25" s="70"/>
      <c r="E25" s="70"/>
      <c r="F25" s="70"/>
      <c r="G25" s="70"/>
      <c r="H25" s="70">
        <v>10</v>
      </c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/>
      <c r="R25" s="72"/>
      <c r="S25" s="55"/>
      <c r="T25" s="58">
        <f t="shared" si="0"/>
        <v>11</v>
      </c>
      <c r="U25" s="75">
        <f t="shared" si="4"/>
        <v>851</v>
      </c>
      <c r="V25" s="75">
        <f t="shared" si="5"/>
        <v>35.458333333333336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6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>
        <v>1</v>
      </c>
      <c r="P26" s="71"/>
      <c r="Q26" s="71"/>
      <c r="R26" s="72"/>
      <c r="S26" s="55"/>
      <c r="T26" s="58">
        <f t="shared" si="0"/>
        <v>0</v>
      </c>
      <c r="U26" s="75">
        <f t="shared" si="4"/>
        <v>168</v>
      </c>
      <c r="V26" s="75">
        <f t="shared" si="5"/>
        <v>7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5+36</f>
        <v>41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2</v>
      </c>
      <c r="P28" s="71"/>
      <c r="Q28" s="71">
        <v>5</v>
      </c>
      <c r="R28" s="72"/>
      <c r="S28" s="55"/>
      <c r="T28" s="58">
        <f t="shared" si="0"/>
        <v>0</v>
      </c>
      <c r="U28" s="75">
        <f t="shared" si="4"/>
        <v>1200</v>
      </c>
      <c r="V28" s="75">
        <f t="shared" si="5"/>
        <v>50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f>4+63</f>
        <v>67</v>
      </c>
      <c r="D29" s="70"/>
      <c r="E29" s="70"/>
      <c r="F29" s="70"/>
      <c r="G29" s="70"/>
      <c r="H29" s="70"/>
      <c r="I29" s="70"/>
      <c r="J29" s="71"/>
      <c r="K29" s="72"/>
      <c r="L29" s="55"/>
      <c r="M29" s="73">
        <v>1</v>
      </c>
      <c r="N29" s="74"/>
      <c r="O29" s="70"/>
      <c r="P29" s="71"/>
      <c r="Q29" s="71">
        <v>1</v>
      </c>
      <c r="R29" s="72"/>
      <c r="S29" s="55"/>
      <c r="T29" s="58">
        <f t="shared" si="0"/>
        <v>0</v>
      </c>
      <c r="U29" s="75">
        <f t="shared" si="4"/>
        <v>1656</v>
      </c>
      <c r="V29" s="75">
        <f t="shared" si="5"/>
        <v>69</v>
      </c>
    </row>
    <row r="30" spans="1:54" x14ac:dyDescent="0.25">
      <c r="A30" s="27">
        <f t="shared" si="1"/>
        <v>27</v>
      </c>
      <c r="B30" s="26" t="s">
        <v>15</v>
      </c>
      <c r="C30" s="70">
        <v>40</v>
      </c>
      <c r="D30" s="70"/>
      <c r="E30" s="70"/>
      <c r="F30" s="70"/>
      <c r="G30" s="70"/>
      <c r="H30" s="70"/>
      <c r="I30" s="70"/>
      <c r="J30" s="71"/>
      <c r="K30" s="72"/>
      <c r="L30" s="55"/>
      <c r="M30" s="73">
        <v>1</v>
      </c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1008</v>
      </c>
      <c r="V30" s="75">
        <f t="shared" si="5"/>
        <v>42</v>
      </c>
    </row>
    <row r="31" spans="1:54" x14ac:dyDescent="0.25">
      <c r="A31" s="27">
        <f t="shared" si="1"/>
        <v>28</v>
      </c>
      <c r="B31" s="26" t="s">
        <v>12</v>
      </c>
      <c r="C31" s="70">
        <v>1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>
        <v>1</v>
      </c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>
        <v>5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120</v>
      </c>
      <c r="V32" s="75">
        <f t="shared" si="5"/>
        <v>5</v>
      </c>
    </row>
    <row r="33" spans="1:23" x14ac:dyDescent="0.25">
      <c r="A33" s="27">
        <f t="shared" si="1"/>
        <v>30</v>
      </c>
      <c r="B33" s="26" t="s">
        <v>16</v>
      </c>
      <c r="C33" s="70">
        <v>5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120</v>
      </c>
      <c r="V33" s="75">
        <f t="shared" si="5"/>
        <v>5</v>
      </c>
    </row>
    <row r="34" spans="1:23" x14ac:dyDescent="0.25">
      <c r="A34" s="27">
        <f t="shared" si="1"/>
        <v>31</v>
      </c>
      <c r="B34" s="26" t="s">
        <v>17</v>
      </c>
      <c r="C34" s="70">
        <f>72+55</f>
        <v>127</v>
      </c>
      <c r="D34" s="70"/>
      <c r="E34" s="70"/>
      <c r="F34" s="70"/>
      <c r="G34" s="70"/>
      <c r="H34" s="70">
        <v>4</v>
      </c>
      <c r="I34" s="70"/>
      <c r="J34" s="71"/>
      <c r="K34" s="72">
        <v>1</v>
      </c>
      <c r="L34" s="55"/>
      <c r="M34" s="73">
        <v>1</v>
      </c>
      <c r="N34" s="74"/>
      <c r="O34" s="70">
        <v>2</v>
      </c>
      <c r="P34" s="71"/>
      <c r="Q34" s="71">
        <v>2</v>
      </c>
      <c r="R34" s="72"/>
      <c r="S34" s="55"/>
      <c r="T34" s="58">
        <f t="shared" si="0"/>
        <v>5</v>
      </c>
      <c r="U34" s="75">
        <f t="shared" si="4"/>
        <v>3173</v>
      </c>
      <c r="V34" s="75">
        <f t="shared" si="5"/>
        <v>132.20833333333334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>
        <v>2</v>
      </c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48</v>
      </c>
      <c r="V36" s="75">
        <f t="shared" si="5"/>
        <v>2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432+46+2592+1512</f>
        <v>4582</v>
      </c>
      <c r="D37" s="59"/>
      <c r="E37" s="59"/>
      <c r="F37" s="59"/>
      <c r="G37" s="59"/>
      <c r="H37" s="59"/>
      <c r="I37" s="59"/>
      <c r="J37" s="60"/>
      <c r="K37" s="61">
        <v>2</v>
      </c>
      <c r="L37" s="62"/>
      <c r="M37" s="63">
        <v>20</v>
      </c>
      <c r="N37" s="64"/>
      <c r="O37" s="65">
        <v>24</v>
      </c>
      <c r="P37" s="66"/>
      <c r="Q37" s="66">
        <v>77</v>
      </c>
      <c r="R37" s="67"/>
      <c r="S37" s="62"/>
      <c r="T37" s="77">
        <f t="shared" si="0"/>
        <v>2</v>
      </c>
      <c r="U37" s="77">
        <f>C37*6+M37*6+O37*6+Q37*6+T37</f>
        <v>28220</v>
      </c>
      <c r="V37" s="77">
        <f>U37/6</f>
        <v>4703.333333333333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7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168</v>
      </c>
      <c r="V38" s="75">
        <f>U38/24</f>
        <v>7</v>
      </c>
    </row>
    <row r="39" spans="1:23" x14ac:dyDescent="0.25">
      <c r="A39" s="27">
        <f t="shared" si="1"/>
        <v>36</v>
      </c>
      <c r="B39" s="51" t="s">
        <v>62</v>
      </c>
      <c r="C39" s="78">
        <v>4</v>
      </c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96</v>
      </c>
      <c r="V39" s="75">
        <f>U39/24</f>
        <v>4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315+7</f>
        <v>322</v>
      </c>
      <c r="D40" s="59"/>
      <c r="E40" s="59"/>
      <c r="F40" s="59"/>
      <c r="G40" s="59"/>
      <c r="H40" s="59">
        <v>4</v>
      </c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/>
      <c r="R40" s="67"/>
      <c r="S40" s="62"/>
      <c r="T40" s="77">
        <f t="shared" si="0"/>
        <v>24</v>
      </c>
      <c r="U40" s="77">
        <f>C40*24+M40*24+O40*24+Q40*24+T40</f>
        <v>7776</v>
      </c>
      <c r="V40" s="77">
        <f>U40/24</f>
        <v>324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192+768+94+4</f>
        <v>1058</v>
      </c>
      <c r="D41" s="82"/>
      <c r="E41" s="82"/>
      <c r="F41" s="82"/>
      <c r="G41" s="82"/>
      <c r="H41" s="82">
        <v>9</v>
      </c>
      <c r="I41" s="82"/>
      <c r="J41" s="83"/>
      <c r="K41" s="84"/>
      <c r="L41" s="85"/>
      <c r="M41" s="86">
        <v>7</v>
      </c>
      <c r="N41" s="87"/>
      <c r="O41" s="82">
        <v>5</v>
      </c>
      <c r="P41" s="83"/>
      <c r="Q41" s="83">
        <v>30</v>
      </c>
      <c r="R41" s="84"/>
      <c r="S41" s="85"/>
      <c r="T41" s="88">
        <f t="shared" si="0"/>
        <v>9</v>
      </c>
      <c r="U41" s="88">
        <f>C41*12+M41*12+O41*12+Q41*12+T41</f>
        <v>13209</v>
      </c>
      <c r="V41" s="88">
        <f>U41/12</f>
        <v>1100.75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7776+5940+1080+5616+88+4536+9612</f>
        <v>34648</v>
      </c>
      <c r="D43" s="65"/>
      <c r="E43" s="65"/>
      <c r="F43" s="65"/>
      <c r="G43" s="65"/>
      <c r="H43" s="65">
        <v>1</v>
      </c>
      <c r="I43" s="65">
        <v>7</v>
      </c>
      <c r="J43" s="66">
        <f>19*6+2</f>
        <v>116</v>
      </c>
      <c r="K43" s="67">
        <f>21*6+2</f>
        <v>128</v>
      </c>
      <c r="L43" s="62"/>
      <c r="M43" s="63">
        <v>373</v>
      </c>
      <c r="N43" s="64"/>
      <c r="O43" s="65">
        <v>417</v>
      </c>
      <c r="P43" s="66"/>
      <c r="Q43" s="66">
        <v>656</v>
      </c>
      <c r="R43" s="67"/>
      <c r="S43" s="62"/>
      <c r="T43" s="77">
        <f t="shared" ref="T43" si="6">H43+I43+J43+K43+N43+P43+R43</f>
        <v>252</v>
      </c>
      <c r="U43" s="77">
        <f>C43*6+M43*6+O43*6+Q43*6+T43</f>
        <v>216816</v>
      </c>
      <c r="V43" s="77">
        <f>U43/6</f>
        <v>36136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>
        <v>3</v>
      </c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72</v>
      </c>
      <c r="V45" s="75">
        <f>U45/24</f>
        <v>3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432+106+2268+24</f>
        <v>2830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/>
      <c r="N47" s="64"/>
      <c r="O47" s="65">
        <v>3</v>
      </c>
      <c r="P47" s="66">
        <v>4</v>
      </c>
      <c r="Q47" s="66">
        <v>8</v>
      </c>
      <c r="R47" s="67"/>
      <c r="S47" s="62"/>
      <c r="T47" s="77">
        <f t="shared" si="7"/>
        <v>10</v>
      </c>
      <c r="U47" s="77">
        <f>C47*6+M47*6+O47*6+Q47*6+T47</f>
        <v>17056</v>
      </c>
      <c r="V47" s="77">
        <f>U47/6</f>
        <v>2842.6666666666665</v>
      </c>
    </row>
    <row r="48" spans="1:23" x14ac:dyDescent="0.25">
      <c r="A48" s="27">
        <f t="shared" si="1"/>
        <v>45</v>
      </c>
      <c r="B48" s="25" t="s">
        <v>58</v>
      </c>
      <c r="C48" s="70">
        <v>1</v>
      </c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>
        <v>2</v>
      </c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48</v>
      </c>
      <c r="V52" s="75">
        <f t="shared" si="9"/>
        <v>2</v>
      </c>
    </row>
    <row r="53" spans="1:22" x14ac:dyDescent="0.25">
      <c r="A53" s="27">
        <f t="shared" si="1"/>
        <v>50</v>
      </c>
      <c r="B53" s="26" t="s">
        <v>63</v>
      </c>
      <c r="C53" s="70">
        <f>10+4</f>
        <v>14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336</v>
      </c>
      <c r="V53" s="75">
        <f t="shared" si="9"/>
        <v>14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47946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126</v>
      </c>
      <c r="I58" s="6">
        <f t="shared" si="11"/>
        <v>9</v>
      </c>
      <c r="J58" s="6">
        <f t="shared" si="11"/>
        <v>116</v>
      </c>
      <c r="K58" s="6">
        <f t="shared" si="11"/>
        <v>163</v>
      </c>
      <c r="M58" s="5">
        <f t="shared" ref="M58:R58" si="12">SUM(M7:M57)</f>
        <v>425</v>
      </c>
      <c r="N58" s="5">
        <f t="shared" si="12"/>
        <v>20</v>
      </c>
      <c r="O58" s="5">
        <f t="shared" si="12"/>
        <v>472</v>
      </c>
      <c r="P58" s="5">
        <f t="shared" si="12"/>
        <v>51</v>
      </c>
      <c r="Q58" s="5">
        <f t="shared" si="12"/>
        <v>820</v>
      </c>
      <c r="R58" s="5">
        <f t="shared" si="12"/>
        <v>3</v>
      </c>
      <c r="S58" s="55"/>
      <c r="T58" s="4">
        <f>SUM(T7:T57)</f>
        <v>488</v>
      </c>
      <c r="U58" s="90">
        <f>SUM(U7:U57)</f>
        <v>393104</v>
      </c>
      <c r="V58" s="4">
        <f>SUM(V7:V57)</f>
        <v>49716.708333333328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2" t="s">
        <v>41</v>
      </c>
      <c r="D60" s="103"/>
      <c r="E60" s="103"/>
      <c r="F60" s="103"/>
      <c r="G60" s="103"/>
      <c r="H60" s="103"/>
      <c r="I60" s="103"/>
      <c r="J60" s="103"/>
      <c r="K60" s="10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74D12-0076-42A5-9528-69B257B3A780}">
  <sheetPr>
    <pageSetUpPr fitToPage="1"/>
  </sheetPr>
  <dimension ref="A1:BB81"/>
  <sheetViews>
    <sheetView tabSelected="1"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5" t="s">
        <v>43</v>
      </c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</row>
    <row r="2" spans="1:54" x14ac:dyDescent="0.25">
      <c r="B2" s="28" t="s">
        <v>72</v>
      </c>
    </row>
    <row r="3" spans="1:54" ht="19.5" thickBot="1" x14ac:dyDescent="0.3"/>
    <row r="4" spans="1:54" s="10" customFormat="1" ht="15.75" x14ac:dyDescent="0.25">
      <c r="B4" s="41" t="s">
        <v>52</v>
      </c>
      <c r="C4" s="106" t="s">
        <v>41</v>
      </c>
      <c r="D4" s="106"/>
      <c r="E4" s="106"/>
      <c r="F4" s="106"/>
      <c r="G4" s="106"/>
      <c r="H4" s="106"/>
      <c r="I4" s="106"/>
      <c r="J4" s="107"/>
      <c r="K4" s="10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09" t="s">
        <v>68</v>
      </c>
      <c r="U4" s="115" t="s">
        <v>67</v>
      </c>
      <c r="V4" s="9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3" t="s">
        <v>65</v>
      </c>
      <c r="K5" s="114"/>
      <c r="M5" s="37"/>
      <c r="N5" s="49"/>
      <c r="O5" s="40"/>
      <c r="P5" s="97"/>
      <c r="Q5" s="97"/>
      <c r="R5" s="38"/>
      <c r="S5" s="9"/>
      <c r="T5" s="110"/>
      <c r="U5" s="116"/>
      <c r="V5" s="9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f>20+29</f>
        <v>49</v>
      </c>
      <c r="D7" s="52"/>
      <c r="E7" s="52"/>
      <c r="F7" s="52">
        <v>24</v>
      </c>
      <c r="G7" s="52">
        <f>2*24+12</f>
        <v>60</v>
      </c>
      <c r="H7" s="52">
        <v>2</v>
      </c>
      <c r="I7" s="52">
        <v>1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F7+G7+H7+I7+J7+K7+N7+P7+R7</f>
        <v>93</v>
      </c>
      <c r="U7" s="58">
        <f>C7*24+M7*24+O7*24+Q7*24+T7</f>
        <v>1293</v>
      </c>
      <c r="V7" s="58">
        <f>U7/24</f>
        <v>53.875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20+5+63+15</f>
        <v>103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>
        <v>1</v>
      </c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2544</v>
      </c>
      <c r="V8" s="69">
        <f>U8/24</f>
        <v>106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94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2</v>
      </c>
      <c r="P9" s="71"/>
      <c r="Q9" s="71">
        <v>18</v>
      </c>
      <c r="R9" s="72"/>
      <c r="S9" s="55"/>
      <c r="T9" s="75">
        <f t="shared" si="0"/>
        <v>0</v>
      </c>
      <c r="U9" s="76">
        <f t="shared" ref="U9:U11" si="2">C9*24+M9*24+O9*24+Q9*24+T9</f>
        <v>2736</v>
      </c>
      <c r="V9" s="76">
        <f t="shared" ref="V9:V11" si="3">U9/24</f>
        <v>114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>
        <v>13</v>
      </c>
      <c r="R10" s="72"/>
      <c r="S10" s="55"/>
      <c r="T10" s="58">
        <f t="shared" si="0"/>
        <v>0</v>
      </c>
      <c r="U10" s="58">
        <f t="shared" si="2"/>
        <v>312</v>
      </c>
      <c r="V10" s="58">
        <f t="shared" si="3"/>
        <v>13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3</v>
      </c>
      <c r="D11" s="70"/>
      <c r="E11" s="70"/>
      <c r="F11" s="70"/>
      <c r="G11" s="70"/>
      <c r="H11" s="70">
        <v>22</v>
      </c>
      <c r="I11" s="70"/>
      <c r="J11" s="71"/>
      <c r="K11" s="72">
        <v>2</v>
      </c>
      <c r="L11" s="55"/>
      <c r="M11" s="73"/>
      <c r="N11" s="74"/>
      <c r="O11" s="70">
        <v>2</v>
      </c>
      <c r="P11" s="71"/>
      <c r="Q11" s="71"/>
      <c r="R11" s="72"/>
      <c r="S11" s="55"/>
      <c r="T11" s="58">
        <f t="shared" si="0"/>
        <v>24</v>
      </c>
      <c r="U11" s="58">
        <f t="shared" si="2"/>
        <v>144</v>
      </c>
      <c r="V11" s="58">
        <f t="shared" si="3"/>
        <v>6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29+1584+1440+576</f>
        <v>3629</v>
      </c>
      <c r="D12" s="59"/>
      <c r="E12" s="59"/>
      <c r="F12" s="59">
        <f>7*24</f>
        <v>168</v>
      </c>
      <c r="G12" s="59">
        <v>10</v>
      </c>
      <c r="H12" s="59"/>
      <c r="I12" s="59"/>
      <c r="J12" s="60"/>
      <c r="K12" s="61"/>
      <c r="L12" s="62"/>
      <c r="M12" s="63">
        <v>25</v>
      </c>
      <c r="N12" s="64"/>
      <c r="O12" s="65">
        <v>11</v>
      </c>
      <c r="P12" s="66"/>
      <c r="Q12" s="66">
        <v>35</v>
      </c>
      <c r="R12" s="67">
        <v>20</v>
      </c>
      <c r="S12" s="62"/>
      <c r="T12" s="69">
        <f>F12+G12+H12+I12+J12+K12+N12+P12+R12</f>
        <v>198</v>
      </c>
      <c r="U12" s="69">
        <f>C12*24+M12*24+O12*24+Q12*24+T12</f>
        <v>88998</v>
      </c>
      <c r="V12" s="69">
        <f>U12/24</f>
        <v>3708.25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f>2+2</f>
        <v>4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112</v>
      </c>
      <c r="V13" s="76">
        <f>U13/24</f>
        <v>4.666666666666667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3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72</v>
      </c>
      <c r="V14" s="75">
        <f t="shared" ref="V14:V36" si="5">U14/24</f>
        <v>3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>
        <v>2</v>
      </c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48</v>
      </c>
      <c r="V15" s="75">
        <f t="shared" si="5"/>
        <v>2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>
        <v>1</v>
      </c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24</v>
      </c>
      <c r="V16" s="75">
        <f t="shared" si="5"/>
        <v>1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>
        <v>3</v>
      </c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f>2+2</f>
        <v>4</v>
      </c>
      <c r="D19" s="70"/>
      <c r="E19" s="70"/>
      <c r="F19" s="70"/>
      <c r="G19" s="70"/>
      <c r="H19" s="70">
        <v>20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20</v>
      </c>
      <c r="U19" s="75">
        <f t="shared" si="4"/>
        <v>116</v>
      </c>
      <c r="V19" s="75">
        <f t="shared" si="5"/>
        <v>4.833333333333333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>
        <v>16</v>
      </c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16</v>
      </c>
      <c r="U20" s="75">
        <f t="shared" si="4"/>
        <v>136</v>
      </c>
      <c r="V20" s="75">
        <f t="shared" si="5"/>
        <v>5.666666666666667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>
        <f>1+3</f>
        <v>4</v>
      </c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96</v>
      </c>
      <c r="V21" s="75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>
        <v>36</v>
      </c>
      <c r="D23" s="70"/>
      <c r="E23" s="70"/>
      <c r="F23" s="70"/>
      <c r="G23" s="70">
        <f>24+19</f>
        <v>43</v>
      </c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>F23+G23+H23+I23+J23+K23+N23+P23+R23</f>
        <v>43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f>5+6</f>
        <v>11</v>
      </c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264</v>
      </c>
      <c r="V24" s="75">
        <f t="shared" si="5"/>
        <v>11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33</v>
      </c>
      <c r="D25" s="70"/>
      <c r="E25" s="70"/>
      <c r="F25" s="70">
        <v>24</v>
      </c>
      <c r="G25" s="70"/>
      <c r="H25" s="70">
        <v>10</v>
      </c>
      <c r="I25" s="70">
        <v>1</v>
      </c>
      <c r="J25" s="71"/>
      <c r="K25" s="72"/>
      <c r="L25" s="55"/>
      <c r="M25" s="73"/>
      <c r="N25" s="74"/>
      <c r="O25" s="70">
        <v>1</v>
      </c>
      <c r="P25" s="71"/>
      <c r="Q25" s="71"/>
      <c r="R25" s="72"/>
      <c r="S25" s="55"/>
      <c r="T25" s="58">
        <f>F25+G25+H25+I25+J25+K25+N25+P25+R25</f>
        <v>35</v>
      </c>
      <c r="U25" s="75">
        <f t="shared" si="4"/>
        <v>851</v>
      </c>
      <c r="V25" s="75">
        <f t="shared" si="5"/>
        <v>35.458333333333336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6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ref="T26:T28" si="6">F26+G26+H26+I26+J26+K26+N26+P26+R26</f>
        <v>0</v>
      </c>
      <c r="U26" s="75">
        <f t="shared" si="4"/>
        <v>144</v>
      </c>
      <c r="V26" s="75">
        <f t="shared" si="5"/>
        <v>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6"/>
        <v>0</v>
      </c>
      <c r="U27" s="75">
        <f t="shared" ref="U27" si="7">C27*24+M27*24+O27*24+Q27*24+T27</f>
        <v>96</v>
      </c>
      <c r="V27" s="75">
        <f t="shared" ref="V27" si="8">U27/24</f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5+17</f>
        <v>22</v>
      </c>
      <c r="D28" s="70"/>
      <c r="E28" s="70"/>
      <c r="F28" s="70">
        <f>4*24</f>
        <v>96</v>
      </c>
      <c r="G28" s="70">
        <f>24*2</f>
        <v>48</v>
      </c>
      <c r="H28" s="70"/>
      <c r="I28" s="70"/>
      <c r="J28" s="71"/>
      <c r="K28" s="72"/>
      <c r="L28" s="55"/>
      <c r="M28" s="73">
        <v>3</v>
      </c>
      <c r="N28" s="74"/>
      <c r="O28" s="70">
        <v>2</v>
      </c>
      <c r="P28" s="71"/>
      <c r="Q28" s="71">
        <v>9</v>
      </c>
      <c r="R28" s="72"/>
      <c r="S28" s="55"/>
      <c r="T28" s="58">
        <f>F28+G28+H28+I28+J28+K28+N28+P28+R28</f>
        <v>144</v>
      </c>
      <c r="U28" s="75">
        <f t="shared" si="4"/>
        <v>1008</v>
      </c>
      <c r="V28" s="75">
        <f t="shared" si="5"/>
        <v>42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f>3+62</f>
        <v>65</v>
      </c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ref="T29:T54" si="9">F29+G29+H29+I29+J29+K29+N29+P29+R29</f>
        <v>0</v>
      </c>
      <c r="U29" s="75">
        <f t="shared" si="4"/>
        <v>1584</v>
      </c>
      <c r="V29" s="75">
        <f t="shared" si="5"/>
        <v>66</v>
      </c>
    </row>
    <row r="30" spans="1:54" x14ac:dyDescent="0.25">
      <c r="A30" s="27">
        <f t="shared" si="1"/>
        <v>27</v>
      </c>
      <c r="B30" s="26" t="s">
        <v>15</v>
      </c>
      <c r="C30" s="70">
        <v>40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9"/>
        <v>0</v>
      </c>
      <c r="U30" s="75">
        <f t="shared" si="4"/>
        <v>984</v>
      </c>
      <c r="V30" s="75">
        <f t="shared" si="5"/>
        <v>41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>
        <v>1</v>
      </c>
      <c r="P31" s="71"/>
      <c r="Q31" s="71">
        <v>1</v>
      </c>
      <c r="R31" s="72"/>
      <c r="S31" s="55"/>
      <c r="T31" s="58">
        <f t="shared" si="9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>
        <v>1</v>
      </c>
      <c r="P32" s="71"/>
      <c r="Q32" s="71"/>
      <c r="R32" s="72"/>
      <c r="S32" s="55"/>
      <c r="T32" s="58">
        <f t="shared" si="9"/>
        <v>0</v>
      </c>
      <c r="U32" s="75">
        <f t="shared" si="4"/>
        <v>120</v>
      </c>
      <c r="V32" s="75">
        <f t="shared" si="5"/>
        <v>5</v>
      </c>
    </row>
    <row r="33" spans="1:23" x14ac:dyDescent="0.25">
      <c r="A33" s="27">
        <f t="shared" si="1"/>
        <v>30</v>
      </c>
      <c r="B33" s="26" t="s">
        <v>16</v>
      </c>
      <c r="C33" s="70">
        <v>5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9"/>
        <v>0</v>
      </c>
      <c r="U33" s="75">
        <f t="shared" si="4"/>
        <v>120</v>
      </c>
      <c r="V33" s="75">
        <f t="shared" si="5"/>
        <v>5</v>
      </c>
    </row>
    <row r="34" spans="1:23" x14ac:dyDescent="0.25">
      <c r="A34" s="27">
        <f t="shared" si="1"/>
        <v>31</v>
      </c>
      <c r="B34" s="26" t="s">
        <v>17</v>
      </c>
      <c r="C34" s="70">
        <f>42+72</f>
        <v>114</v>
      </c>
      <c r="D34" s="70"/>
      <c r="E34" s="70"/>
      <c r="F34" s="70">
        <v>24</v>
      </c>
      <c r="G34" s="70">
        <f>24*2</f>
        <v>48</v>
      </c>
      <c r="H34" s="70">
        <v>4</v>
      </c>
      <c r="I34" s="70"/>
      <c r="J34" s="71"/>
      <c r="K34" s="72">
        <v>1</v>
      </c>
      <c r="L34" s="55"/>
      <c r="M34" s="73">
        <v>3</v>
      </c>
      <c r="N34" s="74"/>
      <c r="O34" s="70">
        <v>1</v>
      </c>
      <c r="P34" s="71"/>
      <c r="Q34" s="71"/>
      <c r="R34" s="72"/>
      <c r="S34" s="55"/>
      <c r="T34" s="58">
        <f t="shared" si="9"/>
        <v>77</v>
      </c>
      <c r="U34" s="75">
        <f t="shared" si="4"/>
        <v>2909</v>
      </c>
      <c r="V34" s="75">
        <f t="shared" si="5"/>
        <v>121.20833333333333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9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>
        <v>2</v>
      </c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9"/>
        <v>0</v>
      </c>
      <c r="U36" s="75">
        <f t="shared" si="4"/>
        <v>48</v>
      </c>
      <c r="V36" s="75">
        <f t="shared" si="5"/>
        <v>2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2592+1296+108</f>
        <v>3996</v>
      </c>
      <c r="D37" s="59"/>
      <c r="E37" s="59"/>
      <c r="F37" s="59"/>
      <c r="G37" s="59">
        <f>19*6</f>
        <v>114</v>
      </c>
      <c r="H37" s="59"/>
      <c r="I37" s="59"/>
      <c r="J37" s="60"/>
      <c r="K37" s="61">
        <v>2</v>
      </c>
      <c r="L37" s="62"/>
      <c r="M37" s="63">
        <v>34</v>
      </c>
      <c r="N37" s="64"/>
      <c r="O37" s="65">
        <v>48</v>
      </c>
      <c r="P37" s="66"/>
      <c r="Q37" s="66">
        <v>109</v>
      </c>
      <c r="R37" s="67"/>
      <c r="S37" s="62"/>
      <c r="T37" s="68">
        <f t="shared" si="9"/>
        <v>116</v>
      </c>
      <c r="U37" s="77">
        <f>C37*6+M37*6+O37*6+Q37*6+T37</f>
        <v>25238</v>
      </c>
      <c r="V37" s="77">
        <f>U37/6</f>
        <v>4206.333333333333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7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9"/>
        <v>0</v>
      </c>
      <c r="U38" s="75">
        <f>C38*24+M38*24+O38*24+Q38*24+T38</f>
        <v>168</v>
      </c>
      <c r="V38" s="75">
        <f>U38/24</f>
        <v>7</v>
      </c>
    </row>
    <row r="39" spans="1:23" x14ac:dyDescent="0.25">
      <c r="A39" s="27">
        <f t="shared" si="1"/>
        <v>36</v>
      </c>
      <c r="B39" s="51" t="s">
        <v>62</v>
      </c>
      <c r="C39" s="78">
        <v>4</v>
      </c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58">
        <f t="shared" si="9"/>
        <v>0</v>
      </c>
      <c r="U39" s="75">
        <f>C39*24+M39*24+O39*24+Q39*24+T39</f>
        <v>96</v>
      </c>
      <c r="V39" s="75">
        <f>U39/24</f>
        <v>4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315+6</f>
        <v>321</v>
      </c>
      <c r="D40" s="59"/>
      <c r="E40" s="59"/>
      <c r="F40" s="59"/>
      <c r="G40" s="59">
        <v>24</v>
      </c>
      <c r="H40" s="59">
        <v>4</v>
      </c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/>
      <c r="R40" s="67"/>
      <c r="S40" s="62"/>
      <c r="T40" s="69">
        <f t="shared" si="9"/>
        <v>48</v>
      </c>
      <c r="U40" s="77">
        <f>C40*24+M40*24+O40*24+Q40*24+T40</f>
        <v>7776</v>
      </c>
      <c r="V40" s="77">
        <f>U40/24</f>
        <v>324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192+768+52</f>
        <v>1012</v>
      </c>
      <c r="D41" s="82"/>
      <c r="E41" s="82"/>
      <c r="F41" s="82">
        <f>9*2</f>
        <v>18</v>
      </c>
      <c r="G41" s="82">
        <f>9*5</f>
        <v>45</v>
      </c>
      <c r="H41" s="82">
        <v>9</v>
      </c>
      <c r="I41" s="82"/>
      <c r="J41" s="83"/>
      <c r="K41" s="84"/>
      <c r="L41" s="85"/>
      <c r="M41" s="86">
        <v>5</v>
      </c>
      <c r="N41" s="87"/>
      <c r="O41" s="82">
        <v>6</v>
      </c>
      <c r="P41" s="83"/>
      <c r="Q41" s="83">
        <v>10</v>
      </c>
      <c r="R41" s="84"/>
      <c r="S41" s="85"/>
      <c r="T41" s="76">
        <f t="shared" si="9"/>
        <v>72</v>
      </c>
      <c r="U41" s="88">
        <f>C41*12+M41*12+O41*12+Q41*12+T41</f>
        <v>12468</v>
      </c>
      <c r="V41" s="88">
        <f>U41/12</f>
        <v>1039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69">
        <f t="shared" si="9"/>
        <v>0</v>
      </c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7776+3132+5616+4536+9612</f>
        <v>30672</v>
      </c>
      <c r="D43" s="65"/>
      <c r="E43" s="65"/>
      <c r="F43" s="65">
        <f>6*6</f>
        <v>36</v>
      </c>
      <c r="G43" s="65">
        <f>64*6</f>
        <v>384</v>
      </c>
      <c r="H43" s="65">
        <v>4</v>
      </c>
      <c r="I43" s="65">
        <v>7</v>
      </c>
      <c r="J43" s="66">
        <f>21*6+5</f>
        <v>131</v>
      </c>
      <c r="K43" s="67">
        <f>21*6+2</f>
        <v>128</v>
      </c>
      <c r="L43" s="62"/>
      <c r="M43" s="63">
        <v>648</v>
      </c>
      <c r="N43" s="64"/>
      <c r="O43" s="65">
        <v>436</v>
      </c>
      <c r="P43" s="66"/>
      <c r="Q43" s="66">
        <v>756</v>
      </c>
      <c r="R43" s="67"/>
      <c r="S43" s="62"/>
      <c r="T43" s="76">
        <f t="shared" si="9"/>
        <v>690</v>
      </c>
      <c r="U43" s="77">
        <f>C43*6+M43*6+O43*6+Q43*6+T43</f>
        <v>195762</v>
      </c>
      <c r="V43" s="77">
        <f>U43/6</f>
        <v>32627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69">
        <f t="shared" si="9"/>
        <v>0</v>
      </c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>
        <v>1</v>
      </c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>
        <v>2</v>
      </c>
      <c r="P45" s="71"/>
      <c r="Q45" s="71"/>
      <c r="R45" s="72"/>
      <c r="S45" s="55"/>
      <c r="T45" s="76">
        <f t="shared" si="9"/>
        <v>0</v>
      </c>
      <c r="U45" s="75">
        <f>C45*24+M45*24+O45*24+Q45*24+T45</f>
        <v>72</v>
      </c>
      <c r="V45" s="75">
        <f>U45/24</f>
        <v>3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58">
        <f t="shared" si="9"/>
        <v>0</v>
      </c>
      <c r="U46" s="75">
        <f t="shared" ref="U46:U50" si="10">C46*24+M46*24+O46*24+Q46*24+T46</f>
        <v>0</v>
      </c>
      <c r="V46" s="75">
        <f t="shared" ref="V46:V54" si="11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432+106+2268+24</f>
        <v>2830</v>
      </c>
      <c r="D47" s="65"/>
      <c r="E47" s="65"/>
      <c r="F47" s="65"/>
      <c r="G47" s="65">
        <f>3*6+4</f>
        <v>22</v>
      </c>
      <c r="H47" s="65">
        <v>2</v>
      </c>
      <c r="I47" s="65"/>
      <c r="J47" s="66"/>
      <c r="K47" s="67">
        <v>4</v>
      </c>
      <c r="L47" s="62"/>
      <c r="M47" s="63"/>
      <c r="N47" s="64"/>
      <c r="O47" s="65"/>
      <c r="P47" s="66"/>
      <c r="Q47" s="66">
        <v>8</v>
      </c>
      <c r="R47" s="67"/>
      <c r="S47" s="62"/>
      <c r="T47" s="69">
        <f t="shared" si="9"/>
        <v>28</v>
      </c>
      <c r="U47" s="77">
        <f>C47*6+M47*6+O47*6+Q47*6+T47</f>
        <v>17056</v>
      </c>
      <c r="V47" s="77">
        <f>U47/6</f>
        <v>2842.6666666666665</v>
      </c>
    </row>
    <row r="48" spans="1:23" x14ac:dyDescent="0.25">
      <c r="A48" s="27">
        <f t="shared" si="1"/>
        <v>45</v>
      </c>
      <c r="B48" s="25" t="s">
        <v>58</v>
      </c>
      <c r="C48" s="70">
        <v>1</v>
      </c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6">
        <f t="shared" si="9"/>
        <v>0</v>
      </c>
      <c r="U48" s="75">
        <f t="shared" si="10"/>
        <v>24</v>
      </c>
      <c r="V48" s="75">
        <f t="shared" si="11"/>
        <v>1</v>
      </c>
    </row>
    <row r="49" spans="1:22" x14ac:dyDescent="0.25">
      <c r="A49" s="27">
        <f t="shared" si="1"/>
        <v>46</v>
      </c>
      <c r="B49" s="26" t="s">
        <v>26</v>
      </c>
      <c r="C49" s="70">
        <v>4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>
        <v>6</v>
      </c>
      <c r="R49" s="72"/>
      <c r="S49" s="55"/>
      <c r="T49" s="58">
        <f t="shared" si="9"/>
        <v>0</v>
      </c>
      <c r="U49" s="75">
        <f t="shared" si="10"/>
        <v>240</v>
      </c>
      <c r="V49" s="75">
        <f t="shared" si="11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58">
        <f t="shared" si="9"/>
        <v>0</v>
      </c>
      <c r="U50" s="75">
        <f t="shared" si="10"/>
        <v>0</v>
      </c>
      <c r="V50" s="75">
        <f t="shared" si="11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69">
        <f t="shared" si="9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>
        <v>2</v>
      </c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6">
        <f t="shared" si="9"/>
        <v>0</v>
      </c>
      <c r="U52" s="75">
        <f t="shared" ref="U52:U54" si="12">C52*24+M52*24+O52*24+Q52*24+T52</f>
        <v>48</v>
      </c>
      <c r="V52" s="75">
        <f t="shared" si="11"/>
        <v>2</v>
      </c>
    </row>
    <row r="53" spans="1:22" x14ac:dyDescent="0.25">
      <c r="A53" s="27">
        <f t="shared" si="1"/>
        <v>50</v>
      </c>
      <c r="B53" s="26" t="s">
        <v>63</v>
      </c>
      <c r="C53" s="70">
        <f>10+4</f>
        <v>14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58">
        <f t="shared" si="9"/>
        <v>0</v>
      </c>
      <c r="U53" s="75">
        <f t="shared" si="12"/>
        <v>336</v>
      </c>
      <c r="V53" s="75">
        <f t="shared" si="11"/>
        <v>14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58">
        <f t="shared" si="9"/>
        <v>0</v>
      </c>
      <c r="U54" s="75">
        <f t="shared" si="12"/>
        <v>0</v>
      </c>
      <c r="V54" s="75">
        <f t="shared" si="11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43146</v>
      </c>
      <c r="D58" s="2"/>
      <c r="E58" s="2"/>
      <c r="F58" s="2">
        <f t="shared" ref="F58:K58" si="13">SUM(F7:F57)</f>
        <v>390</v>
      </c>
      <c r="G58" s="2">
        <f t="shared" si="13"/>
        <v>798</v>
      </c>
      <c r="H58" s="2">
        <f t="shared" si="13"/>
        <v>129</v>
      </c>
      <c r="I58" s="6">
        <f t="shared" si="13"/>
        <v>9</v>
      </c>
      <c r="J58" s="6">
        <f t="shared" si="13"/>
        <v>131</v>
      </c>
      <c r="K58" s="6">
        <f t="shared" si="13"/>
        <v>163</v>
      </c>
      <c r="M58" s="5">
        <f t="shared" ref="M58:R58" si="14">SUM(M7:M57)</f>
        <v>720</v>
      </c>
      <c r="N58" s="5">
        <f t="shared" si="14"/>
        <v>0</v>
      </c>
      <c r="O58" s="5">
        <f t="shared" si="14"/>
        <v>516</v>
      </c>
      <c r="P58" s="5">
        <f t="shared" si="14"/>
        <v>0</v>
      </c>
      <c r="Q58" s="5">
        <f t="shared" si="14"/>
        <v>967</v>
      </c>
      <c r="R58" s="5">
        <f t="shared" si="14"/>
        <v>20</v>
      </c>
      <c r="S58" s="55"/>
      <c r="T58" s="4">
        <f>SUM(T7:T57)</f>
        <v>1640</v>
      </c>
      <c r="U58" s="4">
        <f>SUM(U7:U57)</f>
        <v>365342</v>
      </c>
      <c r="V58" s="4">
        <f>SUM(V7:V57)</f>
        <v>45524.583333333328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2" t="s">
        <v>41</v>
      </c>
      <c r="D60" s="103"/>
      <c r="E60" s="103"/>
      <c r="F60" s="103"/>
      <c r="G60" s="103"/>
      <c r="H60" s="103"/>
      <c r="I60" s="103"/>
      <c r="J60" s="103"/>
      <c r="K60" s="10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DB1-C2C1-437F-82FE-1324F6CC2192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5" t="s">
        <v>43</v>
      </c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06" t="s">
        <v>41</v>
      </c>
      <c r="D4" s="106"/>
      <c r="E4" s="106"/>
      <c r="F4" s="106"/>
      <c r="G4" s="106"/>
      <c r="H4" s="106"/>
      <c r="I4" s="106"/>
      <c r="J4" s="107"/>
      <c r="K4" s="10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09" t="s">
        <v>68</v>
      </c>
      <c r="U4" s="115" t="s">
        <v>67</v>
      </c>
      <c r="V4" s="9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3" t="s">
        <v>65</v>
      </c>
      <c r="K5" s="114"/>
      <c r="M5" s="37"/>
      <c r="N5" s="49"/>
      <c r="O5" s="40"/>
      <c r="P5" s="96"/>
      <c r="Q5" s="96"/>
      <c r="R5" s="38"/>
      <c r="S5" s="9"/>
      <c r="T5" s="110"/>
      <c r="U5" s="116"/>
      <c r="V5" s="9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6"/>
      <c r="K6" s="38"/>
      <c r="M6" s="37"/>
      <c r="N6" s="49"/>
      <c r="O6" s="40"/>
      <c r="P6" s="96"/>
      <c r="Q6" s="9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ref="T27" si="6">H27+I27+J27+K27+N27+P27+R27</f>
        <v>0</v>
      </c>
      <c r="U27" s="75">
        <f t="shared" ref="U27" si="7">C27*24+M27*24+O27*24+Q27*24+T27</f>
        <v>0</v>
      </c>
      <c r="V27" s="75">
        <f t="shared" ref="V27" si="8">U27/24</f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ref="T39" si="9">H39+I39+J39+K39+N39+P39+R39</f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10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11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11"/>
        <v>0</v>
      </c>
      <c r="U46" s="75">
        <f t="shared" ref="U46:U50" si="12">C46*24+M46*24+O46*24+Q46*24+T46</f>
        <v>0</v>
      </c>
      <c r="V46" s="75">
        <f t="shared" ref="V46:V54" si="13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11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11"/>
        <v>0</v>
      </c>
      <c r="U48" s="75">
        <f t="shared" si="12"/>
        <v>0</v>
      </c>
      <c r="V48" s="75">
        <f t="shared" si="13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11"/>
        <v>0</v>
      </c>
      <c r="U49" s="75">
        <f t="shared" si="12"/>
        <v>0</v>
      </c>
      <c r="V49" s="75">
        <f t="shared" si="13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11"/>
        <v>0</v>
      </c>
      <c r="U50" s="75">
        <f t="shared" si="12"/>
        <v>0</v>
      </c>
      <c r="V50" s="75">
        <f t="shared" si="13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11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11"/>
        <v>0</v>
      </c>
      <c r="U52" s="75">
        <f t="shared" ref="U52:U54" si="14">C52*24+M52*24+O52*24+Q52*24+T52</f>
        <v>0</v>
      </c>
      <c r="V52" s="75">
        <f t="shared" si="13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11"/>
        <v>0</v>
      </c>
      <c r="U53" s="75">
        <f t="shared" si="14"/>
        <v>0</v>
      </c>
      <c r="V53" s="75">
        <f t="shared" si="13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11"/>
        <v>0</v>
      </c>
      <c r="U54" s="75">
        <f t="shared" si="14"/>
        <v>0</v>
      </c>
      <c r="V54" s="75">
        <f t="shared" si="13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5">SUM(F7:F57)</f>
        <v>0</v>
      </c>
      <c r="G58" s="2">
        <f t="shared" si="15"/>
        <v>0</v>
      </c>
      <c r="H58" s="2">
        <f t="shared" si="15"/>
        <v>0</v>
      </c>
      <c r="I58" s="6">
        <f t="shared" si="15"/>
        <v>0</v>
      </c>
      <c r="J58" s="6">
        <f t="shared" si="15"/>
        <v>0</v>
      </c>
      <c r="K58" s="6">
        <f t="shared" si="15"/>
        <v>0</v>
      </c>
      <c r="M58" s="5">
        <f t="shared" ref="M58:R58" si="16">SUM(M7:M57)</f>
        <v>0</v>
      </c>
      <c r="N58" s="5">
        <f t="shared" si="16"/>
        <v>0</v>
      </c>
      <c r="O58" s="5">
        <f t="shared" si="16"/>
        <v>0</v>
      </c>
      <c r="P58" s="5">
        <f t="shared" si="16"/>
        <v>0</v>
      </c>
      <c r="Q58" s="5">
        <f t="shared" si="16"/>
        <v>0</v>
      </c>
      <c r="R58" s="5">
        <f t="shared" si="16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02" t="s">
        <v>41</v>
      </c>
      <c r="D60" s="103"/>
      <c r="E60" s="103"/>
      <c r="F60" s="103"/>
      <c r="G60" s="103"/>
      <c r="H60" s="103"/>
      <c r="I60" s="103"/>
      <c r="J60" s="103"/>
      <c r="K60" s="10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A05CE-7D22-43DC-A171-02A7DBD1AB5D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5" t="s">
        <v>43</v>
      </c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</row>
    <row r="2" spans="1:54" x14ac:dyDescent="0.25">
      <c r="B2" s="28" t="s">
        <v>75</v>
      </c>
    </row>
    <row r="3" spans="1:54" ht="19.5" thickBot="1" x14ac:dyDescent="0.3"/>
    <row r="4" spans="1:54" s="10" customFormat="1" ht="15.75" x14ac:dyDescent="0.25">
      <c r="B4" s="41" t="s">
        <v>52</v>
      </c>
      <c r="C4" s="106" t="s">
        <v>41</v>
      </c>
      <c r="D4" s="106"/>
      <c r="E4" s="106"/>
      <c r="F4" s="106"/>
      <c r="G4" s="106"/>
      <c r="H4" s="106"/>
      <c r="I4" s="106"/>
      <c r="J4" s="107"/>
      <c r="K4" s="10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09" t="s">
        <v>68</v>
      </c>
      <c r="U4" s="115" t="s">
        <v>67</v>
      </c>
      <c r="V4" s="9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3" t="s">
        <v>65</v>
      </c>
      <c r="K5" s="114"/>
      <c r="M5" s="37"/>
      <c r="N5" s="49"/>
      <c r="O5" s="40"/>
      <c r="P5" s="97"/>
      <c r="Q5" s="97"/>
      <c r="R5" s="38"/>
      <c r="S5" s="9"/>
      <c r="T5" s="110"/>
      <c r="U5" s="116"/>
      <c r="V5" s="9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ref="T27" si="6">H27+I27+J27+K27+N27+P27+R27</f>
        <v>0</v>
      </c>
      <c r="U27" s="75">
        <f t="shared" ref="U27" si="7">C27*24+M27*24+O27*24+Q27*24+T27</f>
        <v>0</v>
      </c>
      <c r="V27" s="75">
        <f t="shared" ref="V27" si="8">U27/24</f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ref="T39" si="9">H39+I39+J39+K39+N39+P39+R39</f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10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11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11"/>
        <v>0</v>
      </c>
      <c r="U46" s="75">
        <f t="shared" ref="U46:U50" si="12">C46*24+M46*24+O46*24+Q46*24+T46</f>
        <v>0</v>
      </c>
      <c r="V46" s="75">
        <f t="shared" ref="V46:V54" si="13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11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11"/>
        <v>0</v>
      </c>
      <c r="U48" s="75">
        <f t="shared" si="12"/>
        <v>0</v>
      </c>
      <c r="V48" s="75">
        <f t="shared" si="13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11"/>
        <v>0</v>
      </c>
      <c r="U49" s="75">
        <f t="shared" si="12"/>
        <v>0</v>
      </c>
      <c r="V49" s="75">
        <f t="shared" si="13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11"/>
        <v>0</v>
      </c>
      <c r="U50" s="75">
        <f t="shared" si="12"/>
        <v>0</v>
      </c>
      <c r="V50" s="75">
        <f t="shared" si="13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11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11"/>
        <v>0</v>
      </c>
      <c r="U52" s="75">
        <f t="shared" ref="U52:U54" si="14">C52*24+M52*24+O52*24+Q52*24+T52</f>
        <v>0</v>
      </c>
      <c r="V52" s="75">
        <f t="shared" si="13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11"/>
        <v>0</v>
      </c>
      <c r="U53" s="75">
        <f t="shared" si="14"/>
        <v>0</v>
      </c>
      <c r="V53" s="75">
        <f t="shared" si="13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11"/>
        <v>0</v>
      </c>
      <c r="U54" s="75">
        <f t="shared" si="14"/>
        <v>0</v>
      </c>
      <c r="V54" s="75">
        <f t="shared" si="13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5">SUM(F7:F57)</f>
        <v>0</v>
      </c>
      <c r="G58" s="2">
        <f t="shared" si="15"/>
        <v>0</v>
      </c>
      <c r="H58" s="2">
        <f t="shared" si="15"/>
        <v>0</v>
      </c>
      <c r="I58" s="6">
        <f t="shared" si="15"/>
        <v>0</v>
      </c>
      <c r="J58" s="6">
        <f t="shared" si="15"/>
        <v>0</v>
      </c>
      <c r="K58" s="6">
        <f t="shared" si="15"/>
        <v>0</v>
      </c>
      <c r="M58" s="5">
        <f t="shared" ref="M58:R58" si="16">SUM(M7:M57)</f>
        <v>0</v>
      </c>
      <c r="N58" s="5">
        <f t="shared" si="16"/>
        <v>0</v>
      </c>
      <c r="O58" s="5">
        <f t="shared" si="16"/>
        <v>0</v>
      </c>
      <c r="P58" s="5">
        <f t="shared" si="16"/>
        <v>0</v>
      </c>
      <c r="Q58" s="5">
        <f t="shared" si="16"/>
        <v>0</v>
      </c>
      <c r="R58" s="5">
        <f t="shared" si="16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02" t="s">
        <v>41</v>
      </c>
      <c r="D60" s="103"/>
      <c r="E60" s="103"/>
      <c r="F60" s="103"/>
      <c r="G60" s="103"/>
      <c r="H60" s="103"/>
      <c r="I60" s="103"/>
      <c r="J60" s="103"/>
      <c r="K60" s="10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FD993-F3E9-4FE3-983E-F3145948B2B7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5" t="s">
        <v>43</v>
      </c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</row>
    <row r="2" spans="1:54" x14ac:dyDescent="0.25">
      <c r="B2" s="28" t="s">
        <v>74</v>
      </c>
    </row>
    <row r="3" spans="1:54" ht="19.5" thickBot="1" x14ac:dyDescent="0.3"/>
    <row r="4" spans="1:54" s="10" customFormat="1" ht="15.75" x14ac:dyDescent="0.25">
      <c r="B4" s="41" t="s">
        <v>52</v>
      </c>
      <c r="C4" s="106" t="s">
        <v>41</v>
      </c>
      <c r="D4" s="106"/>
      <c r="E4" s="106"/>
      <c r="F4" s="106"/>
      <c r="G4" s="106"/>
      <c r="H4" s="106"/>
      <c r="I4" s="106"/>
      <c r="J4" s="107"/>
      <c r="K4" s="10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09" t="s">
        <v>68</v>
      </c>
      <c r="U4" s="115" t="s">
        <v>67</v>
      </c>
      <c r="V4" s="9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3" t="s">
        <v>65</v>
      </c>
      <c r="K5" s="114"/>
      <c r="M5" s="37"/>
      <c r="N5" s="49"/>
      <c r="O5" s="40"/>
      <c r="P5" s="97"/>
      <c r="Q5" s="97"/>
      <c r="R5" s="38"/>
      <c r="S5" s="9"/>
      <c r="T5" s="110"/>
      <c r="U5" s="116"/>
      <c r="V5" s="9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ref="T27" si="6">H27+I27+J27+K27+N27+P27+R27</f>
        <v>0</v>
      </c>
      <c r="U27" s="75">
        <f t="shared" ref="U27" si="7">C27*24+M27*24+O27*24+Q27*24+T27</f>
        <v>0</v>
      </c>
      <c r="V27" s="75">
        <f t="shared" ref="V27" si="8">U27/24</f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ref="T39" si="9">H39+I39+J39+K39+N39+P39+R39</f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10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11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11"/>
        <v>0</v>
      </c>
      <c r="U46" s="75">
        <f t="shared" ref="U46:U50" si="12">C46*24+M46*24+O46*24+Q46*24+T46</f>
        <v>0</v>
      </c>
      <c r="V46" s="75">
        <f t="shared" ref="V46:V54" si="13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11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11"/>
        <v>0</v>
      </c>
      <c r="U48" s="75">
        <f t="shared" si="12"/>
        <v>0</v>
      </c>
      <c r="V48" s="75">
        <f t="shared" si="13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11"/>
        <v>0</v>
      </c>
      <c r="U49" s="75">
        <f t="shared" si="12"/>
        <v>0</v>
      </c>
      <c r="V49" s="75">
        <f t="shared" si="13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11"/>
        <v>0</v>
      </c>
      <c r="U50" s="75">
        <f t="shared" si="12"/>
        <v>0</v>
      </c>
      <c r="V50" s="75">
        <f t="shared" si="13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11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11"/>
        <v>0</v>
      </c>
      <c r="U52" s="75">
        <f t="shared" ref="U52:U54" si="14">C52*24+M52*24+O52*24+Q52*24+T52</f>
        <v>0</v>
      </c>
      <c r="V52" s="75">
        <f t="shared" si="13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11"/>
        <v>0</v>
      </c>
      <c r="U53" s="75">
        <f t="shared" si="14"/>
        <v>0</v>
      </c>
      <c r="V53" s="75">
        <f t="shared" si="13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11"/>
        <v>0</v>
      </c>
      <c r="U54" s="75">
        <f t="shared" si="14"/>
        <v>0</v>
      </c>
      <c r="V54" s="75">
        <f t="shared" si="13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5">SUM(F7:F57)</f>
        <v>0</v>
      </c>
      <c r="G58" s="2">
        <f t="shared" si="15"/>
        <v>0</v>
      </c>
      <c r="H58" s="2">
        <f t="shared" si="15"/>
        <v>0</v>
      </c>
      <c r="I58" s="6">
        <f t="shared" si="15"/>
        <v>0</v>
      </c>
      <c r="J58" s="6">
        <f t="shared" si="15"/>
        <v>0</v>
      </c>
      <c r="K58" s="6">
        <f t="shared" si="15"/>
        <v>0</v>
      </c>
      <c r="M58" s="5">
        <f t="shared" ref="M58:R58" si="16">SUM(M7:M57)</f>
        <v>0</v>
      </c>
      <c r="N58" s="5">
        <f t="shared" si="16"/>
        <v>0</v>
      </c>
      <c r="O58" s="5">
        <f t="shared" si="16"/>
        <v>0</v>
      </c>
      <c r="P58" s="5">
        <f t="shared" si="16"/>
        <v>0</v>
      </c>
      <c r="Q58" s="5">
        <f t="shared" si="16"/>
        <v>0</v>
      </c>
      <c r="R58" s="5">
        <f t="shared" si="16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02" t="s">
        <v>41</v>
      </c>
      <c r="D60" s="103"/>
      <c r="E60" s="103"/>
      <c r="F60" s="103"/>
      <c r="G60" s="103"/>
      <c r="H60" s="103"/>
      <c r="I60" s="103"/>
      <c r="J60" s="103"/>
      <c r="K60" s="10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6</vt:i4>
      </vt:variant>
    </vt:vector>
  </HeadingPairs>
  <TitlesOfParts>
    <vt:vector size="12" baseType="lpstr">
      <vt:lpstr>SAMPLE</vt:lpstr>
      <vt:lpstr>04-02-2026</vt:lpstr>
      <vt:lpstr>04-06-2026</vt:lpstr>
      <vt:lpstr>04-07-2026</vt:lpstr>
      <vt:lpstr>04-08-2026</vt:lpstr>
      <vt:lpstr>04-09-2026</vt:lpstr>
      <vt:lpstr>'04-02-2026'!Print_Area</vt:lpstr>
      <vt:lpstr>'04-06-2026'!Print_Area</vt:lpstr>
      <vt:lpstr>'04-07-2026'!Print_Area</vt:lpstr>
      <vt:lpstr>'04-08-2026'!Print_Area</vt:lpstr>
      <vt:lpstr>'04-09-2026'!Print_Area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2026-02-16T05:13:57Z</cp:lastPrinted>
  <dcterms:created xsi:type="dcterms:W3CDTF">2024-08-17T00:07:58Z</dcterms:created>
  <dcterms:modified xsi:type="dcterms:W3CDTF">2026-04-09T02:42:19Z</dcterms:modified>
</cp:coreProperties>
</file>