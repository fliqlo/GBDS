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FFB45CEE-B0D3-4468-8EF9-C409072BB1E2}" xr6:coauthVersionLast="45" xr6:coauthVersionMax="45" xr10:uidLastSave="{00000000-0000-0000-0000-000000000000}"/>
  <bookViews>
    <workbookView xWindow="-120" yWindow="-120" windowWidth="29040" windowHeight="15840" firstSheet="4" activeTab="12" xr2:uid="{D34C963E-9680-4B45-A4EE-B681FF0CEC08}"/>
  </bookViews>
  <sheets>
    <sheet name="SAMPLE" sheetId="32" r:id="rId1"/>
    <sheet name="04-02-2026" sheetId="43" r:id="rId2"/>
    <sheet name="04-06-2026" sheetId="47" r:id="rId3"/>
    <sheet name="04-09-2026" sheetId="46" r:id="rId4"/>
    <sheet name="04-10-2026" sheetId="44" r:id="rId5"/>
    <sheet name="04-14-2026" sheetId="45" r:id="rId6"/>
    <sheet name="04-16-2026" sheetId="49" r:id="rId7"/>
    <sheet name="04-17-2026" sheetId="50" r:id="rId8"/>
    <sheet name="04-20-2026" sheetId="48" r:id="rId9"/>
    <sheet name="04-21-2026" sheetId="51" r:id="rId10"/>
    <sheet name="04-22-2026" sheetId="52" r:id="rId11"/>
    <sheet name="04-23-2026" sheetId="53" r:id="rId12"/>
    <sheet name="04-24-2026" sheetId="54" r:id="rId13"/>
    <sheet name="04-24-2026 (2)" sheetId="55" r:id="rId14"/>
  </sheets>
  <definedNames>
    <definedName name="_xlnm.Print_Area" localSheetId="1">'04-02-2026'!$A$1:$W$59</definedName>
    <definedName name="_xlnm.Print_Area" localSheetId="2">'04-06-2026'!$A$1:$W$59</definedName>
    <definedName name="_xlnm.Print_Area" localSheetId="3">'04-09-2026'!$A$1:$W$59</definedName>
    <definedName name="_xlnm.Print_Area" localSheetId="4">'04-10-2026'!$A$1:$W$59</definedName>
    <definedName name="_xlnm.Print_Area" localSheetId="5">'04-14-2026'!$A$1:$W$59</definedName>
    <definedName name="_xlnm.Print_Area" localSheetId="6">'04-16-2026'!$A$1:$W$59</definedName>
    <definedName name="_xlnm.Print_Area" localSheetId="7">'04-17-2026'!$A$1:$W$59</definedName>
    <definedName name="_xlnm.Print_Area" localSheetId="8">'04-20-2026'!$A$1:$W$59</definedName>
    <definedName name="_xlnm.Print_Area" localSheetId="9">'04-21-2026'!$A$1:$W$59</definedName>
    <definedName name="_xlnm.Print_Area" localSheetId="10">'04-22-2026'!$A$1:$W$59</definedName>
    <definedName name="_xlnm.Print_Area" localSheetId="11">'04-23-2026'!$A$1:$W$59</definedName>
    <definedName name="_xlnm.Print_Area" localSheetId="12">'04-24-2026'!$A$1:$W$59</definedName>
    <definedName name="_xlnm.Print_Area" localSheetId="13">'04-24-2026 (2)'!$A$1:$W$59</definedName>
    <definedName name="_xlnm.Print_Area" localSheetId="0">SAMPLE!$A$1:$W$61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24" i="54" l="1"/>
  <c r="U24" i="54" s="1"/>
  <c r="V24" i="54" s="1"/>
  <c r="C53" i="54"/>
  <c r="C47" i="54"/>
  <c r="K43" i="54"/>
  <c r="J43" i="54"/>
  <c r="C43" i="54"/>
  <c r="C41" i="54"/>
  <c r="C40" i="54"/>
  <c r="C37" i="54"/>
  <c r="C34" i="54"/>
  <c r="C21" i="54"/>
  <c r="C19" i="54"/>
  <c r="C13" i="54"/>
  <c r="C12" i="54"/>
  <c r="C8" i="54"/>
  <c r="R58" i="55"/>
  <c r="Q58" i="55"/>
  <c r="P58" i="55"/>
  <c r="O58" i="55"/>
  <c r="N58" i="55"/>
  <c r="M58" i="55"/>
  <c r="K58" i="55"/>
  <c r="J58" i="55"/>
  <c r="I58" i="55"/>
  <c r="H58" i="55"/>
  <c r="G58" i="55"/>
  <c r="F58" i="55"/>
  <c r="C58" i="55"/>
  <c r="T54" i="55"/>
  <c r="U54" i="55" s="1"/>
  <c r="V54" i="55" s="1"/>
  <c r="T53" i="55"/>
  <c r="U53" i="55" s="1"/>
  <c r="V53" i="55" s="1"/>
  <c r="T52" i="55"/>
  <c r="U52" i="55" s="1"/>
  <c r="V52" i="55" s="1"/>
  <c r="T51" i="55"/>
  <c r="U51" i="55" s="1"/>
  <c r="V51" i="55" s="1"/>
  <c r="T50" i="55"/>
  <c r="U50" i="55" s="1"/>
  <c r="V50" i="55" s="1"/>
  <c r="T49" i="55"/>
  <c r="U49" i="55" s="1"/>
  <c r="V49" i="55" s="1"/>
  <c r="T48" i="55"/>
  <c r="U48" i="55" s="1"/>
  <c r="V48" i="55" s="1"/>
  <c r="T47" i="55"/>
  <c r="U47" i="55" s="1"/>
  <c r="V47" i="55" s="1"/>
  <c r="T46" i="55"/>
  <c r="U46" i="55" s="1"/>
  <c r="V46" i="55" s="1"/>
  <c r="U45" i="55"/>
  <c r="V45" i="55" s="1"/>
  <c r="T45" i="55"/>
  <c r="U43" i="55"/>
  <c r="V43" i="55" s="1"/>
  <c r="T43" i="55"/>
  <c r="T41" i="55"/>
  <c r="U41" i="55" s="1"/>
  <c r="V41" i="55" s="1"/>
  <c r="U40" i="55"/>
  <c r="V40" i="55" s="1"/>
  <c r="T40" i="55"/>
  <c r="T39" i="55"/>
  <c r="U39" i="55" s="1"/>
  <c r="V39" i="55" s="1"/>
  <c r="T38" i="55"/>
  <c r="U38" i="55" s="1"/>
  <c r="V38" i="55" s="1"/>
  <c r="T37" i="55"/>
  <c r="U37" i="55" s="1"/>
  <c r="V37" i="55" s="1"/>
  <c r="U36" i="55"/>
  <c r="V36" i="55" s="1"/>
  <c r="T36" i="55"/>
  <c r="T35" i="55"/>
  <c r="U35" i="55" s="1"/>
  <c r="V35" i="55" s="1"/>
  <c r="T34" i="55"/>
  <c r="U34" i="55" s="1"/>
  <c r="V34" i="55" s="1"/>
  <c r="T33" i="55"/>
  <c r="U33" i="55" s="1"/>
  <c r="V33" i="55" s="1"/>
  <c r="U32" i="55"/>
  <c r="V32" i="55" s="1"/>
  <c r="T32" i="55"/>
  <c r="T31" i="55"/>
  <c r="U31" i="55" s="1"/>
  <c r="V31" i="55" s="1"/>
  <c r="T30" i="55"/>
  <c r="U30" i="55" s="1"/>
  <c r="V30" i="55" s="1"/>
  <c r="T29" i="55"/>
  <c r="U29" i="55" s="1"/>
  <c r="V29" i="55" s="1"/>
  <c r="U28" i="55"/>
  <c r="V28" i="55" s="1"/>
  <c r="T28" i="55"/>
  <c r="T27" i="55"/>
  <c r="U27" i="55" s="1"/>
  <c r="V27" i="55" s="1"/>
  <c r="T26" i="55"/>
  <c r="U26" i="55" s="1"/>
  <c r="V26" i="55" s="1"/>
  <c r="AY25" i="55"/>
  <c r="U25" i="55"/>
  <c r="V25" i="55" s="1"/>
  <c r="T25" i="55"/>
  <c r="T24" i="55"/>
  <c r="U24" i="55" s="1"/>
  <c r="V24" i="55" s="1"/>
  <c r="T23" i="55"/>
  <c r="U23" i="55" s="1"/>
  <c r="V23" i="55" s="1"/>
  <c r="T22" i="55"/>
  <c r="U22" i="55" s="1"/>
  <c r="V22" i="55" s="1"/>
  <c r="U21" i="55"/>
  <c r="V21" i="55" s="1"/>
  <c r="T21" i="55"/>
  <c r="A21" i="55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T20" i="55"/>
  <c r="U20" i="55" s="1"/>
  <c r="V20" i="55" s="1"/>
  <c r="A20" i="55"/>
  <c r="T19" i="55"/>
  <c r="U19" i="55" s="1"/>
  <c r="V19" i="55" s="1"/>
  <c r="T18" i="55"/>
  <c r="U18" i="55" s="1"/>
  <c r="V18" i="55" s="1"/>
  <c r="T17" i="55"/>
  <c r="U17" i="55" s="1"/>
  <c r="V17" i="55" s="1"/>
  <c r="V16" i="55"/>
  <c r="U16" i="55"/>
  <c r="T16" i="55"/>
  <c r="T15" i="55"/>
  <c r="U15" i="55" s="1"/>
  <c r="V15" i="55" s="1"/>
  <c r="T14" i="55"/>
  <c r="U14" i="55" s="1"/>
  <c r="V14" i="55" s="1"/>
  <c r="A14" i="55"/>
  <c r="A15" i="55" s="1"/>
  <c r="A16" i="55" s="1"/>
  <c r="A17" i="55" s="1"/>
  <c r="A18" i="55" s="1"/>
  <c r="T13" i="55"/>
  <c r="U13" i="55" s="1"/>
  <c r="V13" i="55" s="1"/>
  <c r="T12" i="55"/>
  <c r="U12" i="55" s="1"/>
  <c r="V12" i="55" s="1"/>
  <c r="U11" i="55"/>
  <c r="V11" i="55" s="1"/>
  <c r="T11" i="55"/>
  <c r="T10" i="55"/>
  <c r="U10" i="55" s="1"/>
  <c r="V10" i="55" s="1"/>
  <c r="T9" i="55"/>
  <c r="U9" i="55" s="1"/>
  <c r="V9" i="55" s="1"/>
  <c r="T8" i="55"/>
  <c r="U8" i="55" s="1"/>
  <c r="V8" i="55" s="1"/>
  <c r="A8" i="55"/>
  <c r="A9" i="55" s="1"/>
  <c r="A10" i="55" s="1"/>
  <c r="A11" i="55" s="1"/>
  <c r="T7" i="55"/>
  <c r="C7" i="55"/>
  <c r="U7" i="55" s="1"/>
  <c r="C7" i="54"/>
  <c r="C53" i="53"/>
  <c r="C47" i="53"/>
  <c r="K43" i="53"/>
  <c r="J43" i="53"/>
  <c r="C43" i="53"/>
  <c r="C41" i="53"/>
  <c r="C40" i="53"/>
  <c r="C37" i="53"/>
  <c r="C34" i="53"/>
  <c r="C24" i="53"/>
  <c r="C21" i="53"/>
  <c r="C19" i="53"/>
  <c r="C13" i="53"/>
  <c r="C12" i="53"/>
  <c r="C8" i="53"/>
  <c r="C7" i="53"/>
  <c r="R58" i="54"/>
  <c r="Q58" i="54"/>
  <c r="P58" i="54"/>
  <c r="O58" i="54"/>
  <c r="N58" i="54"/>
  <c r="M58" i="54"/>
  <c r="K58" i="54"/>
  <c r="J58" i="54"/>
  <c r="I58" i="54"/>
  <c r="H58" i="54"/>
  <c r="G58" i="54"/>
  <c r="F58" i="54"/>
  <c r="T54" i="54"/>
  <c r="U54" i="54" s="1"/>
  <c r="V54" i="54" s="1"/>
  <c r="T53" i="54"/>
  <c r="U53" i="54" s="1"/>
  <c r="V53" i="54" s="1"/>
  <c r="T52" i="54"/>
  <c r="U52" i="54" s="1"/>
  <c r="V52" i="54" s="1"/>
  <c r="T51" i="54"/>
  <c r="U51" i="54" s="1"/>
  <c r="V51" i="54" s="1"/>
  <c r="T50" i="54"/>
  <c r="U50" i="54" s="1"/>
  <c r="V50" i="54" s="1"/>
  <c r="T49" i="54"/>
  <c r="U49" i="54" s="1"/>
  <c r="V49" i="54" s="1"/>
  <c r="T48" i="54"/>
  <c r="U48" i="54" s="1"/>
  <c r="V48" i="54" s="1"/>
  <c r="T47" i="54"/>
  <c r="U47" i="54" s="1"/>
  <c r="V47" i="54" s="1"/>
  <c r="T46" i="54"/>
  <c r="U46" i="54" s="1"/>
  <c r="V46" i="54" s="1"/>
  <c r="T45" i="54"/>
  <c r="U45" i="54" s="1"/>
  <c r="V45" i="54" s="1"/>
  <c r="T41" i="54"/>
  <c r="T40" i="54"/>
  <c r="U40" i="54" s="1"/>
  <c r="V40" i="54" s="1"/>
  <c r="T39" i="54"/>
  <c r="U39" i="54" s="1"/>
  <c r="V39" i="54" s="1"/>
  <c r="U38" i="54"/>
  <c r="V38" i="54" s="1"/>
  <c r="T38" i="54"/>
  <c r="T37" i="54"/>
  <c r="T36" i="54"/>
  <c r="U36" i="54" s="1"/>
  <c r="V36" i="54" s="1"/>
  <c r="T35" i="54"/>
  <c r="U35" i="54" s="1"/>
  <c r="V35" i="54" s="1"/>
  <c r="T34" i="54"/>
  <c r="U34" i="54" s="1"/>
  <c r="V34" i="54" s="1"/>
  <c r="T33" i="54"/>
  <c r="U33" i="54" s="1"/>
  <c r="V33" i="54" s="1"/>
  <c r="T32" i="54"/>
  <c r="U32" i="54" s="1"/>
  <c r="V32" i="54" s="1"/>
  <c r="T31" i="54"/>
  <c r="U31" i="54" s="1"/>
  <c r="V31" i="54" s="1"/>
  <c r="U30" i="54"/>
  <c r="V30" i="54" s="1"/>
  <c r="T30" i="54"/>
  <c r="T29" i="54"/>
  <c r="U29" i="54" s="1"/>
  <c r="V29" i="54" s="1"/>
  <c r="T28" i="54"/>
  <c r="U28" i="54" s="1"/>
  <c r="V28" i="54" s="1"/>
  <c r="T27" i="54"/>
  <c r="U27" i="54" s="1"/>
  <c r="V27" i="54" s="1"/>
  <c r="U26" i="54"/>
  <c r="V26" i="54" s="1"/>
  <c r="T26" i="54"/>
  <c r="AY25" i="54"/>
  <c r="T25" i="54"/>
  <c r="U25" i="54" s="1"/>
  <c r="V25" i="54" s="1"/>
  <c r="T24" i="54"/>
  <c r="T23" i="54"/>
  <c r="U23" i="54" s="1"/>
  <c r="V23" i="54" s="1"/>
  <c r="T22" i="54"/>
  <c r="U22" i="54" s="1"/>
  <c r="V22" i="54" s="1"/>
  <c r="A22" i="54"/>
  <c r="A23" i="54" s="1"/>
  <c r="A24" i="54" s="1"/>
  <c r="A25" i="54" s="1"/>
  <c r="A26" i="54" s="1"/>
  <c r="A27" i="54" s="1"/>
  <c r="A28" i="54" s="1"/>
  <c r="A29" i="54" s="1"/>
  <c r="A30" i="54" s="1"/>
  <c r="A31" i="54" s="1"/>
  <c r="A32" i="54" s="1"/>
  <c r="A33" i="54" s="1"/>
  <c r="A34" i="54" s="1"/>
  <c r="A35" i="54" s="1"/>
  <c r="A36" i="54" s="1"/>
  <c r="A37" i="54" s="1"/>
  <c r="A38" i="54" s="1"/>
  <c r="A39" i="54" s="1"/>
  <c r="A40" i="54" s="1"/>
  <c r="A41" i="54" s="1"/>
  <c r="A42" i="54" s="1"/>
  <c r="A43" i="54" s="1"/>
  <c r="A44" i="54" s="1"/>
  <c r="A45" i="54" s="1"/>
  <c r="A46" i="54" s="1"/>
  <c r="A47" i="54" s="1"/>
  <c r="A48" i="54" s="1"/>
  <c r="A49" i="54" s="1"/>
  <c r="A50" i="54" s="1"/>
  <c r="A51" i="54" s="1"/>
  <c r="A52" i="54" s="1"/>
  <c r="A53" i="54" s="1"/>
  <c r="A54" i="54" s="1"/>
  <c r="A55" i="54" s="1"/>
  <c r="A56" i="54" s="1"/>
  <c r="A57" i="54" s="1"/>
  <c r="T21" i="54"/>
  <c r="U21" i="54" s="1"/>
  <c r="V21" i="54" s="1"/>
  <c r="A21" i="54"/>
  <c r="T20" i="54"/>
  <c r="U20" i="54" s="1"/>
  <c r="V20" i="54" s="1"/>
  <c r="A20" i="54"/>
  <c r="T19" i="54"/>
  <c r="U18" i="54"/>
  <c r="V18" i="54" s="1"/>
  <c r="T18" i="54"/>
  <c r="T17" i="54"/>
  <c r="U17" i="54" s="1"/>
  <c r="V17" i="54" s="1"/>
  <c r="T16" i="54"/>
  <c r="U16" i="54" s="1"/>
  <c r="V16" i="54" s="1"/>
  <c r="T15" i="54"/>
  <c r="U15" i="54" s="1"/>
  <c r="V15" i="54" s="1"/>
  <c r="U14" i="54"/>
  <c r="V14" i="54" s="1"/>
  <c r="T14" i="54"/>
  <c r="A14" i="54"/>
  <c r="A15" i="54" s="1"/>
  <c r="A16" i="54" s="1"/>
  <c r="A17" i="54" s="1"/>
  <c r="A18" i="54" s="1"/>
  <c r="T13" i="54"/>
  <c r="T12" i="54"/>
  <c r="T11" i="54"/>
  <c r="U11" i="54" s="1"/>
  <c r="V11" i="54" s="1"/>
  <c r="T10" i="54"/>
  <c r="U10" i="54" s="1"/>
  <c r="V10" i="54" s="1"/>
  <c r="T9" i="54"/>
  <c r="U9" i="54" s="1"/>
  <c r="V9" i="54" s="1"/>
  <c r="T8" i="54"/>
  <c r="A8" i="54"/>
  <c r="A9" i="54" s="1"/>
  <c r="A10" i="54" s="1"/>
  <c r="A11" i="54" s="1"/>
  <c r="T7" i="54"/>
  <c r="T25" i="52"/>
  <c r="U25" i="52" s="1"/>
  <c r="C53" i="52"/>
  <c r="C47" i="52"/>
  <c r="J43" i="52"/>
  <c r="K43" i="52"/>
  <c r="C43" i="52"/>
  <c r="C41" i="52"/>
  <c r="C40" i="52"/>
  <c r="C37" i="52"/>
  <c r="C34" i="52"/>
  <c r="C24" i="52"/>
  <c r="C21" i="52"/>
  <c r="C19" i="52"/>
  <c r="C13" i="52"/>
  <c r="C12" i="52"/>
  <c r="C8" i="52"/>
  <c r="C7" i="52"/>
  <c r="T43" i="54" l="1"/>
  <c r="U43" i="54"/>
  <c r="V43" i="54" s="1"/>
  <c r="U41" i="54"/>
  <c r="V41" i="54" s="1"/>
  <c r="U37" i="54"/>
  <c r="V37" i="54" s="1"/>
  <c r="U19" i="54"/>
  <c r="V19" i="54" s="1"/>
  <c r="U13" i="54"/>
  <c r="V13" i="54" s="1"/>
  <c r="U12" i="54"/>
  <c r="V12" i="54" s="1"/>
  <c r="T58" i="54"/>
  <c r="C58" i="54"/>
  <c r="U8" i="54"/>
  <c r="V8" i="54" s="1"/>
  <c r="V7" i="55"/>
  <c r="V58" i="55" s="1"/>
  <c r="U58" i="55"/>
  <c r="T58" i="55"/>
  <c r="U7" i="54"/>
  <c r="C43" i="51"/>
  <c r="C7" i="51"/>
  <c r="C53" i="51"/>
  <c r="C47" i="51"/>
  <c r="K43" i="51"/>
  <c r="J43" i="51"/>
  <c r="C41" i="51"/>
  <c r="C40" i="51"/>
  <c r="C37" i="51"/>
  <c r="C34" i="51"/>
  <c r="C24" i="51"/>
  <c r="C21" i="51"/>
  <c r="C19" i="51"/>
  <c r="C13" i="51"/>
  <c r="C12" i="51"/>
  <c r="C8" i="51"/>
  <c r="V7" i="54" l="1"/>
  <c r="V58" i="54" s="1"/>
  <c r="U58" i="54"/>
  <c r="R58" i="53"/>
  <c r="Q58" i="53"/>
  <c r="P58" i="53"/>
  <c r="O58" i="53"/>
  <c r="N58" i="53"/>
  <c r="M58" i="53"/>
  <c r="K58" i="53"/>
  <c r="J58" i="53"/>
  <c r="I58" i="53"/>
  <c r="H58" i="53"/>
  <c r="G58" i="53"/>
  <c r="F58" i="53"/>
  <c r="C58" i="53"/>
  <c r="T54" i="53"/>
  <c r="U54" i="53" s="1"/>
  <c r="V54" i="53" s="1"/>
  <c r="T53" i="53"/>
  <c r="U53" i="53" s="1"/>
  <c r="V53" i="53" s="1"/>
  <c r="U52" i="53"/>
  <c r="V52" i="53" s="1"/>
  <c r="T52" i="53"/>
  <c r="T51" i="53"/>
  <c r="U51" i="53" s="1"/>
  <c r="V51" i="53" s="1"/>
  <c r="T50" i="53"/>
  <c r="U50" i="53" s="1"/>
  <c r="V50" i="53" s="1"/>
  <c r="T49" i="53"/>
  <c r="U49" i="53" s="1"/>
  <c r="V49" i="53" s="1"/>
  <c r="U48" i="53"/>
  <c r="V48" i="53" s="1"/>
  <c r="T48" i="53"/>
  <c r="T47" i="53"/>
  <c r="U47" i="53" s="1"/>
  <c r="V47" i="53" s="1"/>
  <c r="T46" i="53"/>
  <c r="U46" i="53" s="1"/>
  <c r="V46" i="53" s="1"/>
  <c r="T45" i="53"/>
  <c r="U45" i="53" s="1"/>
  <c r="V45" i="53" s="1"/>
  <c r="T43" i="53"/>
  <c r="U43" i="53" s="1"/>
  <c r="V43" i="53" s="1"/>
  <c r="T41" i="53"/>
  <c r="U41" i="53" s="1"/>
  <c r="V41" i="53" s="1"/>
  <c r="T40" i="53"/>
  <c r="U40" i="53" s="1"/>
  <c r="V40" i="53" s="1"/>
  <c r="U39" i="53"/>
  <c r="V39" i="53" s="1"/>
  <c r="T39" i="53"/>
  <c r="T38" i="53"/>
  <c r="U38" i="53" s="1"/>
  <c r="V38" i="53" s="1"/>
  <c r="T37" i="53"/>
  <c r="U37" i="53" s="1"/>
  <c r="V37" i="53" s="1"/>
  <c r="T36" i="53"/>
  <c r="U36" i="53" s="1"/>
  <c r="V36" i="53" s="1"/>
  <c r="U35" i="53"/>
  <c r="V35" i="53" s="1"/>
  <c r="T35" i="53"/>
  <c r="T34" i="53"/>
  <c r="U34" i="53" s="1"/>
  <c r="V34" i="53" s="1"/>
  <c r="U33" i="53"/>
  <c r="V33" i="53" s="1"/>
  <c r="T33" i="53"/>
  <c r="T32" i="53"/>
  <c r="U32" i="53" s="1"/>
  <c r="V32" i="53" s="1"/>
  <c r="U31" i="53"/>
  <c r="V31" i="53" s="1"/>
  <c r="T31" i="53"/>
  <c r="T30" i="53"/>
  <c r="U30" i="53" s="1"/>
  <c r="V30" i="53" s="1"/>
  <c r="T29" i="53"/>
  <c r="U29" i="53" s="1"/>
  <c r="V29" i="53" s="1"/>
  <c r="T28" i="53"/>
  <c r="U28" i="53" s="1"/>
  <c r="V28" i="53" s="1"/>
  <c r="U27" i="53"/>
  <c r="V27" i="53" s="1"/>
  <c r="T27" i="53"/>
  <c r="T26" i="53"/>
  <c r="U26" i="53" s="1"/>
  <c r="V26" i="53" s="1"/>
  <c r="AY25" i="53"/>
  <c r="T25" i="53"/>
  <c r="U25" i="53" s="1"/>
  <c r="V25" i="53" s="1"/>
  <c r="T24" i="53"/>
  <c r="U24" i="53" s="1"/>
  <c r="V24" i="53" s="1"/>
  <c r="T23" i="53"/>
  <c r="U23" i="53" s="1"/>
  <c r="V23" i="53" s="1"/>
  <c r="T22" i="53"/>
  <c r="U22" i="53" s="1"/>
  <c r="V22" i="53" s="1"/>
  <c r="A22" i="53"/>
  <c r="A23" i="53" s="1"/>
  <c r="A24" i="53" s="1"/>
  <c r="A25" i="53" s="1"/>
  <c r="A26" i="53" s="1"/>
  <c r="A27" i="53" s="1"/>
  <c r="A28" i="53" s="1"/>
  <c r="A29" i="53" s="1"/>
  <c r="A30" i="53" s="1"/>
  <c r="A31" i="53" s="1"/>
  <c r="A32" i="53" s="1"/>
  <c r="A33" i="53" s="1"/>
  <c r="A34" i="53" s="1"/>
  <c r="A35" i="53" s="1"/>
  <c r="A36" i="53" s="1"/>
  <c r="A37" i="53" s="1"/>
  <c r="A38" i="53" s="1"/>
  <c r="A39" i="53" s="1"/>
  <c r="A40" i="53" s="1"/>
  <c r="A41" i="53" s="1"/>
  <c r="A42" i="53" s="1"/>
  <c r="A43" i="53" s="1"/>
  <c r="A44" i="53" s="1"/>
  <c r="A45" i="53" s="1"/>
  <c r="A46" i="53" s="1"/>
  <c r="A47" i="53" s="1"/>
  <c r="A48" i="53" s="1"/>
  <c r="A49" i="53" s="1"/>
  <c r="A50" i="53" s="1"/>
  <c r="A51" i="53" s="1"/>
  <c r="A52" i="53" s="1"/>
  <c r="A53" i="53" s="1"/>
  <c r="A54" i="53" s="1"/>
  <c r="A55" i="53" s="1"/>
  <c r="A56" i="53" s="1"/>
  <c r="A57" i="53" s="1"/>
  <c r="T21" i="53"/>
  <c r="U21" i="53" s="1"/>
  <c r="V21" i="53" s="1"/>
  <c r="A21" i="53"/>
  <c r="T20" i="53"/>
  <c r="U20" i="53" s="1"/>
  <c r="V20" i="53" s="1"/>
  <c r="A20" i="53"/>
  <c r="T19" i="53"/>
  <c r="U19" i="53" s="1"/>
  <c r="V19" i="53" s="1"/>
  <c r="T18" i="53"/>
  <c r="U18" i="53" s="1"/>
  <c r="V18" i="53" s="1"/>
  <c r="U17" i="53"/>
  <c r="V17" i="53" s="1"/>
  <c r="T17" i="53"/>
  <c r="T16" i="53"/>
  <c r="U16" i="53" s="1"/>
  <c r="V16" i="53" s="1"/>
  <c r="U15" i="53"/>
  <c r="V15" i="53" s="1"/>
  <c r="T15" i="53"/>
  <c r="T14" i="53"/>
  <c r="U14" i="53" s="1"/>
  <c r="V14" i="53" s="1"/>
  <c r="A14" i="53"/>
  <c r="A15" i="53" s="1"/>
  <c r="A16" i="53" s="1"/>
  <c r="A17" i="53" s="1"/>
  <c r="A18" i="53" s="1"/>
  <c r="T13" i="53"/>
  <c r="U13" i="53" s="1"/>
  <c r="V13" i="53" s="1"/>
  <c r="T12" i="53"/>
  <c r="U12" i="53" s="1"/>
  <c r="V12" i="53" s="1"/>
  <c r="T11" i="53"/>
  <c r="U11" i="53" s="1"/>
  <c r="V11" i="53" s="1"/>
  <c r="U10" i="53"/>
  <c r="V10" i="53" s="1"/>
  <c r="T10" i="53"/>
  <c r="T9" i="53"/>
  <c r="U9" i="53" s="1"/>
  <c r="V9" i="53" s="1"/>
  <c r="A9" i="53"/>
  <c r="A10" i="53" s="1"/>
  <c r="A11" i="53" s="1"/>
  <c r="T8" i="53"/>
  <c r="U8" i="53" s="1"/>
  <c r="V8" i="53" s="1"/>
  <c r="A8" i="53"/>
  <c r="T7" i="53"/>
  <c r="U7" i="53" s="1"/>
  <c r="R58" i="52"/>
  <c r="Q58" i="52"/>
  <c r="P58" i="52"/>
  <c r="O58" i="52"/>
  <c r="N58" i="52"/>
  <c r="M58" i="52"/>
  <c r="K58" i="52"/>
  <c r="J58" i="52"/>
  <c r="I58" i="52"/>
  <c r="H58" i="52"/>
  <c r="G58" i="52"/>
  <c r="F58" i="52"/>
  <c r="C58" i="52"/>
  <c r="T54" i="52"/>
  <c r="U54" i="52" s="1"/>
  <c r="V54" i="52" s="1"/>
  <c r="T53" i="52"/>
  <c r="U53" i="52" s="1"/>
  <c r="V53" i="52" s="1"/>
  <c r="T52" i="52"/>
  <c r="U52" i="52" s="1"/>
  <c r="V52" i="52" s="1"/>
  <c r="T51" i="52"/>
  <c r="U51" i="52" s="1"/>
  <c r="V51" i="52" s="1"/>
  <c r="T50" i="52"/>
  <c r="U50" i="52" s="1"/>
  <c r="V50" i="52" s="1"/>
  <c r="T49" i="52"/>
  <c r="U49" i="52" s="1"/>
  <c r="V49" i="52" s="1"/>
  <c r="T48" i="52"/>
  <c r="U48" i="52" s="1"/>
  <c r="V48" i="52" s="1"/>
  <c r="T47" i="52"/>
  <c r="U47" i="52" s="1"/>
  <c r="V47" i="52" s="1"/>
  <c r="T46" i="52"/>
  <c r="U46" i="52" s="1"/>
  <c r="V46" i="52" s="1"/>
  <c r="T45" i="52"/>
  <c r="U45" i="52" s="1"/>
  <c r="V45" i="52" s="1"/>
  <c r="T43" i="52"/>
  <c r="U43" i="52" s="1"/>
  <c r="V43" i="52" s="1"/>
  <c r="T41" i="52"/>
  <c r="U41" i="52" s="1"/>
  <c r="V41" i="52" s="1"/>
  <c r="T40" i="52"/>
  <c r="U40" i="52" s="1"/>
  <c r="V40" i="52" s="1"/>
  <c r="T39" i="52"/>
  <c r="U39" i="52" s="1"/>
  <c r="V39" i="52" s="1"/>
  <c r="T38" i="52"/>
  <c r="U38" i="52" s="1"/>
  <c r="V38" i="52" s="1"/>
  <c r="T37" i="52"/>
  <c r="U37" i="52" s="1"/>
  <c r="V37" i="52" s="1"/>
  <c r="T36" i="52"/>
  <c r="U36" i="52" s="1"/>
  <c r="V36" i="52" s="1"/>
  <c r="T35" i="52"/>
  <c r="U35" i="52" s="1"/>
  <c r="V35" i="52" s="1"/>
  <c r="T34" i="52"/>
  <c r="U34" i="52" s="1"/>
  <c r="V34" i="52" s="1"/>
  <c r="T33" i="52"/>
  <c r="U33" i="52" s="1"/>
  <c r="V33" i="52" s="1"/>
  <c r="T32" i="52"/>
  <c r="U32" i="52" s="1"/>
  <c r="V32" i="52" s="1"/>
  <c r="T31" i="52"/>
  <c r="U31" i="52" s="1"/>
  <c r="V31" i="52" s="1"/>
  <c r="T30" i="52"/>
  <c r="U30" i="52" s="1"/>
  <c r="V30" i="52" s="1"/>
  <c r="T29" i="52"/>
  <c r="U29" i="52" s="1"/>
  <c r="V29" i="52" s="1"/>
  <c r="T28" i="52"/>
  <c r="U28" i="52" s="1"/>
  <c r="V28" i="52" s="1"/>
  <c r="T27" i="52"/>
  <c r="U27" i="52" s="1"/>
  <c r="V27" i="52" s="1"/>
  <c r="T26" i="52"/>
  <c r="U26" i="52" s="1"/>
  <c r="V26" i="52" s="1"/>
  <c r="AY25" i="52"/>
  <c r="V25" i="52"/>
  <c r="U24" i="52"/>
  <c r="V24" i="52" s="1"/>
  <c r="T24" i="52"/>
  <c r="T23" i="52"/>
  <c r="U23" i="52" s="1"/>
  <c r="V23" i="52" s="1"/>
  <c r="T22" i="52"/>
  <c r="U22" i="52" s="1"/>
  <c r="V22" i="52" s="1"/>
  <c r="U21" i="52"/>
  <c r="V21" i="52" s="1"/>
  <c r="T21" i="52"/>
  <c r="T20" i="52"/>
  <c r="U20" i="52" s="1"/>
  <c r="V20" i="52" s="1"/>
  <c r="A20" i="52"/>
  <c r="A21" i="52" s="1"/>
  <c r="A22" i="52" s="1"/>
  <c r="A23" i="52" s="1"/>
  <c r="A24" i="52" s="1"/>
  <c r="A25" i="52" s="1"/>
  <c r="A26" i="52" s="1"/>
  <c r="A27" i="52" s="1"/>
  <c r="A28" i="52" s="1"/>
  <c r="A29" i="52" s="1"/>
  <c r="A30" i="52" s="1"/>
  <c r="A31" i="52" s="1"/>
  <c r="A32" i="52" s="1"/>
  <c r="A33" i="52" s="1"/>
  <c r="A34" i="52" s="1"/>
  <c r="A35" i="52" s="1"/>
  <c r="A36" i="52" s="1"/>
  <c r="A37" i="52" s="1"/>
  <c r="A38" i="52" s="1"/>
  <c r="A39" i="52" s="1"/>
  <c r="A40" i="52" s="1"/>
  <c r="A41" i="52" s="1"/>
  <c r="A42" i="52" s="1"/>
  <c r="A43" i="52" s="1"/>
  <c r="A44" i="52" s="1"/>
  <c r="A45" i="52" s="1"/>
  <c r="A46" i="52" s="1"/>
  <c r="A47" i="52" s="1"/>
  <c r="A48" i="52" s="1"/>
  <c r="A49" i="52" s="1"/>
  <c r="A50" i="52" s="1"/>
  <c r="A51" i="52" s="1"/>
  <c r="A52" i="52" s="1"/>
  <c r="A53" i="52" s="1"/>
  <c r="A54" i="52" s="1"/>
  <c r="A55" i="52" s="1"/>
  <c r="A56" i="52" s="1"/>
  <c r="A57" i="52" s="1"/>
  <c r="T19" i="52"/>
  <c r="U19" i="52" s="1"/>
  <c r="V19" i="52" s="1"/>
  <c r="T18" i="52"/>
  <c r="U18" i="52" s="1"/>
  <c r="V18" i="52" s="1"/>
  <c r="T17" i="52"/>
  <c r="U17" i="52" s="1"/>
  <c r="V17" i="52" s="1"/>
  <c r="T16" i="52"/>
  <c r="U16" i="52" s="1"/>
  <c r="V16" i="52" s="1"/>
  <c r="T15" i="52"/>
  <c r="U15" i="52" s="1"/>
  <c r="V15" i="52" s="1"/>
  <c r="A15" i="52"/>
  <c r="A16" i="52" s="1"/>
  <c r="A17" i="52" s="1"/>
  <c r="A18" i="52" s="1"/>
  <c r="T14" i="52"/>
  <c r="U14" i="52" s="1"/>
  <c r="V14" i="52" s="1"/>
  <c r="A14" i="52"/>
  <c r="T13" i="52"/>
  <c r="U13" i="52" s="1"/>
  <c r="V13" i="52" s="1"/>
  <c r="T12" i="52"/>
  <c r="U12" i="52" s="1"/>
  <c r="V12" i="52" s="1"/>
  <c r="T11" i="52"/>
  <c r="U11" i="52" s="1"/>
  <c r="V11" i="52" s="1"/>
  <c r="T10" i="52"/>
  <c r="U10" i="52" s="1"/>
  <c r="V10" i="52" s="1"/>
  <c r="T9" i="52"/>
  <c r="U9" i="52" s="1"/>
  <c r="V9" i="52" s="1"/>
  <c r="T8" i="52"/>
  <c r="U8" i="52" s="1"/>
  <c r="V8" i="52" s="1"/>
  <c r="A8" i="52"/>
  <c r="A9" i="52" s="1"/>
  <c r="A10" i="52" s="1"/>
  <c r="A11" i="52" s="1"/>
  <c r="T7" i="52"/>
  <c r="U58" i="48"/>
  <c r="C37" i="48"/>
  <c r="C43" i="48"/>
  <c r="C41" i="48"/>
  <c r="C34" i="48"/>
  <c r="C30" i="48"/>
  <c r="C29" i="48"/>
  <c r="C12" i="48"/>
  <c r="C53" i="48"/>
  <c r="C47" i="48"/>
  <c r="K43" i="48"/>
  <c r="J43" i="48"/>
  <c r="C40" i="48"/>
  <c r="C24" i="48"/>
  <c r="C21" i="48"/>
  <c r="C19" i="48"/>
  <c r="C13" i="48"/>
  <c r="C8" i="48"/>
  <c r="C7" i="48"/>
  <c r="R58" i="51"/>
  <c r="Q58" i="51"/>
  <c r="P58" i="51"/>
  <c r="O58" i="51"/>
  <c r="N58" i="51"/>
  <c r="M58" i="51"/>
  <c r="K58" i="51"/>
  <c r="J58" i="51"/>
  <c r="I58" i="51"/>
  <c r="H58" i="51"/>
  <c r="G58" i="51"/>
  <c r="F58" i="51"/>
  <c r="C58" i="51"/>
  <c r="U54" i="51"/>
  <c r="V54" i="51" s="1"/>
  <c r="T54" i="51"/>
  <c r="T53" i="51"/>
  <c r="U53" i="51" s="1"/>
  <c r="V53" i="51" s="1"/>
  <c r="T52" i="51"/>
  <c r="U52" i="51" s="1"/>
  <c r="V52" i="51" s="1"/>
  <c r="T51" i="51"/>
  <c r="U51" i="51" s="1"/>
  <c r="V51" i="51" s="1"/>
  <c r="U50" i="51"/>
  <c r="V50" i="51" s="1"/>
  <c r="T50" i="51"/>
  <c r="T49" i="51"/>
  <c r="U49" i="51" s="1"/>
  <c r="V49" i="51" s="1"/>
  <c r="T48" i="51"/>
  <c r="U48" i="51" s="1"/>
  <c r="V48" i="51" s="1"/>
  <c r="T47" i="51"/>
  <c r="U47" i="51" s="1"/>
  <c r="V47" i="51" s="1"/>
  <c r="U46" i="51"/>
  <c r="V46" i="51" s="1"/>
  <c r="T46" i="51"/>
  <c r="T45" i="51"/>
  <c r="U45" i="51" s="1"/>
  <c r="V45" i="51" s="1"/>
  <c r="T43" i="51"/>
  <c r="U43" i="51" s="1"/>
  <c r="V43" i="51" s="1"/>
  <c r="T41" i="51"/>
  <c r="U41" i="51" s="1"/>
  <c r="V41" i="51" s="1"/>
  <c r="T40" i="51"/>
  <c r="U40" i="51" s="1"/>
  <c r="V40" i="51" s="1"/>
  <c r="T39" i="51"/>
  <c r="U39" i="51" s="1"/>
  <c r="V39" i="51" s="1"/>
  <c r="T38" i="51"/>
  <c r="U38" i="51" s="1"/>
  <c r="V38" i="51" s="1"/>
  <c r="T37" i="51"/>
  <c r="U37" i="51" s="1"/>
  <c r="V37" i="51" s="1"/>
  <c r="T36" i="51"/>
  <c r="U36" i="51" s="1"/>
  <c r="V36" i="51" s="1"/>
  <c r="T35" i="51"/>
  <c r="U35" i="51" s="1"/>
  <c r="V35" i="51" s="1"/>
  <c r="T34" i="51"/>
  <c r="U34" i="51" s="1"/>
  <c r="V34" i="51" s="1"/>
  <c r="T33" i="51"/>
  <c r="U33" i="51" s="1"/>
  <c r="V33" i="51" s="1"/>
  <c r="T32" i="51"/>
  <c r="U32" i="51" s="1"/>
  <c r="V32" i="51" s="1"/>
  <c r="T31" i="51"/>
  <c r="U31" i="51" s="1"/>
  <c r="V31" i="51" s="1"/>
  <c r="T30" i="51"/>
  <c r="U30" i="51" s="1"/>
  <c r="V30" i="51" s="1"/>
  <c r="T29" i="51"/>
  <c r="U29" i="51" s="1"/>
  <c r="V29" i="51" s="1"/>
  <c r="T28" i="51"/>
  <c r="U28" i="51" s="1"/>
  <c r="V28" i="51" s="1"/>
  <c r="T27" i="51"/>
  <c r="U27" i="51" s="1"/>
  <c r="V27" i="51" s="1"/>
  <c r="T26" i="51"/>
  <c r="U26" i="51" s="1"/>
  <c r="V26" i="51" s="1"/>
  <c r="AY25" i="51"/>
  <c r="T25" i="51"/>
  <c r="U25" i="51" s="1"/>
  <c r="V25" i="51" s="1"/>
  <c r="T24" i="51"/>
  <c r="U24" i="51" s="1"/>
  <c r="V24" i="51" s="1"/>
  <c r="T23" i="51"/>
  <c r="U23" i="51" s="1"/>
  <c r="V23" i="51" s="1"/>
  <c r="T22" i="51"/>
  <c r="U22" i="51" s="1"/>
  <c r="V22" i="51" s="1"/>
  <c r="T21" i="51"/>
  <c r="U21" i="51" s="1"/>
  <c r="V21" i="51" s="1"/>
  <c r="T20" i="51"/>
  <c r="U20" i="51" s="1"/>
  <c r="V20" i="51" s="1"/>
  <c r="A20" i="51"/>
  <c r="A21" i="51" s="1"/>
  <c r="A22" i="51" s="1"/>
  <c r="A23" i="51" s="1"/>
  <c r="A24" i="51" s="1"/>
  <c r="A25" i="51" s="1"/>
  <c r="A26" i="51" s="1"/>
  <c r="A27" i="51" s="1"/>
  <c r="A28" i="51" s="1"/>
  <c r="A29" i="51" s="1"/>
  <c r="A30" i="51" s="1"/>
  <c r="A31" i="51" s="1"/>
  <c r="A32" i="51" s="1"/>
  <c r="A33" i="51" s="1"/>
  <c r="A34" i="51" s="1"/>
  <c r="A35" i="51" s="1"/>
  <c r="A36" i="51" s="1"/>
  <c r="A37" i="51" s="1"/>
  <c r="A38" i="51" s="1"/>
  <c r="A39" i="51" s="1"/>
  <c r="A40" i="51" s="1"/>
  <c r="A41" i="51" s="1"/>
  <c r="A42" i="51" s="1"/>
  <c r="A43" i="51" s="1"/>
  <c r="A44" i="51" s="1"/>
  <c r="A45" i="51" s="1"/>
  <c r="A46" i="51" s="1"/>
  <c r="A47" i="51" s="1"/>
  <c r="A48" i="51" s="1"/>
  <c r="A49" i="51" s="1"/>
  <c r="A50" i="51" s="1"/>
  <c r="A51" i="51" s="1"/>
  <c r="A52" i="51" s="1"/>
  <c r="A53" i="51" s="1"/>
  <c r="A54" i="51" s="1"/>
  <c r="A55" i="51" s="1"/>
  <c r="A56" i="51" s="1"/>
  <c r="A57" i="51" s="1"/>
  <c r="T19" i="51"/>
  <c r="U19" i="51" s="1"/>
  <c r="V19" i="51" s="1"/>
  <c r="T18" i="51"/>
  <c r="U18" i="51" s="1"/>
  <c r="V18" i="51" s="1"/>
  <c r="T17" i="51"/>
  <c r="U17" i="51" s="1"/>
  <c r="V17" i="51" s="1"/>
  <c r="T16" i="51"/>
  <c r="U16" i="51" s="1"/>
  <c r="V16" i="51" s="1"/>
  <c r="T15" i="51"/>
  <c r="U15" i="51" s="1"/>
  <c r="V15" i="51" s="1"/>
  <c r="T14" i="51"/>
  <c r="U14" i="51" s="1"/>
  <c r="V14" i="51" s="1"/>
  <c r="A14" i="51"/>
  <c r="A15" i="51" s="1"/>
  <c r="A16" i="51" s="1"/>
  <c r="A17" i="51" s="1"/>
  <c r="A18" i="51" s="1"/>
  <c r="T13" i="51"/>
  <c r="U13" i="51" s="1"/>
  <c r="V13" i="51" s="1"/>
  <c r="T12" i="51"/>
  <c r="U12" i="51" s="1"/>
  <c r="V12" i="51" s="1"/>
  <c r="T11" i="51"/>
  <c r="U11" i="51" s="1"/>
  <c r="V11" i="51" s="1"/>
  <c r="T10" i="51"/>
  <c r="U10" i="51" s="1"/>
  <c r="V10" i="51" s="1"/>
  <c r="T9" i="51"/>
  <c r="U9" i="51" s="1"/>
  <c r="V9" i="51" s="1"/>
  <c r="A9" i="51"/>
  <c r="A10" i="51" s="1"/>
  <c r="A11" i="51" s="1"/>
  <c r="U8" i="51"/>
  <c r="V8" i="51" s="1"/>
  <c r="T8" i="51"/>
  <c r="A8" i="51"/>
  <c r="T7" i="51"/>
  <c r="U7" i="51" s="1"/>
  <c r="T58" i="53" l="1"/>
  <c r="T58" i="52"/>
  <c r="V7" i="53"/>
  <c r="V58" i="53" s="1"/>
  <c r="U58" i="53"/>
  <c r="U7" i="52"/>
  <c r="V7" i="51"/>
  <c r="V58" i="51" s="1"/>
  <c r="U58" i="51"/>
  <c r="T58" i="51"/>
  <c r="C8" i="50"/>
  <c r="C47" i="50"/>
  <c r="C43" i="50"/>
  <c r="C41" i="50"/>
  <c r="C40" i="50"/>
  <c r="C37" i="50"/>
  <c r="C34" i="50"/>
  <c r="C12" i="50"/>
  <c r="C53" i="50"/>
  <c r="C24" i="50"/>
  <c r="C21" i="50"/>
  <c r="C19" i="50"/>
  <c r="C13" i="50"/>
  <c r="C7" i="50"/>
  <c r="U58" i="52" l="1"/>
  <c r="V7" i="52"/>
  <c r="V58" i="52" s="1"/>
  <c r="J43" i="49"/>
  <c r="C53" i="49"/>
  <c r="C47" i="49"/>
  <c r="K43" i="49"/>
  <c r="C43" i="49"/>
  <c r="C41" i="49"/>
  <c r="C40" i="49"/>
  <c r="C37" i="49"/>
  <c r="C34" i="49"/>
  <c r="C24" i="49"/>
  <c r="C21" i="49"/>
  <c r="C19" i="49"/>
  <c r="C13" i="49"/>
  <c r="C12" i="49"/>
  <c r="C8" i="49"/>
  <c r="C7" i="49"/>
  <c r="C53" i="45" l="1"/>
  <c r="C47" i="45"/>
  <c r="K43" i="45"/>
  <c r="J43" i="45"/>
  <c r="C43" i="45"/>
  <c r="C41" i="45"/>
  <c r="C40" i="45"/>
  <c r="C37" i="45"/>
  <c r="C34" i="45"/>
  <c r="C29" i="45"/>
  <c r="C24" i="45"/>
  <c r="C21" i="45"/>
  <c r="C19" i="45"/>
  <c r="C13" i="45"/>
  <c r="C12" i="45"/>
  <c r="C8" i="45"/>
  <c r="C7" i="45"/>
  <c r="R58" i="50"/>
  <c r="Q58" i="50"/>
  <c r="P58" i="50"/>
  <c r="O58" i="50"/>
  <c r="N58" i="50"/>
  <c r="M58" i="50"/>
  <c r="K58" i="50"/>
  <c r="J58" i="50"/>
  <c r="I58" i="50"/>
  <c r="H58" i="50"/>
  <c r="G58" i="50"/>
  <c r="F58" i="50"/>
  <c r="C58" i="50"/>
  <c r="T54" i="50"/>
  <c r="U54" i="50" s="1"/>
  <c r="V54" i="50" s="1"/>
  <c r="U53" i="50"/>
  <c r="V53" i="50" s="1"/>
  <c r="T53" i="50"/>
  <c r="U52" i="50"/>
  <c r="V52" i="50" s="1"/>
  <c r="T52" i="50"/>
  <c r="T51" i="50"/>
  <c r="U51" i="50" s="1"/>
  <c r="V51" i="50" s="1"/>
  <c r="T50" i="50"/>
  <c r="U50" i="50" s="1"/>
  <c r="V50" i="50" s="1"/>
  <c r="U49" i="50"/>
  <c r="V49" i="50" s="1"/>
  <c r="T49" i="50"/>
  <c r="U48" i="50"/>
  <c r="V48" i="50" s="1"/>
  <c r="T48" i="50"/>
  <c r="T47" i="50"/>
  <c r="U47" i="50" s="1"/>
  <c r="V47" i="50" s="1"/>
  <c r="T46" i="50"/>
  <c r="U46" i="50" s="1"/>
  <c r="V46" i="50" s="1"/>
  <c r="U45" i="50"/>
  <c r="V45" i="50" s="1"/>
  <c r="T45" i="50"/>
  <c r="T43" i="50"/>
  <c r="U43" i="50" s="1"/>
  <c r="V43" i="50" s="1"/>
  <c r="U41" i="50"/>
  <c r="V41" i="50" s="1"/>
  <c r="T41" i="50"/>
  <c r="T40" i="50"/>
  <c r="U40" i="50" s="1"/>
  <c r="V40" i="50" s="1"/>
  <c r="T39" i="50"/>
  <c r="U39" i="50" s="1"/>
  <c r="V39" i="50" s="1"/>
  <c r="T38" i="50"/>
  <c r="U38" i="50" s="1"/>
  <c r="V38" i="50" s="1"/>
  <c r="T37" i="50"/>
  <c r="U37" i="50" s="1"/>
  <c r="V37" i="50" s="1"/>
  <c r="T36" i="50"/>
  <c r="U36" i="50" s="1"/>
  <c r="V36" i="50" s="1"/>
  <c r="T35" i="50"/>
  <c r="U35" i="50" s="1"/>
  <c r="V35" i="50" s="1"/>
  <c r="T34" i="50"/>
  <c r="U34" i="50" s="1"/>
  <c r="V34" i="50" s="1"/>
  <c r="U33" i="50"/>
  <c r="V33" i="50" s="1"/>
  <c r="T33" i="50"/>
  <c r="T32" i="50"/>
  <c r="U32" i="50" s="1"/>
  <c r="V32" i="50" s="1"/>
  <c r="T31" i="50"/>
  <c r="U31" i="50" s="1"/>
  <c r="V31" i="50" s="1"/>
  <c r="T30" i="50"/>
  <c r="U30" i="50" s="1"/>
  <c r="V30" i="50" s="1"/>
  <c r="U29" i="50"/>
  <c r="V29" i="50" s="1"/>
  <c r="T29" i="50"/>
  <c r="T28" i="50"/>
  <c r="U28" i="50" s="1"/>
  <c r="V28" i="50" s="1"/>
  <c r="T27" i="50"/>
  <c r="U27" i="50" s="1"/>
  <c r="V27" i="50" s="1"/>
  <c r="T26" i="50"/>
  <c r="U26" i="50" s="1"/>
  <c r="V26" i="50" s="1"/>
  <c r="AY25" i="50"/>
  <c r="T25" i="50"/>
  <c r="U25" i="50" s="1"/>
  <c r="V25" i="50" s="1"/>
  <c r="T24" i="50"/>
  <c r="U24" i="50" s="1"/>
  <c r="V24" i="50" s="1"/>
  <c r="T23" i="50"/>
  <c r="U23" i="50" s="1"/>
  <c r="V23" i="50" s="1"/>
  <c r="T22" i="50"/>
  <c r="U22" i="50" s="1"/>
  <c r="V22" i="50" s="1"/>
  <c r="A22" i="50"/>
  <c r="A23" i="50" s="1"/>
  <c r="A24" i="50" s="1"/>
  <c r="A25" i="50" s="1"/>
  <c r="A26" i="50" s="1"/>
  <c r="A27" i="50" s="1"/>
  <c r="A28" i="50" s="1"/>
  <c r="A29" i="50" s="1"/>
  <c r="A30" i="50" s="1"/>
  <c r="A31" i="50" s="1"/>
  <c r="A32" i="50" s="1"/>
  <c r="A33" i="50" s="1"/>
  <c r="A34" i="50" s="1"/>
  <c r="A35" i="50" s="1"/>
  <c r="A36" i="50" s="1"/>
  <c r="A37" i="50" s="1"/>
  <c r="A38" i="50" s="1"/>
  <c r="A39" i="50" s="1"/>
  <c r="A40" i="50" s="1"/>
  <c r="A41" i="50" s="1"/>
  <c r="A42" i="50" s="1"/>
  <c r="A43" i="50" s="1"/>
  <c r="A44" i="50" s="1"/>
  <c r="A45" i="50" s="1"/>
  <c r="A46" i="50" s="1"/>
  <c r="A47" i="50" s="1"/>
  <c r="A48" i="50" s="1"/>
  <c r="A49" i="50" s="1"/>
  <c r="A50" i="50" s="1"/>
  <c r="A51" i="50" s="1"/>
  <c r="A52" i="50" s="1"/>
  <c r="A53" i="50" s="1"/>
  <c r="A54" i="50" s="1"/>
  <c r="A55" i="50" s="1"/>
  <c r="A56" i="50" s="1"/>
  <c r="A57" i="50" s="1"/>
  <c r="U21" i="50"/>
  <c r="V21" i="50" s="1"/>
  <c r="T21" i="50"/>
  <c r="A21" i="50"/>
  <c r="T20" i="50"/>
  <c r="U20" i="50" s="1"/>
  <c r="V20" i="50" s="1"/>
  <c r="A20" i="50"/>
  <c r="T19" i="50"/>
  <c r="U19" i="50" s="1"/>
  <c r="V19" i="50" s="1"/>
  <c r="T18" i="50"/>
  <c r="U18" i="50" s="1"/>
  <c r="V18" i="50" s="1"/>
  <c r="U17" i="50"/>
  <c r="V17" i="50" s="1"/>
  <c r="T17" i="50"/>
  <c r="T16" i="50"/>
  <c r="U16" i="50" s="1"/>
  <c r="V16" i="50" s="1"/>
  <c r="T15" i="50"/>
  <c r="U15" i="50" s="1"/>
  <c r="V15" i="50" s="1"/>
  <c r="T14" i="50"/>
  <c r="U14" i="50" s="1"/>
  <c r="V14" i="50" s="1"/>
  <c r="A14" i="50"/>
  <c r="A15" i="50" s="1"/>
  <c r="A16" i="50" s="1"/>
  <c r="A17" i="50" s="1"/>
  <c r="A18" i="50" s="1"/>
  <c r="T13" i="50"/>
  <c r="U13" i="50" s="1"/>
  <c r="V13" i="50" s="1"/>
  <c r="T12" i="50"/>
  <c r="U12" i="50" s="1"/>
  <c r="V12" i="50" s="1"/>
  <c r="T11" i="50"/>
  <c r="U11" i="50" s="1"/>
  <c r="V11" i="50" s="1"/>
  <c r="U10" i="50"/>
  <c r="V10" i="50" s="1"/>
  <c r="T10" i="50"/>
  <c r="T9" i="50"/>
  <c r="A9" i="50"/>
  <c r="A10" i="50" s="1"/>
  <c r="A11" i="50" s="1"/>
  <c r="T8" i="50"/>
  <c r="U8" i="50" s="1"/>
  <c r="A8" i="50"/>
  <c r="T7" i="50"/>
  <c r="U7" i="50" s="1"/>
  <c r="V7" i="50" s="1"/>
  <c r="R58" i="49"/>
  <c r="Q58" i="49"/>
  <c r="P58" i="49"/>
  <c r="O58" i="49"/>
  <c r="N58" i="49"/>
  <c r="M58" i="49"/>
  <c r="K58" i="49"/>
  <c r="J58" i="49"/>
  <c r="I58" i="49"/>
  <c r="H58" i="49"/>
  <c r="G58" i="49"/>
  <c r="F58" i="49"/>
  <c r="C58" i="49"/>
  <c r="U54" i="49"/>
  <c r="V54" i="49" s="1"/>
  <c r="T54" i="49"/>
  <c r="U53" i="49"/>
  <c r="V53" i="49" s="1"/>
  <c r="T53" i="49"/>
  <c r="T52" i="49"/>
  <c r="U52" i="49" s="1"/>
  <c r="V52" i="49" s="1"/>
  <c r="T51" i="49"/>
  <c r="U51" i="49" s="1"/>
  <c r="V51" i="49" s="1"/>
  <c r="U50" i="49"/>
  <c r="V50" i="49" s="1"/>
  <c r="T50" i="49"/>
  <c r="U49" i="49"/>
  <c r="V49" i="49" s="1"/>
  <c r="T49" i="49"/>
  <c r="T48" i="49"/>
  <c r="U48" i="49" s="1"/>
  <c r="V48" i="49" s="1"/>
  <c r="T47" i="49"/>
  <c r="U47" i="49" s="1"/>
  <c r="V47" i="49" s="1"/>
  <c r="U46" i="49"/>
  <c r="V46" i="49" s="1"/>
  <c r="T46" i="49"/>
  <c r="U45" i="49"/>
  <c r="V45" i="49" s="1"/>
  <c r="T45" i="49"/>
  <c r="T43" i="49"/>
  <c r="U43" i="49" s="1"/>
  <c r="V43" i="49" s="1"/>
  <c r="U41" i="49"/>
  <c r="V41" i="49" s="1"/>
  <c r="T41" i="49"/>
  <c r="T40" i="49"/>
  <c r="U40" i="49" s="1"/>
  <c r="V40" i="49" s="1"/>
  <c r="U39" i="49"/>
  <c r="V39" i="49" s="1"/>
  <c r="T39" i="49"/>
  <c r="T38" i="49"/>
  <c r="U38" i="49" s="1"/>
  <c r="V38" i="49" s="1"/>
  <c r="T37" i="49"/>
  <c r="U37" i="49" s="1"/>
  <c r="V37" i="49" s="1"/>
  <c r="U36" i="49"/>
  <c r="V36" i="49" s="1"/>
  <c r="T36" i="49"/>
  <c r="U35" i="49"/>
  <c r="V35" i="49" s="1"/>
  <c r="T35" i="49"/>
  <c r="T34" i="49"/>
  <c r="U34" i="49" s="1"/>
  <c r="V34" i="49" s="1"/>
  <c r="U33" i="49"/>
  <c r="V33" i="49" s="1"/>
  <c r="T33" i="49"/>
  <c r="U32" i="49"/>
  <c r="V32" i="49" s="1"/>
  <c r="T32" i="49"/>
  <c r="U31" i="49"/>
  <c r="V31" i="49" s="1"/>
  <c r="T31" i="49"/>
  <c r="T30" i="49"/>
  <c r="U30" i="49" s="1"/>
  <c r="V30" i="49" s="1"/>
  <c r="U29" i="49"/>
  <c r="V29" i="49" s="1"/>
  <c r="T29" i="49"/>
  <c r="U28" i="49"/>
  <c r="V28" i="49" s="1"/>
  <c r="T28" i="49"/>
  <c r="U27" i="49"/>
  <c r="V27" i="49" s="1"/>
  <c r="T27" i="49"/>
  <c r="T26" i="49"/>
  <c r="U26" i="49" s="1"/>
  <c r="V26" i="49" s="1"/>
  <c r="AY25" i="49"/>
  <c r="T25" i="49"/>
  <c r="U25" i="49" s="1"/>
  <c r="V25" i="49" s="1"/>
  <c r="T24" i="49"/>
  <c r="U24" i="49" s="1"/>
  <c r="V24" i="49" s="1"/>
  <c r="T23" i="49"/>
  <c r="U23" i="49" s="1"/>
  <c r="V23" i="49" s="1"/>
  <c r="T22" i="49"/>
  <c r="U22" i="49" s="1"/>
  <c r="V22" i="49" s="1"/>
  <c r="A22" i="49"/>
  <c r="A23" i="49" s="1"/>
  <c r="A24" i="49" s="1"/>
  <c r="A25" i="49" s="1"/>
  <c r="A26" i="49" s="1"/>
  <c r="A27" i="49" s="1"/>
  <c r="A28" i="49" s="1"/>
  <c r="A29" i="49" s="1"/>
  <c r="A30" i="49" s="1"/>
  <c r="A31" i="49" s="1"/>
  <c r="A32" i="49" s="1"/>
  <c r="A33" i="49" s="1"/>
  <c r="A34" i="49" s="1"/>
  <c r="A35" i="49" s="1"/>
  <c r="A36" i="49" s="1"/>
  <c r="A37" i="49" s="1"/>
  <c r="A38" i="49" s="1"/>
  <c r="A39" i="49" s="1"/>
  <c r="A40" i="49" s="1"/>
  <c r="A41" i="49" s="1"/>
  <c r="A42" i="49" s="1"/>
  <c r="A43" i="49" s="1"/>
  <c r="A44" i="49" s="1"/>
  <c r="A45" i="49" s="1"/>
  <c r="A46" i="49" s="1"/>
  <c r="A47" i="49" s="1"/>
  <c r="A48" i="49" s="1"/>
  <c r="A49" i="49" s="1"/>
  <c r="A50" i="49" s="1"/>
  <c r="A51" i="49" s="1"/>
  <c r="A52" i="49" s="1"/>
  <c r="A53" i="49" s="1"/>
  <c r="A54" i="49" s="1"/>
  <c r="A55" i="49" s="1"/>
  <c r="A56" i="49" s="1"/>
  <c r="A57" i="49" s="1"/>
  <c r="T21" i="49"/>
  <c r="U21" i="49" s="1"/>
  <c r="V21" i="49" s="1"/>
  <c r="A21" i="49"/>
  <c r="T20" i="49"/>
  <c r="U20" i="49" s="1"/>
  <c r="V20" i="49" s="1"/>
  <c r="A20" i="49"/>
  <c r="U19" i="49"/>
  <c r="V19" i="49" s="1"/>
  <c r="T19" i="49"/>
  <c r="T18" i="49"/>
  <c r="U18" i="49" s="1"/>
  <c r="V18" i="49" s="1"/>
  <c r="U17" i="49"/>
  <c r="V17" i="49" s="1"/>
  <c r="T17" i="49"/>
  <c r="U16" i="49"/>
  <c r="V16" i="49" s="1"/>
  <c r="T16" i="49"/>
  <c r="U15" i="49"/>
  <c r="V15" i="49" s="1"/>
  <c r="T15" i="49"/>
  <c r="T14" i="49"/>
  <c r="U14" i="49" s="1"/>
  <c r="V14" i="49" s="1"/>
  <c r="A14" i="49"/>
  <c r="A15" i="49" s="1"/>
  <c r="A16" i="49" s="1"/>
  <c r="A17" i="49" s="1"/>
  <c r="A18" i="49" s="1"/>
  <c r="T13" i="49"/>
  <c r="U13" i="49" s="1"/>
  <c r="V13" i="49" s="1"/>
  <c r="T12" i="49"/>
  <c r="U12" i="49" s="1"/>
  <c r="V12" i="49" s="1"/>
  <c r="T11" i="49"/>
  <c r="U11" i="49" s="1"/>
  <c r="V11" i="49" s="1"/>
  <c r="T10" i="49"/>
  <c r="U10" i="49" s="1"/>
  <c r="V10" i="49" s="1"/>
  <c r="A10" i="49"/>
  <c r="A11" i="49" s="1"/>
  <c r="T9" i="49"/>
  <c r="U9" i="49" s="1"/>
  <c r="V9" i="49" s="1"/>
  <c r="A9" i="49"/>
  <c r="U8" i="49"/>
  <c r="V8" i="49" s="1"/>
  <c r="T8" i="49"/>
  <c r="A8" i="49"/>
  <c r="T7" i="49"/>
  <c r="R58" i="48"/>
  <c r="Q58" i="48"/>
  <c r="P58" i="48"/>
  <c r="O58" i="48"/>
  <c r="N58" i="48"/>
  <c r="M58" i="48"/>
  <c r="K58" i="48"/>
  <c r="J58" i="48"/>
  <c r="I58" i="48"/>
  <c r="H58" i="48"/>
  <c r="G58" i="48"/>
  <c r="F58" i="48"/>
  <c r="C58" i="48"/>
  <c r="T54" i="48"/>
  <c r="U54" i="48" s="1"/>
  <c r="V54" i="48" s="1"/>
  <c r="T53" i="48"/>
  <c r="U53" i="48" s="1"/>
  <c r="V53" i="48" s="1"/>
  <c r="U52" i="48"/>
  <c r="V52" i="48" s="1"/>
  <c r="T52" i="48"/>
  <c r="T51" i="48"/>
  <c r="U51" i="48" s="1"/>
  <c r="V51" i="48" s="1"/>
  <c r="T50" i="48"/>
  <c r="U50" i="48" s="1"/>
  <c r="V50" i="48" s="1"/>
  <c r="T49" i="48"/>
  <c r="U49" i="48" s="1"/>
  <c r="V49" i="48" s="1"/>
  <c r="U48" i="48"/>
  <c r="V48" i="48" s="1"/>
  <c r="T48" i="48"/>
  <c r="T47" i="48"/>
  <c r="U47" i="48" s="1"/>
  <c r="V47" i="48" s="1"/>
  <c r="T46" i="48"/>
  <c r="U46" i="48" s="1"/>
  <c r="V46" i="48" s="1"/>
  <c r="T45" i="48"/>
  <c r="U45" i="48" s="1"/>
  <c r="V45" i="48" s="1"/>
  <c r="T43" i="48"/>
  <c r="U43" i="48" s="1"/>
  <c r="V43" i="48" s="1"/>
  <c r="U41" i="48"/>
  <c r="V41" i="48" s="1"/>
  <c r="T41" i="48"/>
  <c r="T40" i="48"/>
  <c r="U40" i="48" s="1"/>
  <c r="V40" i="48" s="1"/>
  <c r="T39" i="48"/>
  <c r="U39" i="48" s="1"/>
  <c r="V39" i="48" s="1"/>
  <c r="T38" i="48"/>
  <c r="U38" i="48" s="1"/>
  <c r="V38" i="48" s="1"/>
  <c r="T37" i="48"/>
  <c r="U37" i="48" s="1"/>
  <c r="V37" i="48" s="1"/>
  <c r="U36" i="48"/>
  <c r="V36" i="48" s="1"/>
  <c r="T36" i="48"/>
  <c r="T35" i="48"/>
  <c r="U35" i="48" s="1"/>
  <c r="V35" i="48" s="1"/>
  <c r="T34" i="48"/>
  <c r="U34" i="48" s="1"/>
  <c r="V34" i="48" s="1"/>
  <c r="U33" i="48"/>
  <c r="V33" i="48" s="1"/>
  <c r="T33" i="48"/>
  <c r="U32" i="48"/>
  <c r="V32" i="48" s="1"/>
  <c r="T32" i="48"/>
  <c r="T31" i="48"/>
  <c r="U31" i="48" s="1"/>
  <c r="V31" i="48" s="1"/>
  <c r="T30" i="48"/>
  <c r="U30" i="48" s="1"/>
  <c r="V30" i="48" s="1"/>
  <c r="U29" i="48"/>
  <c r="V29" i="48" s="1"/>
  <c r="T29" i="48"/>
  <c r="V28" i="48"/>
  <c r="U28" i="48"/>
  <c r="T28" i="48"/>
  <c r="T27" i="48"/>
  <c r="U27" i="48" s="1"/>
  <c r="V27" i="48" s="1"/>
  <c r="T26" i="48"/>
  <c r="U26" i="48" s="1"/>
  <c r="V26" i="48" s="1"/>
  <c r="AY25" i="48"/>
  <c r="T25" i="48"/>
  <c r="U25" i="48" s="1"/>
  <c r="V25" i="48" s="1"/>
  <c r="T24" i="48"/>
  <c r="U24" i="48" s="1"/>
  <c r="V24" i="48" s="1"/>
  <c r="T23" i="48"/>
  <c r="U23" i="48" s="1"/>
  <c r="V23" i="48" s="1"/>
  <c r="U22" i="48"/>
  <c r="V22" i="48" s="1"/>
  <c r="T22" i="48"/>
  <c r="A22" i="48"/>
  <c r="A23" i="48" s="1"/>
  <c r="A24" i="48" s="1"/>
  <c r="A25" i="48" s="1"/>
  <c r="A26" i="48" s="1"/>
  <c r="A27" i="48" s="1"/>
  <c r="A28" i="48" s="1"/>
  <c r="A29" i="48" s="1"/>
  <c r="A30" i="48" s="1"/>
  <c r="A31" i="48" s="1"/>
  <c r="A32" i="48" s="1"/>
  <c r="A33" i="48" s="1"/>
  <c r="A34" i="48" s="1"/>
  <c r="A35" i="48" s="1"/>
  <c r="A36" i="48" s="1"/>
  <c r="A37" i="48" s="1"/>
  <c r="A38" i="48" s="1"/>
  <c r="A39" i="48" s="1"/>
  <c r="A40" i="48" s="1"/>
  <c r="A41" i="48" s="1"/>
  <c r="A42" i="48" s="1"/>
  <c r="A43" i="48" s="1"/>
  <c r="A44" i="48" s="1"/>
  <c r="A45" i="48" s="1"/>
  <c r="A46" i="48" s="1"/>
  <c r="A47" i="48" s="1"/>
  <c r="A48" i="48" s="1"/>
  <c r="A49" i="48" s="1"/>
  <c r="A50" i="48" s="1"/>
  <c r="A51" i="48" s="1"/>
  <c r="A52" i="48" s="1"/>
  <c r="A53" i="48" s="1"/>
  <c r="A54" i="48" s="1"/>
  <c r="A55" i="48" s="1"/>
  <c r="A56" i="48" s="1"/>
  <c r="A57" i="48" s="1"/>
  <c r="T21" i="48"/>
  <c r="U21" i="48" s="1"/>
  <c r="V21" i="48" s="1"/>
  <c r="A21" i="48"/>
  <c r="T20" i="48"/>
  <c r="U20" i="48" s="1"/>
  <c r="V20" i="48" s="1"/>
  <c r="A20" i="48"/>
  <c r="T19" i="48"/>
  <c r="U19" i="48" s="1"/>
  <c r="V19" i="48" s="1"/>
  <c r="T18" i="48"/>
  <c r="U18" i="48" s="1"/>
  <c r="V18" i="48" s="1"/>
  <c r="U17" i="48"/>
  <c r="V17" i="48" s="1"/>
  <c r="T17" i="48"/>
  <c r="U16" i="48"/>
  <c r="V16" i="48" s="1"/>
  <c r="T16" i="48"/>
  <c r="T15" i="48"/>
  <c r="U15" i="48" s="1"/>
  <c r="V15" i="48" s="1"/>
  <c r="A15" i="48"/>
  <c r="A16" i="48" s="1"/>
  <c r="A17" i="48" s="1"/>
  <c r="A18" i="48" s="1"/>
  <c r="T14" i="48"/>
  <c r="U14" i="48" s="1"/>
  <c r="V14" i="48" s="1"/>
  <c r="A14" i="48"/>
  <c r="T13" i="48"/>
  <c r="U13" i="48" s="1"/>
  <c r="V13" i="48" s="1"/>
  <c r="T12" i="48"/>
  <c r="U12" i="48" s="1"/>
  <c r="V12" i="48" s="1"/>
  <c r="T11" i="48"/>
  <c r="U11" i="48" s="1"/>
  <c r="V11" i="48" s="1"/>
  <c r="T10" i="48"/>
  <c r="U10" i="48" s="1"/>
  <c r="V10" i="48" s="1"/>
  <c r="T9" i="48"/>
  <c r="U9" i="48" s="1"/>
  <c r="V9" i="48" s="1"/>
  <c r="A9" i="48"/>
  <c r="A10" i="48" s="1"/>
  <c r="A11" i="48" s="1"/>
  <c r="T8" i="48"/>
  <c r="U8" i="48" s="1"/>
  <c r="V8" i="48" s="1"/>
  <c r="A8" i="48"/>
  <c r="T7" i="48"/>
  <c r="U7" i="48" s="1"/>
  <c r="T58" i="48" l="1"/>
  <c r="T58" i="50"/>
  <c r="T58" i="49"/>
  <c r="U7" i="49"/>
  <c r="U58" i="49" s="1"/>
  <c r="V8" i="50"/>
  <c r="U9" i="50"/>
  <c r="V9" i="50" s="1"/>
  <c r="V58" i="50" s="1"/>
  <c r="V7" i="48"/>
  <c r="V58" i="48" s="1"/>
  <c r="C53" i="44"/>
  <c r="C47" i="44"/>
  <c r="K43" i="44"/>
  <c r="J43" i="44"/>
  <c r="C43" i="44"/>
  <c r="C41" i="44"/>
  <c r="C40" i="44"/>
  <c r="C37" i="44"/>
  <c r="C34" i="44"/>
  <c r="C29" i="44"/>
  <c r="C28" i="44"/>
  <c r="C24" i="44"/>
  <c r="C21" i="44"/>
  <c r="C19" i="44"/>
  <c r="C13" i="44"/>
  <c r="C12" i="44"/>
  <c r="C8" i="44"/>
  <c r="C7" i="44"/>
  <c r="V7" i="49" l="1"/>
  <c r="V58" i="49" s="1"/>
  <c r="U58" i="50"/>
  <c r="C53" i="46"/>
  <c r="C47" i="46"/>
  <c r="K43" i="46"/>
  <c r="J43" i="46"/>
  <c r="C43" i="46"/>
  <c r="C41" i="46"/>
  <c r="C40" i="46"/>
  <c r="C37" i="46"/>
  <c r="C34" i="46"/>
  <c r="C29" i="46"/>
  <c r="C28" i="46"/>
  <c r="C24" i="46"/>
  <c r="C21" i="46"/>
  <c r="C19" i="46"/>
  <c r="C13" i="46"/>
  <c r="C12" i="46"/>
  <c r="C8" i="46"/>
  <c r="C7" i="46"/>
  <c r="G41" i="47" l="1"/>
  <c r="F41" i="47"/>
  <c r="C40" i="47"/>
  <c r="G23" i="47"/>
  <c r="G43" i="47"/>
  <c r="G37" i="47"/>
  <c r="F43" i="47"/>
  <c r="T43" i="47" s="1"/>
  <c r="G28" i="47"/>
  <c r="F28" i="47"/>
  <c r="F12" i="47"/>
  <c r="T12" i="47" s="1"/>
  <c r="T35" i="47"/>
  <c r="T36" i="47"/>
  <c r="T37" i="47"/>
  <c r="T38" i="47"/>
  <c r="T39" i="47"/>
  <c r="T40" i="47"/>
  <c r="T42" i="47"/>
  <c r="T44" i="47"/>
  <c r="T45" i="47"/>
  <c r="T46" i="47"/>
  <c r="T47" i="47"/>
  <c r="T48" i="47"/>
  <c r="T49" i="47"/>
  <c r="T50" i="47"/>
  <c r="T51" i="47"/>
  <c r="T52" i="47"/>
  <c r="T53" i="47"/>
  <c r="T54" i="47"/>
  <c r="C53" i="47"/>
  <c r="G47" i="47"/>
  <c r="C47" i="47"/>
  <c r="K43" i="47"/>
  <c r="J43" i="47"/>
  <c r="C43" i="47"/>
  <c r="C41" i="47"/>
  <c r="C37" i="47"/>
  <c r="G34" i="47"/>
  <c r="T29" i="47"/>
  <c r="T30" i="47"/>
  <c r="T31" i="47"/>
  <c r="T32" i="47"/>
  <c r="T33" i="47"/>
  <c r="T34" i="47"/>
  <c r="C34" i="47"/>
  <c r="C29" i="47"/>
  <c r="T26" i="47"/>
  <c r="T27" i="47"/>
  <c r="C28" i="47"/>
  <c r="T25" i="47"/>
  <c r="C24" i="47"/>
  <c r="T23" i="47"/>
  <c r="C21" i="47"/>
  <c r="C19" i="47"/>
  <c r="C13" i="47"/>
  <c r="C12" i="47"/>
  <c r="C8" i="47"/>
  <c r="T7" i="47"/>
  <c r="G7" i="47"/>
  <c r="C7" i="47"/>
  <c r="T41" i="47" l="1"/>
  <c r="T28" i="47"/>
  <c r="U39" i="47"/>
  <c r="V39" i="47" s="1"/>
  <c r="U27" i="47"/>
  <c r="V27" i="47" s="1"/>
  <c r="T39" i="46"/>
  <c r="U39" i="46" s="1"/>
  <c r="V39" i="46" s="1"/>
  <c r="T27" i="46"/>
  <c r="U27" i="46" s="1"/>
  <c r="V27" i="46" s="1"/>
  <c r="T39" i="45"/>
  <c r="U39" i="45" s="1"/>
  <c r="V39" i="45" s="1"/>
  <c r="T27" i="45"/>
  <c r="U27" i="45"/>
  <c r="V27" i="45" s="1"/>
  <c r="T27" i="44"/>
  <c r="U27" i="44"/>
  <c r="V27" i="44" s="1"/>
  <c r="T39" i="44"/>
  <c r="U39" i="44" s="1"/>
  <c r="V39" i="44" s="1"/>
  <c r="V39" i="43"/>
  <c r="U39" i="43"/>
  <c r="T39" i="43"/>
  <c r="C43" i="43"/>
  <c r="V27" i="43"/>
  <c r="U27" i="43"/>
  <c r="T27" i="43"/>
  <c r="C53" i="43"/>
  <c r="C47" i="43"/>
  <c r="K43" i="43"/>
  <c r="J43" i="43"/>
  <c r="C41" i="43"/>
  <c r="C40" i="43"/>
  <c r="C37" i="43"/>
  <c r="C34" i="43"/>
  <c r="C29" i="43"/>
  <c r="C28" i="43"/>
  <c r="C24" i="43"/>
  <c r="C21" i="43"/>
  <c r="C19" i="43"/>
  <c r="C13" i="43"/>
  <c r="C12" i="43"/>
  <c r="C8" i="43"/>
  <c r="C7" i="43"/>
  <c r="R58" i="47" l="1"/>
  <c r="Q58" i="47"/>
  <c r="P58" i="47"/>
  <c r="O58" i="47"/>
  <c r="N58" i="47"/>
  <c r="M58" i="47"/>
  <c r="K58" i="47"/>
  <c r="J58" i="47"/>
  <c r="I58" i="47"/>
  <c r="H58" i="47"/>
  <c r="G58" i="47"/>
  <c r="F58" i="47"/>
  <c r="C58" i="47"/>
  <c r="U54" i="47"/>
  <c r="V54" i="47" s="1"/>
  <c r="U53" i="47"/>
  <c r="V53" i="47" s="1"/>
  <c r="U52" i="47"/>
  <c r="V52" i="47" s="1"/>
  <c r="U51" i="47"/>
  <c r="V51" i="47" s="1"/>
  <c r="U50" i="47"/>
  <c r="V50" i="47" s="1"/>
  <c r="U49" i="47"/>
  <c r="V49" i="47" s="1"/>
  <c r="U48" i="47"/>
  <c r="V48" i="47" s="1"/>
  <c r="U47" i="47"/>
  <c r="V47" i="47" s="1"/>
  <c r="U46" i="47"/>
  <c r="V46" i="47" s="1"/>
  <c r="U45" i="47"/>
  <c r="V45" i="47" s="1"/>
  <c r="U43" i="47"/>
  <c r="V43" i="47" s="1"/>
  <c r="U41" i="47"/>
  <c r="V41" i="47" s="1"/>
  <c r="U40" i="47"/>
  <c r="V40" i="47" s="1"/>
  <c r="U38" i="47"/>
  <c r="V38" i="47" s="1"/>
  <c r="U37" i="47"/>
  <c r="V37" i="47" s="1"/>
  <c r="U36" i="47"/>
  <c r="V36" i="47" s="1"/>
  <c r="U35" i="47"/>
  <c r="V35" i="47" s="1"/>
  <c r="U34" i="47"/>
  <c r="V34" i="47" s="1"/>
  <c r="U33" i="47"/>
  <c r="V33" i="47" s="1"/>
  <c r="U32" i="47"/>
  <c r="V32" i="47" s="1"/>
  <c r="U31" i="47"/>
  <c r="V31" i="47" s="1"/>
  <c r="U30" i="47"/>
  <c r="V30" i="47" s="1"/>
  <c r="U29" i="47"/>
  <c r="V29" i="47" s="1"/>
  <c r="U28" i="47"/>
  <c r="V28" i="47" s="1"/>
  <c r="U26" i="47"/>
  <c r="V26" i="47" s="1"/>
  <c r="AY25" i="47"/>
  <c r="U25" i="47"/>
  <c r="V25" i="47" s="1"/>
  <c r="U24" i="47"/>
  <c r="V24" i="47" s="1"/>
  <c r="T24" i="47"/>
  <c r="U23" i="47"/>
  <c r="V23" i="47" s="1"/>
  <c r="T22" i="47"/>
  <c r="U22" i="47" s="1"/>
  <c r="V22" i="47" s="1"/>
  <c r="U21" i="47"/>
  <c r="V21" i="47" s="1"/>
  <c r="T21" i="47"/>
  <c r="A21" i="47"/>
  <c r="A22" i="47" s="1"/>
  <c r="A23" i="47" s="1"/>
  <c r="A24" i="47" s="1"/>
  <c r="A25" i="47" s="1"/>
  <c r="A26" i="47" s="1"/>
  <c r="A27" i="47" s="1"/>
  <c r="A28" i="47" s="1"/>
  <c r="A29" i="47" s="1"/>
  <c r="A30" i="47" s="1"/>
  <c r="A31" i="47" s="1"/>
  <c r="A32" i="47" s="1"/>
  <c r="A33" i="47" s="1"/>
  <c r="A34" i="47" s="1"/>
  <c r="A35" i="47" s="1"/>
  <c r="A36" i="47" s="1"/>
  <c r="A37" i="47" s="1"/>
  <c r="A38" i="47" s="1"/>
  <c r="A39" i="47" s="1"/>
  <c r="A40" i="47" s="1"/>
  <c r="A41" i="47" s="1"/>
  <c r="A42" i="47" s="1"/>
  <c r="A43" i="47" s="1"/>
  <c r="A44" i="47" s="1"/>
  <c r="A45" i="47" s="1"/>
  <c r="A46" i="47" s="1"/>
  <c r="A47" i="47" s="1"/>
  <c r="A48" i="47" s="1"/>
  <c r="A49" i="47" s="1"/>
  <c r="A50" i="47" s="1"/>
  <c r="A51" i="47" s="1"/>
  <c r="A52" i="47" s="1"/>
  <c r="A53" i="47" s="1"/>
  <c r="A54" i="47" s="1"/>
  <c r="A55" i="47" s="1"/>
  <c r="A56" i="47" s="1"/>
  <c r="A57" i="47" s="1"/>
  <c r="T20" i="47"/>
  <c r="U20" i="47" s="1"/>
  <c r="V20" i="47" s="1"/>
  <c r="A20" i="47"/>
  <c r="T19" i="47"/>
  <c r="U19" i="47" s="1"/>
  <c r="V19" i="47" s="1"/>
  <c r="T18" i="47"/>
  <c r="U18" i="47" s="1"/>
  <c r="V18" i="47" s="1"/>
  <c r="T17" i="47"/>
  <c r="U17" i="47" s="1"/>
  <c r="V17" i="47" s="1"/>
  <c r="T16" i="47"/>
  <c r="U16" i="47" s="1"/>
  <c r="V16" i="47" s="1"/>
  <c r="T15" i="47"/>
  <c r="U15" i="47" s="1"/>
  <c r="V15" i="47" s="1"/>
  <c r="T14" i="47"/>
  <c r="U14" i="47" s="1"/>
  <c r="V14" i="47" s="1"/>
  <c r="A14" i="47"/>
  <c r="A15" i="47" s="1"/>
  <c r="A16" i="47" s="1"/>
  <c r="A17" i="47" s="1"/>
  <c r="A18" i="47" s="1"/>
  <c r="T13" i="47"/>
  <c r="U13" i="47" s="1"/>
  <c r="V13" i="47" s="1"/>
  <c r="U12" i="47"/>
  <c r="V12" i="47" s="1"/>
  <c r="T11" i="47"/>
  <c r="U11" i="47" s="1"/>
  <c r="V11" i="47" s="1"/>
  <c r="U10" i="47"/>
  <c r="V10" i="47" s="1"/>
  <c r="T10" i="47"/>
  <c r="T9" i="47"/>
  <c r="U9" i="47" s="1"/>
  <c r="V9" i="47" s="1"/>
  <c r="T8" i="47"/>
  <c r="U8" i="47" s="1"/>
  <c r="V8" i="47" s="1"/>
  <c r="A8" i="47"/>
  <c r="A9" i="47" s="1"/>
  <c r="A10" i="47" s="1"/>
  <c r="A11" i="47" s="1"/>
  <c r="R58" i="46"/>
  <c r="Q58" i="46"/>
  <c r="P58" i="46"/>
  <c r="O58" i="46"/>
  <c r="N58" i="46"/>
  <c r="M58" i="46"/>
  <c r="K58" i="46"/>
  <c r="J58" i="46"/>
  <c r="I58" i="46"/>
  <c r="H58" i="46"/>
  <c r="G58" i="46"/>
  <c r="F58" i="46"/>
  <c r="C58" i="46"/>
  <c r="T54" i="46"/>
  <c r="U54" i="46" s="1"/>
  <c r="V54" i="46" s="1"/>
  <c r="T53" i="46"/>
  <c r="U53" i="46" s="1"/>
  <c r="V53" i="46" s="1"/>
  <c r="T52" i="46"/>
  <c r="U52" i="46" s="1"/>
  <c r="V52" i="46" s="1"/>
  <c r="T51" i="46"/>
  <c r="U51" i="46" s="1"/>
  <c r="V51" i="46" s="1"/>
  <c r="U50" i="46"/>
  <c r="V50" i="46" s="1"/>
  <c r="T50" i="46"/>
  <c r="T49" i="46"/>
  <c r="U49" i="46" s="1"/>
  <c r="V49" i="46" s="1"/>
  <c r="T48" i="46"/>
  <c r="U48" i="46" s="1"/>
  <c r="V48" i="46" s="1"/>
  <c r="T47" i="46"/>
  <c r="U47" i="46" s="1"/>
  <c r="V47" i="46" s="1"/>
  <c r="T46" i="46"/>
  <c r="U46" i="46" s="1"/>
  <c r="V46" i="46" s="1"/>
  <c r="T45" i="46"/>
  <c r="U45" i="46" s="1"/>
  <c r="V45" i="46" s="1"/>
  <c r="T43" i="46"/>
  <c r="U43" i="46" s="1"/>
  <c r="V43" i="46" s="1"/>
  <c r="T41" i="46"/>
  <c r="U41" i="46" s="1"/>
  <c r="V41" i="46" s="1"/>
  <c r="T40" i="46"/>
  <c r="U40" i="46" s="1"/>
  <c r="V40" i="46" s="1"/>
  <c r="T38" i="46"/>
  <c r="U38" i="46" s="1"/>
  <c r="V38" i="46" s="1"/>
  <c r="T37" i="46"/>
  <c r="U37" i="46" s="1"/>
  <c r="V37" i="46" s="1"/>
  <c r="T36" i="46"/>
  <c r="U36" i="46" s="1"/>
  <c r="V36" i="46" s="1"/>
  <c r="U35" i="46"/>
  <c r="V35" i="46" s="1"/>
  <c r="T35" i="46"/>
  <c r="T34" i="46"/>
  <c r="U34" i="46" s="1"/>
  <c r="V34" i="46" s="1"/>
  <c r="T33" i="46"/>
  <c r="U33" i="46" s="1"/>
  <c r="V33" i="46" s="1"/>
  <c r="T32" i="46"/>
  <c r="U32" i="46" s="1"/>
  <c r="V32" i="46" s="1"/>
  <c r="T31" i="46"/>
  <c r="U31" i="46" s="1"/>
  <c r="V31" i="46" s="1"/>
  <c r="T30" i="46"/>
  <c r="U30" i="46" s="1"/>
  <c r="V30" i="46" s="1"/>
  <c r="U29" i="46"/>
  <c r="V29" i="46" s="1"/>
  <c r="T29" i="46"/>
  <c r="T28" i="46"/>
  <c r="U28" i="46" s="1"/>
  <c r="V28" i="46" s="1"/>
  <c r="T26" i="46"/>
  <c r="U26" i="46" s="1"/>
  <c r="V26" i="46" s="1"/>
  <c r="AY25" i="46"/>
  <c r="T25" i="46"/>
  <c r="U25" i="46" s="1"/>
  <c r="V25" i="46" s="1"/>
  <c r="T24" i="46"/>
  <c r="U24" i="46" s="1"/>
  <c r="V24" i="46" s="1"/>
  <c r="T23" i="46"/>
  <c r="U23" i="46" s="1"/>
  <c r="V23" i="46" s="1"/>
  <c r="T22" i="46"/>
  <c r="U22" i="46" s="1"/>
  <c r="V22" i="46" s="1"/>
  <c r="T21" i="46"/>
  <c r="U21" i="46" s="1"/>
  <c r="V21" i="46" s="1"/>
  <c r="A21" i="46"/>
  <c r="A22" i="46" s="1"/>
  <c r="A23" i="46" s="1"/>
  <c r="A24" i="46" s="1"/>
  <c r="A25" i="46" s="1"/>
  <c r="A26" i="46" s="1"/>
  <c r="A27" i="46" s="1"/>
  <c r="A28" i="46" s="1"/>
  <c r="A29" i="46" s="1"/>
  <c r="A30" i="46" s="1"/>
  <c r="A31" i="46" s="1"/>
  <c r="A32" i="46" s="1"/>
  <c r="A33" i="46" s="1"/>
  <c r="A34" i="46" s="1"/>
  <c r="A35" i="46" s="1"/>
  <c r="A36" i="46" s="1"/>
  <c r="A37" i="46" s="1"/>
  <c r="A38" i="46" s="1"/>
  <c r="A39" i="46" s="1"/>
  <c r="A40" i="46" s="1"/>
  <c r="A41" i="46" s="1"/>
  <c r="A42" i="46" s="1"/>
  <c r="A43" i="46" s="1"/>
  <c r="A44" i="46" s="1"/>
  <c r="A45" i="46" s="1"/>
  <c r="A46" i="46" s="1"/>
  <c r="A47" i="46" s="1"/>
  <c r="A48" i="46" s="1"/>
  <c r="A49" i="46" s="1"/>
  <c r="A50" i="46" s="1"/>
  <c r="A51" i="46" s="1"/>
  <c r="A52" i="46" s="1"/>
  <c r="A53" i="46" s="1"/>
  <c r="A54" i="46" s="1"/>
  <c r="A55" i="46" s="1"/>
  <c r="A56" i="46" s="1"/>
  <c r="A57" i="46" s="1"/>
  <c r="T20" i="46"/>
  <c r="U20" i="46" s="1"/>
  <c r="V20" i="46" s="1"/>
  <c r="A20" i="46"/>
  <c r="T19" i="46"/>
  <c r="U19" i="46" s="1"/>
  <c r="V19" i="46" s="1"/>
  <c r="T18" i="46"/>
  <c r="U18" i="46" s="1"/>
  <c r="V18" i="46" s="1"/>
  <c r="U17" i="46"/>
  <c r="V17" i="46" s="1"/>
  <c r="T17" i="46"/>
  <c r="T16" i="46"/>
  <c r="U16" i="46" s="1"/>
  <c r="V16" i="46" s="1"/>
  <c r="U15" i="46"/>
  <c r="V15" i="46" s="1"/>
  <c r="T15" i="46"/>
  <c r="T14" i="46"/>
  <c r="U14" i="46" s="1"/>
  <c r="V14" i="46" s="1"/>
  <c r="A14" i="46"/>
  <c r="A15" i="46" s="1"/>
  <c r="A16" i="46" s="1"/>
  <c r="A17" i="46" s="1"/>
  <c r="A18" i="46" s="1"/>
  <c r="T13" i="46"/>
  <c r="U13" i="46" s="1"/>
  <c r="V13" i="46" s="1"/>
  <c r="T12" i="46"/>
  <c r="U12" i="46" s="1"/>
  <c r="V12" i="46" s="1"/>
  <c r="T11" i="46"/>
  <c r="U11" i="46" s="1"/>
  <c r="V11" i="46" s="1"/>
  <c r="T10" i="46"/>
  <c r="U10" i="46" s="1"/>
  <c r="V10" i="46" s="1"/>
  <c r="T9" i="46"/>
  <c r="U9" i="46" s="1"/>
  <c r="V9" i="46" s="1"/>
  <c r="A9" i="46"/>
  <c r="A10" i="46" s="1"/>
  <c r="A11" i="46" s="1"/>
  <c r="T8" i="46"/>
  <c r="U8" i="46" s="1"/>
  <c r="V8" i="46" s="1"/>
  <c r="A8" i="46"/>
  <c r="T7" i="46"/>
  <c r="R58" i="45"/>
  <c r="Q58" i="45"/>
  <c r="P58" i="45"/>
  <c r="O58" i="45"/>
  <c r="N58" i="45"/>
  <c r="M58" i="45"/>
  <c r="K58" i="45"/>
  <c r="J58" i="45"/>
  <c r="I58" i="45"/>
  <c r="H58" i="45"/>
  <c r="G58" i="45"/>
  <c r="F58" i="45"/>
  <c r="T54" i="45"/>
  <c r="U54" i="45" s="1"/>
  <c r="V54" i="45" s="1"/>
  <c r="T53" i="45"/>
  <c r="U53" i="45" s="1"/>
  <c r="V53" i="45" s="1"/>
  <c r="T52" i="45"/>
  <c r="U52" i="45" s="1"/>
  <c r="V52" i="45" s="1"/>
  <c r="T51" i="45"/>
  <c r="U51" i="45" s="1"/>
  <c r="V51" i="45" s="1"/>
  <c r="T50" i="45"/>
  <c r="U50" i="45" s="1"/>
  <c r="V50" i="45" s="1"/>
  <c r="T49" i="45"/>
  <c r="U49" i="45" s="1"/>
  <c r="V49" i="45" s="1"/>
  <c r="U48" i="45"/>
  <c r="V48" i="45" s="1"/>
  <c r="T48" i="45"/>
  <c r="T47" i="45"/>
  <c r="U47" i="45" s="1"/>
  <c r="V47" i="45" s="1"/>
  <c r="T46" i="45"/>
  <c r="U46" i="45" s="1"/>
  <c r="V46" i="45" s="1"/>
  <c r="T45" i="45"/>
  <c r="U45" i="45" s="1"/>
  <c r="V45" i="45" s="1"/>
  <c r="T43" i="45"/>
  <c r="U43" i="45" s="1"/>
  <c r="V43" i="45" s="1"/>
  <c r="T41" i="45"/>
  <c r="U41" i="45" s="1"/>
  <c r="V41" i="45" s="1"/>
  <c r="T40" i="45"/>
  <c r="U40" i="45" s="1"/>
  <c r="V40" i="45" s="1"/>
  <c r="U38" i="45"/>
  <c r="V38" i="45" s="1"/>
  <c r="T38" i="45"/>
  <c r="T37" i="45"/>
  <c r="U37" i="45" s="1"/>
  <c r="V37" i="45" s="1"/>
  <c r="T36" i="45"/>
  <c r="U36" i="45" s="1"/>
  <c r="V36" i="45" s="1"/>
  <c r="T35" i="45"/>
  <c r="U35" i="45" s="1"/>
  <c r="V35" i="45" s="1"/>
  <c r="T34" i="45"/>
  <c r="U34" i="45" s="1"/>
  <c r="V34" i="45" s="1"/>
  <c r="T33" i="45"/>
  <c r="U33" i="45" s="1"/>
  <c r="V33" i="45" s="1"/>
  <c r="T32" i="45"/>
  <c r="U32" i="45" s="1"/>
  <c r="V32" i="45" s="1"/>
  <c r="T31" i="45"/>
  <c r="U31" i="45" s="1"/>
  <c r="V31" i="45" s="1"/>
  <c r="T30" i="45"/>
  <c r="U30" i="45" s="1"/>
  <c r="V30" i="45" s="1"/>
  <c r="T29" i="45"/>
  <c r="U29" i="45" s="1"/>
  <c r="V29" i="45" s="1"/>
  <c r="T28" i="45"/>
  <c r="U28" i="45" s="1"/>
  <c r="V28" i="45" s="1"/>
  <c r="T26" i="45"/>
  <c r="U26" i="45" s="1"/>
  <c r="V26" i="45" s="1"/>
  <c r="AY25" i="45"/>
  <c r="T25" i="45"/>
  <c r="U25" i="45" s="1"/>
  <c r="V25" i="45" s="1"/>
  <c r="T24" i="45"/>
  <c r="U24" i="45" s="1"/>
  <c r="V24" i="45" s="1"/>
  <c r="T23" i="45"/>
  <c r="U23" i="45" s="1"/>
  <c r="V23" i="45" s="1"/>
  <c r="T22" i="45"/>
  <c r="U22" i="45" s="1"/>
  <c r="V22" i="45" s="1"/>
  <c r="T21" i="45"/>
  <c r="U21" i="45" s="1"/>
  <c r="V21" i="45" s="1"/>
  <c r="A21" i="45"/>
  <c r="A22" i="45" s="1"/>
  <c r="A23" i="45" s="1"/>
  <c r="A24" i="45" s="1"/>
  <c r="A25" i="45" s="1"/>
  <c r="A26" i="45" s="1"/>
  <c r="A27" i="45" s="1"/>
  <c r="A28" i="45" s="1"/>
  <c r="A29" i="45" s="1"/>
  <c r="A30" i="45" s="1"/>
  <c r="A31" i="45" s="1"/>
  <c r="A32" i="45" s="1"/>
  <c r="A33" i="45" s="1"/>
  <c r="A34" i="45" s="1"/>
  <c r="A35" i="45" s="1"/>
  <c r="A36" i="45" s="1"/>
  <c r="A37" i="45" s="1"/>
  <c r="A38" i="45" s="1"/>
  <c r="A39" i="45" s="1"/>
  <c r="A40" i="45" s="1"/>
  <c r="A41" i="45" s="1"/>
  <c r="A42" i="45" s="1"/>
  <c r="A43" i="45" s="1"/>
  <c r="A44" i="45" s="1"/>
  <c r="A45" i="45" s="1"/>
  <c r="A46" i="45" s="1"/>
  <c r="A47" i="45" s="1"/>
  <c r="A48" i="45" s="1"/>
  <c r="A49" i="45" s="1"/>
  <c r="A50" i="45" s="1"/>
  <c r="A51" i="45" s="1"/>
  <c r="A52" i="45" s="1"/>
  <c r="A53" i="45" s="1"/>
  <c r="A54" i="45" s="1"/>
  <c r="A55" i="45" s="1"/>
  <c r="A56" i="45" s="1"/>
  <c r="A57" i="45" s="1"/>
  <c r="T20" i="45"/>
  <c r="U20" i="45" s="1"/>
  <c r="V20" i="45" s="1"/>
  <c r="A20" i="45"/>
  <c r="T19" i="45"/>
  <c r="U19" i="45" s="1"/>
  <c r="V19" i="45" s="1"/>
  <c r="T18" i="45"/>
  <c r="U18" i="45" s="1"/>
  <c r="V18" i="45" s="1"/>
  <c r="T17" i="45"/>
  <c r="U17" i="45" s="1"/>
  <c r="V17" i="45" s="1"/>
  <c r="T16" i="45"/>
  <c r="U16" i="45" s="1"/>
  <c r="V16" i="45" s="1"/>
  <c r="T15" i="45"/>
  <c r="U15" i="45" s="1"/>
  <c r="V15" i="45" s="1"/>
  <c r="T14" i="45"/>
  <c r="U14" i="45" s="1"/>
  <c r="V14" i="45" s="1"/>
  <c r="A14" i="45"/>
  <c r="A15" i="45" s="1"/>
  <c r="A16" i="45" s="1"/>
  <c r="A17" i="45" s="1"/>
  <c r="A18" i="45" s="1"/>
  <c r="T13" i="45"/>
  <c r="U13" i="45" s="1"/>
  <c r="V13" i="45" s="1"/>
  <c r="T12" i="45"/>
  <c r="U12" i="45" s="1"/>
  <c r="V12" i="45" s="1"/>
  <c r="T11" i="45"/>
  <c r="U11" i="45" s="1"/>
  <c r="V11" i="45" s="1"/>
  <c r="T10" i="45"/>
  <c r="U10" i="45" s="1"/>
  <c r="V10" i="45" s="1"/>
  <c r="T9" i="45"/>
  <c r="U9" i="45" s="1"/>
  <c r="V9" i="45" s="1"/>
  <c r="A9" i="45"/>
  <c r="A10" i="45" s="1"/>
  <c r="A11" i="45" s="1"/>
  <c r="T8" i="45"/>
  <c r="U8" i="45" s="1"/>
  <c r="V8" i="45" s="1"/>
  <c r="A8" i="45"/>
  <c r="T7" i="45"/>
  <c r="T58" i="47" l="1"/>
  <c r="T58" i="46"/>
  <c r="C58" i="45"/>
  <c r="U7" i="45"/>
  <c r="U58" i="45" s="1"/>
  <c r="U7" i="47"/>
  <c r="U7" i="46"/>
  <c r="T58" i="45"/>
  <c r="J58" i="43"/>
  <c r="C58" i="43"/>
  <c r="R58" i="44"/>
  <c r="Q58" i="44"/>
  <c r="P58" i="44"/>
  <c r="O58" i="44"/>
  <c r="N58" i="44"/>
  <c r="M58" i="44"/>
  <c r="K58" i="44"/>
  <c r="J58" i="44"/>
  <c r="I58" i="44"/>
  <c r="H58" i="44"/>
  <c r="G58" i="44"/>
  <c r="F58" i="44"/>
  <c r="C58" i="44"/>
  <c r="T54" i="44"/>
  <c r="U54" i="44" s="1"/>
  <c r="V54" i="44" s="1"/>
  <c r="T53" i="44"/>
  <c r="U53" i="44" s="1"/>
  <c r="V53" i="44" s="1"/>
  <c r="T52" i="44"/>
  <c r="U52" i="44" s="1"/>
  <c r="V52" i="44" s="1"/>
  <c r="T51" i="44"/>
  <c r="U51" i="44" s="1"/>
  <c r="V51" i="44" s="1"/>
  <c r="T50" i="44"/>
  <c r="U50" i="44" s="1"/>
  <c r="V50" i="44" s="1"/>
  <c r="T49" i="44"/>
  <c r="U49" i="44" s="1"/>
  <c r="V49" i="44" s="1"/>
  <c r="T48" i="44"/>
  <c r="U48" i="44" s="1"/>
  <c r="V48" i="44" s="1"/>
  <c r="T47" i="44"/>
  <c r="U47" i="44" s="1"/>
  <c r="V47" i="44" s="1"/>
  <c r="T46" i="44"/>
  <c r="U46" i="44" s="1"/>
  <c r="V46" i="44" s="1"/>
  <c r="T45" i="44"/>
  <c r="U45" i="44" s="1"/>
  <c r="V45" i="44" s="1"/>
  <c r="T43" i="44"/>
  <c r="U43" i="44" s="1"/>
  <c r="V43" i="44" s="1"/>
  <c r="T41" i="44"/>
  <c r="U41" i="44" s="1"/>
  <c r="V41" i="44" s="1"/>
  <c r="T40" i="44"/>
  <c r="U40" i="44" s="1"/>
  <c r="V40" i="44" s="1"/>
  <c r="T38" i="44"/>
  <c r="U38" i="44" s="1"/>
  <c r="V38" i="44" s="1"/>
  <c r="T37" i="44"/>
  <c r="U37" i="44" s="1"/>
  <c r="V37" i="44" s="1"/>
  <c r="T36" i="44"/>
  <c r="U36" i="44" s="1"/>
  <c r="V36" i="44" s="1"/>
  <c r="T35" i="44"/>
  <c r="U35" i="44" s="1"/>
  <c r="V35" i="44" s="1"/>
  <c r="T34" i="44"/>
  <c r="U34" i="44" s="1"/>
  <c r="V34" i="44" s="1"/>
  <c r="T33" i="44"/>
  <c r="U33" i="44" s="1"/>
  <c r="V33" i="44" s="1"/>
  <c r="T32" i="44"/>
  <c r="U32" i="44" s="1"/>
  <c r="V32" i="44" s="1"/>
  <c r="T31" i="44"/>
  <c r="U31" i="44" s="1"/>
  <c r="V31" i="44" s="1"/>
  <c r="T30" i="44"/>
  <c r="U30" i="44" s="1"/>
  <c r="V30" i="44" s="1"/>
  <c r="T29" i="44"/>
  <c r="U29" i="44" s="1"/>
  <c r="V29" i="44" s="1"/>
  <c r="T28" i="44"/>
  <c r="U28" i="44" s="1"/>
  <c r="V28" i="44" s="1"/>
  <c r="T26" i="44"/>
  <c r="U26" i="44" s="1"/>
  <c r="V26" i="44" s="1"/>
  <c r="AY25" i="44"/>
  <c r="T25" i="44"/>
  <c r="U25" i="44" s="1"/>
  <c r="V25" i="44" s="1"/>
  <c r="T24" i="44"/>
  <c r="U24" i="44" s="1"/>
  <c r="V24" i="44" s="1"/>
  <c r="T23" i="44"/>
  <c r="U23" i="44" s="1"/>
  <c r="V23" i="44" s="1"/>
  <c r="T22" i="44"/>
  <c r="U22" i="44" s="1"/>
  <c r="V22" i="44" s="1"/>
  <c r="U21" i="44"/>
  <c r="V21" i="44" s="1"/>
  <c r="T21" i="44"/>
  <c r="T20" i="44"/>
  <c r="U20" i="44" s="1"/>
  <c r="V20" i="44" s="1"/>
  <c r="A20" i="44"/>
  <c r="A21" i="44" s="1"/>
  <c r="A22" i="44" s="1"/>
  <c r="A23" i="44" s="1"/>
  <c r="A24" i="44" s="1"/>
  <c r="A25" i="44" s="1"/>
  <c r="A26" i="44" s="1"/>
  <c r="A27" i="44" s="1"/>
  <c r="A28" i="44" s="1"/>
  <c r="A29" i="44" s="1"/>
  <c r="A30" i="44" s="1"/>
  <c r="A31" i="44" s="1"/>
  <c r="A32" i="44" s="1"/>
  <c r="A33" i="44" s="1"/>
  <c r="A34" i="44" s="1"/>
  <c r="A35" i="44" s="1"/>
  <c r="A36" i="44" s="1"/>
  <c r="A37" i="44" s="1"/>
  <c r="A38" i="44" s="1"/>
  <c r="A39" i="44" s="1"/>
  <c r="A40" i="44" s="1"/>
  <c r="A41" i="44" s="1"/>
  <c r="A42" i="44" s="1"/>
  <c r="A43" i="44" s="1"/>
  <c r="A44" i="44" s="1"/>
  <c r="A45" i="44" s="1"/>
  <c r="A46" i="44" s="1"/>
  <c r="A47" i="44" s="1"/>
  <c r="A48" i="44" s="1"/>
  <c r="A49" i="44" s="1"/>
  <c r="A50" i="44" s="1"/>
  <c r="A51" i="44" s="1"/>
  <c r="A52" i="44" s="1"/>
  <c r="A53" i="44" s="1"/>
  <c r="A54" i="44" s="1"/>
  <c r="A55" i="44" s="1"/>
  <c r="A56" i="44" s="1"/>
  <c r="A57" i="44" s="1"/>
  <c r="T19" i="44"/>
  <c r="U19" i="44" s="1"/>
  <c r="V19" i="44" s="1"/>
  <c r="T18" i="44"/>
  <c r="U18" i="44" s="1"/>
  <c r="V18" i="44" s="1"/>
  <c r="T17" i="44"/>
  <c r="U17" i="44" s="1"/>
  <c r="V17" i="44" s="1"/>
  <c r="T16" i="44"/>
  <c r="U16" i="44" s="1"/>
  <c r="V16" i="44" s="1"/>
  <c r="T15" i="44"/>
  <c r="U15" i="44" s="1"/>
  <c r="V15" i="44" s="1"/>
  <c r="T14" i="44"/>
  <c r="U14" i="44" s="1"/>
  <c r="V14" i="44" s="1"/>
  <c r="A14" i="44"/>
  <c r="A15" i="44" s="1"/>
  <c r="A16" i="44" s="1"/>
  <c r="A17" i="44" s="1"/>
  <c r="A18" i="44" s="1"/>
  <c r="T13" i="44"/>
  <c r="U13" i="44" s="1"/>
  <c r="V13" i="44" s="1"/>
  <c r="T12" i="44"/>
  <c r="U12" i="44" s="1"/>
  <c r="V12" i="44" s="1"/>
  <c r="T11" i="44"/>
  <c r="U11" i="44" s="1"/>
  <c r="V11" i="44" s="1"/>
  <c r="T10" i="44"/>
  <c r="U10" i="44" s="1"/>
  <c r="V10" i="44" s="1"/>
  <c r="T9" i="44"/>
  <c r="U9" i="44" s="1"/>
  <c r="V9" i="44" s="1"/>
  <c r="A9" i="44"/>
  <c r="A10" i="44" s="1"/>
  <c r="A11" i="44" s="1"/>
  <c r="T8" i="44"/>
  <c r="U8" i="44" s="1"/>
  <c r="V8" i="44" s="1"/>
  <c r="A8" i="44"/>
  <c r="T7" i="44"/>
  <c r="U7" i="44" s="1"/>
  <c r="R58" i="43"/>
  <c r="Q58" i="43"/>
  <c r="P58" i="43"/>
  <c r="O58" i="43"/>
  <c r="N58" i="43"/>
  <c r="M58" i="43"/>
  <c r="K58" i="43"/>
  <c r="I58" i="43"/>
  <c r="H58" i="43"/>
  <c r="G58" i="43"/>
  <c r="F58" i="43"/>
  <c r="U54" i="43"/>
  <c r="V54" i="43" s="1"/>
  <c r="T54" i="43"/>
  <c r="T53" i="43"/>
  <c r="U53" i="43" s="1"/>
  <c r="V53" i="43" s="1"/>
  <c r="T52" i="43"/>
  <c r="U52" i="43" s="1"/>
  <c r="V52" i="43" s="1"/>
  <c r="T51" i="43"/>
  <c r="U51" i="43" s="1"/>
  <c r="V51" i="43" s="1"/>
  <c r="T50" i="43"/>
  <c r="U50" i="43" s="1"/>
  <c r="V50" i="43" s="1"/>
  <c r="T49" i="43"/>
  <c r="U49" i="43" s="1"/>
  <c r="V49" i="43" s="1"/>
  <c r="T48" i="43"/>
  <c r="U48" i="43" s="1"/>
  <c r="V48" i="43" s="1"/>
  <c r="T47" i="43"/>
  <c r="U47" i="43" s="1"/>
  <c r="V47" i="43" s="1"/>
  <c r="T46" i="43"/>
  <c r="U46" i="43" s="1"/>
  <c r="V46" i="43" s="1"/>
  <c r="T45" i="43"/>
  <c r="U45" i="43" s="1"/>
  <c r="V45" i="43" s="1"/>
  <c r="T41" i="43"/>
  <c r="U41" i="43" s="1"/>
  <c r="V41" i="43" s="1"/>
  <c r="T40" i="43"/>
  <c r="U40" i="43" s="1"/>
  <c r="V40" i="43" s="1"/>
  <c r="T38" i="43"/>
  <c r="U38" i="43" s="1"/>
  <c r="V38" i="43" s="1"/>
  <c r="T37" i="43"/>
  <c r="U37" i="43" s="1"/>
  <c r="V37" i="43" s="1"/>
  <c r="T36" i="43"/>
  <c r="U36" i="43" s="1"/>
  <c r="V36" i="43" s="1"/>
  <c r="T35" i="43"/>
  <c r="U35" i="43" s="1"/>
  <c r="V35" i="43" s="1"/>
  <c r="T34" i="43"/>
  <c r="U34" i="43" s="1"/>
  <c r="V34" i="43" s="1"/>
  <c r="T33" i="43"/>
  <c r="U33" i="43" s="1"/>
  <c r="V33" i="43" s="1"/>
  <c r="T32" i="43"/>
  <c r="U32" i="43" s="1"/>
  <c r="V32" i="43" s="1"/>
  <c r="T31" i="43"/>
  <c r="U31" i="43" s="1"/>
  <c r="V31" i="43" s="1"/>
  <c r="T30" i="43"/>
  <c r="U30" i="43" s="1"/>
  <c r="V30" i="43" s="1"/>
  <c r="U29" i="43"/>
  <c r="V29" i="43" s="1"/>
  <c r="T29" i="43"/>
  <c r="T28" i="43"/>
  <c r="U28" i="43" s="1"/>
  <c r="V28" i="43" s="1"/>
  <c r="T26" i="43"/>
  <c r="U26" i="43" s="1"/>
  <c r="V26" i="43" s="1"/>
  <c r="AY25" i="43"/>
  <c r="T25" i="43"/>
  <c r="U25" i="43" s="1"/>
  <c r="V25" i="43" s="1"/>
  <c r="T24" i="43"/>
  <c r="U24" i="43" s="1"/>
  <c r="V24" i="43" s="1"/>
  <c r="T23" i="43"/>
  <c r="U23" i="43" s="1"/>
  <c r="V23" i="43" s="1"/>
  <c r="T22" i="43"/>
  <c r="U22" i="43" s="1"/>
  <c r="V22" i="43" s="1"/>
  <c r="T21" i="43"/>
  <c r="U21" i="43" s="1"/>
  <c r="V21" i="43" s="1"/>
  <c r="T20" i="43"/>
  <c r="U20" i="43" s="1"/>
  <c r="V20" i="43" s="1"/>
  <c r="A20" i="43"/>
  <c r="A21" i="43" s="1"/>
  <c r="A22" i="43" s="1"/>
  <c r="A23" i="43" s="1"/>
  <c r="A24" i="43" s="1"/>
  <c r="A25" i="43" s="1"/>
  <c r="A26" i="43" s="1"/>
  <c r="A27" i="43" s="1"/>
  <c r="A28" i="43" s="1"/>
  <c r="A29" i="43" s="1"/>
  <c r="A30" i="43" s="1"/>
  <c r="A31" i="43" s="1"/>
  <c r="A32" i="43" s="1"/>
  <c r="A33" i="43" s="1"/>
  <c r="A34" i="43" s="1"/>
  <c r="A35" i="43" s="1"/>
  <c r="A36" i="43" s="1"/>
  <c r="A37" i="43" s="1"/>
  <c r="A38" i="43" s="1"/>
  <c r="A39" i="43" s="1"/>
  <c r="A40" i="43" s="1"/>
  <c r="A41" i="43" s="1"/>
  <c r="A42" i="43" s="1"/>
  <c r="A43" i="43" s="1"/>
  <c r="A44" i="43" s="1"/>
  <c r="A45" i="43" s="1"/>
  <c r="A46" i="43" s="1"/>
  <c r="A47" i="43" s="1"/>
  <c r="A48" i="43" s="1"/>
  <c r="A49" i="43" s="1"/>
  <c r="A50" i="43" s="1"/>
  <c r="A51" i="43" s="1"/>
  <c r="A52" i="43" s="1"/>
  <c r="A53" i="43" s="1"/>
  <c r="A54" i="43" s="1"/>
  <c r="A55" i="43" s="1"/>
  <c r="A56" i="43" s="1"/>
  <c r="A57" i="43" s="1"/>
  <c r="T19" i="43"/>
  <c r="U19" i="43" s="1"/>
  <c r="V19" i="43" s="1"/>
  <c r="T18" i="43"/>
  <c r="U18" i="43" s="1"/>
  <c r="V18" i="43" s="1"/>
  <c r="T17" i="43"/>
  <c r="U17" i="43" s="1"/>
  <c r="V17" i="43" s="1"/>
  <c r="T16" i="43"/>
  <c r="U16" i="43" s="1"/>
  <c r="V16" i="43" s="1"/>
  <c r="U15" i="43"/>
  <c r="V15" i="43" s="1"/>
  <c r="T15" i="43"/>
  <c r="T14" i="43"/>
  <c r="U14" i="43" s="1"/>
  <c r="V14" i="43" s="1"/>
  <c r="A14" i="43"/>
  <c r="A15" i="43" s="1"/>
  <c r="A16" i="43" s="1"/>
  <c r="A17" i="43" s="1"/>
  <c r="A18" i="43" s="1"/>
  <c r="T13" i="43"/>
  <c r="U13" i="43" s="1"/>
  <c r="V13" i="43" s="1"/>
  <c r="T12" i="43"/>
  <c r="U12" i="43" s="1"/>
  <c r="V12" i="43" s="1"/>
  <c r="T11" i="43"/>
  <c r="U11" i="43" s="1"/>
  <c r="V11" i="43" s="1"/>
  <c r="T10" i="43"/>
  <c r="U10" i="43" s="1"/>
  <c r="V10" i="43" s="1"/>
  <c r="T9" i="43"/>
  <c r="U9" i="43" s="1"/>
  <c r="V9" i="43" s="1"/>
  <c r="T8" i="43"/>
  <c r="U8" i="43" s="1"/>
  <c r="V8" i="43" s="1"/>
  <c r="A8" i="43"/>
  <c r="A9" i="43" s="1"/>
  <c r="A10" i="43" s="1"/>
  <c r="A11" i="43" s="1"/>
  <c r="T7" i="43"/>
  <c r="U7" i="43" s="1"/>
  <c r="V7" i="45" l="1"/>
  <c r="V58" i="45" s="1"/>
  <c r="U58" i="47"/>
  <c r="V7" i="47"/>
  <c r="V58" i="47" s="1"/>
  <c r="U58" i="46"/>
  <c r="V7" i="46"/>
  <c r="V58" i="46" s="1"/>
  <c r="T43" i="43"/>
  <c r="U43" i="43" s="1"/>
  <c r="V43" i="43" s="1"/>
  <c r="V7" i="44"/>
  <c r="V58" i="44" s="1"/>
  <c r="U58" i="44"/>
  <c r="T58" i="44"/>
  <c r="V7" i="43"/>
  <c r="T58" i="43" l="1"/>
  <c r="V58" i="43"/>
  <c r="U58" i="43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<sst xmlns="http://schemas.openxmlformats.org/spreadsheetml/2006/main" count="1176" uniqueCount="83">
  <si>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</si>
  <si>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</si>
  <si>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</si>
  <si>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</si>
  <si>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</si>
  <si>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</si>
  <si>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</si>
  <si>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</si>
  <si>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</si>
  <si>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</si>
  <si>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</si>
  <si>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</si>
  <si>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</si>
  <si>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</si>
  <si>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</si>
  <si>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</si>
  <si>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</si>
  <si>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</si>
  <si>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</si>
  <si>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</si>
  <si>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</si>
  <si>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</si>
  <si>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</si>
  <si>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</si>
  <si>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</si>
  <si>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</si>
  <si>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</si>
  <si>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</si>
  <si>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</si>
  <si>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</si>
  <si>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</si>
  <si>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</si>
  <si>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</si>
  <si>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</si>
  <si>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</si>
  <si>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</si>
  <si>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</si>
  <si>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</si>
  <si>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</si>
  <si>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</si>
  <si>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</si>
  <si>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</si>
  <si>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</si>
  <si>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</si>
  <si>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</si>
  <si>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</si>
  <si>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</si>
  <si>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</si>
  <si>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</si>
  <si>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</si>
  <si>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</si>
  <si>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</si>
  <si>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</si>
  <si>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</si>
  <si>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</si>
  <si>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</si>
  <si>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</si>
  <si>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</si>
  <si>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</si>
  <si>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</si>
  <si>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</si>
  <si>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</si>
  <si>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</si>
  <si>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</si>
  <si>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</si>
  <si>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</si>
  <si>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</si>
  <si>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</si>
  <si>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</si>
  <si>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</si>
  <si>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</si>
  <si>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04/02/2026</t>
  </si>
  <si>
    <t>DATE: 04/06/2026</t>
  </si>
  <si>
    <t>DATE: 04/09/2026</t>
  </si>
  <si>
    <t>DATE: 04/10/2026</t>
  </si>
  <si>
    <t>DATE: 04/14/2026</t>
  </si>
  <si>
    <t>DATE: 04/16/2026</t>
  </si>
  <si>
    <t>DATE: 04/17/2026</t>
  </si>
  <si>
    <t>DATE: 04/20/2026</t>
  </si>
  <si>
    <t>DATE: 04/21/2026</t>
  </si>
  <si>
    <t>DATE: 04/22/2026</t>
  </si>
  <si>
    <t>DATE: 04/23/2026</t>
  </si>
  <si>
    <t>DATE: 04/24/2026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</si>
</sst>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0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2" t="s">
        <v>68</v>
      </c>
      <c r="U4" s="114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3" t="s">
        <v>65</v>
      </c>
      <c r="K5" s="104"/>
      <c r="M5" s="37"/>
      <c r="N5" s="49"/>
      <c r="O5" s="40"/>
      <c r="P5" s="89"/>
      <c r="Q5" s="89"/>
      <c r="R5" s="38"/>
      <c r="S5" s="9"/>
      <c r="T5" s="113"/>
      <c r="U5" s="115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5" t="s">
        <v>41</v>
      </c>
      <c r="D62" s="106"/>
      <c r="E62" s="106"/>
      <c r="F62" s="106"/>
      <c r="G62" s="106"/>
      <c r="H62" s="106"/>
      <c r="I62" s="106"/>
      <c r="J62" s="106"/>
      <c r="K62" s="107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18DA-50BA-446D-A669-D0F3DA86ED1F}">
  <sheetPr>
    <pageSetUpPr fitToPage="1"/>
  </sheetPr>
  <dimension ref="A1:BB81"/>
  <sheetViews>
    <sheetView topLeftCell="A16" zoomScaleNormal="100" zoomScaleSheetLayoutView="115" workbookViewId="0">
      <selection activeCell="H41" sqref="H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6"/>
      <c r="Q5" s="96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20+30</f>
        <v>50</v>
      </c>
      <c r="D7" s="52"/>
      <c r="E7" s="52"/>
      <c r="F7" s="52"/>
      <c r="G7" s="52"/>
      <c r="H7" s="52">
        <v>2</v>
      </c>
      <c r="I7" s="52">
        <v>1</v>
      </c>
      <c r="J7" s="53"/>
      <c r="K7" s="54">
        <v>6</v>
      </c>
      <c r="L7" s="55"/>
      <c r="M7" s="56">
        <v>1</v>
      </c>
      <c r="N7" s="57"/>
      <c r="O7" s="52">
        <v>2</v>
      </c>
      <c r="P7" s="53">
        <v>12</v>
      </c>
      <c r="Q7" s="53">
        <v>2</v>
      </c>
      <c r="R7" s="54"/>
      <c r="S7" s="55"/>
      <c r="T7" s="58">
        <f>H7+I7+J7+K7+N7+P7+R7</f>
        <v>21</v>
      </c>
      <c r="U7" s="58">
        <f>C7*24+M7*24+O7*24+Q7*24+T7</f>
        <v>1341</v>
      </c>
      <c r="V7" s="58">
        <f>U7/24</f>
        <v>55.875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20+63+15+8</f>
        <v>106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114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2784</v>
      </c>
      <c r="V9" s="76">
        <f t="shared" ref="V9:V11" si="3">U9/24</f>
        <v>116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336</v>
      </c>
      <c r="V10" s="58">
        <f t="shared" si="3"/>
        <v>14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144</v>
      </c>
      <c r="V11" s="58">
        <f t="shared" si="3"/>
        <v>6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720+63+33+216+42+648+1440+576</f>
        <v>3738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18</v>
      </c>
      <c r="N12" s="64">
        <v>20</v>
      </c>
      <c r="O12" s="65">
        <v>13</v>
      </c>
      <c r="P12" s="66">
        <v>16</v>
      </c>
      <c r="Q12" s="66">
        <v>33</v>
      </c>
      <c r="R12" s="67">
        <v>3</v>
      </c>
      <c r="S12" s="62"/>
      <c r="T12" s="58">
        <f t="shared" si="0"/>
        <v>39</v>
      </c>
      <c r="U12" s="69">
        <f>C12*24+M12*24+O12*24+Q12*24+T12</f>
        <v>91287</v>
      </c>
      <c r="V12" s="69">
        <f>U12/24</f>
        <v>3803.625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34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>
        <v>2</v>
      </c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34</v>
      </c>
      <c r="D25" s="70"/>
      <c r="E25" s="70"/>
      <c r="F25" s="70"/>
      <c r="G25" s="70"/>
      <c r="H25" s="70">
        <v>10</v>
      </c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11</v>
      </c>
      <c r="U25" s="75">
        <f t="shared" si="4"/>
        <v>851</v>
      </c>
      <c r="V25" s="75">
        <f t="shared" si="5"/>
        <v>35.458333333333336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168</v>
      </c>
      <c r="V26" s="75">
        <f t="shared" si="5"/>
        <v>7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5+36</f>
        <v>41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1200</v>
      </c>
      <c r="V28" s="75">
        <f t="shared" si="5"/>
        <v>50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4+63</f>
        <v>67</v>
      </c>
      <c r="D29" s="70"/>
      <c r="E29" s="70"/>
      <c r="F29" s="70"/>
      <c r="G29" s="70"/>
      <c r="H29" s="70"/>
      <c r="I29" s="70"/>
      <c r="J29" s="71"/>
      <c r="K29" s="72"/>
      <c r="L29" s="55"/>
      <c r="M29" s="73">
        <v>1</v>
      </c>
      <c r="N29" s="74"/>
      <c r="O29" s="70"/>
      <c r="P29" s="71"/>
      <c r="Q29" s="71">
        <v>1</v>
      </c>
      <c r="R29" s="72"/>
      <c r="S29" s="55"/>
      <c r="T29" s="58">
        <f t="shared" si="0"/>
        <v>0</v>
      </c>
      <c r="U29" s="75">
        <f t="shared" si="4"/>
        <v>1656</v>
      </c>
      <c r="V29" s="75">
        <f t="shared" si="5"/>
        <v>69</v>
      </c>
    </row>
    <row r="30" spans="1:54" x14ac:dyDescent="0.25">
      <c r="A30" s="27">
        <f t="shared" si="1"/>
        <v>27</v>
      </c>
      <c r="B30" s="26" t="s">
        <v>15</v>
      </c>
      <c r="C30" s="70">
        <v>40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1008</v>
      </c>
      <c r="V30" s="75">
        <f t="shared" si="5"/>
        <v>42</v>
      </c>
    </row>
    <row r="31" spans="1:54" x14ac:dyDescent="0.25">
      <c r="A31" s="27">
        <f t="shared" si="1"/>
        <v>28</v>
      </c>
      <c r="B31" s="26" t="s">
        <v>12</v>
      </c>
      <c r="C31" s="70">
        <v>1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>
        <v>5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120</v>
      </c>
      <c r="V32" s="75">
        <f t="shared" si="5"/>
        <v>5</v>
      </c>
    </row>
    <row r="33" spans="1:23" x14ac:dyDescent="0.25">
      <c r="A33" s="27">
        <f t="shared" si="1"/>
        <v>30</v>
      </c>
      <c r="B33" s="26" t="s">
        <v>16</v>
      </c>
      <c r="C33" s="70">
        <v>5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72+55</f>
        <v>127</v>
      </c>
      <c r="D34" s="70"/>
      <c r="E34" s="70"/>
      <c r="F34" s="70"/>
      <c r="G34" s="70"/>
      <c r="H34" s="70">
        <v>4</v>
      </c>
      <c r="I34" s="70"/>
      <c r="J34" s="71"/>
      <c r="K34" s="72">
        <v>1</v>
      </c>
      <c r="L34" s="55"/>
      <c r="M34" s="73">
        <v>1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5</v>
      </c>
      <c r="U34" s="75">
        <f t="shared" si="4"/>
        <v>3173</v>
      </c>
      <c r="V34" s="75">
        <f t="shared" si="5"/>
        <v>132.20833333333334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432+46+2592+1512</f>
        <v>4582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20</v>
      </c>
      <c r="N37" s="64"/>
      <c r="O37" s="65">
        <v>24</v>
      </c>
      <c r="P37" s="66"/>
      <c r="Q37" s="66">
        <v>77</v>
      </c>
      <c r="R37" s="67"/>
      <c r="S37" s="62"/>
      <c r="T37" s="77">
        <f t="shared" si="0"/>
        <v>2</v>
      </c>
      <c r="U37" s="77">
        <f>C37*6+M37*6+O37*6+Q37*6+T37</f>
        <v>28220</v>
      </c>
      <c r="V37" s="77">
        <f>U37/6</f>
        <v>4703.333333333333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315+7</f>
        <v>322</v>
      </c>
      <c r="D40" s="59"/>
      <c r="E40" s="59"/>
      <c r="F40" s="59"/>
      <c r="G40" s="59"/>
      <c r="H40" s="59">
        <v>4</v>
      </c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24</v>
      </c>
      <c r="U40" s="77">
        <f>C40*24+M40*24+O40*24+Q40*24+T40</f>
        <v>7776</v>
      </c>
      <c r="V40" s="77">
        <f>U40/24</f>
        <v>324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192+768+94+4</f>
        <v>1058</v>
      </c>
      <c r="D41" s="82"/>
      <c r="E41" s="82"/>
      <c r="F41" s="82"/>
      <c r="G41" s="82"/>
      <c r="H41" s="82">
        <v>9</v>
      </c>
      <c r="I41" s="82"/>
      <c r="J41" s="83"/>
      <c r="K41" s="84"/>
      <c r="L41" s="85"/>
      <c r="M41" s="86">
        <v>7</v>
      </c>
      <c r="N41" s="87"/>
      <c r="O41" s="82">
        <v>5</v>
      </c>
      <c r="P41" s="83"/>
      <c r="Q41" s="83">
        <v>30</v>
      </c>
      <c r="R41" s="84"/>
      <c r="S41" s="85"/>
      <c r="T41" s="88">
        <f t="shared" si="0"/>
        <v>9</v>
      </c>
      <c r="U41" s="88">
        <f>C41*12+M41*12+O41*12+Q41*12+T41</f>
        <v>13209</v>
      </c>
      <c r="V41" s="88">
        <f>U41/12</f>
        <v>1100.75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7776+5940+1080+5616+88+4536+9612</f>
        <v>34648</v>
      </c>
      <c r="D43" s="65"/>
      <c r="E43" s="65"/>
      <c r="F43" s="65"/>
      <c r="G43" s="65"/>
      <c r="H43" s="65">
        <v>1</v>
      </c>
      <c r="I43" s="65">
        <v>7</v>
      </c>
      <c r="J43" s="66">
        <f>19*6+2</f>
        <v>116</v>
      </c>
      <c r="K43" s="67">
        <f>21*6+2</f>
        <v>128</v>
      </c>
      <c r="L43" s="62"/>
      <c r="M43" s="63">
        <v>373</v>
      </c>
      <c r="N43" s="64"/>
      <c r="O43" s="65">
        <v>417</v>
      </c>
      <c r="P43" s="66"/>
      <c r="Q43" s="66">
        <v>656</v>
      </c>
      <c r="R43" s="67"/>
      <c r="S43" s="62"/>
      <c r="T43" s="77">
        <f t="shared" ref="T43" si="6">H43+I43+J43+K43+N43+P43+R43</f>
        <v>252</v>
      </c>
      <c r="U43" s="77">
        <f>C43*6+M43*6+O43*6+Q43*6+T43</f>
        <v>216816</v>
      </c>
      <c r="V43" s="77">
        <f>U43/6</f>
        <v>36136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3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72</v>
      </c>
      <c r="V45" s="75">
        <f>U45/24</f>
        <v>3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432+106+2268+24</f>
        <v>2830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3</v>
      </c>
      <c r="P47" s="66">
        <v>4</v>
      </c>
      <c r="Q47" s="66">
        <v>8</v>
      </c>
      <c r="R47" s="67"/>
      <c r="S47" s="62"/>
      <c r="T47" s="77">
        <f t="shared" si="7"/>
        <v>10</v>
      </c>
      <c r="U47" s="77">
        <f>C47*6+M47*6+O47*6+Q47*6+T47</f>
        <v>17056</v>
      </c>
      <c r="V47" s="77">
        <f>U47/6</f>
        <v>2842.6666666666665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48</v>
      </c>
      <c r="V52" s="75">
        <f t="shared" si="9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336</v>
      </c>
      <c r="V53" s="75">
        <f t="shared" si="9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47946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126</v>
      </c>
      <c r="I58" s="6">
        <f t="shared" si="11"/>
        <v>9</v>
      </c>
      <c r="J58" s="6">
        <f t="shared" si="11"/>
        <v>116</v>
      </c>
      <c r="K58" s="6">
        <f t="shared" si="11"/>
        <v>163</v>
      </c>
      <c r="M58" s="5">
        <f t="shared" ref="M58:R58" si="12">SUM(M7:M57)</f>
        <v>425</v>
      </c>
      <c r="N58" s="5">
        <f t="shared" si="12"/>
        <v>20</v>
      </c>
      <c r="O58" s="5">
        <f t="shared" si="12"/>
        <v>472</v>
      </c>
      <c r="P58" s="5">
        <f t="shared" si="12"/>
        <v>51</v>
      </c>
      <c r="Q58" s="5">
        <f t="shared" si="12"/>
        <v>820</v>
      </c>
      <c r="R58" s="5">
        <f t="shared" si="12"/>
        <v>3</v>
      </c>
      <c r="S58" s="55"/>
      <c r="T58" s="4">
        <f>SUM(T7:T57)</f>
        <v>488</v>
      </c>
      <c r="U58" s="90">
        <f>SUM(U7:U57)</f>
        <v>393104</v>
      </c>
      <c r="V58" s="4">
        <f>SUM(V7:V57)</f>
        <v>49716.708333333328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74D12-0076-42A5-9528-69B257B3A780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7"/>
      <c r="Q5" s="97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20+29</f>
        <v>49</v>
      </c>
      <c r="D7" s="52"/>
      <c r="E7" s="52"/>
      <c r="F7" s="52">
        <v>24</v>
      </c>
      <c r="G7" s="52">
        <f>2*24+12</f>
        <v>60</v>
      </c>
      <c r="H7" s="52">
        <v>2</v>
      </c>
      <c r="I7" s="52">
        <v>1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F7+G7+H7+I7+J7+K7+N7+P7+R7</f>
        <v>93</v>
      </c>
      <c r="U7" s="58">
        <f>C7*24+M7*24+O7*24+Q7*24+T7</f>
        <v>1293</v>
      </c>
      <c r="V7" s="58">
        <f>U7/24</f>
        <v>53.875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20+5+63+15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/>
      <c r="R8" s="67"/>
      <c r="S8" s="62"/>
      <c r="T8" s="68">
        <f t="shared" ref="T8:T24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94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18</v>
      </c>
      <c r="R9" s="72"/>
      <c r="S9" s="55"/>
      <c r="T9" s="75">
        <f t="shared" si="0"/>
        <v>0</v>
      </c>
      <c r="U9" s="76">
        <f t="shared" ref="U9:U11" si="2">C9*24+M9*24+O9*24+Q9*24+T9</f>
        <v>2736</v>
      </c>
      <c r="V9" s="76">
        <f t="shared" ref="V9:V11" si="3">U9/24</f>
        <v>114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13</v>
      </c>
      <c r="R10" s="72"/>
      <c r="S10" s="55"/>
      <c r="T10" s="58">
        <f t="shared" si="0"/>
        <v>0</v>
      </c>
      <c r="U10" s="58">
        <f t="shared" si="2"/>
        <v>312</v>
      </c>
      <c r="V10" s="58">
        <f t="shared" si="3"/>
        <v>13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3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>
        <v>2</v>
      </c>
      <c r="P11" s="71"/>
      <c r="Q11" s="71"/>
      <c r="R11" s="72"/>
      <c r="S11" s="55"/>
      <c r="T11" s="58">
        <f t="shared" si="0"/>
        <v>24</v>
      </c>
      <c r="U11" s="58">
        <f t="shared" si="2"/>
        <v>144</v>
      </c>
      <c r="V11" s="58">
        <f t="shared" si="3"/>
        <v>6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29+1584+1440+576</f>
        <v>3629</v>
      </c>
      <c r="D12" s="59"/>
      <c r="E12" s="59"/>
      <c r="F12" s="59">
        <f>7*24</f>
        <v>168</v>
      </c>
      <c r="G12" s="59">
        <v>10</v>
      </c>
      <c r="H12" s="59"/>
      <c r="I12" s="59"/>
      <c r="J12" s="60"/>
      <c r="K12" s="61"/>
      <c r="L12" s="62"/>
      <c r="M12" s="63">
        <v>25</v>
      </c>
      <c r="N12" s="64"/>
      <c r="O12" s="65">
        <v>11</v>
      </c>
      <c r="P12" s="66"/>
      <c r="Q12" s="66">
        <v>35</v>
      </c>
      <c r="R12" s="67">
        <v>20</v>
      </c>
      <c r="S12" s="62"/>
      <c r="T12" s="69">
        <f>F12+G12+H12+I12+J12+K12+N12+P12+R12</f>
        <v>198</v>
      </c>
      <c r="U12" s="69">
        <f>C12*24+M12*24+O12*24+Q12*24+T12</f>
        <v>88998</v>
      </c>
      <c r="V12" s="69">
        <f>U12/24</f>
        <v>3708.25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>
        <f>24+19</f>
        <v>43</v>
      </c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>F23+G23+H23+I23+J23+K23+N23+P23+R23</f>
        <v>43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33</v>
      </c>
      <c r="D25" s="70"/>
      <c r="E25" s="70"/>
      <c r="F25" s="70">
        <v>24</v>
      </c>
      <c r="G25" s="70"/>
      <c r="H25" s="70">
        <v>10</v>
      </c>
      <c r="I25" s="70">
        <v>1</v>
      </c>
      <c r="J25" s="71"/>
      <c r="K25" s="72"/>
      <c r="L25" s="55"/>
      <c r="M25" s="73"/>
      <c r="N25" s="74"/>
      <c r="O25" s="70">
        <v>1</v>
      </c>
      <c r="P25" s="71"/>
      <c r="Q25" s="71"/>
      <c r="R25" s="72"/>
      <c r="S25" s="55"/>
      <c r="T25" s="58">
        <f>F25+G25+H25+I25+J25+K25+N25+P25+R25</f>
        <v>35</v>
      </c>
      <c r="U25" s="75">
        <f t="shared" si="4"/>
        <v>851</v>
      </c>
      <c r="V25" s="75">
        <f t="shared" si="5"/>
        <v>35.458333333333336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ref="T26:T27" si="6">F26+G26+H26+I26+J26+K26+N26+P26+R26</f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6"/>
        <v>0</v>
      </c>
      <c r="U27" s="75">
        <f t="shared" ref="U27" si="7">C27*24+M27*24+O27*24+Q27*24+T27</f>
        <v>96</v>
      </c>
      <c r="V27" s="75">
        <f t="shared" ref="V27" si="8">U27/24</f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5+17</f>
        <v>22</v>
      </c>
      <c r="D28" s="70"/>
      <c r="E28" s="70"/>
      <c r="F28" s="70">
        <f>4*24</f>
        <v>96</v>
      </c>
      <c r="G28" s="70">
        <f>24*2</f>
        <v>48</v>
      </c>
      <c r="H28" s="70"/>
      <c r="I28" s="70"/>
      <c r="J28" s="71"/>
      <c r="K28" s="72"/>
      <c r="L28" s="55"/>
      <c r="M28" s="73">
        <v>3</v>
      </c>
      <c r="N28" s="74"/>
      <c r="O28" s="70">
        <v>2</v>
      </c>
      <c r="P28" s="71"/>
      <c r="Q28" s="71">
        <v>9</v>
      </c>
      <c r="R28" s="72"/>
      <c r="S28" s="55"/>
      <c r="T28" s="58">
        <f>F28+G28+H28+I28+J28+K28+N28+P28+R28</f>
        <v>144</v>
      </c>
      <c r="U28" s="75">
        <f t="shared" si="4"/>
        <v>1008</v>
      </c>
      <c r="V28" s="75">
        <f t="shared" si="5"/>
        <v>42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3+62</f>
        <v>65</v>
      </c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ref="T29:T54" si="9">F29+G29+H29+I29+J29+K29+N29+P29+R29</f>
        <v>0</v>
      </c>
      <c r="U29" s="75">
        <f t="shared" si="4"/>
        <v>1584</v>
      </c>
      <c r="V29" s="75">
        <f t="shared" si="5"/>
        <v>66</v>
      </c>
    </row>
    <row r="30" spans="1:54" x14ac:dyDescent="0.25">
      <c r="A30" s="27">
        <f t="shared" si="1"/>
        <v>27</v>
      </c>
      <c r="B30" s="26" t="s">
        <v>15</v>
      </c>
      <c r="C30" s="70">
        <v>40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9"/>
        <v>0</v>
      </c>
      <c r="U30" s="75">
        <f t="shared" si="4"/>
        <v>984</v>
      </c>
      <c r="V30" s="75">
        <f t="shared" si="5"/>
        <v>41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>
        <v>1</v>
      </c>
      <c r="R31" s="72"/>
      <c r="S31" s="55"/>
      <c r="T31" s="58">
        <f t="shared" si="9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9"/>
        <v>0</v>
      </c>
      <c r="U32" s="75">
        <f t="shared" si="4"/>
        <v>120</v>
      </c>
      <c r="V32" s="75">
        <f t="shared" si="5"/>
        <v>5</v>
      </c>
    </row>
    <row r="33" spans="1:23" x14ac:dyDescent="0.25">
      <c r="A33" s="27">
        <f t="shared" si="1"/>
        <v>30</v>
      </c>
      <c r="B33" s="26" t="s">
        <v>16</v>
      </c>
      <c r="C33" s="70">
        <v>5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9"/>
        <v>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42+72</f>
        <v>114</v>
      </c>
      <c r="D34" s="70"/>
      <c r="E34" s="70"/>
      <c r="F34" s="70">
        <v>24</v>
      </c>
      <c r="G34" s="70">
        <f>24*2</f>
        <v>48</v>
      </c>
      <c r="H34" s="70">
        <v>4</v>
      </c>
      <c r="I34" s="70"/>
      <c r="J34" s="71"/>
      <c r="K34" s="72">
        <v>1</v>
      </c>
      <c r="L34" s="55"/>
      <c r="M34" s="73">
        <v>3</v>
      </c>
      <c r="N34" s="74"/>
      <c r="O34" s="70">
        <v>1</v>
      </c>
      <c r="P34" s="71"/>
      <c r="Q34" s="71"/>
      <c r="R34" s="72"/>
      <c r="S34" s="55"/>
      <c r="T34" s="58">
        <f t="shared" si="9"/>
        <v>77</v>
      </c>
      <c r="U34" s="75">
        <f t="shared" si="4"/>
        <v>2909</v>
      </c>
      <c r="V34" s="75">
        <f t="shared" si="5"/>
        <v>121.20833333333333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9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9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2592+1296+108</f>
        <v>3996</v>
      </c>
      <c r="D37" s="59"/>
      <c r="E37" s="59"/>
      <c r="F37" s="59"/>
      <c r="G37" s="59">
        <f>19*6</f>
        <v>114</v>
      </c>
      <c r="H37" s="59"/>
      <c r="I37" s="59"/>
      <c r="J37" s="60"/>
      <c r="K37" s="61">
        <v>2</v>
      </c>
      <c r="L37" s="62"/>
      <c r="M37" s="63">
        <v>34</v>
      </c>
      <c r="N37" s="64"/>
      <c r="O37" s="65">
        <v>48</v>
      </c>
      <c r="P37" s="66"/>
      <c r="Q37" s="66">
        <v>109</v>
      </c>
      <c r="R37" s="67"/>
      <c r="S37" s="62"/>
      <c r="T37" s="68">
        <f t="shared" si="9"/>
        <v>116</v>
      </c>
      <c r="U37" s="77">
        <f>C37*6+M37*6+O37*6+Q37*6+T37</f>
        <v>25238</v>
      </c>
      <c r="V37" s="77">
        <f>U37/6</f>
        <v>4206.333333333333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9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58">
        <f t="shared" si="9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315+6</f>
        <v>321</v>
      </c>
      <c r="D40" s="59"/>
      <c r="E40" s="59"/>
      <c r="F40" s="59"/>
      <c r="G40" s="59">
        <v>24</v>
      </c>
      <c r="H40" s="59">
        <v>4</v>
      </c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69">
        <f t="shared" si="9"/>
        <v>48</v>
      </c>
      <c r="U40" s="77">
        <f>C40*24+M40*24+O40*24+Q40*24+T40</f>
        <v>7776</v>
      </c>
      <c r="V40" s="77">
        <f>U40/24</f>
        <v>324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192+768+52</f>
        <v>1012</v>
      </c>
      <c r="D41" s="82"/>
      <c r="E41" s="82"/>
      <c r="F41" s="82">
        <f>9*2</f>
        <v>18</v>
      </c>
      <c r="G41" s="82">
        <f>9*5</f>
        <v>45</v>
      </c>
      <c r="H41" s="82">
        <v>9</v>
      </c>
      <c r="I41" s="82"/>
      <c r="J41" s="83"/>
      <c r="K41" s="84"/>
      <c r="L41" s="85"/>
      <c r="M41" s="86">
        <v>5</v>
      </c>
      <c r="N41" s="87"/>
      <c r="O41" s="82">
        <v>6</v>
      </c>
      <c r="P41" s="83"/>
      <c r="Q41" s="83">
        <v>10</v>
      </c>
      <c r="R41" s="84"/>
      <c r="S41" s="85"/>
      <c r="T41" s="76">
        <f t="shared" si="9"/>
        <v>72</v>
      </c>
      <c r="U41" s="88">
        <f>C41*12+M41*12+O41*12+Q41*12+T41</f>
        <v>12468</v>
      </c>
      <c r="V41" s="88">
        <f>U41/12</f>
        <v>1039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69">
        <f t="shared" si="9"/>
        <v>0</v>
      </c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7776+3132+5616+4536+9612</f>
        <v>30672</v>
      </c>
      <c r="D43" s="65"/>
      <c r="E43" s="65"/>
      <c r="F43" s="65">
        <f>6*6</f>
        <v>36</v>
      </c>
      <c r="G43" s="65">
        <f>64*6</f>
        <v>384</v>
      </c>
      <c r="H43" s="65">
        <v>4</v>
      </c>
      <c r="I43" s="65">
        <v>7</v>
      </c>
      <c r="J43" s="66">
        <f>21*6+5</f>
        <v>131</v>
      </c>
      <c r="K43" s="67">
        <f>21*6+2</f>
        <v>128</v>
      </c>
      <c r="L43" s="62"/>
      <c r="M43" s="63">
        <v>648</v>
      </c>
      <c r="N43" s="64"/>
      <c r="O43" s="65">
        <v>436</v>
      </c>
      <c r="P43" s="66"/>
      <c r="Q43" s="66">
        <v>756</v>
      </c>
      <c r="R43" s="67"/>
      <c r="S43" s="62"/>
      <c r="T43" s="76">
        <f t="shared" si="9"/>
        <v>690</v>
      </c>
      <c r="U43" s="77">
        <f>C43*6+M43*6+O43*6+Q43*6+T43</f>
        <v>195762</v>
      </c>
      <c r="V43" s="77">
        <f>U43/6</f>
        <v>32627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69">
        <f t="shared" si="9"/>
        <v>0</v>
      </c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1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2</v>
      </c>
      <c r="P45" s="71"/>
      <c r="Q45" s="71"/>
      <c r="R45" s="72"/>
      <c r="S45" s="55"/>
      <c r="T45" s="76">
        <f t="shared" si="9"/>
        <v>0</v>
      </c>
      <c r="U45" s="75">
        <f>C45*24+M45*24+O45*24+Q45*24+T45</f>
        <v>72</v>
      </c>
      <c r="V45" s="75">
        <f>U45/24</f>
        <v>3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58">
        <f t="shared" si="9"/>
        <v>0</v>
      </c>
      <c r="U46" s="75">
        <f t="shared" ref="U46:U50" si="10">C46*24+M46*24+O46*24+Q46*24+T46</f>
        <v>0</v>
      </c>
      <c r="V46" s="75">
        <f t="shared" ref="V46:V54" si="11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432+106+2268+24</f>
        <v>2830</v>
      </c>
      <c r="D47" s="65"/>
      <c r="E47" s="65"/>
      <c r="F47" s="65"/>
      <c r="G47" s="65">
        <f>3*6+4</f>
        <v>22</v>
      </c>
      <c r="H47" s="65">
        <v>2</v>
      </c>
      <c r="I47" s="65"/>
      <c r="J47" s="66"/>
      <c r="K47" s="67">
        <v>4</v>
      </c>
      <c r="L47" s="62"/>
      <c r="M47" s="63"/>
      <c r="N47" s="64"/>
      <c r="O47" s="65"/>
      <c r="P47" s="66"/>
      <c r="Q47" s="66">
        <v>8</v>
      </c>
      <c r="R47" s="67"/>
      <c r="S47" s="62"/>
      <c r="T47" s="69">
        <f t="shared" si="9"/>
        <v>28</v>
      </c>
      <c r="U47" s="77">
        <f>C47*6+M47*6+O47*6+Q47*6+T47</f>
        <v>17056</v>
      </c>
      <c r="V47" s="77">
        <f>U47/6</f>
        <v>2842.6666666666665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6">
        <f t="shared" si="9"/>
        <v>0</v>
      </c>
      <c r="U48" s="75">
        <f t="shared" si="10"/>
        <v>24</v>
      </c>
      <c r="V48" s="75">
        <f t="shared" si="11"/>
        <v>1</v>
      </c>
    </row>
    <row r="49" spans="1:22" x14ac:dyDescent="0.25">
      <c r="A49" s="27">
        <f t="shared" si="1"/>
        <v>46</v>
      </c>
      <c r="B49" s="26" t="s">
        <v>26</v>
      </c>
      <c r="C49" s="70">
        <v>4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6</v>
      </c>
      <c r="R49" s="72"/>
      <c r="S49" s="55"/>
      <c r="T49" s="58">
        <f t="shared" si="9"/>
        <v>0</v>
      </c>
      <c r="U49" s="75">
        <f t="shared" si="10"/>
        <v>240</v>
      </c>
      <c r="V49" s="75">
        <f t="shared" si="11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58">
        <f t="shared" si="9"/>
        <v>0</v>
      </c>
      <c r="U50" s="75">
        <f t="shared" si="10"/>
        <v>0</v>
      </c>
      <c r="V50" s="75">
        <f t="shared" si="11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69">
        <f t="shared" si="9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6">
        <f t="shared" si="9"/>
        <v>0</v>
      </c>
      <c r="U52" s="75">
        <f t="shared" ref="U52:U54" si="12">C52*24+M52*24+O52*24+Q52*24+T52</f>
        <v>48</v>
      </c>
      <c r="V52" s="75">
        <f t="shared" si="11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58">
        <f t="shared" si="9"/>
        <v>0</v>
      </c>
      <c r="U53" s="75">
        <f t="shared" si="12"/>
        <v>336</v>
      </c>
      <c r="V53" s="75">
        <f t="shared" si="11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58">
        <f t="shared" si="9"/>
        <v>0</v>
      </c>
      <c r="U54" s="75">
        <f t="shared" si="12"/>
        <v>0</v>
      </c>
      <c r="V54" s="75">
        <f t="shared" si="11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43146</v>
      </c>
      <c r="D58" s="2"/>
      <c r="E58" s="2"/>
      <c r="F58" s="2">
        <f t="shared" ref="F58:K58" si="13">SUM(F7:F57)</f>
        <v>390</v>
      </c>
      <c r="G58" s="2">
        <f t="shared" si="13"/>
        <v>798</v>
      </c>
      <c r="H58" s="2">
        <f t="shared" si="13"/>
        <v>129</v>
      </c>
      <c r="I58" s="6">
        <f t="shared" si="13"/>
        <v>9</v>
      </c>
      <c r="J58" s="6">
        <f t="shared" si="13"/>
        <v>131</v>
      </c>
      <c r="K58" s="6">
        <f t="shared" si="13"/>
        <v>163</v>
      </c>
      <c r="M58" s="5">
        <f t="shared" ref="M58:R58" si="14">SUM(M7:M57)</f>
        <v>720</v>
      </c>
      <c r="N58" s="5">
        <f t="shared" si="14"/>
        <v>0</v>
      </c>
      <c r="O58" s="5">
        <f t="shared" si="14"/>
        <v>516</v>
      </c>
      <c r="P58" s="5">
        <f t="shared" si="14"/>
        <v>0</v>
      </c>
      <c r="Q58" s="5">
        <f t="shared" si="14"/>
        <v>967</v>
      </c>
      <c r="R58" s="5">
        <f t="shared" si="14"/>
        <v>20</v>
      </c>
      <c r="S58" s="55"/>
      <c r="T58" s="4">
        <f>SUM(T7:T57)</f>
        <v>1640</v>
      </c>
      <c r="U58" s="4">
        <f>SUM(U7:U57)</f>
        <v>365342</v>
      </c>
      <c r="V58" s="4">
        <f>SUM(V7:V57)</f>
        <v>45524.583333333328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D993-F3E9-4FE3-983E-F3145948B2B7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7"/>
      <c r="Q5" s="97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20+26</f>
        <v>46</v>
      </c>
      <c r="D7" s="52"/>
      <c r="E7" s="52"/>
      <c r="F7" s="52"/>
      <c r="G7" s="52"/>
      <c r="H7" s="52">
        <v>2</v>
      </c>
      <c r="I7" s="52">
        <v>1</v>
      </c>
      <c r="J7" s="53"/>
      <c r="K7" s="54">
        <v>6</v>
      </c>
      <c r="L7" s="55"/>
      <c r="M7" s="56">
        <v>3</v>
      </c>
      <c r="N7" s="57"/>
      <c r="O7" s="52">
        <v>3</v>
      </c>
      <c r="P7" s="53">
        <v>12</v>
      </c>
      <c r="Q7" s="53">
        <v>1</v>
      </c>
      <c r="R7" s="54"/>
      <c r="S7" s="55"/>
      <c r="T7" s="58">
        <f>H7+I7+J7+K7+N7+P7+R7</f>
        <v>21</v>
      </c>
      <c r="U7" s="58">
        <f>C7*24+M7*24+O7*24+Q7*24+T7</f>
        <v>1293</v>
      </c>
      <c r="V7" s="58">
        <f>U7/24</f>
        <v>53.875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20+4+15+63</f>
        <v>102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2496</v>
      </c>
      <c r="V8" s="69">
        <f>U8/24</f>
        <v>104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2208</v>
      </c>
      <c r="V9" s="76">
        <f t="shared" ref="V9:V11" si="3">U9/24</f>
        <v>92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120</v>
      </c>
      <c r="V11" s="58">
        <f t="shared" si="3"/>
        <v>5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1440+72+22+1440+576</f>
        <v>3550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24</v>
      </c>
      <c r="N12" s="64"/>
      <c r="O12" s="65">
        <v>15</v>
      </c>
      <c r="P12" s="66"/>
      <c r="Q12" s="66">
        <v>24</v>
      </c>
      <c r="R12" s="67">
        <v>4</v>
      </c>
      <c r="S12" s="62"/>
      <c r="T12" s="58">
        <f t="shared" si="0"/>
        <v>4</v>
      </c>
      <c r="U12" s="69">
        <f>C12*24+M12*24+O12*24+Q12*24+T12</f>
        <v>86716</v>
      </c>
      <c r="V12" s="69">
        <f>U12/24</f>
        <v>3613.1666666666665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30</v>
      </c>
      <c r="D25" s="70"/>
      <c r="E25" s="70"/>
      <c r="F25" s="70"/>
      <c r="G25" s="70"/>
      <c r="H25" s="70">
        <v>10</v>
      </c>
      <c r="I25" s="70">
        <v>1</v>
      </c>
      <c r="J25" s="71"/>
      <c r="K25" s="72"/>
      <c r="L25" s="55"/>
      <c r="M25" s="73">
        <v>3</v>
      </c>
      <c r="N25" s="74"/>
      <c r="O25" s="70">
        <v>1</v>
      </c>
      <c r="P25" s="71"/>
      <c r="Q25" s="71">
        <v>1</v>
      </c>
      <c r="R25" s="72"/>
      <c r="S25" s="55"/>
      <c r="T25" s="58">
        <f t="shared" si="0"/>
        <v>11</v>
      </c>
      <c r="U25" s="75">
        <f t="shared" si="4"/>
        <v>851</v>
      </c>
      <c r="V25" s="75">
        <f t="shared" si="5"/>
        <v>35.458333333333336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ref="T27" si="6">H27+I27+J27+K27+N27+P27+R27</f>
        <v>0</v>
      </c>
      <c r="U27" s="75">
        <f t="shared" ref="U27" si="7">C27*24+M27*24+O27*24+Q27*24+T27</f>
        <v>96</v>
      </c>
      <c r="V27" s="75">
        <f t="shared" ref="V27" si="8">U27/24</f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5+8</f>
        <v>13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6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576</v>
      </c>
      <c r="V28" s="75">
        <f t="shared" si="5"/>
        <v>24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3+62</f>
        <v>65</v>
      </c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1560</v>
      </c>
      <c r="V29" s="75">
        <f t="shared" si="5"/>
        <v>65</v>
      </c>
    </row>
    <row r="30" spans="1:54" x14ac:dyDescent="0.25">
      <c r="A30" s="27">
        <f t="shared" si="1"/>
        <v>27</v>
      </c>
      <c r="B30" s="26" t="s">
        <v>15</v>
      </c>
      <c r="C30" s="70">
        <v>40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960</v>
      </c>
      <c r="V30" s="75">
        <f t="shared" si="5"/>
        <v>40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24</v>
      </c>
      <c r="V31" s="75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>
        <v>5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72+38</f>
        <v>110</v>
      </c>
      <c r="D34" s="70"/>
      <c r="E34" s="70"/>
      <c r="F34" s="70"/>
      <c r="G34" s="70"/>
      <c r="H34" s="70">
        <v>4</v>
      </c>
      <c r="I34" s="70"/>
      <c r="J34" s="71"/>
      <c r="K34" s="72">
        <v>1</v>
      </c>
      <c r="L34" s="55"/>
      <c r="M34" s="73">
        <v>3</v>
      </c>
      <c r="N34" s="74"/>
      <c r="O34" s="70">
        <v>3</v>
      </c>
      <c r="P34" s="71"/>
      <c r="Q34" s="71"/>
      <c r="R34" s="72"/>
      <c r="S34" s="55"/>
      <c r="T34" s="58">
        <f t="shared" si="0"/>
        <v>5</v>
      </c>
      <c r="U34" s="75">
        <f t="shared" si="4"/>
        <v>2789</v>
      </c>
      <c r="V34" s="75">
        <f t="shared" si="5"/>
        <v>116.20833333333333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61+2592+1080</f>
        <v>3733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20</v>
      </c>
      <c r="N37" s="64"/>
      <c r="O37" s="65">
        <v>27</v>
      </c>
      <c r="P37" s="66"/>
      <c r="Q37" s="66">
        <v>117</v>
      </c>
      <c r="R37" s="67"/>
      <c r="S37" s="62"/>
      <c r="T37" s="77">
        <f t="shared" si="0"/>
        <v>2</v>
      </c>
      <c r="U37" s="77">
        <f>C37*6+M37*6+O37*6+Q37*6+T37</f>
        <v>23384</v>
      </c>
      <c r="V37" s="77">
        <f>U37/6</f>
        <v>3897.3333333333335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ref="T39" si="9">H39+I39+J39+K39+N39+P39+R39</f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6+315</f>
        <v>321</v>
      </c>
      <c r="D40" s="59"/>
      <c r="E40" s="59"/>
      <c r="F40" s="59"/>
      <c r="G40" s="59"/>
      <c r="H40" s="59">
        <v>4</v>
      </c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24</v>
      </c>
      <c r="U40" s="77">
        <f>C40*24+M40*24+O40*24+Q40*24+T40</f>
        <v>7776</v>
      </c>
      <c r="V40" s="77">
        <f>U40/24</f>
        <v>324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192+768</f>
        <v>960</v>
      </c>
      <c r="D41" s="82"/>
      <c r="E41" s="82"/>
      <c r="F41" s="82"/>
      <c r="G41" s="82"/>
      <c r="H41" s="82">
        <v>9</v>
      </c>
      <c r="I41" s="82"/>
      <c r="J41" s="83"/>
      <c r="K41" s="84"/>
      <c r="L41" s="85"/>
      <c r="M41" s="86">
        <v>2</v>
      </c>
      <c r="N41" s="87"/>
      <c r="O41" s="82">
        <v>8</v>
      </c>
      <c r="P41" s="83"/>
      <c r="Q41" s="83">
        <v>36</v>
      </c>
      <c r="R41" s="84"/>
      <c r="S41" s="85"/>
      <c r="T41" s="88">
        <f t="shared" si="0"/>
        <v>9</v>
      </c>
      <c r="U41" s="88">
        <f>C41*12+M41*12+O41*12+Q41*12+T41</f>
        <v>12081</v>
      </c>
      <c r="V41" s="88">
        <f>U41/12</f>
        <v>1006.75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7776+216+5616+4536+9612+107</f>
        <v>27863</v>
      </c>
      <c r="D43" s="65"/>
      <c r="E43" s="65"/>
      <c r="F43" s="65"/>
      <c r="G43" s="65"/>
      <c r="H43" s="65">
        <v>1</v>
      </c>
      <c r="I43" s="65">
        <v>7</v>
      </c>
      <c r="J43" s="66">
        <f>23*6+2</f>
        <v>140</v>
      </c>
      <c r="K43" s="67">
        <f>21*6+2</f>
        <v>128</v>
      </c>
      <c r="L43" s="62"/>
      <c r="M43" s="63">
        <v>546</v>
      </c>
      <c r="N43" s="64"/>
      <c r="O43" s="65">
        <v>385</v>
      </c>
      <c r="P43" s="66"/>
      <c r="Q43" s="66">
        <v>542</v>
      </c>
      <c r="R43" s="67"/>
      <c r="S43" s="62"/>
      <c r="T43" s="77">
        <f t="shared" ref="T43" si="10">H43+I43+J43+K43+N43+P43+R43</f>
        <v>276</v>
      </c>
      <c r="U43" s="77">
        <f>C43*6+M43*6+O43*6+Q43*6+T43</f>
        <v>176292</v>
      </c>
      <c r="V43" s="77">
        <f>U43/6</f>
        <v>29382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1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11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11"/>
        <v>0</v>
      </c>
      <c r="U46" s="75">
        <f t="shared" ref="U46:U50" si="12">C46*24+M46*24+O46*24+Q46*24+T46</f>
        <v>0</v>
      </c>
      <c r="V46" s="75">
        <f t="shared" ref="V46:V54" si="13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432+106+24+2268</f>
        <v>2830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3</v>
      </c>
      <c r="P47" s="66">
        <v>4</v>
      </c>
      <c r="Q47" s="66">
        <v>8</v>
      </c>
      <c r="R47" s="67"/>
      <c r="S47" s="62"/>
      <c r="T47" s="77">
        <f t="shared" si="11"/>
        <v>10</v>
      </c>
      <c r="U47" s="77">
        <f>C47*6+M47*6+O47*6+Q47*6+T47</f>
        <v>17056</v>
      </c>
      <c r="V47" s="77">
        <f>U47/6</f>
        <v>2842.6666666666665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11"/>
        <v>0</v>
      </c>
      <c r="U48" s="75">
        <f t="shared" si="12"/>
        <v>24</v>
      </c>
      <c r="V48" s="75">
        <f t="shared" si="13"/>
        <v>1</v>
      </c>
    </row>
    <row r="49" spans="1:22" x14ac:dyDescent="0.25">
      <c r="A49" s="27">
        <f t="shared" si="1"/>
        <v>46</v>
      </c>
      <c r="B49" s="26" t="s">
        <v>26</v>
      </c>
      <c r="C49" s="70">
        <v>4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11"/>
        <v>0</v>
      </c>
      <c r="U49" s="75">
        <f t="shared" si="12"/>
        <v>96</v>
      </c>
      <c r="V49" s="75">
        <f t="shared" si="13"/>
        <v>4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11"/>
        <v>0</v>
      </c>
      <c r="U50" s="75">
        <f t="shared" si="12"/>
        <v>0</v>
      </c>
      <c r="V50" s="75">
        <f t="shared" si="13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11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11"/>
        <v>0</v>
      </c>
      <c r="U52" s="75">
        <f t="shared" ref="U52:U54" si="14">C52*24+M52*24+O52*24+Q52*24+T52</f>
        <v>48</v>
      </c>
      <c r="V52" s="75">
        <f t="shared" si="13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11"/>
        <v>0</v>
      </c>
      <c r="U53" s="75">
        <f t="shared" si="14"/>
        <v>336</v>
      </c>
      <c r="V53" s="75">
        <f t="shared" si="13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11"/>
        <v>0</v>
      </c>
      <c r="U54" s="75">
        <f t="shared" si="14"/>
        <v>0</v>
      </c>
      <c r="V54" s="75">
        <f t="shared" si="13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39922</v>
      </c>
      <c r="D58" s="2"/>
      <c r="E58" s="2"/>
      <c r="F58" s="2">
        <f t="shared" ref="F58:K58" si="15">SUM(F7:F57)</f>
        <v>0</v>
      </c>
      <c r="G58" s="2">
        <f t="shared" si="15"/>
        <v>0</v>
      </c>
      <c r="H58" s="2">
        <f t="shared" si="15"/>
        <v>126</v>
      </c>
      <c r="I58" s="6">
        <f t="shared" si="15"/>
        <v>9</v>
      </c>
      <c r="J58" s="6">
        <f t="shared" si="15"/>
        <v>140</v>
      </c>
      <c r="K58" s="6">
        <f t="shared" si="15"/>
        <v>163</v>
      </c>
      <c r="M58" s="5">
        <f t="shared" ref="M58:R58" si="16">SUM(M7:M57)</f>
        <v>607</v>
      </c>
      <c r="N58" s="5">
        <f t="shared" si="16"/>
        <v>0</v>
      </c>
      <c r="O58" s="5">
        <f t="shared" si="16"/>
        <v>451</v>
      </c>
      <c r="P58" s="5">
        <f t="shared" si="16"/>
        <v>35</v>
      </c>
      <c r="Q58" s="5">
        <f t="shared" si="16"/>
        <v>734</v>
      </c>
      <c r="R58" s="5">
        <f t="shared" si="16"/>
        <v>4</v>
      </c>
      <c r="S58" s="55"/>
      <c r="T58" s="4">
        <f>SUM(T7:T57)</f>
        <v>477</v>
      </c>
      <c r="U58" s="90">
        <f>SUM(U7:U57)</f>
        <v>339597</v>
      </c>
      <c r="V58" s="4">
        <f>SUM(V7:V57)</f>
        <v>41770.249999999993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DB1-C2C1-437F-82FE-1324F6CC2192}">
  <sheetPr>
    <pageSetUpPr fitToPage="1"/>
  </sheetPr>
  <dimension ref="A1:BB81"/>
  <sheetViews>
    <sheetView zoomScaleNormal="100" zoomScaleSheetLayoutView="115" workbookViewId="0">
      <selection activeCell="C58" sqref="C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6"/>
      <c r="Q5" s="96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20+26</f>
        <v>46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>
        <v>3</v>
      </c>
      <c r="N7" s="57">
        <v>2</v>
      </c>
      <c r="O7" s="52">
        <v>3</v>
      </c>
      <c r="P7" s="53">
        <v>12</v>
      </c>
      <c r="Q7" s="53"/>
      <c r="R7" s="54"/>
      <c r="S7" s="55"/>
      <c r="T7" s="58">
        <f>H7+I7+J7+K7+N7+P7+R7</f>
        <v>21</v>
      </c>
      <c r="U7" s="58">
        <f>C7*24+M7*24+O7*24+Q7*24+T7</f>
        <v>1269</v>
      </c>
      <c r="V7" s="58">
        <f>U7/24</f>
        <v>52.875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20+63+15+4</f>
        <v>102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2472</v>
      </c>
      <c r="V8" s="69">
        <f>U8/24</f>
        <v>103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87</v>
      </c>
      <c r="D9" s="70"/>
      <c r="E9" s="70"/>
      <c r="F9" s="70"/>
      <c r="G9" s="70"/>
      <c r="H9" s="70"/>
      <c r="I9" s="70"/>
      <c r="J9" s="71"/>
      <c r="K9" s="72"/>
      <c r="L9" s="55"/>
      <c r="M9" s="73">
        <v>5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2208</v>
      </c>
      <c r="V9" s="76">
        <f t="shared" ref="V9:V11" si="3">U9/24</f>
        <v>92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120</v>
      </c>
      <c r="V11" s="58">
        <f t="shared" si="3"/>
        <v>5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1512+13+1440+576</f>
        <v>3541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17</v>
      </c>
      <c r="N12" s="64">
        <v>21</v>
      </c>
      <c r="O12" s="65">
        <v>12</v>
      </c>
      <c r="P12" s="66">
        <v>4</v>
      </c>
      <c r="Q12" s="66">
        <v>6</v>
      </c>
      <c r="R12" s="67">
        <v>2</v>
      </c>
      <c r="S12" s="62"/>
      <c r="T12" s="58">
        <f t="shared" si="0"/>
        <v>27</v>
      </c>
      <c r="U12" s="69">
        <f>C12*24+M12*24+O12*24+Q12*24+T12</f>
        <v>85851</v>
      </c>
      <c r="V12" s="69">
        <f>U12/24</f>
        <v>3577.125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3+1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3</v>
      </c>
      <c r="N25" s="74">
        <v>10</v>
      </c>
      <c r="O25" s="70">
        <v>1</v>
      </c>
      <c r="P25" s="71"/>
      <c r="Q25" s="71"/>
      <c r="R25" s="72"/>
      <c r="S25" s="55"/>
      <c r="T25" s="58">
        <f t="shared" si="0"/>
        <v>11</v>
      </c>
      <c r="U25" s="75">
        <f t="shared" si="4"/>
        <v>827</v>
      </c>
      <c r="V25" s="75">
        <f t="shared" si="5"/>
        <v>34.458333333333336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ref="T27" si="6">H27+I27+J27+K27+N27+P27+R27</f>
        <v>0</v>
      </c>
      <c r="U27" s="75">
        <f t="shared" ref="U27" si="7">C27*24+M27*24+O27*24+Q27*24+T27</f>
        <v>96</v>
      </c>
      <c r="V27" s="75">
        <f t="shared" ref="V27" si="8">U27/24</f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5+8</f>
        <v>13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4</v>
      </c>
      <c r="N28" s="74">
        <v>12</v>
      </c>
      <c r="O28" s="70">
        <v>1</v>
      </c>
      <c r="P28" s="71"/>
      <c r="Q28" s="71"/>
      <c r="R28" s="72"/>
      <c r="S28" s="55"/>
      <c r="T28" s="58">
        <f t="shared" si="0"/>
        <v>12</v>
      </c>
      <c r="U28" s="75">
        <f t="shared" si="4"/>
        <v>444</v>
      </c>
      <c r="V28" s="75">
        <f t="shared" si="5"/>
        <v>18.5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3+62</f>
        <v>65</v>
      </c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1560</v>
      </c>
      <c r="V29" s="75">
        <f t="shared" si="5"/>
        <v>65</v>
      </c>
    </row>
    <row r="30" spans="1:54" x14ac:dyDescent="0.25">
      <c r="A30" s="27">
        <f t="shared" si="1"/>
        <v>27</v>
      </c>
      <c r="B30" s="26" t="s">
        <v>15</v>
      </c>
      <c r="C30" s="70">
        <v>40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960</v>
      </c>
      <c r="V30" s="75">
        <f t="shared" si="5"/>
        <v>40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>
        <v>2</v>
      </c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>
        <v>4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38+72</f>
        <v>110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>
        <v>3</v>
      </c>
      <c r="N34" s="74">
        <v>4</v>
      </c>
      <c r="O34" s="70">
        <v>3</v>
      </c>
      <c r="P34" s="71"/>
      <c r="Q34" s="71"/>
      <c r="R34" s="72"/>
      <c r="S34" s="55"/>
      <c r="T34" s="58">
        <f t="shared" si="0"/>
        <v>5</v>
      </c>
      <c r="U34" s="75">
        <f t="shared" si="4"/>
        <v>2789</v>
      </c>
      <c r="V34" s="75">
        <f t="shared" si="5"/>
        <v>116.20833333333333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65+2592+1080+61</f>
        <v>3798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20</v>
      </c>
      <c r="N37" s="64"/>
      <c r="O37" s="65">
        <v>27</v>
      </c>
      <c r="P37" s="66"/>
      <c r="Q37" s="66">
        <v>1</v>
      </c>
      <c r="R37" s="67"/>
      <c r="S37" s="62"/>
      <c r="T37" s="77">
        <f t="shared" si="0"/>
        <v>2</v>
      </c>
      <c r="U37" s="77">
        <f>C37*6+M37*6+O37*6+Q37*6+T37</f>
        <v>23078</v>
      </c>
      <c r="V37" s="77">
        <f>U37/6</f>
        <v>3846.3333333333335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ref="T39" si="9">H39+I39+J39+K39+N39+P39+R39</f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6+315</f>
        <v>321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>
        <v>4</v>
      </c>
      <c r="O40" s="65">
        <v>2</v>
      </c>
      <c r="P40" s="66"/>
      <c r="Q40" s="66"/>
      <c r="R40" s="67"/>
      <c r="S40" s="62"/>
      <c r="T40" s="77">
        <f t="shared" si="0"/>
        <v>24</v>
      </c>
      <c r="U40" s="77">
        <f>C40*24+M40*24+O40*24+Q40*24+T40</f>
        <v>7776</v>
      </c>
      <c r="V40" s="77">
        <f>U40/24</f>
        <v>324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192+672+86</f>
        <v>950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>
        <v>9</v>
      </c>
      <c r="O41" s="82">
        <v>5</v>
      </c>
      <c r="P41" s="83"/>
      <c r="Q41" s="83">
        <v>4</v>
      </c>
      <c r="R41" s="84"/>
      <c r="S41" s="85"/>
      <c r="T41" s="88">
        <f t="shared" si="0"/>
        <v>9</v>
      </c>
      <c r="U41" s="88">
        <f>C41*12+M41*12+O41*12+Q41*12+T41</f>
        <v>11637</v>
      </c>
      <c r="V41" s="88">
        <f>U41/12</f>
        <v>969.75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7452+5616+4536+9612</f>
        <v>27216</v>
      </c>
      <c r="D43" s="65"/>
      <c r="E43" s="65"/>
      <c r="F43" s="65"/>
      <c r="G43" s="65"/>
      <c r="H43" s="65">
        <v>2</v>
      </c>
      <c r="I43" s="65">
        <v>7</v>
      </c>
      <c r="J43" s="66">
        <f>27*6+1</f>
        <v>163</v>
      </c>
      <c r="K43" s="67">
        <f>21*6+2</f>
        <v>128</v>
      </c>
      <c r="L43" s="62"/>
      <c r="M43" s="63">
        <v>331</v>
      </c>
      <c r="N43" s="64"/>
      <c r="O43" s="65">
        <v>391</v>
      </c>
      <c r="P43" s="66"/>
      <c r="Q43" s="66">
        <v>19</v>
      </c>
      <c r="R43" s="67"/>
      <c r="S43" s="62"/>
      <c r="T43" s="77">
        <f t="shared" ref="T43" si="10">H43+I43+J43+K43+N43+P43+R43</f>
        <v>300</v>
      </c>
      <c r="U43" s="77">
        <f>C43*6+M43*6+O43*6+Q43*6+T43</f>
        <v>168042</v>
      </c>
      <c r="V43" s="77">
        <f>U43/6</f>
        <v>28007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>
        <v>1</v>
      </c>
      <c r="N45" s="74"/>
      <c r="O45" s="70"/>
      <c r="P45" s="71"/>
      <c r="Q45" s="71"/>
      <c r="R45" s="72"/>
      <c r="S45" s="55"/>
      <c r="T45" s="75">
        <f t="shared" ref="T45:T54" si="11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11"/>
        <v>0</v>
      </c>
      <c r="U46" s="75">
        <f t="shared" ref="U46:U50" si="12">C46*24+M46*24+O46*24+Q46*24+T46</f>
        <v>0</v>
      </c>
      <c r="V46" s="75">
        <f t="shared" ref="V46:V54" si="13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432+106+2268+24</f>
        <v>2830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3</v>
      </c>
      <c r="P47" s="66">
        <v>4</v>
      </c>
      <c r="Q47" s="66">
        <v>8</v>
      </c>
      <c r="R47" s="67"/>
      <c r="S47" s="62"/>
      <c r="T47" s="77">
        <f t="shared" si="11"/>
        <v>10</v>
      </c>
      <c r="U47" s="77">
        <f>C47*6+M47*6+O47*6+Q47*6+T47</f>
        <v>17056</v>
      </c>
      <c r="V47" s="77">
        <f>U47/6</f>
        <v>2842.6666666666665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11"/>
        <v>0</v>
      </c>
      <c r="U48" s="75">
        <f t="shared" si="12"/>
        <v>24</v>
      </c>
      <c r="V48" s="75">
        <f t="shared" si="13"/>
        <v>1</v>
      </c>
    </row>
    <row r="49" spans="1:22" x14ac:dyDescent="0.25">
      <c r="A49" s="27">
        <f t="shared" si="1"/>
        <v>46</v>
      </c>
      <c r="B49" s="26" t="s">
        <v>26</v>
      </c>
      <c r="C49" s="70">
        <v>4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11"/>
        <v>0</v>
      </c>
      <c r="U49" s="75">
        <f t="shared" si="12"/>
        <v>96</v>
      </c>
      <c r="V49" s="75">
        <f t="shared" si="13"/>
        <v>4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11"/>
        <v>0</v>
      </c>
      <c r="U50" s="75">
        <f t="shared" si="12"/>
        <v>0</v>
      </c>
      <c r="V50" s="75">
        <f t="shared" si="13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11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11"/>
        <v>0</v>
      </c>
      <c r="U52" s="75">
        <f t="shared" ref="U52:U54" si="14">C52*24+M52*24+O52*24+Q52*24+T52</f>
        <v>48</v>
      </c>
      <c r="V52" s="75">
        <f t="shared" si="13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11"/>
        <v>0</v>
      </c>
      <c r="U53" s="75">
        <f t="shared" si="14"/>
        <v>336</v>
      </c>
      <c r="V53" s="75">
        <f t="shared" si="13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11"/>
        <v>0</v>
      </c>
      <c r="U54" s="75">
        <f t="shared" si="14"/>
        <v>0</v>
      </c>
      <c r="V54" s="75">
        <f t="shared" si="13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39312</v>
      </c>
      <c r="D58" s="2"/>
      <c r="E58" s="2"/>
      <c r="F58" s="2">
        <f t="shared" ref="F58:K58" si="15">SUM(F7:F57)</f>
        <v>0</v>
      </c>
      <c r="G58" s="2">
        <f t="shared" si="15"/>
        <v>0</v>
      </c>
      <c r="H58" s="2">
        <f t="shared" si="15"/>
        <v>98</v>
      </c>
      <c r="I58" s="6">
        <f t="shared" si="15"/>
        <v>9</v>
      </c>
      <c r="J58" s="6">
        <f t="shared" si="15"/>
        <v>163</v>
      </c>
      <c r="K58" s="6">
        <f t="shared" si="15"/>
        <v>163</v>
      </c>
      <c r="M58" s="5">
        <f t="shared" ref="M58:R58" si="16">SUM(M7:M57)</f>
        <v>400</v>
      </c>
      <c r="N58" s="5">
        <f t="shared" si="16"/>
        <v>62</v>
      </c>
      <c r="O58" s="5">
        <f t="shared" si="16"/>
        <v>450</v>
      </c>
      <c r="P58" s="5">
        <f t="shared" si="16"/>
        <v>39</v>
      </c>
      <c r="Q58" s="5">
        <f t="shared" si="16"/>
        <v>38</v>
      </c>
      <c r="R58" s="5">
        <f t="shared" si="16"/>
        <v>2</v>
      </c>
      <c r="S58" s="55"/>
      <c r="T58" s="4">
        <f>SUM(T7:T57)</f>
        <v>536</v>
      </c>
      <c r="U58" s="90">
        <f>SUM(U7:U57)</f>
        <v>329504</v>
      </c>
      <c r="V58" s="4">
        <f>SUM(V7:V57)</f>
        <v>40261.708333333328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A05CE-7D22-43DC-A171-02A7DBD1AB5D}">
  <sheetPr>
    <pageSetUpPr fitToPage="1"/>
  </sheetPr>
  <dimension ref="A1:BB81"/>
  <sheetViews>
    <sheetView topLeftCell="A33" zoomScaleNormal="100" zoomScaleSheetLayoutView="115" workbookViewId="0">
      <selection activeCell="C61" sqref="C6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7"/>
      <c r="Q5" s="97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22+20</f>
        <v>42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>
        <v>2</v>
      </c>
      <c r="N7" s="57"/>
      <c r="O7" s="52">
        <v>3</v>
      </c>
      <c r="P7" s="53">
        <v>12</v>
      </c>
      <c r="Q7" s="53">
        <v>3</v>
      </c>
      <c r="R7" s="54"/>
      <c r="S7" s="55"/>
      <c r="T7" s="58">
        <f>H7+I7+J7+K7+N7+P7+R7</f>
        <v>19</v>
      </c>
      <c r="U7" s="58">
        <f>C7*24+M7*24+O7*24+Q7*24+T7</f>
        <v>1219</v>
      </c>
      <c r="V7" s="58">
        <f>U7/24</f>
        <v>50.791666666666664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63+18+20</f>
        <v>101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2472</v>
      </c>
      <c r="V8" s="69">
        <f>U8/24</f>
        <v>103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80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2088</v>
      </c>
      <c r="V9" s="76">
        <f t="shared" ref="V9:V11" si="3">U9/24</f>
        <v>87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120</v>
      </c>
      <c r="V11" s="58">
        <f t="shared" si="3"/>
        <v>5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1440+29+1440+576</f>
        <v>3485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>
        <v>13</v>
      </c>
      <c r="O12" s="65">
        <v>12</v>
      </c>
      <c r="P12" s="66">
        <v>2</v>
      </c>
      <c r="Q12" s="66">
        <v>23</v>
      </c>
      <c r="R12" s="67">
        <v>23</v>
      </c>
      <c r="S12" s="62"/>
      <c r="T12" s="58">
        <f t="shared" si="0"/>
        <v>38</v>
      </c>
      <c r="U12" s="69">
        <f>C12*24+M12*24+O12*24+Q12*24+T12</f>
        <v>84830</v>
      </c>
      <c r="V12" s="69">
        <f>U12/24</f>
        <v>3534.5833333333335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7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20</v>
      </c>
      <c r="R25" s="72"/>
      <c r="S25" s="55"/>
      <c r="T25" s="58">
        <f t="shared" si="0"/>
        <v>1</v>
      </c>
      <c r="U25" s="75">
        <f t="shared" si="4"/>
        <v>721</v>
      </c>
      <c r="V25" s="75">
        <f t="shared" si="5"/>
        <v>30.041666666666668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ref="T27" si="6">H27+I27+J27+K27+N27+P27+R27</f>
        <v>0</v>
      </c>
      <c r="U27" s="75">
        <f t="shared" ref="U27" si="7">C27*24+M27*24+O27*24+Q27*24+T27</f>
        <v>96</v>
      </c>
      <c r="V27" s="75">
        <f t="shared" ref="V27" si="8">U27/24</f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216</v>
      </c>
      <c r="V28" s="75">
        <f t="shared" si="5"/>
        <v>9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62+2</f>
        <v>64</v>
      </c>
      <c r="D29" s="70"/>
      <c r="E29" s="70"/>
      <c r="F29" s="70"/>
      <c r="G29" s="70"/>
      <c r="H29" s="70"/>
      <c r="I29" s="70"/>
      <c r="J29" s="71"/>
      <c r="K29" s="72"/>
      <c r="L29" s="55"/>
      <c r="M29" s="73">
        <v>1</v>
      </c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1560</v>
      </c>
      <c r="V29" s="75">
        <f t="shared" si="5"/>
        <v>65</v>
      </c>
    </row>
    <row r="30" spans="1:54" x14ac:dyDescent="0.25">
      <c r="A30" s="27">
        <f t="shared" si="1"/>
        <v>27</v>
      </c>
      <c r="B30" s="26" t="s">
        <v>15</v>
      </c>
      <c r="C30" s="70">
        <v>39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960</v>
      </c>
      <c r="V30" s="75">
        <f t="shared" si="5"/>
        <v>40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>
        <v>4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96</v>
      </c>
      <c r="V33" s="75">
        <f t="shared" si="5"/>
        <v>4</v>
      </c>
    </row>
    <row r="34" spans="1:23" x14ac:dyDescent="0.25">
      <c r="A34" s="27">
        <f t="shared" si="1"/>
        <v>31</v>
      </c>
      <c r="B34" s="26" t="s">
        <v>17</v>
      </c>
      <c r="C34" s="70">
        <f>37+66</f>
        <v>103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1</v>
      </c>
      <c r="U34" s="75">
        <f t="shared" si="4"/>
        <v>2617</v>
      </c>
      <c r="V34" s="75">
        <f t="shared" si="5"/>
        <v>109.04166666666667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2592+864+88</f>
        <v>3544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20</v>
      </c>
      <c r="N37" s="64"/>
      <c r="O37" s="65">
        <v>32</v>
      </c>
      <c r="P37" s="66"/>
      <c r="Q37" s="66">
        <v>111</v>
      </c>
      <c r="R37" s="67"/>
      <c r="S37" s="62"/>
      <c r="T37" s="77">
        <f t="shared" si="0"/>
        <v>2</v>
      </c>
      <c r="U37" s="77">
        <f>C37*6+M37*6+O37*6+Q37*6+T37</f>
        <v>22244</v>
      </c>
      <c r="V37" s="77">
        <f>U37/6</f>
        <v>3707.3333333333335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ref="T39" si="9">H39+I39+J39+K39+N39+P39+R39</f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315+4</f>
        <v>319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7772</v>
      </c>
      <c r="V40" s="77">
        <f>U40/24</f>
        <v>323.83333333333331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192+672+30</f>
        <v>894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8</v>
      </c>
      <c r="P41" s="83"/>
      <c r="Q41" s="83">
        <v>31</v>
      </c>
      <c r="R41" s="84"/>
      <c r="S41" s="85"/>
      <c r="T41" s="88">
        <f t="shared" si="0"/>
        <v>0</v>
      </c>
      <c r="U41" s="88">
        <f>C41*12+M41*12+O41*12+Q41*12+T41</f>
        <v>11316</v>
      </c>
      <c r="V41" s="88">
        <f>U41/12</f>
        <v>943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5184+5616+4536+9612</f>
        <v>24948</v>
      </c>
      <c r="D43" s="65"/>
      <c r="E43" s="65"/>
      <c r="F43" s="65"/>
      <c r="G43" s="65"/>
      <c r="H43" s="65">
        <v>2</v>
      </c>
      <c r="I43" s="65">
        <v>7</v>
      </c>
      <c r="J43" s="66">
        <f>28*6+1</f>
        <v>169</v>
      </c>
      <c r="K43" s="67">
        <f>21*6+2</f>
        <v>128</v>
      </c>
      <c r="L43" s="62"/>
      <c r="M43" s="63">
        <v>331</v>
      </c>
      <c r="N43" s="64"/>
      <c r="O43" s="65">
        <v>384</v>
      </c>
      <c r="P43" s="66"/>
      <c r="Q43" s="66">
        <v>540</v>
      </c>
      <c r="R43" s="67"/>
      <c r="S43" s="62"/>
      <c r="T43" s="77">
        <f t="shared" ref="T43" si="10">H43+I43+J43+K43+N43+P43+R43</f>
        <v>306</v>
      </c>
      <c r="U43" s="77">
        <f>C43*6+M43*6+O43*6+Q43*6+T43</f>
        <v>157524</v>
      </c>
      <c r="V43" s="77">
        <f>U43/6</f>
        <v>26254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11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11"/>
        <v>0</v>
      </c>
      <c r="U46" s="75">
        <f t="shared" ref="U46:U50" si="12">C46*24+M46*24+O46*24+Q46*24+T46</f>
        <v>0</v>
      </c>
      <c r="V46" s="75">
        <f t="shared" ref="V46:V54" si="13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432+106+22+2268</f>
        <v>2828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2</v>
      </c>
      <c r="P47" s="66">
        <v>4</v>
      </c>
      <c r="Q47" s="66">
        <v>10</v>
      </c>
      <c r="R47" s="67"/>
      <c r="S47" s="62"/>
      <c r="T47" s="77">
        <f t="shared" si="11"/>
        <v>10</v>
      </c>
      <c r="U47" s="77">
        <f>C47*6+M47*6+O47*6+Q47*6+T47</f>
        <v>17050</v>
      </c>
      <c r="V47" s="77">
        <f>U47/6</f>
        <v>2841.6666666666665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11"/>
        <v>0</v>
      </c>
      <c r="U48" s="75">
        <f t="shared" si="12"/>
        <v>24</v>
      </c>
      <c r="V48" s="75">
        <f t="shared" si="13"/>
        <v>1</v>
      </c>
    </row>
    <row r="49" spans="1:22" x14ac:dyDescent="0.25">
      <c r="A49" s="27">
        <f t="shared" si="1"/>
        <v>46</v>
      </c>
      <c r="B49" s="26" t="s">
        <v>26</v>
      </c>
      <c r="C49" s="70">
        <v>4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11"/>
        <v>0</v>
      </c>
      <c r="U49" s="75">
        <f t="shared" si="12"/>
        <v>96</v>
      </c>
      <c r="V49" s="75">
        <f t="shared" si="13"/>
        <v>4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11"/>
        <v>0</v>
      </c>
      <c r="U50" s="75">
        <f t="shared" si="12"/>
        <v>0</v>
      </c>
      <c r="V50" s="75">
        <f t="shared" si="13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11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11"/>
        <v>0</v>
      </c>
      <c r="U52" s="75">
        <f t="shared" ref="U52:U54" si="14">C52*24+M52*24+O52*24+Q52*24+T52</f>
        <v>48</v>
      </c>
      <c r="V52" s="75">
        <f t="shared" si="13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11"/>
        <v>0</v>
      </c>
      <c r="U53" s="75">
        <f t="shared" si="14"/>
        <v>336</v>
      </c>
      <c r="V53" s="75">
        <f t="shared" si="13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11"/>
        <v>0</v>
      </c>
      <c r="U54" s="75">
        <f t="shared" si="14"/>
        <v>0</v>
      </c>
      <c r="V54" s="75">
        <f t="shared" si="13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36619</v>
      </c>
      <c r="D58" s="2"/>
      <c r="E58" s="2"/>
      <c r="F58" s="2">
        <f t="shared" ref="F58:K58" si="15">SUM(F7:F57)</f>
        <v>0</v>
      </c>
      <c r="G58" s="2">
        <f t="shared" si="15"/>
        <v>0</v>
      </c>
      <c r="H58" s="2">
        <f t="shared" si="15"/>
        <v>98</v>
      </c>
      <c r="I58" s="6">
        <f t="shared" si="15"/>
        <v>9</v>
      </c>
      <c r="J58" s="6">
        <f t="shared" si="15"/>
        <v>169</v>
      </c>
      <c r="K58" s="6">
        <f t="shared" si="15"/>
        <v>163</v>
      </c>
      <c r="M58" s="5">
        <f t="shared" ref="M58:R58" si="16">SUM(M7:M57)</f>
        <v>384</v>
      </c>
      <c r="N58" s="5">
        <f t="shared" si="16"/>
        <v>13</v>
      </c>
      <c r="O58" s="5">
        <f t="shared" si="16"/>
        <v>450</v>
      </c>
      <c r="P58" s="5">
        <f t="shared" si="16"/>
        <v>37</v>
      </c>
      <c r="Q58" s="5">
        <f t="shared" si="16"/>
        <v>753</v>
      </c>
      <c r="R58" s="5">
        <f t="shared" si="16"/>
        <v>23</v>
      </c>
      <c r="S58" s="55"/>
      <c r="T58" s="4">
        <f>SUM(T7:T57)</f>
        <v>512</v>
      </c>
      <c r="U58" s="90">
        <f>SUM(U7:U57)</f>
        <v>316028</v>
      </c>
      <c r="V58" s="4">
        <f>SUM(V7:V57)</f>
        <v>38267.083333333336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CCA1A-94B8-42FB-B10B-77549857156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8"/>
      <c r="Q5" s="98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18+20</f>
        <v>38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>
        <v>2</v>
      </c>
      <c r="N7" s="57"/>
      <c r="O7" s="52">
        <v>3</v>
      </c>
      <c r="P7" s="53">
        <v>12</v>
      </c>
      <c r="Q7" s="53">
        <v>2</v>
      </c>
      <c r="R7" s="54"/>
      <c r="S7" s="55"/>
      <c r="T7" s="58">
        <f>H7+I7+J7+K7+N7+P7+R7</f>
        <v>19</v>
      </c>
      <c r="U7" s="58">
        <f>C7*24+M7*24+O7*24+Q7*24+T7</f>
        <v>1099</v>
      </c>
      <c r="V7" s="58">
        <f>U7/24</f>
        <v>45.791666666666664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63+17+20</f>
        <v>100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2424</v>
      </c>
      <c r="V8" s="69">
        <f>U8/24</f>
        <v>101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71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1800</v>
      </c>
      <c r="V9" s="76">
        <f t="shared" ref="V9:V11" si="3">U9/24</f>
        <v>75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120</v>
      </c>
      <c r="V11" s="58">
        <f t="shared" si="3"/>
        <v>5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1440+1368+16+576</f>
        <v>3400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15</v>
      </c>
      <c r="N12" s="64">
        <v>8</v>
      </c>
      <c r="O12" s="65">
        <v>15</v>
      </c>
      <c r="P12" s="66">
        <v>10</v>
      </c>
      <c r="Q12" s="66">
        <v>24</v>
      </c>
      <c r="R12" s="67">
        <v>7</v>
      </c>
      <c r="S12" s="62"/>
      <c r="T12" s="58">
        <f t="shared" si="0"/>
        <v>25</v>
      </c>
      <c r="U12" s="69">
        <f>C12*24+M12*24+O12*24+Q12*24+T12</f>
        <v>82921</v>
      </c>
      <c r="V12" s="69">
        <f>U12/24</f>
        <v>3455.0416666666665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145</v>
      </c>
      <c r="V25" s="75">
        <f t="shared" si="5"/>
        <v>6.041666666666667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/>
      <c r="R28" s="72"/>
      <c r="S28" s="55"/>
      <c r="T28" s="58">
        <f t="shared" si="0"/>
        <v>0</v>
      </c>
      <c r="U28" s="75">
        <f t="shared" si="4"/>
        <v>24</v>
      </c>
      <c r="V28" s="75">
        <f t="shared" si="5"/>
        <v>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58</v>
      </c>
      <c r="D29" s="70"/>
      <c r="E29" s="70"/>
      <c r="F29" s="70"/>
      <c r="G29" s="70"/>
      <c r="H29" s="70"/>
      <c r="I29" s="70"/>
      <c r="J29" s="71"/>
      <c r="K29" s="72"/>
      <c r="L29" s="55"/>
      <c r="M29" s="73">
        <v>2</v>
      </c>
      <c r="N29" s="74"/>
      <c r="O29" s="70"/>
      <c r="P29" s="71"/>
      <c r="Q29" s="71">
        <v>1</v>
      </c>
      <c r="R29" s="72"/>
      <c r="S29" s="55"/>
      <c r="T29" s="58">
        <f t="shared" si="0"/>
        <v>0</v>
      </c>
      <c r="U29" s="75">
        <f t="shared" si="4"/>
        <v>1464</v>
      </c>
      <c r="V29" s="75">
        <f t="shared" si="5"/>
        <v>61</v>
      </c>
    </row>
    <row r="30" spans="1:54" x14ac:dyDescent="0.25">
      <c r="A30" s="27">
        <f t="shared" si="1"/>
        <v>27</v>
      </c>
      <c r="B30" s="26" t="s">
        <v>15</v>
      </c>
      <c r="C30" s="70">
        <v>34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864</v>
      </c>
      <c r="V30" s="75">
        <f t="shared" si="5"/>
        <v>36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>
        <v>4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96</v>
      </c>
      <c r="V33" s="75">
        <f t="shared" si="5"/>
        <v>4</v>
      </c>
    </row>
    <row r="34" spans="1:23" x14ac:dyDescent="0.25">
      <c r="A34" s="27">
        <f t="shared" si="1"/>
        <v>31</v>
      </c>
      <c r="B34" s="26" t="s">
        <v>17</v>
      </c>
      <c r="C34" s="70">
        <f>24+66</f>
        <v>90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>
        <v>2</v>
      </c>
      <c r="N34" s="74"/>
      <c r="O34" s="70">
        <v>3</v>
      </c>
      <c r="P34" s="71"/>
      <c r="Q34" s="71">
        <v>2</v>
      </c>
      <c r="R34" s="72"/>
      <c r="S34" s="55"/>
      <c r="T34" s="58">
        <f t="shared" si="0"/>
        <v>1</v>
      </c>
      <c r="U34" s="75">
        <f t="shared" si="4"/>
        <v>2329</v>
      </c>
      <c r="V34" s="75">
        <f t="shared" si="5"/>
        <v>97.041666666666671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2592+540+47</f>
        <v>3179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57</v>
      </c>
      <c r="N37" s="64"/>
      <c r="O37" s="65">
        <v>58</v>
      </c>
      <c r="P37" s="66"/>
      <c r="Q37" s="66">
        <v>112</v>
      </c>
      <c r="R37" s="67"/>
      <c r="S37" s="62"/>
      <c r="T37" s="77">
        <f t="shared" si="0"/>
        <v>2</v>
      </c>
      <c r="U37" s="77">
        <f>C37*6+M37*6+O37*6+Q37*6+T37</f>
        <v>20438</v>
      </c>
      <c r="V37" s="77">
        <f>U37/6</f>
        <v>3406.3333333333335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189+60</f>
        <v>249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6092</v>
      </c>
      <c r="V40" s="77">
        <f>U40/24</f>
        <v>253.83333333333334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192+576+44</f>
        <v>812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8</v>
      </c>
      <c r="P41" s="83"/>
      <c r="Q41" s="83">
        <v>21</v>
      </c>
      <c r="R41" s="84"/>
      <c r="S41" s="85"/>
      <c r="T41" s="88">
        <f t="shared" si="0"/>
        <v>0</v>
      </c>
      <c r="U41" s="88">
        <f>C41*12+M41*12+O41*12+Q41*12+T41</f>
        <v>10212</v>
      </c>
      <c r="V41" s="88">
        <f>U41/12</f>
        <v>851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29+2700+5616+4536+9612</f>
        <v>22493</v>
      </c>
      <c r="D43" s="65"/>
      <c r="E43" s="65"/>
      <c r="F43" s="65"/>
      <c r="G43" s="65"/>
      <c r="H43" s="65"/>
      <c r="I43" s="65">
        <v>7</v>
      </c>
      <c r="J43" s="66">
        <f>29*6+2</f>
        <v>176</v>
      </c>
      <c r="K43" s="67">
        <f>21*6+2</f>
        <v>128</v>
      </c>
      <c r="L43" s="62"/>
      <c r="M43" s="63">
        <v>339</v>
      </c>
      <c r="N43" s="64"/>
      <c r="O43" s="65">
        <v>458</v>
      </c>
      <c r="P43" s="66"/>
      <c r="Q43" s="66">
        <v>549</v>
      </c>
      <c r="R43" s="67"/>
      <c r="S43" s="62"/>
      <c r="T43" s="77">
        <f t="shared" ref="T43" si="6">H43+I43+J43+K43+N43+P43+R43</f>
        <v>311</v>
      </c>
      <c r="U43" s="77">
        <f>C43*6+M43*6+O43*6+Q43*6+T43</f>
        <v>143345</v>
      </c>
      <c r="V43" s="77">
        <f>U43/6</f>
        <v>23890.833333333332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432+106+2268+11</f>
        <v>2817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>
        <v>6</v>
      </c>
      <c r="N47" s="64"/>
      <c r="O47" s="65">
        <v>2</v>
      </c>
      <c r="P47" s="66">
        <v>4</v>
      </c>
      <c r="Q47" s="66">
        <v>10</v>
      </c>
      <c r="R47" s="67"/>
      <c r="S47" s="62"/>
      <c r="T47" s="77">
        <f t="shared" si="7"/>
        <v>10</v>
      </c>
      <c r="U47" s="77">
        <f>C47*6+M47*6+O47*6+Q47*6+T47</f>
        <v>17020</v>
      </c>
      <c r="V47" s="77">
        <f>U47/6</f>
        <v>2836.6666666666665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4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96</v>
      </c>
      <c r="V49" s="75">
        <f t="shared" si="9"/>
        <v>4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48</v>
      </c>
      <c r="V52" s="75">
        <f t="shared" si="9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336</v>
      </c>
      <c r="V53" s="75">
        <f t="shared" si="9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33506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96</v>
      </c>
      <c r="I58" s="6">
        <f t="shared" si="11"/>
        <v>9</v>
      </c>
      <c r="J58" s="6">
        <f t="shared" si="11"/>
        <v>176</v>
      </c>
      <c r="K58" s="6">
        <f t="shared" si="11"/>
        <v>163</v>
      </c>
      <c r="M58" s="5">
        <f t="shared" ref="M58:R58" si="12">SUM(M7:M57)</f>
        <v>438</v>
      </c>
      <c r="N58" s="5">
        <f t="shared" si="12"/>
        <v>8</v>
      </c>
      <c r="O58" s="5">
        <f t="shared" si="12"/>
        <v>553</v>
      </c>
      <c r="P58" s="5">
        <f t="shared" si="12"/>
        <v>45</v>
      </c>
      <c r="Q58" s="5">
        <f t="shared" si="12"/>
        <v>727</v>
      </c>
      <c r="R58" s="5">
        <f t="shared" si="12"/>
        <v>7</v>
      </c>
      <c r="S58" s="55"/>
      <c r="T58" s="4">
        <f>SUM(T7:T57)</f>
        <v>504</v>
      </c>
      <c r="U58" s="90">
        <f>SUM(U7:U57)</f>
        <v>293616</v>
      </c>
      <c r="V58" s="4">
        <f>SUM(V7:V57)</f>
        <v>35285.375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4CE93-BE9C-4B12-9474-3EDD53EB265C}">
  <sheetPr>
    <pageSetUpPr fitToPage="1"/>
  </sheetPr>
  <dimension ref="A1:BB81"/>
  <sheetViews>
    <sheetView topLeftCell="A30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8"/>
      <c r="Q5" s="98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18+20</f>
        <v>38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/>
      <c r="N7" s="57"/>
      <c r="O7" s="52">
        <v>3</v>
      </c>
      <c r="P7" s="53">
        <v>12</v>
      </c>
      <c r="Q7" s="53">
        <v>1</v>
      </c>
      <c r="R7" s="54"/>
      <c r="S7" s="55"/>
      <c r="T7" s="58">
        <f>H7+I7+J7+K7+N7+P7+R7</f>
        <v>19</v>
      </c>
      <c r="U7" s="58">
        <f>C7*24+M7*24+O7*24+Q7*24+T7</f>
        <v>1027</v>
      </c>
      <c r="V7" s="58">
        <f>U7/24</f>
        <v>42.791666666666664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63+17+20</f>
        <v>100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2424</v>
      </c>
      <c r="V8" s="69">
        <f>U8/24</f>
        <v>101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1728</v>
      </c>
      <c r="V9" s="76">
        <f t="shared" ref="V9:V11" si="3">U9/24</f>
        <v>72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3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>
        <v>1</v>
      </c>
      <c r="P11" s="71"/>
      <c r="Q11" s="71"/>
      <c r="R11" s="72"/>
      <c r="S11" s="55"/>
      <c r="T11" s="58">
        <f t="shared" si="0"/>
        <v>24</v>
      </c>
      <c r="U11" s="58">
        <f t="shared" si="2"/>
        <v>120</v>
      </c>
      <c r="V11" s="58">
        <f t="shared" si="3"/>
        <v>5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1440+1296+576+64</f>
        <v>3376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3</v>
      </c>
      <c r="O12" s="65">
        <v>13</v>
      </c>
      <c r="P12" s="66">
        <v>4</v>
      </c>
      <c r="Q12" s="66">
        <v>20</v>
      </c>
      <c r="R12" s="67">
        <v>7</v>
      </c>
      <c r="S12" s="62"/>
      <c r="T12" s="58">
        <f t="shared" si="0"/>
        <v>14</v>
      </c>
      <c r="U12" s="69">
        <f>C12*24+M12*24+O12*24+Q12*24+T12</f>
        <v>82046</v>
      </c>
      <c r="V12" s="69">
        <f>U12/24</f>
        <v>3418.5833333333335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73</v>
      </c>
      <c r="V25" s="75">
        <f t="shared" si="5"/>
        <v>3.0416666666666665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56</v>
      </c>
      <c r="D29" s="70"/>
      <c r="E29" s="70"/>
      <c r="F29" s="70"/>
      <c r="G29" s="70"/>
      <c r="H29" s="70"/>
      <c r="I29" s="70"/>
      <c r="J29" s="71"/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0</v>
      </c>
      <c r="U29" s="75">
        <f t="shared" si="4"/>
        <v>1440</v>
      </c>
      <c r="V29" s="75">
        <f t="shared" si="5"/>
        <v>60</v>
      </c>
    </row>
    <row r="30" spans="1:54" x14ac:dyDescent="0.25">
      <c r="A30" s="27">
        <f t="shared" si="1"/>
        <v>27</v>
      </c>
      <c r="B30" s="26" t="s">
        <v>15</v>
      </c>
      <c r="C30" s="70">
        <v>32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840</v>
      </c>
      <c r="V30" s="75">
        <f t="shared" si="5"/>
        <v>35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>
        <v>4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96</v>
      </c>
      <c r="V33" s="75">
        <f t="shared" si="5"/>
        <v>4</v>
      </c>
    </row>
    <row r="34" spans="1:23" x14ac:dyDescent="0.25">
      <c r="A34" s="27">
        <f t="shared" si="1"/>
        <v>31</v>
      </c>
      <c r="B34" s="26" t="s">
        <v>17</v>
      </c>
      <c r="C34" s="70">
        <f>72+18</f>
        <v>90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1</v>
      </c>
      <c r="R34" s="72"/>
      <c r="S34" s="55"/>
      <c r="T34" s="58">
        <f t="shared" si="0"/>
        <v>1</v>
      </c>
      <c r="U34" s="75">
        <f t="shared" si="4"/>
        <v>2281</v>
      </c>
      <c r="V34" s="75">
        <f t="shared" si="5"/>
        <v>95.041666666666671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2592+540+20</f>
        <v>3152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12</v>
      </c>
      <c r="N37" s="64"/>
      <c r="O37" s="65">
        <v>27</v>
      </c>
      <c r="P37" s="66"/>
      <c r="Q37" s="66">
        <v>91</v>
      </c>
      <c r="R37" s="67"/>
      <c r="S37" s="62"/>
      <c r="T37" s="77">
        <f t="shared" si="0"/>
        <v>2</v>
      </c>
      <c r="U37" s="77">
        <f>C37*6+M37*6+O37*6+Q37*6+T37</f>
        <v>19694</v>
      </c>
      <c r="V37" s="77">
        <f>U37/6</f>
        <v>3282.3333333333335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189+60</f>
        <v>249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6092</v>
      </c>
      <c r="V40" s="77">
        <f>U40/24</f>
        <v>253.83333333333334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192+576+25</f>
        <v>793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6</v>
      </c>
      <c r="P41" s="83"/>
      <c r="Q41" s="83">
        <v>21</v>
      </c>
      <c r="R41" s="84"/>
      <c r="S41" s="85"/>
      <c r="T41" s="88">
        <f t="shared" si="0"/>
        <v>0</v>
      </c>
      <c r="U41" s="88">
        <f>C41*12+M41*12+O41*12+Q41*12+T41</f>
        <v>9936</v>
      </c>
      <c r="V41" s="88">
        <f>U41/12</f>
        <v>828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2052+5616+4536+9612</f>
        <v>21816</v>
      </c>
      <c r="D43" s="65"/>
      <c r="E43" s="65"/>
      <c r="F43" s="65"/>
      <c r="G43" s="65"/>
      <c r="H43" s="65"/>
      <c r="I43" s="65">
        <v>7</v>
      </c>
      <c r="J43" s="66">
        <v>176</v>
      </c>
      <c r="K43" s="67">
        <v>128</v>
      </c>
      <c r="L43" s="62"/>
      <c r="M43" s="63">
        <v>20</v>
      </c>
      <c r="N43" s="64"/>
      <c r="O43" s="65">
        <v>357</v>
      </c>
      <c r="P43" s="66"/>
      <c r="Q43" s="66">
        <v>533</v>
      </c>
      <c r="R43" s="67"/>
      <c r="S43" s="62"/>
      <c r="T43" s="77">
        <f t="shared" ref="T43" si="6">H43+I43+J43+K43+N43+P43+R43</f>
        <v>311</v>
      </c>
      <c r="U43" s="77">
        <f>C43*6+M43*6+O43*6+Q43*6+T43</f>
        <v>136667</v>
      </c>
      <c r="V43" s="77">
        <f>U43/6</f>
        <v>22777.833333333332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432+106+11+2268</f>
        <v>2817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2</v>
      </c>
      <c r="P47" s="66">
        <v>4</v>
      </c>
      <c r="Q47" s="66">
        <v>10</v>
      </c>
      <c r="R47" s="67"/>
      <c r="S47" s="62"/>
      <c r="T47" s="77">
        <f t="shared" si="7"/>
        <v>10</v>
      </c>
      <c r="U47" s="77">
        <f>C47*6+M47*6+O47*6+Q47*6+T47</f>
        <v>16984</v>
      </c>
      <c r="V47" s="77">
        <f>U47/6</f>
        <v>2830.6666666666665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4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96</v>
      </c>
      <c r="V49" s="75">
        <f t="shared" si="9"/>
        <v>4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48</v>
      </c>
      <c r="V52" s="75">
        <f t="shared" si="9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336</v>
      </c>
      <c r="V53" s="75">
        <f t="shared" si="9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32753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96</v>
      </c>
      <c r="I58" s="6">
        <f t="shared" si="11"/>
        <v>9</v>
      </c>
      <c r="J58" s="6">
        <f t="shared" si="11"/>
        <v>176</v>
      </c>
      <c r="K58" s="6">
        <f t="shared" si="11"/>
        <v>163</v>
      </c>
      <c r="M58" s="5">
        <f t="shared" ref="M58:R58" si="12">SUM(M7:M57)</f>
        <v>54</v>
      </c>
      <c r="N58" s="5">
        <f t="shared" si="12"/>
        <v>3</v>
      </c>
      <c r="O58" s="5">
        <f t="shared" si="12"/>
        <v>418</v>
      </c>
      <c r="P58" s="5">
        <f t="shared" si="12"/>
        <v>39</v>
      </c>
      <c r="Q58" s="5">
        <f t="shared" si="12"/>
        <v>683</v>
      </c>
      <c r="R58" s="5">
        <f t="shared" si="12"/>
        <v>7</v>
      </c>
      <c r="S58" s="55"/>
      <c r="T58" s="4">
        <f>SUM(T7:T57)</f>
        <v>493</v>
      </c>
      <c r="U58" s="90">
        <f>SUM(U7:U57)</f>
        <v>284671</v>
      </c>
      <c r="V58" s="4">
        <f>SUM(V7:V57)</f>
        <v>33968.916666666664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E6047-0160-4265-AD9E-D22EF26C5A11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8"/>
      <c r="Q5" s="98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17+20</f>
        <v>37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/>
      <c r="N7" s="57"/>
      <c r="O7" s="52">
        <v>3</v>
      </c>
      <c r="P7" s="53">
        <v>12</v>
      </c>
      <c r="Q7" s="53">
        <v>1</v>
      </c>
      <c r="R7" s="54"/>
      <c r="S7" s="55"/>
      <c r="T7" s="58">
        <f>H7+I7+J7+K7+N7+P7+R7</f>
        <v>19</v>
      </c>
      <c r="U7" s="58">
        <f>C7*24+M7*24+O7*24+Q7*24+T7</f>
        <v>1003</v>
      </c>
      <c r="V7" s="58">
        <f>U7/24</f>
        <v>41.791666666666664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20+63+16</f>
        <v>99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2424</v>
      </c>
      <c r="V8" s="69">
        <f>U8/24</f>
        <v>101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56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2</v>
      </c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1680</v>
      </c>
      <c r="V9" s="76">
        <f t="shared" ref="V9:V11" si="3">U9/24</f>
        <v>70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3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96</v>
      </c>
      <c r="V11" s="58">
        <f t="shared" si="3"/>
        <v>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1440+20+1296+576</f>
        <v>3332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15</v>
      </c>
      <c r="N12" s="64"/>
      <c r="O12" s="65">
        <v>19</v>
      </c>
      <c r="P12" s="66">
        <v>21</v>
      </c>
      <c r="Q12" s="66">
        <v>24</v>
      </c>
      <c r="R12" s="67">
        <v>21</v>
      </c>
      <c r="S12" s="62"/>
      <c r="T12" s="69">
        <f t="shared" si="0"/>
        <v>42</v>
      </c>
      <c r="U12" s="69">
        <f>C12*24+M12*24+O12*24+Q12*24+T12</f>
        <v>81402</v>
      </c>
      <c r="V12" s="69">
        <f>U12/24</f>
        <v>3391.75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/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73</v>
      </c>
      <c r="V25" s="75">
        <f t="shared" si="5"/>
        <v>3.0416666666666665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52+1</f>
        <v>53</v>
      </c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>
        <v>1</v>
      </c>
      <c r="P29" s="71"/>
      <c r="Q29" s="71">
        <v>3</v>
      </c>
      <c r="R29" s="72"/>
      <c r="S29" s="55"/>
      <c r="T29" s="58">
        <f t="shared" si="0"/>
        <v>0</v>
      </c>
      <c r="U29" s="75">
        <f t="shared" si="4"/>
        <v>1368</v>
      </c>
      <c r="V29" s="75">
        <f t="shared" si="5"/>
        <v>57</v>
      </c>
    </row>
    <row r="30" spans="1:54" x14ac:dyDescent="0.25">
      <c r="A30" s="27">
        <f t="shared" si="1"/>
        <v>27</v>
      </c>
      <c r="B30" s="26" t="s">
        <v>15</v>
      </c>
      <c r="C30" s="70">
        <f>30+1</f>
        <v>31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816</v>
      </c>
      <c r="V30" s="75">
        <f t="shared" si="5"/>
        <v>34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1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>
        <v>3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>
        <v>1</v>
      </c>
      <c r="P33" s="71"/>
      <c r="Q33" s="71"/>
      <c r="R33" s="72"/>
      <c r="S33" s="55"/>
      <c r="T33" s="58">
        <f t="shared" si="0"/>
        <v>0</v>
      </c>
      <c r="U33" s="75">
        <f t="shared" si="4"/>
        <v>96</v>
      </c>
      <c r="V33" s="75">
        <f t="shared" si="5"/>
        <v>4</v>
      </c>
    </row>
    <row r="34" spans="1:23" x14ac:dyDescent="0.25">
      <c r="A34" s="27">
        <f t="shared" si="1"/>
        <v>31</v>
      </c>
      <c r="B34" s="26" t="s">
        <v>17</v>
      </c>
      <c r="C34" s="70">
        <f>72+15+2</f>
        <v>89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/>
      <c r="N34" s="74"/>
      <c r="O34" s="70">
        <v>2</v>
      </c>
      <c r="P34" s="71"/>
      <c r="Q34" s="71">
        <v>3</v>
      </c>
      <c r="R34" s="72"/>
      <c r="S34" s="55"/>
      <c r="T34" s="58">
        <f t="shared" si="0"/>
        <v>1</v>
      </c>
      <c r="U34" s="75">
        <f t="shared" si="4"/>
        <v>2257</v>
      </c>
      <c r="V34" s="75">
        <f t="shared" si="5"/>
        <v>94.041666666666671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2592+216+73+12</f>
        <v>2893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118</v>
      </c>
      <c r="N37" s="64"/>
      <c r="O37" s="65">
        <v>113</v>
      </c>
      <c r="P37" s="66"/>
      <c r="Q37" s="66">
        <v>95</v>
      </c>
      <c r="R37" s="67"/>
      <c r="S37" s="62"/>
      <c r="T37" s="77">
        <f t="shared" si="0"/>
        <v>2</v>
      </c>
      <c r="U37" s="77">
        <f>C37*6+M37*6+O37*6+Q37*6+T37</f>
        <v>19316</v>
      </c>
      <c r="V37" s="77">
        <f>U37/6</f>
        <v>3219.3333333333335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189+58</f>
        <v>247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6044</v>
      </c>
      <c r="V40" s="77">
        <f>U40/24</f>
        <v>251.83333333333334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192+3+480+88+8</f>
        <v>771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3</v>
      </c>
      <c r="N41" s="87"/>
      <c r="O41" s="82">
        <v>6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9672</v>
      </c>
      <c r="V41" s="88">
        <f>U41/12</f>
        <v>806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540+65+5616+4536+9612+20</f>
        <v>20389</v>
      </c>
      <c r="D43" s="65"/>
      <c r="E43" s="65"/>
      <c r="F43" s="65"/>
      <c r="G43" s="65"/>
      <c r="H43" s="65">
        <v>3</v>
      </c>
      <c r="I43" s="65">
        <v>7</v>
      </c>
      <c r="J43" s="66">
        <f>31*6+3</f>
        <v>189</v>
      </c>
      <c r="K43" s="67">
        <f>21*6+2</f>
        <v>128</v>
      </c>
      <c r="L43" s="62"/>
      <c r="M43" s="63">
        <v>540</v>
      </c>
      <c r="N43" s="64"/>
      <c r="O43" s="65">
        <v>397</v>
      </c>
      <c r="P43" s="66"/>
      <c r="Q43" s="66">
        <v>544</v>
      </c>
      <c r="R43" s="67"/>
      <c r="S43" s="62"/>
      <c r="T43" s="77">
        <f t="shared" ref="T43" si="6">H43+I43+J43+K43+N43+P43+R43</f>
        <v>327</v>
      </c>
      <c r="U43" s="77">
        <f>C43*6+M43*6+O43*6+Q43*6+T43</f>
        <v>131547</v>
      </c>
      <c r="V43" s="77">
        <f>U43/6</f>
        <v>21924.5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432+106+2268+11</f>
        <v>2817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2</v>
      </c>
      <c r="P47" s="66">
        <v>4</v>
      </c>
      <c r="Q47" s="66">
        <v>10</v>
      </c>
      <c r="R47" s="67"/>
      <c r="S47" s="62"/>
      <c r="T47" s="77">
        <f t="shared" si="7"/>
        <v>10</v>
      </c>
      <c r="U47" s="77">
        <f>C47*6+M47*6+O47*6+Q47*6+T47</f>
        <v>16984</v>
      </c>
      <c r="V47" s="77">
        <f>U47/6</f>
        <v>2830.6666666666665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4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96</v>
      </c>
      <c r="V49" s="75">
        <f t="shared" si="9"/>
        <v>4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48</v>
      </c>
      <c r="V52" s="75">
        <f t="shared" si="9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336</v>
      </c>
      <c r="V53" s="75">
        <f t="shared" si="9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30975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99</v>
      </c>
      <c r="I58" s="6">
        <f t="shared" si="11"/>
        <v>9</v>
      </c>
      <c r="J58" s="6">
        <f t="shared" si="11"/>
        <v>189</v>
      </c>
      <c r="K58" s="6">
        <f t="shared" si="11"/>
        <v>163</v>
      </c>
      <c r="M58" s="5">
        <f t="shared" ref="M58:R58" si="12">SUM(M7:M57)</f>
        <v>678</v>
      </c>
      <c r="N58" s="5">
        <f t="shared" si="12"/>
        <v>0</v>
      </c>
      <c r="O58" s="5">
        <f t="shared" si="12"/>
        <v>552</v>
      </c>
      <c r="P58" s="5">
        <f t="shared" si="12"/>
        <v>56</v>
      </c>
      <c r="Q58" s="5">
        <f t="shared" si="12"/>
        <v>723</v>
      </c>
      <c r="R58" s="5">
        <f t="shared" si="12"/>
        <v>21</v>
      </c>
      <c r="S58" s="55"/>
      <c r="T58" s="4">
        <f>SUM(T7:T57)</f>
        <v>537</v>
      </c>
      <c r="U58" s="90">
        <f>SUM(U7:U57)+201</f>
        <v>278202</v>
      </c>
      <c r="V58" s="4">
        <f>SUM(V7:V57)</f>
        <v>32992.75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A412D-F9C7-400C-8CAE-90554BC5D3C2}">
  <sheetPr>
    <pageSetUpPr fitToPage="1"/>
  </sheetPr>
  <dimension ref="A1:BB81"/>
  <sheetViews>
    <sheetView zoomScaleNormal="100" zoomScaleSheetLayoutView="115" workbookViewId="0">
      <selection activeCell="U57" sqref="U5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9"/>
      <c r="Q5" s="99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17+20</f>
        <v>37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/>
      <c r="N7" s="57"/>
      <c r="O7" s="52">
        <v>3</v>
      </c>
      <c r="P7" s="53">
        <v>12</v>
      </c>
      <c r="Q7" s="53">
        <v>1</v>
      </c>
      <c r="R7" s="54"/>
      <c r="S7" s="55"/>
      <c r="T7" s="58">
        <f>H7+I7+J7+K7+N7+P7+R7</f>
        <v>19</v>
      </c>
      <c r="U7" s="58">
        <f>C7*24+M7*24+O7*24+Q7*24+T7</f>
        <v>1003</v>
      </c>
      <c r="V7" s="58">
        <f>U7/24</f>
        <v>41.791666666666664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20+63+11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>
        <v>5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2424</v>
      </c>
      <c r="V8" s="69">
        <f>U8/24</f>
        <v>101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25</v>
      </c>
      <c r="D9" s="70"/>
      <c r="E9" s="70"/>
      <c r="F9" s="70"/>
      <c r="G9" s="70"/>
      <c r="H9" s="70"/>
      <c r="I9" s="70"/>
      <c r="J9" s="71"/>
      <c r="K9" s="72"/>
      <c r="L9" s="55"/>
      <c r="M9" s="73">
        <v>7</v>
      </c>
      <c r="N9" s="74"/>
      <c r="O9" s="70">
        <v>1</v>
      </c>
      <c r="P9" s="71"/>
      <c r="Q9" s="71">
        <v>23</v>
      </c>
      <c r="R9" s="72"/>
      <c r="S9" s="55"/>
      <c r="T9" s="75">
        <f t="shared" si="0"/>
        <v>0</v>
      </c>
      <c r="U9" s="76">
        <f t="shared" ref="U9:U11" si="2">C9*24+M9*24+O9*24+Q9*24+T9</f>
        <v>1344</v>
      </c>
      <c r="V9" s="76">
        <f t="shared" ref="V9:V11" si="3">U9/24</f>
        <v>56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3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96</v>
      </c>
      <c r="V11" s="58">
        <f t="shared" si="3"/>
        <v>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1440+61+1224+576</f>
        <v>3301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17</v>
      </c>
      <c r="N12" s="64">
        <v>7</v>
      </c>
      <c r="O12" s="65">
        <v>12</v>
      </c>
      <c r="P12" s="66">
        <v>21</v>
      </c>
      <c r="Q12" s="66">
        <v>23</v>
      </c>
      <c r="R12" s="67">
        <v>19</v>
      </c>
      <c r="S12" s="62"/>
      <c r="T12" s="58">
        <f t="shared" si="0"/>
        <v>47</v>
      </c>
      <c r="U12" s="69">
        <f>C12*24+M12*24+O12*24+Q12*24+T12</f>
        <v>80519</v>
      </c>
      <c r="V12" s="69">
        <f>U12/24</f>
        <v>3354.9583333333335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</v>
      </c>
      <c r="V25" s="75">
        <f t="shared" si="5"/>
        <v>4.1666666666666664E-2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>
        <v>6</v>
      </c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32</v>
      </c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>
        <v>1</v>
      </c>
      <c r="P29" s="71"/>
      <c r="Q29" s="71">
        <v>20</v>
      </c>
      <c r="R29" s="72"/>
      <c r="S29" s="55"/>
      <c r="T29" s="58">
        <f t="shared" si="0"/>
        <v>0</v>
      </c>
      <c r="U29" s="75">
        <f t="shared" si="4"/>
        <v>1272</v>
      </c>
      <c r="V29" s="75">
        <f t="shared" si="5"/>
        <v>53</v>
      </c>
    </row>
    <row r="30" spans="1:54" x14ac:dyDescent="0.25">
      <c r="A30" s="27">
        <f t="shared" si="1"/>
        <v>27</v>
      </c>
      <c r="B30" s="26" t="s">
        <v>15</v>
      </c>
      <c r="C30" s="70">
        <v>30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792</v>
      </c>
      <c r="V30" s="75">
        <f t="shared" si="5"/>
        <v>33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>
        <v>1</v>
      </c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24</v>
      </c>
      <c r="V32" s="75">
        <f t="shared" si="5"/>
        <v>1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>
        <v>3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72</v>
      </c>
      <c r="V33" s="75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0">
        <f>13+72</f>
        <v>85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5</v>
      </c>
      <c r="R34" s="72"/>
      <c r="S34" s="55"/>
      <c r="T34" s="58">
        <f t="shared" si="0"/>
        <v>1</v>
      </c>
      <c r="U34" s="75">
        <f t="shared" si="4"/>
        <v>2257</v>
      </c>
      <c r="V34" s="75">
        <f t="shared" si="5"/>
        <v>94.041666666666671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73+2592</f>
        <v>2665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115</v>
      </c>
      <c r="N37" s="64"/>
      <c r="O37" s="65">
        <v>30</v>
      </c>
      <c r="P37" s="66"/>
      <c r="Q37" s="66">
        <v>83</v>
      </c>
      <c r="R37" s="67"/>
      <c r="S37" s="62"/>
      <c r="T37" s="77">
        <f t="shared" si="0"/>
        <v>2</v>
      </c>
      <c r="U37" s="77">
        <f>C37*6+M37*6+O37*6+Q37*6+T37</f>
        <v>17360</v>
      </c>
      <c r="V37" s="77">
        <f>U37/6</f>
        <v>2893.3333333333335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189+50</f>
        <v>239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6</v>
      </c>
      <c r="N40" s="64"/>
      <c r="O40" s="65">
        <v>2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6044</v>
      </c>
      <c r="V40" s="77">
        <f>U40/24</f>
        <v>251.83333333333334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3+192+480+43</f>
        <v>718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3</v>
      </c>
      <c r="N41" s="87"/>
      <c r="O41" s="82">
        <v>6</v>
      </c>
      <c r="P41" s="83"/>
      <c r="Q41" s="83">
        <v>51</v>
      </c>
      <c r="R41" s="84"/>
      <c r="S41" s="85"/>
      <c r="T41" s="88">
        <f t="shared" si="0"/>
        <v>0</v>
      </c>
      <c r="U41" s="88">
        <f>C41*12+M41*12+O41*12+Q41*12+T41</f>
        <v>9336</v>
      </c>
      <c r="V41" s="88">
        <f>U41/12</f>
        <v>778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5616+4536+8856+70+38</f>
        <v>19116</v>
      </c>
      <c r="D43" s="65"/>
      <c r="E43" s="65"/>
      <c r="F43" s="65"/>
      <c r="G43" s="65"/>
      <c r="H43" s="65">
        <v>3</v>
      </c>
      <c r="I43" s="65">
        <v>7</v>
      </c>
      <c r="J43" s="66">
        <f>31*6+3</f>
        <v>189</v>
      </c>
      <c r="K43" s="67">
        <f>21*6+2</f>
        <v>128</v>
      </c>
      <c r="L43" s="62"/>
      <c r="M43" s="63">
        <v>475</v>
      </c>
      <c r="N43" s="64"/>
      <c r="O43" s="65">
        <v>391</v>
      </c>
      <c r="P43" s="66"/>
      <c r="Q43" s="66">
        <v>544</v>
      </c>
      <c r="R43" s="67"/>
      <c r="S43" s="62"/>
      <c r="T43" s="77">
        <f t="shared" ref="T43" si="6">H43+I43+J43+K43+N43+P43+R43</f>
        <v>327</v>
      </c>
      <c r="U43" s="77">
        <f>C43*6+M43*6+O43*6+Q43*6+T43</f>
        <v>123483</v>
      </c>
      <c r="V43" s="77">
        <f>U43/6</f>
        <v>20580.5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432+106+2268+11</f>
        <v>2817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2</v>
      </c>
      <c r="P47" s="66">
        <v>4</v>
      </c>
      <c r="Q47" s="66">
        <v>10</v>
      </c>
      <c r="R47" s="67"/>
      <c r="S47" s="62"/>
      <c r="T47" s="77">
        <f t="shared" si="7"/>
        <v>10</v>
      </c>
      <c r="U47" s="77">
        <f>C47*6+M47*6+O47*6+Q47*6+T47</f>
        <v>16984</v>
      </c>
      <c r="V47" s="77">
        <f>U47/6</f>
        <v>2830.6666666666665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2</v>
      </c>
      <c r="R49" s="72"/>
      <c r="S49" s="55"/>
      <c r="T49" s="75">
        <f t="shared" si="7"/>
        <v>0</v>
      </c>
      <c r="U49" s="75">
        <f t="shared" si="8"/>
        <v>96</v>
      </c>
      <c r="V49" s="75">
        <f t="shared" si="9"/>
        <v>4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48</v>
      </c>
      <c r="V52" s="75">
        <f t="shared" si="9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336</v>
      </c>
      <c r="V53" s="75">
        <f t="shared" si="9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29307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99</v>
      </c>
      <c r="I58" s="6">
        <f t="shared" si="11"/>
        <v>9</v>
      </c>
      <c r="J58" s="6">
        <f t="shared" si="11"/>
        <v>189</v>
      </c>
      <c r="K58" s="6">
        <f t="shared" si="11"/>
        <v>163</v>
      </c>
      <c r="M58" s="5">
        <f t="shared" ref="M58:R58" si="12">SUM(M7:M57)</f>
        <v>640</v>
      </c>
      <c r="N58" s="5">
        <f t="shared" si="12"/>
        <v>7</v>
      </c>
      <c r="O58" s="5">
        <f t="shared" si="12"/>
        <v>453</v>
      </c>
      <c r="P58" s="5">
        <f t="shared" si="12"/>
        <v>56</v>
      </c>
      <c r="Q58" s="5">
        <f t="shared" si="12"/>
        <v>769</v>
      </c>
      <c r="R58" s="5">
        <f t="shared" si="12"/>
        <v>19</v>
      </c>
      <c r="S58" s="55"/>
      <c r="T58" s="4">
        <f>SUM(T7:T57)</f>
        <v>542</v>
      </c>
      <c r="U58" s="90">
        <f>SUM(U7:U57)</f>
        <v>266186</v>
      </c>
      <c r="V58" s="4">
        <f>SUM(V7:V57)</f>
        <v>31233.958333333332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FA4EE-162C-47D4-B98D-4DE5E3FC2063}">
  <sheetPr>
    <pageSetUpPr fitToPage="1"/>
  </sheetPr>
  <dimension ref="A1:BB81"/>
  <sheetViews>
    <sheetView topLeftCell="A37" zoomScaleNormal="100" zoomScaleSheetLayoutView="115" workbookViewId="0">
      <selection activeCell="T25" sqref="T2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9"/>
      <c r="Q5" s="99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16+20</f>
        <v>36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>
        <v>1</v>
      </c>
      <c r="N7" s="57"/>
      <c r="O7" s="52">
        <v>3</v>
      </c>
      <c r="P7" s="53">
        <v>12</v>
      </c>
      <c r="Q7" s="53"/>
      <c r="R7" s="54"/>
      <c r="S7" s="55"/>
      <c r="T7" s="58">
        <f>H7+I7+J7+K7+N7+P7+R7</f>
        <v>19</v>
      </c>
      <c r="U7" s="58">
        <f>C7*24+M7*24+O7*24+Q7*24+T7</f>
        <v>979</v>
      </c>
      <c r="V7" s="58">
        <f>U7/24</f>
        <v>40.791666666666664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20+63+11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2280</v>
      </c>
      <c r="V8" s="69">
        <f>U8/24</f>
        <v>95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21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600</v>
      </c>
      <c r="V9" s="76">
        <f t="shared" ref="V9:V11" si="3">U9/24</f>
        <v>25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3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96</v>
      </c>
      <c r="V11" s="58">
        <f t="shared" si="3"/>
        <v>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1440+19+1224+576</f>
        <v>3259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15</v>
      </c>
      <c r="N12" s="64"/>
      <c r="O12" s="65">
        <v>17</v>
      </c>
      <c r="P12" s="66">
        <v>6</v>
      </c>
      <c r="Q12" s="66">
        <v>23</v>
      </c>
      <c r="R12" s="67">
        <v>9</v>
      </c>
      <c r="S12" s="62"/>
      <c r="T12" s="58">
        <f t="shared" si="0"/>
        <v>15</v>
      </c>
      <c r="U12" s="69">
        <f>C12*24+M12*24+O12*24+Q12*24+T12</f>
        <v>79551</v>
      </c>
      <c r="V12" s="69">
        <f>U12/24</f>
        <v>3314.625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>
        <v>64</v>
      </c>
      <c r="G25" s="70"/>
      <c r="H25" s="70"/>
      <c r="I25" s="70">
        <v>1</v>
      </c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>H25+I25+J25+K25+N25+P25+R25</f>
        <v>1</v>
      </c>
      <c r="U25" s="75">
        <f>C25*24+M25*24+O25*24+Q25*24+F25*24+T25</f>
        <v>1537</v>
      </c>
      <c r="V25" s="75">
        <f t="shared" si="5"/>
        <v>64.041666666666671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28</v>
      </c>
      <c r="D29" s="70"/>
      <c r="E29" s="70"/>
      <c r="F29" s="70"/>
      <c r="G29" s="70"/>
      <c r="H29" s="70">
        <v>20</v>
      </c>
      <c r="I29" s="70">
        <v>4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24</v>
      </c>
      <c r="U29" s="75">
        <f t="shared" si="4"/>
        <v>768</v>
      </c>
      <c r="V29" s="75">
        <f t="shared" si="5"/>
        <v>32</v>
      </c>
    </row>
    <row r="30" spans="1:54" x14ac:dyDescent="0.25">
      <c r="A30" s="27">
        <f t="shared" si="1"/>
        <v>27</v>
      </c>
      <c r="B30" s="26" t="s">
        <v>15</v>
      </c>
      <c r="C30" s="70">
        <v>26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720</v>
      </c>
      <c r="V30" s="75">
        <f t="shared" si="5"/>
        <v>30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72+11</f>
        <v>83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>
        <v>2</v>
      </c>
      <c r="N34" s="74"/>
      <c r="O34" s="70">
        <v>4</v>
      </c>
      <c r="P34" s="71"/>
      <c r="Q34" s="71">
        <v>2</v>
      </c>
      <c r="R34" s="72"/>
      <c r="S34" s="55"/>
      <c r="T34" s="58">
        <f t="shared" si="0"/>
        <v>1</v>
      </c>
      <c r="U34" s="75">
        <f t="shared" si="4"/>
        <v>2185</v>
      </c>
      <c r="V34" s="75">
        <f t="shared" si="5"/>
        <v>91.041666666666671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2484+18</f>
        <v>2502</v>
      </c>
      <c r="D37" s="59"/>
      <c r="E37" s="59"/>
      <c r="F37" s="59"/>
      <c r="G37" s="59"/>
      <c r="H37" s="59">
        <v>4</v>
      </c>
      <c r="I37" s="59">
        <v>2</v>
      </c>
      <c r="J37" s="60"/>
      <c r="K37" s="61">
        <v>2</v>
      </c>
      <c r="L37" s="62"/>
      <c r="M37" s="63">
        <v>31</v>
      </c>
      <c r="N37" s="64"/>
      <c r="O37" s="65">
        <v>29</v>
      </c>
      <c r="P37" s="66"/>
      <c r="Q37" s="66">
        <v>134</v>
      </c>
      <c r="R37" s="67"/>
      <c r="S37" s="62"/>
      <c r="T37" s="77">
        <f t="shared" si="0"/>
        <v>8</v>
      </c>
      <c r="U37" s="77">
        <f>C37*6+M37*6+O37*6+Q37*6+T37</f>
        <v>16184</v>
      </c>
      <c r="V37" s="77">
        <f>U37/6</f>
        <v>2697.3333333333335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189+48</f>
        <v>237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5852</v>
      </c>
      <c r="V40" s="77">
        <f>U40/24</f>
        <v>243.83333333333334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192+480+13</f>
        <v>685</v>
      </c>
      <c r="D41" s="82"/>
      <c r="E41" s="82"/>
      <c r="F41" s="82"/>
      <c r="G41" s="82"/>
      <c r="H41" s="82">
        <v>11</v>
      </c>
      <c r="I41" s="82"/>
      <c r="J41" s="83"/>
      <c r="K41" s="84"/>
      <c r="L41" s="85"/>
      <c r="M41" s="86">
        <v>11</v>
      </c>
      <c r="N41" s="87"/>
      <c r="O41" s="82">
        <v>2</v>
      </c>
      <c r="P41" s="83"/>
      <c r="Q41" s="83">
        <v>21</v>
      </c>
      <c r="R41" s="84"/>
      <c r="S41" s="85"/>
      <c r="T41" s="88">
        <f t="shared" si="0"/>
        <v>11</v>
      </c>
      <c r="U41" s="88">
        <f>C41*12+M41*12+O41*12+Q41*12+T41</f>
        <v>8639</v>
      </c>
      <c r="V41" s="88">
        <f>U41/12</f>
        <v>719.91666666666663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5616+4536+7884+1728</f>
        <v>19764</v>
      </c>
      <c r="D43" s="65"/>
      <c r="E43" s="65"/>
      <c r="F43" s="65"/>
      <c r="G43" s="65"/>
      <c r="H43" s="65">
        <v>3</v>
      </c>
      <c r="I43" s="65">
        <v>7</v>
      </c>
      <c r="J43" s="66">
        <f>5*6+3</f>
        <v>33</v>
      </c>
      <c r="K43" s="67">
        <f>47*6+2</f>
        <v>284</v>
      </c>
      <c r="L43" s="62"/>
      <c r="M43" s="63">
        <v>323</v>
      </c>
      <c r="N43" s="64"/>
      <c r="O43" s="65">
        <v>404</v>
      </c>
      <c r="P43" s="66"/>
      <c r="Q43" s="66">
        <v>549</v>
      </c>
      <c r="R43" s="67"/>
      <c r="S43" s="62"/>
      <c r="T43" s="77">
        <f t="shared" ref="T43" si="6">H43+I43+J43+K43+N43+P43+R43</f>
        <v>327</v>
      </c>
      <c r="U43" s="77">
        <f>C43*6+M43*6+O43*6+Q43*6+T43</f>
        <v>126567</v>
      </c>
      <c r="V43" s="77">
        <f>U43/6</f>
        <v>21094.5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432+106+2268+11</f>
        <v>2817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2</v>
      </c>
      <c r="P47" s="66">
        <v>4</v>
      </c>
      <c r="Q47" s="66">
        <v>10</v>
      </c>
      <c r="R47" s="67"/>
      <c r="S47" s="62"/>
      <c r="T47" s="77">
        <f t="shared" si="7"/>
        <v>10</v>
      </c>
      <c r="U47" s="77">
        <f>C47*6+M47*6+O47*6+Q47*6+T47</f>
        <v>16984</v>
      </c>
      <c r="V47" s="77">
        <f>U47/6</f>
        <v>2830.6666666666665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48</v>
      </c>
      <c r="V52" s="75">
        <f t="shared" si="9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336</v>
      </c>
      <c r="V53" s="75">
        <f t="shared" si="9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29700</v>
      </c>
      <c r="D58" s="2"/>
      <c r="E58" s="2"/>
      <c r="F58" s="2">
        <f t="shared" ref="F58:K58" si="11">SUM(F7:F57)</f>
        <v>64</v>
      </c>
      <c r="G58" s="2">
        <f t="shared" si="11"/>
        <v>0</v>
      </c>
      <c r="H58" s="2">
        <f t="shared" si="11"/>
        <v>134</v>
      </c>
      <c r="I58" s="6">
        <f t="shared" si="11"/>
        <v>15</v>
      </c>
      <c r="J58" s="6">
        <f t="shared" si="11"/>
        <v>33</v>
      </c>
      <c r="K58" s="6">
        <f t="shared" si="11"/>
        <v>319</v>
      </c>
      <c r="M58" s="5">
        <f t="shared" ref="M58:R58" si="12">SUM(M7:M57)</f>
        <v>387</v>
      </c>
      <c r="N58" s="5">
        <f t="shared" si="12"/>
        <v>0</v>
      </c>
      <c r="O58" s="5">
        <f t="shared" si="12"/>
        <v>467</v>
      </c>
      <c r="P58" s="5">
        <f t="shared" si="12"/>
        <v>41</v>
      </c>
      <c r="Q58" s="5">
        <f t="shared" si="12"/>
        <v>748</v>
      </c>
      <c r="R58" s="5">
        <f t="shared" si="12"/>
        <v>9</v>
      </c>
      <c r="S58" s="55"/>
      <c r="T58" s="4">
        <f>SUM(T7:T57)</f>
        <v>551</v>
      </c>
      <c r="U58" s="90">
        <f>SUM(U7:U57)</f>
        <v>265925</v>
      </c>
      <c r="V58" s="4">
        <f>SUM(V7:V57)</f>
        <v>31432.541666666668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A2A3D-55A3-4BEB-88DB-F39DCAA837E3}">
  <sheetPr>
    <pageSetUpPr fitToPage="1"/>
  </sheetPr>
  <dimension ref="A1:BB81"/>
  <sheetViews>
    <sheetView zoomScaleNormal="100" zoomScaleSheetLayoutView="115" workbookViewId="0">
      <selection activeCell="C56" sqref="C56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9"/>
      <c r="Q5" s="99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16+20</f>
        <v>36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/>
      <c r="N7" s="57"/>
      <c r="O7" s="52">
        <v>3</v>
      </c>
      <c r="P7" s="53">
        <v>12</v>
      </c>
      <c r="Q7" s="53"/>
      <c r="R7" s="54"/>
      <c r="S7" s="55"/>
      <c r="T7" s="58">
        <f>H7+I7+J7+K7+N7+P7+R7</f>
        <v>19</v>
      </c>
      <c r="U7" s="58">
        <f>C7*24+M7*24+O7*24+Q7*24+T7</f>
        <v>955</v>
      </c>
      <c r="V7" s="58">
        <f>U7/24</f>
        <v>39.791666666666664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20+63+7</f>
        <v>90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2280</v>
      </c>
      <c r="V8" s="69">
        <f>U8/24</f>
        <v>95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504</v>
      </c>
      <c r="V9" s="76">
        <f t="shared" ref="V9:V11" si="3">U9/24</f>
        <v>21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3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96</v>
      </c>
      <c r="V11" s="58">
        <f t="shared" si="3"/>
        <v>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1440+71+1152+576</f>
        <v>3239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>
        <v>9</v>
      </c>
      <c r="O12" s="65">
        <v>6</v>
      </c>
      <c r="P12" s="66">
        <v>17</v>
      </c>
      <c r="Q12" s="66">
        <v>25</v>
      </c>
      <c r="R12" s="67">
        <v>14</v>
      </c>
      <c r="S12" s="62"/>
      <c r="T12" s="58">
        <f t="shared" si="0"/>
        <v>40</v>
      </c>
      <c r="U12" s="69">
        <f>C12*24+M12*24+O12*24+Q12*24+T12</f>
        <v>78832</v>
      </c>
      <c r="V12" s="69">
        <f>U12/24</f>
        <v>3284.6666666666665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60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1537</v>
      </c>
      <c r="V25" s="75">
        <f t="shared" si="5"/>
        <v>64.041666666666671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25</v>
      </c>
      <c r="D29" s="70"/>
      <c r="E29" s="70"/>
      <c r="F29" s="70"/>
      <c r="G29" s="70"/>
      <c r="H29" s="70">
        <v>20</v>
      </c>
      <c r="I29" s="70">
        <v>4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24</v>
      </c>
      <c r="U29" s="75">
        <f t="shared" si="4"/>
        <v>720</v>
      </c>
      <c r="V29" s="75">
        <f t="shared" si="5"/>
        <v>30</v>
      </c>
    </row>
    <row r="30" spans="1:54" x14ac:dyDescent="0.25">
      <c r="A30" s="27">
        <f t="shared" si="1"/>
        <v>27</v>
      </c>
      <c r="B30" s="26" t="s">
        <v>15</v>
      </c>
      <c r="C30" s="70">
        <v>25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672</v>
      </c>
      <c r="V30" s="75">
        <f t="shared" si="5"/>
        <v>28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72+9</f>
        <v>81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3</v>
      </c>
      <c r="R34" s="72"/>
      <c r="S34" s="55"/>
      <c r="T34" s="58">
        <f t="shared" si="0"/>
        <v>1</v>
      </c>
      <c r="U34" s="75">
        <f t="shared" si="4"/>
        <v>2113</v>
      </c>
      <c r="V34" s="75">
        <f t="shared" si="5"/>
        <v>88.041666666666671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2376+78</f>
        <v>2454</v>
      </c>
      <c r="D37" s="59"/>
      <c r="E37" s="59"/>
      <c r="F37" s="59"/>
      <c r="G37" s="59"/>
      <c r="H37" s="59">
        <v>4</v>
      </c>
      <c r="I37" s="59">
        <v>2</v>
      </c>
      <c r="J37" s="60"/>
      <c r="K37" s="61">
        <v>2</v>
      </c>
      <c r="L37" s="62"/>
      <c r="M37" s="63">
        <v>21</v>
      </c>
      <c r="N37" s="64"/>
      <c r="O37" s="65">
        <v>37</v>
      </c>
      <c r="P37" s="66"/>
      <c r="Q37" s="66">
        <v>45</v>
      </c>
      <c r="R37" s="67"/>
      <c r="S37" s="62"/>
      <c r="T37" s="77">
        <f t="shared" si="0"/>
        <v>8</v>
      </c>
      <c r="U37" s="77">
        <f>C37*6+M37*6+O37*6+Q37*6+T37</f>
        <v>15350</v>
      </c>
      <c r="V37" s="77">
        <f>U37/6</f>
        <v>2558.3333333333335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189+48</f>
        <v>237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5852</v>
      </c>
      <c r="V40" s="77">
        <f>U40/24</f>
        <v>243.83333333333334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192+384+65</f>
        <v>641</v>
      </c>
      <c r="D41" s="82"/>
      <c r="E41" s="82"/>
      <c r="F41" s="82"/>
      <c r="G41" s="82"/>
      <c r="H41" s="82">
        <v>11</v>
      </c>
      <c r="I41" s="82"/>
      <c r="J41" s="83"/>
      <c r="K41" s="84"/>
      <c r="L41" s="85"/>
      <c r="M41" s="86">
        <v>5</v>
      </c>
      <c r="N41" s="87"/>
      <c r="O41" s="82">
        <v>9</v>
      </c>
      <c r="P41" s="83"/>
      <c r="Q41" s="83">
        <v>31</v>
      </c>
      <c r="R41" s="84"/>
      <c r="S41" s="85"/>
      <c r="T41" s="88">
        <f t="shared" si="0"/>
        <v>11</v>
      </c>
      <c r="U41" s="88">
        <f>C41*12+M41*12+O41*12+Q41*12+T41</f>
        <v>8243</v>
      </c>
      <c r="V41" s="88">
        <f>U41/12</f>
        <v>686.91666666666663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3564+5616+4536+6912</f>
        <v>20628</v>
      </c>
      <c r="D43" s="65"/>
      <c r="E43" s="65"/>
      <c r="F43" s="65"/>
      <c r="G43" s="65"/>
      <c r="H43" s="65">
        <v>5</v>
      </c>
      <c r="I43" s="65">
        <v>7</v>
      </c>
      <c r="J43" s="66">
        <f>7*6+1</f>
        <v>43</v>
      </c>
      <c r="K43" s="67">
        <f>47*6+2</f>
        <v>284</v>
      </c>
      <c r="L43" s="62"/>
      <c r="M43" s="63">
        <v>372</v>
      </c>
      <c r="N43" s="64"/>
      <c r="O43" s="65">
        <v>396</v>
      </c>
      <c r="P43" s="66"/>
      <c r="Q43" s="66">
        <v>537</v>
      </c>
      <c r="R43" s="67"/>
      <c r="S43" s="62"/>
      <c r="T43" s="77">
        <f t="shared" ref="T43" si="6">H43+I43+J43+K43+N43+P43+R43</f>
        <v>339</v>
      </c>
      <c r="U43" s="77">
        <f>C43*6+M43*6+O43*6+Q43*6+T43</f>
        <v>131937</v>
      </c>
      <c r="V43" s="77">
        <f>U43/6</f>
        <v>21989.5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432+106+2268+6</f>
        <v>2812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>
        <v>5</v>
      </c>
      <c r="N47" s="64"/>
      <c r="O47" s="65">
        <v>2</v>
      </c>
      <c r="P47" s="66">
        <v>4</v>
      </c>
      <c r="Q47" s="66">
        <v>10</v>
      </c>
      <c r="R47" s="67"/>
      <c r="S47" s="62"/>
      <c r="T47" s="77">
        <f t="shared" si="7"/>
        <v>10</v>
      </c>
      <c r="U47" s="77">
        <f>C47*6+M47*6+O47*6+Q47*6+T47</f>
        <v>16984</v>
      </c>
      <c r="V47" s="77">
        <f>U47/6</f>
        <v>2830.6666666666665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48</v>
      </c>
      <c r="V52" s="75">
        <f t="shared" si="9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336</v>
      </c>
      <c r="V53" s="75">
        <f t="shared" si="9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30495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136</v>
      </c>
      <c r="I58" s="6">
        <f t="shared" si="11"/>
        <v>15</v>
      </c>
      <c r="J58" s="6">
        <f t="shared" si="11"/>
        <v>43</v>
      </c>
      <c r="K58" s="6">
        <f t="shared" si="11"/>
        <v>319</v>
      </c>
      <c r="M58" s="5">
        <f t="shared" ref="M58:R58" si="12">SUM(M7:M57)</f>
        <v>427</v>
      </c>
      <c r="N58" s="5">
        <f t="shared" si="12"/>
        <v>9</v>
      </c>
      <c r="O58" s="5">
        <f t="shared" si="12"/>
        <v>461</v>
      </c>
      <c r="P58" s="5">
        <f t="shared" si="12"/>
        <v>52</v>
      </c>
      <c r="Q58" s="5">
        <f t="shared" si="12"/>
        <v>661</v>
      </c>
      <c r="R58" s="5">
        <f t="shared" si="12"/>
        <v>14</v>
      </c>
      <c r="S58" s="55"/>
      <c r="T58" s="4">
        <f>SUM(T7:T57)</f>
        <v>588</v>
      </c>
      <c r="U58" s="90">
        <f>SUM(U7:U57)</f>
        <v>269058</v>
      </c>
      <c r="V58" s="4">
        <f>SUM(V7:V57)</f>
        <v>32113.583333333332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02961-476F-4962-8C3E-3880B2578546}">
  <sheetPr>
    <pageSetUpPr fitToPage="1"/>
  </sheetPr>
  <dimension ref="A1:BB81"/>
  <sheetViews>
    <sheetView tabSelected="1" topLeftCell="A28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100"/>
      <c r="Q5" s="100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14+20</f>
        <v>34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/>
      <c r="N7" s="57"/>
      <c r="O7" s="52">
        <v>3</v>
      </c>
      <c r="P7" s="53">
        <v>12</v>
      </c>
      <c r="Q7" s="53">
        <v>2</v>
      </c>
      <c r="R7" s="54"/>
      <c r="S7" s="55"/>
      <c r="T7" s="58">
        <f>H7+I7+J7+K7+N7+P7+R7</f>
        <v>19</v>
      </c>
      <c r="U7" s="58">
        <f>C7*24+M7*24+O7*24+Q7*24+T7</f>
        <v>955</v>
      </c>
      <c r="V7" s="58">
        <f>U7/24</f>
        <v>39.791666666666664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20+63+7</f>
        <v>90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2232</v>
      </c>
      <c r="V8" s="69">
        <f>U8/24</f>
        <v>93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432</v>
      </c>
      <c r="V9" s="76">
        <f t="shared" ref="V9:V11" si="3">U9/24</f>
        <v>18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2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72</v>
      </c>
      <c r="V11" s="58">
        <f t="shared" si="3"/>
        <v>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1440+51+1152+576</f>
        <v>3219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>
        <v>5</v>
      </c>
      <c r="O12" s="65">
        <v>11</v>
      </c>
      <c r="P12" s="66">
        <v>5</v>
      </c>
      <c r="Q12" s="66">
        <v>20</v>
      </c>
      <c r="R12" s="67"/>
      <c r="S12" s="62"/>
      <c r="T12" s="69">
        <f t="shared" si="0"/>
        <v>10</v>
      </c>
      <c r="U12" s="69">
        <f>C12*24+M12*24+O12*24+Q12*24+T12</f>
        <v>78274</v>
      </c>
      <c r="V12" s="69">
        <f>U12/24</f>
        <v>3261.4166666666665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56</v>
      </c>
      <c r="D25" s="70"/>
      <c r="E25" s="70"/>
      <c r="F25" s="70"/>
      <c r="G25" s="70"/>
      <c r="H25" s="70">
        <v>1</v>
      </c>
      <c r="I25" s="70"/>
      <c r="J25" s="71"/>
      <c r="K25" s="72"/>
      <c r="L25" s="55"/>
      <c r="M25" s="73"/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1393</v>
      </c>
      <c r="V25" s="75">
        <f t="shared" si="5"/>
        <v>58.041666666666664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21</v>
      </c>
      <c r="D29" s="70"/>
      <c r="E29" s="70"/>
      <c r="F29" s="70"/>
      <c r="G29" s="70"/>
      <c r="H29" s="70">
        <v>20</v>
      </c>
      <c r="I29" s="70">
        <v>4</v>
      </c>
      <c r="J29" s="71"/>
      <c r="K29" s="72"/>
      <c r="L29" s="55"/>
      <c r="M29" s="73"/>
      <c r="N29" s="74"/>
      <c r="O29" s="70">
        <v>1</v>
      </c>
      <c r="P29" s="71"/>
      <c r="Q29" s="71">
        <v>4</v>
      </c>
      <c r="R29" s="72"/>
      <c r="S29" s="55"/>
      <c r="T29" s="58">
        <f t="shared" si="0"/>
        <v>24</v>
      </c>
      <c r="U29" s="75">
        <f t="shared" si="4"/>
        <v>648</v>
      </c>
      <c r="V29" s="75">
        <f t="shared" si="5"/>
        <v>27</v>
      </c>
    </row>
    <row r="30" spans="1:54" x14ac:dyDescent="0.25">
      <c r="A30" s="27">
        <f t="shared" si="1"/>
        <v>27</v>
      </c>
      <c r="B30" s="26" t="s">
        <v>15</v>
      </c>
      <c r="C30" s="70">
        <v>24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624</v>
      </c>
      <c r="V30" s="75">
        <f t="shared" si="5"/>
        <v>26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72+7</f>
        <v>79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/>
      <c r="N34" s="74"/>
      <c r="O34" s="70">
        <v>2</v>
      </c>
      <c r="P34" s="71"/>
      <c r="Q34" s="71">
        <v>3</v>
      </c>
      <c r="R34" s="72"/>
      <c r="S34" s="55"/>
      <c r="T34" s="58">
        <f t="shared" si="0"/>
        <v>1</v>
      </c>
      <c r="U34" s="75">
        <f t="shared" si="4"/>
        <v>2017</v>
      </c>
      <c r="V34" s="75">
        <f t="shared" si="5"/>
        <v>84.041666666666671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23+2376</f>
        <v>2399</v>
      </c>
      <c r="D37" s="59"/>
      <c r="E37" s="59"/>
      <c r="F37" s="59"/>
      <c r="G37" s="59"/>
      <c r="H37" s="59">
        <v>4</v>
      </c>
      <c r="I37" s="59">
        <v>2</v>
      </c>
      <c r="J37" s="60"/>
      <c r="K37" s="61">
        <v>2</v>
      </c>
      <c r="L37" s="62"/>
      <c r="M37" s="63">
        <v>18</v>
      </c>
      <c r="N37" s="64"/>
      <c r="O37" s="65">
        <v>20</v>
      </c>
      <c r="P37" s="66"/>
      <c r="Q37" s="66">
        <v>59</v>
      </c>
      <c r="R37" s="67"/>
      <c r="S37" s="62"/>
      <c r="T37" s="77">
        <f t="shared" si="0"/>
        <v>8</v>
      </c>
      <c r="U37" s="77">
        <f>C37*6+M37*6+O37*6+Q37*6+T37</f>
        <v>14984</v>
      </c>
      <c r="V37" s="77">
        <f>U37/6</f>
        <v>2497.3333333333335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41+126</f>
        <v>167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4148</v>
      </c>
      <c r="V40" s="77">
        <f>U40/24</f>
        <v>172.83333333333334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192+384+60</f>
        <v>636</v>
      </c>
      <c r="D41" s="82"/>
      <c r="E41" s="82"/>
      <c r="F41" s="82"/>
      <c r="G41" s="82"/>
      <c r="H41" s="82">
        <v>11</v>
      </c>
      <c r="I41" s="82"/>
      <c r="J41" s="83"/>
      <c r="K41" s="84"/>
      <c r="L41" s="85"/>
      <c r="M41" s="86"/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11</v>
      </c>
      <c r="U41" s="88">
        <f>C41*12+M41*12+O41*12+Q41*12+T41</f>
        <v>7955</v>
      </c>
      <c r="V41" s="88">
        <f>U41/12</f>
        <v>662.91666666666663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7236+5616+4536+6264</f>
        <v>23652</v>
      </c>
      <c r="D43" s="65"/>
      <c r="E43" s="65"/>
      <c r="F43" s="65"/>
      <c r="G43" s="65"/>
      <c r="H43" s="65">
        <v>5</v>
      </c>
      <c r="I43" s="65">
        <v>7</v>
      </c>
      <c r="J43" s="66">
        <f>7*6+1</f>
        <v>43</v>
      </c>
      <c r="K43" s="67">
        <f>47*6+2</f>
        <v>284</v>
      </c>
      <c r="L43" s="62"/>
      <c r="M43" s="63">
        <v>17</v>
      </c>
      <c r="N43" s="64"/>
      <c r="O43" s="65">
        <v>402</v>
      </c>
      <c r="P43" s="66"/>
      <c r="Q43" s="66">
        <v>481</v>
      </c>
      <c r="R43" s="67"/>
      <c r="S43" s="62"/>
      <c r="T43" s="77">
        <f t="shared" ref="T43" si="6">H43+I43+J43+K43+N43+P43+R43</f>
        <v>339</v>
      </c>
      <c r="U43" s="77">
        <f>C43*6+M43*6+O43*6+Q43*6+T43</f>
        <v>147651</v>
      </c>
      <c r="V43" s="77">
        <f>U43/6</f>
        <v>24608.5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432+106+6+2268</f>
        <v>2812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>
        <v>2</v>
      </c>
      <c r="N47" s="64"/>
      <c r="O47" s="65">
        <v>2</v>
      </c>
      <c r="P47" s="66">
        <v>4</v>
      </c>
      <c r="Q47" s="66">
        <v>10</v>
      </c>
      <c r="R47" s="67"/>
      <c r="S47" s="62"/>
      <c r="T47" s="77">
        <f t="shared" si="7"/>
        <v>10</v>
      </c>
      <c r="U47" s="77">
        <f>C47*6+M47*6+O47*6+Q47*6+T47</f>
        <v>16966</v>
      </c>
      <c r="V47" s="77">
        <f>U47/6</f>
        <v>2827.6666666666665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48</v>
      </c>
      <c r="V52" s="75">
        <f t="shared" si="9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336</v>
      </c>
      <c r="V53" s="75">
        <f t="shared" si="9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33349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137</v>
      </c>
      <c r="I58" s="6">
        <f t="shared" si="11"/>
        <v>14</v>
      </c>
      <c r="J58" s="6">
        <f t="shared" si="11"/>
        <v>43</v>
      </c>
      <c r="K58" s="6">
        <f t="shared" si="11"/>
        <v>319</v>
      </c>
      <c r="M58" s="5">
        <f t="shared" ref="M58:R58" si="12">SUM(M7:M57)</f>
        <v>50</v>
      </c>
      <c r="N58" s="5">
        <f t="shared" si="12"/>
        <v>5</v>
      </c>
      <c r="O58" s="5">
        <f t="shared" si="12"/>
        <v>451</v>
      </c>
      <c r="P58" s="5">
        <f t="shared" si="12"/>
        <v>40</v>
      </c>
      <c r="Q58" s="5">
        <f t="shared" si="12"/>
        <v>611</v>
      </c>
      <c r="R58" s="5">
        <f t="shared" si="12"/>
        <v>0</v>
      </c>
      <c r="S58" s="55"/>
      <c r="T58" s="4">
        <f>SUM(T7:T57)</f>
        <v>558</v>
      </c>
      <c r="U58" s="90">
        <f>SUM(U7:U57)</f>
        <v>281334</v>
      </c>
      <c r="V58" s="4">
        <f>SUM(V7:V57)</f>
        <v>34529.333333333328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4BC4A-16CE-4134-A359-B3B72FCD191D}">
  <sheetPr>
    <pageSetUpPr fitToPage="1"/>
  </sheetPr>
  <dimension ref="A1:BB81"/>
  <sheetViews>
    <sheetView zoomScaleNormal="100" zoomScaleSheetLayoutView="115" workbookViewId="0">
      <selection activeCell="Q7" sqref="Q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100"/>
      <c r="Q5" s="100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14+20</f>
        <v>34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/>
      <c r="N7" s="57"/>
      <c r="O7" s="52">
        <v>3</v>
      </c>
      <c r="P7" s="53">
        <v>12</v>
      </c>
      <c r="Q7" s="53">
        <v>2</v>
      </c>
      <c r="R7" s="54"/>
      <c r="S7" s="55"/>
      <c r="T7" s="58">
        <f>H7+I7+J7+K7+N7+P7+R7</f>
        <v>19</v>
      </c>
      <c r="U7" s="58">
        <f>C7*24+M7*24+O7*24+Q7*24+T7</f>
        <v>955</v>
      </c>
      <c r="V7" s="58">
        <f>U7/24</f>
        <v>39.791666666666664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1</v>
      </c>
      <c r="J58" s="6">
        <f t="shared" si="11"/>
        <v>0</v>
      </c>
      <c r="K58" s="6">
        <f t="shared" si="11"/>
        <v>6</v>
      </c>
      <c r="M58" s="5">
        <f t="shared" ref="M58:R58" si="12">SUM(M7:M57)</f>
        <v>0</v>
      </c>
      <c r="N58" s="5">
        <f t="shared" si="12"/>
        <v>0</v>
      </c>
      <c r="O58" s="5">
        <f t="shared" si="12"/>
        <v>3</v>
      </c>
      <c r="P58" s="5">
        <f t="shared" si="12"/>
        <v>12</v>
      </c>
      <c r="Q58" s="5">
        <f t="shared" si="12"/>
        <v>2</v>
      </c>
      <c r="R58" s="5">
        <f t="shared" si="12"/>
        <v>0</v>
      </c>
      <c r="S58" s="55"/>
      <c r="T58" s="4">
        <f>SUM(T7:T57)</f>
        <v>19</v>
      </c>
      <c r="U58" s="90">
        <f>SUM(U7:U57)</f>
        <v>955</v>
      </c>
      <c r="V58" s="4">
        <f>SUM(V7:V57)</f>
        <v>39.791666666666664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14</vt:i4>
      </vt:variant>
    </vt:vector>
  </HeadingPairs>
  <TitlesOfParts>
    <vt:vector size="28" baseType="lpstr">
      <vt:lpstr>SAMPLE</vt:lpstr>
      <vt:lpstr>04-02-2026</vt:lpstr>
      <vt:lpstr>04-06-2026</vt:lpstr>
      <vt:lpstr>04-09-2026</vt:lpstr>
      <vt:lpstr>04-10-2026</vt:lpstr>
      <vt:lpstr>04-14-2026</vt:lpstr>
      <vt:lpstr>04-16-2026</vt:lpstr>
      <vt:lpstr>04-17-2026</vt:lpstr>
      <vt:lpstr>04-20-2026</vt:lpstr>
      <vt:lpstr>04-21-2026</vt:lpstr>
      <vt:lpstr>04-22-2026</vt:lpstr>
      <vt:lpstr>04-23-2026</vt:lpstr>
      <vt:lpstr>04-24-2026</vt:lpstr>
      <vt:lpstr>04-24-2026 (2)</vt:lpstr>
      <vt:lpstr>'04-02-2026'!Print_Area</vt:lpstr>
      <vt:lpstr>'04-06-2026'!Print_Area</vt:lpstr>
      <vt:lpstr>'04-09-2026'!Print_Area</vt:lpstr>
      <vt:lpstr>'04-10-2026'!Print_Area</vt:lpstr>
      <vt:lpstr>'04-14-2026'!Print_Area</vt:lpstr>
      <vt:lpstr>'04-16-2026'!Print_Area</vt:lpstr>
      <vt:lpstr>'04-17-2026'!Print_Area</vt:lpstr>
      <vt:lpstr>'04-20-2026'!Print_Area</vt:lpstr>
      <vt:lpstr>'04-21-2026'!Print_Area</vt:lpstr>
      <vt:lpstr>'04-22-2026'!Print_Area</vt:lpstr>
      <vt:lpstr>'04-23-2026'!Print_Area</vt:lpstr>
      <vt:lpstr>'04-24-2026'!Print_Area</vt:lpstr>
      <vt:lpstr>'04-24-2026 (2)'!Print_Area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2026-04-27T01:26:49Z</dcterms:modified>
</cp:coreProperties>
</file>