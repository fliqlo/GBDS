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PRIL FILES 2026\"/>
    </mc:Choice>
  </mc:AlternateContent>
  <xr:revisionPtr revIDLastSave="0" documentId="13_ncr:1_{CEF6927A-7007-4F95-9F43-84335BE22F50}" xr6:coauthVersionLast="45" xr6:coauthVersionMax="45" xr10:uidLastSave="{00000000-0000-0000-0000-000000000000}"/>
  <bookViews>
    <workbookView xWindow="-120" yWindow="-120" windowWidth="29040" windowHeight="15840" activeTab="7" xr2:uid="{D34C963E-9680-4B45-A4EE-B681FF0CEC08}"/>
  </bookViews>
  <sheets>
    <sheet name="SAMPLE" sheetId="32" r:id="rId1"/>
    <sheet name="04-02-2026" sheetId="43" r:id="rId2"/>
    <sheet name="04-06-2026" sheetId="47" r:id="rId3"/>
    <sheet name="04-09-2026" sheetId="46" r:id="rId4"/>
    <sheet name="04-10-2026" sheetId="44" r:id="rId5"/>
    <sheet name="04-14-2026" sheetId="45" r:id="rId6"/>
    <sheet name="04-16-2026" sheetId="49" r:id="rId7"/>
    <sheet name="04-17-2026" sheetId="50" r:id="rId8"/>
    <sheet name="04-18-2026" sheetId="48" r:id="rId9"/>
  </sheets>
  <definedNames>
    <definedName name="_xlnm.Print_Area" localSheetId="1">'04-02-2026'!$A$1:$W$59</definedName>
    <definedName name="_xlnm.Print_Area" localSheetId="2">'04-06-2026'!$A$1:$W$59</definedName>
    <definedName name="_xlnm.Print_Area" localSheetId="3">'04-09-2026'!$A$1:$W$59</definedName>
    <definedName name="_xlnm.Print_Area" localSheetId="4">'04-10-2026'!$A$1:$W$59</definedName>
    <definedName name="_xlnm.Print_Area" localSheetId="5">'04-14-2026'!$A$1:$W$59</definedName>
    <definedName name="_xlnm.Print_Area" localSheetId="6">'04-16-2026'!$A$1:$W$59</definedName>
    <definedName name="_xlnm.Print_Area" localSheetId="7">'04-17-2026'!$A$1:$W$59</definedName>
    <definedName name="_xlnm.Print_Area" localSheetId="8">'04-18-2026'!$A$1:$W$59</definedName>
    <definedName name="_xlnm.Print_Area" localSheetId="0">SAMPLE!$A$1:$W$61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50" l="1"/>
  <c r="C47" i="50"/>
  <c r="C43" i="50"/>
  <c r="C41" i="50"/>
  <c r="C40" i="50"/>
  <c r="C37" i="50"/>
  <c r="C34" i="50"/>
  <c r="C12" i="50"/>
  <c r="C53" i="50"/>
  <c r="C24" i="50"/>
  <c r="C21" i="50"/>
  <c r="C19" i="50"/>
  <c r="C13" i="50"/>
  <c r="C7" i="50"/>
  <c r="J43" i="49" l="1"/>
  <c r="C53" i="49"/>
  <c r="C47" i="49"/>
  <c r="K43" i="49"/>
  <c r="C43" i="49"/>
  <c r="C41" i="49"/>
  <c r="C40" i="49"/>
  <c r="C37" i="49"/>
  <c r="C34" i="49"/>
  <c r="C24" i="49"/>
  <c r="C21" i="49"/>
  <c r="C19" i="49"/>
  <c r="C13" i="49"/>
  <c r="C12" i="49"/>
  <c r="C8" i="49"/>
  <c r="C7" i="49"/>
  <c r="C53" i="45" l="1"/>
  <c r="C47" i="45"/>
  <c r="K43" i="45"/>
  <c r="J43" i="45"/>
  <c r="C43" i="45"/>
  <c r="C41" i="45"/>
  <c r="C40" i="45"/>
  <c r="C37" i="45"/>
  <c r="C34" i="45"/>
  <c r="C29" i="45"/>
  <c r="C24" i="45"/>
  <c r="C21" i="45"/>
  <c r="C19" i="45"/>
  <c r="C13" i="45"/>
  <c r="C12" i="45"/>
  <c r="C8" i="45"/>
  <c r="C7" i="45"/>
  <c r="R58" i="50"/>
  <c r="Q58" i="50"/>
  <c r="P58" i="50"/>
  <c r="O58" i="50"/>
  <c r="N58" i="50"/>
  <c r="M58" i="50"/>
  <c r="K58" i="50"/>
  <c r="J58" i="50"/>
  <c r="I58" i="50"/>
  <c r="H58" i="50"/>
  <c r="G58" i="50"/>
  <c r="F58" i="50"/>
  <c r="C58" i="50"/>
  <c r="T54" i="50"/>
  <c r="U54" i="50" s="1"/>
  <c r="V54" i="50" s="1"/>
  <c r="U53" i="50"/>
  <c r="V53" i="50" s="1"/>
  <c r="T53" i="50"/>
  <c r="U52" i="50"/>
  <c r="V52" i="50" s="1"/>
  <c r="T52" i="50"/>
  <c r="T51" i="50"/>
  <c r="U51" i="50" s="1"/>
  <c r="V51" i="50" s="1"/>
  <c r="T50" i="50"/>
  <c r="U50" i="50" s="1"/>
  <c r="V50" i="50" s="1"/>
  <c r="U49" i="50"/>
  <c r="V49" i="50" s="1"/>
  <c r="T49" i="50"/>
  <c r="U48" i="50"/>
  <c r="V48" i="50" s="1"/>
  <c r="T48" i="50"/>
  <c r="T47" i="50"/>
  <c r="U47" i="50" s="1"/>
  <c r="V47" i="50" s="1"/>
  <c r="T46" i="50"/>
  <c r="U46" i="50" s="1"/>
  <c r="V46" i="50" s="1"/>
  <c r="U45" i="50"/>
  <c r="V45" i="50" s="1"/>
  <c r="T45" i="50"/>
  <c r="T43" i="50"/>
  <c r="U43" i="50" s="1"/>
  <c r="V43" i="50" s="1"/>
  <c r="U41" i="50"/>
  <c r="V41" i="50" s="1"/>
  <c r="T41" i="50"/>
  <c r="T40" i="50"/>
  <c r="U40" i="50" s="1"/>
  <c r="V40" i="50" s="1"/>
  <c r="T39" i="50"/>
  <c r="U39" i="50" s="1"/>
  <c r="V39" i="50" s="1"/>
  <c r="T38" i="50"/>
  <c r="U38" i="50" s="1"/>
  <c r="V38" i="50" s="1"/>
  <c r="T37" i="50"/>
  <c r="U37" i="50" s="1"/>
  <c r="V37" i="50" s="1"/>
  <c r="T36" i="50"/>
  <c r="U36" i="50" s="1"/>
  <c r="V36" i="50" s="1"/>
  <c r="T35" i="50"/>
  <c r="U35" i="50" s="1"/>
  <c r="V35" i="50" s="1"/>
  <c r="T34" i="50"/>
  <c r="U34" i="50" s="1"/>
  <c r="V34" i="50" s="1"/>
  <c r="U33" i="50"/>
  <c r="V33" i="50" s="1"/>
  <c r="T33" i="50"/>
  <c r="T32" i="50"/>
  <c r="U32" i="50" s="1"/>
  <c r="V32" i="50" s="1"/>
  <c r="T31" i="50"/>
  <c r="U31" i="50" s="1"/>
  <c r="V31" i="50" s="1"/>
  <c r="T30" i="50"/>
  <c r="U30" i="50" s="1"/>
  <c r="V30" i="50" s="1"/>
  <c r="U29" i="50"/>
  <c r="V29" i="50" s="1"/>
  <c r="T29" i="50"/>
  <c r="T28" i="50"/>
  <c r="U28" i="50" s="1"/>
  <c r="V28" i="50" s="1"/>
  <c r="T27" i="50"/>
  <c r="U27" i="50" s="1"/>
  <c r="V27" i="50" s="1"/>
  <c r="T26" i="50"/>
  <c r="U26" i="50" s="1"/>
  <c r="V26" i="50" s="1"/>
  <c r="AY25" i="50"/>
  <c r="T25" i="50"/>
  <c r="U25" i="50" s="1"/>
  <c r="V25" i="50" s="1"/>
  <c r="T24" i="50"/>
  <c r="U24" i="50" s="1"/>
  <c r="V24" i="50" s="1"/>
  <c r="T23" i="50"/>
  <c r="U23" i="50" s="1"/>
  <c r="V23" i="50" s="1"/>
  <c r="T22" i="50"/>
  <c r="U22" i="50" s="1"/>
  <c r="V22" i="50" s="1"/>
  <c r="A22" i="50"/>
  <c r="A23" i="50" s="1"/>
  <c r="A24" i="50" s="1"/>
  <c r="A25" i="50" s="1"/>
  <c r="A26" i="50" s="1"/>
  <c r="A27" i="50" s="1"/>
  <c r="A28" i="50" s="1"/>
  <c r="A29" i="50" s="1"/>
  <c r="A30" i="50" s="1"/>
  <c r="A31" i="50" s="1"/>
  <c r="A32" i="50" s="1"/>
  <c r="A33" i="50" s="1"/>
  <c r="A34" i="50" s="1"/>
  <c r="A35" i="50" s="1"/>
  <c r="A36" i="50" s="1"/>
  <c r="A37" i="50" s="1"/>
  <c r="A38" i="50" s="1"/>
  <c r="A39" i="50" s="1"/>
  <c r="A40" i="50" s="1"/>
  <c r="A41" i="50" s="1"/>
  <c r="A42" i="50" s="1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U21" i="50"/>
  <c r="V21" i="50" s="1"/>
  <c r="T21" i="50"/>
  <c r="A21" i="50"/>
  <c r="T20" i="50"/>
  <c r="U20" i="50" s="1"/>
  <c r="V20" i="50" s="1"/>
  <c r="A20" i="50"/>
  <c r="T19" i="50"/>
  <c r="U19" i="50" s="1"/>
  <c r="V19" i="50" s="1"/>
  <c r="T18" i="50"/>
  <c r="U18" i="50" s="1"/>
  <c r="V18" i="50" s="1"/>
  <c r="U17" i="50"/>
  <c r="V17" i="50" s="1"/>
  <c r="T17" i="50"/>
  <c r="T16" i="50"/>
  <c r="U16" i="50" s="1"/>
  <c r="V16" i="50" s="1"/>
  <c r="T15" i="50"/>
  <c r="U15" i="50" s="1"/>
  <c r="V15" i="50" s="1"/>
  <c r="T14" i="50"/>
  <c r="U14" i="50" s="1"/>
  <c r="V14" i="50" s="1"/>
  <c r="A14" i="50"/>
  <c r="A15" i="50" s="1"/>
  <c r="A16" i="50" s="1"/>
  <c r="A17" i="50" s="1"/>
  <c r="A18" i="50" s="1"/>
  <c r="T13" i="50"/>
  <c r="U13" i="50" s="1"/>
  <c r="V13" i="50" s="1"/>
  <c r="T12" i="50"/>
  <c r="U12" i="50" s="1"/>
  <c r="V12" i="50" s="1"/>
  <c r="T11" i="50"/>
  <c r="U11" i="50" s="1"/>
  <c r="V11" i="50" s="1"/>
  <c r="U10" i="50"/>
  <c r="V10" i="50" s="1"/>
  <c r="T10" i="50"/>
  <c r="T9" i="50"/>
  <c r="A9" i="50"/>
  <c r="A10" i="50" s="1"/>
  <c r="A11" i="50" s="1"/>
  <c r="T8" i="50"/>
  <c r="U8" i="50" s="1"/>
  <c r="A8" i="50"/>
  <c r="T7" i="50"/>
  <c r="U7" i="50" s="1"/>
  <c r="V7" i="50" s="1"/>
  <c r="R58" i="49"/>
  <c r="Q58" i="49"/>
  <c r="P58" i="49"/>
  <c r="O58" i="49"/>
  <c r="N58" i="49"/>
  <c r="M58" i="49"/>
  <c r="K58" i="49"/>
  <c r="J58" i="49"/>
  <c r="I58" i="49"/>
  <c r="H58" i="49"/>
  <c r="G58" i="49"/>
  <c r="F58" i="49"/>
  <c r="C58" i="49"/>
  <c r="U54" i="49"/>
  <c r="V54" i="49" s="1"/>
  <c r="T54" i="49"/>
  <c r="U53" i="49"/>
  <c r="V53" i="49" s="1"/>
  <c r="T53" i="49"/>
  <c r="T52" i="49"/>
  <c r="U52" i="49" s="1"/>
  <c r="V52" i="49" s="1"/>
  <c r="T51" i="49"/>
  <c r="U51" i="49" s="1"/>
  <c r="V51" i="49" s="1"/>
  <c r="U50" i="49"/>
  <c r="V50" i="49" s="1"/>
  <c r="T50" i="49"/>
  <c r="U49" i="49"/>
  <c r="V49" i="49" s="1"/>
  <c r="T49" i="49"/>
  <c r="T48" i="49"/>
  <c r="U48" i="49" s="1"/>
  <c r="V48" i="49" s="1"/>
  <c r="T47" i="49"/>
  <c r="U47" i="49" s="1"/>
  <c r="V47" i="49" s="1"/>
  <c r="U46" i="49"/>
  <c r="V46" i="49" s="1"/>
  <c r="T46" i="49"/>
  <c r="U45" i="49"/>
  <c r="V45" i="49" s="1"/>
  <c r="T45" i="49"/>
  <c r="T43" i="49"/>
  <c r="U43" i="49" s="1"/>
  <c r="V43" i="49" s="1"/>
  <c r="U41" i="49"/>
  <c r="V41" i="49" s="1"/>
  <c r="T41" i="49"/>
  <c r="T40" i="49"/>
  <c r="U40" i="49" s="1"/>
  <c r="V40" i="49" s="1"/>
  <c r="U39" i="49"/>
  <c r="V39" i="49" s="1"/>
  <c r="T39" i="49"/>
  <c r="T38" i="49"/>
  <c r="U38" i="49" s="1"/>
  <c r="V38" i="49" s="1"/>
  <c r="T37" i="49"/>
  <c r="U37" i="49" s="1"/>
  <c r="V37" i="49" s="1"/>
  <c r="U36" i="49"/>
  <c r="V36" i="49" s="1"/>
  <c r="T36" i="49"/>
  <c r="U35" i="49"/>
  <c r="V35" i="49" s="1"/>
  <c r="T35" i="49"/>
  <c r="T34" i="49"/>
  <c r="U34" i="49" s="1"/>
  <c r="V34" i="49" s="1"/>
  <c r="U33" i="49"/>
  <c r="V33" i="49" s="1"/>
  <c r="T33" i="49"/>
  <c r="U32" i="49"/>
  <c r="V32" i="49" s="1"/>
  <c r="T32" i="49"/>
  <c r="U31" i="49"/>
  <c r="V31" i="49" s="1"/>
  <c r="T31" i="49"/>
  <c r="T30" i="49"/>
  <c r="U30" i="49" s="1"/>
  <c r="V30" i="49" s="1"/>
  <c r="U29" i="49"/>
  <c r="V29" i="49" s="1"/>
  <c r="T29" i="49"/>
  <c r="U28" i="49"/>
  <c r="V28" i="49" s="1"/>
  <c r="T28" i="49"/>
  <c r="U27" i="49"/>
  <c r="V27" i="49" s="1"/>
  <c r="T27" i="49"/>
  <c r="T26" i="49"/>
  <c r="U26" i="49" s="1"/>
  <c r="V26" i="49" s="1"/>
  <c r="AY25" i="49"/>
  <c r="T25" i="49"/>
  <c r="U25" i="49" s="1"/>
  <c r="V25" i="49" s="1"/>
  <c r="T24" i="49"/>
  <c r="U24" i="49" s="1"/>
  <c r="V24" i="49" s="1"/>
  <c r="T23" i="49"/>
  <c r="U23" i="49" s="1"/>
  <c r="V23" i="49" s="1"/>
  <c r="T22" i="49"/>
  <c r="U22" i="49" s="1"/>
  <c r="V22" i="49" s="1"/>
  <c r="A22" i="49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35" i="49" s="1"/>
  <c r="A36" i="49" s="1"/>
  <c r="A37" i="49" s="1"/>
  <c r="A38" i="49" s="1"/>
  <c r="A39" i="49" s="1"/>
  <c r="A40" i="49" s="1"/>
  <c r="A41" i="49" s="1"/>
  <c r="A42" i="49" s="1"/>
  <c r="A43" i="49" s="1"/>
  <c r="A44" i="49" s="1"/>
  <c r="A45" i="49" s="1"/>
  <c r="A46" i="49" s="1"/>
  <c r="A47" i="49" s="1"/>
  <c r="A48" i="49" s="1"/>
  <c r="A49" i="49" s="1"/>
  <c r="A50" i="49" s="1"/>
  <c r="A51" i="49" s="1"/>
  <c r="A52" i="49" s="1"/>
  <c r="A53" i="49" s="1"/>
  <c r="A54" i="49" s="1"/>
  <c r="A55" i="49" s="1"/>
  <c r="A56" i="49" s="1"/>
  <c r="A57" i="49" s="1"/>
  <c r="T21" i="49"/>
  <c r="U21" i="49" s="1"/>
  <c r="V21" i="49" s="1"/>
  <c r="A21" i="49"/>
  <c r="T20" i="49"/>
  <c r="U20" i="49" s="1"/>
  <c r="V20" i="49" s="1"/>
  <c r="A20" i="49"/>
  <c r="U19" i="49"/>
  <c r="V19" i="49" s="1"/>
  <c r="T19" i="49"/>
  <c r="T18" i="49"/>
  <c r="U18" i="49" s="1"/>
  <c r="V18" i="49" s="1"/>
  <c r="U17" i="49"/>
  <c r="V17" i="49" s="1"/>
  <c r="T17" i="49"/>
  <c r="U16" i="49"/>
  <c r="V16" i="49" s="1"/>
  <c r="T16" i="49"/>
  <c r="U15" i="49"/>
  <c r="V15" i="49" s="1"/>
  <c r="T15" i="49"/>
  <c r="T14" i="49"/>
  <c r="U14" i="49" s="1"/>
  <c r="V14" i="49" s="1"/>
  <c r="A14" i="49"/>
  <c r="A15" i="49" s="1"/>
  <c r="A16" i="49" s="1"/>
  <c r="A17" i="49" s="1"/>
  <c r="A18" i="49" s="1"/>
  <c r="T13" i="49"/>
  <c r="U13" i="49" s="1"/>
  <c r="V13" i="49" s="1"/>
  <c r="T12" i="49"/>
  <c r="U12" i="49" s="1"/>
  <c r="V12" i="49" s="1"/>
  <c r="T11" i="49"/>
  <c r="U11" i="49" s="1"/>
  <c r="V11" i="49" s="1"/>
  <c r="T10" i="49"/>
  <c r="U10" i="49" s="1"/>
  <c r="V10" i="49" s="1"/>
  <c r="A10" i="49"/>
  <c r="A11" i="49" s="1"/>
  <c r="T9" i="49"/>
  <c r="U9" i="49" s="1"/>
  <c r="V9" i="49" s="1"/>
  <c r="A9" i="49"/>
  <c r="U8" i="49"/>
  <c r="V8" i="49" s="1"/>
  <c r="T8" i="49"/>
  <c r="A8" i="49"/>
  <c r="T7" i="49"/>
  <c r="T58" i="48"/>
  <c r="R58" i="48"/>
  <c r="Q58" i="48"/>
  <c r="P58" i="48"/>
  <c r="O58" i="48"/>
  <c r="N58" i="48"/>
  <c r="M58" i="48"/>
  <c r="K58" i="48"/>
  <c r="J58" i="48"/>
  <c r="I58" i="48"/>
  <c r="H58" i="48"/>
  <c r="G58" i="48"/>
  <c r="F58" i="48"/>
  <c r="C58" i="48"/>
  <c r="T54" i="48"/>
  <c r="U54" i="48" s="1"/>
  <c r="V54" i="48" s="1"/>
  <c r="T53" i="48"/>
  <c r="U53" i="48" s="1"/>
  <c r="V53" i="48" s="1"/>
  <c r="U52" i="48"/>
  <c r="V52" i="48" s="1"/>
  <c r="T52" i="48"/>
  <c r="T51" i="48"/>
  <c r="U51" i="48" s="1"/>
  <c r="V51" i="48" s="1"/>
  <c r="T50" i="48"/>
  <c r="U50" i="48" s="1"/>
  <c r="V50" i="48" s="1"/>
  <c r="T49" i="48"/>
  <c r="U49" i="48" s="1"/>
  <c r="V49" i="48" s="1"/>
  <c r="U48" i="48"/>
  <c r="V48" i="48" s="1"/>
  <c r="T48" i="48"/>
  <c r="T47" i="48"/>
  <c r="U47" i="48" s="1"/>
  <c r="V47" i="48" s="1"/>
  <c r="T46" i="48"/>
  <c r="U46" i="48" s="1"/>
  <c r="V46" i="48" s="1"/>
  <c r="T45" i="48"/>
  <c r="U45" i="48" s="1"/>
  <c r="V45" i="48" s="1"/>
  <c r="T43" i="48"/>
  <c r="U43" i="48" s="1"/>
  <c r="V43" i="48" s="1"/>
  <c r="U41" i="48"/>
  <c r="V41" i="48" s="1"/>
  <c r="T41" i="48"/>
  <c r="V40" i="48"/>
  <c r="U40" i="48"/>
  <c r="T40" i="48"/>
  <c r="T39" i="48"/>
  <c r="U39" i="48" s="1"/>
  <c r="V39" i="48" s="1"/>
  <c r="T38" i="48"/>
  <c r="U38" i="48" s="1"/>
  <c r="V38" i="48" s="1"/>
  <c r="U37" i="48"/>
  <c r="V37" i="48" s="1"/>
  <c r="T37" i="48"/>
  <c r="V36" i="48"/>
  <c r="U36" i="48"/>
  <c r="T36" i="48"/>
  <c r="T35" i="48"/>
  <c r="U35" i="48" s="1"/>
  <c r="V35" i="48" s="1"/>
  <c r="T34" i="48"/>
  <c r="U34" i="48" s="1"/>
  <c r="V34" i="48" s="1"/>
  <c r="U33" i="48"/>
  <c r="V33" i="48" s="1"/>
  <c r="T33" i="48"/>
  <c r="V32" i="48"/>
  <c r="U32" i="48"/>
  <c r="T32" i="48"/>
  <c r="T31" i="48"/>
  <c r="U31" i="48" s="1"/>
  <c r="V31" i="48" s="1"/>
  <c r="T30" i="48"/>
  <c r="U30" i="48" s="1"/>
  <c r="V30" i="48" s="1"/>
  <c r="U29" i="48"/>
  <c r="V29" i="48" s="1"/>
  <c r="T29" i="48"/>
  <c r="V28" i="48"/>
  <c r="U28" i="48"/>
  <c r="T28" i="48"/>
  <c r="T27" i="48"/>
  <c r="U27" i="48" s="1"/>
  <c r="V27" i="48" s="1"/>
  <c r="T26" i="48"/>
  <c r="U26" i="48" s="1"/>
  <c r="V26" i="48" s="1"/>
  <c r="AY25" i="48"/>
  <c r="T25" i="48"/>
  <c r="U25" i="48" s="1"/>
  <c r="V25" i="48" s="1"/>
  <c r="T24" i="48"/>
  <c r="U24" i="48" s="1"/>
  <c r="V24" i="48" s="1"/>
  <c r="T23" i="48"/>
  <c r="U23" i="48" s="1"/>
  <c r="V23" i="48" s="1"/>
  <c r="U22" i="48"/>
  <c r="V22" i="48" s="1"/>
  <c r="T22" i="48"/>
  <c r="A22" i="48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T21" i="48"/>
  <c r="U21" i="48" s="1"/>
  <c r="V21" i="48" s="1"/>
  <c r="A21" i="48"/>
  <c r="T20" i="48"/>
  <c r="U20" i="48" s="1"/>
  <c r="V20" i="48" s="1"/>
  <c r="A20" i="48"/>
  <c r="T19" i="48"/>
  <c r="U19" i="48" s="1"/>
  <c r="V19" i="48" s="1"/>
  <c r="T18" i="48"/>
  <c r="U18" i="48" s="1"/>
  <c r="V18" i="48" s="1"/>
  <c r="U17" i="48"/>
  <c r="V17" i="48" s="1"/>
  <c r="T17" i="48"/>
  <c r="V16" i="48"/>
  <c r="U16" i="48"/>
  <c r="T16" i="48"/>
  <c r="T15" i="48"/>
  <c r="U15" i="48" s="1"/>
  <c r="V15" i="48" s="1"/>
  <c r="A15" i="48"/>
  <c r="A16" i="48" s="1"/>
  <c r="A17" i="48" s="1"/>
  <c r="A18" i="48" s="1"/>
  <c r="T14" i="48"/>
  <c r="U14" i="48" s="1"/>
  <c r="V14" i="48" s="1"/>
  <c r="A14" i="48"/>
  <c r="U13" i="48"/>
  <c r="V13" i="48" s="1"/>
  <c r="T13" i="48"/>
  <c r="U12" i="48"/>
  <c r="V12" i="48" s="1"/>
  <c r="T12" i="48"/>
  <c r="T11" i="48"/>
  <c r="U11" i="48" s="1"/>
  <c r="V11" i="48" s="1"/>
  <c r="T10" i="48"/>
  <c r="U10" i="48" s="1"/>
  <c r="V10" i="48" s="1"/>
  <c r="T9" i="48"/>
  <c r="U9" i="48" s="1"/>
  <c r="V9" i="48" s="1"/>
  <c r="A9" i="48"/>
  <c r="A10" i="48" s="1"/>
  <c r="A11" i="48" s="1"/>
  <c r="T8" i="48"/>
  <c r="U8" i="48" s="1"/>
  <c r="V8" i="48" s="1"/>
  <c r="A8" i="48"/>
  <c r="T7" i="48"/>
  <c r="U7" i="48" s="1"/>
  <c r="T58" i="50" l="1"/>
  <c r="T58" i="49"/>
  <c r="U7" i="49"/>
  <c r="U58" i="49" s="1"/>
  <c r="V8" i="50"/>
  <c r="U9" i="50"/>
  <c r="V9" i="50" s="1"/>
  <c r="V58" i="50" s="1"/>
  <c r="U58" i="48"/>
  <c r="V7" i="48"/>
  <c r="V58" i="48" s="1"/>
  <c r="C53" i="44"/>
  <c r="C47" i="44"/>
  <c r="K43" i="44"/>
  <c r="J43" i="44"/>
  <c r="C43" i="44"/>
  <c r="C41" i="44"/>
  <c r="C40" i="44"/>
  <c r="C37" i="44"/>
  <c r="C34" i="44"/>
  <c r="C29" i="44"/>
  <c r="C28" i="44"/>
  <c r="C24" i="44"/>
  <c r="C21" i="44"/>
  <c r="C19" i="44"/>
  <c r="C13" i="44"/>
  <c r="C12" i="44"/>
  <c r="C8" i="44"/>
  <c r="C7" i="44"/>
  <c r="V7" i="49" l="1"/>
  <c r="V58" i="49" s="1"/>
  <c r="U58" i="50"/>
  <c r="C53" i="46"/>
  <c r="C47" i="46"/>
  <c r="K43" i="46"/>
  <c r="J43" i="46"/>
  <c r="C43" i="46"/>
  <c r="C41" i="46"/>
  <c r="C40" i="46"/>
  <c r="C37" i="46"/>
  <c r="C34" i="46"/>
  <c r="C29" i="46"/>
  <c r="C28" i="46"/>
  <c r="C24" i="46"/>
  <c r="C21" i="46"/>
  <c r="C19" i="46"/>
  <c r="C13" i="46"/>
  <c r="C12" i="46"/>
  <c r="C8" i="46"/>
  <c r="C7" i="46"/>
  <c r="G41" i="47" l="1"/>
  <c r="F41" i="47"/>
  <c r="C40" i="47"/>
  <c r="G23" i="47"/>
  <c r="G43" i="47"/>
  <c r="G37" i="47"/>
  <c r="F43" i="47"/>
  <c r="T43" i="47" s="1"/>
  <c r="G28" i="47"/>
  <c r="F28" i="47"/>
  <c r="F12" i="47"/>
  <c r="T12" i="47" s="1"/>
  <c r="T35" i="47"/>
  <c r="T36" i="47"/>
  <c r="T37" i="47"/>
  <c r="T38" i="47"/>
  <c r="T39" i="47"/>
  <c r="T40" i="47"/>
  <c r="T42" i="47"/>
  <c r="T44" i="47"/>
  <c r="T45" i="47"/>
  <c r="T46" i="47"/>
  <c r="T47" i="47"/>
  <c r="T48" i="47"/>
  <c r="T49" i="47"/>
  <c r="T50" i="47"/>
  <c r="T51" i="47"/>
  <c r="T52" i="47"/>
  <c r="T53" i="47"/>
  <c r="T54" i="47"/>
  <c r="C53" i="47"/>
  <c r="G47" i="47"/>
  <c r="C47" i="47"/>
  <c r="K43" i="47"/>
  <c r="J43" i="47"/>
  <c r="C43" i="47"/>
  <c r="C41" i="47"/>
  <c r="C37" i="47"/>
  <c r="G34" i="47"/>
  <c r="T29" i="47"/>
  <c r="T30" i="47"/>
  <c r="T31" i="47"/>
  <c r="T32" i="47"/>
  <c r="T33" i="47"/>
  <c r="T34" i="47"/>
  <c r="C34" i="47"/>
  <c r="C29" i="47"/>
  <c r="T26" i="47"/>
  <c r="T27" i="47"/>
  <c r="C28" i="47"/>
  <c r="T25" i="47"/>
  <c r="C24" i="47"/>
  <c r="T23" i="47"/>
  <c r="C21" i="47"/>
  <c r="C19" i="47"/>
  <c r="C13" i="47"/>
  <c r="C12" i="47"/>
  <c r="C8" i="47"/>
  <c r="T7" i="47"/>
  <c r="G7" i="47"/>
  <c r="C7" i="47"/>
  <c r="T41" i="47" l="1"/>
  <c r="T28" i="47"/>
  <c r="U39" i="47"/>
  <c r="V39" i="47" s="1"/>
  <c r="U27" i="47"/>
  <c r="V27" i="47" s="1"/>
  <c r="T39" i="46"/>
  <c r="U39" i="46" s="1"/>
  <c r="V39" i="46" s="1"/>
  <c r="T27" i="46"/>
  <c r="U27" i="46" s="1"/>
  <c r="V27" i="46" s="1"/>
  <c r="T39" i="45"/>
  <c r="U39" i="45" s="1"/>
  <c r="V39" i="45" s="1"/>
  <c r="T27" i="45"/>
  <c r="U27" i="45"/>
  <c r="V27" i="45" s="1"/>
  <c r="T27" i="44"/>
  <c r="U27" i="44"/>
  <c r="V27" i="44" s="1"/>
  <c r="T39" i="44"/>
  <c r="U39" i="44" s="1"/>
  <c r="V39" i="44" s="1"/>
  <c r="V39" i="43"/>
  <c r="U39" i="43"/>
  <c r="T39" i="43"/>
  <c r="C43" i="43"/>
  <c r="V27" i="43"/>
  <c r="U27" i="43"/>
  <c r="T27" i="43"/>
  <c r="C53" i="43"/>
  <c r="C47" i="43"/>
  <c r="K43" i="43"/>
  <c r="J43" i="43"/>
  <c r="C41" i="43"/>
  <c r="C40" i="43"/>
  <c r="C37" i="43"/>
  <c r="C34" i="43"/>
  <c r="C29" i="43"/>
  <c r="C28" i="43"/>
  <c r="C24" i="43"/>
  <c r="C21" i="43"/>
  <c r="C19" i="43"/>
  <c r="C13" i="43"/>
  <c r="C12" i="43"/>
  <c r="C8" i="43"/>
  <c r="C7" i="43"/>
  <c r="R58" i="47" l="1"/>
  <c r="Q58" i="47"/>
  <c r="P58" i="47"/>
  <c r="O58" i="47"/>
  <c r="N58" i="47"/>
  <c r="M58" i="47"/>
  <c r="K58" i="47"/>
  <c r="J58" i="47"/>
  <c r="I58" i="47"/>
  <c r="H58" i="47"/>
  <c r="G58" i="47"/>
  <c r="F58" i="47"/>
  <c r="C58" i="47"/>
  <c r="U54" i="47"/>
  <c r="V54" i="47" s="1"/>
  <c r="U53" i="47"/>
  <c r="V53" i="47" s="1"/>
  <c r="U52" i="47"/>
  <c r="V52" i="47" s="1"/>
  <c r="U51" i="47"/>
  <c r="V51" i="47" s="1"/>
  <c r="U50" i="47"/>
  <c r="V50" i="47" s="1"/>
  <c r="U49" i="47"/>
  <c r="V49" i="47" s="1"/>
  <c r="U48" i="47"/>
  <c r="V48" i="47" s="1"/>
  <c r="U47" i="47"/>
  <c r="V47" i="47" s="1"/>
  <c r="U46" i="47"/>
  <c r="V46" i="47" s="1"/>
  <c r="U45" i="47"/>
  <c r="V45" i="47" s="1"/>
  <c r="U43" i="47"/>
  <c r="V43" i="47" s="1"/>
  <c r="U41" i="47"/>
  <c r="V41" i="47" s="1"/>
  <c r="U40" i="47"/>
  <c r="V40" i="47" s="1"/>
  <c r="U38" i="47"/>
  <c r="V38" i="47" s="1"/>
  <c r="U37" i="47"/>
  <c r="V37" i="47" s="1"/>
  <c r="U36" i="47"/>
  <c r="V36" i="47" s="1"/>
  <c r="U35" i="47"/>
  <c r="V35" i="47" s="1"/>
  <c r="U34" i="47"/>
  <c r="V34" i="47" s="1"/>
  <c r="U33" i="47"/>
  <c r="V33" i="47" s="1"/>
  <c r="U32" i="47"/>
  <c r="V32" i="47" s="1"/>
  <c r="U31" i="47"/>
  <c r="V31" i="47" s="1"/>
  <c r="U30" i="47"/>
  <c r="V30" i="47" s="1"/>
  <c r="U29" i="47"/>
  <c r="V29" i="47" s="1"/>
  <c r="U28" i="47"/>
  <c r="V28" i="47" s="1"/>
  <c r="U26" i="47"/>
  <c r="V26" i="47" s="1"/>
  <c r="AY25" i="47"/>
  <c r="U25" i="47"/>
  <c r="V25" i="47" s="1"/>
  <c r="U24" i="47"/>
  <c r="V24" i="47" s="1"/>
  <c r="T24" i="47"/>
  <c r="U23" i="47"/>
  <c r="V23" i="47" s="1"/>
  <c r="T22" i="47"/>
  <c r="U22" i="47" s="1"/>
  <c r="V22" i="47" s="1"/>
  <c r="U21" i="47"/>
  <c r="V21" i="47" s="1"/>
  <c r="T21" i="47"/>
  <c r="A21" i="47"/>
  <c r="A22" i="47" s="1"/>
  <c r="A23" i="47" s="1"/>
  <c r="A24" i="47" s="1"/>
  <c r="A25" i="47" s="1"/>
  <c r="A26" i="47" s="1"/>
  <c r="A27" i="47" s="1"/>
  <c r="A28" i="47" s="1"/>
  <c r="A29" i="47" s="1"/>
  <c r="A30" i="47" s="1"/>
  <c r="A31" i="47" s="1"/>
  <c r="A32" i="47" s="1"/>
  <c r="A33" i="47" s="1"/>
  <c r="A34" i="47" s="1"/>
  <c r="A35" i="47" s="1"/>
  <c r="A36" i="47" s="1"/>
  <c r="A37" i="47" s="1"/>
  <c r="A38" i="47" s="1"/>
  <c r="A39" i="47" s="1"/>
  <c r="A40" i="47" s="1"/>
  <c r="A41" i="47" s="1"/>
  <c r="A42" i="47" s="1"/>
  <c r="A43" i="47" s="1"/>
  <c r="A44" i="47" s="1"/>
  <c r="A45" i="47" s="1"/>
  <c r="A46" i="47" s="1"/>
  <c r="A47" i="47" s="1"/>
  <c r="A48" i="47" s="1"/>
  <c r="A49" i="47" s="1"/>
  <c r="A50" i="47" s="1"/>
  <c r="A51" i="47" s="1"/>
  <c r="A52" i="47" s="1"/>
  <c r="A53" i="47" s="1"/>
  <c r="A54" i="47" s="1"/>
  <c r="A55" i="47" s="1"/>
  <c r="A56" i="47" s="1"/>
  <c r="A57" i="47" s="1"/>
  <c r="T20" i="47"/>
  <c r="U20" i="47" s="1"/>
  <c r="V20" i="47" s="1"/>
  <c r="A20" i="47"/>
  <c r="T19" i="47"/>
  <c r="U19" i="47" s="1"/>
  <c r="V19" i="47" s="1"/>
  <c r="T18" i="47"/>
  <c r="U18" i="47" s="1"/>
  <c r="V18" i="47" s="1"/>
  <c r="T17" i="47"/>
  <c r="U17" i="47" s="1"/>
  <c r="V17" i="47" s="1"/>
  <c r="T16" i="47"/>
  <c r="U16" i="47" s="1"/>
  <c r="V16" i="47" s="1"/>
  <c r="T15" i="47"/>
  <c r="U15" i="47" s="1"/>
  <c r="V15" i="47" s="1"/>
  <c r="T14" i="47"/>
  <c r="U14" i="47" s="1"/>
  <c r="V14" i="47" s="1"/>
  <c r="A14" i="47"/>
  <c r="A15" i="47" s="1"/>
  <c r="A16" i="47" s="1"/>
  <c r="A17" i="47" s="1"/>
  <c r="A18" i="47" s="1"/>
  <c r="T13" i="47"/>
  <c r="U13" i="47" s="1"/>
  <c r="V13" i="47" s="1"/>
  <c r="U12" i="47"/>
  <c r="V12" i="47" s="1"/>
  <c r="T11" i="47"/>
  <c r="U11" i="47" s="1"/>
  <c r="V11" i="47" s="1"/>
  <c r="U10" i="47"/>
  <c r="V10" i="47" s="1"/>
  <c r="T10" i="47"/>
  <c r="T9" i="47"/>
  <c r="U9" i="47" s="1"/>
  <c r="V9" i="47" s="1"/>
  <c r="T8" i="47"/>
  <c r="U8" i="47" s="1"/>
  <c r="V8" i="47" s="1"/>
  <c r="A8" i="47"/>
  <c r="A9" i="47" s="1"/>
  <c r="A10" i="47" s="1"/>
  <c r="A11" i="47" s="1"/>
  <c r="R58" i="46"/>
  <c r="Q58" i="46"/>
  <c r="P58" i="46"/>
  <c r="O58" i="46"/>
  <c r="N58" i="46"/>
  <c r="M58" i="46"/>
  <c r="K58" i="46"/>
  <c r="J58" i="46"/>
  <c r="I58" i="46"/>
  <c r="H58" i="46"/>
  <c r="G58" i="46"/>
  <c r="F58" i="46"/>
  <c r="C58" i="46"/>
  <c r="T54" i="46"/>
  <c r="U54" i="46" s="1"/>
  <c r="V54" i="46" s="1"/>
  <c r="T53" i="46"/>
  <c r="U53" i="46" s="1"/>
  <c r="V53" i="46" s="1"/>
  <c r="T52" i="46"/>
  <c r="U52" i="46" s="1"/>
  <c r="V52" i="46" s="1"/>
  <c r="T51" i="46"/>
  <c r="U51" i="46" s="1"/>
  <c r="V51" i="46" s="1"/>
  <c r="U50" i="46"/>
  <c r="V50" i="46" s="1"/>
  <c r="T50" i="46"/>
  <c r="T49" i="46"/>
  <c r="U49" i="46" s="1"/>
  <c r="V49" i="46" s="1"/>
  <c r="T48" i="46"/>
  <c r="U48" i="46" s="1"/>
  <c r="V48" i="46" s="1"/>
  <c r="T47" i="46"/>
  <c r="U47" i="46" s="1"/>
  <c r="V47" i="46" s="1"/>
  <c r="T46" i="46"/>
  <c r="U46" i="46" s="1"/>
  <c r="V46" i="46" s="1"/>
  <c r="T45" i="46"/>
  <c r="U45" i="46" s="1"/>
  <c r="V45" i="46" s="1"/>
  <c r="T43" i="46"/>
  <c r="U43" i="46" s="1"/>
  <c r="V43" i="46" s="1"/>
  <c r="T41" i="46"/>
  <c r="U41" i="46" s="1"/>
  <c r="V41" i="46" s="1"/>
  <c r="T40" i="46"/>
  <c r="U40" i="46" s="1"/>
  <c r="V40" i="46" s="1"/>
  <c r="T38" i="46"/>
  <c r="U38" i="46" s="1"/>
  <c r="V38" i="46" s="1"/>
  <c r="T37" i="46"/>
  <c r="U37" i="46" s="1"/>
  <c r="V37" i="46" s="1"/>
  <c r="T36" i="46"/>
  <c r="U36" i="46" s="1"/>
  <c r="V36" i="46" s="1"/>
  <c r="U35" i="46"/>
  <c r="V35" i="46" s="1"/>
  <c r="T35" i="46"/>
  <c r="T34" i="46"/>
  <c r="U34" i="46" s="1"/>
  <c r="V34" i="46" s="1"/>
  <c r="T33" i="46"/>
  <c r="U33" i="46" s="1"/>
  <c r="V33" i="46" s="1"/>
  <c r="T32" i="46"/>
  <c r="U32" i="46" s="1"/>
  <c r="V32" i="46" s="1"/>
  <c r="T31" i="46"/>
  <c r="U31" i="46" s="1"/>
  <c r="V31" i="46" s="1"/>
  <c r="T30" i="46"/>
  <c r="U30" i="46" s="1"/>
  <c r="V30" i="46" s="1"/>
  <c r="U29" i="46"/>
  <c r="V29" i="46" s="1"/>
  <c r="T29" i="46"/>
  <c r="T28" i="46"/>
  <c r="U28" i="46" s="1"/>
  <c r="V28" i="46" s="1"/>
  <c r="T26" i="46"/>
  <c r="U26" i="46" s="1"/>
  <c r="V26" i="46" s="1"/>
  <c r="AY25" i="46"/>
  <c r="T25" i="46"/>
  <c r="U25" i="46" s="1"/>
  <c r="V25" i="46" s="1"/>
  <c r="T24" i="46"/>
  <c r="U24" i="46" s="1"/>
  <c r="V24" i="46" s="1"/>
  <c r="T23" i="46"/>
  <c r="U23" i="46" s="1"/>
  <c r="V23" i="46" s="1"/>
  <c r="T22" i="46"/>
  <c r="U22" i="46" s="1"/>
  <c r="V22" i="46" s="1"/>
  <c r="T21" i="46"/>
  <c r="U21" i="46" s="1"/>
  <c r="V21" i="46" s="1"/>
  <c r="A21" i="46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T20" i="46"/>
  <c r="U20" i="46" s="1"/>
  <c r="V20" i="46" s="1"/>
  <c r="A20" i="46"/>
  <c r="T19" i="46"/>
  <c r="U19" i="46" s="1"/>
  <c r="V19" i="46" s="1"/>
  <c r="T18" i="46"/>
  <c r="U18" i="46" s="1"/>
  <c r="V18" i="46" s="1"/>
  <c r="U17" i="46"/>
  <c r="V17" i="46" s="1"/>
  <c r="T17" i="46"/>
  <c r="T16" i="46"/>
  <c r="U16" i="46" s="1"/>
  <c r="V16" i="46" s="1"/>
  <c r="U15" i="46"/>
  <c r="V15" i="46" s="1"/>
  <c r="T15" i="46"/>
  <c r="T14" i="46"/>
  <c r="U14" i="46" s="1"/>
  <c r="V14" i="46" s="1"/>
  <c r="A14" i="46"/>
  <c r="A15" i="46" s="1"/>
  <c r="A16" i="46" s="1"/>
  <c r="A17" i="46" s="1"/>
  <c r="A18" i="46" s="1"/>
  <c r="T13" i="46"/>
  <c r="U13" i="46" s="1"/>
  <c r="V13" i="46" s="1"/>
  <c r="T12" i="46"/>
  <c r="U12" i="46" s="1"/>
  <c r="V12" i="46" s="1"/>
  <c r="T11" i="46"/>
  <c r="U11" i="46" s="1"/>
  <c r="V11" i="46" s="1"/>
  <c r="T10" i="46"/>
  <c r="U10" i="46" s="1"/>
  <c r="V10" i="46" s="1"/>
  <c r="T9" i="46"/>
  <c r="U9" i="46" s="1"/>
  <c r="V9" i="46" s="1"/>
  <c r="A9" i="46"/>
  <c r="A10" i="46" s="1"/>
  <c r="A11" i="46" s="1"/>
  <c r="T8" i="46"/>
  <c r="U8" i="46" s="1"/>
  <c r="V8" i="46" s="1"/>
  <c r="A8" i="46"/>
  <c r="T7" i="46"/>
  <c r="R58" i="45"/>
  <c r="Q58" i="45"/>
  <c r="P58" i="45"/>
  <c r="O58" i="45"/>
  <c r="N58" i="45"/>
  <c r="M58" i="45"/>
  <c r="K58" i="45"/>
  <c r="J58" i="45"/>
  <c r="I58" i="45"/>
  <c r="H58" i="45"/>
  <c r="G58" i="45"/>
  <c r="F58" i="45"/>
  <c r="T54" i="45"/>
  <c r="U54" i="45" s="1"/>
  <c r="V54" i="45" s="1"/>
  <c r="T53" i="45"/>
  <c r="U53" i="45" s="1"/>
  <c r="V53" i="45" s="1"/>
  <c r="T52" i="45"/>
  <c r="U52" i="45" s="1"/>
  <c r="V52" i="45" s="1"/>
  <c r="T51" i="45"/>
  <c r="U51" i="45" s="1"/>
  <c r="V51" i="45" s="1"/>
  <c r="T50" i="45"/>
  <c r="U50" i="45" s="1"/>
  <c r="V50" i="45" s="1"/>
  <c r="T49" i="45"/>
  <c r="U49" i="45" s="1"/>
  <c r="V49" i="45" s="1"/>
  <c r="U48" i="45"/>
  <c r="V48" i="45" s="1"/>
  <c r="T48" i="45"/>
  <c r="T47" i="45"/>
  <c r="U47" i="45" s="1"/>
  <c r="V47" i="45" s="1"/>
  <c r="T46" i="45"/>
  <c r="U46" i="45" s="1"/>
  <c r="V46" i="45" s="1"/>
  <c r="T45" i="45"/>
  <c r="U45" i="45" s="1"/>
  <c r="V45" i="45" s="1"/>
  <c r="T43" i="45"/>
  <c r="U43" i="45" s="1"/>
  <c r="V43" i="45" s="1"/>
  <c r="T41" i="45"/>
  <c r="U41" i="45" s="1"/>
  <c r="V41" i="45" s="1"/>
  <c r="T40" i="45"/>
  <c r="U40" i="45" s="1"/>
  <c r="V40" i="45" s="1"/>
  <c r="U38" i="45"/>
  <c r="V38" i="45" s="1"/>
  <c r="T38" i="45"/>
  <c r="T37" i="45"/>
  <c r="U37" i="45" s="1"/>
  <c r="V37" i="45" s="1"/>
  <c r="T36" i="45"/>
  <c r="U36" i="45" s="1"/>
  <c r="V36" i="45" s="1"/>
  <c r="T35" i="45"/>
  <c r="U35" i="45" s="1"/>
  <c r="V35" i="45" s="1"/>
  <c r="T34" i="45"/>
  <c r="U34" i="45" s="1"/>
  <c r="V34" i="45" s="1"/>
  <c r="T33" i="45"/>
  <c r="U33" i="45" s="1"/>
  <c r="V33" i="45" s="1"/>
  <c r="T32" i="45"/>
  <c r="U32" i="45" s="1"/>
  <c r="V32" i="45" s="1"/>
  <c r="T31" i="45"/>
  <c r="U31" i="45" s="1"/>
  <c r="V31" i="45" s="1"/>
  <c r="T30" i="45"/>
  <c r="U30" i="45" s="1"/>
  <c r="V30" i="45" s="1"/>
  <c r="T29" i="45"/>
  <c r="U29" i="45" s="1"/>
  <c r="V29" i="45" s="1"/>
  <c r="T28" i="45"/>
  <c r="U28" i="45" s="1"/>
  <c r="V28" i="45" s="1"/>
  <c r="T26" i="45"/>
  <c r="U26" i="45" s="1"/>
  <c r="V26" i="45" s="1"/>
  <c r="AY25" i="45"/>
  <c r="T25" i="45"/>
  <c r="U25" i="45" s="1"/>
  <c r="V25" i="45" s="1"/>
  <c r="T24" i="45"/>
  <c r="U24" i="45" s="1"/>
  <c r="V24" i="45" s="1"/>
  <c r="T23" i="45"/>
  <c r="U23" i="45" s="1"/>
  <c r="V23" i="45" s="1"/>
  <c r="T22" i="45"/>
  <c r="U22" i="45" s="1"/>
  <c r="V22" i="45" s="1"/>
  <c r="T21" i="45"/>
  <c r="U21" i="45" s="1"/>
  <c r="V21" i="45" s="1"/>
  <c r="A21" i="45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T20" i="45"/>
  <c r="U20" i="45" s="1"/>
  <c r="V20" i="45" s="1"/>
  <c r="A20" i="45"/>
  <c r="T19" i="45"/>
  <c r="U19" i="45" s="1"/>
  <c r="V19" i="45" s="1"/>
  <c r="T18" i="45"/>
  <c r="U18" i="45" s="1"/>
  <c r="V18" i="45" s="1"/>
  <c r="T17" i="45"/>
  <c r="U17" i="45" s="1"/>
  <c r="V17" i="45" s="1"/>
  <c r="T16" i="45"/>
  <c r="U16" i="45" s="1"/>
  <c r="V16" i="45" s="1"/>
  <c r="T15" i="45"/>
  <c r="U15" i="45" s="1"/>
  <c r="V15" i="45" s="1"/>
  <c r="T14" i="45"/>
  <c r="U14" i="45" s="1"/>
  <c r="V14" i="45" s="1"/>
  <c r="A14" i="45"/>
  <c r="A15" i="45" s="1"/>
  <c r="A16" i="45" s="1"/>
  <c r="A17" i="45" s="1"/>
  <c r="A18" i="45" s="1"/>
  <c r="T13" i="45"/>
  <c r="U13" i="45" s="1"/>
  <c r="V13" i="45" s="1"/>
  <c r="T12" i="45"/>
  <c r="U12" i="45" s="1"/>
  <c r="V12" i="45" s="1"/>
  <c r="T11" i="45"/>
  <c r="U11" i="45" s="1"/>
  <c r="V11" i="45" s="1"/>
  <c r="T10" i="45"/>
  <c r="U10" i="45" s="1"/>
  <c r="V10" i="45" s="1"/>
  <c r="T9" i="45"/>
  <c r="U9" i="45" s="1"/>
  <c r="V9" i="45" s="1"/>
  <c r="A9" i="45"/>
  <c r="A10" i="45" s="1"/>
  <c r="A11" i="45" s="1"/>
  <c r="T8" i="45"/>
  <c r="U8" i="45" s="1"/>
  <c r="V8" i="45" s="1"/>
  <c r="A8" i="45"/>
  <c r="T7" i="45"/>
  <c r="T58" i="47" l="1"/>
  <c r="T58" i="46"/>
  <c r="C58" i="45"/>
  <c r="U7" i="45"/>
  <c r="U58" i="45" s="1"/>
  <c r="U7" i="47"/>
  <c r="U7" i="46"/>
  <c r="T58" i="45"/>
  <c r="J58" i="43"/>
  <c r="C58" i="43"/>
  <c r="R58" i="44"/>
  <c r="Q58" i="44"/>
  <c r="P58" i="44"/>
  <c r="O58" i="44"/>
  <c r="N58" i="44"/>
  <c r="M58" i="44"/>
  <c r="K58" i="44"/>
  <c r="J58" i="44"/>
  <c r="I58" i="44"/>
  <c r="H58" i="44"/>
  <c r="G58" i="44"/>
  <c r="F58" i="44"/>
  <c r="C58" i="44"/>
  <c r="T54" i="44"/>
  <c r="U54" i="44" s="1"/>
  <c r="V54" i="44" s="1"/>
  <c r="T53" i="44"/>
  <c r="U53" i="44" s="1"/>
  <c r="V53" i="44" s="1"/>
  <c r="T52" i="44"/>
  <c r="U52" i="44" s="1"/>
  <c r="V52" i="44" s="1"/>
  <c r="T51" i="44"/>
  <c r="U51" i="44" s="1"/>
  <c r="V51" i="44" s="1"/>
  <c r="T50" i="44"/>
  <c r="U50" i="44" s="1"/>
  <c r="V50" i="44" s="1"/>
  <c r="T49" i="44"/>
  <c r="U49" i="44" s="1"/>
  <c r="V49" i="44" s="1"/>
  <c r="T48" i="44"/>
  <c r="U48" i="44" s="1"/>
  <c r="V48" i="44" s="1"/>
  <c r="T47" i="44"/>
  <c r="U47" i="44" s="1"/>
  <c r="V47" i="44" s="1"/>
  <c r="T46" i="44"/>
  <c r="U46" i="44" s="1"/>
  <c r="V46" i="44" s="1"/>
  <c r="T45" i="44"/>
  <c r="U45" i="44" s="1"/>
  <c r="V45" i="44" s="1"/>
  <c r="T43" i="44"/>
  <c r="U43" i="44" s="1"/>
  <c r="V43" i="44" s="1"/>
  <c r="T41" i="44"/>
  <c r="U41" i="44" s="1"/>
  <c r="V41" i="44" s="1"/>
  <c r="T40" i="44"/>
  <c r="U40" i="44" s="1"/>
  <c r="V40" i="44" s="1"/>
  <c r="T38" i="44"/>
  <c r="U38" i="44" s="1"/>
  <c r="V38" i="44" s="1"/>
  <c r="T37" i="44"/>
  <c r="U37" i="44" s="1"/>
  <c r="V37" i="44" s="1"/>
  <c r="T36" i="44"/>
  <c r="U36" i="44" s="1"/>
  <c r="V36" i="44" s="1"/>
  <c r="T35" i="44"/>
  <c r="U35" i="44" s="1"/>
  <c r="V35" i="44" s="1"/>
  <c r="T34" i="44"/>
  <c r="U34" i="44" s="1"/>
  <c r="V34" i="44" s="1"/>
  <c r="T33" i="44"/>
  <c r="U33" i="44" s="1"/>
  <c r="V33" i="44" s="1"/>
  <c r="T32" i="44"/>
  <c r="U32" i="44" s="1"/>
  <c r="V32" i="44" s="1"/>
  <c r="T31" i="44"/>
  <c r="U31" i="44" s="1"/>
  <c r="V31" i="44" s="1"/>
  <c r="T30" i="44"/>
  <c r="U30" i="44" s="1"/>
  <c r="V30" i="44" s="1"/>
  <c r="T29" i="44"/>
  <c r="U29" i="44" s="1"/>
  <c r="V29" i="44" s="1"/>
  <c r="T28" i="44"/>
  <c r="U28" i="44" s="1"/>
  <c r="V28" i="44" s="1"/>
  <c r="T26" i="44"/>
  <c r="U26" i="44" s="1"/>
  <c r="V26" i="44" s="1"/>
  <c r="AY25" i="44"/>
  <c r="T25" i="44"/>
  <c r="U25" i="44" s="1"/>
  <c r="V25" i="44" s="1"/>
  <c r="T24" i="44"/>
  <c r="U24" i="44" s="1"/>
  <c r="V24" i="44" s="1"/>
  <c r="T23" i="44"/>
  <c r="U23" i="44" s="1"/>
  <c r="V23" i="44" s="1"/>
  <c r="T22" i="44"/>
  <c r="U22" i="44" s="1"/>
  <c r="V22" i="44" s="1"/>
  <c r="U21" i="44"/>
  <c r="V21" i="44" s="1"/>
  <c r="T21" i="44"/>
  <c r="T20" i="44"/>
  <c r="U20" i="44" s="1"/>
  <c r="V20" i="44" s="1"/>
  <c r="A20" i="44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T19" i="44"/>
  <c r="U19" i="44" s="1"/>
  <c r="V19" i="44" s="1"/>
  <c r="T18" i="44"/>
  <c r="U18" i="44" s="1"/>
  <c r="V18" i="44" s="1"/>
  <c r="T17" i="44"/>
  <c r="U17" i="44" s="1"/>
  <c r="V17" i="44" s="1"/>
  <c r="T16" i="44"/>
  <c r="U16" i="44" s="1"/>
  <c r="V16" i="44" s="1"/>
  <c r="T15" i="44"/>
  <c r="U15" i="44" s="1"/>
  <c r="V15" i="44" s="1"/>
  <c r="T14" i="44"/>
  <c r="U14" i="44" s="1"/>
  <c r="V14" i="44" s="1"/>
  <c r="A14" i="44"/>
  <c r="A15" i="44" s="1"/>
  <c r="A16" i="44" s="1"/>
  <c r="A17" i="44" s="1"/>
  <c r="A18" i="44" s="1"/>
  <c r="T13" i="44"/>
  <c r="U13" i="44" s="1"/>
  <c r="V13" i="44" s="1"/>
  <c r="T12" i="44"/>
  <c r="U12" i="44" s="1"/>
  <c r="V12" i="44" s="1"/>
  <c r="T11" i="44"/>
  <c r="U11" i="44" s="1"/>
  <c r="V11" i="44" s="1"/>
  <c r="T10" i="44"/>
  <c r="U10" i="44" s="1"/>
  <c r="V10" i="44" s="1"/>
  <c r="T9" i="44"/>
  <c r="U9" i="44" s="1"/>
  <c r="V9" i="44" s="1"/>
  <c r="A9" i="44"/>
  <c r="A10" i="44" s="1"/>
  <c r="A11" i="44" s="1"/>
  <c r="T8" i="44"/>
  <c r="U8" i="44" s="1"/>
  <c r="V8" i="44" s="1"/>
  <c r="A8" i="44"/>
  <c r="T7" i="44"/>
  <c r="U7" i="44" s="1"/>
  <c r="R58" i="43"/>
  <c r="Q58" i="43"/>
  <c r="P58" i="43"/>
  <c r="O58" i="43"/>
  <c r="N58" i="43"/>
  <c r="M58" i="43"/>
  <c r="K58" i="43"/>
  <c r="I58" i="43"/>
  <c r="H58" i="43"/>
  <c r="G58" i="43"/>
  <c r="F58" i="43"/>
  <c r="U54" i="43"/>
  <c r="V54" i="43" s="1"/>
  <c r="T54" i="43"/>
  <c r="T53" i="43"/>
  <c r="U53" i="43" s="1"/>
  <c r="V53" i="43" s="1"/>
  <c r="T52" i="43"/>
  <c r="U52" i="43" s="1"/>
  <c r="V52" i="43" s="1"/>
  <c r="T51" i="43"/>
  <c r="U51" i="43" s="1"/>
  <c r="V51" i="43" s="1"/>
  <c r="T50" i="43"/>
  <c r="U50" i="43" s="1"/>
  <c r="V50" i="43" s="1"/>
  <c r="T49" i="43"/>
  <c r="U49" i="43" s="1"/>
  <c r="V49" i="43" s="1"/>
  <c r="T48" i="43"/>
  <c r="U48" i="43" s="1"/>
  <c r="V48" i="43" s="1"/>
  <c r="T47" i="43"/>
  <c r="U47" i="43" s="1"/>
  <c r="V47" i="43" s="1"/>
  <c r="T46" i="43"/>
  <c r="U46" i="43" s="1"/>
  <c r="V46" i="43" s="1"/>
  <c r="T45" i="43"/>
  <c r="U45" i="43" s="1"/>
  <c r="V45" i="43" s="1"/>
  <c r="T41" i="43"/>
  <c r="U41" i="43" s="1"/>
  <c r="V41" i="43" s="1"/>
  <c r="T40" i="43"/>
  <c r="U40" i="43" s="1"/>
  <c r="V40" i="43" s="1"/>
  <c r="T38" i="43"/>
  <c r="U38" i="43" s="1"/>
  <c r="V38" i="43" s="1"/>
  <c r="T37" i="43"/>
  <c r="U37" i="43" s="1"/>
  <c r="V37" i="43" s="1"/>
  <c r="T36" i="43"/>
  <c r="U36" i="43" s="1"/>
  <c r="V36" i="43" s="1"/>
  <c r="T35" i="43"/>
  <c r="U35" i="43" s="1"/>
  <c r="V35" i="43" s="1"/>
  <c r="T34" i="43"/>
  <c r="U34" i="43" s="1"/>
  <c r="V34" i="43" s="1"/>
  <c r="T33" i="43"/>
  <c r="U33" i="43" s="1"/>
  <c r="V33" i="43" s="1"/>
  <c r="T32" i="43"/>
  <c r="U32" i="43" s="1"/>
  <c r="V32" i="43" s="1"/>
  <c r="T31" i="43"/>
  <c r="U31" i="43" s="1"/>
  <c r="V31" i="43" s="1"/>
  <c r="T30" i="43"/>
  <c r="U30" i="43" s="1"/>
  <c r="V30" i="43" s="1"/>
  <c r="U29" i="43"/>
  <c r="V29" i="43" s="1"/>
  <c r="T29" i="43"/>
  <c r="T28" i="43"/>
  <c r="U28" i="43" s="1"/>
  <c r="V28" i="43" s="1"/>
  <c r="T26" i="43"/>
  <c r="U26" i="43" s="1"/>
  <c r="V26" i="43" s="1"/>
  <c r="AY25" i="43"/>
  <c r="T25" i="43"/>
  <c r="U25" i="43" s="1"/>
  <c r="V25" i="43" s="1"/>
  <c r="T24" i="43"/>
  <c r="U24" i="43" s="1"/>
  <c r="V24" i="43" s="1"/>
  <c r="T23" i="43"/>
  <c r="U23" i="43" s="1"/>
  <c r="V23" i="43" s="1"/>
  <c r="T22" i="43"/>
  <c r="U22" i="43" s="1"/>
  <c r="V22" i="43" s="1"/>
  <c r="T21" i="43"/>
  <c r="U21" i="43" s="1"/>
  <c r="V21" i="43" s="1"/>
  <c r="T20" i="43"/>
  <c r="U20" i="43" s="1"/>
  <c r="V20" i="43" s="1"/>
  <c r="A20" i="43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T19" i="43"/>
  <c r="U19" i="43" s="1"/>
  <c r="V19" i="43" s="1"/>
  <c r="T18" i="43"/>
  <c r="U18" i="43" s="1"/>
  <c r="V18" i="43" s="1"/>
  <c r="T17" i="43"/>
  <c r="U17" i="43" s="1"/>
  <c r="V17" i="43" s="1"/>
  <c r="T16" i="43"/>
  <c r="U16" i="43" s="1"/>
  <c r="V16" i="43" s="1"/>
  <c r="U15" i="43"/>
  <c r="V15" i="43" s="1"/>
  <c r="T15" i="43"/>
  <c r="T14" i="43"/>
  <c r="U14" i="43" s="1"/>
  <c r="V14" i="43" s="1"/>
  <c r="A14" i="43"/>
  <c r="A15" i="43" s="1"/>
  <c r="A16" i="43" s="1"/>
  <c r="A17" i="43" s="1"/>
  <c r="A18" i="43" s="1"/>
  <c r="T13" i="43"/>
  <c r="U13" i="43" s="1"/>
  <c r="V13" i="43" s="1"/>
  <c r="T12" i="43"/>
  <c r="U12" i="43" s="1"/>
  <c r="V12" i="43" s="1"/>
  <c r="T11" i="43"/>
  <c r="U11" i="43" s="1"/>
  <c r="V11" i="43" s="1"/>
  <c r="T10" i="43"/>
  <c r="U10" i="43" s="1"/>
  <c r="V10" i="43" s="1"/>
  <c r="T9" i="43"/>
  <c r="U9" i="43" s="1"/>
  <c r="V9" i="43" s="1"/>
  <c r="T8" i="43"/>
  <c r="U8" i="43" s="1"/>
  <c r="V8" i="43" s="1"/>
  <c r="A8" i="43"/>
  <c r="A9" i="43" s="1"/>
  <c r="A10" i="43" s="1"/>
  <c r="A11" i="43" s="1"/>
  <c r="T7" i="43"/>
  <c r="U7" i="43" s="1"/>
  <c r="V7" i="45" l="1"/>
  <c r="V58" i="45" s="1"/>
  <c r="U58" i="47"/>
  <c r="V7" i="47"/>
  <c r="V58" i="47" s="1"/>
  <c r="U58" i="46"/>
  <c r="V7" i="46"/>
  <c r="V58" i="46" s="1"/>
  <c r="T43" i="43"/>
  <c r="U43" i="43" s="1"/>
  <c r="V43" i="43" s="1"/>
  <c r="V7" i="44"/>
  <c r="V58" i="44" s="1"/>
  <c r="U58" i="44"/>
  <c r="T58" i="44"/>
  <c r="V7" i="43"/>
  <c r="T58" i="43" l="1"/>
  <c r="V58" i="43"/>
  <c r="U58" i="43"/>
  <c r="R58" i="32" l="1"/>
  <c r="Q58" i="32"/>
  <c r="P58" i="32"/>
  <c r="O58" i="32"/>
  <c r="N58" i="32"/>
  <c r="M58" i="32"/>
  <c r="K58" i="32"/>
  <c r="J58" i="32"/>
  <c r="I58" i="32"/>
  <c r="H58" i="32"/>
  <c r="G58" i="32"/>
  <c r="F58" i="32"/>
  <c r="C58" i="32"/>
  <c r="T54" i="32"/>
  <c r="U54" i="32" s="1"/>
  <c r="V54" i="32" s="1"/>
  <c r="T53" i="32"/>
  <c r="U53" i="32" s="1"/>
  <c r="V53" i="32" s="1"/>
  <c r="T52" i="32"/>
  <c r="U52" i="32" s="1"/>
  <c r="V52" i="32" s="1"/>
  <c r="T51" i="32"/>
  <c r="U51" i="32" s="1"/>
  <c r="V51" i="32" s="1"/>
  <c r="T50" i="32"/>
  <c r="U50" i="32" s="1"/>
  <c r="V50" i="32" s="1"/>
  <c r="T49" i="32"/>
  <c r="U49" i="32" s="1"/>
  <c r="V49" i="32" s="1"/>
  <c r="T48" i="32"/>
  <c r="U48" i="32" s="1"/>
  <c r="V48" i="32" s="1"/>
  <c r="T47" i="32"/>
  <c r="U47" i="32" s="1"/>
  <c r="V47" i="32" s="1"/>
  <c r="T46" i="32"/>
  <c r="U46" i="32" s="1"/>
  <c r="V46" i="32" s="1"/>
  <c r="T45" i="32"/>
  <c r="U45" i="32" s="1"/>
  <c r="V45" i="32" s="1"/>
  <c r="T43" i="32"/>
  <c r="U43" i="32" s="1"/>
  <c r="V43" i="32" s="1"/>
  <c r="T41" i="32"/>
  <c r="U41" i="32" s="1"/>
  <c r="V41" i="32" s="1"/>
  <c r="T40" i="32"/>
  <c r="U40" i="32"/>
  <c r="V40" i="32" s="1"/>
  <c r="T38" i="32"/>
  <c r="U38" i="32"/>
  <c r="V38" i="32" s="1"/>
  <c r="T37" i="32"/>
  <c r="U37" i="32" s="1"/>
  <c r="V37" i="32" s="1"/>
  <c r="T36" i="32"/>
  <c r="U36" i="32" s="1"/>
  <c r="V36" i="32" s="1"/>
  <c r="T35" i="32"/>
  <c r="U35" i="32" s="1"/>
  <c r="V35" i="32" s="1"/>
  <c r="T34" i="32"/>
  <c r="U34" i="32" s="1"/>
  <c r="V34" i="32" s="1"/>
  <c r="T33" i="32"/>
  <c r="U33" i="32" s="1"/>
  <c r="V33" i="32" s="1"/>
  <c r="T32" i="32"/>
  <c r="U32" i="32" s="1"/>
  <c r="V32" i="32" s="1"/>
  <c r="T31" i="32"/>
  <c r="U31" i="32" s="1"/>
  <c r="V31" i="32" s="1"/>
  <c r="T30" i="32"/>
  <c r="U30" i="32" s="1"/>
  <c r="V30" i="32" s="1"/>
  <c r="T29" i="32"/>
  <c r="U29" i="32" s="1"/>
  <c r="V29" i="32" s="1"/>
  <c r="T28" i="32"/>
  <c r="U28" i="32" s="1"/>
  <c r="V28" i="32" s="1"/>
  <c r="T26" i="32"/>
  <c r="U26" i="32" s="1"/>
  <c r="V26" i="32" s="1"/>
  <c r="AY25" i="32"/>
  <c r="T25" i="32"/>
  <c r="U25" i="32" s="1"/>
  <c r="V25" i="32" s="1"/>
  <c r="T24" i="32"/>
  <c r="U24" i="32" s="1"/>
  <c r="V24" i="32" s="1"/>
  <c r="T23" i="32"/>
  <c r="U23" i="32" s="1"/>
  <c r="V23" i="32" s="1"/>
  <c r="T22" i="32"/>
  <c r="U22" i="32" s="1"/>
  <c r="V22" i="32" s="1"/>
  <c r="T21" i="32"/>
  <c r="U21" i="32" s="1"/>
  <c r="V21" i="32" s="1"/>
  <c r="T20" i="32"/>
  <c r="U20" i="32" s="1"/>
  <c r="V20" i="32" s="1"/>
  <c r="A20" i="32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T19" i="32"/>
  <c r="U19" i="32" s="1"/>
  <c r="V19" i="32" s="1"/>
  <c r="T18" i="32"/>
  <c r="U18" i="32" s="1"/>
  <c r="V18" i="32" s="1"/>
  <c r="T17" i="32"/>
  <c r="U17" i="32" s="1"/>
  <c r="V17" i="32" s="1"/>
  <c r="T16" i="32"/>
  <c r="U16" i="32" s="1"/>
  <c r="V16" i="32" s="1"/>
  <c r="T15" i="32"/>
  <c r="U15" i="32" s="1"/>
  <c r="V15" i="32" s="1"/>
  <c r="T14" i="32"/>
  <c r="U14" i="32" s="1"/>
  <c r="V14" i="32" s="1"/>
  <c r="A14" i="32"/>
  <c r="A15" i="32" s="1"/>
  <c r="A16" i="32" s="1"/>
  <c r="A17" i="32" s="1"/>
  <c r="A18" i="32" s="1"/>
  <c r="T13" i="32"/>
  <c r="U13" i="32" s="1"/>
  <c r="V13" i="32" s="1"/>
  <c r="T12" i="32"/>
  <c r="U12" i="32" s="1"/>
  <c r="V12" i="32" s="1"/>
  <c r="T11" i="32"/>
  <c r="U11" i="32" s="1"/>
  <c r="V11" i="32" s="1"/>
  <c r="T10" i="32"/>
  <c r="U10" i="32" s="1"/>
  <c r="V10" i="32" s="1"/>
  <c r="T9" i="32"/>
  <c r="U9" i="32" s="1"/>
  <c r="V9" i="32" s="1"/>
  <c r="A9" i="32"/>
  <c r="A10" i="32" s="1"/>
  <c r="A11" i="32" s="1"/>
  <c r="T8" i="32"/>
  <c r="U8" i="32"/>
  <c r="V8" i="32" s="1"/>
  <c r="A8" i="32"/>
  <c r="T7" i="32"/>
  <c r="T58" i="32" l="1"/>
  <c r="U7" i="32"/>
  <c r="U58" i="32" l="1"/>
  <c r="V7" i="32"/>
  <c r="V58" i="32" s="1"/>
</calcChain>
</file>

<file path=xl/sharedStrings.xml><?xml version="1.0" encoding="utf-8"?>
<sst xmlns="http://schemas.openxmlformats.org/spreadsheetml/2006/main" count="756" uniqueCount="79">
  <si>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</si>
  <si>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</si>
  <si>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</si>
  <si>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</si>
  <si>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</si>
  <si>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</si>
  <si>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</si>
  <si>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</si>
  <si>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</si>
  <si>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</si>
  <si>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</si>
  <si>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</si>
  <si>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</si>
  <si>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</si>
  <si>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</si>
  <si>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</si>
  <si>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</si>
  <si>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</si>
  <si>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</si>
  <si>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</si>
  <si>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</si>
  <si>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</si>
  <si>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</si>
  <si>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</si>
  <si>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</si>
  <si>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</si>
  <si>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</si>
  <si>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</si>
  <si>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</si>
  <si>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</si>
  <si>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</si>
  <si>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</si>
  <si>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</si>
  <si>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</si>
  <si>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</si>
  <si>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</si>
  <si>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</si>
  <si>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EMPTIES</t>
  </si>
  <si>
    <t>RH5</t>
  </si>
  <si>
    <t>ROUTE 2</t>
  </si>
  <si>
    <t>ROUTE 3</t>
  </si>
  <si>
    <t>FLOOR STOCKS</t>
  </si>
  <si>
    <t>INVENTORY COUNT SHEET</t>
  </si>
  <si>
    <t>GUILLERMO BEVERAGE DISTRIBUTION SERVICES</t>
  </si>
  <si>
    <t>BOT</t>
  </si>
  <si>
    <t>SHL</t>
  </si>
  <si>
    <t>PL/RHL/GEK</t>
  </si>
  <si>
    <t>FB/SML/RHS</t>
  </si>
  <si>
    <t>HT</t>
  </si>
  <si>
    <t>PALLETS</t>
  </si>
  <si>
    <t>TOTAL</t>
  </si>
  <si>
    <t>TOTAL EMPTIES</t>
  </si>
  <si>
    <t>FULLS
 SKU</t>
  </si>
  <si>
    <t>CBB</t>
  </si>
  <si>
    <t>CNB</t>
  </si>
  <si>
    <t>CLC</t>
  </si>
  <si>
    <t>SMZB</t>
  </si>
  <si>
    <t>RH500C</t>
  </si>
  <si>
    <t>SMFB</t>
  </si>
  <si>
    <t>GE320</t>
  </si>
  <si>
    <t>M</t>
  </si>
  <si>
    <t>bot</t>
  </si>
  <si>
    <t>PP500C</t>
  </si>
  <si>
    <t>MGYZ</t>
  </si>
  <si>
    <t>WB</t>
  </si>
  <si>
    <t>WB BO LIL</t>
  </si>
  <si>
    <t>TOTAL INVENTORY PER CASE</t>
  </si>
  <si>
    <t>TOTAL INVENTORY BOTTLE PER CASE</t>
  </si>
  <si>
    <t>WAREHOUSE,  MISSING, BO, LILOY</t>
  </si>
  <si>
    <t>SML500C</t>
  </si>
  <si>
    <t xml:space="preserve">DATE: </t>
  </si>
  <si>
    <t>DATE: 04/02/2026</t>
  </si>
  <si>
    <t>DATE: 04/06/2026</t>
  </si>
  <si>
    <t>DATE: 04/09/2026</t>
  </si>
  <si>
    <t>DATE: 04/10/2026</t>
  </si>
  <si>
    <t>DATE: 04/14/2026</t>
  </si>
  <si>
    <t>DATE: 04/16/2026</t>
  </si>
  <si>
    <t>DATE: 04/17/2026</t>
  </si>
  <si>
    <t>DATE: 04/18/2026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</si>
</sst>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F800]dddd\,\ mmmm\ dd\,\ yyyy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8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medium">
        <color rgb="FFFF0000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</cellStyleXfs>
  <cellXfs count="118">
    <xf numFmtId="0" fontId="0" fillId="0" borderId="0" xfId="0"/>
    <xf numFmtId="166" fontId="2" fillId="0" borderId="6" xfId="3" applyNumberFormat="1" applyFont="1" applyFill="1" applyBorder="1" applyAlignment="1">
      <alignment vertical="center"/>
    </xf>
    <xf numFmtId="166" fontId="7" fillId="0" borderId="20" xfId="2" applyNumberFormat="1" applyFont="1" applyFill="1" applyBorder="1" applyAlignment="1">
      <alignment vertical="center"/>
    </xf>
    <xf numFmtId="166" fontId="2" fillId="0" borderId="23" xfId="3" applyNumberFormat="1" applyFont="1" applyFill="1" applyBorder="1" applyAlignment="1">
      <alignment vertical="center"/>
    </xf>
    <xf numFmtId="166" fontId="7" fillId="0" borderId="24" xfId="2" applyNumberFormat="1" applyFont="1" applyFill="1" applyBorder="1" applyAlignment="1">
      <alignment vertical="center"/>
    </xf>
    <xf numFmtId="166" fontId="7" fillId="0" borderId="19" xfId="2" applyNumberFormat="1" applyFont="1" applyFill="1" applyBorder="1" applyAlignment="1">
      <alignment vertical="center"/>
    </xf>
    <xf numFmtId="166" fontId="7" fillId="0" borderId="21" xfId="2" applyNumberFormat="1" applyFont="1" applyFill="1" applyBorder="1" applyAlignment="1">
      <alignment vertical="center"/>
    </xf>
    <xf numFmtId="166" fontId="2" fillId="0" borderId="25" xfId="3" applyNumberFormat="1" applyFont="1" applyFill="1" applyBorder="1" applyAlignment="1">
      <alignment vertical="center"/>
    </xf>
    <xf numFmtId="166" fontId="2" fillId="0" borderId="7" xfId="3" applyNumberFormat="1" applyFont="1" applyFill="1" applyBorder="1" applyAlignment="1">
      <alignment vertical="center"/>
    </xf>
    <xf numFmtId="0" fontId="2" fillId="0" borderId="0" xfId="2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165" fontId="7" fillId="0" borderId="0" xfId="2" applyNumberFormat="1" applyFont="1" applyFill="1" applyAlignment="1">
      <alignment horizontal="center" vertical="center"/>
    </xf>
    <xf numFmtId="165" fontId="1" fillId="0" borderId="0" xfId="2" applyNumberFormat="1" applyFont="1" applyFill="1" applyAlignment="1">
      <alignment vertical="center"/>
    </xf>
    <xf numFmtId="0" fontId="1" fillId="0" borderId="0" xfId="2" applyFont="1" applyFill="1" applyAlignment="1">
      <alignment vertical="center"/>
    </xf>
    <xf numFmtId="166" fontId="8" fillId="0" borderId="0" xfId="2" applyNumberFormat="1" applyFont="1" applyFill="1" applyAlignment="1">
      <alignment vertical="center"/>
    </xf>
    <xf numFmtId="0" fontId="7" fillId="0" borderId="0" xfId="2" applyFont="1" applyFill="1" applyAlignment="1">
      <alignment vertical="center"/>
    </xf>
    <xf numFmtId="166" fontId="2" fillId="0" borderId="3" xfId="3" applyNumberFormat="1" applyFont="1" applyFill="1" applyBorder="1" applyAlignment="1">
      <alignment vertical="center"/>
    </xf>
    <xf numFmtId="166" fontId="2" fillId="0" borderId="2" xfId="3" applyNumberFormat="1" applyFont="1" applyFill="1" applyBorder="1" applyAlignment="1">
      <alignment vertical="center"/>
    </xf>
    <xf numFmtId="166" fontId="2" fillId="0" borderId="11" xfId="3" applyNumberFormat="1" applyFont="1" applyFill="1" applyBorder="1" applyAlignment="1">
      <alignment vertical="center"/>
    </xf>
    <xf numFmtId="166" fontId="2" fillId="0" borderId="13" xfId="3" applyNumberFormat="1" applyFont="1" applyFill="1" applyBorder="1" applyAlignment="1">
      <alignment vertical="center"/>
    </xf>
    <xf numFmtId="166" fontId="2" fillId="0" borderId="14" xfId="3" applyNumberFormat="1" applyFont="1" applyFill="1" applyBorder="1" applyAlignment="1">
      <alignment vertical="center"/>
    </xf>
    <xf numFmtId="166" fontId="2" fillId="0" borderId="15" xfId="3" applyNumberFormat="1" applyFont="1" applyFill="1" applyBorder="1" applyAlignment="1">
      <alignment vertical="center"/>
    </xf>
    <xf numFmtId="166" fontId="2" fillId="0" borderId="20" xfId="3" applyNumberFormat="1" applyFont="1" applyFill="1" applyBorder="1" applyAlignment="1">
      <alignment vertical="center"/>
    </xf>
    <xf numFmtId="166" fontId="2" fillId="0" borderId="21" xfId="3" applyNumberFormat="1" applyFont="1" applyFill="1" applyBorder="1" applyAlignment="1">
      <alignment vertical="center"/>
    </xf>
    <xf numFmtId="0" fontId="6" fillId="0" borderId="3" xfId="2" applyFont="1" applyFill="1" applyBorder="1" applyAlignment="1">
      <alignment horizontal="center" vertical="center"/>
    </xf>
    <xf numFmtId="0" fontId="11" fillId="0" borderId="16" xfId="2" applyFont="1" applyFill="1" applyBorder="1" applyAlignment="1">
      <alignment vertical="center"/>
    </xf>
    <xf numFmtId="0" fontId="11" fillId="0" borderId="5" xfId="2" applyFont="1" applyFill="1" applyBorder="1" applyAlignment="1">
      <alignment vertical="center"/>
    </xf>
    <xf numFmtId="0" fontId="11" fillId="0" borderId="0" xfId="2" applyFont="1" applyFill="1" applyAlignment="1">
      <alignment vertical="center"/>
    </xf>
    <xf numFmtId="0" fontId="12" fillId="0" borderId="0" xfId="2" applyFont="1" applyFill="1" applyAlignment="1">
      <alignment vertical="center"/>
    </xf>
    <xf numFmtId="0" fontId="11" fillId="0" borderId="19" xfId="2" applyFont="1" applyFill="1" applyBorder="1" applyAlignment="1">
      <alignment vertical="center" wrapText="1"/>
    </xf>
    <xf numFmtId="0" fontId="11" fillId="0" borderId="1" xfId="2" applyFont="1" applyFill="1" applyBorder="1" applyAlignment="1">
      <alignment vertical="center"/>
    </xf>
    <xf numFmtId="0" fontId="11" fillId="0" borderId="12" xfId="2" applyFont="1" applyFill="1" applyBorder="1" applyAlignment="1">
      <alignment vertical="center"/>
    </xf>
    <xf numFmtId="0" fontId="12" fillId="0" borderId="5" xfId="2" applyFont="1" applyFill="1" applyBorder="1" applyAlignment="1">
      <alignment vertical="center"/>
    </xf>
    <xf numFmtId="0" fontId="12" fillId="0" borderId="19" xfId="2" applyFont="1" applyFill="1" applyBorder="1" applyAlignment="1">
      <alignment vertical="center"/>
    </xf>
    <xf numFmtId="0" fontId="7" fillId="0" borderId="26" xfId="2" applyFont="1" applyFill="1" applyBorder="1" applyAlignment="1">
      <alignment horizontal="center" vertical="center"/>
    </xf>
    <xf numFmtId="0" fontId="7" fillId="0" borderId="27" xfId="2" applyFont="1" applyFill="1" applyBorder="1" applyAlignment="1">
      <alignment horizontal="center" vertical="center"/>
    </xf>
    <xf numFmtId="0" fontId="7" fillId="0" borderId="28" xfId="2" applyFont="1" applyFill="1" applyBorder="1" applyAlignment="1">
      <alignment horizontal="center" vertical="center"/>
    </xf>
    <xf numFmtId="0" fontId="7" fillId="0" borderId="5" xfId="2" applyFont="1" applyFill="1" applyBorder="1" applyAlignment="1">
      <alignment horizontal="center" vertical="center"/>
    </xf>
    <xf numFmtId="0" fontId="7" fillId="0" borderId="15" xfId="2" applyFont="1" applyFill="1" applyBorder="1" applyAlignment="1">
      <alignment horizontal="center" vertical="center"/>
    </xf>
    <xf numFmtId="0" fontId="10" fillId="0" borderId="29" xfId="2" applyFont="1" applyFill="1" applyBorder="1" applyAlignment="1">
      <alignment horizontal="center" vertical="center"/>
    </xf>
    <xf numFmtId="0" fontId="7" fillId="0" borderId="6" xfId="2" applyFont="1" applyFill="1" applyBorder="1" applyAlignment="1">
      <alignment horizontal="center" vertical="center"/>
    </xf>
    <xf numFmtId="0" fontId="7" fillId="0" borderId="12" xfId="2" applyFont="1" applyFill="1" applyBorder="1" applyAlignment="1">
      <alignment horizontal="center" vertical="center"/>
    </xf>
    <xf numFmtId="0" fontId="11" fillId="0" borderId="30" xfId="2" applyFont="1" applyFill="1" applyBorder="1" applyAlignment="1">
      <alignment vertical="center"/>
    </xf>
    <xf numFmtId="0" fontId="11" fillId="0" borderId="35" xfId="2" applyFont="1" applyFill="1" applyBorder="1" applyAlignment="1">
      <alignment vertical="center"/>
    </xf>
    <xf numFmtId="166" fontId="2" fillId="0" borderId="45" xfId="3" applyNumberFormat="1" applyFont="1" applyFill="1" applyBorder="1" applyAlignment="1">
      <alignment vertical="center"/>
    </xf>
    <xf numFmtId="166" fontId="2" fillId="0" borderId="44" xfId="3" applyNumberFormat="1" applyFont="1" applyFill="1" applyBorder="1" applyAlignment="1">
      <alignment vertical="center"/>
    </xf>
    <xf numFmtId="166" fontId="2" fillId="0" borderId="43" xfId="3" applyNumberFormat="1" applyFont="1" applyFill="1" applyBorder="1" applyAlignment="1">
      <alignment vertical="center"/>
    </xf>
    <xf numFmtId="166" fontId="2" fillId="0" borderId="22" xfId="3" applyNumberFormat="1" applyFont="1" applyFill="1" applyBorder="1" applyAlignment="1">
      <alignment vertical="center"/>
    </xf>
    <xf numFmtId="0" fontId="7" fillId="0" borderId="50" xfId="2" applyFont="1" applyFill="1" applyBorder="1" applyAlignment="1">
      <alignment horizontal="center" vertical="center"/>
    </xf>
    <xf numFmtId="0" fontId="7" fillId="0" borderId="51" xfId="2" applyFont="1" applyFill="1" applyBorder="1" applyAlignment="1">
      <alignment horizontal="center" vertical="center"/>
    </xf>
    <xf numFmtId="166" fontId="2" fillId="0" borderId="0" xfId="2" applyNumberFormat="1" applyFont="1" applyFill="1" applyAlignment="1">
      <alignment vertical="center"/>
    </xf>
    <xf numFmtId="0" fontId="11" fillId="0" borderId="59" xfId="2" applyFont="1" applyFill="1" applyBorder="1" applyAlignment="1">
      <alignment vertical="center"/>
    </xf>
    <xf numFmtId="166" fontId="13" fillId="0" borderId="6" xfId="3" applyNumberFormat="1" applyFont="1" applyFill="1" applyBorder="1" applyAlignment="1">
      <alignment vertical="center"/>
    </xf>
    <xf numFmtId="166" fontId="13" fillId="0" borderId="45" xfId="3" applyNumberFormat="1" applyFont="1" applyFill="1" applyBorder="1" applyAlignment="1">
      <alignment vertical="center"/>
    </xf>
    <xf numFmtId="166" fontId="13" fillId="0" borderId="15" xfId="3" applyNumberFormat="1" applyFont="1" applyFill="1" applyBorder="1" applyAlignment="1">
      <alignment vertical="center"/>
    </xf>
    <xf numFmtId="0" fontId="13" fillId="0" borderId="0" xfId="2" applyFont="1" applyFill="1" applyAlignment="1">
      <alignment vertical="center"/>
    </xf>
    <xf numFmtId="166" fontId="13" fillId="0" borderId="5" xfId="3" applyNumberFormat="1" applyFont="1" applyFill="1" applyBorder="1" applyAlignment="1">
      <alignment vertical="center"/>
    </xf>
    <xf numFmtId="166" fontId="13" fillId="0" borderId="51" xfId="3" applyNumberFormat="1" applyFont="1" applyFill="1" applyBorder="1" applyAlignment="1">
      <alignment vertical="center"/>
    </xf>
    <xf numFmtId="166" fontId="13" fillId="0" borderId="29" xfId="3" applyNumberFormat="1" applyFont="1" applyFill="1" applyBorder="1" applyAlignment="1">
      <alignment vertical="center"/>
    </xf>
    <xf numFmtId="166" fontId="13" fillId="0" borderId="31" xfId="3" applyNumberFormat="1" applyFont="1" applyFill="1" applyBorder="1" applyAlignment="1">
      <alignment vertical="center"/>
    </xf>
    <xf numFmtId="166" fontId="13" fillId="0" borderId="46" xfId="3" applyNumberFormat="1" applyFont="1" applyFill="1" applyBorder="1" applyAlignment="1">
      <alignment vertical="center"/>
    </xf>
    <xf numFmtId="166" fontId="13" fillId="0" borderId="32" xfId="3" applyNumberFormat="1" applyFont="1" applyFill="1" applyBorder="1" applyAlignment="1">
      <alignment vertical="center"/>
    </xf>
    <xf numFmtId="0" fontId="13" fillId="0" borderId="38" xfId="2" applyFont="1" applyFill="1" applyBorder="1" applyAlignment="1">
      <alignment vertical="center"/>
    </xf>
    <xf numFmtId="166" fontId="13" fillId="0" borderId="39" xfId="3" applyNumberFormat="1" applyFont="1" applyFill="1" applyBorder="1" applyAlignment="1">
      <alignment vertical="center"/>
    </xf>
    <xf numFmtId="166" fontId="13" fillId="0" borderId="52" xfId="3" applyNumberFormat="1" applyFont="1" applyFill="1" applyBorder="1" applyAlignment="1">
      <alignment vertical="center"/>
    </xf>
    <xf numFmtId="166" fontId="13" fillId="0" borderId="33" xfId="3" applyNumberFormat="1" applyFont="1" applyFill="1" applyBorder="1" applyAlignment="1">
      <alignment vertical="center"/>
    </xf>
    <xf numFmtId="166" fontId="13" fillId="0" borderId="49" xfId="3" applyNumberFormat="1" applyFont="1" applyFill="1" applyBorder="1" applyAlignment="1">
      <alignment vertical="center"/>
    </xf>
    <xf numFmtId="166" fontId="13" fillId="0" borderId="34" xfId="3" applyNumberFormat="1" applyFont="1" applyFill="1" applyBorder="1" applyAlignment="1">
      <alignment vertical="center"/>
    </xf>
    <xf numFmtId="166" fontId="13" fillId="0" borderId="58" xfId="3" applyNumberFormat="1" applyFont="1" applyFill="1" applyBorder="1" applyAlignment="1">
      <alignment vertical="center"/>
    </xf>
    <xf numFmtId="166" fontId="13" fillId="0" borderId="57" xfId="3" applyNumberFormat="1" applyFont="1" applyFill="1" applyBorder="1" applyAlignment="1">
      <alignment vertical="center"/>
    </xf>
    <xf numFmtId="166" fontId="13" fillId="0" borderId="17" xfId="3" applyNumberFormat="1" applyFont="1" applyFill="1" applyBorder="1" applyAlignment="1">
      <alignment vertical="center"/>
    </xf>
    <xf numFmtId="166" fontId="13" fillId="0" borderId="47" xfId="3" applyNumberFormat="1" applyFont="1" applyFill="1" applyBorder="1" applyAlignment="1">
      <alignment vertical="center"/>
    </xf>
    <xf numFmtId="166" fontId="13" fillId="0" borderId="18" xfId="3" applyNumberFormat="1" applyFont="1" applyFill="1" applyBorder="1" applyAlignment="1">
      <alignment vertical="center"/>
    </xf>
    <xf numFmtId="166" fontId="13" fillId="0" borderId="16" xfId="3" applyNumberFormat="1" applyFont="1" applyFill="1" applyBorder="1" applyAlignment="1">
      <alignment vertical="center"/>
    </xf>
    <xf numFmtId="166" fontId="13" fillId="0" borderId="53" xfId="3" applyNumberFormat="1" applyFont="1" applyFill="1" applyBorder="1" applyAlignment="1">
      <alignment vertical="center"/>
    </xf>
    <xf numFmtId="166" fontId="13" fillId="0" borderId="23" xfId="3" applyNumberFormat="1" applyFont="1" applyFill="1" applyBorder="1" applyAlignment="1">
      <alignment vertical="center"/>
    </xf>
    <xf numFmtId="166" fontId="13" fillId="0" borderId="56" xfId="3" applyNumberFormat="1" applyFont="1" applyFill="1" applyBorder="1" applyAlignment="1">
      <alignment vertical="center"/>
    </xf>
    <xf numFmtId="166" fontId="13" fillId="0" borderId="40" xfId="3" applyNumberFormat="1" applyFont="1" applyFill="1" applyBorder="1" applyAlignment="1">
      <alignment vertical="center"/>
    </xf>
    <xf numFmtId="166" fontId="13" fillId="0" borderId="60" xfId="3" applyNumberFormat="1" applyFont="1" applyFill="1" applyBorder="1" applyAlignment="1">
      <alignment vertical="center"/>
    </xf>
    <xf numFmtId="166" fontId="13" fillId="0" borderId="61" xfId="3" applyNumberFormat="1" applyFont="1" applyFill="1" applyBorder="1" applyAlignment="1">
      <alignment vertical="center"/>
    </xf>
    <xf numFmtId="166" fontId="13" fillId="0" borderId="62" xfId="3" applyNumberFormat="1" applyFont="1" applyFill="1" applyBorder="1" applyAlignment="1">
      <alignment vertical="center"/>
    </xf>
    <xf numFmtId="166" fontId="13" fillId="0" borderId="8" xfId="3" applyNumberFormat="1" applyFont="1" applyFill="1" applyBorder="1" applyAlignment="1">
      <alignment vertical="center"/>
    </xf>
    <xf numFmtId="166" fontId="13" fillId="0" borderId="36" xfId="3" applyNumberFormat="1" applyFont="1" applyFill="1" applyBorder="1" applyAlignment="1">
      <alignment vertical="center"/>
    </xf>
    <xf numFmtId="166" fontId="13" fillId="0" borderId="48" xfId="3" applyNumberFormat="1" applyFont="1" applyFill="1" applyBorder="1" applyAlignment="1">
      <alignment vertical="center"/>
    </xf>
    <xf numFmtId="166" fontId="13" fillId="0" borderId="37" xfId="3" applyNumberFormat="1" applyFont="1" applyFill="1" applyBorder="1" applyAlignment="1">
      <alignment vertical="center"/>
    </xf>
    <xf numFmtId="0" fontId="13" fillId="0" borderId="41" xfId="2" applyFont="1" applyFill="1" applyBorder="1" applyAlignment="1">
      <alignment vertical="center"/>
    </xf>
    <xf numFmtId="166" fontId="13" fillId="0" borderId="35" xfId="3" applyNumberFormat="1" applyFont="1" applyFill="1" applyBorder="1" applyAlignment="1">
      <alignment vertical="center"/>
    </xf>
    <xf numFmtId="166" fontId="13" fillId="0" borderId="54" xfId="3" applyNumberFormat="1" applyFont="1" applyFill="1" applyBorder="1" applyAlignment="1">
      <alignment vertical="center"/>
    </xf>
    <xf numFmtId="166" fontId="13" fillId="0" borderId="42" xfId="3" applyNumberFormat="1" applyFont="1" applyFill="1" applyBorder="1" applyAlignment="1">
      <alignment vertical="center"/>
    </xf>
    <xf numFmtId="0" fontId="7" fillId="0" borderId="45" xfId="2" applyFont="1" applyFill="1" applyBorder="1" applyAlignment="1">
      <alignment horizontal="center" vertical="center"/>
    </xf>
    <xf numFmtId="166" fontId="7" fillId="2" borderId="24" xfId="2" applyNumberFormat="1" applyFont="1" applyFill="1" applyBorder="1" applyAlignment="1">
      <alignment vertical="center"/>
    </xf>
    <xf numFmtId="0" fontId="11" fillId="0" borderId="0" xfId="2" applyFont="1" applyFill="1" applyBorder="1" applyAlignment="1">
      <alignment vertical="center" wrapText="1"/>
    </xf>
    <xf numFmtId="166" fontId="7" fillId="0" borderId="0" xfId="2" applyNumberFormat="1" applyFont="1" applyFill="1" applyBorder="1" applyAlignment="1">
      <alignment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50" xfId="2" applyFont="1" applyFill="1" applyBorder="1" applyAlignment="1">
      <alignment horizontal="center" vertical="center"/>
    </xf>
    <xf numFmtId="0" fontId="13" fillId="0" borderId="63" xfId="2" applyFont="1" applyFill="1" applyBorder="1" applyAlignment="1">
      <alignment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9" xfId="2" applyFont="1" applyFill="1" applyBorder="1" applyAlignment="1">
      <alignment horizontal="center" vertical="center" wrapText="1"/>
    </xf>
    <xf numFmtId="0" fontId="7" fillId="0" borderId="23" xfId="2" applyFont="1" applyFill="1" applyBorder="1" applyAlignment="1">
      <alignment horizontal="center" vertical="center" wrapText="1"/>
    </xf>
    <xf numFmtId="0" fontId="15" fillId="0" borderId="45" xfId="2" applyFont="1" applyFill="1" applyBorder="1" applyAlignment="1">
      <alignment horizontal="center" vertical="center"/>
    </xf>
    <xf numFmtId="0" fontId="15" fillId="0" borderId="55" xfId="2" applyFont="1" applyFill="1" applyBorder="1" applyAlignment="1">
      <alignment horizontal="center" vertical="center"/>
    </xf>
    <xf numFmtId="0" fontId="7" fillId="0" borderId="22" xfId="2" applyFont="1" applyFill="1" applyBorder="1" applyAlignment="1">
      <alignment horizontal="center" vertical="center"/>
    </xf>
    <xf numFmtId="0" fontId="7" fillId="0" borderId="10" xfId="2" applyFont="1" applyFill="1" applyBorder="1" applyAlignment="1">
      <alignment horizontal="center" vertical="center"/>
    </xf>
    <xf numFmtId="0" fontId="7" fillId="0" borderId="4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right" vertical="center"/>
    </xf>
    <xf numFmtId="0" fontId="7" fillId="0" borderId="13" xfId="2" applyFont="1" applyFill="1" applyBorder="1" applyAlignment="1">
      <alignment horizontal="center" vertical="center"/>
    </xf>
    <xf numFmtId="0" fontId="7" fillId="0" borderId="44" xfId="2" applyFont="1" applyFill="1" applyBorder="1" applyAlignment="1">
      <alignment horizontal="center" vertical="center"/>
    </xf>
    <xf numFmtId="0" fontId="7" fillId="0" borderId="14" xfId="2" applyFont="1" applyFill="1" applyBorder="1" applyAlignment="1">
      <alignment horizontal="center" vertical="center"/>
    </xf>
    <xf numFmtId="0" fontId="4" fillId="0" borderId="9" xfId="2" applyFont="1" applyFill="1" applyBorder="1" applyAlignment="1">
      <alignment horizontal="center" vertical="center" wrapText="1"/>
    </xf>
    <xf numFmtId="0" fontId="4" fillId="0" borderId="23" xfId="2" applyFont="1" applyFill="1" applyBorder="1" applyAlignment="1">
      <alignment horizontal="center" vertical="center" wrapText="1"/>
    </xf>
    <xf numFmtId="0" fontId="14" fillId="0" borderId="9" xfId="2" applyFont="1" applyFill="1" applyBorder="1" applyAlignment="1">
      <alignment horizontal="center" vertical="center" wrapText="1"/>
    </xf>
    <xf numFmtId="0" fontId="14" fillId="0" borderId="23" xfId="2" applyFont="1" applyFill="1" applyBorder="1" applyAlignment="1">
      <alignment horizontal="center" vertical="center" wrapText="1"/>
    </xf>
    <xf numFmtId="0" fontId="7" fillId="0" borderId="45" xfId="2" applyFont="1" applyFill="1" applyBorder="1" applyAlignment="1">
      <alignment horizontal="center" vertical="center"/>
    </xf>
    <xf numFmtId="0" fontId="7" fillId="0" borderId="55" xfId="2" applyFont="1" applyFill="1" applyBorder="1" applyAlignment="1">
      <alignment horizontal="center" vertical="center"/>
    </xf>
    <xf numFmtId="0" fontId="10" fillId="0" borderId="9" xfId="2" applyFont="1" applyFill="1" applyBorder="1" applyAlignment="1">
      <alignment horizontal="center" vertical="center" wrapText="1"/>
    </xf>
    <xf numFmtId="0" fontId="10" fillId="0" borderId="23" xfId="2" applyFont="1" applyFill="1" applyBorder="1" applyAlignment="1">
      <alignment horizontal="center" vertical="center" wrapText="1"/>
    </xf>
  </cellXfs>
  <cellStyles count="4">
    <cellStyle name="Comma 2" xfId="1" xr:uid="{7E3C6B93-9232-4BE3-88EC-0E92E18B612E}"/>
    <cellStyle name="Comma 3" xfId="3" xr:uid="{B13EF1CC-7615-4728-8423-930D2E0A2DD0}"/>
    <cellStyle name="Normal" xfId="0" builtinId="0"/>
    <cellStyle name="Normal 2" xfId="2" xr:uid="{673CC06A-9352-4BA0-8197-2C6B88CEA1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D0B5-9BBE-4B8F-9457-EBD483EDFB0D}">
  <sheetPr>
    <pageSetUpPr fitToPage="1"/>
  </sheetPr>
  <dimension ref="A1:BB83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06" t="s">
        <v>43</v>
      </c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54" x14ac:dyDescent="0.25">
      <c r="B2" s="28" t="s">
        <v>70</v>
      </c>
    </row>
    <row r="3" spans="1:54" ht="19.5" thickBot="1" x14ac:dyDescent="0.3"/>
    <row r="4" spans="1:54" s="10" customFormat="1" ht="15.75" x14ac:dyDescent="0.25">
      <c r="B4" s="41" t="s">
        <v>52</v>
      </c>
      <c r="C4" s="107" t="s">
        <v>41</v>
      </c>
      <c r="D4" s="107"/>
      <c r="E4" s="107"/>
      <c r="F4" s="107"/>
      <c r="G4" s="107"/>
      <c r="H4" s="107"/>
      <c r="I4" s="107"/>
      <c r="J4" s="108"/>
      <c r="K4" s="109"/>
      <c r="M4" s="34" t="s">
        <v>0</v>
      </c>
      <c r="N4" s="94" t="s">
        <v>61</v>
      </c>
      <c r="O4" s="35" t="s">
        <v>39</v>
      </c>
      <c r="P4" s="94" t="s">
        <v>61</v>
      </c>
      <c r="Q4" s="36" t="s">
        <v>40</v>
      </c>
      <c r="R4" s="94" t="s">
        <v>61</v>
      </c>
      <c r="S4" s="9"/>
      <c r="T4" s="110" t="s">
        <v>68</v>
      </c>
      <c r="U4" s="112" t="s">
        <v>67</v>
      </c>
      <c r="V4" s="99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93" t="s">
        <v>64</v>
      </c>
      <c r="I5" s="93" t="s">
        <v>60</v>
      </c>
      <c r="J5" s="101" t="s">
        <v>65</v>
      </c>
      <c r="K5" s="102"/>
      <c r="M5" s="37"/>
      <c r="N5" s="49"/>
      <c r="O5" s="40"/>
      <c r="P5" s="89"/>
      <c r="Q5" s="89"/>
      <c r="R5" s="38"/>
      <c r="S5" s="9"/>
      <c r="T5" s="111"/>
      <c r="U5" s="113"/>
      <c r="V5" s="100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89"/>
      <c r="K6" s="38"/>
      <c r="M6" s="37"/>
      <c r="N6" s="49"/>
      <c r="O6" s="40"/>
      <c r="P6" s="89"/>
      <c r="Q6" s="89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/>
      <c r="D7" s="52"/>
      <c r="E7" s="52"/>
      <c r="F7" s="52"/>
      <c r="G7" s="52"/>
      <c r="H7" s="52"/>
      <c r="I7" s="52"/>
      <c r="J7" s="53"/>
      <c r="K7" s="54"/>
      <c r="L7" s="55"/>
      <c r="M7" s="56"/>
      <c r="N7" s="57"/>
      <c r="O7" s="52"/>
      <c r="P7" s="53"/>
      <c r="Q7" s="53"/>
      <c r="R7" s="54"/>
      <c r="S7" s="55"/>
      <c r="T7" s="58">
        <f>H7+I7+J7+K7+N7+P7+R7</f>
        <v>0</v>
      </c>
      <c r="U7" s="58">
        <f>C7*24+M7*24+O7*24+Q7*24+T7</f>
        <v>0</v>
      </c>
      <c r="V7" s="58">
        <f>U7/24</f>
        <v>0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/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/>
      <c r="P8" s="66"/>
      <c r="Q8" s="66"/>
      <c r="R8" s="67"/>
      <c r="S8" s="62"/>
      <c r="T8" s="68">
        <f t="shared" ref="T8:T41" si="0">H8+I8+J8+K8+N8+P8+R8</f>
        <v>0</v>
      </c>
      <c r="U8" s="69">
        <f>C8*24+M8*24+O8*24+Q8*24+T8</f>
        <v>0</v>
      </c>
      <c r="V8" s="69">
        <f>U8/24</f>
        <v>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/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0</v>
      </c>
      <c r="V9" s="76">
        <f t="shared" ref="V9:V11" si="3">U9/24</f>
        <v>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/>
      <c r="D11" s="70"/>
      <c r="E11" s="70"/>
      <c r="F11" s="70"/>
      <c r="G11" s="70"/>
      <c r="H11" s="70"/>
      <c r="I11" s="70"/>
      <c r="J11" s="71"/>
      <c r="K11" s="72"/>
      <c r="L11" s="55"/>
      <c r="M11" s="73"/>
      <c r="N11" s="74"/>
      <c r="O11" s="70"/>
      <c r="P11" s="71"/>
      <c r="Q11" s="71"/>
      <c r="R11" s="72"/>
      <c r="S11" s="55"/>
      <c r="T11" s="58">
        <f t="shared" si="0"/>
        <v>0</v>
      </c>
      <c r="U11" s="58">
        <f t="shared" si="2"/>
        <v>0</v>
      </c>
      <c r="V11" s="58">
        <f t="shared" si="3"/>
        <v>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/>
      <c r="D12" s="59"/>
      <c r="E12" s="59"/>
      <c r="F12" s="59"/>
      <c r="G12" s="59"/>
      <c r="H12" s="59"/>
      <c r="I12" s="59"/>
      <c r="J12" s="60"/>
      <c r="K12" s="61"/>
      <c r="L12" s="62"/>
      <c r="M12" s="63"/>
      <c r="N12" s="64"/>
      <c r="O12" s="65"/>
      <c r="P12" s="66"/>
      <c r="Q12" s="66"/>
      <c r="R12" s="67"/>
      <c r="S12" s="62"/>
      <c r="T12" s="58">
        <f t="shared" si="0"/>
        <v>0</v>
      </c>
      <c r="U12" s="69">
        <f>C12*24+M12*24+O12*24+Q12*24+T12</f>
        <v>0</v>
      </c>
      <c r="V12" s="69">
        <f>U12/24</f>
        <v>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/>
      <c r="D13" s="70"/>
      <c r="E13" s="70"/>
      <c r="F13" s="70"/>
      <c r="G13" s="70"/>
      <c r="H13" s="70"/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58">
        <f t="shared" si="0"/>
        <v>0</v>
      </c>
      <c r="U13" s="76">
        <f>C13*24+M13*24+O13*24+Q13*24+T13</f>
        <v>0</v>
      </c>
      <c r="V13" s="76">
        <f>U13/24</f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/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0</v>
      </c>
      <c r="V14" s="75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0</v>
      </c>
      <c r="V17" s="75">
        <f t="shared" si="5"/>
        <v>0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/>
      <c r="D19" s="70"/>
      <c r="E19" s="70"/>
      <c r="F19" s="70"/>
      <c r="G19" s="70"/>
      <c r="H19" s="70"/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0</v>
      </c>
      <c r="U19" s="75">
        <f t="shared" si="4"/>
        <v>0</v>
      </c>
      <c r="V19" s="75">
        <f t="shared" si="5"/>
        <v>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/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0</v>
      </c>
      <c r="V20" s="75">
        <f t="shared" si="5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0</v>
      </c>
      <c r="V21" s="75">
        <f t="shared" si="5"/>
        <v>0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0</v>
      </c>
      <c r="U22" s="75">
        <f t="shared" si="4"/>
        <v>0</v>
      </c>
      <c r="V22" s="75">
        <f t="shared" si="5"/>
        <v>0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0</v>
      </c>
      <c r="U23" s="75">
        <f t="shared" si="4"/>
        <v>0</v>
      </c>
      <c r="V23" s="75">
        <f t="shared" si="5"/>
        <v>0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/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0</v>
      </c>
      <c r="V24" s="75">
        <f t="shared" si="5"/>
        <v>0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/>
      <c r="D25" s="70"/>
      <c r="E25" s="70"/>
      <c r="F25" s="70"/>
      <c r="G25" s="70"/>
      <c r="H25" s="70"/>
      <c r="I25" s="70"/>
      <c r="J25" s="71"/>
      <c r="K25" s="72"/>
      <c r="L25" s="55"/>
      <c r="M25" s="73"/>
      <c r="N25" s="74"/>
      <c r="O25" s="70"/>
      <c r="P25" s="71"/>
      <c r="Q25" s="71"/>
      <c r="R25" s="72"/>
      <c r="S25" s="55"/>
      <c r="T25" s="58">
        <f t="shared" si="0"/>
        <v>0</v>
      </c>
      <c r="U25" s="75">
        <f t="shared" si="4"/>
        <v>0</v>
      </c>
      <c r="V25" s="75">
        <f t="shared" si="5"/>
        <v>0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/>
      <c r="U27" s="75"/>
      <c r="V27" s="75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/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0</v>
      </c>
      <c r="U29" s="75">
        <f t="shared" si="4"/>
        <v>0</v>
      </c>
      <c r="V29" s="75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0</v>
      </c>
      <c r="V30" s="75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/>
      <c r="D34" s="70"/>
      <c r="E34" s="70"/>
      <c r="F34" s="70"/>
      <c r="G34" s="70"/>
      <c r="H34" s="70"/>
      <c r="I34" s="70"/>
      <c r="J34" s="71"/>
      <c r="K34" s="72"/>
      <c r="L34" s="55"/>
      <c r="M34" s="73"/>
      <c r="N34" s="74"/>
      <c r="O34" s="70"/>
      <c r="P34" s="71"/>
      <c r="Q34" s="71"/>
      <c r="R34" s="72"/>
      <c r="S34" s="55"/>
      <c r="T34" s="58">
        <f t="shared" si="0"/>
        <v>0</v>
      </c>
      <c r="U34" s="75">
        <f t="shared" si="4"/>
        <v>0</v>
      </c>
      <c r="V34" s="75">
        <f t="shared" si="5"/>
        <v>0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/>
      <c r="D37" s="59"/>
      <c r="E37" s="59"/>
      <c r="F37" s="59"/>
      <c r="G37" s="59"/>
      <c r="H37" s="59"/>
      <c r="I37" s="59"/>
      <c r="J37" s="60"/>
      <c r="K37" s="61"/>
      <c r="L37" s="62"/>
      <c r="M37" s="63"/>
      <c r="N37" s="64"/>
      <c r="O37" s="65"/>
      <c r="P37" s="66"/>
      <c r="Q37" s="66"/>
      <c r="R37" s="67"/>
      <c r="S37" s="62"/>
      <c r="T37" s="77">
        <f t="shared" si="0"/>
        <v>0</v>
      </c>
      <c r="U37" s="77">
        <f>C37*6+M37*6+O37*6+Q37*6+T37</f>
        <v>0</v>
      </c>
      <c r="V37" s="77">
        <f>U37/6</f>
        <v>0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56"/>
      <c r="N39" s="57"/>
      <c r="O39" s="52"/>
      <c r="P39" s="53"/>
      <c r="Q39" s="52"/>
      <c r="R39" s="80"/>
      <c r="S39" s="55"/>
      <c r="T39" s="81"/>
      <c r="U39" s="81"/>
      <c r="V39" s="81"/>
    </row>
    <row r="40" spans="1:23" ht="19.5" thickBot="1" x14ac:dyDescent="0.3">
      <c r="A40" s="27">
        <f t="shared" si="1"/>
        <v>37</v>
      </c>
      <c r="B40" s="42" t="s">
        <v>21</v>
      </c>
      <c r="C40" s="59"/>
      <c r="D40" s="59"/>
      <c r="E40" s="59"/>
      <c r="F40" s="59"/>
      <c r="G40" s="59"/>
      <c r="H40" s="59"/>
      <c r="I40" s="59"/>
      <c r="J40" s="60"/>
      <c r="K40" s="61"/>
      <c r="L40" s="62"/>
      <c r="M40" s="63"/>
      <c r="N40" s="64"/>
      <c r="O40" s="65"/>
      <c r="P40" s="66"/>
      <c r="Q40" s="66"/>
      <c r="R40" s="67"/>
      <c r="S40" s="62"/>
      <c r="T40" s="77">
        <f t="shared" si="0"/>
        <v>0</v>
      </c>
      <c r="U40" s="77">
        <f>C40*24+M40*24+O40*24+Q40*24+T40</f>
        <v>0</v>
      </c>
      <c r="V40" s="77">
        <f>U40/24</f>
        <v>0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/>
      <c r="D43" s="65"/>
      <c r="E43" s="65"/>
      <c r="F43" s="65"/>
      <c r="G43" s="65"/>
      <c r="H43" s="65"/>
      <c r="I43" s="65"/>
      <c r="J43" s="66"/>
      <c r="K43" s="67"/>
      <c r="L43" s="62"/>
      <c r="M43" s="63"/>
      <c r="N43" s="64"/>
      <c r="O43" s="65"/>
      <c r="P43" s="66"/>
      <c r="Q43" s="66"/>
      <c r="R43" s="67"/>
      <c r="S43" s="62"/>
      <c r="T43" s="77">
        <f t="shared" ref="T43" si="6">H43+I43+J43+K43+N43+P43+R43</f>
        <v>0</v>
      </c>
      <c r="U43" s="77">
        <f>C43*6+M43*6+O43*6+Q43*6+T43</f>
        <v>0</v>
      </c>
      <c r="V43" s="77">
        <f>U43/6</f>
        <v>0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/>
      <c r="D47" s="65"/>
      <c r="E47" s="65"/>
      <c r="F47" s="65"/>
      <c r="G47" s="65"/>
      <c r="H47" s="65"/>
      <c r="I47" s="65"/>
      <c r="J47" s="66"/>
      <c r="K47" s="67"/>
      <c r="L47" s="62"/>
      <c r="M47" s="63"/>
      <c r="N47" s="64"/>
      <c r="O47" s="65"/>
      <c r="P47" s="66"/>
      <c r="Q47" s="66"/>
      <c r="R47" s="67"/>
      <c r="S47" s="62"/>
      <c r="T47" s="77">
        <f t="shared" si="7"/>
        <v>0</v>
      </c>
      <c r="U47" s="77">
        <f>C47*6+M47*6+O47*6+Q47*6+T47</f>
        <v>0</v>
      </c>
      <c r="V47" s="77">
        <f>U47/6</f>
        <v>0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0</v>
      </c>
      <c r="U48" s="75">
        <f t="shared" si="8"/>
        <v>0</v>
      </c>
      <c r="V48" s="75">
        <f t="shared" si="9"/>
        <v>0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/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0</v>
      </c>
      <c r="V51" s="77">
        <f>U51/6</f>
        <v>0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/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0</v>
      </c>
      <c r="V53" s="75">
        <f t="shared" si="9"/>
        <v>0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0</v>
      </c>
      <c r="I58" s="6">
        <f t="shared" si="11"/>
        <v>0</v>
      </c>
      <c r="J58" s="6">
        <f t="shared" si="11"/>
        <v>0</v>
      </c>
      <c r="K58" s="6">
        <f t="shared" si="11"/>
        <v>0</v>
      </c>
      <c r="M58" s="5">
        <f t="shared" ref="M58:R58" si="12">SUM(M7:M57)</f>
        <v>0</v>
      </c>
      <c r="N58" s="5">
        <f t="shared" si="12"/>
        <v>0</v>
      </c>
      <c r="O58" s="5">
        <f t="shared" si="12"/>
        <v>0</v>
      </c>
      <c r="P58" s="5">
        <f t="shared" si="12"/>
        <v>0</v>
      </c>
      <c r="Q58" s="5">
        <f t="shared" si="12"/>
        <v>0</v>
      </c>
      <c r="R58" s="5">
        <f t="shared" si="12"/>
        <v>0</v>
      </c>
      <c r="S58" s="55"/>
      <c r="T58" s="4">
        <f>SUM(T7:T57)</f>
        <v>0</v>
      </c>
      <c r="U58" s="4">
        <f>SUM(U7:U57)</f>
        <v>0</v>
      </c>
      <c r="V58" s="4">
        <f>SUM(V7:V57)</f>
        <v>0</v>
      </c>
    </row>
    <row r="59" spans="1:22" s="15" customFormat="1" x14ac:dyDescent="0.25">
      <c r="B59" s="91"/>
      <c r="C59" s="92"/>
      <c r="D59" s="92"/>
      <c r="E59" s="92"/>
      <c r="F59" s="92"/>
      <c r="G59" s="92"/>
      <c r="H59" s="92"/>
      <c r="I59" s="92"/>
      <c r="J59" s="92"/>
      <c r="K59" s="92"/>
      <c r="M59" s="92"/>
      <c r="N59" s="92"/>
      <c r="O59" s="92"/>
      <c r="P59" s="92"/>
      <c r="Q59" s="92"/>
      <c r="R59" s="92"/>
      <c r="S59" s="55"/>
      <c r="T59" s="92"/>
      <c r="U59" s="92"/>
      <c r="V59" s="92"/>
    </row>
    <row r="60" spans="1:22" s="15" customFormat="1" x14ac:dyDescent="0.25">
      <c r="B60" s="91"/>
      <c r="C60" s="92"/>
      <c r="D60" s="92"/>
      <c r="E60" s="92"/>
      <c r="F60" s="92"/>
      <c r="G60" s="92"/>
      <c r="H60" s="92"/>
      <c r="I60" s="92"/>
      <c r="J60" s="92"/>
      <c r="K60" s="92"/>
      <c r="M60" s="92"/>
      <c r="N60" s="92"/>
      <c r="O60" s="92"/>
      <c r="P60" s="92"/>
      <c r="Q60" s="92"/>
      <c r="R60" s="92"/>
      <c r="S60" s="55"/>
      <c r="T60" s="92"/>
      <c r="U60" s="92"/>
      <c r="V60" s="92"/>
    </row>
    <row r="61" spans="1:22" ht="20.25" customHeight="1" thickBot="1" x14ac:dyDescent="0.3"/>
    <row r="62" spans="1:22" ht="19.5" thickBot="1" x14ac:dyDescent="0.3">
      <c r="B62" s="30" t="s">
        <v>37</v>
      </c>
      <c r="C62" s="103" t="s">
        <v>41</v>
      </c>
      <c r="D62" s="104"/>
      <c r="E62" s="104"/>
      <c r="F62" s="104"/>
      <c r="G62" s="104"/>
      <c r="H62" s="104"/>
      <c r="I62" s="104"/>
      <c r="J62" s="104"/>
      <c r="K62" s="105"/>
      <c r="U62" s="24" t="s">
        <v>51</v>
      </c>
    </row>
    <row r="63" spans="1:22" x14ac:dyDescent="0.25">
      <c r="B63" s="31" t="s">
        <v>17</v>
      </c>
      <c r="C63" s="19"/>
      <c r="D63" s="19"/>
      <c r="E63" s="19"/>
      <c r="F63" s="19"/>
      <c r="G63" s="19"/>
      <c r="H63" s="19"/>
      <c r="I63" s="19"/>
      <c r="J63" s="45"/>
      <c r="K63" s="20"/>
      <c r="U63" s="7"/>
    </row>
    <row r="64" spans="1:22" x14ac:dyDescent="0.25">
      <c r="B64" s="32" t="s">
        <v>45</v>
      </c>
      <c r="C64" s="1"/>
      <c r="D64" s="1"/>
      <c r="E64" s="1"/>
      <c r="F64" s="1"/>
      <c r="G64" s="1"/>
      <c r="H64" s="1"/>
      <c r="I64" s="1"/>
      <c r="J64" s="44"/>
      <c r="K64" s="21"/>
      <c r="U64" s="3"/>
    </row>
    <row r="65" spans="2:21" ht="19.5" thickBot="1" x14ac:dyDescent="0.3">
      <c r="B65" s="33" t="s">
        <v>44</v>
      </c>
      <c r="C65" s="22"/>
      <c r="D65" s="22"/>
      <c r="E65" s="22"/>
      <c r="F65" s="22"/>
      <c r="G65" s="22"/>
      <c r="H65" s="22"/>
      <c r="I65" s="22"/>
      <c r="J65" s="46"/>
      <c r="K65" s="23"/>
      <c r="U65" s="8"/>
    </row>
    <row r="66" spans="2:21" ht="7.5" customHeight="1" thickBot="1" x14ac:dyDescent="0.3"/>
    <row r="67" spans="2:21" x14ac:dyDescent="0.25">
      <c r="B67" s="31" t="s">
        <v>46</v>
      </c>
      <c r="C67" s="19"/>
      <c r="D67" s="19"/>
      <c r="E67" s="19"/>
      <c r="F67" s="19"/>
      <c r="G67" s="19"/>
      <c r="H67" s="19"/>
      <c r="I67" s="19"/>
      <c r="J67" s="45"/>
      <c r="K67" s="20"/>
      <c r="U67" s="7"/>
    </row>
    <row r="68" spans="2:21" x14ac:dyDescent="0.25">
      <c r="B68" s="32" t="s">
        <v>45</v>
      </c>
      <c r="C68" s="1"/>
      <c r="D68" s="1"/>
      <c r="E68" s="1"/>
      <c r="F68" s="1"/>
      <c r="G68" s="1"/>
      <c r="H68" s="1"/>
      <c r="I68" s="1"/>
      <c r="J68" s="44"/>
      <c r="K68" s="21"/>
      <c r="U68" s="3"/>
    </row>
    <row r="69" spans="2:21" ht="19.5" thickBot="1" x14ac:dyDescent="0.3">
      <c r="B69" s="33" t="s">
        <v>44</v>
      </c>
      <c r="C69" s="22"/>
      <c r="D69" s="22"/>
      <c r="E69" s="22"/>
      <c r="F69" s="22"/>
      <c r="G69" s="22"/>
      <c r="H69" s="22"/>
      <c r="I69" s="22"/>
      <c r="J69" s="46"/>
      <c r="K69" s="23"/>
      <c r="U69" s="8"/>
    </row>
    <row r="70" spans="2:21" ht="7.5" customHeight="1" thickBot="1" x14ac:dyDescent="0.3"/>
    <row r="71" spans="2:21" x14ac:dyDescent="0.25">
      <c r="B71" s="31" t="s">
        <v>38</v>
      </c>
      <c r="C71" s="19"/>
      <c r="D71" s="19"/>
      <c r="E71" s="19"/>
      <c r="F71" s="19"/>
      <c r="G71" s="19"/>
      <c r="H71" s="19"/>
      <c r="I71" s="19"/>
      <c r="J71" s="45"/>
      <c r="K71" s="20"/>
      <c r="U71" s="7"/>
    </row>
    <row r="72" spans="2:21" x14ac:dyDescent="0.25">
      <c r="B72" s="32" t="s">
        <v>45</v>
      </c>
      <c r="C72" s="1"/>
      <c r="D72" s="1"/>
      <c r="E72" s="1"/>
      <c r="F72" s="1"/>
      <c r="G72" s="1"/>
      <c r="H72" s="1"/>
      <c r="I72" s="1"/>
      <c r="J72" s="44"/>
      <c r="K72" s="21"/>
      <c r="U72" s="3"/>
    </row>
    <row r="73" spans="2:21" ht="19.5" thickBot="1" x14ac:dyDescent="0.3">
      <c r="B73" s="33" t="s">
        <v>44</v>
      </c>
      <c r="C73" s="22"/>
      <c r="D73" s="22"/>
      <c r="E73" s="22"/>
      <c r="F73" s="22"/>
      <c r="G73" s="22"/>
      <c r="H73" s="22"/>
      <c r="I73" s="22"/>
      <c r="J73" s="46"/>
      <c r="K73" s="23"/>
      <c r="U73" s="8"/>
    </row>
    <row r="74" spans="2:21" ht="7.5" customHeight="1" thickBot="1" x14ac:dyDescent="0.3"/>
    <row r="75" spans="2:21" x14ac:dyDescent="0.25">
      <c r="B75" s="31" t="s">
        <v>47</v>
      </c>
      <c r="C75" s="19"/>
      <c r="D75" s="19"/>
      <c r="E75" s="19"/>
      <c r="F75" s="19"/>
      <c r="G75" s="19"/>
      <c r="H75" s="19"/>
      <c r="I75" s="19"/>
      <c r="J75" s="45"/>
      <c r="K75" s="20"/>
      <c r="U75" s="7"/>
    </row>
    <row r="76" spans="2:21" x14ac:dyDescent="0.25">
      <c r="B76" s="32" t="s">
        <v>45</v>
      </c>
      <c r="C76" s="1"/>
      <c r="D76" s="1"/>
      <c r="E76" s="1"/>
      <c r="F76" s="1"/>
      <c r="G76" s="1"/>
      <c r="H76" s="1"/>
      <c r="I76" s="1"/>
      <c r="J76" s="44"/>
      <c r="K76" s="21"/>
      <c r="U76" s="3"/>
    </row>
    <row r="77" spans="2:21" ht="19.5" thickBot="1" x14ac:dyDescent="0.3">
      <c r="B77" s="33" t="s">
        <v>44</v>
      </c>
      <c r="C77" s="22"/>
      <c r="D77" s="22"/>
      <c r="E77" s="22"/>
      <c r="F77" s="22"/>
      <c r="G77" s="22"/>
      <c r="H77" s="22"/>
      <c r="I77" s="22"/>
      <c r="J77" s="46"/>
      <c r="K77" s="23"/>
      <c r="U77" s="8"/>
    </row>
    <row r="78" spans="2:21" ht="7.5" customHeight="1" thickBot="1" x14ac:dyDescent="0.3"/>
    <row r="79" spans="2:21" x14ac:dyDescent="0.25">
      <c r="B79" s="31" t="s">
        <v>48</v>
      </c>
      <c r="C79" s="19"/>
      <c r="D79" s="19"/>
      <c r="E79" s="19"/>
      <c r="F79" s="19"/>
      <c r="G79" s="19"/>
      <c r="H79" s="19"/>
      <c r="I79" s="19"/>
      <c r="J79" s="45"/>
      <c r="K79" s="20"/>
      <c r="U79" s="7"/>
    </row>
    <row r="80" spans="2:21" x14ac:dyDescent="0.25">
      <c r="B80" s="32" t="s">
        <v>45</v>
      </c>
      <c r="C80" s="1"/>
      <c r="D80" s="1"/>
      <c r="E80" s="1"/>
      <c r="F80" s="1"/>
      <c r="G80" s="1"/>
      <c r="H80" s="1"/>
      <c r="I80" s="1"/>
      <c r="J80" s="44"/>
      <c r="K80" s="21"/>
      <c r="U80" s="3"/>
    </row>
    <row r="81" spans="2:21" ht="19.5" thickBot="1" x14ac:dyDescent="0.3">
      <c r="B81" s="33" t="s">
        <v>44</v>
      </c>
      <c r="C81" s="22"/>
      <c r="D81" s="22"/>
      <c r="E81" s="22"/>
      <c r="F81" s="22"/>
      <c r="G81" s="22"/>
      <c r="H81" s="22"/>
      <c r="I81" s="22"/>
      <c r="J81" s="46"/>
      <c r="K81" s="23"/>
      <c r="U81" s="8"/>
    </row>
    <row r="82" spans="2:21" ht="7.5" customHeight="1" thickBot="1" x14ac:dyDescent="0.3"/>
    <row r="83" spans="2:21" ht="19.5" thickBot="1" x14ac:dyDescent="0.3">
      <c r="B83" s="30" t="s">
        <v>49</v>
      </c>
      <c r="C83" s="17"/>
      <c r="D83" s="17"/>
      <c r="E83" s="17"/>
      <c r="F83" s="17"/>
      <c r="G83" s="17"/>
      <c r="H83" s="17"/>
      <c r="I83" s="17"/>
      <c r="J83" s="47"/>
      <c r="K83" s="18"/>
      <c r="U83" s="16"/>
    </row>
  </sheetData>
  <mergeCells count="7">
    <mergeCell ref="V4:V5"/>
    <mergeCell ref="J5:K5"/>
    <mergeCell ref="C62:K62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18DA-50BA-446D-A669-D0F3DA86ED1F}">
  <sheetPr>
    <pageSetUpPr fitToPage="1"/>
  </sheetPr>
  <dimension ref="A1:BB81"/>
  <sheetViews>
    <sheetView topLeftCell="A16" zoomScaleNormal="100" zoomScaleSheetLayoutView="115" workbookViewId="0">
      <selection activeCell="H41" sqref="H41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06" t="s">
        <v>43</v>
      </c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54" x14ac:dyDescent="0.25">
      <c r="B2" s="28" t="s">
        <v>71</v>
      </c>
    </row>
    <row r="3" spans="1:54" ht="19.5" thickBot="1" x14ac:dyDescent="0.3"/>
    <row r="4" spans="1:54" s="10" customFormat="1" ht="15.75" x14ac:dyDescent="0.25">
      <c r="B4" s="41" t="s">
        <v>52</v>
      </c>
      <c r="C4" s="107" t="s">
        <v>41</v>
      </c>
      <c r="D4" s="107"/>
      <c r="E4" s="107"/>
      <c r="F4" s="107"/>
      <c r="G4" s="107"/>
      <c r="H4" s="107"/>
      <c r="I4" s="107"/>
      <c r="J4" s="108"/>
      <c r="K4" s="109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0" t="s">
        <v>68</v>
      </c>
      <c r="U4" s="116" t="s">
        <v>67</v>
      </c>
      <c r="V4" s="99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14" t="s">
        <v>65</v>
      </c>
      <c r="K5" s="115"/>
      <c r="M5" s="37"/>
      <c r="N5" s="49"/>
      <c r="O5" s="40"/>
      <c r="P5" s="96"/>
      <c r="Q5" s="96"/>
      <c r="R5" s="38"/>
      <c r="S5" s="9"/>
      <c r="T5" s="111"/>
      <c r="U5" s="117"/>
      <c r="V5" s="100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6"/>
      <c r="K6" s="38"/>
      <c r="M6" s="37"/>
      <c r="N6" s="49"/>
      <c r="O6" s="40"/>
      <c r="P6" s="96"/>
      <c r="Q6" s="96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f>20+30</f>
        <v>50</v>
      </c>
      <c r="D7" s="52"/>
      <c r="E7" s="52"/>
      <c r="F7" s="52"/>
      <c r="G7" s="52"/>
      <c r="H7" s="52">
        <v>2</v>
      </c>
      <c r="I7" s="52">
        <v>1</v>
      </c>
      <c r="J7" s="53"/>
      <c r="K7" s="54">
        <v>6</v>
      </c>
      <c r="L7" s="55"/>
      <c r="M7" s="56">
        <v>1</v>
      </c>
      <c r="N7" s="57"/>
      <c r="O7" s="52">
        <v>2</v>
      </c>
      <c r="P7" s="53">
        <v>12</v>
      </c>
      <c r="Q7" s="53">
        <v>2</v>
      </c>
      <c r="R7" s="54"/>
      <c r="S7" s="55"/>
      <c r="T7" s="58">
        <f>H7+I7+J7+K7+N7+P7+R7</f>
        <v>21</v>
      </c>
      <c r="U7" s="58">
        <f>C7*24+M7*24+O7*24+Q7*24+T7</f>
        <v>1341</v>
      </c>
      <c r="V7" s="58">
        <f>U7/24</f>
        <v>55.875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20+63+15+8</f>
        <v>106</v>
      </c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/>
      <c r="P8" s="66"/>
      <c r="Q8" s="66"/>
      <c r="R8" s="67"/>
      <c r="S8" s="62"/>
      <c r="T8" s="68">
        <f t="shared" ref="T8:T41" si="0">H8+I8+J8+K8+N8+P8+R8</f>
        <v>0</v>
      </c>
      <c r="U8" s="69">
        <f>C8*24+M8*24+O8*24+Q8*24+T8</f>
        <v>2544</v>
      </c>
      <c r="V8" s="69">
        <f>U8/24</f>
        <v>106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114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1</v>
      </c>
      <c r="P9" s="71"/>
      <c r="Q9" s="71">
        <v>1</v>
      </c>
      <c r="R9" s="72"/>
      <c r="S9" s="55"/>
      <c r="T9" s="75">
        <f t="shared" si="0"/>
        <v>0</v>
      </c>
      <c r="U9" s="76">
        <f t="shared" ref="U9:U11" si="2">C9*24+M9*24+O9*24+Q9*24+T9</f>
        <v>2784</v>
      </c>
      <c r="V9" s="76">
        <f t="shared" ref="V9:V11" si="3">U9/24</f>
        <v>116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13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>
        <v>1</v>
      </c>
      <c r="R10" s="72"/>
      <c r="S10" s="55"/>
      <c r="T10" s="58">
        <f t="shared" si="0"/>
        <v>0</v>
      </c>
      <c r="U10" s="58">
        <f t="shared" si="2"/>
        <v>336</v>
      </c>
      <c r="V10" s="58">
        <f t="shared" si="3"/>
        <v>14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5</v>
      </c>
      <c r="D11" s="70"/>
      <c r="E11" s="70"/>
      <c r="F11" s="70"/>
      <c r="G11" s="70"/>
      <c r="H11" s="70">
        <v>22</v>
      </c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24</v>
      </c>
      <c r="U11" s="58">
        <f t="shared" si="2"/>
        <v>144</v>
      </c>
      <c r="V11" s="58">
        <f t="shared" si="3"/>
        <v>6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720+63+33+216+42+648+1440+576</f>
        <v>3738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18</v>
      </c>
      <c r="N12" s="64">
        <v>20</v>
      </c>
      <c r="O12" s="65">
        <v>13</v>
      </c>
      <c r="P12" s="66">
        <v>16</v>
      </c>
      <c r="Q12" s="66">
        <v>33</v>
      </c>
      <c r="R12" s="67">
        <v>3</v>
      </c>
      <c r="S12" s="62"/>
      <c r="T12" s="58">
        <f t="shared" si="0"/>
        <v>39</v>
      </c>
      <c r="U12" s="69">
        <f>C12*24+M12*24+O12*24+Q12*24+T12</f>
        <v>91287</v>
      </c>
      <c r="V12" s="69">
        <f>U12/24</f>
        <v>3803.625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f>2+2</f>
        <v>4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58">
        <f t="shared" si="0"/>
        <v>16</v>
      </c>
      <c r="U13" s="76">
        <f>C13*24+M13*24+O13*24+Q13*24+T13</f>
        <v>112</v>
      </c>
      <c r="V13" s="76">
        <f>U13/24</f>
        <v>4.666666666666667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3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72</v>
      </c>
      <c r="V14" s="75">
        <f t="shared" ref="V14:V36" si="5">U14/24</f>
        <v>3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>
        <v>2</v>
      </c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48</v>
      </c>
      <c r="V15" s="75">
        <f t="shared" si="5"/>
        <v>2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>
        <v>1</v>
      </c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24</v>
      </c>
      <c r="V16" s="75">
        <f t="shared" si="5"/>
        <v>1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>
        <v>3</v>
      </c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f>2+2</f>
        <v>4</v>
      </c>
      <c r="D19" s="70"/>
      <c r="E19" s="70"/>
      <c r="F19" s="70"/>
      <c r="G19" s="70"/>
      <c r="H19" s="70">
        <v>20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20</v>
      </c>
      <c r="U19" s="75">
        <f t="shared" si="4"/>
        <v>116</v>
      </c>
      <c r="V19" s="75">
        <f t="shared" si="5"/>
        <v>4.833333333333333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>
        <v>16</v>
      </c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16</v>
      </c>
      <c r="U20" s="75">
        <f t="shared" si="4"/>
        <v>136</v>
      </c>
      <c r="V20" s="75">
        <f t="shared" si="5"/>
        <v>5.666666666666667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>
        <f>1+3</f>
        <v>4</v>
      </c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96</v>
      </c>
      <c r="V21" s="75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>
        <v>20</v>
      </c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>
        <v>34</v>
      </c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>
        <v>1</v>
      </c>
      <c r="P23" s="71">
        <v>19</v>
      </c>
      <c r="Q23" s="71">
        <v>2</v>
      </c>
      <c r="R23" s="72"/>
      <c r="S23" s="55"/>
      <c r="T23" s="58">
        <f t="shared" si="0"/>
        <v>19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f>5+6</f>
        <v>11</v>
      </c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264</v>
      </c>
      <c r="V24" s="75">
        <f t="shared" si="5"/>
        <v>11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34</v>
      </c>
      <c r="D25" s="70"/>
      <c r="E25" s="70"/>
      <c r="F25" s="70"/>
      <c r="G25" s="70"/>
      <c r="H25" s="70">
        <v>10</v>
      </c>
      <c r="I25" s="70">
        <v>1</v>
      </c>
      <c r="J25" s="71"/>
      <c r="K25" s="72"/>
      <c r="L25" s="55"/>
      <c r="M25" s="73">
        <v>1</v>
      </c>
      <c r="N25" s="74"/>
      <c r="O25" s="70"/>
      <c r="P25" s="71"/>
      <c r="Q25" s="71"/>
      <c r="R25" s="72"/>
      <c r="S25" s="55"/>
      <c r="T25" s="58">
        <f t="shared" si="0"/>
        <v>11</v>
      </c>
      <c r="U25" s="75">
        <f t="shared" si="4"/>
        <v>851</v>
      </c>
      <c r="V25" s="75">
        <f t="shared" si="5"/>
        <v>35.458333333333336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>
        <v>6</v>
      </c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>
        <v>1</v>
      </c>
      <c r="P26" s="71"/>
      <c r="Q26" s="71"/>
      <c r="R26" s="72"/>
      <c r="S26" s="55"/>
      <c r="T26" s="58">
        <f t="shared" si="0"/>
        <v>0</v>
      </c>
      <c r="U26" s="75">
        <f t="shared" si="4"/>
        <v>168</v>
      </c>
      <c r="V26" s="75">
        <f t="shared" si="5"/>
        <v>7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4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96</v>
      </c>
      <c r="V27" s="75">
        <f t="shared" si="5"/>
        <v>4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5+36</f>
        <v>41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2</v>
      </c>
      <c r="N28" s="74"/>
      <c r="O28" s="70">
        <v>2</v>
      </c>
      <c r="P28" s="71"/>
      <c r="Q28" s="71">
        <v>5</v>
      </c>
      <c r="R28" s="72"/>
      <c r="S28" s="55"/>
      <c r="T28" s="58">
        <f t="shared" si="0"/>
        <v>0</v>
      </c>
      <c r="U28" s="75">
        <f t="shared" si="4"/>
        <v>1200</v>
      </c>
      <c r="V28" s="75">
        <f t="shared" si="5"/>
        <v>50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f>4+63</f>
        <v>67</v>
      </c>
      <c r="D29" s="70"/>
      <c r="E29" s="70"/>
      <c r="F29" s="70"/>
      <c r="G29" s="70"/>
      <c r="H29" s="70"/>
      <c r="I29" s="70"/>
      <c r="J29" s="71"/>
      <c r="K29" s="72"/>
      <c r="L29" s="55"/>
      <c r="M29" s="73">
        <v>1</v>
      </c>
      <c r="N29" s="74"/>
      <c r="O29" s="70"/>
      <c r="P29" s="71"/>
      <c r="Q29" s="71">
        <v>1</v>
      </c>
      <c r="R29" s="72"/>
      <c r="S29" s="55"/>
      <c r="T29" s="58">
        <f t="shared" si="0"/>
        <v>0</v>
      </c>
      <c r="U29" s="75">
        <f t="shared" si="4"/>
        <v>1656</v>
      </c>
      <c r="V29" s="75">
        <f t="shared" si="5"/>
        <v>69</v>
      </c>
    </row>
    <row r="30" spans="1:54" x14ac:dyDescent="0.25">
      <c r="A30" s="27">
        <f t="shared" si="1"/>
        <v>27</v>
      </c>
      <c r="B30" s="26" t="s">
        <v>15</v>
      </c>
      <c r="C30" s="70">
        <v>40</v>
      </c>
      <c r="D30" s="70"/>
      <c r="E30" s="70"/>
      <c r="F30" s="70"/>
      <c r="G30" s="70"/>
      <c r="H30" s="70"/>
      <c r="I30" s="70"/>
      <c r="J30" s="71"/>
      <c r="K30" s="72"/>
      <c r="L30" s="55"/>
      <c r="M30" s="73">
        <v>1</v>
      </c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1008</v>
      </c>
      <c r="V30" s="75">
        <f t="shared" si="5"/>
        <v>42</v>
      </c>
    </row>
    <row r="31" spans="1:54" x14ac:dyDescent="0.25">
      <c r="A31" s="27">
        <f t="shared" si="1"/>
        <v>28</v>
      </c>
      <c r="B31" s="26" t="s">
        <v>12</v>
      </c>
      <c r="C31" s="70">
        <v>1</v>
      </c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>
        <v>1</v>
      </c>
      <c r="R31" s="72"/>
      <c r="S31" s="55"/>
      <c r="T31" s="58">
        <f t="shared" si="0"/>
        <v>0</v>
      </c>
      <c r="U31" s="75">
        <f t="shared" si="4"/>
        <v>48</v>
      </c>
      <c r="V31" s="75">
        <f t="shared" si="5"/>
        <v>2</v>
      </c>
    </row>
    <row r="32" spans="1:54" x14ac:dyDescent="0.25">
      <c r="A32" s="27">
        <f t="shared" si="1"/>
        <v>29</v>
      </c>
      <c r="B32" s="26" t="s">
        <v>14</v>
      </c>
      <c r="C32" s="70">
        <v>5</v>
      </c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120</v>
      </c>
      <c r="V32" s="75">
        <f t="shared" si="5"/>
        <v>5</v>
      </c>
    </row>
    <row r="33" spans="1:23" x14ac:dyDescent="0.25">
      <c r="A33" s="27">
        <f t="shared" si="1"/>
        <v>30</v>
      </c>
      <c r="B33" s="26" t="s">
        <v>16</v>
      </c>
      <c r="C33" s="70">
        <v>5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120</v>
      </c>
      <c r="V33" s="75">
        <f t="shared" si="5"/>
        <v>5</v>
      </c>
    </row>
    <row r="34" spans="1:23" x14ac:dyDescent="0.25">
      <c r="A34" s="27">
        <f t="shared" si="1"/>
        <v>31</v>
      </c>
      <c r="B34" s="26" t="s">
        <v>17</v>
      </c>
      <c r="C34" s="70">
        <f>72+55</f>
        <v>127</v>
      </c>
      <c r="D34" s="70"/>
      <c r="E34" s="70"/>
      <c r="F34" s="70"/>
      <c r="G34" s="70"/>
      <c r="H34" s="70">
        <v>4</v>
      </c>
      <c r="I34" s="70"/>
      <c r="J34" s="71"/>
      <c r="K34" s="72">
        <v>1</v>
      </c>
      <c r="L34" s="55"/>
      <c r="M34" s="73">
        <v>1</v>
      </c>
      <c r="N34" s="74"/>
      <c r="O34" s="70">
        <v>2</v>
      </c>
      <c r="P34" s="71"/>
      <c r="Q34" s="71">
        <v>2</v>
      </c>
      <c r="R34" s="72"/>
      <c r="S34" s="55"/>
      <c r="T34" s="58">
        <f t="shared" si="0"/>
        <v>5</v>
      </c>
      <c r="U34" s="75">
        <f t="shared" si="4"/>
        <v>3173</v>
      </c>
      <c r="V34" s="75">
        <f t="shared" si="5"/>
        <v>132.20833333333334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>
        <v>2</v>
      </c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48</v>
      </c>
      <c r="V36" s="75">
        <f t="shared" si="5"/>
        <v>2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432+46+2592+1512</f>
        <v>4582</v>
      </c>
      <c r="D37" s="59"/>
      <c r="E37" s="59"/>
      <c r="F37" s="59"/>
      <c r="G37" s="59"/>
      <c r="H37" s="59"/>
      <c r="I37" s="59"/>
      <c r="J37" s="60"/>
      <c r="K37" s="61">
        <v>2</v>
      </c>
      <c r="L37" s="62"/>
      <c r="M37" s="63">
        <v>20</v>
      </c>
      <c r="N37" s="64"/>
      <c r="O37" s="65">
        <v>24</v>
      </c>
      <c r="P37" s="66"/>
      <c r="Q37" s="66">
        <v>77</v>
      </c>
      <c r="R37" s="67"/>
      <c r="S37" s="62"/>
      <c r="T37" s="77">
        <f t="shared" si="0"/>
        <v>2</v>
      </c>
      <c r="U37" s="77">
        <f>C37*6+M37*6+O37*6+Q37*6+T37</f>
        <v>28220</v>
      </c>
      <c r="V37" s="77">
        <f>U37/6</f>
        <v>4703.333333333333</v>
      </c>
      <c r="W37" s="50"/>
    </row>
    <row r="38" spans="1:23" x14ac:dyDescent="0.25">
      <c r="A38" s="27">
        <f t="shared" si="1"/>
        <v>35</v>
      </c>
      <c r="B38" s="25" t="s">
        <v>20</v>
      </c>
      <c r="C38" s="70">
        <v>7</v>
      </c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168</v>
      </c>
      <c r="V38" s="75">
        <f>U38/24</f>
        <v>7</v>
      </c>
    </row>
    <row r="39" spans="1:23" x14ac:dyDescent="0.25">
      <c r="A39" s="27">
        <f t="shared" si="1"/>
        <v>36</v>
      </c>
      <c r="B39" s="51" t="s">
        <v>62</v>
      </c>
      <c r="C39" s="78">
        <v>4</v>
      </c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96</v>
      </c>
      <c r="V39" s="75">
        <f>U39/24</f>
        <v>4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315+7</f>
        <v>322</v>
      </c>
      <c r="D40" s="59"/>
      <c r="E40" s="59"/>
      <c r="F40" s="59"/>
      <c r="G40" s="59"/>
      <c r="H40" s="59">
        <v>4</v>
      </c>
      <c r="I40" s="59"/>
      <c r="J40" s="60"/>
      <c r="K40" s="61">
        <v>20</v>
      </c>
      <c r="L40" s="62"/>
      <c r="M40" s="63"/>
      <c r="N40" s="64"/>
      <c r="O40" s="65">
        <v>1</v>
      </c>
      <c r="P40" s="66"/>
      <c r="Q40" s="66"/>
      <c r="R40" s="67"/>
      <c r="S40" s="62"/>
      <c r="T40" s="77">
        <f t="shared" si="0"/>
        <v>24</v>
      </c>
      <c r="U40" s="77">
        <f>C40*24+M40*24+O40*24+Q40*24+T40</f>
        <v>7776</v>
      </c>
      <c r="V40" s="77">
        <f>U40/24</f>
        <v>324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192+768+94+4</f>
        <v>1058</v>
      </c>
      <c r="D41" s="82"/>
      <c r="E41" s="82"/>
      <c r="F41" s="82"/>
      <c r="G41" s="82"/>
      <c r="H41" s="82">
        <v>9</v>
      </c>
      <c r="I41" s="82"/>
      <c r="J41" s="83"/>
      <c r="K41" s="84"/>
      <c r="L41" s="85"/>
      <c r="M41" s="86">
        <v>7</v>
      </c>
      <c r="N41" s="87"/>
      <c r="O41" s="82">
        <v>5</v>
      </c>
      <c r="P41" s="83"/>
      <c r="Q41" s="83">
        <v>30</v>
      </c>
      <c r="R41" s="84"/>
      <c r="S41" s="85"/>
      <c r="T41" s="88">
        <f t="shared" si="0"/>
        <v>9</v>
      </c>
      <c r="U41" s="88">
        <f>C41*12+M41*12+O41*12+Q41*12+T41</f>
        <v>13209</v>
      </c>
      <c r="V41" s="88">
        <f>U41/12</f>
        <v>1100.75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7776+5940+1080+5616+88+4536+9612</f>
        <v>34648</v>
      </c>
      <c r="D43" s="65"/>
      <c r="E43" s="65"/>
      <c r="F43" s="65"/>
      <c r="G43" s="65"/>
      <c r="H43" s="65">
        <v>1</v>
      </c>
      <c r="I43" s="65">
        <v>7</v>
      </c>
      <c r="J43" s="66">
        <f>19*6+2</f>
        <v>116</v>
      </c>
      <c r="K43" s="67">
        <f>21*6+2</f>
        <v>128</v>
      </c>
      <c r="L43" s="62"/>
      <c r="M43" s="63">
        <v>373</v>
      </c>
      <c r="N43" s="64"/>
      <c r="O43" s="65">
        <v>417</v>
      </c>
      <c r="P43" s="66"/>
      <c r="Q43" s="66">
        <v>656</v>
      </c>
      <c r="R43" s="67"/>
      <c r="S43" s="62"/>
      <c r="T43" s="77">
        <f t="shared" ref="T43" si="6">H43+I43+J43+K43+N43+P43+R43</f>
        <v>252</v>
      </c>
      <c r="U43" s="77">
        <f>C43*6+M43*6+O43*6+Q43*6+T43</f>
        <v>216816</v>
      </c>
      <c r="V43" s="77">
        <f>U43/6</f>
        <v>36136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>
        <v>3</v>
      </c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72</v>
      </c>
      <c r="V45" s="75">
        <f>U45/24</f>
        <v>3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432+106+2268+24</f>
        <v>2830</v>
      </c>
      <c r="D47" s="65"/>
      <c r="E47" s="65"/>
      <c r="F47" s="65"/>
      <c r="G47" s="65"/>
      <c r="H47" s="65">
        <v>2</v>
      </c>
      <c r="I47" s="65"/>
      <c r="J47" s="66"/>
      <c r="K47" s="67">
        <v>4</v>
      </c>
      <c r="L47" s="62"/>
      <c r="M47" s="63"/>
      <c r="N47" s="64"/>
      <c r="O47" s="65">
        <v>3</v>
      </c>
      <c r="P47" s="66">
        <v>4</v>
      </c>
      <c r="Q47" s="66">
        <v>8</v>
      </c>
      <c r="R47" s="67"/>
      <c r="S47" s="62"/>
      <c r="T47" s="77">
        <f t="shared" si="7"/>
        <v>10</v>
      </c>
      <c r="U47" s="77">
        <f>C47*6+M47*6+O47*6+Q47*6+T47</f>
        <v>17056</v>
      </c>
      <c r="V47" s="77">
        <f>U47/6</f>
        <v>2842.6666666666665</v>
      </c>
    </row>
    <row r="48" spans="1:23" x14ac:dyDescent="0.25">
      <c r="A48" s="27">
        <f t="shared" si="1"/>
        <v>45</v>
      </c>
      <c r="B48" s="25" t="s">
        <v>58</v>
      </c>
      <c r="C48" s="70">
        <v>1</v>
      </c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0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>
        <v>10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240</v>
      </c>
      <c r="V49" s="75">
        <f t="shared" si="9"/>
        <v>10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>
        <v>2</v>
      </c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48</v>
      </c>
      <c r="V52" s="75">
        <f t="shared" si="9"/>
        <v>2</v>
      </c>
    </row>
    <row r="53" spans="1:22" x14ac:dyDescent="0.25">
      <c r="A53" s="27">
        <f t="shared" si="1"/>
        <v>50</v>
      </c>
      <c r="B53" s="26" t="s">
        <v>63</v>
      </c>
      <c r="C53" s="70">
        <f>10+4</f>
        <v>14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336</v>
      </c>
      <c r="V53" s="75">
        <f t="shared" si="9"/>
        <v>14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47946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126</v>
      </c>
      <c r="I58" s="6">
        <f t="shared" si="11"/>
        <v>9</v>
      </c>
      <c r="J58" s="6">
        <f t="shared" si="11"/>
        <v>116</v>
      </c>
      <c r="K58" s="6">
        <f t="shared" si="11"/>
        <v>163</v>
      </c>
      <c r="M58" s="5">
        <f t="shared" ref="M58:R58" si="12">SUM(M7:M57)</f>
        <v>425</v>
      </c>
      <c r="N58" s="5">
        <f t="shared" si="12"/>
        <v>20</v>
      </c>
      <c r="O58" s="5">
        <f t="shared" si="12"/>
        <v>472</v>
      </c>
      <c r="P58" s="5">
        <f t="shared" si="12"/>
        <v>51</v>
      </c>
      <c r="Q58" s="5">
        <f t="shared" si="12"/>
        <v>820</v>
      </c>
      <c r="R58" s="5">
        <f t="shared" si="12"/>
        <v>3</v>
      </c>
      <c r="S58" s="55"/>
      <c r="T58" s="4">
        <f>SUM(T7:T57)</f>
        <v>488</v>
      </c>
      <c r="U58" s="90">
        <f>SUM(U7:U57)</f>
        <v>393104</v>
      </c>
      <c r="V58" s="4">
        <f>SUM(V7:V57)</f>
        <v>49716.708333333328</v>
      </c>
    </row>
    <row r="59" spans="1:22" ht="7.5" customHeight="1" thickBot="1" x14ac:dyDescent="0.3"/>
    <row r="60" spans="1:22" ht="19.5" thickBot="1" x14ac:dyDescent="0.3">
      <c r="B60" s="30" t="s">
        <v>37</v>
      </c>
      <c r="C60" s="103" t="s">
        <v>41</v>
      </c>
      <c r="D60" s="104"/>
      <c r="E60" s="104"/>
      <c r="F60" s="104"/>
      <c r="G60" s="104"/>
      <c r="H60" s="104"/>
      <c r="I60" s="104"/>
      <c r="J60" s="104"/>
      <c r="K60" s="105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4D12-0076-42A5-9528-69B257B3A780}">
  <sheetPr>
    <pageSetUpPr fitToPage="1"/>
  </sheetPr>
  <dimension ref="A1:BB81"/>
  <sheetViews>
    <sheetView zoomScaleNormal="100" zoomScaleSheetLayoutView="115" workbookViewId="0">
      <selection activeCell="U58" sqref="U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06" t="s">
        <v>43</v>
      </c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54" x14ac:dyDescent="0.25">
      <c r="B2" s="28" t="s">
        <v>72</v>
      </c>
    </row>
    <row r="3" spans="1:54" ht="19.5" thickBot="1" x14ac:dyDescent="0.3"/>
    <row r="4" spans="1:54" s="10" customFormat="1" ht="15.75" x14ac:dyDescent="0.25">
      <c r="B4" s="41" t="s">
        <v>52</v>
      </c>
      <c r="C4" s="107" t="s">
        <v>41</v>
      </c>
      <c r="D4" s="107"/>
      <c r="E4" s="107"/>
      <c r="F4" s="107"/>
      <c r="G4" s="107"/>
      <c r="H4" s="107"/>
      <c r="I4" s="107"/>
      <c r="J4" s="108"/>
      <c r="K4" s="109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0" t="s">
        <v>68</v>
      </c>
      <c r="U4" s="116" t="s">
        <v>67</v>
      </c>
      <c r="V4" s="99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14" t="s">
        <v>65</v>
      </c>
      <c r="K5" s="115"/>
      <c r="M5" s="37"/>
      <c r="N5" s="49"/>
      <c r="O5" s="40"/>
      <c r="P5" s="97"/>
      <c r="Q5" s="97"/>
      <c r="R5" s="38"/>
      <c r="S5" s="9"/>
      <c r="T5" s="111"/>
      <c r="U5" s="117"/>
      <c r="V5" s="100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7"/>
      <c r="K6" s="38"/>
      <c r="M6" s="37"/>
      <c r="N6" s="49"/>
      <c r="O6" s="40"/>
      <c r="P6" s="97"/>
      <c r="Q6" s="97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f>20+29</f>
        <v>49</v>
      </c>
      <c r="D7" s="52"/>
      <c r="E7" s="52"/>
      <c r="F7" s="52">
        <v>24</v>
      </c>
      <c r="G7" s="52">
        <f>2*24+12</f>
        <v>60</v>
      </c>
      <c r="H7" s="52">
        <v>2</v>
      </c>
      <c r="I7" s="52">
        <v>1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F7+G7+H7+I7+J7+K7+N7+P7+R7</f>
        <v>93</v>
      </c>
      <c r="U7" s="58">
        <f>C7*24+M7*24+O7*24+Q7*24+T7</f>
        <v>1293</v>
      </c>
      <c r="V7" s="58">
        <f>U7/24</f>
        <v>53.875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20+5+63+15</f>
        <v>103</v>
      </c>
      <c r="D8" s="59"/>
      <c r="E8" s="59"/>
      <c r="F8" s="59"/>
      <c r="G8" s="59"/>
      <c r="H8" s="59"/>
      <c r="I8" s="59"/>
      <c r="J8" s="60"/>
      <c r="K8" s="61"/>
      <c r="L8" s="62"/>
      <c r="M8" s="63">
        <v>2</v>
      </c>
      <c r="N8" s="64"/>
      <c r="O8" s="65">
        <v>1</v>
      </c>
      <c r="P8" s="66"/>
      <c r="Q8" s="66"/>
      <c r="R8" s="67"/>
      <c r="S8" s="62"/>
      <c r="T8" s="68">
        <f t="shared" ref="T8:T24" si="0">H8+I8+J8+K8+N8+P8+R8</f>
        <v>0</v>
      </c>
      <c r="U8" s="69">
        <f>C8*24+M8*24+O8*24+Q8*24+T8</f>
        <v>2544</v>
      </c>
      <c r="V8" s="69">
        <f>U8/24</f>
        <v>106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94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2</v>
      </c>
      <c r="P9" s="71"/>
      <c r="Q9" s="71">
        <v>18</v>
      </c>
      <c r="R9" s="72"/>
      <c r="S9" s="55"/>
      <c r="T9" s="75">
        <f t="shared" si="0"/>
        <v>0</v>
      </c>
      <c r="U9" s="76">
        <f t="shared" ref="U9:U11" si="2">C9*24+M9*24+O9*24+Q9*24+T9</f>
        <v>2736</v>
      </c>
      <c r="V9" s="76">
        <f t="shared" ref="V9:V11" si="3">U9/24</f>
        <v>114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>
        <v>13</v>
      </c>
      <c r="R10" s="72"/>
      <c r="S10" s="55"/>
      <c r="T10" s="58">
        <f t="shared" si="0"/>
        <v>0</v>
      </c>
      <c r="U10" s="58">
        <f t="shared" si="2"/>
        <v>312</v>
      </c>
      <c r="V10" s="58">
        <f t="shared" si="3"/>
        <v>13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3</v>
      </c>
      <c r="D11" s="70"/>
      <c r="E11" s="70"/>
      <c r="F11" s="70"/>
      <c r="G11" s="70"/>
      <c r="H11" s="70">
        <v>22</v>
      </c>
      <c r="I11" s="70"/>
      <c r="J11" s="71"/>
      <c r="K11" s="72">
        <v>2</v>
      </c>
      <c r="L11" s="55"/>
      <c r="M11" s="73"/>
      <c r="N11" s="74"/>
      <c r="O11" s="70">
        <v>2</v>
      </c>
      <c r="P11" s="71"/>
      <c r="Q11" s="71"/>
      <c r="R11" s="72"/>
      <c r="S11" s="55"/>
      <c r="T11" s="58">
        <f t="shared" si="0"/>
        <v>24</v>
      </c>
      <c r="U11" s="58">
        <f t="shared" si="2"/>
        <v>144</v>
      </c>
      <c r="V11" s="58">
        <f t="shared" si="3"/>
        <v>6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29+1584+1440+576</f>
        <v>3629</v>
      </c>
      <c r="D12" s="59"/>
      <c r="E12" s="59"/>
      <c r="F12" s="59">
        <f>7*24</f>
        <v>168</v>
      </c>
      <c r="G12" s="59">
        <v>10</v>
      </c>
      <c r="H12" s="59"/>
      <c r="I12" s="59"/>
      <c r="J12" s="60"/>
      <c r="K12" s="61"/>
      <c r="L12" s="62"/>
      <c r="M12" s="63">
        <v>25</v>
      </c>
      <c r="N12" s="64"/>
      <c r="O12" s="65">
        <v>11</v>
      </c>
      <c r="P12" s="66"/>
      <c r="Q12" s="66">
        <v>35</v>
      </c>
      <c r="R12" s="67">
        <v>20</v>
      </c>
      <c r="S12" s="62"/>
      <c r="T12" s="69">
        <f>F12+G12+H12+I12+J12+K12+N12+P12+R12</f>
        <v>198</v>
      </c>
      <c r="U12" s="69">
        <f>C12*24+M12*24+O12*24+Q12*24+T12</f>
        <v>88998</v>
      </c>
      <c r="V12" s="69">
        <f>U12/24</f>
        <v>3708.25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f>2+2</f>
        <v>4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112</v>
      </c>
      <c r="V13" s="76">
        <f>U13/24</f>
        <v>4.666666666666667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3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72</v>
      </c>
      <c r="V14" s="75">
        <f t="shared" ref="V14:V36" si="5">U14/24</f>
        <v>3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>
        <v>2</v>
      </c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48</v>
      </c>
      <c r="V15" s="75">
        <f t="shared" si="5"/>
        <v>2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>
        <v>1</v>
      </c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24</v>
      </c>
      <c r="V16" s="75">
        <f t="shared" si="5"/>
        <v>1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>
        <v>3</v>
      </c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f>2+2</f>
        <v>4</v>
      </c>
      <c r="D19" s="70"/>
      <c r="E19" s="70"/>
      <c r="F19" s="70"/>
      <c r="G19" s="70"/>
      <c r="H19" s="70">
        <v>20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20</v>
      </c>
      <c r="U19" s="75">
        <f t="shared" si="4"/>
        <v>116</v>
      </c>
      <c r="V19" s="75">
        <f t="shared" si="5"/>
        <v>4.833333333333333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>
        <v>16</v>
      </c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16</v>
      </c>
      <c r="U20" s="75">
        <f t="shared" si="4"/>
        <v>136</v>
      </c>
      <c r="V20" s="75">
        <f t="shared" si="5"/>
        <v>5.666666666666667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>
        <f>1+3</f>
        <v>4</v>
      </c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96</v>
      </c>
      <c r="V21" s="75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>
        <v>20</v>
      </c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>
        <v>36</v>
      </c>
      <c r="D23" s="70"/>
      <c r="E23" s="70"/>
      <c r="F23" s="70"/>
      <c r="G23" s="70">
        <f>24+19</f>
        <v>43</v>
      </c>
      <c r="H23" s="70"/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>F23+G23+H23+I23+J23+K23+N23+P23+R23</f>
        <v>43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f>5+6</f>
        <v>11</v>
      </c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264</v>
      </c>
      <c r="V24" s="75">
        <f t="shared" si="5"/>
        <v>11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33</v>
      </c>
      <c r="D25" s="70"/>
      <c r="E25" s="70"/>
      <c r="F25" s="70">
        <v>24</v>
      </c>
      <c r="G25" s="70"/>
      <c r="H25" s="70">
        <v>10</v>
      </c>
      <c r="I25" s="70">
        <v>1</v>
      </c>
      <c r="J25" s="71"/>
      <c r="K25" s="72"/>
      <c r="L25" s="55"/>
      <c r="M25" s="73"/>
      <c r="N25" s="74"/>
      <c r="O25" s="70">
        <v>1</v>
      </c>
      <c r="P25" s="71"/>
      <c r="Q25" s="71"/>
      <c r="R25" s="72"/>
      <c r="S25" s="55"/>
      <c r="T25" s="58">
        <f>F25+G25+H25+I25+J25+K25+N25+P25+R25</f>
        <v>35</v>
      </c>
      <c r="U25" s="75">
        <f t="shared" si="4"/>
        <v>851</v>
      </c>
      <c r="V25" s="75">
        <f t="shared" si="5"/>
        <v>35.458333333333336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>
        <v>6</v>
      </c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ref="T26:T27" si="6">F26+G26+H26+I26+J26+K26+N26+P26+R26</f>
        <v>0</v>
      </c>
      <c r="U26" s="75">
        <f t="shared" si="4"/>
        <v>144</v>
      </c>
      <c r="V26" s="75">
        <f t="shared" si="5"/>
        <v>6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4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6"/>
        <v>0</v>
      </c>
      <c r="U27" s="75">
        <f t="shared" ref="U27" si="7">C27*24+M27*24+O27*24+Q27*24+T27</f>
        <v>96</v>
      </c>
      <c r="V27" s="75">
        <f t="shared" ref="V27" si="8">U27/24</f>
        <v>4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5+17</f>
        <v>22</v>
      </c>
      <c r="D28" s="70"/>
      <c r="E28" s="70"/>
      <c r="F28" s="70">
        <f>4*24</f>
        <v>96</v>
      </c>
      <c r="G28" s="70">
        <f>24*2</f>
        <v>48</v>
      </c>
      <c r="H28" s="70"/>
      <c r="I28" s="70"/>
      <c r="J28" s="71"/>
      <c r="K28" s="72"/>
      <c r="L28" s="55"/>
      <c r="M28" s="73">
        <v>3</v>
      </c>
      <c r="N28" s="74"/>
      <c r="O28" s="70">
        <v>2</v>
      </c>
      <c r="P28" s="71"/>
      <c r="Q28" s="71">
        <v>9</v>
      </c>
      <c r="R28" s="72"/>
      <c r="S28" s="55"/>
      <c r="T28" s="58">
        <f>F28+G28+H28+I28+J28+K28+N28+P28+R28</f>
        <v>144</v>
      </c>
      <c r="U28" s="75">
        <f t="shared" si="4"/>
        <v>1008</v>
      </c>
      <c r="V28" s="75">
        <f t="shared" si="5"/>
        <v>42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f>3+62</f>
        <v>65</v>
      </c>
      <c r="D29" s="70"/>
      <c r="E29" s="70"/>
      <c r="F29" s="70"/>
      <c r="G29" s="70"/>
      <c r="H29" s="70"/>
      <c r="I29" s="70"/>
      <c r="J29" s="71"/>
      <c r="K29" s="72"/>
      <c r="L29" s="55"/>
      <c r="M29" s="73"/>
      <c r="N29" s="74"/>
      <c r="O29" s="70"/>
      <c r="P29" s="71"/>
      <c r="Q29" s="71">
        <v>1</v>
      </c>
      <c r="R29" s="72"/>
      <c r="S29" s="55"/>
      <c r="T29" s="58">
        <f t="shared" ref="T29:T54" si="9">F29+G29+H29+I29+J29+K29+N29+P29+R29</f>
        <v>0</v>
      </c>
      <c r="U29" s="75">
        <f t="shared" si="4"/>
        <v>1584</v>
      </c>
      <c r="V29" s="75">
        <f t="shared" si="5"/>
        <v>66</v>
      </c>
    </row>
    <row r="30" spans="1:54" x14ac:dyDescent="0.25">
      <c r="A30" s="27">
        <f t="shared" si="1"/>
        <v>27</v>
      </c>
      <c r="B30" s="26" t="s">
        <v>15</v>
      </c>
      <c r="C30" s="70">
        <v>40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1</v>
      </c>
      <c r="R30" s="72"/>
      <c r="S30" s="55"/>
      <c r="T30" s="58">
        <f t="shared" si="9"/>
        <v>0</v>
      </c>
      <c r="U30" s="75">
        <f t="shared" si="4"/>
        <v>984</v>
      </c>
      <c r="V30" s="75">
        <f t="shared" si="5"/>
        <v>41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>
        <v>1</v>
      </c>
      <c r="P31" s="71"/>
      <c r="Q31" s="71">
        <v>1</v>
      </c>
      <c r="R31" s="72"/>
      <c r="S31" s="55"/>
      <c r="T31" s="58">
        <f t="shared" si="9"/>
        <v>0</v>
      </c>
      <c r="U31" s="75">
        <f t="shared" si="4"/>
        <v>48</v>
      </c>
      <c r="V31" s="75">
        <f t="shared" si="5"/>
        <v>2</v>
      </c>
    </row>
    <row r="32" spans="1:54" x14ac:dyDescent="0.25">
      <c r="A32" s="27">
        <f t="shared" si="1"/>
        <v>29</v>
      </c>
      <c r="B32" s="26" t="s">
        <v>14</v>
      </c>
      <c r="C32" s="70">
        <v>4</v>
      </c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>
        <v>1</v>
      </c>
      <c r="P32" s="71"/>
      <c r="Q32" s="71"/>
      <c r="R32" s="72"/>
      <c r="S32" s="55"/>
      <c r="T32" s="58">
        <f t="shared" si="9"/>
        <v>0</v>
      </c>
      <c r="U32" s="75">
        <f t="shared" si="4"/>
        <v>120</v>
      </c>
      <c r="V32" s="75">
        <f t="shared" si="5"/>
        <v>5</v>
      </c>
    </row>
    <row r="33" spans="1:23" x14ac:dyDescent="0.25">
      <c r="A33" s="27">
        <f t="shared" si="1"/>
        <v>30</v>
      </c>
      <c r="B33" s="26" t="s">
        <v>16</v>
      </c>
      <c r="C33" s="70">
        <v>5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9"/>
        <v>0</v>
      </c>
      <c r="U33" s="75">
        <f t="shared" si="4"/>
        <v>120</v>
      </c>
      <c r="V33" s="75">
        <f t="shared" si="5"/>
        <v>5</v>
      </c>
    </row>
    <row r="34" spans="1:23" x14ac:dyDescent="0.25">
      <c r="A34" s="27">
        <f t="shared" si="1"/>
        <v>31</v>
      </c>
      <c r="B34" s="26" t="s">
        <v>17</v>
      </c>
      <c r="C34" s="70">
        <f>42+72</f>
        <v>114</v>
      </c>
      <c r="D34" s="70"/>
      <c r="E34" s="70"/>
      <c r="F34" s="70">
        <v>24</v>
      </c>
      <c r="G34" s="70">
        <f>24*2</f>
        <v>48</v>
      </c>
      <c r="H34" s="70">
        <v>4</v>
      </c>
      <c r="I34" s="70"/>
      <c r="J34" s="71"/>
      <c r="K34" s="72">
        <v>1</v>
      </c>
      <c r="L34" s="55"/>
      <c r="M34" s="73">
        <v>3</v>
      </c>
      <c r="N34" s="74"/>
      <c r="O34" s="70">
        <v>1</v>
      </c>
      <c r="P34" s="71"/>
      <c r="Q34" s="71"/>
      <c r="R34" s="72"/>
      <c r="S34" s="55"/>
      <c r="T34" s="58">
        <f t="shared" si="9"/>
        <v>77</v>
      </c>
      <c r="U34" s="75">
        <f t="shared" si="4"/>
        <v>2909</v>
      </c>
      <c r="V34" s="75">
        <f t="shared" si="5"/>
        <v>121.20833333333333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9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>
        <v>2</v>
      </c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9"/>
        <v>0</v>
      </c>
      <c r="U36" s="75">
        <f t="shared" si="4"/>
        <v>48</v>
      </c>
      <c r="V36" s="75">
        <f t="shared" si="5"/>
        <v>2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2592+1296+108</f>
        <v>3996</v>
      </c>
      <c r="D37" s="59"/>
      <c r="E37" s="59"/>
      <c r="F37" s="59"/>
      <c r="G37" s="59">
        <f>19*6</f>
        <v>114</v>
      </c>
      <c r="H37" s="59"/>
      <c r="I37" s="59"/>
      <c r="J37" s="60"/>
      <c r="K37" s="61">
        <v>2</v>
      </c>
      <c r="L37" s="62"/>
      <c r="M37" s="63">
        <v>34</v>
      </c>
      <c r="N37" s="64"/>
      <c r="O37" s="65">
        <v>48</v>
      </c>
      <c r="P37" s="66"/>
      <c r="Q37" s="66">
        <v>109</v>
      </c>
      <c r="R37" s="67"/>
      <c r="S37" s="62"/>
      <c r="T37" s="68">
        <f t="shared" si="9"/>
        <v>116</v>
      </c>
      <c r="U37" s="77">
        <f>C37*6+M37*6+O37*6+Q37*6+T37</f>
        <v>25238</v>
      </c>
      <c r="V37" s="77">
        <f>U37/6</f>
        <v>4206.333333333333</v>
      </c>
      <c r="W37" s="50"/>
    </row>
    <row r="38" spans="1:23" x14ac:dyDescent="0.25">
      <c r="A38" s="27">
        <f t="shared" si="1"/>
        <v>35</v>
      </c>
      <c r="B38" s="25" t="s">
        <v>20</v>
      </c>
      <c r="C38" s="70">
        <v>7</v>
      </c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9"/>
        <v>0</v>
      </c>
      <c r="U38" s="75">
        <f>C38*24+M38*24+O38*24+Q38*24+T38</f>
        <v>168</v>
      </c>
      <c r="V38" s="75">
        <f>U38/24</f>
        <v>7</v>
      </c>
    </row>
    <row r="39" spans="1:23" x14ac:dyDescent="0.25">
      <c r="A39" s="27">
        <f t="shared" si="1"/>
        <v>36</v>
      </c>
      <c r="B39" s="51" t="s">
        <v>62</v>
      </c>
      <c r="C39" s="78">
        <v>4</v>
      </c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58">
        <f t="shared" si="9"/>
        <v>0</v>
      </c>
      <c r="U39" s="75">
        <f>C39*24+M39*24+O39*24+Q39*24+T39</f>
        <v>96</v>
      </c>
      <c r="V39" s="75">
        <f>U39/24</f>
        <v>4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315+6</f>
        <v>321</v>
      </c>
      <c r="D40" s="59"/>
      <c r="E40" s="59"/>
      <c r="F40" s="59"/>
      <c r="G40" s="59">
        <v>24</v>
      </c>
      <c r="H40" s="59">
        <v>4</v>
      </c>
      <c r="I40" s="59"/>
      <c r="J40" s="60"/>
      <c r="K40" s="61">
        <v>20</v>
      </c>
      <c r="L40" s="62"/>
      <c r="M40" s="63"/>
      <c r="N40" s="64"/>
      <c r="O40" s="65">
        <v>1</v>
      </c>
      <c r="P40" s="66"/>
      <c r="Q40" s="66"/>
      <c r="R40" s="67"/>
      <c r="S40" s="62"/>
      <c r="T40" s="69">
        <f t="shared" si="9"/>
        <v>48</v>
      </c>
      <c r="U40" s="77">
        <f>C40*24+M40*24+O40*24+Q40*24+T40</f>
        <v>7776</v>
      </c>
      <c r="V40" s="77">
        <f>U40/24</f>
        <v>324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192+768+52</f>
        <v>1012</v>
      </c>
      <c r="D41" s="82"/>
      <c r="E41" s="82"/>
      <c r="F41" s="82">
        <f>9*2</f>
        <v>18</v>
      </c>
      <c r="G41" s="82">
        <f>9*5</f>
        <v>45</v>
      </c>
      <c r="H41" s="82">
        <v>9</v>
      </c>
      <c r="I41" s="82"/>
      <c r="J41" s="83"/>
      <c r="K41" s="84"/>
      <c r="L41" s="85"/>
      <c r="M41" s="86">
        <v>5</v>
      </c>
      <c r="N41" s="87"/>
      <c r="O41" s="82">
        <v>6</v>
      </c>
      <c r="P41" s="83"/>
      <c r="Q41" s="83">
        <v>10</v>
      </c>
      <c r="R41" s="84"/>
      <c r="S41" s="85"/>
      <c r="T41" s="76">
        <f t="shared" si="9"/>
        <v>72</v>
      </c>
      <c r="U41" s="88">
        <f>C41*12+M41*12+O41*12+Q41*12+T41</f>
        <v>12468</v>
      </c>
      <c r="V41" s="88">
        <f>U41/12</f>
        <v>1039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69">
        <f t="shared" si="9"/>
        <v>0</v>
      </c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7776+3132+5616+4536+9612</f>
        <v>30672</v>
      </c>
      <c r="D43" s="65"/>
      <c r="E43" s="65"/>
      <c r="F43" s="65">
        <f>6*6</f>
        <v>36</v>
      </c>
      <c r="G43" s="65">
        <f>64*6</f>
        <v>384</v>
      </c>
      <c r="H43" s="65">
        <v>4</v>
      </c>
      <c r="I43" s="65">
        <v>7</v>
      </c>
      <c r="J43" s="66">
        <f>21*6+5</f>
        <v>131</v>
      </c>
      <c r="K43" s="67">
        <f>21*6+2</f>
        <v>128</v>
      </c>
      <c r="L43" s="62"/>
      <c r="M43" s="63">
        <v>648</v>
      </c>
      <c r="N43" s="64"/>
      <c r="O43" s="65">
        <v>436</v>
      </c>
      <c r="P43" s="66"/>
      <c r="Q43" s="66">
        <v>756</v>
      </c>
      <c r="R43" s="67"/>
      <c r="S43" s="62"/>
      <c r="T43" s="76">
        <f t="shared" si="9"/>
        <v>690</v>
      </c>
      <c r="U43" s="77">
        <f>C43*6+M43*6+O43*6+Q43*6+T43</f>
        <v>195762</v>
      </c>
      <c r="V43" s="77">
        <f>U43/6</f>
        <v>32627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69">
        <f t="shared" si="9"/>
        <v>0</v>
      </c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>
        <v>1</v>
      </c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>
        <v>2</v>
      </c>
      <c r="P45" s="71"/>
      <c r="Q45" s="71"/>
      <c r="R45" s="72"/>
      <c r="S45" s="55"/>
      <c r="T45" s="76">
        <f t="shared" si="9"/>
        <v>0</v>
      </c>
      <c r="U45" s="75">
        <f>C45*24+M45*24+O45*24+Q45*24+T45</f>
        <v>72</v>
      </c>
      <c r="V45" s="75">
        <f>U45/24</f>
        <v>3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58">
        <f t="shared" si="9"/>
        <v>0</v>
      </c>
      <c r="U46" s="75">
        <f t="shared" ref="U46:U50" si="10">C46*24+M46*24+O46*24+Q46*24+T46</f>
        <v>0</v>
      </c>
      <c r="V46" s="75">
        <f t="shared" ref="V46:V54" si="11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432+106+2268+24</f>
        <v>2830</v>
      </c>
      <c r="D47" s="65"/>
      <c r="E47" s="65"/>
      <c r="F47" s="65"/>
      <c r="G47" s="65">
        <f>3*6+4</f>
        <v>22</v>
      </c>
      <c r="H47" s="65">
        <v>2</v>
      </c>
      <c r="I47" s="65"/>
      <c r="J47" s="66"/>
      <c r="K47" s="67">
        <v>4</v>
      </c>
      <c r="L47" s="62"/>
      <c r="M47" s="63"/>
      <c r="N47" s="64"/>
      <c r="O47" s="65"/>
      <c r="P47" s="66"/>
      <c r="Q47" s="66">
        <v>8</v>
      </c>
      <c r="R47" s="67"/>
      <c r="S47" s="62"/>
      <c r="T47" s="69">
        <f t="shared" si="9"/>
        <v>28</v>
      </c>
      <c r="U47" s="77">
        <f>C47*6+M47*6+O47*6+Q47*6+T47</f>
        <v>17056</v>
      </c>
      <c r="V47" s="77">
        <f>U47/6</f>
        <v>2842.6666666666665</v>
      </c>
    </row>
    <row r="48" spans="1:23" x14ac:dyDescent="0.25">
      <c r="A48" s="27">
        <f t="shared" si="1"/>
        <v>45</v>
      </c>
      <c r="B48" s="25" t="s">
        <v>58</v>
      </c>
      <c r="C48" s="70">
        <v>1</v>
      </c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6">
        <f t="shared" si="9"/>
        <v>0</v>
      </c>
      <c r="U48" s="75">
        <f t="shared" si="10"/>
        <v>24</v>
      </c>
      <c r="V48" s="75">
        <f t="shared" si="11"/>
        <v>1</v>
      </c>
    </row>
    <row r="49" spans="1:22" x14ac:dyDescent="0.25">
      <c r="A49" s="27">
        <f t="shared" si="1"/>
        <v>46</v>
      </c>
      <c r="B49" s="26" t="s">
        <v>26</v>
      </c>
      <c r="C49" s="70">
        <v>4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>
        <v>6</v>
      </c>
      <c r="R49" s="72"/>
      <c r="S49" s="55"/>
      <c r="T49" s="58">
        <f t="shared" si="9"/>
        <v>0</v>
      </c>
      <c r="U49" s="75">
        <f t="shared" si="10"/>
        <v>240</v>
      </c>
      <c r="V49" s="75">
        <f t="shared" si="11"/>
        <v>10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58">
        <f t="shared" si="9"/>
        <v>0</v>
      </c>
      <c r="U50" s="75">
        <f t="shared" si="10"/>
        <v>0</v>
      </c>
      <c r="V50" s="75">
        <f t="shared" si="11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69">
        <f t="shared" si="9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>
        <v>2</v>
      </c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6">
        <f t="shared" si="9"/>
        <v>0</v>
      </c>
      <c r="U52" s="75">
        <f t="shared" ref="U52:U54" si="12">C52*24+M52*24+O52*24+Q52*24+T52</f>
        <v>48</v>
      </c>
      <c r="V52" s="75">
        <f t="shared" si="11"/>
        <v>2</v>
      </c>
    </row>
    <row r="53" spans="1:22" x14ac:dyDescent="0.25">
      <c r="A53" s="27">
        <f t="shared" si="1"/>
        <v>50</v>
      </c>
      <c r="B53" s="26" t="s">
        <v>63</v>
      </c>
      <c r="C53" s="70">
        <f>10+4</f>
        <v>14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58">
        <f t="shared" si="9"/>
        <v>0</v>
      </c>
      <c r="U53" s="75">
        <f t="shared" si="12"/>
        <v>336</v>
      </c>
      <c r="V53" s="75">
        <f t="shared" si="11"/>
        <v>14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58">
        <f t="shared" si="9"/>
        <v>0</v>
      </c>
      <c r="U54" s="75">
        <f t="shared" si="12"/>
        <v>0</v>
      </c>
      <c r="V54" s="75">
        <f t="shared" si="11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43146</v>
      </c>
      <c r="D58" s="2"/>
      <c r="E58" s="2"/>
      <c r="F58" s="2">
        <f t="shared" ref="F58:K58" si="13">SUM(F7:F57)</f>
        <v>390</v>
      </c>
      <c r="G58" s="2">
        <f t="shared" si="13"/>
        <v>798</v>
      </c>
      <c r="H58" s="2">
        <f t="shared" si="13"/>
        <v>129</v>
      </c>
      <c r="I58" s="6">
        <f t="shared" si="13"/>
        <v>9</v>
      </c>
      <c r="J58" s="6">
        <f t="shared" si="13"/>
        <v>131</v>
      </c>
      <c r="K58" s="6">
        <f t="shared" si="13"/>
        <v>163</v>
      </c>
      <c r="M58" s="5">
        <f t="shared" ref="M58:R58" si="14">SUM(M7:M57)</f>
        <v>720</v>
      </c>
      <c r="N58" s="5">
        <f t="shared" si="14"/>
        <v>0</v>
      </c>
      <c r="O58" s="5">
        <f t="shared" si="14"/>
        <v>516</v>
      </c>
      <c r="P58" s="5">
        <f t="shared" si="14"/>
        <v>0</v>
      </c>
      <c r="Q58" s="5">
        <f t="shared" si="14"/>
        <v>967</v>
      </c>
      <c r="R58" s="5">
        <f t="shared" si="14"/>
        <v>20</v>
      </c>
      <c r="S58" s="55"/>
      <c r="T58" s="4">
        <f>SUM(T7:T57)</f>
        <v>1640</v>
      </c>
      <c r="U58" s="4">
        <f>SUM(U7:U57)</f>
        <v>365342</v>
      </c>
      <c r="V58" s="4">
        <f>SUM(V7:V57)</f>
        <v>45524.583333333328</v>
      </c>
    </row>
    <row r="59" spans="1:22" ht="7.5" customHeight="1" thickBot="1" x14ac:dyDescent="0.3"/>
    <row r="60" spans="1:22" ht="19.5" thickBot="1" x14ac:dyDescent="0.3">
      <c r="B60" s="30" t="s">
        <v>37</v>
      </c>
      <c r="C60" s="103" t="s">
        <v>41</v>
      </c>
      <c r="D60" s="104"/>
      <c r="E60" s="104"/>
      <c r="F60" s="104"/>
      <c r="G60" s="104"/>
      <c r="H60" s="104"/>
      <c r="I60" s="104"/>
      <c r="J60" s="104"/>
      <c r="K60" s="105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D993-F3E9-4FE3-983E-F3145948B2B7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06" t="s">
        <v>43</v>
      </c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54" x14ac:dyDescent="0.25">
      <c r="B2" s="28" t="s">
        <v>73</v>
      </c>
    </row>
    <row r="3" spans="1:54" ht="19.5" thickBot="1" x14ac:dyDescent="0.3"/>
    <row r="4" spans="1:54" s="10" customFormat="1" ht="15.75" x14ac:dyDescent="0.25">
      <c r="B4" s="41" t="s">
        <v>52</v>
      </c>
      <c r="C4" s="107" t="s">
        <v>41</v>
      </c>
      <c r="D4" s="107"/>
      <c r="E4" s="107"/>
      <c r="F4" s="107"/>
      <c r="G4" s="107"/>
      <c r="H4" s="107"/>
      <c r="I4" s="107"/>
      <c r="J4" s="108"/>
      <c r="K4" s="109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0" t="s">
        <v>68</v>
      </c>
      <c r="U4" s="116" t="s">
        <v>67</v>
      </c>
      <c r="V4" s="99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14" t="s">
        <v>65</v>
      </c>
      <c r="K5" s="115"/>
      <c r="M5" s="37"/>
      <c r="N5" s="49"/>
      <c r="O5" s="40"/>
      <c r="P5" s="97"/>
      <c r="Q5" s="97"/>
      <c r="R5" s="38"/>
      <c r="S5" s="9"/>
      <c r="T5" s="111"/>
      <c r="U5" s="117"/>
      <c r="V5" s="100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7"/>
      <c r="K6" s="38"/>
      <c r="M6" s="37"/>
      <c r="N6" s="49"/>
      <c r="O6" s="40"/>
      <c r="P6" s="97"/>
      <c r="Q6" s="97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f>20+26</f>
        <v>46</v>
      </c>
      <c r="D7" s="52"/>
      <c r="E7" s="52"/>
      <c r="F7" s="52"/>
      <c r="G7" s="52"/>
      <c r="H7" s="52">
        <v>2</v>
      </c>
      <c r="I7" s="52">
        <v>1</v>
      </c>
      <c r="J7" s="53"/>
      <c r="K7" s="54">
        <v>6</v>
      </c>
      <c r="L7" s="55"/>
      <c r="M7" s="56">
        <v>3</v>
      </c>
      <c r="N7" s="57"/>
      <c r="O7" s="52">
        <v>3</v>
      </c>
      <c r="P7" s="53">
        <v>12</v>
      </c>
      <c r="Q7" s="53">
        <v>1</v>
      </c>
      <c r="R7" s="54"/>
      <c r="S7" s="55"/>
      <c r="T7" s="58">
        <f>H7+I7+J7+K7+N7+P7+R7</f>
        <v>21</v>
      </c>
      <c r="U7" s="58">
        <f>C7*24+M7*24+O7*24+Q7*24+T7</f>
        <v>1293</v>
      </c>
      <c r="V7" s="58">
        <f>U7/24</f>
        <v>53.875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20+4+15+63</f>
        <v>102</v>
      </c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>
        <v>1</v>
      </c>
      <c r="P8" s="66"/>
      <c r="Q8" s="66">
        <v>1</v>
      </c>
      <c r="R8" s="67"/>
      <c r="S8" s="62"/>
      <c r="T8" s="68">
        <f t="shared" ref="T8:T41" si="0">H8+I8+J8+K8+N8+P8+R8</f>
        <v>0</v>
      </c>
      <c r="U8" s="69">
        <f>C8*24+M8*24+O8*24+Q8*24+T8</f>
        <v>2496</v>
      </c>
      <c r="V8" s="69">
        <f>U8/24</f>
        <v>104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92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2208</v>
      </c>
      <c r="V9" s="76">
        <f t="shared" ref="V9:V11" si="3">U9/24</f>
        <v>92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4</v>
      </c>
      <c r="D11" s="70"/>
      <c r="E11" s="70"/>
      <c r="F11" s="70"/>
      <c r="G11" s="70"/>
      <c r="H11" s="70">
        <v>22</v>
      </c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24</v>
      </c>
      <c r="U11" s="58">
        <f t="shared" si="2"/>
        <v>120</v>
      </c>
      <c r="V11" s="58">
        <f t="shared" si="3"/>
        <v>5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1440+72+22+1440+576</f>
        <v>3550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24</v>
      </c>
      <c r="N12" s="64"/>
      <c r="O12" s="65">
        <v>15</v>
      </c>
      <c r="P12" s="66"/>
      <c r="Q12" s="66">
        <v>24</v>
      </c>
      <c r="R12" s="67">
        <v>4</v>
      </c>
      <c r="S12" s="62"/>
      <c r="T12" s="58">
        <f t="shared" si="0"/>
        <v>4</v>
      </c>
      <c r="U12" s="69">
        <f>C12*24+M12*24+O12*24+Q12*24+T12</f>
        <v>86716</v>
      </c>
      <c r="V12" s="69">
        <f>U12/24</f>
        <v>3613.1666666666665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f>2+2</f>
        <v>4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58">
        <f t="shared" si="0"/>
        <v>16</v>
      </c>
      <c r="U13" s="76">
        <f>C13*24+M13*24+O13*24+Q13*24+T13</f>
        <v>112</v>
      </c>
      <c r="V13" s="76">
        <f>U13/24</f>
        <v>4.666666666666667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3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72</v>
      </c>
      <c r="V14" s="75">
        <f t="shared" ref="V14:V36" si="5">U14/24</f>
        <v>3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>
        <v>2</v>
      </c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48</v>
      </c>
      <c r="V15" s="75">
        <f t="shared" si="5"/>
        <v>2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>
        <v>1</v>
      </c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24</v>
      </c>
      <c r="V16" s="75">
        <f t="shared" si="5"/>
        <v>1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>
        <v>3</v>
      </c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f>2+2</f>
        <v>4</v>
      </c>
      <c r="D19" s="70"/>
      <c r="E19" s="70"/>
      <c r="F19" s="70"/>
      <c r="G19" s="70"/>
      <c r="H19" s="70">
        <v>20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20</v>
      </c>
      <c r="U19" s="75">
        <f t="shared" si="4"/>
        <v>116</v>
      </c>
      <c r="V19" s="75">
        <f t="shared" si="5"/>
        <v>4.833333333333333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>
        <v>16</v>
      </c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16</v>
      </c>
      <c r="U20" s="75">
        <f t="shared" si="4"/>
        <v>136</v>
      </c>
      <c r="V20" s="75">
        <f t="shared" si="5"/>
        <v>5.666666666666667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>
        <f>1+3</f>
        <v>4</v>
      </c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96</v>
      </c>
      <c r="V21" s="75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>
        <v>20</v>
      </c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>
        <v>36</v>
      </c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>
        <v>1</v>
      </c>
      <c r="P23" s="71">
        <v>19</v>
      </c>
      <c r="Q23" s="71"/>
      <c r="R23" s="72"/>
      <c r="S23" s="55"/>
      <c r="T23" s="58">
        <f t="shared" si="0"/>
        <v>19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f>5+6</f>
        <v>11</v>
      </c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264</v>
      </c>
      <c r="V24" s="75">
        <f t="shared" si="5"/>
        <v>11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30</v>
      </c>
      <c r="D25" s="70"/>
      <c r="E25" s="70"/>
      <c r="F25" s="70"/>
      <c r="G25" s="70"/>
      <c r="H25" s="70">
        <v>10</v>
      </c>
      <c r="I25" s="70">
        <v>1</v>
      </c>
      <c r="J25" s="71"/>
      <c r="K25" s="72"/>
      <c r="L25" s="55"/>
      <c r="M25" s="73">
        <v>3</v>
      </c>
      <c r="N25" s="74"/>
      <c r="O25" s="70">
        <v>1</v>
      </c>
      <c r="P25" s="71"/>
      <c r="Q25" s="71">
        <v>1</v>
      </c>
      <c r="R25" s="72"/>
      <c r="S25" s="55"/>
      <c r="T25" s="58">
        <f t="shared" si="0"/>
        <v>11</v>
      </c>
      <c r="U25" s="75">
        <f t="shared" si="4"/>
        <v>851</v>
      </c>
      <c r="V25" s="75">
        <f t="shared" si="5"/>
        <v>35.458333333333336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>
        <v>6</v>
      </c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144</v>
      </c>
      <c r="V26" s="75">
        <f t="shared" si="5"/>
        <v>6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4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ref="T27" si="6">H27+I27+J27+K27+N27+P27+R27</f>
        <v>0</v>
      </c>
      <c r="U27" s="75">
        <f t="shared" ref="U27" si="7">C27*24+M27*24+O27*24+Q27*24+T27</f>
        <v>96</v>
      </c>
      <c r="V27" s="75">
        <f t="shared" ref="V27" si="8">U27/24</f>
        <v>4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5+8</f>
        <v>13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6</v>
      </c>
      <c r="N28" s="74"/>
      <c r="O28" s="70">
        <v>2</v>
      </c>
      <c r="P28" s="71"/>
      <c r="Q28" s="71">
        <v>3</v>
      </c>
      <c r="R28" s="72"/>
      <c r="S28" s="55"/>
      <c r="T28" s="58">
        <f t="shared" si="0"/>
        <v>0</v>
      </c>
      <c r="U28" s="75">
        <f t="shared" si="4"/>
        <v>576</v>
      </c>
      <c r="V28" s="75">
        <f t="shared" si="5"/>
        <v>24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f>3+62</f>
        <v>65</v>
      </c>
      <c r="D29" s="70"/>
      <c r="E29" s="70"/>
      <c r="F29" s="70"/>
      <c r="G29" s="70"/>
      <c r="H29" s="70"/>
      <c r="I29" s="70"/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0</v>
      </c>
      <c r="U29" s="75">
        <f t="shared" si="4"/>
        <v>1560</v>
      </c>
      <c r="V29" s="75">
        <f t="shared" si="5"/>
        <v>65</v>
      </c>
    </row>
    <row r="30" spans="1:54" x14ac:dyDescent="0.25">
      <c r="A30" s="27">
        <f t="shared" si="1"/>
        <v>27</v>
      </c>
      <c r="B30" s="26" t="s">
        <v>15</v>
      </c>
      <c r="C30" s="70">
        <v>40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960</v>
      </c>
      <c r="V30" s="75">
        <f t="shared" si="5"/>
        <v>40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>
        <v>1</v>
      </c>
      <c r="R31" s="72"/>
      <c r="S31" s="55"/>
      <c r="T31" s="58">
        <f t="shared" si="0"/>
        <v>0</v>
      </c>
      <c r="U31" s="75">
        <f t="shared" si="4"/>
        <v>24</v>
      </c>
      <c r="V31" s="75">
        <f t="shared" si="5"/>
        <v>1</v>
      </c>
    </row>
    <row r="32" spans="1:54" x14ac:dyDescent="0.25">
      <c r="A32" s="27">
        <f t="shared" si="1"/>
        <v>29</v>
      </c>
      <c r="B32" s="26" t="s">
        <v>14</v>
      </c>
      <c r="C32" s="70">
        <v>4</v>
      </c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96</v>
      </c>
      <c r="V32" s="75">
        <f t="shared" si="5"/>
        <v>4</v>
      </c>
    </row>
    <row r="33" spans="1:23" x14ac:dyDescent="0.25">
      <c r="A33" s="27">
        <f t="shared" si="1"/>
        <v>30</v>
      </c>
      <c r="B33" s="26" t="s">
        <v>16</v>
      </c>
      <c r="C33" s="70">
        <v>5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120</v>
      </c>
      <c r="V33" s="75">
        <f t="shared" si="5"/>
        <v>5</v>
      </c>
    </row>
    <row r="34" spans="1:23" x14ac:dyDescent="0.25">
      <c r="A34" s="27">
        <f t="shared" si="1"/>
        <v>31</v>
      </c>
      <c r="B34" s="26" t="s">
        <v>17</v>
      </c>
      <c r="C34" s="70">
        <f>72+38</f>
        <v>110</v>
      </c>
      <c r="D34" s="70"/>
      <c r="E34" s="70"/>
      <c r="F34" s="70"/>
      <c r="G34" s="70"/>
      <c r="H34" s="70">
        <v>4</v>
      </c>
      <c r="I34" s="70"/>
      <c r="J34" s="71"/>
      <c r="K34" s="72">
        <v>1</v>
      </c>
      <c r="L34" s="55"/>
      <c r="M34" s="73">
        <v>3</v>
      </c>
      <c r="N34" s="74"/>
      <c r="O34" s="70">
        <v>3</v>
      </c>
      <c r="P34" s="71"/>
      <c r="Q34" s="71"/>
      <c r="R34" s="72"/>
      <c r="S34" s="55"/>
      <c r="T34" s="58">
        <f t="shared" si="0"/>
        <v>5</v>
      </c>
      <c r="U34" s="75">
        <f t="shared" si="4"/>
        <v>2789</v>
      </c>
      <c r="V34" s="75">
        <f t="shared" si="5"/>
        <v>116.20833333333333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>
        <v>2</v>
      </c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48</v>
      </c>
      <c r="V36" s="75">
        <f t="shared" si="5"/>
        <v>2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61+2592+1080</f>
        <v>3733</v>
      </c>
      <c r="D37" s="59"/>
      <c r="E37" s="59"/>
      <c r="F37" s="59"/>
      <c r="G37" s="59"/>
      <c r="H37" s="59"/>
      <c r="I37" s="59"/>
      <c r="J37" s="60"/>
      <c r="K37" s="61">
        <v>2</v>
      </c>
      <c r="L37" s="62"/>
      <c r="M37" s="63">
        <v>20</v>
      </c>
      <c r="N37" s="64"/>
      <c r="O37" s="65">
        <v>27</v>
      </c>
      <c r="P37" s="66"/>
      <c r="Q37" s="66">
        <v>117</v>
      </c>
      <c r="R37" s="67"/>
      <c r="S37" s="62"/>
      <c r="T37" s="77">
        <f t="shared" si="0"/>
        <v>2</v>
      </c>
      <c r="U37" s="77">
        <f>C37*6+M37*6+O37*6+Q37*6+T37</f>
        <v>23384</v>
      </c>
      <c r="V37" s="77">
        <f>U37/6</f>
        <v>3897.3333333333335</v>
      </c>
      <c r="W37" s="50"/>
    </row>
    <row r="38" spans="1:23" x14ac:dyDescent="0.25">
      <c r="A38" s="27">
        <f t="shared" si="1"/>
        <v>35</v>
      </c>
      <c r="B38" s="25" t="s">
        <v>20</v>
      </c>
      <c r="C38" s="70">
        <v>7</v>
      </c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168</v>
      </c>
      <c r="V38" s="75">
        <f>U38/24</f>
        <v>7</v>
      </c>
    </row>
    <row r="39" spans="1:23" x14ac:dyDescent="0.25">
      <c r="A39" s="27">
        <f t="shared" si="1"/>
        <v>36</v>
      </c>
      <c r="B39" s="51" t="s">
        <v>62</v>
      </c>
      <c r="C39" s="78">
        <v>4</v>
      </c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ref="T39" si="9">H39+I39+J39+K39+N39+P39+R39</f>
        <v>0</v>
      </c>
      <c r="U39" s="75">
        <f>C39*24+M39*24+O39*24+Q39*24+T39</f>
        <v>96</v>
      </c>
      <c r="V39" s="75">
        <f>U39/24</f>
        <v>4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6+315</f>
        <v>321</v>
      </c>
      <c r="D40" s="59"/>
      <c r="E40" s="59"/>
      <c r="F40" s="59"/>
      <c r="G40" s="59"/>
      <c r="H40" s="59">
        <v>4</v>
      </c>
      <c r="I40" s="59"/>
      <c r="J40" s="60"/>
      <c r="K40" s="61">
        <v>20</v>
      </c>
      <c r="L40" s="62"/>
      <c r="M40" s="63"/>
      <c r="N40" s="64"/>
      <c r="O40" s="65">
        <v>2</v>
      </c>
      <c r="P40" s="66"/>
      <c r="Q40" s="66"/>
      <c r="R40" s="67"/>
      <c r="S40" s="62"/>
      <c r="T40" s="77">
        <f t="shared" si="0"/>
        <v>24</v>
      </c>
      <c r="U40" s="77">
        <f>C40*24+M40*24+O40*24+Q40*24+T40</f>
        <v>7776</v>
      </c>
      <c r="V40" s="77">
        <f>U40/24</f>
        <v>324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192+768</f>
        <v>960</v>
      </c>
      <c r="D41" s="82"/>
      <c r="E41" s="82"/>
      <c r="F41" s="82"/>
      <c r="G41" s="82"/>
      <c r="H41" s="82">
        <v>9</v>
      </c>
      <c r="I41" s="82"/>
      <c r="J41" s="83"/>
      <c r="K41" s="84"/>
      <c r="L41" s="85"/>
      <c r="M41" s="86">
        <v>2</v>
      </c>
      <c r="N41" s="87"/>
      <c r="O41" s="82">
        <v>8</v>
      </c>
      <c r="P41" s="83"/>
      <c r="Q41" s="83">
        <v>36</v>
      </c>
      <c r="R41" s="84"/>
      <c r="S41" s="85"/>
      <c r="T41" s="88">
        <f t="shared" si="0"/>
        <v>9</v>
      </c>
      <c r="U41" s="88">
        <f>C41*12+M41*12+O41*12+Q41*12+T41</f>
        <v>12081</v>
      </c>
      <c r="V41" s="88">
        <f>U41/12</f>
        <v>1006.75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7776+216+5616+4536+9612+107</f>
        <v>27863</v>
      </c>
      <c r="D43" s="65"/>
      <c r="E43" s="65"/>
      <c r="F43" s="65"/>
      <c r="G43" s="65"/>
      <c r="H43" s="65">
        <v>1</v>
      </c>
      <c r="I43" s="65">
        <v>7</v>
      </c>
      <c r="J43" s="66">
        <f>23*6+2</f>
        <v>140</v>
      </c>
      <c r="K43" s="67">
        <f>21*6+2</f>
        <v>128</v>
      </c>
      <c r="L43" s="62"/>
      <c r="M43" s="63">
        <v>546</v>
      </c>
      <c r="N43" s="64"/>
      <c r="O43" s="65">
        <v>385</v>
      </c>
      <c r="P43" s="66"/>
      <c r="Q43" s="66">
        <v>542</v>
      </c>
      <c r="R43" s="67"/>
      <c r="S43" s="62"/>
      <c r="T43" s="77">
        <f t="shared" ref="T43" si="10">H43+I43+J43+K43+N43+P43+R43</f>
        <v>276</v>
      </c>
      <c r="U43" s="77">
        <f>C43*6+M43*6+O43*6+Q43*6+T43</f>
        <v>176292</v>
      </c>
      <c r="V43" s="77">
        <f>U43/6</f>
        <v>29382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>
        <v>1</v>
      </c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11">H45+I45+J45+K45+N45+P45+R45</f>
        <v>0</v>
      </c>
      <c r="U45" s="75">
        <f>C45*24+M45*24+O45*24+Q45*24+T45</f>
        <v>24</v>
      </c>
      <c r="V45" s="75">
        <f>U45/24</f>
        <v>1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11"/>
        <v>0</v>
      </c>
      <c r="U46" s="75">
        <f t="shared" ref="U46:U50" si="12">C46*24+M46*24+O46*24+Q46*24+T46</f>
        <v>0</v>
      </c>
      <c r="V46" s="75">
        <f t="shared" ref="V46:V54" si="13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432+106+24+2268</f>
        <v>2830</v>
      </c>
      <c r="D47" s="65"/>
      <c r="E47" s="65"/>
      <c r="F47" s="65"/>
      <c r="G47" s="65"/>
      <c r="H47" s="65">
        <v>2</v>
      </c>
      <c r="I47" s="65"/>
      <c r="J47" s="66"/>
      <c r="K47" s="67">
        <v>4</v>
      </c>
      <c r="L47" s="62"/>
      <c r="M47" s="63"/>
      <c r="N47" s="64"/>
      <c r="O47" s="65">
        <v>3</v>
      </c>
      <c r="P47" s="66">
        <v>4</v>
      </c>
      <c r="Q47" s="66">
        <v>8</v>
      </c>
      <c r="R47" s="67"/>
      <c r="S47" s="62"/>
      <c r="T47" s="77">
        <f t="shared" si="11"/>
        <v>10</v>
      </c>
      <c r="U47" s="77">
        <f>C47*6+M47*6+O47*6+Q47*6+T47</f>
        <v>17056</v>
      </c>
      <c r="V47" s="77">
        <f>U47/6</f>
        <v>2842.6666666666665</v>
      </c>
    </row>
    <row r="48" spans="1:23" x14ac:dyDescent="0.25">
      <c r="A48" s="27">
        <f t="shared" si="1"/>
        <v>45</v>
      </c>
      <c r="B48" s="25" t="s">
        <v>58</v>
      </c>
      <c r="C48" s="70">
        <v>1</v>
      </c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11"/>
        <v>0</v>
      </c>
      <c r="U48" s="75">
        <f t="shared" si="12"/>
        <v>24</v>
      </c>
      <c r="V48" s="75">
        <f t="shared" si="13"/>
        <v>1</v>
      </c>
    </row>
    <row r="49" spans="1:22" x14ac:dyDescent="0.25">
      <c r="A49" s="27">
        <f t="shared" si="1"/>
        <v>46</v>
      </c>
      <c r="B49" s="26" t="s">
        <v>26</v>
      </c>
      <c r="C49" s="70">
        <v>4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11"/>
        <v>0</v>
      </c>
      <c r="U49" s="75">
        <f t="shared" si="12"/>
        <v>96</v>
      </c>
      <c r="V49" s="75">
        <f t="shared" si="13"/>
        <v>4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11"/>
        <v>0</v>
      </c>
      <c r="U50" s="75">
        <f t="shared" si="12"/>
        <v>0</v>
      </c>
      <c r="V50" s="75">
        <f t="shared" si="13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11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>
        <v>2</v>
      </c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11"/>
        <v>0</v>
      </c>
      <c r="U52" s="75">
        <f t="shared" ref="U52:U54" si="14">C52*24+M52*24+O52*24+Q52*24+T52</f>
        <v>48</v>
      </c>
      <c r="V52" s="75">
        <f t="shared" si="13"/>
        <v>2</v>
      </c>
    </row>
    <row r="53" spans="1:22" x14ac:dyDescent="0.25">
      <c r="A53" s="27">
        <f t="shared" si="1"/>
        <v>50</v>
      </c>
      <c r="B53" s="26" t="s">
        <v>63</v>
      </c>
      <c r="C53" s="70">
        <f>10+4</f>
        <v>14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11"/>
        <v>0</v>
      </c>
      <c r="U53" s="75">
        <f t="shared" si="14"/>
        <v>336</v>
      </c>
      <c r="V53" s="75">
        <f t="shared" si="13"/>
        <v>14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11"/>
        <v>0</v>
      </c>
      <c r="U54" s="75">
        <f t="shared" si="14"/>
        <v>0</v>
      </c>
      <c r="V54" s="75">
        <f t="shared" si="13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39922</v>
      </c>
      <c r="D58" s="2"/>
      <c r="E58" s="2"/>
      <c r="F58" s="2">
        <f t="shared" ref="F58:K58" si="15">SUM(F7:F57)</f>
        <v>0</v>
      </c>
      <c r="G58" s="2">
        <f t="shared" si="15"/>
        <v>0</v>
      </c>
      <c r="H58" s="2">
        <f t="shared" si="15"/>
        <v>126</v>
      </c>
      <c r="I58" s="6">
        <f t="shared" si="15"/>
        <v>9</v>
      </c>
      <c r="J58" s="6">
        <f t="shared" si="15"/>
        <v>140</v>
      </c>
      <c r="K58" s="6">
        <f t="shared" si="15"/>
        <v>163</v>
      </c>
      <c r="M58" s="5">
        <f t="shared" ref="M58:R58" si="16">SUM(M7:M57)</f>
        <v>607</v>
      </c>
      <c r="N58" s="5">
        <f t="shared" si="16"/>
        <v>0</v>
      </c>
      <c r="O58" s="5">
        <f t="shared" si="16"/>
        <v>451</v>
      </c>
      <c r="P58" s="5">
        <f t="shared" si="16"/>
        <v>35</v>
      </c>
      <c r="Q58" s="5">
        <f t="shared" si="16"/>
        <v>734</v>
      </c>
      <c r="R58" s="5">
        <f t="shared" si="16"/>
        <v>4</v>
      </c>
      <c r="S58" s="55"/>
      <c r="T58" s="4">
        <f>SUM(T7:T57)</f>
        <v>477</v>
      </c>
      <c r="U58" s="90">
        <f>SUM(U7:U57)</f>
        <v>339597</v>
      </c>
      <c r="V58" s="4">
        <f>SUM(V7:V57)</f>
        <v>41770.249999999993</v>
      </c>
    </row>
    <row r="59" spans="1:22" ht="7.5" customHeight="1" thickBot="1" x14ac:dyDescent="0.3"/>
    <row r="60" spans="1:22" ht="19.5" thickBot="1" x14ac:dyDescent="0.3">
      <c r="B60" s="30" t="s">
        <v>37</v>
      </c>
      <c r="C60" s="103" t="s">
        <v>41</v>
      </c>
      <c r="D60" s="104"/>
      <c r="E60" s="104"/>
      <c r="F60" s="104"/>
      <c r="G60" s="104"/>
      <c r="H60" s="104"/>
      <c r="I60" s="104"/>
      <c r="J60" s="104"/>
      <c r="K60" s="105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DDB1-C2C1-437F-82FE-1324F6CC2192}">
  <sheetPr>
    <pageSetUpPr fitToPage="1"/>
  </sheetPr>
  <dimension ref="A1:BB81"/>
  <sheetViews>
    <sheetView zoomScaleNormal="100" zoomScaleSheetLayoutView="115" workbookViewId="0">
      <selection activeCell="C58" sqref="C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06" t="s">
        <v>43</v>
      </c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54" x14ac:dyDescent="0.25">
      <c r="B2" s="28" t="s">
        <v>74</v>
      </c>
    </row>
    <row r="3" spans="1:54" ht="19.5" thickBot="1" x14ac:dyDescent="0.3"/>
    <row r="4" spans="1:54" s="10" customFormat="1" ht="15.75" x14ac:dyDescent="0.25">
      <c r="B4" s="41" t="s">
        <v>52</v>
      </c>
      <c r="C4" s="107" t="s">
        <v>41</v>
      </c>
      <c r="D4" s="107"/>
      <c r="E4" s="107"/>
      <c r="F4" s="107"/>
      <c r="G4" s="107"/>
      <c r="H4" s="107"/>
      <c r="I4" s="107"/>
      <c r="J4" s="108"/>
      <c r="K4" s="109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0" t="s">
        <v>68</v>
      </c>
      <c r="U4" s="116" t="s">
        <v>67</v>
      </c>
      <c r="V4" s="99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14" t="s">
        <v>65</v>
      </c>
      <c r="K5" s="115"/>
      <c r="M5" s="37"/>
      <c r="N5" s="49"/>
      <c r="O5" s="40"/>
      <c r="P5" s="96"/>
      <c r="Q5" s="96"/>
      <c r="R5" s="38"/>
      <c r="S5" s="9"/>
      <c r="T5" s="111"/>
      <c r="U5" s="117"/>
      <c r="V5" s="100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6"/>
      <c r="K6" s="38"/>
      <c r="M6" s="37"/>
      <c r="N6" s="49"/>
      <c r="O6" s="40"/>
      <c r="P6" s="96"/>
      <c r="Q6" s="96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f>20+26</f>
        <v>46</v>
      </c>
      <c r="D7" s="52"/>
      <c r="E7" s="52"/>
      <c r="F7" s="52"/>
      <c r="G7" s="52"/>
      <c r="H7" s="52"/>
      <c r="I7" s="52">
        <v>1</v>
      </c>
      <c r="J7" s="53"/>
      <c r="K7" s="54">
        <v>6</v>
      </c>
      <c r="L7" s="55"/>
      <c r="M7" s="56">
        <v>3</v>
      </c>
      <c r="N7" s="57">
        <v>2</v>
      </c>
      <c r="O7" s="52">
        <v>3</v>
      </c>
      <c r="P7" s="53">
        <v>12</v>
      </c>
      <c r="Q7" s="53"/>
      <c r="R7" s="54"/>
      <c r="S7" s="55"/>
      <c r="T7" s="58">
        <f>H7+I7+J7+K7+N7+P7+R7</f>
        <v>21</v>
      </c>
      <c r="U7" s="58">
        <f>C7*24+M7*24+O7*24+Q7*24+T7</f>
        <v>1269</v>
      </c>
      <c r="V7" s="58">
        <f>U7/24</f>
        <v>52.875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20+63+15+4</f>
        <v>102</v>
      </c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>
        <v>1</v>
      </c>
      <c r="P8" s="66"/>
      <c r="Q8" s="66"/>
      <c r="R8" s="67"/>
      <c r="S8" s="62"/>
      <c r="T8" s="68">
        <f t="shared" ref="T8:T41" si="0">H8+I8+J8+K8+N8+P8+R8</f>
        <v>0</v>
      </c>
      <c r="U8" s="69">
        <f>C8*24+M8*24+O8*24+Q8*24+T8</f>
        <v>2472</v>
      </c>
      <c r="V8" s="69">
        <f>U8/24</f>
        <v>103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87</v>
      </c>
      <c r="D9" s="70"/>
      <c r="E9" s="70"/>
      <c r="F9" s="70"/>
      <c r="G9" s="70"/>
      <c r="H9" s="70"/>
      <c r="I9" s="70"/>
      <c r="J9" s="71"/>
      <c r="K9" s="72"/>
      <c r="L9" s="55"/>
      <c r="M9" s="73">
        <v>5</v>
      </c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2208</v>
      </c>
      <c r="V9" s="76">
        <f t="shared" ref="V9:V11" si="3">U9/24</f>
        <v>92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4</v>
      </c>
      <c r="D11" s="70"/>
      <c r="E11" s="70"/>
      <c r="F11" s="70"/>
      <c r="G11" s="70"/>
      <c r="H11" s="70">
        <v>22</v>
      </c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24</v>
      </c>
      <c r="U11" s="58">
        <f t="shared" si="2"/>
        <v>120</v>
      </c>
      <c r="V11" s="58">
        <f t="shared" si="3"/>
        <v>5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1512+13+1440+576</f>
        <v>3541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17</v>
      </c>
      <c r="N12" s="64">
        <v>21</v>
      </c>
      <c r="O12" s="65">
        <v>12</v>
      </c>
      <c r="P12" s="66">
        <v>4</v>
      </c>
      <c r="Q12" s="66">
        <v>6</v>
      </c>
      <c r="R12" s="67">
        <v>2</v>
      </c>
      <c r="S12" s="62"/>
      <c r="T12" s="58">
        <f t="shared" si="0"/>
        <v>27</v>
      </c>
      <c r="U12" s="69">
        <f>C12*24+M12*24+O12*24+Q12*24+T12</f>
        <v>85851</v>
      </c>
      <c r="V12" s="69">
        <f>U12/24</f>
        <v>3577.125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f>2+2</f>
        <v>4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58">
        <f t="shared" si="0"/>
        <v>16</v>
      </c>
      <c r="U13" s="76">
        <f>C13*24+M13*24+O13*24+Q13*24+T13</f>
        <v>112</v>
      </c>
      <c r="V13" s="76">
        <f>U13/24</f>
        <v>4.666666666666667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3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72</v>
      </c>
      <c r="V14" s="75">
        <f t="shared" ref="V14:V36" si="5">U14/24</f>
        <v>3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>
        <v>2</v>
      </c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48</v>
      </c>
      <c r="V15" s="75">
        <f t="shared" si="5"/>
        <v>2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>
        <v>1</v>
      </c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24</v>
      </c>
      <c r="V16" s="75">
        <f t="shared" si="5"/>
        <v>1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>
        <v>3</v>
      </c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f>2+2</f>
        <v>4</v>
      </c>
      <c r="D19" s="70"/>
      <c r="E19" s="70"/>
      <c r="F19" s="70"/>
      <c r="G19" s="70"/>
      <c r="H19" s="70">
        <v>20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20</v>
      </c>
      <c r="U19" s="75">
        <f t="shared" si="4"/>
        <v>116</v>
      </c>
      <c r="V19" s="75">
        <f t="shared" si="5"/>
        <v>4.833333333333333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>
        <v>16</v>
      </c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16</v>
      </c>
      <c r="U20" s="75">
        <f t="shared" si="4"/>
        <v>136</v>
      </c>
      <c r="V20" s="75">
        <f t="shared" si="5"/>
        <v>5.666666666666667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>
        <f>3+1</f>
        <v>4</v>
      </c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96</v>
      </c>
      <c r="V21" s="75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>
        <v>20</v>
      </c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>
        <v>36</v>
      </c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>
        <v>1</v>
      </c>
      <c r="P23" s="71">
        <v>19</v>
      </c>
      <c r="Q23" s="71"/>
      <c r="R23" s="72"/>
      <c r="S23" s="55"/>
      <c r="T23" s="58">
        <f t="shared" si="0"/>
        <v>19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f>5+6</f>
        <v>11</v>
      </c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264</v>
      </c>
      <c r="V24" s="75">
        <f t="shared" si="5"/>
        <v>11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30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3</v>
      </c>
      <c r="N25" s="74">
        <v>10</v>
      </c>
      <c r="O25" s="70">
        <v>1</v>
      </c>
      <c r="P25" s="71"/>
      <c r="Q25" s="71"/>
      <c r="R25" s="72"/>
      <c r="S25" s="55"/>
      <c r="T25" s="58">
        <f t="shared" si="0"/>
        <v>11</v>
      </c>
      <c r="U25" s="75">
        <f t="shared" si="4"/>
        <v>827</v>
      </c>
      <c r="V25" s="75">
        <f t="shared" si="5"/>
        <v>34.458333333333336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>
        <v>6</v>
      </c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144</v>
      </c>
      <c r="V26" s="75">
        <f t="shared" si="5"/>
        <v>6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4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ref="T27" si="6">H27+I27+J27+K27+N27+P27+R27</f>
        <v>0</v>
      </c>
      <c r="U27" s="75">
        <f t="shared" ref="U27" si="7">C27*24+M27*24+O27*24+Q27*24+T27</f>
        <v>96</v>
      </c>
      <c r="V27" s="75">
        <f t="shared" ref="V27" si="8">U27/24</f>
        <v>4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5+8</f>
        <v>13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4</v>
      </c>
      <c r="N28" s="74">
        <v>12</v>
      </c>
      <c r="O28" s="70">
        <v>1</v>
      </c>
      <c r="P28" s="71"/>
      <c r="Q28" s="71"/>
      <c r="R28" s="72"/>
      <c r="S28" s="55"/>
      <c r="T28" s="58">
        <f t="shared" si="0"/>
        <v>12</v>
      </c>
      <c r="U28" s="75">
        <f t="shared" si="4"/>
        <v>444</v>
      </c>
      <c r="V28" s="75">
        <f t="shared" si="5"/>
        <v>18.5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f>3+62</f>
        <v>65</v>
      </c>
      <c r="D29" s="70"/>
      <c r="E29" s="70"/>
      <c r="F29" s="70"/>
      <c r="G29" s="70"/>
      <c r="H29" s="70"/>
      <c r="I29" s="70"/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0</v>
      </c>
      <c r="U29" s="75">
        <f t="shared" si="4"/>
        <v>1560</v>
      </c>
      <c r="V29" s="75">
        <f t="shared" si="5"/>
        <v>65</v>
      </c>
    </row>
    <row r="30" spans="1:54" x14ac:dyDescent="0.25">
      <c r="A30" s="27">
        <f t="shared" si="1"/>
        <v>27</v>
      </c>
      <c r="B30" s="26" t="s">
        <v>15</v>
      </c>
      <c r="C30" s="70">
        <v>40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960</v>
      </c>
      <c r="V30" s="75">
        <f t="shared" si="5"/>
        <v>40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>
        <v>2</v>
      </c>
      <c r="D32" s="70"/>
      <c r="E32" s="70"/>
      <c r="F32" s="70"/>
      <c r="G32" s="70"/>
      <c r="H32" s="70"/>
      <c r="I32" s="70"/>
      <c r="J32" s="71"/>
      <c r="K32" s="72"/>
      <c r="L32" s="55"/>
      <c r="M32" s="73">
        <v>2</v>
      </c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96</v>
      </c>
      <c r="V32" s="75">
        <f t="shared" si="5"/>
        <v>4</v>
      </c>
    </row>
    <row r="33" spans="1:23" x14ac:dyDescent="0.25">
      <c r="A33" s="27">
        <f t="shared" si="1"/>
        <v>30</v>
      </c>
      <c r="B33" s="26" t="s">
        <v>16</v>
      </c>
      <c r="C33" s="70">
        <v>4</v>
      </c>
      <c r="D33" s="70"/>
      <c r="E33" s="70"/>
      <c r="F33" s="70"/>
      <c r="G33" s="70"/>
      <c r="H33" s="70"/>
      <c r="I33" s="70"/>
      <c r="J33" s="71"/>
      <c r="K33" s="72"/>
      <c r="L33" s="55"/>
      <c r="M33" s="73">
        <v>1</v>
      </c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120</v>
      </c>
      <c r="V33" s="75">
        <f t="shared" si="5"/>
        <v>5</v>
      </c>
    </row>
    <row r="34" spans="1:23" x14ac:dyDescent="0.25">
      <c r="A34" s="27">
        <f t="shared" si="1"/>
        <v>31</v>
      </c>
      <c r="B34" s="26" t="s">
        <v>17</v>
      </c>
      <c r="C34" s="70">
        <f>38+72</f>
        <v>110</v>
      </c>
      <c r="D34" s="70"/>
      <c r="E34" s="70"/>
      <c r="F34" s="70"/>
      <c r="G34" s="70"/>
      <c r="H34" s="70"/>
      <c r="I34" s="70"/>
      <c r="J34" s="71"/>
      <c r="K34" s="72">
        <v>1</v>
      </c>
      <c r="L34" s="55"/>
      <c r="M34" s="73">
        <v>3</v>
      </c>
      <c r="N34" s="74">
        <v>4</v>
      </c>
      <c r="O34" s="70">
        <v>3</v>
      </c>
      <c r="P34" s="71"/>
      <c r="Q34" s="71"/>
      <c r="R34" s="72"/>
      <c r="S34" s="55"/>
      <c r="T34" s="58">
        <f t="shared" si="0"/>
        <v>5</v>
      </c>
      <c r="U34" s="75">
        <f t="shared" si="4"/>
        <v>2789</v>
      </c>
      <c r="V34" s="75">
        <f t="shared" si="5"/>
        <v>116.20833333333333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>
        <v>2</v>
      </c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48</v>
      </c>
      <c r="V36" s="75">
        <f t="shared" si="5"/>
        <v>2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65+2592+1080+61</f>
        <v>3798</v>
      </c>
      <c r="D37" s="59"/>
      <c r="E37" s="59"/>
      <c r="F37" s="59"/>
      <c r="G37" s="59"/>
      <c r="H37" s="59"/>
      <c r="I37" s="59"/>
      <c r="J37" s="60"/>
      <c r="K37" s="61">
        <v>2</v>
      </c>
      <c r="L37" s="62"/>
      <c r="M37" s="63">
        <v>20</v>
      </c>
      <c r="N37" s="64"/>
      <c r="O37" s="65">
        <v>27</v>
      </c>
      <c r="P37" s="66"/>
      <c r="Q37" s="66">
        <v>1</v>
      </c>
      <c r="R37" s="67"/>
      <c r="S37" s="62"/>
      <c r="T37" s="77">
        <f t="shared" si="0"/>
        <v>2</v>
      </c>
      <c r="U37" s="77">
        <f>C37*6+M37*6+O37*6+Q37*6+T37</f>
        <v>23078</v>
      </c>
      <c r="V37" s="77">
        <f>U37/6</f>
        <v>3846.3333333333335</v>
      </c>
      <c r="W37" s="50"/>
    </row>
    <row r="38" spans="1:23" x14ac:dyDescent="0.25">
      <c r="A38" s="27">
        <f t="shared" si="1"/>
        <v>35</v>
      </c>
      <c r="B38" s="25" t="s">
        <v>20</v>
      </c>
      <c r="C38" s="70">
        <v>7</v>
      </c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168</v>
      </c>
      <c r="V38" s="75">
        <f>U38/24</f>
        <v>7</v>
      </c>
    </row>
    <row r="39" spans="1:23" x14ac:dyDescent="0.25">
      <c r="A39" s="27">
        <f t="shared" si="1"/>
        <v>36</v>
      </c>
      <c r="B39" s="51" t="s">
        <v>62</v>
      </c>
      <c r="C39" s="78">
        <v>4</v>
      </c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ref="T39" si="9">H39+I39+J39+K39+N39+P39+R39</f>
        <v>0</v>
      </c>
      <c r="U39" s="75">
        <f>C39*24+M39*24+O39*24+Q39*24+T39</f>
        <v>96</v>
      </c>
      <c r="V39" s="75">
        <f>U39/24</f>
        <v>4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6+315</f>
        <v>321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>
        <v>4</v>
      </c>
      <c r="O40" s="65">
        <v>2</v>
      </c>
      <c r="P40" s="66"/>
      <c r="Q40" s="66"/>
      <c r="R40" s="67"/>
      <c r="S40" s="62"/>
      <c r="T40" s="77">
        <f t="shared" si="0"/>
        <v>24</v>
      </c>
      <c r="U40" s="77">
        <f>C40*24+M40*24+O40*24+Q40*24+T40</f>
        <v>7776</v>
      </c>
      <c r="V40" s="77">
        <f>U40/24</f>
        <v>324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192+672+86</f>
        <v>950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10</v>
      </c>
      <c r="N41" s="87">
        <v>9</v>
      </c>
      <c r="O41" s="82">
        <v>5</v>
      </c>
      <c r="P41" s="83"/>
      <c r="Q41" s="83">
        <v>4</v>
      </c>
      <c r="R41" s="84"/>
      <c r="S41" s="85"/>
      <c r="T41" s="88">
        <f t="shared" si="0"/>
        <v>9</v>
      </c>
      <c r="U41" s="88">
        <f>C41*12+M41*12+O41*12+Q41*12+T41</f>
        <v>11637</v>
      </c>
      <c r="V41" s="88">
        <f>U41/12</f>
        <v>969.75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7452+5616+4536+9612</f>
        <v>27216</v>
      </c>
      <c r="D43" s="65"/>
      <c r="E43" s="65"/>
      <c r="F43" s="65"/>
      <c r="G43" s="65"/>
      <c r="H43" s="65">
        <v>2</v>
      </c>
      <c r="I43" s="65">
        <v>7</v>
      </c>
      <c r="J43" s="66">
        <f>27*6+1</f>
        <v>163</v>
      </c>
      <c r="K43" s="67">
        <f>21*6+2</f>
        <v>128</v>
      </c>
      <c r="L43" s="62"/>
      <c r="M43" s="63">
        <v>331</v>
      </c>
      <c r="N43" s="64"/>
      <c r="O43" s="65">
        <v>391</v>
      </c>
      <c r="P43" s="66"/>
      <c r="Q43" s="66">
        <v>19</v>
      </c>
      <c r="R43" s="67"/>
      <c r="S43" s="62"/>
      <c r="T43" s="77">
        <f t="shared" ref="T43" si="10">H43+I43+J43+K43+N43+P43+R43</f>
        <v>300</v>
      </c>
      <c r="U43" s="77">
        <f>C43*6+M43*6+O43*6+Q43*6+T43</f>
        <v>168042</v>
      </c>
      <c r="V43" s="77">
        <f>U43/6</f>
        <v>28007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>
        <v>1</v>
      </c>
      <c r="N45" s="74"/>
      <c r="O45" s="70"/>
      <c r="P45" s="71"/>
      <c r="Q45" s="71"/>
      <c r="R45" s="72"/>
      <c r="S45" s="55"/>
      <c r="T45" s="75">
        <f t="shared" ref="T45:T54" si="11">H45+I45+J45+K45+N45+P45+R45</f>
        <v>0</v>
      </c>
      <c r="U45" s="75">
        <f>C45*24+M45*24+O45*24+Q45*24+T45</f>
        <v>24</v>
      </c>
      <c r="V45" s="75">
        <f>U45/24</f>
        <v>1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11"/>
        <v>0</v>
      </c>
      <c r="U46" s="75">
        <f t="shared" ref="U46:U50" si="12">C46*24+M46*24+O46*24+Q46*24+T46</f>
        <v>0</v>
      </c>
      <c r="V46" s="75">
        <f t="shared" ref="V46:V54" si="13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432+106+2268+24</f>
        <v>2830</v>
      </c>
      <c r="D47" s="65"/>
      <c r="E47" s="65"/>
      <c r="F47" s="65"/>
      <c r="G47" s="65"/>
      <c r="H47" s="65">
        <v>2</v>
      </c>
      <c r="I47" s="65"/>
      <c r="J47" s="66"/>
      <c r="K47" s="67">
        <v>4</v>
      </c>
      <c r="L47" s="62"/>
      <c r="M47" s="63"/>
      <c r="N47" s="64"/>
      <c r="O47" s="65">
        <v>3</v>
      </c>
      <c r="P47" s="66">
        <v>4</v>
      </c>
      <c r="Q47" s="66">
        <v>8</v>
      </c>
      <c r="R47" s="67"/>
      <c r="S47" s="62"/>
      <c r="T47" s="77">
        <f t="shared" si="11"/>
        <v>10</v>
      </c>
      <c r="U47" s="77">
        <f>C47*6+M47*6+O47*6+Q47*6+T47</f>
        <v>17056</v>
      </c>
      <c r="V47" s="77">
        <f>U47/6</f>
        <v>2842.6666666666665</v>
      </c>
    </row>
    <row r="48" spans="1:23" x14ac:dyDescent="0.25">
      <c r="A48" s="27">
        <f t="shared" si="1"/>
        <v>45</v>
      </c>
      <c r="B48" s="25" t="s">
        <v>58</v>
      </c>
      <c r="C48" s="70">
        <v>1</v>
      </c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11"/>
        <v>0</v>
      </c>
      <c r="U48" s="75">
        <f t="shared" si="12"/>
        <v>24</v>
      </c>
      <c r="V48" s="75">
        <f t="shared" si="13"/>
        <v>1</v>
      </c>
    </row>
    <row r="49" spans="1:22" x14ac:dyDescent="0.25">
      <c r="A49" s="27">
        <f t="shared" si="1"/>
        <v>46</v>
      </c>
      <c r="B49" s="26" t="s">
        <v>26</v>
      </c>
      <c r="C49" s="70">
        <v>4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11"/>
        <v>0</v>
      </c>
      <c r="U49" s="75">
        <f t="shared" si="12"/>
        <v>96</v>
      </c>
      <c r="V49" s="75">
        <f t="shared" si="13"/>
        <v>4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11"/>
        <v>0</v>
      </c>
      <c r="U50" s="75">
        <f t="shared" si="12"/>
        <v>0</v>
      </c>
      <c r="V50" s="75">
        <f t="shared" si="13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11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>
        <v>2</v>
      </c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11"/>
        <v>0</v>
      </c>
      <c r="U52" s="75">
        <f t="shared" ref="U52:U54" si="14">C52*24+M52*24+O52*24+Q52*24+T52</f>
        <v>48</v>
      </c>
      <c r="V52" s="75">
        <f t="shared" si="13"/>
        <v>2</v>
      </c>
    </row>
    <row r="53" spans="1:22" x14ac:dyDescent="0.25">
      <c r="A53" s="27">
        <f t="shared" si="1"/>
        <v>50</v>
      </c>
      <c r="B53" s="26" t="s">
        <v>63</v>
      </c>
      <c r="C53" s="70">
        <f>10+4</f>
        <v>14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11"/>
        <v>0</v>
      </c>
      <c r="U53" s="75">
        <f t="shared" si="14"/>
        <v>336</v>
      </c>
      <c r="V53" s="75">
        <f t="shared" si="13"/>
        <v>14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11"/>
        <v>0</v>
      </c>
      <c r="U54" s="75">
        <f t="shared" si="14"/>
        <v>0</v>
      </c>
      <c r="V54" s="75">
        <f t="shared" si="13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39312</v>
      </c>
      <c r="D58" s="2"/>
      <c r="E58" s="2"/>
      <c r="F58" s="2">
        <f t="shared" ref="F58:K58" si="15">SUM(F7:F57)</f>
        <v>0</v>
      </c>
      <c r="G58" s="2">
        <f t="shared" si="15"/>
        <v>0</v>
      </c>
      <c r="H58" s="2">
        <f t="shared" si="15"/>
        <v>98</v>
      </c>
      <c r="I58" s="6">
        <f t="shared" si="15"/>
        <v>9</v>
      </c>
      <c r="J58" s="6">
        <f t="shared" si="15"/>
        <v>163</v>
      </c>
      <c r="K58" s="6">
        <f t="shared" si="15"/>
        <v>163</v>
      </c>
      <c r="M58" s="5">
        <f t="shared" ref="M58:R58" si="16">SUM(M7:M57)</f>
        <v>400</v>
      </c>
      <c r="N58" s="5">
        <f t="shared" si="16"/>
        <v>62</v>
      </c>
      <c r="O58" s="5">
        <f t="shared" si="16"/>
        <v>450</v>
      </c>
      <c r="P58" s="5">
        <f t="shared" si="16"/>
        <v>39</v>
      </c>
      <c r="Q58" s="5">
        <f t="shared" si="16"/>
        <v>38</v>
      </c>
      <c r="R58" s="5">
        <f t="shared" si="16"/>
        <v>2</v>
      </c>
      <c r="S58" s="55"/>
      <c r="T58" s="4">
        <f>SUM(T7:T57)</f>
        <v>536</v>
      </c>
      <c r="U58" s="90">
        <f>SUM(U7:U57)</f>
        <v>329504</v>
      </c>
      <c r="V58" s="4">
        <f>SUM(V7:V57)</f>
        <v>40261.708333333328</v>
      </c>
    </row>
    <row r="59" spans="1:22" ht="7.5" customHeight="1" thickBot="1" x14ac:dyDescent="0.3"/>
    <row r="60" spans="1:22" ht="19.5" thickBot="1" x14ac:dyDescent="0.3">
      <c r="B60" s="30" t="s">
        <v>37</v>
      </c>
      <c r="C60" s="103" t="s">
        <v>41</v>
      </c>
      <c r="D60" s="104"/>
      <c r="E60" s="104"/>
      <c r="F60" s="104"/>
      <c r="G60" s="104"/>
      <c r="H60" s="104"/>
      <c r="I60" s="104"/>
      <c r="J60" s="104"/>
      <c r="K60" s="105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A05CE-7D22-43DC-A171-02A7DBD1AB5D}">
  <sheetPr>
    <pageSetUpPr fitToPage="1"/>
  </sheetPr>
  <dimension ref="A1:BB81"/>
  <sheetViews>
    <sheetView topLeftCell="A33" zoomScaleNormal="100" zoomScaleSheetLayoutView="115" workbookViewId="0">
      <selection activeCell="C61" sqref="C61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06" t="s">
        <v>43</v>
      </c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54" x14ac:dyDescent="0.25">
      <c r="B2" s="28" t="s">
        <v>75</v>
      </c>
    </row>
    <row r="3" spans="1:54" ht="19.5" thickBot="1" x14ac:dyDescent="0.3"/>
    <row r="4" spans="1:54" s="10" customFormat="1" ht="15.75" x14ac:dyDescent="0.25">
      <c r="B4" s="41" t="s">
        <v>52</v>
      </c>
      <c r="C4" s="107" t="s">
        <v>41</v>
      </c>
      <c r="D4" s="107"/>
      <c r="E4" s="107"/>
      <c r="F4" s="107"/>
      <c r="G4" s="107"/>
      <c r="H4" s="107"/>
      <c r="I4" s="107"/>
      <c r="J4" s="108"/>
      <c r="K4" s="109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0" t="s">
        <v>68</v>
      </c>
      <c r="U4" s="116" t="s">
        <v>67</v>
      </c>
      <c r="V4" s="99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14" t="s">
        <v>65</v>
      </c>
      <c r="K5" s="115"/>
      <c r="M5" s="37"/>
      <c r="N5" s="49"/>
      <c r="O5" s="40"/>
      <c r="P5" s="97"/>
      <c r="Q5" s="97"/>
      <c r="R5" s="38"/>
      <c r="S5" s="9"/>
      <c r="T5" s="111"/>
      <c r="U5" s="117"/>
      <c r="V5" s="100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7"/>
      <c r="K6" s="38"/>
      <c r="M6" s="37"/>
      <c r="N6" s="49"/>
      <c r="O6" s="40"/>
      <c r="P6" s="97"/>
      <c r="Q6" s="97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f>22+20</f>
        <v>42</v>
      </c>
      <c r="D7" s="52"/>
      <c r="E7" s="52"/>
      <c r="F7" s="52"/>
      <c r="G7" s="52"/>
      <c r="H7" s="52"/>
      <c r="I7" s="52">
        <v>1</v>
      </c>
      <c r="J7" s="53"/>
      <c r="K7" s="54">
        <v>6</v>
      </c>
      <c r="L7" s="55"/>
      <c r="M7" s="56">
        <v>2</v>
      </c>
      <c r="N7" s="57"/>
      <c r="O7" s="52">
        <v>3</v>
      </c>
      <c r="P7" s="53">
        <v>12</v>
      </c>
      <c r="Q7" s="53">
        <v>3</v>
      </c>
      <c r="R7" s="54"/>
      <c r="S7" s="55"/>
      <c r="T7" s="58">
        <f>H7+I7+J7+K7+N7+P7+R7</f>
        <v>19</v>
      </c>
      <c r="U7" s="58">
        <f>C7*24+M7*24+O7*24+Q7*24+T7</f>
        <v>1219</v>
      </c>
      <c r="V7" s="58">
        <f>U7/24</f>
        <v>50.791666666666664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63+18+20</f>
        <v>101</v>
      </c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>
        <v>1</v>
      </c>
      <c r="P8" s="66"/>
      <c r="Q8" s="66">
        <v>1</v>
      </c>
      <c r="R8" s="67"/>
      <c r="S8" s="62"/>
      <c r="T8" s="68">
        <f t="shared" ref="T8:T41" si="0">H8+I8+J8+K8+N8+P8+R8</f>
        <v>0</v>
      </c>
      <c r="U8" s="69">
        <f>C8*24+M8*24+O8*24+Q8*24+T8</f>
        <v>2472</v>
      </c>
      <c r="V8" s="69">
        <f>U8/24</f>
        <v>103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80</v>
      </c>
      <c r="D9" s="70"/>
      <c r="E9" s="70"/>
      <c r="F9" s="70"/>
      <c r="G9" s="70"/>
      <c r="H9" s="70"/>
      <c r="I9" s="70"/>
      <c r="J9" s="71"/>
      <c r="K9" s="72"/>
      <c r="L9" s="55"/>
      <c r="M9" s="73">
        <v>2</v>
      </c>
      <c r="N9" s="74"/>
      <c r="O9" s="70"/>
      <c r="P9" s="71"/>
      <c r="Q9" s="71">
        <v>5</v>
      </c>
      <c r="R9" s="72"/>
      <c r="S9" s="55"/>
      <c r="T9" s="75">
        <f t="shared" si="0"/>
        <v>0</v>
      </c>
      <c r="U9" s="76">
        <f t="shared" ref="U9:U11" si="2">C9*24+M9*24+O9*24+Q9*24+T9</f>
        <v>2088</v>
      </c>
      <c r="V9" s="76">
        <f t="shared" ref="V9:V11" si="3">U9/24</f>
        <v>87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4</v>
      </c>
      <c r="D11" s="70"/>
      <c r="E11" s="70"/>
      <c r="F11" s="70"/>
      <c r="G11" s="70"/>
      <c r="H11" s="70">
        <v>22</v>
      </c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24</v>
      </c>
      <c r="U11" s="58">
        <f t="shared" si="2"/>
        <v>120</v>
      </c>
      <c r="V11" s="58">
        <f t="shared" si="3"/>
        <v>5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1440+29+1440+576</f>
        <v>3485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13</v>
      </c>
      <c r="N12" s="64">
        <v>13</v>
      </c>
      <c r="O12" s="65">
        <v>12</v>
      </c>
      <c r="P12" s="66">
        <v>2</v>
      </c>
      <c r="Q12" s="66">
        <v>23</v>
      </c>
      <c r="R12" s="67">
        <v>23</v>
      </c>
      <c r="S12" s="62"/>
      <c r="T12" s="58">
        <f t="shared" si="0"/>
        <v>38</v>
      </c>
      <c r="U12" s="69">
        <f>C12*24+M12*24+O12*24+Q12*24+T12</f>
        <v>84830</v>
      </c>
      <c r="V12" s="69">
        <f>U12/24</f>
        <v>3534.5833333333335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f>2+2</f>
        <v>4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58">
        <f t="shared" si="0"/>
        <v>16</v>
      </c>
      <c r="U13" s="76">
        <f>C13*24+M13*24+O13*24+Q13*24+T13</f>
        <v>112</v>
      </c>
      <c r="V13" s="76">
        <f>U13/24</f>
        <v>4.666666666666667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3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72</v>
      </c>
      <c r="V14" s="75">
        <f t="shared" ref="V14:V36" si="5">U14/24</f>
        <v>3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>
        <v>2</v>
      </c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48</v>
      </c>
      <c r="V15" s="75">
        <f t="shared" si="5"/>
        <v>2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>
        <v>1</v>
      </c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24</v>
      </c>
      <c r="V16" s="75">
        <f t="shared" si="5"/>
        <v>1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>
        <v>3</v>
      </c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f>2+2</f>
        <v>4</v>
      </c>
      <c r="D19" s="70"/>
      <c r="E19" s="70"/>
      <c r="F19" s="70"/>
      <c r="G19" s="70"/>
      <c r="H19" s="70">
        <v>20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20</v>
      </c>
      <c r="U19" s="75">
        <f t="shared" si="4"/>
        <v>116</v>
      </c>
      <c r="V19" s="75">
        <f t="shared" si="5"/>
        <v>4.833333333333333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>
        <v>16</v>
      </c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16</v>
      </c>
      <c r="U20" s="75">
        <f t="shared" si="4"/>
        <v>136</v>
      </c>
      <c r="V20" s="75">
        <f t="shared" si="5"/>
        <v>5.666666666666667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>
        <f>1+3</f>
        <v>4</v>
      </c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96</v>
      </c>
      <c r="V21" s="75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>
        <v>20</v>
      </c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>
        <v>36</v>
      </c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>
        <v>1</v>
      </c>
      <c r="P23" s="71">
        <v>19</v>
      </c>
      <c r="Q23" s="71"/>
      <c r="R23" s="72"/>
      <c r="S23" s="55"/>
      <c r="T23" s="58">
        <f t="shared" si="0"/>
        <v>19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f>5+6</f>
        <v>11</v>
      </c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264</v>
      </c>
      <c r="V24" s="75">
        <f t="shared" si="5"/>
        <v>11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7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2</v>
      </c>
      <c r="N25" s="74"/>
      <c r="O25" s="70">
        <v>1</v>
      </c>
      <c r="P25" s="71"/>
      <c r="Q25" s="71">
        <v>20</v>
      </c>
      <c r="R25" s="72"/>
      <c r="S25" s="55"/>
      <c r="T25" s="58">
        <f t="shared" si="0"/>
        <v>1</v>
      </c>
      <c r="U25" s="75">
        <f t="shared" si="4"/>
        <v>721</v>
      </c>
      <c r="V25" s="75">
        <f t="shared" si="5"/>
        <v>30.041666666666668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>
        <v>6</v>
      </c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144</v>
      </c>
      <c r="V26" s="75">
        <f t="shared" si="5"/>
        <v>6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4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ref="T27" si="6">H27+I27+J27+K27+N27+P27+R27</f>
        <v>0</v>
      </c>
      <c r="U27" s="75">
        <f t="shared" ref="U27" si="7">C27*24+M27*24+O27*24+Q27*24+T27</f>
        <v>96</v>
      </c>
      <c r="V27" s="75">
        <f t="shared" ref="V27" si="8">U27/24</f>
        <v>4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v>2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1</v>
      </c>
      <c r="N28" s="74"/>
      <c r="O28" s="70">
        <v>2</v>
      </c>
      <c r="P28" s="71"/>
      <c r="Q28" s="71">
        <v>4</v>
      </c>
      <c r="R28" s="72"/>
      <c r="S28" s="55"/>
      <c r="T28" s="58">
        <f t="shared" si="0"/>
        <v>0</v>
      </c>
      <c r="U28" s="75">
        <f t="shared" si="4"/>
        <v>216</v>
      </c>
      <c r="V28" s="75">
        <f t="shared" si="5"/>
        <v>9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f>62+2</f>
        <v>64</v>
      </c>
      <c r="D29" s="70"/>
      <c r="E29" s="70"/>
      <c r="F29" s="70"/>
      <c r="G29" s="70"/>
      <c r="H29" s="70"/>
      <c r="I29" s="70"/>
      <c r="J29" s="71"/>
      <c r="K29" s="72"/>
      <c r="L29" s="55"/>
      <c r="M29" s="73">
        <v>1</v>
      </c>
      <c r="N29" s="74"/>
      <c r="O29" s="70"/>
      <c r="P29" s="71"/>
      <c r="Q29" s="71"/>
      <c r="R29" s="72"/>
      <c r="S29" s="55"/>
      <c r="T29" s="58">
        <f t="shared" si="0"/>
        <v>0</v>
      </c>
      <c r="U29" s="75">
        <f t="shared" si="4"/>
        <v>1560</v>
      </c>
      <c r="V29" s="75">
        <f t="shared" si="5"/>
        <v>65</v>
      </c>
    </row>
    <row r="30" spans="1:54" x14ac:dyDescent="0.25">
      <c r="A30" s="27">
        <f t="shared" si="1"/>
        <v>27</v>
      </c>
      <c r="B30" s="26" t="s">
        <v>15</v>
      </c>
      <c r="C30" s="70">
        <v>39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960</v>
      </c>
      <c r="V30" s="75">
        <f t="shared" si="5"/>
        <v>40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>
        <v>2</v>
      </c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48</v>
      </c>
      <c r="V32" s="75">
        <f t="shared" si="5"/>
        <v>2</v>
      </c>
    </row>
    <row r="33" spans="1:23" x14ac:dyDescent="0.25">
      <c r="A33" s="27">
        <f t="shared" si="1"/>
        <v>30</v>
      </c>
      <c r="B33" s="26" t="s">
        <v>16</v>
      </c>
      <c r="C33" s="70">
        <v>4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96</v>
      </c>
      <c r="V33" s="75">
        <f t="shared" si="5"/>
        <v>4</v>
      </c>
    </row>
    <row r="34" spans="1:23" x14ac:dyDescent="0.25">
      <c r="A34" s="27">
        <f t="shared" si="1"/>
        <v>31</v>
      </c>
      <c r="B34" s="26" t="s">
        <v>17</v>
      </c>
      <c r="C34" s="70">
        <f>37+66</f>
        <v>103</v>
      </c>
      <c r="D34" s="70"/>
      <c r="E34" s="70"/>
      <c r="F34" s="70"/>
      <c r="G34" s="70"/>
      <c r="H34" s="70"/>
      <c r="I34" s="70"/>
      <c r="J34" s="71"/>
      <c r="K34" s="72">
        <v>1</v>
      </c>
      <c r="L34" s="55"/>
      <c r="M34" s="73">
        <v>2</v>
      </c>
      <c r="N34" s="74"/>
      <c r="O34" s="70">
        <v>2</v>
      </c>
      <c r="P34" s="71"/>
      <c r="Q34" s="71">
        <v>2</v>
      </c>
      <c r="R34" s="72"/>
      <c r="S34" s="55"/>
      <c r="T34" s="58">
        <f t="shared" si="0"/>
        <v>1</v>
      </c>
      <c r="U34" s="75">
        <f t="shared" si="4"/>
        <v>2617</v>
      </c>
      <c r="V34" s="75">
        <f t="shared" si="5"/>
        <v>109.04166666666667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>
        <v>2</v>
      </c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48</v>
      </c>
      <c r="V36" s="75">
        <f t="shared" si="5"/>
        <v>2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2592+864+88</f>
        <v>3544</v>
      </c>
      <c r="D37" s="59"/>
      <c r="E37" s="59"/>
      <c r="F37" s="59"/>
      <c r="G37" s="59"/>
      <c r="H37" s="59"/>
      <c r="I37" s="59"/>
      <c r="J37" s="60"/>
      <c r="K37" s="61">
        <v>2</v>
      </c>
      <c r="L37" s="62"/>
      <c r="M37" s="63">
        <v>20</v>
      </c>
      <c r="N37" s="64"/>
      <c r="O37" s="65">
        <v>32</v>
      </c>
      <c r="P37" s="66"/>
      <c r="Q37" s="66">
        <v>111</v>
      </c>
      <c r="R37" s="67"/>
      <c r="S37" s="62"/>
      <c r="T37" s="77">
        <f t="shared" si="0"/>
        <v>2</v>
      </c>
      <c r="U37" s="77">
        <f>C37*6+M37*6+O37*6+Q37*6+T37</f>
        <v>22244</v>
      </c>
      <c r="V37" s="77">
        <f>U37/6</f>
        <v>3707.3333333333335</v>
      </c>
      <c r="W37" s="50"/>
    </row>
    <row r="38" spans="1:23" x14ac:dyDescent="0.25">
      <c r="A38" s="27">
        <f t="shared" si="1"/>
        <v>35</v>
      </c>
      <c r="B38" s="25" t="s">
        <v>20</v>
      </c>
      <c r="C38" s="70">
        <v>7</v>
      </c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168</v>
      </c>
      <c r="V38" s="75">
        <f>U38/24</f>
        <v>7</v>
      </c>
    </row>
    <row r="39" spans="1:23" x14ac:dyDescent="0.25">
      <c r="A39" s="27">
        <f t="shared" si="1"/>
        <v>36</v>
      </c>
      <c r="B39" s="51" t="s">
        <v>62</v>
      </c>
      <c r="C39" s="78">
        <v>4</v>
      </c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ref="T39" si="9">H39+I39+J39+K39+N39+P39+R39</f>
        <v>0</v>
      </c>
      <c r="U39" s="75">
        <f>C39*24+M39*24+O39*24+Q39*24+T39</f>
        <v>96</v>
      </c>
      <c r="V39" s="75">
        <f>U39/24</f>
        <v>4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315+4</f>
        <v>319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2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7772</v>
      </c>
      <c r="V40" s="77">
        <f>U40/24</f>
        <v>323.83333333333331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192+672+30</f>
        <v>894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10</v>
      </c>
      <c r="N41" s="87"/>
      <c r="O41" s="82">
        <v>8</v>
      </c>
      <c r="P41" s="83"/>
      <c r="Q41" s="83">
        <v>31</v>
      </c>
      <c r="R41" s="84"/>
      <c r="S41" s="85"/>
      <c r="T41" s="88">
        <f t="shared" si="0"/>
        <v>0</v>
      </c>
      <c r="U41" s="88">
        <f>C41*12+M41*12+O41*12+Q41*12+T41</f>
        <v>11316</v>
      </c>
      <c r="V41" s="88">
        <f>U41/12</f>
        <v>943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5184+5616+4536+9612</f>
        <v>24948</v>
      </c>
      <c r="D43" s="65"/>
      <c r="E43" s="65"/>
      <c r="F43" s="65"/>
      <c r="G43" s="65"/>
      <c r="H43" s="65">
        <v>2</v>
      </c>
      <c r="I43" s="65">
        <v>7</v>
      </c>
      <c r="J43" s="66">
        <f>28*6+1</f>
        <v>169</v>
      </c>
      <c r="K43" s="67">
        <f>21*6+2</f>
        <v>128</v>
      </c>
      <c r="L43" s="62"/>
      <c r="M43" s="63">
        <v>331</v>
      </c>
      <c r="N43" s="64"/>
      <c r="O43" s="65">
        <v>384</v>
      </c>
      <c r="P43" s="66"/>
      <c r="Q43" s="66">
        <v>540</v>
      </c>
      <c r="R43" s="67"/>
      <c r="S43" s="62"/>
      <c r="T43" s="77">
        <f t="shared" ref="T43" si="10">H43+I43+J43+K43+N43+P43+R43</f>
        <v>306</v>
      </c>
      <c r="U43" s="77">
        <f>C43*6+M43*6+O43*6+Q43*6+T43</f>
        <v>157524</v>
      </c>
      <c r="V43" s="77">
        <f>U43/6</f>
        <v>26254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11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11"/>
        <v>0</v>
      </c>
      <c r="U46" s="75">
        <f t="shared" ref="U46:U50" si="12">C46*24+M46*24+O46*24+Q46*24+T46</f>
        <v>0</v>
      </c>
      <c r="V46" s="75">
        <f t="shared" ref="V46:V54" si="13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432+106+22+2268</f>
        <v>2828</v>
      </c>
      <c r="D47" s="65"/>
      <c r="E47" s="65"/>
      <c r="F47" s="65"/>
      <c r="G47" s="65"/>
      <c r="H47" s="65">
        <v>2</v>
      </c>
      <c r="I47" s="65"/>
      <c r="J47" s="66"/>
      <c r="K47" s="67">
        <v>4</v>
      </c>
      <c r="L47" s="62"/>
      <c r="M47" s="63"/>
      <c r="N47" s="64"/>
      <c r="O47" s="65">
        <v>2</v>
      </c>
      <c r="P47" s="66">
        <v>4</v>
      </c>
      <c r="Q47" s="66">
        <v>10</v>
      </c>
      <c r="R47" s="67"/>
      <c r="S47" s="62"/>
      <c r="T47" s="77">
        <f t="shared" si="11"/>
        <v>10</v>
      </c>
      <c r="U47" s="77">
        <f>C47*6+M47*6+O47*6+Q47*6+T47</f>
        <v>17050</v>
      </c>
      <c r="V47" s="77">
        <f>U47/6</f>
        <v>2841.6666666666665</v>
      </c>
    </row>
    <row r="48" spans="1:23" x14ac:dyDescent="0.25">
      <c r="A48" s="27">
        <f t="shared" si="1"/>
        <v>45</v>
      </c>
      <c r="B48" s="25" t="s">
        <v>58</v>
      </c>
      <c r="C48" s="70">
        <v>1</v>
      </c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11"/>
        <v>0</v>
      </c>
      <c r="U48" s="75">
        <f t="shared" si="12"/>
        <v>24</v>
      </c>
      <c r="V48" s="75">
        <f t="shared" si="13"/>
        <v>1</v>
      </c>
    </row>
    <row r="49" spans="1:22" x14ac:dyDescent="0.25">
      <c r="A49" s="27">
        <f t="shared" si="1"/>
        <v>46</v>
      </c>
      <c r="B49" s="26" t="s">
        <v>26</v>
      </c>
      <c r="C49" s="70">
        <v>4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11"/>
        <v>0</v>
      </c>
      <c r="U49" s="75">
        <f t="shared" si="12"/>
        <v>96</v>
      </c>
      <c r="V49" s="75">
        <f t="shared" si="13"/>
        <v>4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11"/>
        <v>0</v>
      </c>
      <c r="U50" s="75">
        <f t="shared" si="12"/>
        <v>0</v>
      </c>
      <c r="V50" s="75">
        <f t="shared" si="13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11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>
        <v>2</v>
      </c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11"/>
        <v>0</v>
      </c>
      <c r="U52" s="75">
        <f t="shared" ref="U52:U54" si="14">C52*24+M52*24+O52*24+Q52*24+T52</f>
        <v>48</v>
      </c>
      <c r="V52" s="75">
        <f t="shared" si="13"/>
        <v>2</v>
      </c>
    </row>
    <row r="53" spans="1:22" x14ac:dyDescent="0.25">
      <c r="A53" s="27">
        <f t="shared" si="1"/>
        <v>50</v>
      </c>
      <c r="B53" s="26" t="s">
        <v>63</v>
      </c>
      <c r="C53" s="70">
        <f>10+4</f>
        <v>14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11"/>
        <v>0</v>
      </c>
      <c r="U53" s="75">
        <f t="shared" si="14"/>
        <v>336</v>
      </c>
      <c r="V53" s="75">
        <f t="shared" si="13"/>
        <v>14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11"/>
        <v>0</v>
      </c>
      <c r="U54" s="75">
        <f t="shared" si="14"/>
        <v>0</v>
      </c>
      <c r="V54" s="75">
        <f t="shared" si="13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36619</v>
      </c>
      <c r="D58" s="2"/>
      <c r="E58" s="2"/>
      <c r="F58" s="2">
        <f t="shared" ref="F58:K58" si="15">SUM(F7:F57)</f>
        <v>0</v>
      </c>
      <c r="G58" s="2">
        <f t="shared" si="15"/>
        <v>0</v>
      </c>
      <c r="H58" s="2">
        <f t="shared" si="15"/>
        <v>98</v>
      </c>
      <c r="I58" s="6">
        <f t="shared" si="15"/>
        <v>9</v>
      </c>
      <c r="J58" s="6">
        <f t="shared" si="15"/>
        <v>169</v>
      </c>
      <c r="K58" s="6">
        <f t="shared" si="15"/>
        <v>163</v>
      </c>
      <c r="M58" s="5">
        <f t="shared" ref="M58:R58" si="16">SUM(M7:M57)</f>
        <v>384</v>
      </c>
      <c r="N58" s="5">
        <f t="shared" si="16"/>
        <v>13</v>
      </c>
      <c r="O58" s="5">
        <f t="shared" si="16"/>
        <v>450</v>
      </c>
      <c r="P58" s="5">
        <f t="shared" si="16"/>
        <v>37</v>
      </c>
      <c r="Q58" s="5">
        <f t="shared" si="16"/>
        <v>753</v>
      </c>
      <c r="R58" s="5">
        <f t="shared" si="16"/>
        <v>23</v>
      </c>
      <c r="S58" s="55"/>
      <c r="T58" s="4">
        <f>SUM(T7:T57)</f>
        <v>512</v>
      </c>
      <c r="U58" s="90">
        <f>SUM(U7:U57)</f>
        <v>316028</v>
      </c>
      <c r="V58" s="4">
        <f>SUM(V7:V57)</f>
        <v>38267.083333333336</v>
      </c>
    </row>
    <row r="59" spans="1:22" ht="7.5" customHeight="1" thickBot="1" x14ac:dyDescent="0.3"/>
    <row r="60" spans="1:22" ht="19.5" thickBot="1" x14ac:dyDescent="0.3">
      <c r="B60" s="30" t="s">
        <v>37</v>
      </c>
      <c r="C60" s="103" t="s">
        <v>41</v>
      </c>
      <c r="D60" s="104"/>
      <c r="E60" s="104"/>
      <c r="F60" s="104"/>
      <c r="G60" s="104"/>
      <c r="H60" s="104"/>
      <c r="I60" s="104"/>
      <c r="J60" s="104"/>
      <c r="K60" s="105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CA1A-94B8-42FB-B10B-77549857156D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06" t="s">
        <v>43</v>
      </c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54" x14ac:dyDescent="0.25">
      <c r="B2" s="28" t="s">
        <v>76</v>
      </c>
    </row>
    <row r="3" spans="1:54" ht="19.5" thickBot="1" x14ac:dyDescent="0.3"/>
    <row r="4" spans="1:54" s="10" customFormat="1" ht="15.75" x14ac:dyDescent="0.25">
      <c r="B4" s="41" t="s">
        <v>52</v>
      </c>
      <c r="C4" s="107" t="s">
        <v>41</v>
      </c>
      <c r="D4" s="107"/>
      <c r="E4" s="107"/>
      <c r="F4" s="107"/>
      <c r="G4" s="107"/>
      <c r="H4" s="107"/>
      <c r="I4" s="107"/>
      <c r="J4" s="108"/>
      <c r="K4" s="109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0" t="s">
        <v>68</v>
      </c>
      <c r="U4" s="116" t="s">
        <v>67</v>
      </c>
      <c r="V4" s="99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14" t="s">
        <v>65</v>
      </c>
      <c r="K5" s="115"/>
      <c r="M5" s="37"/>
      <c r="N5" s="49"/>
      <c r="O5" s="40"/>
      <c r="P5" s="98"/>
      <c r="Q5" s="98"/>
      <c r="R5" s="38"/>
      <c r="S5" s="9"/>
      <c r="T5" s="111"/>
      <c r="U5" s="117"/>
      <c r="V5" s="100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8"/>
      <c r="K6" s="38"/>
      <c r="M6" s="37"/>
      <c r="N6" s="49"/>
      <c r="O6" s="40"/>
      <c r="P6" s="98"/>
      <c r="Q6" s="98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f>18+20</f>
        <v>38</v>
      </c>
      <c r="D7" s="52"/>
      <c r="E7" s="52"/>
      <c r="F7" s="52"/>
      <c r="G7" s="52"/>
      <c r="H7" s="52"/>
      <c r="I7" s="52">
        <v>1</v>
      </c>
      <c r="J7" s="53"/>
      <c r="K7" s="54">
        <v>6</v>
      </c>
      <c r="L7" s="55"/>
      <c r="M7" s="56">
        <v>2</v>
      </c>
      <c r="N7" s="57"/>
      <c r="O7" s="52">
        <v>3</v>
      </c>
      <c r="P7" s="53">
        <v>12</v>
      </c>
      <c r="Q7" s="53">
        <v>2</v>
      </c>
      <c r="R7" s="54"/>
      <c r="S7" s="55"/>
      <c r="T7" s="58">
        <f>H7+I7+J7+K7+N7+P7+R7</f>
        <v>19</v>
      </c>
      <c r="U7" s="58">
        <f>C7*24+M7*24+O7*24+Q7*24+T7</f>
        <v>1099</v>
      </c>
      <c r="V7" s="58">
        <f>U7/24</f>
        <v>45.791666666666664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63+17+20</f>
        <v>100</v>
      </c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>
        <v>1</v>
      </c>
      <c r="P8" s="66"/>
      <c r="Q8" s="66"/>
      <c r="R8" s="67"/>
      <c r="S8" s="62"/>
      <c r="T8" s="68">
        <f t="shared" ref="T8:T41" si="0">H8+I8+J8+K8+N8+P8+R8</f>
        <v>0</v>
      </c>
      <c r="U8" s="69">
        <f>C8*24+M8*24+O8*24+Q8*24+T8</f>
        <v>2424</v>
      </c>
      <c r="V8" s="69">
        <f>U8/24</f>
        <v>101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71</v>
      </c>
      <c r="D9" s="70"/>
      <c r="E9" s="70"/>
      <c r="F9" s="70"/>
      <c r="G9" s="70"/>
      <c r="H9" s="70"/>
      <c r="I9" s="70"/>
      <c r="J9" s="71"/>
      <c r="K9" s="72"/>
      <c r="L9" s="55"/>
      <c r="M9" s="73">
        <v>2</v>
      </c>
      <c r="N9" s="74"/>
      <c r="O9" s="70"/>
      <c r="P9" s="71"/>
      <c r="Q9" s="71">
        <v>2</v>
      </c>
      <c r="R9" s="72"/>
      <c r="S9" s="55"/>
      <c r="T9" s="75">
        <f t="shared" si="0"/>
        <v>0</v>
      </c>
      <c r="U9" s="76">
        <f t="shared" ref="U9:U11" si="2">C9*24+M9*24+O9*24+Q9*24+T9</f>
        <v>1800</v>
      </c>
      <c r="V9" s="76">
        <f t="shared" ref="V9:V11" si="3">U9/24</f>
        <v>75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4</v>
      </c>
      <c r="D11" s="70"/>
      <c r="E11" s="70"/>
      <c r="F11" s="70"/>
      <c r="G11" s="70"/>
      <c r="H11" s="70">
        <v>22</v>
      </c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24</v>
      </c>
      <c r="U11" s="58">
        <f t="shared" si="2"/>
        <v>120</v>
      </c>
      <c r="V11" s="58">
        <f t="shared" si="3"/>
        <v>5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1440+1368+16+576</f>
        <v>3400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15</v>
      </c>
      <c r="N12" s="64">
        <v>8</v>
      </c>
      <c r="O12" s="65">
        <v>15</v>
      </c>
      <c r="P12" s="66">
        <v>10</v>
      </c>
      <c r="Q12" s="66">
        <v>24</v>
      </c>
      <c r="R12" s="67">
        <v>7</v>
      </c>
      <c r="S12" s="62"/>
      <c r="T12" s="58">
        <f t="shared" si="0"/>
        <v>25</v>
      </c>
      <c r="U12" s="69">
        <f>C12*24+M12*24+O12*24+Q12*24+T12</f>
        <v>82921</v>
      </c>
      <c r="V12" s="69">
        <f>U12/24</f>
        <v>3455.0416666666665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f>2+2</f>
        <v>4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58">
        <f t="shared" si="0"/>
        <v>16</v>
      </c>
      <c r="U13" s="76">
        <f>C13*24+M13*24+O13*24+Q13*24+T13</f>
        <v>112</v>
      </c>
      <c r="V13" s="76">
        <f>U13/24</f>
        <v>4.666666666666667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3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72</v>
      </c>
      <c r="V14" s="75">
        <f t="shared" ref="V14:V36" si="5">U14/24</f>
        <v>3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>
        <v>2</v>
      </c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48</v>
      </c>
      <c r="V15" s="75">
        <f t="shared" si="5"/>
        <v>2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>
        <v>1</v>
      </c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24</v>
      </c>
      <c r="V16" s="75">
        <f t="shared" si="5"/>
        <v>1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>
        <v>3</v>
      </c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f>2+2</f>
        <v>4</v>
      </c>
      <c r="D19" s="70"/>
      <c r="E19" s="70"/>
      <c r="F19" s="70"/>
      <c r="G19" s="70"/>
      <c r="H19" s="70">
        <v>20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20</v>
      </c>
      <c r="U19" s="75">
        <f t="shared" si="4"/>
        <v>116</v>
      </c>
      <c r="V19" s="75">
        <f t="shared" si="5"/>
        <v>4.833333333333333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>
        <v>16</v>
      </c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16</v>
      </c>
      <c r="U20" s="75">
        <f t="shared" si="4"/>
        <v>136</v>
      </c>
      <c r="V20" s="75">
        <f t="shared" si="5"/>
        <v>5.666666666666667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>
        <f>1+3</f>
        <v>4</v>
      </c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96</v>
      </c>
      <c r="V21" s="75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>
        <v>20</v>
      </c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>
        <v>36</v>
      </c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>
        <v>1</v>
      </c>
      <c r="P23" s="71">
        <v>19</v>
      </c>
      <c r="Q23" s="71"/>
      <c r="R23" s="72"/>
      <c r="S23" s="55"/>
      <c r="T23" s="58">
        <f t="shared" si="0"/>
        <v>19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f>5+6</f>
        <v>11</v>
      </c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264</v>
      </c>
      <c r="V24" s="75">
        <f t="shared" si="5"/>
        <v>11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2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2</v>
      </c>
      <c r="N25" s="74"/>
      <c r="O25" s="70">
        <v>1</v>
      </c>
      <c r="P25" s="71"/>
      <c r="Q25" s="71">
        <v>1</v>
      </c>
      <c r="R25" s="72"/>
      <c r="S25" s="55"/>
      <c r="T25" s="58">
        <f t="shared" si="0"/>
        <v>1</v>
      </c>
      <c r="U25" s="75">
        <f t="shared" si="4"/>
        <v>145</v>
      </c>
      <c r="V25" s="75">
        <f t="shared" si="5"/>
        <v>6.041666666666667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>
        <v>6</v>
      </c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144</v>
      </c>
      <c r="V26" s="75">
        <f t="shared" si="5"/>
        <v>6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4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96</v>
      </c>
      <c r="V27" s="75">
        <f t="shared" si="5"/>
        <v>4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>
        <v>1</v>
      </c>
      <c r="P28" s="71"/>
      <c r="Q28" s="71"/>
      <c r="R28" s="72"/>
      <c r="S28" s="55"/>
      <c r="T28" s="58">
        <f t="shared" si="0"/>
        <v>0</v>
      </c>
      <c r="U28" s="75">
        <f t="shared" si="4"/>
        <v>24</v>
      </c>
      <c r="V28" s="75">
        <f t="shared" si="5"/>
        <v>1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58</v>
      </c>
      <c r="D29" s="70"/>
      <c r="E29" s="70"/>
      <c r="F29" s="70"/>
      <c r="G29" s="70"/>
      <c r="H29" s="70"/>
      <c r="I29" s="70"/>
      <c r="J29" s="71"/>
      <c r="K29" s="72"/>
      <c r="L29" s="55"/>
      <c r="M29" s="73">
        <v>2</v>
      </c>
      <c r="N29" s="74"/>
      <c r="O29" s="70"/>
      <c r="P29" s="71"/>
      <c r="Q29" s="71">
        <v>1</v>
      </c>
      <c r="R29" s="72"/>
      <c r="S29" s="55"/>
      <c r="T29" s="58">
        <f t="shared" si="0"/>
        <v>0</v>
      </c>
      <c r="U29" s="75">
        <f t="shared" si="4"/>
        <v>1464</v>
      </c>
      <c r="V29" s="75">
        <f t="shared" si="5"/>
        <v>61</v>
      </c>
    </row>
    <row r="30" spans="1:54" x14ac:dyDescent="0.25">
      <c r="A30" s="27">
        <f t="shared" si="1"/>
        <v>27</v>
      </c>
      <c r="B30" s="26" t="s">
        <v>15</v>
      </c>
      <c r="C30" s="70">
        <v>34</v>
      </c>
      <c r="D30" s="70"/>
      <c r="E30" s="70"/>
      <c r="F30" s="70"/>
      <c r="G30" s="70"/>
      <c r="H30" s="70"/>
      <c r="I30" s="70"/>
      <c r="J30" s="71"/>
      <c r="K30" s="72"/>
      <c r="L30" s="55"/>
      <c r="M30" s="73">
        <v>1</v>
      </c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864</v>
      </c>
      <c r="V30" s="75">
        <f t="shared" si="5"/>
        <v>36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>
        <v>2</v>
      </c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48</v>
      </c>
      <c r="V32" s="75">
        <f t="shared" si="5"/>
        <v>2</v>
      </c>
    </row>
    <row r="33" spans="1:23" x14ac:dyDescent="0.25">
      <c r="A33" s="27">
        <f t="shared" si="1"/>
        <v>30</v>
      </c>
      <c r="B33" s="26" t="s">
        <v>16</v>
      </c>
      <c r="C33" s="70">
        <v>4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96</v>
      </c>
      <c r="V33" s="75">
        <f t="shared" si="5"/>
        <v>4</v>
      </c>
    </row>
    <row r="34" spans="1:23" x14ac:dyDescent="0.25">
      <c r="A34" s="27">
        <f t="shared" si="1"/>
        <v>31</v>
      </c>
      <c r="B34" s="26" t="s">
        <v>17</v>
      </c>
      <c r="C34" s="70">
        <f>24+66</f>
        <v>90</v>
      </c>
      <c r="D34" s="70"/>
      <c r="E34" s="70"/>
      <c r="F34" s="70"/>
      <c r="G34" s="70"/>
      <c r="H34" s="70"/>
      <c r="I34" s="70"/>
      <c r="J34" s="71"/>
      <c r="K34" s="72">
        <v>1</v>
      </c>
      <c r="L34" s="55"/>
      <c r="M34" s="73">
        <v>2</v>
      </c>
      <c r="N34" s="74"/>
      <c r="O34" s="70">
        <v>3</v>
      </c>
      <c r="P34" s="71"/>
      <c r="Q34" s="71">
        <v>2</v>
      </c>
      <c r="R34" s="72"/>
      <c r="S34" s="55"/>
      <c r="T34" s="58">
        <f t="shared" si="0"/>
        <v>1</v>
      </c>
      <c r="U34" s="75">
        <f t="shared" si="4"/>
        <v>2329</v>
      </c>
      <c r="V34" s="75">
        <f t="shared" si="5"/>
        <v>97.041666666666671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>
        <v>2</v>
      </c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48</v>
      </c>
      <c r="V36" s="75">
        <f t="shared" si="5"/>
        <v>2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2592+540+47</f>
        <v>3179</v>
      </c>
      <c r="D37" s="59"/>
      <c r="E37" s="59"/>
      <c r="F37" s="59"/>
      <c r="G37" s="59"/>
      <c r="H37" s="59"/>
      <c r="I37" s="59"/>
      <c r="J37" s="60"/>
      <c r="K37" s="61">
        <v>2</v>
      </c>
      <c r="L37" s="62"/>
      <c r="M37" s="63">
        <v>57</v>
      </c>
      <c r="N37" s="64"/>
      <c r="O37" s="65">
        <v>58</v>
      </c>
      <c r="P37" s="66"/>
      <c r="Q37" s="66">
        <v>112</v>
      </c>
      <c r="R37" s="67"/>
      <c r="S37" s="62"/>
      <c r="T37" s="77">
        <f t="shared" si="0"/>
        <v>2</v>
      </c>
      <c r="U37" s="77">
        <f>C37*6+M37*6+O37*6+Q37*6+T37</f>
        <v>20438</v>
      </c>
      <c r="V37" s="77">
        <f>U37/6</f>
        <v>3406.3333333333335</v>
      </c>
      <c r="W37" s="50"/>
    </row>
    <row r="38" spans="1:23" x14ac:dyDescent="0.25">
      <c r="A38" s="27">
        <f t="shared" si="1"/>
        <v>35</v>
      </c>
      <c r="B38" s="25" t="s">
        <v>20</v>
      </c>
      <c r="C38" s="70">
        <v>7</v>
      </c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168</v>
      </c>
      <c r="V38" s="75">
        <f>U38/24</f>
        <v>7</v>
      </c>
    </row>
    <row r="39" spans="1:23" x14ac:dyDescent="0.25">
      <c r="A39" s="27">
        <f t="shared" si="1"/>
        <v>36</v>
      </c>
      <c r="B39" s="51" t="s">
        <v>62</v>
      </c>
      <c r="C39" s="78">
        <v>4</v>
      </c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96</v>
      </c>
      <c r="V39" s="75">
        <f>U39/24</f>
        <v>4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189+60</f>
        <v>249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2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6092</v>
      </c>
      <c r="V40" s="77">
        <f>U40/24</f>
        <v>253.83333333333334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192+576+44</f>
        <v>812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10</v>
      </c>
      <c r="N41" s="87"/>
      <c r="O41" s="82">
        <v>8</v>
      </c>
      <c r="P41" s="83"/>
      <c r="Q41" s="83">
        <v>21</v>
      </c>
      <c r="R41" s="84"/>
      <c r="S41" s="85"/>
      <c r="T41" s="88">
        <f t="shared" si="0"/>
        <v>0</v>
      </c>
      <c r="U41" s="88">
        <f>C41*12+M41*12+O41*12+Q41*12+T41</f>
        <v>10212</v>
      </c>
      <c r="V41" s="88">
        <f>U41/12</f>
        <v>851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29+2700+5616+4536+9612</f>
        <v>22493</v>
      </c>
      <c r="D43" s="65"/>
      <c r="E43" s="65"/>
      <c r="F43" s="65"/>
      <c r="G43" s="65"/>
      <c r="H43" s="65"/>
      <c r="I43" s="65">
        <v>7</v>
      </c>
      <c r="J43" s="66">
        <f>29*6+2</f>
        <v>176</v>
      </c>
      <c r="K43" s="67">
        <f>21*6+2</f>
        <v>128</v>
      </c>
      <c r="L43" s="62"/>
      <c r="M43" s="63">
        <v>339</v>
      </c>
      <c r="N43" s="64"/>
      <c r="O43" s="65">
        <v>458</v>
      </c>
      <c r="P43" s="66"/>
      <c r="Q43" s="66">
        <v>549</v>
      </c>
      <c r="R43" s="67"/>
      <c r="S43" s="62"/>
      <c r="T43" s="77">
        <f t="shared" ref="T43" si="6">H43+I43+J43+K43+N43+P43+R43</f>
        <v>311</v>
      </c>
      <c r="U43" s="77">
        <f>C43*6+M43*6+O43*6+Q43*6+T43</f>
        <v>143345</v>
      </c>
      <c r="V43" s="77">
        <f>U43/6</f>
        <v>23890.833333333332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432+106+2268+11</f>
        <v>2817</v>
      </c>
      <c r="D47" s="65"/>
      <c r="E47" s="65"/>
      <c r="F47" s="65"/>
      <c r="G47" s="65"/>
      <c r="H47" s="65">
        <v>2</v>
      </c>
      <c r="I47" s="65"/>
      <c r="J47" s="66"/>
      <c r="K47" s="67">
        <v>4</v>
      </c>
      <c r="L47" s="62"/>
      <c r="M47" s="63">
        <v>6</v>
      </c>
      <c r="N47" s="64"/>
      <c r="O47" s="65">
        <v>2</v>
      </c>
      <c r="P47" s="66">
        <v>4</v>
      </c>
      <c r="Q47" s="66">
        <v>10</v>
      </c>
      <c r="R47" s="67"/>
      <c r="S47" s="62"/>
      <c r="T47" s="77">
        <f t="shared" si="7"/>
        <v>10</v>
      </c>
      <c r="U47" s="77">
        <f>C47*6+M47*6+O47*6+Q47*6+T47</f>
        <v>17020</v>
      </c>
      <c r="V47" s="77">
        <f>U47/6</f>
        <v>2836.6666666666665</v>
      </c>
    </row>
    <row r="48" spans="1:23" x14ac:dyDescent="0.25">
      <c r="A48" s="27">
        <f t="shared" si="1"/>
        <v>45</v>
      </c>
      <c r="B48" s="25" t="s">
        <v>58</v>
      </c>
      <c r="C48" s="70">
        <v>1</v>
      </c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0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>
        <v>4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96</v>
      </c>
      <c r="V49" s="75">
        <f t="shared" si="9"/>
        <v>4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>
        <v>2</v>
      </c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48</v>
      </c>
      <c r="V52" s="75">
        <f t="shared" si="9"/>
        <v>2</v>
      </c>
    </row>
    <row r="53" spans="1:22" x14ac:dyDescent="0.25">
      <c r="A53" s="27">
        <f t="shared" si="1"/>
        <v>50</v>
      </c>
      <c r="B53" s="26" t="s">
        <v>63</v>
      </c>
      <c r="C53" s="70">
        <f>10+4</f>
        <v>14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336</v>
      </c>
      <c r="V53" s="75">
        <f t="shared" si="9"/>
        <v>14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33506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96</v>
      </c>
      <c r="I58" s="6">
        <f t="shared" si="11"/>
        <v>9</v>
      </c>
      <c r="J58" s="6">
        <f t="shared" si="11"/>
        <v>176</v>
      </c>
      <c r="K58" s="6">
        <f t="shared" si="11"/>
        <v>163</v>
      </c>
      <c r="M58" s="5">
        <f t="shared" ref="M58:R58" si="12">SUM(M7:M57)</f>
        <v>438</v>
      </c>
      <c r="N58" s="5">
        <f t="shared" si="12"/>
        <v>8</v>
      </c>
      <c r="O58" s="5">
        <f t="shared" si="12"/>
        <v>553</v>
      </c>
      <c r="P58" s="5">
        <f t="shared" si="12"/>
        <v>45</v>
      </c>
      <c r="Q58" s="5">
        <f t="shared" si="12"/>
        <v>727</v>
      </c>
      <c r="R58" s="5">
        <f t="shared" si="12"/>
        <v>7</v>
      </c>
      <c r="S58" s="55"/>
      <c r="T58" s="4">
        <f>SUM(T7:T57)</f>
        <v>504</v>
      </c>
      <c r="U58" s="90">
        <f>SUM(U7:U57)</f>
        <v>293616</v>
      </c>
      <c r="V58" s="4">
        <f>SUM(V7:V57)</f>
        <v>35285.375</v>
      </c>
    </row>
    <row r="59" spans="1:22" ht="7.5" customHeight="1" thickBot="1" x14ac:dyDescent="0.3"/>
    <row r="60" spans="1:22" ht="19.5" thickBot="1" x14ac:dyDescent="0.3">
      <c r="B60" s="30" t="s">
        <v>37</v>
      </c>
      <c r="C60" s="103" t="s">
        <v>41</v>
      </c>
      <c r="D60" s="104"/>
      <c r="E60" s="104"/>
      <c r="F60" s="104"/>
      <c r="G60" s="104"/>
      <c r="H60" s="104"/>
      <c r="I60" s="104"/>
      <c r="J60" s="104"/>
      <c r="K60" s="105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CE93-BE9C-4B12-9474-3EDD53EB265C}">
  <sheetPr>
    <pageSetUpPr fitToPage="1"/>
  </sheetPr>
  <dimension ref="A1:BB81"/>
  <sheetViews>
    <sheetView tabSelected="1" topLeftCell="A30" zoomScaleNormal="100" zoomScaleSheetLayoutView="115" workbookViewId="0">
      <selection activeCell="U58" sqref="U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06" t="s">
        <v>43</v>
      </c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54" x14ac:dyDescent="0.25">
      <c r="B2" s="28" t="s">
        <v>77</v>
      </c>
    </row>
    <row r="3" spans="1:54" ht="19.5" thickBot="1" x14ac:dyDescent="0.3"/>
    <row r="4" spans="1:54" s="10" customFormat="1" ht="15.75" x14ac:dyDescent="0.25">
      <c r="B4" s="41" t="s">
        <v>52</v>
      </c>
      <c r="C4" s="107" t="s">
        <v>41</v>
      </c>
      <c r="D4" s="107"/>
      <c r="E4" s="107"/>
      <c r="F4" s="107"/>
      <c r="G4" s="107"/>
      <c r="H4" s="107"/>
      <c r="I4" s="107"/>
      <c r="J4" s="108"/>
      <c r="K4" s="109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0" t="s">
        <v>68</v>
      </c>
      <c r="U4" s="116" t="s">
        <v>67</v>
      </c>
      <c r="V4" s="99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14" t="s">
        <v>65</v>
      </c>
      <c r="K5" s="115"/>
      <c r="M5" s="37"/>
      <c r="N5" s="49"/>
      <c r="O5" s="40"/>
      <c r="P5" s="98"/>
      <c r="Q5" s="98"/>
      <c r="R5" s="38"/>
      <c r="S5" s="9"/>
      <c r="T5" s="111"/>
      <c r="U5" s="117"/>
      <c r="V5" s="100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8"/>
      <c r="K6" s="38"/>
      <c r="M6" s="37"/>
      <c r="N6" s="49"/>
      <c r="O6" s="40"/>
      <c r="P6" s="98"/>
      <c r="Q6" s="98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f>18+20</f>
        <v>38</v>
      </c>
      <c r="D7" s="52"/>
      <c r="E7" s="52"/>
      <c r="F7" s="52"/>
      <c r="G7" s="52"/>
      <c r="H7" s="52"/>
      <c r="I7" s="52">
        <v>1</v>
      </c>
      <c r="J7" s="53"/>
      <c r="K7" s="54">
        <v>6</v>
      </c>
      <c r="L7" s="55"/>
      <c r="M7" s="56"/>
      <c r="N7" s="57"/>
      <c r="O7" s="52">
        <v>3</v>
      </c>
      <c r="P7" s="53">
        <v>12</v>
      </c>
      <c r="Q7" s="53">
        <v>1</v>
      </c>
      <c r="R7" s="54"/>
      <c r="S7" s="55"/>
      <c r="T7" s="58">
        <f>H7+I7+J7+K7+N7+P7+R7</f>
        <v>19</v>
      </c>
      <c r="U7" s="58">
        <f>C7*24+M7*24+O7*24+Q7*24+T7</f>
        <v>1027</v>
      </c>
      <c r="V7" s="58">
        <f>U7/24</f>
        <v>42.791666666666664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63+17+20</f>
        <v>100</v>
      </c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>
        <v>1</v>
      </c>
      <c r="P8" s="66"/>
      <c r="Q8" s="66"/>
      <c r="R8" s="67"/>
      <c r="S8" s="62"/>
      <c r="T8" s="68">
        <f t="shared" ref="T8:T41" si="0">H8+I8+J8+K8+N8+P8+R8</f>
        <v>0</v>
      </c>
      <c r="U8" s="69">
        <f>C8*24+M8*24+O8*24+Q8*24+T8</f>
        <v>2424</v>
      </c>
      <c r="V8" s="69">
        <f>U8/24</f>
        <v>101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70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1</v>
      </c>
      <c r="P9" s="71"/>
      <c r="Q9" s="71">
        <v>1</v>
      </c>
      <c r="R9" s="72"/>
      <c r="S9" s="55"/>
      <c r="T9" s="75">
        <f t="shared" si="0"/>
        <v>0</v>
      </c>
      <c r="U9" s="76">
        <f t="shared" ref="U9:U11" si="2">C9*24+M9*24+O9*24+Q9*24+T9</f>
        <v>1728</v>
      </c>
      <c r="V9" s="76">
        <f t="shared" ref="V9:V11" si="3">U9/24</f>
        <v>72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3</v>
      </c>
      <c r="D11" s="70"/>
      <c r="E11" s="70"/>
      <c r="F11" s="70"/>
      <c r="G11" s="70"/>
      <c r="H11" s="70">
        <v>22</v>
      </c>
      <c r="I11" s="70"/>
      <c r="J11" s="71"/>
      <c r="K11" s="72">
        <v>2</v>
      </c>
      <c r="L11" s="55"/>
      <c r="M11" s="73"/>
      <c r="N11" s="74"/>
      <c r="O11" s="70">
        <v>1</v>
      </c>
      <c r="P11" s="71"/>
      <c r="Q11" s="71"/>
      <c r="R11" s="72"/>
      <c r="S11" s="55"/>
      <c r="T11" s="58">
        <f t="shared" si="0"/>
        <v>24</v>
      </c>
      <c r="U11" s="58">
        <f t="shared" si="2"/>
        <v>120</v>
      </c>
      <c r="V11" s="58">
        <f t="shared" si="3"/>
        <v>5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1440+1296+576+64</f>
        <v>3376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9</v>
      </c>
      <c r="N12" s="64">
        <v>3</v>
      </c>
      <c r="O12" s="65">
        <v>13</v>
      </c>
      <c r="P12" s="66">
        <v>4</v>
      </c>
      <c r="Q12" s="66">
        <v>20</v>
      </c>
      <c r="R12" s="67">
        <v>7</v>
      </c>
      <c r="S12" s="62"/>
      <c r="T12" s="58">
        <f t="shared" si="0"/>
        <v>14</v>
      </c>
      <c r="U12" s="69">
        <f>C12*24+M12*24+O12*24+Q12*24+T12</f>
        <v>82046</v>
      </c>
      <c r="V12" s="69">
        <f>U12/24</f>
        <v>3418.5833333333335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f>2+2</f>
        <v>4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58">
        <f t="shared" si="0"/>
        <v>16</v>
      </c>
      <c r="U13" s="76">
        <f>C13*24+M13*24+O13*24+Q13*24+T13</f>
        <v>112</v>
      </c>
      <c r="V13" s="76">
        <f>U13/24</f>
        <v>4.666666666666667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3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72</v>
      </c>
      <c r="V14" s="75">
        <f t="shared" ref="V14:V36" si="5">U14/24</f>
        <v>3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>
        <v>2</v>
      </c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48</v>
      </c>
      <c r="V15" s="75">
        <f t="shared" si="5"/>
        <v>2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>
        <v>1</v>
      </c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24</v>
      </c>
      <c r="V16" s="75">
        <f t="shared" si="5"/>
        <v>1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>
        <v>3</v>
      </c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f>2+2</f>
        <v>4</v>
      </c>
      <c r="D19" s="70"/>
      <c r="E19" s="70"/>
      <c r="F19" s="70"/>
      <c r="G19" s="70"/>
      <c r="H19" s="70">
        <v>20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20</v>
      </c>
      <c r="U19" s="75">
        <f t="shared" si="4"/>
        <v>116</v>
      </c>
      <c r="V19" s="75">
        <f t="shared" si="5"/>
        <v>4.833333333333333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>
        <v>16</v>
      </c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16</v>
      </c>
      <c r="U20" s="75">
        <f t="shared" si="4"/>
        <v>136</v>
      </c>
      <c r="V20" s="75">
        <f t="shared" si="5"/>
        <v>5.666666666666667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>
        <f>1+3</f>
        <v>4</v>
      </c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96</v>
      </c>
      <c r="V21" s="75">
        <f t="shared" si="5"/>
        <v>4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>
        <v>20</v>
      </c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>
        <v>36</v>
      </c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>
        <v>1</v>
      </c>
      <c r="P23" s="71">
        <v>19</v>
      </c>
      <c r="Q23" s="71"/>
      <c r="R23" s="72"/>
      <c r="S23" s="55"/>
      <c r="T23" s="58">
        <f t="shared" si="0"/>
        <v>19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f>5+6</f>
        <v>11</v>
      </c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264</v>
      </c>
      <c r="V24" s="75">
        <f t="shared" si="5"/>
        <v>11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2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1</v>
      </c>
      <c r="N25" s="74"/>
      <c r="O25" s="70"/>
      <c r="P25" s="71"/>
      <c r="Q25" s="71"/>
      <c r="R25" s="72"/>
      <c r="S25" s="55"/>
      <c r="T25" s="58">
        <f t="shared" si="0"/>
        <v>1</v>
      </c>
      <c r="U25" s="75">
        <f t="shared" si="4"/>
        <v>73</v>
      </c>
      <c r="V25" s="75">
        <f t="shared" si="5"/>
        <v>3.0416666666666665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>
        <v>6</v>
      </c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144</v>
      </c>
      <c r="V26" s="75">
        <f t="shared" si="5"/>
        <v>6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4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96</v>
      </c>
      <c r="V27" s="75">
        <f t="shared" si="5"/>
        <v>4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56</v>
      </c>
      <c r="D29" s="70"/>
      <c r="E29" s="70"/>
      <c r="F29" s="70"/>
      <c r="G29" s="70"/>
      <c r="H29" s="70"/>
      <c r="I29" s="70"/>
      <c r="J29" s="71"/>
      <c r="K29" s="72"/>
      <c r="L29" s="55"/>
      <c r="M29" s="73">
        <v>1</v>
      </c>
      <c r="N29" s="74"/>
      <c r="O29" s="70">
        <v>1</v>
      </c>
      <c r="P29" s="71"/>
      <c r="Q29" s="71">
        <v>2</v>
      </c>
      <c r="R29" s="72"/>
      <c r="S29" s="55"/>
      <c r="T29" s="58">
        <f t="shared" si="0"/>
        <v>0</v>
      </c>
      <c r="U29" s="75">
        <f t="shared" si="4"/>
        <v>1440</v>
      </c>
      <c r="V29" s="75">
        <f t="shared" si="5"/>
        <v>60</v>
      </c>
    </row>
    <row r="30" spans="1:54" x14ac:dyDescent="0.25">
      <c r="A30" s="27">
        <f t="shared" si="1"/>
        <v>27</v>
      </c>
      <c r="B30" s="26" t="s">
        <v>15</v>
      </c>
      <c r="C30" s="70">
        <v>32</v>
      </c>
      <c r="D30" s="70"/>
      <c r="E30" s="70"/>
      <c r="F30" s="70"/>
      <c r="G30" s="70"/>
      <c r="H30" s="70"/>
      <c r="I30" s="70"/>
      <c r="J30" s="71"/>
      <c r="K30" s="72"/>
      <c r="L30" s="55"/>
      <c r="M30" s="73">
        <v>1</v>
      </c>
      <c r="N30" s="74"/>
      <c r="O30" s="70">
        <v>1</v>
      </c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840</v>
      </c>
      <c r="V30" s="75">
        <f t="shared" si="5"/>
        <v>35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>
        <v>2</v>
      </c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48</v>
      </c>
      <c r="V32" s="75">
        <f t="shared" si="5"/>
        <v>2</v>
      </c>
    </row>
    <row r="33" spans="1:23" x14ac:dyDescent="0.25">
      <c r="A33" s="27">
        <f t="shared" si="1"/>
        <v>30</v>
      </c>
      <c r="B33" s="26" t="s">
        <v>16</v>
      </c>
      <c r="C33" s="70">
        <v>4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96</v>
      </c>
      <c r="V33" s="75">
        <f t="shared" si="5"/>
        <v>4</v>
      </c>
    </row>
    <row r="34" spans="1:23" x14ac:dyDescent="0.25">
      <c r="A34" s="27">
        <f t="shared" si="1"/>
        <v>31</v>
      </c>
      <c r="B34" s="26" t="s">
        <v>17</v>
      </c>
      <c r="C34" s="70">
        <f>72+18</f>
        <v>90</v>
      </c>
      <c r="D34" s="70"/>
      <c r="E34" s="70"/>
      <c r="F34" s="70"/>
      <c r="G34" s="70"/>
      <c r="H34" s="70"/>
      <c r="I34" s="70"/>
      <c r="J34" s="71"/>
      <c r="K34" s="72">
        <v>1</v>
      </c>
      <c r="L34" s="55"/>
      <c r="M34" s="73">
        <v>2</v>
      </c>
      <c r="N34" s="74"/>
      <c r="O34" s="70">
        <v>2</v>
      </c>
      <c r="P34" s="71"/>
      <c r="Q34" s="71">
        <v>1</v>
      </c>
      <c r="R34" s="72"/>
      <c r="S34" s="55"/>
      <c r="T34" s="58">
        <f t="shared" si="0"/>
        <v>1</v>
      </c>
      <c r="U34" s="75">
        <f t="shared" si="4"/>
        <v>2281</v>
      </c>
      <c r="V34" s="75">
        <f t="shared" si="5"/>
        <v>95.041666666666671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>
        <v>2</v>
      </c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48</v>
      </c>
      <c r="V36" s="75">
        <f t="shared" si="5"/>
        <v>2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2592+540+20</f>
        <v>3152</v>
      </c>
      <c r="D37" s="59"/>
      <c r="E37" s="59"/>
      <c r="F37" s="59"/>
      <c r="G37" s="59"/>
      <c r="H37" s="59"/>
      <c r="I37" s="59"/>
      <c r="J37" s="60"/>
      <c r="K37" s="61">
        <v>2</v>
      </c>
      <c r="L37" s="62"/>
      <c r="M37" s="63">
        <v>12</v>
      </c>
      <c r="N37" s="64"/>
      <c r="O37" s="65">
        <v>27</v>
      </c>
      <c r="P37" s="66"/>
      <c r="Q37" s="66">
        <v>91</v>
      </c>
      <c r="R37" s="67"/>
      <c r="S37" s="62"/>
      <c r="T37" s="77">
        <f t="shared" si="0"/>
        <v>2</v>
      </c>
      <c r="U37" s="77">
        <f>C37*6+M37*6+O37*6+Q37*6+T37</f>
        <v>19694</v>
      </c>
      <c r="V37" s="77">
        <f>U37/6</f>
        <v>3282.3333333333335</v>
      </c>
      <c r="W37" s="50"/>
    </row>
    <row r="38" spans="1:23" x14ac:dyDescent="0.25">
      <c r="A38" s="27">
        <f t="shared" si="1"/>
        <v>35</v>
      </c>
      <c r="B38" s="25" t="s">
        <v>20</v>
      </c>
      <c r="C38" s="70">
        <v>7</v>
      </c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168</v>
      </c>
      <c r="V38" s="75">
        <f>U38/24</f>
        <v>7</v>
      </c>
    </row>
    <row r="39" spans="1:23" x14ac:dyDescent="0.25">
      <c r="A39" s="27">
        <f t="shared" si="1"/>
        <v>36</v>
      </c>
      <c r="B39" s="51" t="s">
        <v>62</v>
      </c>
      <c r="C39" s="78">
        <v>4</v>
      </c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96</v>
      </c>
      <c r="V39" s="75">
        <f>U39/24</f>
        <v>4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189+60</f>
        <v>249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2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6092</v>
      </c>
      <c r="V40" s="77">
        <f>U40/24</f>
        <v>253.83333333333334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192+576+25</f>
        <v>793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8</v>
      </c>
      <c r="N41" s="87"/>
      <c r="O41" s="82">
        <v>6</v>
      </c>
      <c r="P41" s="83"/>
      <c r="Q41" s="83">
        <v>21</v>
      </c>
      <c r="R41" s="84"/>
      <c r="S41" s="85"/>
      <c r="T41" s="88">
        <f t="shared" si="0"/>
        <v>0</v>
      </c>
      <c r="U41" s="88">
        <f>C41*12+M41*12+O41*12+Q41*12+T41</f>
        <v>9936</v>
      </c>
      <c r="V41" s="88">
        <f>U41/12</f>
        <v>828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2052+5616+4536+9612</f>
        <v>21816</v>
      </c>
      <c r="D43" s="65"/>
      <c r="E43" s="65"/>
      <c r="F43" s="65"/>
      <c r="G43" s="65"/>
      <c r="H43" s="65"/>
      <c r="I43" s="65">
        <v>7</v>
      </c>
      <c r="J43" s="66">
        <v>176</v>
      </c>
      <c r="K43" s="67">
        <v>128</v>
      </c>
      <c r="L43" s="62"/>
      <c r="M43" s="63">
        <v>20</v>
      </c>
      <c r="N43" s="64"/>
      <c r="O43" s="65">
        <v>357</v>
      </c>
      <c r="P43" s="66"/>
      <c r="Q43" s="66">
        <v>533</v>
      </c>
      <c r="R43" s="67"/>
      <c r="S43" s="62"/>
      <c r="T43" s="77">
        <f t="shared" ref="T43" si="6">H43+I43+J43+K43+N43+P43+R43</f>
        <v>311</v>
      </c>
      <c r="U43" s="77">
        <f>C43*6+M43*6+O43*6+Q43*6+T43</f>
        <v>136667</v>
      </c>
      <c r="V43" s="77">
        <f>U43/6</f>
        <v>22777.833333333332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432+106+11+2268</f>
        <v>2817</v>
      </c>
      <c r="D47" s="65"/>
      <c r="E47" s="65"/>
      <c r="F47" s="65"/>
      <c r="G47" s="65"/>
      <c r="H47" s="65">
        <v>2</v>
      </c>
      <c r="I47" s="65"/>
      <c r="J47" s="66"/>
      <c r="K47" s="67">
        <v>4</v>
      </c>
      <c r="L47" s="62"/>
      <c r="M47" s="63"/>
      <c r="N47" s="64"/>
      <c r="O47" s="65">
        <v>2</v>
      </c>
      <c r="P47" s="66">
        <v>4</v>
      </c>
      <c r="Q47" s="66">
        <v>10</v>
      </c>
      <c r="R47" s="67"/>
      <c r="S47" s="62"/>
      <c r="T47" s="77">
        <f t="shared" si="7"/>
        <v>10</v>
      </c>
      <c r="U47" s="77">
        <f>C47*6+M47*6+O47*6+Q47*6+T47</f>
        <v>16984</v>
      </c>
      <c r="V47" s="77">
        <f>U47/6</f>
        <v>2830.6666666666665</v>
      </c>
    </row>
    <row r="48" spans="1:23" x14ac:dyDescent="0.25">
      <c r="A48" s="27">
        <f t="shared" si="1"/>
        <v>45</v>
      </c>
      <c r="B48" s="25" t="s">
        <v>58</v>
      </c>
      <c r="C48" s="70">
        <v>1</v>
      </c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0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>
        <v>4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96</v>
      </c>
      <c r="V49" s="75">
        <f t="shared" si="9"/>
        <v>4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>
        <v>2</v>
      </c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48</v>
      </c>
      <c r="V52" s="75">
        <f t="shared" si="9"/>
        <v>2</v>
      </c>
    </row>
    <row r="53" spans="1:22" x14ac:dyDescent="0.25">
      <c r="A53" s="27">
        <f t="shared" si="1"/>
        <v>50</v>
      </c>
      <c r="B53" s="26" t="s">
        <v>63</v>
      </c>
      <c r="C53" s="70">
        <f>10+4</f>
        <v>14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336</v>
      </c>
      <c r="V53" s="75">
        <f t="shared" si="9"/>
        <v>14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32753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96</v>
      </c>
      <c r="I58" s="6">
        <f t="shared" si="11"/>
        <v>9</v>
      </c>
      <c r="J58" s="6">
        <f t="shared" si="11"/>
        <v>176</v>
      </c>
      <c r="K58" s="6">
        <f t="shared" si="11"/>
        <v>163</v>
      </c>
      <c r="M58" s="5">
        <f t="shared" ref="M58:R58" si="12">SUM(M7:M57)</f>
        <v>54</v>
      </c>
      <c r="N58" s="5">
        <f t="shared" si="12"/>
        <v>3</v>
      </c>
      <c r="O58" s="5">
        <f t="shared" si="12"/>
        <v>418</v>
      </c>
      <c r="P58" s="5">
        <f t="shared" si="12"/>
        <v>39</v>
      </c>
      <c r="Q58" s="5">
        <f t="shared" si="12"/>
        <v>683</v>
      </c>
      <c r="R58" s="5">
        <f t="shared" si="12"/>
        <v>7</v>
      </c>
      <c r="S58" s="55"/>
      <c r="T58" s="4">
        <f>SUM(T7:T57)</f>
        <v>493</v>
      </c>
      <c r="U58" s="90">
        <f>SUM(U7:U57)</f>
        <v>284671</v>
      </c>
      <c r="V58" s="4">
        <f>SUM(V7:V57)</f>
        <v>33968.916666666664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03" t="s">
        <v>41</v>
      </c>
      <c r="D60" s="104"/>
      <c r="E60" s="104"/>
      <c r="F60" s="104"/>
      <c r="G60" s="104"/>
      <c r="H60" s="104"/>
      <c r="I60" s="104"/>
      <c r="J60" s="104"/>
      <c r="K60" s="105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6047-0160-4265-AD9E-D22EF26C5A11}">
  <sheetPr>
    <pageSetUpPr fitToPage="1"/>
  </sheetPr>
  <dimension ref="A1:BB81"/>
  <sheetViews>
    <sheetView zoomScaleNormal="100" zoomScaleSheetLayoutView="115" workbookViewId="0">
      <selection activeCell="B3" sqref="B3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06" t="s">
        <v>43</v>
      </c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54" x14ac:dyDescent="0.25">
      <c r="B2" s="28" t="s">
        <v>78</v>
      </c>
    </row>
    <row r="3" spans="1:54" ht="19.5" thickBot="1" x14ac:dyDescent="0.3"/>
    <row r="4" spans="1:54" s="10" customFormat="1" ht="15.75" x14ac:dyDescent="0.25">
      <c r="B4" s="41" t="s">
        <v>52</v>
      </c>
      <c r="C4" s="107" t="s">
        <v>41</v>
      </c>
      <c r="D4" s="107"/>
      <c r="E4" s="107"/>
      <c r="F4" s="107"/>
      <c r="G4" s="107"/>
      <c r="H4" s="107"/>
      <c r="I4" s="107"/>
      <c r="J4" s="108"/>
      <c r="K4" s="109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0" t="s">
        <v>68</v>
      </c>
      <c r="U4" s="116" t="s">
        <v>67</v>
      </c>
      <c r="V4" s="99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14" t="s">
        <v>65</v>
      </c>
      <c r="K5" s="115"/>
      <c r="M5" s="37"/>
      <c r="N5" s="49"/>
      <c r="O5" s="40"/>
      <c r="P5" s="98"/>
      <c r="Q5" s="98"/>
      <c r="R5" s="38"/>
      <c r="S5" s="9"/>
      <c r="T5" s="111"/>
      <c r="U5" s="117"/>
      <c r="V5" s="100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8"/>
      <c r="K6" s="38"/>
      <c r="M6" s="37"/>
      <c r="N6" s="49"/>
      <c r="O6" s="40"/>
      <c r="P6" s="98"/>
      <c r="Q6" s="98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/>
      <c r="D7" s="52"/>
      <c r="E7" s="52"/>
      <c r="F7" s="52"/>
      <c r="G7" s="52"/>
      <c r="H7" s="52"/>
      <c r="I7" s="52"/>
      <c r="J7" s="53"/>
      <c r="K7" s="54"/>
      <c r="L7" s="55"/>
      <c r="M7" s="56"/>
      <c r="N7" s="57"/>
      <c r="O7" s="52"/>
      <c r="P7" s="53"/>
      <c r="Q7" s="53"/>
      <c r="R7" s="54"/>
      <c r="S7" s="55"/>
      <c r="T7" s="58">
        <f>H7+I7+J7+K7+N7+P7+R7</f>
        <v>0</v>
      </c>
      <c r="U7" s="58">
        <f>C7*24+M7*24+O7*24+Q7*24+T7</f>
        <v>0</v>
      </c>
      <c r="V7" s="58">
        <f>U7/24</f>
        <v>0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/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/>
      <c r="P8" s="66"/>
      <c r="Q8" s="66"/>
      <c r="R8" s="67"/>
      <c r="S8" s="62"/>
      <c r="T8" s="68">
        <f t="shared" ref="T8:T41" si="0">H8+I8+J8+K8+N8+P8+R8</f>
        <v>0</v>
      </c>
      <c r="U8" s="69">
        <f>C8*24+M8*24+O8*24+Q8*24+T8</f>
        <v>0</v>
      </c>
      <c r="V8" s="69">
        <f>U8/24</f>
        <v>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/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0</v>
      </c>
      <c r="V9" s="76">
        <f t="shared" ref="V9:V11" si="3">U9/24</f>
        <v>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/>
      <c r="D11" s="70"/>
      <c r="E11" s="70"/>
      <c r="F11" s="70"/>
      <c r="G11" s="70"/>
      <c r="H11" s="70"/>
      <c r="I11" s="70"/>
      <c r="J11" s="71"/>
      <c r="K11" s="72"/>
      <c r="L11" s="55"/>
      <c r="M11" s="73"/>
      <c r="N11" s="74"/>
      <c r="O11" s="70"/>
      <c r="P11" s="71"/>
      <c r="Q11" s="71"/>
      <c r="R11" s="72"/>
      <c r="S11" s="55"/>
      <c r="T11" s="58">
        <f t="shared" si="0"/>
        <v>0</v>
      </c>
      <c r="U11" s="58">
        <f t="shared" si="2"/>
        <v>0</v>
      </c>
      <c r="V11" s="58">
        <f t="shared" si="3"/>
        <v>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/>
      <c r="D12" s="59"/>
      <c r="E12" s="59"/>
      <c r="F12" s="59"/>
      <c r="G12" s="59"/>
      <c r="H12" s="59"/>
      <c r="I12" s="59"/>
      <c r="J12" s="60"/>
      <c r="K12" s="61"/>
      <c r="L12" s="62"/>
      <c r="M12" s="63"/>
      <c r="N12" s="64"/>
      <c r="O12" s="65"/>
      <c r="P12" s="66"/>
      <c r="Q12" s="66"/>
      <c r="R12" s="67"/>
      <c r="S12" s="62"/>
      <c r="T12" s="58">
        <f t="shared" si="0"/>
        <v>0</v>
      </c>
      <c r="U12" s="69">
        <f>C12*24+M12*24+O12*24+Q12*24+T12</f>
        <v>0</v>
      </c>
      <c r="V12" s="69">
        <f>U12/24</f>
        <v>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/>
      <c r="D13" s="70"/>
      <c r="E13" s="70"/>
      <c r="F13" s="70"/>
      <c r="G13" s="70"/>
      <c r="H13" s="70"/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58">
        <f t="shared" si="0"/>
        <v>0</v>
      </c>
      <c r="U13" s="76">
        <f>C13*24+M13*24+O13*24+Q13*24+T13</f>
        <v>0</v>
      </c>
      <c r="V13" s="76">
        <f>U13/24</f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/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0</v>
      </c>
      <c r="V14" s="75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0</v>
      </c>
      <c r="V17" s="75">
        <f t="shared" si="5"/>
        <v>0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/>
      <c r="D19" s="70"/>
      <c r="E19" s="70"/>
      <c r="F19" s="70"/>
      <c r="G19" s="70"/>
      <c r="H19" s="70"/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0</v>
      </c>
      <c r="U19" s="75">
        <f t="shared" si="4"/>
        <v>0</v>
      </c>
      <c r="V19" s="75">
        <f t="shared" si="5"/>
        <v>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/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0</v>
      </c>
      <c r="V20" s="75">
        <f t="shared" si="5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0</v>
      </c>
      <c r="V21" s="75">
        <f t="shared" si="5"/>
        <v>0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0</v>
      </c>
      <c r="U22" s="75">
        <f t="shared" si="4"/>
        <v>0</v>
      </c>
      <c r="V22" s="75">
        <f t="shared" si="5"/>
        <v>0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0</v>
      </c>
      <c r="U23" s="75">
        <f t="shared" si="4"/>
        <v>0</v>
      </c>
      <c r="V23" s="75">
        <f t="shared" si="5"/>
        <v>0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/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0</v>
      </c>
      <c r="V24" s="75">
        <f t="shared" si="5"/>
        <v>0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/>
      <c r="D25" s="70"/>
      <c r="E25" s="70"/>
      <c r="F25" s="70"/>
      <c r="G25" s="70"/>
      <c r="H25" s="70"/>
      <c r="I25" s="70"/>
      <c r="J25" s="71"/>
      <c r="K25" s="72"/>
      <c r="L25" s="55"/>
      <c r="M25" s="73"/>
      <c r="N25" s="74"/>
      <c r="O25" s="70"/>
      <c r="P25" s="71"/>
      <c r="Q25" s="71"/>
      <c r="R25" s="72"/>
      <c r="S25" s="55"/>
      <c r="T25" s="58">
        <f t="shared" si="0"/>
        <v>0</v>
      </c>
      <c r="U25" s="75">
        <f t="shared" si="4"/>
        <v>0</v>
      </c>
      <c r="V25" s="75">
        <f t="shared" si="5"/>
        <v>0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0</v>
      </c>
      <c r="V27" s="75">
        <f t="shared" si="5"/>
        <v>0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/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0</v>
      </c>
      <c r="U29" s="75">
        <f t="shared" si="4"/>
        <v>0</v>
      </c>
      <c r="V29" s="75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0</v>
      </c>
      <c r="V30" s="75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/>
      <c r="D34" s="70"/>
      <c r="E34" s="70"/>
      <c r="F34" s="70"/>
      <c r="G34" s="70"/>
      <c r="H34" s="70"/>
      <c r="I34" s="70"/>
      <c r="J34" s="71"/>
      <c r="K34" s="72"/>
      <c r="L34" s="55"/>
      <c r="M34" s="73"/>
      <c r="N34" s="74"/>
      <c r="O34" s="70"/>
      <c r="P34" s="71"/>
      <c r="Q34" s="71"/>
      <c r="R34" s="72"/>
      <c r="S34" s="55"/>
      <c r="T34" s="58">
        <f t="shared" si="0"/>
        <v>0</v>
      </c>
      <c r="U34" s="75">
        <f t="shared" si="4"/>
        <v>0</v>
      </c>
      <c r="V34" s="75">
        <f t="shared" si="5"/>
        <v>0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/>
      <c r="D37" s="59"/>
      <c r="E37" s="59"/>
      <c r="F37" s="59"/>
      <c r="G37" s="59"/>
      <c r="H37" s="59"/>
      <c r="I37" s="59"/>
      <c r="J37" s="60"/>
      <c r="K37" s="61"/>
      <c r="L37" s="62"/>
      <c r="M37" s="63"/>
      <c r="N37" s="64"/>
      <c r="O37" s="65"/>
      <c r="P37" s="66"/>
      <c r="Q37" s="66"/>
      <c r="R37" s="67"/>
      <c r="S37" s="62"/>
      <c r="T37" s="77">
        <f t="shared" si="0"/>
        <v>0</v>
      </c>
      <c r="U37" s="77">
        <f>C37*6+M37*6+O37*6+Q37*6+T37</f>
        <v>0</v>
      </c>
      <c r="V37" s="77">
        <f>U37/6</f>
        <v>0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/>
      <c r="D40" s="59"/>
      <c r="E40" s="59"/>
      <c r="F40" s="59"/>
      <c r="G40" s="59"/>
      <c r="H40" s="59"/>
      <c r="I40" s="59"/>
      <c r="J40" s="60"/>
      <c r="K40" s="61"/>
      <c r="L40" s="62"/>
      <c r="M40" s="63"/>
      <c r="N40" s="64"/>
      <c r="O40" s="65"/>
      <c r="P40" s="66"/>
      <c r="Q40" s="66"/>
      <c r="R40" s="67"/>
      <c r="S40" s="62"/>
      <c r="T40" s="77">
        <f t="shared" si="0"/>
        <v>0</v>
      </c>
      <c r="U40" s="77">
        <f>C40*24+M40*24+O40*24+Q40*24+T40</f>
        <v>0</v>
      </c>
      <c r="V40" s="77">
        <f>U40/24</f>
        <v>0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/>
      <c r="D43" s="65"/>
      <c r="E43" s="65"/>
      <c r="F43" s="65"/>
      <c r="G43" s="65"/>
      <c r="H43" s="65"/>
      <c r="I43" s="65"/>
      <c r="J43" s="66"/>
      <c r="K43" s="67"/>
      <c r="L43" s="62"/>
      <c r="M43" s="63"/>
      <c r="N43" s="64"/>
      <c r="O43" s="65"/>
      <c r="P43" s="66"/>
      <c r="Q43" s="66"/>
      <c r="R43" s="67"/>
      <c r="S43" s="62"/>
      <c r="T43" s="77">
        <f t="shared" ref="T43" si="6">H43+I43+J43+K43+N43+P43+R43</f>
        <v>0</v>
      </c>
      <c r="U43" s="77">
        <f>C43*6+M43*6+O43*6+Q43*6+T43</f>
        <v>0</v>
      </c>
      <c r="V43" s="77">
        <f>U43/6</f>
        <v>0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/>
      <c r="D47" s="65"/>
      <c r="E47" s="65"/>
      <c r="F47" s="65"/>
      <c r="G47" s="65"/>
      <c r="H47" s="65"/>
      <c r="I47" s="65"/>
      <c r="J47" s="66"/>
      <c r="K47" s="67"/>
      <c r="L47" s="62"/>
      <c r="M47" s="63"/>
      <c r="N47" s="64"/>
      <c r="O47" s="65"/>
      <c r="P47" s="66"/>
      <c r="Q47" s="66"/>
      <c r="R47" s="67"/>
      <c r="S47" s="62"/>
      <c r="T47" s="77">
        <f t="shared" si="7"/>
        <v>0</v>
      </c>
      <c r="U47" s="77">
        <f>C47*6+M47*6+O47*6+Q47*6+T47</f>
        <v>0</v>
      </c>
      <c r="V47" s="77">
        <f>U47/6</f>
        <v>0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0</v>
      </c>
      <c r="U48" s="75">
        <f t="shared" si="8"/>
        <v>0</v>
      </c>
      <c r="V48" s="75">
        <f t="shared" si="9"/>
        <v>0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/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0</v>
      </c>
      <c r="V51" s="77">
        <f>U51/6</f>
        <v>0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/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0</v>
      </c>
      <c r="V53" s="75">
        <f t="shared" si="9"/>
        <v>0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0</v>
      </c>
      <c r="I58" s="6">
        <f t="shared" si="11"/>
        <v>0</v>
      </c>
      <c r="J58" s="6">
        <f t="shared" si="11"/>
        <v>0</v>
      </c>
      <c r="K58" s="6">
        <f t="shared" si="11"/>
        <v>0</v>
      </c>
      <c r="M58" s="5">
        <f t="shared" ref="M58:R58" si="12">SUM(M7:M57)</f>
        <v>0</v>
      </c>
      <c r="N58" s="5">
        <f t="shared" si="12"/>
        <v>0</v>
      </c>
      <c r="O58" s="5">
        <f t="shared" si="12"/>
        <v>0</v>
      </c>
      <c r="P58" s="5">
        <f t="shared" si="12"/>
        <v>0</v>
      </c>
      <c r="Q58" s="5">
        <f t="shared" si="12"/>
        <v>0</v>
      </c>
      <c r="R58" s="5">
        <f t="shared" si="12"/>
        <v>0</v>
      </c>
      <c r="S58" s="55"/>
      <c r="T58" s="4">
        <f>SUM(T7:T57)</f>
        <v>0</v>
      </c>
      <c r="U58" s="90">
        <f>SUM(U7:U57)</f>
        <v>0</v>
      </c>
      <c r="V58" s="4">
        <f>SUM(V7:V57)</f>
        <v>0</v>
      </c>
    </row>
    <row r="59" spans="1:22" ht="7.5" customHeight="1" thickBot="1" x14ac:dyDescent="0.3"/>
    <row r="60" spans="1:22" ht="19.5" thickBot="1" x14ac:dyDescent="0.3">
      <c r="B60" s="30" t="s">
        <v>37</v>
      </c>
      <c r="C60" s="103" t="s">
        <v>41</v>
      </c>
      <c r="D60" s="104"/>
      <c r="E60" s="104"/>
      <c r="F60" s="104"/>
      <c r="G60" s="104"/>
      <c r="H60" s="104"/>
      <c r="I60" s="104"/>
      <c r="J60" s="104"/>
      <c r="K60" s="105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SAMPLE</vt:lpstr>
      <vt:lpstr>04-02-2026</vt:lpstr>
      <vt:lpstr>04-06-2026</vt:lpstr>
      <vt:lpstr>04-09-2026</vt:lpstr>
      <vt:lpstr>04-10-2026</vt:lpstr>
      <vt:lpstr>04-14-2026</vt:lpstr>
      <vt:lpstr>04-16-2026</vt:lpstr>
      <vt:lpstr>04-17-2026</vt:lpstr>
      <vt:lpstr>04-18-2026</vt:lpstr>
      <vt:lpstr>'04-02-2026'!Print_Area</vt:lpstr>
      <vt:lpstr>'04-06-2026'!Print_Area</vt:lpstr>
      <vt:lpstr>'04-09-2026'!Print_Area</vt:lpstr>
      <vt:lpstr>'04-10-2026'!Print_Area</vt:lpstr>
      <vt:lpstr>'04-14-2026'!Print_Area</vt:lpstr>
      <vt:lpstr>'04-16-2026'!Print_Area</vt:lpstr>
      <vt:lpstr>'04-17-2026'!Print_Area</vt:lpstr>
      <vt:lpstr>'04-18-2026'!Print_Area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2026-02-16T05:13:57Z</cp:lastPrinted>
  <dcterms:created xsi:type="dcterms:W3CDTF">2024-08-17T00:07:58Z</dcterms:created>
  <dcterms:modified xsi:type="dcterms:W3CDTF">2026-04-17T07:42:59Z</dcterms:modified>
</cp:coreProperties>
</file>