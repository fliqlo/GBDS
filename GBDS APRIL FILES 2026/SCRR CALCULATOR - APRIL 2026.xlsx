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sheets/sheet55.xml" ContentType="application/vnd.openxmlformats-officedocument.spreadsheetml.worksheet+xml"/>
  <Override PartName="/xl/worksheets/sheet56.xml" ContentType="application/vnd.openxmlformats-officedocument.spreadsheetml.worksheet+xml"/>
  <Override PartName="/xl/worksheets/sheet57.xml" ContentType="application/vnd.openxmlformats-officedocument.spreadsheetml.worksheet+xml"/>
  <Override PartName="/xl/worksheets/sheet58.xml" ContentType="application/vnd.openxmlformats-officedocument.spreadsheetml.worksheet+xml"/>
  <Override PartName="/xl/worksheets/sheet59.xml" ContentType="application/vnd.openxmlformats-officedocument.spreadsheetml.worksheet+xml"/>
  <Override PartName="/xl/worksheets/sheet60.xml" ContentType="application/vnd.openxmlformats-officedocument.spreadsheetml.worksheet+xml"/>
  <Override PartName="/xl/worksheets/sheet61.xml" ContentType="application/vnd.openxmlformats-officedocument.spreadsheetml.worksheet+xml"/>
  <Override PartName="/xl/worksheets/sheet62.xml" ContentType="application/vnd.openxmlformats-officedocument.spreadsheetml.worksheet+xml"/>
  <Override PartName="/xl/worksheets/sheet63.xml" ContentType="application/vnd.openxmlformats-officedocument.spreadsheetml.worksheet+xml"/>
  <Override PartName="/xl/worksheets/sheet64.xml" ContentType="application/vnd.openxmlformats-officedocument.spreadsheetml.worksheet+xml"/>
  <Override PartName="/xl/worksheets/sheet65.xml" ContentType="application/vnd.openxmlformats-officedocument.spreadsheetml.worksheet+xml"/>
  <Override PartName="/xl/worksheets/sheet66.xml" ContentType="application/vnd.openxmlformats-officedocument.spreadsheetml.worksheet+xml"/>
  <Override PartName="/xl/worksheets/sheet67.xml" ContentType="application/vnd.openxmlformats-officedocument.spreadsheetml.worksheet+xml"/>
  <Override PartName="/xl/worksheets/sheet68.xml" ContentType="application/vnd.openxmlformats-officedocument.spreadsheetml.worksheet+xml"/>
  <Override PartName="/xl/worksheets/sheet69.xml" ContentType="application/vnd.openxmlformats-officedocument.spreadsheetml.worksheet+xml"/>
  <Override PartName="/xl/worksheets/sheet70.xml" ContentType="application/vnd.openxmlformats-officedocument.spreadsheetml.worksheet+xml"/>
  <Override PartName="/xl/worksheets/sheet71.xml" ContentType="application/vnd.openxmlformats-officedocument.spreadsheetml.worksheet+xml"/>
  <Override PartName="/xl/worksheets/sheet72.xml" ContentType="application/vnd.openxmlformats-officedocument.spreadsheetml.worksheet+xml"/>
  <Override PartName="/xl/worksheets/sheet73.xml" ContentType="application/vnd.openxmlformats-officedocument.spreadsheetml.worksheet+xml"/>
  <Override PartName="/xl/worksheets/sheet74.xml" ContentType="application/vnd.openxmlformats-officedocument.spreadsheetml.worksheet+xml"/>
  <Override PartName="/xl/worksheets/sheet75.xml" ContentType="application/vnd.openxmlformats-officedocument.spreadsheetml.worksheet+xml"/>
  <Override PartName="/xl/worksheets/sheet76.xml" ContentType="application/vnd.openxmlformats-officedocument.spreadsheetml.worksheet+xml"/>
  <Override PartName="/xl/worksheets/sheet77.xml" ContentType="application/vnd.openxmlformats-officedocument.spreadsheetml.worksheet+xml"/>
  <Override PartName="/xl/worksheets/sheet78.xml" ContentType="application/vnd.openxmlformats-officedocument.spreadsheetml.worksheet+xml"/>
  <Override PartName="/xl/worksheets/sheet79.xml" ContentType="application/vnd.openxmlformats-officedocument.spreadsheetml.worksheet+xml"/>
  <Override PartName="/xl/worksheets/sheet80.xml" ContentType="application/vnd.openxmlformats-officedocument.spreadsheetml.worksheet+xml"/>
  <Override PartName="/xl/worksheets/sheet81.xml" ContentType="application/vnd.openxmlformats-officedocument.spreadsheetml.worksheet+xml"/>
  <Override PartName="/xl/worksheets/sheet82.xml" ContentType="application/vnd.openxmlformats-officedocument.spreadsheetml.worksheet+xml"/>
  <Override PartName="/xl/worksheets/sheet83.xml" ContentType="application/vnd.openxmlformats-officedocument.spreadsheetml.worksheet+xml"/>
  <Override PartName="/xl/worksheets/sheet84.xml" ContentType="application/vnd.openxmlformats-officedocument.spreadsheetml.worksheet+xml"/>
  <Override PartName="/xl/worksheets/sheet8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drawings/drawing13.xml" ContentType="application/vnd.openxmlformats-officedocument.drawing+xml"/>
  <Override PartName="/xl/drawings/drawing14.xml" ContentType="application/vnd.openxmlformats-officedocument.drawing+xml"/>
  <Override PartName="/xl/drawings/drawing15.xml" ContentType="application/vnd.openxmlformats-officedocument.drawing+xml"/>
  <Override PartName="/xl/drawings/drawing16.xml" ContentType="application/vnd.openxmlformats-officedocument.drawing+xml"/>
  <Override PartName="/xl/drawings/drawing17.xml" ContentType="application/vnd.openxmlformats-officedocument.drawing+xml"/>
  <Override PartName="/xl/drawings/drawing18.xml" ContentType="application/vnd.openxmlformats-officedocument.drawing+xml"/>
  <Override PartName="/xl/drawings/drawing19.xml" ContentType="application/vnd.openxmlformats-officedocument.drawing+xml"/>
  <Override PartName="/xl/drawings/drawing20.xml" ContentType="application/vnd.openxmlformats-officedocument.drawing+xml"/>
  <Override PartName="/xl/drawings/drawing21.xml" ContentType="application/vnd.openxmlformats-officedocument.drawing+xml"/>
  <Override PartName="/xl/drawings/drawing22.xml" ContentType="application/vnd.openxmlformats-officedocument.drawing+xml"/>
  <Override PartName="/xl/drawings/drawing23.xml" ContentType="application/vnd.openxmlformats-officedocument.drawing+xml"/>
  <Override PartName="/xl/drawings/drawing24.xml" ContentType="application/vnd.openxmlformats-officedocument.drawing+xml"/>
  <Override PartName="/xl/drawings/drawing25.xml" ContentType="application/vnd.openxmlformats-officedocument.drawing+xml"/>
  <Override PartName="/xl/drawings/drawing26.xml" ContentType="application/vnd.openxmlformats-officedocument.drawing+xml"/>
  <Override PartName="/xl/drawings/drawing27.xml" ContentType="application/vnd.openxmlformats-officedocument.drawing+xml"/>
  <Override PartName="/xl/drawings/drawing28.xml" ContentType="application/vnd.openxmlformats-officedocument.drawing+xml"/>
  <Override PartName="/xl/drawings/drawing29.xml" ContentType="application/vnd.openxmlformats-officedocument.drawing+xml"/>
  <Override PartName="/xl/drawings/drawing30.xml" ContentType="application/vnd.openxmlformats-officedocument.drawing+xml"/>
  <Override PartName="/xl/drawings/drawing31.xml" ContentType="application/vnd.openxmlformats-officedocument.drawing+xml"/>
  <Override PartName="/xl/drawings/drawing32.xml" ContentType="application/vnd.openxmlformats-officedocument.drawing+xml"/>
  <Override PartName="/xl/drawings/drawing33.xml" ContentType="application/vnd.openxmlformats-officedocument.drawing+xml"/>
  <Override PartName="/xl/drawings/drawing34.xml" ContentType="application/vnd.openxmlformats-officedocument.drawing+xml"/>
  <Override PartName="/xl/drawings/drawing35.xml" ContentType="application/vnd.openxmlformats-officedocument.drawing+xml"/>
  <Override PartName="/xl/drawings/drawing36.xml" ContentType="application/vnd.openxmlformats-officedocument.drawing+xml"/>
  <Override PartName="/xl/drawings/drawing37.xml" ContentType="application/vnd.openxmlformats-officedocument.drawing+xml"/>
  <Override PartName="/xl/drawings/drawing38.xml" ContentType="application/vnd.openxmlformats-officedocument.drawing+xml"/>
  <Override PartName="/xl/drawings/drawing39.xml" ContentType="application/vnd.openxmlformats-officedocument.drawing+xml"/>
  <Override PartName="/xl/drawings/drawing40.xml" ContentType="application/vnd.openxmlformats-officedocument.drawing+xml"/>
  <Override PartName="/xl/drawings/drawing41.xml" ContentType="application/vnd.openxmlformats-officedocument.drawing+xml"/>
  <Override PartName="/xl/drawings/drawing42.xml" ContentType="application/vnd.openxmlformats-officedocument.drawing+xml"/>
  <Override PartName="/xl/drawings/drawing43.xml" ContentType="application/vnd.openxmlformats-officedocument.drawing+xml"/>
  <Override PartName="/xl/drawings/drawing44.xml" ContentType="application/vnd.openxmlformats-officedocument.drawing+xml"/>
  <Override PartName="/xl/drawings/drawing45.xml" ContentType="application/vnd.openxmlformats-officedocument.drawing+xml"/>
  <Override PartName="/xl/drawings/drawing46.xml" ContentType="application/vnd.openxmlformats-officedocument.drawing+xml"/>
  <Override PartName="/xl/drawings/drawing47.xml" ContentType="application/vnd.openxmlformats-officedocument.drawing+xml"/>
  <Override PartName="/xl/drawings/drawing48.xml" ContentType="application/vnd.openxmlformats-officedocument.drawing+xml"/>
  <Override PartName="/xl/drawings/drawing49.xml" ContentType="application/vnd.openxmlformats-officedocument.drawing+xml"/>
  <Override PartName="/xl/drawings/drawing50.xml" ContentType="application/vnd.openxmlformats-officedocument.drawing+xml"/>
  <Override PartName="/xl/drawings/drawing51.xml" ContentType="application/vnd.openxmlformats-officedocument.drawing+xml"/>
  <Override PartName="/xl/drawings/drawing52.xml" ContentType="application/vnd.openxmlformats-officedocument.drawing+xml"/>
  <Override PartName="/xl/drawings/drawing53.xml" ContentType="application/vnd.openxmlformats-officedocument.drawing+xml"/>
  <Override PartName="/xl/drawings/drawing54.xml" ContentType="application/vnd.openxmlformats-officedocument.drawing+xml"/>
  <Override PartName="/xl/drawings/drawing55.xml" ContentType="application/vnd.openxmlformats-officedocument.drawing+xml"/>
  <Override PartName="/xl/drawings/drawing56.xml" ContentType="application/vnd.openxmlformats-officedocument.drawing+xml"/>
  <Override PartName="/xl/drawings/drawing57.xml" ContentType="application/vnd.openxmlformats-officedocument.drawing+xml"/>
  <Override PartName="/xl/drawings/drawing58.xml" ContentType="application/vnd.openxmlformats-officedocument.drawing+xml"/>
  <Override PartName="/xl/drawings/drawing59.xml" ContentType="application/vnd.openxmlformats-officedocument.drawing+xml"/>
  <Override PartName="/xl/drawings/drawing60.xml" ContentType="application/vnd.openxmlformats-officedocument.drawing+xml"/>
  <Override PartName="/xl/drawings/drawing61.xml" ContentType="application/vnd.openxmlformats-officedocument.drawing+xml"/>
  <Override PartName="/xl/drawings/drawing62.xml" ContentType="application/vnd.openxmlformats-officedocument.drawing+xml"/>
  <Override PartName="/xl/drawings/drawing63.xml" ContentType="application/vnd.openxmlformats-officedocument.drawing+xml"/>
  <Override PartName="/xl/drawings/drawing64.xml" ContentType="application/vnd.openxmlformats-officedocument.drawing+xml"/>
  <Override PartName="/xl/drawings/drawing65.xml" ContentType="application/vnd.openxmlformats-officedocument.drawing+xml"/>
  <Override PartName="/xl/drawings/drawing66.xml" ContentType="application/vnd.openxmlformats-officedocument.drawing+xml"/>
  <Override PartName="/xl/drawings/drawing67.xml" ContentType="application/vnd.openxmlformats-officedocument.drawing+xml"/>
  <Override PartName="/xl/drawings/drawing68.xml" ContentType="application/vnd.openxmlformats-officedocument.drawing+xml"/>
  <Override PartName="/xl/drawings/drawing69.xml" ContentType="application/vnd.openxmlformats-officedocument.drawing+xml"/>
  <Override PartName="/xl/drawings/drawing70.xml" ContentType="application/vnd.openxmlformats-officedocument.drawing+xml"/>
  <Override PartName="/xl/drawings/drawing71.xml" ContentType="application/vnd.openxmlformats-officedocument.drawing+xml"/>
  <Override PartName="/xl/drawings/drawing72.xml" ContentType="application/vnd.openxmlformats-officedocument.drawing+xml"/>
  <Override PartName="/xl/drawings/drawing73.xml" ContentType="application/vnd.openxmlformats-officedocument.drawing+xml"/>
  <Override PartName="/xl/drawings/drawing74.xml" ContentType="application/vnd.openxmlformats-officedocument.drawing+xml"/>
  <Override PartName="/xl/drawings/drawing75.xml" ContentType="application/vnd.openxmlformats-officedocument.drawing+xml"/>
  <Override PartName="/xl/drawings/drawing76.xml" ContentType="application/vnd.openxmlformats-officedocument.drawing+xml"/>
  <Override PartName="/xl/drawings/drawing77.xml" ContentType="application/vnd.openxmlformats-officedocument.drawing+xml"/>
  <Override PartName="/xl/drawings/drawing78.xml" ContentType="application/vnd.openxmlformats-officedocument.drawing+xml"/>
  <Override PartName="/xl/drawings/drawing79.xml" ContentType="application/vnd.openxmlformats-officedocument.drawing+xml"/>
  <Override PartName="/xl/drawings/drawing80.xml" ContentType="application/vnd.openxmlformats-officedocument.drawing+xml"/>
  <Override PartName="/xl/drawings/drawing81.xml" ContentType="application/vnd.openxmlformats-officedocument.drawing+xml"/>
  <Override PartName="/xl/drawings/drawing82.xml" ContentType="application/vnd.openxmlformats-officedocument.drawing+xml"/>
  <Override PartName="/xl/drawings/drawing83.xml" ContentType="application/vnd.openxmlformats-officedocument.drawing+xml"/>
  <Override PartName="/xl/drawings/drawing84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25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User\Desktop\GBDS APRIL FILES 2026\"/>
    </mc:Choice>
  </mc:AlternateContent>
  <xr:revisionPtr revIDLastSave="0" documentId="13_ncr:1_{9E3BE843-1C74-4231-BC9A-2BE07D988ABB}" xr6:coauthVersionLast="45" xr6:coauthVersionMax="47" xr10:uidLastSave="{00000000-0000-0000-0000-000000000000}"/>
  <bookViews>
    <workbookView xWindow="-120" yWindow="-120" windowWidth="29040" windowHeight="15840" firstSheet="55" activeTab="64" xr2:uid="{00000000-000D-0000-FFFF-FFFF00000000}"/>
  </bookViews>
  <sheets>
    <sheet name="(APRIL 2026)" sheetId="814" r:id="rId1"/>
    <sheet name="(01)" sheetId="1938" r:id="rId2"/>
    <sheet name="01,4 R1" sheetId="1939" r:id="rId3"/>
    <sheet name="01,4 R2" sheetId="1940" r:id="rId4"/>
    <sheet name="01,4 R3" sheetId="1941" r:id="rId5"/>
    <sheet name="(2)" sheetId="1942" r:id="rId6"/>
    <sheet name="01,2 R1" sheetId="1943" r:id="rId7"/>
    <sheet name="01,2 R2" sheetId="1944" r:id="rId8"/>
    <sheet name="01,2 R3" sheetId="1945" r:id="rId9"/>
    <sheet name="(3) NO TRIP" sheetId="1946" r:id="rId10"/>
    <sheet name="01,3 R1 NO TRIP" sheetId="1947" r:id="rId11"/>
    <sheet name="01,3 R2 NO TRIP" sheetId="1948" r:id="rId12"/>
    <sheet name="01,3 R3 NO TRIP" sheetId="1949" r:id="rId13"/>
    <sheet name="(4)" sheetId="1950" r:id="rId14"/>
    <sheet name="01,04 R1 NO TRIP" sheetId="1951" r:id="rId15"/>
    <sheet name="01,04 R2 NO TRIP" sheetId="1952" r:id="rId16"/>
    <sheet name="01,04 R3 NO TRIP" sheetId="1953" r:id="rId17"/>
    <sheet name="(6)" sheetId="1954" r:id="rId18"/>
    <sheet name="04,06 R1" sheetId="1955" r:id="rId19"/>
    <sheet name="04,06 R2" sheetId="1956" r:id="rId20"/>
    <sheet name="04,06 R3" sheetId="1957" r:id="rId21"/>
    <sheet name="(7)" sheetId="1958" r:id="rId22"/>
    <sheet name="04,07 R1" sheetId="1959" r:id="rId23"/>
    <sheet name="04,07 R2" sheetId="1960" r:id="rId24"/>
    <sheet name="04,07 R3" sheetId="1974" r:id="rId25"/>
    <sheet name="(8)" sheetId="1962" r:id="rId26"/>
    <sheet name="04,08 R1" sheetId="1963" r:id="rId27"/>
    <sheet name="04,08 R2" sheetId="1964" r:id="rId28"/>
    <sheet name="04,08 R3" sheetId="1975" r:id="rId29"/>
    <sheet name="(9)" sheetId="1966" r:id="rId30"/>
    <sheet name="04,09 R1" sheetId="1967" r:id="rId31"/>
    <sheet name="04,09 R2" sheetId="1968" r:id="rId32"/>
    <sheet name="04,09 R3" sheetId="1976" r:id="rId33"/>
    <sheet name="(10)" sheetId="1970" r:id="rId34"/>
    <sheet name="04,10 R1" sheetId="1971" r:id="rId35"/>
    <sheet name="04,10 R2" sheetId="1972" r:id="rId36"/>
    <sheet name="04,10 R3 NO TRIP" sheetId="1977" r:id="rId37"/>
    <sheet name="(11)" sheetId="1978" r:id="rId38"/>
    <sheet name="04,11 R1 NO TRIP" sheetId="1979" r:id="rId39"/>
    <sheet name="04,11 R2 NO TRIP" sheetId="1980" r:id="rId40"/>
    <sheet name="04,11 R3 NO TRIP" sheetId="1981" r:id="rId41"/>
    <sheet name="(13)" sheetId="1982" r:id="rId42"/>
    <sheet name="04,13 R1" sheetId="1983" r:id="rId43"/>
    <sheet name="04,13 R2" sheetId="1984" r:id="rId44"/>
    <sheet name="04,13 R3" sheetId="1985" r:id="rId45"/>
    <sheet name="(14)" sheetId="1986" r:id="rId46"/>
    <sheet name="04,14 R1" sheetId="1987" r:id="rId47"/>
    <sheet name="04,14 R2" sheetId="1988" r:id="rId48"/>
    <sheet name="04,14 R3" sheetId="1989" r:id="rId49"/>
    <sheet name="(15)" sheetId="1990" r:id="rId50"/>
    <sheet name="04,15 R1" sheetId="1991" r:id="rId51"/>
    <sheet name="04,15 R2" sheetId="1992" r:id="rId52"/>
    <sheet name="04,15 R3" sheetId="1993" r:id="rId53"/>
    <sheet name="(16)" sheetId="1994" r:id="rId54"/>
    <sheet name="04,16 R1" sheetId="1995" r:id="rId55"/>
    <sheet name="04,16 R2" sheetId="1996" r:id="rId56"/>
    <sheet name="04,16 R3" sheetId="1997" r:id="rId57"/>
    <sheet name="(17)" sheetId="1998" r:id="rId58"/>
    <sheet name="04,17 R1 NO TRIP" sheetId="1999" r:id="rId59"/>
    <sheet name="04,17 R2 " sheetId="2000" r:id="rId60"/>
    <sheet name="04,17 R3" sheetId="2001" r:id="rId61"/>
    <sheet name="(20)" sheetId="2006" r:id="rId62"/>
    <sheet name="04,20 R1" sheetId="2007" r:id="rId63"/>
    <sheet name="04,20 R2" sheetId="2008" r:id="rId64"/>
    <sheet name="04,20 R3" sheetId="2009" r:id="rId65"/>
    <sheet name="(21)" sheetId="2002" r:id="rId66"/>
    <sheet name="04,21 R1" sheetId="2003" r:id="rId67"/>
    <sheet name="04,21 R2" sheetId="2004" r:id="rId68"/>
    <sheet name="04,21 R3" sheetId="2005" r:id="rId69"/>
    <sheet name="(22)" sheetId="2010" r:id="rId70"/>
    <sheet name="04,22 R1" sheetId="2011" r:id="rId71"/>
    <sheet name="04,22 R2" sheetId="2012" r:id="rId72"/>
    <sheet name="04,22 R3" sheetId="2013" r:id="rId73"/>
    <sheet name="(23)" sheetId="2014" r:id="rId74"/>
    <sheet name="04,23 R1" sheetId="2015" r:id="rId75"/>
    <sheet name="04,23 R2" sheetId="2016" r:id="rId76"/>
    <sheet name="04,23 R3" sheetId="2017" r:id="rId77"/>
    <sheet name="(24)" sheetId="2018" r:id="rId78"/>
    <sheet name="04,24 R1" sheetId="2019" r:id="rId79"/>
    <sheet name="04,24 R2" sheetId="2020" r:id="rId80"/>
    <sheet name="04,24 R3" sheetId="2021" r:id="rId81"/>
    <sheet name="(27)" sheetId="2022" r:id="rId82"/>
    <sheet name="04,27 R1" sheetId="2023" r:id="rId83"/>
    <sheet name="04,27 R2" sheetId="2024" r:id="rId84"/>
    <sheet name="04,27 R3" sheetId="2025" r:id="rId85"/>
  </sheets>
  <definedNames>
    <definedName name="_xlnm.Print_Area" localSheetId="1">'(01)'!$A$1:$J$60</definedName>
    <definedName name="_xlnm.Print_Area" localSheetId="33">'(10)'!$A$1:$J$60</definedName>
    <definedName name="_xlnm.Print_Area" localSheetId="37">'(11)'!$A$1:$J$60</definedName>
    <definedName name="_xlnm.Print_Area" localSheetId="41">'(13)'!$A$1:$J$60</definedName>
    <definedName name="_xlnm.Print_Area" localSheetId="45">'(14)'!$A$1:$J$60</definedName>
    <definedName name="_xlnm.Print_Area" localSheetId="49">'(15)'!$A$1:$J$60</definedName>
    <definedName name="_xlnm.Print_Area" localSheetId="53">'(16)'!$A$1:$J$60</definedName>
    <definedName name="_xlnm.Print_Area" localSheetId="57">'(17)'!$A$1:$J$60</definedName>
    <definedName name="_xlnm.Print_Area" localSheetId="5">'(2)'!$A$1:$J$60</definedName>
    <definedName name="_xlnm.Print_Area" localSheetId="61">'(20)'!$A$1:$J$60</definedName>
    <definedName name="_xlnm.Print_Area" localSheetId="65">'(21)'!$A$1:$J$60</definedName>
    <definedName name="_xlnm.Print_Area" localSheetId="69">'(22)'!$A$1:$J$60</definedName>
    <definedName name="_xlnm.Print_Area" localSheetId="73">'(23)'!$A$1:$J$60</definedName>
    <definedName name="_xlnm.Print_Area" localSheetId="77">'(24)'!$A$1:$J$60</definedName>
    <definedName name="_xlnm.Print_Area" localSheetId="81">'(27)'!$A$1:$J$60</definedName>
    <definedName name="_xlnm.Print_Area" localSheetId="9">'(3) NO TRIP'!$A$1:$J$60</definedName>
    <definedName name="_xlnm.Print_Area" localSheetId="13">'(4)'!$A$1:$J$60</definedName>
    <definedName name="_xlnm.Print_Area" localSheetId="17">'(6)'!$A$1:$J$60</definedName>
    <definedName name="_xlnm.Print_Area" localSheetId="21">'(7)'!$A$1:$J$60</definedName>
    <definedName name="_xlnm.Print_Area" localSheetId="25">'(8)'!$A$1:$J$60</definedName>
    <definedName name="_xlnm.Print_Area" localSheetId="29">'(9)'!$A$1:$J$60</definedName>
    <definedName name="_xlnm.Print_Area" localSheetId="14">'01,04 R1 NO TRIP'!$A$1:$J$60</definedName>
    <definedName name="_xlnm.Print_Area" localSheetId="15">'01,04 R2 NO TRIP'!$A$1:$J$60</definedName>
    <definedName name="_xlnm.Print_Area" localSheetId="16">'01,04 R3 NO TRIP'!$A$1:$J$60</definedName>
    <definedName name="_xlnm.Print_Area" localSheetId="6">'01,2 R1'!$A$1:$J$60</definedName>
    <definedName name="_xlnm.Print_Area" localSheetId="7">'01,2 R2'!$A$1:$J$60</definedName>
    <definedName name="_xlnm.Print_Area" localSheetId="8">'01,2 R3'!$A$1:$J$60</definedName>
    <definedName name="_xlnm.Print_Area" localSheetId="10">'01,3 R1 NO TRIP'!$A$1:$J$60</definedName>
    <definedName name="_xlnm.Print_Area" localSheetId="11">'01,3 R2 NO TRIP'!$A$1:$J$60</definedName>
    <definedName name="_xlnm.Print_Area" localSheetId="12">'01,3 R3 NO TRIP'!$A$1:$J$60</definedName>
    <definedName name="_xlnm.Print_Area" localSheetId="2">'01,4 R1'!$A$1:$J$60</definedName>
    <definedName name="_xlnm.Print_Area" localSheetId="3">'01,4 R2'!$A$1:$J$60</definedName>
    <definedName name="_xlnm.Print_Area" localSheetId="4">'01,4 R3'!$A$1:$J$60</definedName>
    <definedName name="_xlnm.Print_Area" localSheetId="18">'04,06 R1'!$A$1:$J$60</definedName>
    <definedName name="_xlnm.Print_Area" localSheetId="19">'04,06 R2'!$A$1:$J$60</definedName>
    <definedName name="_xlnm.Print_Area" localSheetId="20">'04,06 R3'!$A$1:$J$60</definedName>
    <definedName name="_xlnm.Print_Area" localSheetId="22">'04,07 R1'!$A$1:$J$60</definedName>
    <definedName name="_xlnm.Print_Area" localSheetId="23">'04,07 R2'!$A$1:$J$60</definedName>
    <definedName name="_xlnm.Print_Area" localSheetId="24">'04,07 R3'!$A$1:$J$60</definedName>
    <definedName name="_xlnm.Print_Area" localSheetId="26">'04,08 R1'!$A$1:$J$60</definedName>
    <definedName name="_xlnm.Print_Area" localSheetId="27">'04,08 R2'!$A$1:$J$60</definedName>
    <definedName name="_xlnm.Print_Area" localSheetId="28">'04,08 R3'!$A$1:$J$60</definedName>
    <definedName name="_xlnm.Print_Area" localSheetId="30">'04,09 R1'!$A$1:$J$60</definedName>
    <definedName name="_xlnm.Print_Area" localSheetId="31">'04,09 R2'!$A$1:$J$60</definedName>
    <definedName name="_xlnm.Print_Area" localSheetId="32">'04,09 R3'!$A$1:$J$60</definedName>
    <definedName name="_xlnm.Print_Area" localSheetId="34">'04,10 R1'!$A$1:$J$60</definedName>
    <definedName name="_xlnm.Print_Area" localSheetId="35">'04,10 R2'!$A$1:$J$60</definedName>
    <definedName name="_xlnm.Print_Area" localSheetId="36">'04,10 R3 NO TRIP'!$A$1:$J$60</definedName>
    <definedName name="_xlnm.Print_Area" localSheetId="38">'04,11 R1 NO TRIP'!$A$1:$J$60</definedName>
    <definedName name="_xlnm.Print_Area" localSheetId="39">'04,11 R2 NO TRIP'!$A$1:$J$60</definedName>
    <definedName name="_xlnm.Print_Area" localSheetId="40">'04,11 R3 NO TRIP'!$A$1:$J$60</definedName>
    <definedName name="_xlnm.Print_Area" localSheetId="42">'04,13 R1'!$A$1:$J$60</definedName>
    <definedName name="_xlnm.Print_Area" localSheetId="43">'04,13 R2'!$A$1:$J$60</definedName>
    <definedName name="_xlnm.Print_Area" localSheetId="44">'04,13 R3'!$A$1:$J$60</definedName>
    <definedName name="_xlnm.Print_Area" localSheetId="46">'04,14 R1'!$A$1:$J$60</definedName>
    <definedName name="_xlnm.Print_Area" localSheetId="47">'04,14 R2'!$A$1:$J$60</definedName>
    <definedName name="_xlnm.Print_Area" localSheetId="48">'04,14 R3'!$A$1:$J$60</definedName>
    <definedName name="_xlnm.Print_Area" localSheetId="50">'04,15 R1'!$A$1:$J$60</definedName>
    <definedName name="_xlnm.Print_Area" localSheetId="51">'04,15 R2'!$A$1:$J$60</definedName>
    <definedName name="_xlnm.Print_Area" localSheetId="52">'04,15 R3'!$A$1:$J$60</definedName>
    <definedName name="_xlnm.Print_Area" localSheetId="54">'04,16 R1'!$A$1:$J$60</definedName>
    <definedName name="_xlnm.Print_Area" localSheetId="55">'04,16 R2'!$A$1:$J$60</definedName>
    <definedName name="_xlnm.Print_Area" localSheetId="56">'04,16 R3'!$A$1:$J$60</definedName>
    <definedName name="_xlnm.Print_Area" localSheetId="58">'04,17 R1 NO TRIP'!$A$1:$J$60</definedName>
    <definedName name="_xlnm.Print_Area" localSheetId="59">'04,17 R2 '!$A$1:$J$60</definedName>
    <definedName name="_xlnm.Print_Area" localSheetId="60">'04,17 R3'!$A$1:$J$60</definedName>
    <definedName name="_xlnm.Print_Area" localSheetId="62">'04,20 R1'!$A$1:$J$60</definedName>
    <definedName name="_xlnm.Print_Area" localSheetId="63">'04,20 R2'!$A$1:$J$60</definedName>
    <definedName name="_xlnm.Print_Area" localSheetId="64">'04,20 R3'!$A$1:$J$60</definedName>
    <definedName name="_xlnm.Print_Area" localSheetId="66">'04,21 R1'!$A$1:$J$60</definedName>
    <definedName name="_xlnm.Print_Area" localSheetId="67">'04,21 R2'!$A$1:$J$60</definedName>
    <definedName name="_xlnm.Print_Area" localSheetId="68">'04,21 R3'!$A$1:$J$60</definedName>
    <definedName name="_xlnm.Print_Area" localSheetId="70">'04,22 R1'!$A$1:$J$60</definedName>
    <definedName name="_xlnm.Print_Area" localSheetId="71">'04,22 R2'!$A$1:$J$60</definedName>
    <definedName name="_xlnm.Print_Area" localSheetId="72">'04,22 R3'!$A$1:$J$60</definedName>
    <definedName name="_xlnm.Print_Area" localSheetId="74">'04,23 R1'!$A$1:$J$60</definedName>
    <definedName name="_xlnm.Print_Area" localSheetId="75">'04,23 R2'!$A$1:$J$60</definedName>
    <definedName name="_xlnm.Print_Area" localSheetId="76">'04,23 R3'!$A$1:$J$60</definedName>
    <definedName name="_xlnm.Print_Area" localSheetId="78">'04,24 R1'!$A$1:$J$60</definedName>
    <definedName name="_xlnm.Print_Area" localSheetId="79">'04,24 R2'!$A$1:$J$60</definedName>
    <definedName name="_xlnm.Print_Area" localSheetId="80">'04,24 R3'!$A$1:$J$60</definedName>
    <definedName name="_xlnm.Print_Area" localSheetId="82">'04,27 R1'!$A$1:$J$60</definedName>
    <definedName name="_xlnm.Print_Area" localSheetId="83">'04,27 R2'!$A$1:$J$60</definedName>
    <definedName name="_xlnm.Print_Area" localSheetId="84">'04,27 R3'!$A$1:$J$60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FV"/>
      </xcalcf:calcFeatures>
    </ext>
  </extLst>
</workbook>
</file>

<file path=xl/calcChain.xml><?xml version="1.0" encoding="utf-8"?>
<calcChain xmlns="http://schemas.openxmlformats.org/spreadsheetml/2006/main">
  <c r="R52" i="2025" l="1"/>
  <c r="R51" i="2025"/>
  <c r="D50" i="2025"/>
  <c r="R49" i="2025"/>
  <c r="D49" i="2025"/>
  <c r="R48" i="2025"/>
  <c r="D48" i="2025"/>
  <c r="D46" i="2025"/>
  <c r="D45" i="2025"/>
  <c r="R44" i="2025"/>
  <c r="L28" i="2025" s="1"/>
  <c r="D28" i="2025" s="1"/>
  <c r="D44" i="2025"/>
  <c r="R42" i="2025"/>
  <c r="D42" i="2025"/>
  <c r="R41" i="2025"/>
  <c r="L7" i="2025" s="1"/>
  <c r="D7" i="2025" s="1"/>
  <c r="D41" i="2025"/>
  <c r="R40" i="2025"/>
  <c r="D40" i="2025"/>
  <c r="R39" i="2025"/>
  <c r="H39" i="2025"/>
  <c r="D39" i="2025"/>
  <c r="R38" i="2025"/>
  <c r="H38" i="2025"/>
  <c r="D38" i="2025"/>
  <c r="R37" i="2025"/>
  <c r="H37" i="2025"/>
  <c r="D37" i="2025"/>
  <c r="R36" i="2025"/>
  <c r="H36" i="2025"/>
  <c r="D36" i="2025"/>
  <c r="D54" i="2025" s="1"/>
  <c r="H14" i="2025" s="1"/>
  <c r="R35" i="2025"/>
  <c r="L18" i="2025" s="1"/>
  <c r="D18" i="2025" s="1"/>
  <c r="H35" i="2025"/>
  <c r="G49" i="2025" s="1"/>
  <c r="D35" i="2025"/>
  <c r="R34" i="2025"/>
  <c r="L12" i="2025" s="1"/>
  <c r="D12" i="2025" s="1"/>
  <c r="H34" i="2025"/>
  <c r="D34" i="2025"/>
  <c r="R33" i="2025"/>
  <c r="R32" i="2025"/>
  <c r="R31" i="2025"/>
  <c r="R30" i="2025"/>
  <c r="R29" i="2025"/>
  <c r="R28" i="2025"/>
  <c r="R27" i="2025"/>
  <c r="L27" i="2025"/>
  <c r="D27" i="2025" s="1"/>
  <c r="R26" i="2025"/>
  <c r="L26" i="2025"/>
  <c r="D26" i="2025" s="1"/>
  <c r="R25" i="2025"/>
  <c r="L25" i="2025"/>
  <c r="D25" i="2025"/>
  <c r="R24" i="2025"/>
  <c r="L24" i="2025"/>
  <c r="D24" i="2025" s="1"/>
  <c r="R23" i="2025"/>
  <c r="L23" i="2025"/>
  <c r="D23" i="2025" s="1"/>
  <c r="R22" i="2025"/>
  <c r="L22" i="2025"/>
  <c r="D22" i="2025"/>
  <c r="R21" i="2025"/>
  <c r="L21" i="2025"/>
  <c r="D21" i="2025" s="1"/>
  <c r="R20" i="2025"/>
  <c r="L20" i="2025"/>
  <c r="D20" i="2025" s="1"/>
  <c r="R19" i="2025"/>
  <c r="L19" i="2025"/>
  <c r="D19" i="2025" s="1"/>
  <c r="R18" i="2025"/>
  <c r="R17" i="2025"/>
  <c r="L17" i="2025"/>
  <c r="D17" i="2025"/>
  <c r="R16" i="2025"/>
  <c r="R15" i="2025"/>
  <c r="R14" i="2025"/>
  <c r="D14" i="2025"/>
  <c r="R13" i="2025"/>
  <c r="D13" i="2025"/>
  <c r="R12" i="2025"/>
  <c r="R11" i="2025"/>
  <c r="L11" i="2025"/>
  <c r="D11" i="2025"/>
  <c r="L10" i="2025"/>
  <c r="D10" i="2025" s="1"/>
  <c r="L9" i="2025"/>
  <c r="D9" i="2025" s="1"/>
  <c r="L8" i="2025"/>
  <c r="D8" i="2025"/>
  <c r="R6" i="2025"/>
  <c r="L16" i="2025" s="1"/>
  <c r="D16" i="2025" s="1"/>
  <c r="L6" i="2025"/>
  <c r="D6" i="2025" s="1"/>
  <c r="R5" i="2025"/>
  <c r="R4" i="2025"/>
  <c r="L15" i="2025" s="1"/>
  <c r="D15" i="2025" s="1"/>
  <c r="R52" i="2024"/>
  <c r="R51" i="2024"/>
  <c r="D50" i="2024"/>
  <c r="R49" i="2024"/>
  <c r="D49" i="2024"/>
  <c r="R48" i="2024"/>
  <c r="D48" i="2024"/>
  <c r="D46" i="2024"/>
  <c r="D45" i="2024"/>
  <c r="R44" i="2024"/>
  <c r="D44" i="2024"/>
  <c r="R42" i="2024"/>
  <c r="D42" i="2024"/>
  <c r="R41" i="2024"/>
  <c r="D41" i="2024"/>
  <c r="R40" i="2024"/>
  <c r="L8" i="2024" s="1"/>
  <c r="D8" i="2024" s="1"/>
  <c r="D40" i="2024"/>
  <c r="R39" i="2024"/>
  <c r="H39" i="2024"/>
  <c r="D39" i="2024"/>
  <c r="R38" i="2024"/>
  <c r="H38" i="2024"/>
  <c r="D38" i="2024"/>
  <c r="R37" i="2024"/>
  <c r="H37" i="2024"/>
  <c r="D37" i="2024"/>
  <c r="R36" i="2024"/>
  <c r="L10" i="2024" s="1"/>
  <c r="D10" i="2024" s="1"/>
  <c r="H36" i="2024"/>
  <c r="D36" i="2024"/>
  <c r="R35" i="2024"/>
  <c r="H35" i="2024"/>
  <c r="D35" i="2024"/>
  <c r="R34" i="2024"/>
  <c r="H34" i="2024"/>
  <c r="G49" i="2024" s="1"/>
  <c r="D34" i="2024"/>
  <c r="D54" i="2024" s="1"/>
  <c r="H14" i="2024" s="1"/>
  <c r="R33" i="2024"/>
  <c r="R32" i="2024"/>
  <c r="R31" i="2024"/>
  <c r="R30" i="2024"/>
  <c r="R29" i="2024"/>
  <c r="R28" i="2024"/>
  <c r="L28" i="2024"/>
  <c r="D28" i="2024"/>
  <c r="R27" i="2024"/>
  <c r="L27" i="2024"/>
  <c r="D27" i="2024"/>
  <c r="R26" i="2024"/>
  <c r="L26" i="2024"/>
  <c r="D26" i="2024" s="1"/>
  <c r="R25" i="2024"/>
  <c r="L25" i="2024"/>
  <c r="D25" i="2024"/>
  <c r="R24" i="2024"/>
  <c r="L24" i="2024"/>
  <c r="D24" i="2024" s="1"/>
  <c r="R23" i="2024"/>
  <c r="L23" i="2024"/>
  <c r="D23" i="2024" s="1"/>
  <c r="R22" i="2024"/>
  <c r="L20" i="2024" s="1"/>
  <c r="D20" i="2024" s="1"/>
  <c r="L22" i="2024"/>
  <c r="D22" i="2024"/>
  <c r="R21" i="2024"/>
  <c r="L21" i="2024"/>
  <c r="D21" i="2024"/>
  <c r="R20" i="2024"/>
  <c r="R19" i="2024"/>
  <c r="L19" i="2024"/>
  <c r="D19" i="2024"/>
  <c r="R18" i="2024"/>
  <c r="L18" i="2024"/>
  <c r="D18" i="2024"/>
  <c r="R17" i="2024"/>
  <c r="L17" i="2024"/>
  <c r="D17" i="2024" s="1"/>
  <c r="R16" i="2024"/>
  <c r="L16" i="2024"/>
  <c r="D16" i="2024" s="1"/>
  <c r="R15" i="2024"/>
  <c r="L15" i="2024"/>
  <c r="D15" i="2024"/>
  <c r="R14" i="2024"/>
  <c r="D14" i="2024"/>
  <c r="R13" i="2024"/>
  <c r="D13" i="2024"/>
  <c r="R12" i="2024"/>
  <c r="L12" i="2024"/>
  <c r="D12" i="2024" s="1"/>
  <c r="R11" i="2024"/>
  <c r="L11" i="2024"/>
  <c r="D11" i="2024" s="1"/>
  <c r="L9" i="2024"/>
  <c r="D9" i="2024" s="1"/>
  <c r="L7" i="2024"/>
  <c r="D7" i="2024" s="1"/>
  <c r="R6" i="2024"/>
  <c r="L6" i="2024"/>
  <c r="D6" i="2024" s="1"/>
  <c r="R5" i="2024"/>
  <c r="R4" i="2024"/>
  <c r="R52" i="2023"/>
  <c r="R51" i="2023"/>
  <c r="D50" i="2023"/>
  <c r="R49" i="2023"/>
  <c r="G49" i="2023"/>
  <c r="D49" i="2023"/>
  <c r="R48" i="2023"/>
  <c r="D48" i="2023"/>
  <c r="D46" i="2023"/>
  <c r="D45" i="2023"/>
  <c r="R44" i="2023"/>
  <c r="L28" i="2023" s="1"/>
  <c r="D28" i="2023" s="1"/>
  <c r="D44" i="2023"/>
  <c r="R42" i="2023"/>
  <c r="D42" i="2023"/>
  <c r="R41" i="2023"/>
  <c r="L7" i="2023" s="1"/>
  <c r="D7" i="2023" s="1"/>
  <c r="D41" i="2023"/>
  <c r="R40" i="2023"/>
  <c r="D40" i="2023"/>
  <c r="R39" i="2023"/>
  <c r="H39" i="2023"/>
  <c r="D39" i="2023"/>
  <c r="R38" i="2023"/>
  <c r="H38" i="2023"/>
  <c r="D38" i="2023"/>
  <c r="R37" i="2023"/>
  <c r="H37" i="2023"/>
  <c r="D37" i="2023"/>
  <c r="R36" i="2023"/>
  <c r="H36" i="2023"/>
  <c r="D36" i="2023"/>
  <c r="R35" i="2023"/>
  <c r="H35" i="2023"/>
  <c r="D35" i="2023"/>
  <c r="R34" i="2023"/>
  <c r="L12" i="2023" s="1"/>
  <c r="D12" i="2023" s="1"/>
  <c r="H34" i="2023"/>
  <c r="D34" i="2023"/>
  <c r="D54" i="2023" s="1"/>
  <c r="H14" i="2023" s="1"/>
  <c r="R33" i="2023"/>
  <c r="L19" i="2023" s="1"/>
  <c r="D19" i="2023" s="1"/>
  <c r="R32" i="2023"/>
  <c r="R31" i="2023"/>
  <c r="R30" i="2023"/>
  <c r="R29" i="2023"/>
  <c r="R28" i="2023"/>
  <c r="R27" i="2023"/>
  <c r="L27" i="2023"/>
  <c r="D27" i="2023" s="1"/>
  <c r="R26" i="2023"/>
  <c r="L26" i="2023"/>
  <c r="D26" i="2023" s="1"/>
  <c r="R25" i="2023"/>
  <c r="L25" i="2023"/>
  <c r="D25" i="2023"/>
  <c r="R24" i="2023"/>
  <c r="L24" i="2023"/>
  <c r="D24" i="2023" s="1"/>
  <c r="R23" i="2023"/>
  <c r="L23" i="2023"/>
  <c r="D23" i="2023" s="1"/>
  <c r="R22" i="2023"/>
  <c r="L22" i="2023"/>
  <c r="D22" i="2023" s="1"/>
  <c r="R21" i="2023"/>
  <c r="L21" i="2023"/>
  <c r="D21" i="2023" s="1"/>
  <c r="R20" i="2023"/>
  <c r="L20" i="2023"/>
  <c r="D20" i="2023" s="1"/>
  <c r="R19" i="2023"/>
  <c r="R18" i="2023"/>
  <c r="L18" i="2023"/>
  <c r="D18" i="2023" s="1"/>
  <c r="R17" i="2023"/>
  <c r="L17" i="2023"/>
  <c r="D17" i="2023" s="1"/>
  <c r="R16" i="2023"/>
  <c r="R15" i="2023"/>
  <c r="R14" i="2023"/>
  <c r="D14" i="2023"/>
  <c r="R13" i="2023"/>
  <c r="D13" i="2023"/>
  <c r="R12" i="2023"/>
  <c r="R11" i="2023"/>
  <c r="L11" i="2023"/>
  <c r="D11" i="2023"/>
  <c r="L10" i="2023"/>
  <c r="D10" i="2023" s="1"/>
  <c r="L9" i="2023"/>
  <c r="D9" i="2023" s="1"/>
  <c r="L8" i="2023"/>
  <c r="D8" i="2023" s="1"/>
  <c r="R6" i="2023"/>
  <c r="L16" i="2023" s="1"/>
  <c r="D16" i="2023" s="1"/>
  <c r="L6" i="2023"/>
  <c r="D6" i="2023" s="1"/>
  <c r="R5" i="2023"/>
  <c r="R4" i="2023"/>
  <c r="L15" i="2023" s="1"/>
  <c r="D15" i="2023" s="1"/>
  <c r="R52" i="2022"/>
  <c r="R51" i="2022"/>
  <c r="D50" i="2022"/>
  <c r="R49" i="2022"/>
  <c r="G49" i="2022"/>
  <c r="D49" i="2022"/>
  <c r="R48" i="2022"/>
  <c r="D48" i="2022"/>
  <c r="D46" i="2022"/>
  <c r="D45" i="2022"/>
  <c r="D44" i="2022"/>
  <c r="R42" i="2022"/>
  <c r="L6" i="2022" s="1"/>
  <c r="D6" i="2022" s="1"/>
  <c r="D42" i="2022"/>
  <c r="R41" i="2022"/>
  <c r="L7" i="2022" s="1"/>
  <c r="D7" i="2022" s="1"/>
  <c r="D41" i="2022"/>
  <c r="R40" i="2022"/>
  <c r="D40" i="2022"/>
  <c r="R39" i="2022"/>
  <c r="D39" i="2022"/>
  <c r="R38" i="2022"/>
  <c r="D38" i="2022"/>
  <c r="R37" i="2022"/>
  <c r="D37" i="2022"/>
  <c r="R36" i="2022"/>
  <c r="L10" i="2022" s="1"/>
  <c r="D10" i="2022" s="1"/>
  <c r="D36" i="2022"/>
  <c r="R35" i="2022"/>
  <c r="D35" i="2022"/>
  <c r="R34" i="2022"/>
  <c r="L12" i="2022" s="1"/>
  <c r="D12" i="2022" s="1"/>
  <c r="D34" i="2022"/>
  <c r="D54" i="2022" s="1"/>
  <c r="H14" i="2022" s="1"/>
  <c r="R33" i="2022"/>
  <c r="L23" i="2022" s="1"/>
  <c r="D23" i="2022" s="1"/>
  <c r="R32" i="2022"/>
  <c r="R31" i="2022"/>
  <c r="R30" i="2022"/>
  <c r="R29" i="2022"/>
  <c r="R28" i="2022"/>
  <c r="D28" i="2022"/>
  <c r="R27" i="2022"/>
  <c r="D27" i="2022"/>
  <c r="R26" i="2022"/>
  <c r="L26" i="2022"/>
  <c r="D26" i="2022"/>
  <c r="R25" i="2022"/>
  <c r="L25" i="2022"/>
  <c r="D25" i="2022"/>
  <c r="R24" i="2022"/>
  <c r="D24" i="2022"/>
  <c r="R23" i="2022"/>
  <c r="R22" i="2022"/>
  <c r="L22" i="2022"/>
  <c r="D22" i="2022"/>
  <c r="R21" i="2022"/>
  <c r="D21" i="2022"/>
  <c r="R20" i="2022"/>
  <c r="L20" i="2022"/>
  <c r="D20" i="2022"/>
  <c r="R19" i="2022"/>
  <c r="L19" i="2022"/>
  <c r="D19" i="2022"/>
  <c r="R18" i="2022"/>
  <c r="D18" i="2022"/>
  <c r="R17" i="2022"/>
  <c r="D17" i="2022"/>
  <c r="R16" i="2022"/>
  <c r="L16" i="2022"/>
  <c r="D16" i="2022" s="1"/>
  <c r="S15" i="2022"/>
  <c r="R15" i="2022"/>
  <c r="D15" i="2022"/>
  <c r="S14" i="2022"/>
  <c r="R14" i="2022"/>
  <c r="D14" i="2022"/>
  <c r="R13" i="2022"/>
  <c r="D13" i="2022"/>
  <c r="R12" i="2022"/>
  <c r="R11" i="2022"/>
  <c r="L11" i="2022"/>
  <c r="D11" i="2022"/>
  <c r="L9" i="2022"/>
  <c r="D9" i="2022" s="1"/>
  <c r="L8" i="2022"/>
  <c r="D8" i="2022"/>
  <c r="R6" i="2022"/>
  <c r="R5" i="2022"/>
  <c r="R4" i="2022"/>
  <c r="R52" i="2021"/>
  <c r="R51" i="2021"/>
  <c r="D50" i="2021"/>
  <c r="R49" i="2021"/>
  <c r="D49" i="2021"/>
  <c r="R48" i="2021"/>
  <c r="D48" i="2021"/>
  <c r="D46" i="2021"/>
  <c r="D45" i="2021"/>
  <c r="R44" i="2021"/>
  <c r="D44" i="2021"/>
  <c r="R42" i="2021"/>
  <c r="D42" i="2021"/>
  <c r="R41" i="2021"/>
  <c r="D41" i="2021"/>
  <c r="R40" i="2021"/>
  <c r="L8" i="2021" s="1"/>
  <c r="D8" i="2021" s="1"/>
  <c r="D40" i="2021"/>
  <c r="R39" i="2021"/>
  <c r="H39" i="2021"/>
  <c r="D39" i="2021"/>
  <c r="R38" i="2021"/>
  <c r="L9" i="2021" s="1"/>
  <c r="D9" i="2021" s="1"/>
  <c r="H38" i="2021"/>
  <c r="D38" i="2021"/>
  <c r="R37" i="2021"/>
  <c r="H37" i="2021"/>
  <c r="D37" i="2021"/>
  <c r="R36" i="2021"/>
  <c r="L10" i="2021" s="1"/>
  <c r="D10" i="2021" s="1"/>
  <c r="H36" i="2021"/>
  <c r="D36" i="2021"/>
  <c r="R35" i="2021"/>
  <c r="H35" i="2021"/>
  <c r="D35" i="2021"/>
  <c r="R34" i="2021"/>
  <c r="L12" i="2021" s="1"/>
  <c r="D12" i="2021" s="1"/>
  <c r="H34" i="2021"/>
  <c r="G49" i="2021" s="1"/>
  <c r="D34" i="2021"/>
  <c r="D54" i="2021" s="1"/>
  <c r="H14" i="2021" s="1"/>
  <c r="R33" i="2021"/>
  <c r="R32" i="2021"/>
  <c r="R31" i="2021"/>
  <c r="R30" i="2021"/>
  <c r="R29" i="2021"/>
  <c r="R28" i="2021"/>
  <c r="L28" i="2021"/>
  <c r="D28" i="2021"/>
  <c r="R27" i="2021"/>
  <c r="L27" i="2021"/>
  <c r="D27" i="2021"/>
  <c r="R26" i="2021"/>
  <c r="L26" i="2021"/>
  <c r="D26" i="2021"/>
  <c r="R25" i="2021"/>
  <c r="L25" i="2021"/>
  <c r="D25" i="2021" s="1"/>
  <c r="R24" i="2021"/>
  <c r="L24" i="2021"/>
  <c r="D24" i="2021"/>
  <c r="R23" i="2021"/>
  <c r="L23" i="2021"/>
  <c r="D23" i="2021" s="1"/>
  <c r="R22" i="2021"/>
  <c r="L20" i="2021" s="1"/>
  <c r="D20" i="2021" s="1"/>
  <c r="L22" i="2021"/>
  <c r="D22" i="2021"/>
  <c r="R21" i="2021"/>
  <c r="L17" i="2021" s="1"/>
  <c r="D17" i="2021" s="1"/>
  <c r="L21" i="2021"/>
  <c r="D21" i="2021" s="1"/>
  <c r="R20" i="2021"/>
  <c r="R19" i="2021"/>
  <c r="L19" i="2021"/>
  <c r="D19" i="2021"/>
  <c r="R18" i="2021"/>
  <c r="L18" i="2021"/>
  <c r="D18" i="2021"/>
  <c r="R17" i="2021"/>
  <c r="R16" i="2021"/>
  <c r="L16" i="2021"/>
  <c r="D16" i="2021"/>
  <c r="R15" i="2021"/>
  <c r="L15" i="2021"/>
  <c r="D15" i="2021" s="1"/>
  <c r="R14" i="2021"/>
  <c r="D14" i="2021"/>
  <c r="R13" i="2021"/>
  <c r="D13" i="2021"/>
  <c r="R12" i="2021"/>
  <c r="R11" i="2021"/>
  <c r="L11" i="2021"/>
  <c r="D11" i="2021"/>
  <c r="L7" i="2021"/>
  <c r="D7" i="2021"/>
  <c r="R6" i="2021"/>
  <c r="L6" i="2021"/>
  <c r="D6" i="2021" s="1"/>
  <c r="R5" i="2021"/>
  <c r="R4" i="2021"/>
  <c r="R52" i="2020"/>
  <c r="R51" i="2020"/>
  <c r="D50" i="2020"/>
  <c r="R49" i="2020"/>
  <c r="G49" i="2020"/>
  <c r="D49" i="2020"/>
  <c r="R48" i="2020"/>
  <c r="D48" i="2020"/>
  <c r="D46" i="2020"/>
  <c r="D45" i="2020"/>
  <c r="R44" i="2020"/>
  <c r="D44" i="2020"/>
  <c r="R42" i="2020"/>
  <c r="L6" i="2020" s="1"/>
  <c r="D6" i="2020" s="1"/>
  <c r="D42" i="2020"/>
  <c r="R41" i="2020"/>
  <c r="D41" i="2020"/>
  <c r="R40" i="2020"/>
  <c r="L8" i="2020" s="1"/>
  <c r="D8" i="2020" s="1"/>
  <c r="D40" i="2020"/>
  <c r="R39" i="2020"/>
  <c r="H39" i="2020"/>
  <c r="D39" i="2020"/>
  <c r="R38" i="2020"/>
  <c r="H38" i="2020"/>
  <c r="D38" i="2020"/>
  <c r="R37" i="2020"/>
  <c r="H37" i="2020"/>
  <c r="D37" i="2020"/>
  <c r="R36" i="2020"/>
  <c r="H36" i="2020"/>
  <c r="D36" i="2020"/>
  <c r="R35" i="2020"/>
  <c r="H35" i="2020"/>
  <c r="D35" i="2020"/>
  <c r="R34" i="2020"/>
  <c r="L12" i="2020" s="1"/>
  <c r="D12" i="2020" s="1"/>
  <c r="H34" i="2020"/>
  <c r="D34" i="2020"/>
  <c r="D54" i="2020" s="1"/>
  <c r="H14" i="2020" s="1"/>
  <c r="R33" i="2020"/>
  <c r="L19" i="2020" s="1"/>
  <c r="D19" i="2020" s="1"/>
  <c r="R32" i="2020"/>
  <c r="L11" i="2020" s="1"/>
  <c r="D11" i="2020" s="1"/>
  <c r="R31" i="2020"/>
  <c r="R30" i="2020"/>
  <c r="R29" i="2020"/>
  <c r="R28" i="2020"/>
  <c r="L28" i="2020"/>
  <c r="D28" i="2020"/>
  <c r="R27" i="2020"/>
  <c r="L27" i="2020"/>
  <c r="D27" i="2020"/>
  <c r="R26" i="2020"/>
  <c r="L26" i="2020"/>
  <c r="D26" i="2020"/>
  <c r="R25" i="2020"/>
  <c r="L25" i="2020"/>
  <c r="D25" i="2020" s="1"/>
  <c r="R24" i="2020"/>
  <c r="L24" i="2020"/>
  <c r="D24" i="2020" s="1"/>
  <c r="R23" i="2020"/>
  <c r="L23" i="2020"/>
  <c r="D23" i="2020"/>
  <c r="R22" i="2020"/>
  <c r="L22" i="2020"/>
  <c r="D22" i="2020"/>
  <c r="R21" i="2020"/>
  <c r="L17" i="2020" s="1"/>
  <c r="D17" i="2020" s="1"/>
  <c r="L21" i="2020"/>
  <c r="D21" i="2020"/>
  <c r="R20" i="2020"/>
  <c r="L20" i="2020"/>
  <c r="D20" i="2020" s="1"/>
  <c r="R19" i="2020"/>
  <c r="R18" i="2020"/>
  <c r="L18" i="2020"/>
  <c r="D18" i="2020" s="1"/>
  <c r="R17" i="2020"/>
  <c r="R16" i="2020"/>
  <c r="L16" i="2020"/>
  <c r="D16" i="2020"/>
  <c r="R15" i="2020"/>
  <c r="L15" i="2020"/>
  <c r="D15" i="2020" s="1"/>
  <c r="R14" i="2020"/>
  <c r="D14" i="2020"/>
  <c r="R13" i="2020"/>
  <c r="D13" i="2020"/>
  <c r="R12" i="2020"/>
  <c r="R11" i="2020"/>
  <c r="L10" i="2020"/>
  <c r="D10" i="2020"/>
  <c r="L9" i="2020"/>
  <c r="D9" i="2020" s="1"/>
  <c r="L7" i="2020"/>
  <c r="D7" i="2020" s="1"/>
  <c r="R6" i="2020"/>
  <c r="R5" i="2020"/>
  <c r="R4" i="2020"/>
  <c r="R52" i="2019"/>
  <c r="R51" i="2019"/>
  <c r="D50" i="2019"/>
  <c r="R49" i="2019"/>
  <c r="D49" i="2019"/>
  <c r="R48" i="2019"/>
  <c r="D48" i="2019"/>
  <c r="D46" i="2019"/>
  <c r="D45" i="2019"/>
  <c r="R44" i="2019"/>
  <c r="D44" i="2019"/>
  <c r="R42" i="2019"/>
  <c r="D42" i="2019"/>
  <c r="R41" i="2019"/>
  <c r="D41" i="2019"/>
  <c r="R40" i="2019"/>
  <c r="L8" i="2019" s="1"/>
  <c r="D8" i="2019" s="1"/>
  <c r="D40" i="2019"/>
  <c r="R39" i="2019"/>
  <c r="H39" i="2019"/>
  <c r="D39" i="2019"/>
  <c r="R38" i="2019"/>
  <c r="L9" i="2019" s="1"/>
  <c r="D9" i="2019" s="1"/>
  <c r="H38" i="2019"/>
  <c r="D38" i="2019"/>
  <c r="R37" i="2019"/>
  <c r="H37" i="2019"/>
  <c r="D37" i="2019"/>
  <c r="R36" i="2019"/>
  <c r="H36" i="2019"/>
  <c r="D36" i="2019"/>
  <c r="R35" i="2019"/>
  <c r="H35" i="2019"/>
  <c r="D35" i="2019"/>
  <c r="R34" i="2019"/>
  <c r="L12" i="2019" s="1"/>
  <c r="D12" i="2019" s="1"/>
  <c r="H34" i="2019"/>
  <c r="G49" i="2019" s="1"/>
  <c r="D34" i="2019"/>
  <c r="D54" i="2019" s="1"/>
  <c r="H14" i="2019" s="1"/>
  <c r="R33" i="2019"/>
  <c r="R32" i="2019"/>
  <c r="R31" i="2019"/>
  <c r="R30" i="2019"/>
  <c r="R29" i="2019"/>
  <c r="R28" i="2019"/>
  <c r="L28" i="2019"/>
  <c r="D28" i="2019"/>
  <c r="R27" i="2019"/>
  <c r="L27" i="2019"/>
  <c r="D27" i="2019"/>
  <c r="R26" i="2019"/>
  <c r="L26" i="2019"/>
  <c r="D26" i="2019"/>
  <c r="R25" i="2019"/>
  <c r="L25" i="2019"/>
  <c r="D25" i="2019" s="1"/>
  <c r="R24" i="2019"/>
  <c r="L24" i="2019"/>
  <c r="D24" i="2019" s="1"/>
  <c r="R23" i="2019"/>
  <c r="L23" i="2019"/>
  <c r="D23" i="2019" s="1"/>
  <c r="R22" i="2019"/>
  <c r="L20" i="2019" s="1"/>
  <c r="D20" i="2019" s="1"/>
  <c r="L22" i="2019"/>
  <c r="D22" i="2019"/>
  <c r="R21" i="2019"/>
  <c r="L17" i="2019" s="1"/>
  <c r="D17" i="2019" s="1"/>
  <c r="L21" i="2019"/>
  <c r="D21" i="2019"/>
  <c r="R20" i="2019"/>
  <c r="R19" i="2019"/>
  <c r="L19" i="2019"/>
  <c r="D19" i="2019"/>
  <c r="R18" i="2019"/>
  <c r="L18" i="2019"/>
  <c r="D18" i="2019"/>
  <c r="R17" i="2019"/>
  <c r="R16" i="2019"/>
  <c r="L16" i="2019"/>
  <c r="D16" i="2019"/>
  <c r="R15" i="2019"/>
  <c r="L15" i="2019"/>
  <c r="D15" i="2019" s="1"/>
  <c r="R14" i="2019"/>
  <c r="D14" i="2019"/>
  <c r="R13" i="2019"/>
  <c r="D13" i="2019"/>
  <c r="R12" i="2019"/>
  <c r="R11" i="2019"/>
  <c r="L11" i="2019"/>
  <c r="D11" i="2019"/>
  <c r="L10" i="2019"/>
  <c r="D10" i="2019"/>
  <c r="L7" i="2019"/>
  <c r="D7" i="2019" s="1"/>
  <c r="R6" i="2019"/>
  <c r="L6" i="2019"/>
  <c r="D6" i="2019" s="1"/>
  <c r="R5" i="2019"/>
  <c r="R4" i="2019"/>
  <c r="R52" i="2018"/>
  <c r="R51" i="2018"/>
  <c r="D50" i="2018"/>
  <c r="R49" i="2018"/>
  <c r="G49" i="2018"/>
  <c r="D49" i="2018"/>
  <c r="R48" i="2018"/>
  <c r="D48" i="2018"/>
  <c r="D46" i="2018"/>
  <c r="D45" i="2018"/>
  <c r="D44" i="2018"/>
  <c r="R42" i="2018"/>
  <c r="L6" i="2018" s="1"/>
  <c r="D6" i="2018" s="1"/>
  <c r="D42" i="2018"/>
  <c r="R41" i="2018"/>
  <c r="L7" i="2018" s="1"/>
  <c r="D7" i="2018" s="1"/>
  <c r="D41" i="2018"/>
  <c r="R40" i="2018"/>
  <c r="D40" i="2018"/>
  <c r="R39" i="2018"/>
  <c r="D39" i="2018"/>
  <c r="R38" i="2018"/>
  <c r="D38" i="2018"/>
  <c r="R37" i="2018"/>
  <c r="D37" i="2018"/>
  <c r="R36" i="2018"/>
  <c r="L10" i="2018" s="1"/>
  <c r="D10" i="2018" s="1"/>
  <c r="D36" i="2018"/>
  <c r="R35" i="2018"/>
  <c r="D35" i="2018"/>
  <c r="R34" i="2018"/>
  <c r="L12" i="2018" s="1"/>
  <c r="D12" i="2018" s="1"/>
  <c r="D34" i="2018"/>
  <c r="D54" i="2018" s="1"/>
  <c r="H14" i="2018" s="1"/>
  <c r="R33" i="2018"/>
  <c r="L23" i="2018" s="1"/>
  <c r="D23" i="2018" s="1"/>
  <c r="R32" i="2018"/>
  <c r="R31" i="2018"/>
  <c r="R30" i="2018"/>
  <c r="R29" i="2018"/>
  <c r="R28" i="2018"/>
  <c r="L16" i="2018" s="1"/>
  <c r="D16" i="2018" s="1"/>
  <c r="D28" i="2018"/>
  <c r="R27" i="2018"/>
  <c r="D27" i="2018"/>
  <c r="R26" i="2018"/>
  <c r="L26" i="2018"/>
  <c r="D26" i="2018"/>
  <c r="R25" i="2018"/>
  <c r="L25" i="2018"/>
  <c r="D25" i="2018"/>
  <c r="R24" i="2018"/>
  <c r="D24" i="2018"/>
  <c r="R23" i="2018"/>
  <c r="R22" i="2018"/>
  <c r="L22" i="2018"/>
  <c r="D22" i="2018" s="1"/>
  <c r="R21" i="2018"/>
  <c r="D21" i="2018"/>
  <c r="R20" i="2018"/>
  <c r="L20" i="2018"/>
  <c r="D20" i="2018"/>
  <c r="R19" i="2018"/>
  <c r="L19" i="2018"/>
  <c r="D19" i="2018"/>
  <c r="R18" i="2018"/>
  <c r="D18" i="2018"/>
  <c r="R17" i="2018"/>
  <c r="D17" i="2018"/>
  <c r="R16" i="2018"/>
  <c r="S15" i="2018"/>
  <c r="R15" i="2018"/>
  <c r="D15" i="2018"/>
  <c r="S14" i="2018"/>
  <c r="R14" i="2018"/>
  <c r="D14" i="2018"/>
  <c r="R13" i="2018"/>
  <c r="D13" i="2018"/>
  <c r="R12" i="2018"/>
  <c r="R11" i="2018"/>
  <c r="L11" i="2018"/>
  <c r="D11" i="2018" s="1"/>
  <c r="L9" i="2018"/>
  <c r="D9" i="2018" s="1"/>
  <c r="L8" i="2018"/>
  <c r="D8" i="2018"/>
  <c r="R6" i="2018"/>
  <c r="R5" i="2018"/>
  <c r="R4" i="2018"/>
  <c r="R52" i="2017"/>
  <c r="R51" i="2017"/>
  <c r="D50" i="2017"/>
  <c r="R49" i="2017"/>
  <c r="G49" i="2017"/>
  <c r="D49" i="2017"/>
  <c r="R48" i="2017"/>
  <c r="D48" i="2017"/>
  <c r="D46" i="2017"/>
  <c r="D45" i="2017"/>
  <c r="R44" i="2017"/>
  <c r="L28" i="2017" s="1"/>
  <c r="D28" i="2017" s="1"/>
  <c r="D44" i="2017"/>
  <c r="R42" i="2017"/>
  <c r="D42" i="2017"/>
  <c r="R41" i="2017"/>
  <c r="D41" i="2017"/>
  <c r="R40" i="2017"/>
  <c r="D40" i="2017"/>
  <c r="R39" i="2017"/>
  <c r="H39" i="2017"/>
  <c r="D39" i="2017"/>
  <c r="R38" i="2017"/>
  <c r="H38" i="2017"/>
  <c r="D38" i="2017"/>
  <c r="R37" i="2017"/>
  <c r="H37" i="2017"/>
  <c r="D37" i="2017"/>
  <c r="R36" i="2017"/>
  <c r="H36" i="2017"/>
  <c r="D36" i="2017"/>
  <c r="R35" i="2017"/>
  <c r="L18" i="2017" s="1"/>
  <c r="D18" i="2017" s="1"/>
  <c r="H35" i="2017"/>
  <c r="D35" i="2017"/>
  <c r="R34" i="2017"/>
  <c r="L12" i="2017" s="1"/>
  <c r="D12" i="2017" s="1"/>
  <c r="H34" i="2017"/>
  <c r="D34" i="2017"/>
  <c r="D54" i="2017" s="1"/>
  <c r="H14" i="2017" s="1"/>
  <c r="R33" i="2017"/>
  <c r="L19" i="2017" s="1"/>
  <c r="D19" i="2017" s="1"/>
  <c r="R32" i="2017"/>
  <c r="R31" i="2017"/>
  <c r="R30" i="2017"/>
  <c r="R29" i="2017"/>
  <c r="R28" i="2017"/>
  <c r="R27" i="2017"/>
  <c r="L27" i="2017"/>
  <c r="D27" i="2017" s="1"/>
  <c r="R26" i="2017"/>
  <c r="L26" i="2017"/>
  <c r="D26" i="2017" s="1"/>
  <c r="R25" i="2017"/>
  <c r="L25" i="2017"/>
  <c r="D25" i="2017"/>
  <c r="R24" i="2017"/>
  <c r="L24" i="2017"/>
  <c r="D24" i="2017" s="1"/>
  <c r="R23" i="2017"/>
  <c r="L23" i="2017"/>
  <c r="D23" i="2017" s="1"/>
  <c r="R22" i="2017"/>
  <c r="L22" i="2017"/>
  <c r="D22" i="2017"/>
  <c r="R21" i="2017"/>
  <c r="L17" i="2017" s="1"/>
  <c r="D17" i="2017" s="1"/>
  <c r="L21" i="2017"/>
  <c r="D21" i="2017" s="1"/>
  <c r="R20" i="2017"/>
  <c r="L20" i="2017"/>
  <c r="D20" i="2017" s="1"/>
  <c r="R19" i="2017"/>
  <c r="R18" i="2017"/>
  <c r="R17" i="2017"/>
  <c r="R16" i="2017"/>
  <c r="L16" i="2017"/>
  <c r="D16" i="2017"/>
  <c r="R15" i="2017"/>
  <c r="L15" i="2017"/>
  <c r="D15" i="2017"/>
  <c r="R14" i="2017"/>
  <c r="D14" i="2017"/>
  <c r="R13" i="2017"/>
  <c r="D13" i="2017"/>
  <c r="R12" i="2017"/>
  <c r="R11" i="2017"/>
  <c r="L11" i="2017"/>
  <c r="D11" i="2017"/>
  <c r="L10" i="2017"/>
  <c r="D10" i="2017" s="1"/>
  <c r="L9" i="2017"/>
  <c r="D9" i="2017" s="1"/>
  <c r="L8" i="2017"/>
  <c r="D8" i="2017"/>
  <c r="L7" i="2017"/>
  <c r="D7" i="2017" s="1"/>
  <c r="R6" i="2017"/>
  <c r="L6" i="2017"/>
  <c r="D6" i="2017" s="1"/>
  <c r="R5" i="2017"/>
  <c r="R4" i="2017"/>
  <c r="R52" i="2016"/>
  <c r="R51" i="2016"/>
  <c r="D50" i="2016"/>
  <c r="R49" i="2016"/>
  <c r="D49" i="2016"/>
  <c r="R48" i="2016"/>
  <c r="D48" i="2016"/>
  <c r="D46" i="2016"/>
  <c r="D45" i="2016"/>
  <c r="R44" i="2016"/>
  <c r="L28" i="2016" s="1"/>
  <c r="D28" i="2016" s="1"/>
  <c r="D44" i="2016"/>
  <c r="R42" i="2016"/>
  <c r="D42" i="2016"/>
  <c r="R41" i="2016"/>
  <c r="L7" i="2016" s="1"/>
  <c r="D7" i="2016" s="1"/>
  <c r="D41" i="2016"/>
  <c r="R40" i="2016"/>
  <c r="L8" i="2016" s="1"/>
  <c r="D8" i="2016" s="1"/>
  <c r="D40" i="2016"/>
  <c r="R39" i="2016"/>
  <c r="H39" i="2016"/>
  <c r="D39" i="2016"/>
  <c r="R38" i="2016"/>
  <c r="L9" i="2016" s="1"/>
  <c r="D9" i="2016" s="1"/>
  <c r="H38" i="2016"/>
  <c r="D38" i="2016"/>
  <c r="R37" i="2016"/>
  <c r="H37" i="2016"/>
  <c r="D37" i="2016"/>
  <c r="R36" i="2016"/>
  <c r="H36" i="2016"/>
  <c r="D36" i="2016"/>
  <c r="R35" i="2016"/>
  <c r="L18" i="2016" s="1"/>
  <c r="D18" i="2016" s="1"/>
  <c r="H35" i="2016"/>
  <c r="D35" i="2016"/>
  <c r="D54" i="2016" s="1"/>
  <c r="H14" i="2016" s="1"/>
  <c r="R34" i="2016"/>
  <c r="H34" i="2016"/>
  <c r="G49" i="2016" s="1"/>
  <c r="D34" i="2016"/>
  <c r="R33" i="2016"/>
  <c r="R32" i="2016"/>
  <c r="R31" i="2016"/>
  <c r="R30" i="2016"/>
  <c r="R29" i="2016"/>
  <c r="R28" i="2016"/>
  <c r="R27" i="2016"/>
  <c r="L27" i="2016"/>
  <c r="D27" i="2016" s="1"/>
  <c r="R26" i="2016"/>
  <c r="L26" i="2016"/>
  <c r="D26" i="2016" s="1"/>
  <c r="R25" i="2016"/>
  <c r="L25" i="2016"/>
  <c r="D25" i="2016" s="1"/>
  <c r="R24" i="2016"/>
  <c r="L24" i="2016"/>
  <c r="D24" i="2016" s="1"/>
  <c r="R23" i="2016"/>
  <c r="L23" i="2016"/>
  <c r="D23" i="2016" s="1"/>
  <c r="R22" i="2016"/>
  <c r="L22" i="2016"/>
  <c r="D22" i="2016" s="1"/>
  <c r="R21" i="2016"/>
  <c r="L17" i="2016" s="1"/>
  <c r="D17" i="2016" s="1"/>
  <c r="L21" i="2016"/>
  <c r="D21" i="2016"/>
  <c r="R20" i="2016"/>
  <c r="L20" i="2016"/>
  <c r="D20" i="2016"/>
  <c r="R19" i="2016"/>
  <c r="L19" i="2016"/>
  <c r="D19" i="2016" s="1"/>
  <c r="R18" i="2016"/>
  <c r="R17" i="2016"/>
  <c r="R16" i="2016"/>
  <c r="L16" i="2016"/>
  <c r="D16" i="2016" s="1"/>
  <c r="R15" i="2016"/>
  <c r="R14" i="2016"/>
  <c r="D14" i="2016"/>
  <c r="R13" i="2016"/>
  <c r="D13" i="2016"/>
  <c r="R12" i="2016"/>
  <c r="L12" i="2016"/>
  <c r="D12" i="2016"/>
  <c r="R11" i="2016"/>
  <c r="L11" i="2016"/>
  <c r="D11" i="2016" s="1"/>
  <c r="L10" i="2016"/>
  <c r="D10" i="2016" s="1"/>
  <c r="R6" i="2016"/>
  <c r="L6" i="2016"/>
  <c r="D6" i="2016" s="1"/>
  <c r="D29" i="2016" s="1"/>
  <c r="H13" i="2016" s="1"/>
  <c r="H15" i="2016" s="1"/>
  <c r="H29" i="2016" s="1"/>
  <c r="R5" i="2016"/>
  <c r="R4" i="2016"/>
  <c r="L15" i="2016" s="1"/>
  <c r="D15" i="2016" s="1"/>
  <c r="R52" i="2015"/>
  <c r="R51" i="2015"/>
  <c r="D50" i="2015"/>
  <c r="R49" i="2015"/>
  <c r="G49" i="2015"/>
  <c r="D49" i="2015"/>
  <c r="R48" i="2015"/>
  <c r="D48" i="2015"/>
  <c r="D46" i="2015"/>
  <c r="D45" i="2015"/>
  <c r="R44" i="2015"/>
  <c r="L28" i="2015" s="1"/>
  <c r="D28" i="2015" s="1"/>
  <c r="D44" i="2015"/>
  <c r="R42" i="2015"/>
  <c r="D42" i="2015"/>
  <c r="R41" i="2015"/>
  <c r="D41" i="2015"/>
  <c r="R40" i="2015"/>
  <c r="D40" i="2015"/>
  <c r="R39" i="2015"/>
  <c r="H39" i="2015"/>
  <c r="D39" i="2015"/>
  <c r="R38" i="2015"/>
  <c r="H38" i="2015"/>
  <c r="D38" i="2015"/>
  <c r="R37" i="2015"/>
  <c r="H37" i="2015"/>
  <c r="D37" i="2015"/>
  <c r="R36" i="2015"/>
  <c r="H36" i="2015"/>
  <c r="D36" i="2015"/>
  <c r="R35" i="2015"/>
  <c r="L18" i="2015" s="1"/>
  <c r="D18" i="2015" s="1"/>
  <c r="H35" i="2015"/>
  <c r="D35" i="2015"/>
  <c r="R34" i="2015"/>
  <c r="L12" i="2015" s="1"/>
  <c r="D12" i="2015" s="1"/>
  <c r="H34" i="2015"/>
  <c r="D34" i="2015"/>
  <c r="D54" i="2015" s="1"/>
  <c r="H14" i="2015" s="1"/>
  <c r="R33" i="2015"/>
  <c r="L19" i="2015" s="1"/>
  <c r="D19" i="2015" s="1"/>
  <c r="R32" i="2015"/>
  <c r="L11" i="2015" s="1"/>
  <c r="D11" i="2015" s="1"/>
  <c r="R31" i="2015"/>
  <c r="R30" i="2015"/>
  <c r="R29" i="2015"/>
  <c r="R28" i="2015"/>
  <c r="R27" i="2015"/>
  <c r="L27" i="2015"/>
  <c r="D27" i="2015"/>
  <c r="R26" i="2015"/>
  <c r="L26" i="2015"/>
  <c r="D26" i="2015"/>
  <c r="R25" i="2015"/>
  <c r="L25" i="2015"/>
  <c r="D25" i="2015" s="1"/>
  <c r="R24" i="2015"/>
  <c r="L24" i="2015"/>
  <c r="D24" i="2015" s="1"/>
  <c r="R23" i="2015"/>
  <c r="L23" i="2015"/>
  <c r="D23" i="2015" s="1"/>
  <c r="R22" i="2015"/>
  <c r="L22" i="2015"/>
  <c r="D22" i="2015"/>
  <c r="R21" i="2015"/>
  <c r="L17" i="2015" s="1"/>
  <c r="D17" i="2015" s="1"/>
  <c r="L21" i="2015"/>
  <c r="D21" i="2015"/>
  <c r="R20" i="2015"/>
  <c r="L20" i="2015"/>
  <c r="D20" i="2015" s="1"/>
  <c r="R19" i="2015"/>
  <c r="R18" i="2015"/>
  <c r="R17" i="2015"/>
  <c r="R16" i="2015"/>
  <c r="L16" i="2015"/>
  <c r="D16" i="2015"/>
  <c r="R15" i="2015"/>
  <c r="L15" i="2015"/>
  <c r="D15" i="2015" s="1"/>
  <c r="R14" i="2015"/>
  <c r="D14" i="2015"/>
  <c r="R13" i="2015"/>
  <c r="D13" i="2015"/>
  <c r="R12" i="2015"/>
  <c r="R11" i="2015"/>
  <c r="L10" i="2015"/>
  <c r="D10" i="2015"/>
  <c r="L9" i="2015"/>
  <c r="D9" i="2015" s="1"/>
  <c r="L8" i="2015"/>
  <c r="D8" i="2015"/>
  <c r="L7" i="2015"/>
  <c r="D7" i="2015" s="1"/>
  <c r="R6" i="2015"/>
  <c r="L6" i="2015"/>
  <c r="D6" i="2015" s="1"/>
  <c r="R5" i="2015"/>
  <c r="R4" i="2015"/>
  <c r="R52" i="2014"/>
  <c r="R51" i="2014"/>
  <c r="D50" i="2014"/>
  <c r="R49" i="2014"/>
  <c r="G49" i="2014"/>
  <c r="D49" i="2014"/>
  <c r="R48" i="2014"/>
  <c r="D48" i="2014"/>
  <c r="D46" i="2014"/>
  <c r="D45" i="2014"/>
  <c r="D44" i="2014"/>
  <c r="R42" i="2014"/>
  <c r="L6" i="2014" s="1"/>
  <c r="D6" i="2014" s="1"/>
  <c r="D42" i="2014"/>
  <c r="R41" i="2014"/>
  <c r="L7" i="2014" s="1"/>
  <c r="D7" i="2014" s="1"/>
  <c r="D41" i="2014"/>
  <c r="R40" i="2014"/>
  <c r="D40" i="2014"/>
  <c r="R39" i="2014"/>
  <c r="D39" i="2014"/>
  <c r="R38" i="2014"/>
  <c r="D38" i="2014"/>
  <c r="R37" i="2014"/>
  <c r="D37" i="2014"/>
  <c r="R36" i="2014"/>
  <c r="D36" i="2014"/>
  <c r="R35" i="2014"/>
  <c r="D35" i="2014"/>
  <c r="D54" i="2014" s="1"/>
  <c r="H14" i="2014" s="1"/>
  <c r="R34" i="2014"/>
  <c r="L12" i="2014" s="1"/>
  <c r="D12" i="2014" s="1"/>
  <c r="D34" i="2014"/>
  <c r="R33" i="2014"/>
  <c r="L23" i="2014" s="1"/>
  <c r="D23" i="2014" s="1"/>
  <c r="R32" i="2014"/>
  <c r="L11" i="2014" s="1"/>
  <c r="D11" i="2014" s="1"/>
  <c r="R31" i="2014"/>
  <c r="R30" i="2014"/>
  <c r="R29" i="2014"/>
  <c r="R28" i="2014"/>
  <c r="D28" i="2014"/>
  <c r="R27" i="2014"/>
  <c r="D27" i="2014"/>
  <c r="R26" i="2014"/>
  <c r="L26" i="2014"/>
  <c r="D26" i="2014"/>
  <c r="R25" i="2014"/>
  <c r="L25" i="2014"/>
  <c r="D25" i="2014"/>
  <c r="R24" i="2014"/>
  <c r="D24" i="2014"/>
  <c r="R23" i="2014"/>
  <c r="R22" i="2014"/>
  <c r="L22" i="2014"/>
  <c r="D22" i="2014"/>
  <c r="R21" i="2014"/>
  <c r="D21" i="2014"/>
  <c r="R20" i="2014"/>
  <c r="L20" i="2014"/>
  <c r="D20" i="2014"/>
  <c r="R19" i="2014"/>
  <c r="L19" i="2014"/>
  <c r="D19" i="2014"/>
  <c r="R18" i="2014"/>
  <c r="D18" i="2014"/>
  <c r="R17" i="2014"/>
  <c r="D17" i="2014"/>
  <c r="R16" i="2014"/>
  <c r="L16" i="2014"/>
  <c r="D16" i="2014" s="1"/>
  <c r="S15" i="2014"/>
  <c r="R15" i="2014"/>
  <c r="D15" i="2014"/>
  <c r="S14" i="2014"/>
  <c r="R14" i="2014"/>
  <c r="D14" i="2014"/>
  <c r="R13" i="2014"/>
  <c r="D13" i="2014"/>
  <c r="R12" i="2014"/>
  <c r="R11" i="2014"/>
  <c r="L10" i="2014"/>
  <c r="D10" i="2014" s="1"/>
  <c r="L9" i="2014"/>
  <c r="D9" i="2014"/>
  <c r="L8" i="2014"/>
  <c r="D8" i="2014"/>
  <c r="R6" i="2014"/>
  <c r="R5" i="2014"/>
  <c r="R4" i="2014"/>
  <c r="R52" i="2013"/>
  <c r="R51" i="2013"/>
  <c r="D50" i="2013"/>
  <c r="R49" i="2013"/>
  <c r="D49" i="2013"/>
  <c r="R48" i="2013"/>
  <c r="D48" i="2013"/>
  <c r="D46" i="2013"/>
  <c r="D45" i="2013"/>
  <c r="R44" i="2013"/>
  <c r="L28" i="2013" s="1"/>
  <c r="D28" i="2013" s="1"/>
  <c r="D44" i="2013"/>
  <c r="R42" i="2013"/>
  <c r="D42" i="2013"/>
  <c r="R41" i="2013"/>
  <c r="L7" i="2013" s="1"/>
  <c r="D7" i="2013" s="1"/>
  <c r="D41" i="2013"/>
  <c r="R40" i="2013"/>
  <c r="D40" i="2013"/>
  <c r="R39" i="2013"/>
  <c r="H39" i="2013"/>
  <c r="D39" i="2013"/>
  <c r="R38" i="2013"/>
  <c r="H38" i="2013"/>
  <c r="G49" i="2013" s="1"/>
  <c r="D38" i="2013"/>
  <c r="R37" i="2013"/>
  <c r="H37" i="2013"/>
  <c r="D37" i="2013"/>
  <c r="R36" i="2013"/>
  <c r="H36" i="2013"/>
  <c r="D36" i="2013"/>
  <c r="R35" i="2013"/>
  <c r="L18" i="2013" s="1"/>
  <c r="D18" i="2013" s="1"/>
  <c r="H35" i="2013"/>
  <c r="D35" i="2013"/>
  <c r="R34" i="2013"/>
  <c r="H34" i="2013"/>
  <c r="D34" i="2013"/>
  <c r="D54" i="2013" s="1"/>
  <c r="H14" i="2013" s="1"/>
  <c r="R33" i="2013"/>
  <c r="L19" i="2013" s="1"/>
  <c r="D19" i="2013" s="1"/>
  <c r="R32" i="2013"/>
  <c r="L11" i="2013" s="1"/>
  <c r="D11" i="2013" s="1"/>
  <c r="R31" i="2013"/>
  <c r="R30" i="2013"/>
  <c r="R29" i="2013"/>
  <c r="R28" i="2013"/>
  <c r="R27" i="2013"/>
  <c r="L27" i="2013"/>
  <c r="D27" i="2013"/>
  <c r="R26" i="2013"/>
  <c r="L26" i="2013"/>
  <c r="D26" i="2013"/>
  <c r="R25" i="2013"/>
  <c r="L25" i="2013"/>
  <c r="D25" i="2013"/>
  <c r="R24" i="2013"/>
  <c r="L24" i="2013"/>
  <c r="D24" i="2013" s="1"/>
  <c r="R23" i="2013"/>
  <c r="L23" i="2013"/>
  <c r="D23" i="2013" s="1"/>
  <c r="R22" i="2013"/>
  <c r="L22" i="2013"/>
  <c r="D22" i="2013" s="1"/>
  <c r="R21" i="2013"/>
  <c r="L21" i="2013"/>
  <c r="D21" i="2013"/>
  <c r="R20" i="2013"/>
  <c r="L20" i="2013"/>
  <c r="D20" i="2013" s="1"/>
  <c r="R19" i="2013"/>
  <c r="R18" i="2013"/>
  <c r="R17" i="2013"/>
  <c r="L17" i="2013"/>
  <c r="D17" i="2013"/>
  <c r="R16" i="2013"/>
  <c r="R15" i="2013"/>
  <c r="L15" i="2013"/>
  <c r="D15" i="2013" s="1"/>
  <c r="R14" i="2013"/>
  <c r="D14" i="2013"/>
  <c r="R13" i="2013"/>
  <c r="D13" i="2013"/>
  <c r="R12" i="2013"/>
  <c r="L12" i="2013"/>
  <c r="D12" i="2013"/>
  <c r="R11" i="2013"/>
  <c r="L10" i="2013"/>
  <c r="D10" i="2013"/>
  <c r="L9" i="2013"/>
  <c r="D9" i="2013" s="1"/>
  <c r="L8" i="2013"/>
  <c r="D8" i="2013" s="1"/>
  <c r="R6" i="2013"/>
  <c r="L16" i="2013" s="1"/>
  <c r="D16" i="2013" s="1"/>
  <c r="L6" i="2013"/>
  <c r="D6" i="2013" s="1"/>
  <c r="D29" i="2013" s="1"/>
  <c r="H13" i="2013" s="1"/>
  <c r="H15" i="2013" s="1"/>
  <c r="H29" i="2013" s="1"/>
  <c r="R5" i="2013"/>
  <c r="R4" i="2013"/>
  <c r="R52" i="2012"/>
  <c r="R51" i="2012"/>
  <c r="D50" i="2012"/>
  <c r="R49" i="2012"/>
  <c r="D49" i="2012"/>
  <c r="R48" i="2012"/>
  <c r="D48" i="2012"/>
  <c r="D46" i="2012"/>
  <c r="D45" i="2012"/>
  <c r="R44" i="2012"/>
  <c r="L28" i="2012" s="1"/>
  <c r="D28" i="2012" s="1"/>
  <c r="D44" i="2012"/>
  <c r="R42" i="2012"/>
  <c r="D42" i="2012"/>
  <c r="R41" i="2012"/>
  <c r="D41" i="2012"/>
  <c r="R40" i="2012"/>
  <c r="L8" i="2012" s="1"/>
  <c r="D8" i="2012" s="1"/>
  <c r="D40" i="2012"/>
  <c r="R39" i="2012"/>
  <c r="H39" i="2012"/>
  <c r="D39" i="2012"/>
  <c r="R38" i="2012"/>
  <c r="L9" i="2012" s="1"/>
  <c r="D9" i="2012" s="1"/>
  <c r="H38" i="2012"/>
  <c r="D38" i="2012"/>
  <c r="R37" i="2012"/>
  <c r="H37" i="2012"/>
  <c r="D37" i="2012"/>
  <c r="R36" i="2012"/>
  <c r="L10" i="2012" s="1"/>
  <c r="D10" i="2012" s="1"/>
  <c r="H36" i="2012"/>
  <c r="D36" i="2012"/>
  <c r="R35" i="2012"/>
  <c r="H35" i="2012"/>
  <c r="D35" i="2012"/>
  <c r="R34" i="2012"/>
  <c r="H34" i="2012"/>
  <c r="G49" i="2012" s="1"/>
  <c r="D34" i="2012"/>
  <c r="D54" i="2012" s="1"/>
  <c r="H14" i="2012" s="1"/>
  <c r="R33" i="2012"/>
  <c r="R32" i="2012"/>
  <c r="R31" i="2012"/>
  <c r="R30" i="2012"/>
  <c r="R29" i="2012"/>
  <c r="R28" i="2012"/>
  <c r="R27" i="2012"/>
  <c r="L27" i="2012"/>
  <c r="D27" i="2012"/>
  <c r="R26" i="2012"/>
  <c r="L26" i="2012"/>
  <c r="D26" i="2012"/>
  <c r="R25" i="2012"/>
  <c r="L25" i="2012"/>
  <c r="D25" i="2012" s="1"/>
  <c r="R24" i="2012"/>
  <c r="L24" i="2012"/>
  <c r="D24" i="2012"/>
  <c r="R23" i="2012"/>
  <c r="L23" i="2012"/>
  <c r="D23" i="2012" s="1"/>
  <c r="R22" i="2012"/>
  <c r="L20" i="2012" s="1"/>
  <c r="D20" i="2012" s="1"/>
  <c r="L22" i="2012"/>
  <c r="D22" i="2012"/>
  <c r="R21" i="2012"/>
  <c r="L21" i="2012"/>
  <c r="D21" i="2012" s="1"/>
  <c r="R20" i="2012"/>
  <c r="R19" i="2012"/>
  <c r="L19" i="2012"/>
  <c r="D19" i="2012"/>
  <c r="R18" i="2012"/>
  <c r="L18" i="2012"/>
  <c r="D18" i="2012"/>
  <c r="R17" i="2012"/>
  <c r="L17" i="2012"/>
  <c r="D17" i="2012" s="1"/>
  <c r="R16" i="2012"/>
  <c r="R15" i="2012"/>
  <c r="L15" i="2012"/>
  <c r="D15" i="2012"/>
  <c r="R14" i="2012"/>
  <c r="D14" i="2012"/>
  <c r="R13" i="2012"/>
  <c r="D13" i="2012"/>
  <c r="R12" i="2012"/>
  <c r="L12" i="2012"/>
  <c r="D12" i="2012" s="1"/>
  <c r="R11" i="2012"/>
  <c r="L11" i="2012"/>
  <c r="D11" i="2012"/>
  <c r="L7" i="2012"/>
  <c r="D7" i="2012"/>
  <c r="R6" i="2012"/>
  <c r="L16" i="2012" s="1"/>
  <c r="D16" i="2012" s="1"/>
  <c r="L6" i="2012"/>
  <c r="D6" i="2012" s="1"/>
  <c r="R5" i="2012"/>
  <c r="R4" i="2012"/>
  <c r="R52" i="2011"/>
  <c r="R51" i="2011"/>
  <c r="D50" i="2011"/>
  <c r="R49" i="2011"/>
  <c r="D49" i="2011"/>
  <c r="R48" i="2011"/>
  <c r="D48" i="2011"/>
  <c r="D46" i="2011"/>
  <c r="D45" i="2011"/>
  <c r="R44" i="2011"/>
  <c r="L28" i="2011" s="1"/>
  <c r="D28" i="2011" s="1"/>
  <c r="D44" i="2011"/>
  <c r="R42" i="2011"/>
  <c r="D42" i="2011"/>
  <c r="R41" i="2011"/>
  <c r="L7" i="2011" s="1"/>
  <c r="D7" i="2011" s="1"/>
  <c r="D41" i="2011"/>
  <c r="R40" i="2011"/>
  <c r="L8" i="2011" s="1"/>
  <c r="D8" i="2011" s="1"/>
  <c r="D40" i="2011"/>
  <c r="R39" i="2011"/>
  <c r="H39" i="2011"/>
  <c r="D39" i="2011"/>
  <c r="R38" i="2011"/>
  <c r="L9" i="2011" s="1"/>
  <c r="D9" i="2011" s="1"/>
  <c r="H38" i="2011"/>
  <c r="D38" i="2011"/>
  <c r="R37" i="2011"/>
  <c r="H37" i="2011"/>
  <c r="D37" i="2011"/>
  <c r="R36" i="2011"/>
  <c r="L10" i="2011" s="1"/>
  <c r="D10" i="2011" s="1"/>
  <c r="H36" i="2011"/>
  <c r="D36" i="2011"/>
  <c r="R35" i="2011"/>
  <c r="L18" i="2011" s="1"/>
  <c r="D18" i="2011" s="1"/>
  <c r="H35" i="2011"/>
  <c r="D35" i="2011"/>
  <c r="D54" i="2011" s="1"/>
  <c r="H14" i="2011" s="1"/>
  <c r="R34" i="2011"/>
  <c r="H34" i="2011"/>
  <c r="G49" i="2011" s="1"/>
  <c r="D34" i="2011"/>
  <c r="R33" i="2011"/>
  <c r="R32" i="2011"/>
  <c r="R31" i="2011"/>
  <c r="R30" i="2011"/>
  <c r="R29" i="2011"/>
  <c r="R28" i="2011"/>
  <c r="R27" i="2011"/>
  <c r="L27" i="2011"/>
  <c r="D27" i="2011"/>
  <c r="R26" i="2011"/>
  <c r="L26" i="2011"/>
  <c r="D26" i="2011"/>
  <c r="R25" i="2011"/>
  <c r="L25" i="2011"/>
  <c r="D25" i="2011"/>
  <c r="R24" i="2011"/>
  <c r="L24" i="2011"/>
  <c r="D24" i="2011" s="1"/>
  <c r="R23" i="2011"/>
  <c r="L23" i="2011"/>
  <c r="D23" i="2011" s="1"/>
  <c r="R22" i="2011"/>
  <c r="L20" i="2011" s="1"/>
  <c r="D20" i="2011" s="1"/>
  <c r="L22" i="2011"/>
  <c r="D22" i="2011"/>
  <c r="R21" i="2011"/>
  <c r="L17" i="2011" s="1"/>
  <c r="D17" i="2011" s="1"/>
  <c r="L21" i="2011"/>
  <c r="D21" i="2011"/>
  <c r="R20" i="2011"/>
  <c r="R19" i="2011"/>
  <c r="L19" i="2011"/>
  <c r="D19" i="2011"/>
  <c r="R18" i="2011"/>
  <c r="R17" i="2011"/>
  <c r="R16" i="2011"/>
  <c r="L16" i="2011"/>
  <c r="D16" i="2011" s="1"/>
  <c r="R15" i="2011"/>
  <c r="R14" i="2011"/>
  <c r="D14" i="2011"/>
  <c r="R13" i="2011"/>
  <c r="D13" i="2011"/>
  <c r="R12" i="2011"/>
  <c r="L12" i="2011"/>
  <c r="D12" i="2011"/>
  <c r="R11" i="2011"/>
  <c r="L11" i="2011"/>
  <c r="D11" i="2011" s="1"/>
  <c r="R6" i="2011"/>
  <c r="L6" i="2011"/>
  <c r="D6" i="2011" s="1"/>
  <c r="R5" i="2011"/>
  <c r="R4" i="2011"/>
  <c r="L15" i="2011" s="1"/>
  <c r="D15" i="2011" s="1"/>
  <c r="R52" i="2010"/>
  <c r="R51" i="2010"/>
  <c r="D50" i="2010"/>
  <c r="R49" i="2010"/>
  <c r="G49" i="2010"/>
  <c r="D49" i="2010"/>
  <c r="R48" i="2010"/>
  <c r="D48" i="2010"/>
  <c r="D46" i="2010"/>
  <c r="D45" i="2010"/>
  <c r="D44" i="2010"/>
  <c r="R42" i="2010"/>
  <c r="L6" i="2010" s="1"/>
  <c r="D6" i="2010" s="1"/>
  <c r="D29" i="2010" s="1"/>
  <c r="H13" i="2010" s="1"/>
  <c r="H15" i="2010" s="1"/>
  <c r="H29" i="2010" s="1"/>
  <c r="D42" i="2010"/>
  <c r="R41" i="2010"/>
  <c r="D41" i="2010"/>
  <c r="R40" i="2010"/>
  <c r="D40" i="2010"/>
  <c r="R39" i="2010"/>
  <c r="D39" i="2010"/>
  <c r="R38" i="2010"/>
  <c r="L9" i="2010" s="1"/>
  <c r="D9" i="2010" s="1"/>
  <c r="D38" i="2010"/>
  <c r="R37" i="2010"/>
  <c r="D37" i="2010"/>
  <c r="R36" i="2010"/>
  <c r="L10" i="2010" s="1"/>
  <c r="D10" i="2010" s="1"/>
  <c r="D36" i="2010"/>
  <c r="R35" i="2010"/>
  <c r="D35" i="2010"/>
  <c r="R34" i="2010"/>
  <c r="L12" i="2010" s="1"/>
  <c r="D12" i="2010" s="1"/>
  <c r="D34" i="2010"/>
  <c r="D54" i="2010" s="1"/>
  <c r="H14" i="2010" s="1"/>
  <c r="R33" i="2010"/>
  <c r="R32" i="2010"/>
  <c r="R31" i="2010"/>
  <c r="R30" i="2010"/>
  <c r="R29" i="2010"/>
  <c r="R28" i="2010"/>
  <c r="L16" i="2010" s="1"/>
  <c r="D16" i="2010" s="1"/>
  <c r="D28" i="2010"/>
  <c r="R27" i="2010"/>
  <c r="D27" i="2010"/>
  <c r="R26" i="2010"/>
  <c r="L26" i="2010"/>
  <c r="D26" i="2010"/>
  <c r="R25" i="2010"/>
  <c r="L25" i="2010"/>
  <c r="D25" i="2010" s="1"/>
  <c r="R24" i="2010"/>
  <c r="D24" i="2010"/>
  <c r="R23" i="2010"/>
  <c r="L23" i="2010"/>
  <c r="D23" i="2010"/>
  <c r="R22" i="2010"/>
  <c r="L22" i="2010"/>
  <c r="D22" i="2010"/>
  <c r="R21" i="2010"/>
  <c r="D21" i="2010"/>
  <c r="R20" i="2010"/>
  <c r="L20" i="2010"/>
  <c r="D20" i="2010"/>
  <c r="R19" i="2010"/>
  <c r="L19" i="2010"/>
  <c r="D19" i="2010" s="1"/>
  <c r="R18" i="2010"/>
  <c r="D18" i="2010"/>
  <c r="R17" i="2010"/>
  <c r="D17" i="2010"/>
  <c r="R16" i="2010"/>
  <c r="S15" i="2010"/>
  <c r="R15" i="2010"/>
  <c r="D15" i="2010"/>
  <c r="S14" i="2010"/>
  <c r="R14" i="2010"/>
  <c r="D14" i="2010"/>
  <c r="R13" i="2010"/>
  <c r="D13" i="2010"/>
  <c r="R12" i="2010"/>
  <c r="R11" i="2010"/>
  <c r="L11" i="2010"/>
  <c r="D11" i="2010"/>
  <c r="L8" i="2010"/>
  <c r="D8" i="2010"/>
  <c r="L7" i="2010"/>
  <c r="D7" i="2010" s="1"/>
  <c r="R6" i="2010"/>
  <c r="R5" i="2010"/>
  <c r="R4" i="2010"/>
  <c r="D29" i="2025" l="1"/>
  <c r="H13" i="2025" s="1"/>
  <c r="H15" i="2025" s="1"/>
  <c r="H29" i="2025" s="1"/>
  <c r="G51" i="2025" s="1"/>
  <c r="D29" i="2024"/>
  <c r="H13" i="2024" s="1"/>
  <c r="H15" i="2024" s="1"/>
  <c r="H29" i="2024" s="1"/>
  <c r="G51" i="2024"/>
  <c r="D29" i="2023"/>
  <c r="H13" i="2023" s="1"/>
  <c r="H15" i="2023" s="1"/>
  <c r="H29" i="2023" s="1"/>
  <c r="G51" i="2023" s="1"/>
  <c r="D29" i="2022"/>
  <c r="H13" i="2022" s="1"/>
  <c r="H15" i="2022" s="1"/>
  <c r="H29" i="2022" s="1"/>
  <c r="G51" i="2022" s="1"/>
  <c r="D29" i="2021"/>
  <c r="H13" i="2021" s="1"/>
  <c r="H15" i="2021" s="1"/>
  <c r="H29" i="2021" s="1"/>
  <c r="G51" i="2021" s="1"/>
  <c r="D29" i="2020"/>
  <c r="H13" i="2020" s="1"/>
  <c r="H15" i="2020" s="1"/>
  <c r="H29" i="2020" s="1"/>
  <c r="G51" i="2020" s="1"/>
  <c r="D29" i="2019"/>
  <c r="H13" i="2019" s="1"/>
  <c r="H15" i="2019" s="1"/>
  <c r="H29" i="2019" s="1"/>
  <c r="G51" i="2019"/>
  <c r="D29" i="2018"/>
  <c r="H13" i="2018" s="1"/>
  <c r="H15" i="2018" s="1"/>
  <c r="H29" i="2018" s="1"/>
  <c r="G51" i="2018" s="1"/>
  <c r="D29" i="2017"/>
  <c r="H13" i="2017" s="1"/>
  <c r="H15" i="2017" s="1"/>
  <c r="H29" i="2017" s="1"/>
  <c r="G51" i="2017"/>
  <c r="G51" i="2016"/>
  <c r="D29" i="2015"/>
  <c r="H13" i="2015" s="1"/>
  <c r="H15" i="2015" s="1"/>
  <c r="H29" i="2015" s="1"/>
  <c r="G51" i="2015" s="1"/>
  <c r="D29" i="2014"/>
  <c r="H13" i="2014" s="1"/>
  <c r="H15" i="2014" s="1"/>
  <c r="H29" i="2014" s="1"/>
  <c r="G51" i="2014" s="1"/>
  <c r="G51" i="2013"/>
  <c r="D29" i="2012"/>
  <c r="H13" i="2012" s="1"/>
  <c r="H15" i="2012" s="1"/>
  <c r="H29" i="2012" s="1"/>
  <c r="G51" i="2012" s="1"/>
  <c r="D29" i="2011"/>
  <c r="H13" i="2011" s="1"/>
  <c r="H15" i="2011" s="1"/>
  <c r="H29" i="2011" s="1"/>
  <c r="G51" i="2011" s="1"/>
  <c r="G51" i="2010"/>
  <c r="H16" i="2001"/>
  <c r="C9" i="2001"/>
  <c r="C12" i="2001"/>
  <c r="C37" i="2000"/>
  <c r="C16" i="2000"/>
  <c r="H16" i="1997" l="1"/>
  <c r="H16" i="1993" l="1"/>
  <c r="H45" i="1993"/>
  <c r="H16" i="1991"/>
  <c r="H45" i="1991"/>
  <c r="C12" i="1993"/>
  <c r="C12" i="1991"/>
  <c r="H16" i="1989" l="1"/>
  <c r="C12" i="1989"/>
  <c r="C15" i="1989"/>
  <c r="C12" i="1987"/>
  <c r="R52" i="2009" l="1"/>
  <c r="R51" i="2009"/>
  <c r="D50" i="2009"/>
  <c r="R49" i="2009"/>
  <c r="D49" i="2009"/>
  <c r="R48" i="2009"/>
  <c r="D48" i="2009"/>
  <c r="D46" i="2009"/>
  <c r="D45" i="2009"/>
  <c r="R44" i="2009"/>
  <c r="L28" i="2009" s="1"/>
  <c r="D28" i="2009" s="1"/>
  <c r="D44" i="2009"/>
  <c r="R42" i="2009"/>
  <c r="D42" i="2009"/>
  <c r="R41" i="2009"/>
  <c r="L7" i="2009" s="1"/>
  <c r="D7" i="2009" s="1"/>
  <c r="D41" i="2009"/>
  <c r="R40" i="2009"/>
  <c r="D40" i="2009"/>
  <c r="R39" i="2009"/>
  <c r="H39" i="2009"/>
  <c r="D39" i="2009"/>
  <c r="R38" i="2009"/>
  <c r="H38" i="2009"/>
  <c r="D38" i="2009"/>
  <c r="R37" i="2009"/>
  <c r="H37" i="2009"/>
  <c r="D37" i="2009"/>
  <c r="R36" i="2009"/>
  <c r="H36" i="2009"/>
  <c r="D36" i="2009"/>
  <c r="R35" i="2009"/>
  <c r="H35" i="2009"/>
  <c r="D35" i="2009"/>
  <c r="R34" i="2009"/>
  <c r="H34" i="2009"/>
  <c r="G49" i="2009" s="1"/>
  <c r="D34" i="2009"/>
  <c r="D54" i="2009" s="1"/>
  <c r="H14" i="2009" s="1"/>
  <c r="R33" i="2009"/>
  <c r="L19" i="2009" s="1"/>
  <c r="D19" i="2009" s="1"/>
  <c r="R32" i="2009"/>
  <c r="L11" i="2009" s="1"/>
  <c r="D11" i="2009" s="1"/>
  <c r="R31" i="2009"/>
  <c r="R30" i="2009"/>
  <c r="R29" i="2009"/>
  <c r="R28" i="2009"/>
  <c r="R27" i="2009"/>
  <c r="L27" i="2009"/>
  <c r="D27" i="2009" s="1"/>
  <c r="R26" i="2009"/>
  <c r="L26" i="2009"/>
  <c r="D26" i="2009" s="1"/>
  <c r="R25" i="2009"/>
  <c r="L25" i="2009"/>
  <c r="D25" i="2009"/>
  <c r="R24" i="2009"/>
  <c r="L24" i="2009"/>
  <c r="D24" i="2009"/>
  <c r="R23" i="2009"/>
  <c r="L23" i="2009"/>
  <c r="D23" i="2009" s="1"/>
  <c r="R22" i="2009"/>
  <c r="L22" i="2009"/>
  <c r="D22" i="2009" s="1"/>
  <c r="R21" i="2009"/>
  <c r="L21" i="2009"/>
  <c r="D21" i="2009"/>
  <c r="R20" i="2009"/>
  <c r="L20" i="2009"/>
  <c r="D20" i="2009" s="1"/>
  <c r="R19" i="2009"/>
  <c r="R18" i="2009"/>
  <c r="L18" i="2009"/>
  <c r="D18" i="2009" s="1"/>
  <c r="R17" i="2009"/>
  <c r="L17" i="2009"/>
  <c r="D17" i="2009" s="1"/>
  <c r="R16" i="2009"/>
  <c r="R15" i="2009"/>
  <c r="L15" i="2009"/>
  <c r="D15" i="2009" s="1"/>
  <c r="R14" i="2009"/>
  <c r="D14" i="2009"/>
  <c r="R13" i="2009"/>
  <c r="D13" i="2009"/>
  <c r="R12" i="2009"/>
  <c r="L12" i="2009"/>
  <c r="D12" i="2009" s="1"/>
  <c r="R11" i="2009"/>
  <c r="L10" i="2009"/>
  <c r="D10" i="2009" s="1"/>
  <c r="L9" i="2009"/>
  <c r="D9" i="2009" s="1"/>
  <c r="L8" i="2009"/>
  <c r="D8" i="2009" s="1"/>
  <c r="R6" i="2009"/>
  <c r="L16" i="2009" s="1"/>
  <c r="D16" i="2009" s="1"/>
  <c r="L6" i="2009"/>
  <c r="D6" i="2009" s="1"/>
  <c r="R5" i="2009"/>
  <c r="R4" i="2009"/>
  <c r="R52" i="2008"/>
  <c r="R51" i="2008"/>
  <c r="D50" i="2008"/>
  <c r="R49" i="2008"/>
  <c r="D49" i="2008"/>
  <c r="R48" i="2008"/>
  <c r="D48" i="2008"/>
  <c r="D46" i="2008"/>
  <c r="D45" i="2008"/>
  <c r="R44" i="2008"/>
  <c r="L28" i="2008" s="1"/>
  <c r="D28" i="2008" s="1"/>
  <c r="D44" i="2008"/>
  <c r="R42" i="2008"/>
  <c r="D42" i="2008"/>
  <c r="R41" i="2008"/>
  <c r="D41" i="2008"/>
  <c r="R40" i="2008"/>
  <c r="D40" i="2008"/>
  <c r="R39" i="2008"/>
  <c r="H39" i="2008"/>
  <c r="D39" i="2008"/>
  <c r="R38" i="2008"/>
  <c r="H38" i="2008"/>
  <c r="D38" i="2008"/>
  <c r="R37" i="2008"/>
  <c r="H37" i="2008"/>
  <c r="D37" i="2008"/>
  <c r="R36" i="2008"/>
  <c r="L10" i="2008" s="1"/>
  <c r="D10" i="2008" s="1"/>
  <c r="H36" i="2008"/>
  <c r="D36" i="2008"/>
  <c r="R35" i="2008"/>
  <c r="H35" i="2008"/>
  <c r="D35" i="2008"/>
  <c r="R34" i="2008"/>
  <c r="H34" i="2008"/>
  <c r="G49" i="2008" s="1"/>
  <c r="D34" i="2008"/>
  <c r="D54" i="2008" s="1"/>
  <c r="H14" i="2008" s="1"/>
  <c r="R33" i="2008"/>
  <c r="L19" i="2008" s="1"/>
  <c r="D19" i="2008" s="1"/>
  <c r="R32" i="2008"/>
  <c r="L11" i="2008" s="1"/>
  <c r="D11" i="2008" s="1"/>
  <c r="R31" i="2008"/>
  <c r="R30" i="2008"/>
  <c r="R29" i="2008"/>
  <c r="R28" i="2008"/>
  <c r="R27" i="2008"/>
  <c r="L27" i="2008"/>
  <c r="D27" i="2008" s="1"/>
  <c r="R26" i="2008"/>
  <c r="L26" i="2008"/>
  <c r="D26" i="2008" s="1"/>
  <c r="R25" i="2008"/>
  <c r="L25" i="2008"/>
  <c r="D25" i="2008" s="1"/>
  <c r="R24" i="2008"/>
  <c r="L24" i="2008"/>
  <c r="D24" i="2008"/>
  <c r="R23" i="2008"/>
  <c r="L23" i="2008"/>
  <c r="D23" i="2008" s="1"/>
  <c r="R22" i="2008"/>
  <c r="L22" i="2008"/>
  <c r="D22" i="2008"/>
  <c r="R21" i="2008"/>
  <c r="L21" i="2008"/>
  <c r="D21" i="2008"/>
  <c r="R20" i="2008"/>
  <c r="L20" i="2008"/>
  <c r="D20" i="2008" s="1"/>
  <c r="R19" i="2008"/>
  <c r="R18" i="2008"/>
  <c r="L18" i="2008"/>
  <c r="D18" i="2008"/>
  <c r="R17" i="2008"/>
  <c r="L17" i="2008"/>
  <c r="D17" i="2008" s="1"/>
  <c r="R16" i="2008"/>
  <c r="R15" i="2008"/>
  <c r="L15" i="2008"/>
  <c r="D15" i="2008" s="1"/>
  <c r="R14" i="2008"/>
  <c r="D14" i="2008"/>
  <c r="R13" i="2008"/>
  <c r="D13" i="2008"/>
  <c r="R12" i="2008"/>
  <c r="L12" i="2008"/>
  <c r="D12" i="2008" s="1"/>
  <c r="R11" i="2008"/>
  <c r="L9" i="2008"/>
  <c r="D9" i="2008" s="1"/>
  <c r="L8" i="2008"/>
  <c r="D8" i="2008"/>
  <c r="L7" i="2008"/>
  <c r="D7" i="2008"/>
  <c r="R6" i="2008"/>
  <c r="L16" i="2008" s="1"/>
  <c r="D16" i="2008" s="1"/>
  <c r="L6" i="2008"/>
  <c r="D6" i="2008" s="1"/>
  <c r="R5" i="2008"/>
  <c r="R4" i="2008"/>
  <c r="D54" i="2007"/>
  <c r="H14" i="2007" s="1"/>
  <c r="R52" i="2007"/>
  <c r="R51" i="2007"/>
  <c r="D50" i="2007"/>
  <c r="R49" i="2007"/>
  <c r="D49" i="2007"/>
  <c r="R48" i="2007"/>
  <c r="D48" i="2007"/>
  <c r="D46" i="2007"/>
  <c r="D45" i="2007"/>
  <c r="R44" i="2007"/>
  <c r="L28" i="2007" s="1"/>
  <c r="D28" i="2007" s="1"/>
  <c r="D44" i="2007"/>
  <c r="R42" i="2007"/>
  <c r="D42" i="2007"/>
  <c r="R41" i="2007"/>
  <c r="D41" i="2007"/>
  <c r="R40" i="2007"/>
  <c r="L8" i="2007" s="1"/>
  <c r="D8" i="2007" s="1"/>
  <c r="D40" i="2007"/>
  <c r="R39" i="2007"/>
  <c r="H39" i="2007"/>
  <c r="D39" i="2007"/>
  <c r="R38" i="2007"/>
  <c r="H38" i="2007"/>
  <c r="D38" i="2007"/>
  <c r="R37" i="2007"/>
  <c r="H37" i="2007"/>
  <c r="D37" i="2007"/>
  <c r="R36" i="2007"/>
  <c r="L10" i="2007" s="1"/>
  <c r="D10" i="2007" s="1"/>
  <c r="H36" i="2007"/>
  <c r="D36" i="2007"/>
  <c r="R35" i="2007"/>
  <c r="L18" i="2007" s="1"/>
  <c r="D18" i="2007" s="1"/>
  <c r="H35" i="2007"/>
  <c r="G49" i="2007" s="1"/>
  <c r="D35" i="2007"/>
  <c r="R34" i="2007"/>
  <c r="H34" i="2007"/>
  <c r="D34" i="2007"/>
  <c r="R33" i="2007"/>
  <c r="L19" i="2007" s="1"/>
  <c r="D19" i="2007" s="1"/>
  <c r="R32" i="2007"/>
  <c r="R31" i="2007"/>
  <c r="R30" i="2007"/>
  <c r="R29" i="2007"/>
  <c r="R28" i="2007"/>
  <c r="R27" i="2007"/>
  <c r="L27" i="2007"/>
  <c r="D27" i="2007" s="1"/>
  <c r="R26" i="2007"/>
  <c r="L26" i="2007"/>
  <c r="D26" i="2007"/>
  <c r="R25" i="2007"/>
  <c r="L25" i="2007"/>
  <c r="D25" i="2007" s="1"/>
  <c r="R24" i="2007"/>
  <c r="L24" i="2007"/>
  <c r="D24" i="2007" s="1"/>
  <c r="R23" i="2007"/>
  <c r="L23" i="2007"/>
  <c r="D23" i="2007" s="1"/>
  <c r="R22" i="2007"/>
  <c r="L22" i="2007"/>
  <c r="D22" i="2007"/>
  <c r="R21" i="2007"/>
  <c r="L17" i="2007" s="1"/>
  <c r="D17" i="2007" s="1"/>
  <c r="L21" i="2007"/>
  <c r="D21" i="2007"/>
  <c r="R20" i="2007"/>
  <c r="L20" i="2007"/>
  <c r="D20" i="2007" s="1"/>
  <c r="R19" i="2007"/>
  <c r="R18" i="2007"/>
  <c r="R17" i="2007"/>
  <c r="R16" i="2007"/>
  <c r="L16" i="2007"/>
  <c r="D16" i="2007" s="1"/>
  <c r="R15" i="2007"/>
  <c r="R14" i="2007"/>
  <c r="D14" i="2007"/>
  <c r="R13" i="2007"/>
  <c r="D13" i="2007"/>
  <c r="R12" i="2007"/>
  <c r="L12" i="2007"/>
  <c r="D12" i="2007"/>
  <c r="R11" i="2007"/>
  <c r="L11" i="2007"/>
  <c r="D11" i="2007" s="1"/>
  <c r="L9" i="2007"/>
  <c r="D9" i="2007" s="1"/>
  <c r="L7" i="2007"/>
  <c r="D7" i="2007" s="1"/>
  <c r="R6" i="2007"/>
  <c r="L6" i="2007"/>
  <c r="D6" i="2007" s="1"/>
  <c r="R5" i="2007"/>
  <c r="R4" i="2007"/>
  <c r="L15" i="2007" s="1"/>
  <c r="D15" i="2007" s="1"/>
  <c r="R52" i="2006"/>
  <c r="R51" i="2006"/>
  <c r="D50" i="2006"/>
  <c r="R49" i="2006"/>
  <c r="G49" i="2006"/>
  <c r="D49" i="2006"/>
  <c r="R48" i="2006"/>
  <c r="D48" i="2006"/>
  <c r="D46" i="2006"/>
  <c r="D45" i="2006"/>
  <c r="D44" i="2006"/>
  <c r="R42" i="2006"/>
  <c r="D42" i="2006"/>
  <c r="R41" i="2006"/>
  <c r="L7" i="2006" s="1"/>
  <c r="D7" i="2006" s="1"/>
  <c r="D41" i="2006"/>
  <c r="R40" i="2006"/>
  <c r="D40" i="2006"/>
  <c r="R39" i="2006"/>
  <c r="D39" i="2006"/>
  <c r="R38" i="2006"/>
  <c r="L9" i="2006" s="1"/>
  <c r="D9" i="2006" s="1"/>
  <c r="D38" i="2006"/>
  <c r="R37" i="2006"/>
  <c r="D37" i="2006"/>
  <c r="R36" i="2006"/>
  <c r="D36" i="2006"/>
  <c r="R35" i="2006"/>
  <c r="D35" i="2006"/>
  <c r="R34" i="2006"/>
  <c r="L12" i="2006" s="1"/>
  <c r="D12" i="2006" s="1"/>
  <c r="D34" i="2006"/>
  <c r="D54" i="2006" s="1"/>
  <c r="H14" i="2006" s="1"/>
  <c r="R33" i="2006"/>
  <c r="L23" i="2006" s="1"/>
  <c r="D23" i="2006" s="1"/>
  <c r="R32" i="2006"/>
  <c r="R31" i="2006"/>
  <c r="R30" i="2006"/>
  <c r="R29" i="2006"/>
  <c r="R28" i="2006"/>
  <c r="D28" i="2006"/>
  <c r="R27" i="2006"/>
  <c r="D27" i="2006"/>
  <c r="R26" i="2006"/>
  <c r="L26" i="2006"/>
  <c r="D26" i="2006"/>
  <c r="R25" i="2006"/>
  <c r="L25" i="2006"/>
  <c r="D25" i="2006"/>
  <c r="R24" i="2006"/>
  <c r="D24" i="2006"/>
  <c r="R23" i="2006"/>
  <c r="R22" i="2006"/>
  <c r="L22" i="2006"/>
  <c r="D22" i="2006" s="1"/>
  <c r="R21" i="2006"/>
  <c r="D21" i="2006"/>
  <c r="R20" i="2006"/>
  <c r="L20" i="2006"/>
  <c r="D20" i="2006"/>
  <c r="R19" i="2006"/>
  <c r="L19" i="2006"/>
  <c r="D19" i="2006"/>
  <c r="R18" i="2006"/>
  <c r="D18" i="2006"/>
  <c r="R17" i="2006"/>
  <c r="D17" i="2006"/>
  <c r="R16" i="2006"/>
  <c r="L16" i="2006"/>
  <c r="D16" i="2006" s="1"/>
  <c r="S15" i="2006"/>
  <c r="R15" i="2006"/>
  <c r="D15" i="2006"/>
  <c r="S14" i="2006"/>
  <c r="R14" i="2006"/>
  <c r="D14" i="2006"/>
  <c r="R13" i="2006"/>
  <c r="D13" i="2006"/>
  <c r="R12" i="2006"/>
  <c r="R11" i="2006"/>
  <c r="L11" i="2006"/>
  <c r="D11" i="2006" s="1"/>
  <c r="L10" i="2006"/>
  <c r="D10" i="2006"/>
  <c r="L8" i="2006"/>
  <c r="D8" i="2006" s="1"/>
  <c r="R6" i="2006"/>
  <c r="L6" i="2006"/>
  <c r="D6" i="2006" s="1"/>
  <c r="R5" i="2006"/>
  <c r="R4" i="2006"/>
  <c r="R52" i="2005"/>
  <c r="R51" i="2005"/>
  <c r="D50" i="2005"/>
  <c r="R49" i="2005"/>
  <c r="D49" i="2005"/>
  <c r="R48" i="2005"/>
  <c r="D48" i="2005"/>
  <c r="D46" i="2005"/>
  <c r="D45" i="2005"/>
  <c r="R44" i="2005"/>
  <c r="D44" i="2005"/>
  <c r="R42" i="2005"/>
  <c r="D42" i="2005"/>
  <c r="R41" i="2005"/>
  <c r="L7" i="2005" s="1"/>
  <c r="D7" i="2005" s="1"/>
  <c r="D41" i="2005"/>
  <c r="R40" i="2005"/>
  <c r="D40" i="2005"/>
  <c r="R39" i="2005"/>
  <c r="H39" i="2005"/>
  <c r="D39" i="2005"/>
  <c r="R38" i="2005"/>
  <c r="H38" i="2005"/>
  <c r="D38" i="2005"/>
  <c r="R37" i="2005"/>
  <c r="H37" i="2005"/>
  <c r="D37" i="2005"/>
  <c r="R36" i="2005"/>
  <c r="H36" i="2005"/>
  <c r="D36" i="2005"/>
  <c r="R35" i="2005"/>
  <c r="L18" i="2005" s="1"/>
  <c r="D18" i="2005" s="1"/>
  <c r="H35" i="2005"/>
  <c r="D35" i="2005"/>
  <c r="R34" i="2005"/>
  <c r="H34" i="2005"/>
  <c r="G49" i="2005" s="1"/>
  <c r="D34" i="2005"/>
  <c r="D54" i="2005" s="1"/>
  <c r="H14" i="2005" s="1"/>
  <c r="R33" i="2005"/>
  <c r="R32" i="2005"/>
  <c r="L11" i="2005" s="1"/>
  <c r="D11" i="2005" s="1"/>
  <c r="R31" i="2005"/>
  <c r="R30" i="2005"/>
  <c r="R29" i="2005"/>
  <c r="R28" i="2005"/>
  <c r="L28" i="2005"/>
  <c r="D28" i="2005"/>
  <c r="R27" i="2005"/>
  <c r="L27" i="2005"/>
  <c r="D27" i="2005" s="1"/>
  <c r="R26" i="2005"/>
  <c r="L26" i="2005"/>
  <c r="D26" i="2005"/>
  <c r="R25" i="2005"/>
  <c r="L25" i="2005"/>
  <c r="D25" i="2005"/>
  <c r="R24" i="2005"/>
  <c r="L24" i="2005"/>
  <c r="D24" i="2005"/>
  <c r="R23" i="2005"/>
  <c r="L23" i="2005"/>
  <c r="D23" i="2005" s="1"/>
  <c r="R22" i="2005"/>
  <c r="L22" i="2005"/>
  <c r="D22" i="2005"/>
  <c r="R21" i="2005"/>
  <c r="L21" i="2005"/>
  <c r="D21" i="2005"/>
  <c r="R20" i="2005"/>
  <c r="L20" i="2005"/>
  <c r="D20" i="2005" s="1"/>
  <c r="R19" i="2005"/>
  <c r="L19" i="2005"/>
  <c r="D19" i="2005" s="1"/>
  <c r="R18" i="2005"/>
  <c r="R17" i="2005"/>
  <c r="L17" i="2005"/>
  <c r="D17" i="2005"/>
  <c r="R16" i="2005"/>
  <c r="R15" i="2005"/>
  <c r="L15" i="2005"/>
  <c r="D15" i="2005" s="1"/>
  <c r="R14" i="2005"/>
  <c r="D14" i="2005"/>
  <c r="R13" i="2005"/>
  <c r="D13" i="2005"/>
  <c r="R12" i="2005"/>
  <c r="L12" i="2005"/>
  <c r="D12" i="2005"/>
  <c r="R11" i="2005"/>
  <c r="L10" i="2005"/>
  <c r="D10" i="2005"/>
  <c r="L9" i="2005"/>
  <c r="D9" i="2005" s="1"/>
  <c r="L8" i="2005"/>
  <c r="D8" i="2005"/>
  <c r="R6" i="2005"/>
  <c r="L16" i="2005" s="1"/>
  <c r="D16" i="2005" s="1"/>
  <c r="L6" i="2005"/>
  <c r="D6" i="2005" s="1"/>
  <c r="R5" i="2005"/>
  <c r="R4" i="2005"/>
  <c r="R52" i="2004"/>
  <c r="R51" i="2004"/>
  <c r="D50" i="2004"/>
  <c r="R49" i="2004"/>
  <c r="G49" i="2004"/>
  <c r="D49" i="2004"/>
  <c r="R48" i="2004"/>
  <c r="D48" i="2004"/>
  <c r="D46" i="2004"/>
  <c r="D45" i="2004"/>
  <c r="R44" i="2004"/>
  <c r="L28" i="2004" s="1"/>
  <c r="D28" i="2004" s="1"/>
  <c r="D44" i="2004"/>
  <c r="R42" i="2004"/>
  <c r="D42" i="2004"/>
  <c r="R41" i="2004"/>
  <c r="L7" i="2004" s="1"/>
  <c r="D7" i="2004" s="1"/>
  <c r="D41" i="2004"/>
  <c r="R40" i="2004"/>
  <c r="D40" i="2004"/>
  <c r="R39" i="2004"/>
  <c r="H39" i="2004"/>
  <c r="D39" i="2004"/>
  <c r="R38" i="2004"/>
  <c r="H38" i="2004"/>
  <c r="D38" i="2004"/>
  <c r="R37" i="2004"/>
  <c r="H37" i="2004"/>
  <c r="D37" i="2004"/>
  <c r="R36" i="2004"/>
  <c r="H36" i="2004"/>
  <c r="D36" i="2004"/>
  <c r="R35" i="2004"/>
  <c r="L18" i="2004" s="1"/>
  <c r="D18" i="2004" s="1"/>
  <c r="H35" i="2004"/>
  <c r="D35" i="2004"/>
  <c r="R34" i="2004"/>
  <c r="H34" i="2004"/>
  <c r="D34" i="2004"/>
  <c r="D54" i="2004" s="1"/>
  <c r="H14" i="2004" s="1"/>
  <c r="R33" i="2004"/>
  <c r="L19" i="2004" s="1"/>
  <c r="D19" i="2004" s="1"/>
  <c r="R32" i="2004"/>
  <c r="L11" i="2004" s="1"/>
  <c r="D11" i="2004" s="1"/>
  <c r="R31" i="2004"/>
  <c r="R30" i="2004"/>
  <c r="R29" i="2004"/>
  <c r="R28" i="2004"/>
  <c r="R27" i="2004"/>
  <c r="L27" i="2004"/>
  <c r="D27" i="2004" s="1"/>
  <c r="R26" i="2004"/>
  <c r="L26" i="2004"/>
  <c r="D26" i="2004"/>
  <c r="R25" i="2004"/>
  <c r="L25" i="2004"/>
  <c r="D25" i="2004"/>
  <c r="R24" i="2004"/>
  <c r="L24" i="2004"/>
  <c r="D24" i="2004"/>
  <c r="R23" i="2004"/>
  <c r="L23" i="2004"/>
  <c r="D23" i="2004" s="1"/>
  <c r="R22" i="2004"/>
  <c r="L22" i="2004"/>
  <c r="D22" i="2004"/>
  <c r="R21" i="2004"/>
  <c r="L21" i="2004"/>
  <c r="D21" i="2004"/>
  <c r="R20" i="2004"/>
  <c r="L20" i="2004"/>
  <c r="D20" i="2004" s="1"/>
  <c r="R19" i="2004"/>
  <c r="R18" i="2004"/>
  <c r="R17" i="2004"/>
  <c r="L17" i="2004"/>
  <c r="D17" i="2004"/>
  <c r="R16" i="2004"/>
  <c r="R15" i="2004"/>
  <c r="L15" i="2004"/>
  <c r="D15" i="2004" s="1"/>
  <c r="R14" i="2004"/>
  <c r="D14" i="2004"/>
  <c r="R13" i="2004"/>
  <c r="D13" i="2004"/>
  <c r="R12" i="2004"/>
  <c r="L12" i="2004"/>
  <c r="D12" i="2004"/>
  <c r="R11" i="2004"/>
  <c r="L10" i="2004"/>
  <c r="D10" i="2004"/>
  <c r="L9" i="2004"/>
  <c r="D9" i="2004" s="1"/>
  <c r="L8" i="2004"/>
  <c r="D8" i="2004"/>
  <c r="R6" i="2004"/>
  <c r="L16" i="2004" s="1"/>
  <c r="D16" i="2004" s="1"/>
  <c r="L6" i="2004"/>
  <c r="D6" i="2004" s="1"/>
  <c r="R5" i="2004"/>
  <c r="R4" i="2004"/>
  <c r="R52" i="2003"/>
  <c r="R51" i="2003"/>
  <c r="D50" i="2003"/>
  <c r="R49" i="2003"/>
  <c r="D49" i="2003"/>
  <c r="R48" i="2003"/>
  <c r="D48" i="2003"/>
  <c r="D46" i="2003"/>
  <c r="D45" i="2003"/>
  <c r="R44" i="2003"/>
  <c r="L28" i="2003" s="1"/>
  <c r="D28" i="2003" s="1"/>
  <c r="D44" i="2003"/>
  <c r="R42" i="2003"/>
  <c r="D42" i="2003"/>
  <c r="R41" i="2003"/>
  <c r="L7" i="2003" s="1"/>
  <c r="D7" i="2003" s="1"/>
  <c r="D41" i="2003"/>
  <c r="R40" i="2003"/>
  <c r="D40" i="2003"/>
  <c r="R39" i="2003"/>
  <c r="H39" i="2003"/>
  <c r="D39" i="2003"/>
  <c r="R38" i="2003"/>
  <c r="L9" i="2003" s="1"/>
  <c r="D9" i="2003" s="1"/>
  <c r="H38" i="2003"/>
  <c r="D38" i="2003"/>
  <c r="R37" i="2003"/>
  <c r="H37" i="2003"/>
  <c r="D37" i="2003"/>
  <c r="R36" i="2003"/>
  <c r="L10" i="2003" s="1"/>
  <c r="D10" i="2003" s="1"/>
  <c r="H36" i="2003"/>
  <c r="D36" i="2003"/>
  <c r="R35" i="2003"/>
  <c r="L18" i="2003" s="1"/>
  <c r="D18" i="2003" s="1"/>
  <c r="H35" i="2003"/>
  <c r="D35" i="2003"/>
  <c r="R34" i="2003"/>
  <c r="H34" i="2003"/>
  <c r="G49" i="2003" s="1"/>
  <c r="D34" i="2003"/>
  <c r="D54" i="2003" s="1"/>
  <c r="H14" i="2003" s="1"/>
  <c r="R33" i="2003"/>
  <c r="R32" i="2003"/>
  <c r="L11" i="2003" s="1"/>
  <c r="D11" i="2003" s="1"/>
  <c r="R31" i="2003"/>
  <c r="R30" i="2003"/>
  <c r="R29" i="2003"/>
  <c r="R28" i="2003"/>
  <c r="R27" i="2003"/>
  <c r="L27" i="2003"/>
  <c r="D27" i="2003" s="1"/>
  <c r="R26" i="2003"/>
  <c r="L26" i="2003"/>
  <c r="D26" i="2003"/>
  <c r="R25" i="2003"/>
  <c r="L25" i="2003"/>
  <c r="D25" i="2003"/>
  <c r="R24" i="2003"/>
  <c r="L24" i="2003"/>
  <c r="D24" i="2003"/>
  <c r="R23" i="2003"/>
  <c r="L23" i="2003"/>
  <c r="D23" i="2003" s="1"/>
  <c r="R22" i="2003"/>
  <c r="L20" i="2003" s="1"/>
  <c r="D20" i="2003" s="1"/>
  <c r="L22" i="2003"/>
  <c r="D22" i="2003" s="1"/>
  <c r="R21" i="2003"/>
  <c r="L21" i="2003"/>
  <c r="D21" i="2003"/>
  <c r="R20" i="2003"/>
  <c r="R19" i="2003"/>
  <c r="L19" i="2003"/>
  <c r="D19" i="2003" s="1"/>
  <c r="R18" i="2003"/>
  <c r="R17" i="2003"/>
  <c r="L17" i="2003"/>
  <c r="D17" i="2003"/>
  <c r="R16" i="2003"/>
  <c r="R15" i="2003"/>
  <c r="L15" i="2003"/>
  <c r="D15" i="2003" s="1"/>
  <c r="R14" i="2003"/>
  <c r="D14" i="2003"/>
  <c r="R13" i="2003"/>
  <c r="D13" i="2003"/>
  <c r="R12" i="2003"/>
  <c r="L12" i="2003"/>
  <c r="D12" i="2003"/>
  <c r="R11" i="2003"/>
  <c r="L8" i="2003"/>
  <c r="D8" i="2003" s="1"/>
  <c r="R6" i="2003"/>
  <c r="L16" i="2003" s="1"/>
  <c r="D16" i="2003" s="1"/>
  <c r="L6" i="2003"/>
  <c r="D6" i="2003" s="1"/>
  <c r="R5" i="2003"/>
  <c r="R4" i="2003"/>
  <c r="R52" i="2002"/>
  <c r="R51" i="2002"/>
  <c r="D50" i="2002"/>
  <c r="R49" i="2002"/>
  <c r="G49" i="2002"/>
  <c r="D49" i="2002"/>
  <c r="R48" i="2002"/>
  <c r="D48" i="2002"/>
  <c r="D46" i="2002"/>
  <c r="D45" i="2002"/>
  <c r="D44" i="2002"/>
  <c r="R42" i="2002"/>
  <c r="L6" i="2002" s="1"/>
  <c r="D6" i="2002" s="1"/>
  <c r="D42" i="2002"/>
  <c r="R41" i="2002"/>
  <c r="L7" i="2002" s="1"/>
  <c r="D7" i="2002" s="1"/>
  <c r="D41" i="2002"/>
  <c r="R40" i="2002"/>
  <c r="D40" i="2002"/>
  <c r="R39" i="2002"/>
  <c r="D39" i="2002"/>
  <c r="R38" i="2002"/>
  <c r="L9" i="2002" s="1"/>
  <c r="D9" i="2002" s="1"/>
  <c r="D38" i="2002"/>
  <c r="R37" i="2002"/>
  <c r="D37" i="2002"/>
  <c r="R36" i="2002"/>
  <c r="D36" i="2002"/>
  <c r="R35" i="2002"/>
  <c r="D35" i="2002"/>
  <c r="R34" i="2002"/>
  <c r="L12" i="2002" s="1"/>
  <c r="D12" i="2002" s="1"/>
  <c r="D34" i="2002"/>
  <c r="D54" i="2002" s="1"/>
  <c r="H14" i="2002" s="1"/>
  <c r="R33" i="2002"/>
  <c r="L23" i="2002" s="1"/>
  <c r="D23" i="2002" s="1"/>
  <c r="R32" i="2002"/>
  <c r="R31" i="2002"/>
  <c r="R30" i="2002"/>
  <c r="R29" i="2002"/>
  <c r="R28" i="2002"/>
  <c r="D28" i="2002"/>
  <c r="R27" i="2002"/>
  <c r="D27" i="2002"/>
  <c r="R26" i="2002"/>
  <c r="L26" i="2002"/>
  <c r="D26" i="2002"/>
  <c r="R25" i="2002"/>
  <c r="L25" i="2002"/>
  <c r="D25" i="2002"/>
  <c r="R24" i="2002"/>
  <c r="D24" i="2002"/>
  <c r="R23" i="2002"/>
  <c r="R22" i="2002"/>
  <c r="L22" i="2002"/>
  <c r="D22" i="2002"/>
  <c r="R21" i="2002"/>
  <c r="D21" i="2002"/>
  <c r="R20" i="2002"/>
  <c r="L20" i="2002"/>
  <c r="D20" i="2002"/>
  <c r="R19" i="2002"/>
  <c r="L19" i="2002"/>
  <c r="D19" i="2002"/>
  <c r="R18" i="2002"/>
  <c r="D18" i="2002"/>
  <c r="R17" i="2002"/>
  <c r="D17" i="2002"/>
  <c r="R16" i="2002"/>
  <c r="L16" i="2002"/>
  <c r="D16" i="2002" s="1"/>
  <c r="S15" i="2002"/>
  <c r="R15" i="2002"/>
  <c r="D15" i="2002"/>
  <c r="S14" i="2002"/>
  <c r="R14" i="2002"/>
  <c r="D14" i="2002"/>
  <c r="R13" i="2002"/>
  <c r="D13" i="2002"/>
  <c r="R12" i="2002"/>
  <c r="R11" i="2002"/>
  <c r="L11" i="2002"/>
  <c r="D11" i="2002"/>
  <c r="L10" i="2002"/>
  <c r="D10" i="2002"/>
  <c r="L8" i="2002"/>
  <c r="D8" i="2002"/>
  <c r="R6" i="2002"/>
  <c r="R5" i="2002"/>
  <c r="R4" i="2002"/>
  <c r="R52" i="2001"/>
  <c r="R51" i="2001"/>
  <c r="D50" i="2001"/>
  <c r="R49" i="2001"/>
  <c r="D49" i="2001"/>
  <c r="R48" i="2001"/>
  <c r="D48" i="2001"/>
  <c r="D46" i="2001"/>
  <c r="D45" i="2001"/>
  <c r="R44" i="2001"/>
  <c r="D44" i="2001"/>
  <c r="R42" i="2001"/>
  <c r="D42" i="2001"/>
  <c r="R41" i="2001"/>
  <c r="D41" i="2001"/>
  <c r="R40" i="2001"/>
  <c r="L8" i="2001" s="1"/>
  <c r="D8" i="2001" s="1"/>
  <c r="D40" i="2001"/>
  <c r="R39" i="2001"/>
  <c r="H39" i="2001"/>
  <c r="D39" i="2001"/>
  <c r="R38" i="2001"/>
  <c r="L9" i="2001" s="1"/>
  <c r="D9" i="2001" s="1"/>
  <c r="H38" i="2001"/>
  <c r="D38" i="2001"/>
  <c r="R37" i="2001"/>
  <c r="H37" i="2001"/>
  <c r="D37" i="2001"/>
  <c r="R36" i="2001"/>
  <c r="H36" i="2001"/>
  <c r="D36" i="2001"/>
  <c r="R35" i="2001"/>
  <c r="H35" i="2001"/>
  <c r="D35" i="2001"/>
  <c r="R34" i="2001"/>
  <c r="L12" i="2001" s="1"/>
  <c r="D12" i="2001" s="1"/>
  <c r="H34" i="2001"/>
  <c r="D34" i="2001"/>
  <c r="R33" i="2001"/>
  <c r="R32" i="2001"/>
  <c r="R31" i="2001"/>
  <c r="R30" i="2001"/>
  <c r="R29" i="2001"/>
  <c r="R28" i="2001"/>
  <c r="L28" i="2001"/>
  <c r="D28" i="2001"/>
  <c r="R27" i="2001"/>
  <c r="L27" i="2001"/>
  <c r="D27" i="2001"/>
  <c r="R26" i="2001"/>
  <c r="L26" i="2001"/>
  <c r="D26" i="2001"/>
  <c r="R25" i="2001"/>
  <c r="L25" i="2001"/>
  <c r="D25" i="2001" s="1"/>
  <c r="R24" i="2001"/>
  <c r="L24" i="2001"/>
  <c r="D24" i="2001"/>
  <c r="R23" i="2001"/>
  <c r="L23" i="2001"/>
  <c r="D23" i="2001" s="1"/>
  <c r="R22" i="2001"/>
  <c r="L20" i="2001" s="1"/>
  <c r="D20" i="2001" s="1"/>
  <c r="L22" i="2001"/>
  <c r="D22" i="2001"/>
  <c r="R21" i="2001"/>
  <c r="L17" i="2001" s="1"/>
  <c r="D17" i="2001" s="1"/>
  <c r="L21" i="2001"/>
  <c r="D21" i="2001"/>
  <c r="R20" i="2001"/>
  <c r="R19" i="2001"/>
  <c r="L19" i="2001"/>
  <c r="D19" i="2001"/>
  <c r="R18" i="2001"/>
  <c r="L18" i="2001"/>
  <c r="D18" i="2001"/>
  <c r="R17" i="2001"/>
  <c r="R16" i="2001"/>
  <c r="L16" i="2001"/>
  <c r="D16" i="2001"/>
  <c r="R15" i="2001"/>
  <c r="L15" i="2001"/>
  <c r="D15" i="2001" s="1"/>
  <c r="R14" i="2001"/>
  <c r="D14" i="2001"/>
  <c r="R13" i="2001"/>
  <c r="D13" i="2001"/>
  <c r="R12" i="2001"/>
  <c r="R11" i="2001"/>
  <c r="L11" i="2001"/>
  <c r="D11" i="2001"/>
  <c r="L10" i="2001"/>
  <c r="D10" i="2001"/>
  <c r="L7" i="2001"/>
  <c r="D7" i="2001"/>
  <c r="R6" i="2001"/>
  <c r="L6" i="2001"/>
  <c r="D6" i="2001" s="1"/>
  <c r="R5" i="2001"/>
  <c r="R4" i="2001"/>
  <c r="R52" i="2000"/>
  <c r="R51" i="2000"/>
  <c r="D50" i="2000"/>
  <c r="R49" i="2000"/>
  <c r="D49" i="2000"/>
  <c r="R48" i="2000"/>
  <c r="D48" i="2000"/>
  <c r="D46" i="2000"/>
  <c r="D45" i="2000"/>
  <c r="R44" i="2000"/>
  <c r="L28" i="2000" s="1"/>
  <c r="D28" i="2000" s="1"/>
  <c r="D44" i="2000"/>
  <c r="R42" i="2000"/>
  <c r="D42" i="2000"/>
  <c r="R41" i="2000"/>
  <c r="D41" i="2000"/>
  <c r="R40" i="2000"/>
  <c r="D40" i="2000"/>
  <c r="R39" i="2000"/>
  <c r="H39" i="2000"/>
  <c r="D39" i="2000"/>
  <c r="R38" i="2000"/>
  <c r="H38" i="2000"/>
  <c r="D38" i="2000"/>
  <c r="R37" i="2000"/>
  <c r="H37" i="2000"/>
  <c r="D37" i="2000"/>
  <c r="R36" i="2000"/>
  <c r="L10" i="2000" s="1"/>
  <c r="D10" i="2000" s="1"/>
  <c r="H36" i="2000"/>
  <c r="D36" i="2000"/>
  <c r="R35" i="2000"/>
  <c r="H35" i="2000"/>
  <c r="D35" i="2000"/>
  <c r="R34" i="2000"/>
  <c r="H34" i="2000"/>
  <c r="G49" i="2000" s="1"/>
  <c r="D34" i="2000"/>
  <c r="R33" i="2000"/>
  <c r="L19" i="2000" s="1"/>
  <c r="D19" i="2000" s="1"/>
  <c r="R32" i="2000"/>
  <c r="L11" i="2000" s="1"/>
  <c r="D11" i="2000" s="1"/>
  <c r="R31" i="2000"/>
  <c r="R30" i="2000"/>
  <c r="R29" i="2000"/>
  <c r="R28" i="2000"/>
  <c r="R27" i="2000"/>
  <c r="L27" i="2000"/>
  <c r="D27" i="2000" s="1"/>
  <c r="R26" i="2000"/>
  <c r="L26" i="2000"/>
  <c r="D26" i="2000"/>
  <c r="R25" i="2000"/>
  <c r="L25" i="2000"/>
  <c r="D25" i="2000" s="1"/>
  <c r="R24" i="2000"/>
  <c r="L24" i="2000"/>
  <c r="D24" i="2000" s="1"/>
  <c r="R23" i="2000"/>
  <c r="L23" i="2000"/>
  <c r="D23" i="2000" s="1"/>
  <c r="R22" i="2000"/>
  <c r="L20" i="2000" s="1"/>
  <c r="D20" i="2000" s="1"/>
  <c r="L22" i="2000"/>
  <c r="D22" i="2000"/>
  <c r="R21" i="2000"/>
  <c r="L21" i="2000"/>
  <c r="D21" i="2000"/>
  <c r="R20" i="2000"/>
  <c r="R19" i="2000"/>
  <c r="R18" i="2000"/>
  <c r="L18" i="2000"/>
  <c r="D18" i="2000"/>
  <c r="R17" i="2000"/>
  <c r="L17" i="2000"/>
  <c r="D17" i="2000" s="1"/>
  <c r="R16" i="2000"/>
  <c r="R15" i="2000"/>
  <c r="L15" i="2000"/>
  <c r="D15" i="2000" s="1"/>
  <c r="R14" i="2000"/>
  <c r="D14" i="2000"/>
  <c r="R13" i="2000"/>
  <c r="D13" i="2000"/>
  <c r="R12" i="2000"/>
  <c r="L12" i="2000"/>
  <c r="D12" i="2000" s="1"/>
  <c r="R11" i="2000"/>
  <c r="L9" i="2000"/>
  <c r="D9" i="2000" s="1"/>
  <c r="L8" i="2000"/>
  <c r="D8" i="2000"/>
  <c r="L7" i="2000"/>
  <c r="D7" i="2000" s="1"/>
  <c r="R6" i="2000"/>
  <c r="L16" i="2000" s="1"/>
  <c r="D16" i="2000" s="1"/>
  <c r="L6" i="2000"/>
  <c r="D6" i="2000" s="1"/>
  <c r="R5" i="2000"/>
  <c r="R4" i="2000"/>
  <c r="D54" i="1999"/>
  <c r="H14" i="1999" s="1"/>
  <c r="R52" i="1999"/>
  <c r="R51" i="1999"/>
  <c r="D50" i="1999"/>
  <c r="R49" i="1999"/>
  <c r="D49" i="1999"/>
  <c r="R48" i="1999"/>
  <c r="D48" i="1999"/>
  <c r="D46" i="1999"/>
  <c r="D45" i="1999"/>
  <c r="R44" i="1999"/>
  <c r="D44" i="1999"/>
  <c r="R42" i="1999"/>
  <c r="D42" i="1999"/>
  <c r="R41" i="1999"/>
  <c r="L7" i="1999" s="1"/>
  <c r="D7" i="1999" s="1"/>
  <c r="D41" i="1999"/>
  <c r="R40" i="1999"/>
  <c r="D40" i="1999"/>
  <c r="R39" i="1999"/>
  <c r="H39" i="1999"/>
  <c r="D39" i="1999"/>
  <c r="R38" i="1999"/>
  <c r="H38" i="1999"/>
  <c r="D38" i="1999"/>
  <c r="R37" i="1999"/>
  <c r="H37" i="1999"/>
  <c r="D37" i="1999"/>
  <c r="R36" i="1999"/>
  <c r="L10" i="1999" s="1"/>
  <c r="D10" i="1999" s="1"/>
  <c r="H36" i="1999"/>
  <c r="D36" i="1999"/>
  <c r="R35" i="1999"/>
  <c r="L18" i="1999" s="1"/>
  <c r="D18" i="1999" s="1"/>
  <c r="H35" i="1999"/>
  <c r="D35" i="1999"/>
  <c r="R34" i="1999"/>
  <c r="H34" i="1999"/>
  <c r="G49" i="1999" s="1"/>
  <c r="D34" i="1999"/>
  <c r="R33" i="1999"/>
  <c r="R32" i="1999"/>
  <c r="L11" i="1999" s="1"/>
  <c r="D11" i="1999" s="1"/>
  <c r="R31" i="1999"/>
  <c r="R30" i="1999"/>
  <c r="R29" i="1999"/>
  <c r="R28" i="1999"/>
  <c r="L28" i="1999"/>
  <c r="D28" i="1999"/>
  <c r="R27" i="1999"/>
  <c r="L27" i="1999"/>
  <c r="D27" i="1999" s="1"/>
  <c r="R26" i="1999"/>
  <c r="L26" i="1999"/>
  <c r="D26" i="1999"/>
  <c r="R25" i="1999"/>
  <c r="L25" i="1999"/>
  <c r="D25" i="1999"/>
  <c r="R24" i="1999"/>
  <c r="L24" i="1999"/>
  <c r="D24" i="1999"/>
  <c r="R23" i="1999"/>
  <c r="L23" i="1999"/>
  <c r="D23" i="1999" s="1"/>
  <c r="R22" i="1999"/>
  <c r="L20" i="1999" s="1"/>
  <c r="D20" i="1999" s="1"/>
  <c r="L22" i="1999"/>
  <c r="D22" i="1999" s="1"/>
  <c r="R21" i="1999"/>
  <c r="L21" i="1999"/>
  <c r="D21" i="1999"/>
  <c r="R20" i="1999"/>
  <c r="R19" i="1999"/>
  <c r="L19" i="1999"/>
  <c r="D19" i="1999"/>
  <c r="R18" i="1999"/>
  <c r="R17" i="1999"/>
  <c r="L17" i="1999"/>
  <c r="D17" i="1999"/>
  <c r="R16" i="1999"/>
  <c r="R15" i="1999"/>
  <c r="R14" i="1999"/>
  <c r="D14" i="1999"/>
  <c r="R13" i="1999"/>
  <c r="D13" i="1999"/>
  <c r="R12" i="1999"/>
  <c r="L12" i="1999"/>
  <c r="D12" i="1999"/>
  <c r="R11" i="1999"/>
  <c r="L9" i="1999"/>
  <c r="D9" i="1999"/>
  <c r="L8" i="1999"/>
  <c r="D8" i="1999"/>
  <c r="R6" i="1999"/>
  <c r="L16" i="1999" s="1"/>
  <c r="D16" i="1999" s="1"/>
  <c r="L6" i="1999"/>
  <c r="D6" i="1999"/>
  <c r="R5" i="1999"/>
  <c r="R4" i="1999"/>
  <c r="L15" i="1999" s="1"/>
  <c r="D15" i="1999" s="1"/>
  <c r="R52" i="1998"/>
  <c r="R51" i="1998"/>
  <c r="D50" i="1998"/>
  <c r="R49" i="1998"/>
  <c r="G49" i="1998"/>
  <c r="D49" i="1998"/>
  <c r="R48" i="1998"/>
  <c r="D48" i="1998"/>
  <c r="D46" i="1998"/>
  <c r="D45" i="1998"/>
  <c r="D44" i="1998"/>
  <c r="R42" i="1998"/>
  <c r="L6" i="1998" s="1"/>
  <c r="D6" i="1998" s="1"/>
  <c r="D42" i="1998"/>
  <c r="R41" i="1998"/>
  <c r="L7" i="1998" s="1"/>
  <c r="D7" i="1998" s="1"/>
  <c r="D41" i="1998"/>
  <c r="R40" i="1998"/>
  <c r="D40" i="1998"/>
  <c r="R39" i="1998"/>
  <c r="D39" i="1998"/>
  <c r="R38" i="1998"/>
  <c r="D38" i="1998"/>
  <c r="R37" i="1998"/>
  <c r="D37" i="1998"/>
  <c r="R36" i="1998"/>
  <c r="D36" i="1998"/>
  <c r="R35" i="1998"/>
  <c r="D35" i="1998"/>
  <c r="R34" i="1998"/>
  <c r="L12" i="1998" s="1"/>
  <c r="D12" i="1998" s="1"/>
  <c r="D34" i="1998"/>
  <c r="D54" i="1998" s="1"/>
  <c r="H14" i="1998" s="1"/>
  <c r="R33" i="1998"/>
  <c r="L23" i="1998" s="1"/>
  <c r="D23" i="1998" s="1"/>
  <c r="R32" i="1998"/>
  <c r="L11" i="1998" s="1"/>
  <c r="D11" i="1998" s="1"/>
  <c r="R31" i="1998"/>
  <c r="R30" i="1998"/>
  <c r="R29" i="1998"/>
  <c r="R28" i="1998"/>
  <c r="D28" i="1998"/>
  <c r="R27" i="1998"/>
  <c r="D27" i="1998"/>
  <c r="R26" i="1998"/>
  <c r="L26" i="1998"/>
  <c r="D26" i="1998"/>
  <c r="R25" i="1998"/>
  <c r="L25" i="1998"/>
  <c r="D25" i="1998"/>
  <c r="R24" i="1998"/>
  <c r="D24" i="1998"/>
  <c r="R23" i="1998"/>
  <c r="R22" i="1998"/>
  <c r="L22" i="1998"/>
  <c r="D22" i="1998"/>
  <c r="R21" i="1998"/>
  <c r="D21" i="1998"/>
  <c r="R20" i="1998"/>
  <c r="L20" i="1998"/>
  <c r="D20" i="1998"/>
  <c r="R19" i="1998"/>
  <c r="L19" i="1998"/>
  <c r="D19" i="1998"/>
  <c r="R18" i="1998"/>
  <c r="D18" i="1998"/>
  <c r="R17" i="1998"/>
  <c r="D17" i="1998"/>
  <c r="R16" i="1998"/>
  <c r="L16" i="1998"/>
  <c r="D16" i="1998" s="1"/>
  <c r="S15" i="1998"/>
  <c r="R15" i="1998"/>
  <c r="D15" i="1998"/>
  <c r="S14" i="1998"/>
  <c r="R14" i="1998"/>
  <c r="D14" i="1998"/>
  <c r="R13" i="1998"/>
  <c r="D13" i="1998"/>
  <c r="R12" i="1998"/>
  <c r="R11" i="1998"/>
  <c r="L10" i="1998"/>
  <c r="D10" i="1998" s="1"/>
  <c r="L9" i="1998"/>
  <c r="D9" i="1998" s="1"/>
  <c r="L8" i="1998"/>
  <c r="D8" i="1998"/>
  <c r="R6" i="1998"/>
  <c r="R5" i="1998"/>
  <c r="R4" i="1998"/>
  <c r="R52" i="1997"/>
  <c r="R51" i="1997"/>
  <c r="D50" i="1997"/>
  <c r="R49" i="1997"/>
  <c r="D49" i="1997"/>
  <c r="R48" i="1997"/>
  <c r="D48" i="1997"/>
  <c r="D46" i="1997"/>
  <c r="D45" i="1997"/>
  <c r="R44" i="1997"/>
  <c r="L28" i="1997" s="1"/>
  <c r="D28" i="1997" s="1"/>
  <c r="D44" i="1997"/>
  <c r="R42" i="1997"/>
  <c r="D42" i="1997"/>
  <c r="R41" i="1997"/>
  <c r="L7" i="1997" s="1"/>
  <c r="D7" i="1997" s="1"/>
  <c r="D41" i="1997"/>
  <c r="R40" i="1997"/>
  <c r="D40" i="1997"/>
  <c r="R39" i="1997"/>
  <c r="H39" i="1997"/>
  <c r="D39" i="1997"/>
  <c r="R38" i="1997"/>
  <c r="H38" i="1997"/>
  <c r="D38" i="1997"/>
  <c r="R37" i="1997"/>
  <c r="H37" i="1997"/>
  <c r="D37" i="1997"/>
  <c r="R36" i="1997"/>
  <c r="H36" i="1997"/>
  <c r="D36" i="1997"/>
  <c r="R35" i="1997"/>
  <c r="H35" i="1997"/>
  <c r="D35" i="1997"/>
  <c r="R34" i="1997"/>
  <c r="L12" i="1997" s="1"/>
  <c r="D12" i="1997" s="1"/>
  <c r="H34" i="1997"/>
  <c r="D34" i="1997"/>
  <c r="R33" i="1997"/>
  <c r="L19" i="1997" s="1"/>
  <c r="D19" i="1997" s="1"/>
  <c r="R32" i="1997"/>
  <c r="L11" i="1997" s="1"/>
  <c r="D11" i="1997" s="1"/>
  <c r="R31" i="1997"/>
  <c r="R30" i="1997"/>
  <c r="R29" i="1997"/>
  <c r="R28" i="1997"/>
  <c r="R27" i="1997"/>
  <c r="L27" i="1997"/>
  <c r="D27" i="1997"/>
  <c r="R26" i="1997"/>
  <c r="L26" i="1997"/>
  <c r="D26" i="1997"/>
  <c r="R25" i="1997"/>
  <c r="L25" i="1997"/>
  <c r="D25" i="1997" s="1"/>
  <c r="R24" i="1997"/>
  <c r="L24" i="1997"/>
  <c r="D24" i="1997"/>
  <c r="R23" i="1997"/>
  <c r="L23" i="1997"/>
  <c r="D23" i="1997"/>
  <c r="R22" i="1997"/>
  <c r="L22" i="1997"/>
  <c r="D22" i="1997" s="1"/>
  <c r="R21" i="1997"/>
  <c r="L17" i="1997" s="1"/>
  <c r="D17" i="1997" s="1"/>
  <c r="L21" i="1997"/>
  <c r="D21" i="1997"/>
  <c r="R20" i="1997"/>
  <c r="L20" i="1997"/>
  <c r="D20" i="1997"/>
  <c r="R19" i="1997"/>
  <c r="R18" i="1997"/>
  <c r="L18" i="1997"/>
  <c r="D18" i="1997" s="1"/>
  <c r="R17" i="1997"/>
  <c r="R16" i="1997"/>
  <c r="R15" i="1997"/>
  <c r="L15" i="1997"/>
  <c r="D15" i="1997" s="1"/>
  <c r="R14" i="1997"/>
  <c r="D14" i="1997"/>
  <c r="R13" i="1997"/>
  <c r="D13" i="1997"/>
  <c r="R12" i="1997"/>
  <c r="R11" i="1997"/>
  <c r="L10" i="1997"/>
  <c r="D10" i="1997"/>
  <c r="L9" i="1997"/>
  <c r="D9" i="1997"/>
  <c r="L8" i="1997"/>
  <c r="D8" i="1997" s="1"/>
  <c r="R6" i="1997"/>
  <c r="L16" i="1997" s="1"/>
  <c r="D16" i="1997" s="1"/>
  <c r="L6" i="1997"/>
  <c r="D6" i="1997"/>
  <c r="R5" i="1997"/>
  <c r="R4" i="1997"/>
  <c r="R52" i="1996"/>
  <c r="R51" i="1996"/>
  <c r="D50" i="1996"/>
  <c r="R49" i="1996"/>
  <c r="D49" i="1996"/>
  <c r="R48" i="1996"/>
  <c r="D48" i="1996"/>
  <c r="D46" i="1996"/>
  <c r="D45" i="1996"/>
  <c r="R44" i="1996"/>
  <c r="D44" i="1996"/>
  <c r="R42" i="1996"/>
  <c r="D42" i="1996"/>
  <c r="R41" i="1996"/>
  <c r="D41" i="1996"/>
  <c r="R40" i="1996"/>
  <c r="D40" i="1996"/>
  <c r="R39" i="1996"/>
  <c r="H39" i="1996"/>
  <c r="D39" i="1996"/>
  <c r="R38" i="1996"/>
  <c r="H38" i="1996"/>
  <c r="D38" i="1996"/>
  <c r="R37" i="1996"/>
  <c r="H37" i="1996"/>
  <c r="D37" i="1996"/>
  <c r="R36" i="1996"/>
  <c r="L10" i="1996" s="1"/>
  <c r="D10" i="1996" s="1"/>
  <c r="H36" i="1996"/>
  <c r="D36" i="1996"/>
  <c r="R35" i="1996"/>
  <c r="H35" i="1996"/>
  <c r="D35" i="1996"/>
  <c r="R34" i="1996"/>
  <c r="H34" i="1996"/>
  <c r="D34" i="1996"/>
  <c r="R33" i="1996"/>
  <c r="R32" i="1996"/>
  <c r="L11" i="1996" s="1"/>
  <c r="D11" i="1996" s="1"/>
  <c r="R31" i="1996"/>
  <c r="R30" i="1996"/>
  <c r="R29" i="1996"/>
  <c r="R28" i="1996"/>
  <c r="L28" i="1996"/>
  <c r="D28" i="1996"/>
  <c r="R27" i="1996"/>
  <c r="L27" i="1996"/>
  <c r="D27" i="1996" s="1"/>
  <c r="R26" i="1996"/>
  <c r="L26" i="1996"/>
  <c r="D26" i="1996"/>
  <c r="R25" i="1996"/>
  <c r="L25" i="1996"/>
  <c r="D25" i="1996"/>
  <c r="R24" i="1996"/>
  <c r="L24" i="1996"/>
  <c r="D24" i="1996"/>
  <c r="R23" i="1996"/>
  <c r="L23" i="1996"/>
  <c r="D23" i="1996" s="1"/>
  <c r="R22" i="1996"/>
  <c r="L20" i="1996" s="1"/>
  <c r="D20" i="1996" s="1"/>
  <c r="L22" i="1996"/>
  <c r="D22" i="1996"/>
  <c r="R21" i="1996"/>
  <c r="L21" i="1996"/>
  <c r="D21" i="1996"/>
  <c r="R20" i="1996"/>
  <c r="R19" i="1996"/>
  <c r="L19" i="1996"/>
  <c r="D19" i="1996" s="1"/>
  <c r="R18" i="1996"/>
  <c r="L18" i="1996"/>
  <c r="D18" i="1996"/>
  <c r="R17" i="1996"/>
  <c r="L17" i="1996"/>
  <c r="D17" i="1996" s="1"/>
  <c r="R16" i="1996"/>
  <c r="R15" i="1996"/>
  <c r="L15" i="1996"/>
  <c r="D15" i="1996"/>
  <c r="R14" i="1996"/>
  <c r="D14" i="1996"/>
  <c r="R13" i="1996"/>
  <c r="D13" i="1996"/>
  <c r="R12" i="1996"/>
  <c r="L12" i="1996"/>
  <c r="D12" i="1996" s="1"/>
  <c r="R11" i="1996"/>
  <c r="L9" i="1996"/>
  <c r="D9" i="1996"/>
  <c r="L8" i="1996"/>
  <c r="D8" i="1996"/>
  <c r="L7" i="1996"/>
  <c r="D7" i="1996"/>
  <c r="R6" i="1996"/>
  <c r="L16" i="1996" s="1"/>
  <c r="D16" i="1996" s="1"/>
  <c r="L6" i="1996"/>
  <c r="D6" i="1996"/>
  <c r="R5" i="1996"/>
  <c r="R4" i="1996"/>
  <c r="R52" i="1995"/>
  <c r="R51" i="1995"/>
  <c r="D50" i="1995"/>
  <c r="R49" i="1995"/>
  <c r="D49" i="1995"/>
  <c r="R48" i="1995"/>
  <c r="D48" i="1995"/>
  <c r="D46" i="1995"/>
  <c r="D45" i="1995"/>
  <c r="R44" i="1995"/>
  <c r="L28" i="1995" s="1"/>
  <c r="D28" i="1995" s="1"/>
  <c r="D44" i="1995"/>
  <c r="R42" i="1995"/>
  <c r="D42" i="1995"/>
  <c r="R41" i="1995"/>
  <c r="L7" i="1995" s="1"/>
  <c r="D7" i="1995" s="1"/>
  <c r="D41" i="1995"/>
  <c r="R40" i="1995"/>
  <c r="L8" i="1995" s="1"/>
  <c r="D8" i="1995" s="1"/>
  <c r="D40" i="1995"/>
  <c r="R39" i="1995"/>
  <c r="H39" i="1995"/>
  <c r="D39" i="1995"/>
  <c r="R38" i="1995"/>
  <c r="H38" i="1995"/>
  <c r="D38" i="1995"/>
  <c r="R37" i="1995"/>
  <c r="H37" i="1995"/>
  <c r="G49" i="1995" s="1"/>
  <c r="D37" i="1995"/>
  <c r="R36" i="1995"/>
  <c r="H36" i="1995"/>
  <c r="D36" i="1995"/>
  <c r="R35" i="1995"/>
  <c r="L18" i="1995" s="1"/>
  <c r="D18" i="1995" s="1"/>
  <c r="H35" i="1995"/>
  <c r="D35" i="1995"/>
  <c r="R34" i="1995"/>
  <c r="H34" i="1995"/>
  <c r="D34" i="1995"/>
  <c r="R33" i="1995"/>
  <c r="L19" i="1995" s="1"/>
  <c r="D19" i="1995" s="1"/>
  <c r="R32" i="1995"/>
  <c r="R31" i="1995"/>
  <c r="R30" i="1995"/>
  <c r="R29" i="1995"/>
  <c r="R28" i="1995"/>
  <c r="R27" i="1995"/>
  <c r="L27" i="1995"/>
  <c r="D27" i="1995"/>
  <c r="R26" i="1995"/>
  <c r="L26" i="1995"/>
  <c r="D26" i="1995"/>
  <c r="R25" i="1995"/>
  <c r="L25" i="1995"/>
  <c r="D25" i="1995"/>
  <c r="R24" i="1995"/>
  <c r="L24" i="1995"/>
  <c r="D24" i="1995" s="1"/>
  <c r="R23" i="1995"/>
  <c r="L23" i="1995"/>
  <c r="D23" i="1995" s="1"/>
  <c r="R22" i="1995"/>
  <c r="L22" i="1995"/>
  <c r="D22" i="1995" s="1"/>
  <c r="R21" i="1995"/>
  <c r="L21" i="1995"/>
  <c r="D21" i="1995"/>
  <c r="R20" i="1995"/>
  <c r="L20" i="1995"/>
  <c r="D20" i="1995" s="1"/>
  <c r="R19" i="1995"/>
  <c r="R18" i="1995"/>
  <c r="R17" i="1995"/>
  <c r="L17" i="1995"/>
  <c r="D17" i="1995"/>
  <c r="R16" i="1995"/>
  <c r="R15" i="1995"/>
  <c r="L15" i="1995"/>
  <c r="D15" i="1995" s="1"/>
  <c r="R14" i="1995"/>
  <c r="D14" i="1995"/>
  <c r="R13" i="1995"/>
  <c r="D13" i="1995"/>
  <c r="R12" i="1995"/>
  <c r="L12" i="1995"/>
  <c r="D12" i="1995" s="1"/>
  <c r="R11" i="1995"/>
  <c r="L11" i="1995"/>
  <c r="D11" i="1995"/>
  <c r="L10" i="1995"/>
  <c r="D10" i="1995"/>
  <c r="L9" i="1995"/>
  <c r="D9" i="1995"/>
  <c r="R6" i="1995"/>
  <c r="L16" i="1995" s="1"/>
  <c r="D16" i="1995" s="1"/>
  <c r="L6" i="1995"/>
  <c r="D6" i="1995"/>
  <c r="R5" i="1995"/>
  <c r="R4" i="1995"/>
  <c r="R52" i="1994"/>
  <c r="R51" i="1994"/>
  <c r="D50" i="1994"/>
  <c r="R49" i="1994"/>
  <c r="G49" i="1994"/>
  <c r="D49" i="1994"/>
  <c r="R48" i="1994"/>
  <c r="D48" i="1994"/>
  <c r="D46" i="1994"/>
  <c r="D45" i="1994"/>
  <c r="D44" i="1994"/>
  <c r="R42" i="1994"/>
  <c r="L6" i="1994" s="1"/>
  <c r="D6" i="1994" s="1"/>
  <c r="D42" i="1994"/>
  <c r="R41" i="1994"/>
  <c r="L7" i="1994" s="1"/>
  <c r="D7" i="1994" s="1"/>
  <c r="D41" i="1994"/>
  <c r="R40" i="1994"/>
  <c r="D40" i="1994"/>
  <c r="R39" i="1994"/>
  <c r="D39" i="1994"/>
  <c r="R38" i="1994"/>
  <c r="D38" i="1994"/>
  <c r="R37" i="1994"/>
  <c r="D37" i="1994"/>
  <c r="R36" i="1994"/>
  <c r="L10" i="1994" s="1"/>
  <c r="D10" i="1994" s="1"/>
  <c r="D36" i="1994"/>
  <c r="R35" i="1994"/>
  <c r="D35" i="1994"/>
  <c r="R34" i="1994"/>
  <c r="L12" i="1994" s="1"/>
  <c r="D12" i="1994" s="1"/>
  <c r="D34" i="1994"/>
  <c r="D54" i="1994" s="1"/>
  <c r="H14" i="1994" s="1"/>
  <c r="R33" i="1994"/>
  <c r="L23" i="1994" s="1"/>
  <c r="D23" i="1994" s="1"/>
  <c r="R32" i="1994"/>
  <c r="R31" i="1994"/>
  <c r="R30" i="1994"/>
  <c r="R29" i="1994"/>
  <c r="R28" i="1994"/>
  <c r="D28" i="1994"/>
  <c r="R27" i="1994"/>
  <c r="D27" i="1994"/>
  <c r="R26" i="1994"/>
  <c r="L26" i="1994"/>
  <c r="D26" i="1994"/>
  <c r="R25" i="1994"/>
  <c r="L25" i="1994"/>
  <c r="D25" i="1994"/>
  <c r="R24" i="1994"/>
  <c r="D24" i="1994"/>
  <c r="R23" i="1994"/>
  <c r="R22" i="1994"/>
  <c r="L22" i="1994"/>
  <c r="D22" i="1994"/>
  <c r="R21" i="1994"/>
  <c r="D21" i="1994"/>
  <c r="R20" i="1994"/>
  <c r="L20" i="1994"/>
  <c r="D20" i="1994"/>
  <c r="R19" i="1994"/>
  <c r="L19" i="1994"/>
  <c r="D19" i="1994"/>
  <c r="R18" i="1994"/>
  <c r="D18" i="1994"/>
  <c r="R17" i="1994"/>
  <c r="D17" i="1994"/>
  <c r="R16" i="1994"/>
  <c r="L16" i="1994"/>
  <c r="D16" i="1994" s="1"/>
  <c r="S15" i="1994"/>
  <c r="R15" i="1994"/>
  <c r="D15" i="1994"/>
  <c r="S14" i="1994"/>
  <c r="R14" i="1994"/>
  <c r="D14" i="1994"/>
  <c r="R13" i="1994"/>
  <c r="D13" i="1994"/>
  <c r="R12" i="1994"/>
  <c r="R11" i="1994"/>
  <c r="L11" i="1994"/>
  <c r="D11" i="1994"/>
  <c r="L9" i="1994"/>
  <c r="D9" i="1994"/>
  <c r="L8" i="1994"/>
  <c r="D8" i="1994"/>
  <c r="R6" i="1994"/>
  <c r="R5" i="1994"/>
  <c r="R4" i="1994"/>
  <c r="R52" i="1993"/>
  <c r="R51" i="1993"/>
  <c r="D50" i="1993"/>
  <c r="R49" i="1993"/>
  <c r="D49" i="1993"/>
  <c r="R48" i="1993"/>
  <c r="D48" i="1993"/>
  <c r="D46" i="1993"/>
  <c r="D45" i="1993"/>
  <c r="R44" i="1993"/>
  <c r="D44" i="1993"/>
  <c r="R42" i="1993"/>
  <c r="L6" i="1993" s="1"/>
  <c r="D6" i="1993" s="1"/>
  <c r="D42" i="1993"/>
  <c r="R41" i="1993"/>
  <c r="L7" i="1993" s="1"/>
  <c r="D7" i="1993" s="1"/>
  <c r="D41" i="1993"/>
  <c r="R40" i="1993"/>
  <c r="D40" i="1993"/>
  <c r="R39" i="1993"/>
  <c r="H39" i="1993"/>
  <c r="D39" i="1993"/>
  <c r="R38" i="1993"/>
  <c r="L9" i="1993" s="1"/>
  <c r="D9" i="1993" s="1"/>
  <c r="H38" i="1993"/>
  <c r="D38" i="1993"/>
  <c r="R37" i="1993"/>
  <c r="H37" i="1993"/>
  <c r="D37" i="1993"/>
  <c r="R36" i="1993"/>
  <c r="L10" i="1993" s="1"/>
  <c r="D10" i="1993" s="1"/>
  <c r="H36" i="1993"/>
  <c r="D36" i="1993"/>
  <c r="R35" i="1993"/>
  <c r="L18" i="1993" s="1"/>
  <c r="D18" i="1993" s="1"/>
  <c r="H35" i="1993"/>
  <c r="D35" i="1993"/>
  <c r="R34" i="1993"/>
  <c r="H34" i="1993"/>
  <c r="D34" i="1993"/>
  <c r="R33" i="1993"/>
  <c r="R32" i="1993"/>
  <c r="L11" i="1993" s="1"/>
  <c r="D11" i="1993" s="1"/>
  <c r="R31" i="1993"/>
  <c r="R30" i="1993"/>
  <c r="R29" i="1993"/>
  <c r="R28" i="1993"/>
  <c r="L28" i="1993"/>
  <c r="D28" i="1993"/>
  <c r="R27" i="1993"/>
  <c r="L27" i="1993"/>
  <c r="D27" i="1993"/>
  <c r="R26" i="1993"/>
  <c r="L26" i="1993"/>
  <c r="D26" i="1993"/>
  <c r="R25" i="1993"/>
  <c r="L25" i="1993"/>
  <c r="D25" i="1993"/>
  <c r="R24" i="1993"/>
  <c r="L24" i="1993"/>
  <c r="D24" i="1993"/>
  <c r="R23" i="1993"/>
  <c r="L23" i="1993"/>
  <c r="D23" i="1993"/>
  <c r="R22" i="1993"/>
  <c r="L20" i="1993" s="1"/>
  <c r="D20" i="1993" s="1"/>
  <c r="L22" i="1993"/>
  <c r="D22" i="1993" s="1"/>
  <c r="R21" i="1993"/>
  <c r="L21" i="1993"/>
  <c r="D21" i="1993" s="1"/>
  <c r="R20" i="1993"/>
  <c r="R19" i="1993"/>
  <c r="L19" i="1993"/>
  <c r="D19" i="1993"/>
  <c r="R18" i="1993"/>
  <c r="R17" i="1993"/>
  <c r="L17" i="1993"/>
  <c r="D17" i="1993"/>
  <c r="R16" i="1993"/>
  <c r="R15" i="1993"/>
  <c r="R14" i="1993"/>
  <c r="D14" i="1993"/>
  <c r="R13" i="1993"/>
  <c r="D13" i="1993"/>
  <c r="R12" i="1993"/>
  <c r="L12" i="1993"/>
  <c r="D12" i="1993"/>
  <c r="R11" i="1993"/>
  <c r="L8" i="1993"/>
  <c r="D8" i="1993" s="1"/>
  <c r="R6" i="1993"/>
  <c r="L16" i="1993" s="1"/>
  <c r="D16" i="1993" s="1"/>
  <c r="R5" i="1993"/>
  <c r="R4" i="1993"/>
  <c r="L15" i="1993" s="1"/>
  <c r="D15" i="1993" s="1"/>
  <c r="R52" i="1992"/>
  <c r="R51" i="1992"/>
  <c r="D50" i="1992"/>
  <c r="R49" i="1992"/>
  <c r="D49" i="1992"/>
  <c r="R48" i="1992"/>
  <c r="D48" i="1992"/>
  <c r="D46" i="1992"/>
  <c r="D45" i="1992"/>
  <c r="R44" i="1992"/>
  <c r="D44" i="1992"/>
  <c r="R42" i="1992"/>
  <c r="L6" i="1992" s="1"/>
  <c r="D6" i="1992" s="1"/>
  <c r="D42" i="1992"/>
  <c r="R41" i="1992"/>
  <c r="D41" i="1992"/>
  <c r="R40" i="1992"/>
  <c r="L8" i="1992" s="1"/>
  <c r="D8" i="1992" s="1"/>
  <c r="D40" i="1992"/>
  <c r="R39" i="1992"/>
  <c r="H39" i="1992"/>
  <c r="D39" i="1992"/>
  <c r="R38" i="1992"/>
  <c r="H38" i="1992"/>
  <c r="D38" i="1992"/>
  <c r="R37" i="1992"/>
  <c r="H37" i="1992"/>
  <c r="D37" i="1992"/>
  <c r="R36" i="1992"/>
  <c r="L10" i="1992" s="1"/>
  <c r="D10" i="1992" s="1"/>
  <c r="H36" i="1992"/>
  <c r="D36" i="1992"/>
  <c r="R35" i="1992"/>
  <c r="H35" i="1992"/>
  <c r="D35" i="1992"/>
  <c r="R34" i="1992"/>
  <c r="H34" i="1992"/>
  <c r="D34" i="1992"/>
  <c r="R33" i="1992"/>
  <c r="L19" i="1992" s="1"/>
  <c r="D19" i="1992" s="1"/>
  <c r="R32" i="1992"/>
  <c r="R31" i="1992"/>
  <c r="R30" i="1992"/>
  <c r="R29" i="1992"/>
  <c r="R28" i="1992"/>
  <c r="L28" i="1992"/>
  <c r="D28" i="1992"/>
  <c r="R27" i="1992"/>
  <c r="L27" i="1992"/>
  <c r="D27" i="1992"/>
  <c r="R26" i="1992"/>
  <c r="L26" i="1992"/>
  <c r="D26" i="1992" s="1"/>
  <c r="R25" i="1992"/>
  <c r="L25" i="1992"/>
  <c r="D25" i="1992"/>
  <c r="R24" i="1992"/>
  <c r="L24" i="1992"/>
  <c r="D24" i="1992"/>
  <c r="R23" i="1992"/>
  <c r="L23" i="1992"/>
  <c r="D23" i="1992"/>
  <c r="R22" i="1992"/>
  <c r="L20" i="1992" s="1"/>
  <c r="D20" i="1992" s="1"/>
  <c r="L22" i="1992"/>
  <c r="D22" i="1992"/>
  <c r="R21" i="1992"/>
  <c r="L21" i="1992"/>
  <c r="D21" i="1992"/>
  <c r="R20" i="1992"/>
  <c r="R19" i="1992"/>
  <c r="R18" i="1992"/>
  <c r="L18" i="1992"/>
  <c r="D18" i="1992" s="1"/>
  <c r="R17" i="1992"/>
  <c r="L17" i="1992"/>
  <c r="D17" i="1992" s="1"/>
  <c r="R16" i="1992"/>
  <c r="R15" i="1992"/>
  <c r="L15" i="1992"/>
  <c r="D15" i="1992" s="1"/>
  <c r="R14" i="1992"/>
  <c r="D14" i="1992"/>
  <c r="R13" i="1992"/>
  <c r="D13" i="1992"/>
  <c r="R12" i="1992"/>
  <c r="L12" i="1992"/>
  <c r="D12" i="1992" s="1"/>
  <c r="R11" i="1992"/>
  <c r="L11" i="1992"/>
  <c r="D11" i="1992" s="1"/>
  <c r="L9" i="1992"/>
  <c r="D9" i="1992" s="1"/>
  <c r="L7" i="1992"/>
  <c r="D7" i="1992"/>
  <c r="R6" i="1992"/>
  <c r="L16" i="1992" s="1"/>
  <c r="D16" i="1992" s="1"/>
  <c r="R5" i="1992"/>
  <c r="R4" i="1992"/>
  <c r="R52" i="1991"/>
  <c r="R51" i="1991"/>
  <c r="D50" i="1991"/>
  <c r="R49" i="1991"/>
  <c r="D49" i="1991"/>
  <c r="R48" i="1991"/>
  <c r="D48" i="1991"/>
  <c r="D46" i="1991"/>
  <c r="D45" i="1991"/>
  <c r="R44" i="1991"/>
  <c r="D44" i="1991"/>
  <c r="R42" i="1991"/>
  <c r="L6" i="1991" s="1"/>
  <c r="D6" i="1991" s="1"/>
  <c r="D42" i="1991"/>
  <c r="R41" i="1991"/>
  <c r="L7" i="1991" s="1"/>
  <c r="D7" i="1991" s="1"/>
  <c r="D41" i="1991"/>
  <c r="R40" i="1991"/>
  <c r="L8" i="1991" s="1"/>
  <c r="D8" i="1991" s="1"/>
  <c r="D40" i="1991"/>
  <c r="R39" i="1991"/>
  <c r="H39" i="1991"/>
  <c r="D39" i="1991"/>
  <c r="R38" i="1991"/>
  <c r="H38" i="1991"/>
  <c r="D38" i="1991"/>
  <c r="R37" i="1991"/>
  <c r="H37" i="1991"/>
  <c r="D37" i="1991"/>
  <c r="R36" i="1991"/>
  <c r="L10" i="1991" s="1"/>
  <c r="D10" i="1991" s="1"/>
  <c r="H36" i="1991"/>
  <c r="D36" i="1991"/>
  <c r="R35" i="1991"/>
  <c r="L18" i="1991" s="1"/>
  <c r="D18" i="1991" s="1"/>
  <c r="H35" i="1991"/>
  <c r="D35" i="1991"/>
  <c r="R34" i="1991"/>
  <c r="L12" i="1991" s="1"/>
  <c r="D12" i="1991" s="1"/>
  <c r="H34" i="1991"/>
  <c r="D34" i="1991"/>
  <c r="R33" i="1991"/>
  <c r="R32" i="1991"/>
  <c r="R31" i="1991"/>
  <c r="R30" i="1991"/>
  <c r="R29" i="1991"/>
  <c r="R28" i="1991"/>
  <c r="L28" i="1991"/>
  <c r="D28" i="1991"/>
  <c r="R27" i="1991"/>
  <c r="L27" i="1991"/>
  <c r="D27" i="1991"/>
  <c r="R26" i="1991"/>
  <c r="L26" i="1991"/>
  <c r="D26" i="1991" s="1"/>
  <c r="R25" i="1991"/>
  <c r="L25" i="1991"/>
  <c r="D25" i="1991" s="1"/>
  <c r="R24" i="1991"/>
  <c r="L24" i="1991"/>
  <c r="D24" i="1991" s="1"/>
  <c r="R23" i="1991"/>
  <c r="L23" i="1991"/>
  <c r="D23" i="1991"/>
  <c r="R22" i="1991"/>
  <c r="L20" i="1991" s="1"/>
  <c r="D20" i="1991" s="1"/>
  <c r="L22" i="1991"/>
  <c r="D22" i="1991"/>
  <c r="R21" i="1991"/>
  <c r="L17" i="1991" s="1"/>
  <c r="D17" i="1991" s="1"/>
  <c r="L21" i="1991"/>
  <c r="D21" i="1991"/>
  <c r="R20" i="1991"/>
  <c r="R19" i="1991"/>
  <c r="L19" i="1991"/>
  <c r="D19" i="1991"/>
  <c r="R18" i="1991"/>
  <c r="R17" i="1991"/>
  <c r="R16" i="1991"/>
  <c r="L16" i="1991"/>
  <c r="D16" i="1991"/>
  <c r="R15" i="1991"/>
  <c r="R14" i="1991"/>
  <c r="D14" i="1991"/>
  <c r="R13" i="1991"/>
  <c r="D13" i="1991"/>
  <c r="R12" i="1991"/>
  <c r="R11" i="1991"/>
  <c r="L11" i="1991"/>
  <c r="D11" i="1991"/>
  <c r="L9" i="1991"/>
  <c r="D9" i="1991" s="1"/>
  <c r="R6" i="1991"/>
  <c r="R5" i="1991"/>
  <c r="R4" i="1991"/>
  <c r="L15" i="1991" s="1"/>
  <c r="D15" i="1991" s="1"/>
  <c r="R52" i="1990"/>
  <c r="R51" i="1990"/>
  <c r="D50" i="1990"/>
  <c r="R49" i="1990"/>
  <c r="G49" i="1990"/>
  <c r="D49" i="1990"/>
  <c r="R48" i="1990"/>
  <c r="D48" i="1990"/>
  <c r="D46" i="1990"/>
  <c r="D45" i="1990"/>
  <c r="D44" i="1990"/>
  <c r="R42" i="1990"/>
  <c r="L6" i="1990" s="1"/>
  <c r="D6" i="1990" s="1"/>
  <c r="D42" i="1990"/>
  <c r="R41" i="1990"/>
  <c r="L7" i="1990" s="1"/>
  <c r="D7" i="1990" s="1"/>
  <c r="D41" i="1990"/>
  <c r="R40" i="1990"/>
  <c r="D40" i="1990"/>
  <c r="R39" i="1990"/>
  <c r="D39" i="1990"/>
  <c r="R38" i="1990"/>
  <c r="D38" i="1990"/>
  <c r="R37" i="1990"/>
  <c r="D37" i="1990"/>
  <c r="R36" i="1990"/>
  <c r="L10" i="1990" s="1"/>
  <c r="D10" i="1990" s="1"/>
  <c r="D36" i="1990"/>
  <c r="R35" i="1990"/>
  <c r="D35" i="1990"/>
  <c r="R34" i="1990"/>
  <c r="L12" i="1990" s="1"/>
  <c r="D12" i="1990" s="1"/>
  <c r="D34" i="1990"/>
  <c r="D54" i="1990" s="1"/>
  <c r="H14" i="1990" s="1"/>
  <c r="R33" i="1990"/>
  <c r="L23" i="1990" s="1"/>
  <c r="D23" i="1990" s="1"/>
  <c r="R32" i="1990"/>
  <c r="R31" i="1990"/>
  <c r="R30" i="1990"/>
  <c r="R29" i="1990"/>
  <c r="R28" i="1990"/>
  <c r="D28" i="1990"/>
  <c r="R27" i="1990"/>
  <c r="D27" i="1990"/>
  <c r="R26" i="1990"/>
  <c r="L26" i="1990"/>
  <c r="D26" i="1990"/>
  <c r="R25" i="1990"/>
  <c r="L25" i="1990"/>
  <c r="D25" i="1990"/>
  <c r="R24" i="1990"/>
  <c r="D24" i="1990"/>
  <c r="R23" i="1990"/>
  <c r="R22" i="1990"/>
  <c r="L22" i="1990"/>
  <c r="D22" i="1990"/>
  <c r="R21" i="1990"/>
  <c r="D21" i="1990"/>
  <c r="R20" i="1990"/>
  <c r="L20" i="1990"/>
  <c r="D20" i="1990"/>
  <c r="R19" i="1990"/>
  <c r="L19" i="1990"/>
  <c r="D19" i="1990"/>
  <c r="R18" i="1990"/>
  <c r="D18" i="1990"/>
  <c r="R17" i="1990"/>
  <c r="D17" i="1990"/>
  <c r="R16" i="1990"/>
  <c r="L16" i="1990"/>
  <c r="D16" i="1990" s="1"/>
  <c r="S15" i="1990"/>
  <c r="R15" i="1990"/>
  <c r="D15" i="1990"/>
  <c r="S14" i="1990"/>
  <c r="R14" i="1990"/>
  <c r="D14" i="1990"/>
  <c r="R13" i="1990"/>
  <c r="D13" i="1990"/>
  <c r="R12" i="1990"/>
  <c r="R11" i="1990"/>
  <c r="L11" i="1990"/>
  <c r="D11" i="1990"/>
  <c r="L9" i="1990"/>
  <c r="D9" i="1990"/>
  <c r="L8" i="1990"/>
  <c r="D8" i="1990"/>
  <c r="R6" i="1990"/>
  <c r="R5" i="1990"/>
  <c r="R4" i="1990"/>
  <c r="G49" i="2001" l="1"/>
  <c r="D54" i="2001"/>
  <c r="H14" i="2001" s="1"/>
  <c r="D54" i="2000"/>
  <c r="H14" i="2000" s="1"/>
  <c r="G49" i="1996"/>
  <c r="G49" i="1997"/>
  <c r="D54" i="1997"/>
  <c r="H14" i="1997" s="1"/>
  <c r="D54" i="1996"/>
  <c r="H14" i="1996" s="1"/>
  <c r="D54" i="1995"/>
  <c r="H14" i="1995" s="1"/>
  <c r="G49" i="1993"/>
  <c r="G49" i="1992"/>
  <c r="D54" i="1992"/>
  <c r="H14" i="1992" s="1"/>
  <c r="D54" i="1993"/>
  <c r="H14" i="1993" s="1"/>
  <c r="D54" i="1991"/>
  <c r="H14" i="1991" s="1"/>
  <c r="D29" i="2009"/>
  <c r="H13" i="2009" s="1"/>
  <c r="H15" i="2009" s="1"/>
  <c r="H29" i="2009" s="1"/>
  <c r="G51" i="2009" s="1"/>
  <c r="D29" i="2008"/>
  <c r="H13" i="2008" s="1"/>
  <c r="H15" i="2008" s="1"/>
  <c r="H29" i="2008" s="1"/>
  <c r="G51" i="2008"/>
  <c r="D29" i="2007"/>
  <c r="H13" i="2007" s="1"/>
  <c r="H15" i="2007" s="1"/>
  <c r="H29" i="2007" s="1"/>
  <c r="G51" i="2007" s="1"/>
  <c r="D29" i="2006"/>
  <c r="H13" i="2006" s="1"/>
  <c r="H15" i="2006" s="1"/>
  <c r="H29" i="2006" s="1"/>
  <c r="G51" i="2006" s="1"/>
  <c r="D29" i="2005"/>
  <c r="H13" i="2005" s="1"/>
  <c r="H15" i="2005" s="1"/>
  <c r="H29" i="2005" s="1"/>
  <c r="G51" i="2005" s="1"/>
  <c r="D29" i="2004"/>
  <c r="H13" i="2004" s="1"/>
  <c r="H15" i="2004" s="1"/>
  <c r="H29" i="2004" s="1"/>
  <c r="G51" i="2004" s="1"/>
  <c r="D29" i="2003"/>
  <c r="H13" i="2003" s="1"/>
  <c r="H15" i="2003" s="1"/>
  <c r="H29" i="2003" s="1"/>
  <c r="G51" i="2003" s="1"/>
  <c r="D29" i="2002"/>
  <c r="H13" i="2002" s="1"/>
  <c r="H15" i="2002" s="1"/>
  <c r="H29" i="2002" s="1"/>
  <c r="G51" i="2002"/>
  <c r="D29" i="2001"/>
  <c r="H13" i="2001" s="1"/>
  <c r="D29" i="2000"/>
  <c r="H13" i="2000" s="1"/>
  <c r="D29" i="1999"/>
  <c r="H13" i="1999" s="1"/>
  <c r="H15" i="1999" s="1"/>
  <c r="H29" i="1999" s="1"/>
  <c r="G51" i="1999" s="1"/>
  <c r="D29" i="1998"/>
  <c r="H13" i="1998" s="1"/>
  <c r="H15" i="1998" s="1"/>
  <c r="H29" i="1998" s="1"/>
  <c r="G51" i="1998" s="1"/>
  <c r="G49" i="1991"/>
  <c r="D29" i="1997"/>
  <c r="H13" i="1997" s="1"/>
  <c r="D29" i="1996"/>
  <c r="H13" i="1996" s="1"/>
  <c r="D29" i="1995"/>
  <c r="H13" i="1995" s="1"/>
  <c r="D29" i="1994"/>
  <c r="H13" i="1994" s="1"/>
  <c r="H15" i="1994" s="1"/>
  <c r="H29" i="1994" s="1"/>
  <c r="G51" i="1994" s="1"/>
  <c r="D29" i="1993"/>
  <c r="H13" i="1993" s="1"/>
  <c r="H15" i="1993" s="1"/>
  <c r="H29" i="1993" s="1"/>
  <c r="D29" i="1992"/>
  <c r="H13" i="1992" s="1"/>
  <c r="D29" i="1991"/>
  <c r="H13" i="1991" s="1"/>
  <c r="D29" i="1990"/>
  <c r="H13" i="1990" s="1"/>
  <c r="H15" i="1990" s="1"/>
  <c r="H29" i="1990" s="1"/>
  <c r="G51" i="1990" s="1"/>
  <c r="R52" i="1989"/>
  <c r="R51" i="1989"/>
  <c r="D50" i="1989"/>
  <c r="R49" i="1989"/>
  <c r="D49" i="1989"/>
  <c r="R48" i="1989"/>
  <c r="D48" i="1989"/>
  <c r="D46" i="1989"/>
  <c r="D45" i="1989"/>
  <c r="R44" i="1989"/>
  <c r="D44" i="1989"/>
  <c r="R42" i="1989"/>
  <c r="L6" i="1989" s="1"/>
  <c r="D6" i="1989" s="1"/>
  <c r="D42" i="1989"/>
  <c r="R41" i="1989"/>
  <c r="L7" i="1989" s="1"/>
  <c r="D7" i="1989" s="1"/>
  <c r="D41" i="1989"/>
  <c r="R40" i="1989"/>
  <c r="D40" i="1989"/>
  <c r="R39" i="1989"/>
  <c r="H39" i="1989"/>
  <c r="D39" i="1989"/>
  <c r="R38" i="1989"/>
  <c r="L9" i="1989" s="1"/>
  <c r="D9" i="1989" s="1"/>
  <c r="H38" i="1989"/>
  <c r="D38" i="1989"/>
  <c r="R37" i="1989"/>
  <c r="H37" i="1989"/>
  <c r="D37" i="1989"/>
  <c r="R36" i="1989"/>
  <c r="L10" i="1989" s="1"/>
  <c r="D10" i="1989" s="1"/>
  <c r="H36" i="1989"/>
  <c r="D36" i="1989"/>
  <c r="R35" i="1989"/>
  <c r="L18" i="1989" s="1"/>
  <c r="D18" i="1989" s="1"/>
  <c r="H35" i="1989"/>
  <c r="D35" i="1989"/>
  <c r="R34" i="1989"/>
  <c r="H34" i="1989"/>
  <c r="D34" i="1989"/>
  <c r="R33" i="1989"/>
  <c r="R32" i="1989"/>
  <c r="L11" i="1989" s="1"/>
  <c r="D11" i="1989" s="1"/>
  <c r="R31" i="1989"/>
  <c r="R30" i="1989"/>
  <c r="R29" i="1989"/>
  <c r="R28" i="1989"/>
  <c r="L28" i="1989"/>
  <c r="D28" i="1989"/>
  <c r="R27" i="1989"/>
  <c r="L27" i="1989"/>
  <c r="D27" i="1989" s="1"/>
  <c r="R26" i="1989"/>
  <c r="L26" i="1989"/>
  <c r="D26" i="1989" s="1"/>
  <c r="R25" i="1989"/>
  <c r="L25" i="1989"/>
  <c r="D25" i="1989" s="1"/>
  <c r="R24" i="1989"/>
  <c r="L24" i="1989"/>
  <c r="D24" i="1989"/>
  <c r="R23" i="1989"/>
  <c r="L23" i="1989"/>
  <c r="D23" i="1989"/>
  <c r="R22" i="1989"/>
  <c r="L20" i="1989" s="1"/>
  <c r="D20" i="1989" s="1"/>
  <c r="L22" i="1989"/>
  <c r="D22" i="1989"/>
  <c r="R21" i="1989"/>
  <c r="L21" i="1989"/>
  <c r="D21" i="1989"/>
  <c r="R20" i="1989"/>
  <c r="R19" i="1989"/>
  <c r="L19" i="1989"/>
  <c r="D19" i="1989"/>
  <c r="R18" i="1989"/>
  <c r="R17" i="1989"/>
  <c r="L17" i="1989"/>
  <c r="D17" i="1989"/>
  <c r="R16" i="1989"/>
  <c r="R15" i="1989"/>
  <c r="R14" i="1989"/>
  <c r="D14" i="1989"/>
  <c r="R13" i="1989"/>
  <c r="D13" i="1989"/>
  <c r="R12" i="1989"/>
  <c r="L12" i="1989"/>
  <c r="D12" i="1989"/>
  <c r="R11" i="1989"/>
  <c r="L8" i="1989"/>
  <c r="D8" i="1989"/>
  <c r="R6" i="1989"/>
  <c r="L16" i="1989" s="1"/>
  <c r="D16" i="1989" s="1"/>
  <c r="R5" i="1989"/>
  <c r="R4" i="1989"/>
  <c r="L15" i="1989" s="1"/>
  <c r="D15" i="1989" s="1"/>
  <c r="R52" i="1988"/>
  <c r="R51" i="1988"/>
  <c r="D50" i="1988"/>
  <c r="R49" i="1988"/>
  <c r="D49" i="1988"/>
  <c r="R48" i="1988"/>
  <c r="D48" i="1988"/>
  <c r="D46" i="1988"/>
  <c r="D45" i="1988"/>
  <c r="R44" i="1988"/>
  <c r="D44" i="1988"/>
  <c r="R42" i="1988"/>
  <c r="L6" i="1988" s="1"/>
  <c r="D6" i="1988" s="1"/>
  <c r="D42" i="1988"/>
  <c r="R41" i="1988"/>
  <c r="D41" i="1988"/>
  <c r="R40" i="1988"/>
  <c r="D40" i="1988"/>
  <c r="R39" i="1988"/>
  <c r="H39" i="1988"/>
  <c r="D39" i="1988"/>
  <c r="R38" i="1988"/>
  <c r="L9" i="1988" s="1"/>
  <c r="D9" i="1988" s="1"/>
  <c r="H38" i="1988"/>
  <c r="D38" i="1988"/>
  <c r="R37" i="1988"/>
  <c r="H37" i="1988"/>
  <c r="D37" i="1988"/>
  <c r="R36" i="1988"/>
  <c r="L10" i="1988" s="1"/>
  <c r="D10" i="1988" s="1"/>
  <c r="H36" i="1988"/>
  <c r="D36" i="1988"/>
  <c r="R35" i="1988"/>
  <c r="H35" i="1988"/>
  <c r="D35" i="1988"/>
  <c r="R34" i="1988"/>
  <c r="H34" i="1988"/>
  <c r="D34" i="1988"/>
  <c r="R33" i="1988"/>
  <c r="L19" i="1988" s="1"/>
  <c r="D19" i="1988" s="1"/>
  <c r="R32" i="1988"/>
  <c r="L11" i="1988" s="1"/>
  <c r="D11" i="1988" s="1"/>
  <c r="R31" i="1988"/>
  <c r="R30" i="1988"/>
  <c r="R29" i="1988"/>
  <c r="R28" i="1988"/>
  <c r="L28" i="1988"/>
  <c r="D28" i="1988"/>
  <c r="R27" i="1988"/>
  <c r="L27" i="1988"/>
  <c r="D27" i="1988"/>
  <c r="R26" i="1988"/>
  <c r="L26" i="1988"/>
  <c r="D26" i="1988"/>
  <c r="R25" i="1988"/>
  <c r="L25" i="1988"/>
  <c r="D25" i="1988" s="1"/>
  <c r="R24" i="1988"/>
  <c r="L24" i="1988"/>
  <c r="D24" i="1988"/>
  <c r="R23" i="1988"/>
  <c r="L23" i="1988"/>
  <c r="D23" i="1988"/>
  <c r="R22" i="1988"/>
  <c r="L20" i="1988" s="1"/>
  <c r="D20" i="1988" s="1"/>
  <c r="L22" i="1988"/>
  <c r="D22" i="1988" s="1"/>
  <c r="R21" i="1988"/>
  <c r="L21" i="1988"/>
  <c r="D21" i="1988"/>
  <c r="R20" i="1988"/>
  <c r="R19" i="1988"/>
  <c r="R18" i="1988"/>
  <c r="L18" i="1988"/>
  <c r="D18" i="1988"/>
  <c r="R17" i="1988"/>
  <c r="L17" i="1988"/>
  <c r="D17" i="1988" s="1"/>
  <c r="R16" i="1988"/>
  <c r="R15" i="1988"/>
  <c r="L15" i="1988"/>
  <c r="D15" i="1988"/>
  <c r="R14" i="1988"/>
  <c r="D14" i="1988"/>
  <c r="R13" i="1988"/>
  <c r="D13" i="1988"/>
  <c r="R12" i="1988"/>
  <c r="L12" i="1988"/>
  <c r="D12" i="1988" s="1"/>
  <c r="R11" i="1988"/>
  <c r="L8" i="1988"/>
  <c r="D8" i="1988"/>
  <c r="L7" i="1988"/>
  <c r="D7" i="1988"/>
  <c r="R6" i="1988"/>
  <c r="L16" i="1988" s="1"/>
  <c r="D16" i="1988" s="1"/>
  <c r="R5" i="1988"/>
  <c r="R4" i="1988"/>
  <c r="R52" i="1987"/>
  <c r="R51" i="1987"/>
  <c r="D50" i="1987"/>
  <c r="R49" i="1987"/>
  <c r="D49" i="1987"/>
  <c r="R48" i="1987"/>
  <c r="D48" i="1987"/>
  <c r="D46" i="1987"/>
  <c r="D45" i="1987"/>
  <c r="R44" i="1987"/>
  <c r="D44" i="1987"/>
  <c r="R42" i="1987"/>
  <c r="D42" i="1987"/>
  <c r="R41" i="1987"/>
  <c r="L7" i="1987" s="1"/>
  <c r="D7" i="1987" s="1"/>
  <c r="D41" i="1987"/>
  <c r="R40" i="1987"/>
  <c r="D40" i="1987"/>
  <c r="R39" i="1987"/>
  <c r="H39" i="1987"/>
  <c r="D39" i="1987"/>
  <c r="R38" i="1987"/>
  <c r="H38" i="1987"/>
  <c r="D38" i="1987"/>
  <c r="R37" i="1987"/>
  <c r="H37" i="1987"/>
  <c r="D37" i="1987"/>
  <c r="R36" i="1987"/>
  <c r="H36" i="1987"/>
  <c r="D36" i="1987"/>
  <c r="R35" i="1987"/>
  <c r="L18" i="1987" s="1"/>
  <c r="D18" i="1987" s="1"/>
  <c r="H35" i="1987"/>
  <c r="D35" i="1987"/>
  <c r="R34" i="1987"/>
  <c r="H34" i="1987"/>
  <c r="D34" i="1987"/>
  <c r="R33" i="1987"/>
  <c r="L19" i="1987" s="1"/>
  <c r="D19" i="1987" s="1"/>
  <c r="R32" i="1987"/>
  <c r="R31" i="1987"/>
  <c r="R30" i="1987"/>
  <c r="R29" i="1987"/>
  <c r="R28" i="1987"/>
  <c r="L28" i="1987"/>
  <c r="D28" i="1987"/>
  <c r="R27" i="1987"/>
  <c r="L27" i="1987"/>
  <c r="D27" i="1987" s="1"/>
  <c r="R26" i="1987"/>
  <c r="L26" i="1987"/>
  <c r="D26" i="1987"/>
  <c r="R25" i="1987"/>
  <c r="L25" i="1987"/>
  <c r="D25" i="1987"/>
  <c r="R24" i="1987"/>
  <c r="L24" i="1987"/>
  <c r="D24" i="1987"/>
  <c r="R23" i="1987"/>
  <c r="L23" i="1987"/>
  <c r="D23" i="1987"/>
  <c r="R22" i="1987"/>
  <c r="L22" i="1987"/>
  <c r="D22" i="1987" s="1"/>
  <c r="R21" i="1987"/>
  <c r="L21" i="1987"/>
  <c r="D21" i="1987"/>
  <c r="R20" i="1987"/>
  <c r="L20" i="1987"/>
  <c r="D20" i="1987" s="1"/>
  <c r="R19" i="1987"/>
  <c r="R18" i="1987"/>
  <c r="R17" i="1987"/>
  <c r="L17" i="1987"/>
  <c r="D17" i="1987"/>
  <c r="R16" i="1987"/>
  <c r="R15" i="1987"/>
  <c r="L15" i="1987"/>
  <c r="D15" i="1987" s="1"/>
  <c r="R14" i="1987"/>
  <c r="D14" i="1987"/>
  <c r="R13" i="1987"/>
  <c r="D13" i="1987"/>
  <c r="R12" i="1987"/>
  <c r="L12" i="1987"/>
  <c r="D12" i="1987" s="1"/>
  <c r="R11" i="1987"/>
  <c r="L11" i="1987"/>
  <c r="D11" i="1987" s="1"/>
  <c r="L10" i="1987"/>
  <c r="D10" i="1987"/>
  <c r="L9" i="1987"/>
  <c r="D9" i="1987"/>
  <c r="L8" i="1987"/>
  <c r="D8" i="1987"/>
  <c r="R6" i="1987"/>
  <c r="L16" i="1987" s="1"/>
  <c r="D16" i="1987" s="1"/>
  <c r="L6" i="1987"/>
  <c r="D6" i="1987"/>
  <c r="R5" i="1987"/>
  <c r="R4" i="1987"/>
  <c r="H15" i="2001" l="1"/>
  <c r="H29" i="2001" s="1"/>
  <c r="G51" i="2001" s="1"/>
  <c r="H15" i="2000"/>
  <c r="H29" i="2000" s="1"/>
  <c r="G51" i="2000" s="1"/>
  <c r="H15" i="1997"/>
  <c r="H29" i="1997" s="1"/>
  <c r="G51" i="1997" s="1"/>
  <c r="H15" i="1996"/>
  <c r="H29" i="1996" s="1"/>
  <c r="G51" i="1996" s="1"/>
  <c r="H15" i="1995"/>
  <c r="H29" i="1995" s="1"/>
  <c r="G51" i="1995" s="1"/>
  <c r="G51" i="1993"/>
  <c r="H15" i="1992"/>
  <c r="H29" i="1992" s="1"/>
  <c r="G51" i="1992" s="1"/>
  <c r="H15" i="1991"/>
  <c r="H29" i="1991" s="1"/>
  <c r="G51" i="1991" s="1"/>
  <c r="G49" i="1989"/>
  <c r="D54" i="1989"/>
  <c r="H14" i="1989" s="1"/>
  <c r="G49" i="1988"/>
  <c r="G49" i="1987"/>
  <c r="D54" i="1988"/>
  <c r="H14" i="1988" s="1"/>
  <c r="D54" i="1987"/>
  <c r="H14" i="1987" s="1"/>
  <c r="D29" i="1987"/>
  <c r="H13" i="1987" s="1"/>
  <c r="D29" i="1989"/>
  <c r="H13" i="1989" s="1"/>
  <c r="H15" i="1989" s="1"/>
  <c r="H29" i="1989" s="1"/>
  <c r="G51" i="1989" s="1"/>
  <c r="D29" i="1988"/>
  <c r="H13" i="1988" s="1"/>
  <c r="H15" i="1988" s="1"/>
  <c r="H29" i="1988" s="1"/>
  <c r="R52" i="1986"/>
  <c r="R51" i="1986"/>
  <c r="D50" i="1986"/>
  <c r="R49" i="1986"/>
  <c r="G49" i="1986"/>
  <c r="D49" i="1986"/>
  <c r="R48" i="1986"/>
  <c r="D48" i="1986"/>
  <c r="D46" i="1986"/>
  <c r="D45" i="1986"/>
  <c r="D44" i="1986"/>
  <c r="R42" i="1986"/>
  <c r="L6" i="1986" s="1"/>
  <c r="D6" i="1986" s="1"/>
  <c r="D42" i="1986"/>
  <c r="R41" i="1986"/>
  <c r="L7" i="1986" s="1"/>
  <c r="D7" i="1986" s="1"/>
  <c r="D41" i="1986"/>
  <c r="R40" i="1986"/>
  <c r="D40" i="1986"/>
  <c r="R39" i="1986"/>
  <c r="D39" i="1986"/>
  <c r="R38" i="1986"/>
  <c r="L9" i="1986" s="1"/>
  <c r="D9" i="1986" s="1"/>
  <c r="D38" i="1986"/>
  <c r="R37" i="1986"/>
  <c r="D37" i="1986"/>
  <c r="R36" i="1986"/>
  <c r="L10" i="1986" s="1"/>
  <c r="D10" i="1986" s="1"/>
  <c r="D36" i="1986"/>
  <c r="R35" i="1986"/>
  <c r="D35" i="1986"/>
  <c r="R34" i="1986"/>
  <c r="L12" i="1986" s="1"/>
  <c r="D12" i="1986" s="1"/>
  <c r="D34" i="1986"/>
  <c r="D54" i="1986" s="1"/>
  <c r="H14" i="1986" s="1"/>
  <c r="R33" i="1986"/>
  <c r="L23" i="1986" s="1"/>
  <c r="D23" i="1986" s="1"/>
  <c r="R32" i="1986"/>
  <c r="R31" i="1986"/>
  <c r="R30" i="1986"/>
  <c r="R29" i="1986"/>
  <c r="R28" i="1986"/>
  <c r="D28" i="1986"/>
  <c r="R27" i="1986"/>
  <c r="D27" i="1986"/>
  <c r="R26" i="1986"/>
  <c r="L26" i="1986"/>
  <c r="D26" i="1986"/>
  <c r="R25" i="1986"/>
  <c r="L25" i="1986"/>
  <c r="D25" i="1986"/>
  <c r="R24" i="1986"/>
  <c r="D24" i="1986"/>
  <c r="R23" i="1986"/>
  <c r="R22" i="1986"/>
  <c r="L22" i="1986"/>
  <c r="D22" i="1986"/>
  <c r="R21" i="1986"/>
  <c r="D21" i="1986"/>
  <c r="R20" i="1986"/>
  <c r="L20" i="1986"/>
  <c r="D20" i="1986"/>
  <c r="R19" i="1986"/>
  <c r="L19" i="1986"/>
  <c r="D19" i="1986"/>
  <c r="R18" i="1986"/>
  <c r="D18" i="1986"/>
  <c r="R17" i="1986"/>
  <c r="D17" i="1986"/>
  <c r="R16" i="1986"/>
  <c r="L16" i="1986"/>
  <c r="D16" i="1986" s="1"/>
  <c r="S15" i="1986"/>
  <c r="R15" i="1986"/>
  <c r="D15" i="1986"/>
  <c r="S14" i="1986"/>
  <c r="R14" i="1986"/>
  <c r="D14" i="1986"/>
  <c r="R13" i="1986"/>
  <c r="D13" i="1986"/>
  <c r="R12" i="1986"/>
  <c r="R11" i="1986"/>
  <c r="L11" i="1986"/>
  <c r="D11" i="1986" s="1"/>
  <c r="L8" i="1986"/>
  <c r="D8" i="1986"/>
  <c r="R6" i="1986"/>
  <c r="R5" i="1986"/>
  <c r="R4" i="1986"/>
  <c r="H16" i="1983"/>
  <c r="R52" i="1985"/>
  <c r="R51" i="1985"/>
  <c r="D50" i="1985"/>
  <c r="R49" i="1985"/>
  <c r="D49" i="1985"/>
  <c r="R48" i="1985"/>
  <c r="D48" i="1985"/>
  <c r="D46" i="1985"/>
  <c r="D45" i="1985"/>
  <c r="R44" i="1985"/>
  <c r="D44" i="1985"/>
  <c r="R42" i="1985"/>
  <c r="D42" i="1985"/>
  <c r="R41" i="1985"/>
  <c r="L7" i="1985" s="1"/>
  <c r="D7" i="1985" s="1"/>
  <c r="D41" i="1985"/>
  <c r="R40" i="1985"/>
  <c r="D40" i="1985"/>
  <c r="R39" i="1985"/>
  <c r="H39" i="1985"/>
  <c r="D39" i="1985"/>
  <c r="R38" i="1985"/>
  <c r="H38" i="1985"/>
  <c r="D38" i="1985"/>
  <c r="R37" i="1985"/>
  <c r="H37" i="1985"/>
  <c r="D37" i="1985"/>
  <c r="R36" i="1985"/>
  <c r="L10" i="1985" s="1"/>
  <c r="D10" i="1985" s="1"/>
  <c r="H36" i="1985"/>
  <c r="D36" i="1985"/>
  <c r="R35" i="1985"/>
  <c r="L18" i="1985" s="1"/>
  <c r="D18" i="1985" s="1"/>
  <c r="H35" i="1985"/>
  <c r="D35" i="1985"/>
  <c r="R34" i="1985"/>
  <c r="H34" i="1985"/>
  <c r="D34" i="1985"/>
  <c r="R33" i="1985"/>
  <c r="R32" i="1985"/>
  <c r="L11" i="1985" s="1"/>
  <c r="D11" i="1985" s="1"/>
  <c r="R31" i="1985"/>
  <c r="R30" i="1985"/>
  <c r="R29" i="1985"/>
  <c r="R28" i="1985"/>
  <c r="L28" i="1985"/>
  <c r="D28" i="1985"/>
  <c r="R27" i="1985"/>
  <c r="L27" i="1985"/>
  <c r="D27" i="1985" s="1"/>
  <c r="R26" i="1985"/>
  <c r="L26" i="1985"/>
  <c r="D26" i="1985" s="1"/>
  <c r="R25" i="1985"/>
  <c r="L25" i="1985"/>
  <c r="D25" i="1985"/>
  <c r="R24" i="1985"/>
  <c r="L24" i="1985"/>
  <c r="D24" i="1985"/>
  <c r="R23" i="1985"/>
  <c r="L23" i="1985"/>
  <c r="D23" i="1985" s="1"/>
  <c r="R22" i="1985"/>
  <c r="L20" i="1985" s="1"/>
  <c r="D20" i="1985" s="1"/>
  <c r="L22" i="1985"/>
  <c r="D22" i="1985" s="1"/>
  <c r="R21" i="1985"/>
  <c r="L21" i="1985"/>
  <c r="D21" i="1985"/>
  <c r="R20" i="1985"/>
  <c r="R19" i="1985"/>
  <c r="L19" i="1985"/>
  <c r="D19" i="1985"/>
  <c r="R18" i="1985"/>
  <c r="R17" i="1985"/>
  <c r="L17" i="1985"/>
  <c r="D17" i="1985"/>
  <c r="R16" i="1985"/>
  <c r="R15" i="1985"/>
  <c r="R14" i="1985"/>
  <c r="D14" i="1985"/>
  <c r="R13" i="1985"/>
  <c r="D13" i="1985"/>
  <c r="R12" i="1985"/>
  <c r="L12" i="1985"/>
  <c r="D12" i="1985"/>
  <c r="R11" i="1985"/>
  <c r="L9" i="1985"/>
  <c r="D9" i="1985" s="1"/>
  <c r="L8" i="1985"/>
  <c r="D8" i="1985" s="1"/>
  <c r="R6" i="1985"/>
  <c r="L16" i="1985" s="1"/>
  <c r="D16" i="1985" s="1"/>
  <c r="L6" i="1985"/>
  <c r="D6" i="1985"/>
  <c r="R5" i="1985"/>
  <c r="R4" i="1985"/>
  <c r="L15" i="1985" s="1"/>
  <c r="D15" i="1985" s="1"/>
  <c r="R52" i="1984"/>
  <c r="R51" i="1984"/>
  <c r="D50" i="1984"/>
  <c r="R49" i="1984"/>
  <c r="D49" i="1984"/>
  <c r="R48" i="1984"/>
  <c r="D48" i="1984"/>
  <c r="D46" i="1984"/>
  <c r="D45" i="1984"/>
  <c r="R44" i="1984"/>
  <c r="L28" i="1984" s="1"/>
  <c r="D28" i="1984" s="1"/>
  <c r="D44" i="1984"/>
  <c r="R42" i="1984"/>
  <c r="D42" i="1984"/>
  <c r="R41" i="1984"/>
  <c r="D41" i="1984"/>
  <c r="R40" i="1984"/>
  <c r="L8" i="1984" s="1"/>
  <c r="D8" i="1984" s="1"/>
  <c r="D40" i="1984"/>
  <c r="R39" i="1984"/>
  <c r="H39" i="1984"/>
  <c r="D39" i="1984"/>
  <c r="R38" i="1984"/>
  <c r="H38" i="1984"/>
  <c r="D38" i="1984"/>
  <c r="R37" i="1984"/>
  <c r="H37" i="1984"/>
  <c r="D37" i="1984"/>
  <c r="R36" i="1984"/>
  <c r="H36" i="1984"/>
  <c r="D36" i="1984"/>
  <c r="R35" i="1984"/>
  <c r="L18" i="1984" s="1"/>
  <c r="D18" i="1984" s="1"/>
  <c r="H35" i="1984"/>
  <c r="D35" i="1984"/>
  <c r="R34" i="1984"/>
  <c r="L12" i="1984" s="1"/>
  <c r="D12" i="1984" s="1"/>
  <c r="H34" i="1984"/>
  <c r="D34" i="1984"/>
  <c r="R33" i="1984"/>
  <c r="L19" i="1984" s="1"/>
  <c r="D19" i="1984" s="1"/>
  <c r="R32" i="1984"/>
  <c r="R31" i="1984"/>
  <c r="R30" i="1984"/>
  <c r="R29" i="1984"/>
  <c r="R28" i="1984"/>
  <c r="R27" i="1984"/>
  <c r="L27" i="1984"/>
  <c r="D27" i="1984"/>
  <c r="R26" i="1984"/>
  <c r="L26" i="1984"/>
  <c r="D26" i="1984"/>
  <c r="R25" i="1984"/>
  <c r="L25" i="1984"/>
  <c r="D25" i="1984"/>
  <c r="R24" i="1984"/>
  <c r="L24" i="1984"/>
  <c r="D24" i="1984" s="1"/>
  <c r="R23" i="1984"/>
  <c r="L23" i="1984"/>
  <c r="D23" i="1984" s="1"/>
  <c r="R22" i="1984"/>
  <c r="L22" i="1984"/>
  <c r="D22" i="1984"/>
  <c r="R21" i="1984"/>
  <c r="L17" i="1984" s="1"/>
  <c r="D17" i="1984" s="1"/>
  <c r="L21" i="1984"/>
  <c r="D21" i="1984"/>
  <c r="R20" i="1984"/>
  <c r="L20" i="1984"/>
  <c r="D20" i="1984" s="1"/>
  <c r="R19" i="1984"/>
  <c r="R18" i="1984"/>
  <c r="R17" i="1984"/>
  <c r="R16" i="1984"/>
  <c r="L16" i="1984"/>
  <c r="D16" i="1984" s="1"/>
  <c r="R15" i="1984"/>
  <c r="L15" i="1984"/>
  <c r="D15" i="1984" s="1"/>
  <c r="R14" i="1984"/>
  <c r="D14" i="1984"/>
  <c r="R13" i="1984"/>
  <c r="D13" i="1984"/>
  <c r="R12" i="1984"/>
  <c r="R11" i="1984"/>
  <c r="L11" i="1984"/>
  <c r="D11" i="1984" s="1"/>
  <c r="L10" i="1984"/>
  <c r="D10" i="1984"/>
  <c r="L9" i="1984"/>
  <c r="D9" i="1984" s="1"/>
  <c r="L7" i="1984"/>
  <c r="D7" i="1984" s="1"/>
  <c r="R6" i="1984"/>
  <c r="L6" i="1984"/>
  <c r="D6" i="1984" s="1"/>
  <c r="R5" i="1984"/>
  <c r="R4" i="1984"/>
  <c r="R52" i="1983"/>
  <c r="R51" i="1983"/>
  <c r="D50" i="1983"/>
  <c r="R49" i="1983"/>
  <c r="D49" i="1983"/>
  <c r="R48" i="1983"/>
  <c r="D48" i="1983"/>
  <c r="D46" i="1983"/>
  <c r="D45" i="1983"/>
  <c r="R44" i="1983"/>
  <c r="D44" i="1983"/>
  <c r="R42" i="1983"/>
  <c r="L6" i="1983" s="1"/>
  <c r="D6" i="1983" s="1"/>
  <c r="D42" i="1983"/>
  <c r="R41" i="1983"/>
  <c r="D41" i="1983"/>
  <c r="R40" i="1983"/>
  <c r="D40" i="1983"/>
  <c r="R39" i="1983"/>
  <c r="H39" i="1983"/>
  <c r="D39" i="1983"/>
  <c r="R38" i="1983"/>
  <c r="H38" i="1983"/>
  <c r="D38" i="1983"/>
  <c r="R37" i="1983"/>
  <c r="H37" i="1983"/>
  <c r="D37" i="1983"/>
  <c r="R36" i="1983"/>
  <c r="L10" i="1983" s="1"/>
  <c r="D10" i="1983" s="1"/>
  <c r="H36" i="1983"/>
  <c r="D36" i="1983"/>
  <c r="R35" i="1983"/>
  <c r="H35" i="1983"/>
  <c r="D35" i="1983"/>
  <c r="R34" i="1983"/>
  <c r="H34" i="1983"/>
  <c r="D34" i="1983"/>
  <c r="R33" i="1983"/>
  <c r="L19" i="1983" s="1"/>
  <c r="D19" i="1983" s="1"/>
  <c r="R32" i="1983"/>
  <c r="L11" i="1983" s="1"/>
  <c r="D11" i="1983" s="1"/>
  <c r="R31" i="1983"/>
  <c r="R30" i="1983"/>
  <c r="R29" i="1983"/>
  <c r="R28" i="1983"/>
  <c r="L28" i="1983"/>
  <c r="D28" i="1983"/>
  <c r="R27" i="1983"/>
  <c r="L27" i="1983"/>
  <c r="D27" i="1983"/>
  <c r="R26" i="1983"/>
  <c r="L26" i="1983"/>
  <c r="D26" i="1983" s="1"/>
  <c r="R25" i="1983"/>
  <c r="L25" i="1983"/>
  <c r="D25" i="1983" s="1"/>
  <c r="R24" i="1983"/>
  <c r="L24" i="1983"/>
  <c r="D24" i="1983" s="1"/>
  <c r="R23" i="1983"/>
  <c r="L23" i="1983"/>
  <c r="D23" i="1983"/>
  <c r="R22" i="1983"/>
  <c r="L20" i="1983" s="1"/>
  <c r="D20" i="1983" s="1"/>
  <c r="L22" i="1983"/>
  <c r="D22" i="1983"/>
  <c r="R21" i="1983"/>
  <c r="L21" i="1983"/>
  <c r="D21" i="1983"/>
  <c r="R20" i="1983"/>
  <c r="R19" i="1983"/>
  <c r="R18" i="1983"/>
  <c r="L18" i="1983"/>
  <c r="D18" i="1983"/>
  <c r="R17" i="1983"/>
  <c r="L17" i="1983"/>
  <c r="D17" i="1983" s="1"/>
  <c r="R16" i="1983"/>
  <c r="R15" i="1983"/>
  <c r="L15" i="1983"/>
  <c r="D15" i="1983"/>
  <c r="R14" i="1983"/>
  <c r="D14" i="1983"/>
  <c r="R13" i="1983"/>
  <c r="D13" i="1983"/>
  <c r="R12" i="1983"/>
  <c r="L12" i="1983"/>
  <c r="D12" i="1983" s="1"/>
  <c r="R11" i="1983"/>
  <c r="L9" i="1983"/>
  <c r="D9" i="1983"/>
  <c r="L8" i="1983"/>
  <c r="D8" i="1983" s="1"/>
  <c r="L7" i="1983"/>
  <c r="D7" i="1983" s="1"/>
  <c r="R6" i="1983"/>
  <c r="L16" i="1983" s="1"/>
  <c r="D16" i="1983" s="1"/>
  <c r="R5" i="1983"/>
  <c r="R4" i="1983"/>
  <c r="R52" i="1982"/>
  <c r="R51" i="1982"/>
  <c r="D50" i="1982"/>
  <c r="R49" i="1982"/>
  <c r="G49" i="1982"/>
  <c r="D49" i="1982"/>
  <c r="R48" i="1982"/>
  <c r="D48" i="1982"/>
  <c r="D46" i="1982"/>
  <c r="D45" i="1982"/>
  <c r="D44" i="1982"/>
  <c r="R42" i="1982"/>
  <c r="D42" i="1982"/>
  <c r="R41" i="1982"/>
  <c r="L7" i="1982" s="1"/>
  <c r="D7" i="1982" s="1"/>
  <c r="D41" i="1982"/>
  <c r="R40" i="1982"/>
  <c r="L8" i="1982" s="1"/>
  <c r="D8" i="1982" s="1"/>
  <c r="D40" i="1982"/>
  <c r="R39" i="1982"/>
  <c r="D39" i="1982"/>
  <c r="R38" i="1982"/>
  <c r="L9" i="1982" s="1"/>
  <c r="D9" i="1982" s="1"/>
  <c r="D38" i="1982"/>
  <c r="R37" i="1982"/>
  <c r="D37" i="1982"/>
  <c r="R36" i="1982"/>
  <c r="D36" i="1982"/>
  <c r="D54" i="1982" s="1"/>
  <c r="H14" i="1982" s="1"/>
  <c r="R35" i="1982"/>
  <c r="L19" i="1982" s="1"/>
  <c r="D19" i="1982" s="1"/>
  <c r="D35" i="1982"/>
  <c r="R34" i="1982"/>
  <c r="D34" i="1982"/>
  <c r="R33" i="1982"/>
  <c r="R32" i="1982"/>
  <c r="R31" i="1982"/>
  <c r="R30" i="1982"/>
  <c r="R29" i="1982"/>
  <c r="R28" i="1982"/>
  <c r="L16" i="1982" s="1"/>
  <c r="D16" i="1982" s="1"/>
  <c r="D28" i="1982"/>
  <c r="R27" i="1982"/>
  <c r="D27" i="1982"/>
  <c r="R26" i="1982"/>
  <c r="L26" i="1982"/>
  <c r="D26" i="1982"/>
  <c r="R25" i="1982"/>
  <c r="L25" i="1982"/>
  <c r="D25" i="1982"/>
  <c r="R24" i="1982"/>
  <c r="D24" i="1982"/>
  <c r="R23" i="1982"/>
  <c r="L23" i="1982"/>
  <c r="D23" i="1982"/>
  <c r="R22" i="1982"/>
  <c r="L22" i="1982"/>
  <c r="D22" i="1982"/>
  <c r="R21" i="1982"/>
  <c r="D21" i="1982"/>
  <c r="R20" i="1982"/>
  <c r="L20" i="1982"/>
  <c r="D20" i="1982"/>
  <c r="R19" i="1982"/>
  <c r="R18" i="1982"/>
  <c r="D18" i="1982"/>
  <c r="R17" i="1982"/>
  <c r="D17" i="1982"/>
  <c r="R16" i="1982"/>
  <c r="S15" i="1982"/>
  <c r="R15" i="1982"/>
  <c r="D15" i="1982"/>
  <c r="S14" i="1982"/>
  <c r="R14" i="1982"/>
  <c r="D14" i="1982"/>
  <c r="R13" i="1982"/>
  <c r="D13" i="1982"/>
  <c r="R12" i="1982"/>
  <c r="L12" i="1982"/>
  <c r="D12" i="1982"/>
  <c r="R11" i="1982"/>
  <c r="L11" i="1982"/>
  <c r="D11" i="1982"/>
  <c r="L10" i="1982"/>
  <c r="D10" i="1982" s="1"/>
  <c r="R6" i="1982"/>
  <c r="L6" i="1982"/>
  <c r="D6" i="1982"/>
  <c r="R5" i="1982"/>
  <c r="R4" i="1982"/>
  <c r="G51" i="1988" l="1"/>
  <c r="H15" i="1987"/>
  <c r="H29" i="1987" s="1"/>
  <c r="G51" i="1987" s="1"/>
  <c r="G49" i="1984"/>
  <c r="G49" i="1985"/>
  <c r="D54" i="1985"/>
  <c r="H14" i="1985" s="1"/>
  <c r="D54" i="1984"/>
  <c r="H14" i="1984" s="1"/>
  <c r="D54" i="1983"/>
  <c r="H14" i="1983" s="1"/>
  <c r="D29" i="1986"/>
  <c r="H13" i="1986" s="1"/>
  <c r="H15" i="1986" s="1"/>
  <c r="H29" i="1986" s="1"/>
  <c r="G51" i="1986" s="1"/>
  <c r="G49" i="1983"/>
  <c r="D29" i="1985"/>
  <c r="H13" i="1985" s="1"/>
  <c r="D29" i="1984"/>
  <c r="H13" i="1984" s="1"/>
  <c r="D29" i="1983"/>
  <c r="H13" i="1983" s="1"/>
  <c r="D29" i="1982"/>
  <c r="H13" i="1982" s="1"/>
  <c r="H15" i="1982" s="1"/>
  <c r="H29" i="1982" s="1"/>
  <c r="G51" i="1982" s="1"/>
  <c r="L26" i="1971"/>
  <c r="H15" i="1985" l="1"/>
  <c r="H29" i="1985" s="1"/>
  <c r="G51" i="1985" s="1"/>
  <c r="H15" i="1984"/>
  <c r="H29" i="1984" s="1"/>
  <c r="G51" i="1984" s="1"/>
  <c r="H15" i="1983"/>
  <c r="H29" i="1983" s="1"/>
  <c r="G51" i="1983" s="1"/>
  <c r="C18" i="1971"/>
  <c r="L27" i="1971"/>
  <c r="C15" i="1976" l="1"/>
  <c r="H16" i="1975" l="1"/>
  <c r="H16" i="1974" l="1"/>
  <c r="H16" i="1959"/>
  <c r="L27" i="1974"/>
  <c r="C12" i="1974"/>
  <c r="C16" i="1974"/>
  <c r="C16" i="1960"/>
  <c r="H16" i="1957" l="1"/>
  <c r="H16" i="1956"/>
  <c r="H16" i="1955"/>
  <c r="C12" i="1955"/>
  <c r="R52" i="1981"/>
  <c r="R51" i="1981"/>
  <c r="D50" i="1981"/>
  <c r="R49" i="1981"/>
  <c r="D49" i="1981"/>
  <c r="R48" i="1981"/>
  <c r="D48" i="1981"/>
  <c r="D46" i="1981"/>
  <c r="D45" i="1981"/>
  <c r="R44" i="1981"/>
  <c r="D44" i="1981"/>
  <c r="R42" i="1981"/>
  <c r="L6" i="1981" s="1"/>
  <c r="D6" i="1981" s="1"/>
  <c r="D42" i="1981"/>
  <c r="R41" i="1981"/>
  <c r="D41" i="1981"/>
  <c r="R40" i="1981"/>
  <c r="D40" i="1981"/>
  <c r="R39" i="1981"/>
  <c r="H39" i="1981"/>
  <c r="D39" i="1981"/>
  <c r="R38" i="1981"/>
  <c r="H38" i="1981"/>
  <c r="D38" i="1981"/>
  <c r="R37" i="1981"/>
  <c r="H37" i="1981"/>
  <c r="D37" i="1981"/>
  <c r="R36" i="1981"/>
  <c r="L10" i="1981" s="1"/>
  <c r="D10" i="1981" s="1"/>
  <c r="H36" i="1981"/>
  <c r="D36" i="1981"/>
  <c r="R35" i="1981"/>
  <c r="H35" i="1981"/>
  <c r="D35" i="1981"/>
  <c r="R34" i="1981"/>
  <c r="H34" i="1981"/>
  <c r="G49" i="1981" s="1"/>
  <c r="D34" i="1981"/>
  <c r="D54" i="1981" s="1"/>
  <c r="H14" i="1981" s="1"/>
  <c r="R33" i="1981"/>
  <c r="R32" i="1981"/>
  <c r="L11" i="1981" s="1"/>
  <c r="D11" i="1981" s="1"/>
  <c r="R31" i="1981"/>
  <c r="R30" i="1981"/>
  <c r="R29" i="1981"/>
  <c r="R28" i="1981"/>
  <c r="L28" i="1981"/>
  <c r="D28" i="1981"/>
  <c r="R27" i="1981"/>
  <c r="L27" i="1981"/>
  <c r="D27" i="1981" s="1"/>
  <c r="R26" i="1981"/>
  <c r="L26" i="1981"/>
  <c r="D26" i="1981" s="1"/>
  <c r="R25" i="1981"/>
  <c r="L25" i="1981"/>
  <c r="D25" i="1981" s="1"/>
  <c r="R24" i="1981"/>
  <c r="L24" i="1981"/>
  <c r="D24" i="1981" s="1"/>
  <c r="R23" i="1981"/>
  <c r="L23" i="1981"/>
  <c r="D23" i="1981"/>
  <c r="R22" i="1981"/>
  <c r="L20" i="1981" s="1"/>
  <c r="D20" i="1981" s="1"/>
  <c r="L22" i="1981"/>
  <c r="D22" i="1981"/>
  <c r="R21" i="1981"/>
  <c r="L21" i="1981"/>
  <c r="D21" i="1981"/>
  <c r="R20" i="1981"/>
  <c r="R19" i="1981"/>
  <c r="L19" i="1981"/>
  <c r="D19" i="1981"/>
  <c r="R18" i="1981"/>
  <c r="L18" i="1981"/>
  <c r="D18" i="1981"/>
  <c r="R17" i="1981"/>
  <c r="L17" i="1981"/>
  <c r="D17" i="1981" s="1"/>
  <c r="R16" i="1981"/>
  <c r="R15" i="1981"/>
  <c r="L15" i="1981"/>
  <c r="D15" i="1981" s="1"/>
  <c r="R14" i="1981"/>
  <c r="D14" i="1981"/>
  <c r="R13" i="1981"/>
  <c r="D13" i="1981"/>
  <c r="R12" i="1981"/>
  <c r="L12" i="1981"/>
  <c r="D12" i="1981" s="1"/>
  <c r="R11" i="1981"/>
  <c r="L9" i="1981"/>
  <c r="D9" i="1981" s="1"/>
  <c r="L8" i="1981"/>
  <c r="D8" i="1981"/>
  <c r="L7" i="1981"/>
  <c r="D7" i="1981" s="1"/>
  <c r="R6" i="1981"/>
  <c r="L16" i="1981" s="1"/>
  <c r="D16" i="1981" s="1"/>
  <c r="R5" i="1981"/>
  <c r="R4" i="1981"/>
  <c r="R52" i="1980"/>
  <c r="R51" i="1980"/>
  <c r="D50" i="1980"/>
  <c r="R49" i="1980"/>
  <c r="D49" i="1980"/>
  <c r="R48" i="1980"/>
  <c r="D48" i="1980"/>
  <c r="D46" i="1980"/>
  <c r="D45" i="1980"/>
  <c r="R44" i="1980"/>
  <c r="L28" i="1980" s="1"/>
  <c r="D28" i="1980" s="1"/>
  <c r="D44" i="1980"/>
  <c r="R42" i="1980"/>
  <c r="L6" i="1980" s="1"/>
  <c r="D6" i="1980" s="1"/>
  <c r="D42" i="1980"/>
  <c r="R41" i="1980"/>
  <c r="D41" i="1980"/>
  <c r="R40" i="1980"/>
  <c r="L8" i="1980" s="1"/>
  <c r="D8" i="1980" s="1"/>
  <c r="D40" i="1980"/>
  <c r="R39" i="1980"/>
  <c r="H39" i="1980"/>
  <c r="D39" i="1980"/>
  <c r="R38" i="1980"/>
  <c r="L9" i="1980" s="1"/>
  <c r="D9" i="1980" s="1"/>
  <c r="H38" i="1980"/>
  <c r="D38" i="1980"/>
  <c r="R37" i="1980"/>
  <c r="H37" i="1980"/>
  <c r="D37" i="1980"/>
  <c r="R36" i="1980"/>
  <c r="H36" i="1980"/>
  <c r="D36" i="1980"/>
  <c r="R35" i="1980"/>
  <c r="H35" i="1980"/>
  <c r="D35" i="1980"/>
  <c r="R34" i="1980"/>
  <c r="H34" i="1980"/>
  <c r="G49" i="1980" s="1"/>
  <c r="D34" i="1980"/>
  <c r="D54" i="1980" s="1"/>
  <c r="H14" i="1980" s="1"/>
  <c r="R33" i="1980"/>
  <c r="R32" i="1980"/>
  <c r="R31" i="1980"/>
  <c r="R30" i="1980"/>
  <c r="R29" i="1980"/>
  <c r="R28" i="1980"/>
  <c r="R27" i="1980"/>
  <c r="L27" i="1980"/>
  <c r="D27" i="1980"/>
  <c r="R26" i="1980"/>
  <c r="L26" i="1980"/>
  <c r="D26" i="1980" s="1"/>
  <c r="R25" i="1980"/>
  <c r="L25" i="1980"/>
  <c r="D25" i="1980" s="1"/>
  <c r="R24" i="1980"/>
  <c r="L24" i="1980"/>
  <c r="D24" i="1980"/>
  <c r="R23" i="1980"/>
  <c r="L23" i="1980"/>
  <c r="D23" i="1980"/>
  <c r="R22" i="1980"/>
  <c r="L20" i="1980" s="1"/>
  <c r="D20" i="1980" s="1"/>
  <c r="L22" i="1980"/>
  <c r="D22" i="1980"/>
  <c r="R21" i="1980"/>
  <c r="L21" i="1980"/>
  <c r="D21" i="1980"/>
  <c r="R20" i="1980"/>
  <c r="R19" i="1980"/>
  <c r="L19" i="1980"/>
  <c r="D19" i="1980"/>
  <c r="R18" i="1980"/>
  <c r="L18" i="1980"/>
  <c r="D18" i="1980" s="1"/>
  <c r="R17" i="1980"/>
  <c r="L17" i="1980"/>
  <c r="D17" i="1980" s="1"/>
  <c r="R16" i="1980"/>
  <c r="R15" i="1980"/>
  <c r="L15" i="1980"/>
  <c r="D15" i="1980" s="1"/>
  <c r="R14" i="1980"/>
  <c r="D14" i="1980"/>
  <c r="R13" i="1980"/>
  <c r="D13" i="1980"/>
  <c r="R12" i="1980"/>
  <c r="L12" i="1980"/>
  <c r="D12" i="1980" s="1"/>
  <c r="R11" i="1980"/>
  <c r="L11" i="1980"/>
  <c r="D11" i="1980"/>
  <c r="L10" i="1980"/>
  <c r="D10" i="1980" s="1"/>
  <c r="L7" i="1980"/>
  <c r="D7" i="1980"/>
  <c r="R6" i="1980"/>
  <c r="L16" i="1980" s="1"/>
  <c r="D16" i="1980" s="1"/>
  <c r="R5" i="1980"/>
  <c r="R4" i="1980"/>
  <c r="R52" i="1979"/>
  <c r="R51" i="1979"/>
  <c r="D50" i="1979"/>
  <c r="R49" i="1979"/>
  <c r="D49" i="1979"/>
  <c r="R48" i="1979"/>
  <c r="D48" i="1979"/>
  <c r="D46" i="1979"/>
  <c r="D45" i="1979"/>
  <c r="R44" i="1979"/>
  <c r="L28" i="1979" s="1"/>
  <c r="D28" i="1979" s="1"/>
  <c r="D44" i="1979"/>
  <c r="R42" i="1979"/>
  <c r="D42" i="1979"/>
  <c r="R41" i="1979"/>
  <c r="L7" i="1979" s="1"/>
  <c r="D7" i="1979" s="1"/>
  <c r="D41" i="1979"/>
  <c r="R40" i="1979"/>
  <c r="L8" i="1979" s="1"/>
  <c r="D8" i="1979" s="1"/>
  <c r="D40" i="1979"/>
  <c r="R39" i="1979"/>
  <c r="H39" i="1979"/>
  <c r="D39" i="1979"/>
  <c r="R38" i="1979"/>
  <c r="H38" i="1979"/>
  <c r="D38" i="1979"/>
  <c r="R37" i="1979"/>
  <c r="H37" i="1979"/>
  <c r="D37" i="1979"/>
  <c r="R36" i="1979"/>
  <c r="H36" i="1979"/>
  <c r="D36" i="1979"/>
  <c r="R35" i="1979"/>
  <c r="H35" i="1979"/>
  <c r="D35" i="1979"/>
  <c r="R34" i="1979"/>
  <c r="L12" i="1979" s="1"/>
  <c r="D12" i="1979" s="1"/>
  <c r="H34" i="1979"/>
  <c r="G49" i="1979" s="1"/>
  <c r="D34" i="1979"/>
  <c r="D54" i="1979" s="1"/>
  <c r="H14" i="1979" s="1"/>
  <c r="R33" i="1979"/>
  <c r="L19" i="1979" s="1"/>
  <c r="D19" i="1979" s="1"/>
  <c r="R32" i="1979"/>
  <c r="R31" i="1979"/>
  <c r="R30" i="1979"/>
  <c r="R29" i="1979"/>
  <c r="R28" i="1979"/>
  <c r="R27" i="1979"/>
  <c r="L27" i="1979"/>
  <c r="D27" i="1979" s="1"/>
  <c r="R26" i="1979"/>
  <c r="L26" i="1979"/>
  <c r="D26" i="1979" s="1"/>
  <c r="R25" i="1979"/>
  <c r="L25" i="1979"/>
  <c r="D25" i="1979" s="1"/>
  <c r="R24" i="1979"/>
  <c r="L24" i="1979"/>
  <c r="D24" i="1979"/>
  <c r="R23" i="1979"/>
  <c r="L23" i="1979"/>
  <c r="D23" i="1979" s="1"/>
  <c r="R22" i="1979"/>
  <c r="L22" i="1979"/>
  <c r="D22" i="1979" s="1"/>
  <c r="R21" i="1979"/>
  <c r="L21" i="1979"/>
  <c r="D21" i="1979"/>
  <c r="R20" i="1979"/>
  <c r="L20" i="1979"/>
  <c r="D20" i="1979" s="1"/>
  <c r="R19" i="1979"/>
  <c r="R18" i="1979"/>
  <c r="L18" i="1979"/>
  <c r="D18" i="1979" s="1"/>
  <c r="R17" i="1979"/>
  <c r="L17" i="1979"/>
  <c r="D17" i="1979"/>
  <c r="R16" i="1979"/>
  <c r="R15" i="1979"/>
  <c r="R14" i="1979"/>
  <c r="D14" i="1979"/>
  <c r="R13" i="1979"/>
  <c r="D13" i="1979"/>
  <c r="R12" i="1979"/>
  <c r="R11" i="1979"/>
  <c r="L11" i="1979"/>
  <c r="D11" i="1979"/>
  <c r="L10" i="1979"/>
  <c r="D10" i="1979" s="1"/>
  <c r="L9" i="1979"/>
  <c r="D9" i="1979" s="1"/>
  <c r="R6" i="1979"/>
  <c r="L16" i="1979" s="1"/>
  <c r="D16" i="1979" s="1"/>
  <c r="L6" i="1979"/>
  <c r="D6" i="1979" s="1"/>
  <c r="D29" i="1979" s="1"/>
  <c r="H13" i="1979" s="1"/>
  <c r="H15" i="1979" s="1"/>
  <c r="H29" i="1979" s="1"/>
  <c r="R5" i="1979"/>
  <c r="R4" i="1979"/>
  <c r="L15" i="1979" s="1"/>
  <c r="D15" i="1979" s="1"/>
  <c r="R52" i="1978"/>
  <c r="R51" i="1978"/>
  <c r="D50" i="1978"/>
  <c r="R49" i="1978"/>
  <c r="G49" i="1978"/>
  <c r="D49" i="1978"/>
  <c r="R48" i="1978"/>
  <c r="D48" i="1978"/>
  <c r="D46" i="1978"/>
  <c r="D45" i="1978"/>
  <c r="D44" i="1978"/>
  <c r="R42" i="1978"/>
  <c r="L6" i="1978" s="1"/>
  <c r="D6" i="1978" s="1"/>
  <c r="D42" i="1978"/>
  <c r="R41" i="1978"/>
  <c r="L7" i="1978" s="1"/>
  <c r="D7" i="1978" s="1"/>
  <c r="D41" i="1978"/>
  <c r="R40" i="1978"/>
  <c r="D40" i="1978"/>
  <c r="R39" i="1978"/>
  <c r="D39" i="1978"/>
  <c r="R38" i="1978"/>
  <c r="D38" i="1978"/>
  <c r="R37" i="1978"/>
  <c r="D37" i="1978"/>
  <c r="R36" i="1978"/>
  <c r="D36" i="1978"/>
  <c r="R35" i="1978"/>
  <c r="D35" i="1978"/>
  <c r="R34" i="1978"/>
  <c r="L12" i="1978" s="1"/>
  <c r="D12" i="1978" s="1"/>
  <c r="D34" i="1978"/>
  <c r="D54" i="1978" s="1"/>
  <c r="H14" i="1978" s="1"/>
  <c r="R33" i="1978"/>
  <c r="L23" i="1978" s="1"/>
  <c r="D23" i="1978" s="1"/>
  <c r="R32" i="1978"/>
  <c r="R31" i="1978"/>
  <c r="R30" i="1978"/>
  <c r="R29" i="1978"/>
  <c r="R28" i="1978"/>
  <c r="L16" i="1978" s="1"/>
  <c r="D16" i="1978" s="1"/>
  <c r="D28" i="1978"/>
  <c r="R27" i="1978"/>
  <c r="D27" i="1978"/>
  <c r="R26" i="1978"/>
  <c r="L26" i="1978"/>
  <c r="D26" i="1978"/>
  <c r="R25" i="1978"/>
  <c r="L25" i="1978"/>
  <c r="D25" i="1978"/>
  <c r="R24" i="1978"/>
  <c r="D24" i="1978"/>
  <c r="R23" i="1978"/>
  <c r="R22" i="1978"/>
  <c r="L22" i="1978"/>
  <c r="D22" i="1978" s="1"/>
  <c r="R21" i="1978"/>
  <c r="D21" i="1978"/>
  <c r="R20" i="1978"/>
  <c r="L20" i="1978"/>
  <c r="D20" i="1978"/>
  <c r="R19" i="1978"/>
  <c r="L19" i="1978"/>
  <c r="D19" i="1978"/>
  <c r="R18" i="1978"/>
  <c r="D18" i="1978"/>
  <c r="R17" i="1978"/>
  <c r="D17" i="1978"/>
  <c r="R16" i="1978"/>
  <c r="S15" i="1978"/>
  <c r="R15" i="1978"/>
  <c r="D15" i="1978"/>
  <c r="S14" i="1978"/>
  <c r="R14" i="1978"/>
  <c r="D14" i="1978"/>
  <c r="R13" i="1978"/>
  <c r="D13" i="1978"/>
  <c r="R12" i="1978"/>
  <c r="R11" i="1978"/>
  <c r="L11" i="1978"/>
  <c r="D11" i="1978" s="1"/>
  <c r="L10" i="1978"/>
  <c r="D10" i="1978"/>
  <c r="L9" i="1978"/>
  <c r="D9" i="1978" s="1"/>
  <c r="L8" i="1978"/>
  <c r="D8" i="1978"/>
  <c r="R6" i="1978"/>
  <c r="R5" i="1978"/>
  <c r="R4" i="1978"/>
  <c r="R52" i="1977"/>
  <c r="R51" i="1977"/>
  <c r="D50" i="1977"/>
  <c r="R49" i="1977"/>
  <c r="D49" i="1977"/>
  <c r="R48" i="1977"/>
  <c r="D48" i="1977"/>
  <c r="D46" i="1977"/>
  <c r="D45" i="1977"/>
  <c r="R44" i="1977"/>
  <c r="D44" i="1977"/>
  <c r="R42" i="1977"/>
  <c r="L6" i="1977" s="1"/>
  <c r="D6" i="1977" s="1"/>
  <c r="D42" i="1977"/>
  <c r="R41" i="1977"/>
  <c r="D41" i="1977"/>
  <c r="R40" i="1977"/>
  <c r="L8" i="1977" s="1"/>
  <c r="D8" i="1977" s="1"/>
  <c r="D40" i="1977"/>
  <c r="R39" i="1977"/>
  <c r="H39" i="1977"/>
  <c r="D39" i="1977"/>
  <c r="R38" i="1977"/>
  <c r="L9" i="1977" s="1"/>
  <c r="D9" i="1977" s="1"/>
  <c r="H38" i="1977"/>
  <c r="D38" i="1977"/>
  <c r="R37" i="1977"/>
  <c r="H37" i="1977"/>
  <c r="D37" i="1977"/>
  <c r="R36" i="1977"/>
  <c r="H36" i="1977"/>
  <c r="D36" i="1977"/>
  <c r="R35" i="1977"/>
  <c r="H35" i="1977"/>
  <c r="D35" i="1977"/>
  <c r="R34" i="1977"/>
  <c r="L12" i="1977" s="1"/>
  <c r="D12" i="1977" s="1"/>
  <c r="H34" i="1977"/>
  <c r="G49" i="1977" s="1"/>
  <c r="D34" i="1977"/>
  <c r="D54" i="1977" s="1"/>
  <c r="H14" i="1977" s="1"/>
  <c r="R33" i="1977"/>
  <c r="R32" i="1977"/>
  <c r="R31" i="1977"/>
  <c r="R30" i="1977"/>
  <c r="R29" i="1977"/>
  <c r="R28" i="1977"/>
  <c r="L28" i="1977"/>
  <c r="D28" i="1977"/>
  <c r="R27" i="1977"/>
  <c r="L27" i="1977"/>
  <c r="D27" i="1977"/>
  <c r="R26" i="1977"/>
  <c r="L26" i="1977"/>
  <c r="D26" i="1977"/>
  <c r="R25" i="1977"/>
  <c r="L25" i="1977"/>
  <c r="D25" i="1977"/>
  <c r="R24" i="1977"/>
  <c r="L24" i="1977"/>
  <c r="D24" i="1977" s="1"/>
  <c r="R23" i="1977"/>
  <c r="L23" i="1977"/>
  <c r="D23" i="1977"/>
  <c r="R22" i="1977"/>
  <c r="L20" i="1977" s="1"/>
  <c r="D20" i="1977" s="1"/>
  <c r="L22" i="1977"/>
  <c r="D22" i="1977"/>
  <c r="R21" i="1977"/>
  <c r="L21" i="1977"/>
  <c r="D21" i="1977" s="1"/>
  <c r="R20" i="1977"/>
  <c r="R19" i="1977"/>
  <c r="L19" i="1977"/>
  <c r="D19" i="1977"/>
  <c r="R18" i="1977"/>
  <c r="L18" i="1977"/>
  <c r="D18" i="1977" s="1"/>
  <c r="R17" i="1977"/>
  <c r="L17" i="1977"/>
  <c r="D17" i="1977" s="1"/>
  <c r="R16" i="1977"/>
  <c r="L16" i="1977"/>
  <c r="D16" i="1977"/>
  <c r="R15" i="1977"/>
  <c r="L15" i="1977"/>
  <c r="D15" i="1977" s="1"/>
  <c r="R14" i="1977"/>
  <c r="D14" i="1977"/>
  <c r="R13" i="1977"/>
  <c r="D13" i="1977"/>
  <c r="R12" i="1977"/>
  <c r="R11" i="1977"/>
  <c r="L11" i="1977"/>
  <c r="D11" i="1977"/>
  <c r="L10" i="1977"/>
  <c r="D10" i="1977"/>
  <c r="L7" i="1977"/>
  <c r="D7" i="1977" s="1"/>
  <c r="R6" i="1977"/>
  <c r="R5" i="1977"/>
  <c r="R4" i="1977"/>
  <c r="R52" i="1976"/>
  <c r="R51" i="1976"/>
  <c r="D50" i="1976"/>
  <c r="R49" i="1976"/>
  <c r="D49" i="1976"/>
  <c r="R48" i="1976"/>
  <c r="D48" i="1976"/>
  <c r="D46" i="1976"/>
  <c r="D45" i="1976"/>
  <c r="R44" i="1976"/>
  <c r="D44" i="1976"/>
  <c r="R42" i="1976"/>
  <c r="L6" i="1976" s="1"/>
  <c r="D6" i="1976" s="1"/>
  <c r="D42" i="1976"/>
  <c r="R41" i="1976"/>
  <c r="D41" i="1976"/>
  <c r="R40" i="1976"/>
  <c r="D40" i="1976"/>
  <c r="R39" i="1976"/>
  <c r="H39" i="1976"/>
  <c r="D39" i="1976"/>
  <c r="R38" i="1976"/>
  <c r="L9" i="1976" s="1"/>
  <c r="D9" i="1976" s="1"/>
  <c r="H38" i="1976"/>
  <c r="D38" i="1976"/>
  <c r="R37" i="1976"/>
  <c r="H37" i="1976"/>
  <c r="D37" i="1976"/>
  <c r="R36" i="1976"/>
  <c r="L10" i="1976" s="1"/>
  <c r="D10" i="1976" s="1"/>
  <c r="H36" i="1976"/>
  <c r="D36" i="1976"/>
  <c r="R35" i="1976"/>
  <c r="H35" i="1976"/>
  <c r="D35" i="1976"/>
  <c r="R34" i="1976"/>
  <c r="H34" i="1976"/>
  <c r="D34" i="1976"/>
  <c r="R33" i="1976"/>
  <c r="R32" i="1976"/>
  <c r="L11" i="1976" s="1"/>
  <c r="D11" i="1976" s="1"/>
  <c r="R31" i="1976"/>
  <c r="R30" i="1976"/>
  <c r="R29" i="1976"/>
  <c r="R28" i="1976"/>
  <c r="L28" i="1976"/>
  <c r="D28" i="1976"/>
  <c r="R27" i="1976"/>
  <c r="L27" i="1976"/>
  <c r="D27" i="1976" s="1"/>
  <c r="R26" i="1976"/>
  <c r="L26" i="1976"/>
  <c r="D26" i="1976"/>
  <c r="R25" i="1976"/>
  <c r="L25" i="1976"/>
  <c r="D25" i="1976" s="1"/>
  <c r="R24" i="1976"/>
  <c r="L24" i="1976"/>
  <c r="D24" i="1976" s="1"/>
  <c r="R23" i="1976"/>
  <c r="L23" i="1976"/>
  <c r="D23" i="1976"/>
  <c r="R22" i="1976"/>
  <c r="L20" i="1976" s="1"/>
  <c r="D20" i="1976" s="1"/>
  <c r="L22" i="1976"/>
  <c r="D22" i="1976"/>
  <c r="R21" i="1976"/>
  <c r="L21" i="1976"/>
  <c r="D21" i="1976" s="1"/>
  <c r="R20" i="1976"/>
  <c r="R19" i="1976"/>
  <c r="L19" i="1976"/>
  <c r="D19" i="1976" s="1"/>
  <c r="R18" i="1976"/>
  <c r="L18" i="1976"/>
  <c r="D18" i="1976" s="1"/>
  <c r="R17" i="1976"/>
  <c r="L17" i="1976"/>
  <c r="D17" i="1976" s="1"/>
  <c r="R16" i="1976"/>
  <c r="R15" i="1976"/>
  <c r="L15" i="1976"/>
  <c r="D15" i="1976"/>
  <c r="R14" i="1976"/>
  <c r="D14" i="1976"/>
  <c r="R13" i="1976"/>
  <c r="D13" i="1976"/>
  <c r="R12" i="1976"/>
  <c r="L12" i="1976"/>
  <c r="D12" i="1976" s="1"/>
  <c r="R11" i="1976"/>
  <c r="L8" i="1976"/>
  <c r="D8" i="1976"/>
  <c r="L7" i="1976"/>
  <c r="D7" i="1976" s="1"/>
  <c r="R6" i="1976"/>
  <c r="L16" i="1976" s="1"/>
  <c r="D16" i="1976" s="1"/>
  <c r="R5" i="1976"/>
  <c r="R4" i="1976"/>
  <c r="R52" i="1975"/>
  <c r="R51" i="1975"/>
  <c r="D50" i="1975"/>
  <c r="R49" i="1975"/>
  <c r="D49" i="1975"/>
  <c r="R48" i="1975"/>
  <c r="D48" i="1975"/>
  <c r="D46" i="1975"/>
  <c r="D45" i="1975"/>
  <c r="R44" i="1975"/>
  <c r="L28" i="1975" s="1"/>
  <c r="D28" i="1975" s="1"/>
  <c r="D44" i="1975"/>
  <c r="R42" i="1975"/>
  <c r="L6" i="1975" s="1"/>
  <c r="D6" i="1975" s="1"/>
  <c r="D42" i="1975"/>
  <c r="R41" i="1975"/>
  <c r="D41" i="1975"/>
  <c r="R40" i="1975"/>
  <c r="D40" i="1975"/>
  <c r="R39" i="1975"/>
  <c r="H39" i="1975"/>
  <c r="D39" i="1975"/>
  <c r="R38" i="1975"/>
  <c r="L9" i="1975" s="1"/>
  <c r="D9" i="1975" s="1"/>
  <c r="H38" i="1975"/>
  <c r="D38" i="1975"/>
  <c r="R37" i="1975"/>
  <c r="H37" i="1975"/>
  <c r="D37" i="1975"/>
  <c r="R36" i="1975"/>
  <c r="H36" i="1975"/>
  <c r="D36" i="1975"/>
  <c r="R35" i="1975"/>
  <c r="H35" i="1975"/>
  <c r="D35" i="1975"/>
  <c r="R34" i="1975"/>
  <c r="H34" i="1975"/>
  <c r="D34" i="1975"/>
  <c r="R33" i="1975"/>
  <c r="R32" i="1975"/>
  <c r="L11" i="1975" s="1"/>
  <c r="D11" i="1975" s="1"/>
  <c r="R31" i="1975"/>
  <c r="R30" i="1975"/>
  <c r="R29" i="1975"/>
  <c r="R28" i="1975"/>
  <c r="R27" i="1975"/>
  <c r="L27" i="1975"/>
  <c r="D27" i="1975" s="1"/>
  <c r="R26" i="1975"/>
  <c r="L26" i="1975"/>
  <c r="D26" i="1975" s="1"/>
  <c r="R25" i="1975"/>
  <c r="L25" i="1975"/>
  <c r="D25" i="1975"/>
  <c r="R24" i="1975"/>
  <c r="L24" i="1975"/>
  <c r="D24" i="1975"/>
  <c r="R23" i="1975"/>
  <c r="L23" i="1975"/>
  <c r="D23" i="1975"/>
  <c r="R22" i="1975"/>
  <c r="L20" i="1975" s="1"/>
  <c r="D20" i="1975" s="1"/>
  <c r="L22" i="1975"/>
  <c r="D22" i="1975"/>
  <c r="R21" i="1975"/>
  <c r="L21" i="1975"/>
  <c r="D21" i="1975"/>
  <c r="R20" i="1975"/>
  <c r="R19" i="1975"/>
  <c r="L19" i="1975"/>
  <c r="D19" i="1975" s="1"/>
  <c r="R18" i="1975"/>
  <c r="L18" i="1975"/>
  <c r="D18" i="1975" s="1"/>
  <c r="R17" i="1975"/>
  <c r="L17" i="1975"/>
  <c r="D17" i="1975" s="1"/>
  <c r="R16" i="1975"/>
  <c r="R15" i="1975"/>
  <c r="L15" i="1975"/>
  <c r="D15" i="1975"/>
  <c r="R14" i="1975"/>
  <c r="D14" i="1975"/>
  <c r="R13" i="1975"/>
  <c r="D13" i="1975"/>
  <c r="R12" i="1975"/>
  <c r="L12" i="1975"/>
  <c r="D12" i="1975" s="1"/>
  <c r="R11" i="1975"/>
  <c r="L10" i="1975"/>
  <c r="D10" i="1975" s="1"/>
  <c r="L8" i="1975"/>
  <c r="D8" i="1975"/>
  <c r="L7" i="1975"/>
  <c r="D7" i="1975"/>
  <c r="R6" i="1975"/>
  <c r="L16" i="1975" s="1"/>
  <c r="D16" i="1975" s="1"/>
  <c r="R5" i="1975"/>
  <c r="R4" i="1975"/>
  <c r="R52" i="1974"/>
  <c r="R51" i="1974"/>
  <c r="D50" i="1974"/>
  <c r="R49" i="1974"/>
  <c r="D49" i="1974"/>
  <c r="R48" i="1974"/>
  <c r="D48" i="1974"/>
  <c r="D46" i="1974"/>
  <c r="D45" i="1974"/>
  <c r="R44" i="1974"/>
  <c r="D44" i="1974"/>
  <c r="R42" i="1974"/>
  <c r="D42" i="1974"/>
  <c r="R41" i="1974"/>
  <c r="L7" i="1974" s="1"/>
  <c r="D7" i="1974" s="1"/>
  <c r="D41" i="1974"/>
  <c r="R40" i="1974"/>
  <c r="D40" i="1974"/>
  <c r="R39" i="1974"/>
  <c r="H39" i="1974"/>
  <c r="D39" i="1974"/>
  <c r="R38" i="1974"/>
  <c r="L9" i="1974" s="1"/>
  <c r="D9" i="1974" s="1"/>
  <c r="H38" i="1974"/>
  <c r="D38" i="1974"/>
  <c r="R37" i="1974"/>
  <c r="H37" i="1974"/>
  <c r="D37" i="1974"/>
  <c r="R36" i="1974"/>
  <c r="H36" i="1974"/>
  <c r="D36" i="1974"/>
  <c r="R35" i="1974"/>
  <c r="L18" i="1974" s="1"/>
  <c r="D18" i="1974" s="1"/>
  <c r="H35" i="1974"/>
  <c r="D35" i="1974"/>
  <c r="R34" i="1974"/>
  <c r="H34" i="1974"/>
  <c r="D34" i="1974"/>
  <c r="R33" i="1974"/>
  <c r="R32" i="1974"/>
  <c r="R31" i="1974"/>
  <c r="R30" i="1974"/>
  <c r="R29" i="1974"/>
  <c r="R28" i="1974"/>
  <c r="L28" i="1974"/>
  <c r="D28" i="1974"/>
  <c r="R27" i="1974"/>
  <c r="D27" i="1974"/>
  <c r="R26" i="1974"/>
  <c r="L26" i="1974"/>
  <c r="D26" i="1974"/>
  <c r="R25" i="1974"/>
  <c r="L25" i="1974"/>
  <c r="D25" i="1974"/>
  <c r="R24" i="1974"/>
  <c r="L24" i="1974"/>
  <c r="D24" i="1974"/>
  <c r="R23" i="1974"/>
  <c r="L23" i="1974"/>
  <c r="D23" i="1974"/>
  <c r="R22" i="1974"/>
  <c r="L20" i="1974" s="1"/>
  <c r="D20" i="1974" s="1"/>
  <c r="L22" i="1974"/>
  <c r="D22" i="1974" s="1"/>
  <c r="R21" i="1974"/>
  <c r="L17" i="1974" s="1"/>
  <c r="D17" i="1974" s="1"/>
  <c r="L21" i="1974"/>
  <c r="D21" i="1974"/>
  <c r="R20" i="1974"/>
  <c r="R19" i="1974"/>
  <c r="L19" i="1974"/>
  <c r="D19" i="1974"/>
  <c r="R18" i="1974"/>
  <c r="R17" i="1974"/>
  <c r="R16" i="1974"/>
  <c r="L16" i="1974"/>
  <c r="D16" i="1974" s="1"/>
  <c r="R15" i="1974"/>
  <c r="L15" i="1974"/>
  <c r="D15" i="1974" s="1"/>
  <c r="R14" i="1974"/>
  <c r="D14" i="1974"/>
  <c r="R13" i="1974"/>
  <c r="D13" i="1974"/>
  <c r="R12" i="1974"/>
  <c r="L12" i="1974"/>
  <c r="D12" i="1974"/>
  <c r="R11" i="1974"/>
  <c r="L11" i="1974"/>
  <c r="D11" i="1974" s="1"/>
  <c r="L10" i="1974"/>
  <c r="D10" i="1974"/>
  <c r="L8" i="1974"/>
  <c r="D8" i="1974" s="1"/>
  <c r="R6" i="1974"/>
  <c r="L6" i="1974"/>
  <c r="D6" i="1974" s="1"/>
  <c r="R5" i="1974"/>
  <c r="R4" i="1974"/>
  <c r="R52" i="1972"/>
  <c r="R51" i="1972"/>
  <c r="D50" i="1972"/>
  <c r="R49" i="1972"/>
  <c r="D49" i="1972"/>
  <c r="R48" i="1972"/>
  <c r="D48" i="1972"/>
  <c r="D46" i="1972"/>
  <c r="D45" i="1972"/>
  <c r="R44" i="1972"/>
  <c r="D44" i="1972"/>
  <c r="R42" i="1972"/>
  <c r="D42" i="1972"/>
  <c r="R41" i="1972"/>
  <c r="D41" i="1972"/>
  <c r="R40" i="1972"/>
  <c r="L8" i="1972" s="1"/>
  <c r="D8" i="1972" s="1"/>
  <c r="D40" i="1972"/>
  <c r="R39" i="1972"/>
  <c r="H39" i="1972"/>
  <c r="D39" i="1972"/>
  <c r="R38" i="1972"/>
  <c r="H38" i="1972"/>
  <c r="D38" i="1972"/>
  <c r="R37" i="1972"/>
  <c r="H37" i="1972"/>
  <c r="D37" i="1972"/>
  <c r="R36" i="1972"/>
  <c r="H36" i="1972"/>
  <c r="D36" i="1972"/>
  <c r="R35" i="1972"/>
  <c r="H35" i="1972"/>
  <c r="D35" i="1972"/>
  <c r="R34" i="1972"/>
  <c r="L12" i="1972" s="1"/>
  <c r="D12" i="1972" s="1"/>
  <c r="H34" i="1972"/>
  <c r="D34" i="1972"/>
  <c r="R33" i="1972"/>
  <c r="L19" i="1972" s="1"/>
  <c r="D19" i="1972" s="1"/>
  <c r="R32" i="1972"/>
  <c r="R31" i="1972"/>
  <c r="R30" i="1972"/>
  <c r="R29" i="1972"/>
  <c r="R28" i="1972"/>
  <c r="L28" i="1972"/>
  <c r="D28" i="1972"/>
  <c r="R27" i="1972"/>
  <c r="L27" i="1972"/>
  <c r="D27" i="1972" s="1"/>
  <c r="R26" i="1972"/>
  <c r="L26" i="1972"/>
  <c r="D26" i="1972"/>
  <c r="R25" i="1972"/>
  <c r="L25" i="1972"/>
  <c r="D25" i="1972" s="1"/>
  <c r="R24" i="1972"/>
  <c r="L24" i="1972"/>
  <c r="D24" i="1972"/>
  <c r="R23" i="1972"/>
  <c r="L23" i="1972"/>
  <c r="D23" i="1972" s="1"/>
  <c r="R22" i="1972"/>
  <c r="L22" i="1972"/>
  <c r="D22" i="1972"/>
  <c r="R21" i="1972"/>
  <c r="L17" i="1972" s="1"/>
  <c r="D17" i="1972" s="1"/>
  <c r="L21" i="1972"/>
  <c r="D21" i="1972" s="1"/>
  <c r="R20" i="1972"/>
  <c r="L20" i="1972"/>
  <c r="D20" i="1972" s="1"/>
  <c r="R19" i="1972"/>
  <c r="R18" i="1972"/>
  <c r="L18" i="1972"/>
  <c r="D18" i="1972"/>
  <c r="R17" i="1972"/>
  <c r="R16" i="1972"/>
  <c r="L16" i="1972"/>
  <c r="D16" i="1972"/>
  <c r="R15" i="1972"/>
  <c r="L15" i="1972"/>
  <c r="D15" i="1972" s="1"/>
  <c r="R14" i="1972"/>
  <c r="D14" i="1972"/>
  <c r="R13" i="1972"/>
  <c r="D13" i="1972"/>
  <c r="R12" i="1972"/>
  <c r="R11" i="1972"/>
  <c r="L11" i="1972"/>
  <c r="D11" i="1972"/>
  <c r="L10" i="1972"/>
  <c r="D10" i="1972"/>
  <c r="L9" i="1972"/>
  <c r="D9" i="1972" s="1"/>
  <c r="L7" i="1972"/>
  <c r="D7" i="1972"/>
  <c r="R6" i="1972"/>
  <c r="L6" i="1972"/>
  <c r="D6" i="1972" s="1"/>
  <c r="R5" i="1972"/>
  <c r="R4" i="1972"/>
  <c r="R52" i="1971"/>
  <c r="R51" i="1971"/>
  <c r="D50" i="1971"/>
  <c r="R49" i="1971"/>
  <c r="D49" i="1971"/>
  <c r="R48" i="1971"/>
  <c r="D48" i="1971"/>
  <c r="D46" i="1971"/>
  <c r="D45" i="1971"/>
  <c r="R44" i="1971"/>
  <c r="L28" i="1971" s="1"/>
  <c r="D28" i="1971" s="1"/>
  <c r="D44" i="1971"/>
  <c r="R42" i="1971"/>
  <c r="D42" i="1971"/>
  <c r="R41" i="1971"/>
  <c r="D41" i="1971"/>
  <c r="R40" i="1971"/>
  <c r="L8" i="1971" s="1"/>
  <c r="D8" i="1971" s="1"/>
  <c r="D40" i="1971"/>
  <c r="R39" i="1971"/>
  <c r="H39" i="1971"/>
  <c r="D39" i="1971"/>
  <c r="R38" i="1971"/>
  <c r="H38" i="1971"/>
  <c r="D38" i="1971"/>
  <c r="R37" i="1971"/>
  <c r="H37" i="1971"/>
  <c r="D37" i="1971"/>
  <c r="R36" i="1971"/>
  <c r="L10" i="1971" s="1"/>
  <c r="D10" i="1971" s="1"/>
  <c r="H36" i="1971"/>
  <c r="D36" i="1971"/>
  <c r="R35" i="1971"/>
  <c r="L18" i="1971" s="1"/>
  <c r="D18" i="1971" s="1"/>
  <c r="H35" i="1971"/>
  <c r="D35" i="1971"/>
  <c r="R34" i="1971"/>
  <c r="H34" i="1971"/>
  <c r="D34" i="1971"/>
  <c r="R33" i="1971"/>
  <c r="R32" i="1971"/>
  <c r="R31" i="1971"/>
  <c r="R30" i="1971"/>
  <c r="R29" i="1971"/>
  <c r="R28" i="1971"/>
  <c r="R27" i="1971"/>
  <c r="D27" i="1971"/>
  <c r="R26" i="1971"/>
  <c r="D26" i="1971"/>
  <c r="R25" i="1971"/>
  <c r="L25" i="1971"/>
  <c r="D25" i="1971"/>
  <c r="R24" i="1971"/>
  <c r="L24" i="1971"/>
  <c r="D24" i="1971" s="1"/>
  <c r="R23" i="1971"/>
  <c r="L23" i="1971"/>
  <c r="D23" i="1971" s="1"/>
  <c r="R22" i="1971"/>
  <c r="L20" i="1971" s="1"/>
  <c r="D20" i="1971" s="1"/>
  <c r="L22" i="1971"/>
  <c r="D22" i="1971" s="1"/>
  <c r="R21" i="1971"/>
  <c r="L17" i="1971" s="1"/>
  <c r="D17" i="1971" s="1"/>
  <c r="L21" i="1971"/>
  <c r="D21" i="1971"/>
  <c r="R20" i="1971"/>
  <c r="R19" i="1971"/>
  <c r="L19" i="1971"/>
  <c r="D19" i="1971"/>
  <c r="R18" i="1971"/>
  <c r="R17" i="1971"/>
  <c r="R16" i="1971"/>
  <c r="L16" i="1971"/>
  <c r="D16" i="1971" s="1"/>
  <c r="R15" i="1971"/>
  <c r="R14" i="1971"/>
  <c r="D14" i="1971"/>
  <c r="R13" i="1971"/>
  <c r="D13" i="1971"/>
  <c r="R12" i="1971"/>
  <c r="L12" i="1971"/>
  <c r="D12" i="1971"/>
  <c r="R11" i="1971"/>
  <c r="L11" i="1971"/>
  <c r="D11" i="1971" s="1"/>
  <c r="L9" i="1971"/>
  <c r="D9" i="1971" s="1"/>
  <c r="L7" i="1971"/>
  <c r="D7" i="1971" s="1"/>
  <c r="R6" i="1971"/>
  <c r="L6" i="1971"/>
  <c r="D6" i="1971" s="1"/>
  <c r="R5" i="1971"/>
  <c r="R4" i="1971"/>
  <c r="L15" i="1971" s="1"/>
  <c r="D15" i="1971" s="1"/>
  <c r="R52" i="1970"/>
  <c r="R51" i="1970"/>
  <c r="D50" i="1970"/>
  <c r="R49" i="1970"/>
  <c r="G49" i="1970"/>
  <c r="D49" i="1970"/>
  <c r="R48" i="1970"/>
  <c r="D48" i="1970"/>
  <c r="D46" i="1970"/>
  <c r="D45" i="1970"/>
  <c r="D44" i="1970"/>
  <c r="R42" i="1970"/>
  <c r="L6" i="1970" s="1"/>
  <c r="D6" i="1970" s="1"/>
  <c r="D42" i="1970"/>
  <c r="R41" i="1970"/>
  <c r="L7" i="1970" s="1"/>
  <c r="D7" i="1970" s="1"/>
  <c r="D41" i="1970"/>
  <c r="R40" i="1970"/>
  <c r="D40" i="1970"/>
  <c r="R39" i="1970"/>
  <c r="D39" i="1970"/>
  <c r="R38" i="1970"/>
  <c r="L9" i="1970" s="1"/>
  <c r="D9" i="1970" s="1"/>
  <c r="D38" i="1970"/>
  <c r="R37" i="1970"/>
  <c r="D37" i="1970"/>
  <c r="R36" i="1970"/>
  <c r="L10" i="1970" s="1"/>
  <c r="D10" i="1970" s="1"/>
  <c r="D36" i="1970"/>
  <c r="R35" i="1970"/>
  <c r="D35" i="1970"/>
  <c r="R34" i="1970"/>
  <c r="L12" i="1970" s="1"/>
  <c r="D12" i="1970" s="1"/>
  <c r="D34" i="1970"/>
  <c r="D54" i="1970" s="1"/>
  <c r="H14" i="1970" s="1"/>
  <c r="R33" i="1970"/>
  <c r="L23" i="1970" s="1"/>
  <c r="D23" i="1970" s="1"/>
  <c r="R32" i="1970"/>
  <c r="R31" i="1970"/>
  <c r="R30" i="1970"/>
  <c r="R29" i="1970"/>
  <c r="R28" i="1970"/>
  <c r="D28" i="1970"/>
  <c r="R27" i="1970"/>
  <c r="D27" i="1970"/>
  <c r="R26" i="1970"/>
  <c r="L26" i="1970"/>
  <c r="D26" i="1970"/>
  <c r="R25" i="1970"/>
  <c r="L25" i="1970"/>
  <c r="D25" i="1970"/>
  <c r="R24" i="1970"/>
  <c r="D24" i="1970"/>
  <c r="R23" i="1970"/>
  <c r="R22" i="1970"/>
  <c r="L22" i="1970"/>
  <c r="D22" i="1970"/>
  <c r="R21" i="1970"/>
  <c r="D21" i="1970"/>
  <c r="R20" i="1970"/>
  <c r="L20" i="1970"/>
  <c r="D20" i="1970"/>
  <c r="R19" i="1970"/>
  <c r="L19" i="1970"/>
  <c r="D19" i="1970"/>
  <c r="R18" i="1970"/>
  <c r="D18" i="1970"/>
  <c r="R17" i="1970"/>
  <c r="D17" i="1970"/>
  <c r="R16" i="1970"/>
  <c r="L16" i="1970"/>
  <c r="D16" i="1970" s="1"/>
  <c r="S15" i="1970"/>
  <c r="R15" i="1970"/>
  <c r="D15" i="1970"/>
  <c r="S14" i="1970"/>
  <c r="R14" i="1970"/>
  <c r="D14" i="1970"/>
  <c r="R13" i="1970"/>
  <c r="D13" i="1970"/>
  <c r="R12" i="1970"/>
  <c r="R11" i="1970"/>
  <c r="L11" i="1970"/>
  <c r="D11" i="1970"/>
  <c r="L8" i="1970"/>
  <c r="D8" i="1970"/>
  <c r="R6" i="1970"/>
  <c r="R5" i="1970"/>
  <c r="R4" i="1970"/>
  <c r="R52" i="1968"/>
  <c r="R51" i="1968"/>
  <c r="D50" i="1968"/>
  <c r="R49" i="1968"/>
  <c r="D49" i="1968"/>
  <c r="R48" i="1968"/>
  <c r="D48" i="1968"/>
  <c r="D46" i="1968"/>
  <c r="D45" i="1968"/>
  <c r="R44" i="1968"/>
  <c r="D44" i="1968"/>
  <c r="R42" i="1968"/>
  <c r="D42" i="1968"/>
  <c r="R41" i="1968"/>
  <c r="D41" i="1968"/>
  <c r="R40" i="1968"/>
  <c r="L8" i="1968" s="1"/>
  <c r="D8" i="1968" s="1"/>
  <c r="D40" i="1968"/>
  <c r="R39" i="1968"/>
  <c r="H39" i="1968"/>
  <c r="D39" i="1968"/>
  <c r="R38" i="1968"/>
  <c r="H38" i="1968"/>
  <c r="D38" i="1968"/>
  <c r="R37" i="1968"/>
  <c r="H37" i="1968"/>
  <c r="D37" i="1968"/>
  <c r="R36" i="1968"/>
  <c r="H36" i="1968"/>
  <c r="D36" i="1968"/>
  <c r="R35" i="1968"/>
  <c r="L18" i="1968" s="1"/>
  <c r="D18" i="1968" s="1"/>
  <c r="H35" i="1968"/>
  <c r="D35" i="1968"/>
  <c r="R34" i="1968"/>
  <c r="L12" i="1968" s="1"/>
  <c r="D12" i="1968" s="1"/>
  <c r="H34" i="1968"/>
  <c r="D34" i="1968"/>
  <c r="R33" i="1968"/>
  <c r="L19" i="1968" s="1"/>
  <c r="D19" i="1968" s="1"/>
  <c r="R32" i="1968"/>
  <c r="R31" i="1968"/>
  <c r="R30" i="1968"/>
  <c r="R29" i="1968"/>
  <c r="R28" i="1968"/>
  <c r="L28" i="1968"/>
  <c r="D28" i="1968"/>
  <c r="R27" i="1968"/>
  <c r="L27" i="1968"/>
  <c r="D27" i="1968"/>
  <c r="R26" i="1968"/>
  <c r="L26" i="1968"/>
  <c r="D26" i="1968"/>
  <c r="R25" i="1968"/>
  <c r="L25" i="1968"/>
  <c r="D25" i="1968"/>
  <c r="R24" i="1968"/>
  <c r="L24" i="1968"/>
  <c r="D24" i="1968"/>
  <c r="R23" i="1968"/>
  <c r="L23" i="1968"/>
  <c r="D23" i="1968" s="1"/>
  <c r="R22" i="1968"/>
  <c r="L22" i="1968"/>
  <c r="D22" i="1968"/>
  <c r="R21" i="1968"/>
  <c r="L17" i="1968" s="1"/>
  <c r="D17" i="1968" s="1"/>
  <c r="L21" i="1968"/>
  <c r="D21" i="1968"/>
  <c r="R20" i="1968"/>
  <c r="L20" i="1968"/>
  <c r="D20" i="1968" s="1"/>
  <c r="R19" i="1968"/>
  <c r="R18" i="1968"/>
  <c r="R17" i="1968"/>
  <c r="R16" i="1968"/>
  <c r="L16" i="1968"/>
  <c r="D16" i="1968"/>
  <c r="R15" i="1968"/>
  <c r="L15" i="1968"/>
  <c r="D15" i="1968" s="1"/>
  <c r="R14" i="1968"/>
  <c r="D14" i="1968"/>
  <c r="R13" i="1968"/>
  <c r="D13" i="1968"/>
  <c r="R12" i="1968"/>
  <c r="R11" i="1968"/>
  <c r="L11" i="1968"/>
  <c r="D11" i="1968"/>
  <c r="L10" i="1968"/>
  <c r="D10" i="1968"/>
  <c r="L9" i="1968"/>
  <c r="D9" i="1968" s="1"/>
  <c r="L7" i="1968"/>
  <c r="D7" i="1968"/>
  <c r="R6" i="1968"/>
  <c r="L6" i="1968"/>
  <c r="D6" i="1968" s="1"/>
  <c r="R5" i="1968"/>
  <c r="R4" i="1968"/>
  <c r="R52" i="1967"/>
  <c r="R51" i="1967"/>
  <c r="D50" i="1967"/>
  <c r="R49" i="1967"/>
  <c r="D49" i="1967"/>
  <c r="R48" i="1967"/>
  <c r="D48" i="1967"/>
  <c r="D46" i="1967"/>
  <c r="D45" i="1967"/>
  <c r="R44" i="1967"/>
  <c r="D44" i="1967"/>
  <c r="R42" i="1967"/>
  <c r="L6" i="1967" s="1"/>
  <c r="D6" i="1967" s="1"/>
  <c r="D42" i="1967"/>
  <c r="R41" i="1967"/>
  <c r="L7" i="1967" s="1"/>
  <c r="D7" i="1967" s="1"/>
  <c r="D41" i="1967"/>
  <c r="R40" i="1967"/>
  <c r="D40" i="1967"/>
  <c r="R39" i="1967"/>
  <c r="H39" i="1967"/>
  <c r="D39" i="1967"/>
  <c r="R38" i="1967"/>
  <c r="H38" i="1967"/>
  <c r="D38" i="1967"/>
  <c r="R37" i="1967"/>
  <c r="H37" i="1967"/>
  <c r="D37" i="1967"/>
  <c r="R36" i="1967"/>
  <c r="H36" i="1967"/>
  <c r="D36" i="1967"/>
  <c r="R35" i="1967"/>
  <c r="L18" i="1967" s="1"/>
  <c r="D18" i="1967" s="1"/>
  <c r="H35" i="1967"/>
  <c r="D35" i="1967"/>
  <c r="R34" i="1967"/>
  <c r="H34" i="1967"/>
  <c r="D34" i="1967"/>
  <c r="R33" i="1967"/>
  <c r="L19" i="1967" s="1"/>
  <c r="D19" i="1967" s="1"/>
  <c r="R32" i="1967"/>
  <c r="L11" i="1967" s="1"/>
  <c r="D11" i="1967" s="1"/>
  <c r="R31" i="1967"/>
  <c r="R30" i="1967"/>
  <c r="R29" i="1967"/>
  <c r="R28" i="1967"/>
  <c r="L28" i="1967"/>
  <c r="D28" i="1967"/>
  <c r="R27" i="1967"/>
  <c r="L27" i="1967"/>
  <c r="D27" i="1967" s="1"/>
  <c r="R26" i="1967"/>
  <c r="L26" i="1967"/>
  <c r="D26" i="1967" s="1"/>
  <c r="R25" i="1967"/>
  <c r="L25" i="1967"/>
  <c r="D25" i="1967"/>
  <c r="R24" i="1967"/>
  <c r="L24" i="1967"/>
  <c r="D24" i="1967"/>
  <c r="R23" i="1967"/>
  <c r="L23" i="1967"/>
  <c r="D23" i="1967"/>
  <c r="R22" i="1967"/>
  <c r="L20" i="1967" s="1"/>
  <c r="D20" i="1967" s="1"/>
  <c r="L22" i="1967"/>
  <c r="D22" i="1967" s="1"/>
  <c r="R21" i="1967"/>
  <c r="L21" i="1967"/>
  <c r="D21" i="1967"/>
  <c r="R20" i="1967"/>
  <c r="R19" i="1967"/>
  <c r="R18" i="1967"/>
  <c r="R17" i="1967"/>
  <c r="L17" i="1967"/>
  <c r="D17" i="1967" s="1"/>
  <c r="R16" i="1967"/>
  <c r="R15" i="1967"/>
  <c r="R14" i="1967"/>
  <c r="D14" i="1967"/>
  <c r="R13" i="1967"/>
  <c r="D13" i="1967"/>
  <c r="R12" i="1967"/>
  <c r="L12" i="1967"/>
  <c r="D12" i="1967" s="1"/>
  <c r="R11" i="1967"/>
  <c r="L10" i="1967"/>
  <c r="D10" i="1967" s="1"/>
  <c r="L9" i="1967"/>
  <c r="D9" i="1967" s="1"/>
  <c r="L8" i="1967"/>
  <c r="D8" i="1967" s="1"/>
  <c r="R6" i="1967"/>
  <c r="L16" i="1967" s="1"/>
  <c r="D16" i="1967" s="1"/>
  <c r="R5" i="1967"/>
  <c r="R4" i="1967"/>
  <c r="L15" i="1967" s="1"/>
  <c r="D15" i="1967" s="1"/>
  <c r="R52" i="1966"/>
  <c r="R51" i="1966"/>
  <c r="D50" i="1966"/>
  <c r="R49" i="1966"/>
  <c r="G49" i="1966"/>
  <c r="D49" i="1966"/>
  <c r="R48" i="1966"/>
  <c r="D48" i="1966"/>
  <c r="D46" i="1966"/>
  <c r="D45" i="1966"/>
  <c r="D44" i="1966"/>
  <c r="R42" i="1966"/>
  <c r="L6" i="1966" s="1"/>
  <c r="D6" i="1966" s="1"/>
  <c r="D42" i="1966"/>
  <c r="R41" i="1966"/>
  <c r="L7" i="1966" s="1"/>
  <c r="D7" i="1966" s="1"/>
  <c r="D41" i="1966"/>
  <c r="R40" i="1966"/>
  <c r="D40" i="1966"/>
  <c r="R39" i="1966"/>
  <c r="D39" i="1966"/>
  <c r="R38" i="1966"/>
  <c r="D38" i="1966"/>
  <c r="R37" i="1966"/>
  <c r="D37" i="1966"/>
  <c r="R36" i="1966"/>
  <c r="D36" i="1966"/>
  <c r="R35" i="1966"/>
  <c r="D35" i="1966"/>
  <c r="R34" i="1966"/>
  <c r="L12" i="1966" s="1"/>
  <c r="D12" i="1966" s="1"/>
  <c r="D34" i="1966"/>
  <c r="D54" i="1966" s="1"/>
  <c r="H14" i="1966" s="1"/>
  <c r="R33" i="1966"/>
  <c r="L23" i="1966" s="1"/>
  <c r="D23" i="1966" s="1"/>
  <c r="R32" i="1966"/>
  <c r="R31" i="1966"/>
  <c r="R30" i="1966"/>
  <c r="R29" i="1966"/>
  <c r="R28" i="1966"/>
  <c r="L16" i="1966" s="1"/>
  <c r="D16" i="1966" s="1"/>
  <c r="D28" i="1966"/>
  <c r="R27" i="1966"/>
  <c r="D27" i="1966"/>
  <c r="R26" i="1966"/>
  <c r="L26" i="1966"/>
  <c r="D26" i="1966"/>
  <c r="R25" i="1966"/>
  <c r="L25" i="1966"/>
  <c r="D25" i="1966"/>
  <c r="R24" i="1966"/>
  <c r="D24" i="1966"/>
  <c r="R23" i="1966"/>
  <c r="R22" i="1966"/>
  <c r="L22" i="1966"/>
  <c r="D22" i="1966"/>
  <c r="R21" i="1966"/>
  <c r="D21" i="1966"/>
  <c r="R20" i="1966"/>
  <c r="L20" i="1966"/>
  <c r="D20" i="1966"/>
  <c r="R19" i="1966"/>
  <c r="L19" i="1966"/>
  <c r="D19" i="1966"/>
  <c r="R18" i="1966"/>
  <c r="D18" i="1966"/>
  <c r="R17" i="1966"/>
  <c r="D17" i="1966"/>
  <c r="R16" i="1966"/>
  <c r="S15" i="1966"/>
  <c r="R15" i="1966"/>
  <c r="D15" i="1966"/>
  <c r="S14" i="1966"/>
  <c r="R14" i="1966"/>
  <c r="D14" i="1966"/>
  <c r="R13" i="1966"/>
  <c r="D13" i="1966"/>
  <c r="R12" i="1966"/>
  <c r="R11" i="1966"/>
  <c r="L11" i="1966"/>
  <c r="D11" i="1966"/>
  <c r="L10" i="1966"/>
  <c r="D10" i="1966"/>
  <c r="L9" i="1966"/>
  <c r="D9" i="1966"/>
  <c r="L8" i="1966"/>
  <c r="D8" i="1966" s="1"/>
  <c r="R6" i="1966"/>
  <c r="R5" i="1966"/>
  <c r="R4" i="1966"/>
  <c r="R52" i="1964"/>
  <c r="R51" i="1964"/>
  <c r="D50" i="1964"/>
  <c r="R49" i="1964"/>
  <c r="D49" i="1964"/>
  <c r="R48" i="1964"/>
  <c r="D48" i="1964"/>
  <c r="D46" i="1964"/>
  <c r="D45" i="1964"/>
  <c r="R44" i="1964"/>
  <c r="L28" i="1964" s="1"/>
  <c r="D28" i="1964" s="1"/>
  <c r="D44" i="1964"/>
  <c r="R42" i="1964"/>
  <c r="D42" i="1964"/>
  <c r="R41" i="1964"/>
  <c r="D41" i="1964"/>
  <c r="R40" i="1964"/>
  <c r="L8" i="1964" s="1"/>
  <c r="D8" i="1964" s="1"/>
  <c r="D40" i="1964"/>
  <c r="R39" i="1964"/>
  <c r="H39" i="1964"/>
  <c r="D39" i="1964"/>
  <c r="R38" i="1964"/>
  <c r="L9" i="1964" s="1"/>
  <c r="D9" i="1964" s="1"/>
  <c r="H38" i="1964"/>
  <c r="D38" i="1964"/>
  <c r="R37" i="1964"/>
  <c r="H37" i="1964"/>
  <c r="D37" i="1964"/>
  <c r="R36" i="1964"/>
  <c r="L10" i="1964" s="1"/>
  <c r="D10" i="1964" s="1"/>
  <c r="H36" i="1964"/>
  <c r="D36" i="1964"/>
  <c r="R35" i="1964"/>
  <c r="H35" i="1964"/>
  <c r="D35" i="1964"/>
  <c r="R34" i="1964"/>
  <c r="L12" i="1964" s="1"/>
  <c r="D12" i="1964" s="1"/>
  <c r="H34" i="1964"/>
  <c r="D34" i="1964"/>
  <c r="R33" i="1964"/>
  <c r="R32" i="1964"/>
  <c r="R31" i="1964"/>
  <c r="R30" i="1964"/>
  <c r="R29" i="1964"/>
  <c r="R28" i="1964"/>
  <c r="R27" i="1964"/>
  <c r="L27" i="1964"/>
  <c r="D27" i="1964"/>
  <c r="R26" i="1964"/>
  <c r="L26" i="1964"/>
  <c r="D26" i="1964"/>
  <c r="R25" i="1964"/>
  <c r="L25" i="1964"/>
  <c r="D25" i="1964" s="1"/>
  <c r="R24" i="1964"/>
  <c r="L24" i="1964"/>
  <c r="D24" i="1964"/>
  <c r="R23" i="1964"/>
  <c r="L23" i="1964"/>
  <c r="D23" i="1964" s="1"/>
  <c r="R22" i="1964"/>
  <c r="L20" i="1964" s="1"/>
  <c r="D20" i="1964" s="1"/>
  <c r="L22" i="1964"/>
  <c r="D22" i="1964"/>
  <c r="R21" i="1964"/>
  <c r="L21" i="1964"/>
  <c r="D21" i="1964" s="1"/>
  <c r="R20" i="1964"/>
  <c r="R19" i="1964"/>
  <c r="L19" i="1964"/>
  <c r="D19" i="1964"/>
  <c r="R18" i="1964"/>
  <c r="L18" i="1964"/>
  <c r="D18" i="1964" s="1"/>
  <c r="R17" i="1964"/>
  <c r="L17" i="1964"/>
  <c r="D17" i="1964" s="1"/>
  <c r="R16" i="1964"/>
  <c r="R15" i="1964"/>
  <c r="L15" i="1964"/>
  <c r="D15" i="1964" s="1"/>
  <c r="R14" i="1964"/>
  <c r="D14" i="1964"/>
  <c r="R13" i="1964"/>
  <c r="D13" i="1964"/>
  <c r="R12" i="1964"/>
  <c r="R11" i="1964"/>
  <c r="L11" i="1964"/>
  <c r="D11" i="1964"/>
  <c r="L7" i="1964"/>
  <c r="D7" i="1964"/>
  <c r="R6" i="1964"/>
  <c r="L16" i="1964" s="1"/>
  <c r="D16" i="1964" s="1"/>
  <c r="L6" i="1964"/>
  <c r="D6" i="1964" s="1"/>
  <c r="R5" i="1964"/>
  <c r="R4" i="1964"/>
  <c r="R52" i="1963"/>
  <c r="R51" i="1963"/>
  <c r="D50" i="1963"/>
  <c r="R49" i="1963"/>
  <c r="D49" i="1963"/>
  <c r="R48" i="1963"/>
  <c r="D48" i="1963"/>
  <c r="D46" i="1963"/>
  <c r="D45" i="1963"/>
  <c r="R44" i="1963"/>
  <c r="L28" i="1963" s="1"/>
  <c r="D28" i="1963" s="1"/>
  <c r="D44" i="1963"/>
  <c r="R42" i="1963"/>
  <c r="D42" i="1963"/>
  <c r="R41" i="1963"/>
  <c r="D41" i="1963"/>
  <c r="R40" i="1963"/>
  <c r="L8" i="1963" s="1"/>
  <c r="D8" i="1963" s="1"/>
  <c r="D40" i="1963"/>
  <c r="R39" i="1963"/>
  <c r="H39" i="1963"/>
  <c r="D39" i="1963"/>
  <c r="R38" i="1963"/>
  <c r="L9" i="1963" s="1"/>
  <c r="D9" i="1963" s="1"/>
  <c r="H38" i="1963"/>
  <c r="D38" i="1963"/>
  <c r="R37" i="1963"/>
  <c r="H37" i="1963"/>
  <c r="D37" i="1963"/>
  <c r="R36" i="1963"/>
  <c r="L10" i="1963" s="1"/>
  <c r="D10" i="1963" s="1"/>
  <c r="H36" i="1963"/>
  <c r="D36" i="1963"/>
  <c r="R35" i="1963"/>
  <c r="H35" i="1963"/>
  <c r="D35" i="1963"/>
  <c r="R34" i="1963"/>
  <c r="H34" i="1963"/>
  <c r="G49" i="1963" s="1"/>
  <c r="D34" i="1963"/>
  <c r="R33" i="1963"/>
  <c r="R32" i="1963"/>
  <c r="L11" i="1963" s="1"/>
  <c r="D11" i="1963" s="1"/>
  <c r="R31" i="1963"/>
  <c r="R30" i="1963"/>
  <c r="R29" i="1963"/>
  <c r="R28" i="1963"/>
  <c r="R27" i="1963"/>
  <c r="L27" i="1963"/>
  <c r="D27" i="1963"/>
  <c r="R26" i="1963"/>
  <c r="L26" i="1963"/>
  <c r="D26" i="1963"/>
  <c r="R25" i="1963"/>
  <c r="L25" i="1963"/>
  <c r="D25" i="1963" s="1"/>
  <c r="R24" i="1963"/>
  <c r="L24" i="1963"/>
  <c r="D24" i="1963" s="1"/>
  <c r="R23" i="1963"/>
  <c r="L23" i="1963"/>
  <c r="D23" i="1963" s="1"/>
  <c r="R22" i="1963"/>
  <c r="L20" i="1963" s="1"/>
  <c r="D20" i="1963" s="1"/>
  <c r="L22" i="1963"/>
  <c r="D22" i="1963"/>
  <c r="R21" i="1963"/>
  <c r="L21" i="1963"/>
  <c r="D21" i="1963"/>
  <c r="R20" i="1963"/>
  <c r="R19" i="1963"/>
  <c r="L19" i="1963"/>
  <c r="D19" i="1963"/>
  <c r="R18" i="1963"/>
  <c r="L18" i="1963"/>
  <c r="D18" i="1963"/>
  <c r="R17" i="1963"/>
  <c r="L17" i="1963"/>
  <c r="D17" i="1963" s="1"/>
  <c r="R16" i="1963"/>
  <c r="R15" i="1963"/>
  <c r="L15" i="1963"/>
  <c r="D15" i="1963"/>
  <c r="R14" i="1963"/>
  <c r="D14" i="1963"/>
  <c r="R13" i="1963"/>
  <c r="D13" i="1963"/>
  <c r="R12" i="1963"/>
  <c r="L12" i="1963"/>
  <c r="D12" i="1963" s="1"/>
  <c r="R11" i="1963"/>
  <c r="L7" i="1963"/>
  <c r="D7" i="1963" s="1"/>
  <c r="R6" i="1963"/>
  <c r="L16" i="1963" s="1"/>
  <c r="D16" i="1963" s="1"/>
  <c r="L6" i="1963"/>
  <c r="D6" i="1963" s="1"/>
  <c r="R5" i="1963"/>
  <c r="R4" i="1963"/>
  <c r="R52" i="1962"/>
  <c r="R51" i="1962"/>
  <c r="D50" i="1962"/>
  <c r="R49" i="1962"/>
  <c r="G49" i="1962"/>
  <c r="D49" i="1962"/>
  <c r="R48" i="1962"/>
  <c r="D48" i="1962"/>
  <c r="D46" i="1962"/>
  <c r="D45" i="1962"/>
  <c r="D44" i="1962"/>
  <c r="R42" i="1962"/>
  <c r="L6" i="1962" s="1"/>
  <c r="D6" i="1962" s="1"/>
  <c r="D42" i="1962"/>
  <c r="R41" i="1962"/>
  <c r="L7" i="1962" s="1"/>
  <c r="D7" i="1962" s="1"/>
  <c r="D41" i="1962"/>
  <c r="R40" i="1962"/>
  <c r="D40" i="1962"/>
  <c r="R39" i="1962"/>
  <c r="D39" i="1962"/>
  <c r="R38" i="1962"/>
  <c r="L9" i="1962" s="1"/>
  <c r="D9" i="1962" s="1"/>
  <c r="D38" i="1962"/>
  <c r="R37" i="1962"/>
  <c r="D37" i="1962"/>
  <c r="D54" i="1962" s="1"/>
  <c r="H14" i="1962" s="1"/>
  <c r="R36" i="1962"/>
  <c r="D36" i="1962"/>
  <c r="R35" i="1962"/>
  <c r="D35" i="1962"/>
  <c r="R34" i="1962"/>
  <c r="L12" i="1962" s="1"/>
  <c r="D12" i="1962" s="1"/>
  <c r="D34" i="1962"/>
  <c r="R33" i="1962"/>
  <c r="L23" i="1962" s="1"/>
  <c r="D23" i="1962" s="1"/>
  <c r="R32" i="1962"/>
  <c r="R31" i="1962"/>
  <c r="R30" i="1962"/>
  <c r="R29" i="1962"/>
  <c r="R28" i="1962"/>
  <c r="L16" i="1962" s="1"/>
  <c r="D16" i="1962" s="1"/>
  <c r="D28" i="1962"/>
  <c r="R27" i="1962"/>
  <c r="D27" i="1962"/>
  <c r="R26" i="1962"/>
  <c r="L26" i="1962"/>
  <c r="D26" i="1962"/>
  <c r="R25" i="1962"/>
  <c r="L25" i="1962"/>
  <c r="D25" i="1962"/>
  <c r="R24" i="1962"/>
  <c r="D24" i="1962"/>
  <c r="R23" i="1962"/>
  <c r="R22" i="1962"/>
  <c r="L22" i="1962"/>
  <c r="D22" i="1962" s="1"/>
  <c r="R21" i="1962"/>
  <c r="D21" i="1962"/>
  <c r="R20" i="1962"/>
  <c r="L20" i="1962"/>
  <c r="D20" i="1962"/>
  <c r="R19" i="1962"/>
  <c r="L19" i="1962"/>
  <c r="D19" i="1962"/>
  <c r="R18" i="1962"/>
  <c r="D18" i="1962"/>
  <c r="R17" i="1962"/>
  <c r="D17" i="1962"/>
  <c r="R16" i="1962"/>
  <c r="S15" i="1962"/>
  <c r="R15" i="1962"/>
  <c r="D15" i="1962"/>
  <c r="S14" i="1962"/>
  <c r="R14" i="1962"/>
  <c r="D14" i="1962"/>
  <c r="R13" i="1962"/>
  <c r="D13" i="1962"/>
  <c r="R12" i="1962"/>
  <c r="R11" i="1962"/>
  <c r="L11" i="1962"/>
  <c r="D11" i="1962" s="1"/>
  <c r="L10" i="1962"/>
  <c r="D10" i="1962" s="1"/>
  <c r="L8" i="1962"/>
  <c r="D8" i="1962"/>
  <c r="R6" i="1962"/>
  <c r="R5" i="1962"/>
  <c r="R4" i="1962"/>
  <c r="R52" i="1960"/>
  <c r="R51" i="1960"/>
  <c r="D50" i="1960"/>
  <c r="R49" i="1960"/>
  <c r="D49" i="1960"/>
  <c r="R48" i="1960"/>
  <c r="D48" i="1960"/>
  <c r="D46" i="1960"/>
  <c r="D45" i="1960"/>
  <c r="R44" i="1960"/>
  <c r="L28" i="1960" s="1"/>
  <c r="D28" i="1960" s="1"/>
  <c r="D44" i="1960"/>
  <c r="R42" i="1960"/>
  <c r="D42" i="1960"/>
  <c r="R41" i="1960"/>
  <c r="D41" i="1960"/>
  <c r="R40" i="1960"/>
  <c r="L8" i="1960" s="1"/>
  <c r="D8" i="1960" s="1"/>
  <c r="D40" i="1960"/>
  <c r="R39" i="1960"/>
  <c r="H39" i="1960"/>
  <c r="D39" i="1960"/>
  <c r="R38" i="1960"/>
  <c r="L9" i="1960" s="1"/>
  <c r="D9" i="1960" s="1"/>
  <c r="H38" i="1960"/>
  <c r="D38" i="1960"/>
  <c r="R37" i="1960"/>
  <c r="H37" i="1960"/>
  <c r="D37" i="1960"/>
  <c r="R36" i="1960"/>
  <c r="L10" i="1960" s="1"/>
  <c r="D10" i="1960" s="1"/>
  <c r="H36" i="1960"/>
  <c r="D36" i="1960"/>
  <c r="R35" i="1960"/>
  <c r="H35" i="1960"/>
  <c r="D35" i="1960"/>
  <c r="R34" i="1960"/>
  <c r="H34" i="1960"/>
  <c r="D34" i="1960"/>
  <c r="R33" i="1960"/>
  <c r="R32" i="1960"/>
  <c r="L11" i="1960" s="1"/>
  <c r="D11" i="1960" s="1"/>
  <c r="R31" i="1960"/>
  <c r="R30" i="1960"/>
  <c r="R29" i="1960"/>
  <c r="R28" i="1960"/>
  <c r="R27" i="1960"/>
  <c r="L27" i="1960"/>
  <c r="D27" i="1960"/>
  <c r="R26" i="1960"/>
  <c r="L26" i="1960"/>
  <c r="D26" i="1960"/>
  <c r="R25" i="1960"/>
  <c r="L25" i="1960"/>
  <c r="D25" i="1960" s="1"/>
  <c r="R24" i="1960"/>
  <c r="L24" i="1960"/>
  <c r="D24" i="1960"/>
  <c r="R23" i="1960"/>
  <c r="L23" i="1960"/>
  <c r="D23" i="1960" s="1"/>
  <c r="R22" i="1960"/>
  <c r="L20" i="1960" s="1"/>
  <c r="D20" i="1960" s="1"/>
  <c r="L22" i="1960"/>
  <c r="D22" i="1960"/>
  <c r="R21" i="1960"/>
  <c r="L21" i="1960"/>
  <c r="D21" i="1960"/>
  <c r="R20" i="1960"/>
  <c r="R19" i="1960"/>
  <c r="L19" i="1960"/>
  <c r="D19" i="1960"/>
  <c r="R18" i="1960"/>
  <c r="L18" i="1960"/>
  <c r="D18" i="1960"/>
  <c r="R17" i="1960"/>
  <c r="L17" i="1960"/>
  <c r="D17" i="1960" s="1"/>
  <c r="R16" i="1960"/>
  <c r="R15" i="1960"/>
  <c r="L15" i="1960"/>
  <c r="D15" i="1960" s="1"/>
  <c r="R14" i="1960"/>
  <c r="D14" i="1960"/>
  <c r="R13" i="1960"/>
  <c r="D13" i="1960"/>
  <c r="R12" i="1960"/>
  <c r="L12" i="1960"/>
  <c r="D12" i="1960" s="1"/>
  <c r="R11" i="1960"/>
  <c r="L7" i="1960"/>
  <c r="D7" i="1960"/>
  <c r="R6" i="1960"/>
  <c r="L16" i="1960" s="1"/>
  <c r="D16" i="1960" s="1"/>
  <c r="L6" i="1960"/>
  <c r="D6" i="1960" s="1"/>
  <c r="R5" i="1960"/>
  <c r="R4" i="1960"/>
  <c r="R52" i="1959"/>
  <c r="R51" i="1959"/>
  <c r="D50" i="1959"/>
  <c r="R49" i="1959"/>
  <c r="D49" i="1959"/>
  <c r="R48" i="1959"/>
  <c r="D48" i="1959"/>
  <c r="D46" i="1959"/>
  <c r="D45" i="1959"/>
  <c r="R44" i="1959"/>
  <c r="L28" i="1959" s="1"/>
  <c r="D28" i="1959" s="1"/>
  <c r="D44" i="1959"/>
  <c r="R42" i="1959"/>
  <c r="D42" i="1959"/>
  <c r="R41" i="1959"/>
  <c r="L7" i="1959" s="1"/>
  <c r="D7" i="1959" s="1"/>
  <c r="D41" i="1959"/>
  <c r="R40" i="1959"/>
  <c r="L8" i="1959" s="1"/>
  <c r="D8" i="1959" s="1"/>
  <c r="D40" i="1959"/>
  <c r="R39" i="1959"/>
  <c r="H39" i="1959"/>
  <c r="D39" i="1959"/>
  <c r="R38" i="1959"/>
  <c r="H38" i="1959"/>
  <c r="D38" i="1959"/>
  <c r="R37" i="1959"/>
  <c r="H37" i="1959"/>
  <c r="D37" i="1959"/>
  <c r="R36" i="1959"/>
  <c r="H36" i="1959"/>
  <c r="D36" i="1959"/>
  <c r="R35" i="1959"/>
  <c r="L18" i="1959" s="1"/>
  <c r="D18" i="1959" s="1"/>
  <c r="H35" i="1959"/>
  <c r="D35" i="1959"/>
  <c r="R34" i="1959"/>
  <c r="L12" i="1959" s="1"/>
  <c r="D12" i="1959" s="1"/>
  <c r="H34" i="1959"/>
  <c r="D34" i="1959"/>
  <c r="R33" i="1959"/>
  <c r="R32" i="1959"/>
  <c r="R31" i="1959"/>
  <c r="R30" i="1959"/>
  <c r="R29" i="1959"/>
  <c r="R28" i="1959"/>
  <c r="R27" i="1959"/>
  <c r="L27" i="1959"/>
  <c r="D27" i="1959"/>
  <c r="R26" i="1959"/>
  <c r="L26" i="1959"/>
  <c r="D26" i="1959"/>
  <c r="R25" i="1959"/>
  <c r="L25" i="1959"/>
  <c r="D25" i="1959"/>
  <c r="R24" i="1959"/>
  <c r="L24" i="1959"/>
  <c r="D24" i="1959"/>
  <c r="R23" i="1959"/>
  <c r="L23" i="1959"/>
  <c r="D23" i="1959" s="1"/>
  <c r="R22" i="1959"/>
  <c r="L20" i="1959" s="1"/>
  <c r="D20" i="1959" s="1"/>
  <c r="L22" i="1959"/>
  <c r="D22" i="1959" s="1"/>
  <c r="R21" i="1959"/>
  <c r="L21" i="1959"/>
  <c r="D21" i="1959"/>
  <c r="R20" i="1959"/>
  <c r="R19" i="1959"/>
  <c r="L19" i="1959"/>
  <c r="D19" i="1959"/>
  <c r="R18" i="1959"/>
  <c r="R17" i="1959"/>
  <c r="L17" i="1959"/>
  <c r="D17" i="1959"/>
  <c r="R16" i="1959"/>
  <c r="L16" i="1959"/>
  <c r="D16" i="1959"/>
  <c r="R15" i="1959"/>
  <c r="L15" i="1959"/>
  <c r="D15" i="1959" s="1"/>
  <c r="R14" i="1959"/>
  <c r="D14" i="1959"/>
  <c r="R13" i="1959"/>
  <c r="D13" i="1959"/>
  <c r="R12" i="1959"/>
  <c r="R11" i="1959"/>
  <c r="L11" i="1959"/>
  <c r="D11" i="1959"/>
  <c r="L10" i="1959"/>
  <c r="D10" i="1959"/>
  <c r="L9" i="1959"/>
  <c r="D9" i="1959"/>
  <c r="R6" i="1959"/>
  <c r="L6" i="1959"/>
  <c r="D6" i="1959" s="1"/>
  <c r="R5" i="1959"/>
  <c r="R4" i="1959"/>
  <c r="R52" i="1958"/>
  <c r="R51" i="1958"/>
  <c r="D50" i="1958"/>
  <c r="R49" i="1958"/>
  <c r="G49" i="1958"/>
  <c r="D49" i="1958"/>
  <c r="R48" i="1958"/>
  <c r="D48" i="1958"/>
  <c r="D46" i="1958"/>
  <c r="D45" i="1958"/>
  <c r="D44" i="1958"/>
  <c r="R42" i="1958"/>
  <c r="D42" i="1958"/>
  <c r="R41" i="1958"/>
  <c r="L7" i="1958" s="1"/>
  <c r="D7" i="1958" s="1"/>
  <c r="D41" i="1958"/>
  <c r="R40" i="1958"/>
  <c r="L8" i="1958" s="1"/>
  <c r="D8" i="1958" s="1"/>
  <c r="D40" i="1958"/>
  <c r="R39" i="1958"/>
  <c r="D39" i="1958"/>
  <c r="R38" i="1958"/>
  <c r="D38" i="1958"/>
  <c r="R37" i="1958"/>
  <c r="D37" i="1958"/>
  <c r="R36" i="1958"/>
  <c r="D36" i="1958"/>
  <c r="R35" i="1958"/>
  <c r="L19" i="1958" s="1"/>
  <c r="D19" i="1958" s="1"/>
  <c r="D35" i="1958"/>
  <c r="D54" i="1958" s="1"/>
  <c r="H14" i="1958" s="1"/>
  <c r="R34" i="1958"/>
  <c r="D34" i="1958"/>
  <c r="R33" i="1958"/>
  <c r="R32" i="1958"/>
  <c r="L11" i="1958" s="1"/>
  <c r="D11" i="1958" s="1"/>
  <c r="R31" i="1958"/>
  <c r="R30" i="1958"/>
  <c r="R29" i="1958"/>
  <c r="R28" i="1958"/>
  <c r="L16" i="1958" s="1"/>
  <c r="D16" i="1958" s="1"/>
  <c r="D28" i="1958"/>
  <c r="R27" i="1958"/>
  <c r="D27" i="1958"/>
  <c r="R26" i="1958"/>
  <c r="L26" i="1958"/>
  <c r="D26" i="1958"/>
  <c r="R25" i="1958"/>
  <c r="L25" i="1958"/>
  <c r="D25" i="1958"/>
  <c r="R24" i="1958"/>
  <c r="D24" i="1958"/>
  <c r="R23" i="1958"/>
  <c r="L23" i="1958"/>
  <c r="D23" i="1958"/>
  <c r="R22" i="1958"/>
  <c r="L22" i="1958"/>
  <c r="D22" i="1958"/>
  <c r="R21" i="1958"/>
  <c r="D21" i="1958"/>
  <c r="R20" i="1958"/>
  <c r="L20" i="1958"/>
  <c r="D20" i="1958"/>
  <c r="R19" i="1958"/>
  <c r="R18" i="1958"/>
  <c r="D18" i="1958"/>
  <c r="R17" i="1958"/>
  <c r="D17" i="1958"/>
  <c r="R16" i="1958"/>
  <c r="S15" i="1958"/>
  <c r="R15" i="1958"/>
  <c r="D15" i="1958"/>
  <c r="S14" i="1958"/>
  <c r="R14" i="1958"/>
  <c r="D14" i="1958"/>
  <c r="R13" i="1958"/>
  <c r="D13" i="1958"/>
  <c r="R12" i="1958"/>
  <c r="L12" i="1958"/>
  <c r="D12" i="1958"/>
  <c r="R11" i="1958"/>
  <c r="L10" i="1958"/>
  <c r="D10" i="1958" s="1"/>
  <c r="L9" i="1958"/>
  <c r="D9" i="1958"/>
  <c r="R6" i="1958"/>
  <c r="L6" i="1958"/>
  <c r="D6" i="1958"/>
  <c r="R5" i="1958"/>
  <c r="R4" i="1958"/>
  <c r="G49" i="1972" l="1"/>
  <c r="G49" i="1971"/>
  <c r="D54" i="1972"/>
  <c r="H14" i="1972" s="1"/>
  <c r="D29" i="1972"/>
  <c r="H13" i="1972" s="1"/>
  <c r="D54" i="1971"/>
  <c r="H14" i="1971" s="1"/>
  <c r="G49" i="1976"/>
  <c r="G49" i="1968"/>
  <c r="G49" i="1967"/>
  <c r="D54" i="1968"/>
  <c r="H14" i="1968" s="1"/>
  <c r="D54" i="1967"/>
  <c r="H14" i="1967" s="1"/>
  <c r="D54" i="1976"/>
  <c r="H14" i="1976" s="1"/>
  <c r="G49" i="1975"/>
  <c r="G49" i="1964"/>
  <c r="D54" i="1975"/>
  <c r="H14" i="1975" s="1"/>
  <c r="D29" i="1975"/>
  <c r="H13" i="1975" s="1"/>
  <c r="D54" i="1964"/>
  <c r="H14" i="1964" s="1"/>
  <c r="D54" i="1963"/>
  <c r="H14" i="1963" s="1"/>
  <c r="G49" i="1974"/>
  <c r="G49" i="1960"/>
  <c r="G49" i="1959"/>
  <c r="D54" i="1974"/>
  <c r="H14" i="1974" s="1"/>
  <c r="D54" i="1960"/>
  <c r="H14" i="1960" s="1"/>
  <c r="D54" i="1959"/>
  <c r="H14" i="1959" s="1"/>
  <c r="D29" i="1981"/>
  <c r="H13" i="1981" s="1"/>
  <c r="H15" i="1981" s="1"/>
  <c r="H29" i="1981" s="1"/>
  <c r="G51" i="1981" s="1"/>
  <c r="D29" i="1980"/>
  <c r="H13" i="1980" s="1"/>
  <c r="H15" i="1980" s="1"/>
  <c r="H29" i="1980" s="1"/>
  <c r="G51" i="1980"/>
  <c r="G51" i="1979"/>
  <c r="D29" i="1978"/>
  <c r="H13" i="1978" s="1"/>
  <c r="H15" i="1978" s="1"/>
  <c r="H29" i="1978" s="1"/>
  <c r="G51" i="1978"/>
  <c r="D29" i="1977"/>
  <c r="H13" i="1977" s="1"/>
  <c r="H15" i="1977" s="1"/>
  <c r="H29" i="1977" s="1"/>
  <c r="G51" i="1977"/>
  <c r="D29" i="1976"/>
  <c r="H13" i="1976" s="1"/>
  <c r="D29" i="1974"/>
  <c r="H13" i="1974" s="1"/>
  <c r="D29" i="1971"/>
  <c r="H13" i="1971" s="1"/>
  <c r="D29" i="1970"/>
  <c r="H13" i="1970" s="1"/>
  <c r="H15" i="1970" s="1"/>
  <c r="H29" i="1970" s="1"/>
  <c r="G51" i="1970" s="1"/>
  <c r="D29" i="1968"/>
  <c r="H13" i="1968" s="1"/>
  <c r="D29" i="1967"/>
  <c r="H13" i="1967" s="1"/>
  <c r="D29" i="1966"/>
  <c r="H13" i="1966" s="1"/>
  <c r="H15" i="1966" s="1"/>
  <c r="H29" i="1966" s="1"/>
  <c r="G51" i="1966" s="1"/>
  <c r="D29" i="1964"/>
  <c r="H13" i="1964" s="1"/>
  <c r="D29" i="1963"/>
  <c r="H13" i="1963" s="1"/>
  <c r="D29" i="1962"/>
  <c r="H13" i="1962" s="1"/>
  <c r="H15" i="1962" s="1"/>
  <c r="H29" i="1962" s="1"/>
  <c r="G51" i="1962" s="1"/>
  <c r="D29" i="1960"/>
  <c r="H13" i="1960" s="1"/>
  <c r="H15" i="1960" s="1"/>
  <c r="H29" i="1960" s="1"/>
  <c r="D29" i="1959"/>
  <c r="H13" i="1959" s="1"/>
  <c r="H15" i="1959" s="1"/>
  <c r="H29" i="1959" s="1"/>
  <c r="D29" i="1958"/>
  <c r="H13" i="1958" s="1"/>
  <c r="H15" i="1958" s="1"/>
  <c r="H29" i="1958" s="1"/>
  <c r="G51" i="1958" s="1"/>
  <c r="H16" i="1944"/>
  <c r="H16" i="1945"/>
  <c r="H16" i="1943"/>
  <c r="C12" i="1945"/>
  <c r="C16" i="1945"/>
  <c r="H15" i="1972" l="1"/>
  <c r="H29" i="1972" s="1"/>
  <c r="G51" i="1972" s="1"/>
  <c r="H15" i="1971"/>
  <c r="H29" i="1971" s="1"/>
  <c r="G51" i="1971" s="1"/>
  <c r="H15" i="1968"/>
  <c r="H29" i="1968" s="1"/>
  <c r="G51" i="1968" s="1"/>
  <c r="H15" i="1967"/>
  <c r="H29" i="1967" s="1"/>
  <c r="G51" i="1967" s="1"/>
  <c r="H15" i="1976"/>
  <c r="H29" i="1976" s="1"/>
  <c r="G51" i="1976" s="1"/>
  <c r="H15" i="1964"/>
  <c r="H29" i="1964" s="1"/>
  <c r="G51" i="1964" s="1"/>
  <c r="H15" i="1975"/>
  <c r="H29" i="1975" s="1"/>
  <c r="G51" i="1975" s="1"/>
  <c r="H15" i="1963"/>
  <c r="H29" i="1963" s="1"/>
  <c r="G51" i="1963" s="1"/>
  <c r="G51" i="1960"/>
  <c r="G51" i="1959"/>
  <c r="H15" i="1974"/>
  <c r="H29" i="1974" s="1"/>
  <c r="G51" i="1974" s="1"/>
  <c r="H16" i="1941"/>
  <c r="H16" i="1940"/>
  <c r="G49" i="1939"/>
  <c r="C12" i="1941"/>
  <c r="C12" i="1940"/>
  <c r="R52" i="1957" l="1"/>
  <c r="R51" i="1957"/>
  <c r="D50" i="1957"/>
  <c r="R49" i="1957"/>
  <c r="D49" i="1957"/>
  <c r="R48" i="1957"/>
  <c r="D48" i="1957"/>
  <c r="D46" i="1957"/>
  <c r="D45" i="1957"/>
  <c r="R44" i="1957"/>
  <c r="D44" i="1957"/>
  <c r="R42" i="1957"/>
  <c r="D42" i="1957"/>
  <c r="R41" i="1957"/>
  <c r="D41" i="1957"/>
  <c r="R40" i="1957"/>
  <c r="L8" i="1957" s="1"/>
  <c r="D8" i="1957" s="1"/>
  <c r="D40" i="1957"/>
  <c r="R39" i="1957"/>
  <c r="H39" i="1957"/>
  <c r="D39" i="1957"/>
  <c r="R38" i="1957"/>
  <c r="H38" i="1957"/>
  <c r="D38" i="1957"/>
  <c r="R37" i="1957"/>
  <c r="H37" i="1957"/>
  <c r="D37" i="1957"/>
  <c r="R36" i="1957"/>
  <c r="H36" i="1957"/>
  <c r="D36" i="1957"/>
  <c r="R35" i="1957"/>
  <c r="H35" i="1957"/>
  <c r="D35" i="1957"/>
  <c r="R34" i="1957"/>
  <c r="L12" i="1957" s="1"/>
  <c r="D12" i="1957" s="1"/>
  <c r="H34" i="1957"/>
  <c r="D34" i="1957"/>
  <c r="R33" i="1957"/>
  <c r="L19" i="1957" s="1"/>
  <c r="D19" i="1957" s="1"/>
  <c r="R32" i="1957"/>
  <c r="R31" i="1957"/>
  <c r="R30" i="1957"/>
  <c r="R29" i="1957"/>
  <c r="R28" i="1957"/>
  <c r="L28" i="1957"/>
  <c r="D28" i="1957"/>
  <c r="R27" i="1957"/>
  <c r="L27" i="1957"/>
  <c r="D27" i="1957"/>
  <c r="R26" i="1957"/>
  <c r="L26" i="1957"/>
  <c r="D26" i="1957" s="1"/>
  <c r="R25" i="1957"/>
  <c r="L25" i="1957"/>
  <c r="D25" i="1957" s="1"/>
  <c r="R24" i="1957"/>
  <c r="L24" i="1957"/>
  <c r="D24" i="1957"/>
  <c r="R23" i="1957"/>
  <c r="L23" i="1957"/>
  <c r="D23" i="1957" s="1"/>
  <c r="R22" i="1957"/>
  <c r="L22" i="1957"/>
  <c r="D22" i="1957"/>
  <c r="R21" i="1957"/>
  <c r="L17" i="1957" s="1"/>
  <c r="D17" i="1957" s="1"/>
  <c r="L21" i="1957"/>
  <c r="D21" i="1957"/>
  <c r="R20" i="1957"/>
  <c r="L20" i="1957"/>
  <c r="D20" i="1957" s="1"/>
  <c r="R19" i="1957"/>
  <c r="R18" i="1957"/>
  <c r="L18" i="1957"/>
  <c r="D18" i="1957"/>
  <c r="R17" i="1957"/>
  <c r="R16" i="1957"/>
  <c r="L16" i="1957"/>
  <c r="D16" i="1957"/>
  <c r="R15" i="1957"/>
  <c r="L15" i="1957"/>
  <c r="D15" i="1957" s="1"/>
  <c r="R14" i="1957"/>
  <c r="D14" i="1957"/>
  <c r="R13" i="1957"/>
  <c r="D13" i="1957"/>
  <c r="R12" i="1957"/>
  <c r="R11" i="1957"/>
  <c r="L11" i="1957"/>
  <c r="D11" i="1957"/>
  <c r="L10" i="1957"/>
  <c r="D10" i="1957"/>
  <c r="L9" i="1957"/>
  <c r="D9" i="1957" s="1"/>
  <c r="L7" i="1957"/>
  <c r="D7" i="1957"/>
  <c r="R6" i="1957"/>
  <c r="L6" i="1957"/>
  <c r="D6" i="1957" s="1"/>
  <c r="R5" i="1957"/>
  <c r="R4" i="1957"/>
  <c r="R52" i="1956"/>
  <c r="R51" i="1956"/>
  <c r="D50" i="1956"/>
  <c r="R49" i="1956"/>
  <c r="D49" i="1956"/>
  <c r="R48" i="1956"/>
  <c r="D48" i="1956"/>
  <c r="D46" i="1956"/>
  <c r="D45" i="1956"/>
  <c r="R44" i="1956"/>
  <c r="L28" i="1956" s="1"/>
  <c r="D28" i="1956" s="1"/>
  <c r="D44" i="1956"/>
  <c r="R42" i="1956"/>
  <c r="D42" i="1956"/>
  <c r="R41" i="1956"/>
  <c r="D41" i="1956"/>
  <c r="R40" i="1956"/>
  <c r="L8" i="1956" s="1"/>
  <c r="D8" i="1956" s="1"/>
  <c r="D40" i="1956"/>
  <c r="R39" i="1956"/>
  <c r="H39" i="1956"/>
  <c r="D39" i="1956"/>
  <c r="R38" i="1956"/>
  <c r="H38" i="1956"/>
  <c r="D38" i="1956"/>
  <c r="R37" i="1956"/>
  <c r="H37" i="1956"/>
  <c r="D37" i="1956"/>
  <c r="R36" i="1956"/>
  <c r="L10" i="1956" s="1"/>
  <c r="D10" i="1956" s="1"/>
  <c r="H36" i="1956"/>
  <c r="D36" i="1956"/>
  <c r="R35" i="1956"/>
  <c r="H35" i="1956"/>
  <c r="D35" i="1956"/>
  <c r="R34" i="1956"/>
  <c r="H34" i="1956"/>
  <c r="D34" i="1956"/>
  <c r="R33" i="1956"/>
  <c r="R32" i="1956"/>
  <c r="R31" i="1956"/>
  <c r="R30" i="1956"/>
  <c r="R29" i="1956"/>
  <c r="R28" i="1956"/>
  <c r="R27" i="1956"/>
  <c r="L27" i="1956"/>
  <c r="D27" i="1956"/>
  <c r="R26" i="1956"/>
  <c r="L26" i="1956"/>
  <c r="D26" i="1956" s="1"/>
  <c r="R25" i="1956"/>
  <c r="L25" i="1956"/>
  <c r="D25" i="1956" s="1"/>
  <c r="R24" i="1956"/>
  <c r="L24" i="1956"/>
  <c r="D24" i="1956" s="1"/>
  <c r="R23" i="1956"/>
  <c r="L23" i="1956"/>
  <c r="D23" i="1956" s="1"/>
  <c r="R22" i="1956"/>
  <c r="L20" i="1956" s="1"/>
  <c r="D20" i="1956" s="1"/>
  <c r="L22" i="1956"/>
  <c r="D22" i="1956"/>
  <c r="R21" i="1956"/>
  <c r="L17" i="1956" s="1"/>
  <c r="D17" i="1956" s="1"/>
  <c r="L21" i="1956"/>
  <c r="D21" i="1956"/>
  <c r="R20" i="1956"/>
  <c r="R19" i="1956"/>
  <c r="L19" i="1956"/>
  <c r="D19" i="1956"/>
  <c r="R18" i="1956"/>
  <c r="L18" i="1956"/>
  <c r="D18" i="1956"/>
  <c r="R17" i="1956"/>
  <c r="R16" i="1956"/>
  <c r="R15" i="1956"/>
  <c r="L15" i="1956"/>
  <c r="D15" i="1956" s="1"/>
  <c r="R14" i="1956"/>
  <c r="D14" i="1956"/>
  <c r="R13" i="1956"/>
  <c r="D13" i="1956"/>
  <c r="R12" i="1956"/>
  <c r="L12" i="1956"/>
  <c r="D12" i="1956" s="1"/>
  <c r="R11" i="1956"/>
  <c r="L11" i="1956"/>
  <c r="D11" i="1956" s="1"/>
  <c r="L9" i="1956"/>
  <c r="D9" i="1956"/>
  <c r="L7" i="1956"/>
  <c r="D7" i="1956" s="1"/>
  <c r="R6" i="1956"/>
  <c r="L16" i="1956" s="1"/>
  <c r="D16" i="1956" s="1"/>
  <c r="L6" i="1956"/>
  <c r="D6" i="1956" s="1"/>
  <c r="R5" i="1956"/>
  <c r="R4" i="1956"/>
  <c r="R52" i="1955"/>
  <c r="R51" i="1955"/>
  <c r="D50" i="1955"/>
  <c r="R49" i="1955"/>
  <c r="D49" i="1955"/>
  <c r="R48" i="1955"/>
  <c r="D48" i="1955"/>
  <c r="D46" i="1955"/>
  <c r="D45" i="1955"/>
  <c r="R44" i="1955"/>
  <c r="L28" i="1955" s="1"/>
  <c r="D28" i="1955" s="1"/>
  <c r="D44" i="1955"/>
  <c r="R42" i="1955"/>
  <c r="D42" i="1955"/>
  <c r="R41" i="1955"/>
  <c r="D41" i="1955"/>
  <c r="R40" i="1955"/>
  <c r="L8" i="1955" s="1"/>
  <c r="D8" i="1955" s="1"/>
  <c r="D40" i="1955"/>
  <c r="R39" i="1955"/>
  <c r="H39" i="1955"/>
  <c r="D39" i="1955"/>
  <c r="R38" i="1955"/>
  <c r="L9" i="1955" s="1"/>
  <c r="D9" i="1955" s="1"/>
  <c r="H38" i="1955"/>
  <c r="D38" i="1955"/>
  <c r="R37" i="1955"/>
  <c r="H37" i="1955"/>
  <c r="D37" i="1955"/>
  <c r="R36" i="1955"/>
  <c r="H36" i="1955"/>
  <c r="D36" i="1955"/>
  <c r="R35" i="1955"/>
  <c r="H35" i="1955"/>
  <c r="D35" i="1955"/>
  <c r="R34" i="1955"/>
  <c r="L12" i="1955" s="1"/>
  <c r="D12" i="1955" s="1"/>
  <c r="H34" i="1955"/>
  <c r="D34" i="1955"/>
  <c r="R33" i="1955"/>
  <c r="L19" i="1955" s="1"/>
  <c r="D19" i="1955" s="1"/>
  <c r="R32" i="1955"/>
  <c r="L11" i="1955" s="1"/>
  <c r="D11" i="1955" s="1"/>
  <c r="R31" i="1955"/>
  <c r="R30" i="1955"/>
  <c r="R29" i="1955"/>
  <c r="R28" i="1955"/>
  <c r="R27" i="1955"/>
  <c r="L27" i="1955"/>
  <c r="D27" i="1955"/>
  <c r="R26" i="1955"/>
  <c r="L26" i="1955"/>
  <c r="D26" i="1955"/>
  <c r="R25" i="1955"/>
  <c r="L25" i="1955"/>
  <c r="D25" i="1955" s="1"/>
  <c r="R24" i="1955"/>
  <c r="L24" i="1955"/>
  <c r="D24" i="1955" s="1"/>
  <c r="R23" i="1955"/>
  <c r="L23" i="1955"/>
  <c r="D23" i="1955" s="1"/>
  <c r="R22" i="1955"/>
  <c r="L22" i="1955"/>
  <c r="D22" i="1955"/>
  <c r="R21" i="1955"/>
  <c r="L21" i="1955"/>
  <c r="D21" i="1955"/>
  <c r="R20" i="1955"/>
  <c r="L20" i="1955"/>
  <c r="D20" i="1955"/>
  <c r="R19" i="1955"/>
  <c r="R18" i="1955"/>
  <c r="L18" i="1955"/>
  <c r="D18" i="1955"/>
  <c r="R17" i="1955"/>
  <c r="L17" i="1955"/>
  <c r="D17" i="1955" s="1"/>
  <c r="R16" i="1955"/>
  <c r="R15" i="1955"/>
  <c r="L15" i="1955"/>
  <c r="D15" i="1955" s="1"/>
  <c r="R14" i="1955"/>
  <c r="D14" i="1955"/>
  <c r="R13" i="1955"/>
  <c r="D13" i="1955"/>
  <c r="R12" i="1955"/>
  <c r="R11" i="1955"/>
  <c r="L10" i="1955"/>
  <c r="D10" i="1955"/>
  <c r="L7" i="1955"/>
  <c r="D7" i="1955" s="1"/>
  <c r="R6" i="1955"/>
  <c r="L16" i="1955" s="1"/>
  <c r="D16" i="1955" s="1"/>
  <c r="L6" i="1955"/>
  <c r="D6" i="1955" s="1"/>
  <c r="R5" i="1955"/>
  <c r="R4" i="1955"/>
  <c r="R52" i="1954"/>
  <c r="R51" i="1954"/>
  <c r="D50" i="1954"/>
  <c r="R49" i="1954"/>
  <c r="G49" i="1954"/>
  <c r="D49" i="1954"/>
  <c r="R48" i="1954"/>
  <c r="D48" i="1954"/>
  <c r="D46" i="1954"/>
  <c r="D45" i="1954"/>
  <c r="D44" i="1954"/>
  <c r="R42" i="1954"/>
  <c r="L6" i="1954" s="1"/>
  <c r="D6" i="1954" s="1"/>
  <c r="D42" i="1954"/>
  <c r="R41" i="1954"/>
  <c r="L7" i="1954" s="1"/>
  <c r="D7" i="1954" s="1"/>
  <c r="D41" i="1954"/>
  <c r="R40" i="1954"/>
  <c r="L8" i="1954" s="1"/>
  <c r="D8" i="1954" s="1"/>
  <c r="D40" i="1954"/>
  <c r="R39" i="1954"/>
  <c r="D39" i="1954"/>
  <c r="R38" i="1954"/>
  <c r="L9" i="1954" s="1"/>
  <c r="D9" i="1954" s="1"/>
  <c r="D38" i="1954"/>
  <c r="R37" i="1954"/>
  <c r="D37" i="1954"/>
  <c r="R36" i="1954"/>
  <c r="L10" i="1954" s="1"/>
  <c r="D10" i="1954" s="1"/>
  <c r="D36" i="1954"/>
  <c r="R35" i="1954"/>
  <c r="D35" i="1954"/>
  <c r="R34" i="1954"/>
  <c r="D34" i="1954"/>
  <c r="D54" i="1954" s="1"/>
  <c r="H14" i="1954" s="1"/>
  <c r="R33" i="1954"/>
  <c r="L23" i="1954" s="1"/>
  <c r="D23" i="1954" s="1"/>
  <c r="R32" i="1954"/>
  <c r="R31" i="1954"/>
  <c r="R30" i="1954"/>
  <c r="R29" i="1954"/>
  <c r="R28" i="1954"/>
  <c r="D28" i="1954"/>
  <c r="R27" i="1954"/>
  <c r="D27" i="1954"/>
  <c r="R26" i="1954"/>
  <c r="L26" i="1954"/>
  <c r="D26" i="1954"/>
  <c r="R25" i="1954"/>
  <c r="L25" i="1954"/>
  <c r="D25" i="1954"/>
  <c r="R24" i="1954"/>
  <c r="D24" i="1954"/>
  <c r="R23" i="1954"/>
  <c r="R22" i="1954"/>
  <c r="L22" i="1954"/>
  <c r="D22" i="1954" s="1"/>
  <c r="R21" i="1954"/>
  <c r="D21" i="1954"/>
  <c r="R20" i="1954"/>
  <c r="L20" i="1954"/>
  <c r="D20" i="1954"/>
  <c r="R19" i="1954"/>
  <c r="L19" i="1954"/>
  <c r="D19" i="1954"/>
  <c r="R18" i="1954"/>
  <c r="D18" i="1954"/>
  <c r="R17" i="1954"/>
  <c r="D17" i="1954"/>
  <c r="R16" i="1954"/>
  <c r="L16" i="1954"/>
  <c r="D16" i="1954" s="1"/>
  <c r="S15" i="1954"/>
  <c r="R15" i="1954"/>
  <c r="D15" i="1954"/>
  <c r="S14" i="1954"/>
  <c r="R14" i="1954"/>
  <c r="D14" i="1954"/>
  <c r="R13" i="1954"/>
  <c r="D13" i="1954"/>
  <c r="R12" i="1954"/>
  <c r="L12" i="1954"/>
  <c r="D12" i="1954"/>
  <c r="R11" i="1954"/>
  <c r="L11" i="1954"/>
  <c r="D11" i="1954" s="1"/>
  <c r="R6" i="1954"/>
  <c r="R5" i="1954"/>
  <c r="R4" i="1954"/>
  <c r="R52" i="1953"/>
  <c r="R51" i="1953"/>
  <c r="D50" i="1953"/>
  <c r="R49" i="1953"/>
  <c r="D49" i="1953"/>
  <c r="R48" i="1953"/>
  <c r="D48" i="1953"/>
  <c r="D46" i="1953"/>
  <c r="D45" i="1953"/>
  <c r="R44" i="1953"/>
  <c r="L28" i="1953" s="1"/>
  <c r="D28" i="1953" s="1"/>
  <c r="D44" i="1953"/>
  <c r="R42" i="1953"/>
  <c r="D42" i="1953"/>
  <c r="R41" i="1953"/>
  <c r="D41" i="1953"/>
  <c r="R40" i="1953"/>
  <c r="D40" i="1953"/>
  <c r="R39" i="1953"/>
  <c r="H39" i="1953"/>
  <c r="D39" i="1953"/>
  <c r="R38" i="1953"/>
  <c r="L9" i="1953" s="1"/>
  <c r="D9" i="1953" s="1"/>
  <c r="H38" i="1953"/>
  <c r="G49" i="1953" s="1"/>
  <c r="D38" i="1953"/>
  <c r="R37" i="1953"/>
  <c r="H37" i="1953"/>
  <c r="D37" i="1953"/>
  <c r="R36" i="1953"/>
  <c r="H36" i="1953"/>
  <c r="D36" i="1953"/>
  <c r="R35" i="1953"/>
  <c r="L18" i="1953" s="1"/>
  <c r="D18" i="1953" s="1"/>
  <c r="H35" i="1953"/>
  <c r="D35" i="1953"/>
  <c r="R34" i="1953"/>
  <c r="H34" i="1953"/>
  <c r="D34" i="1953"/>
  <c r="D54" i="1953" s="1"/>
  <c r="H14" i="1953" s="1"/>
  <c r="R33" i="1953"/>
  <c r="L19" i="1953" s="1"/>
  <c r="D19" i="1953" s="1"/>
  <c r="R32" i="1953"/>
  <c r="L11" i="1953" s="1"/>
  <c r="D11" i="1953" s="1"/>
  <c r="R31" i="1953"/>
  <c r="R30" i="1953"/>
  <c r="R29" i="1953"/>
  <c r="R28" i="1953"/>
  <c r="R27" i="1953"/>
  <c r="L27" i="1953"/>
  <c r="D27" i="1953" s="1"/>
  <c r="R26" i="1953"/>
  <c r="L26" i="1953"/>
  <c r="D26" i="1953"/>
  <c r="R25" i="1953"/>
  <c r="L25" i="1953"/>
  <c r="D25" i="1953" s="1"/>
  <c r="R24" i="1953"/>
  <c r="L24" i="1953"/>
  <c r="D24" i="1953" s="1"/>
  <c r="R23" i="1953"/>
  <c r="L23" i="1953"/>
  <c r="D23" i="1953" s="1"/>
  <c r="R22" i="1953"/>
  <c r="L22" i="1953"/>
  <c r="D22" i="1953" s="1"/>
  <c r="R21" i="1953"/>
  <c r="L21" i="1953"/>
  <c r="D21" i="1953"/>
  <c r="R20" i="1953"/>
  <c r="L20" i="1953"/>
  <c r="D20" i="1953"/>
  <c r="R19" i="1953"/>
  <c r="R18" i="1953"/>
  <c r="R17" i="1953"/>
  <c r="L17" i="1953"/>
  <c r="D17" i="1953"/>
  <c r="R16" i="1953"/>
  <c r="R15" i="1953"/>
  <c r="L15" i="1953"/>
  <c r="D15" i="1953"/>
  <c r="R14" i="1953"/>
  <c r="D14" i="1953"/>
  <c r="R13" i="1953"/>
  <c r="D13" i="1953"/>
  <c r="R12" i="1953"/>
  <c r="L12" i="1953"/>
  <c r="D12" i="1953"/>
  <c r="R11" i="1953"/>
  <c r="L10" i="1953"/>
  <c r="D10" i="1953"/>
  <c r="L8" i="1953"/>
  <c r="D8" i="1953" s="1"/>
  <c r="L7" i="1953"/>
  <c r="D7" i="1953" s="1"/>
  <c r="R6" i="1953"/>
  <c r="L16" i="1953" s="1"/>
  <c r="D16" i="1953" s="1"/>
  <c r="L6" i="1953"/>
  <c r="D6" i="1953" s="1"/>
  <c r="R5" i="1953"/>
  <c r="R4" i="1953"/>
  <c r="R52" i="1952"/>
  <c r="R51" i="1952"/>
  <c r="D50" i="1952"/>
  <c r="R49" i="1952"/>
  <c r="D49" i="1952"/>
  <c r="R48" i="1952"/>
  <c r="D48" i="1952"/>
  <c r="D46" i="1952"/>
  <c r="D45" i="1952"/>
  <c r="R44" i="1952"/>
  <c r="D44" i="1952"/>
  <c r="R42" i="1952"/>
  <c r="L6" i="1952" s="1"/>
  <c r="D6" i="1952" s="1"/>
  <c r="D42" i="1952"/>
  <c r="R41" i="1952"/>
  <c r="D41" i="1952"/>
  <c r="R40" i="1952"/>
  <c r="D40" i="1952"/>
  <c r="R39" i="1952"/>
  <c r="H39" i="1952"/>
  <c r="D39" i="1952"/>
  <c r="R38" i="1952"/>
  <c r="H38" i="1952"/>
  <c r="D38" i="1952"/>
  <c r="R37" i="1952"/>
  <c r="H37" i="1952"/>
  <c r="D37" i="1952"/>
  <c r="R36" i="1952"/>
  <c r="L10" i="1952" s="1"/>
  <c r="D10" i="1952" s="1"/>
  <c r="H36" i="1952"/>
  <c r="D36" i="1952"/>
  <c r="R35" i="1952"/>
  <c r="H35" i="1952"/>
  <c r="D35" i="1952"/>
  <c r="R34" i="1952"/>
  <c r="H34" i="1952"/>
  <c r="G49" i="1952" s="1"/>
  <c r="D34" i="1952"/>
  <c r="D54" i="1952" s="1"/>
  <c r="H14" i="1952" s="1"/>
  <c r="R33" i="1952"/>
  <c r="R32" i="1952"/>
  <c r="L11" i="1952" s="1"/>
  <c r="D11" i="1952" s="1"/>
  <c r="R31" i="1952"/>
  <c r="R30" i="1952"/>
  <c r="R29" i="1952"/>
  <c r="R28" i="1952"/>
  <c r="L28" i="1952"/>
  <c r="D28" i="1952"/>
  <c r="R27" i="1952"/>
  <c r="L27" i="1952"/>
  <c r="D27" i="1952" s="1"/>
  <c r="R26" i="1952"/>
  <c r="L26" i="1952"/>
  <c r="D26" i="1952"/>
  <c r="R25" i="1952"/>
  <c r="L25" i="1952"/>
  <c r="D25" i="1952"/>
  <c r="R24" i="1952"/>
  <c r="L24" i="1952"/>
  <c r="D24" i="1952"/>
  <c r="R23" i="1952"/>
  <c r="L23" i="1952"/>
  <c r="D23" i="1952"/>
  <c r="R22" i="1952"/>
  <c r="L20" i="1952" s="1"/>
  <c r="D20" i="1952" s="1"/>
  <c r="L22" i="1952"/>
  <c r="D22" i="1952"/>
  <c r="R21" i="1952"/>
  <c r="L21" i="1952"/>
  <c r="D21" i="1952"/>
  <c r="R20" i="1952"/>
  <c r="R19" i="1952"/>
  <c r="L19" i="1952"/>
  <c r="D19" i="1952"/>
  <c r="R18" i="1952"/>
  <c r="L18" i="1952"/>
  <c r="D18" i="1952"/>
  <c r="R17" i="1952"/>
  <c r="L17" i="1952"/>
  <c r="D17" i="1952" s="1"/>
  <c r="R16" i="1952"/>
  <c r="R15" i="1952"/>
  <c r="L15" i="1952"/>
  <c r="D15" i="1952" s="1"/>
  <c r="R14" i="1952"/>
  <c r="D14" i="1952"/>
  <c r="R13" i="1952"/>
  <c r="D13" i="1952"/>
  <c r="R12" i="1952"/>
  <c r="L12" i="1952"/>
  <c r="D12" i="1952" s="1"/>
  <c r="R11" i="1952"/>
  <c r="L9" i="1952"/>
  <c r="D9" i="1952" s="1"/>
  <c r="L8" i="1952"/>
  <c r="D8" i="1952" s="1"/>
  <c r="L7" i="1952"/>
  <c r="D7" i="1952"/>
  <c r="R6" i="1952"/>
  <c r="L16" i="1952" s="1"/>
  <c r="D16" i="1952" s="1"/>
  <c r="R5" i="1952"/>
  <c r="R4" i="1952"/>
  <c r="D54" i="1951"/>
  <c r="H14" i="1951" s="1"/>
  <c r="R52" i="1951"/>
  <c r="R51" i="1951"/>
  <c r="D50" i="1951"/>
  <c r="R49" i="1951"/>
  <c r="D49" i="1951"/>
  <c r="R48" i="1951"/>
  <c r="D48" i="1951"/>
  <c r="D46" i="1951"/>
  <c r="D45" i="1951"/>
  <c r="R44" i="1951"/>
  <c r="L28" i="1951" s="1"/>
  <c r="D28" i="1951" s="1"/>
  <c r="D44" i="1951"/>
  <c r="R42" i="1951"/>
  <c r="L6" i="1951" s="1"/>
  <c r="D6" i="1951" s="1"/>
  <c r="D42" i="1951"/>
  <c r="R41" i="1951"/>
  <c r="L7" i="1951" s="1"/>
  <c r="D7" i="1951" s="1"/>
  <c r="D41" i="1951"/>
  <c r="R40" i="1951"/>
  <c r="D40" i="1951"/>
  <c r="R39" i="1951"/>
  <c r="H39" i="1951"/>
  <c r="D39" i="1951"/>
  <c r="R38" i="1951"/>
  <c r="H38" i="1951"/>
  <c r="D38" i="1951"/>
  <c r="R37" i="1951"/>
  <c r="H37" i="1951"/>
  <c r="D37" i="1951"/>
  <c r="R36" i="1951"/>
  <c r="H36" i="1951"/>
  <c r="D36" i="1951"/>
  <c r="R35" i="1951"/>
  <c r="L18" i="1951" s="1"/>
  <c r="D18" i="1951" s="1"/>
  <c r="H35" i="1951"/>
  <c r="D35" i="1951"/>
  <c r="R34" i="1951"/>
  <c r="H34" i="1951"/>
  <c r="G49" i="1951" s="1"/>
  <c r="D34" i="1951"/>
  <c r="R33" i="1951"/>
  <c r="R32" i="1951"/>
  <c r="L11" i="1951" s="1"/>
  <c r="D11" i="1951" s="1"/>
  <c r="R31" i="1951"/>
  <c r="R30" i="1951"/>
  <c r="R29" i="1951"/>
  <c r="R28" i="1951"/>
  <c r="R27" i="1951"/>
  <c r="L27" i="1951"/>
  <c r="D27" i="1951"/>
  <c r="R26" i="1951"/>
  <c r="L26" i="1951"/>
  <c r="D26" i="1951"/>
  <c r="R25" i="1951"/>
  <c r="L25" i="1951"/>
  <c r="D25" i="1951" s="1"/>
  <c r="R24" i="1951"/>
  <c r="L24" i="1951"/>
  <c r="D24" i="1951" s="1"/>
  <c r="R23" i="1951"/>
  <c r="L23" i="1951"/>
  <c r="D23" i="1951"/>
  <c r="R22" i="1951"/>
  <c r="L20" i="1951" s="1"/>
  <c r="D20" i="1951" s="1"/>
  <c r="L22" i="1951"/>
  <c r="D22" i="1951" s="1"/>
  <c r="R21" i="1951"/>
  <c r="L21" i="1951"/>
  <c r="D21" i="1951"/>
  <c r="R20" i="1951"/>
  <c r="R19" i="1951"/>
  <c r="L19" i="1951"/>
  <c r="D19" i="1951"/>
  <c r="R18" i="1951"/>
  <c r="R17" i="1951"/>
  <c r="L17" i="1951"/>
  <c r="D17" i="1951"/>
  <c r="R16" i="1951"/>
  <c r="R15" i="1951"/>
  <c r="R14" i="1951"/>
  <c r="D14" i="1951"/>
  <c r="R13" i="1951"/>
  <c r="D13" i="1951"/>
  <c r="R12" i="1951"/>
  <c r="L12" i="1951"/>
  <c r="D12" i="1951"/>
  <c r="R11" i="1951"/>
  <c r="L10" i="1951"/>
  <c r="D10" i="1951"/>
  <c r="L9" i="1951"/>
  <c r="D9" i="1951"/>
  <c r="L8" i="1951"/>
  <c r="D8" i="1951"/>
  <c r="R6" i="1951"/>
  <c r="L16" i="1951" s="1"/>
  <c r="D16" i="1951" s="1"/>
  <c r="R5" i="1951"/>
  <c r="R4" i="1951"/>
  <c r="L15" i="1951" s="1"/>
  <c r="D15" i="1951" s="1"/>
  <c r="R52" i="1950"/>
  <c r="R51" i="1950"/>
  <c r="D50" i="1950"/>
  <c r="R49" i="1950"/>
  <c r="G49" i="1950"/>
  <c r="D49" i="1950"/>
  <c r="R48" i="1950"/>
  <c r="D48" i="1950"/>
  <c r="D46" i="1950"/>
  <c r="D45" i="1950"/>
  <c r="D44" i="1950"/>
  <c r="R42" i="1950"/>
  <c r="L6" i="1950" s="1"/>
  <c r="D6" i="1950" s="1"/>
  <c r="D42" i="1950"/>
  <c r="R41" i="1950"/>
  <c r="L7" i="1950" s="1"/>
  <c r="D7" i="1950" s="1"/>
  <c r="D41" i="1950"/>
  <c r="R40" i="1950"/>
  <c r="D40" i="1950"/>
  <c r="R39" i="1950"/>
  <c r="D39" i="1950"/>
  <c r="R38" i="1950"/>
  <c r="L9" i="1950" s="1"/>
  <c r="D9" i="1950" s="1"/>
  <c r="D38" i="1950"/>
  <c r="R37" i="1950"/>
  <c r="D37" i="1950"/>
  <c r="R36" i="1950"/>
  <c r="L10" i="1950" s="1"/>
  <c r="D10" i="1950" s="1"/>
  <c r="D36" i="1950"/>
  <c r="R35" i="1950"/>
  <c r="D35" i="1950"/>
  <c r="R34" i="1950"/>
  <c r="L12" i="1950" s="1"/>
  <c r="D12" i="1950" s="1"/>
  <c r="D34" i="1950"/>
  <c r="D54" i="1950" s="1"/>
  <c r="H14" i="1950" s="1"/>
  <c r="R33" i="1950"/>
  <c r="L23" i="1950" s="1"/>
  <c r="D23" i="1950" s="1"/>
  <c r="R32" i="1950"/>
  <c r="R31" i="1950"/>
  <c r="R30" i="1950"/>
  <c r="R29" i="1950"/>
  <c r="R28" i="1950"/>
  <c r="L16" i="1950" s="1"/>
  <c r="D16" i="1950" s="1"/>
  <c r="D28" i="1950"/>
  <c r="R27" i="1950"/>
  <c r="D27" i="1950"/>
  <c r="R26" i="1950"/>
  <c r="L26" i="1950"/>
  <c r="D26" i="1950"/>
  <c r="R25" i="1950"/>
  <c r="L25" i="1950"/>
  <c r="D25" i="1950"/>
  <c r="R24" i="1950"/>
  <c r="D24" i="1950"/>
  <c r="R23" i="1950"/>
  <c r="R22" i="1950"/>
  <c r="L22" i="1950"/>
  <c r="D22" i="1950" s="1"/>
  <c r="R21" i="1950"/>
  <c r="D21" i="1950"/>
  <c r="R20" i="1950"/>
  <c r="L20" i="1950"/>
  <c r="D20" i="1950"/>
  <c r="R19" i="1950"/>
  <c r="L19" i="1950"/>
  <c r="D19" i="1950"/>
  <c r="R18" i="1950"/>
  <c r="D18" i="1950"/>
  <c r="R17" i="1950"/>
  <c r="D17" i="1950"/>
  <c r="R16" i="1950"/>
  <c r="S15" i="1950"/>
  <c r="R15" i="1950"/>
  <c r="D15" i="1950"/>
  <c r="S14" i="1950"/>
  <c r="R14" i="1950"/>
  <c r="D14" i="1950"/>
  <c r="R13" i="1950"/>
  <c r="D13" i="1950"/>
  <c r="R12" i="1950"/>
  <c r="R11" i="1950"/>
  <c r="L11" i="1950"/>
  <c r="D11" i="1950" s="1"/>
  <c r="L8" i="1950"/>
  <c r="D8" i="1950"/>
  <c r="R6" i="1950"/>
  <c r="R5" i="1950"/>
  <c r="R4" i="1950"/>
  <c r="R52" i="1949"/>
  <c r="R51" i="1949"/>
  <c r="D50" i="1949"/>
  <c r="R49" i="1949"/>
  <c r="D49" i="1949"/>
  <c r="R48" i="1949"/>
  <c r="D48" i="1949"/>
  <c r="D46" i="1949"/>
  <c r="D45" i="1949"/>
  <c r="R44" i="1949"/>
  <c r="D44" i="1949"/>
  <c r="R42" i="1949"/>
  <c r="D42" i="1949"/>
  <c r="R41" i="1949"/>
  <c r="D41" i="1949"/>
  <c r="R40" i="1949"/>
  <c r="D40" i="1949"/>
  <c r="R39" i="1949"/>
  <c r="H39" i="1949"/>
  <c r="D39" i="1949"/>
  <c r="R38" i="1949"/>
  <c r="H38" i="1949"/>
  <c r="D38" i="1949"/>
  <c r="R37" i="1949"/>
  <c r="H37" i="1949"/>
  <c r="D37" i="1949"/>
  <c r="R36" i="1949"/>
  <c r="L10" i="1949" s="1"/>
  <c r="D10" i="1949" s="1"/>
  <c r="H36" i="1949"/>
  <c r="G49" i="1949" s="1"/>
  <c r="D36" i="1949"/>
  <c r="R35" i="1949"/>
  <c r="H35" i="1949"/>
  <c r="D35" i="1949"/>
  <c r="R34" i="1949"/>
  <c r="H34" i="1949"/>
  <c r="D34" i="1949"/>
  <c r="D54" i="1949" s="1"/>
  <c r="H14" i="1949" s="1"/>
  <c r="R33" i="1949"/>
  <c r="R32" i="1949"/>
  <c r="L11" i="1949" s="1"/>
  <c r="D11" i="1949" s="1"/>
  <c r="R31" i="1949"/>
  <c r="R30" i="1949"/>
  <c r="R29" i="1949"/>
  <c r="R28" i="1949"/>
  <c r="L28" i="1949"/>
  <c r="D28" i="1949"/>
  <c r="R27" i="1949"/>
  <c r="L27" i="1949"/>
  <c r="D27" i="1949" s="1"/>
  <c r="R26" i="1949"/>
  <c r="L26" i="1949"/>
  <c r="D26" i="1949"/>
  <c r="R25" i="1949"/>
  <c r="L25" i="1949"/>
  <c r="D25" i="1949"/>
  <c r="R24" i="1949"/>
  <c r="L24" i="1949"/>
  <c r="D24" i="1949"/>
  <c r="R23" i="1949"/>
  <c r="L23" i="1949"/>
  <c r="D23" i="1949"/>
  <c r="R22" i="1949"/>
  <c r="L20" i="1949" s="1"/>
  <c r="D20" i="1949" s="1"/>
  <c r="L22" i="1949"/>
  <c r="D22" i="1949" s="1"/>
  <c r="R21" i="1949"/>
  <c r="L21" i="1949"/>
  <c r="D21" i="1949" s="1"/>
  <c r="R20" i="1949"/>
  <c r="R19" i="1949"/>
  <c r="L19" i="1949"/>
  <c r="D19" i="1949"/>
  <c r="R18" i="1949"/>
  <c r="L18" i="1949"/>
  <c r="D18" i="1949"/>
  <c r="R17" i="1949"/>
  <c r="L17" i="1949"/>
  <c r="D17" i="1949" s="1"/>
  <c r="R16" i="1949"/>
  <c r="R15" i="1949"/>
  <c r="R14" i="1949"/>
  <c r="D14" i="1949"/>
  <c r="R13" i="1949"/>
  <c r="D13" i="1949"/>
  <c r="R12" i="1949"/>
  <c r="L12" i="1949"/>
  <c r="D12" i="1949" s="1"/>
  <c r="R11" i="1949"/>
  <c r="L9" i="1949"/>
  <c r="D9" i="1949" s="1"/>
  <c r="L8" i="1949"/>
  <c r="D8" i="1949" s="1"/>
  <c r="L7" i="1949"/>
  <c r="D7" i="1949"/>
  <c r="R6" i="1949"/>
  <c r="L16" i="1949" s="1"/>
  <c r="D16" i="1949" s="1"/>
  <c r="L6" i="1949"/>
  <c r="D6" i="1949" s="1"/>
  <c r="R5" i="1949"/>
  <c r="R4" i="1949"/>
  <c r="L15" i="1949" s="1"/>
  <c r="D15" i="1949" s="1"/>
  <c r="R52" i="1948"/>
  <c r="R51" i="1948"/>
  <c r="D50" i="1948"/>
  <c r="R49" i="1948"/>
  <c r="D49" i="1948"/>
  <c r="R48" i="1948"/>
  <c r="D48" i="1948"/>
  <c r="D46" i="1948"/>
  <c r="D45" i="1948"/>
  <c r="R44" i="1948"/>
  <c r="D44" i="1948"/>
  <c r="R42" i="1948"/>
  <c r="L6" i="1948" s="1"/>
  <c r="D6" i="1948" s="1"/>
  <c r="D42" i="1948"/>
  <c r="R41" i="1948"/>
  <c r="D41" i="1948"/>
  <c r="R40" i="1948"/>
  <c r="D40" i="1948"/>
  <c r="R39" i="1948"/>
  <c r="H39" i="1948"/>
  <c r="D39" i="1948"/>
  <c r="R38" i="1948"/>
  <c r="H38" i="1948"/>
  <c r="D38" i="1948"/>
  <c r="R37" i="1948"/>
  <c r="H37" i="1948"/>
  <c r="D37" i="1948"/>
  <c r="R36" i="1948"/>
  <c r="L10" i="1948" s="1"/>
  <c r="D10" i="1948" s="1"/>
  <c r="H36" i="1948"/>
  <c r="D36" i="1948"/>
  <c r="R35" i="1948"/>
  <c r="H35" i="1948"/>
  <c r="D35" i="1948"/>
  <c r="R34" i="1948"/>
  <c r="H34" i="1948"/>
  <c r="G49" i="1948" s="1"/>
  <c r="D34" i="1948"/>
  <c r="D54" i="1948" s="1"/>
  <c r="H14" i="1948" s="1"/>
  <c r="R33" i="1948"/>
  <c r="R32" i="1948"/>
  <c r="R31" i="1948"/>
  <c r="R30" i="1948"/>
  <c r="R29" i="1948"/>
  <c r="R28" i="1948"/>
  <c r="L28" i="1948"/>
  <c r="D28" i="1948"/>
  <c r="R27" i="1948"/>
  <c r="L27" i="1948"/>
  <c r="D27" i="1948"/>
  <c r="R26" i="1948"/>
  <c r="L26" i="1948"/>
  <c r="D26" i="1948" s="1"/>
  <c r="R25" i="1948"/>
  <c r="L25" i="1948"/>
  <c r="D25" i="1948"/>
  <c r="R24" i="1948"/>
  <c r="L24" i="1948"/>
  <c r="D24" i="1948"/>
  <c r="R23" i="1948"/>
  <c r="L23" i="1948"/>
  <c r="D23" i="1948"/>
  <c r="R22" i="1948"/>
  <c r="L20" i="1948" s="1"/>
  <c r="D20" i="1948" s="1"/>
  <c r="L22" i="1948"/>
  <c r="D22" i="1948"/>
  <c r="R21" i="1948"/>
  <c r="L21" i="1948"/>
  <c r="D21" i="1948" s="1"/>
  <c r="R20" i="1948"/>
  <c r="R19" i="1948"/>
  <c r="L19" i="1948"/>
  <c r="D19" i="1948"/>
  <c r="R18" i="1948"/>
  <c r="L18" i="1948"/>
  <c r="D18" i="1948"/>
  <c r="R17" i="1948"/>
  <c r="L17" i="1948"/>
  <c r="D17" i="1948" s="1"/>
  <c r="R16" i="1948"/>
  <c r="R15" i="1948"/>
  <c r="R14" i="1948"/>
  <c r="D14" i="1948"/>
  <c r="R13" i="1948"/>
  <c r="D13" i="1948"/>
  <c r="R12" i="1948"/>
  <c r="L12" i="1948"/>
  <c r="D12" i="1948" s="1"/>
  <c r="R11" i="1948"/>
  <c r="L11" i="1948"/>
  <c r="D11" i="1948"/>
  <c r="L9" i="1948"/>
  <c r="D9" i="1948" s="1"/>
  <c r="L8" i="1948"/>
  <c r="D8" i="1948"/>
  <c r="L7" i="1948"/>
  <c r="D7" i="1948"/>
  <c r="R6" i="1948"/>
  <c r="L16" i="1948" s="1"/>
  <c r="D16" i="1948" s="1"/>
  <c r="R5" i="1948"/>
  <c r="R4" i="1948"/>
  <c r="L15" i="1948" s="1"/>
  <c r="D15" i="1948" s="1"/>
  <c r="R52" i="1947"/>
  <c r="R51" i="1947"/>
  <c r="D50" i="1947"/>
  <c r="R49" i="1947"/>
  <c r="D49" i="1947"/>
  <c r="R48" i="1947"/>
  <c r="D48" i="1947"/>
  <c r="D46" i="1947"/>
  <c r="D45" i="1947"/>
  <c r="R44" i="1947"/>
  <c r="D44" i="1947"/>
  <c r="R42" i="1947"/>
  <c r="L6" i="1947" s="1"/>
  <c r="D6" i="1947" s="1"/>
  <c r="D29" i="1947" s="1"/>
  <c r="H13" i="1947" s="1"/>
  <c r="H15" i="1947" s="1"/>
  <c r="H29" i="1947" s="1"/>
  <c r="D42" i="1947"/>
  <c r="R41" i="1947"/>
  <c r="D41" i="1947"/>
  <c r="R40" i="1947"/>
  <c r="D40" i="1947"/>
  <c r="R39" i="1947"/>
  <c r="H39" i="1947"/>
  <c r="D39" i="1947"/>
  <c r="R38" i="1947"/>
  <c r="L9" i="1947" s="1"/>
  <c r="D9" i="1947" s="1"/>
  <c r="H38" i="1947"/>
  <c r="D38" i="1947"/>
  <c r="R37" i="1947"/>
  <c r="H37" i="1947"/>
  <c r="D37" i="1947"/>
  <c r="R36" i="1947"/>
  <c r="L10" i="1947" s="1"/>
  <c r="D10" i="1947" s="1"/>
  <c r="H36" i="1947"/>
  <c r="D36" i="1947"/>
  <c r="R35" i="1947"/>
  <c r="H35" i="1947"/>
  <c r="G49" i="1947" s="1"/>
  <c r="D35" i="1947"/>
  <c r="R34" i="1947"/>
  <c r="H34" i="1947"/>
  <c r="D34" i="1947"/>
  <c r="D54" i="1947" s="1"/>
  <c r="H14" i="1947" s="1"/>
  <c r="R33" i="1947"/>
  <c r="R32" i="1947"/>
  <c r="L11" i="1947" s="1"/>
  <c r="D11" i="1947" s="1"/>
  <c r="R31" i="1947"/>
  <c r="R30" i="1947"/>
  <c r="R29" i="1947"/>
  <c r="R28" i="1947"/>
  <c r="L28" i="1947"/>
  <c r="D28" i="1947"/>
  <c r="R27" i="1947"/>
  <c r="L27" i="1947"/>
  <c r="D27" i="1947" s="1"/>
  <c r="R26" i="1947"/>
  <c r="L26" i="1947"/>
  <c r="D26" i="1947"/>
  <c r="R25" i="1947"/>
  <c r="L25" i="1947"/>
  <c r="D25" i="1947"/>
  <c r="R24" i="1947"/>
  <c r="L24" i="1947"/>
  <c r="D24" i="1947"/>
  <c r="R23" i="1947"/>
  <c r="L23" i="1947"/>
  <c r="D23" i="1947"/>
  <c r="R22" i="1947"/>
  <c r="L20" i="1947" s="1"/>
  <c r="D20" i="1947" s="1"/>
  <c r="L22" i="1947"/>
  <c r="D22" i="1947"/>
  <c r="R21" i="1947"/>
  <c r="L21" i="1947"/>
  <c r="D21" i="1947"/>
  <c r="R20" i="1947"/>
  <c r="R19" i="1947"/>
  <c r="L19" i="1947"/>
  <c r="D19" i="1947"/>
  <c r="R18" i="1947"/>
  <c r="L18" i="1947"/>
  <c r="D18" i="1947" s="1"/>
  <c r="R17" i="1947"/>
  <c r="L17" i="1947"/>
  <c r="D17" i="1947" s="1"/>
  <c r="R16" i="1947"/>
  <c r="R15" i="1947"/>
  <c r="L15" i="1947"/>
  <c r="D15" i="1947"/>
  <c r="R14" i="1947"/>
  <c r="D14" i="1947"/>
  <c r="R13" i="1947"/>
  <c r="D13" i="1947"/>
  <c r="R12" i="1947"/>
  <c r="L12" i="1947"/>
  <c r="D12" i="1947" s="1"/>
  <c r="R11" i="1947"/>
  <c r="L8" i="1947"/>
  <c r="D8" i="1947" s="1"/>
  <c r="L7" i="1947"/>
  <c r="D7" i="1947"/>
  <c r="R6" i="1947"/>
  <c r="L16" i="1947" s="1"/>
  <c r="D16" i="1947" s="1"/>
  <c r="R5" i="1947"/>
  <c r="R4" i="1947"/>
  <c r="R52" i="1946"/>
  <c r="R51" i="1946"/>
  <c r="D50" i="1946"/>
  <c r="R49" i="1946"/>
  <c r="G49" i="1946"/>
  <c r="D49" i="1946"/>
  <c r="R48" i="1946"/>
  <c r="D48" i="1946"/>
  <c r="D46" i="1946"/>
  <c r="D45" i="1946"/>
  <c r="D44" i="1946"/>
  <c r="R42" i="1946"/>
  <c r="L6" i="1946" s="1"/>
  <c r="D6" i="1946" s="1"/>
  <c r="D42" i="1946"/>
  <c r="R41" i="1946"/>
  <c r="L7" i="1946" s="1"/>
  <c r="D7" i="1946" s="1"/>
  <c r="D41" i="1946"/>
  <c r="R40" i="1946"/>
  <c r="D40" i="1946"/>
  <c r="R39" i="1946"/>
  <c r="D39" i="1946"/>
  <c r="R38" i="1946"/>
  <c r="L9" i="1946" s="1"/>
  <c r="D9" i="1946" s="1"/>
  <c r="D38" i="1946"/>
  <c r="R37" i="1946"/>
  <c r="D37" i="1946"/>
  <c r="R36" i="1946"/>
  <c r="L10" i="1946" s="1"/>
  <c r="D10" i="1946" s="1"/>
  <c r="D36" i="1946"/>
  <c r="R35" i="1946"/>
  <c r="D35" i="1946"/>
  <c r="R34" i="1946"/>
  <c r="L12" i="1946" s="1"/>
  <c r="D12" i="1946" s="1"/>
  <c r="D34" i="1946"/>
  <c r="D54" i="1946" s="1"/>
  <c r="H14" i="1946" s="1"/>
  <c r="R33" i="1946"/>
  <c r="L23" i="1946" s="1"/>
  <c r="D23" i="1946" s="1"/>
  <c r="R32" i="1946"/>
  <c r="R31" i="1946"/>
  <c r="R30" i="1946"/>
  <c r="R29" i="1946"/>
  <c r="R28" i="1946"/>
  <c r="L16" i="1946" s="1"/>
  <c r="D16" i="1946" s="1"/>
  <c r="D28" i="1946"/>
  <c r="R27" i="1946"/>
  <c r="D27" i="1946"/>
  <c r="R26" i="1946"/>
  <c r="L26" i="1946"/>
  <c r="D26" i="1946"/>
  <c r="R25" i="1946"/>
  <c r="L25" i="1946"/>
  <c r="D25" i="1946"/>
  <c r="R24" i="1946"/>
  <c r="D24" i="1946"/>
  <c r="R23" i="1946"/>
  <c r="R22" i="1946"/>
  <c r="L22" i="1946"/>
  <c r="D22" i="1946"/>
  <c r="R21" i="1946"/>
  <c r="D21" i="1946"/>
  <c r="R20" i="1946"/>
  <c r="L20" i="1946"/>
  <c r="D20" i="1946"/>
  <c r="R19" i="1946"/>
  <c r="L19" i="1946"/>
  <c r="D19" i="1946"/>
  <c r="R18" i="1946"/>
  <c r="D18" i="1946"/>
  <c r="R17" i="1946"/>
  <c r="D17" i="1946"/>
  <c r="R16" i="1946"/>
  <c r="S15" i="1946"/>
  <c r="R15" i="1946"/>
  <c r="D15" i="1946"/>
  <c r="S14" i="1946"/>
  <c r="R14" i="1946"/>
  <c r="D14" i="1946"/>
  <c r="R13" i="1946"/>
  <c r="D13" i="1946"/>
  <c r="R12" i="1946"/>
  <c r="R11" i="1946"/>
  <c r="L11" i="1946"/>
  <c r="D11" i="1946"/>
  <c r="L8" i="1946"/>
  <c r="D8" i="1946"/>
  <c r="R6" i="1946"/>
  <c r="R5" i="1946"/>
  <c r="R4" i="1946"/>
  <c r="R52" i="1945"/>
  <c r="R51" i="1945"/>
  <c r="D50" i="1945"/>
  <c r="R49" i="1945"/>
  <c r="D49" i="1945"/>
  <c r="R48" i="1945"/>
  <c r="D48" i="1945"/>
  <c r="D46" i="1945"/>
  <c r="D45" i="1945"/>
  <c r="R44" i="1945"/>
  <c r="L28" i="1945" s="1"/>
  <c r="D28" i="1945" s="1"/>
  <c r="D44" i="1945"/>
  <c r="R42" i="1945"/>
  <c r="D42" i="1945"/>
  <c r="R41" i="1945"/>
  <c r="L7" i="1945" s="1"/>
  <c r="D7" i="1945" s="1"/>
  <c r="D41" i="1945"/>
  <c r="R40" i="1945"/>
  <c r="D40" i="1945"/>
  <c r="R39" i="1945"/>
  <c r="H39" i="1945"/>
  <c r="D39" i="1945"/>
  <c r="R38" i="1945"/>
  <c r="L9" i="1945" s="1"/>
  <c r="D9" i="1945" s="1"/>
  <c r="H38" i="1945"/>
  <c r="D38" i="1945"/>
  <c r="R37" i="1945"/>
  <c r="H37" i="1945"/>
  <c r="D37" i="1945"/>
  <c r="R36" i="1945"/>
  <c r="L10" i="1945" s="1"/>
  <c r="D10" i="1945" s="1"/>
  <c r="H36" i="1945"/>
  <c r="D36" i="1945"/>
  <c r="R35" i="1945"/>
  <c r="L18" i="1945" s="1"/>
  <c r="D18" i="1945" s="1"/>
  <c r="H35" i="1945"/>
  <c r="D35" i="1945"/>
  <c r="R34" i="1945"/>
  <c r="H34" i="1945"/>
  <c r="D34" i="1945"/>
  <c r="R33" i="1945"/>
  <c r="R32" i="1945"/>
  <c r="L11" i="1945" s="1"/>
  <c r="D11" i="1945" s="1"/>
  <c r="R31" i="1945"/>
  <c r="R30" i="1945"/>
  <c r="R29" i="1945"/>
  <c r="R28" i="1945"/>
  <c r="R27" i="1945"/>
  <c r="L27" i="1945"/>
  <c r="D27" i="1945" s="1"/>
  <c r="R26" i="1945"/>
  <c r="L26" i="1945"/>
  <c r="D26" i="1945" s="1"/>
  <c r="R25" i="1945"/>
  <c r="L25" i="1945"/>
  <c r="D25" i="1945" s="1"/>
  <c r="R24" i="1945"/>
  <c r="L24" i="1945"/>
  <c r="D24" i="1945"/>
  <c r="R23" i="1945"/>
  <c r="L23" i="1945"/>
  <c r="D23" i="1945" s="1"/>
  <c r="R22" i="1945"/>
  <c r="L20" i="1945" s="1"/>
  <c r="D20" i="1945" s="1"/>
  <c r="L22" i="1945"/>
  <c r="D22" i="1945" s="1"/>
  <c r="R21" i="1945"/>
  <c r="L21" i="1945"/>
  <c r="D21" i="1945"/>
  <c r="R20" i="1945"/>
  <c r="R19" i="1945"/>
  <c r="L19" i="1945"/>
  <c r="D19" i="1945"/>
  <c r="R18" i="1945"/>
  <c r="R17" i="1945"/>
  <c r="L17" i="1945"/>
  <c r="D17" i="1945"/>
  <c r="R16" i="1945"/>
  <c r="R15" i="1945"/>
  <c r="R14" i="1945"/>
  <c r="D14" i="1945"/>
  <c r="R13" i="1945"/>
  <c r="D13" i="1945"/>
  <c r="R12" i="1945"/>
  <c r="L12" i="1945"/>
  <c r="D12" i="1945"/>
  <c r="R11" i="1945"/>
  <c r="L8" i="1945"/>
  <c r="D8" i="1945" s="1"/>
  <c r="R6" i="1945"/>
  <c r="L16" i="1945" s="1"/>
  <c r="D16" i="1945" s="1"/>
  <c r="L6" i="1945"/>
  <c r="D6" i="1945" s="1"/>
  <c r="R5" i="1945"/>
  <c r="R4" i="1945"/>
  <c r="L15" i="1945" s="1"/>
  <c r="D15" i="1945" s="1"/>
  <c r="R52" i="1944"/>
  <c r="R51" i="1944"/>
  <c r="D50" i="1944"/>
  <c r="R49" i="1944"/>
  <c r="D49" i="1944"/>
  <c r="R48" i="1944"/>
  <c r="D48" i="1944"/>
  <c r="D46" i="1944"/>
  <c r="D45" i="1944"/>
  <c r="R44" i="1944"/>
  <c r="L28" i="1944" s="1"/>
  <c r="D28" i="1944" s="1"/>
  <c r="D44" i="1944"/>
  <c r="R42" i="1944"/>
  <c r="D42" i="1944"/>
  <c r="R41" i="1944"/>
  <c r="L7" i="1944" s="1"/>
  <c r="D7" i="1944" s="1"/>
  <c r="D41" i="1944"/>
  <c r="R40" i="1944"/>
  <c r="L8" i="1944" s="1"/>
  <c r="D8" i="1944" s="1"/>
  <c r="D40" i="1944"/>
  <c r="R39" i="1944"/>
  <c r="H39" i="1944"/>
  <c r="D39" i="1944"/>
  <c r="R38" i="1944"/>
  <c r="H38" i="1944"/>
  <c r="D38" i="1944"/>
  <c r="R37" i="1944"/>
  <c r="H37" i="1944"/>
  <c r="D37" i="1944"/>
  <c r="R36" i="1944"/>
  <c r="H36" i="1944"/>
  <c r="D36" i="1944"/>
  <c r="R35" i="1944"/>
  <c r="H35" i="1944"/>
  <c r="D35" i="1944"/>
  <c r="R34" i="1944"/>
  <c r="L12" i="1944" s="1"/>
  <c r="D12" i="1944" s="1"/>
  <c r="H34" i="1944"/>
  <c r="D34" i="1944"/>
  <c r="R33" i="1944"/>
  <c r="L19" i="1944" s="1"/>
  <c r="D19" i="1944" s="1"/>
  <c r="R32" i="1944"/>
  <c r="R31" i="1944"/>
  <c r="R30" i="1944"/>
  <c r="R29" i="1944"/>
  <c r="R28" i="1944"/>
  <c r="R27" i="1944"/>
  <c r="L27" i="1944"/>
  <c r="D27" i="1944"/>
  <c r="R26" i="1944"/>
  <c r="L26" i="1944"/>
  <c r="D26" i="1944" s="1"/>
  <c r="R25" i="1944"/>
  <c r="L25" i="1944"/>
  <c r="D25" i="1944"/>
  <c r="R24" i="1944"/>
  <c r="L24" i="1944"/>
  <c r="D24" i="1944"/>
  <c r="R23" i="1944"/>
  <c r="L23" i="1944"/>
  <c r="D23" i="1944" s="1"/>
  <c r="R22" i="1944"/>
  <c r="L22" i="1944"/>
  <c r="D22" i="1944"/>
  <c r="R21" i="1944"/>
  <c r="L17" i="1944" s="1"/>
  <c r="D17" i="1944" s="1"/>
  <c r="L21" i="1944"/>
  <c r="D21" i="1944"/>
  <c r="R20" i="1944"/>
  <c r="L20" i="1944"/>
  <c r="D20" i="1944" s="1"/>
  <c r="R19" i="1944"/>
  <c r="R18" i="1944"/>
  <c r="L18" i="1944"/>
  <c r="D18" i="1944"/>
  <c r="R17" i="1944"/>
  <c r="R16" i="1944"/>
  <c r="L16" i="1944"/>
  <c r="D16" i="1944" s="1"/>
  <c r="R15" i="1944"/>
  <c r="L15" i="1944"/>
  <c r="D15" i="1944" s="1"/>
  <c r="R14" i="1944"/>
  <c r="D14" i="1944"/>
  <c r="R13" i="1944"/>
  <c r="D13" i="1944"/>
  <c r="R12" i="1944"/>
  <c r="R11" i="1944"/>
  <c r="L11" i="1944"/>
  <c r="D11" i="1944"/>
  <c r="L10" i="1944"/>
  <c r="D10" i="1944"/>
  <c r="L9" i="1944"/>
  <c r="D9" i="1944" s="1"/>
  <c r="R6" i="1944"/>
  <c r="L6" i="1944"/>
  <c r="D6" i="1944" s="1"/>
  <c r="R5" i="1944"/>
  <c r="R4" i="1944"/>
  <c r="R52" i="1943"/>
  <c r="R51" i="1943"/>
  <c r="D50" i="1943"/>
  <c r="R49" i="1943"/>
  <c r="D49" i="1943"/>
  <c r="R48" i="1943"/>
  <c r="D48" i="1943"/>
  <c r="D46" i="1943"/>
  <c r="D45" i="1943"/>
  <c r="R44" i="1943"/>
  <c r="D44" i="1943"/>
  <c r="R42" i="1943"/>
  <c r="L6" i="1943" s="1"/>
  <c r="D6" i="1943" s="1"/>
  <c r="D42" i="1943"/>
  <c r="R41" i="1943"/>
  <c r="L7" i="1943" s="1"/>
  <c r="D7" i="1943" s="1"/>
  <c r="D41" i="1943"/>
  <c r="R40" i="1943"/>
  <c r="D40" i="1943"/>
  <c r="R39" i="1943"/>
  <c r="H39" i="1943"/>
  <c r="D39" i="1943"/>
  <c r="R38" i="1943"/>
  <c r="H38" i="1943"/>
  <c r="D38" i="1943"/>
  <c r="R37" i="1943"/>
  <c r="H37" i="1943"/>
  <c r="D37" i="1943"/>
  <c r="R36" i="1943"/>
  <c r="L10" i="1943" s="1"/>
  <c r="D10" i="1943" s="1"/>
  <c r="H36" i="1943"/>
  <c r="D36" i="1943"/>
  <c r="R35" i="1943"/>
  <c r="L18" i="1943" s="1"/>
  <c r="D18" i="1943" s="1"/>
  <c r="H35" i="1943"/>
  <c r="D35" i="1943"/>
  <c r="R34" i="1943"/>
  <c r="H34" i="1943"/>
  <c r="D34" i="1943"/>
  <c r="R33" i="1943"/>
  <c r="R32" i="1943"/>
  <c r="R31" i="1943"/>
  <c r="R30" i="1943"/>
  <c r="R29" i="1943"/>
  <c r="R28" i="1943"/>
  <c r="L28" i="1943"/>
  <c r="D28" i="1943"/>
  <c r="R27" i="1943"/>
  <c r="L27" i="1943"/>
  <c r="D27" i="1943"/>
  <c r="R26" i="1943"/>
  <c r="L26" i="1943"/>
  <c r="D26" i="1943"/>
  <c r="R25" i="1943"/>
  <c r="L25" i="1943"/>
  <c r="D25" i="1943"/>
  <c r="R24" i="1943"/>
  <c r="L24" i="1943"/>
  <c r="D24" i="1943"/>
  <c r="R23" i="1943"/>
  <c r="L23" i="1943"/>
  <c r="D23" i="1943"/>
  <c r="R22" i="1943"/>
  <c r="L20" i="1943" s="1"/>
  <c r="D20" i="1943" s="1"/>
  <c r="L22" i="1943"/>
  <c r="D22" i="1943" s="1"/>
  <c r="R21" i="1943"/>
  <c r="L21" i="1943"/>
  <c r="D21" i="1943" s="1"/>
  <c r="R20" i="1943"/>
  <c r="R19" i="1943"/>
  <c r="L19" i="1943"/>
  <c r="D19" i="1943"/>
  <c r="R18" i="1943"/>
  <c r="R17" i="1943"/>
  <c r="L17" i="1943"/>
  <c r="D17" i="1943"/>
  <c r="R16" i="1943"/>
  <c r="R15" i="1943"/>
  <c r="R14" i="1943"/>
  <c r="D14" i="1943"/>
  <c r="R13" i="1943"/>
  <c r="D13" i="1943"/>
  <c r="R12" i="1943"/>
  <c r="L12" i="1943"/>
  <c r="D12" i="1943"/>
  <c r="R11" i="1943"/>
  <c r="L11" i="1943"/>
  <c r="D11" i="1943" s="1"/>
  <c r="L9" i="1943"/>
  <c r="D9" i="1943"/>
  <c r="L8" i="1943"/>
  <c r="D8" i="1943" s="1"/>
  <c r="R6" i="1943"/>
  <c r="L16" i="1943" s="1"/>
  <c r="D16" i="1943" s="1"/>
  <c r="R5" i="1943"/>
  <c r="R4" i="1943"/>
  <c r="L15" i="1943" s="1"/>
  <c r="D15" i="1943" s="1"/>
  <c r="R52" i="1942"/>
  <c r="R51" i="1942"/>
  <c r="D50" i="1942"/>
  <c r="R49" i="1942"/>
  <c r="G49" i="1942"/>
  <c r="D49" i="1942"/>
  <c r="R48" i="1942"/>
  <c r="D48" i="1942"/>
  <c r="D46" i="1942"/>
  <c r="D45" i="1942"/>
  <c r="D44" i="1942"/>
  <c r="R42" i="1942"/>
  <c r="D42" i="1942"/>
  <c r="R41" i="1942"/>
  <c r="L7" i="1942" s="1"/>
  <c r="D7" i="1942" s="1"/>
  <c r="D41" i="1942"/>
  <c r="R40" i="1942"/>
  <c r="L8" i="1942" s="1"/>
  <c r="D8" i="1942" s="1"/>
  <c r="D40" i="1942"/>
  <c r="R39" i="1942"/>
  <c r="D39" i="1942"/>
  <c r="R38" i="1942"/>
  <c r="L9" i="1942" s="1"/>
  <c r="D9" i="1942" s="1"/>
  <c r="D38" i="1942"/>
  <c r="R37" i="1942"/>
  <c r="D37" i="1942"/>
  <c r="D54" i="1942" s="1"/>
  <c r="H14" i="1942" s="1"/>
  <c r="R36" i="1942"/>
  <c r="L10" i="1942" s="1"/>
  <c r="D10" i="1942" s="1"/>
  <c r="D36" i="1942"/>
  <c r="R35" i="1942"/>
  <c r="D35" i="1942"/>
  <c r="R34" i="1942"/>
  <c r="L12" i="1942" s="1"/>
  <c r="D12" i="1942" s="1"/>
  <c r="D34" i="1942"/>
  <c r="R33" i="1942"/>
  <c r="L23" i="1942" s="1"/>
  <c r="D23" i="1942" s="1"/>
  <c r="R32" i="1942"/>
  <c r="L11" i="1942" s="1"/>
  <c r="D11" i="1942" s="1"/>
  <c r="R31" i="1942"/>
  <c r="R30" i="1942"/>
  <c r="R29" i="1942"/>
  <c r="R28" i="1942"/>
  <c r="L16" i="1942" s="1"/>
  <c r="D16" i="1942" s="1"/>
  <c r="D28" i="1942"/>
  <c r="R27" i="1942"/>
  <c r="D27" i="1942"/>
  <c r="R26" i="1942"/>
  <c r="L26" i="1942"/>
  <c r="D26" i="1942"/>
  <c r="R25" i="1942"/>
  <c r="L25" i="1942"/>
  <c r="D25" i="1942"/>
  <c r="R24" i="1942"/>
  <c r="D24" i="1942"/>
  <c r="R23" i="1942"/>
  <c r="R22" i="1942"/>
  <c r="L22" i="1942"/>
  <c r="D22" i="1942"/>
  <c r="R21" i="1942"/>
  <c r="D21" i="1942"/>
  <c r="R20" i="1942"/>
  <c r="L20" i="1942"/>
  <c r="D20" i="1942"/>
  <c r="R19" i="1942"/>
  <c r="L19" i="1942"/>
  <c r="D19" i="1942"/>
  <c r="R18" i="1942"/>
  <c r="D18" i="1942"/>
  <c r="R17" i="1942"/>
  <c r="D17" i="1942"/>
  <c r="R16" i="1942"/>
  <c r="S15" i="1942"/>
  <c r="R15" i="1942"/>
  <c r="D15" i="1942"/>
  <c r="S14" i="1942"/>
  <c r="R14" i="1942"/>
  <c r="D14" i="1942"/>
  <c r="R13" i="1942"/>
  <c r="D13" i="1942"/>
  <c r="R12" i="1942"/>
  <c r="R11" i="1942"/>
  <c r="R6" i="1942"/>
  <c r="L6" i="1942"/>
  <c r="D6" i="1942" s="1"/>
  <c r="R5" i="1942"/>
  <c r="R4" i="1942"/>
  <c r="L28" i="1941"/>
  <c r="L27" i="1941"/>
  <c r="L26" i="1941"/>
  <c r="L25" i="1941"/>
  <c r="L24" i="1941"/>
  <c r="L23" i="1941"/>
  <c r="L22" i="1941"/>
  <c r="L21" i="1941"/>
  <c r="L20" i="1941"/>
  <c r="L19" i="1941"/>
  <c r="L18" i="1941"/>
  <c r="L17" i="1941"/>
  <c r="L16" i="1941"/>
  <c r="L15" i="1941"/>
  <c r="L12" i="1941"/>
  <c r="L11" i="1941"/>
  <c r="L10" i="1941"/>
  <c r="L9" i="1941"/>
  <c r="L8" i="1941"/>
  <c r="L7" i="1941"/>
  <c r="L6" i="1941"/>
  <c r="L28" i="1940"/>
  <c r="L27" i="1940"/>
  <c r="L26" i="1940"/>
  <c r="L25" i="1940"/>
  <c r="L24" i="1940"/>
  <c r="L23" i="1940"/>
  <c r="L22" i="1940"/>
  <c r="L21" i="1940"/>
  <c r="L20" i="1940"/>
  <c r="L19" i="1940"/>
  <c r="L18" i="1940"/>
  <c r="L17" i="1940"/>
  <c r="L16" i="1940"/>
  <c r="L15" i="1940"/>
  <c r="L12" i="1940"/>
  <c r="L11" i="1940"/>
  <c r="L10" i="1940"/>
  <c r="L9" i="1940"/>
  <c r="L8" i="1940"/>
  <c r="L7" i="1940"/>
  <c r="L6" i="1940"/>
  <c r="L27" i="1939"/>
  <c r="L26" i="1939"/>
  <c r="L25" i="1939"/>
  <c r="L24" i="1939"/>
  <c r="L23" i="1939"/>
  <c r="L22" i="1939"/>
  <c r="L21" i="1939"/>
  <c r="L20" i="1939"/>
  <c r="L18" i="1939"/>
  <c r="L17" i="1939"/>
  <c r="L15" i="1939"/>
  <c r="L19" i="1939"/>
  <c r="L16" i="1939"/>
  <c r="G49" i="1957" l="1"/>
  <c r="G49" i="1956"/>
  <c r="G49" i="1955"/>
  <c r="D54" i="1957"/>
  <c r="H14" i="1957" s="1"/>
  <c r="D54" i="1956"/>
  <c r="H14" i="1956" s="1"/>
  <c r="D54" i="1955"/>
  <c r="H14" i="1955" s="1"/>
  <c r="G49" i="1944"/>
  <c r="G49" i="1945"/>
  <c r="G49" i="1943"/>
  <c r="D54" i="1945"/>
  <c r="H14" i="1945" s="1"/>
  <c r="D54" i="1944"/>
  <c r="H14" i="1944" s="1"/>
  <c r="D29" i="1944"/>
  <c r="H13" i="1944" s="1"/>
  <c r="D54" i="1943"/>
  <c r="H14" i="1943" s="1"/>
  <c r="D29" i="1957"/>
  <c r="H13" i="1957" s="1"/>
  <c r="D29" i="1956"/>
  <c r="H13" i="1956" s="1"/>
  <c r="D29" i="1955"/>
  <c r="H13" i="1955" s="1"/>
  <c r="D29" i="1954"/>
  <c r="H13" i="1954" s="1"/>
  <c r="H15" i="1954" s="1"/>
  <c r="H29" i="1954" s="1"/>
  <c r="G51" i="1954"/>
  <c r="D29" i="1953"/>
  <c r="H13" i="1953" s="1"/>
  <c r="H15" i="1953" s="1"/>
  <c r="H29" i="1953" s="1"/>
  <c r="G51" i="1953" s="1"/>
  <c r="D29" i="1952"/>
  <c r="H13" i="1952" s="1"/>
  <c r="H15" i="1952" s="1"/>
  <c r="H29" i="1952" s="1"/>
  <c r="G51" i="1952" s="1"/>
  <c r="D29" i="1951"/>
  <c r="H13" i="1951" s="1"/>
  <c r="H15" i="1951" s="1"/>
  <c r="H29" i="1951" s="1"/>
  <c r="G51" i="1951" s="1"/>
  <c r="D29" i="1950"/>
  <c r="H13" i="1950" s="1"/>
  <c r="H15" i="1950" s="1"/>
  <c r="H29" i="1950" s="1"/>
  <c r="G51" i="1950" s="1"/>
  <c r="D29" i="1949"/>
  <c r="H13" i="1949" s="1"/>
  <c r="H15" i="1949" s="1"/>
  <c r="H29" i="1949" s="1"/>
  <c r="G51" i="1949"/>
  <c r="D29" i="1948"/>
  <c r="H13" i="1948" s="1"/>
  <c r="H15" i="1948" s="1"/>
  <c r="H29" i="1948" s="1"/>
  <c r="G51" i="1948" s="1"/>
  <c r="G51" i="1947"/>
  <c r="D29" i="1946"/>
  <c r="H13" i="1946" s="1"/>
  <c r="H15" i="1946" s="1"/>
  <c r="H29" i="1946" s="1"/>
  <c r="G51" i="1946" s="1"/>
  <c r="D29" i="1945"/>
  <c r="H13" i="1945" s="1"/>
  <c r="D29" i="1943"/>
  <c r="H13" i="1943" s="1"/>
  <c r="D29" i="1942"/>
  <c r="H13" i="1942" s="1"/>
  <c r="H15" i="1942" s="1"/>
  <c r="H29" i="1942" s="1"/>
  <c r="G51" i="1942" s="1"/>
  <c r="R52" i="1941"/>
  <c r="R51" i="1941"/>
  <c r="D50" i="1941"/>
  <c r="R49" i="1941"/>
  <c r="D49" i="1941"/>
  <c r="R48" i="1941"/>
  <c r="D48" i="1941"/>
  <c r="D46" i="1941"/>
  <c r="D45" i="1941"/>
  <c r="R44" i="1941"/>
  <c r="D28" i="1941" s="1"/>
  <c r="D44" i="1941"/>
  <c r="R42" i="1941"/>
  <c r="D42" i="1941"/>
  <c r="R41" i="1941"/>
  <c r="D41" i="1941"/>
  <c r="R40" i="1941"/>
  <c r="D40" i="1941"/>
  <c r="R39" i="1941"/>
  <c r="H39" i="1941"/>
  <c r="D39" i="1941"/>
  <c r="R38" i="1941"/>
  <c r="D9" i="1941" s="1"/>
  <c r="H38" i="1941"/>
  <c r="D38" i="1941"/>
  <c r="R37" i="1941"/>
  <c r="H37" i="1941"/>
  <c r="D37" i="1941"/>
  <c r="R36" i="1941"/>
  <c r="D10" i="1941" s="1"/>
  <c r="H36" i="1941"/>
  <c r="D36" i="1941"/>
  <c r="R35" i="1941"/>
  <c r="H35" i="1941"/>
  <c r="D35" i="1941"/>
  <c r="R34" i="1941"/>
  <c r="H34" i="1941"/>
  <c r="D34" i="1941"/>
  <c r="R33" i="1941"/>
  <c r="R32" i="1941"/>
  <c r="R31" i="1941"/>
  <c r="R30" i="1941"/>
  <c r="R29" i="1941"/>
  <c r="R28" i="1941"/>
  <c r="R27" i="1941"/>
  <c r="D27" i="1941"/>
  <c r="R26" i="1941"/>
  <c r="D26" i="1941"/>
  <c r="R25" i="1941"/>
  <c r="D25" i="1941"/>
  <c r="R24" i="1941"/>
  <c r="D24" i="1941"/>
  <c r="R23" i="1941"/>
  <c r="D23" i="1941"/>
  <c r="R22" i="1941"/>
  <c r="D22" i="1941"/>
  <c r="R21" i="1941"/>
  <c r="D21" i="1941"/>
  <c r="R20" i="1941"/>
  <c r="D20" i="1941"/>
  <c r="R19" i="1941"/>
  <c r="D19" i="1941"/>
  <c r="R18" i="1941"/>
  <c r="D18" i="1941"/>
  <c r="R17" i="1941"/>
  <c r="D17" i="1941"/>
  <c r="R16" i="1941"/>
  <c r="D16" i="1941"/>
  <c r="R15" i="1941"/>
  <c r="D15" i="1941"/>
  <c r="R14" i="1941"/>
  <c r="D14" i="1941"/>
  <c r="R13" i="1941"/>
  <c r="D13" i="1941"/>
  <c r="R12" i="1941"/>
  <c r="D12" i="1941"/>
  <c r="R11" i="1941"/>
  <c r="D11" i="1941"/>
  <c r="D8" i="1941"/>
  <c r="D7" i="1941"/>
  <c r="R6" i="1941"/>
  <c r="D6" i="1941"/>
  <c r="R5" i="1941"/>
  <c r="R4" i="1941"/>
  <c r="R52" i="1940"/>
  <c r="R51" i="1940"/>
  <c r="D50" i="1940"/>
  <c r="R49" i="1940"/>
  <c r="D49" i="1940"/>
  <c r="R48" i="1940"/>
  <c r="D48" i="1940"/>
  <c r="D46" i="1940"/>
  <c r="D45" i="1940"/>
  <c r="R44" i="1940"/>
  <c r="D44" i="1940"/>
  <c r="R42" i="1940"/>
  <c r="D42" i="1940"/>
  <c r="R41" i="1940"/>
  <c r="D41" i="1940"/>
  <c r="R40" i="1940"/>
  <c r="D40" i="1940"/>
  <c r="R39" i="1940"/>
  <c r="H39" i="1940"/>
  <c r="D39" i="1940"/>
  <c r="R38" i="1940"/>
  <c r="H38" i="1940"/>
  <c r="D38" i="1940"/>
  <c r="R37" i="1940"/>
  <c r="H37" i="1940"/>
  <c r="D37" i="1940"/>
  <c r="R36" i="1940"/>
  <c r="D10" i="1940" s="1"/>
  <c r="H36" i="1940"/>
  <c r="D36" i="1940"/>
  <c r="R35" i="1940"/>
  <c r="H35" i="1940"/>
  <c r="D35" i="1940"/>
  <c r="R34" i="1940"/>
  <c r="D12" i="1940" s="1"/>
  <c r="H34" i="1940"/>
  <c r="D34" i="1940"/>
  <c r="R33" i="1940"/>
  <c r="D23" i="1940" s="1"/>
  <c r="R32" i="1940"/>
  <c r="R31" i="1940"/>
  <c r="R30" i="1940"/>
  <c r="R29" i="1940"/>
  <c r="R28" i="1940"/>
  <c r="D28" i="1940"/>
  <c r="R27" i="1940"/>
  <c r="D27" i="1940"/>
  <c r="R26" i="1940"/>
  <c r="D26" i="1940"/>
  <c r="R25" i="1940"/>
  <c r="D25" i="1940"/>
  <c r="R24" i="1940"/>
  <c r="D24" i="1940"/>
  <c r="R23" i="1940"/>
  <c r="R22" i="1940"/>
  <c r="D22" i="1940"/>
  <c r="R21" i="1940"/>
  <c r="D17" i="1940" s="1"/>
  <c r="D21" i="1940"/>
  <c r="R20" i="1940"/>
  <c r="D20" i="1940"/>
  <c r="R19" i="1940"/>
  <c r="D19" i="1940"/>
  <c r="R18" i="1940"/>
  <c r="D18" i="1940"/>
  <c r="R17" i="1940"/>
  <c r="R16" i="1940"/>
  <c r="D16" i="1940"/>
  <c r="R15" i="1940"/>
  <c r="D15" i="1940"/>
  <c r="R14" i="1940"/>
  <c r="D14" i="1940"/>
  <c r="R13" i="1940"/>
  <c r="D13" i="1940"/>
  <c r="R12" i="1940"/>
  <c r="R11" i="1940"/>
  <c r="D11" i="1940"/>
  <c r="D9" i="1940"/>
  <c r="D8" i="1940"/>
  <c r="D7" i="1940"/>
  <c r="R6" i="1940"/>
  <c r="D6" i="1940"/>
  <c r="R5" i="1940"/>
  <c r="R4" i="1940"/>
  <c r="R52" i="1939"/>
  <c r="R51" i="1939"/>
  <c r="D50" i="1939"/>
  <c r="R49" i="1939"/>
  <c r="D49" i="1939"/>
  <c r="R48" i="1939"/>
  <c r="D48" i="1939"/>
  <c r="D46" i="1939"/>
  <c r="D45" i="1939"/>
  <c r="R44" i="1939"/>
  <c r="L28" i="1939" s="1"/>
  <c r="D28" i="1939" s="1"/>
  <c r="D44" i="1939"/>
  <c r="R42" i="1939"/>
  <c r="D42" i="1939"/>
  <c r="R41" i="1939"/>
  <c r="D41" i="1939"/>
  <c r="R40" i="1939"/>
  <c r="D40" i="1939"/>
  <c r="R39" i="1939"/>
  <c r="D20" i="1939" s="1"/>
  <c r="H39" i="1939"/>
  <c r="D39" i="1939"/>
  <c r="R38" i="1939"/>
  <c r="H38" i="1939"/>
  <c r="D38" i="1939"/>
  <c r="R37" i="1939"/>
  <c r="H37" i="1939"/>
  <c r="D37" i="1939"/>
  <c r="R36" i="1939"/>
  <c r="H36" i="1939"/>
  <c r="D36" i="1939"/>
  <c r="R35" i="1939"/>
  <c r="H35" i="1939"/>
  <c r="D35" i="1939"/>
  <c r="R34" i="1939"/>
  <c r="L12" i="1939" s="1"/>
  <c r="D12" i="1939" s="1"/>
  <c r="H34" i="1939"/>
  <c r="D34" i="1939"/>
  <c r="R33" i="1939"/>
  <c r="R32" i="1939"/>
  <c r="R31" i="1939"/>
  <c r="R30" i="1939"/>
  <c r="R29" i="1939"/>
  <c r="R28" i="1939"/>
  <c r="R27" i="1939"/>
  <c r="D27" i="1939"/>
  <c r="R26" i="1939"/>
  <c r="D26" i="1939"/>
  <c r="R25" i="1939"/>
  <c r="D25" i="1939"/>
  <c r="R24" i="1939"/>
  <c r="D24" i="1939"/>
  <c r="R23" i="1939"/>
  <c r="D23" i="1939"/>
  <c r="R22" i="1939"/>
  <c r="D22" i="1939"/>
  <c r="R21" i="1939"/>
  <c r="D21" i="1939"/>
  <c r="R20" i="1939"/>
  <c r="R19" i="1939"/>
  <c r="D19" i="1939"/>
  <c r="R18" i="1939"/>
  <c r="D18" i="1939"/>
  <c r="R17" i="1939"/>
  <c r="D17" i="1939"/>
  <c r="R16" i="1939"/>
  <c r="D16" i="1939"/>
  <c r="R15" i="1939"/>
  <c r="D15" i="1939"/>
  <c r="R14" i="1939"/>
  <c r="D14" i="1939"/>
  <c r="R13" i="1939"/>
  <c r="D13" i="1939"/>
  <c r="R12" i="1939"/>
  <c r="R11" i="1939"/>
  <c r="L11" i="1939"/>
  <c r="D11" i="1939" s="1"/>
  <c r="L10" i="1939"/>
  <c r="D10" i="1939"/>
  <c r="L9" i="1939"/>
  <c r="D9" i="1939" s="1"/>
  <c r="L8" i="1939"/>
  <c r="D8" i="1939" s="1"/>
  <c r="L7" i="1939"/>
  <c r="D7" i="1939"/>
  <c r="R6" i="1939"/>
  <c r="L6" i="1939"/>
  <c r="D6" i="1939"/>
  <c r="R5" i="1939"/>
  <c r="R4" i="1939"/>
  <c r="R52" i="1938"/>
  <c r="R51" i="1938"/>
  <c r="D50" i="1938"/>
  <c r="R49" i="1938"/>
  <c r="G49" i="1938"/>
  <c r="D49" i="1938"/>
  <c r="R48" i="1938"/>
  <c r="D48" i="1938"/>
  <c r="D46" i="1938"/>
  <c r="D45" i="1938"/>
  <c r="D44" i="1938"/>
  <c r="R42" i="1938"/>
  <c r="L6" i="1938" s="1"/>
  <c r="D6" i="1938" s="1"/>
  <c r="D42" i="1938"/>
  <c r="R41" i="1938"/>
  <c r="L7" i="1938" s="1"/>
  <c r="D7" i="1938" s="1"/>
  <c r="D41" i="1938"/>
  <c r="R40" i="1938"/>
  <c r="D40" i="1938"/>
  <c r="R39" i="1938"/>
  <c r="D39" i="1938"/>
  <c r="R38" i="1938"/>
  <c r="D38" i="1938"/>
  <c r="R37" i="1938"/>
  <c r="D37" i="1938"/>
  <c r="R36" i="1938"/>
  <c r="D36" i="1938"/>
  <c r="R35" i="1938"/>
  <c r="D35" i="1938"/>
  <c r="R34" i="1938"/>
  <c r="L12" i="1938" s="1"/>
  <c r="D12" i="1938" s="1"/>
  <c r="D34" i="1938"/>
  <c r="D54" i="1938" s="1"/>
  <c r="H14" i="1938" s="1"/>
  <c r="R33" i="1938"/>
  <c r="L23" i="1938" s="1"/>
  <c r="D23" i="1938" s="1"/>
  <c r="R32" i="1938"/>
  <c r="R31" i="1938"/>
  <c r="R30" i="1938"/>
  <c r="R29" i="1938"/>
  <c r="R28" i="1938"/>
  <c r="D28" i="1938"/>
  <c r="R27" i="1938"/>
  <c r="D27" i="1938"/>
  <c r="R26" i="1938"/>
  <c r="L26" i="1938"/>
  <c r="D26" i="1938"/>
  <c r="R25" i="1938"/>
  <c r="L25" i="1938"/>
  <c r="D25" i="1938"/>
  <c r="R24" i="1938"/>
  <c r="D24" i="1938"/>
  <c r="R23" i="1938"/>
  <c r="R22" i="1938"/>
  <c r="L22" i="1938"/>
  <c r="D22" i="1938"/>
  <c r="R21" i="1938"/>
  <c r="D21" i="1938"/>
  <c r="R20" i="1938"/>
  <c r="L20" i="1938"/>
  <c r="D20" i="1938"/>
  <c r="R19" i="1938"/>
  <c r="L19" i="1938"/>
  <c r="D19" i="1938"/>
  <c r="R18" i="1938"/>
  <c r="D18" i="1938"/>
  <c r="R17" i="1938"/>
  <c r="D17" i="1938"/>
  <c r="R16" i="1938"/>
  <c r="L16" i="1938"/>
  <c r="D16" i="1938" s="1"/>
  <c r="S15" i="1938"/>
  <c r="R15" i="1938"/>
  <c r="D15" i="1938"/>
  <c r="S14" i="1938"/>
  <c r="R14" i="1938"/>
  <c r="D14" i="1938"/>
  <c r="R13" i="1938"/>
  <c r="D13" i="1938"/>
  <c r="R12" i="1938"/>
  <c r="R11" i="1938"/>
  <c r="L11" i="1938"/>
  <c r="D11" i="1938"/>
  <c r="L10" i="1938"/>
  <c r="D10" i="1938"/>
  <c r="L9" i="1938"/>
  <c r="D9" i="1938" s="1"/>
  <c r="L8" i="1938"/>
  <c r="D8" i="1938"/>
  <c r="R6" i="1938"/>
  <c r="R5" i="1938"/>
  <c r="R4" i="1938"/>
  <c r="H15" i="1957" l="1"/>
  <c r="H29" i="1957" s="1"/>
  <c r="G51" i="1957" s="1"/>
  <c r="H15" i="1956"/>
  <c r="H29" i="1956" s="1"/>
  <c r="G51" i="1956" s="1"/>
  <c r="H15" i="1955"/>
  <c r="H29" i="1955" s="1"/>
  <c r="G51" i="1955" s="1"/>
  <c r="H15" i="1945"/>
  <c r="H29" i="1945" s="1"/>
  <c r="G51" i="1945" s="1"/>
  <c r="H15" i="1944"/>
  <c r="H29" i="1944" s="1"/>
  <c r="G51" i="1944" s="1"/>
  <c r="H15" i="1943"/>
  <c r="H29" i="1943" s="1"/>
  <c r="G51" i="1943" s="1"/>
  <c r="G49" i="1941"/>
  <c r="G49" i="1940"/>
  <c r="D54" i="1941"/>
  <c r="H14" i="1941" s="1"/>
  <c r="D54" i="1940"/>
  <c r="H14" i="1940" s="1"/>
  <c r="D54" i="1939"/>
  <c r="H14" i="1939" s="1"/>
  <c r="D29" i="1941"/>
  <c r="H13" i="1941" s="1"/>
  <c r="D29" i="1940"/>
  <c r="H13" i="1940" s="1"/>
  <c r="D29" i="1939"/>
  <c r="H13" i="1939" s="1"/>
  <c r="D29" i="1938"/>
  <c r="H13" i="1938" s="1"/>
  <c r="H15" i="1938" s="1"/>
  <c r="H29" i="1938" s="1"/>
  <c r="G51" i="1938" s="1"/>
  <c r="H15" i="1941" l="1"/>
  <c r="H29" i="1941" s="1"/>
  <c r="G51" i="1941" s="1"/>
  <c r="H15" i="1940"/>
  <c r="H29" i="1940" s="1"/>
  <c r="G51" i="1940" s="1"/>
  <c r="H15" i="1939"/>
  <c r="H29" i="1939" s="1"/>
  <c r="G51" i="1939" s="1"/>
</calcChain>
</file>

<file path=xl/sharedStrings.xml><?xml version="1.0" encoding="utf-8"?>
<sst xmlns="http://schemas.openxmlformats.org/spreadsheetml/2006/main" count="11355" uniqueCount="183">
  <si>
    <t>GUILLERMO BEVERAGE DISTRIBUTION SERVICES</t>
  </si>
  <si>
    <t>PRODUCTS</t>
  </si>
  <si>
    <t>SELLING PRICE</t>
  </si>
  <si>
    <t>EMPTIES</t>
  </si>
  <si>
    <t>TOTAL</t>
  </si>
  <si>
    <t>SALES AND CASH REMITTANCE REPORT</t>
  </si>
  <si>
    <t>NON-ALCOHOLIC BEVERAGES</t>
  </si>
  <si>
    <t>SALES</t>
  </si>
  <si>
    <t xml:space="preserve">ROUTE # </t>
  </si>
  <si>
    <t>DATE:</t>
  </si>
  <si>
    <t>CALI PINEAPPLE 330ml</t>
  </si>
  <si>
    <t>PRODUCT</t>
  </si>
  <si>
    <t># OF CASES</t>
  </si>
  <si>
    <t>AMOUNT</t>
  </si>
  <si>
    <t>CALI ICE APPLE 330ml</t>
  </si>
  <si>
    <t>RH1000</t>
  </si>
  <si>
    <t>DSP</t>
  </si>
  <si>
    <t>CALI PINEAPPLE CAN 330ml</t>
  </si>
  <si>
    <t>RH500</t>
  </si>
  <si>
    <t>CALI ICE APPLE CAN 330ml</t>
  </si>
  <si>
    <t>RH330</t>
  </si>
  <si>
    <t>DRIVER</t>
  </si>
  <si>
    <t>CALI 10 DIET CAN 330ml</t>
  </si>
  <si>
    <t>PP1000</t>
  </si>
  <si>
    <t>MAGNOLIA</t>
  </si>
  <si>
    <t>PP320</t>
  </si>
  <si>
    <t>TRUCKMAN</t>
  </si>
  <si>
    <t>FRUIT DRINK GRAPE 250ml</t>
  </si>
  <si>
    <t>SML330</t>
  </si>
  <si>
    <t>FRUIT DRINK ORANGE 250ml</t>
  </si>
  <si>
    <t>FB330</t>
  </si>
  <si>
    <t>HEALTHTEA APPLE 250ml</t>
  </si>
  <si>
    <t>MHT</t>
  </si>
  <si>
    <t>CASH REMITTANCE COMPUTATION</t>
  </si>
  <si>
    <t>HEALTHTEA LEMON 250ml</t>
  </si>
  <si>
    <t>MHT BOTTLE</t>
  </si>
  <si>
    <t>TOTAL SALES</t>
  </si>
  <si>
    <t>HEALTHTEA STRAWBERRY 250ml</t>
  </si>
  <si>
    <t>LESS: CONTAINERS RETURNED</t>
  </si>
  <si>
    <t>GROSS SALES</t>
  </si>
  <si>
    <t>ALCO BEVERAGES</t>
  </si>
  <si>
    <t>LESS:</t>
  </si>
  <si>
    <t>DISCOUNT</t>
  </si>
  <si>
    <t>PREMIUM ALL MALT 330ml</t>
  </si>
  <si>
    <t>TCS</t>
  </si>
  <si>
    <t>PREMIUM ALL MALT CAN 330ml</t>
  </si>
  <si>
    <t>COL</t>
  </si>
  <si>
    <t>KIRIN 330ml</t>
  </si>
  <si>
    <t>KIRIN CAN 330ml</t>
  </si>
  <si>
    <t>TOLL, FEES</t>
  </si>
  <si>
    <t>CERVEZA BLANCA CAN 330ml</t>
  </si>
  <si>
    <t>SUPERDRY 330ml</t>
  </si>
  <si>
    <t>SUPERDRY CAN 330ml</t>
  </si>
  <si>
    <t>CERVEZA NEGRA 330ml</t>
  </si>
  <si>
    <t>NET SALES
AMOUNT TO BE REMITTED:</t>
  </si>
  <si>
    <t>SAN MIGUEL CHOCOLATE LAGER CAN 330ml</t>
  </si>
  <si>
    <t>SAN MIG ZERO 330ml</t>
  </si>
  <si>
    <t>CONTAINERS RETURNED</t>
  </si>
  <si>
    <t>CASH BREAKDOWN</t>
  </si>
  <si>
    <t>SAN MIG LIGHT 330ml</t>
  </si>
  <si>
    <t>QTY</t>
  </si>
  <si>
    <t>PESOS</t>
  </si>
  <si>
    <t>NO. OF PCS.</t>
  </si>
  <si>
    <t>SAN MIG LIGHT CAN 330ml</t>
  </si>
  <si>
    <t>PP</t>
  </si>
  <si>
    <t>COMPLETE</t>
  </si>
  <si>
    <t>FLAVORED BEER APL/LEM/LYC 330ml</t>
  </si>
  <si>
    <t>SHELL</t>
  </si>
  <si>
    <t>FLAVORED BEER CAN APL/LEM/LY 330ml</t>
  </si>
  <si>
    <t>BOTTLES</t>
  </si>
  <si>
    <t>PALE PILSEN 320ml</t>
  </si>
  <si>
    <t>RHL/PL/GEK</t>
  </si>
  <si>
    <t>PALE PILSEN 330ml</t>
  </si>
  <si>
    <t>PALE PILSEN 1000ml</t>
  </si>
  <si>
    <t>PALE PILSEN Can 330ml</t>
  </si>
  <si>
    <t>RHP</t>
  </si>
  <si>
    <t>RED HORSE 330ml</t>
  </si>
  <si>
    <t>RED HORSE 500ml</t>
  </si>
  <si>
    <t>COINS</t>
  </si>
  <si>
    <t>RED HORSE 1000ml</t>
  </si>
  <si>
    <t>FBA/SML/RHS</t>
  </si>
  <si>
    <t>BANK</t>
  </si>
  <si>
    <t>CHECK NO.</t>
  </si>
  <si>
    <t>RED HORSE CAN 330ml</t>
  </si>
  <si>
    <t>SAN MIG FREE</t>
  </si>
  <si>
    <t>TOTAL REMITTANCE</t>
  </si>
  <si>
    <t>GOLD EAGLE 320ml</t>
  </si>
  <si>
    <t>GOLD EAGLE 1000ml</t>
  </si>
  <si>
    <t>SAN MIG HARD SELTZER 330ml</t>
  </si>
  <si>
    <t>TOTAL CONTAINERS RETURNED</t>
  </si>
  <si>
    <t>DEALER SALES PERSONEL
NAME AND SIGNATURE</t>
  </si>
  <si>
    <t>CHECKED BY: WIC/CLERK
NAME AND SIGNATURE</t>
  </si>
  <si>
    <t>RHSL</t>
  </si>
  <si>
    <t>S.I. NO.</t>
  </si>
  <si>
    <t>LESS: CREDIT</t>
  </si>
  <si>
    <t>ADD: COLLECTION</t>
  </si>
  <si>
    <t>CHOCO LAGER CAN</t>
  </si>
  <si>
    <t>RED HORSE 500 CAN</t>
  </si>
  <si>
    <t>RED HORSE SUPER 1000</t>
  </si>
  <si>
    <t>DANDAYO, RONNEL</t>
  </si>
  <si>
    <t>ENCLONAR, JEROME</t>
  </si>
  <si>
    <t>SALIG, JOVANI</t>
  </si>
  <si>
    <t>OTHERS/PROMO</t>
  </si>
  <si>
    <t>RHS BOTT.</t>
  </si>
  <si>
    <t>RHSL BOTT.</t>
  </si>
  <si>
    <t>SMLC/PPC/RHC</t>
  </si>
  <si>
    <t>SHORT / OVER</t>
  </si>
  <si>
    <t>PORMENTO, ESTEMARK</t>
  </si>
  <si>
    <t>BAOC, PRECILLANO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</si>
  <si>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>/ OVER</t>
    </r>
  </si>
  <si>
    <t>GOMORA, JURLAN</t>
  </si>
  <si>
    <t>CC/CIC/C10C</t>
  </si>
  <si>
    <r>
      <t xml:space="preserve">SHORT / </t>
    </r>
    <r>
      <rPr>
        <u/>
        <sz val="11"/>
        <rFont val="Calibri"/>
        <family val="2"/>
        <scheme val="minor"/>
      </rPr>
      <t xml:space="preserve">OVER </t>
    </r>
  </si>
  <si>
    <t>SAN MIG FREE 330ml</t>
  </si>
  <si>
    <t>SAN MIG HARD SELTZER CAN 330ml</t>
  </si>
  <si>
    <r>
      <t xml:space="preserve">SHORT / </t>
    </r>
    <r>
      <rPr>
        <u/>
        <sz val="11"/>
        <rFont val="Calibri"/>
        <family val="2"/>
        <scheme val="minor"/>
      </rPr>
      <t>OVER</t>
    </r>
  </si>
  <si>
    <t xml:space="preserve">                           RONNEL DANDAYO</t>
  </si>
  <si>
    <t>GICA, GRACE</t>
  </si>
  <si>
    <t xml:space="preserve">                            GRACE B. GICA</t>
  </si>
  <si>
    <t xml:space="preserve">                            ESTEMARK PORMENTO</t>
  </si>
  <si>
    <t>SALIG, JULIVEN</t>
  </si>
  <si>
    <t>PP BOTT.</t>
  </si>
  <si>
    <t>CB/CIB</t>
  </si>
  <si>
    <t>PAMB/CBB/SDB/CNB</t>
  </si>
  <si>
    <t>RACAZA, ALEXANDER</t>
  </si>
  <si>
    <t>FBAC/FBLC/FBLYC</t>
  </si>
  <si>
    <t>PAMC/CBC/SDC/CLC</t>
  </si>
  <si>
    <t>SMLB BOTT.</t>
  </si>
  <si>
    <t>FB BOTT</t>
  </si>
  <si>
    <t>RHP BOTT.</t>
  </si>
  <si>
    <t>SMFB BOTT.</t>
  </si>
  <si>
    <t>PSBC</t>
  </si>
  <si>
    <t>2120012964</t>
  </si>
  <si>
    <t>PNB</t>
  </si>
  <si>
    <t>BANK TRANSFER</t>
  </si>
  <si>
    <t>BALWARTE</t>
  </si>
  <si>
    <t>2130020838</t>
  </si>
  <si>
    <t>BDO</t>
  </si>
  <si>
    <t>1ST VALLEY BANK</t>
  </si>
  <si>
    <t>43026</t>
  </si>
  <si>
    <t>5089395</t>
  </si>
  <si>
    <t>149014</t>
  </si>
  <si>
    <t>2000003034</t>
  </si>
  <si>
    <r>
      <rPr>
        <u/>
        <sz val="11"/>
        <color rgb="FFFF0000"/>
        <rFont val="Calibri"/>
        <family val="2"/>
        <scheme val="minor"/>
      </rPr>
      <t>(SHORT</t>
    </r>
    <r>
      <rPr>
        <sz val="11"/>
        <color rgb="FFFF0000"/>
        <rFont val="Calibri"/>
        <family val="2"/>
        <scheme val="minor"/>
      </rPr>
      <t xml:space="preserve">) </t>
    </r>
    <r>
      <rPr>
        <sz val="11"/>
        <rFont val="Calibri"/>
        <family val="2"/>
        <scheme val="minor"/>
      </rPr>
      <t xml:space="preserve">/ OVER </t>
    </r>
  </si>
  <si>
    <t>147781</t>
  </si>
  <si>
    <t>149018</t>
  </si>
  <si>
    <t>43029</t>
  </si>
  <si>
    <t>5089396</t>
  </si>
  <si>
    <t>SMFC</t>
  </si>
  <si>
    <t>147623</t>
  </si>
  <si>
    <t>2000005932</t>
  </si>
  <si>
    <t>2000003041</t>
  </si>
  <si>
    <t>2000008065</t>
  </si>
  <si>
    <t>143511</t>
  </si>
  <si>
    <t>43030</t>
  </si>
  <si>
    <t>52598</t>
  </si>
  <si>
    <t>FB BOTT.</t>
  </si>
  <si>
    <t>2120007646</t>
  </si>
  <si>
    <t>2122212974</t>
  </si>
  <si>
    <t>2000008074</t>
  </si>
  <si>
    <t>CALI BOTT.</t>
  </si>
  <si>
    <t>G-CASH</t>
  </si>
  <si>
    <t>SOUND CHECK</t>
  </si>
  <si>
    <t>149807</t>
  </si>
  <si>
    <t>147804</t>
  </si>
  <si>
    <t>43034</t>
  </si>
  <si>
    <t>LOPEZ, GINA GRACE</t>
  </si>
  <si>
    <t>2130020855</t>
  </si>
  <si>
    <t>2000003065</t>
  </si>
  <si>
    <t>147821</t>
  </si>
  <si>
    <t>132749</t>
  </si>
  <si>
    <t>1ST VB</t>
  </si>
  <si>
    <t>5089401</t>
  </si>
  <si>
    <t>56718</t>
  </si>
  <si>
    <t>43036</t>
  </si>
  <si>
    <t>2000008088</t>
  </si>
  <si>
    <t>2000003076</t>
  </si>
  <si>
    <t>2120012986</t>
  </si>
  <si>
    <r>
      <rPr>
        <sz val="11"/>
        <color theme="1"/>
        <rFont val="Calibri"/>
        <family val="2"/>
        <scheme val="minor"/>
      </rPr>
      <t xml:space="preserve">SHORT / </t>
    </r>
    <r>
      <rPr>
        <u/>
        <sz val="11"/>
        <color theme="1"/>
        <rFont val="Calibri"/>
        <family val="2"/>
        <scheme val="minor"/>
      </rPr>
      <t>OVER</t>
    </r>
  </si>
  <si>
    <t>2000003083</t>
  </si>
  <si>
    <t>2000005953</t>
  </si>
  <si>
    <t>43040</t>
  </si>
  <si>
    <t>149928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</si>
</sst>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4" formatCode="_-&quot;₱&quot;* #,##0.00_-;\-&quot;₱&quot;* #,##0.00_-;_-&quot;₱&quot;* &quot;-&quot;??_-;_-@_-"/>
    <numFmt numFmtId="43" formatCode="_-* #,##0.00_-;\-* #,##0.00_-;_-* &quot;-&quot;??_-;_-@_-"/>
    <numFmt numFmtId="164" formatCode="[$-3409]mmmm\ dd\,\ yyyy;@"/>
    <numFmt numFmtId="165" formatCode="_-&quot;₱&quot;* #,##0.00_-;\-&quot;₱&quot;* \(#,##0.00\)_-;_-&quot;₱&quot;* &quot;-&quot;??_-;_-@_-"/>
  </numFmts>
  <fonts count="2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sz val="12"/>
      <color theme="1"/>
      <name val="Calibri"/>
      <family val="2"/>
      <scheme val="minor"/>
    </font>
    <font>
      <sz val="9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4"/>
      <color theme="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8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2"/>
      <color rgb="FFFF0000"/>
      <name val="Calibri"/>
      <family val="2"/>
      <scheme val="minor"/>
    </font>
    <font>
      <sz val="14"/>
      <color rgb="FFFF0000"/>
      <name val="Calibri"/>
      <family val="2"/>
      <scheme val="minor"/>
    </font>
    <font>
      <sz val="8"/>
      <color rgb="FFFF0000"/>
      <name val="Calibri"/>
      <family val="2"/>
      <scheme val="minor"/>
    </font>
    <font>
      <sz val="12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  <font>
      <sz val="10"/>
      <color rgb="FFFF0000"/>
      <name val="Calibri"/>
      <family val="2"/>
      <scheme val="minor"/>
    </font>
    <font>
      <b/>
      <sz val="14"/>
      <name val="Calibri"/>
      <family val="2"/>
      <scheme val="minor"/>
    </font>
    <font>
      <u/>
      <sz val="11"/>
      <color rgb="FFFF0000"/>
      <name val="Calibri"/>
      <family val="2"/>
      <scheme val="minor"/>
    </font>
    <font>
      <b/>
      <sz val="14"/>
      <color rgb="FFFF0000"/>
      <name val="Calibri"/>
      <family val="2"/>
      <scheme val="minor"/>
    </font>
    <font>
      <u/>
      <sz val="11"/>
      <name val="Calibri"/>
      <family val="2"/>
      <scheme val="minor"/>
    </font>
    <font>
      <sz val="8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u/>
      <sz val="11"/>
      <color theme="1"/>
      <name val="Calibri"/>
      <family val="2"/>
      <scheme val="minor"/>
    </font>
  </fonts>
  <fills count="5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2"/>
        <bgColor indexed="64"/>
      </patternFill>
    </fill>
  </fills>
  <borders count="5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 style="thin">
        <color indexed="64"/>
      </bottom>
      <diagonal/>
    </border>
    <border>
      <left style="thin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 style="hair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hair">
        <color indexed="64"/>
      </top>
      <bottom/>
      <diagonal/>
    </border>
    <border>
      <left style="hair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 style="hair">
        <color indexed="64"/>
      </top>
      <bottom/>
      <diagonal/>
    </border>
    <border>
      <left/>
      <right style="hair">
        <color indexed="64"/>
      </right>
      <top style="hair">
        <color indexed="64"/>
      </top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hair">
        <color indexed="64"/>
      </top>
      <bottom/>
      <diagonal/>
    </border>
    <border>
      <left style="hair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thin">
        <color indexed="64"/>
      </left>
      <right style="hair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/>
      <diagonal/>
    </border>
    <border>
      <left/>
      <right/>
      <top style="hair">
        <color indexed="64"/>
      </top>
      <bottom style="hair">
        <color indexed="64"/>
      </bottom>
      <diagonal/>
    </border>
    <border>
      <left style="hair">
        <color indexed="64"/>
      </left>
      <right/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 style="hair">
        <color indexed="64"/>
      </top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/>
      <diagonal/>
    </border>
    <border>
      <left style="hair">
        <color indexed="64"/>
      </left>
      <right style="thin">
        <color indexed="64"/>
      </right>
      <top/>
      <bottom style="thin">
        <color indexed="64"/>
      </bottom>
      <diagonal/>
    </border>
    <border>
      <left style="hair">
        <color indexed="64"/>
      </left>
      <right/>
      <top style="thin">
        <color indexed="64"/>
      </top>
      <bottom style="hair">
        <color indexed="64"/>
      </bottom>
      <diagonal/>
    </border>
    <border>
      <left style="thin">
        <color indexed="64"/>
      </left>
      <right/>
      <top style="thin">
        <color indexed="64"/>
      </top>
      <bottom style="hair">
        <color indexed="64"/>
      </bottom>
      <diagonal/>
    </border>
    <border>
      <left style="hair">
        <color indexed="64"/>
      </left>
      <right/>
      <top/>
      <bottom/>
      <diagonal/>
    </border>
    <border>
      <left/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thin">
        <color indexed="64"/>
      </bottom>
      <diagonal/>
    </border>
    <border>
      <left style="thin">
        <color indexed="64"/>
      </left>
      <right style="hair">
        <color indexed="64"/>
      </right>
      <top/>
      <bottom/>
      <diagonal/>
    </border>
    <border>
      <left/>
      <right style="hair">
        <color indexed="64"/>
      </right>
      <top/>
      <bottom/>
      <diagonal/>
    </border>
    <border>
      <left/>
      <right/>
      <top style="hair">
        <color indexed="64"/>
      </top>
      <bottom/>
      <diagonal/>
    </border>
    <border>
      <left/>
      <right style="hair">
        <color indexed="64"/>
      </right>
      <top/>
      <bottom style="hair">
        <color indexed="64"/>
      </bottom>
      <diagonal/>
    </border>
    <border>
      <left/>
      <right/>
      <top/>
      <bottom style="hair">
        <color indexed="64"/>
      </bottom>
      <diagonal/>
    </border>
    <border>
      <left/>
      <right style="hair">
        <color indexed="64"/>
      </right>
      <top style="thin">
        <color indexed="64"/>
      </top>
      <bottom style="hair">
        <color indexed="64"/>
      </bottom>
      <diagonal/>
    </border>
    <border>
      <left/>
      <right style="hair">
        <color indexed="64"/>
      </right>
      <top/>
      <bottom style="thin">
        <color indexed="64"/>
      </bottom>
      <diagonal/>
    </border>
    <border>
      <left style="hair">
        <color indexed="64"/>
      </left>
      <right/>
      <top/>
      <bottom style="thin">
        <color indexed="64"/>
      </bottom>
      <diagonal/>
    </border>
    <border>
      <left style="hair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thin">
        <color indexed="64"/>
      </right>
      <top/>
      <bottom style="hair">
        <color indexed="64"/>
      </bottom>
      <diagonal/>
    </border>
    <border>
      <left style="thin">
        <color indexed="64"/>
      </left>
      <right style="hair">
        <color indexed="64"/>
      </right>
      <top/>
      <bottom style="hair">
        <color indexed="64"/>
      </bottom>
      <diagonal/>
    </border>
    <border>
      <left style="hair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hair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43" fontId="1" fillId="0" borderId="0" applyFont="0" applyFill="0" applyBorder="0" applyAlignment="0" applyProtection="0"/>
  </cellStyleXfs>
  <cellXfs count="275">
    <xf numFmtId="0" fontId="0" fillId="0" borderId="0" xfId="0"/>
    <xf numFmtId="0" fontId="2" fillId="0" borderId="0" xfId="0" applyFont="1"/>
    <xf numFmtId="0" fontId="2" fillId="2" borderId="0" xfId="0" applyFont="1" applyFill="1" applyAlignment="1">
      <alignment horizontal="center" vertical="center"/>
    </xf>
    <xf numFmtId="0" fontId="0" fillId="2" borderId="0" xfId="0" applyFill="1"/>
    <xf numFmtId="43" fontId="0" fillId="0" borderId="0" xfId="1" applyFont="1"/>
    <xf numFmtId="43" fontId="0" fillId="2" borderId="0" xfId="0" applyNumberFormat="1" applyFill="1"/>
    <xf numFmtId="43" fontId="0" fillId="4" borderId="1" xfId="0" applyNumberFormat="1" applyFill="1" applyBorder="1"/>
    <xf numFmtId="0" fontId="0" fillId="2" borderId="1" xfId="0" applyFill="1" applyBorder="1"/>
    <xf numFmtId="0" fontId="0" fillId="0" borderId="3" xfId="0" applyBorder="1"/>
    <xf numFmtId="0" fontId="0" fillId="0" borderId="10" xfId="0" applyBorder="1" applyAlignment="1">
      <alignment horizontal="center"/>
    </xf>
    <xf numFmtId="0" fontId="4" fillId="0" borderId="16" xfId="0" applyFont="1" applyBorder="1"/>
    <xf numFmtId="0" fontId="4" fillId="0" borderId="12" xfId="0" applyFont="1" applyBorder="1"/>
    <xf numFmtId="43" fontId="4" fillId="0" borderId="16" xfId="1" applyFont="1" applyBorder="1"/>
    <xf numFmtId="43" fontId="4" fillId="0" borderId="22" xfId="1" applyFont="1" applyBorder="1"/>
    <xf numFmtId="0" fontId="0" fillId="0" borderId="16" xfId="0" applyBorder="1"/>
    <xf numFmtId="0" fontId="0" fillId="0" borderId="22" xfId="0" applyBorder="1" applyAlignment="1">
      <alignment horizontal="center"/>
    </xf>
    <xf numFmtId="0" fontId="0" fillId="0" borderId="23" xfId="0" applyBorder="1"/>
    <xf numFmtId="0" fontId="0" fillId="0" borderId="22" xfId="0" applyBorder="1"/>
    <xf numFmtId="0" fontId="0" fillId="0" borderId="18" xfId="0" applyBorder="1"/>
    <xf numFmtId="0" fontId="0" fillId="0" borderId="10" xfId="0" applyBorder="1"/>
    <xf numFmtId="0" fontId="0" fillId="0" borderId="32" xfId="0" applyBorder="1"/>
    <xf numFmtId="0" fontId="0" fillId="0" borderId="36" xfId="0" applyBorder="1"/>
    <xf numFmtId="0" fontId="0" fillId="0" borderId="37" xfId="0" applyBorder="1"/>
    <xf numFmtId="0" fontId="0" fillId="0" borderId="24" xfId="0" applyBorder="1"/>
    <xf numFmtId="0" fontId="0" fillId="0" borderId="41" xfId="0" applyBorder="1"/>
    <xf numFmtId="0" fontId="0" fillId="0" borderId="16" xfId="0" applyBorder="1" applyAlignment="1">
      <alignment horizontal="center"/>
    </xf>
    <xf numFmtId="0" fontId="3" fillId="3" borderId="40" xfId="0" applyFont="1" applyFill="1" applyBorder="1"/>
    <xf numFmtId="0" fontId="3" fillId="3" borderId="16" xfId="0" applyFont="1" applyFill="1" applyBorder="1"/>
    <xf numFmtId="0" fontId="3" fillId="3" borderId="23" xfId="0" applyFont="1" applyFill="1" applyBorder="1"/>
    <xf numFmtId="0" fontId="3" fillId="3" borderId="41" xfId="0" applyFont="1" applyFill="1" applyBorder="1"/>
    <xf numFmtId="43" fontId="4" fillId="0" borderId="18" xfId="1" applyFont="1" applyBorder="1"/>
    <xf numFmtId="43" fontId="4" fillId="0" borderId="42" xfId="1" applyFont="1" applyBorder="1"/>
    <xf numFmtId="0" fontId="3" fillId="3" borderId="12" xfId="0" applyFont="1" applyFill="1" applyBorder="1"/>
    <xf numFmtId="0" fontId="4" fillId="0" borderId="29" xfId="0" applyFont="1" applyBorder="1"/>
    <xf numFmtId="0" fontId="0" fillId="0" borderId="40" xfId="0" applyBorder="1"/>
    <xf numFmtId="0" fontId="0" fillId="0" borderId="27" xfId="0" applyBorder="1"/>
    <xf numFmtId="0" fontId="0" fillId="0" borderId="29" xfId="0" applyBorder="1"/>
    <xf numFmtId="0" fontId="4" fillId="0" borderId="16" xfId="0" applyFont="1" applyBorder="1" applyAlignment="1">
      <alignment horizontal="right"/>
    </xf>
    <xf numFmtId="0" fontId="0" fillId="0" borderId="16" xfId="0" applyBorder="1" applyAlignment="1">
      <alignment horizontal="right"/>
    </xf>
    <xf numFmtId="0" fontId="4" fillId="0" borderId="18" xfId="0" applyFont="1" applyBorder="1" applyAlignment="1">
      <alignment horizontal="right"/>
    </xf>
    <xf numFmtId="0" fontId="4" fillId="0" borderId="43" xfId="0" applyFont="1" applyBorder="1" applyAlignment="1">
      <alignment horizontal="right"/>
    </xf>
    <xf numFmtId="0" fontId="4" fillId="0" borderId="12" xfId="0" applyFont="1" applyBorder="1" applyAlignment="1">
      <alignment horizontal="right"/>
    </xf>
    <xf numFmtId="0" fontId="4" fillId="0" borderId="28" xfId="0" applyFont="1" applyBorder="1" applyAlignment="1">
      <alignment horizontal="right"/>
    </xf>
    <xf numFmtId="0" fontId="0" fillId="0" borderId="42" xfId="0" applyBorder="1"/>
    <xf numFmtId="43" fontId="4" fillId="0" borderId="40" xfId="1" applyFont="1" applyBorder="1"/>
    <xf numFmtId="43" fontId="4" fillId="0" borderId="21" xfId="1" applyFont="1" applyBorder="1"/>
    <xf numFmtId="0" fontId="0" fillId="0" borderId="21" xfId="0" applyBorder="1"/>
    <xf numFmtId="43" fontId="0" fillId="2" borderId="1" xfId="0" applyNumberFormat="1" applyFill="1" applyBorder="1"/>
    <xf numFmtId="43" fontId="4" fillId="0" borderId="23" xfId="1" applyFont="1" applyBorder="1"/>
    <xf numFmtId="0" fontId="3" fillId="3" borderId="10" xfId="0" applyFont="1" applyFill="1" applyBorder="1"/>
    <xf numFmtId="0" fontId="0" fillId="0" borderId="43" xfId="0" applyBorder="1"/>
    <xf numFmtId="0" fontId="4" fillId="0" borderId="21" xfId="0" applyFont="1" applyBorder="1"/>
    <xf numFmtId="0" fontId="4" fillId="0" borderId="10" xfId="0" applyFont="1" applyBorder="1"/>
    <xf numFmtId="0" fontId="4" fillId="0" borderId="18" xfId="0" applyFont="1" applyBorder="1"/>
    <xf numFmtId="0" fontId="4" fillId="0" borderId="27" xfId="0" applyFont="1" applyBorder="1"/>
    <xf numFmtId="0" fontId="0" fillId="0" borderId="0" xfId="0" applyAlignment="1">
      <alignment horizontal="center"/>
    </xf>
    <xf numFmtId="0" fontId="0" fillId="3" borderId="21" xfId="0" applyFill="1" applyBorder="1"/>
    <xf numFmtId="0" fontId="0" fillId="3" borderId="18" xfId="0" applyFill="1" applyBorder="1"/>
    <xf numFmtId="43" fontId="4" fillId="0" borderId="12" xfId="1" applyFont="1" applyBorder="1"/>
    <xf numFmtId="0" fontId="4" fillId="0" borderId="16" xfId="0" applyFont="1" applyBorder="1" applyAlignment="1">
      <alignment horizontal="center"/>
    </xf>
    <xf numFmtId="0" fontId="9" fillId="0" borderId="10" xfId="0" applyFont="1" applyBorder="1" applyAlignment="1">
      <alignment horizontal="left" vertical="center"/>
    </xf>
    <xf numFmtId="0" fontId="10" fillId="0" borderId="40" xfId="0" applyFont="1" applyBorder="1" applyAlignment="1">
      <alignment horizontal="left"/>
    </xf>
    <xf numFmtId="49" fontId="4" fillId="0" borderId="16" xfId="0" applyNumberFormat="1" applyFont="1" applyBorder="1" applyAlignment="1">
      <alignment horizontal="right"/>
    </xf>
    <xf numFmtId="0" fontId="4" fillId="0" borderId="23" xfId="0" applyFont="1" applyBorder="1"/>
    <xf numFmtId="0" fontId="9" fillId="0" borderId="10" xfId="0" applyFont="1" applyBorder="1" applyAlignment="1">
      <alignment horizontal="center"/>
    </xf>
    <xf numFmtId="0" fontId="4" fillId="0" borderId="41" xfId="0" applyFont="1" applyBorder="1" applyAlignment="1">
      <alignment horizontal="center"/>
    </xf>
    <xf numFmtId="0" fontId="11" fillId="0" borderId="28" xfId="0" applyFont="1" applyBorder="1" applyAlignment="1">
      <alignment horizontal="left"/>
    </xf>
    <xf numFmtId="0" fontId="11" fillId="3" borderId="10" xfId="0" applyFont="1" applyFill="1" applyBorder="1"/>
    <xf numFmtId="0" fontId="11" fillId="0" borderId="43" xfId="0" applyFont="1" applyBorder="1" applyAlignment="1">
      <alignment horizontal="left"/>
    </xf>
    <xf numFmtId="0" fontId="11" fillId="0" borderId="18" xfId="0" applyFont="1" applyBorder="1" applyAlignment="1">
      <alignment horizontal="left"/>
    </xf>
    <xf numFmtId="0" fontId="14" fillId="0" borderId="41" xfId="0" applyFont="1" applyBorder="1" applyAlignment="1">
      <alignment horizontal="left"/>
    </xf>
    <xf numFmtId="0" fontId="16" fillId="0" borderId="16" xfId="0" applyFont="1" applyBorder="1" applyAlignment="1">
      <alignment horizontal="center"/>
    </xf>
    <xf numFmtId="0" fontId="11" fillId="0" borderId="10" xfId="0" applyFont="1" applyBorder="1" applyAlignment="1">
      <alignment horizontal="center"/>
    </xf>
    <xf numFmtId="0" fontId="12" fillId="0" borderId="41" xfId="0" applyFont="1" applyBorder="1" applyAlignment="1">
      <alignment horizontal="center"/>
    </xf>
    <xf numFmtId="0" fontId="15" fillId="0" borderId="43" xfId="0" applyFont="1" applyBorder="1" applyAlignment="1">
      <alignment horizontal="right"/>
    </xf>
    <xf numFmtId="0" fontId="17" fillId="0" borderId="10" xfId="0" applyFont="1" applyBorder="1" applyAlignment="1">
      <alignment horizontal="center"/>
    </xf>
    <xf numFmtId="49" fontId="0" fillId="0" borderId="16" xfId="0" applyNumberFormat="1" applyBorder="1" applyAlignment="1">
      <alignment horizontal="right"/>
    </xf>
    <xf numFmtId="0" fontId="18" fillId="0" borderId="10" xfId="0" applyFont="1" applyBorder="1" applyAlignment="1">
      <alignment horizontal="center"/>
    </xf>
    <xf numFmtId="0" fontId="18" fillId="0" borderId="16" xfId="0" applyFont="1" applyBorder="1" applyAlignment="1">
      <alignment horizontal="center"/>
    </xf>
    <xf numFmtId="0" fontId="12" fillId="0" borderId="16" xfId="0" applyFont="1" applyBorder="1" applyAlignment="1">
      <alignment horizontal="center"/>
    </xf>
    <xf numFmtId="0" fontId="11" fillId="0" borderId="16" xfId="0" applyFont="1" applyBorder="1" applyAlignment="1">
      <alignment horizontal="center"/>
    </xf>
    <xf numFmtId="0" fontId="4" fillId="0" borderId="36" xfId="0" applyFont="1" applyBorder="1"/>
    <xf numFmtId="4" fontId="12" fillId="0" borderId="28" xfId="0" applyNumberFormat="1" applyFont="1" applyBorder="1" applyAlignment="1">
      <alignment horizontal="center"/>
    </xf>
    <xf numFmtId="49" fontId="23" fillId="0" borderId="16" xfId="0" applyNumberFormat="1" applyFont="1" applyBorder="1" applyAlignment="1">
      <alignment horizontal="right"/>
    </xf>
    <xf numFmtId="0" fontId="24" fillId="0" borderId="16" xfId="0" applyFont="1" applyBorder="1"/>
    <xf numFmtId="0" fontId="23" fillId="0" borderId="21" xfId="0" applyFont="1" applyBorder="1"/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23" fillId="0" borderId="0" xfId="0" applyFont="1"/>
    <xf numFmtId="0" fontId="23" fillId="0" borderId="10" xfId="0" applyFont="1" applyBorder="1"/>
    <xf numFmtId="0" fontId="23" fillId="0" borderId="16" xfId="0" applyFont="1" applyBorder="1"/>
    <xf numFmtId="49" fontId="0" fillId="0" borderId="16" xfId="0" applyNumberFormat="1" applyFont="1" applyBorder="1" applyAlignment="1">
      <alignment horizontal="right"/>
    </xf>
    <xf numFmtId="0" fontId="9" fillId="0" borderId="16" xfId="0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4" fillId="0" borderId="23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4" fillId="0" borderId="23" xfId="0" applyFont="1" applyBorder="1" applyAlignment="1">
      <alignment horizontal="center"/>
    </xf>
    <xf numFmtId="4" fontId="4" fillId="0" borderId="16" xfId="0" applyNumberFormat="1" applyFont="1" applyBorder="1" applyAlignment="1">
      <alignment horizontal="right"/>
    </xf>
    <xf numFmtId="0" fontId="2" fillId="0" borderId="0" xfId="0" applyFont="1" applyAlignment="1">
      <alignment horizontal="center" vertical="center"/>
    </xf>
    <xf numFmtId="0" fontId="0" fillId="0" borderId="18" xfId="0" applyBorder="1" applyAlignment="1">
      <alignment horizontal="left" vertical="center"/>
    </xf>
    <xf numFmtId="0" fontId="0" fillId="0" borderId="28" xfId="0" applyBorder="1" applyAlignment="1">
      <alignment horizontal="center"/>
    </xf>
    <xf numFmtId="0" fontId="2" fillId="0" borderId="0" xfId="0" applyFont="1" applyAlignment="1">
      <alignment horizontal="center" vertic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0" borderId="19" xfId="0" applyBorder="1" applyAlignment="1">
      <alignment horizontal="center"/>
    </xf>
    <xf numFmtId="0" fontId="0" fillId="0" borderId="31" xfId="0" applyBorder="1" applyAlignment="1">
      <alignment horizontal="left" vertical="center"/>
    </xf>
    <xf numFmtId="0" fontId="0" fillId="0" borderId="34" xfId="0" applyBorder="1" applyAlignment="1">
      <alignment horizontal="left" vertical="center"/>
    </xf>
    <xf numFmtId="0" fontId="8" fillId="0" borderId="8" xfId="0" applyFont="1" applyBorder="1" applyAlignment="1">
      <alignment horizontal="center" vertical="center"/>
    </xf>
    <xf numFmtId="0" fontId="8" fillId="0" borderId="17" xfId="0" applyFont="1" applyBorder="1" applyAlignment="1">
      <alignment horizontal="center" vertical="center"/>
    </xf>
    <xf numFmtId="0" fontId="0" fillId="0" borderId="8" xfId="0" applyBorder="1" applyAlignment="1">
      <alignment horizontal="left" vertical="center"/>
    </xf>
    <xf numFmtId="0" fontId="0" fillId="0" borderId="17" xfId="0" applyBorder="1" applyAlignment="1">
      <alignment horizontal="left" vertical="center"/>
    </xf>
    <xf numFmtId="164" fontId="0" fillId="0" borderId="6" xfId="0" applyNumberFormat="1" applyBorder="1" applyAlignment="1">
      <alignment horizontal="center" vertical="center"/>
    </xf>
    <xf numFmtId="164" fontId="0" fillId="0" borderId="7" xfId="0" applyNumberFormat="1" applyBorder="1" applyAlignment="1">
      <alignment horizontal="center" vertical="center"/>
    </xf>
    <xf numFmtId="164" fontId="0" fillId="0" borderId="25" xfId="0" applyNumberFormat="1" applyBorder="1" applyAlignment="1">
      <alignment horizontal="center" vertical="center"/>
    </xf>
    <xf numFmtId="164" fontId="0" fillId="0" borderId="26" xfId="0" applyNumberFormat="1" applyBorder="1" applyAlignment="1">
      <alignment horizontal="center" vertical="center"/>
    </xf>
    <xf numFmtId="0" fontId="5" fillId="3" borderId="8" xfId="0" applyFont="1" applyFill="1" applyBorder="1" applyAlignment="1">
      <alignment horizontal="center" vertical="center" textRotation="90"/>
    </xf>
    <xf numFmtId="0" fontId="5" fillId="3" borderId="13" xfId="0" applyFont="1" applyFill="1" applyBorder="1" applyAlignment="1">
      <alignment horizontal="center" vertical="center" textRotation="90"/>
    </xf>
    <xf numFmtId="0" fontId="5" fillId="3" borderId="17" xfId="0" applyFont="1" applyFill="1" applyBorder="1" applyAlignment="1">
      <alignment horizontal="center" vertical="center" textRotation="90"/>
    </xf>
    <xf numFmtId="0" fontId="0" fillId="0" borderId="10" xfId="0" applyBorder="1" applyAlignment="1">
      <alignment horizontal="left" vertical="center"/>
    </xf>
    <xf numFmtId="0" fontId="0" fillId="0" borderId="18" xfId="0" applyBorder="1" applyAlignment="1">
      <alignment horizontal="left" vertical="center"/>
    </xf>
    <xf numFmtId="0" fontId="7" fillId="0" borderId="27" xfId="0" applyFont="1" applyBorder="1" applyAlignment="1">
      <alignment horizontal="center" vertical="center"/>
    </xf>
    <xf numFmtId="0" fontId="7" fillId="0" borderId="41" xfId="0" applyFont="1" applyBorder="1" applyAlignment="1">
      <alignment horizontal="center" vertical="center"/>
    </xf>
    <xf numFmtId="0" fontId="7" fillId="0" borderId="22" xfId="0" applyFont="1" applyBorder="1" applyAlignment="1">
      <alignment horizontal="center" vertical="center"/>
    </xf>
    <xf numFmtId="0" fontId="7" fillId="0" borderId="29" xfId="0" applyFont="1" applyBorder="1" applyAlignment="1">
      <alignment horizontal="center" vertical="center"/>
    </xf>
    <xf numFmtId="0" fontId="7" fillId="0" borderId="43" xfId="0" applyFont="1" applyBorder="1" applyAlignment="1">
      <alignment horizontal="center" vertical="center"/>
    </xf>
    <xf numFmtId="0" fontId="7" fillId="0" borderId="42" xfId="0" applyFont="1" applyBorder="1" applyAlignment="1">
      <alignment horizontal="center" vertical="center"/>
    </xf>
    <xf numFmtId="0" fontId="0" fillId="0" borderId="21" xfId="0" applyBorder="1" applyAlignment="1">
      <alignment horizontal="left" vertical="center"/>
    </xf>
    <xf numFmtId="0" fontId="0" fillId="3" borderId="16" xfId="0" applyFill="1" applyBorder="1" applyAlignment="1">
      <alignment horizontal="center"/>
    </xf>
    <xf numFmtId="0" fontId="0" fillId="0" borderId="36" xfId="0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0" fillId="0" borderId="40" xfId="0" applyBorder="1" applyAlignment="1">
      <alignment horizontal="center" vertical="center"/>
    </xf>
    <xf numFmtId="0" fontId="0" fillId="0" borderId="29" xfId="0" applyBorder="1" applyAlignment="1">
      <alignment horizontal="center" vertical="center"/>
    </xf>
    <xf numFmtId="0" fontId="0" fillId="0" borderId="43" xfId="0" applyBorder="1" applyAlignment="1">
      <alignment horizontal="center" vertical="center"/>
    </xf>
    <xf numFmtId="0" fontId="0" fillId="0" borderId="42" xfId="0" applyBorder="1" applyAlignment="1">
      <alignment horizontal="center" vertical="center"/>
    </xf>
    <xf numFmtId="0" fontId="0" fillId="0" borderId="27" xfId="0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0" fillId="0" borderId="12" xfId="0" applyBorder="1" applyAlignment="1">
      <alignment horizontal="center"/>
    </xf>
    <xf numFmtId="0" fontId="0" fillId="0" borderId="28" xfId="0" applyBorder="1" applyAlignment="1">
      <alignment horizontal="center"/>
    </xf>
    <xf numFmtId="0" fontId="0" fillId="0" borderId="23" xfId="0" applyBorder="1" applyAlignment="1">
      <alignment horizontal="center"/>
    </xf>
    <xf numFmtId="0" fontId="0" fillId="0" borderId="12" xfId="0" applyBorder="1" applyAlignment="1">
      <alignment horizontal="left"/>
    </xf>
    <xf numFmtId="0" fontId="0" fillId="0" borderId="23" xfId="0" applyBorder="1" applyAlignment="1">
      <alignment horizontal="left"/>
    </xf>
    <xf numFmtId="43" fontId="4" fillId="0" borderId="12" xfId="1" applyFont="1" applyBorder="1" applyAlignment="1">
      <alignment horizontal="left"/>
    </xf>
    <xf numFmtId="43" fontId="4" fillId="0" borderId="28" xfId="1" applyFont="1" applyBorder="1" applyAlignment="1">
      <alignment horizontal="left"/>
    </xf>
    <xf numFmtId="43" fontId="4" fillId="0" borderId="23" xfId="1" applyFont="1" applyBorder="1" applyAlignment="1">
      <alignment horizontal="left"/>
    </xf>
    <xf numFmtId="0" fontId="11" fillId="0" borderId="12" xfId="0" applyFont="1" applyBorder="1" applyAlignment="1">
      <alignment horizontal="left"/>
    </xf>
    <xf numFmtId="0" fontId="11" fillId="0" borderId="23" xfId="0" applyFont="1" applyBorder="1" applyAlignment="1">
      <alignment horizontal="left"/>
    </xf>
    <xf numFmtId="43" fontId="12" fillId="0" borderId="12" xfId="1" applyFont="1" applyBorder="1" applyAlignment="1">
      <alignment horizontal="left"/>
    </xf>
    <xf numFmtId="43" fontId="12" fillId="0" borderId="28" xfId="1" applyFont="1" applyBorder="1" applyAlignment="1">
      <alignment horizontal="left"/>
    </xf>
    <xf numFmtId="43" fontId="12" fillId="0" borderId="23" xfId="1" applyFont="1" applyBorder="1" applyAlignment="1">
      <alignment horizontal="left"/>
    </xf>
    <xf numFmtId="0" fontId="0" fillId="0" borderId="27" xfId="0" applyBorder="1" applyAlignment="1">
      <alignment horizontal="left"/>
    </xf>
    <xf numFmtId="43" fontId="6" fillId="0" borderId="27" xfId="1" applyFont="1" applyBorder="1" applyAlignment="1">
      <alignment horizontal="right"/>
    </xf>
    <xf numFmtId="43" fontId="6" fillId="0" borderId="41" xfId="1" applyFont="1" applyBorder="1" applyAlignment="1">
      <alignment horizontal="right"/>
    </xf>
    <xf numFmtId="43" fontId="6" fillId="0" borderId="22" xfId="1" applyFont="1" applyBorder="1" applyAlignment="1">
      <alignment horizontal="right"/>
    </xf>
    <xf numFmtId="44" fontId="12" fillId="3" borderId="16" xfId="0" applyNumberFormat="1" applyFont="1" applyFill="1" applyBorder="1" applyAlignment="1">
      <alignment horizontal="center"/>
    </xf>
    <xf numFmtId="0" fontId="0" fillId="0" borderId="6" xfId="0" applyBorder="1" applyAlignment="1">
      <alignment horizontal="right" vertical="center"/>
    </xf>
    <xf numFmtId="0" fontId="0" fillId="0" borderId="4" xfId="0" applyBorder="1" applyAlignment="1">
      <alignment horizontal="right" vertical="center"/>
    </xf>
    <xf numFmtId="0" fontId="0" fillId="0" borderId="7" xfId="0" applyBorder="1" applyAlignment="1">
      <alignment horizontal="right" vertical="center"/>
    </xf>
    <xf numFmtId="0" fontId="0" fillId="0" borderId="25" xfId="0" applyBorder="1" applyAlignment="1">
      <alignment horizontal="right" vertical="center"/>
    </xf>
    <xf numFmtId="0" fontId="0" fillId="0" borderId="30" xfId="0" applyBorder="1" applyAlignment="1">
      <alignment horizontal="right" vertical="center"/>
    </xf>
    <xf numFmtId="0" fontId="0" fillId="0" borderId="26" xfId="0" applyBorder="1" applyAlignment="1">
      <alignment horizontal="right" vertical="center"/>
    </xf>
    <xf numFmtId="43" fontId="4" fillId="0" borderId="45" xfId="1" applyFont="1" applyBorder="1" applyAlignment="1">
      <alignment horizontal="left" vertical="center"/>
    </xf>
    <xf numFmtId="43" fontId="4" fillId="0" borderId="44" xfId="1" applyFont="1" applyBorder="1" applyAlignment="1">
      <alignment horizontal="left" vertical="center"/>
    </xf>
    <xf numFmtId="0" fontId="0" fillId="0" borderId="6" xfId="0" applyBorder="1" applyAlignment="1">
      <alignment horizontal="right" vertical="center" wrapText="1"/>
    </xf>
    <xf numFmtId="0" fontId="0" fillId="0" borderId="9" xfId="0" applyBorder="1" applyAlignment="1">
      <alignment horizontal="right" vertical="center" wrapText="1"/>
    </xf>
    <xf numFmtId="0" fontId="0" fillId="0" borderId="25" xfId="0" applyBorder="1" applyAlignment="1">
      <alignment horizontal="right" vertical="center" wrapText="1"/>
    </xf>
    <xf numFmtId="0" fontId="0" fillId="0" borderId="35" xfId="0" applyBorder="1" applyAlignment="1">
      <alignment horizontal="right" vertical="center" wrapText="1"/>
    </xf>
    <xf numFmtId="44" fontId="8" fillId="0" borderId="33" xfId="0" applyNumberFormat="1" applyFont="1" applyBorder="1" applyAlignment="1">
      <alignment horizontal="left" vertical="center"/>
    </xf>
    <xf numFmtId="44" fontId="8" fillId="0" borderId="2" xfId="0" applyNumberFormat="1" applyFont="1" applyBorder="1" applyAlignment="1">
      <alignment horizontal="left" vertical="center"/>
    </xf>
    <xf numFmtId="44" fontId="8" fillId="0" borderId="38" xfId="0" applyNumberFormat="1" applyFont="1" applyBorder="1" applyAlignment="1">
      <alignment horizontal="left" vertical="center"/>
    </xf>
    <xf numFmtId="44" fontId="8" fillId="0" borderId="25" xfId="0" applyNumberFormat="1" applyFont="1" applyBorder="1" applyAlignment="1">
      <alignment horizontal="left" vertical="center"/>
    </xf>
    <xf numFmtId="44" fontId="8" fillId="0" borderId="30" xfId="0" applyNumberFormat="1" applyFont="1" applyBorder="1" applyAlignment="1">
      <alignment horizontal="left" vertical="center"/>
    </xf>
    <xf numFmtId="44" fontId="8" fillId="0" borderId="26" xfId="0" applyNumberFormat="1" applyFont="1" applyBorder="1" applyAlignment="1">
      <alignment horizontal="left" vertical="center"/>
    </xf>
    <xf numFmtId="44" fontId="11" fillId="3" borderId="16" xfId="0" applyNumberFormat="1" applyFont="1" applyFill="1" applyBorder="1" applyAlignment="1">
      <alignment horizontal="right"/>
    </xf>
    <xf numFmtId="0" fontId="11" fillId="0" borderId="32" xfId="0" applyFont="1" applyBorder="1" applyAlignment="1">
      <alignment horizontal="center"/>
    </xf>
    <xf numFmtId="0" fontId="11" fillId="0" borderId="15" xfId="0" applyFont="1" applyBorder="1" applyAlignment="1">
      <alignment horizontal="center"/>
    </xf>
    <xf numFmtId="0" fontId="11" fillId="0" borderId="39" xfId="0" applyFont="1" applyBorder="1" applyAlignment="1">
      <alignment horizontal="center"/>
    </xf>
    <xf numFmtId="4" fontId="12" fillId="0" borderId="16" xfId="0" applyNumberFormat="1" applyFont="1" applyBorder="1" applyAlignment="1">
      <alignment horizontal="right"/>
    </xf>
    <xf numFmtId="4" fontId="4" fillId="0" borderId="23" xfId="0" applyNumberFormat="1" applyFont="1" applyBorder="1" applyAlignment="1">
      <alignment horizontal="right"/>
    </xf>
    <xf numFmtId="4" fontId="4" fillId="0" borderId="16" xfId="0" applyNumberFormat="1" applyFont="1" applyBorder="1" applyAlignment="1">
      <alignment horizontal="right"/>
    </xf>
    <xf numFmtId="44" fontId="4" fillId="0" borderId="27" xfId="0" applyNumberFormat="1" applyFont="1" applyBorder="1" applyAlignment="1">
      <alignment horizontal="center"/>
    </xf>
    <xf numFmtId="44" fontId="4" fillId="0" borderId="41" xfId="0" applyNumberFormat="1" applyFont="1" applyBorder="1" applyAlignment="1">
      <alignment horizontal="center"/>
    </xf>
    <xf numFmtId="44" fontId="4" fillId="0" borderId="22" xfId="0" applyNumberFormat="1" applyFont="1" applyBorder="1" applyAlignment="1">
      <alignment horizontal="center"/>
    </xf>
    <xf numFmtId="44" fontId="4" fillId="0" borderId="12" xfId="0" applyNumberFormat="1" applyFont="1" applyBorder="1" applyAlignment="1">
      <alignment horizontal="right"/>
    </xf>
    <xf numFmtId="44" fontId="4" fillId="0" borderId="28" xfId="0" applyNumberFormat="1" applyFont="1" applyBorder="1" applyAlignment="1">
      <alignment horizontal="right"/>
    </xf>
    <xf numFmtId="44" fontId="4" fillId="0" borderId="23" xfId="0" applyNumberFormat="1" applyFont="1" applyBorder="1" applyAlignment="1">
      <alignment horizontal="right"/>
    </xf>
    <xf numFmtId="44" fontId="4" fillId="0" borderId="11" xfId="0" applyNumberFormat="1" applyFont="1" applyBorder="1" applyAlignment="1">
      <alignment horizontal="right"/>
    </xf>
    <xf numFmtId="44" fontId="4" fillId="0" borderId="14" xfId="0" applyNumberFormat="1" applyFont="1" applyBorder="1" applyAlignment="1">
      <alignment horizontal="right"/>
    </xf>
    <xf numFmtId="44" fontId="4" fillId="0" borderId="19" xfId="0" applyNumberFormat="1" applyFont="1" applyBorder="1" applyAlignment="1">
      <alignment horizontal="right"/>
    </xf>
    <xf numFmtId="44" fontId="4" fillId="0" borderId="47" xfId="0" applyNumberFormat="1" applyFont="1" applyBorder="1" applyAlignment="1">
      <alignment horizontal="right"/>
    </xf>
    <xf numFmtId="44" fontId="4" fillId="0" borderId="48" xfId="0" applyNumberFormat="1" applyFont="1" applyBorder="1" applyAlignment="1">
      <alignment horizontal="right"/>
    </xf>
    <xf numFmtId="44" fontId="4" fillId="0" borderId="49" xfId="0" applyNumberFormat="1" applyFont="1" applyBorder="1" applyAlignment="1">
      <alignment horizontal="right"/>
    </xf>
    <xf numFmtId="0" fontId="0" fillId="0" borderId="24" xfId="0" applyBorder="1" applyAlignment="1">
      <alignment horizontal="center"/>
    </xf>
    <xf numFmtId="0" fontId="0" fillId="0" borderId="5" xfId="0" applyBorder="1" applyAlignment="1">
      <alignment horizontal="center"/>
    </xf>
    <xf numFmtId="0" fontId="0" fillId="0" borderId="20" xfId="0" applyBorder="1" applyAlignment="1">
      <alignment horizontal="center"/>
    </xf>
    <xf numFmtId="4" fontId="4" fillId="0" borderId="11" xfId="0" applyNumberFormat="1" applyFont="1" applyBorder="1" applyAlignment="1">
      <alignment horizontal="right"/>
    </xf>
    <xf numFmtId="4" fontId="4" fillId="0" borderId="14" xfId="0" applyNumberFormat="1" applyFont="1" applyBorder="1" applyAlignment="1">
      <alignment horizontal="right"/>
    </xf>
    <xf numFmtId="4" fontId="4" fillId="0" borderId="19" xfId="0" applyNumberFormat="1" applyFont="1" applyBorder="1" applyAlignment="1">
      <alignment horizontal="right"/>
    </xf>
    <xf numFmtId="0" fontId="5" fillId="3" borderId="10" xfId="0" applyFont="1" applyFill="1" applyBorder="1" applyAlignment="1">
      <alignment horizontal="center" vertical="center" textRotation="90"/>
    </xf>
    <xf numFmtId="0" fontId="5" fillId="3" borderId="21" xfId="0" applyFont="1" applyFill="1" applyBorder="1" applyAlignment="1">
      <alignment horizontal="center" vertical="center" textRotation="90"/>
    </xf>
    <xf numFmtId="0" fontId="5" fillId="3" borderId="18" xfId="0" applyFont="1" applyFill="1" applyBorder="1" applyAlignment="1">
      <alignment horizontal="center" vertical="center" textRotation="90"/>
    </xf>
    <xf numFmtId="0" fontId="4" fillId="0" borderId="24" xfId="0" applyFont="1" applyBorder="1" applyAlignment="1">
      <alignment horizontal="center"/>
    </xf>
    <xf numFmtId="0" fontId="4" fillId="0" borderId="5" xfId="0" applyFont="1" applyBorder="1" applyAlignment="1">
      <alignment horizontal="center"/>
    </xf>
    <xf numFmtId="0" fontId="4" fillId="0" borderId="20" xfId="0" applyFont="1" applyBorder="1" applyAlignment="1">
      <alignment horizontal="center"/>
    </xf>
    <xf numFmtId="4" fontId="4" fillId="0" borderId="16" xfId="0" applyNumberFormat="1" applyFont="1" applyBorder="1" applyAlignment="1">
      <alignment horizontal="center"/>
    </xf>
    <xf numFmtId="0" fontId="4" fillId="0" borderId="12" xfId="0" applyFont="1" applyBorder="1" applyAlignment="1">
      <alignment horizontal="center"/>
    </xf>
    <xf numFmtId="0" fontId="4" fillId="0" borderId="28" xfId="0" applyFont="1" applyBorder="1" applyAlignment="1">
      <alignment horizontal="center"/>
    </xf>
    <xf numFmtId="0" fontId="4" fillId="0" borderId="23" xfId="0" applyFont="1" applyBorder="1" applyAlignment="1">
      <alignment horizontal="center"/>
    </xf>
    <xf numFmtId="0" fontId="0" fillId="0" borderId="4" xfId="0" applyBorder="1" applyAlignment="1">
      <alignment horizontal="right" vertical="center" wrapText="1"/>
    </xf>
    <xf numFmtId="0" fontId="0" fillId="0" borderId="7" xfId="0" applyBorder="1" applyAlignment="1">
      <alignment horizontal="right" vertical="center" wrapText="1"/>
    </xf>
    <xf numFmtId="0" fontId="0" fillId="0" borderId="30" xfId="0" applyBorder="1" applyAlignment="1">
      <alignment horizontal="right" vertical="center" wrapText="1"/>
    </xf>
    <xf numFmtId="0" fontId="0" fillId="0" borderId="26" xfId="0" applyBorder="1" applyAlignment="1">
      <alignment horizontal="right" vertical="center" wrapText="1"/>
    </xf>
    <xf numFmtId="43" fontId="13" fillId="0" borderId="8" xfId="1" applyFont="1" applyBorder="1" applyAlignment="1">
      <alignment horizontal="left" vertical="center"/>
    </xf>
    <xf numFmtId="43" fontId="13" fillId="0" borderId="17" xfId="1" applyFont="1" applyBorder="1" applyAlignment="1">
      <alignment horizontal="left" vertical="center"/>
    </xf>
    <xf numFmtId="0" fontId="0" fillId="0" borderId="6" xfId="0" applyBorder="1" applyAlignment="1">
      <alignment horizontal="center" vertical="center" wrapText="1"/>
    </xf>
    <xf numFmtId="0" fontId="0" fillId="0" borderId="4" xfId="0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5" xfId="0" applyBorder="1" applyAlignment="1">
      <alignment horizontal="center" vertical="center"/>
    </xf>
    <xf numFmtId="0" fontId="0" fillId="0" borderId="30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0" fontId="0" fillId="0" borderId="46" xfId="0" applyBorder="1" applyAlignment="1">
      <alignment horizontal="right" wrapText="1"/>
    </xf>
    <xf numFmtId="0" fontId="0" fillId="0" borderId="34" xfId="0" applyBorder="1" applyAlignment="1">
      <alignment horizontal="right" wrapText="1"/>
    </xf>
    <xf numFmtId="0" fontId="3" fillId="0" borderId="10" xfId="0" applyFont="1" applyBorder="1" applyAlignment="1">
      <alignment horizontal="right" vertical="center" wrapText="1"/>
    </xf>
    <xf numFmtId="0" fontId="3" fillId="0" borderId="21" xfId="0" applyFont="1" applyBorder="1" applyAlignment="1">
      <alignment horizontal="right" vertical="center" wrapText="1"/>
    </xf>
    <xf numFmtId="165" fontId="19" fillId="0" borderId="6" xfId="0" applyNumberFormat="1" applyFont="1" applyBorder="1" applyAlignment="1">
      <alignment horizontal="left" vertical="center"/>
    </xf>
    <xf numFmtId="165" fontId="19" fillId="0" borderId="4" xfId="0" applyNumberFormat="1" applyFont="1" applyBorder="1" applyAlignment="1">
      <alignment horizontal="left" vertical="center"/>
    </xf>
    <xf numFmtId="165" fontId="19" fillId="0" borderId="7" xfId="0" applyNumberFormat="1" applyFont="1" applyBorder="1" applyAlignment="1">
      <alignment horizontal="left" vertical="center"/>
    </xf>
    <xf numFmtId="165" fontId="19" fillId="0" borderId="50" xfId="0" applyNumberFormat="1" applyFont="1" applyBorder="1" applyAlignment="1">
      <alignment horizontal="left" vertical="center"/>
    </xf>
    <xf numFmtId="165" fontId="19" fillId="0" borderId="51" xfId="0" applyNumberFormat="1" applyFont="1" applyBorder="1" applyAlignment="1">
      <alignment horizontal="left" vertical="center"/>
    </xf>
    <xf numFmtId="165" fontId="19" fillId="0" borderId="52" xfId="0" applyNumberFormat="1" applyFont="1" applyBorder="1" applyAlignment="1">
      <alignment horizontal="left" vertical="center"/>
    </xf>
    <xf numFmtId="4" fontId="12" fillId="0" borderId="23" xfId="0" applyNumberFormat="1" applyFont="1" applyBorder="1"/>
    <xf numFmtId="4" fontId="12" fillId="0" borderId="16" xfId="0" applyNumberFormat="1" applyFont="1" applyBorder="1"/>
    <xf numFmtId="4" fontId="4" fillId="0" borderId="23" xfId="0" applyNumberFormat="1" applyFont="1" applyBorder="1"/>
    <xf numFmtId="4" fontId="4" fillId="0" borderId="16" xfId="0" applyNumberFormat="1" applyFont="1" applyBorder="1"/>
    <xf numFmtId="165" fontId="21" fillId="0" borderId="6" xfId="0" applyNumberFormat="1" applyFont="1" applyBorder="1" applyAlignment="1">
      <alignment horizontal="left" vertical="center"/>
    </xf>
    <xf numFmtId="165" fontId="21" fillId="0" borderId="4" xfId="0" applyNumberFormat="1" applyFont="1" applyBorder="1" applyAlignment="1">
      <alignment horizontal="left" vertical="center"/>
    </xf>
    <xf numFmtId="165" fontId="21" fillId="0" borderId="7" xfId="0" applyNumberFormat="1" applyFont="1" applyBorder="1" applyAlignment="1">
      <alignment horizontal="left" vertical="center"/>
    </xf>
    <xf numFmtId="165" fontId="21" fillId="0" borderId="50" xfId="0" applyNumberFormat="1" applyFont="1" applyBorder="1" applyAlignment="1">
      <alignment horizontal="left" vertical="center"/>
    </xf>
    <xf numFmtId="165" fontId="21" fillId="0" borderId="51" xfId="0" applyNumberFormat="1" applyFont="1" applyBorder="1" applyAlignment="1">
      <alignment horizontal="left" vertical="center"/>
    </xf>
    <xf numFmtId="165" fontId="21" fillId="0" borderId="52" xfId="0" applyNumberFormat="1" applyFont="1" applyBorder="1" applyAlignment="1">
      <alignment horizontal="left" vertical="center"/>
    </xf>
    <xf numFmtId="44" fontId="0" fillId="3" borderId="16" xfId="0" applyNumberFormat="1" applyFill="1" applyBorder="1" applyAlignment="1">
      <alignment horizontal="right"/>
    </xf>
    <xf numFmtId="44" fontId="12" fillId="3" borderId="16" xfId="0" applyNumberFormat="1" applyFont="1" applyFill="1" applyBorder="1" applyAlignment="1">
      <alignment horizontal="right"/>
    </xf>
    <xf numFmtId="0" fontId="0" fillId="0" borderId="10" xfId="0" applyFont="1" applyBorder="1" applyAlignment="1">
      <alignment horizontal="right" vertical="center" wrapText="1"/>
    </xf>
    <xf numFmtId="0" fontId="0" fillId="0" borderId="21" xfId="0" applyFont="1" applyBorder="1" applyAlignment="1">
      <alignment horizontal="right" vertical="center" wrapText="1"/>
    </xf>
    <xf numFmtId="165" fontId="8" fillId="0" borderId="6" xfId="0" applyNumberFormat="1" applyFont="1" applyBorder="1" applyAlignment="1">
      <alignment horizontal="left" vertical="center"/>
    </xf>
    <xf numFmtId="165" fontId="8" fillId="0" borderId="4" xfId="0" applyNumberFormat="1" applyFont="1" applyBorder="1" applyAlignment="1">
      <alignment horizontal="left" vertical="center"/>
    </xf>
    <xf numFmtId="165" fontId="8" fillId="0" borderId="7" xfId="0" applyNumberFormat="1" applyFont="1" applyBorder="1" applyAlignment="1">
      <alignment horizontal="left" vertical="center"/>
    </xf>
    <xf numFmtId="165" fontId="8" fillId="0" borderId="50" xfId="0" applyNumberFormat="1" applyFont="1" applyBorder="1" applyAlignment="1">
      <alignment horizontal="left" vertical="center"/>
    </xf>
    <xf numFmtId="165" fontId="8" fillId="0" borderId="51" xfId="0" applyNumberFormat="1" applyFont="1" applyBorder="1" applyAlignment="1">
      <alignment horizontal="left" vertical="center"/>
    </xf>
    <xf numFmtId="165" fontId="8" fillId="0" borderId="52" xfId="0" applyNumberFormat="1" applyFont="1" applyBorder="1" applyAlignment="1">
      <alignment horizontal="left" vertical="center"/>
    </xf>
  </cellXfs>
  <cellStyles count="2">
    <cellStyle name="Comma" xfId="1" builtinId="3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26" Type="http://schemas.openxmlformats.org/officeDocument/2006/relationships/worksheet" Target="worksheets/sheet26.xml"/><Relationship Id="rId21" Type="http://schemas.openxmlformats.org/officeDocument/2006/relationships/worksheet" Target="worksheets/sheet21.xml"/><Relationship Id="rId42" Type="http://schemas.openxmlformats.org/officeDocument/2006/relationships/worksheet" Target="worksheets/sheet42.xml"/><Relationship Id="rId47" Type="http://schemas.openxmlformats.org/officeDocument/2006/relationships/worksheet" Target="worksheets/sheet47.xml"/><Relationship Id="rId63" Type="http://schemas.openxmlformats.org/officeDocument/2006/relationships/worksheet" Target="worksheets/sheet63.xml"/><Relationship Id="rId68" Type="http://schemas.openxmlformats.org/officeDocument/2006/relationships/worksheet" Target="worksheets/sheet68.xml"/><Relationship Id="rId84" Type="http://schemas.openxmlformats.org/officeDocument/2006/relationships/worksheet" Target="worksheets/sheet84.xml"/><Relationship Id="rId89" Type="http://schemas.openxmlformats.org/officeDocument/2006/relationships/calcChain" Target="calcChain.xml"/><Relationship Id="rId16" Type="http://schemas.openxmlformats.org/officeDocument/2006/relationships/worksheet" Target="worksheets/sheet16.xml"/><Relationship Id="rId11" Type="http://schemas.openxmlformats.org/officeDocument/2006/relationships/worksheet" Target="worksheets/sheet11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53" Type="http://schemas.openxmlformats.org/officeDocument/2006/relationships/worksheet" Target="worksheets/sheet53.xml"/><Relationship Id="rId58" Type="http://schemas.openxmlformats.org/officeDocument/2006/relationships/worksheet" Target="worksheets/sheet58.xml"/><Relationship Id="rId74" Type="http://schemas.openxmlformats.org/officeDocument/2006/relationships/worksheet" Target="worksheets/sheet74.xml"/><Relationship Id="rId79" Type="http://schemas.openxmlformats.org/officeDocument/2006/relationships/worksheet" Target="worksheets/sheet79.xml"/><Relationship Id="rId5" Type="http://schemas.openxmlformats.org/officeDocument/2006/relationships/worksheet" Target="worksheets/sheet5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worksheet" Target="worksheets/sheet43.xml"/><Relationship Id="rId48" Type="http://schemas.openxmlformats.org/officeDocument/2006/relationships/worksheet" Target="worksheets/sheet48.xml"/><Relationship Id="rId56" Type="http://schemas.openxmlformats.org/officeDocument/2006/relationships/worksheet" Target="worksheets/sheet56.xml"/><Relationship Id="rId64" Type="http://schemas.openxmlformats.org/officeDocument/2006/relationships/worksheet" Target="worksheets/sheet64.xml"/><Relationship Id="rId69" Type="http://schemas.openxmlformats.org/officeDocument/2006/relationships/worksheet" Target="worksheets/sheet69.xml"/><Relationship Id="rId77" Type="http://schemas.openxmlformats.org/officeDocument/2006/relationships/worksheet" Target="worksheets/sheet77.xml"/><Relationship Id="rId8" Type="http://schemas.openxmlformats.org/officeDocument/2006/relationships/worksheet" Target="worksheets/sheet8.xml"/><Relationship Id="rId51" Type="http://schemas.openxmlformats.org/officeDocument/2006/relationships/worksheet" Target="worksheets/sheet51.xml"/><Relationship Id="rId72" Type="http://schemas.openxmlformats.org/officeDocument/2006/relationships/worksheet" Target="worksheets/sheet72.xml"/><Relationship Id="rId80" Type="http://schemas.openxmlformats.org/officeDocument/2006/relationships/worksheet" Target="worksheets/sheet80.xml"/><Relationship Id="rId85" Type="http://schemas.openxmlformats.org/officeDocument/2006/relationships/worksheet" Target="worksheets/sheet85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46" Type="http://schemas.openxmlformats.org/officeDocument/2006/relationships/worksheet" Target="worksheets/sheet46.xml"/><Relationship Id="rId59" Type="http://schemas.openxmlformats.org/officeDocument/2006/relationships/worksheet" Target="worksheets/sheet59.xml"/><Relationship Id="rId67" Type="http://schemas.openxmlformats.org/officeDocument/2006/relationships/worksheet" Target="worksheets/sheet67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Relationship Id="rId54" Type="http://schemas.openxmlformats.org/officeDocument/2006/relationships/worksheet" Target="worksheets/sheet54.xml"/><Relationship Id="rId62" Type="http://schemas.openxmlformats.org/officeDocument/2006/relationships/worksheet" Target="worksheets/sheet62.xml"/><Relationship Id="rId70" Type="http://schemas.openxmlformats.org/officeDocument/2006/relationships/worksheet" Target="worksheets/sheet70.xml"/><Relationship Id="rId75" Type="http://schemas.openxmlformats.org/officeDocument/2006/relationships/worksheet" Target="worksheets/sheet75.xml"/><Relationship Id="rId83" Type="http://schemas.openxmlformats.org/officeDocument/2006/relationships/worksheet" Target="worksheets/sheet83.xml"/><Relationship Id="rId88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49" Type="http://schemas.openxmlformats.org/officeDocument/2006/relationships/worksheet" Target="worksheets/sheet49.xml"/><Relationship Id="rId57" Type="http://schemas.openxmlformats.org/officeDocument/2006/relationships/worksheet" Target="worksheets/sheet57.xml"/><Relationship Id="rId10" Type="http://schemas.openxmlformats.org/officeDocument/2006/relationships/worksheet" Target="worksheets/sheet10.xml"/><Relationship Id="rId31" Type="http://schemas.openxmlformats.org/officeDocument/2006/relationships/worksheet" Target="worksheets/sheet31.xml"/><Relationship Id="rId44" Type="http://schemas.openxmlformats.org/officeDocument/2006/relationships/worksheet" Target="worksheets/sheet44.xml"/><Relationship Id="rId52" Type="http://schemas.openxmlformats.org/officeDocument/2006/relationships/worksheet" Target="worksheets/sheet52.xml"/><Relationship Id="rId60" Type="http://schemas.openxmlformats.org/officeDocument/2006/relationships/worksheet" Target="worksheets/sheet60.xml"/><Relationship Id="rId65" Type="http://schemas.openxmlformats.org/officeDocument/2006/relationships/worksheet" Target="worksheets/sheet65.xml"/><Relationship Id="rId73" Type="http://schemas.openxmlformats.org/officeDocument/2006/relationships/worksheet" Target="worksheets/sheet73.xml"/><Relationship Id="rId78" Type="http://schemas.openxmlformats.org/officeDocument/2006/relationships/worksheet" Target="worksheets/sheet78.xml"/><Relationship Id="rId81" Type="http://schemas.openxmlformats.org/officeDocument/2006/relationships/worksheet" Target="worksheets/sheet81.xml"/><Relationship Id="rId86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39" Type="http://schemas.openxmlformats.org/officeDocument/2006/relationships/worksheet" Target="worksheets/sheet39.xml"/><Relationship Id="rId34" Type="http://schemas.openxmlformats.org/officeDocument/2006/relationships/worksheet" Target="worksheets/sheet34.xml"/><Relationship Id="rId50" Type="http://schemas.openxmlformats.org/officeDocument/2006/relationships/worksheet" Target="worksheets/sheet50.xml"/><Relationship Id="rId55" Type="http://schemas.openxmlformats.org/officeDocument/2006/relationships/worksheet" Target="worksheets/sheet55.xml"/><Relationship Id="rId76" Type="http://schemas.openxmlformats.org/officeDocument/2006/relationships/worksheet" Target="worksheets/sheet76.xml"/><Relationship Id="rId7" Type="http://schemas.openxmlformats.org/officeDocument/2006/relationships/worksheet" Target="worksheets/sheet7.xml"/><Relationship Id="rId71" Type="http://schemas.openxmlformats.org/officeDocument/2006/relationships/worksheet" Target="worksheets/sheet71.xml"/><Relationship Id="rId2" Type="http://schemas.openxmlformats.org/officeDocument/2006/relationships/worksheet" Target="worksheets/sheet2.xml"/><Relationship Id="rId29" Type="http://schemas.openxmlformats.org/officeDocument/2006/relationships/worksheet" Target="worksheets/sheet29.xml"/><Relationship Id="rId24" Type="http://schemas.openxmlformats.org/officeDocument/2006/relationships/worksheet" Target="worksheets/sheet24.xml"/><Relationship Id="rId40" Type="http://schemas.openxmlformats.org/officeDocument/2006/relationships/worksheet" Target="worksheets/sheet40.xml"/><Relationship Id="rId45" Type="http://schemas.openxmlformats.org/officeDocument/2006/relationships/worksheet" Target="worksheets/sheet45.xml"/><Relationship Id="rId66" Type="http://schemas.openxmlformats.org/officeDocument/2006/relationships/worksheet" Target="worksheets/sheet66.xml"/><Relationship Id="rId87" Type="http://schemas.openxmlformats.org/officeDocument/2006/relationships/styles" Target="styles.xml"/><Relationship Id="rId61" Type="http://schemas.openxmlformats.org/officeDocument/2006/relationships/worksheet" Target="worksheets/sheet61.xml"/><Relationship Id="rId82" Type="http://schemas.openxmlformats.org/officeDocument/2006/relationships/worksheet" Target="worksheets/sheet82.xml"/><Relationship Id="rId19" Type="http://schemas.openxmlformats.org/officeDocument/2006/relationships/worksheet" Target="worksheets/sheet1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1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1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1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1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2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2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2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3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3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3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4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4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4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4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5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5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5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5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66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67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68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6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0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1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2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4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5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76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7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78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7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_rels/drawing8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82.xml.rels><?xml version="1.0" encoding="UTF-8" standalone="yes"?>
<Relationships xmlns="http://schemas.openxmlformats.org/package/2006/relationships"><Relationship Id="rId1" Type="http://schemas.openxmlformats.org/officeDocument/2006/relationships/image" Target="../media/image2.png"/></Relationships>
</file>

<file path=xl/drawings/_rels/drawing83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png"/></Relationships>
</file>

<file path=xl/drawings/_rels/drawing84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8FB12D2-7709-4891-8E6C-6DBFF35FBC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95CB68-FCA5-412E-9114-A0099434BB1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BBFE61-75D5-4370-9B9A-28E3EE33837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116261D-F579-45C7-B27D-E389C8877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74AD7FA-BA60-491B-9509-23406D1A831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BB7AF26-D318-4C19-9552-F66D7D8241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8D7F34-627A-440A-B197-3AAC777C185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F2F134-68B1-423A-A0B2-D01F4FE6181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34CAC6-3CEF-44F5-8A18-3F4C8FF3114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C785943-BB03-4B09-B4B5-5E94D7701A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41B6761-DA5D-412C-B111-4C99981466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8A4B8E9-8624-4A55-88EE-5335A794271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D0F15E4-074C-44E9-9E54-E0991FECA2B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D683FF8-DFB6-4D45-BC06-819B670682C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4529C72-DE62-4B61-B5ED-BE595074C1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1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B8E7A0D-D077-478E-94E1-B2FA79CEA36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1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3281A9-1B24-4F07-9B9B-E76BB96B4C9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1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EAAC741-A985-437E-954C-142E7E2DF98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1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8C739A6-DE5A-407A-80AB-B2D77EFA4B2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358FC96-3391-436A-B8ED-CA2D9CC51BC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8AAC47D-548D-469E-BC3B-61B8E1383B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A7AE3E8-F9FD-456F-97F1-473A9C8D9C1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A17720D-BDEC-4AE8-904E-FCEAC0B298F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AD50D0F-AECC-47E5-8618-F92C2E75991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724261-D29A-40DD-8E51-26017F79A8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2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51DF308-32FE-4376-A20A-A0CD76F7746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2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85E7C-0105-4727-8D5F-C5970F3FA6B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2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35A96C1-C7AA-4E96-B915-27035C3663D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2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698BF1F-E818-4C2A-AA2E-7403AE8022D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3AFB16-50A9-42CA-958E-F89DFA86F1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5E7D12A-F63D-46E4-A465-5BBD34B93AC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7887401-B151-4EE7-B1D0-A2899F569C9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405B437-42F4-4AC3-A9D7-66BD2D3EB15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D671E85-7197-4846-93E4-A50612AE5B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578ECCD-4E50-480D-9CD9-0AB3B9B456D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3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7F54095-A669-43E3-9F6B-A38BDB34B7F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3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311EA49-C632-42F4-9330-E758BFB8D04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3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20F34A6-7FF1-4255-90EB-D8018522B61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3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256BCBA-D553-4AB5-B49E-2F5DAB611F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4E47869-F87A-416B-9128-6F1183A0FBA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576CE2A-12F8-4A9F-BCEB-EDE5D057EC5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B8D6FBB-EABF-4D87-804D-6B4E12298A8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D66242-B257-4CAB-82EE-E3598949DAE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31DC604-65F5-4605-82D2-38C6965C6C7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38327370-25A1-418A-B5C8-71CF2198062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4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769B88F-CA99-469E-961B-99D018C040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4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C1FC41-6EE7-417C-9B8D-B19BF8799A8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4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D877621-D256-4216-B969-431E5B3D594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4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F8EAEFA-8C2F-4455-A628-06CD2CF7EFF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423C7E0-841F-4617-A322-5130BCFB325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7BA3B7E-830D-4298-9259-84AB4FB506B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9AAF1B3-E35F-4102-A62D-039604FBC6E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A465261-290F-43FA-AAB9-4DCDE215E5F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F84733B-7DFF-4D02-9CAD-D309EBE71A2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AA551F-6B8E-4ED6-9CC3-6A9339D6FBC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5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2742975-8245-47D5-B15A-7C77078BA5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5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4CFA16B-063A-4796-8A2B-927A560363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5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88B5BE2-3976-4C07-96B5-9A292B43586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5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6613AB09-3D0E-4730-A75A-0FF5C53C2AB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91F4ECB-94F0-4290-818B-B4B9758678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85A4C043-F82A-47B4-BF74-0960E6F1F33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4A15FFA-9CC6-4C5E-AD40-3D9553F84FE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8D1FCE1-1D1C-4E4C-A6B6-758C46F9F0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D008653-D96B-4172-9EFB-BB23E593B4C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4E7FBC-762F-4FFB-A825-405D39AD3DF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6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068F17E3-8801-4518-83AF-E455508C315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6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53E93704-004D-47FD-AD25-4550781A391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6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FB4E6A0-6F97-4796-80BA-E44FB5F3FAE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6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3221A78-A40B-4698-9CD2-32C26EDBFCE1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18B7521-4AF7-4D9B-AF6C-AAAEC423F15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CF0FAB01-2E7F-414B-BE29-8DED6C700E6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EEE6721-CEC2-42D9-9902-B30B92C2948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4151C664-F276-448B-AF37-364C666BAC1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73A9A93-8F14-429A-AE67-00DD00BC732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5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BBAA874-0367-48AD-B33F-49FCF47F73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76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C6E427A-BEFA-4EA4-867A-40B75C079B0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77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BDC65E4B-085E-43E3-9DD2-D43D8541B6D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78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0BC8757-25E4-4ABE-A62B-F6016579AF9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79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96FF134-6B9E-4BCF-98E5-ECC87E1812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0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ECC51089-1797-4E9A-939B-C0462F878EEC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drawings/drawing8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447675</xdr:colOff>
      <xdr:row>54</xdr:row>
      <xdr:rowOff>138241</xdr:rowOff>
    </xdr:from>
    <xdr:to>
      <xdr:col>3</xdr:col>
      <xdr:colOff>371475</xdr:colOff>
      <xdr:row>57</xdr:row>
      <xdr:rowOff>171450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FE71B9DC-C3F2-42B7-9031-5C406CF09DB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638175" y="10691941"/>
          <a:ext cx="1543050" cy="604709"/>
        </a:xfrm>
        <a:prstGeom prst="rect">
          <a:avLst/>
        </a:prstGeom>
      </xdr:spPr>
    </xdr:pic>
    <xdr:clientData/>
  </xdr:twoCellAnchor>
</xdr:wsDr>
</file>

<file path=xl/drawings/drawing82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285750</xdr:colOff>
      <xdr:row>54</xdr:row>
      <xdr:rowOff>93791</xdr:rowOff>
    </xdr:from>
    <xdr:to>
      <xdr:col>3</xdr:col>
      <xdr:colOff>514350</xdr:colOff>
      <xdr:row>57</xdr:row>
      <xdr:rowOff>180974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A17DADAF-549E-49B8-A7B0-8D6D2E03BEE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 rot="10800000">
          <a:off x="476250" y="10647491"/>
          <a:ext cx="1847850" cy="658683"/>
        </a:xfrm>
        <a:prstGeom prst="rect">
          <a:avLst/>
        </a:prstGeom>
      </xdr:spPr>
    </xdr:pic>
    <xdr:clientData/>
  </xdr:twoCellAnchor>
</xdr:wsDr>
</file>

<file path=xl/drawings/drawing83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590550</xdr:colOff>
      <xdr:row>49</xdr:row>
      <xdr:rowOff>90366</xdr:rowOff>
    </xdr:from>
    <xdr:to>
      <xdr:col>3</xdr:col>
      <xdr:colOff>876300</xdr:colOff>
      <xdr:row>62</xdr:row>
      <xdr:rowOff>123825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A2C8731-10BA-4AD8-8B8C-2B0E02358D0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781050" y="9662991"/>
          <a:ext cx="1905000" cy="2538534"/>
        </a:xfrm>
        <a:prstGeom prst="rect">
          <a:avLst/>
        </a:prstGeom>
      </xdr:spPr>
    </xdr:pic>
    <xdr:clientData/>
  </xdr:twoCellAnchor>
</xdr:wsDr>
</file>

<file path=xl/drawings/drawing84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676276</xdr:colOff>
      <xdr:row>54</xdr:row>
      <xdr:rowOff>57727</xdr:rowOff>
    </xdr:from>
    <xdr:to>
      <xdr:col>3</xdr:col>
      <xdr:colOff>219076</xdr:colOff>
      <xdr:row>56</xdr:row>
      <xdr:rowOff>85724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145C5523-F5CD-4E80-ADA6-E7143D60068D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866776" y="10611427"/>
          <a:ext cx="1162050" cy="408997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9.bin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0.xml"/><Relationship Id="rId1" Type="http://schemas.openxmlformats.org/officeDocument/2006/relationships/printerSettings" Target="../printerSettings/printerSettings10.bin"/></Relationships>
</file>

<file path=xl/worksheets/_rels/sheet1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1.xml"/><Relationship Id="rId1" Type="http://schemas.openxmlformats.org/officeDocument/2006/relationships/printerSettings" Target="../printerSettings/printerSettings11.bin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2.xml"/><Relationship Id="rId1" Type="http://schemas.openxmlformats.org/officeDocument/2006/relationships/printerSettings" Target="../printerSettings/printerSettings12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3.xml"/><Relationship Id="rId1" Type="http://schemas.openxmlformats.org/officeDocument/2006/relationships/printerSettings" Target="../printerSettings/printerSettings13.bin"/></Relationships>
</file>

<file path=xl/worksheets/_rels/sheet1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4.xml"/><Relationship Id="rId1" Type="http://schemas.openxmlformats.org/officeDocument/2006/relationships/printerSettings" Target="../printerSettings/printerSettings14.bin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5.xml"/><Relationship Id="rId1" Type="http://schemas.openxmlformats.org/officeDocument/2006/relationships/printerSettings" Target="../printerSettings/printerSettings15.bin"/></Relationships>
</file>

<file path=xl/worksheets/_rels/sheet1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6.xml"/><Relationship Id="rId1" Type="http://schemas.openxmlformats.org/officeDocument/2006/relationships/printerSettings" Target="../printerSettings/printerSettings16.bin"/></Relationships>
</file>

<file path=xl/worksheets/_rels/sheet1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7.xml"/><Relationship Id="rId1" Type="http://schemas.openxmlformats.org/officeDocument/2006/relationships/printerSettings" Target="../printerSettings/printerSettings17.bin"/></Relationships>
</file>

<file path=xl/worksheets/_rels/sheet1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8.xml"/><Relationship Id="rId1" Type="http://schemas.openxmlformats.org/officeDocument/2006/relationships/printerSettings" Target="../printerSettings/printerSettings18.bin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9.xml"/><Relationship Id="rId1" Type="http://schemas.openxmlformats.org/officeDocument/2006/relationships/printerSettings" Target="../printerSettings/printerSettings19.bin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0.xml"/><Relationship Id="rId1" Type="http://schemas.openxmlformats.org/officeDocument/2006/relationships/printerSettings" Target="../printerSettings/printerSettings20.bin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1.xml"/><Relationship Id="rId1" Type="http://schemas.openxmlformats.org/officeDocument/2006/relationships/printerSettings" Target="../printerSettings/printerSettings21.bin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2.xml"/><Relationship Id="rId1" Type="http://schemas.openxmlformats.org/officeDocument/2006/relationships/printerSettings" Target="../printerSettings/printerSettings22.bin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3.xml"/><Relationship Id="rId1" Type="http://schemas.openxmlformats.org/officeDocument/2006/relationships/printerSettings" Target="../printerSettings/printerSettings23.bin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4.xml"/><Relationship Id="rId1" Type="http://schemas.openxmlformats.org/officeDocument/2006/relationships/printerSettings" Target="../printerSettings/printerSettings24.bin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5.xml"/><Relationship Id="rId1" Type="http://schemas.openxmlformats.org/officeDocument/2006/relationships/printerSettings" Target="../printerSettings/printerSettings25.bin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6.xml"/><Relationship Id="rId1" Type="http://schemas.openxmlformats.org/officeDocument/2006/relationships/printerSettings" Target="../printerSettings/printerSettings26.bin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7.xml"/><Relationship Id="rId1" Type="http://schemas.openxmlformats.org/officeDocument/2006/relationships/printerSettings" Target="../printerSettings/printerSettings27.bin"/></Relationships>
</file>

<file path=xl/worksheets/_rels/sheet2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8.xml"/><Relationship Id="rId1" Type="http://schemas.openxmlformats.org/officeDocument/2006/relationships/printerSettings" Target="../printerSettings/printerSettings28.bin"/></Relationships>
</file>

<file path=xl/worksheets/_rels/sheet3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9.xml"/><Relationship Id="rId1" Type="http://schemas.openxmlformats.org/officeDocument/2006/relationships/printerSettings" Target="../printerSettings/printerSettings29.bin"/></Relationships>
</file>

<file path=xl/worksheets/_rels/sheet3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0.xml"/><Relationship Id="rId1" Type="http://schemas.openxmlformats.org/officeDocument/2006/relationships/printerSettings" Target="../printerSettings/printerSettings30.bin"/></Relationships>
</file>

<file path=xl/worksheets/_rels/sheet3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1.xml"/><Relationship Id="rId1" Type="http://schemas.openxmlformats.org/officeDocument/2006/relationships/printerSettings" Target="../printerSettings/printerSettings31.bin"/></Relationships>
</file>

<file path=xl/worksheets/_rels/sheet3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2.xml"/><Relationship Id="rId1" Type="http://schemas.openxmlformats.org/officeDocument/2006/relationships/printerSettings" Target="../printerSettings/printerSettings32.bin"/></Relationships>
</file>

<file path=xl/worksheets/_rels/sheet3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3.xml"/><Relationship Id="rId1" Type="http://schemas.openxmlformats.org/officeDocument/2006/relationships/printerSettings" Target="../printerSettings/printerSettings33.bin"/></Relationships>
</file>

<file path=xl/worksheets/_rels/sheet3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4.xml"/><Relationship Id="rId1" Type="http://schemas.openxmlformats.org/officeDocument/2006/relationships/printerSettings" Target="../printerSettings/printerSettings34.bin"/></Relationships>
</file>

<file path=xl/worksheets/_rels/sheet3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5.xml"/><Relationship Id="rId1" Type="http://schemas.openxmlformats.org/officeDocument/2006/relationships/printerSettings" Target="../printerSettings/printerSettings35.bin"/></Relationships>
</file>

<file path=xl/worksheets/_rels/sheet3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6.xml"/><Relationship Id="rId1" Type="http://schemas.openxmlformats.org/officeDocument/2006/relationships/printerSettings" Target="../printerSettings/printerSettings36.bin"/></Relationships>
</file>

<file path=xl/worksheets/_rels/sheet3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7.xml"/><Relationship Id="rId1" Type="http://schemas.openxmlformats.org/officeDocument/2006/relationships/printerSettings" Target="../printerSettings/printerSettings37.bin"/></Relationships>
</file>

<file path=xl/worksheets/_rels/sheet3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8.xml"/><Relationship Id="rId1" Type="http://schemas.openxmlformats.org/officeDocument/2006/relationships/printerSettings" Target="../printerSettings/printerSettings38.bin"/></Relationships>
</file>

<file path=xl/worksheets/_rels/sheet4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9.xml"/><Relationship Id="rId1" Type="http://schemas.openxmlformats.org/officeDocument/2006/relationships/printerSettings" Target="../printerSettings/printerSettings39.bin"/></Relationships>
</file>

<file path=xl/worksheets/_rels/sheet4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0.xml"/><Relationship Id="rId1" Type="http://schemas.openxmlformats.org/officeDocument/2006/relationships/printerSettings" Target="../printerSettings/printerSettings40.bin"/></Relationships>
</file>

<file path=xl/worksheets/_rels/sheet4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1.xml"/><Relationship Id="rId1" Type="http://schemas.openxmlformats.org/officeDocument/2006/relationships/printerSettings" Target="../printerSettings/printerSettings41.bin"/></Relationships>
</file>

<file path=xl/worksheets/_rels/sheet4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2.xml"/><Relationship Id="rId1" Type="http://schemas.openxmlformats.org/officeDocument/2006/relationships/printerSettings" Target="../printerSettings/printerSettings42.bin"/></Relationships>
</file>

<file path=xl/worksheets/_rels/sheet4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3.xml"/><Relationship Id="rId1" Type="http://schemas.openxmlformats.org/officeDocument/2006/relationships/printerSettings" Target="../printerSettings/printerSettings43.bin"/></Relationships>
</file>

<file path=xl/worksheets/_rels/sheet4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4.xml"/><Relationship Id="rId1" Type="http://schemas.openxmlformats.org/officeDocument/2006/relationships/printerSettings" Target="../printerSettings/printerSettings44.bin"/></Relationships>
</file>

<file path=xl/worksheets/_rels/sheet4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5.xml"/><Relationship Id="rId1" Type="http://schemas.openxmlformats.org/officeDocument/2006/relationships/printerSettings" Target="../printerSettings/printerSettings45.bin"/></Relationships>
</file>

<file path=xl/worksheets/_rels/sheet4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6.xml"/><Relationship Id="rId1" Type="http://schemas.openxmlformats.org/officeDocument/2006/relationships/printerSettings" Target="../printerSettings/printerSettings46.bin"/></Relationships>
</file>

<file path=xl/worksheets/_rels/sheet4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7.xml"/><Relationship Id="rId1" Type="http://schemas.openxmlformats.org/officeDocument/2006/relationships/printerSettings" Target="../printerSettings/printerSettings47.bin"/></Relationships>
</file>

<file path=xl/worksheets/_rels/sheet4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8.xml"/><Relationship Id="rId1" Type="http://schemas.openxmlformats.org/officeDocument/2006/relationships/printerSettings" Target="../printerSettings/printerSettings48.bin"/></Relationships>
</file>

<file path=xl/worksheets/_rels/sheet5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9.xml"/><Relationship Id="rId1" Type="http://schemas.openxmlformats.org/officeDocument/2006/relationships/printerSettings" Target="../printerSettings/printerSettings49.bin"/></Relationships>
</file>

<file path=xl/worksheets/_rels/sheet5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0.xml"/><Relationship Id="rId1" Type="http://schemas.openxmlformats.org/officeDocument/2006/relationships/printerSettings" Target="../printerSettings/printerSettings50.bin"/></Relationships>
</file>

<file path=xl/worksheets/_rels/sheet5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1.xml"/><Relationship Id="rId1" Type="http://schemas.openxmlformats.org/officeDocument/2006/relationships/printerSettings" Target="../printerSettings/printerSettings51.bin"/></Relationships>
</file>

<file path=xl/worksheets/_rels/sheet5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2.xml"/><Relationship Id="rId1" Type="http://schemas.openxmlformats.org/officeDocument/2006/relationships/printerSettings" Target="../printerSettings/printerSettings52.bin"/></Relationships>
</file>

<file path=xl/worksheets/_rels/sheet5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3.xml"/><Relationship Id="rId1" Type="http://schemas.openxmlformats.org/officeDocument/2006/relationships/printerSettings" Target="../printerSettings/printerSettings53.bin"/></Relationships>
</file>

<file path=xl/worksheets/_rels/sheet5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4.xml"/><Relationship Id="rId1" Type="http://schemas.openxmlformats.org/officeDocument/2006/relationships/printerSettings" Target="../printerSettings/printerSettings54.bin"/></Relationships>
</file>

<file path=xl/worksheets/_rels/sheet5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5.xml"/><Relationship Id="rId1" Type="http://schemas.openxmlformats.org/officeDocument/2006/relationships/printerSettings" Target="../printerSettings/printerSettings55.bin"/></Relationships>
</file>

<file path=xl/worksheets/_rels/sheet5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6.xml"/><Relationship Id="rId1" Type="http://schemas.openxmlformats.org/officeDocument/2006/relationships/printerSettings" Target="../printerSettings/printerSettings56.bin"/></Relationships>
</file>

<file path=xl/worksheets/_rels/sheet5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7.xml"/><Relationship Id="rId1" Type="http://schemas.openxmlformats.org/officeDocument/2006/relationships/printerSettings" Target="../printerSettings/printerSettings57.bin"/></Relationships>
</file>

<file path=xl/worksheets/_rels/sheet5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8.xml"/><Relationship Id="rId1" Type="http://schemas.openxmlformats.org/officeDocument/2006/relationships/printerSettings" Target="../printerSettings/printerSettings58.bin"/></Relationships>
</file>

<file path=xl/worksheets/_rels/sheet6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9.xml"/><Relationship Id="rId1" Type="http://schemas.openxmlformats.org/officeDocument/2006/relationships/printerSettings" Target="../printerSettings/printerSettings59.bin"/></Relationships>
</file>

<file path=xl/worksheets/_rels/sheet6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0.xml"/><Relationship Id="rId1" Type="http://schemas.openxmlformats.org/officeDocument/2006/relationships/printerSettings" Target="../printerSettings/printerSettings60.bin"/></Relationships>
</file>

<file path=xl/worksheets/_rels/sheet6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1.xml"/><Relationship Id="rId1" Type="http://schemas.openxmlformats.org/officeDocument/2006/relationships/printerSettings" Target="../printerSettings/printerSettings61.bin"/></Relationships>
</file>

<file path=xl/worksheets/_rels/sheet6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2.xml"/><Relationship Id="rId1" Type="http://schemas.openxmlformats.org/officeDocument/2006/relationships/printerSettings" Target="../printerSettings/printerSettings62.bin"/></Relationships>
</file>

<file path=xl/worksheets/_rels/sheet6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3.xml"/><Relationship Id="rId1" Type="http://schemas.openxmlformats.org/officeDocument/2006/relationships/printerSettings" Target="../printerSettings/printerSettings63.bin"/></Relationships>
</file>

<file path=xl/worksheets/_rels/sheet6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4.xml"/><Relationship Id="rId1" Type="http://schemas.openxmlformats.org/officeDocument/2006/relationships/printerSettings" Target="../printerSettings/printerSettings64.bin"/></Relationships>
</file>

<file path=xl/worksheets/_rels/sheet6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5.xml"/><Relationship Id="rId1" Type="http://schemas.openxmlformats.org/officeDocument/2006/relationships/printerSettings" Target="../printerSettings/printerSettings65.bin"/></Relationships>
</file>

<file path=xl/worksheets/_rels/sheet6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6.xml"/><Relationship Id="rId1" Type="http://schemas.openxmlformats.org/officeDocument/2006/relationships/printerSettings" Target="../printerSettings/printerSettings66.bin"/></Relationships>
</file>

<file path=xl/worksheets/_rels/sheet6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7.xml"/><Relationship Id="rId1" Type="http://schemas.openxmlformats.org/officeDocument/2006/relationships/printerSettings" Target="../printerSettings/printerSettings67.bin"/></Relationships>
</file>

<file path=xl/worksheets/_rels/sheet6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8.xml"/><Relationship Id="rId1" Type="http://schemas.openxmlformats.org/officeDocument/2006/relationships/printerSettings" Target="../printerSettings/printerSettings68.bin"/></Relationships>
</file>

<file path=xl/worksheets/_rels/sheet7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9.xml"/><Relationship Id="rId1" Type="http://schemas.openxmlformats.org/officeDocument/2006/relationships/printerSettings" Target="../printerSettings/printerSettings69.bin"/></Relationships>
</file>

<file path=xl/worksheets/_rels/sheet7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0.xml"/><Relationship Id="rId1" Type="http://schemas.openxmlformats.org/officeDocument/2006/relationships/printerSettings" Target="../printerSettings/printerSettings70.bin"/></Relationships>
</file>

<file path=xl/worksheets/_rels/sheet7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1.xml"/><Relationship Id="rId1" Type="http://schemas.openxmlformats.org/officeDocument/2006/relationships/printerSettings" Target="../printerSettings/printerSettings71.bin"/></Relationships>
</file>

<file path=xl/worksheets/_rels/sheet7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2.xml"/><Relationship Id="rId1" Type="http://schemas.openxmlformats.org/officeDocument/2006/relationships/printerSettings" Target="../printerSettings/printerSettings72.bin"/></Relationships>
</file>

<file path=xl/worksheets/_rels/sheet7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3.xml"/><Relationship Id="rId1" Type="http://schemas.openxmlformats.org/officeDocument/2006/relationships/printerSettings" Target="../printerSettings/printerSettings73.bin"/></Relationships>
</file>

<file path=xl/worksheets/_rels/sheet7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4.xml"/><Relationship Id="rId1" Type="http://schemas.openxmlformats.org/officeDocument/2006/relationships/printerSettings" Target="../printerSettings/printerSettings74.bin"/></Relationships>
</file>

<file path=xl/worksheets/_rels/sheet7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5.xml"/><Relationship Id="rId1" Type="http://schemas.openxmlformats.org/officeDocument/2006/relationships/printerSettings" Target="../printerSettings/printerSettings75.bin"/></Relationships>
</file>

<file path=xl/worksheets/_rels/sheet7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6.xml"/><Relationship Id="rId1" Type="http://schemas.openxmlformats.org/officeDocument/2006/relationships/printerSettings" Target="../printerSettings/printerSettings76.bin"/></Relationships>
</file>

<file path=xl/worksheets/_rels/sheet7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7.xml"/><Relationship Id="rId1" Type="http://schemas.openxmlformats.org/officeDocument/2006/relationships/printerSettings" Target="../printerSettings/printerSettings77.bin"/></Relationships>
</file>

<file path=xl/worksheets/_rels/sheet79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8.xml"/><Relationship Id="rId1" Type="http://schemas.openxmlformats.org/officeDocument/2006/relationships/printerSettings" Target="../printerSettings/printerSettings78.bin"/></Relationships>
</file>

<file path=xl/worksheets/_rels/sheet80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9.xml"/><Relationship Id="rId1" Type="http://schemas.openxmlformats.org/officeDocument/2006/relationships/printerSettings" Target="../printerSettings/printerSettings79.bin"/></Relationships>
</file>

<file path=xl/worksheets/_rels/sheet8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0.xml"/><Relationship Id="rId1" Type="http://schemas.openxmlformats.org/officeDocument/2006/relationships/printerSettings" Target="../printerSettings/printerSettings80.bin"/></Relationships>
</file>

<file path=xl/worksheets/_rels/sheet8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1.xml"/><Relationship Id="rId1" Type="http://schemas.openxmlformats.org/officeDocument/2006/relationships/printerSettings" Target="../printerSettings/printerSettings81.bin"/></Relationships>
</file>

<file path=xl/worksheets/_rels/sheet8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2.xml"/><Relationship Id="rId1" Type="http://schemas.openxmlformats.org/officeDocument/2006/relationships/printerSettings" Target="../printerSettings/printerSettings82.bin"/></Relationships>
</file>

<file path=xl/worksheets/_rels/sheet8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3.xml"/><Relationship Id="rId1" Type="http://schemas.openxmlformats.org/officeDocument/2006/relationships/printerSettings" Target="../printerSettings/printerSettings83.bin"/></Relationships>
</file>

<file path=xl/worksheets/_rels/sheet8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4.xml"/><Relationship Id="rId1" Type="http://schemas.openxmlformats.org/officeDocument/2006/relationships/printerSettings" Target="../printerSettings/printerSettings8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4E2826-7E98-4473-9814-1B8909A373CC}">
  <dimension ref="A1"/>
  <sheetViews>
    <sheetView workbookViewId="0">
      <selection activeCell="I4" sqref="I4:J5"/>
    </sheetView>
  </sheetViews>
  <sheetFormatPr defaultRowHeight="15" x14ac:dyDescent="0.25"/>
  <sheetData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150227-4F2A-4EB6-8A59-6A39C9C817A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88" t="s">
        <v>2</v>
      </c>
      <c r="Q1" s="8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8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8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B78FBB-89F6-4124-A47C-716C2FB9345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46113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644</v>
      </c>
      <c r="D6" s="13">
        <f t="shared" ref="D6:D28" si="1">C6*L6</f>
        <v>490084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3</v>
      </c>
      <c r="D7" s="13">
        <f t="shared" si="1"/>
        <v>2343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71</v>
      </c>
      <c r="D9" s="13">
        <f t="shared" si="1"/>
        <v>52043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8</v>
      </c>
      <c r="D13" s="48">
        <f t="shared" si="1"/>
        <v>2456</v>
      </c>
      <c r="F13" s="165" t="s">
        <v>36</v>
      </c>
      <c r="G13" s="166"/>
      <c r="H13" s="167">
        <f>D29</f>
        <v>554839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4</v>
      </c>
      <c r="D14" s="31">
        <f t="shared" si="1"/>
        <v>44</v>
      </c>
      <c r="F14" s="170" t="s">
        <v>38</v>
      </c>
      <c r="G14" s="171"/>
      <c r="H14" s="172">
        <f>D54</f>
        <v>79868.25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1</v>
      </c>
      <c r="D15" s="31">
        <f t="shared" si="1"/>
        <v>620</v>
      </c>
      <c r="F15" s="175" t="s">
        <v>39</v>
      </c>
      <c r="G15" s="166"/>
      <c r="H15" s="176">
        <f>H13-H14</f>
        <v>474970.75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 t="s">
        <v>135</v>
      </c>
      <c r="G22" s="73">
        <v>9961</v>
      </c>
      <c r="H22" s="202">
        <v>92259</v>
      </c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 t="s">
        <v>135</v>
      </c>
      <c r="G26" s="65">
        <v>9736</v>
      </c>
      <c r="H26" s="204">
        <v>94558</v>
      </c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86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>
        <v>5</v>
      </c>
      <c r="D28" s="48">
        <f t="shared" si="1"/>
        <v>4055</v>
      </c>
      <c r="F28" s="8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554839</v>
      </c>
      <c r="F29" s="188" t="s">
        <v>54</v>
      </c>
      <c r="G29" s="189"/>
      <c r="H29" s="192">
        <f>H15-H16-H17-H18-H19-H20-H22-H23-H24+H26+H27+H28</f>
        <v>477269.75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273</v>
      </c>
      <c r="H34" s="220">
        <f t="shared" ref="H34:H39" si="2">F34*G34</f>
        <v>273000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0">
        <f t="shared" si="2"/>
        <v>200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682</v>
      </c>
      <c r="D37" s="12">
        <f>C37*111</f>
        <v>75702</v>
      </c>
      <c r="F37" s="12">
        <v>100</v>
      </c>
      <c r="G37" s="39">
        <v>16</v>
      </c>
      <c r="H37" s="220">
        <f t="shared" si="2"/>
        <v>1600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6</v>
      </c>
      <c r="H38" s="220">
        <f t="shared" si="2"/>
        <v>300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9</v>
      </c>
      <c r="D40" s="12">
        <f>C40*111</f>
        <v>999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0">
        <v>70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8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4</v>
      </c>
      <c r="D44" s="12">
        <f>C44*120</f>
        <v>480</v>
      </c>
      <c r="F44" s="37" t="s">
        <v>131</v>
      </c>
      <c r="G44" s="99" t="s">
        <v>132</v>
      </c>
      <c r="H44" s="204">
        <v>73932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 t="s">
        <v>133</v>
      </c>
      <c r="G45" s="83" t="s">
        <v>134</v>
      </c>
      <c r="H45" s="204">
        <v>20000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 t="s">
        <v>133</v>
      </c>
      <c r="G46" s="83" t="s">
        <v>134</v>
      </c>
      <c r="H46" s="204">
        <v>13540</v>
      </c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37" t="s">
        <v>133</v>
      </c>
      <c r="G47" s="83" t="s">
        <v>134</v>
      </c>
      <c r="H47" s="204">
        <v>94558</v>
      </c>
      <c r="I47" s="204"/>
      <c r="J47" s="204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H34+H35+H36+H37+H38+H39+H40+H41+G42+H44+H45+H46+H47</f>
        <v>477220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-49.75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79868.25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566B91-10C1-481F-99C6-8F01575E813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46113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339</v>
      </c>
      <c r="D6" s="13">
        <f t="shared" ref="D6:D28" si="1">C6*L6</f>
        <v>257979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13</v>
      </c>
      <c r="D7" s="13">
        <f t="shared" si="1"/>
        <v>10153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70</v>
      </c>
      <c r="D8" s="13">
        <f t="shared" si="1"/>
        <v>76510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</v>
      </c>
      <c r="D9" s="13">
        <f t="shared" si="1"/>
        <v>1466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3</v>
      </c>
      <c r="D11" s="13">
        <f t="shared" si="1"/>
        <v>3510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3+1</f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6</v>
      </c>
      <c r="D13" s="48">
        <f t="shared" si="1"/>
        <v>1842</v>
      </c>
      <c r="F13" s="165" t="s">
        <v>36</v>
      </c>
      <c r="G13" s="166"/>
      <c r="H13" s="167">
        <f>D29</f>
        <v>356469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4</v>
      </c>
      <c r="D14" s="31">
        <f t="shared" si="1"/>
        <v>44</v>
      </c>
      <c r="F14" s="170" t="s">
        <v>38</v>
      </c>
      <c r="G14" s="171"/>
      <c r="H14" s="172">
        <f>D54</f>
        <v>50412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306057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1356</f>
        <v>1356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>
        <v>12</v>
      </c>
      <c r="D21" s="48">
        <f t="shared" si="1"/>
        <v>543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>
        <v>12</v>
      </c>
      <c r="D24" s="48">
        <f t="shared" si="1"/>
        <v>454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8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356469</v>
      </c>
      <c r="F29" s="188" t="s">
        <v>54</v>
      </c>
      <c r="G29" s="189"/>
      <c r="H29" s="192">
        <f>H15-H16-H17-H18-H19-H20-H22-H23-H24+H26+H27</f>
        <v>304701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20">
        <f>F34*G34</f>
        <v>145000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19</v>
      </c>
      <c r="H35" s="220">
        <f t="shared" ref="H35:H39" si="2">F35*G35</f>
        <v>9500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0">
        <f>F36*G36</f>
        <v>200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355</v>
      </c>
      <c r="D37" s="12">
        <f>C37*111</f>
        <v>39405</v>
      </c>
      <c r="F37" s="12">
        <v>100</v>
      </c>
      <c r="G37" s="39">
        <v>2</v>
      </c>
      <c r="H37" s="220">
        <f t="shared" si="2"/>
        <v>200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73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8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83</v>
      </c>
      <c r="D44" s="12">
        <f>C44*120</f>
        <v>9960</v>
      </c>
      <c r="F44" s="37" t="s">
        <v>131</v>
      </c>
      <c r="G44" s="99" t="s">
        <v>136</v>
      </c>
      <c r="H44" s="204">
        <v>149988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8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6</v>
      </c>
      <c r="D49" s="12">
        <f>C49*42</f>
        <v>252</v>
      </c>
      <c r="F49" s="245" t="s">
        <v>85</v>
      </c>
      <c r="G49" s="192">
        <f>H34+H35+H36+H37+H38+H39+H40+H41+G42+H44+H45+H46</f>
        <v>304961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260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50412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A309B54-23EF-4CDB-B1EE-F9983FC487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88" t="s">
        <v>2</v>
      </c>
      <c r="Q1" s="8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46113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482</v>
      </c>
      <c r="D6" s="13">
        <f t="shared" ref="D6:D28" si="1">C6*L6</f>
        <v>366802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17</v>
      </c>
      <c r="D7" s="13">
        <f t="shared" si="1"/>
        <v>13277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2</v>
      </c>
      <c r="D8" s="13">
        <f t="shared" si="1"/>
        <v>2186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35</v>
      </c>
      <c r="D9" s="13">
        <f t="shared" si="1"/>
        <v>25655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2</v>
      </c>
      <c r="D11" s="13">
        <f t="shared" si="1"/>
        <v>2340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3</f>
        <v>3</v>
      </c>
      <c r="D12" s="48">
        <f t="shared" si="1"/>
        <v>2976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21</v>
      </c>
      <c r="D13" s="48">
        <f t="shared" si="1"/>
        <v>6447</v>
      </c>
      <c r="F13" s="165" t="s">
        <v>36</v>
      </c>
      <c r="G13" s="166"/>
      <c r="H13" s="167">
        <f>D29</f>
        <v>419925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22</v>
      </c>
      <c r="D14" s="31">
        <f t="shared" si="1"/>
        <v>242</v>
      </c>
      <c r="F14" s="170" t="s">
        <v>38</v>
      </c>
      <c r="G14" s="171"/>
      <c r="H14" s="172">
        <f>D54</f>
        <v>66984.75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352940.25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648+738+840</f>
        <v>2226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8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419925</v>
      </c>
      <c r="F29" s="188" t="s">
        <v>54</v>
      </c>
      <c r="G29" s="189"/>
      <c r="H29" s="192">
        <f>H15-H16-H17-H18-H19-H20-H22-H23-H24+H26+H27</f>
        <v>350714.25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123</v>
      </c>
      <c r="H34" s="220">
        <f>F34*G34</f>
        <v>123000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112</v>
      </c>
      <c r="H35" s="220">
        <f>F35*G35</f>
        <v>56000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2</v>
      </c>
      <c r="D36" s="12">
        <f>C36*1.5</f>
        <v>3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577</v>
      </c>
      <c r="D37" s="12">
        <f>C37*111</f>
        <v>64047</v>
      </c>
      <c r="F37" s="12">
        <v>100</v>
      </c>
      <c r="G37" s="39">
        <v>107</v>
      </c>
      <c r="H37" s="220">
        <f t="shared" si="2"/>
        <v>10700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7</v>
      </c>
      <c r="D38" s="12">
        <f>C38*84</f>
        <v>588</v>
      </c>
      <c r="F38" s="30">
        <v>50</v>
      </c>
      <c r="G38" s="39">
        <v>3</v>
      </c>
      <c r="H38" s="220">
        <f t="shared" si="2"/>
        <v>150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>
        <v>2</v>
      </c>
      <c r="H39" s="220">
        <f t="shared" si="2"/>
        <v>40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2</v>
      </c>
      <c r="D41" s="12">
        <f>C41*84</f>
        <v>168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0">
        <v>710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8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139</v>
      </c>
      <c r="H44" s="204">
        <v>93138.5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4</v>
      </c>
      <c r="D45" s="12">
        <f>C45*84</f>
        <v>336</v>
      </c>
      <c r="F45" s="100" t="s">
        <v>138</v>
      </c>
      <c r="G45" s="62" t="s">
        <v>140</v>
      </c>
      <c r="H45" s="204">
        <v>66764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19</v>
      </c>
      <c r="D46" s="12">
        <f>C46*1.5</f>
        <v>28.5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350502.5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39</v>
      </c>
      <c r="D50" s="12">
        <f>C50*1.5</f>
        <v>58.5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-211.75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66984.75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178EA5-6004-4C6F-8E5A-37412DE30D5A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196CFE-97F6-4FDD-95A1-7EA77564927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46114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402</v>
      </c>
      <c r="D6" s="13">
        <f t="shared" ref="D6:D28" si="1">C6*L6</f>
        <v>305922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4</v>
      </c>
      <c r="D7" s="13">
        <f t="shared" si="1"/>
        <v>3124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18</v>
      </c>
      <c r="D9" s="13">
        <f t="shared" si="1"/>
        <v>13194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12</v>
      </c>
      <c r="D13" s="48">
        <f t="shared" si="1"/>
        <v>3684</v>
      </c>
      <c r="F13" s="165" t="s">
        <v>36</v>
      </c>
      <c r="G13" s="166"/>
      <c r="H13" s="167">
        <f>D29</f>
        <v>326938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</v>
      </c>
      <c r="D14" s="31">
        <f t="shared" si="1"/>
        <v>22</v>
      </c>
      <c r="F14" s="170" t="s">
        <v>38</v>
      </c>
      <c r="G14" s="171"/>
      <c r="H14" s="172">
        <f>D54</f>
        <v>16806.75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310131.25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1944</f>
        <v>1944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9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326938</v>
      </c>
      <c r="F29" s="188" t="s">
        <v>54</v>
      </c>
      <c r="G29" s="189"/>
      <c r="H29" s="192">
        <f>H15-H16-H17-H18-H19-H20-H22-H23-H24+H26+H27+H28</f>
        <v>308187.25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53</v>
      </c>
      <c r="H34" s="220">
        <f t="shared" ref="H34:H39" si="2">F34*G34</f>
        <v>53000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20">
        <f t="shared" si="2"/>
        <v>3500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0">
        <f t="shared" si="2"/>
        <v>200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147</v>
      </c>
      <c r="D37" s="12">
        <f>C37*111</f>
        <v>16317</v>
      </c>
      <c r="F37" s="12">
        <v>100</v>
      </c>
      <c r="G37" s="39">
        <v>36</v>
      </c>
      <c r="H37" s="220">
        <f t="shared" si="2"/>
        <v>3600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 t="s">
        <v>137</v>
      </c>
      <c r="G44" s="62" t="s">
        <v>141</v>
      </c>
      <c r="H44" s="204">
        <v>247690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4</v>
      </c>
      <c r="D46" s="12">
        <f>C46*1.5</f>
        <v>6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307990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10</v>
      </c>
      <c r="D50" s="12">
        <f>C50*1.5</f>
        <v>15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-197.25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16806.75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2205A5-FB6E-4A5D-8E2B-1A592E93370F}">
  <dimension ref="A1:R59"/>
  <sheetViews>
    <sheetView topLeftCell="A19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46114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353</v>
      </c>
      <c r="D6" s="13">
        <f t="shared" ref="D6:D28" si="1">C6*L6</f>
        <v>268633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5</v>
      </c>
      <c r="D9" s="13">
        <f t="shared" si="1"/>
        <v>3665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13</v>
      </c>
      <c r="D13" s="48">
        <f t="shared" si="1"/>
        <v>3991</v>
      </c>
      <c r="F13" s="165" t="s">
        <v>36</v>
      </c>
      <c r="G13" s="166"/>
      <c r="H13" s="167">
        <f>D29</f>
        <v>278180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6</v>
      </c>
      <c r="D14" s="31">
        <f t="shared" si="1"/>
        <v>66</v>
      </c>
      <c r="F14" s="170" t="s">
        <v>38</v>
      </c>
      <c r="G14" s="171"/>
      <c r="H14" s="172">
        <f>D54</f>
        <v>41341.5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236838.5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f>1944</f>
        <v>1944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278180</v>
      </c>
      <c r="F29" s="188" t="s">
        <v>54</v>
      </c>
      <c r="G29" s="189"/>
      <c r="H29" s="192">
        <f>H15-H16-H17-H18-H19-H20-H22-H23-H24+H26+H27</f>
        <v>234894.5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24</v>
      </c>
      <c r="H34" s="220">
        <f>F34*G34</f>
        <v>24000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398</v>
      </c>
      <c r="H35" s="220">
        <f t="shared" ref="H35:H39" si="2">F35*G35</f>
        <v>199000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2</v>
      </c>
      <c r="H36" s="220">
        <f>F36*G36</f>
        <v>400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360</v>
      </c>
      <c r="D37" s="12">
        <f>C37*111</f>
        <v>39960</v>
      </c>
      <c r="F37" s="12">
        <v>100</v>
      </c>
      <c r="G37" s="39">
        <v>1</v>
      </c>
      <c r="H37" s="220">
        <f t="shared" si="2"/>
        <v>100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202</v>
      </c>
      <c r="H38" s="220">
        <f t="shared" si="2"/>
        <v>10100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2</v>
      </c>
      <c r="H39" s="220">
        <f t="shared" si="2"/>
        <v>40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168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9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15</v>
      </c>
      <c r="D49" s="12">
        <f>C49*42</f>
        <v>630</v>
      </c>
      <c r="F49" s="245" t="s">
        <v>85</v>
      </c>
      <c r="G49" s="192">
        <f>H34+H35+H36+H37+H38+H39+H40+H41+G42+H44+H45+H46</f>
        <v>233808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6</v>
      </c>
      <c r="D50" s="12">
        <f>C50*1.5</f>
        <v>9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-1086.5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41341.5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5192E46-534F-4C5D-A40C-9B425B885A7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46114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653</v>
      </c>
      <c r="D6" s="13">
        <f t="shared" ref="D6:D28" si="1">C6*L6</f>
        <v>496933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29</v>
      </c>
      <c r="D7" s="13">
        <f t="shared" si="1"/>
        <v>22649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76</v>
      </c>
      <c r="D9" s="13">
        <f t="shared" si="1"/>
        <v>55708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3+1</f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24</v>
      </c>
      <c r="D13" s="48">
        <f t="shared" si="1"/>
        <v>7368</v>
      </c>
      <c r="F13" s="165" t="s">
        <v>36</v>
      </c>
      <c r="G13" s="166"/>
      <c r="H13" s="167">
        <f>D29</f>
        <v>589177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</v>
      </c>
      <c r="D14" s="31">
        <f t="shared" si="1"/>
        <v>11</v>
      </c>
      <c r="F14" s="170" t="s">
        <v>38</v>
      </c>
      <c r="G14" s="171"/>
      <c r="H14" s="172">
        <f>D54</f>
        <v>87320.25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2</v>
      </c>
      <c r="D15" s="31">
        <f t="shared" si="1"/>
        <v>1240</v>
      </c>
      <c r="F15" s="175" t="s">
        <v>39</v>
      </c>
      <c r="G15" s="166"/>
      <c r="H15" s="176">
        <f>H13-H14</f>
        <v>501856.75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9">
        <f>2814+1050</f>
        <v>3864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589177</v>
      </c>
      <c r="F29" s="188" t="s">
        <v>54</v>
      </c>
      <c r="G29" s="189"/>
      <c r="H29" s="192">
        <f>H15-H16-H17-H18-H19-H20-H22-H23-H24+H26+H27</f>
        <v>497992.75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158</v>
      </c>
      <c r="H34" s="220">
        <f>F34*G34</f>
        <v>158000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20">
        <f>F35*G35</f>
        <v>28500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1</v>
      </c>
      <c r="D36" s="12">
        <f>C36*1.5</f>
        <v>1.5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757</v>
      </c>
      <c r="D37" s="12">
        <f>C37*111</f>
        <v>84027</v>
      </c>
      <c r="F37" s="12">
        <v>100</v>
      </c>
      <c r="G37" s="39">
        <v>27</v>
      </c>
      <c r="H37" s="220">
        <f t="shared" si="2"/>
        <v>2700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34</v>
      </c>
      <c r="H38" s="220">
        <f t="shared" si="2"/>
        <v>1700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5</v>
      </c>
      <c r="D42" s="12">
        <f>C42*2.25</f>
        <v>11.25</v>
      </c>
      <c r="F42" s="39" t="s">
        <v>78</v>
      </c>
      <c r="G42" s="220">
        <v>72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6</v>
      </c>
      <c r="D44" s="12">
        <f>C44*120</f>
        <v>720</v>
      </c>
      <c r="F44" s="37" t="s">
        <v>133</v>
      </c>
      <c r="G44" s="76" t="s">
        <v>142</v>
      </c>
      <c r="H44" s="204">
        <v>306876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17</v>
      </c>
      <c r="D48" s="12">
        <f>C48*78</f>
        <v>1326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8</v>
      </c>
      <c r="D49" s="12">
        <f>C49*42</f>
        <v>336</v>
      </c>
      <c r="F49" s="245" t="s">
        <v>85</v>
      </c>
      <c r="G49" s="192">
        <f>H34+H35+H36+H37+H38+H39+H40+H41+G42+H44+H45+H46</f>
        <v>497848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13</v>
      </c>
      <c r="D50" s="12">
        <f>C50*1.5</f>
        <v>19.5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-144.75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87320.25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A08BA2-0B39-425F-82B7-99CC9379F71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0487AF0-1B67-4531-86F8-C402A6196B1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46115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9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83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DDF423-ED03-46CB-983D-307DFB68220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46115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9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8BE451-9A34-40EF-949A-1BA5F2ADB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46115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9EF989D-335C-487D-A1A8-EA2B58E7913C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D91CB8-248B-4665-88FD-A07B44B5B14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46116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9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83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417BB4-4438-4164-B3AE-575F081F78F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46116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9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1BC2FB-238D-4BD9-B786-9325B16CD7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46116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6745DD-29F8-41F4-8CE3-A631A9935D51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9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8A81C4-2989-4A7C-9E1B-A05AFD0E7962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46118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990</v>
      </c>
      <c r="D6" s="13">
        <f t="shared" ref="D6:D28" si="1">C6*L6</f>
        <v>753390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</v>
      </c>
      <c r="D7" s="13">
        <f t="shared" si="1"/>
        <v>781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230</v>
      </c>
      <c r="D9" s="13">
        <f t="shared" si="1"/>
        <v>168590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10</v>
      </c>
      <c r="D10" s="13">
        <f t="shared" si="1"/>
        <v>10320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2+1</f>
        <v>3</v>
      </c>
      <c r="D12" s="48">
        <f t="shared" si="1"/>
        <v>2976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17</v>
      </c>
      <c r="D13" s="48">
        <f t="shared" si="1"/>
        <v>5219</v>
      </c>
      <c r="F13" s="165" t="s">
        <v>36</v>
      </c>
      <c r="G13" s="166"/>
      <c r="H13" s="167">
        <f>D29</f>
        <v>941474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18</v>
      </c>
      <c r="D14" s="31">
        <f t="shared" si="1"/>
        <v>198</v>
      </c>
      <c r="F14" s="170" t="s">
        <v>38</v>
      </c>
      <c r="G14" s="171"/>
      <c r="H14" s="172">
        <f>D54</f>
        <v>138555.75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802918.25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2670+3882</f>
        <v>6552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9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941474</v>
      </c>
      <c r="F29" s="188" t="s">
        <v>54</v>
      </c>
      <c r="G29" s="189"/>
      <c r="H29" s="192">
        <f>H15-H16-H17-H18-H19-H20-H22-H23-H24+H26+H27+H28</f>
        <v>796366.25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4</v>
      </c>
      <c r="D34" s="30">
        <f>C34*120</f>
        <v>480</v>
      </c>
      <c r="F34" s="12">
        <v>1000</v>
      </c>
      <c r="G34" s="40">
        <v>82</v>
      </c>
      <c r="H34" s="220">
        <f t="shared" ref="H34:H39" si="2">F34*G34</f>
        <v>82000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4</v>
      </c>
      <c r="H35" s="220">
        <f t="shared" si="2"/>
        <v>2000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1188</v>
      </c>
      <c r="D37" s="12">
        <f>C37*111</f>
        <v>131868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10</v>
      </c>
      <c r="D38" s="12">
        <f>C38*84</f>
        <v>840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27</v>
      </c>
      <c r="D40" s="12">
        <f>C40*111</f>
        <v>2997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7</v>
      </c>
      <c r="D41" s="12">
        <f>C41*84</f>
        <v>588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0">
        <v>34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9</v>
      </c>
      <c r="D44" s="12">
        <f>C44*120</f>
        <v>1080</v>
      </c>
      <c r="F44" s="37" t="s">
        <v>137</v>
      </c>
      <c r="G44" s="62" t="s">
        <v>144</v>
      </c>
      <c r="H44" s="204">
        <v>291136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 t="s">
        <v>137</v>
      </c>
      <c r="G45" s="62" t="s">
        <v>145</v>
      </c>
      <c r="H45" s="204">
        <v>420282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2</v>
      </c>
      <c r="D46" s="12">
        <f>C46*1.5</f>
        <v>3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8</v>
      </c>
      <c r="D48" s="12">
        <f>C48*78</f>
        <v>624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795502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22</v>
      </c>
      <c r="D50" s="12">
        <f>C50*1.5</f>
        <v>33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-864.25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138555.75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AD949-ECEA-4CED-81D1-803692010F2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46118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570</v>
      </c>
      <c r="D6" s="13">
        <f t="shared" ref="D6:D28" si="1">C6*L6</f>
        <v>433770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7</v>
      </c>
      <c r="D7" s="13">
        <f t="shared" si="1"/>
        <v>5467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60</v>
      </c>
      <c r="D9" s="13">
        <f t="shared" si="1"/>
        <v>43980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18</v>
      </c>
      <c r="D13" s="48">
        <f t="shared" si="1"/>
        <v>5526</v>
      </c>
      <c r="F13" s="165" t="s">
        <v>36</v>
      </c>
      <c r="G13" s="166"/>
      <c r="H13" s="167">
        <f>D29</f>
        <v>488743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72385.5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416357.5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900+2106</f>
        <v>3006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488743</v>
      </c>
      <c r="F29" s="188" t="s">
        <v>54</v>
      </c>
      <c r="G29" s="189"/>
      <c r="H29" s="192">
        <f>H15-H16-H17-H18-H19-H20-H22-H23-H24+H26+H27</f>
        <v>413351.5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383</v>
      </c>
      <c r="H34" s="220">
        <f>F34*G34</f>
        <v>383000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20">
        <f t="shared" ref="H35:H39" si="2">F35*G35</f>
        <v>30500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622</v>
      </c>
      <c r="D37" s="12">
        <f>C37*111</f>
        <v>69042</v>
      </c>
      <c r="F37" s="12">
        <v>100</v>
      </c>
      <c r="G37" s="39">
        <v>14</v>
      </c>
      <c r="H37" s="220">
        <f t="shared" si="2"/>
        <v>1400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21</v>
      </c>
      <c r="D38" s="12">
        <f>C38*84</f>
        <v>1764</v>
      </c>
      <c r="F38" s="30">
        <v>50</v>
      </c>
      <c r="G38" s="39">
        <v>7</v>
      </c>
      <c r="H38" s="220">
        <f t="shared" si="2"/>
        <v>350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5</v>
      </c>
      <c r="H39" s="220">
        <f t="shared" si="2"/>
        <v>100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5</v>
      </c>
      <c r="D40" s="12">
        <f>C40*111</f>
        <v>555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103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9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13</v>
      </c>
      <c r="D49" s="12">
        <f>C49*42</f>
        <v>546</v>
      </c>
      <c r="F49" s="245" t="s">
        <v>85</v>
      </c>
      <c r="G49" s="192">
        <f>H34+H35+H36+H37+H38+H39+H40+H41+G42+H44+H45+H46</f>
        <v>415453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2101.5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72385.5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0298D0-67C6-4023-9E33-286C3D5433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91" t="s">
        <v>2</v>
      </c>
      <c r="Q1" s="9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46118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541</v>
      </c>
      <c r="D6" s="13">
        <f t="shared" ref="D6:D28" si="1">C6*L6</f>
        <v>411701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19</v>
      </c>
      <c r="D7" s="13">
        <f t="shared" si="1"/>
        <v>14839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108</v>
      </c>
      <c r="D9" s="13">
        <f t="shared" si="1"/>
        <v>79164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10</v>
      </c>
      <c r="D13" s="48">
        <f t="shared" si="1"/>
        <v>3070</v>
      </c>
      <c r="F13" s="165" t="s">
        <v>36</v>
      </c>
      <c r="G13" s="166"/>
      <c r="H13" s="167">
        <f>D29</f>
        <v>513840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6</v>
      </c>
      <c r="D14" s="31">
        <f t="shared" si="1"/>
        <v>66</v>
      </c>
      <c r="F14" s="170" t="s">
        <v>38</v>
      </c>
      <c r="G14" s="171"/>
      <c r="H14" s="172">
        <f>D54</f>
        <v>78996.75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434843.25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1866</f>
        <v>1866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9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513840</v>
      </c>
      <c r="F29" s="188" t="s">
        <v>54</v>
      </c>
      <c r="G29" s="189"/>
      <c r="H29" s="192">
        <f>H15-H16-H17-H18-H19-H20-H22-H23-H24+H26+H27</f>
        <v>432927.25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9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71</v>
      </c>
      <c r="H34" s="220">
        <f>F34*G34</f>
        <v>71000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20">
        <f>F35*G35</f>
        <v>10500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14</v>
      </c>
      <c r="D36" s="12">
        <f>C36*1.5</f>
        <v>21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680</v>
      </c>
      <c r="D37" s="12">
        <f>C37*111</f>
        <v>75480</v>
      </c>
      <c r="F37" s="12">
        <v>100</v>
      </c>
      <c r="G37" s="39">
        <v>104</v>
      </c>
      <c r="H37" s="220">
        <f t="shared" si="2"/>
        <v>10400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4</v>
      </c>
      <c r="D38" s="12">
        <f>C38*84</f>
        <v>336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17</v>
      </c>
      <c r="D40" s="12">
        <f>C40*111</f>
        <v>1887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</v>
      </c>
      <c r="D42" s="12">
        <f>C42*2.25</f>
        <v>2.25</v>
      </c>
      <c r="F42" s="39" t="s">
        <v>78</v>
      </c>
      <c r="G42" s="220">
        <v>102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9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3</v>
      </c>
      <c r="D44" s="12">
        <f>C44*120</f>
        <v>360</v>
      </c>
      <c r="F44" s="37" t="s">
        <v>137</v>
      </c>
      <c r="G44" s="62" t="s">
        <v>146</v>
      </c>
      <c r="H44" s="204">
        <v>199262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100" t="s">
        <v>138</v>
      </c>
      <c r="G45" s="62" t="s">
        <v>147</v>
      </c>
      <c r="H45" s="204">
        <v>141172.5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8</v>
      </c>
      <c r="D46" s="12">
        <f>C46*1.5</f>
        <v>12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432436.5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16</v>
      </c>
      <c r="D50" s="12">
        <f>C50*1.5</f>
        <v>24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-490.75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78996.75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7A7B69-920B-44B5-8E54-5B8A65198ADE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9A862-44CF-4337-AFED-B28D6CDF08B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46119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647</v>
      </c>
      <c r="D6" s="13">
        <f t="shared" ref="D6:D28" si="1">C6*L6</f>
        <v>492367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5</v>
      </c>
      <c r="D7" s="13">
        <f t="shared" si="1"/>
        <v>3905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34</v>
      </c>
      <c r="D9" s="13">
        <f t="shared" si="1"/>
        <v>24922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3</v>
      </c>
      <c r="D10" s="13">
        <f t="shared" si="1"/>
        <v>3096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3</v>
      </c>
      <c r="D12" s="48">
        <f t="shared" si="1"/>
        <v>2976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13</v>
      </c>
      <c r="D13" s="48">
        <f t="shared" si="1"/>
        <v>3991</v>
      </c>
      <c r="F13" s="165" t="s">
        <v>36</v>
      </c>
      <c r="G13" s="166"/>
      <c r="H13" s="167">
        <f>D29</f>
        <v>532497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52386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2</v>
      </c>
      <c r="D15" s="31">
        <f t="shared" si="1"/>
        <v>1240</v>
      </c>
      <c r="F15" s="175" t="s">
        <v>39</v>
      </c>
      <c r="G15" s="166"/>
      <c r="H15" s="176">
        <f>H13-H14</f>
        <v>480111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1944+1476</f>
        <v>3420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0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532497</v>
      </c>
      <c r="F29" s="188" t="s">
        <v>54</v>
      </c>
      <c r="G29" s="189"/>
      <c r="H29" s="192">
        <f>H15-H16-H17-H18-H19-H20-H22-H23-H24+H26+H27+H28</f>
        <v>476691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40">
        <v>270</v>
      </c>
      <c r="H34" s="220">
        <f t="shared" ref="H34:H39" si="2">F34*G34</f>
        <v>270000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313</v>
      </c>
      <c r="H35" s="220">
        <f t="shared" si="2"/>
        <v>156500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460</v>
      </c>
      <c r="D37" s="12">
        <f>C37*111</f>
        <v>51060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119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3</v>
      </c>
      <c r="D44" s="12">
        <f>C44*120</f>
        <v>360</v>
      </c>
      <c r="F44" s="37" t="s">
        <v>133</v>
      </c>
      <c r="G44" s="83" t="s">
        <v>134</v>
      </c>
      <c r="H44" s="204">
        <v>50000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8</v>
      </c>
      <c r="D49" s="12">
        <f>C49*42</f>
        <v>336</v>
      </c>
      <c r="F49" s="245" t="s">
        <v>85</v>
      </c>
      <c r="G49" s="192">
        <f>H34+H35+H36+H37+H38+H39+H40+H41+G42+H44+H45+H46</f>
        <v>476689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-2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52386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74C3FB3-614F-4C87-AE35-0A0FA11AAA6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46119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375</v>
      </c>
      <c r="D6" s="13">
        <f t="shared" ref="D6:D28" si="1">C6*L6</f>
        <v>285375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10</v>
      </c>
      <c r="D7" s="13">
        <f t="shared" si="1"/>
        <v>7810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25</v>
      </c>
      <c r="D9" s="13">
        <f t="shared" si="1"/>
        <v>18325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2</v>
      </c>
      <c r="D12" s="48">
        <f t="shared" si="1"/>
        <v>1984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8</v>
      </c>
      <c r="D13" s="48">
        <f t="shared" si="1"/>
        <v>2456</v>
      </c>
      <c r="F13" s="165" t="s">
        <v>36</v>
      </c>
      <c r="G13" s="166"/>
      <c r="H13" s="167">
        <f>D29</f>
        <v>321418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6</v>
      </c>
      <c r="D14" s="31">
        <f t="shared" si="1"/>
        <v>66</v>
      </c>
      <c r="F14" s="170" t="s">
        <v>38</v>
      </c>
      <c r="G14" s="171"/>
      <c r="H14" s="172">
        <f>D54</f>
        <v>45939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275479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f>2+1</f>
        <v>3</v>
      </c>
      <c r="D16" s="48">
        <f t="shared" si="1"/>
        <v>1950</v>
      </c>
      <c r="F16" s="67" t="s">
        <v>41</v>
      </c>
      <c r="G16" s="66" t="s">
        <v>42</v>
      </c>
      <c r="H16" s="179">
        <v>1200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>
        <v>2</v>
      </c>
      <c r="D19" s="48">
        <f t="shared" si="1"/>
        <v>2350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321418</v>
      </c>
      <c r="F29" s="188" t="s">
        <v>54</v>
      </c>
      <c r="G29" s="189"/>
      <c r="H29" s="192">
        <f>H15-H16-H17-H18-H19-H20-H22-H23-H24+H26+H27</f>
        <v>274279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128</v>
      </c>
      <c r="H34" s="220">
        <f>F34*G34</f>
        <v>128000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24</v>
      </c>
      <c r="H35" s="220">
        <f t="shared" ref="H35:H39" si="2">F35*G35</f>
        <v>12000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372</v>
      </c>
      <c r="D37" s="12">
        <f>C37*111</f>
        <v>41292</v>
      </c>
      <c r="F37" s="12">
        <v>100</v>
      </c>
      <c r="G37" s="39">
        <v>16</v>
      </c>
      <c r="H37" s="220">
        <f t="shared" si="2"/>
        <v>1600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3</v>
      </c>
      <c r="D39" s="31">
        <f>C39*4.5</f>
        <v>13.5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4</v>
      </c>
      <c r="D42" s="12">
        <f>C42*2.25</f>
        <v>9</v>
      </c>
      <c r="F42" s="39" t="s">
        <v>78</v>
      </c>
      <c r="G42" s="220">
        <v>111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149</v>
      </c>
      <c r="H44" s="204">
        <v>132227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0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9</v>
      </c>
      <c r="D49" s="12">
        <f>C49*42</f>
        <v>378</v>
      </c>
      <c r="F49" s="245" t="s">
        <v>85</v>
      </c>
      <c r="G49" s="192">
        <f>H34+H35+H36+H37+H38+H39+H40+H41+G42+H44+H45+H46</f>
        <v>273958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15</v>
      </c>
      <c r="D50" s="12">
        <f>C50*1.5</f>
        <v>22.5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-321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45939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22B163-9327-4F85-875E-13F1B0D1E9ED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46119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756</v>
      </c>
      <c r="D6" s="13">
        <f t="shared" ref="D6:D28" si="1">C6*L6</f>
        <v>575316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9</v>
      </c>
      <c r="D7" s="13">
        <f t="shared" si="1"/>
        <v>7029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108</v>
      </c>
      <c r="D9" s="13">
        <f t="shared" si="1"/>
        <v>79164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9+1+1</f>
        <v>11</v>
      </c>
      <c r="D12" s="48">
        <f t="shared" si="1"/>
        <v>10912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31</v>
      </c>
      <c r="D13" s="48">
        <f t="shared" si="1"/>
        <v>9517</v>
      </c>
      <c r="F13" s="165" t="s">
        <v>36</v>
      </c>
      <c r="G13" s="166"/>
      <c r="H13" s="167">
        <f>D29</f>
        <v>709846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4</v>
      </c>
      <c r="D14" s="31">
        <f t="shared" si="1"/>
        <v>44</v>
      </c>
      <c r="F14" s="170" t="s">
        <v>38</v>
      </c>
      <c r="G14" s="171"/>
      <c r="H14" s="172">
        <f>D54</f>
        <v>105213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604633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f>18+13</f>
        <v>31</v>
      </c>
      <c r="D16" s="48">
        <f t="shared" si="1"/>
        <v>20150</v>
      </c>
      <c r="F16" s="67" t="s">
        <v>41</v>
      </c>
      <c r="G16" s="66" t="s">
        <v>42</v>
      </c>
      <c r="H16" s="179">
        <f>3360+648+300+636</f>
        <v>4944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148</v>
      </c>
      <c r="C27" s="10">
        <v>6</v>
      </c>
      <c r="D27" s="44">
        <f t="shared" si="1"/>
        <v>6612</v>
      </c>
      <c r="F27" s="25"/>
      <c r="G27" s="80"/>
      <c r="H27" s="211"/>
      <c r="I27" s="212"/>
      <c r="J27" s="213"/>
      <c r="L27" s="7">
        <f>1102</f>
        <v>1102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709846</v>
      </c>
      <c r="F29" s="188" t="s">
        <v>54</v>
      </c>
      <c r="G29" s="189"/>
      <c r="H29" s="192">
        <f>H15-H16-H17-H18-H19-H20-H22-H23-H24+H26+H27</f>
        <v>599689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5</v>
      </c>
      <c r="D34" s="30">
        <f>C34*120</f>
        <v>600</v>
      </c>
      <c r="F34" s="12">
        <v>1000</v>
      </c>
      <c r="G34" s="74">
        <v>58</v>
      </c>
      <c r="H34" s="220">
        <f>F34*G34</f>
        <v>58000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44</v>
      </c>
      <c r="H35" s="220">
        <f>F35*G35</f>
        <v>22000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20">
        <f t="shared" ref="H36:H39" si="2">F36*G36</f>
        <v>800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896</v>
      </c>
      <c r="D37" s="12">
        <f>C37*111</f>
        <v>99456</v>
      </c>
      <c r="F37" s="12">
        <v>100</v>
      </c>
      <c r="G37" s="39">
        <v>106</v>
      </c>
      <c r="H37" s="220">
        <f t="shared" si="2"/>
        <v>10600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15</v>
      </c>
      <c r="D40" s="12">
        <f>C40*111</f>
        <v>1665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45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9</v>
      </c>
      <c r="D44" s="12">
        <f>C44*120</f>
        <v>1080</v>
      </c>
      <c r="F44" s="37" t="s">
        <v>133</v>
      </c>
      <c r="G44" s="76" t="s">
        <v>150</v>
      </c>
      <c r="H44" s="204">
        <v>71328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 t="s">
        <v>133</v>
      </c>
      <c r="G45" s="76" t="s">
        <v>151</v>
      </c>
      <c r="H45" s="204">
        <v>366768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 t="s">
        <v>133</v>
      </c>
      <c r="G46" s="76" t="s">
        <v>152</v>
      </c>
      <c r="H46" s="204">
        <v>70468</v>
      </c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12</v>
      </c>
      <c r="D48" s="12">
        <f>C48*78</f>
        <v>936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35</v>
      </c>
      <c r="D49" s="12">
        <f>C49*42</f>
        <v>1470</v>
      </c>
      <c r="F49" s="245" t="s">
        <v>85</v>
      </c>
      <c r="G49" s="192">
        <f>H34+H35+H36+H37+H38+H39+H40+H41+G42+H44+H45+H46</f>
        <v>600009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4</v>
      </c>
      <c r="D50" s="12">
        <f>C50*1.5</f>
        <v>6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320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105213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4B489D-719B-4EA9-A859-CAEA7E37F998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4D90CDA-65A6-4A6F-9AE9-17E3FF0E2324}">
  <dimension ref="A1:R59"/>
  <sheetViews>
    <sheetView topLeftCell="A22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46120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540</v>
      </c>
      <c r="D6" s="13">
        <f t="shared" ref="D6:D28" si="1">C6*L6</f>
        <v>410940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15</v>
      </c>
      <c r="D13" s="48">
        <f t="shared" si="1"/>
        <v>4605</v>
      </c>
      <c r="F13" s="165" t="s">
        <v>36</v>
      </c>
      <c r="G13" s="166"/>
      <c r="H13" s="167">
        <f>D29</f>
        <v>415545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57449.25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358095.75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2592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0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415545</v>
      </c>
      <c r="F29" s="188" t="s">
        <v>54</v>
      </c>
      <c r="G29" s="189"/>
      <c r="H29" s="192">
        <f>H15-H16-H17-H18-H19-H20-H22-H23-H24+H26+H27+H28</f>
        <v>355503.75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301</v>
      </c>
      <c r="H34" s="220">
        <f t="shared" ref="H34:H39" si="2">F34*G34</f>
        <v>301000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107</v>
      </c>
      <c r="H35" s="220">
        <f t="shared" si="2"/>
        <v>53500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507</v>
      </c>
      <c r="D37" s="12">
        <f>C37*111</f>
        <v>56277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5</v>
      </c>
      <c r="D38" s="12">
        <f>C38*84</f>
        <v>420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83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17</v>
      </c>
      <c r="D49" s="12">
        <f>C49*42</f>
        <v>714</v>
      </c>
      <c r="F49" s="245" t="s">
        <v>85</v>
      </c>
      <c r="G49" s="192">
        <f>H34+H35+H36+H37+H38+H39+H40+H41+G42+H44+H45+H46</f>
        <v>354500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-1003.75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57449.25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E079C2-8559-4BB2-B051-938D7A2541C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46120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327</v>
      </c>
      <c r="D6" s="13">
        <f t="shared" ref="D6:D28" si="1">C6*L6</f>
        <v>248847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48</v>
      </c>
      <c r="D9" s="13">
        <f t="shared" si="1"/>
        <v>35184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7</v>
      </c>
      <c r="D13" s="48">
        <f t="shared" si="1"/>
        <v>2149</v>
      </c>
      <c r="F13" s="165" t="s">
        <v>36</v>
      </c>
      <c r="G13" s="166"/>
      <c r="H13" s="167">
        <f>D29</f>
        <v>286224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4</v>
      </c>
      <c r="D14" s="31">
        <f t="shared" si="1"/>
        <v>44</v>
      </c>
      <c r="F14" s="170" t="s">
        <v>38</v>
      </c>
      <c r="G14" s="171"/>
      <c r="H14" s="172">
        <f>D54</f>
        <v>46103.25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240120.75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1494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286224</v>
      </c>
      <c r="F29" s="188" t="s">
        <v>54</v>
      </c>
      <c r="G29" s="189"/>
      <c r="H29" s="192">
        <f>H15-H16-H17-H18-H19-H20-H22-H23-H24+H26+H27</f>
        <v>238626.75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145</v>
      </c>
      <c r="H34" s="220">
        <f>F34*G34</f>
        <v>145000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7</v>
      </c>
      <c r="H35" s="220">
        <f t="shared" ref="H35:H39" si="2">F35*G35</f>
        <v>3500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406</v>
      </c>
      <c r="D37" s="12">
        <f>C37*111</f>
        <v>45066</v>
      </c>
      <c r="F37" s="12">
        <v>100</v>
      </c>
      <c r="G37" s="39">
        <v>13</v>
      </c>
      <c r="H37" s="220">
        <f t="shared" si="2"/>
        <v>1300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</v>
      </c>
      <c r="D42" s="12">
        <f>C42*2.25</f>
        <v>2.25</v>
      </c>
      <c r="F42" s="39" t="s">
        <v>78</v>
      </c>
      <c r="G42" s="220">
        <v>40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 t="s">
        <v>137</v>
      </c>
      <c r="G44" s="62" t="s">
        <v>153</v>
      </c>
      <c r="H44" s="204">
        <v>88133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0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7</v>
      </c>
      <c r="D49" s="12">
        <f>C49*42</f>
        <v>294</v>
      </c>
      <c r="F49" s="245" t="s">
        <v>85</v>
      </c>
      <c r="G49" s="192">
        <f>H34+H35+H36+H37+H38+H39+H40+H41+G42+H44+H45+H46</f>
        <v>238043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8</v>
      </c>
      <c r="D50" s="12">
        <f>C50*1.5</f>
        <v>12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-583.75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46103.25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E9A05-B4D1-4045-B98F-6DB921B3B67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46120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600</v>
      </c>
      <c r="D6" s="13">
        <f t="shared" ref="D6:D28" si="1">C6*L6</f>
        <v>456600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10</v>
      </c>
      <c r="D7" s="13">
        <f t="shared" si="1"/>
        <v>7810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94</v>
      </c>
      <c r="D9" s="13">
        <f t="shared" si="1"/>
        <v>68902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2</v>
      </c>
      <c r="D10" s="13">
        <f t="shared" si="1"/>
        <v>2064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20</v>
      </c>
      <c r="D13" s="48">
        <f t="shared" si="1"/>
        <v>6140</v>
      </c>
      <c r="F13" s="165" t="s">
        <v>36</v>
      </c>
      <c r="G13" s="166"/>
      <c r="H13" s="167">
        <f>D29</f>
        <v>546916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12</v>
      </c>
      <c r="D14" s="31">
        <f t="shared" si="1"/>
        <v>132</v>
      </c>
      <c r="F14" s="170" t="s">
        <v>38</v>
      </c>
      <c r="G14" s="171"/>
      <c r="H14" s="172">
        <f>D54</f>
        <v>81273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465643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f>390+1266+1530+858</f>
        <v>4044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546916</v>
      </c>
      <c r="F29" s="188" t="s">
        <v>54</v>
      </c>
      <c r="G29" s="189"/>
      <c r="H29" s="192">
        <f>H15-H16-H17-H18-H19-H20-H22-H23-H24+H26+H27</f>
        <v>461549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92</v>
      </c>
      <c r="H34" s="220">
        <f>F34*G34</f>
        <v>92000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114</v>
      </c>
      <c r="H35" s="220">
        <f>F35*G35</f>
        <v>57000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4</v>
      </c>
      <c r="H36" s="220">
        <f t="shared" ref="H36:H39" si="2">F36*G36</f>
        <v>800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703</v>
      </c>
      <c r="D37" s="12">
        <f>C37*111</f>
        <v>78033</v>
      </c>
      <c r="F37" s="12">
        <v>100</v>
      </c>
      <c r="G37" s="39">
        <v>67</v>
      </c>
      <c r="H37" s="220">
        <f t="shared" si="2"/>
        <v>6700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8</v>
      </c>
      <c r="D40" s="12">
        <f>C40*111</f>
        <v>888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0">
        <v>73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 t="s">
        <v>137</v>
      </c>
      <c r="G44" s="76" t="s">
        <v>154</v>
      </c>
      <c r="H44" s="204">
        <v>138508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 t="s">
        <v>137</v>
      </c>
      <c r="G45" s="76" t="s">
        <v>155</v>
      </c>
      <c r="H45" s="204">
        <v>165614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3</v>
      </c>
      <c r="D46" s="12">
        <f>C46*1.5</f>
        <v>4.5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26</v>
      </c>
      <c r="D48" s="12">
        <f>C48*78</f>
        <v>2028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</v>
      </c>
      <c r="D49" s="12">
        <f>C49*42</f>
        <v>42</v>
      </c>
      <c r="F49" s="245" t="s">
        <v>85</v>
      </c>
      <c r="G49" s="192">
        <f>H34+H35+H36+H37+H38+H39+H40+H41+G42+H44+H45+H46</f>
        <v>460695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10</v>
      </c>
      <c r="D50" s="12">
        <f>C50*1.5</f>
        <v>15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-854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81273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585125C-7299-43A4-826A-168421B8464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40D054-4269-46B1-A9BB-3511BCD6AD3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46121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535</v>
      </c>
      <c r="D6" s="13">
        <f t="shared" ref="D6:D28" si="1">C6*L6</f>
        <v>407135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1562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20</v>
      </c>
      <c r="D9" s="13">
        <f t="shared" si="1"/>
        <v>14660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6</v>
      </c>
      <c r="D13" s="48">
        <f t="shared" si="1"/>
        <v>1842</v>
      </c>
      <c r="F13" s="165" t="s">
        <v>36</v>
      </c>
      <c r="G13" s="166"/>
      <c r="H13" s="167">
        <f>D29</f>
        <v>426678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3</v>
      </c>
      <c r="D14" s="31">
        <f t="shared" si="1"/>
        <v>33</v>
      </c>
      <c r="F14" s="170" t="s">
        <v>38</v>
      </c>
      <c r="G14" s="171"/>
      <c r="H14" s="172">
        <f>D54</f>
        <v>60252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366426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156</v>
      </c>
      <c r="C24" s="10">
        <v>12</v>
      </c>
      <c r="D24" s="48">
        <f t="shared" si="1"/>
        <v>454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0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426678</v>
      </c>
      <c r="F29" s="188" t="s">
        <v>54</v>
      </c>
      <c r="G29" s="189"/>
      <c r="H29" s="192">
        <f>H15-H16-H17-H18-H19-H20-H22-H23-H24+H26+H27+H28</f>
        <v>366426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94</v>
      </c>
      <c r="H34" s="220">
        <f t="shared" ref="H34:H39" si="2">F34*G34</f>
        <v>94000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41</v>
      </c>
      <c r="H35" s="220">
        <f t="shared" si="2"/>
        <v>20500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1</v>
      </c>
      <c r="D36" s="12">
        <f>C36*1.5</f>
        <v>1.5</v>
      </c>
      <c r="F36" s="12">
        <v>200</v>
      </c>
      <c r="G36" s="37">
        <v>1</v>
      </c>
      <c r="H36" s="220">
        <f t="shared" si="2"/>
        <v>200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509</v>
      </c>
      <c r="D37" s="12">
        <f>C37*111</f>
        <v>56499</v>
      </c>
      <c r="F37" s="12">
        <v>100</v>
      </c>
      <c r="G37" s="39">
        <v>49</v>
      </c>
      <c r="H37" s="220">
        <f t="shared" si="2"/>
        <v>4900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22</v>
      </c>
      <c r="D38" s="12">
        <f>C38*84</f>
        <v>1848</v>
      </c>
      <c r="F38" s="30">
        <v>50</v>
      </c>
      <c r="G38" s="39">
        <v>76</v>
      </c>
      <c r="H38" s="220">
        <f t="shared" si="2"/>
        <v>3800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0">
        <f t="shared" si="2"/>
        <v>40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4</v>
      </c>
      <c r="D42" s="12">
        <f>C42*2.25</f>
        <v>9</v>
      </c>
      <c r="F42" s="39" t="s">
        <v>78</v>
      </c>
      <c r="G42" s="220">
        <v>23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3</v>
      </c>
      <c r="D44" s="12">
        <f>C44*120</f>
        <v>360</v>
      </c>
      <c r="F44" s="37" t="s">
        <v>131</v>
      </c>
      <c r="G44" s="99" t="s">
        <v>157</v>
      </c>
      <c r="H44" s="204">
        <v>140000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158</v>
      </c>
      <c r="H45" s="204">
        <v>104214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8</v>
      </c>
      <c r="D46" s="12">
        <f>C46*1.5</f>
        <v>12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11</v>
      </c>
      <c r="D48" s="12">
        <f>C48*78</f>
        <v>858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367677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29</v>
      </c>
      <c r="D50" s="12">
        <f>C50*1.5</f>
        <v>43.5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1251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60252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A9BD1B-B3B8-466A-88CA-AB02318A568F}">
  <dimension ref="A1:R59"/>
  <sheetViews>
    <sheetView zoomScaleNormal="100" zoomScaleSheetLayoutView="85" workbookViewId="0">
      <selection activeCell="G51" sqref="G51:J52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46121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317</v>
      </c>
      <c r="D6" s="13">
        <f t="shared" ref="D6:D28" si="1">C6*L6</f>
        <v>241237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3</v>
      </c>
      <c r="D7" s="13">
        <f t="shared" si="1"/>
        <v>2343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12</v>
      </c>
      <c r="D9" s="13">
        <f t="shared" si="1"/>
        <v>8796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11</v>
      </c>
      <c r="D13" s="48">
        <f t="shared" si="1"/>
        <v>3377</v>
      </c>
      <c r="F13" s="165" t="s">
        <v>36</v>
      </c>
      <c r="G13" s="166"/>
      <c r="H13" s="167">
        <f>D29</f>
        <v>256965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20</v>
      </c>
      <c r="D14" s="31">
        <f t="shared" si="1"/>
        <v>220</v>
      </c>
      <c r="F14" s="170" t="s">
        <v>38</v>
      </c>
      <c r="G14" s="171"/>
      <c r="H14" s="172">
        <f>D54</f>
        <v>37854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219111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256965</v>
      </c>
      <c r="F29" s="188" t="s">
        <v>54</v>
      </c>
      <c r="G29" s="189"/>
      <c r="H29" s="192">
        <f>H15-H16-H17-H18-H19-H20-H22-H23-H24+H26+H27</f>
        <v>217815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59</v>
      </c>
      <c r="H34" s="220">
        <f>F34*G34</f>
        <v>59000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253</v>
      </c>
      <c r="H35" s="220">
        <f t="shared" ref="H35:H39" si="2">F35*G35</f>
        <v>126500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330</v>
      </c>
      <c r="D37" s="12">
        <f>C37*111</f>
        <v>36630</v>
      </c>
      <c r="F37" s="12">
        <v>100</v>
      </c>
      <c r="G37" s="39">
        <v>217</v>
      </c>
      <c r="H37" s="220">
        <f t="shared" si="2"/>
        <v>21700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205</v>
      </c>
      <c r="H38" s="220">
        <f t="shared" si="2"/>
        <v>10250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>
        <v>3</v>
      </c>
      <c r="H39" s="220">
        <f t="shared" si="2"/>
        <v>60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8</v>
      </c>
      <c r="D42" s="12">
        <f>C42*2.25</f>
        <v>18</v>
      </c>
      <c r="F42" s="39" t="s">
        <v>78</v>
      </c>
      <c r="G42" s="220">
        <v>118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5</v>
      </c>
      <c r="D46" s="12">
        <f>C46*1.5</f>
        <v>7.5</v>
      </c>
      <c r="F46" s="37"/>
      <c r="G46" s="10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4</v>
      </c>
      <c r="D48" s="12">
        <f>C48*78</f>
        <v>312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9</v>
      </c>
      <c r="D49" s="12">
        <f>C49*42</f>
        <v>378</v>
      </c>
      <c r="F49" s="245" t="s">
        <v>85</v>
      </c>
      <c r="G49" s="192">
        <f>H34+H35+H36+H37+H38+H39+H40+H41+G42+H44+H45+H46</f>
        <v>217628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23</v>
      </c>
      <c r="D50" s="12">
        <f>C50*1.5</f>
        <v>34.5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-187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37854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F236DA-6D19-4403-A8EF-A2C3A9B6C41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46121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523</v>
      </c>
      <c r="D6" s="13">
        <f t="shared" ref="D6:D28" si="1">C6*L6</f>
        <v>398003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32</v>
      </c>
      <c r="D7" s="13">
        <f t="shared" si="1"/>
        <v>24992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19</v>
      </c>
      <c r="D9" s="13">
        <f t="shared" si="1"/>
        <v>13927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3</v>
      </c>
      <c r="D12" s="48">
        <f t="shared" si="1"/>
        <v>2976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18</v>
      </c>
      <c r="D13" s="48">
        <f t="shared" si="1"/>
        <v>5526</v>
      </c>
      <c r="F13" s="165" t="s">
        <v>36</v>
      </c>
      <c r="G13" s="166"/>
      <c r="H13" s="167">
        <f>D29</f>
        <v>448958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</v>
      </c>
      <c r="D14" s="31">
        <f t="shared" si="1"/>
        <v>22</v>
      </c>
      <c r="F14" s="170" t="s">
        <v>38</v>
      </c>
      <c r="G14" s="171"/>
      <c r="H14" s="172">
        <f>D54</f>
        <v>81078.75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f>1+1</f>
        <v>2</v>
      </c>
      <c r="D15" s="31">
        <f t="shared" si="1"/>
        <v>1240</v>
      </c>
      <c r="F15" s="175" t="s">
        <v>39</v>
      </c>
      <c r="G15" s="166"/>
      <c r="H15" s="176">
        <f>H13-H14</f>
        <v>367879.25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>
        <v>1</v>
      </c>
      <c r="D18" s="48">
        <f t="shared" si="1"/>
        <v>1102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448958</v>
      </c>
      <c r="F29" s="188" t="s">
        <v>54</v>
      </c>
      <c r="G29" s="189"/>
      <c r="H29" s="192">
        <f>H15-H16-H17-H18-H19-H20-H22-H23-H24+H26+H27</f>
        <v>366583.25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261</v>
      </c>
      <c r="H34" s="220">
        <f>F34*G34</f>
        <v>261000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61</v>
      </c>
      <c r="H35" s="220">
        <f>F35*G35</f>
        <v>30500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650</v>
      </c>
      <c r="D37" s="12">
        <f>C37*111</f>
        <v>72150</v>
      </c>
      <c r="F37" s="12">
        <v>100</v>
      </c>
      <c r="G37" s="39">
        <v>145</v>
      </c>
      <c r="H37" s="220">
        <f t="shared" si="2"/>
        <v>14500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18</v>
      </c>
      <c r="D38" s="12">
        <f>C38*84</f>
        <v>1512</v>
      </c>
      <c r="F38" s="30">
        <v>50</v>
      </c>
      <c r="G38" s="39">
        <v>51</v>
      </c>
      <c r="H38" s="220">
        <f t="shared" si="2"/>
        <v>2550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>
        <v>3</v>
      </c>
      <c r="H39" s="220">
        <f t="shared" si="2"/>
        <v>60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41</v>
      </c>
      <c r="D40" s="12">
        <f>C40*111</f>
        <v>4551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0">
        <v>23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3</v>
      </c>
      <c r="D44" s="12">
        <f>C44*120</f>
        <v>360</v>
      </c>
      <c r="F44" s="37" t="s">
        <v>133</v>
      </c>
      <c r="G44" s="76" t="s">
        <v>159</v>
      </c>
      <c r="H44" s="204">
        <v>59614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3</v>
      </c>
      <c r="D45" s="12">
        <f>C45*84</f>
        <v>252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</v>
      </c>
      <c r="D46" s="12">
        <f>C46*1.5</f>
        <v>1.5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14</v>
      </c>
      <c r="D48" s="12">
        <f>C48*78</f>
        <v>1092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3</v>
      </c>
      <c r="D49" s="12">
        <f>C49*42</f>
        <v>126</v>
      </c>
      <c r="F49" s="245" t="s">
        <v>85</v>
      </c>
      <c r="G49" s="192">
        <f>H34+H35+H36+H37+H38+H39+H40+H41+G42+H44+H45+H46</f>
        <v>368247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10</v>
      </c>
      <c r="D50" s="12">
        <f>C50*1.5</f>
        <v>15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1663.75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81078.75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640601-568C-4A66-875F-6CDF00E5882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30D1DF-F3BF-43F4-8979-D252484C258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46122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316</v>
      </c>
      <c r="D6" s="13">
        <f t="shared" ref="D6:D28" si="1">C6*L6</f>
        <v>240476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10</v>
      </c>
      <c r="D7" s="13">
        <f t="shared" si="1"/>
        <v>7810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22</v>
      </c>
      <c r="D9" s="13">
        <f t="shared" si="1"/>
        <v>16126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6</v>
      </c>
      <c r="D10" s="13">
        <f t="shared" si="1"/>
        <v>6192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4</v>
      </c>
      <c r="D11" s="13">
        <f t="shared" si="1"/>
        <v>4680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3</v>
      </c>
      <c r="D13" s="48">
        <f t="shared" si="1"/>
        <v>921</v>
      </c>
      <c r="F13" s="165" t="s">
        <v>36</v>
      </c>
      <c r="G13" s="166"/>
      <c r="H13" s="167">
        <f>D29</f>
        <v>291054.08333333337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10</v>
      </c>
      <c r="D14" s="31">
        <f t="shared" si="1"/>
        <v>110</v>
      </c>
      <c r="F14" s="170" t="s">
        <v>38</v>
      </c>
      <c r="G14" s="171"/>
      <c r="H14" s="172">
        <f>D54</f>
        <v>40578.75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2</v>
      </c>
      <c r="D15" s="31">
        <f t="shared" si="1"/>
        <v>1240</v>
      </c>
      <c r="F15" s="175" t="s">
        <v>39</v>
      </c>
      <c r="G15" s="166"/>
      <c r="H15" s="176">
        <f>H13-H14</f>
        <v>250475.33333333337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>
        <f>2+1</f>
        <v>3</v>
      </c>
      <c r="D18" s="48">
        <f t="shared" si="1"/>
        <v>3306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>
        <v>1</v>
      </c>
      <c r="D19" s="48">
        <f t="shared" si="1"/>
        <v>1175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>
        <v>10</v>
      </c>
      <c r="D21" s="48">
        <f t="shared" si="1"/>
        <v>452.5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>
        <v>4</v>
      </c>
      <c r="D22" s="48">
        <f t="shared" si="1"/>
        <v>168.16666666666666</v>
      </c>
      <c r="F22" s="77" t="s">
        <v>162</v>
      </c>
      <c r="G22" s="73">
        <v>9917</v>
      </c>
      <c r="H22" s="202">
        <v>4698</v>
      </c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>
        <v>4</v>
      </c>
      <c r="D23" s="48">
        <f t="shared" si="1"/>
        <v>158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156</v>
      </c>
      <c r="C24" s="10">
        <v>12</v>
      </c>
      <c r="D24" s="48">
        <f t="shared" si="1"/>
        <v>454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>
        <v>9</v>
      </c>
      <c r="D26" s="48">
        <f t="shared" si="1"/>
        <v>522.75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160</v>
      </c>
      <c r="C27" s="10">
        <v>2</v>
      </c>
      <c r="D27" s="44">
        <f t="shared" si="1"/>
        <v>44.666666666666664</v>
      </c>
      <c r="F27" s="71"/>
      <c r="G27" s="105"/>
      <c r="H27" s="257"/>
      <c r="I27" s="258"/>
      <c r="J27" s="258"/>
      <c r="L27" s="7">
        <f>500/24+1.5</f>
        <v>22.333333333333332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291054.08333333337</v>
      </c>
      <c r="F29" s="188" t="s">
        <v>54</v>
      </c>
      <c r="G29" s="189"/>
      <c r="H29" s="192">
        <f>H15-H16-H17-H18-H19-H20-H22-H23-H24+H26+H27+H28</f>
        <v>245777.33333333337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40">
        <v>211</v>
      </c>
      <c r="H34" s="220">
        <f t="shared" ref="H34:H39" si="2">F34*G34</f>
        <v>211000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4</v>
      </c>
      <c r="D35" s="30">
        <f>C35*84</f>
        <v>336</v>
      </c>
      <c r="F35" s="58">
        <v>500</v>
      </c>
      <c r="G35" s="41">
        <v>25</v>
      </c>
      <c r="H35" s="220">
        <f t="shared" si="2"/>
        <v>12500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18</v>
      </c>
      <c r="D36" s="12">
        <f>C36*1.5</f>
        <v>27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318</v>
      </c>
      <c r="D37" s="12">
        <f>C37*111</f>
        <v>35298</v>
      </c>
      <c r="F37" s="12">
        <v>100</v>
      </c>
      <c r="G37" s="39">
        <v>100</v>
      </c>
      <c r="H37" s="220">
        <f t="shared" si="2"/>
        <v>10000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19</v>
      </c>
      <c r="D38" s="12">
        <f>C38*84</f>
        <v>1596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</v>
      </c>
      <c r="D42" s="12">
        <f>C42*2.25</f>
        <v>2.25</v>
      </c>
      <c r="F42" s="39" t="s">
        <v>78</v>
      </c>
      <c r="G42" s="220">
        <v>18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7</v>
      </c>
      <c r="D44" s="12">
        <f>C44*120</f>
        <v>840</v>
      </c>
      <c r="F44" s="37" t="s">
        <v>133</v>
      </c>
      <c r="G44" s="83" t="s">
        <v>134</v>
      </c>
      <c r="H44" s="204">
        <v>9184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 t="s">
        <v>161</v>
      </c>
      <c r="G45" s="62"/>
      <c r="H45" s="204">
        <v>3110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</v>
      </c>
      <c r="D46" s="12">
        <f>C46*1.5</f>
        <v>1.5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245882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69</v>
      </c>
      <c r="D50" s="12">
        <f>C50*1.5</f>
        <v>103.5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104.66666666662786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40578.75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AF7E3C3-7CC2-41EE-99B6-269D5838649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46122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386</v>
      </c>
      <c r="D6" s="13">
        <f t="shared" ref="D6:D28" si="1">C6*L6</f>
        <v>293746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1562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47</v>
      </c>
      <c r="D9" s="13">
        <f t="shared" si="1"/>
        <v>34451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14</v>
      </c>
      <c r="D13" s="48">
        <f t="shared" si="1"/>
        <v>4298</v>
      </c>
      <c r="F13" s="165" t="s">
        <v>36</v>
      </c>
      <c r="G13" s="166"/>
      <c r="H13" s="167">
        <f>D29</f>
        <v>337013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11</v>
      </c>
      <c r="D14" s="31">
        <f t="shared" si="1"/>
        <v>121</v>
      </c>
      <c r="F14" s="170" t="s">
        <v>38</v>
      </c>
      <c r="G14" s="171"/>
      <c r="H14" s="172">
        <f>D54</f>
        <v>35585.25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301427.75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1200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>
        <v>1</v>
      </c>
      <c r="D28" s="48">
        <f t="shared" si="1"/>
        <v>811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337013</v>
      </c>
      <c r="F29" s="188" t="s">
        <v>54</v>
      </c>
      <c r="G29" s="189"/>
      <c r="H29" s="192">
        <f>H15-H16-H17-H18-H19-H20-H22-H23-H24+H26+H27</f>
        <v>300227.75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74">
        <v>140</v>
      </c>
      <c r="H34" s="220">
        <f>F34*G34</f>
        <v>140000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2</v>
      </c>
      <c r="D35" s="30">
        <f>C35*84</f>
        <v>168</v>
      </c>
      <c r="F35" s="58">
        <v>500</v>
      </c>
      <c r="G35" s="41">
        <v>28</v>
      </c>
      <c r="H35" s="220">
        <f t="shared" ref="H35:H39" si="2">F35*G35</f>
        <v>14000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15</v>
      </c>
      <c r="D36" s="12">
        <f>C36*1.5</f>
        <v>22.5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270</v>
      </c>
      <c r="D37" s="12">
        <f>C37*111</f>
        <v>29970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42</v>
      </c>
      <c r="D38" s="12">
        <f>C38*84</f>
        <v>3528</v>
      </c>
      <c r="F38" s="30">
        <v>50</v>
      </c>
      <c r="G38" s="39">
        <v>8</v>
      </c>
      <c r="H38" s="220">
        <f t="shared" si="2"/>
        <v>400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11</v>
      </c>
      <c r="D42" s="12">
        <f>C42*2.25</f>
        <v>24.75</v>
      </c>
      <c r="F42" s="39" t="s">
        <v>78</v>
      </c>
      <c r="G42" s="220">
        <v>150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2</v>
      </c>
      <c r="D44" s="12">
        <f>C44*120</f>
        <v>240</v>
      </c>
      <c r="F44" s="37" t="s">
        <v>137</v>
      </c>
      <c r="G44" s="62" t="s">
        <v>163</v>
      </c>
      <c r="H44" s="204">
        <v>145790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0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9</v>
      </c>
      <c r="D48" s="12">
        <f>C48*78</f>
        <v>702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3</v>
      </c>
      <c r="D49" s="12">
        <f>C49*42</f>
        <v>126</v>
      </c>
      <c r="F49" s="245" t="s">
        <v>85</v>
      </c>
      <c r="G49" s="192">
        <f>H34+H35+H36+H37+H38+H39+H40+H41+G42+H44+H45+H46</f>
        <v>300340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3</v>
      </c>
      <c r="D50" s="12">
        <f>C50*1.5</f>
        <v>4.5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112.25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35585.25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B7B0D49-F56E-42BD-B8FA-C427778D88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46122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BC583E-B2EF-45A8-BB78-82D6BD7EC7B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2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79803-9ACE-4564-80AA-C36DDA68134D}">
  <dimension ref="A1:R59"/>
  <sheetViews>
    <sheetView topLeftCell="A10" zoomScaleNormal="100" zoomScaleSheetLayoutView="85" workbookViewId="0">
      <selection activeCell="G34" sqref="G34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52"/>
      <c r="I19" s="152"/>
      <c r="J19" s="152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0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83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3A3418-65AA-4510-AFD2-24E7B3007AA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0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4BE39D-54E2-4FDB-822A-1FDA8870C20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1" t="s">
        <v>2</v>
      </c>
      <c r="Q1" s="10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0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7717862-1451-41B2-8930-77EC56A51C6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EDA3DC-2061-4154-9943-EEDC04C329AC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316</v>
      </c>
      <c r="D6" s="13">
        <f t="shared" ref="D6:D28" si="1">C6*L6</f>
        <v>240476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240718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22</v>
      </c>
      <c r="D14" s="31">
        <f t="shared" si="1"/>
        <v>242</v>
      </c>
      <c r="F14" s="170" t="s">
        <v>38</v>
      </c>
      <c r="G14" s="171"/>
      <c r="H14" s="172">
        <f>D54</f>
        <v>51207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189511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f>1296</f>
        <v>1296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>
        <v>174.11</v>
      </c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06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240718</v>
      </c>
      <c r="F29" s="188" t="s">
        <v>54</v>
      </c>
      <c r="G29" s="189"/>
      <c r="H29" s="192">
        <f>H15-H16-H17-H18-H19-H20-H22-H23-H24+H26+H27+H28</f>
        <v>188040.89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3</v>
      </c>
      <c r="D34" s="30">
        <f>C34*120</f>
        <v>360</v>
      </c>
      <c r="F34" s="12">
        <v>1000</v>
      </c>
      <c r="G34" s="40">
        <v>45</v>
      </c>
      <c r="H34" s="220">
        <f t="shared" ref="H34:H39" si="2">F34*G34</f>
        <v>45000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33</v>
      </c>
      <c r="H35" s="220">
        <f t="shared" si="2"/>
        <v>16500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444</v>
      </c>
      <c r="D37" s="12">
        <f>C37*111</f>
        <v>49284</v>
      </c>
      <c r="F37" s="12">
        <v>100</v>
      </c>
      <c r="G37" s="39">
        <v>29</v>
      </c>
      <c r="H37" s="220">
        <f t="shared" si="2"/>
        <v>2900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7</v>
      </c>
      <c r="H38" s="220">
        <f t="shared" si="2"/>
        <v>350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2</v>
      </c>
      <c r="D42" s="12">
        <f>C42*2.25</f>
        <v>4.5</v>
      </c>
      <c r="F42" s="39" t="s">
        <v>78</v>
      </c>
      <c r="G42" s="220">
        <v>77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164</v>
      </c>
      <c r="H44" s="204">
        <v>123103.5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23</v>
      </c>
      <c r="D46" s="12">
        <f>C46*1.5</f>
        <v>34.5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</v>
      </c>
      <c r="D49" s="12">
        <f>C49*42</f>
        <v>42</v>
      </c>
      <c r="F49" s="245" t="s">
        <v>85</v>
      </c>
      <c r="G49" s="192">
        <f>H34+H35+H36+H37+H38+H39+H40+H41+G42+H44+H45+H46</f>
        <v>187930.5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14</v>
      </c>
      <c r="D50" s="12">
        <f>C50*1.5</f>
        <v>21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-110.39000000001397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51207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47B6F4-2F2F-4F9E-B99D-35598297BE2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377</v>
      </c>
      <c r="D6" s="13">
        <f t="shared" ref="D6:D28" si="1">C6*L6</f>
        <v>286897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13</v>
      </c>
      <c r="D9" s="13">
        <f t="shared" si="1"/>
        <v>9529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3</v>
      </c>
      <c r="D12" s="48">
        <f t="shared" si="1"/>
        <v>2976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15</v>
      </c>
      <c r="D13" s="48">
        <f t="shared" si="1"/>
        <v>4605</v>
      </c>
      <c r="F13" s="165" t="s">
        <v>36</v>
      </c>
      <c r="G13" s="166"/>
      <c r="H13" s="167">
        <f>D29</f>
        <v>304172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15</v>
      </c>
      <c r="D14" s="31">
        <f t="shared" si="1"/>
        <v>165</v>
      </c>
      <c r="F14" s="170" t="s">
        <v>38</v>
      </c>
      <c r="G14" s="171"/>
      <c r="H14" s="172">
        <f>D54</f>
        <v>44827.5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259344.5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1944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304172</v>
      </c>
      <c r="F29" s="188" t="s">
        <v>54</v>
      </c>
      <c r="G29" s="189"/>
      <c r="H29" s="192">
        <f>H15-H16-H17-H18-H19-H20-H22-H23-H24+H26+H27</f>
        <v>257400.5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136</v>
      </c>
      <c r="H34" s="220">
        <f>F34*G34</f>
        <v>136000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214</v>
      </c>
      <c r="H35" s="220">
        <f t="shared" ref="H35:H39" si="2">F35*G35</f>
        <v>107000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>
        <v>1</v>
      </c>
      <c r="H36" s="220">
        <f>F36*G36</f>
        <v>200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389</v>
      </c>
      <c r="D37" s="12">
        <f>C37*111</f>
        <v>43179</v>
      </c>
      <c r="F37" s="12">
        <v>100</v>
      </c>
      <c r="G37" s="39">
        <v>126</v>
      </c>
      <c r="H37" s="220">
        <f t="shared" si="2"/>
        <v>12600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6</v>
      </c>
      <c r="D38" s="12">
        <f>C38*84</f>
        <v>504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6</v>
      </c>
      <c r="D42" s="12">
        <f>C42*2.25</f>
        <v>13.5</v>
      </c>
      <c r="F42" s="39" t="s">
        <v>78</v>
      </c>
      <c r="G42" s="220">
        <v>77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1</v>
      </c>
      <c r="D44" s="12">
        <f>C44*120</f>
        <v>120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2</v>
      </c>
      <c r="D45" s="12">
        <f>C45*84</f>
        <v>168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6</v>
      </c>
      <c r="D46" s="12">
        <f>C46*1.5</f>
        <v>9</v>
      </c>
      <c r="F46" s="37"/>
      <c r="G46" s="10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10</v>
      </c>
      <c r="D49" s="12">
        <f>C49*42</f>
        <v>420</v>
      </c>
      <c r="F49" s="245" t="s">
        <v>85</v>
      </c>
      <c r="G49" s="192">
        <f>H34+H35+H36+H37+H38+H39+H40+H41+G42+H44+H45+H46</f>
        <v>255947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10</v>
      </c>
      <c r="D50" s="12">
        <f>C50*1.5</f>
        <v>15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-1453.5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44827.5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AD15412-5A63-4497-9FEA-790E13BDF32F}">
  <dimension ref="A1:R59"/>
  <sheetViews>
    <sheetView zoomScaleNormal="100" zoomScaleSheetLayoutView="85" workbookViewId="0">
      <selection activeCell="G10" sqref="G10:J11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08" t="s">
        <v>2</v>
      </c>
      <c r="Q1" s="10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358</v>
      </c>
      <c r="D6" s="13">
        <f t="shared" ref="D6:D28" si="1">C6*L6</f>
        <v>272438</v>
      </c>
      <c r="F6" s="143" t="s">
        <v>16</v>
      </c>
      <c r="G6" s="145" t="s">
        <v>166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14</v>
      </c>
      <c r="D7" s="13">
        <f t="shared" si="1"/>
        <v>10934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57</v>
      </c>
      <c r="D9" s="13">
        <f t="shared" si="1"/>
        <v>41781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8</v>
      </c>
      <c r="D13" s="48">
        <f t="shared" si="1"/>
        <v>2456</v>
      </c>
      <c r="F13" s="165" t="s">
        <v>36</v>
      </c>
      <c r="G13" s="166"/>
      <c r="H13" s="167">
        <f>D29</f>
        <v>328634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3</v>
      </c>
      <c r="D14" s="31">
        <f t="shared" si="1"/>
        <v>33</v>
      </c>
      <c r="F14" s="170" t="s">
        <v>38</v>
      </c>
      <c r="G14" s="171"/>
      <c r="H14" s="172">
        <f>D54</f>
        <v>48386.25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280247.75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1920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0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328634</v>
      </c>
      <c r="F29" s="188" t="s">
        <v>54</v>
      </c>
      <c r="G29" s="189"/>
      <c r="H29" s="192">
        <f>H15-H16-H17-H18-H19-H20-H22-H23-H24+H26+H27</f>
        <v>278277.75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150</v>
      </c>
      <c r="H34" s="220">
        <f>F34*G34</f>
        <v>150000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22</v>
      </c>
      <c r="H35" s="220">
        <f>F35*G35</f>
        <v>11000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416</v>
      </c>
      <c r="D37" s="12">
        <f>C37*111</f>
        <v>46176</v>
      </c>
      <c r="F37" s="12">
        <v>100</v>
      </c>
      <c r="G37" s="39">
        <v>5</v>
      </c>
      <c r="H37" s="220">
        <f t="shared" si="2"/>
        <v>500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3</v>
      </c>
      <c r="D38" s="12">
        <f>C38*84</f>
        <v>252</v>
      </c>
      <c r="F38" s="30">
        <v>50</v>
      </c>
      <c r="G38" s="39">
        <v>4</v>
      </c>
      <c r="H38" s="220">
        <f t="shared" si="2"/>
        <v>200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2</v>
      </c>
      <c r="H39" s="220">
        <f t="shared" si="2"/>
        <v>40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12</v>
      </c>
      <c r="D40" s="12">
        <f>C40*111</f>
        <v>1332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9</v>
      </c>
      <c r="D42" s="12">
        <f>C42*2.25</f>
        <v>20.25</v>
      </c>
      <c r="F42" s="39" t="s">
        <v>78</v>
      </c>
      <c r="G42" s="220">
        <v>9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1</v>
      </c>
      <c r="D44" s="12">
        <f>C44*120</f>
        <v>120</v>
      </c>
      <c r="F44" s="37" t="s">
        <v>137</v>
      </c>
      <c r="G44" s="62" t="s">
        <v>165</v>
      </c>
      <c r="H44" s="204">
        <v>116101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277850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2</v>
      </c>
      <c r="D50" s="12">
        <f>C50*1.5</f>
        <v>3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-427.75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48386.25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150E6B-248E-42A0-998E-CC5B3094AC2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08" t="s">
        <v>2</v>
      </c>
      <c r="Q1" s="10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0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0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9EFBA13-6433-4868-97E7-86FA2928673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317</v>
      </c>
      <c r="D6" s="13">
        <f t="shared" ref="D6:D28" si="1">C6*L6</f>
        <v>241237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10</v>
      </c>
      <c r="D7" s="13">
        <f t="shared" si="1"/>
        <v>7810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20</v>
      </c>
      <c r="D9" s="13">
        <f t="shared" si="1"/>
        <v>14660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1+1</f>
        <v>2</v>
      </c>
      <c r="D12" s="48">
        <f t="shared" si="1"/>
        <v>1984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4</v>
      </c>
      <c r="D13" s="48">
        <f t="shared" si="1"/>
        <v>1228</v>
      </c>
      <c r="F13" s="165" t="s">
        <v>36</v>
      </c>
      <c r="G13" s="166"/>
      <c r="H13" s="167">
        <f>D29</f>
        <v>270579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8</v>
      </c>
      <c r="D14" s="31">
        <f t="shared" si="1"/>
        <v>88</v>
      </c>
      <c r="F14" s="170" t="s">
        <v>38</v>
      </c>
      <c r="G14" s="171"/>
      <c r="H14" s="172">
        <f>D54</f>
        <v>39222.75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2</v>
      </c>
      <c r="D15" s="31">
        <f t="shared" si="1"/>
        <v>1240</v>
      </c>
      <c r="F15" s="175" t="s">
        <v>39</v>
      </c>
      <c r="G15" s="166"/>
      <c r="H15" s="176">
        <f>H13-H14</f>
        <v>231356.25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v>60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15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270579</v>
      </c>
      <c r="F29" s="188" t="s">
        <v>54</v>
      </c>
      <c r="G29" s="189"/>
      <c r="H29" s="192">
        <f>H15-H16-H17-H18-H19-H20-H22-H23-H24+H26+H27+H28</f>
        <v>231296.25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163</v>
      </c>
      <c r="H34" s="220">
        <f t="shared" ref="H34:H39" si="2">F34*G34</f>
        <v>163000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57</v>
      </c>
      <c r="H35" s="220">
        <f t="shared" si="2"/>
        <v>28500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333</v>
      </c>
      <c r="D37" s="12">
        <f>C37*111</f>
        <v>36963</v>
      </c>
      <c r="F37" s="12">
        <v>100</v>
      </c>
      <c r="G37" s="39">
        <v>4</v>
      </c>
      <c r="H37" s="220">
        <f t="shared" si="2"/>
        <v>400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6</v>
      </c>
      <c r="D38" s="12">
        <f>C38*84</f>
        <v>504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7</v>
      </c>
      <c r="D40" s="12">
        <f>C40*111</f>
        <v>777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7</v>
      </c>
      <c r="D42" s="12">
        <f>C42*2.25</f>
        <v>15.75</v>
      </c>
      <c r="F42" s="39" t="s">
        <v>78</v>
      </c>
      <c r="G42" s="220">
        <v>75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2</v>
      </c>
      <c r="D44" s="12">
        <f>C44*120</f>
        <v>240</v>
      </c>
      <c r="F44" s="37" t="s">
        <v>133</v>
      </c>
      <c r="G44" s="83" t="s">
        <v>134</v>
      </c>
      <c r="H44" s="204">
        <v>40000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2</v>
      </c>
      <c r="D45" s="12">
        <f>C45*84</f>
        <v>168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14</v>
      </c>
      <c r="D46" s="12">
        <f>C46*1.5</f>
        <v>21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5</v>
      </c>
      <c r="D48" s="12">
        <f>C48*78</f>
        <v>390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231975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4</v>
      </c>
      <c r="D50" s="12">
        <f>C50*1.5</f>
        <v>6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678.75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39222.75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279C4FD-794B-4E3D-AAD7-4BC4F0DEABE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380</v>
      </c>
      <c r="D6" s="13">
        <f t="shared" ref="D6:D28" si="1">C6*L6</f>
        <v>289180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7</v>
      </c>
      <c r="D7" s="13">
        <f t="shared" si="1"/>
        <v>5467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39</v>
      </c>
      <c r="D9" s="13">
        <f t="shared" si="1"/>
        <v>28587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11</v>
      </c>
      <c r="D13" s="48">
        <f t="shared" si="1"/>
        <v>3377</v>
      </c>
      <c r="F13" s="165" t="s">
        <v>36</v>
      </c>
      <c r="G13" s="166"/>
      <c r="H13" s="167">
        <f>D29</f>
        <v>326754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13</v>
      </c>
      <c r="D14" s="31">
        <f t="shared" si="1"/>
        <v>143</v>
      </c>
      <c r="F14" s="170" t="s">
        <v>38</v>
      </c>
      <c r="G14" s="171"/>
      <c r="H14" s="172">
        <f>D54</f>
        <v>51193.5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275560.5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2286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326754</v>
      </c>
      <c r="F29" s="188" t="s">
        <v>54</v>
      </c>
      <c r="G29" s="189"/>
      <c r="H29" s="192">
        <f>H15-H16-H17-H18-H19-H20-H22-H23-H24+H26+H27</f>
        <v>273274.5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119</v>
      </c>
      <c r="H34" s="220">
        <f>F34*G34</f>
        <v>119000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</v>
      </c>
      <c r="H35" s="220">
        <f t="shared" ref="H35:H39" si="2">F35*G35</f>
        <v>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443</v>
      </c>
      <c r="D37" s="12">
        <f>C37*111</f>
        <v>49173</v>
      </c>
      <c r="F37" s="12">
        <v>100</v>
      </c>
      <c r="G37" s="39">
        <v>2</v>
      </c>
      <c r="H37" s="220">
        <f t="shared" si="2"/>
        <v>200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11</v>
      </c>
      <c r="D38" s="12">
        <f>C38*84</f>
        <v>924</v>
      </c>
      <c r="F38" s="30">
        <v>50</v>
      </c>
      <c r="G38" s="39">
        <v>4</v>
      </c>
      <c r="H38" s="220">
        <f t="shared" si="2"/>
        <v>200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70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 t="s">
        <v>131</v>
      </c>
      <c r="G44" s="99" t="s">
        <v>167</v>
      </c>
      <c r="H44" s="204">
        <v>153098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14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3</v>
      </c>
      <c r="D48" s="12">
        <f>C48*78</f>
        <v>234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7</v>
      </c>
      <c r="D49" s="12">
        <f>C49*42</f>
        <v>294</v>
      </c>
      <c r="F49" s="245" t="s">
        <v>85</v>
      </c>
      <c r="G49" s="192">
        <f>H34+H35+H36+H37+H38+H39+H40+H41+G42+H44+H45+H46</f>
        <v>273068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12</v>
      </c>
      <c r="D50" s="12">
        <f>C50*1.5</f>
        <v>18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-206.5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51193.5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4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3851C3-AE72-49C2-82F2-92AE2F8125D3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1" t="s">
        <v>2</v>
      </c>
      <c r="Q1" s="111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431</v>
      </c>
      <c r="D6" s="13">
        <f t="shared" ref="D6:D28" si="1">C6*L6</f>
        <v>327991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30</v>
      </c>
      <c r="D7" s="13">
        <f t="shared" si="1"/>
        <v>23430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77</v>
      </c>
      <c r="D9" s="13">
        <f t="shared" si="1"/>
        <v>56441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20</v>
      </c>
      <c r="D11" s="13">
        <f t="shared" si="1"/>
        <v>23400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4+1</f>
        <v>5</v>
      </c>
      <c r="D12" s="48">
        <f t="shared" si="1"/>
        <v>4960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19</v>
      </c>
      <c r="D13" s="48">
        <f t="shared" si="1"/>
        <v>5833</v>
      </c>
      <c r="F13" s="165" t="s">
        <v>36</v>
      </c>
      <c r="G13" s="166"/>
      <c r="H13" s="167">
        <f>D29</f>
        <v>447818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3</v>
      </c>
      <c r="D14" s="31">
        <f t="shared" si="1"/>
        <v>33</v>
      </c>
      <c r="F14" s="170" t="s">
        <v>38</v>
      </c>
      <c r="G14" s="171"/>
      <c r="H14" s="172">
        <f>D54</f>
        <v>60831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f>3+1</f>
        <v>4</v>
      </c>
      <c r="D15" s="31">
        <f t="shared" si="1"/>
        <v>2480</v>
      </c>
      <c r="F15" s="175" t="s">
        <v>39</v>
      </c>
      <c r="G15" s="166"/>
      <c r="H15" s="176">
        <f>H13-H14</f>
        <v>386987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5</v>
      </c>
      <c r="D16" s="48">
        <f t="shared" si="1"/>
        <v>3250</v>
      </c>
      <c r="F16" s="67" t="s">
        <v>41</v>
      </c>
      <c r="G16" s="66" t="s">
        <v>42</v>
      </c>
      <c r="H16" s="179">
        <f>2118+738</f>
        <v>2856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2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447818</v>
      </c>
      <c r="F29" s="188" t="s">
        <v>54</v>
      </c>
      <c r="G29" s="189"/>
      <c r="H29" s="192">
        <f>H15-H16-H17-H18-H19-H20-H22-H23-H24+H26+H27</f>
        <v>384131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13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127</v>
      </c>
      <c r="H34" s="220">
        <f>F34*G34</f>
        <v>127000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21</v>
      </c>
      <c r="H35" s="220">
        <f>F35*G35</f>
        <v>10500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21</v>
      </c>
      <c r="D36" s="12">
        <f>C36*1.5</f>
        <v>31.5</v>
      </c>
      <c r="F36" s="12">
        <v>200</v>
      </c>
      <c r="G36" s="37">
        <v>1</v>
      </c>
      <c r="H36" s="220">
        <f t="shared" ref="H36:H39" si="2">F36*G36</f>
        <v>200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475</v>
      </c>
      <c r="D37" s="12">
        <f>C37*111</f>
        <v>52725</v>
      </c>
      <c r="F37" s="12">
        <v>100</v>
      </c>
      <c r="G37" s="39">
        <v>35</v>
      </c>
      <c r="H37" s="220">
        <f t="shared" si="2"/>
        <v>3500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>
        <v>7</v>
      </c>
      <c r="H38" s="220">
        <f t="shared" si="2"/>
        <v>350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20</v>
      </c>
      <c r="D39" s="31">
        <f>C39*4.5</f>
        <v>90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36</v>
      </c>
      <c r="D40" s="12">
        <f>C40*111</f>
        <v>3996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12</v>
      </c>
      <c r="D42" s="12">
        <f>C42*2.25</f>
        <v>27</v>
      </c>
      <c r="F42" s="39" t="s">
        <v>78</v>
      </c>
      <c r="G42" s="220">
        <v>36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5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18</v>
      </c>
      <c r="D44" s="12">
        <f>C44*120</f>
        <v>2160</v>
      </c>
      <c r="F44" s="37" t="s">
        <v>133</v>
      </c>
      <c r="G44" s="76" t="s">
        <v>168</v>
      </c>
      <c r="H44" s="204">
        <v>243106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5</v>
      </c>
      <c r="D45" s="12">
        <f>C45*84</f>
        <v>420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15</v>
      </c>
      <c r="D48" s="12">
        <f>C48*78</f>
        <v>1170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3</v>
      </c>
      <c r="D49" s="12">
        <f>C49*42</f>
        <v>126</v>
      </c>
      <c r="F49" s="245" t="s">
        <v>85</v>
      </c>
      <c r="G49" s="192">
        <f>H34+H35+H36+H37+H38+H39+H40+H41+G42+H44+H45+H46</f>
        <v>384692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</v>
      </c>
      <c r="D50" s="12">
        <f>C50*1.5</f>
        <v>1.5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561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60831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  <mergeCell ref="H13:J13"/>
    <mergeCell ref="F14:G14"/>
    <mergeCell ref="H14:J14"/>
    <mergeCell ref="F15:G15"/>
    <mergeCell ref="H15:J15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A32:D32"/>
    <mergeCell ref="F32:J32"/>
    <mergeCell ref="H33:J33"/>
    <mergeCell ref="A34:A36"/>
    <mergeCell ref="H34:J34"/>
    <mergeCell ref="H35:J35"/>
    <mergeCell ref="H36:J36"/>
    <mergeCell ref="A37:A39"/>
    <mergeCell ref="H37:J37"/>
    <mergeCell ref="H38:J38"/>
    <mergeCell ref="H39:J39"/>
    <mergeCell ref="A40:A42"/>
    <mergeCell ref="H40:J40"/>
    <mergeCell ref="H41:J41"/>
    <mergeCell ref="G42:J42"/>
    <mergeCell ref="A43:A47"/>
    <mergeCell ref="H43:J43"/>
    <mergeCell ref="H44:J44"/>
    <mergeCell ref="H45:J45"/>
    <mergeCell ref="H46:J46"/>
    <mergeCell ref="H47:J47"/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88705F3-D573-4120-8472-BB5EF78F1773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1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3461A0-8FC8-4F55-AE48-DCBD9279B297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46127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331</v>
      </c>
      <c r="D6" s="13">
        <f t="shared" ref="D6:D28" si="1">C6*L6</f>
        <v>251891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24</v>
      </c>
      <c r="D7" s="13">
        <f t="shared" si="1"/>
        <v>18744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65</v>
      </c>
      <c r="D8" s="13">
        <f t="shared" si="1"/>
        <v>71045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10</v>
      </c>
      <c r="D9" s="13">
        <f t="shared" si="1"/>
        <v>7330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10</v>
      </c>
      <c r="D10" s="13">
        <f t="shared" si="1"/>
        <v>10320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3</v>
      </c>
      <c r="D11" s="13">
        <f t="shared" si="1"/>
        <v>3510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2+2</f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13</v>
      </c>
      <c r="D13" s="48">
        <f t="shared" si="1"/>
        <v>3991</v>
      </c>
      <c r="F13" s="165" t="s">
        <v>36</v>
      </c>
      <c r="G13" s="166"/>
      <c r="H13" s="167">
        <f>D29</f>
        <v>376385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21</v>
      </c>
      <c r="D14" s="31">
        <f t="shared" si="1"/>
        <v>231</v>
      </c>
      <c r="F14" s="170" t="s">
        <v>38</v>
      </c>
      <c r="G14" s="171"/>
      <c r="H14" s="172">
        <f>D54</f>
        <v>37755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338630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>
        <f>1476</f>
        <v>1476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 t="s">
        <v>135</v>
      </c>
      <c r="G22" s="73">
        <v>9948</v>
      </c>
      <c r="H22" s="202">
        <v>91257</v>
      </c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 t="s">
        <v>162</v>
      </c>
      <c r="G23" s="79">
        <v>9950</v>
      </c>
      <c r="H23" s="255">
        <v>67961</v>
      </c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 t="s">
        <v>135</v>
      </c>
      <c r="G26" s="65">
        <v>9961</v>
      </c>
      <c r="H26" s="204">
        <v>92259</v>
      </c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5" t="s">
        <v>162</v>
      </c>
      <c r="G27" s="116">
        <v>9917</v>
      </c>
      <c r="H27" s="257">
        <v>4698</v>
      </c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>
        <v>5</v>
      </c>
      <c r="D28" s="48">
        <f t="shared" si="1"/>
        <v>4055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376385</v>
      </c>
      <c r="F29" s="188" t="s">
        <v>54</v>
      </c>
      <c r="G29" s="189"/>
      <c r="H29" s="192">
        <f>H15-H16-H17-H18-H19-H20-H22-H23-H24+H26+H27+H28</f>
        <v>274893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40">
        <v>4</v>
      </c>
      <c r="H34" s="220">
        <f t="shared" ref="H34:H39" si="2">F34*G34</f>
        <v>4000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1</v>
      </c>
      <c r="H35" s="220">
        <f t="shared" si="2"/>
        <v>500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23</v>
      </c>
      <c r="D36" s="12">
        <f>C36*1.5</f>
        <v>34.5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253</v>
      </c>
      <c r="D37" s="12">
        <f>C37*111</f>
        <v>28083</v>
      </c>
      <c r="F37" s="12">
        <v>100</v>
      </c>
      <c r="G37" s="39">
        <v>1</v>
      </c>
      <c r="H37" s="220">
        <f t="shared" si="2"/>
        <v>100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</v>
      </c>
      <c r="D38" s="12">
        <f>C38*84</f>
        <v>84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4</v>
      </c>
      <c r="D40" s="12">
        <f>C40*111</f>
        <v>444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6</v>
      </c>
      <c r="D42" s="12">
        <f>C42*2.25</f>
        <v>13.5</v>
      </c>
      <c r="F42" s="39" t="s">
        <v>78</v>
      </c>
      <c r="G42" s="220">
        <v>48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69</v>
      </c>
      <c r="D44" s="12">
        <f>C44*120</f>
        <v>8280</v>
      </c>
      <c r="F44" s="37" t="s">
        <v>137</v>
      </c>
      <c r="G44" s="62" t="s">
        <v>169</v>
      </c>
      <c r="H44" s="204">
        <v>176530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 t="s">
        <v>133</v>
      </c>
      <c r="G45" s="83" t="s">
        <v>134</v>
      </c>
      <c r="H45" s="204">
        <f>92259</f>
        <v>92259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23</v>
      </c>
      <c r="D46" s="12">
        <f>C46*1.5</f>
        <v>34.5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</v>
      </c>
      <c r="D48" s="12">
        <f>C48*78</f>
        <v>78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7</v>
      </c>
      <c r="D49" s="12">
        <f>C49*42</f>
        <v>294</v>
      </c>
      <c r="F49" s="245" t="s">
        <v>85</v>
      </c>
      <c r="G49" s="192">
        <f>H34+H35+H36+H37+H38+H39+H40+H41+G42+H44+H45+H46</f>
        <v>273487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22</v>
      </c>
      <c r="D50" s="12">
        <f>C50*1.5</f>
        <v>33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-1406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37755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9744C9-8100-4ACA-BE14-D363ED05334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46127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338</v>
      </c>
      <c r="D6" s="13">
        <f t="shared" ref="D6:D28" si="1">C6*L6</f>
        <v>257218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</v>
      </c>
      <c r="D7" s="13">
        <f t="shared" si="1"/>
        <v>781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5</v>
      </c>
      <c r="D8" s="13">
        <f t="shared" si="1"/>
        <v>5465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35</v>
      </c>
      <c r="D9" s="13">
        <f t="shared" si="1"/>
        <v>25655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13</v>
      </c>
      <c r="D13" s="48">
        <f t="shared" si="1"/>
        <v>3991</v>
      </c>
      <c r="F13" s="165" t="s">
        <v>36</v>
      </c>
      <c r="G13" s="166"/>
      <c r="H13" s="167">
        <f>D29</f>
        <v>295167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3</v>
      </c>
      <c r="D14" s="31">
        <f t="shared" si="1"/>
        <v>33</v>
      </c>
      <c r="F14" s="170" t="s">
        <v>38</v>
      </c>
      <c r="G14" s="171"/>
      <c r="H14" s="172">
        <f>D54</f>
        <v>47517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247650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2010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295167</v>
      </c>
      <c r="F29" s="188" t="s">
        <v>54</v>
      </c>
      <c r="G29" s="189"/>
      <c r="H29" s="192">
        <f>H15-H16-H17-H18-H19-H20-H22-H23-H24+H26+H27</f>
        <v>245640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1</v>
      </c>
      <c r="D34" s="30">
        <f>C34*120</f>
        <v>120</v>
      </c>
      <c r="F34" s="12">
        <v>1000</v>
      </c>
      <c r="G34" s="74">
        <v>3</v>
      </c>
      <c r="H34" s="220">
        <f>F34*G34</f>
        <v>3000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54</v>
      </c>
      <c r="H35" s="220">
        <f t="shared" ref="H35:H39" si="2">F35*G35</f>
        <v>27000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17</v>
      </c>
      <c r="D36" s="12">
        <f>C36*1.5</f>
        <v>25.5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412</v>
      </c>
      <c r="D37" s="12">
        <f>C37*111</f>
        <v>45732</v>
      </c>
      <c r="F37" s="12">
        <v>100</v>
      </c>
      <c r="G37" s="39">
        <v>1</v>
      </c>
      <c r="H37" s="220">
        <f t="shared" si="2"/>
        <v>100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5</v>
      </c>
      <c r="D38" s="12">
        <f>C38*84</f>
        <v>420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</v>
      </c>
      <c r="D40" s="12">
        <f>C40*111</f>
        <v>111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>
        <v>14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4</v>
      </c>
      <c r="D44" s="12">
        <f>C44*120</f>
        <v>480</v>
      </c>
      <c r="F44" s="37" t="s">
        <v>137</v>
      </c>
      <c r="G44" s="62" t="s">
        <v>170</v>
      </c>
      <c r="H44" s="204">
        <v>215805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1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2</v>
      </c>
      <c r="D48" s="12">
        <f>C48*78</f>
        <v>156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7</v>
      </c>
      <c r="D49" s="12">
        <f>C49*42</f>
        <v>294</v>
      </c>
      <c r="F49" s="245" t="s">
        <v>85</v>
      </c>
      <c r="G49" s="192">
        <f>H34+H35+H36+H37+H38+H39+H40+H41+G42+H44+H45+H46</f>
        <v>245969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7</v>
      </c>
      <c r="D50" s="12">
        <f>C50*1.5</f>
        <v>10.5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329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47517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B6EA22-9D59-44DC-8C5E-F81A7DECAC9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46127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566</v>
      </c>
      <c r="D6" s="13">
        <f t="shared" ref="D6:D28" si="1">C6*L6</f>
        <v>430726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20</v>
      </c>
      <c r="D7" s="13">
        <f t="shared" si="1"/>
        <v>15620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120</v>
      </c>
      <c r="D9" s="13">
        <f t="shared" si="1"/>
        <v>87960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2+1+1</f>
        <v>4</v>
      </c>
      <c r="D12" s="48">
        <f t="shared" si="1"/>
        <v>3968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17</v>
      </c>
      <c r="D13" s="48">
        <f t="shared" si="1"/>
        <v>5219</v>
      </c>
      <c r="F13" s="165" t="s">
        <v>36</v>
      </c>
      <c r="G13" s="166"/>
      <c r="H13" s="167">
        <f>D29</f>
        <v>547376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13</v>
      </c>
      <c r="D14" s="31">
        <f t="shared" si="1"/>
        <v>143</v>
      </c>
      <c r="F14" s="170" t="s">
        <v>38</v>
      </c>
      <c r="G14" s="171"/>
      <c r="H14" s="172">
        <f>D54</f>
        <v>67408.5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1</v>
      </c>
      <c r="D15" s="31">
        <f t="shared" si="1"/>
        <v>620</v>
      </c>
      <c r="F15" s="175" t="s">
        <v>39</v>
      </c>
      <c r="G15" s="166"/>
      <c r="H15" s="176">
        <f>H13-H14</f>
        <v>479967.5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3</v>
      </c>
      <c r="D16" s="48">
        <f t="shared" si="1"/>
        <v>1950</v>
      </c>
      <c r="F16" s="67" t="s">
        <v>41</v>
      </c>
      <c r="G16" s="66" t="s">
        <v>42</v>
      </c>
      <c r="H16" s="179">
        <f>690+606+768</f>
        <v>2064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>
        <v>50</v>
      </c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547376</v>
      </c>
      <c r="F29" s="188" t="s">
        <v>54</v>
      </c>
      <c r="G29" s="189"/>
      <c r="H29" s="192">
        <f>H15-H16-H17-H18-H19-H20-H22-H23-H24+H26+H27</f>
        <v>477853.5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148</v>
      </c>
      <c r="H34" s="220">
        <f>F34*G34</f>
        <v>148000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40</v>
      </c>
      <c r="H35" s="220">
        <f>F35*G35</f>
        <v>20000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563</v>
      </c>
      <c r="D37" s="12">
        <f>C37*111</f>
        <v>62493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10</v>
      </c>
      <c r="D38" s="12">
        <f>C38*84</f>
        <v>840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19</v>
      </c>
      <c r="D40" s="12">
        <f>C40*111</f>
        <v>2109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8</v>
      </c>
      <c r="D41" s="12">
        <f>C41*84</f>
        <v>672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6</v>
      </c>
      <c r="D42" s="12">
        <f>C42*2.25</f>
        <v>13.5</v>
      </c>
      <c r="F42" s="39" t="s">
        <v>78</v>
      </c>
      <c r="G42" s="220">
        <v>307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4</v>
      </c>
      <c r="D44" s="12">
        <f>C44*120</f>
        <v>480</v>
      </c>
      <c r="F44" s="37" t="s">
        <v>171</v>
      </c>
      <c r="G44" s="62" t="s">
        <v>172</v>
      </c>
      <c r="H44" s="204">
        <v>150450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 t="s">
        <v>137</v>
      </c>
      <c r="G45" s="62" t="s">
        <v>173</v>
      </c>
      <c r="H45" s="204">
        <f>76924</f>
        <v>76924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19</v>
      </c>
      <c r="D46" s="12">
        <f>C46*1.5</f>
        <v>28.5</v>
      </c>
      <c r="F46" s="37" t="s">
        <v>137</v>
      </c>
      <c r="G46" s="62" t="s">
        <v>174</v>
      </c>
      <c r="H46" s="204">
        <v>81872</v>
      </c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5</v>
      </c>
      <c r="D49" s="12">
        <f>C49*42</f>
        <v>210</v>
      </c>
      <c r="F49" s="245" t="s">
        <v>85</v>
      </c>
      <c r="G49" s="192">
        <f>H34+H35+H36+H37+H38+H39+H40+H41+G42+H44+H45+H46</f>
        <v>477553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4</v>
      </c>
      <c r="D50" s="12">
        <f>C50*1.5</f>
        <v>6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-300.5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67408.5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8F5D60-E815-4F0C-BF1C-36BB74E55D3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1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4B1F7E-544F-4C36-9E21-076981AFF6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46128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319</v>
      </c>
      <c r="D6" s="13">
        <f t="shared" ref="D6:D28" si="1">C6*L6</f>
        <v>242759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1562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45</v>
      </c>
      <c r="D9" s="13">
        <f t="shared" si="1"/>
        <v>32985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6</v>
      </c>
      <c r="D13" s="48">
        <f t="shared" si="1"/>
        <v>1842</v>
      </c>
      <c r="F13" s="165" t="s">
        <v>36</v>
      </c>
      <c r="G13" s="166"/>
      <c r="H13" s="167">
        <f>D29</f>
        <v>288771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5</v>
      </c>
      <c r="D14" s="31">
        <f t="shared" si="1"/>
        <v>55</v>
      </c>
      <c r="F14" s="170" t="s">
        <v>38</v>
      </c>
      <c r="G14" s="171"/>
      <c r="H14" s="172">
        <f>D54</f>
        <v>42247.5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2</v>
      </c>
      <c r="D15" s="31">
        <f t="shared" si="1"/>
        <v>1240</v>
      </c>
      <c r="F15" s="175" t="s">
        <v>39</v>
      </c>
      <c r="G15" s="166"/>
      <c r="H15" s="176">
        <f>H13-H14</f>
        <v>246523.5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2</v>
      </c>
      <c r="D16" s="48">
        <f t="shared" si="1"/>
        <v>1300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>
        <v>40</v>
      </c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 t="s">
        <v>162</v>
      </c>
      <c r="G26" s="65">
        <v>9950</v>
      </c>
      <c r="H26" s="204">
        <v>67961</v>
      </c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16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>
        <v>6</v>
      </c>
      <c r="D28" s="48">
        <f t="shared" si="1"/>
        <v>4866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288771</v>
      </c>
      <c r="F29" s="188" t="s">
        <v>54</v>
      </c>
      <c r="G29" s="189"/>
      <c r="H29" s="192">
        <f>H15-H16-H17-H18-H19-H20-H22-H23-H24+H26+H27+H28</f>
        <v>314444.5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>
        <v>210</v>
      </c>
      <c r="H34" s="220">
        <f t="shared" ref="H34:H39" si="2">F34*G34</f>
        <v>210000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350</v>
      </c>
      <c r="D37" s="12">
        <f>C37*111</f>
        <v>38850</v>
      </c>
      <c r="F37" s="12">
        <v>100</v>
      </c>
      <c r="G37" s="39">
        <v>83</v>
      </c>
      <c r="H37" s="220">
        <f t="shared" si="2"/>
        <v>8300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13</v>
      </c>
      <c r="D38" s="12">
        <f>C38*84</f>
        <v>1092</v>
      </c>
      <c r="F38" s="30">
        <v>50</v>
      </c>
      <c r="G38" s="39">
        <v>22</v>
      </c>
      <c r="H38" s="220">
        <f t="shared" si="2"/>
        <v>1100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5</v>
      </c>
      <c r="D39" s="31">
        <f>C39*4.5</f>
        <v>22.5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3</v>
      </c>
      <c r="D41" s="12">
        <f>C41*84</f>
        <v>252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2</v>
      </c>
      <c r="D42" s="12">
        <f>C42*2.25</f>
        <v>4.5</v>
      </c>
      <c r="F42" s="39" t="s">
        <v>78</v>
      </c>
      <c r="G42" s="220">
        <v>11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6</v>
      </c>
      <c r="D44" s="12">
        <f>C44*120</f>
        <v>720</v>
      </c>
      <c r="F44" s="37" t="s">
        <v>133</v>
      </c>
      <c r="G44" s="83" t="s">
        <v>134</v>
      </c>
      <c r="H44" s="204">
        <v>33412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 t="s">
        <v>131</v>
      </c>
      <c r="G45" s="99" t="s">
        <v>177</v>
      </c>
      <c r="H45" s="204">
        <v>62450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7</v>
      </c>
      <c r="D46" s="12">
        <f>C46*1.5</f>
        <v>10.5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315273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67" t="s">
        <v>178</v>
      </c>
      <c r="G51" s="269">
        <f>G49-H29</f>
        <v>828.5</v>
      </c>
      <c r="H51" s="270"/>
      <c r="I51" s="270"/>
      <c r="J51" s="27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68"/>
      <c r="G52" s="272"/>
      <c r="H52" s="273"/>
      <c r="I52" s="273"/>
      <c r="J52" s="27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42247.5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172CFB-A9DC-4389-AF9D-CD026BFBA26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46128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317</v>
      </c>
      <c r="D6" s="13">
        <f t="shared" ref="D6:D28" si="1">C6*L6</f>
        <v>241237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1562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58</v>
      </c>
      <c r="D9" s="13">
        <f t="shared" si="1"/>
        <v>42514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14</v>
      </c>
      <c r="D13" s="48">
        <f t="shared" si="1"/>
        <v>4298</v>
      </c>
      <c r="F13" s="165" t="s">
        <v>36</v>
      </c>
      <c r="G13" s="166"/>
      <c r="H13" s="167">
        <f>D29</f>
        <v>292871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6</v>
      </c>
      <c r="D14" s="31">
        <f t="shared" si="1"/>
        <v>66</v>
      </c>
      <c r="F14" s="170" t="s">
        <v>38</v>
      </c>
      <c r="G14" s="171"/>
      <c r="H14" s="172">
        <f>D54</f>
        <v>44629.5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248241.5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>
        <v>1536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292871</v>
      </c>
      <c r="F29" s="188" t="s">
        <v>54</v>
      </c>
      <c r="G29" s="189"/>
      <c r="H29" s="192">
        <f>H15-H16-H17-H18-H19-H20-H22-H23-H24+H26+H27</f>
        <v>246705.5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2</v>
      </c>
      <c r="D34" s="30">
        <f>C34*120</f>
        <v>240</v>
      </c>
      <c r="F34" s="12">
        <v>1000</v>
      </c>
      <c r="G34" s="74">
        <v>169</v>
      </c>
      <c r="H34" s="220">
        <f>F34*G34</f>
        <v>169000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156</v>
      </c>
      <c r="H35" s="220">
        <f t="shared" ref="H35:H39" si="2">F35*G35</f>
        <v>78000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384</v>
      </c>
      <c r="D37" s="12">
        <f>C37*111</f>
        <v>42624</v>
      </c>
      <c r="F37" s="12">
        <v>100</v>
      </c>
      <c r="G37" s="39">
        <v>1</v>
      </c>
      <c r="H37" s="220">
        <f t="shared" si="2"/>
        <v>100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4</v>
      </c>
      <c r="D38" s="12">
        <f>C38*84</f>
        <v>336</v>
      </c>
      <c r="F38" s="30">
        <v>50</v>
      </c>
      <c r="G38" s="39">
        <v>1</v>
      </c>
      <c r="H38" s="220">
        <f t="shared" si="2"/>
        <v>50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3</v>
      </c>
      <c r="D39" s="31">
        <f>C39*4.5</f>
        <v>13.5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2</v>
      </c>
      <c r="D40" s="12">
        <f>C40*111</f>
        <v>222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2</v>
      </c>
      <c r="D42" s="12">
        <f>C42*2.25</f>
        <v>4.5</v>
      </c>
      <c r="F42" s="39" t="s">
        <v>78</v>
      </c>
      <c r="G42" s="220">
        <v>80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2</v>
      </c>
      <c r="D45" s="12">
        <f>C45*84</f>
        <v>168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22</v>
      </c>
      <c r="D46" s="12">
        <f>C46*1.5</f>
        <v>33</v>
      </c>
      <c r="F46" s="37"/>
      <c r="G46" s="11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10</v>
      </c>
      <c r="D49" s="12">
        <f>C49*42</f>
        <v>420</v>
      </c>
      <c r="F49" s="245" t="s">
        <v>85</v>
      </c>
      <c r="G49" s="192">
        <f>H34+H35+H36+H37+H38+H39+H40+H41+G42+H44+H45+H46</f>
        <v>247230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15</v>
      </c>
      <c r="D50" s="12">
        <f>C50*1.5</f>
        <v>22.5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524.5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44629.5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C2AE3C8-582F-41D8-8D66-D6025A44C90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46128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477</v>
      </c>
      <c r="D6" s="13">
        <f t="shared" ref="D6:D28" si="1">C6*L6</f>
        <v>362997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19</v>
      </c>
      <c r="D7" s="13">
        <f t="shared" si="1"/>
        <v>14839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21</v>
      </c>
      <c r="D9" s="13">
        <f t="shared" si="1"/>
        <v>15393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>
        <v>1</v>
      </c>
      <c r="D11" s="13">
        <f t="shared" si="1"/>
        <v>1170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16</v>
      </c>
      <c r="D13" s="48">
        <f t="shared" si="1"/>
        <v>4912</v>
      </c>
      <c r="F13" s="165" t="s">
        <v>36</v>
      </c>
      <c r="G13" s="166"/>
      <c r="H13" s="167">
        <f>D29</f>
        <v>402605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60225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1</v>
      </c>
      <c r="D15" s="31">
        <f t="shared" si="1"/>
        <v>620</v>
      </c>
      <c r="F15" s="175" t="s">
        <v>39</v>
      </c>
      <c r="G15" s="166"/>
      <c r="H15" s="176">
        <f>H13-H14</f>
        <v>342380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f>1548+648+300</f>
        <v>2496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402605</v>
      </c>
      <c r="F29" s="188" t="s">
        <v>54</v>
      </c>
      <c r="G29" s="189"/>
      <c r="H29" s="192">
        <f>H15-H16-H17-H18-H19-H20-H22-H23-H24+H26+H27</f>
        <v>339884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66</v>
      </c>
      <c r="H34" s="220">
        <f>F34*G34</f>
        <v>66000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>
        <v>70</v>
      </c>
      <c r="H35" s="220">
        <f>F35*G35</f>
        <v>35000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517</v>
      </c>
      <c r="D37" s="12">
        <f>C37*111</f>
        <v>57387</v>
      </c>
      <c r="F37" s="12">
        <v>100</v>
      </c>
      <c r="G37" s="39">
        <v>11</v>
      </c>
      <c r="H37" s="220">
        <f t="shared" si="2"/>
        <v>1100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1</v>
      </c>
      <c r="D38" s="12">
        <f>C38*84</f>
        <v>84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1</v>
      </c>
      <c r="D39" s="31">
        <f>C39*4.5</f>
        <v>4.5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3</v>
      </c>
      <c r="D40" s="12">
        <f>C40*111</f>
        <v>333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10</v>
      </c>
      <c r="D42" s="12">
        <f>C42*2.25</f>
        <v>22.5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4</v>
      </c>
      <c r="D44" s="12">
        <f>C44*120</f>
        <v>480</v>
      </c>
      <c r="F44" s="37" t="s">
        <v>133</v>
      </c>
      <c r="G44" s="76" t="s">
        <v>175</v>
      </c>
      <c r="H44" s="204">
        <v>70468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 t="s">
        <v>133</v>
      </c>
      <c r="G45" s="76" t="s">
        <v>176</v>
      </c>
      <c r="H45" s="204">
        <v>167696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10</v>
      </c>
      <c r="D48" s="12">
        <f>C48*78</f>
        <v>780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25</v>
      </c>
      <c r="D49" s="12">
        <f>C49*42</f>
        <v>1050</v>
      </c>
      <c r="F49" s="245" t="s">
        <v>85</v>
      </c>
      <c r="G49" s="192">
        <f>H34+H35+H36+H37+H38+H39+H40+H41+G42+H44+H45+H46</f>
        <v>340264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380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60225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10D7A6-4A38-4473-98AD-764B52FB186B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1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5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AE8E6BD-915C-4A60-AA3A-93006E8B79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46129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16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427970-37F6-407F-8F6A-89F8F6239A4A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46129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325</v>
      </c>
      <c r="D6" s="13">
        <f t="shared" ref="D6:D28" si="1">C6*L6</f>
        <v>247325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</v>
      </c>
      <c r="D7" s="13">
        <f t="shared" si="1"/>
        <v>1562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v>28</v>
      </c>
      <c r="D9" s="13">
        <f t="shared" si="1"/>
        <v>20524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v>1</v>
      </c>
      <c r="D12" s="48">
        <f t="shared" si="1"/>
        <v>992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9</v>
      </c>
      <c r="D13" s="48">
        <f t="shared" si="1"/>
        <v>2763</v>
      </c>
      <c r="F13" s="165" t="s">
        <v>36</v>
      </c>
      <c r="G13" s="166"/>
      <c r="H13" s="167">
        <f>D29</f>
        <v>274543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7</v>
      </c>
      <c r="D14" s="31">
        <f t="shared" si="1"/>
        <v>77</v>
      </c>
      <c r="F14" s="170" t="s">
        <v>38</v>
      </c>
      <c r="G14" s="171"/>
      <c r="H14" s="172">
        <f>D54</f>
        <v>37446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237097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f>1+1</f>
        <v>2</v>
      </c>
      <c r="D16" s="48">
        <f t="shared" si="1"/>
        <v>1300</v>
      </c>
      <c r="F16" s="67" t="s">
        <v>41</v>
      </c>
      <c r="G16" s="66" t="s">
        <v>42</v>
      </c>
      <c r="H16" s="179">
        <v>1200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274543</v>
      </c>
      <c r="F29" s="188" t="s">
        <v>54</v>
      </c>
      <c r="G29" s="189"/>
      <c r="H29" s="192">
        <f>H15-H16-H17-H18-H19-H20-H22-H23-H24+H26+H27</f>
        <v>235897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>
        <v>102</v>
      </c>
      <c r="H34" s="220">
        <f>F34*G34</f>
        <v>102000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5</v>
      </c>
      <c r="D36" s="12">
        <f>C36*1.5</f>
        <v>7.5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f>216+80+21</f>
        <v>317</v>
      </c>
      <c r="D37" s="12">
        <f>C37*111</f>
        <v>35187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9</v>
      </c>
      <c r="D38" s="12">
        <f>C38*84</f>
        <v>756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4</v>
      </c>
      <c r="D39" s="31">
        <f>C39*4.5</f>
        <v>18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6</v>
      </c>
      <c r="D40" s="12">
        <f>C40*111</f>
        <v>666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4</v>
      </c>
      <c r="D42" s="12">
        <f>C42*2.25</f>
        <v>9</v>
      </c>
      <c r="F42" s="39" t="s">
        <v>78</v>
      </c>
      <c r="G42" s="220">
        <v>44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 t="s">
        <v>137</v>
      </c>
      <c r="G44" s="62" t="s">
        <v>182</v>
      </c>
      <c r="H44" s="204">
        <v>133815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1</v>
      </c>
      <c r="D45" s="12">
        <f>C45*84</f>
        <v>84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>
        <v>16</v>
      </c>
      <c r="D46" s="12">
        <f>C46*1.5</f>
        <v>24</v>
      </c>
      <c r="F46" s="37"/>
      <c r="G46" s="11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6</v>
      </c>
      <c r="D48" s="12">
        <f>C48*78</f>
        <v>468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>
        <v>5</v>
      </c>
      <c r="D49" s="12">
        <f>C49*42</f>
        <v>210</v>
      </c>
      <c r="F49" s="245" t="s">
        <v>85</v>
      </c>
      <c r="G49" s="192">
        <f>H34+H35+H36+H37+H38+H39+H40+H41+G42+H44+H45+H46</f>
        <v>235859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11</v>
      </c>
      <c r="D50" s="12">
        <f>C50*1.5</f>
        <v>16.5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143</v>
      </c>
      <c r="G51" s="259">
        <f>G49-H29</f>
        <v>-38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37446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74C4865-A840-42A3-B1A7-B50E76C202C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46129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>
        <v>531</v>
      </c>
      <c r="D6" s="13">
        <f t="shared" ref="D6:D28" si="1">C6*L6</f>
        <v>404091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>
        <v>20</v>
      </c>
      <c r="D7" s="13">
        <f t="shared" si="1"/>
        <v>15620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>
        <v>2</v>
      </c>
      <c r="D8" s="13">
        <f t="shared" si="1"/>
        <v>2186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>
        <f>91-76</f>
        <v>15</v>
      </c>
      <c r="D9" s="13">
        <f t="shared" si="1"/>
        <v>10995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>
        <v>1</v>
      </c>
      <c r="D10" s="13">
        <f t="shared" si="1"/>
        <v>1032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>
        <f>2+1</f>
        <v>3</v>
      </c>
      <c r="D12" s="48">
        <f t="shared" si="1"/>
        <v>2976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>
        <v>13</v>
      </c>
      <c r="D13" s="48">
        <f t="shared" si="1"/>
        <v>3991</v>
      </c>
      <c r="F13" s="165" t="s">
        <v>36</v>
      </c>
      <c r="G13" s="166"/>
      <c r="H13" s="167">
        <f>D29</f>
        <v>442271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>
        <v>10</v>
      </c>
      <c r="D14" s="31">
        <f t="shared" si="1"/>
        <v>110</v>
      </c>
      <c r="F14" s="170" t="s">
        <v>38</v>
      </c>
      <c r="G14" s="171"/>
      <c r="H14" s="172">
        <f>D54</f>
        <v>63924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>
        <v>1</v>
      </c>
      <c r="D15" s="31">
        <f t="shared" si="1"/>
        <v>620</v>
      </c>
      <c r="F15" s="175" t="s">
        <v>39</v>
      </c>
      <c r="G15" s="166"/>
      <c r="H15" s="176">
        <f>H13-H14</f>
        <v>378347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>
        <v>1</v>
      </c>
      <c r="D16" s="48">
        <f t="shared" si="1"/>
        <v>650</v>
      </c>
      <c r="F16" s="67" t="s">
        <v>41</v>
      </c>
      <c r="G16" s="66" t="s">
        <v>42</v>
      </c>
      <c r="H16" s="179">
        <f>648+1374+606+300</f>
        <v>2928</v>
      </c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442271</v>
      </c>
      <c r="F29" s="188" t="s">
        <v>54</v>
      </c>
      <c r="G29" s="189"/>
      <c r="H29" s="192">
        <f>H15-H16-H17-H18-H19-H20-H22-H23-H24+H26+H27</f>
        <v>375419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>
        <v>6</v>
      </c>
      <c r="D34" s="30">
        <f>C34*120</f>
        <v>720</v>
      </c>
      <c r="F34" s="12">
        <v>1000</v>
      </c>
      <c r="G34" s="74">
        <v>76</v>
      </c>
      <c r="H34" s="220">
        <f>F34*G34</f>
        <v>76000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>
        <v>1</v>
      </c>
      <c r="D35" s="30">
        <f>C35*84</f>
        <v>84</v>
      </c>
      <c r="F35" s="58">
        <v>500</v>
      </c>
      <c r="G35" s="41">
        <v>40</v>
      </c>
      <c r="H35" s="220">
        <f>F35*G35</f>
        <v>20000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>
        <v>22</v>
      </c>
      <c r="D36" s="12">
        <f>C36*1.5</f>
        <v>33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>
        <v>486</v>
      </c>
      <c r="D37" s="12">
        <f>C37*111</f>
        <v>53946</v>
      </c>
      <c r="F37" s="12">
        <v>100</v>
      </c>
      <c r="G37" s="39">
        <v>2</v>
      </c>
      <c r="H37" s="220">
        <f t="shared" si="2"/>
        <v>200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>
        <v>32</v>
      </c>
      <c r="D38" s="12">
        <f>C38*84</f>
        <v>2688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>
        <v>2</v>
      </c>
      <c r="D39" s="31">
        <f>C39*4.5</f>
        <v>9</v>
      </c>
      <c r="F39" s="12">
        <v>20</v>
      </c>
      <c r="G39" s="37">
        <v>1</v>
      </c>
      <c r="H39" s="220">
        <f t="shared" si="2"/>
        <v>20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>
        <v>30</v>
      </c>
      <c r="D40" s="12">
        <f>C40*111</f>
        <v>3330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>
        <v>1</v>
      </c>
      <c r="D41" s="12">
        <f>C41*84</f>
        <v>84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>
        <v>8</v>
      </c>
      <c r="D42" s="12">
        <f>C42*2.25</f>
        <v>18</v>
      </c>
      <c r="F42" s="39" t="s">
        <v>78</v>
      </c>
      <c r="G42" s="220">
        <v>74</v>
      </c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>
        <v>17</v>
      </c>
      <c r="D44" s="12">
        <f>C44*120</f>
        <v>2040</v>
      </c>
      <c r="F44" s="37" t="s">
        <v>133</v>
      </c>
      <c r="G44" s="76" t="s">
        <v>179</v>
      </c>
      <c r="H44" s="204">
        <v>161738</v>
      </c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>
        <v>5</v>
      </c>
      <c r="D45" s="12">
        <f>C45*84</f>
        <v>420</v>
      </c>
      <c r="F45" s="37" t="s">
        <v>133</v>
      </c>
      <c r="G45" s="76" t="s">
        <v>180</v>
      </c>
      <c r="H45" s="204">
        <v>58484</v>
      </c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 t="s">
        <v>133</v>
      </c>
      <c r="G46" s="62" t="s">
        <v>181</v>
      </c>
      <c r="H46" s="204">
        <v>70010</v>
      </c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>
        <v>7</v>
      </c>
      <c r="D48" s="12">
        <f>C48*78</f>
        <v>546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386526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>
        <v>4</v>
      </c>
      <c r="D50" s="12">
        <f>C50*1.5</f>
        <v>6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11107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63924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EE75A20-7E97-4C8F-974B-C0401A1D56FD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1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9EF8ADE-3E0F-4711-8839-8AB3D4BCFEC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46132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16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A65897-7BDD-41CA-A1F3-88CFBE5FAC20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46132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1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55F278-7018-4420-B270-0CBE9C37BF4D}">
  <dimension ref="A1:R59"/>
  <sheetViews>
    <sheetView tabSelected="1"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46132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13AD48-1D5A-4672-A312-D67EB9C10002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19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74783A3-5766-4B83-8FCD-659126CD273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46133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16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6B3DCFB-0338-4798-8466-BD61034BBB4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46133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17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6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69EC8F-975D-45DD-A5F2-AF3FE96B34FB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18" t="s">
        <v>2</v>
      </c>
      <c r="Q1" s="118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46133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19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0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16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16:J16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H24:J24"/>
    <mergeCell ref="H25:J25"/>
    <mergeCell ref="H26:J26"/>
    <mergeCell ref="H27:J27"/>
    <mergeCell ref="H28:J28"/>
    <mergeCell ref="H13:J13"/>
    <mergeCell ref="F14:G14"/>
    <mergeCell ref="H14:J14"/>
    <mergeCell ref="F15:G15"/>
    <mergeCell ref="H15:J15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  <mergeCell ref="H17:J17"/>
    <mergeCell ref="G8:J9"/>
    <mergeCell ref="F10:F11"/>
    <mergeCell ref="G10:J11"/>
    <mergeCell ref="F12:J12"/>
    <mergeCell ref="F13:G13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72C8CC8-B415-4164-B287-090C9BEE41F5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24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BE235A1-DBCC-4363-9018-4C7A04DB2259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46134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21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F219E-F998-49AC-A336-62F595F07F5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46134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2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9384321-7E36-41D2-A8A7-3221EE6A70B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46134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1627682-EFF0-4EF7-AC47-CB63051A2B4F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24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8CD7737-16BC-4A37-BCC2-DB50589082A6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46135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21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0FEEAC-DFBA-4E3A-9EE9-B02FEB6E9C5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46135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2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A69881-05C1-4B22-9D9C-E316A0C08765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46135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0B2690-A44E-4B7E-9789-2F2DA6E7D209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24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7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46BB5-8354-4C59-9940-B623E4F26B91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46136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21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B1BB95-B404-415C-AD8A-B1B2DBA6B294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46136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2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6799F9-A87F-4D70-A829-1D5F136A5AD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46136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47BA9D-4A67-4ACE-B082-45111BE14966}">
  <dimension ref="A1:S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9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9" x14ac:dyDescent="0.25">
      <c r="A2" t="s">
        <v>5</v>
      </c>
      <c r="N2" s="1"/>
    </row>
    <row r="3" spans="1:19" x14ac:dyDescent="0.25">
      <c r="N3" s="1" t="s">
        <v>6</v>
      </c>
      <c r="O3" s="4"/>
    </row>
    <row r="4" spans="1:19" x14ac:dyDescent="0.25">
      <c r="A4" s="127" t="s">
        <v>7</v>
      </c>
      <c r="B4" s="128"/>
      <c r="C4" s="128"/>
      <c r="D4" s="129"/>
      <c r="F4" s="130" t="s">
        <v>8</v>
      </c>
      <c r="G4" s="132"/>
      <c r="H4" s="134" t="s">
        <v>9</v>
      </c>
      <c r="I4" s="136"/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9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9" ht="14.45" customHeight="1" x14ac:dyDescent="0.25">
      <c r="A6" s="141"/>
      <c r="B6" s="16"/>
      <c r="C6" s="10"/>
      <c r="D6" s="13">
        <f t="shared" ref="D6:D28" si="1">C6*L6</f>
        <v>0</v>
      </c>
      <c r="F6" s="143" t="s">
        <v>16</v>
      </c>
      <c r="G6" s="145"/>
      <c r="H6" s="146"/>
      <c r="I6" s="146"/>
      <c r="J6" s="147"/>
      <c r="K6" s="8"/>
      <c r="L6" s="6">
        <f>R42</f>
        <v>737</v>
      </c>
      <c r="O6" t="s">
        <v>17</v>
      </c>
      <c r="P6" s="4">
        <v>650</v>
      </c>
      <c r="Q6" s="4"/>
      <c r="R6" s="5">
        <f t="shared" si="0"/>
        <v>650</v>
      </c>
    </row>
    <row r="7" spans="1:19" ht="14.45" customHeight="1" x14ac:dyDescent="0.25">
      <c r="A7" s="141"/>
      <c r="B7" s="16"/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725</v>
      </c>
      <c r="P7" s="4"/>
      <c r="Q7" s="4"/>
      <c r="R7" s="5"/>
    </row>
    <row r="8" spans="1:19" ht="14.45" customHeight="1" x14ac:dyDescent="0.25">
      <c r="A8" s="141"/>
      <c r="B8" s="16"/>
      <c r="C8" s="10"/>
      <c r="D8" s="13">
        <f t="shared" si="1"/>
        <v>0</v>
      </c>
      <c r="F8" s="151" t="s">
        <v>21</v>
      </c>
      <c r="G8" s="153"/>
      <c r="H8" s="154"/>
      <c r="I8" s="154"/>
      <c r="J8" s="155"/>
      <c r="K8" s="8"/>
      <c r="L8" s="6">
        <f>R40</f>
        <v>1033</v>
      </c>
      <c r="P8" s="4"/>
      <c r="Q8" s="4"/>
      <c r="R8" s="5"/>
    </row>
    <row r="9" spans="1:19" ht="14.45" customHeight="1" x14ac:dyDescent="0.25">
      <c r="A9" s="141"/>
      <c r="B9" s="16"/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707</v>
      </c>
      <c r="P9" s="4"/>
      <c r="Q9" s="4"/>
      <c r="R9" s="5"/>
    </row>
    <row r="10" spans="1:19" ht="14.45" customHeight="1" x14ac:dyDescent="0.25">
      <c r="A10" s="141"/>
      <c r="C10" s="10"/>
      <c r="D10" s="13">
        <f t="shared" si="1"/>
        <v>0</v>
      </c>
      <c r="F10" s="143" t="s">
        <v>26</v>
      </c>
      <c r="G10" s="159"/>
      <c r="H10" s="160"/>
      <c r="I10" s="160"/>
      <c r="J10" s="161"/>
      <c r="K10" s="8"/>
      <c r="L10" s="6">
        <f>R36</f>
        <v>972</v>
      </c>
      <c r="P10" s="4"/>
      <c r="Q10" s="4"/>
      <c r="R10" s="5"/>
    </row>
    <row r="11" spans="1:19" ht="15.75" x14ac:dyDescent="0.25">
      <c r="A11" s="141"/>
      <c r="B11" s="17"/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1125</v>
      </c>
      <c r="O11" t="s">
        <v>19</v>
      </c>
      <c r="P11" s="4">
        <v>650</v>
      </c>
      <c r="Q11" s="4"/>
      <c r="R11" s="5">
        <f t="shared" si="0"/>
        <v>650</v>
      </c>
    </row>
    <row r="12" spans="1:19" ht="15.75" x14ac:dyDescent="0.25">
      <c r="A12" s="141"/>
      <c r="B12" s="17"/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952</v>
      </c>
      <c r="O12" t="s">
        <v>22</v>
      </c>
      <c r="P12" s="4">
        <v>650</v>
      </c>
      <c r="Q12" s="4"/>
      <c r="R12" s="5">
        <f t="shared" si="0"/>
        <v>650</v>
      </c>
    </row>
    <row r="13" spans="1:19" ht="15.75" x14ac:dyDescent="0.25">
      <c r="A13" s="141"/>
      <c r="B13" s="17"/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9" ht="15.75" x14ac:dyDescent="0.25">
      <c r="A14" s="141"/>
      <c r="B14" s="14"/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  <c r="S14">
        <f>205+78</f>
        <v>283</v>
      </c>
    </row>
    <row r="15" spans="1:19" ht="15.75" x14ac:dyDescent="0.25">
      <c r="A15" s="141"/>
      <c r="B15" s="14"/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  <c r="S15">
        <f>229+78</f>
        <v>307</v>
      </c>
    </row>
    <row r="16" spans="1:19" ht="15.75" x14ac:dyDescent="0.25">
      <c r="A16" s="141"/>
      <c r="B16" s="18"/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R28</f>
        <v>1567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v>1582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19"/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v>620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14"/>
      <c r="C19" s="10"/>
      <c r="D19" s="48">
        <f t="shared" si="1"/>
        <v>0</v>
      </c>
      <c r="F19" s="56"/>
      <c r="G19" s="68" t="s">
        <v>49</v>
      </c>
      <c r="H19" s="198"/>
      <c r="I19" s="198"/>
      <c r="J19" s="198"/>
      <c r="L19" s="6">
        <f>R35</f>
        <v>1102</v>
      </c>
      <c r="Q19" s="4"/>
      <c r="R19" s="5">
        <f t="shared" si="0"/>
        <v>0</v>
      </c>
    </row>
    <row r="20" spans="1:18" ht="15.75" x14ac:dyDescent="0.25">
      <c r="A20" s="141"/>
      <c r="B20" s="46"/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1102</f>
        <v>1102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/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v>650</v>
      </c>
      <c r="O21" t="s">
        <v>43</v>
      </c>
      <c r="P21" s="4">
        <v>1447</v>
      </c>
      <c r="Q21" s="4">
        <v>120</v>
      </c>
      <c r="R21" s="5">
        <f t="shared" si="0"/>
        <v>1567</v>
      </c>
    </row>
    <row r="22" spans="1:18" ht="15.75" x14ac:dyDescent="0.25">
      <c r="A22" s="141"/>
      <c r="B22" s="46"/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559+111</f>
        <v>670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/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R33</f>
        <v>1175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/>
      <c r="C24" s="10"/>
      <c r="D24" s="48">
        <f t="shared" si="1"/>
        <v>0</v>
      </c>
      <c r="F24" s="38"/>
      <c r="G24" s="37"/>
      <c r="H24" s="203"/>
      <c r="I24" s="204"/>
      <c r="J24" s="204"/>
      <c r="L24" s="47">
        <v>1667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/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1582</f>
        <v>1582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/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832/24+1.5</f>
        <v>36.166666666666664</v>
      </c>
      <c r="O26" t="s">
        <v>51</v>
      </c>
      <c r="P26" s="4">
        <v>1447</v>
      </c>
      <c r="Q26" s="4">
        <v>120</v>
      </c>
      <c r="R26" s="5">
        <f t="shared" si="0"/>
        <v>1567</v>
      </c>
    </row>
    <row r="27" spans="1:18" ht="14.45" customHeight="1" x14ac:dyDescent="0.25">
      <c r="A27" s="141"/>
      <c r="B27" s="14"/>
      <c r="C27" s="10"/>
      <c r="D27" s="44">
        <f t="shared" si="1"/>
        <v>0</v>
      </c>
      <c r="F27" s="25"/>
      <c r="G27" s="80"/>
      <c r="H27" s="211"/>
      <c r="I27" s="212"/>
      <c r="J27" s="213"/>
      <c r="L27" s="7">
        <v>1582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/>
      <c r="C28" s="10"/>
      <c r="D28" s="48">
        <f t="shared" si="1"/>
        <v>0</v>
      </c>
      <c r="F28" s="124"/>
      <c r="G28" s="61"/>
      <c r="H28" s="214"/>
      <c r="I28" s="215"/>
      <c r="J28" s="216"/>
      <c r="L28" s="7">
        <v>785</v>
      </c>
      <c r="O28" t="s">
        <v>53</v>
      </c>
      <c r="P28" s="4">
        <v>1447</v>
      </c>
      <c r="Q28" s="4">
        <v>120</v>
      </c>
      <c r="R28" s="5">
        <f t="shared" si="0"/>
        <v>1567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Q30" s="4"/>
      <c r="R30" s="5">
        <f t="shared" si="0"/>
        <v>0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1052</v>
      </c>
      <c r="Q31" s="4">
        <v>120</v>
      </c>
      <c r="R31" s="5">
        <f t="shared" si="0"/>
        <v>1172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1005</v>
      </c>
      <c r="Q32" s="4">
        <v>120</v>
      </c>
      <c r="R32" s="5">
        <f t="shared" si="0"/>
        <v>1125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/>
      <c r="I34" s="221"/>
      <c r="J34" s="222"/>
      <c r="O34" t="s">
        <v>66</v>
      </c>
      <c r="P34" s="4">
        <v>832</v>
      </c>
      <c r="Q34" s="4">
        <v>120</v>
      </c>
      <c r="R34" s="5">
        <f t="shared" si="0"/>
        <v>952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/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/>
      <c r="I36" s="221"/>
      <c r="J36" s="222"/>
      <c r="O36" t="s">
        <v>70</v>
      </c>
      <c r="P36" s="4">
        <v>852</v>
      </c>
      <c r="Q36" s="4">
        <v>120</v>
      </c>
      <c r="R36" s="5">
        <f t="shared" si="0"/>
        <v>972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/>
      <c r="I37" s="221"/>
      <c r="J37" s="222"/>
      <c r="O37" t="s">
        <v>72</v>
      </c>
      <c r="P37" s="4">
        <v>1020</v>
      </c>
      <c r="Q37" s="4">
        <v>120</v>
      </c>
      <c r="R37" s="5">
        <f t="shared" si="0"/>
        <v>1140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/>
      <c r="I38" s="221"/>
      <c r="J38" s="222"/>
      <c r="O38" t="s">
        <v>73</v>
      </c>
      <c r="P38" s="4">
        <v>596</v>
      </c>
      <c r="Q38" s="4">
        <v>111</v>
      </c>
      <c r="R38" s="5">
        <f t="shared" si="0"/>
        <v>707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/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913</v>
      </c>
      <c r="Q40" s="4">
        <v>120</v>
      </c>
      <c r="R40" s="5">
        <f t="shared" si="0"/>
        <v>1033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614</v>
      </c>
      <c r="Q41" s="4">
        <v>111</v>
      </c>
      <c r="R41" s="5">
        <f t="shared" si="0"/>
        <v>725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626</v>
      </c>
      <c r="Q42" s="4">
        <v>111</v>
      </c>
      <c r="R42" s="5">
        <f t="shared" si="0"/>
        <v>737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P43" s="4"/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P44" s="4"/>
      <c r="Q44" s="4"/>
      <c r="R44" s="5"/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P50" s="4"/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106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703</v>
      </c>
      <c r="Q51" s="4">
        <v>120</v>
      </c>
      <c r="R51" s="5">
        <f t="shared" si="0"/>
        <v>823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826C0EA-2B15-4E9D-B64E-A652E332978E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bestFit="1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1</v>
      </c>
      <c r="H4" s="134" t="s">
        <v>9</v>
      </c>
      <c r="I4" s="136">
        <v>46139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99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120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108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84" t="s">
        <v>105</v>
      </c>
      <c r="C19" s="10"/>
      <c r="D19" s="48">
        <f t="shared" si="1"/>
        <v>0</v>
      </c>
      <c r="F19" s="56"/>
      <c r="G19" s="68" t="s">
        <v>49</v>
      </c>
      <c r="H19" s="179"/>
      <c r="I19" s="179"/>
      <c r="J19" s="179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7"/>
      <c r="G23" s="79"/>
      <c r="H23" s="255"/>
      <c r="I23" s="256"/>
      <c r="J23" s="256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77"/>
      <c r="G24" s="79"/>
      <c r="H24" s="255"/>
      <c r="I24" s="256"/>
      <c r="J24" s="256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75"/>
      <c r="G26" s="65"/>
      <c r="H26" s="204"/>
      <c r="I26" s="204"/>
      <c r="J26" s="204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71"/>
      <c r="G27" s="121"/>
      <c r="H27" s="257"/>
      <c r="I27" s="258"/>
      <c r="J27" s="258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H15-H16-H17-H18-H19-H20-H22-H23-H24+H26+H27+H28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40"/>
      <c r="H34" s="220">
        <f t="shared" ref="H34:H39" si="2"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si="2"/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si="2"/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04"/>
      <c r="I46" s="204"/>
      <c r="J46" s="204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109</v>
      </c>
      <c r="G51" s="259">
        <f>G49-H29</f>
        <v>0</v>
      </c>
      <c r="H51" s="260"/>
      <c r="I51" s="260"/>
      <c r="J51" s="26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62"/>
      <c r="H52" s="263"/>
      <c r="I52" s="263"/>
      <c r="J52" s="26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116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7576B4E-896A-4B30-8F0B-89DFD84ECF2C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2</v>
      </c>
      <c r="H4" s="134" t="s">
        <v>9</v>
      </c>
      <c r="I4" s="136">
        <v>46139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107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100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101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5"/>
      <c r="I19" s="265"/>
      <c r="J19" s="265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52"/>
      <c r="I20" s="152"/>
      <c r="J20" s="152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2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25"/>
      <c r="G23" s="37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10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14"/>
      <c r="G27" s="14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 t="shared" ref="H35:H39" si="2"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62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62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12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112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119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xl/worksheets/sheet8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9BE6EC3-5684-4E15-8AF6-CF3D18FB5B28}">
  <dimension ref="A1:R59"/>
  <sheetViews>
    <sheetView zoomScaleNormal="100" zoomScaleSheetLayoutView="85" workbookViewId="0">
      <selection activeCell="I4" sqref="I4:J5"/>
    </sheetView>
  </sheetViews>
  <sheetFormatPr defaultRowHeight="15" x14ac:dyDescent="0.25"/>
  <cols>
    <col min="1" max="1" width="2.85546875" bestFit="1" customWidth="1"/>
    <col min="2" max="3" width="12.140625" customWidth="1"/>
    <col min="4" max="4" width="19.85546875" customWidth="1"/>
    <col min="5" max="5" width="1.7109375" customWidth="1"/>
    <col min="6" max="6" width="14.7109375" customWidth="1"/>
    <col min="7" max="7" width="11.7109375" customWidth="1"/>
    <col min="12" max="12" width="9.5703125" customWidth="1"/>
    <col min="15" max="15" width="39.85546875" bestFit="1" customWidth="1"/>
    <col min="16" max="16" width="13.7109375" bestFit="1" customWidth="1"/>
    <col min="17" max="17" width="8.5703125" bestFit="1" customWidth="1"/>
    <col min="18" max="18" width="9.5703125" style="3" bestFit="1" customWidth="1"/>
  </cols>
  <sheetData>
    <row r="1" spans="1:18" x14ac:dyDescent="0.25">
      <c r="A1" t="s">
        <v>0</v>
      </c>
      <c r="N1" s="126" t="s">
        <v>1</v>
      </c>
      <c r="O1" s="126"/>
      <c r="P1" s="123" t="s">
        <v>2</v>
      </c>
      <c r="Q1" s="123" t="s">
        <v>3</v>
      </c>
      <c r="R1" s="2" t="s">
        <v>4</v>
      </c>
    </row>
    <row r="2" spans="1:18" x14ac:dyDescent="0.25">
      <c r="A2" t="s">
        <v>5</v>
      </c>
      <c r="N2" s="1"/>
    </row>
    <row r="3" spans="1:18" x14ac:dyDescent="0.25">
      <c r="N3" s="1" t="s">
        <v>6</v>
      </c>
      <c r="O3" s="4"/>
    </row>
    <row r="4" spans="1:18" x14ac:dyDescent="0.25">
      <c r="A4" s="127" t="s">
        <v>7</v>
      </c>
      <c r="B4" s="128"/>
      <c r="C4" s="128"/>
      <c r="D4" s="129"/>
      <c r="F4" s="130" t="s">
        <v>8</v>
      </c>
      <c r="G4" s="132">
        <v>3</v>
      </c>
      <c r="H4" s="134" t="s">
        <v>9</v>
      </c>
      <c r="I4" s="136">
        <v>46139</v>
      </c>
      <c r="J4" s="137"/>
      <c r="K4" s="21"/>
      <c r="O4" t="s">
        <v>10</v>
      </c>
      <c r="P4" s="4">
        <v>500</v>
      </c>
      <c r="Q4" s="4">
        <v>120</v>
      </c>
      <c r="R4" s="5">
        <f>P4+Q4</f>
        <v>620</v>
      </c>
    </row>
    <row r="5" spans="1:18" x14ac:dyDescent="0.25">
      <c r="A5" s="140" t="s">
        <v>7</v>
      </c>
      <c r="B5" s="15" t="s">
        <v>11</v>
      </c>
      <c r="C5" s="9" t="s">
        <v>12</v>
      </c>
      <c r="D5" s="25" t="s">
        <v>13</v>
      </c>
      <c r="F5" s="131"/>
      <c r="G5" s="133"/>
      <c r="H5" s="135"/>
      <c r="I5" s="138"/>
      <c r="J5" s="139"/>
      <c r="K5" s="21"/>
      <c r="O5" t="s">
        <v>14</v>
      </c>
      <c r="P5" s="4">
        <v>500</v>
      </c>
      <c r="Q5" s="4">
        <v>120</v>
      </c>
      <c r="R5" s="5">
        <f t="shared" ref="R5:R52" si="0">P5+Q5</f>
        <v>620</v>
      </c>
    </row>
    <row r="6" spans="1:18" ht="14.45" customHeight="1" x14ac:dyDescent="0.25">
      <c r="A6" s="141"/>
      <c r="B6" s="16" t="s">
        <v>15</v>
      </c>
      <c r="C6" s="10"/>
      <c r="D6" s="13">
        <f t="shared" ref="D6:D28" si="1">C6*L6</f>
        <v>0</v>
      </c>
      <c r="F6" s="143" t="s">
        <v>16</v>
      </c>
      <c r="G6" s="145" t="s">
        <v>117</v>
      </c>
      <c r="H6" s="146"/>
      <c r="I6" s="146"/>
      <c r="J6" s="147"/>
      <c r="K6" s="8"/>
      <c r="L6" s="6">
        <f>R42</f>
        <v>761</v>
      </c>
      <c r="O6" t="s">
        <v>17</v>
      </c>
      <c r="P6" s="4">
        <v>650</v>
      </c>
      <c r="Q6" s="4"/>
      <c r="R6" s="5">
        <f t="shared" si="0"/>
        <v>650</v>
      </c>
    </row>
    <row r="7" spans="1:18" ht="14.45" customHeight="1" x14ac:dyDescent="0.25">
      <c r="A7" s="141"/>
      <c r="B7" s="16" t="s">
        <v>18</v>
      </c>
      <c r="C7" s="10"/>
      <c r="D7" s="13">
        <f t="shared" si="1"/>
        <v>0</v>
      </c>
      <c r="F7" s="144"/>
      <c r="G7" s="148"/>
      <c r="H7" s="149"/>
      <c r="I7" s="149"/>
      <c r="J7" s="150"/>
      <c r="K7" s="8"/>
      <c r="L7" s="6">
        <f>R41</f>
        <v>781</v>
      </c>
      <c r="P7" s="4"/>
      <c r="Q7" s="4"/>
      <c r="R7" s="5"/>
    </row>
    <row r="8" spans="1:18" ht="14.45" customHeight="1" x14ac:dyDescent="0.25">
      <c r="A8" s="141"/>
      <c r="B8" s="16" t="s">
        <v>20</v>
      </c>
      <c r="C8" s="10"/>
      <c r="D8" s="13">
        <f t="shared" si="1"/>
        <v>0</v>
      </c>
      <c r="F8" s="151" t="s">
        <v>21</v>
      </c>
      <c r="G8" s="153" t="s">
        <v>110</v>
      </c>
      <c r="H8" s="154"/>
      <c r="I8" s="154"/>
      <c r="J8" s="155"/>
      <c r="K8" s="8"/>
      <c r="L8" s="6">
        <f>R40</f>
        <v>1093</v>
      </c>
      <c r="P8" s="4"/>
      <c r="Q8" s="4"/>
      <c r="R8" s="5"/>
    </row>
    <row r="9" spans="1:18" ht="14.45" customHeight="1" x14ac:dyDescent="0.25">
      <c r="A9" s="141"/>
      <c r="B9" s="16" t="s">
        <v>23</v>
      </c>
      <c r="C9" s="10"/>
      <c r="D9" s="13">
        <f t="shared" si="1"/>
        <v>0</v>
      </c>
      <c r="F9" s="144"/>
      <c r="G9" s="156"/>
      <c r="H9" s="157"/>
      <c r="I9" s="157"/>
      <c r="J9" s="158"/>
      <c r="K9" s="8"/>
      <c r="L9" s="6">
        <f>R38</f>
        <v>733</v>
      </c>
      <c r="P9" s="4"/>
      <c r="Q9" s="4"/>
      <c r="R9" s="5"/>
    </row>
    <row r="10" spans="1:18" ht="14.45" customHeight="1" x14ac:dyDescent="0.25">
      <c r="A10" s="141"/>
      <c r="B10" t="s">
        <v>25</v>
      </c>
      <c r="C10" s="10"/>
      <c r="D10" s="13">
        <f t="shared" si="1"/>
        <v>0</v>
      </c>
      <c r="F10" s="143" t="s">
        <v>26</v>
      </c>
      <c r="G10" s="159" t="s">
        <v>124</v>
      </c>
      <c r="H10" s="160"/>
      <c r="I10" s="160"/>
      <c r="J10" s="161"/>
      <c r="K10" s="8"/>
      <c r="L10" s="6">
        <f>R36</f>
        <v>1032</v>
      </c>
      <c r="P10" s="4"/>
      <c r="Q10" s="4"/>
      <c r="R10" s="5"/>
    </row>
    <row r="11" spans="1:18" ht="15.75" x14ac:dyDescent="0.25">
      <c r="A11" s="141"/>
      <c r="B11" s="17" t="s">
        <v>28</v>
      </c>
      <c r="C11" s="10"/>
      <c r="D11" s="13">
        <f t="shared" si="1"/>
        <v>0</v>
      </c>
      <c r="F11" s="144"/>
      <c r="G11" s="156"/>
      <c r="H11" s="157"/>
      <c r="I11" s="157"/>
      <c r="J11" s="158"/>
      <c r="K11" s="22"/>
      <c r="L11" s="6">
        <f>R32</f>
        <v>1170</v>
      </c>
      <c r="O11" t="s">
        <v>19</v>
      </c>
      <c r="P11" s="4">
        <v>650</v>
      </c>
      <c r="Q11" s="4"/>
      <c r="R11" s="5">
        <f t="shared" si="0"/>
        <v>650</v>
      </c>
    </row>
    <row r="12" spans="1:18" ht="15.75" x14ac:dyDescent="0.25">
      <c r="A12" s="141"/>
      <c r="B12" s="17" t="s">
        <v>30</v>
      </c>
      <c r="C12" s="10"/>
      <c r="D12" s="48">
        <f t="shared" si="1"/>
        <v>0</v>
      </c>
      <c r="F12" s="162" t="s">
        <v>33</v>
      </c>
      <c r="G12" s="163"/>
      <c r="H12" s="163"/>
      <c r="I12" s="163"/>
      <c r="J12" s="164"/>
      <c r="K12" s="23"/>
      <c r="L12" s="6">
        <f>R34</f>
        <v>992</v>
      </c>
      <c r="O12" t="s">
        <v>22</v>
      </c>
      <c r="P12" s="4">
        <v>650</v>
      </c>
      <c r="Q12" s="4"/>
      <c r="R12" s="5">
        <f t="shared" si="0"/>
        <v>650</v>
      </c>
    </row>
    <row r="13" spans="1:18" ht="15.75" x14ac:dyDescent="0.25">
      <c r="A13" s="141"/>
      <c r="B13" s="17" t="s">
        <v>32</v>
      </c>
      <c r="C13" s="10"/>
      <c r="D13" s="48">
        <f t="shared" si="1"/>
        <v>0</v>
      </c>
      <c r="F13" s="165" t="s">
        <v>36</v>
      </c>
      <c r="G13" s="166"/>
      <c r="H13" s="167">
        <f>D29</f>
        <v>0</v>
      </c>
      <c r="I13" s="168"/>
      <c r="J13" s="169"/>
      <c r="K13" s="20"/>
      <c r="L13" s="6">
        <v>307</v>
      </c>
      <c r="O13" s="1" t="s">
        <v>24</v>
      </c>
      <c r="P13" s="4"/>
      <c r="Q13" s="4"/>
      <c r="R13" s="5">
        <f t="shared" si="0"/>
        <v>0</v>
      </c>
    </row>
    <row r="14" spans="1:18" ht="15.75" x14ac:dyDescent="0.25">
      <c r="A14" s="141"/>
      <c r="B14" s="14" t="s">
        <v>35</v>
      </c>
      <c r="C14" s="10"/>
      <c r="D14" s="31">
        <f t="shared" si="1"/>
        <v>0</v>
      </c>
      <c r="F14" s="170" t="s">
        <v>38</v>
      </c>
      <c r="G14" s="171"/>
      <c r="H14" s="172">
        <f>D54</f>
        <v>0</v>
      </c>
      <c r="I14" s="173"/>
      <c r="J14" s="174"/>
      <c r="K14" s="20"/>
      <c r="L14" s="6">
        <v>11</v>
      </c>
      <c r="O14" t="s">
        <v>27</v>
      </c>
      <c r="P14" s="4">
        <v>205</v>
      </c>
      <c r="Q14" s="4">
        <v>78</v>
      </c>
      <c r="R14" s="5">
        <f t="shared" si="0"/>
        <v>283</v>
      </c>
    </row>
    <row r="15" spans="1:18" ht="15.75" x14ac:dyDescent="0.25">
      <c r="A15" s="141"/>
      <c r="B15" s="14" t="s">
        <v>122</v>
      </c>
      <c r="C15" s="10"/>
      <c r="D15" s="31">
        <f t="shared" si="1"/>
        <v>0</v>
      </c>
      <c r="F15" s="175" t="s">
        <v>39</v>
      </c>
      <c r="G15" s="166"/>
      <c r="H15" s="176">
        <f>H13-H14</f>
        <v>0</v>
      </c>
      <c r="I15" s="177"/>
      <c r="J15" s="178"/>
      <c r="K15" s="20"/>
      <c r="L15" s="6">
        <f>R4</f>
        <v>620</v>
      </c>
      <c r="O15" t="s">
        <v>29</v>
      </c>
      <c r="P15" s="4">
        <v>205</v>
      </c>
      <c r="Q15" s="4">
        <v>78</v>
      </c>
      <c r="R15" s="5">
        <f t="shared" si="0"/>
        <v>283</v>
      </c>
    </row>
    <row r="16" spans="1:18" ht="15.75" x14ac:dyDescent="0.25">
      <c r="A16" s="141"/>
      <c r="B16" s="18" t="s">
        <v>111</v>
      </c>
      <c r="C16" s="10"/>
      <c r="D16" s="48">
        <f t="shared" si="1"/>
        <v>0</v>
      </c>
      <c r="F16" s="67" t="s">
        <v>41</v>
      </c>
      <c r="G16" s="66" t="s">
        <v>42</v>
      </c>
      <c r="H16" s="179"/>
      <c r="I16" s="179"/>
      <c r="J16" s="179"/>
      <c r="L16" s="6">
        <f>R6</f>
        <v>650</v>
      </c>
      <c r="O16" t="s">
        <v>31</v>
      </c>
      <c r="P16" s="4">
        <v>229</v>
      </c>
      <c r="Q16" s="4">
        <v>78</v>
      </c>
      <c r="R16" s="5">
        <f t="shared" si="0"/>
        <v>307</v>
      </c>
    </row>
    <row r="17" spans="1:18" ht="15.75" x14ac:dyDescent="0.25">
      <c r="A17" s="141"/>
      <c r="B17" s="96" t="s">
        <v>123</v>
      </c>
      <c r="C17" s="10"/>
      <c r="D17" s="48">
        <f t="shared" si="1"/>
        <v>0</v>
      </c>
      <c r="F17" s="56"/>
      <c r="G17" s="66" t="s">
        <v>44</v>
      </c>
      <c r="H17" s="152"/>
      <c r="I17" s="152"/>
      <c r="J17" s="152"/>
      <c r="L17" s="6">
        <f>R21</f>
        <v>1702</v>
      </c>
      <c r="O17" t="s">
        <v>34</v>
      </c>
      <c r="P17" s="4">
        <v>229</v>
      </c>
      <c r="Q17" s="4">
        <v>78</v>
      </c>
      <c r="R17" s="5">
        <f t="shared" si="0"/>
        <v>307</v>
      </c>
    </row>
    <row r="18" spans="1:18" ht="15.75" x14ac:dyDescent="0.25">
      <c r="A18" s="141"/>
      <c r="B18" s="97" t="s">
        <v>125</v>
      </c>
      <c r="C18" s="10"/>
      <c r="D18" s="48">
        <f t="shared" si="1"/>
        <v>0</v>
      </c>
      <c r="F18" s="56"/>
      <c r="G18" s="66" t="s">
        <v>46</v>
      </c>
      <c r="H18" s="152"/>
      <c r="I18" s="152"/>
      <c r="J18" s="152"/>
      <c r="L18" s="6">
        <f>R35</f>
        <v>1102</v>
      </c>
      <c r="O18" t="s">
        <v>37</v>
      </c>
      <c r="P18" s="4">
        <v>229</v>
      </c>
      <c r="Q18" s="4">
        <v>78</v>
      </c>
      <c r="R18" s="5">
        <f t="shared" si="0"/>
        <v>307</v>
      </c>
    </row>
    <row r="19" spans="1:18" ht="15.75" x14ac:dyDescent="0.25">
      <c r="A19" s="141"/>
      <c r="B19" s="98" t="s">
        <v>105</v>
      </c>
      <c r="C19" s="10"/>
      <c r="D19" s="48">
        <f t="shared" si="1"/>
        <v>0</v>
      </c>
      <c r="F19" s="56"/>
      <c r="G19" s="68" t="s">
        <v>49</v>
      </c>
      <c r="H19" s="266"/>
      <c r="I19" s="266"/>
      <c r="J19" s="266"/>
      <c r="L19" s="6">
        <f>R33</f>
        <v>1175</v>
      </c>
      <c r="Q19" s="4"/>
      <c r="R19" s="5">
        <f t="shared" si="0"/>
        <v>0</v>
      </c>
    </row>
    <row r="20" spans="1:18" ht="15.75" x14ac:dyDescent="0.25">
      <c r="A20" s="141"/>
      <c r="B20" s="85" t="s">
        <v>126</v>
      </c>
      <c r="C20" s="10"/>
      <c r="D20" s="13">
        <f t="shared" si="1"/>
        <v>0</v>
      </c>
      <c r="F20" s="57"/>
      <c r="G20" s="70" t="s">
        <v>102</v>
      </c>
      <c r="H20" s="179"/>
      <c r="I20" s="179"/>
      <c r="J20" s="179"/>
      <c r="L20" s="6">
        <f>R22</f>
        <v>1582</v>
      </c>
      <c r="N20" s="1" t="s">
        <v>40</v>
      </c>
      <c r="Q20" s="4"/>
      <c r="R20" s="5">
        <f t="shared" si="0"/>
        <v>0</v>
      </c>
    </row>
    <row r="21" spans="1:18" ht="15.75" x14ac:dyDescent="0.25">
      <c r="A21" s="141"/>
      <c r="B21" s="14" t="s">
        <v>127</v>
      </c>
      <c r="C21" s="10"/>
      <c r="D21" s="48">
        <f t="shared" si="1"/>
        <v>0</v>
      </c>
      <c r="F21" s="69" t="s">
        <v>94</v>
      </c>
      <c r="G21" s="82" t="s">
        <v>93</v>
      </c>
      <c r="H21" s="199" t="s">
        <v>13</v>
      </c>
      <c r="I21" s="200"/>
      <c r="J21" s="201"/>
      <c r="L21" s="7">
        <f>1050/24+1.5</f>
        <v>45.25</v>
      </c>
      <c r="O21" t="s">
        <v>43</v>
      </c>
      <c r="P21" s="4">
        <v>1582</v>
      </c>
      <c r="Q21" s="4">
        <v>120</v>
      </c>
      <c r="R21" s="5">
        <f t="shared" si="0"/>
        <v>1702</v>
      </c>
    </row>
    <row r="22" spans="1:18" ht="15.75" x14ac:dyDescent="0.25">
      <c r="A22" s="141"/>
      <c r="B22" s="46" t="s">
        <v>103</v>
      </c>
      <c r="C22" s="10"/>
      <c r="D22" s="48">
        <f t="shared" si="1"/>
        <v>0</v>
      </c>
      <c r="F22" s="77"/>
      <c r="G22" s="73"/>
      <c r="H22" s="202"/>
      <c r="I22" s="202"/>
      <c r="J22" s="202"/>
      <c r="L22" s="7">
        <f>973/24+1.5</f>
        <v>42.041666666666664</v>
      </c>
      <c r="O22" t="s">
        <v>45</v>
      </c>
      <c r="P22" s="4">
        <v>1582</v>
      </c>
      <c r="Q22" s="4"/>
      <c r="R22" s="5">
        <f t="shared" si="0"/>
        <v>1582</v>
      </c>
    </row>
    <row r="23" spans="1:18" ht="15.75" x14ac:dyDescent="0.25">
      <c r="A23" s="141"/>
      <c r="B23" s="14" t="s">
        <v>121</v>
      </c>
      <c r="C23" s="10"/>
      <c r="D23" s="48">
        <f t="shared" si="1"/>
        <v>0</v>
      </c>
      <c r="F23" s="78"/>
      <c r="G23" s="79"/>
      <c r="H23" s="203"/>
      <c r="I23" s="204"/>
      <c r="J23" s="204"/>
      <c r="L23" s="47">
        <f>912/24+1.5</f>
        <v>39.5</v>
      </c>
      <c r="N23" s="1"/>
      <c r="O23" t="s">
        <v>47</v>
      </c>
      <c r="P23" s="4">
        <v>1728</v>
      </c>
      <c r="Q23" s="4"/>
      <c r="R23" s="5">
        <f t="shared" si="0"/>
        <v>1728</v>
      </c>
    </row>
    <row r="24" spans="1:18" ht="15.75" x14ac:dyDescent="0.25">
      <c r="A24" s="141"/>
      <c r="B24" s="14" t="s">
        <v>128</v>
      </c>
      <c r="C24" s="10"/>
      <c r="D24" s="48">
        <f t="shared" si="1"/>
        <v>0</v>
      </c>
      <c r="F24" s="38"/>
      <c r="G24" s="37"/>
      <c r="H24" s="203"/>
      <c r="I24" s="204"/>
      <c r="J24" s="204"/>
      <c r="L24" s="47">
        <f>872/24+1.5</f>
        <v>37.833333333333336</v>
      </c>
      <c r="N24" s="1"/>
      <c r="O24" t="s">
        <v>48</v>
      </c>
      <c r="P24" s="4">
        <v>1728</v>
      </c>
      <c r="Q24" s="4"/>
      <c r="R24" s="5">
        <f t="shared" si="0"/>
        <v>1728</v>
      </c>
    </row>
    <row r="25" spans="1:18" ht="15.75" x14ac:dyDescent="0.25">
      <c r="A25" s="141"/>
      <c r="B25" s="14" t="s">
        <v>104</v>
      </c>
      <c r="C25" s="10"/>
      <c r="D25" s="48">
        <f t="shared" si="1"/>
        <v>0</v>
      </c>
      <c r="F25" s="60" t="s">
        <v>95</v>
      </c>
      <c r="G25" s="55" t="s">
        <v>93</v>
      </c>
      <c r="H25" s="205" t="s">
        <v>13</v>
      </c>
      <c r="I25" s="206"/>
      <c r="J25" s="207"/>
      <c r="L25" s="47">
        <f>700/6+4.5</f>
        <v>121.16666666666667</v>
      </c>
      <c r="O25" t="s">
        <v>50</v>
      </c>
      <c r="P25" s="4">
        <v>1582</v>
      </c>
      <c r="Q25" s="4"/>
      <c r="R25" s="5">
        <f t="shared" si="0"/>
        <v>1582</v>
      </c>
    </row>
    <row r="26" spans="1:18" ht="15.75" x14ac:dyDescent="0.25">
      <c r="A26" s="141"/>
      <c r="B26" s="14" t="s">
        <v>129</v>
      </c>
      <c r="C26" s="10"/>
      <c r="D26" s="48">
        <f t="shared" si="1"/>
        <v>0</v>
      </c>
      <c r="F26" s="64"/>
      <c r="G26" s="59"/>
      <c r="H26" s="208"/>
      <c r="I26" s="209"/>
      <c r="J26" s="210"/>
      <c r="L26" s="7">
        <f>670/12+2.25</f>
        <v>58.083333333333336</v>
      </c>
      <c r="O26" t="s">
        <v>51</v>
      </c>
      <c r="P26" s="4">
        <v>1582</v>
      </c>
      <c r="Q26" s="4">
        <v>120</v>
      </c>
      <c r="R26" s="5">
        <f t="shared" si="0"/>
        <v>1702</v>
      </c>
    </row>
    <row r="27" spans="1:18" ht="14.45" customHeight="1" x14ac:dyDescent="0.25">
      <c r="A27" s="141"/>
      <c r="B27" s="14" t="s">
        <v>130</v>
      </c>
      <c r="C27" s="10"/>
      <c r="D27" s="44">
        <f t="shared" si="1"/>
        <v>0</v>
      </c>
      <c r="F27" s="25"/>
      <c r="G27" s="80"/>
      <c r="H27" s="211"/>
      <c r="I27" s="212"/>
      <c r="J27" s="213"/>
      <c r="L27" s="7">
        <f>1049/24+1.5</f>
        <v>45.208333333333336</v>
      </c>
      <c r="O27" t="s">
        <v>52</v>
      </c>
      <c r="P27" s="4">
        <v>1582</v>
      </c>
      <c r="Q27" s="4"/>
      <c r="R27" s="5">
        <f t="shared" si="0"/>
        <v>1582</v>
      </c>
    </row>
    <row r="28" spans="1:18" ht="15.75" x14ac:dyDescent="0.25">
      <c r="A28" s="142"/>
      <c r="B28" s="46" t="s">
        <v>92</v>
      </c>
      <c r="C28" s="10"/>
      <c r="D28" s="48">
        <f t="shared" si="1"/>
        <v>0</v>
      </c>
      <c r="F28" s="124"/>
      <c r="G28" s="61"/>
      <c r="H28" s="214"/>
      <c r="I28" s="215"/>
      <c r="J28" s="216"/>
      <c r="L28" s="47">
        <f>R44</f>
        <v>811</v>
      </c>
      <c r="O28" t="s">
        <v>53</v>
      </c>
      <c r="P28" s="4">
        <v>1582</v>
      </c>
      <c r="Q28" s="4">
        <v>120</v>
      </c>
      <c r="R28" s="5">
        <f t="shared" si="0"/>
        <v>1702</v>
      </c>
    </row>
    <row r="29" spans="1:18" x14ac:dyDescent="0.25">
      <c r="A29" s="180" t="s">
        <v>36</v>
      </c>
      <c r="B29" s="181"/>
      <c r="C29" s="182"/>
      <c r="D29" s="186">
        <f>SUM(D6:D28)</f>
        <v>0</v>
      </c>
      <c r="F29" s="188" t="s">
        <v>54</v>
      </c>
      <c r="G29" s="189"/>
      <c r="H29" s="192">
        <f>H15-H16-H17-H18-H19-H20-H22-H23-H24+H26+H27</f>
        <v>0</v>
      </c>
      <c r="I29" s="193"/>
      <c r="J29" s="194"/>
      <c r="O29" t="s">
        <v>55</v>
      </c>
      <c r="P29" s="4">
        <v>1582</v>
      </c>
      <c r="Q29" s="4"/>
      <c r="R29" s="5">
        <f t="shared" si="0"/>
        <v>1582</v>
      </c>
    </row>
    <row r="30" spans="1:18" x14ac:dyDescent="0.25">
      <c r="A30" s="183"/>
      <c r="B30" s="184"/>
      <c r="C30" s="185"/>
      <c r="D30" s="187"/>
      <c r="F30" s="190"/>
      <c r="G30" s="191"/>
      <c r="H30" s="195"/>
      <c r="I30" s="196"/>
      <c r="J30" s="197"/>
      <c r="N30" s="1"/>
      <c r="O30" t="s">
        <v>113</v>
      </c>
      <c r="P30" s="4">
        <v>1049</v>
      </c>
      <c r="Q30" s="4">
        <v>120</v>
      </c>
      <c r="R30" s="5">
        <f t="shared" si="0"/>
        <v>1169</v>
      </c>
    </row>
    <row r="31" spans="1:18" x14ac:dyDescent="0.25">
      <c r="A31" s="24"/>
      <c r="B31" s="24"/>
      <c r="C31" s="24"/>
      <c r="D31" s="24"/>
      <c r="F31" s="24"/>
      <c r="G31" s="24"/>
      <c r="O31" t="s">
        <v>56</v>
      </c>
      <c r="P31" s="4">
        <v>1157</v>
      </c>
      <c r="Q31" s="4">
        <v>120</v>
      </c>
      <c r="R31" s="5">
        <f t="shared" si="0"/>
        <v>1277</v>
      </c>
    </row>
    <row r="32" spans="1:18" x14ac:dyDescent="0.25">
      <c r="A32" s="127" t="s">
        <v>57</v>
      </c>
      <c r="B32" s="128"/>
      <c r="C32" s="128"/>
      <c r="D32" s="129"/>
      <c r="F32" s="217" t="s">
        <v>58</v>
      </c>
      <c r="G32" s="218"/>
      <c r="H32" s="218"/>
      <c r="I32" s="218"/>
      <c r="J32" s="219"/>
      <c r="O32" t="s">
        <v>59</v>
      </c>
      <c r="P32" s="4">
        <v>1050</v>
      </c>
      <c r="Q32" s="4">
        <v>120</v>
      </c>
      <c r="R32" s="5">
        <f t="shared" si="0"/>
        <v>1170</v>
      </c>
    </row>
    <row r="33" spans="1:18" x14ac:dyDescent="0.25">
      <c r="A33" s="25"/>
      <c r="B33" s="25" t="s">
        <v>11</v>
      </c>
      <c r="C33" s="25" t="s">
        <v>60</v>
      </c>
      <c r="D33" s="25" t="s">
        <v>13</v>
      </c>
      <c r="F33" s="25" t="s">
        <v>61</v>
      </c>
      <c r="G33" s="125" t="s">
        <v>62</v>
      </c>
      <c r="H33" s="217" t="s">
        <v>13</v>
      </c>
      <c r="I33" s="218"/>
      <c r="J33" s="219"/>
      <c r="O33" t="s">
        <v>63</v>
      </c>
      <c r="P33" s="4">
        <v>1175</v>
      </c>
      <c r="Q33" s="4"/>
      <c r="R33" s="5">
        <f t="shared" si="0"/>
        <v>1175</v>
      </c>
    </row>
    <row r="34" spans="1:18" ht="15" customHeight="1" x14ac:dyDescent="0.25">
      <c r="A34" s="140" t="s">
        <v>64</v>
      </c>
      <c r="B34" s="26" t="s">
        <v>65</v>
      </c>
      <c r="C34" s="51"/>
      <c r="D34" s="30">
        <f>C34*120</f>
        <v>0</v>
      </c>
      <c r="F34" s="12">
        <v>1000</v>
      </c>
      <c r="G34" s="74"/>
      <c r="H34" s="220">
        <f>F34*G34</f>
        <v>0</v>
      </c>
      <c r="I34" s="221"/>
      <c r="J34" s="222"/>
      <c r="O34" t="s">
        <v>66</v>
      </c>
      <c r="P34" s="4">
        <v>872</v>
      </c>
      <c r="Q34" s="4">
        <v>120</v>
      </c>
      <c r="R34" s="5">
        <f t="shared" si="0"/>
        <v>992</v>
      </c>
    </row>
    <row r="35" spans="1:18" ht="15.75" x14ac:dyDescent="0.25">
      <c r="A35" s="141"/>
      <c r="B35" s="27" t="s">
        <v>67</v>
      </c>
      <c r="C35" s="52"/>
      <c r="D35" s="30">
        <f>C35*84</f>
        <v>0</v>
      </c>
      <c r="F35" s="58">
        <v>500</v>
      </c>
      <c r="G35" s="41"/>
      <c r="H35" s="220">
        <f>F35*G35</f>
        <v>0</v>
      </c>
      <c r="I35" s="221"/>
      <c r="J35" s="222"/>
      <c r="O35" t="s">
        <v>68</v>
      </c>
      <c r="P35" s="4">
        <v>1102</v>
      </c>
      <c r="Q35" s="4"/>
      <c r="R35" s="5">
        <f t="shared" si="0"/>
        <v>1102</v>
      </c>
    </row>
    <row r="36" spans="1:18" ht="15.75" x14ac:dyDescent="0.25">
      <c r="A36" s="142"/>
      <c r="B36" s="26" t="s">
        <v>69</v>
      </c>
      <c r="C36" s="10"/>
      <c r="D36" s="12">
        <f>C36*1.5</f>
        <v>0</v>
      </c>
      <c r="F36" s="12">
        <v>200</v>
      </c>
      <c r="G36" s="37"/>
      <c r="H36" s="220">
        <f t="shared" ref="H36:H39" si="2">F36*G36</f>
        <v>0</v>
      </c>
      <c r="I36" s="221"/>
      <c r="J36" s="222"/>
      <c r="O36" t="s">
        <v>70</v>
      </c>
      <c r="P36" s="4">
        <v>912</v>
      </c>
      <c r="Q36" s="4">
        <v>120</v>
      </c>
      <c r="R36" s="5">
        <f t="shared" si="0"/>
        <v>1032</v>
      </c>
    </row>
    <row r="37" spans="1:18" ht="15.75" x14ac:dyDescent="0.25">
      <c r="A37" s="140" t="s">
        <v>71</v>
      </c>
      <c r="B37" s="28" t="s">
        <v>65</v>
      </c>
      <c r="C37" s="53"/>
      <c r="D37" s="12">
        <f>C37*111</f>
        <v>0</v>
      </c>
      <c r="F37" s="12">
        <v>100</v>
      </c>
      <c r="G37" s="39"/>
      <c r="H37" s="220">
        <f t="shared" si="2"/>
        <v>0</v>
      </c>
      <c r="I37" s="221"/>
      <c r="J37" s="222"/>
      <c r="O37" t="s">
        <v>72</v>
      </c>
      <c r="P37" s="4">
        <v>1122</v>
      </c>
      <c r="Q37" s="4">
        <v>120</v>
      </c>
      <c r="R37" s="5">
        <f t="shared" si="0"/>
        <v>1242</v>
      </c>
    </row>
    <row r="38" spans="1:18" ht="15.75" x14ac:dyDescent="0.25">
      <c r="A38" s="141"/>
      <c r="B38" s="29" t="s">
        <v>67</v>
      </c>
      <c r="C38" s="54"/>
      <c r="D38" s="12">
        <f>C38*84</f>
        <v>0</v>
      </c>
      <c r="F38" s="30">
        <v>50</v>
      </c>
      <c r="G38" s="39"/>
      <c r="H38" s="220">
        <f t="shared" si="2"/>
        <v>0</v>
      </c>
      <c r="I38" s="221"/>
      <c r="J38" s="222"/>
      <c r="O38" t="s">
        <v>73</v>
      </c>
      <c r="P38" s="4">
        <v>622</v>
      </c>
      <c r="Q38" s="4">
        <v>111</v>
      </c>
      <c r="R38" s="5">
        <f t="shared" si="0"/>
        <v>733</v>
      </c>
    </row>
    <row r="39" spans="1:18" ht="15.75" x14ac:dyDescent="0.25">
      <c r="A39" s="142"/>
      <c r="B39" s="29" t="s">
        <v>69</v>
      </c>
      <c r="C39" s="52"/>
      <c r="D39" s="31">
        <f>C39*4.5</f>
        <v>0</v>
      </c>
      <c r="F39" s="12">
        <v>20</v>
      </c>
      <c r="G39" s="37"/>
      <c r="H39" s="220">
        <f t="shared" si="2"/>
        <v>0</v>
      </c>
      <c r="I39" s="221"/>
      <c r="J39" s="222"/>
      <c r="O39" t="s">
        <v>74</v>
      </c>
      <c r="P39" s="4">
        <v>1175</v>
      </c>
      <c r="Q39" s="4"/>
      <c r="R39" s="5">
        <f t="shared" si="0"/>
        <v>1175</v>
      </c>
    </row>
    <row r="40" spans="1:18" ht="15.75" x14ac:dyDescent="0.25">
      <c r="A40" s="140" t="s">
        <v>75</v>
      </c>
      <c r="B40" s="27" t="s">
        <v>65</v>
      </c>
      <c r="C40" s="63"/>
      <c r="D40" s="12">
        <f>C40*111</f>
        <v>0</v>
      </c>
      <c r="F40" s="12">
        <v>10</v>
      </c>
      <c r="G40" s="42"/>
      <c r="H40" s="220"/>
      <c r="I40" s="221"/>
      <c r="J40" s="222"/>
      <c r="O40" t="s">
        <v>76</v>
      </c>
      <c r="P40" s="4">
        <v>973</v>
      </c>
      <c r="Q40" s="4">
        <v>120</v>
      </c>
      <c r="R40" s="5">
        <f t="shared" si="0"/>
        <v>1093</v>
      </c>
    </row>
    <row r="41" spans="1:18" ht="15.75" x14ac:dyDescent="0.25">
      <c r="A41" s="141"/>
      <c r="B41" s="27" t="s">
        <v>67</v>
      </c>
      <c r="C41" s="10"/>
      <c r="D41" s="12">
        <f>C41*84</f>
        <v>0</v>
      </c>
      <c r="F41" s="12">
        <v>5</v>
      </c>
      <c r="G41" s="42"/>
      <c r="H41" s="220"/>
      <c r="I41" s="221"/>
      <c r="J41" s="222"/>
      <c r="K41" s="21"/>
      <c r="O41" t="s">
        <v>77</v>
      </c>
      <c r="P41" s="4">
        <v>670</v>
      </c>
      <c r="Q41" s="4">
        <v>111</v>
      </c>
      <c r="R41" s="5">
        <f t="shared" si="0"/>
        <v>781</v>
      </c>
    </row>
    <row r="42" spans="1:18" ht="15.75" x14ac:dyDescent="0.25">
      <c r="A42" s="142"/>
      <c r="B42" s="27" t="s">
        <v>69</v>
      </c>
      <c r="C42" s="11"/>
      <c r="D42" s="12">
        <f>C42*2.25</f>
        <v>0</v>
      </c>
      <c r="F42" s="39" t="s">
        <v>78</v>
      </c>
      <c r="G42" s="220"/>
      <c r="H42" s="221"/>
      <c r="I42" s="221"/>
      <c r="J42" s="222"/>
      <c r="K42" s="36"/>
      <c r="O42" t="s">
        <v>79</v>
      </c>
      <c r="P42" s="4">
        <v>650</v>
      </c>
      <c r="Q42" s="4">
        <v>111</v>
      </c>
      <c r="R42" s="5">
        <f t="shared" si="0"/>
        <v>761</v>
      </c>
    </row>
    <row r="43" spans="1:18" ht="15.75" x14ac:dyDescent="0.25">
      <c r="A43" s="223" t="s">
        <v>80</v>
      </c>
      <c r="C43" s="11"/>
      <c r="D43" s="12"/>
      <c r="F43" s="59" t="s">
        <v>81</v>
      </c>
      <c r="G43" s="121" t="s">
        <v>82</v>
      </c>
      <c r="H43" s="226" t="s">
        <v>13</v>
      </c>
      <c r="I43" s="227"/>
      <c r="J43" s="228"/>
      <c r="K43" s="21"/>
      <c r="O43" t="s">
        <v>97</v>
      </c>
      <c r="P43" s="4">
        <v>1667</v>
      </c>
      <c r="Q43" s="4"/>
      <c r="R43" s="5"/>
    </row>
    <row r="44" spans="1:18" ht="15.75" x14ac:dyDescent="0.25">
      <c r="A44" s="224"/>
      <c r="B44" s="27" t="s">
        <v>65</v>
      </c>
      <c r="C44" s="10"/>
      <c r="D44" s="12">
        <f>C44*120</f>
        <v>0</v>
      </c>
      <c r="F44" s="37"/>
      <c r="G44" s="76"/>
      <c r="H44" s="204"/>
      <c r="I44" s="204"/>
      <c r="J44" s="204"/>
      <c r="K44" s="21"/>
      <c r="O44" t="s">
        <v>98</v>
      </c>
      <c r="P44" s="4">
        <v>700</v>
      </c>
      <c r="Q44" s="4">
        <v>111</v>
      </c>
      <c r="R44" s="5">
        <f>Q44+P44</f>
        <v>811</v>
      </c>
    </row>
    <row r="45" spans="1:18" ht="15.75" x14ac:dyDescent="0.25">
      <c r="A45" s="224"/>
      <c r="B45" s="27" t="s">
        <v>67</v>
      </c>
      <c r="C45" s="33"/>
      <c r="D45" s="12">
        <f>C45*84</f>
        <v>0</v>
      </c>
      <c r="F45" s="37"/>
      <c r="G45" s="76"/>
      <c r="H45" s="204"/>
      <c r="I45" s="204"/>
      <c r="J45" s="204"/>
      <c r="K45" s="21"/>
      <c r="P45" s="4"/>
      <c r="Q45" s="4"/>
      <c r="R45" s="5"/>
    </row>
    <row r="46" spans="1:18" ht="15.75" x14ac:dyDescent="0.25">
      <c r="A46" s="224"/>
      <c r="B46" s="49" t="s">
        <v>69</v>
      </c>
      <c r="C46" s="81"/>
      <c r="D46" s="12">
        <f>C46*1.5</f>
        <v>0</v>
      </c>
      <c r="F46" s="37"/>
      <c r="G46" s="62"/>
      <c r="H46" s="229"/>
      <c r="I46" s="229"/>
      <c r="J46" s="229"/>
      <c r="K46" s="21"/>
      <c r="P46" s="4"/>
      <c r="Q46" s="4"/>
      <c r="R46" s="5"/>
    </row>
    <row r="47" spans="1:18" ht="15.75" x14ac:dyDescent="0.25">
      <c r="A47" s="225"/>
      <c r="B47" s="27"/>
      <c r="C47" s="11"/>
      <c r="D47" s="12"/>
      <c r="F47" s="59"/>
      <c r="G47" s="59"/>
      <c r="H47" s="230"/>
      <c r="I47" s="231"/>
      <c r="J47" s="232"/>
      <c r="K47" s="21"/>
      <c r="P47" s="4"/>
      <c r="Q47" s="4"/>
      <c r="R47" s="5"/>
    </row>
    <row r="48" spans="1:18" ht="15" customHeight="1" x14ac:dyDescent="0.25">
      <c r="A48" s="223" t="s">
        <v>32</v>
      </c>
      <c r="B48" s="27" t="s">
        <v>65</v>
      </c>
      <c r="C48" s="10"/>
      <c r="D48" s="12">
        <f>C48*78</f>
        <v>0</v>
      </c>
      <c r="F48" s="59"/>
      <c r="G48" s="59"/>
      <c r="H48" s="230"/>
      <c r="I48" s="231"/>
      <c r="J48" s="232"/>
      <c r="K48" s="35"/>
      <c r="O48" t="s">
        <v>83</v>
      </c>
      <c r="P48" s="4">
        <v>1175</v>
      </c>
      <c r="Q48" s="4"/>
      <c r="R48" s="5">
        <f t="shared" si="0"/>
        <v>1175</v>
      </c>
    </row>
    <row r="49" spans="1:18" ht="15.75" x14ac:dyDescent="0.25">
      <c r="A49" s="224"/>
      <c r="B49" s="29" t="s">
        <v>67</v>
      </c>
      <c r="C49" s="33"/>
      <c r="D49" s="12">
        <f>C49*42</f>
        <v>0</v>
      </c>
      <c r="F49" s="245" t="s">
        <v>85</v>
      </c>
      <c r="G49" s="192">
        <f>H34+H35+H36+H37+H38+H39+H40+H41+G42+H44+H45+H46</f>
        <v>0</v>
      </c>
      <c r="H49" s="193"/>
      <c r="I49" s="193"/>
      <c r="J49" s="194"/>
      <c r="O49" t="s">
        <v>84</v>
      </c>
      <c r="P49" s="4">
        <v>851</v>
      </c>
      <c r="Q49" s="4">
        <v>120</v>
      </c>
      <c r="R49" s="5">
        <f t="shared" si="0"/>
        <v>971</v>
      </c>
    </row>
    <row r="50" spans="1:18" ht="15.75" x14ac:dyDescent="0.25">
      <c r="A50" s="224"/>
      <c r="B50" s="32" t="s">
        <v>69</v>
      </c>
      <c r="C50" s="11"/>
      <c r="D50" s="12">
        <f>C50*1.5</f>
        <v>0</v>
      </c>
      <c r="F50" s="246"/>
      <c r="G50" s="195"/>
      <c r="H50" s="196"/>
      <c r="I50" s="196"/>
      <c r="J50" s="197"/>
      <c r="O50" t="s">
        <v>114</v>
      </c>
      <c r="P50" s="4">
        <v>1204</v>
      </c>
      <c r="Q50" s="4"/>
      <c r="R50" s="5"/>
    </row>
    <row r="51" spans="1:18" ht="15" customHeight="1" x14ac:dyDescent="0.25">
      <c r="A51" s="224"/>
      <c r="B51" s="27"/>
      <c r="C51" s="10"/>
      <c r="D51" s="31"/>
      <c r="F51" s="247" t="s">
        <v>115</v>
      </c>
      <c r="G51" s="249">
        <f>G49-H29</f>
        <v>0</v>
      </c>
      <c r="H51" s="250"/>
      <c r="I51" s="250"/>
      <c r="J51" s="251"/>
      <c r="K51" s="21"/>
      <c r="O51" t="s">
        <v>86</v>
      </c>
      <c r="P51" s="4">
        <v>723</v>
      </c>
      <c r="Q51" s="4">
        <v>120</v>
      </c>
      <c r="R51" s="5">
        <f t="shared" si="0"/>
        <v>843</v>
      </c>
    </row>
    <row r="52" spans="1:18" ht="15.75" x14ac:dyDescent="0.25">
      <c r="A52" s="224"/>
      <c r="B52" s="29"/>
      <c r="C52" s="33"/>
      <c r="D52" s="45"/>
      <c r="F52" s="248"/>
      <c r="G52" s="252"/>
      <c r="H52" s="253"/>
      <c r="I52" s="253"/>
      <c r="J52" s="254"/>
      <c r="K52" s="21"/>
      <c r="O52" t="s">
        <v>87</v>
      </c>
      <c r="P52" s="4">
        <v>559</v>
      </c>
      <c r="Q52" s="4">
        <v>111</v>
      </c>
      <c r="R52" s="5">
        <f t="shared" si="0"/>
        <v>670</v>
      </c>
    </row>
    <row r="53" spans="1:18" ht="15.75" x14ac:dyDescent="0.25">
      <c r="A53" s="225"/>
      <c r="B53" s="32"/>
      <c r="C53" s="11"/>
      <c r="D53" s="12"/>
      <c r="F53" s="35"/>
      <c r="G53" s="24"/>
      <c r="H53" s="24"/>
      <c r="I53" s="24"/>
      <c r="J53" s="17"/>
      <c r="N53" s="1"/>
      <c r="O53" t="s">
        <v>88</v>
      </c>
      <c r="P53" s="4">
        <v>1142</v>
      </c>
    </row>
    <row r="54" spans="1:18" x14ac:dyDescent="0.25">
      <c r="A54" s="188" t="s">
        <v>89</v>
      </c>
      <c r="B54" s="233"/>
      <c r="C54" s="234"/>
      <c r="D54" s="237">
        <f>SUM(D34:D53)</f>
        <v>0</v>
      </c>
      <c r="F54" s="21"/>
      <c r="J54" s="34"/>
      <c r="O54" t="s">
        <v>96</v>
      </c>
      <c r="P54" s="4">
        <v>1582</v>
      </c>
      <c r="R54" s="3">
        <v>1582</v>
      </c>
    </row>
    <row r="55" spans="1:18" x14ac:dyDescent="0.25">
      <c r="A55" s="190"/>
      <c r="B55" s="235"/>
      <c r="C55" s="236"/>
      <c r="D55" s="238"/>
      <c r="F55" s="21"/>
      <c r="J55" s="34"/>
    </row>
    <row r="56" spans="1:18" x14ac:dyDescent="0.25">
      <c r="A56" s="35"/>
      <c r="D56" s="34"/>
      <c r="F56" s="21"/>
      <c r="J56" s="34"/>
    </row>
    <row r="57" spans="1:18" x14ac:dyDescent="0.25">
      <c r="A57" s="21"/>
      <c r="B57" t="s">
        <v>118</v>
      </c>
      <c r="D57" s="34"/>
      <c r="F57" s="36"/>
      <c r="G57" s="50"/>
      <c r="H57" s="50"/>
      <c r="I57" s="50"/>
      <c r="J57" s="43"/>
    </row>
    <row r="58" spans="1:18" x14ac:dyDescent="0.25">
      <c r="A58" s="239" t="s">
        <v>90</v>
      </c>
      <c r="B58" s="240"/>
      <c r="C58" s="240"/>
      <c r="D58" s="241"/>
      <c r="F58" s="239" t="s">
        <v>91</v>
      </c>
      <c r="G58" s="240"/>
      <c r="H58" s="240"/>
      <c r="I58" s="240"/>
      <c r="J58" s="241"/>
    </row>
    <row r="59" spans="1:18" x14ac:dyDescent="0.25">
      <c r="A59" s="242"/>
      <c r="B59" s="243"/>
      <c r="C59" s="243"/>
      <c r="D59" s="244"/>
      <c r="F59" s="242"/>
      <c r="G59" s="243"/>
      <c r="H59" s="243"/>
      <c r="I59" s="243"/>
      <c r="J59" s="244"/>
    </row>
  </sheetData>
  <mergeCells count="68">
    <mergeCell ref="A54:C55"/>
    <mergeCell ref="D54:D55"/>
    <mergeCell ref="A58:D59"/>
    <mergeCell ref="F58:J59"/>
    <mergeCell ref="A48:A53"/>
    <mergeCell ref="H48:J48"/>
    <mergeCell ref="F49:F50"/>
    <mergeCell ref="G49:J50"/>
    <mergeCell ref="F51:F52"/>
    <mergeCell ref="G51:J52"/>
    <mergeCell ref="A43:A47"/>
    <mergeCell ref="H43:J43"/>
    <mergeCell ref="H44:J44"/>
    <mergeCell ref="H45:J45"/>
    <mergeCell ref="H46:J46"/>
    <mergeCell ref="H47:J47"/>
    <mergeCell ref="A37:A39"/>
    <mergeCell ref="H37:J37"/>
    <mergeCell ref="H38:J38"/>
    <mergeCell ref="H39:J39"/>
    <mergeCell ref="A40:A42"/>
    <mergeCell ref="H40:J40"/>
    <mergeCell ref="H41:J41"/>
    <mergeCell ref="G42:J42"/>
    <mergeCell ref="A32:D32"/>
    <mergeCell ref="F32:J32"/>
    <mergeCell ref="H33:J33"/>
    <mergeCell ref="A34:A36"/>
    <mergeCell ref="H34:J34"/>
    <mergeCell ref="H35:J35"/>
    <mergeCell ref="H36:J36"/>
    <mergeCell ref="H24:J24"/>
    <mergeCell ref="H25:J25"/>
    <mergeCell ref="H26:J26"/>
    <mergeCell ref="H27:J27"/>
    <mergeCell ref="H28:J28"/>
    <mergeCell ref="A29:C30"/>
    <mergeCell ref="D29:D30"/>
    <mergeCell ref="F29:G30"/>
    <mergeCell ref="H29:J30"/>
    <mergeCell ref="H18:J18"/>
    <mergeCell ref="H19:J19"/>
    <mergeCell ref="H20:J20"/>
    <mergeCell ref="H21:J21"/>
    <mergeCell ref="H22:J22"/>
    <mergeCell ref="H23:J23"/>
    <mergeCell ref="F14:G14"/>
    <mergeCell ref="H14:J14"/>
    <mergeCell ref="F15:G15"/>
    <mergeCell ref="H15:J15"/>
    <mergeCell ref="H16:J16"/>
    <mergeCell ref="H17:J17"/>
    <mergeCell ref="G8:J9"/>
    <mergeCell ref="F10:F11"/>
    <mergeCell ref="G10:J11"/>
    <mergeCell ref="F12:J12"/>
    <mergeCell ref="F13:G13"/>
    <mergeCell ref="H13:J13"/>
    <mergeCell ref="N1:O1"/>
    <mergeCell ref="A4:D4"/>
    <mergeCell ref="F4:F5"/>
    <mergeCell ref="G4:G5"/>
    <mergeCell ref="H4:H5"/>
    <mergeCell ref="I4:J5"/>
    <mergeCell ref="A5:A28"/>
    <mergeCell ref="F6:F7"/>
    <mergeCell ref="G6:J7"/>
    <mergeCell ref="F8:F9"/>
  </mergeCells>
  <printOptions horizontalCentered="1"/>
  <pageMargins left="0.19685039370078741" right="0.19685039370078741" top="0.39370078740157483" bottom="0.39370078740157483" header="0" footer="0"/>
  <pageSetup paperSize="9" scale="87" orientation="portrait" horizontalDpi="0" verticalDpi="0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85</vt:i4>
      </vt:variant>
      <vt:variant>
        <vt:lpstr>Named Ranges</vt:lpstr>
      </vt:variant>
      <vt:variant>
        <vt:i4>84</vt:i4>
      </vt:variant>
    </vt:vector>
  </HeadingPairs>
  <TitlesOfParts>
    <vt:vector size="169" baseType="lpstr">
      <vt:lpstr>(APRIL 2026)</vt:lpstr>
      <vt:lpstr>(01)</vt:lpstr>
      <vt:lpstr>01,4 R1</vt:lpstr>
      <vt:lpstr>01,4 R2</vt:lpstr>
      <vt:lpstr>01,4 R3</vt:lpstr>
      <vt:lpstr>(2)</vt:lpstr>
      <vt:lpstr>01,2 R1</vt:lpstr>
      <vt:lpstr>01,2 R2</vt:lpstr>
      <vt:lpstr>01,2 R3</vt:lpstr>
      <vt:lpstr>(3) NO TRIP</vt:lpstr>
      <vt:lpstr>01,3 R1 NO TRIP</vt:lpstr>
      <vt:lpstr>01,3 R2 NO TRIP</vt:lpstr>
      <vt:lpstr>01,3 R3 NO TRIP</vt:lpstr>
      <vt:lpstr>(4)</vt:lpstr>
      <vt:lpstr>01,04 R1 NO TRIP</vt:lpstr>
      <vt:lpstr>01,04 R2 NO TRIP</vt:lpstr>
      <vt:lpstr>01,04 R3 NO TRIP</vt:lpstr>
      <vt:lpstr>(6)</vt:lpstr>
      <vt:lpstr>04,06 R1</vt:lpstr>
      <vt:lpstr>04,06 R2</vt:lpstr>
      <vt:lpstr>04,06 R3</vt:lpstr>
      <vt:lpstr>(7)</vt:lpstr>
      <vt:lpstr>04,07 R1</vt:lpstr>
      <vt:lpstr>04,07 R2</vt:lpstr>
      <vt:lpstr>04,07 R3</vt:lpstr>
      <vt:lpstr>(8)</vt:lpstr>
      <vt:lpstr>04,08 R1</vt:lpstr>
      <vt:lpstr>04,08 R2</vt:lpstr>
      <vt:lpstr>04,08 R3</vt:lpstr>
      <vt:lpstr>(9)</vt:lpstr>
      <vt:lpstr>04,09 R1</vt:lpstr>
      <vt:lpstr>04,09 R2</vt:lpstr>
      <vt:lpstr>04,09 R3</vt:lpstr>
      <vt:lpstr>(10)</vt:lpstr>
      <vt:lpstr>04,10 R1</vt:lpstr>
      <vt:lpstr>04,10 R2</vt:lpstr>
      <vt:lpstr>04,10 R3 NO TRIP</vt:lpstr>
      <vt:lpstr>(11)</vt:lpstr>
      <vt:lpstr>04,11 R1 NO TRIP</vt:lpstr>
      <vt:lpstr>04,11 R2 NO TRIP</vt:lpstr>
      <vt:lpstr>04,11 R3 NO TRIP</vt:lpstr>
      <vt:lpstr>(13)</vt:lpstr>
      <vt:lpstr>04,13 R1</vt:lpstr>
      <vt:lpstr>04,13 R2</vt:lpstr>
      <vt:lpstr>04,13 R3</vt:lpstr>
      <vt:lpstr>(14)</vt:lpstr>
      <vt:lpstr>04,14 R1</vt:lpstr>
      <vt:lpstr>04,14 R2</vt:lpstr>
      <vt:lpstr>04,14 R3</vt:lpstr>
      <vt:lpstr>(15)</vt:lpstr>
      <vt:lpstr>04,15 R1</vt:lpstr>
      <vt:lpstr>04,15 R2</vt:lpstr>
      <vt:lpstr>04,15 R3</vt:lpstr>
      <vt:lpstr>(16)</vt:lpstr>
      <vt:lpstr>04,16 R1</vt:lpstr>
      <vt:lpstr>04,16 R2</vt:lpstr>
      <vt:lpstr>04,16 R3</vt:lpstr>
      <vt:lpstr>(17)</vt:lpstr>
      <vt:lpstr>04,17 R1 NO TRIP</vt:lpstr>
      <vt:lpstr>04,17 R2 </vt:lpstr>
      <vt:lpstr>04,17 R3</vt:lpstr>
      <vt:lpstr>(20)</vt:lpstr>
      <vt:lpstr>04,20 R1</vt:lpstr>
      <vt:lpstr>04,20 R2</vt:lpstr>
      <vt:lpstr>04,20 R3</vt:lpstr>
      <vt:lpstr>(21)</vt:lpstr>
      <vt:lpstr>04,21 R1</vt:lpstr>
      <vt:lpstr>04,21 R2</vt:lpstr>
      <vt:lpstr>04,21 R3</vt:lpstr>
      <vt:lpstr>(22)</vt:lpstr>
      <vt:lpstr>04,22 R1</vt:lpstr>
      <vt:lpstr>04,22 R2</vt:lpstr>
      <vt:lpstr>04,22 R3</vt:lpstr>
      <vt:lpstr>(23)</vt:lpstr>
      <vt:lpstr>04,23 R1</vt:lpstr>
      <vt:lpstr>04,23 R2</vt:lpstr>
      <vt:lpstr>04,23 R3</vt:lpstr>
      <vt:lpstr>(24)</vt:lpstr>
      <vt:lpstr>04,24 R1</vt:lpstr>
      <vt:lpstr>04,24 R2</vt:lpstr>
      <vt:lpstr>04,24 R3</vt:lpstr>
      <vt:lpstr>(27)</vt:lpstr>
      <vt:lpstr>04,27 R1</vt:lpstr>
      <vt:lpstr>04,27 R2</vt:lpstr>
      <vt:lpstr>04,27 R3</vt:lpstr>
      <vt:lpstr>'(01)'!Print_Area</vt:lpstr>
      <vt:lpstr>'(10)'!Print_Area</vt:lpstr>
      <vt:lpstr>'(11)'!Print_Area</vt:lpstr>
      <vt:lpstr>'(13)'!Print_Area</vt:lpstr>
      <vt:lpstr>'(14)'!Print_Area</vt:lpstr>
      <vt:lpstr>'(15)'!Print_Area</vt:lpstr>
      <vt:lpstr>'(16)'!Print_Area</vt:lpstr>
      <vt:lpstr>'(17)'!Print_Area</vt:lpstr>
      <vt:lpstr>'(2)'!Print_Area</vt:lpstr>
      <vt:lpstr>'(20)'!Print_Area</vt:lpstr>
      <vt:lpstr>'(21)'!Print_Area</vt:lpstr>
      <vt:lpstr>'(22)'!Print_Area</vt:lpstr>
      <vt:lpstr>'(23)'!Print_Area</vt:lpstr>
      <vt:lpstr>'(24)'!Print_Area</vt:lpstr>
      <vt:lpstr>'(27)'!Print_Area</vt:lpstr>
      <vt:lpstr>'(3) NO TRIP'!Print_Area</vt:lpstr>
      <vt:lpstr>'(4)'!Print_Area</vt:lpstr>
      <vt:lpstr>'(6)'!Print_Area</vt:lpstr>
      <vt:lpstr>'(7)'!Print_Area</vt:lpstr>
      <vt:lpstr>'(8)'!Print_Area</vt:lpstr>
      <vt:lpstr>'(9)'!Print_Area</vt:lpstr>
      <vt:lpstr>'01,04 R1 NO TRIP'!Print_Area</vt:lpstr>
      <vt:lpstr>'01,04 R2 NO TRIP'!Print_Area</vt:lpstr>
      <vt:lpstr>'01,04 R3 NO TRIP'!Print_Area</vt:lpstr>
      <vt:lpstr>'01,2 R1'!Print_Area</vt:lpstr>
      <vt:lpstr>'01,2 R2'!Print_Area</vt:lpstr>
      <vt:lpstr>'01,2 R3'!Print_Area</vt:lpstr>
      <vt:lpstr>'01,3 R1 NO TRIP'!Print_Area</vt:lpstr>
      <vt:lpstr>'01,3 R2 NO TRIP'!Print_Area</vt:lpstr>
      <vt:lpstr>'01,3 R3 NO TRIP'!Print_Area</vt:lpstr>
      <vt:lpstr>'01,4 R1'!Print_Area</vt:lpstr>
      <vt:lpstr>'01,4 R2'!Print_Area</vt:lpstr>
      <vt:lpstr>'01,4 R3'!Print_Area</vt:lpstr>
      <vt:lpstr>'04,06 R1'!Print_Area</vt:lpstr>
      <vt:lpstr>'04,06 R2'!Print_Area</vt:lpstr>
      <vt:lpstr>'04,06 R3'!Print_Area</vt:lpstr>
      <vt:lpstr>'04,07 R1'!Print_Area</vt:lpstr>
      <vt:lpstr>'04,07 R2'!Print_Area</vt:lpstr>
      <vt:lpstr>'04,07 R3'!Print_Area</vt:lpstr>
      <vt:lpstr>'04,08 R1'!Print_Area</vt:lpstr>
      <vt:lpstr>'04,08 R2'!Print_Area</vt:lpstr>
      <vt:lpstr>'04,08 R3'!Print_Area</vt:lpstr>
      <vt:lpstr>'04,09 R1'!Print_Area</vt:lpstr>
      <vt:lpstr>'04,09 R2'!Print_Area</vt:lpstr>
      <vt:lpstr>'04,09 R3'!Print_Area</vt:lpstr>
      <vt:lpstr>'04,10 R1'!Print_Area</vt:lpstr>
      <vt:lpstr>'04,10 R2'!Print_Area</vt:lpstr>
      <vt:lpstr>'04,10 R3 NO TRIP'!Print_Area</vt:lpstr>
      <vt:lpstr>'04,11 R1 NO TRIP'!Print_Area</vt:lpstr>
      <vt:lpstr>'04,11 R2 NO TRIP'!Print_Area</vt:lpstr>
      <vt:lpstr>'04,11 R3 NO TRIP'!Print_Area</vt:lpstr>
      <vt:lpstr>'04,13 R1'!Print_Area</vt:lpstr>
      <vt:lpstr>'04,13 R2'!Print_Area</vt:lpstr>
      <vt:lpstr>'04,13 R3'!Print_Area</vt:lpstr>
      <vt:lpstr>'04,14 R1'!Print_Area</vt:lpstr>
      <vt:lpstr>'04,14 R2'!Print_Area</vt:lpstr>
      <vt:lpstr>'04,14 R3'!Print_Area</vt:lpstr>
      <vt:lpstr>'04,15 R1'!Print_Area</vt:lpstr>
      <vt:lpstr>'04,15 R2'!Print_Area</vt:lpstr>
      <vt:lpstr>'04,15 R3'!Print_Area</vt:lpstr>
      <vt:lpstr>'04,16 R1'!Print_Area</vt:lpstr>
      <vt:lpstr>'04,16 R2'!Print_Area</vt:lpstr>
      <vt:lpstr>'04,16 R3'!Print_Area</vt:lpstr>
      <vt:lpstr>'04,17 R1 NO TRIP'!Print_Area</vt:lpstr>
      <vt:lpstr>'04,17 R2 '!Print_Area</vt:lpstr>
      <vt:lpstr>'04,17 R3'!Print_Area</vt:lpstr>
      <vt:lpstr>'04,20 R1'!Print_Area</vt:lpstr>
      <vt:lpstr>'04,20 R2'!Print_Area</vt:lpstr>
      <vt:lpstr>'04,20 R3'!Print_Area</vt:lpstr>
      <vt:lpstr>'04,21 R1'!Print_Area</vt:lpstr>
      <vt:lpstr>'04,21 R2'!Print_Area</vt:lpstr>
      <vt:lpstr>'04,21 R3'!Print_Area</vt:lpstr>
      <vt:lpstr>'04,22 R1'!Print_Area</vt:lpstr>
      <vt:lpstr>'04,22 R2'!Print_Area</vt:lpstr>
      <vt:lpstr>'04,22 R3'!Print_Area</vt:lpstr>
      <vt:lpstr>'04,23 R1'!Print_Area</vt:lpstr>
      <vt:lpstr>'04,23 R2'!Print_Area</vt:lpstr>
      <vt:lpstr>'04,23 R3'!Print_Area</vt:lpstr>
      <vt:lpstr>'04,24 R1'!Print_Area</vt:lpstr>
      <vt:lpstr>'04,24 R2'!Print_Area</vt:lpstr>
      <vt:lpstr>'04,24 R3'!Print_Area</vt:lpstr>
      <vt:lpstr>'04,27 R1'!Print_Area</vt:lpstr>
      <vt:lpstr>'04,27 R2'!Print_Area</vt:lpstr>
      <vt:lpstr>'04,27 R3'!Print_Area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User</dc:creator>
  <cp:lastModifiedBy>User</cp:lastModifiedBy>
  <cp:lastPrinted>2026-04-18T00:04:45Z</cp:lastPrinted>
  <dcterms:created xsi:type="dcterms:W3CDTF">2024-09-01T23:36:50Z</dcterms:created>
  <dcterms:modified xsi:type="dcterms:W3CDTF">2026-04-20T02:06:19Z</dcterms:modified>
</cp:coreProperties>
</file>