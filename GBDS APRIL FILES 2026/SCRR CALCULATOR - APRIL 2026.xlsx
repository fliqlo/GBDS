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FD2C781-7835-4D70-A5CF-A8D140472BC0}" xr6:coauthVersionLast="45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" sheetId="1946" r:id="rId10"/>
    <sheet name="01,3 R1" sheetId="1947" r:id="rId11"/>
    <sheet name="01,3 R2" sheetId="1948" r:id="rId12"/>
    <sheet name="01,3 R3" sheetId="1949" r:id="rId13"/>
    <sheet name="(4)" sheetId="1950" r:id="rId14"/>
    <sheet name="01,04 R1" sheetId="1951" r:id="rId15"/>
    <sheet name="01,04 R2" sheetId="1952" r:id="rId16"/>
    <sheet name="01,04 R3" sheetId="1953" r:id="rId17"/>
    <sheet name="(6)" sheetId="1954" r:id="rId18"/>
    <sheet name="01,06 R1" sheetId="1955" r:id="rId19"/>
    <sheet name="01,06 R2" sheetId="1956" r:id="rId20"/>
    <sheet name="01,06 R3" sheetId="1957" r:id="rId21"/>
  </sheets>
  <definedNames>
    <definedName name="_xlnm.Print_Area" localSheetId="1">'(01)'!$A$1:$J$60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14">'01,04 R1'!$A$1:$J$60</definedName>
    <definedName name="_xlnm.Print_Area" localSheetId="15">'01,04 R2'!$A$1:$J$60</definedName>
    <definedName name="_xlnm.Print_Area" localSheetId="16">'01,04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R1'!$A$1:$J$60</definedName>
    <definedName name="_xlnm.Print_Area" localSheetId="11">'01,3 R2'!$A$1:$J$60</definedName>
    <definedName name="_xlnm.Print_Area" localSheetId="12">'01,3 R3'!$A$1:$J$60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941" l="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G49" i="1957" s="1"/>
  <c r="D34" i="1957"/>
  <c r="D54" i="1957" s="1"/>
  <c r="H14" i="1957" s="1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G49" i="1956" s="1"/>
  <c r="D34" i="1956"/>
  <c r="D54" i="1956" s="1"/>
  <c r="H14" i="1956" s="1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G49" i="1955" s="1"/>
  <c r="D34" i="1955"/>
  <c r="D54" i="1955" s="1"/>
  <c r="H14" i="1955" s="1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D54" i="1945"/>
  <c r="H14" i="1945" s="1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G49" i="1945" s="1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G49" i="1944" s="1"/>
  <c r="D34" i="1944"/>
  <c r="D54" i="1944" s="1"/>
  <c r="H14" i="1944" s="1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D29" i="1944" s="1"/>
  <c r="H13" i="1944" s="1"/>
  <c r="H15" i="1944" s="1"/>
  <c r="H29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G49" i="1943" s="1"/>
  <c r="D36" i="1943"/>
  <c r="D54" i="1943" s="1"/>
  <c r="H14" i="1943" s="1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D29" i="1957" l="1"/>
  <c r="H13" i="1957" s="1"/>
  <c r="H15" i="1957" s="1"/>
  <c r="H29" i="1957" s="1"/>
  <c r="G51" i="1957"/>
  <c r="D29" i="1956"/>
  <c r="H13" i="1956" s="1"/>
  <c r="H15" i="1956" s="1"/>
  <c r="H29" i="1956" s="1"/>
  <c r="G51" i="1956"/>
  <c r="D29" i="1955"/>
  <c r="H13" i="1955" s="1"/>
  <c r="H15" i="1955" s="1"/>
  <c r="H29" i="1955" s="1"/>
  <c r="G51" i="1955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H15" i="1945" s="1"/>
  <c r="H29" i="1945" s="1"/>
  <c r="G51" i="1945" s="1"/>
  <c r="G51" i="1944"/>
  <c r="G51" i="1943"/>
  <c r="D29" i="1943"/>
  <c r="H13" i="1943" s="1"/>
  <c r="H15" i="1943" s="1"/>
  <c r="H29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G49" i="1941" l="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<sst xmlns="http://schemas.openxmlformats.org/spreadsheetml/2006/main" count="2696" uniqueCount="141">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</sst>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9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86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46113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644</v>
      </c>
      <c r="D6" s="13">
        <f t="shared" ref="D6:D28" si="1">C6*L6</f>
        <v>490084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</v>
      </c>
      <c r="D7" s="13">
        <f t="shared" si="1"/>
        <v>2343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120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71</v>
      </c>
      <c r="D9" s="13">
        <f t="shared" si="1"/>
        <v>52043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206" t="s">
        <v>26</v>
      </c>
      <c r="G10" s="221" t="s">
        <v>124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227" t="s">
        <v>36</v>
      </c>
      <c r="G13" s="191"/>
      <c r="H13" s="182">
        <f>D29</f>
        <v>554839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85" t="s">
        <v>38</v>
      </c>
      <c r="G14" s="186"/>
      <c r="H14" s="187">
        <f>D54</f>
        <v>79868.25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90" t="s">
        <v>39</v>
      </c>
      <c r="G15" s="191"/>
      <c r="H15" s="192">
        <f>H13-H14</f>
        <v>474970.75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68">
        <v>92259</v>
      </c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38">
        <v>94558</v>
      </c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86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5</v>
      </c>
      <c r="D28" s="48">
        <f t="shared" si="1"/>
        <v>4055</v>
      </c>
      <c r="F28" s="89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554839</v>
      </c>
      <c r="F29" s="99" t="s">
        <v>54</v>
      </c>
      <c r="G29" s="161"/>
      <c r="H29" s="121">
        <f>H15-H16-H17-H18-H19-H20-H22-H23-H24+H26+H27+H28</f>
        <v>477269.75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43">
        <f t="shared" ref="H34:H39" si="2">F34*G34</f>
        <v>273000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3">
        <f t="shared" si="2"/>
        <v>200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43">
        <f t="shared" si="2"/>
        <v>1600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43">
        <f t="shared" si="2"/>
        <v>300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3">
        <f t="shared" si="2"/>
        <v>20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43">
        <v>70</v>
      </c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86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>
        <v>4</v>
      </c>
      <c r="D44" s="12">
        <f>C44*120</f>
        <v>480</v>
      </c>
      <c r="F44" s="37" t="s">
        <v>131</v>
      </c>
      <c r="G44" s="240" t="s">
        <v>132</v>
      </c>
      <c r="H44" s="138">
        <v>73932</v>
      </c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38">
        <v>20000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38">
        <v>13540</v>
      </c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37" t="s">
        <v>133</v>
      </c>
      <c r="G47" s="83" t="s">
        <v>134</v>
      </c>
      <c r="H47" s="138">
        <v>94558</v>
      </c>
      <c r="I47" s="138"/>
      <c r="J47" s="13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H34+H35+H36+H37+H38+H39+H40+H41+G42+H44+H45+H46+H47</f>
        <v>477220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-49.75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46113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339</v>
      </c>
      <c r="D6" s="13">
        <f t="shared" ref="D6:D28" si="1">C6*L6</f>
        <v>257979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13</v>
      </c>
      <c r="D7" s="13">
        <f t="shared" si="1"/>
        <v>10153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70</v>
      </c>
      <c r="D8" s="13">
        <f t="shared" si="1"/>
        <v>76510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</v>
      </c>
      <c r="D9" s="13">
        <f t="shared" si="1"/>
        <v>1466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3</v>
      </c>
      <c r="D11" s="13">
        <f t="shared" si="1"/>
        <v>3510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227" t="s">
        <v>36</v>
      </c>
      <c r="G13" s="191"/>
      <c r="H13" s="182">
        <f>D29</f>
        <v>356469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85" t="s">
        <v>38</v>
      </c>
      <c r="G14" s="186"/>
      <c r="H14" s="187">
        <f>D54</f>
        <v>50412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306057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>
        <f>1356</f>
        <v>1356</v>
      </c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>
        <v>12</v>
      </c>
      <c r="D24" s="48">
        <f t="shared" si="1"/>
        <v>454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356469</v>
      </c>
      <c r="F29" s="99" t="s">
        <v>54</v>
      </c>
      <c r="G29" s="161"/>
      <c r="H29" s="121">
        <f>H15-H16-H17-H18-H19-H20-H22-H23-H24+H26+H27</f>
        <v>304701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43">
        <f>F34*G34</f>
        <v>145000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43">
        <f t="shared" ref="H35:H39" si="2">F35*G35</f>
        <v>9500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43">
        <f>F36*G36</f>
        <v>200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43">
        <f t="shared" si="2"/>
        <v>200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>
        <v>73</v>
      </c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86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>
        <v>83</v>
      </c>
      <c r="D44" s="12">
        <f>C44*120</f>
        <v>9960</v>
      </c>
      <c r="F44" s="37" t="s">
        <v>131</v>
      </c>
      <c r="G44" s="240" t="s">
        <v>136</v>
      </c>
      <c r="H44" s="138">
        <v>149988</v>
      </c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87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>
        <v>6</v>
      </c>
      <c r="D49" s="12">
        <f>C49*42</f>
        <v>252</v>
      </c>
      <c r="F49" s="119" t="s">
        <v>85</v>
      </c>
      <c r="G49" s="121">
        <f>H34+H35+H36+H37+H38+H39+H40+H41+G42+H44+H45+H46</f>
        <v>304961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112</v>
      </c>
      <c r="G51" s="129">
        <f>G49-H29</f>
        <v>260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46113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482</v>
      </c>
      <c r="D6" s="13">
        <f t="shared" ref="D6:D28" si="1">C6*L6</f>
        <v>366802</v>
      </c>
      <c r="F6" s="206" t="s">
        <v>16</v>
      </c>
      <c r="G6" s="208" t="s">
        <v>117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17</v>
      </c>
      <c r="D7" s="13">
        <f t="shared" si="1"/>
        <v>13277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214" t="s">
        <v>21</v>
      </c>
      <c r="G8" s="215" t="s">
        <v>110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2340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</f>
        <v>3</v>
      </c>
      <c r="D12" s="48">
        <f t="shared" si="1"/>
        <v>2976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21</v>
      </c>
      <c r="D13" s="48">
        <f t="shared" si="1"/>
        <v>6447</v>
      </c>
      <c r="F13" s="227" t="s">
        <v>36</v>
      </c>
      <c r="G13" s="191"/>
      <c r="H13" s="182">
        <f>D29</f>
        <v>419925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85" t="s">
        <v>38</v>
      </c>
      <c r="G14" s="186"/>
      <c r="H14" s="187">
        <f>D54</f>
        <v>66984.75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352940.25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>
        <f>648+738+840</f>
        <v>2226</v>
      </c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419925</v>
      </c>
      <c r="F29" s="99" t="s">
        <v>54</v>
      </c>
      <c r="G29" s="161"/>
      <c r="H29" s="121">
        <f>H15-H16-H17-H18-H19-H20-H22-H23-H24+H26+H27</f>
        <v>350714.25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43">
        <f>F34*G34</f>
        <v>123000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43">
        <f>F35*G35</f>
        <v>56000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43">
        <f t="shared" si="2"/>
        <v>10700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43">
        <f t="shared" si="2"/>
        <v>150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43">
        <f t="shared" si="2"/>
        <v>40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43">
        <v>710</v>
      </c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86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38">
        <v>93138.5</v>
      </c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>
        <v>4</v>
      </c>
      <c r="D45" s="12">
        <f>C45*84</f>
        <v>336</v>
      </c>
      <c r="F45" s="241" t="s">
        <v>138</v>
      </c>
      <c r="G45" s="62" t="s">
        <v>140</v>
      </c>
      <c r="H45" s="138">
        <v>66764</v>
      </c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>
        <v>19</v>
      </c>
      <c r="D46" s="12">
        <f>C46*1.5</f>
        <v>28.5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350502.5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>
        <v>39</v>
      </c>
      <c r="D50" s="12">
        <f>C50*1.5</f>
        <v>58.5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-211.75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46114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120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138"/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H15-H16-H17-H18-H19-H20-H22-H23-H24+H26+H27+H28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83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46114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112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46114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115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46115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120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138"/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H15-H16-H17-H18-H19-H20-H22-H23-H24+H26+H27+H28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83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46115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112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46115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115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46116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120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138"/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H15-H16-H17-H18-H19-H20-H22-H23-H24+H26+H27+H28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83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46116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112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46116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115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6" t="s">
        <v>7</v>
      </c>
      <c r="B4" s="147"/>
      <c r="C4" s="147"/>
      <c r="D4" s="148"/>
      <c r="F4" s="196" t="s">
        <v>8</v>
      </c>
      <c r="G4" s="198"/>
      <c r="H4" s="200" t="s">
        <v>9</v>
      </c>
      <c r="I4" s="202"/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206" t="s">
        <v>16</v>
      </c>
      <c r="G6" s="208"/>
      <c r="H6" s="209"/>
      <c r="I6" s="209"/>
      <c r="J6" s="21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214" t="s">
        <v>21</v>
      </c>
      <c r="G8" s="215"/>
      <c r="H8" s="216"/>
      <c r="I8" s="216"/>
      <c r="J8" s="21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206" t="s">
        <v>26</v>
      </c>
      <c r="G10" s="221"/>
      <c r="H10" s="222"/>
      <c r="I10" s="222"/>
      <c r="J10" s="223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169"/>
      <c r="I24" s="138"/>
      <c r="J24" s="13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176"/>
      <c r="I27" s="177"/>
      <c r="J27" s="17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179"/>
      <c r="I28" s="180"/>
      <c r="J28" s="18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/>
      <c r="I34" s="144"/>
      <c r="J34" s="14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/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/>
      <c r="I36" s="144"/>
      <c r="J36" s="14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/>
      <c r="I37" s="144"/>
      <c r="J37" s="14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/>
      <c r="I38" s="144"/>
      <c r="J38" s="14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/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P43" s="4"/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P44" s="4"/>
      <c r="Q44" s="4"/>
      <c r="R44" s="5"/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P50" s="4"/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106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1</v>
      </c>
      <c r="H4" s="200" t="s">
        <v>9</v>
      </c>
      <c r="I4" s="202">
        <v>46118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99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120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124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34"/>
      <c r="I23" s="235"/>
      <c r="J23" s="23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34"/>
      <c r="I24" s="235"/>
      <c r="J24" s="23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138"/>
      <c r="I26" s="138"/>
      <c r="J26" s="13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36"/>
      <c r="I27" s="237"/>
      <c r="J27" s="23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H15-H16-H17-H18-H19-H20-H22-H23-H24+H26+H27+H28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3">
        <f t="shared" ref="H34:H39" si="2"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si="2"/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si="2"/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83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8"/>
      <c r="I46" s="138"/>
      <c r="J46" s="138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109</v>
      </c>
      <c r="G51" s="228">
        <f>G49-H29</f>
        <v>0</v>
      </c>
      <c r="H51" s="229"/>
      <c r="I51" s="229"/>
      <c r="J51" s="23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231"/>
      <c r="H52" s="232"/>
      <c r="I52" s="232"/>
      <c r="J52" s="23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2</v>
      </c>
      <c r="H4" s="200" t="s">
        <v>9</v>
      </c>
      <c r="I4" s="202">
        <v>46118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107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100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101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8"/>
      <c r="I19" s="238"/>
      <c r="J19" s="23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 t="shared" ref="H35:H39" si="2"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62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62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94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112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B26" sqref="B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5" t="s">
        <v>1</v>
      </c>
      <c r="O1" s="19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6" t="s">
        <v>7</v>
      </c>
      <c r="B4" s="147"/>
      <c r="C4" s="147"/>
      <c r="D4" s="148"/>
      <c r="F4" s="196" t="s">
        <v>8</v>
      </c>
      <c r="G4" s="198">
        <v>3</v>
      </c>
      <c r="H4" s="200" t="s">
        <v>9</v>
      </c>
      <c r="I4" s="202">
        <v>46118</v>
      </c>
      <c r="J4" s="20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97"/>
      <c r="G5" s="199"/>
      <c r="H5" s="201"/>
      <c r="I5" s="204"/>
      <c r="J5" s="20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206" t="s">
        <v>16</v>
      </c>
      <c r="G6" s="208" t="s">
        <v>117</v>
      </c>
      <c r="H6" s="209"/>
      <c r="I6" s="209"/>
      <c r="J6" s="21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207"/>
      <c r="G7" s="211"/>
      <c r="H7" s="212"/>
      <c r="I7" s="212"/>
      <c r="J7" s="21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214" t="s">
        <v>21</v>
      </c>
      <c r="G8" s="215" t="s">
        <v>110</v>
      </c>
      <c r="H8" s="216"/>
      <c r="I8" s="216"/>
      <c r="J8" s="21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207"/>
      <c r="G9" s="218"/>
      <c r="H9" s="219"/>
      <c r="I9" s="219"/>
      <c r="J9" s="22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206" t="s">
        <v>26</v>
      </c>
      <c r="G10" s="221" t="s">
        <v>108</v>
      </c>
      <c r="H10" s="222"/>
      <c r="I10" s="222"/>
      <c r="J10" s="223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207"/>
      <c r="G11" s="218"/>
      <c r="H11" s="219"/>
      <c r="I11" s="219"/>
      <c r="J11" s="22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224" t="s">
        <v>33</v>
      </c>
      <c r="G12" s="225"/>
      <c r="H12" s="225"/>
      <c r="I12" s="225"/>
      <c r="J12" s="22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227" t="s">
        <v>36</v>
      </c>
      <c r="G13" s="191"/>
      <c r="H13" s="182">
        <f>D29</f>
        <v>0</v>
      </c>
      <c r="I13" s="183"/>
      <c r="J13" s="18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85" t="s">
        <v>38</v>
      </c>
      <c r="G14" s="186"/>
      <c r="H14" s="187">
        <f>D54</f>
        <v>0</v>
      </c>
      <c r="I14" s="188"/>
      <c r="J14" s="18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90" t="s">
        <v>39</v>
      </c>
      <c r="G15" s="191"/>
      <c r="H15" s="192">
        <f>H13-H14</f>
        <v>0</v>
      </c>
      <c r="I15" s="193"/>
      <c r="J15" s="19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2"/>
      <c r="I16" s="152"/>
      <c r="J16" s="15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63"/>
      <c r="I17" s="163"/>
      <c r="J17" s="16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63"/>
      <c r="I18" s="163"/>
      <c r="J18" s="16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39"/>
      <c r="I19" s="239"/>
      <c r="J19" s="23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5" t="s">
        <v>13</v>
      </c>
      <c r="I21" s="166"/>
      <c r="J21" s="16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168"/>
      <c r="I22" s="168"/>
      <c r="J22" s="16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169"/>
      <c r="I23" s="138"/>
      <c r="J23" s="13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169"/>
      <c r="I24" s="138"/>
      <c r="J24" s="13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0" t="s">
        <v>13</v>
      </c>
      <c r="I25" s="171"/>
      <c r="J25" s="17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173"/>
      <c r="I26" s="174"/>
      <c r="J26" s="17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176"/>
      <c r="I27" s="177"/>
      <c r="J27" s="17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179"/>
      <c r="I28" s="180"/>
      <c r="J28" s="18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3" t="s">
        <v>36</v>
      </c>
      <c r="B29" s="154"/>
      <c r="C29" s="155"/>
      <c r="D29" s="159">
        <f>SUM(D6:D28)</f>
        <v>0</v>
      </c>
      <c r="F29" s="99" t="s">
        <v>54</v>
      </c>
      <c r="G29" s="161"/>
      <c r="H29" s="121">
        <f>H15-H16-H17-H18-H19-H20-H22-H23-H24+H26+H27</f>
        <v>0</v>
      </c>
      <c r="I29" s="122"/>
      <c r="J29" s="12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6"/>
      <c r="B30" s="157"/>
      <c r="C30" s="158"/>
      <c r="D30" s="160"/>
      <c r="F30" s="102"/>
      <c r="G30" s="162"/>
      <c r="H30" s="124"/>
      <c r="I30" s="125"/>
      <c r="J30" s="126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6" t="s">
        <v>57</v>
      </c>
      <c r="B32" s="147"/>
      <c r="C32" s="147"/>
      <c r="D32" s="148"/>
      <c r="F32" s="149" t="s">
        <v>58</v>
      </c>
      <c r="G32" s="150"/>
      <c r="H32" s="150"/>
      <c r="I32" s="150"/>
      <c r="J32" s="15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49" t="s">
        <v>13</v>
      </c>
      <c r="I33" s="150"/>
      <c r="J33" s="15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3">
        <f>F34*G34</f>
        <v>0</v>
      </c>
      <c r="I34" s="144"/>
      <c r="J34" s="14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143">
        <f>F35*G35</f>
        <v>0</v>
      </c>
      <c r="I35" s="144"/>
      <c r="J35" s="14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143">
        <f t="shared" ref="H36:H39" si="2">F36*G36</f>
        <v>0</v>
      </c>
      <c r="I36" s="144"/>
      <c r="J36" s="14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3">
        <f t="shared" si="2"/>
        <v>0</v>
      </c>
      <c r="I37" s="144"/>
      <c r="J37" s="14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143">
        <f t="shared" si="2"/>
        <v>0</v>
      </c>
      <c r="I38" s="144"/>
      <c r="J38" s="14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143">
        <f t="shared" si="2"/>
        <v>0</v>
      </c>
      <c r="I39" s="144"/>
      <c r="J39" s="14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3"/>
      <c r="I40" s="144"/>
      <c r="J40" s="14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143"/>
      <c r="I41" s="144"/>
      <c r="J41" s="14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143"/>
      <c r="H42" s="144"/>
      <c r="I42" s="144"/>
      <c r="J42" s="14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3" t="s">
        <v>80</v>
      </c>
      <c r="C43" s="11"/>
      <c r="D43" s="12"/>
      <c r="F43" s="59" t="s">
        <v>81</v>
      </c>
      <c r="G43" s="95" t="s">
        <v>82</v>
      </c>
      <c r="H43" s="135" t="s">
        <v>13</v>
      </c>
      <c r="I43" s="136"/>
      <c r="J43" s="13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4"/>
      <c r="B44" s="27" t="s">
        <v>65</v>
      </c>
      <c r="C44" s="10"/>
      <c r="D44" s="12">
        <f>C44*120</f>
        <v>0</v>
      </c>
      <c r="F44" s="37"/>
      <c r="G44" s="76"/>
      <c r="H44" s="138"/>
      <c r="I44" s="138"/>
      <c r="J44" s="13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4"/>
      <c r="B45" s="27" t="s">
        <v>67</v>
      </c>
      <c r="C45" s="33"/>
      <c r="D45" s="12">
        <f>C45*84</f>
        <v>0</v>
      </c>
      <c r="F45" s="37"/>
      <c r="G45" s="76"/>
      <c r="H45" s="138"/>
      <c r="I45" s="138"/>
      <c r="J45" s="138"/>
      <c r="K45" s="21"/>
      <c r="P45" s="4"/>
      <c r="Q45" s="4"/>
      <c r="R45" s="5"/>
    </row>
    <row r="46" spans="1:18" ht="15.75" x14ac:dyDescent="0.25">
      <c r="A46" s="114"/>
      <c r="B46" s="49" t="s">
        <v>69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5"/>
      <c r="B47" s="27"/>
      <c r="C47" s="11"/>
      <c r="D47" s="12"/>
      <c r="F47" s="59"/>
      <c r="G47" s="59"/>
      <c r="H47" s="116"/>
      <c r="I47" s="117"/>
      <c r="J47" s="118"/>
      <c r="K47" s="21"/>
      <c r="P47" s="4"/>
      <c r="Q47" s="4"/>
      <c r="R47" s="5"/>
    </row>
    <row r="48" spans="1:18" ht="15" customHeight="1" x14ac:dyDescent="0.25">
      <c r="A48" s="113" t="s">
        <v>32</v>
      </c>
      <c r="B48" s="27" t="s">
        <v>65</v>
      </c>
      <c r="C48" s="10"/>
      <c r="D48" s="12">
        <f>C48*78</f>
        <v>0</v>
      </c>
      <c r="F48" s="59"/>
      <c r="G48" s="59"/>
      <c r="H48" s="116"/>
      <c r="I48" s="117"/>
      <c r="J48" s="11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4"/>
      <c r="B49" s="29" t="s">
        <v>67</v>
      </c>
      <c r="C49" s="33"/>
      <c r="D49" s="12">
        <f>C49*42</f>
        <v>0</v>
      </c>
      <c r="F49" s="119" t="s">
        <v>85</v>
      </c>
      <c r="G49" s="121">
        <f>H34+H35+H36+H37+H38+H39+H40+H41+G42+H44+H45+H46</f>
        <v>0</v>
      </c>
      <c r="H49" s="122"/>
      <c r="I49" s="122"/>
      <c r="J49" s="12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4"/>
      <c r="B50" s="32" t="s">
        <v>69</v>
      </c>
      <c r="C50" s="11"/>
      <c r="D50" s="12">
        <f>C50*1.5</f>
        <v>0</v>
      </c>
      <c r="F50" s="120"/>
      <c r="G50" s="124"/>
      <c r="H50" s="125"/>
      <c r="I50" s="125"/>
      <c r="J50" s="126"/>
      <c r="O50" t="s">
        <v>114</v>
      </c>
      <c r="P50" s="4">
        <v>1204</v>
      </c>
      <c r="Q50" s="4"/>
      <c r="R50" s="5"/>
    </row>
    <row r="51" spans="1:18" ht="15" customHeight="1" x14ac:dyDescent="0.25">
      <c r="A51" s="114"/>
      <c r="B51" s="27"/>
      <c r="C51" s="10"/>
      <c r="D51" s="31"/>
      <c r="F51" s="127" t="s">
        <v>115</v>
      </c>
      <c r="G51" s="129">
        <f>G49-H29</f>
        <v>0</v>
      </c>
      <c r="H51" s="130"/>
      <c r="I51" s="130"/>
      <c r="J51" s="13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4"/>
      <c r="B52" s="29"/>
      <c r="C52" s="33"/>
      <c r="D52" s="45"/>
      <c r="F52" s="128"/>
      <c r="G52" s="132"/>
      <c r="H52" s="133"/>
      <c r="I52" s="133"/>
      <c r="J52" s="13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99" t="s">
        <v>89</v>
      </c>
      <c r="B54" s="100"/>
      <c r="C54" s="101"/>
      <c r="D54" s="10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2"/>
      <c r="B55" s="103"/>
      <c r="C55" s="104"/>
      <c r="D55" s="10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7" t="s">
        <v>90</v>
      </c>
      <c r="B58" s="108"/>
      <c r="C58" s="108"/>
      <c r="D58" s="109"/>
      <c r="F58" s="107" t="s">
        <v>91</v>
      </c>
      <c r="G58" s="108"/>
      <c r="H58" s="108"/>
      <c r="I58" s="108"/>
      <c r="J58" s="109"/>
    </row>
    <row r="59" spans="1:18" x14ac:dyDescent="0.25">
      <c r="A59" s="110"/>
      <c r="B59" s="111"/>
      <c r="C59" s="111"/>
      <c r="D59" s="112"/>
      <c r="F59" s="110"/>
      <c r="G59" s="111"/>
      <c r="H59" s="111"/>
      <c r="I59" s="111"/>
      <c r="J59" s="11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20</vt:i4>
      </vt:variant>
    </vt:vector>
  </HeadingPairs>
  <TitlesOfParts>
    <vt:vector size="4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</vt:lpstr>
      <vt:lpstr>01,3 R1</vt:lpstr>
      <vt:lpstr>01,3 R2</vt:lpstr>
      <vt:lpstr>01,3 R3</vt:lpstr>
      <vt:lpstr>(4)</vt:lpstr>
      <vt:lpstr>01,04 R1</vt:lpstr>
      <vt:lpstr>01,04 R2</vt:lpstr>
      <vt:lpstr>01,04 R3</vt:lpstr>
      <vt:lpstr>(6)</vt:lpstr>
      <vt:lpstr>01,06 R1</vt:lpstr>
      <vt:lpstr>01,06 R2</vt:lpstr>
      <vt:lpstr>01,06 R3</vt:lpstr>
      <vt:lpstr>'(01)'!Print_Area</vt:lpstr>
      <vt:lpstr>'(2)'!Print_Area</vt:lpstr>
      <vt:lpstr>'(3)'!Print_Area</vt:lpstr>
      <vt:lpstr>'(4)'!Print_Area</vt:lpstr>
      <vt:lpstr>'(6)'!Print_Area</vt:lpstr>
      <vt:lpstr>'01,04 R1'!Print_Area</vt:lpstr>
      <vt:lpstr>'01,04 R2'!Print_Area</vt:lpstr>
      <vt:lpstr>'01,04 R3'!Print_Area</vt:lpstr>
      <vt:lpstr>'01,06 R1'!Print_Area</vt:lpstr>
      <vt:lpstr>'01,06 R2'!Print_Area</vt:lpstr>
      <vt:lpstr>'01,06 R3'!Print_Area</vt:lpstr>
      <vt:lpstr>'01,2 R1'!Print_Area</vt:lpstr>
      <vt:lpstr>'01,2 R2'!Print_Area</vt:lpstr>
      <vt:lpstr>'01,2 R3'!Print_Area</vt:lpstr>
      <vt:lpstr>'01,3 R1'!Print_Area</vt:lpstr>
      <vt:lpstr>'01,3 R2'!Print_Area</vt:lpstr>
      <vt:lpstr>'01,3 R3'!Print_Area</vt:lpstr>
      <vt:lpstr>'01,4 R1'!Print_Area</vt:lpstr>
      <vt:lpstr>'01,4 R2'!Print_Area</vt:lpstr>
      <vt:lpstr>'01,4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2026-04-02T00:16:35Z</cp:lastPrinted>
  <dcterms:created xsi:type="dcterms:W3CDTF">2024-09-01T23:36:50Z</dcterms:created>
  <dcterms:modified xsi:type="dcterms:W3CDTF">2026-04-02T00:29:24Z</dcterms:modified>
</cp:coreProperties>
</file>