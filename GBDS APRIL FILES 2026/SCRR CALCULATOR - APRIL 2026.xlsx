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D95B931A-CB71-479F-A7B2-EA420EA699AD}" xr6:coauthVersionLast="45" xr6:coauthVersionMax="47" xr10:uidLastSave="{00000000-0000-0000-0000-000000000000}"/>
  <bookViews>
    <workbookView xWindow="-120" yWindow="-120" windowWidth="29040" windowHeight="15840" firstSheet="44" activeTab="50" xr2:uid="{00000000-000D-0000-FFFF-FFFF00000000}"/>
  </bookViews>
  <sheets>
    <sheet name="(APRIL 2026)" sheetId="814" r:id="rId1"/>
    <sheet name="(01)" sheetId="1938" r:id="rId2"/>
    <sheet name="01,4 R1" sheetId="1939" r:id="rId3"/>
    <sheet name="01,4 R2" sheetId="1940" r:id="rId4"/>
    <sheet name="01,4 R3" sheetId="1941" r:id="rId5"/>
    <sheet name="(2)" sheetId="1942" r:id="rId6"/>
    <sheet name="01,2 R1" sheetId="1943" r:id="rId7"/>
    <sheet name="01,2 R2" sheetId="1944" r:id="rId8"/>
    <sheet name="01,2 R3" sheetId="1945" r:id="rId9"/>
    <sheet name="(3) NO TRIP" sheetId="1946" r:id="rId10"/>
    <sheet name="01,3 R1 NO TRIP" sheetId="1947" r:id="rId11"/>
    <sheet name="01,3 R2 NO TRIP" sheetId="1948" r:id="rId12"/>
    <sheet name="01,3 R3 NO TRIP" sheetId="1949" r:id="rId13"/>
    <sheet name="(4)" sheetId="1950" r:id="rId14"/>
    <sheet name="01,04 R1 NO TRIP" sheetId="1951" r:id="rId15"/>
    <sheet name="01,04 R2 NO TRIP" sheetId="1952" r:id="rId16"/>
    <sheet name="01,04 R3 NO TRIP" sheetId="1953" r:id="rId17"/>
    <sheet name="(6)" sheetId="1954" r:id="rId18"/>
    <sheet name="04,06 R1" sheetId="1955" r:id="rId19"/>
    <sheet name="04,06 R2" sheetId="1956" r:id="rId20"/>
    <sheet name="04,06 R3" sheetId="1957" r:id="rId21"/>
    <sheet name="(7)" sheetId="1958" r:id="rId22"/>
    <sheet name="04,07 R1" sheetId="1959" r:id="rId23"/>
    <sheet name="04,07 R2" sheetId="1960" r:id="rId24"/>
    <sheet name="04,07 R3" sheetId="1974" r:id="rId25"/>
    <sheet name="(8)" sheetId="1962" r:id="rId26"/>
    <sheet name="04,08 R1" sheetId="1963" r:id="rId27"/>
    <sheet name="04,08 R2" sheetId="1964" r:id="rId28"/>
    <sheet name="04,08 R3" sheetId="1975" r:id="rId29"/>
    <sheet name="(9)" sheetId="1966" r:id="rId30"/>
    <sheet name="04,09 R1" sheetId="1967" r:id="rId31"/>
    <sheet name="04,09 R2" sheetId="1968" r:id="rId32"/>
    <sheet name="04,09 R3" sheetId="1976" r:id="rId33"/>
    <sheet name="(10)" sheetId="1970" r:id="rId34"/>
    <sheet name="04,10 R1" sheetId="1971" r:id="rId35"/>
    <sheet name="04,10 R2" sheetId="1972" r:id="rId36"/>
    <sheet name="04,10 R3 NO TRIP" sheetId="1977" r:id="rId37"/>
    <sheet name="(11)" sheetId="1978" r:id="rId38"/>
    <sheet name="04,11 R1 NO TRIP" sheetId="1979" r:id="rId39"/>
    <sheet name="04,11 R2 NO TRIP" sheetId="1980" r:id="rId40"/>
    <sheet name="04,11 R3 NO TRIP" sheetId="1981" r:id="rId41"/>
    <sheet name="(13)" sheetId="1982" r:id="rId42"/>
    <sheet name="04,13 R1" sheetId="1983" r:id="rId43"/>
    <sheet name="04,13 R2" sheetId="1984" r:id="rId44"/>
    <sheet name="04,13 R3" sheetId="1985" r:id="rId45"/>
    <sheet name="(14)" sheetId="1986" r:id="rId46"/>
    <sheet name="04,14 R1" sheetId="1987" r:id="rId47"/>
    <sheet name="04,14 R2" sheetId="1988" r:id="rId48"/>
    <sheet name="04,14 R3" sheetId="1989" r:id="rId49"/>
    <sheet name="(15)" sheetId="1990" r:id="rId50"/>
    <sheet name="04,15 R1" sheetId="1991" r:id="rId51"/>
    <sheet name="04,15 R2" sheetId="1992" r:id="rId52"/>
    <sheet name="04,15 R3" sheetId="1993" r:id="rId53"/>
    <sheet name="(16)" sheetId="1994" r:id="rId54"/>
    <sheet name="04,16 R1" sheetId="1995" r:id="rId55"/>
    <sheet name="04,16 R2" sheetId="1996" r:id="rId56"/>
    <sheet name="04,16 R3" sheetId="1997" r:id="rId57"/>
    <sheet name="(17)" sheetId="1998" r:id="rId58"/>
    <sheet name="04,17 R1" sheetId="1999" r:id="rId59"/>
    <sheet name="04,17 R2 " sheetId="2000" r:id="rId60"/>
    <sheet name="04,17 R3" sheetId="2001" r:id="rId61"/>
    <sheet name="(18)" sheetId="2002" r:id="rId62"/>
    <sheet name="04,18 R1" sheetId="2003" r:id="rId63"/>
    <sheet name="04,18 R2" sheetId="2004" r:id="rId64"/>
    <sheet name="04,18 R3" sheetId="2005" r:id="rId65"/>
    <sheet name="(20)" sheetId="2006" r:id="rId66"/>
    <sheet name="04,20 R1" sheetId="2007" r:id="rId67"/>
    <sheet name="04,20 R2" sheetId="2008" r:id="rId68"/>
    <sheet name="04,20 R3" sheetId="2009" r:id="rId69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'(13)'!$A$1:$J$60</definedName>
    <definedName name="_xlnm.Print_Area" localSheetId="45">'(14)'!$A$1:$J$60</definedName>
    <definedName name="_xlnm.Print_Area" localSheetId="49">'(15)'!$A$1:$J$60</definedName>
    <definedName name="_xlnm.Print_Area" localSheetId="53">'(16)'!$A$1:$J$60</definedName>
    <definedName name="_xlnm.Print_Area" localSheetId="57">'(17)'!$A$1:$J$60</definedName>
    <definedName name="_xlnm.Print_Area" localSheetId="61">'(18)'!$A$1:$J$60</definedName>
    <definedName name="_xlnm.Print_Area" localSheetId="5">'(2)'!$A$1:$J$60</definedName>
    <definedName name="_xlnm.Print_Area" localSheetId="65">'(20)'!$A$1:$J$60</definedName>
    <definedName name="_xlnm.Print_Area" localSheetId="9">'(3) NO TRIP'!$A$1:$J$60</definedName>
    <definedName name="_xlnm.Print_Area" localSheetId="13">'(4)'!$A$1:$J$60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9">'(9)'!$A$1:$J$60</definedName>
    <definedName name="_xlnm.Print_Area" localSheetId="14">'01,04 R1 NO TRIP'!$A$1:$J$60</definedName>
    <definedName name="_xlnm.Print_Area" localSheetId="15">'01,04 R2 NO TRIP'!$A$1:$J$60</definedName>
    <definedName name="_xlnm.Print_Area" localSheetId="16">'01,04 R3 NO TRIP'!$A$1:$J$60</definedName>
    <definedName name="_xlnm.Print_Area" localSheetId="6">'01,2 R1'!$A$1:$J$60</definedName>
    <definedName name="_xlnm.Print_Area" localSheetId="7">'01,2 R2'!$A$1:$J$60</definedName>
    <definedName name="_xlnm.Print_Area" localSheetId="8">'01,2 R3'!$A$1:$J$60</definedName>
    <definedName name="_xlnm.Print_Area" localSheetId="10">'01,3 R1 NO TRIP'!$A$1:$J$60</definedName>
    <definedName name="_xlnm.Print_Area" localSheetId="11">'01,3 R2 NO TRIP'!$A$1:$J$60</definedName>
    <definedName name="_xlnm.Print_Area" localSheetId="12">'01,3 R3 NO TRIP'!$A$1:$J$60</definedName>
    <definedName name="_xlnm.Print_Area" localSheetId="2">'01,4 R1'!$A$1:$J$60</definedName>
    <definedName name="_xlnm.Print_Area" localSheetId="3">'01,4 R2'!$A$1:$J$60</definedName>
    <definedName name="_xlnm.Print_Area" localSheetId="4">'01,4 R3'!$A$1:$J$60</definedName>
    <definedName name="_xlnm.Print_Area" localSheetId="18">'04,06 R1'!$A$1:$J$60</definedName>
    <definedName name="_xlnm.Print_Area" localSheetId="19">'04,06 R2'!$A$1:$J$60</definedName>
    <definedName name="_xlnm.Print_Area" localSheetId="20">'04,06 R3'!$A$1:$J$60</definedName>
    <definedName name="_xlnm.Print_Area" localSheetId="22">'04,07 R1'!$A$1:$J$60</definedName>
    <definedName name="_xlnm.Print_Area" localSheetId="23">'04,07 R2'!$A$1:$J$60</definedName>
    <definedName name="_xlnm.Print_Area" localSheetId="24">'04,07 R3'!$A$1:$J$60</definedName>
    <definedName name="_xlnm.Print_Area" localSheetId="26">'04,08 R1'!$A$1:$J$60</definedName>
    <definedName name="_xlnm.Print_Area" localSheetId="27">'04,08 R2'!$A$1:$J$60</definedName>
    <definedName name="_xlnm.Print_Area" localSheetId="28">'04,08 R3'!$A$1:$J$60</definedName>
    <definedName name="_xlnm.Print_Area" localSheetId="30">'04,09 R1'!$A$1:$J$60</definedName>
    <definedName name="_xlnm.Print_Area" localSheetId="31">'04,09 R2'!$A$1:$J$60</definedName>
    <definedName name="_xlnm.Print_Area" localSheetId="32">'04,09 R3'!$A$1:$J$60</definedName>
    <definedName name="_xlnm.Print_Area" localSheetId="34">'04,10 R1'!$A$1:$J$60</definedName>
    <definedName name="_xlnm.Print_Area" localSheetId="35">'04,10 R2'!$A$1:$J$60</definedName>
    <definedName name="_xlnm.Print_Area" localSheetId="36">'04,10 R3 NO TRIP'!$A$1:$J$60</definedName>
    <definedName name="_xlnm.Print_Area" localSheetId="38">'04,11 R1 NO TRIP'!$A$1:$J$60</definedName>
    <definedName name="_xlnm.Print_Area" localSheetId="39">'04,11 R2 NO TRIP'!$A$1:$J$60</definedName>
    <definedName name="_xlnm.Print_Area" localSheetId="40">'04,11 R3 NO TRIP'!$A$1:$J$60</definedName>
    <definedName name="_xlnm.Print_Area" localSheetId="42">'04,13 R1'!$A$1:$J$60</definedName>
    <definedName name="_xlnm.Print_Area" localSheetId="43">'04,13 R2'!$A$1:$J$60</definedName>
    <definedName name="_xlnm.Print_Area" localSheetId="44">'04,13 R3'!$A$1:$J$60</definedName>
    <definedName name="_xlnm.Print_Area" localSheetId="46">'04,14 R1'!$A$1:$J$60</definedName>
    <definedName name="_xlnm.Print_Area" localSheetId="47">'04,14 R2'!$A$1:$J$60</definedName>
    <definedName name="_xlnm.Print_Area" localSheetId="48">'04,14 R3'!$A$1:$J$60</definedName>
    <definedName name="_xlnm.Print_Area" localSheetId="50">'04,15 R1'!$A$1:$J$60</definedName>
    <definedName name="_xlnm.Print_Area" localSheetId="51">'04,15 R2'!$A$1:$J$60</definedName>
    <definedName name="_xlnm.Print_Area" localSheetId="52">'04,15 R3'!$A$1:$J$60</definedName>
    <definedName name="_xlnm.Print_Area" localSheetId="54">'04,16 R1'!$A$1:$J$60</definedName>
    <definedName name="_xlnm.Print_Area" localSheetId="55">'04,16 R2'!$A$1:$J$60</definedName>
    <definedName name="_xlnm.Print_Area" localSheetId="56">'04,16 R3'!$A$1:$J$60</definedName>
    <definedName name="_xlnm.Print_Area" localSheetId="58">'04,17 R1'!$A$1:$J$60</definedName>
    <definedName name="_xlnm.Print_Area" localSheetId="59">'04,17 R2 '!$A$1:$J$60</definedName>
    <definedName name="_xlnm.Print_Area" localSheetId="60">'04,17 R3'!$A$1:$J$60</definedName>
    <definedName name="_xlnm.Print_Area" localSheetId="62">'04,18 R1'!$A$1:$J$60</definedName>
    <definedName name="_xlnm.Print_Area" localSheetId="63">'04,18 R2'!$A$1:$J$60</definedName>
    <definedName name="_xlnm.Print_Area" localSheetId="64">'04,18 R3'!$A$1:$J$60</definedName>
    <definedName name="_xlnm.Print_Area" localSheetId="66">'04,20 R1'!$A$1:$J$60</definedName>
    <definedName name="_xlnm.Print_Area" localSheetId="67">'04,20 R2'!$A$1:$J$60</definedName>
    <definedName name="_xlnm.Print_Area" localSheetId="68">'04,20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993" l="1"/>
  <c r="H45" i="1993"/>
  <c r="H16" i="1991"/>
  <c r="H45" i="1991"/>
  <c r="C12" i="1993"/>
  <c r="C12" i="1991"/>
  <c r="H16" i="1989" l="1"/>
  <c r="C12" i="1989"/>
  <c r="C15" i="1989"/>
  <c r="C12" i="1987"/>
  <c r="R52" i="2009" l="1"/>
  <c r="R51" i="2009"/>
  <c r="D50" i="2009"/>
  <c r="R49" i="2009"/>
  <c r="D49" i="2009"/>
  <c r="R48" i="2009"/>
  <c r="D48" i="2009"/>
  <c r="D46" i="2009"/>
  <c r="D45" i="2009"/>
  <c r="R44" i="2009"/>
  <c r="L28" i="2009" s="1"/>
  <c r="D28" i="2009" s="1"/>
  <c r="D44" i="2009"/>
  <c r="R42" i="2009"/>
  <c r="D42" i="2009"/>
  <c r="R41" i="2009"/>
  <c r="L7" i="2009" s="1"/>
  <c r="D7" i="2009" s="1"/>
  <c r="D41" i="2009"/>
  <c r="R40" i="2009"/>
  <c r="D40" i="2009"/>
  <c r="R39" i="2009"/>
  <c r="H39" i="2009"/>
  <c r="D39" i="2009"/>
  <c r="R38" i="2009"/>
  <c r="H38" i="2009"/>
  <c r="D38" i="2009"/>
  <c r="R37" i="2009"/>
  <c r="H37" i="2009"/>
  <c r="D37" i="2009"/>
  <c r="R36" i="2009"/>
  <c r="H36" i="2009"/>
  <c r="D36" i="2009"/>
  <c r="R35" i="2009"/>
  <c r="H35" i="2009"/>
  <c r="D35" i="2009"/>
  <c r="R34" i="2009"/>
  <c r="H34" i="2009"/>
  <c r="G49" i="2009" s="1"/>
  <c r="D34" i="2009"/>
  <c r="D54" i="2009" s="1"/>
  <c r="H14" i="2009" s="1"/>
  <c r="R33" i="2009"/>
  <c r="L19" i="2009" s="1"/>
  <c r="D19" i="2009" s="1"/>
  <c r="R32" i="2009"/>
  <c r="L11" i="2009" s="1"/>
  <c r="D11" i="2009" s="1"/>
  <c r="R31" i="2009"/>
  <c r="R30" i="2009"/>
  <c r="R29" i="2009"/>
  <c r="R28" i="2009"/>
  <c r="R27" i="2009"/>
  <c r="L27" i="2009"/>
  <c r="D27" i="2009" s="1"/>
  <c r="R26" i="2009"/>
  <c r="L26" i="2009"/>
  <c r="D26" i="2009" s="1"/>
  <c r="R25" i="2009"/>
  <c r="L25" i="2009"/>
  <c r="D25" i="2009"/>
  <c r="R24" i="2009"/>
  <c r="L24" i="2009"/>
  <c r="D24" i="2009"/>
  <c r="R23" i="2009"/>
  <c r="L23" i="2009"/>
  <c r="D23" i="2009" s="1"/>
  <c r="R22" i="2009"/>
  <c r="L22" i="2009"/>
  <c r="D22" i="2009" s="1"/>
  <c r="R21" i="2009"/>
  <c r="L21" i="2009"/>
  <c r="D21" i="2009"/>
  <c r="R20" i="2009"/>
  <c r="L20" i="2009"/>
  <c r="D20" i="2009" s="1"/>
  <c r="R19" i="2009"/>
  <c r="R18" i="2009"/>
  <c r="L18" i="2009"/>
  <c r="D18" i="2009" s="1"/>
  <c r="R17" i="2009"/>
  <c r="L17" i="2009"/>
  <c r="D17" i="2009" s="1"/>
  <c r="R16" i="2009"/>
  <c r="R15" i="2009"/>
  <c r="L15" i="2009"/>
  <c r="D15" i="2009" s="1"/>
  <c r="R14" i="2009"/>
  <c r="D14" i="2009"/>
  <c r="R13" i="2009"/>
  <c r="D13" i="2009"/>
  <c r="R12" i="2009"/>
  <c r="L12" i="2009"/>
  <c r="D12" i="2009" s="1"/>
  <c r="R11" i="2009"/>
  <c r="L10" i="2009"/>
  <c r="D10" i="2009" s="1"/>
  <c r="L9" i="2009"/>
  <c r="D9" i="2009" s="1"/>
  <c r="L8" i="2009"/>
  <c r="D8" i="2009" s="1"/>
  <c r="R6" i="2009"/>
  <c r="L16" i="2009" s="1"/>
  <c r="D16" i="2009" s="1"/>
  <c r="L6" i="2009"/>
  <c r="D6" i="2009" s="1"/>
  <c r="R5" i="2009"/>
  <c r="R4" i="2009"/>
  <c r="R52" i="2008"/>
  <c r="R51" i="2008"/>
  <c r="D50" i="2008"/>
  <c r="R49" i="2008"/>
  <c r="D49" i="2008"/>
  <c r="R48" i="2008"/>
  <c r="D48" i="2008"/>
  <c r="D46" i="2008"/>
  <c r="D45" i="2008"/>
  <c r="R44" i="2008"/>
  <c r="L28" i="2008" s="1"/>
  <c r="D28" i="2008" s="1"/>
  <c r="D44" i="2008"/>
  <c r="R42" i="2008"/>
  <c r="D42" i="2008"/>
  <c r="R41" i="2008"/>
  <c r="D41" i="2008"/>
  <c r="R40" i="2008"/>
  <c r="D40" i="2008"/>
  <c r="R39" i="2008"/>
  <c r="H39" i="2008"/>
  <c r="D39" i="2008"/>
  <c r="R38" i="2008"/>
  <c r="H38" i="2008"/>
  <c r="D38" i="2008"/>
  <c r="R37" i="2008"/>
  <c r="H37" i="2008"/>
  <c r="D37" i="2008"/>
  <c r="R36" i="2008"/>
  <c r="L10" i="2008" s="1"/>
  <c r="D10" i="2008" s="1"/>
  <c r="H36" i="2008"/>
  <c r="D36" i="2008"/>
  <c r="R35" i="2008"/>
  <c r="H35" i="2008"/>
  <c r="D35" i="2008"/>
  <c r="R34" i="2008"/>
  <c r="H34" i="2008"/>
  <c r="G49" i="2008" s="1"/>
  <c r="D34" i="2008"/>
  <c r="D54" i="2008" s="1"/>
  <c r="H14" i="2008" s="1"/>
  <c r="R33" i="2008"/>
  <c r="L19" i="2008" s="1"/>
  <c r="D19" i="2008" s="1"/>
  <c r="R32" i="2008"/>
  <c r="L11" i="2008" s="1"/>
  <c r="D11" i="2008" s="1"/>
  <c r="R31" i="2008"/>
  <c r="R30" i="2008"/>
  <c r="R29" i="2008"/>
  <c r="R28" i="2008"/>
  <c r="R27" i="2008"/>
  <c r="L27" i="2008"/>
  <c r="D27" i="2008" s="1"/>
  <c r="R26" i="2008"/>
  <c r="L26" i="2008"/>
  <c r="D26" i="2008" s="1"/>
  <c r="R25" i="2008"/>
  <c r="L25" i="2008"/>
  <c r="D25" i="2008" s="1"/>
  <c r="R24" i="2008"/>
  <c r="L24" i="2008"/>
  <c r="D24" i="2008"/>
  <c r="R23" i="2008"/>
  <c r="L23" i="2008"/>
  <c r="D23" i="2008" s="1"/>
  <c r="R22" i="2008"/>
  <c r="L22" i="2008"/>
  <c r="D22" i="2008"/>
  <c r="R21" i="2008"/>
  <c r="L21" i="2008"/>
  <c r="D21" i="2008"/>
  <c r="R20" i="2008"/>
  <c r="L20" i="2008"/>
  <c r="D20" i="2008" s="1"/>
  <c r="R19" i="2008"/>
  <c r="R18" i="2008"/>
  <c r="L18" i="2008"/>
  <c r="D18" i="2008"/>
  <c r="R17" i="2008"/>
  <c r="L17" i="2008"/>
  <c r="D17" i="2008" s="1"/>
  <c r="R16" i="2008"/>
  <c r="R15" i="2008"/>
  <c r="L15" i="2008"/>
  <c r="D15" i="2008" s="1"/>
  <c r="R14" i="2008"/>
  <c r="D14" i="2008"/>
  <c r="R13" i="2008"/>
  <c r="D13" i="2008"/>
  <c r="R12" i="2008"/>
  <c r="L12" i="2008"/>
  <c r="D12" i="2008" s="1"/>
  <c r="R11" i="2008"/>
  <c r="L9" i="2008"/>
  <c r="D9" i="2008" s="1"/>
  <c r="L8" i="2008"/>
  <c r="D8" i="2008"/>
  <c r="L7" i="2008"/>
  <c r="D7" i="2008"/>
  <c r="R6" i="2008"/>
  <c r="L16" i="2008" s="1"/>
  <c r="D16" i="2008" s="1"/>
  <c r="L6" i="2008"/>
  <c r="D6" i="2008" s="1"/>
  <c r="R5" i="2008"/>
  <c r="R4" i="2008"/>
  <c r="D54" i="2007"/>
  <c r="H14" i="2007" s="1"/>
  <c r="R52" i="2007"/>
  <c r="R51" i="2007"/>
  <c r="D50" i="2007"/>
  <c r="R49" i="2007"/>
  <c r="D49" i="2007"/>
  <c r="R48" i="2007"/>
  <c r="D48" i="2007"/>
  <c r="D46" i="2007"/>
  <c r="D45" i="2007"/>
  <c r="R44" i="2007"/>
  <c r="L28" i="2007" s="1"/>
  <c r="D28" i="2007" s="1"/>
  <c r="D44" i="2007"/>
  <c r="R42" i="2007"/>
  <c r="D42" i="2007"/>
  <c r="R41" i="2007"/>
  <c r="D41" i="2007"/>
  <c r="R40" i="2007"/>
  <c r="L8" i="2007" s="1"/>
  <c r="D8" i="2007" s="1"/>
  <c r="D40" i="2007"/>
  <c r="R39" i="2007"/>
  <c r="H39" i="2007"/>
  <c r="D39" i="2007"/>
  <c r="R38" i="2007"/>
  <c r="H38" i="2007"/>
  <c r="D38" i="2007"/>
  <c r="R37" i="2007"/>
  <c r="H37" i="2007"/>
  <c r="D37" i="2007"/>
  <c r="R36" i="2007"/>
  <c r="L10" i="2007" s="1"/>
  <c r="D10" i="2007" s="1"/>
  <c r="H36" i="2007"/>
  <c r="D36" i="2007"/>
  <c r="R35" i="2007"/>
  <c r="L18" i="2007" s="1"/>
  <c r="D18" i="2007" s="1"/>
  <c r="H35" i="2007"/>
  <c r="G49" i="2007" s="1"/>
  <c r="D35" i="2007"/>
  <c r="R34" i="2007"/>
  <c r="H34" i="2007"/>
  <c r="D34" i="2007"/>
  <c r="R33" i="2007"/>
  <c r="L19" i="2007" s="1"/>
  <c r="D19" i="2007" s="1"/>
  <c r="R32" i="2007"/>
  <c r="R31" i="2007"/>
  <c r="R30" i="2007"/>
  <c r="R29" i="2007"/>
  <c r="R28" i="2007"/>
  <c r="R27" i="2007"/>
  <c r="L27" i="2007"/>
  <c r="D27" i="2007" s="1"/>
  <c r="R26" i="2007"/>
  <c r="L26" i="2007"/>
  <c r="D26" i="2007"/>
  <c r="R25" i="2007"/>
  <c r="L25" i="2007"/>
  <c r="D25" i="2007" s="1"/>
  <c r="R24" i="2007"/>
  <c r="L24" i="2007"/>
  <c r="D24" i="2007" s="1"/>
  <c r="R23" i="2007"/>
  <c r="L23" i="2007"/>
  <c r="D23" i="2007" s="1"/>
  <c r="R22" i="2007"/>
  <c r="L22" i="2007"/>
  <c r="D22" i="2007"/>
  <c r="R21" i="2007"/>
  <c r="L17" i="2007" s="1"/>
  <c r="D17" i="2007" s="1"/>
  <c r="L21" i="2007"/>
  <c r="D21" i="2007"/>
  <c r="R20" i="2007"/>
  <c r="L20" i="2007"/>
  <c r="D20" i="2007" s="1"/>
  <c r="R19" i="2007"/>
  <c r="R18" i="2007"/>
  <c r="R17" i="2007"/>
  <c r="R16" i="2007"/>
  <c r="L16" i="2007"/>
  <c r="D16" i="2007" s="1"/>
  <c r="R15" i="2007"/>
  <c r="R14" i="2007"/>
  <c r="D14" i="2007"/>
  <c r="R13" i="2007"/>
  <c r="D13" i="2007"/>
  <c r="R12" i="2007"/>
  <c r="L12" i="2007"/>
  <c r="D12" i="2007"/>
  <c r="R11" i="2007"/>
  <c r="L11" i="2007"/>
  <c r="D11" i="2007" s="1"/>
  <c r="L9" i="2007"/>
  <c r="D9" i="2007" s="1"/>
  <c r="L7" i="2007"/>
  <c r="D7" i="2007" s="1"/>
  <c r="R6" i="2007"/>
  <c r="L6" i="2007"/>
  <c r="D6" i="2007" s="1"/>
  <c r="R5" i="2007"/>
  <c r="R4" i="2007"/>
  <c r="L15" i="2007" s="1"/>
  <c r="D15" i="2007" s="1"/>
  <c r="R52" i="2006"/>
  <c r="R51" i="2006"/>
  <c r="D50" i="2006"/>
  <c r="R49" i="2006"/>
  <c r="G49" i="2006"/>
  <c r="D49" i="2006"/>
  <c r="R48" i="2006"/>
  <c r="D48" i="2006"/>
  <c r="D46" i="2006"/>
  <c r="D45" i="2006"/>
  <c r="D44" i="2006"/>
  <c r="R42" i="2006"/>
  <c r="D42" i="2006"/>
  <c r="R41" i="2006"/>
  <c r="L7" i="2006" s="1"/>
  <c r="D7" i="2006" s="1"/>
  <c r="D41" i="2006"/>
  <c r="R40" i="2006"/>
  <c r="D40" i="2006"/>
  <c r="R39" i="2006"/>
  <c r="D39" i="2006"/>
  <c r="R38" i="2006"/>
  <c r="L9" i="2006" s="1"/>
  <c r="D9" i="2006" s="1"/>
  <c r="D38" i="2006"/>
  <c r="R37" i="2006"/>
  <c r="D37" i="2006"/>
  <c r="R36" i="2006"/>
  <c r="D36" i="2006"/>
  <c r="R35" i="2006"/>
  <c r="D35" i="2006"/>
  <c r="R34" i="2006"/>
  <c r="L12" i="2006" s="1"/>
  <c r="D12" i="2006" s="1"/>
  <c r="D34" i="2006"/>
  <c r="D54" i="2006" s="1"/>
  <c r="H14" i="2006" s="1"/>
  <c r="R33" i="2006"/>
  <c r="L23" i="2006" s="1"/>
  <c r="D23" i="2006" s="1"/>
  <c r="R32" i="2006"/>
  <c r="R31" i="2006"/>
  <c r="R30" i="2006"/>
  <c r="R29" i="2006"/>
  <c r="R28" i="2006"/>
  <c r="D28" i="2006"/>
  <c r="R27" i="2006"/>
  <c r="D27" i="2006"/>
  <c r="R26" i="2006"/>
  <c r="L26" i="2006"/>
  <c r="D26" i="2006"/>
  <c r="R25" i="2006"/>
  <c r="L25" i="2006"/>
  <c r="D25" i="2006"/>
  <c r="R24" i="2006"/>
  <c r="D24" i="2006"/>
  <c r="R23" i="2006"/>
  <c r="R22" i="2006"/>
  <c r="L22" i="2006"/>
  <c r="D22" i="2006" s="1"/>
  <c r="R21" i="2006"/>
  <c r="D21" i="2006"/>
  <c r="R20" i="2006"/>
  <c r="L20" i="2006"/>
  <c r="D20" i="2006"/>
  <c r="R19" i="2006"/>
  <c r="L19" i="2006"/>
  <c r="D19" i="2006"/>
  <c r="R18" i="2006"/>
  <c r="D18" i="2006"/>
  <c r="R17" i="2006"/>
  <c r="D17" i="2006"/>
  <c r="R16" i="2006"/>
  <c r="L16" i="2006"/>
  <c r="D16" i="2006" s="1"/>
  <c r="S15" i="2006"/>
  <c r="R15" i="2006"/>
  <c r="D15" i="2006"/>
  <c r="S14" i="2006"/>
  <c r="R14" i="2006"/>
  <c r="D14" i="2006"/>
  <c r="R13" i="2006"/>
  <c r="D13" i="2006"/>
  <c r="R12" i="2006"/>
  <c r="R11" i="2006"/>
  <c r="L11" i="2006"/>
  <c r="D11" i="2006" s="1"/>
  <c r="L10" i="2006"/>
  <c r="D10" i="2006"/>
  <c r="L8" i="2006"/>
  <c r="D8" i="2006" s="1"/>
  <c r="R6" i="2006"/>
  <c r="L6" i="2006"/>
  <c r="D6" i="2006" s="1"/>
  <c r="R5" i="2006"/>
  <c r="R4" i="2006"/>
  <c r="R52" i="2005"/>
  <c r="R51" i="2005"/>
  <c r="D50" i="2005"/>
  <c r="R49" i="2005"/>
  <c r="D49" i="2005"/>
  <c r="R48" i="2005"/>
  <c r="D48" i="2005"/>
  <c r="D46" i="2005"/>
  <c r="D45" i="2005"/>
  <c r="R44" i="2005"/>
  <c r="D44" i="2005"/>
  <c r="R42" i="2005"/>
  <c r="D42" i="2005"/>
  <c r="R41" i="2005"/>
  <c r="L7" i="2005" s="1"/>
  <c r="D7" i="2005" s="1"/>
  <c r="D41" i="2005"/>
  <c r="R40" i="2005"/>
  <c r="D40" i="2005"/>
  <c r="R39" i="2005"/>
  <c r="H39" i="2005"/>
  <c r="D39" i="2005"/>
  <c r="R38" i="2005"/>
  <c r="H38" i="2005"/>
  <c r="D38" i="2005"/>
  <c r="R37" i="2005"/>
  <c r="H37" i="2005"/>
  <c r="D37" i="2005"/>
  <c r="R36" i="2005"/>
  <c r="H36" i="2005"/>
  <c r="D36" i="2005"/>
  <c r="R35" i="2005"/>
  <c r="L18" i="2005" s="1"/>
  <c r="D18" i="2005" s="1"/>
  <c r="H35" i="2005"/>
  <c r="D35" i="2005"/>
  <c r="R34" i="2005"/>
  <c r="H34" i="2005"/>
  <c r="G49" i="2005" s="1"/>
  <c r="D34" i="2005"/>
  <c r="D54" i="2005" s="1"/>
  <c r="H14" i="2005" s="1"/>
  <c r="R33" i="2005"/>
  <c r="R32" i="2005"/>
  <c r="L11" i="2005" s="1"/>
  <c r="D11" i="2005" s="1"/>
  <c r="R31" i="2005"/>
  <c r="R30" i="2005"/>
  <c r="R29" i="2005"/>
  <c r="R28" i="2005"/>
  <c r="L28" i="2005"/>
  <c r="D28" i="2005"/>
  <c r="R27" i="2005"/>
  <c r="L27" i="2005"/>
  <c r="D27" i="2005" s="1"/>
  <c r="R26" i="2005"/>
  <c r="L26" i="2005"/>
  <c r="D26" i="2005"/>
  <c r="R25" i="2005"/>
  <c r="L25" i="2005"/>
  <c r="D25" i="2005"/>
  <c r="R24" i="2005"/>
  <c r="L24" i="2005"/>
  <c r="D24" i="2005"/>
  <c r="R23" i="2005"/>
  <c r="L23" i="2005"/>
  <c r="D23" i="2005" s="1"/>
  <c r="R22" i="2005"/>
  <c r="L22" i="2005"/>
  <c r="D22" i="2005"/>
  <c r="R21" i="2005"/>
  <c r="L21" i="2005"/>
  <c r="D21" i="2005"/>
  <c r="R20" i="2005"/>
  <c r="L20" i="2005"/>
  <c r="D20" i="2005" s="1"/>
  <c r="R19" i="2005"/>
  <c r="L19" i="2005"/>
  <c r="D19" i="2005" s="1"/>
  <c r="R18" i="2005"/>
  <c r="R17" i="2005"/>
  <c r="L17" i="2005"/>
  <c r="D17" i="2005"/>
  <c r="R16" i="2005"/>
  <c r="R15" i="2005"/>
  <c r="L15" i="2005"/>
  <c r="D15" i="2005" s="1"/>
  <c r="R14" i="2005"/>
  <c r="D14" i="2005"/>
  <c r="R13" i="2005"/>
  <c r="D13" i="2005"/>
  <c r="R12" i="2005"/>
  <c r="L12" i="2005"/>
  <c r="D12" i="2005"/>
  <c r="R11" i="2005"/>
  <c r="L10" i="2005"/>
  <c r="D10" i="2005"/>
  <c r="L9" i="2005"/>
  <c r="D9" i="2005" s="1"/>
  <c r="L8" i="2005"/>
  <c r="D8" i="2005"/>
  <c r="R6" i="2005"/>
  <c r="L16" i="2005" s="1"/>
  <c r="D16" i="2005" s="1"/>
  <c r="L6" i="2005"/>
  <c r="D6" i="2005" s="1"/>
  <c r="R5" i="2005"/>
  <c r="R4" i="2005"/>
  <c r="R52" i="2004"/>
  <c r="R51" i="2004"/>
  <c r="D50" i="2004"/>
  <c r="R49" i="2004"/>
  <c r="G49" i="2004"/>
  <c r="D49" i="2004"/>
  <c r="R48" i="2004"/>
  <c r="D48" i="2004"/>
  <c r="D46" i="2004"/>
  <c r="D45" i="2004"/>
  <c r="R44" i="2004"/>
  <c r="L28" i="2004" s="1"/>
  <c r="D28" i="2004" s="1"/>
  <c r="D44" i="2004"/>
  <c r="R42" i="2004"/>
  <c r="D42" i="2004"/>
  <c r="R41" i="2004"/>
  <c r="L7" i="2004" s="1"/>
  <c r="D7" i="2004" s="1"/>
  <c r="D41" i="2004"/>
  <c r="R40" i="2004"/>
  <c r="D40" i="2004"/>
  <c r="R39" i="2004"/>
  <c r="H39" i="2004"/>
  <c r="D39" i="2004"/>
  <c r="R38" i="2004"/>
  <c r="H38" i="2004"/>
  <c r="D38" i="2004"/>
  <c r="R37" i="2004"/>
  <c r="H37" i="2004"/>
  <c r="D37" i="2004"/>
  <c r="R36" i="2004"/>
  <c r="H36" i="2004"/>
  <c r="D36" i="2004"/>
  <c r="R35" i="2004"/>
  <c r="L18" i="2004" s="1"/>
  <c r="D18" i="2004" s="1"/>
  <c r="H35" i="2004"/>
  <c r="D35" i="2004"/>
  <c r="R34" i="2004"/>
  <c r="H34" i="2004"/>
  <c r="D34" i="2004"/>
  <c r="D54" i="2004" s="1"/>
  <c r="H14" i="2004" s="1"/>
  <c r="R33" i="2004"/>
  <c r="L19" i="2004" s="1"/>
  <c r="D19" i="2004" s="1"/>
  <c r="R32" i="2004"/>
  <c r="L11" i="2004" s="1"/>
  <c r="D11" i="2004" s="1"/>
  <c r="R31" i="2004"/>
  <c r="R30" i="2004"/>
  <c r="R29" i="2004"/>
  <c r="R28" i="2004"/>
  <c r="R27" i="2004"/>
  <c r="L27" i="2004"/>
  <c r="D27" i="2004" s="1"/>
  <c r="R26" i="2004"/>
  <c r="L26" i="2004"/>
  <c r="D26" i="2004"/>
  <c r="R25" i="2004"/>
  <c r="L25" i="2004"/>
  <c r="D25" i="2004"/>
  <c r="R24" i="2004"/>
  <c r="L24" i="2004"/>
  <c r="D24" i="2004"/>
  <c r="R23" i="2004"/>
  <c r="L23" i="2004"/>
  <c r="D23" i="2004" s="1"/>
  <c r="R22" i="2004"/>
  <c r="L22" i="2004"/>
  <c r="D22" i="2004"/>
  <c r="R21" i="2004"/>
  <c r="L21" i="2004"/>
  <c r="D21" i="2004"/>
  <c r="R20" i="2004"/>
  <c r="L20" i="2004"/>
  <c r="D20" i="2004" s="1"/>
  <c r="R19" i="2004"/>
  <c r="R18" i="2004"/>
  <c r="R17" i="2004"/>
  <c r="L17" i="2004"/>
  <c r="D17" i="2004"/>
  <c r="R16" i="2004"/>
  <c r="R15" i="2004"/>
  <c r="L15" i="2004"/>
  <c r="D15" i="2004" s="1"/>
  <c r="R14" i="2004"/>
  <c r="D14" i="2004"/>
  <c r="R13" i="2004"/>
  <c r="D13" i="2004"/>
  <c r="R12" i="2004"/>
  <c r="L12" i="2004"/>
  <c r="D12" i="2004"/>
  <c r="R11" i="2004"/>
  <c r="L10" i="2004"/>
  <c r="D10" i="2004"/>
  <c r="L9" i="2004"/>
  <c r="D9" i="2004" s="1"/>
  <c r="L8" i="2004"/>
  <c r="D8" i="2004"/>
  <c r="R6" i="2004"/>
  <c r="L16" i="2004" s="1"/>
  <c r="D16" i="2004" s="1"/>
  <c r="L6" i="2004"/>
  <c r="D6" i="2004" s="1"/>
  <c r="R5" i="2004"/>
  <c r="R4" i="2004"/>
  <c r="R52" i="2003"/>
  <c r="R51" i="2003"/>
  <c r="D50" i="2003"/>
  <c r="R49" i="2003"/>
  <c r="D49" i="2003"/>
  <c r="R48" i="2003"/>
  <c r="D48" i="2003"/>
  <c r="D46" i="2003"/>
  <c r="D45" i="2003"/>
  <c r="R44" i="2003"/>
  <c r="L28" i="2003" s="1"/>
  <c r="D28" i="2003" s="1"/>
  <c r="D44" i="2003"/>
  <c r="R42" i="2003"/>
  <c r="D42" i="2003"/>
  <c r="R41" i="2003"/>
  <c r="L7" i="2003" s="1"/>
  <c r="D7" i="2003" s="1"/>
  <c r="D41" i="2003"/>
  <c r="R40" i="2003"/>
  <c r="D40" i="2003"/>
  <c r="R39" i="2003"/>
  <c r="H39" i="2003"/>
  <c r="D39" i="2003"/>
  <c r="R38" i="2003"/>
  <c r="L9" i="2003" s="1"/>
  <c r="D9" i="2003" s="1"/>
  <c r="H38" i="2003"/>
  <c r="D38" i="2003"/>
  <c r="R37" i="2003"/>
  <c r="H37" i="2003"/>
  <c r="D37" i="2003"/>
  <c r="R36" i="2003"/>
  <c r="L10" i="2003" s="1"/>
  <c r="D10" i="2003" s="1"/>
  <c r="H36" i="2003"/>
  <c r="D36" i="2003"/>
  <c r="R35" i="2003"/>
  <c r="L18" i="2003" s="1"/>
  <c r="D18" i="2003" s="1"/>
  <c r="H35" i="2003"/>
  <c r="D35" i="2003"/>
  <c r="R34" i="2003"/>
  <c r="H34" i="2003"/>
  <c r="G49" i="2003" s="1"/>
  <c r="D34" i="2003"/>
  <c r="D54" i="2003" s="1"/>
  <c r="H14" i="2003" s="1"/>
  <c r="R33" i="2003"/>
  <c r="R32" i="2003"/>
  <c r="L11" i="2003" s="1"/>
  <c r="D11" i="2003" s="1"/>
  <c r="R31" i="2003"/>
  <c r="R30" i="2003"/>
  <c r="R29" i="2003"/>
  <c r="R28" i="2003"/>
  <c r="R27" i="2003"/>
  <c r="L27" i="2003"/>
  <c r="D27" i="2003" s="1"/>
  <c r="R26" i="2003"/>
  <c r="L26" i="2003"/>
  <c r="D26" i="2003"/>
  <c r="R25" i="2003"/>
  <c r="L25" i="2003"/>
  <c r="D25" i="2003"/>
  <c r="R24" i="2003"/>
  <c r="L24" i="2003"/>
  <c r="D24" i="2003"/>
  <c r="R23" i="2003"/>
  <c r="L23" i="2003"/>
  <c r="D23" i="2003" s="1"/>
  <c r="R22" i="2003"/>
  <c r="L20" i="2003" s="1"/>
  <c r="D20" i="2003" s="1"/>
  <c r="L22" i="2003"/>
  <c r="D22" i="2003" s="1"/>
  <c r="R21" i="2003"/>
  <c r="L21" i="2003"/>
  <c r="D21" i="2003"/>
  <c r="R20" i="2003"/>
  <c r="R19" i="2003"/>
  <c r="L19" i="2003"/>
  <c r="D19" i="2003" s="1"/>
  <c r="R18" i="2003"/>
  <c r="R17" i="2003"/>
  <c r="L17" i="2003"/>
  <c r="D17" i="2003"/>
  <c r="R16" i="2003"/>
  <c r="R15" i="2003"/>
  <c r="L15" i="2003"/>
  <c r="D15" i="2003" s="1"/>
  <c r="R14" i="2003"/>
  <c r="D14" i="2003"/>
  <c r="R13" i="2003"/>
  <c r="D13" i="2003"/>
  <c r="R12" i="2003"/>
  <c r="L12" i="2003"/>
  <c r="D12" i="2003"/>
  <c r="R11" i="2003"/>
  <c r="L8" i="2003"/>
  <c r="D8" i="2003" s="1"/>
  <c r="R6" i="2003"/>
  <c r="L16" i="2003" s="1"/>
  <c r="D16" i="2003" s="1"/>
  <c r="L6" i="2003"/>
  <c r="D6" i="2003" s="1"/>
  <c r="R5" i="2003"/>
  <c r="R4" i="2003"/>
  <c r="R52" i="2002"/>
  <c r="R51" i="2002"/>
  <c r="D50" i="2002"/>
  <c r="R49" i="2002"/>
  <c r="G49" i="2002"/>
  <c r="D49" i="2002"/>
  <c r="R48" i="2002"/>
  <c r="D48" i="2002"/>
  <c r="D46" i="2002"/>
  <c r="D45" i="2002"/>
  <c r="D44" i="2002"/>
  <c r="R42" i="2002"/>
  <c r="L6" i="2002" s="1"/>
  <c r="D6" i="2002" s="1"/>
  <c r="D42" i="2002"/>
  <c r="R41" i="2002"/>
  <c r="L7" i="2002" s="1"/>
  <c r="D7" i="2002" s="1"/>
  <c r="D41" i="2002"/>
  <c r="R40" i="2002"/>
  <c r="D40" i="2002"/>
  <c r="R39" i="2002"/>
  <c r="D39" i="2002"/>
  <c r="R38" i="2002"/>
  <c r="L9" i="2002" s="1"/>
  <c r="D9" i="2002" s="1"/>
  <c r="D38" i="2002"/>
  <c r="R37" i="2002"/>
  <c r="D37" i="2002"/>
  <c r="R36" i="2002"/>
  <c r="D36" i="2002"/>
  <c r="R35" i="2002"/>
  <c r="D35" i="2002"/>
  <c r="R34" i="2002"/>
  <c r="L12" i="2002" s="1"/>
  <c r="D12" i="2002" s="1"/>
  <c r="D34" i="2002"/>
  <c r="D54" i="2002" s="1"/>
  <c r="H14" i="2002" s="1"/>
  <c r="R33" i="2002"/>
  <c r="L23" i="2002" s="1"/>
  <c r="D23" i="2002" s="1"/>
  <c r="R32" i="2002"/>
  <c r="R31" i="2002"/>
  <c r="R30" i="2002"/>
  <c r="R29" i="2002"/>
  <c r="R28" i="2002"/>
  <c r="D28" i="2002"/>
  <c r="R27" i="2002"/>
  <c r="D27" i="2002"/>
  <c r="R26" i="2002"/>
  <c r="L26" i="2002"/>
  <c r="D26" i="2002"/>
  <c r="R25" i="2002"/>
  <c r="L25" i="2002"/>
  <c r="D25" i="2002"/>
  <c r="R24" i="2002"/>
  <c r="D24" i="2002"/>
  <c r="R23" i="2002"/>
  <c r="R22" i="2002"/>
  <c r="L22" i="2002"/>
  <c r="D22" i="2002"/>
  <c r="R21" i="2002"/>
  <c r="D21" i="2002"/>
  <c r="R20" i="2002"/>
  <c r="L20" i="2002"/>
  <c r="D20" i="2002"/>
  <c r="R19" i="2002"/>
  <c r="L19" i="2002"/>
  <c r="D19" i="2002"/>
  <c r="R18" i="2002"/>
  <c r="D18" i="2002"/>
  <c r="R17" i="2002"/>
  <c r="D17" i="2002"/>
  <c r="R16" i="2002"/>
  <c r="L16" i="2002"/>
  <c r="D16" i="2002" s="1"/>
  <c r="S15" i="2002"/>
  <c r="R15" i="2002"/>
  <c r="D15" i="2002"/>
  <c r="S14" i="2002"/>
  <c r="R14" i="2002"/>
  <c r="D14" i="2002"/>
  <c r="R13" i="2002"/>
  <c r="D13" i="2002"/>
  <c r="R12" i="2002"/>
  <c r="R11" i="2002"/>
  <c r="L11" i="2002"/>
  <c r="D11" i="2002"/>
  <c r="L10" i="2002"/>
  <c r="D10" i="2002"/>
  <c r="L8" i="2002"/>
  <c r="D8" i="2002"/>
  <c r="R6" i="2002"/>
  <c r="R5" i="2002"/>
  <c r="R4" i="2002"/>
  <c r="R52" i="2001"/>
  <c r="R51" i="2001"/>
  <c r="D50" i="2001"/>
  <c r="R49" i="2001"/>
  <c r="D49" i="2001"/>
  <c r="R48" i="2001"/>
  <c r="D48" i="2001"/>
  <c r="D46" i="2001"/>
  <c r="D45" i="2001"/>
  <c r="R44" i="2001"/>
  <c r="D44" i="2001"/>
  <c r="R42" i="2001"/>
  <c r="D42" i="2001"/>
  <c r="R41" i="2001"/>
  <c r="D41" i="2001"/>
  <c r="R40" i="2001"/>
  <c r="L8" i="2001" s="1"/>
  <c r="D8" i="2001" s="1"/>
  <c r="D40" i="2001"/>
  <c r="R39" i="2001"/>
  <c r="H39" i="2001"/>
  <c r="D39" i="2001"/>
  <c r="R38" i="2001"/>
  <c r="L9" i="2001" s="1"/>
  <c r="D9" i="2001" s="1"/>
  <c r="H38" i="2001"/>
  <c r="D38" i="2001"/>
  <c r="R37" i="2001"/>
  <c r="H37" i="2001"/>
  <c r="D37" i="2001"/>
  <c r="R36" i="2001"/>
  <c r="H36" i="2001"/>
  <c r="D36" i="2001"/>
  <c r="R35" i="2001"/>
  <c r="H35" i="2001"/>
  <c r="D35" i="2001"/>
  <c r="R34" i="2001"/>
  <c r="L12" i="2001" s="1"/>
  <c r="D12" i="2001" s="1"/>
  <c r="H34" i="2001"/>
  <c r="G49" i="2001" s="1"/>
  <c r="D34" i="2001"/>
  <c r="D54" i="2001" s="1"/>
  <c r="H14" i="2001" s="1"/>
  <c r="R33" i="2001"/>
  <c r="R32" i="2001"/>
  <c r="R31" i="2001"/>
  <c r="R30" i="2001"/>
  <c r="R29" i="2001"/>
  <c r="R28" i="2001"/>
  <c r="L28" i="2001"/>
  <c r="D28" i="2001"/>
  <c r="R27" i="2001"/>
  <c r="L27" i="2001"/>
  <c r="D27" i="2001"/>
  <c r="R26" i="2001"/>
  <c r="L26" i="2001"/>
  <c r="D26" i="2001"/>
  <c r="R25" i="2001"/>
  <c r="L25" i="2001"/>
  <c r="D25" i="2001" s="1"/>
  <c r="R24" i="2001"/>
  <c r="L24" i="2001"/>
  <c r="D24" i="2001"/>
  <c r="R23" i="2001"/>
  <c r="L23" i="2001"/>
  <c r="D23" i="2001" s="1"/>
  <c r="R22" i="2001"/>
  <c r="L20" i="2001" s="1"/>
  <c r="D20" i="2001" s="1"/>
  <c r="L22" i="2001"/>
  <c r="D22" i="2001"/>
  <c r="R21" i="2001"/>
  <c r="L17" i="2001" s="1"/>
  <c r="D17" i="2001" s="1"/>
  <c r="L21" i="2001"/>
  <c r="D21" i="2001"/>
  <c r="R20" i="2001"/>
  <c r="R19" i="2001"/>
  <c r="L19" i="2001"/>
  <c r="D19" i="2001"/>
  <c r="R18" i="2001"/>
  <c r="L18" i="2001"/>
  <c r="D18" i="2001"/>
  <c r="R17" i="2001"/>
  <c r="R16" i="2001"/>
  <c r="L16" i="2001"/>
  <c r="D16" i="2001"/>
  <c r="R15" i="2001"/>
  <c r="L15" i="2001"/>
  <c r="D15" i="2001" s="1"/>
  <c r="R14" i="2001"/>
  <c r="D14" i="2001"/>
  <c r="R13" i="2001"/>
  <c r="D13" i="2001"/>
  <c r="R12" i="2001"/>
  <c r="R11" i="2001"/>
  <c r="L11" i="2001"/>
  <c r="D11" i="2001"/>
  <c r="L10" i="2001"/>
  <c r="D10" i="2001"/>
  <c r="L7" i="2001"/>
  <c r="D7" i="2001"/>
  <c r="R6" i="2001"/>
  <c r="L6" i="2001"/>
  <c r="D6" i="2001" s="1"/>
  <c r="R5" i="2001"/>
  <c r="R4" i="2001"/>
  <c r="R52" i="2000"/>
  <c r="R51" i="2000"/>
  <c r="D50" i="2000"/>
  <c r="R49" i="2000"/>
  <c r="D49" i="2000"/>
  <c r="R48" i="2000"/>
  <c r="D48" i="2000"/>
  <c r="D46" i="2000"/>
  <c r="D45" i="2000"/>
  <c r="R44" i="2000"/>
  <c r="L28" i="2000" s="1"/>
  <c r="D28" i="2000" s="1"/>
  <c r="D44" i="2000"/>
  <c r="R42" i="2000"/>
  <c r="D42" i="2000"/>
  <c r="R41" i="2000"/>
  <c r="D41" i="2000"/>
  <c r="R40" i="2000"/>
  <c r="D40" i="2000"/>
  <c r="R39" i="2000"/>
  <c r="H39" i="2000"/>
  <c r="D39" i="2000"/>
  <c r="R38" i="2000"/>
  <c r="H38" i="2000"/>
  <c r="D38" i="2000"/>
  <c r="R37" i="2000"/>
  <c r="H37" i="2000"/>
  <c r="D37" i="2000"/>
  <c r="R36" i="2000"/>
  <c r="L10" i="2000" s="1"/>
  <c r="D10" i="2000" s="1"/>
  <c r="H36" i="2000"/>
  <c r="D36" i="2000"/>
  <c r="R35" i="2000"/>
  <c r="H35" i="2000"/>
  <c r="D35" i="2000"/>
  <c r="R34" i="2000"/>
  <c r="H34" i="2000"/>
  <c r="G49" i="2000" s="1"/>
  <c r="D34" i="2000"/>
  <c r="D54" i="2000" s="1"/>
  <c r="H14" i="2000" s="1"/>
  <c r="R33" i="2000"/>
  <c r="L19" i="2000" s="1"/>
  <c r="D19" i="2000" s="1"/>
  <c r="R32" i="2000"/>
  <c r="L11" i="2000" s="1"/>
  <c r="D11" i="2000" s="1"/>
  <c r="R31" i="2000"/>
  <c r="R30" i="2000"/>
  <c r="R29" i="2000"/>
  <c r="R28" i="2000"/>
  <c r="R27" i="2000"/>
  <c r="L27" i="2000"/>
  <c r="D27" i="2000" s="1"/>
  <c r="R26" i="2000"/>
  <c r="L26" i="2000"/>
  <c r="D26" i="2000"/>
  <c r="R25" i="2000"/>
  <c r="L25" i="2000"/>
  <c r="D25" i="2000" s="1"/>
  <c r="R24" i="2000"/>
  <c r="L24" i="2000"/>
  <c r="D24" i="2000" s="1"/>
  <c r="R23" i="2000"/>
  <c r="L23" i="2000"/>
  <c r="D23" i="2000" s="1"/>
  <c r="R22" i="2000"/>
  <c r="L20" i="2000" s="1"/>
  <c r="D20" i="2000" s="1"/>
  <c r="L22" i="2000"/>
  <c r="D22" i="2000"/>
  <c r="R21" i="2000"/>
  <c r="L21" i="2000"/>
  <c r="D21" i="2000"/>
  <c r="R20" i="2000"/>
  <c r="R19" i="2000"/>
  <c r="R18" i="2000"/>
  <c r="L18" i="2000"/>
  <c r="D18" i="2000"/>
  <c r="R17" i="2000"/>
  <c r="L17" i="2000"/>
  <c r="D17" i="2000" s="1"/>
  <c r="R16" i="2000"/>
  <c r="R15" i="2000"/>
  <c r="L15" i="2000"/>
  <c r="D15" i="2000" s="1"/>
  <c r="R14" i="2000"/>
  <c r="D14" i="2000"/>
  <c r="R13" i="2000"/>
  <c r="D13" i="2000"/>
  <c r="R12" i="2000"/>
  <c r="L12" i="2000"/>
  <c r="D12" i="2000" s="1"/>
  <c r="R11" i="2000"/>
  <c r="L9" i="2000"/>
  <c r="D9" i="2000" s="1"/>
  <c r="L8" i="2000"/>
  <c r="D8" i="2000"/>
  <c r="L7" i="2000"/>
  <c r="D7" i="2000" s="1"/>
  <c r="R6" i="2000"/>
  <c r="L16" i="2000" s="1"/>
  <c r="D16" i="2000" s="1"/>
  <c r="L6" i="2000"/>
  <c r="D6" i="2000" s="1"/>
  <c r="R5" i="2000"/>
  <c r="R4" i="2000"/>
  <c r="D54" i="1999"/>
  <c r="H14" i="1999" s="1"/>
  <c r="R52" i="1999"/>
  <c r="R51" i="1999"/>
  <c r="D50" i="1999"/>
  <c r="R49" i="1999"/>
  <c r="D49" i="1999"/>
  <c r="R48" i="1999"/>
  <c r="D48" i="1999"/>
  <c r="D46" i="1999"/>
  <c r="D45" i="1999"/>
  <c r="R44" i="1999"/>
  <c r="D44" i="1999"/>
  <c r="R42" i="1999"/>
  <c r="D42" i="1999"/>
  <c r="R41" i="1999"/>
  <c r="L7" i="1999" s="1"/>
  <c r="D7" i="1999" s="1"/>
  <c r="D41" i="1999"/>
  <c r="R40" i="1999"/>
  <c r="D40" i="1999"/>
  <c r="R39" i="1999"/>
  <c r="H39" i="1999"/>
  <c r="D39" i="1999"/>
  <c r="R38" i="1999"/>
  <c r="H38" i="1999"/>
  <c r="D38" i="1999"/>
  <c r="R37" i="1999"/>
  <c r="H37" i="1999"/>
  <c r="D37" i="1999"/>
  <c r="R36" i="1999"/>
  <c r="L10" i="1999" s="1"/>
  <c r="D10" i="1999" s="1"/>
  <c r="H36" i="1999"/>
  <c r="D36" i="1999"/>
  <c r="R35" i="1999"/>
  <c r="L18" i="1999" s="1"/>
  <c r="D18" i="1999" s="1"/>
  <c r="H35" i="1999"/>
  <c r="D35" i="1999"/>
  <c r="R34" i="1999"/>
  <c r="H34" i="1999"/>
  <c r="G49" i="1999" s="1"/>
  <c r="D34" i="1999"/>
  <c r="R33" i="1999"/>
  <c r="R32" i="1999"/>
  <c r="L11" i="1999" s="1"/>
  <c r="D11" i="1999" s="1"/>
  <c r="R31" i="1999"/>
  <c r="R30" i="1999"/>
  <c r="R29" i="1999"/>
  <c r="R28" i="1999"/>
  <c r="L28" i="1999"/>
  <c r="D28" i="1999"/>
  <c r="R27" i="1999"/>
  <c r="L27" i="1999"/>
  <c r="D27" i="1999" s="1"/>
  <c r="R26" i="1999"/>
  <c r="L26" i="1999"/>
  <c r="D26" i="1999"/>
  <c r="R25" i="1999"/>
  <c r="L25" i="1999"/>
  <c r="D25" i="1999"/>
  <c r="R24" i="1999"/>
  <c r="L24" i="1999"/>
  <c r="D24" i="1999"/>
  <c r="R23" i="1999"/>
  <c r="L23" i="1999"/>
  <c r="D23" i="1999" s="1"/>
  <c r="R22" i="1999"/>
  <c r="L20" i="1999" s="1"/>
  <c r="D20" i="1999" s="1"/>
  <c r="L22" i="1999"/>
  <c r="D22" i="1999" s="1"/>
  <c r="R21" i="1999"/>
  <c r="L21" i="1999"/>
  <c r="D21" i="1999"/>
  <c r="R20" i="1999"/>
  <c r="R19" i="1999"/>
  <c r="L19" i="1999"/>
  <c r="D19" i="1999"/>
  <c r="R18" i="1999"/>
  <c r="R17" i="1999"/>
  <c r="L17" i="1999"/>
  <c r="D17" i="1999"/>
  <c r="R16" i="1999"/>
  <c r="R15" i="1999"/>
  <c r="R14" i="1999"/>
  <c r="D14" i="1999"/>
  <c r="R13" i="1999"/>
  <c r="D13" i="1999"/>
  <c r="R12" i="1999"/>
  <c r="L12" i="1999"/>
  <c r="D12" i="1999"/>
  <c r="R11" i="1999"/>
  <c r="L9" i="1999"/>
  <c r="D9" i="1999"/>
  <c r="L8" i="1999"/>
  <c r="D8" i="1999"/>
  <c r="R6" i="1999"/>
  <c r="L16" i="1999" s="1"/>
  <c r="D16" i="1999" s="1"/>
  <c r="L6" i="1999"/>
  <c r="D6" i="1999"/>
  <c r="R5" i="1999"/>
  <c r="R4" i="1999"/>
  <c r="L15" i="1999" s="1"/>
  <c r="D15" i="1999" s="1"/>
  <c r="R52" i="1998"/>
  <c r="R51" i="1998"/>
  <c r="D50" i="1998"/>
  <c r="R49" i="1998"/>
  <c r="G49" i="1998"/>
  <c r="D49" i="1998"/>
  <c r="R48" i="1998"/>
  <c r="D48" i="1998"/>
  <c r="D46" i="1998"/>
  <c r="D45" i="1998"/>
  <c r="D44" i="1998"/>
  <c r="R42" i="1998"/>
  <c r="L6" i="1998" s="1"/>
  <c r="D6" i="1998" s="1"/>
  <c r="D42" i="1998"/>
  <c r="R41" i="1998"/>
  <c r="L7" i="1998" s="1"/>
  <c r="D7" i="1998" s="1"/>
  <c r="D41" i="1998"/>
  <c r="R40" i="1998"/>
  <c r="D40" i="1998"/>
  <c r="R39" i="1998"/>
  <c r="D39" i="1998"/>
  <c r="R38" i="1998"/>
  <c r="D38" i="1998"/>
  <c r="R37" i="1998"/>
  <c r="D37" i="1998"/>
  <c r="R36" i="1998"/>
  <c r="D36" i="1998"/>
  <c r="R35" i="1998"/>
  <c r="D35" i="1998"/>
  <c r="R34" i="1998"/>
  <c r="L12" i="1998" s="1"/>
  <c r="D12" i="1998" s="1"/>
  <c r="D34" i="1998"/>
  <c r="D54" i="1998" s="1"/>
  <c r="H14" i="1998" s="1"/>
  <c r="R33" i="1998"/>
  <c r="L23" i="1998" s="1"/>
  <c r="D23" i="1998" s="1"/>
  <c r="R32" i="1998"/>
  <c r="L11" i="1998" s="1"/>
  <c r="D11" i="1998" s="1"/>
  <c r="R31" i="1998"/>
  <c r="R30" i="1998"/>
  <c r="R29" i="1998"/>
  <c r="R28" i="1998"/>
  <c r="D28" i="1998"/>
  <c r="R27" i="1998"/>
  <c r="D27" i="1998"/>
  <c r="R26" i="1998"/>
  <c r="L26" i="1998"/>
  <c r="D26" i="1998"/>
  <c r="R25" i="1998"/>
  <c r="L25" i="1998"/>
  <c r="D25" i="1998"/>
  <c r="R24" i="1998"/>
  <c r="D24" i="1998"/>
  <c r="R23" i="1998"/>
  <c r="R22" i="1998"/>
  <c r="L22" i="1998"/>
  <c r="D22" i="1998"/>
  <c r="R21" i="1998"/>
  <c r="D21" i="1998"/>
  <c r="R20" i="1998"/>
  <c r="L20" i="1998"/>
  <c r="D20" i="1998"/>
  <c r="R19" i="1998"/>
  <c r="L19" i="1998"/>
  <c r="D19" i="1998"/>
  <c r="R18" i="1998"/>
  <c r="D18" i="1998"/>
  <c r="R17" i="1998"/>
  <c r="D17" i="1998"/>
  <c r="R16" i="1998"/>
  <c r="L16" i="1998"/>
  <c r="D16" i="1998" s="1"/>
  <c r="S15" i="1998"/>
  <c r="R15" i="1998"/>
  <c r="D15" i="1998"/>
  <c r="S14" i="1998"/>
  <c r="R14" i="1998"/>
  <c r="D14" i="1998"/>
  <c r="R13" i="1998"/>
  <c r="D13" i="1998"/>
  <c r="R12" i="1998"/>
  <c r="R11" i="1998"/>
  <c r="L10" i="1998"/>
  <c r="D10" i="1998" s="1"/>
  <c r="L9" i="1998"/>
  <c r="D9" i="1998" s="1"/>
  <c r="L8" i="1998"/>
  <c r="D8" i="1998"/>
  <c r="R6" i="1998"/>
  <c r="R5" i="1998"/>
  <c r="R4" i="1998"/>
  <c r="R52" i="1997"/>
  <c r="R51" i="1997"/>
  <c r="D50" i="1997"/>
  <c r="R49" i="1997"/>
  <c r="D49" i="1997"/>
  <c r="R48" i="1997"/>
  <c r="D48" i="1997"/>
  <c r="D46" i="1997"/>
  <c r="D45" i="1997"/>
  <c r="R44" i="1997"/>
  <c r="L28" i="1997" s="1"/>
  <c r="D28" i="1997" s="1"/>
  <c r="D44" i="1997"/>
  <c r="R42" i="1997"/>
  <c r="D42" i="1997"/>
  <c r="R41" i="1997"/>
  <c r="L7" i="1997" s="1"/>
  <c r="D7" i="1997" s="1"/>
  <c r="D41" i="1997"/>
  <c r="R40" i="1997"/>
  <c r="D40" i="1997"/>
  <c r="R39" i="1997"/>
  <c r="H39" i="1997"/>
  <c r="D39" i="1997"/>
  <c r="R38" i="1997"/>
  <c r="H38" i="1997"/>
  <c r="D38" i="1997"/>
  <c r="R37" i="1997"/>
  <c r="H37" i="1997"/>
  <c r="D37" i="1997"/>
  <c r="R36" i="1997"/>
  <c r="H36" i="1997"/>
  <c r="D36" i="1997"/>
  <c r="R35" i="1997"/>
  <c r="H35" i="1997"/>
  <c r="D35" i="1997"/>
  <c r="R34" i="1997"/>
  <c r="L12" i="1997" s="1"/>
  <c r="D12" i="1997" s="1"/>
  <c r="H34" i="1997"/>
  <c r="G49" i="1997" s="1"/>
  <c r="D34" i="1997"/>
  <c r="D54" i="1997" s="1"/>
  <c r="H14" i="1997" s="1"/>
  <c r="R33" i="1997"/>
  <c r="L19" i="1997" s="1"/>
  <c r="D19" i="1997" s="1"/>
  <c r="R32" i="1997"/>
  <c r="L11" i="1997" s="1"/>
  <c r="D11" i="1997" s="1"/>
  <c r="R31" i="1997"/>
  <c r="R30" i="1997"/>
  <c r="R29" i="1997"/>
  <c r="R28" i="1997"/>
  <c r="R27" i="1997"/>
  <c r="L27" i="1997"/>
  <c r="D27" i="1997"/>
  <c r="R26" i="1997"/>
  <c r="L26" i="1997"/>
  <c r="D26" i="1997"/>
  <c r="R25" i="1997"/>
  <c r="L25" i="1997"/>
  <c r="D25" i="1997" s="1"/>
  <c r="R24" i="1997"/>
  <c r="L24" i="1997"/>
  <c r="D24" i="1997"/>
  <c r="R23" i="1997"/>
  <c r="L23" i="1997"/>
  <c r="D23" i="1997"/>
  <c r="R22" i="1997"/>
  <c r="L22" i="1997"/>
  <c r="D22" i="1997" s="1"/>
  <c r="R21" i="1997"/>
  <c r="L17" i="1997" s="1"/>
  <c r="D17" i="1997" s="1"/>
  <c r="L21" i="1997"/>
  <c r="D21" i="1997"/>
  <c r="R20" i="1997"/>
  <c r="L20" i="1997"/>
  <c r="D20" i="1997"/>
  <c r="R19" i="1997"/>
  <c r="R18" i="1997"/>
  <c r="L18" i="1997"/>
  <c r="D18" i="1997" s="1"/>
  <c r="R17" i="1997"/>
  <c r="R16" i="1997"/>
  <c r="R15" i="1997"/>
  <c r="L15" i="1997"/>
  <c r="D15" i="1997" s="1"/>
  <c r="R14" i="1997"/>
  <c r="D14" i="1997"/>
  <c r="R13" i="1997"/>
  <c r="D13" i="1997"/>
  <c r="R12" i="1997"/>
  <c r="R11" i="1997"/>
  <c r="L10" i="1997"/>
  <c r="D10" i="1997"/>
  <c r="L9" i="1997"/>
  <c r="D9" i="1997"/>
  <c r="L8" i="1997"/>
  <c r="D8" i="1997" s="1"/>
  <c r="R6" i="1997"/>
  <c r="L16" i="1997" s="1"/>
  <c r="D16" i="1997" s="1"/>
  <c r="L6" i="1997"/>
  <c r="D6" i="1997"/>
  <c r="R5" i="1997"/>
  <c r="R4" i="1997"/>
  <c r="R52" i="1996"/>
  <c r="R51" i="1996"/>
  <c r="D50" i="1996"/>
  <c r="R49" i="1996"/>
  <c r="D49" i="1996"/>
  <c r="R48" i="1996"/>
  <c r="D48" i="1996"/>
  <c r="D46" i="1996"/>
  <c r="D45" i="1996"/>
  <c r="R44" i="1996"/>
  <c r="D44" i="1996"/>
  <c r="R42" i="1996"/>
  <c r="D42" i="1996"/>
  <c r="R41" i="1996"/>
  <c r="D41" i="1996"/>
  <c r="R40" i="1996"/>
  <c r="D40" i="1996"/>
  <c r="R39" i="1996"/>
  <c r="H39" i="1996"/>
  <c r="D39" i="1996"/>
  <c r="R38" i="1996"/>
  <c r="H38" i="1996"/>
  <c r="D38" i="1996"/>
  <c r="R37" i="1996"/>
  <c r="H37" i="1996"/>
  <c r="D37" i="1996"/>
  <c r="R36" i="1996"/>
  <c r="L10" i="1996" s="1"/>
  <c r="D10" i="1996" s="1"/>
  <c r="H36" i="1996"/>
  <c r="D36" i="1996"/>
  <c r="R35" i="1996"/>
  <c r="H35" i="1996"/>
  <c r="G49" i="1996" s="1"/>
  <c r="D35" i="1996"/>
  <c r="R34" i="1996"/>
  <c r="H34" i="1996"/>
  <c r="D34" i="1996"/>
  <c r="D54" i="1996" s="1"/>
  <c r="H14" i="1996" s="1"/>
  <c r="R33" i="1996"/>
  <c r="R32" i="1996"/>
  <c r="L11" i="1996" s="1"/>
  <c r="D11" i="1996" s="1"/>
  <c r="R31" i="1996"/>
  <c r="R30" i="1996"/>
  <c r="R29" i="1996"/>
  <c r="R28" i="1996"/>
  <c r="L28" i="1996"/>
  <c r="D28" i="1996"/>
  <c r="R27" i="1996"/>
  <c r="L27" i="1996"/>
  <c r="D27" i="1996" s="1"/>
  <c r="R26" i="1996"/>
  <c r="L26" i="1996"/>
  <c r="D26" i="1996"/>
  <c r="R25" i="1996"/>
  <c r="L25" i="1996"/>
  <c r="D25" i="1996"/>
  <c r="R24" i="1996"/>
  <c r="L24" i="1996"/>
  <c r="D24" i="1996"/>
  <c r="R23" i="1996"/>
  <c r="L23" i="1996"/>
  <c r="D23" i="1996" s="1"/>
  <c r="R22" i="1996"/>
  <c r="L20" i="1996" s="1"/>
  <c r="D20" i="1996" s="1"/>
  <c r="L22" i="1996"/>
  <c r="D22" i="1996"/>
  <c r="R21" i="1996"/>
  <c r="L21" i="1996"/>
  <c r="D21" i="1996"/>
  <c r="R20" i="1996"/>
  <c r="R19" i="1996"/>
  <c r="L19" i="1996"/>
  <c r="D19" i="1996" s="1"/>
  <c r="R18" i="1996"/>
  <c r="L18" i="1996"/>
  <c r="D18" i="1996"/>
  <c r="R17" i="1996"/>
  <c r="L17" i="1996"/>
  <c r="D17" i="1996" s="1"/>
  <c r="R16" i="1996"/>
  <c r="R15" i="1996"/>
  <c r="L15" i="1996"/>
  <c r="D15" i="1996"/>
  <c r="R14" i="1996"/>
  <c r="D14" i="1996"/>
  <c r="R13" i="1996"/>
  <c r="D13" i="1996"/>
  <c r="R12" i="1996"/>
  <c r="L12" i="1996"/>
  <c r="D12" i="1996" s="1"/>
  <c r="R11" i="1996"/>
  <c r="L9" i="1996"/>
  <c r="D9" i="1996"/>
  <c r="L8" i="1996"/>
  <c r="D8" i="1996"/>
  <c r="L7" i="1996"/>
  <c r="D7" i="1996"/>
  <c r="R6" i="1996"/>
  <c r="L16" i="1996" s="1"/>
  <c r="D16" i="1996" s="1"/>
  <c r="L6" i="1996"/>
  <c r="D6" i="1996"/>
  <c r="R5" i="1996"/>
  <c r="R4" i="1996"/>
  <c r="R52" i="1995"/>
  <c r="R51" i="1995"/>
  <c r="D50" i="1995"/>
  <c r="R49" i="1995"/>
  <c r="G49" i="1995"/>
  <c r="D49" i="1995"/>
  <c r="R48" i="1995"/>
  <c r="D48" i="1995"/>
  <c r="D46" i="1995"/>
  <c r="D45" i="1995"/>
  <c r="R44" i="1995"/>
  <c r="L28" i="1995" s="1"/>
  <c r="D28" i="1995" s="1"/>
  <c r="D44" i="1995"/>
  <c r="R42" i="1995"/>
  <c r="D42" i="1995"/>
  <c r="R41" i="1995"/>
  <c r="L7" i="1995" s="1"/>
  <c r="D7" i="1995" s="1"/>
  <c r="D41" i="1995"/>
  <c r="R40" i="1995"/>
  <c r="L8" i="1995" s="1"/>
  <c r="D8" i="1995" s="1"/>
  <c r="D40" i="1995"/>
  <c r="R39" i="1995"/>
  <c r="H39" i="1995"/>
  <c r="D39" i="1995"/>
  <c r="R38" i="1995"/>
  <c r="H38" i="1995"/>
  <c r="D38" i="1995"/>
  <c r="R37" i="1995"/>
  <c r="H37" i="1995"/>
  <c r="D37" i="1995"/>
  <c r="R36" i="1995"/>
  <c r="H36" i="1995"/>
  <c r="D36" i="1995"/>
  <c r="R35" i="1995"/>
  <c r="L18" i="1995" s="1"/>
  <c r="D18" i="1995" s="1"/>
  <c r="H35" i="1995"/>
  <c r="D35" i="1995"/>
  <c r="R34" i="1995"/>
  <c r="H34" i="1995"/>
  <c r="D34" i="1995"/>
  <c r="D54" i="1995" s="1"/>
  <c r="H14" i="1995" s="1"/>
  <c r="R33" i="1995"/>
  <c r="L19" i="1995" s="1"/>
  <c r="D19" i="1995" s="1"/>
  <c r="R32" i="1995"/>
  <c r="R31" i="1995"/>
  <c r="R30" i="1995"/>
  <c r="R29" i="1995"/>
  <c r="R28" i="1995"/>
  <c r="R27" i="1995"/>
  <c r="L27" i="1995"/>
  <c r="D27" i="1995"/>
  <c r="R26" i="1995"/>
  <c r="L26" i="1995"/>
  <c r="D26" i="1995"/>
  <c r="R25" i="1995"/>
  <c r="L25" i="1995"/>
  <c r="D25" i="1995"/>
  <c r="R24" i="1995"/>
  <c r="L24" i="1995"/>
  <c r="D24" i="1995" s="1"/>
  <c r="R23" i="1995"/>
  <c r="L23" i="1995"/>
  <c r="D23" i="1995" s="1"/>
  <c r="R22" i="1995"/>
  <c r="L22" i="1995"/>
  <c r="D22" i="1995" s="1"/>
  <c r="R21" i="1995"/>
  <c r="L21" i="1995"/>
  <c r="D21" i="1995"/>
  <c r="R20" i="1995"/>
  <c r="L20" i="1995"/>
  <c r="D20" i="1995" s="1"/>
  <c r="R19" i="1995"/>
  <c r="R18" i="1995"/>
  <c r="R17" i="1995"/>
  <c r="L17" i="1995"/>
  <c r="D17" i="1995"/>
  <c r="R16" i="1995"/>
  <c r="R15" i="1995"/>
  <c r="L15" i="1995"/>
  <c r="D15" i="1995" s="1"/>
  <c r="R14" i="1995"/>
  <c r="D14" i="1995"/>
  <c r="R13" i="1995"/>
  <c r="D13" i="1995"/>
  <c r="R12" i="1995"/>
  <c r="L12" i="1995"/>
  <c r="D12" i="1995" s="1"/>
  <c r="R11" i="1995"/>
  <c r="L11" i="1995"/>
  <c r="D11" i="1995"/>
  <c r="L10" i="1995"/>
  <c r="D10" i="1995"/>
  <c r="L9" i="1995"/>
  <c r="D9" i="1995"/>
  <c r="R6" i="1995"/>
  <c r="L16" i="1995" s="1"/>
  <c r="D16" i="1995" s="1"/>
  <c r="L6" i="1995"/>
  <c r="D6" i="1995"/>
  <c r="R5" i="1995"/>
  <c r="R4" i="1995"/>
  <c r="R52" i="1994"/>
  <c r="R51" i="1994"/>
  <c r="D50" i="1994"/>
  <c r="R49" i="1994"/>
  <c r="G49" i="1994"/>
  <c r="D49" i="1994"/>
  <c r="R48" i="1994"/>
  <c r="D48" i="1994"/>
  <c r="D46" i="1994"/>
  <c r="D45" i="1994"/>
  <c r="D44" i="1994"/>
  <c r="R42" i="1994"/>
  <c r="L6" i="1994" s="1"/>
  <c r="D6" i="1994" s="1"/>
  <c r="D42" i="1994"/>
  <c r="R41" i="1994"/>
  <c r="L7" i="1994" s="1"/>
  <c r="D7" i="1994" s="1"/>
  <c r="D41" i="1994"/>
  <c r="R40" i="1994"/>
  <c r="D40" i="1994"/>
  <c r="R39" i="1994"/>
  <c r="D39" i="1994"/>
  <c r="R38" i="1994"/>
  <c r="D38" i="1994"/>
  <c r="R37" i="1994"/>
  <c r="D37" i="1994"/>
  <c r="R36" i="1994"/>
  <c r="L10" i="1994" s="1"/>
  <c r="D10" i="1994" s="1"/>
  <c r="D36" i="1994"/>
  <c r="R35" i="1994"/>
  <c r="D35" i="1994"/>
  <c r="R34" i="1994"/>
  <c r="L12" i="1994" s="1"/>
  <c r="D12" i="1994" s="1"/>
  <c r="D34" i="1994"/>
  <c r="D54" i="1994" s="1"/>
  <c r="H14" i="1994" s="1"/>
  <c r="R33" i="1994"/>
  <c r="L23" i="1994" s="1"/>
  <c r="D23" i="1994" s="1"/>
  <c r="R32" i="1994"/>
  <c r="R31" i="1994"/>
  <c r="R30" i="1994"/>
  <c r="R29" i="1994"/>
  <c r="R28" i="1994"/>
  <c r="D28" i="1994"/>
  <c r="R27" i="1994"/>
  <c r="D27" i="1994"/>
  <c r="R26" i="1994"/>
  <c r="L26" i="1994"/>
  <c r="D26" i="1994"/>
  <c r="R25" i="1994"/>
  <c r="L25" i="1994"/>
  <c r="D25" i="1994"/>
  <c r="R24" i="1994"/>
  <c r="D24" i="1994"/>
  <c r="R23" i="1994"/>
  <c r="R22" i="1994"/>
  <c r="L22" i="1994"/>
  <c r="D22" i="1994"/>
  <c r="R21" i="1994"/>
  <c r="D21" i="1994"/>
  <c r="R20" i="1994"/>
  <c r="L20" i="1994"/>
  <c r="D20" i="1994"/>
  <c r="R19" i="1994"/>
  <c r="L19" i="1994"/>
  <c r="D19" i="1994"/>
  <c r="R18" i="1994"/>
  <c r="D18" i="1994"/>
  <c r="R17" i="1994"/>
  <c r="D17" i="1994"/>
  <c r="R16" i="1994"/>
  <c r="L16" i="1994"/>
  <c r="D16" i="1994" s="1"/>
  <c r="S15" i="1994"/>
  <c r="R15" i="1994"/>
  <c r="D15" i="1994"/>
  <c r="S14" i="1994"/>
  <c r="R14" i="1994"/>
  <c r="D14" i="1994"/>
  <c r="R13" i="1994"/>
  <c r="D13" i="1994"/>
  <c r="R12" i="1994"/>
  <c r="R11" i="1994"/>
  <c r="L11" i="1994"/>
  <c r="D11" i="1994"/>
  <c r="L9" i="1994"/>
  <c r="D9" i="1994"/>
  <c r="L8" i="1994"/>
  <c r="D8" i="1994"/>
  <c r="R6" i="1994"/>
  <c r="R5" i="1994"/>
  <c r="R4" i="1994"/>
  <c r="R52" i="1993"/>
  <c r="R51" i="1993"/>
  <c r="D50" i="1993"/>
  <c r="R49" i="1993"/>
  <c r="D49" i="1993"/>
  <c r="R48" i="1993"/>
  <c r="D48" i="1993"/>
  <c r="D46" i="1993"/>
  <c r="D45" i="1993"/>
  <c r="R44" i="1993"/>
  <c r="D44" i="1993"/>
  <c r="R42" i="1993"/>
  <c r="L6" i="1993" s="1"/>
  <c r="D6" i="1993" s="1"/>
  <c r="D42" i="1993"/>
  <c r="R41" i="1993"/>
  <c r="L7" i="1993" s="1"/>
  <c r="D7" i="1993" s="1"/>
  <c r="D41" i="1993"/>
  <c r="R40" i="1993"/>
  <c r="D40" i="1993"/>
  <c r="R39" i="1993"/>
  <c r="H39" i="1993"/>
  <c r="D39" i="1993"/>
  <c r="R38" i="1993"/>
  <c r="L9" i="1993" s="1"/>
  <c r="D9" i="1993" s="1"/>
  <c r="H38" i="1993"/>
  <c r="D38" i="1993"/>
  <c r="R37" i="1993"/>
  <c r="H37" i="1993"/>
  <c r="D37" i="1993"/>
  <c r="R36" i="1993"/>
  <c r="L10" i="1993" s="1"/>
  <c r="D10" i="1993" s="1"/>
  <c r="H36" i="1993"/>
  <c r="D36" i="1993"/>
  <c r="R35" i="1993"/>
  <c r="L18" i="1993" s="1"/>
  <c r="D18" i="1993" s="1"/>
  <c r="H35" i="1993"/>
  <c r="D35" i="1993"/>
  <c r="R34" i="1993"/>
  <c r="H34" i="1993"/>
  <c r="D34" i="1993"/>
  <c r="R33" i="1993"/>
  <c r="R32" i="1993"/>
  <c r="L11" i="1993" s="1"/>
  <c r="D11" i="1993" s="1"/>
  <c r="R31" i="1993"/>
  <c r="R30" i="1993"/>
  <c r="R29" i="1993"/>
  <c r="R28" i="1993"/>
  <c r="L28" i="1993"/>
  <c r="D28" i="1993"/>
  <c r="R27" i="1993"/>
  <c r="L27" i="1993"/>
  <c r="D27" i="1993"/>
  <c r="R26" i="1993"/>
  <c r="L26" i="1993"/>
  <c r="D26" i="1993"/>
  <c r="R25" i="1993"/>
  <c r="L25" i="1993"/>
  <c r="D25" i="1993"/>
  <c r="R24" i="1993"/>
  <c r="L24" i="1993"/>
  <c r="D24" i="1993"/>
  <c r="R23" i="1993"/>
  <c r="L23" i="1993"/>
  <c r="D23" i="1993"/>
  <c r="R22" i="1993"/>
  <c r="L20" i="1993" s="1"/>
  <c r="D20" i="1993" s="1"/>
  <c r="L22" i="1993"/>
  <c r="D22" i="1993" s="1"/>
  <c r="R21" i="1993"/>
  <c r="L21" i="1993"/>
  <c r="D21" i="1993" s="1"/>
  <c r="R20" i="1993"/>
  <c r="R19" i="1993"/>
  <c r="L19" i="1993"/>
  <c r="D19" i="1993"/>
  <c r="R18" i="1993"/>
  <c r="R17" i="1993"/>
  <c r="L17" i="1993"/>
  <c r="D17" i="1993"/>
  <c r="R16" i="1993"/>
  <c r="R15" i="1993"/>
  <c r="R14" i="1993"/>
  <c r="D14" i="1993"/>
  <c r="R13" i="1993"/>
  <c r="D13" i="1993"/>
  <c r="R12" i="1993"/>
  <c r="L12" i="1993"/>
  <c r="D12" i="1993"/>
  <c r="R11" i="1993"/>
  <c r="L8" i="1993"/>
  <c r="D8" i="1993" s="1"/>
  <c r="R6" i="1993"/>
  <c r="L16" i="1993" s="1"/>
  <c r="D16" i="1993" s="1"/>
  <c r="R5" i="1993"/>
  <c r="R4" i="1993"/>
  <c r="L15" i="1993" s="1"/>
  <c r="D15" i="1993" s="1"/>
  <c r="R52" i="1992"/>
  <c r="R51" i="1992"/>
  <c r="D50" i="1992"/>
  <c r="R49" i="1992"/>
  <c r="D49" i="1992"/>
  <c r="R48" i="1992"/>
  <c r="D48" i="1992"/>
  <c r="D46" i="1992"/>
  <c r="D45" i="1992"/>
  <c r="R44" i="1992"/>
  <c r="D44" i="1992"/>
  <c r="R42" i="1992"/>
  <c r="L6" i="1992" s="1"/>
  <c r="D6" i="1992" s="1"/>
  <c r="D42" i="1992"/>
  <c r="R41" i="1992"/>
  <c r="D41" i="1992"/>
  <c r="R40" i="1992"/>
  <c r="L8" i="1992" s="1"/>
  <c r="D8" i="1992" s="1"/>
  <c r="D40" i="1992"/>
  <c r="R39" i="1992"/>
  <c r="H39" i="1992"/>
  <c r="D39" i="1992"/>
  <c r="R38" i="1992"/>
  <c r="H38" i="1992"/>
  <c r="D38" i="1992"/>
  <c r="R37" i="1992"/>
  <c r="H37" i="1992"/>
  <c r="D37" i="1992"/>
  <c r="R36" i="1992"/>
  <c r="L10" i="1992" s="1"/>
  <c r="D10" i="1992" s="1"/>
  <c r="H36" i="1992"/>
  <c r="D36" i="1992"/>
  <c r="R35" i="1992"/>
  <c r="H35" i="1992"/>
  <c r="D35" i="1992"/>
  <c r="R34" i="1992"/>
  <c r="H34" i="1992"/>
  <c r="D34" i="1992"/>
  <c r="R33" i="1992"/>
  <c r="L19" i="1992" s="1"/>
  <c r="D19" i="1992" s="1"/>
  <c r="R32" i="1992"/>
  <c r="R31" i="1992"/>
  <c r="R30" i="1992"/>
  <c r="R29" i="1992"/>
  <c r="R28" i="1992"/>
  <c r="L28" i="1992"/>
  <c r="D28" i="1992"/>
  <c r="R27" i="1992"/>
  <c r="L27" i="1992"/>
  <c r="D27" i="1992"/>
  <c r="R26" i="1992"/>
  <c r="L26" i="1992"/>
  <c r="D26" i="1992" s="1"/>
  <c r="R25" i="1992"/>
  <c r="L25" i="1992"/>
  <c r="D25" i="1992"/>
  <c r="R24" i="1992"/>
  <c r="L24" i="1992"/>
  <c r="D24" i="1992"/>
  <c r="R23" i="1992"/>
  <c r="L23" i="1992"/>
  <c r="D23" i="1992"/>
  <c r="R22" i="1992"/>
  <c r="L20" i="1992" s="1"/>
  <c r="D20" i="1992" s="1"/>
  <c r="L22" i="1992"/>
  <c r="D22" i="1992"/>
  <c r="R21" i="1992"/>
  <c r="L21" i="1992"/>
  <c r="D21" i="1992"/>
  <c r="R20" i="1992"/>
  <c r="R19" i="1992"/>
  <c r="R18" i="1992"/>
  <c r="L18" i="1992"/>
  <c r="D18" i="1992" s="1"/>
  <c r="R17" i="1992"/>
  <c r="L17" i="1992"/>
  <c r="D17" i="1992" s="1"/>
  <c r="R16" i="1992"/>
  <c r="R15" i="1992"/>
  <c r="L15" i="1992"/>
  <c r="D15" i="1992" s="1"/>
  <c r="R14" i="1992"/>
  <c r="D14" i="1992"/>
  <c r="R13" i="1992"/>
  <c r="D13" i="1992"/>
  <c r="R12" i="1992"/>
  <c r="L12" i="1992"/>
  <c r="D12" i="1992" s="1"/>
  <c r="R11" i="1992"/>
  <c r="L11" i="1992"/>
  <c r="D11" i="1992" s="1"/>
  <c r="L9" i="1992"/>
  <c r="D9" i="1992" s="1"/>
  <c r="L7" i="1992"/>
  <c r="D7" i="1992"/>
  <c r="R6" i="1992"/>
  <c r="L16" i="1992" s="1"/>
  <c r="D16" i="1992" s="1"/>
  <c r="R5" i="1992"/>
  <c r="R4" i="1992"/>
  <c r="R52" i="1991"/>
  <c r="R51" i="1991"/>
  <c r="D50" i="1991"/>
  <c r="R49" i="1991"/>
  <c r="D49" i="1991"/>
  <c r="R48" i="1991"/>
  <c r="D48" i="1991"/>
  <c r="D46" i="1991"/>
  <c r="D45" i="1991"/>
  <c r="R44" i="1991"/>
  <c r="D44" i="1991"/>
  <c r="R42" i="1991"/>
  <c r="L6" i="1991" s="1"/>
  <c r="D6" i="1991" s="1"/>
  <c r="D42" i="1991"/>
  <c r="R41" i="1991"/>
  <c r="L7" i="1991" s="1"/>
  <c r="D7" i="1991" s="1"/>
  <c r="D41" i="1991"/>
  <c r="R40" i="1991"/>
  <c r="L8" i="1991" s="1"/>
  <c r="D8" i="1991" s="1"/>
  <c r="D40" i="1991"/>
  <c r="R39" i="1991"/>
  <c r="H39" i="1991"/>
  <c r="D39" i="1991"/>
  <c r="R38" i="1991"/>
  <c r="H38" i="1991"/>
  <c r="D38" i="1991"/>
  <c r="R37" i="1991"/>
  <c r="H37" i="1991"/>
  <c r="D37" i="1991"/>
  <c r="R36" i="1991"/>
  <c r="L10" i="1991" s="1"/>
  <c r="D10" i="1991" s="1"/>
  <c r="H36" i="1991"/>
  <c r="D36" i="1991"/>
  <c r="R35" i="1991"/>
  <c r="L18" i="1991" s="1"/>
  <c r="D18" i="1991" s="1"/>
  <c r="H35" i="1991"/>
  <c r="D35" i="1991"/>
  <c r="R34" i="1991"/>
  <c r="L12" i="1991" s="1"/>
  <c r="D12" i="1991" s="1"/>
  <c r="H34" i="1991"/>
  <c r="D34" i="1991"/>
  <c r="R33" i="1991"/>
  <c r="R32" i="1991"/>
  <c r="R31" i="1991"/>
  <c r="R30" i="1991"/>
  <c r="R29" i="1991"/>
  <c r="R28" i="1991"/>
  <c r="L28" i="1991"/>
  <c r="D28" i="1991"/>
  <c r="R27" i="1991"/>
  <c r="L27" i="1991"/>
  <c r="D27" i="1991"/>
  <c r="R26" i="1991"/>
  <c r="L26" i="1991"/>
  <c r="D26" i="1991" s="1"/>
  <c r="R25" i="1991"/>
  <c r="L25" i="1991"/>
  <c r="D25" i="1991" s="1"/>
  <c r="R24" i="1991"/>
  <c r="L24" i="1991"/>
  <c r="D24" i="1991" s="1"/>
  <c r="R23" i="1991"/>
  <c r="L23" i="1991"/>
  <c r="D23" i="1991"/>
  <c r="R22" i="1991"/>
  <c r="L20" i="1991" s="1"/>
  <c r="D20" i="1991" s="1"/>
  <c r="L22" i="1991"/>
  <c r="D22" i="1991"/>
  <c r="R21" i="1991"/>
  <c r="L17" i="1991" s="1"/>
  <c r="D17" i="1991" s="1"/>
  <c r="L21" i="1991"/>
  <c r="D21" i="1991"/>
  <c r="R20" i="1991"/>
  <c r="R19" i="1991"/>
  <c r="L19" i="1991"/>
  <c r="D19" i="1991"/>
  <c r="R18" i="1991"/>
  <c r="R17" i="1991"/>
  <c r="R16" i="1991"/>
  <c r="L16" i="1991"/>
  <c r="D16" i="1991"/>
  <c r="R15" i="1991"/>
  <c r="R14" i="1991"/>
  <c r="D14" i="1991"/>
  <c r="R13" i="1991"/>
  <c r="D13" i="1991"/>
  <c r="R12" i="1991"/>
  <c r="R11" i="1991"/>
  <c r="L11" i="1991"/>
  <c r="D11" i="1991"/>
  <c r="L9" i="1991"/>
  <c r="D9" i="1991" s="1"/>
  <c r="R6" i="1991"/>
  <c r="R5" i="1991"/>
  <c r="R4" i="1991"/>
  <c r="L15" i="1991" s="1"/>
  <c r="D15" i="1991" s="1"/>
  <c r="R52" i="1990"/>
  <c r="R51" i="1990"/>
  <c r="D50" i="1990"/>
  <c r="R49" i="1990"/>
  <c r="G49" i="1990"/>
  <c r="D49" i="1990"/>
  <c r="R48" i="1990"/>
  <c r="D48" i="1990"/>
  <c r="D46" i="1990"/>
  <c r="D45" i="1990"/>
  <c r="D44" i="1990"/>
  <c r="R42" i="1990"/>
  <c r="L6" i="1990" s="1"/>
  <c r="D6" i="1990" s="1"/>
  <c r="D42" i="1990"/>
  <c r="R41" i="1990"/>
  <c r="L7" i="1990" s="1"/>
  <c r="D7" i="1990" s="1"/>
  <c r="D41" i="1990"/>
  <c r="R40" i="1990"/>
  <c r="D40" i="1990"/>
  <c r="R39" i="1990"/>
  <c r="D39" i="1990"/>
  <c r="R38" i="1990"/>
  <c r="D38" i="1990"/>
  <c r="R37" i="1990"/>
  <c r="D37" i="1990"/>
  <c r="R36" i="1990"/>
  <c r="L10" i="1990" s="1"/>
  <c r="D10" i="1990" s="1"/>
  <c r="D36" i="1990"/>
  <c r="R35" i="1990"/>
  <c r="D35" i="1990"/>
  <c r="R34" i="1990"/>
  <c r="L12" i="1990" s="1"/>
  <c r="D12" i="1990" s="1"/>
  <c r="D34" i="1990"/>
  <c r="D54" i="1990" s="1"/>
  <c r="H14" i="1990" s="1"/>
  <c r="R33" i="1990"/>
  <c r="L23" i="1990" s="1"/>
  <c r="D23" i="1990" s="1"/>
  <c r="R32" i="1990"/>
  <c r="R31" i="1990"/>
  <c r="R30" i="1990"/>
  <c r="R29" i="1990"/>
  <c r="R28" i="1990"/>
  <c r="D28" i="1990"/>
  <c r="R27" i="1990"/>
  <c r="D27" i="1990"/>
  <c r="R26" i="1990"/>
  <c r="L26" i="1990"/>
  <c r="D26" i="1990"/>
  <c r="R25" i="1990"/>
  <c r="L25" i="1990"/>
  <c r="D25" i="1990"/>
  <c r="R24" i="1990"/>
  <c r="D24" i="1990"/>
  <c r="R23" i="1990"/>
  <c r="R22" i="1990"/>
  <c r="L22" i="1990"/>
  <c r="D22" i="1990"/>
  <c r="R21" i="1990"/>
  <c r="D21" i="1990"/>
  <c r="R20" i="1990"/>
  <c r="L20" i="1990"/>
  <c r="D20" i="1990"/>
  <c r="R19" i="1990"/>
  <c r="L19" i="1990"/>
  <c r="D19" i="1990"/>
  <c r="R18" i="1990"/>
  <c r="D18" i="1990"/>
  <c r="R17" i="1990"/>
  <c r="D17" i="1990"/>
  <c r="R16" i="1990"/>
  <c r="L16" i="1990"/>
  <c r="D16" i="1990" s="1"/>
  <c r="S15" i="1990"/>
  <c r="R15" i="1990"/>
  <c r="D15" i="1990"/>
  <c r="S14" i="1990"/>
  <c r="R14" i="1990"/>
  <c r="D14" i="1990"/>
  <c r="R13" i="1990"/>
  <c r="D13" i="1990"/>
  <c r="R12" i="1990"/>
  <c r="R11" i="1990"/>
  <c r="L11" i="1990"/>
  <c r="D11" i="1990"/>
  <c r="L9" i="1990"/>
  <c r="D9" i="1990"/>
  <c r="L8" i="1990"/>
  <c r="D8" i="1990"/>
  <c r="R6" i="1990"/>
  <c r="R5" i="1990"/>
  <c r="R4" i="1990"/>
  <c r="G49" i="1993" l="1"/>
  <c r="G49" i="1992"/>
  <c r="D54" i="1992"/>
  <c r="H14" i="1992" s="1"/>
  <c r="D54" i="1993"/>
  <c r="H14" i="1993" s="1"/>
  <c r="D54" i="1991"/>
  <c r="H14" i="1991" s="1"/>
  <c r="D29" i="2009"/>
  <c r="H13" i="2009" s="1"/>
  <c r="H15" i="2009" s="1"/>
  <c r="H29" i="2009" s="1"/>
  <c r="G51" i="2009" s="1"/>
  <c r="D29" i="2008"/>
  <c r="H13" i="2008" s="1"/>
  <c r="H15" i="2008" s="1"/>
  <c r="H29" i="2008" s="1"/>
  <c r="G51" i="2008"/>
  <c r="D29" i="2007"/>
  <c r="H13" i="2007" s="1"/>
  <c r="H15" i="2007" s="1"/>
  <c r="H29" i="2007" s="1"/>
  <c r="G51" i="2007" s="1"/>
  <c r="D29" i="2006"/>
  <c r="H13" i="2006" s="1"/>
  <c r="H15" i="2006" s="1"/>
  <c r="H29" i="2006" s="1"/>
  <c r="G51" i="2006" s="1"/>
  <c r="D29" i="2005"/>
  <c r="H13" i="2005" s="1"/>
  <c r="H15" i="2005" s="1"/>
  <c r="H29" i="2005" s="1"/>
  <c r="G51" i="2005" s="1"/>
  <c r="D29" i="2004"/>
  <c r="H13" i="2004" s="1"/>
  <c r="H15" i="2004" s="1"/>
  <c r="H29" i="2004" s="1"/>
  <c r="G51" i="2004" s="1"/>
  <c r="D29" i="2003"/>
  <c r="H13" i="2003" s="1"/>
  <c r="H15" i="2003" s="1"/>
  <c r="H29" i="2003" s="1"/>
  <c r="G51" i="2003" s="1"/>
  <c r="D29" i="2002"/>
  <c r="H13" i="2002" s="1"/>
  <c r="H15" i="2002" s="1"/>
  <c r="H29" i="2002" s="1"/>
  <c r="G51" i="2002"/>
  <c r="D29" i="2001"/>
  <c r="H13" i="2001" s="1"/>
  <c r="H15" i="2001" s="1"/>
  <c r="H29" i="2001" s="1"/>
  <c r="G51" i="2001" s="1"/>
  <c r="D29" i="2000"/>
  <c r="H13" i="2000" s="1"/>
  <c r="H15" i="2000" s="1"/>
  <c r="H29" i="2000" s="1"/>
  <c r="G51" i="2000" s="1"/>
  <c r="D29" i="1999"/>
  <c r="H13" i="1999" s="1"/>
  <c r="H15" i="1999" s="1"/>
  <c r="H29" i="1999" s="1"/>
  <c r="G51" i="1999" s="1"/>
  <c r="D29" i="1998"/>
  <c r="H13" i="1998" s="1"/>
  <c r="H15" i="1998" s="1"/>
  <c r="H29" i="1998" s="1"/>
  <c r="G51" i="1998" s="1"/>
  <c r="G49" i="1991"/>
  <c r="D29" i="1997"/>
  <c r="H13" i="1997" s="1"/>
  <c r="H15" i="1997" s="1"/>
  <c r="H29" i="1997" s="1"/>
  <c r="G51" i="1997" s="1"/>
  <c r="D29" i="1996"/>
  <c r="H13" i="1996" s="1"/>
  <c r="H15" i="1996" s="1"/>
  <c r="H29" i="1996" s="1"/>
  <c r="G51" i="1996" s="1"/>
  <c r="D29" i="1995"/>
  <c r="H13" i="1995" s="1"/>
  <c r="H15" i="1995" s="1"/>
  <c r="H29" i="1995" s="1"/>
  <c r="G51" i="1995" s="1"/>
  <c r="D29" i="1994"/>
  <c r="H13" i="1994" s="1"/>
  <c r="H15" i="1994" s="1"/>
  <c r="H29" i="1994" s="1"/>
  <c r="G51" i="1994" s="1"/>
  <c r="D29" i="1993"/>
  <c r="H13" i="1993" s="1"/>
  <c r="H15" i="1993" s="1"/>
  <c r="H29" i="1993" s="1"/>
  <c r="D29" i="1992"/>
  <c r="H13" i="1992" s="1"/>
  <c r="D29" i="1991"/>
  <c r="H13" i="1991" s="1"/>
  <c r="D29" i="1990"/>
  <c r="H13" i="1990" s="1"/>
  <c r="H15" i="1990" s="1"/>
  <c r="H29" i="1990" s="1"/>
  <c r="G51" i="1990" s="1"/>
  <c r="R52" i="1989"/>
  <c r="R51" i="1989"/>
  <c r="D50" i="1989"/>
  <c r="R49" i="1989"/>
  <c r="D49" i="1989"/>
  <c r="R48" i="1989"/>
  <c r="D48" i="1989"/>
  <c r="D46" i="1989"/>
  <c r="D45" i="1989"/>
  <c r="R44" i="1989"/>
  <c r="D44" i="1989"/>
  <c r="R42" i="1989"/>
  <c r="L6" i="1989" s="1"/>
  <c r="D6" i="1989" s="1"/>
  <c r="D42" i="1989"/>
  <c r="R41" i="1989"/>
  <c r="L7" i="1989" s="1"/>
  <c r="D7" i="1989" s="1"/>
  <c r="D41" i="1989"/>
  <c r="R40" i="1989"/>
  <c r="D40" i="1989"/>
  <c r="R39" i="1989"/>
  <c r="H39" i="1989"/>
  <c r="D39" i="1989"/>
  <c r="R38" i="1989"/>
  <c r="L9" i="1989" s="1"/>
  <c r="D9" i="1989" s="1"/>
  <c r="H38" i="1989"/>
  <c r="D38" i="1989"/>
  <c r="R37" i="1989"/>
  <c r="H37" i="1989"/>
  <c r="D37" i="1989"/>
  <c r="R36" i="1989"/>
  <c r="L10" i="1989" s="1"/>
  <c r="D10" i="1989" s="1"/>
  <c r="H36" i="1989"/>
  <c r="D36" i="1989"/>
  <c r="R35" i="1989"/>
  <c r="L18" i="1989" s="1"/>
  <c r="D18" i="1989" s="1"/>
  <c r="H35" i="1989"/>
  <c r="D35" i="1989"/>
  <c r="R34" i="1989"/>
  <c r="H34" i="1989"/>
  <c r="D34" i="1989"/>
  <c r="R33" i="1989"/>
  <c r="R32" i="1989"/>
  <c r="L11" i="1989" s="1"/>
  <c r="D11" i="1989" s="1"/>
  <c r="R31" i="1989"/>
  <c r="R30" i="1989"/>
  <c r="R29" i="1989"/>
  <c r="R28" i="1989"/>
  <c r="L28" i="1989"/>
  <c r="D28" i="1989"/>
  <c r="R27" i="1989"/>
  <c r="L27" i="1989"/>
  <c r="D27" i="1989" s="1"/>
  <c r="R26" i="1989"/>
  <c r="L26" i="1989"/>
  <c r="D26" i="1989" s="1"/>
  <c r="R25" i="1989"/>
  <c r="L25" i="1989"/>
  <c r="D25" i="1989" s="1"/>
  <c r="R24" i="1989"/>
  <c r="L24" i="1989"/>
  <c r="D24" i="1989"/>
  <c r="R23" i="1989"/>
  <c r="L23" i="1989"/>
  <c r="D23" i="1989"/>
  <c r="R22" i="1989"/>
  <c r="L20" i="1989" s="1"/>
  <c r="D20" i="1989" s="1"/>
  <c r="L22" i="1989"/>
  <c r="D22" i="1989"/>
  <c r="R21" i="1989"/>
  <c r="L21" i="1989"/>
  <c r="D21" i="1989"/>
  <c r="R20" i="1989"/>
  <c r="R19" i="1989"/>
  <c r="L19" i="1989"/>
  <c r="D19" i="1989"/>
  <c r="R18" i="1989"/>
  <c r="R17" i="1989"/>
  <c r="L17" i="1989"/>
  <c r="D17" i="1989"/>
  <c r="R16" i="1989"/>
  <c r="R15" i="1989"/>
  <c r="R14" i="1989"/>
  <c r="D14" i="1989"/>
  <c r="R13" i="1989"/>
  <c r="D13" i="1989"/>
  <c r="R12" i="1989"/>
  <c r="L12" i="1989"/>
  <c r="D12" i="1989"/>
  <c r="R11" i="1989"/>
  <c r="L8" i="1989"/>
  <c r="D8" i="1989"/>
  <c r="R6" i="1989"/>
  <c r="L16" i="1989" s="1"/>
  <c r="D16" i="1989" s="1"/>
  <c r="R5" i="1989"/>
  <c r="R4" i="1989"/>
  <c r="L15" i="1989" s="1"/>
  <c r="D15" i="1989" s="1"/>
  <c r="R52" i="1988"/>
  <c r="R51" i="1988"/>
  <c r="D50" i="1988"/>
  <c r="R49" i="1988"/>
  <c r="D49" i="1988"/>
  <c r="R48" i="1988"/>
  <c r="D48" i="1988"/>
  <c r="D46" i="1988"/>
  <c r="D45" i="1988"/>
  <c r="R44" i="1988"/>
  <c r="D44" i="1988"/>
  <c r="R42" i="1988"/>
  <c r="L6" i="1988" s="1"/>
  <c r="D6" i="1988" s="1"/>
  <c r="D42" i="1988"/>
  <c r="R41" i="1988"/>
  <c r="D41" i="1988"/>
  <c r="R40" i="1988"/>
  <c r="D40" i="1988"/>
  <c r="R39" i="1988"/>
  <c r="H39" i="1988"/>
  <c r="D39" i="1988"/>
  <c r="R38" i="1988"/>
  <c r="L9" i="1988" s="1"/>
  <c r="D9" i="1988" s="1"/>
  <c r="H38" i="1988"/>
  <c r="D38" i="1988"/>
  <c r="R37" i="1988"/>
  <c r="H37" i="1988"/>
  <c r="D37" i="1988"/>
  <c r="R36" i="1988"/>
  <c r="L10" i="1988" s="1"/>
  <c r="D10" i="1988" s="1"/>
  <c r="H36" i="1988"/>
  <c r="D36" i="1988"/>
  <c r="R35" i="1988"/>
  <c r="H35" i="1988"/>
  <c r="D35" i="1988"/>
  <c r="R34" i="1988"/>
  <c r="H34" i="1988"/>
  <c r="D34" i="1988"/>
  <c r="R33" i="1988"/>
  <c r="L19" i="1988" s="1"/>
  <c r="D19" i="1988" s="1"/>
  <c r="R32" i="1988"/>
  <c r="L11" i="1988" s="1"/>
  <c r="D11" i="1988" s="1"/>
  <c r="R31" i="1988"/>
  <c r="R30" i="1988"/>
  <c r="R29" i="1988"/>
  <c r="R28" i="1988"/>
  <c r="L28" i="1988"/>
  <c r="D28" i="1988"/>
  <c r="R27" i="1988"/>
  <c r="L27" i="1988"/>
  <c r="D27" i="1988"/>
  <c r="R26" i="1988"/>
  <c r="L26" i="1988"/>
  <c r="D26" i="1988"/>
  <c r="R25" i="1988"/>
  <c r="L25" i="1988"/>
  <c r="D25" i="1988" s="1"/>
  <c r="R24" i="1988"/>
  <c r="L24" i="1988"/>
  <c r="D24" i="1988"/>
  <c r="R23" i="1988"/>
  <c r="L23" i="1988"/>
  <c r="D23" i="1988"/>
  <c r="R22" i="1988"/>
  <c r="L20" i="1988" s="1"/>
  <c r="D20" i="1988" s="1"/>
  <c r="L22" i="1988"/>
  <c r="D22" i="1988" s="1"/>
  <c r="R21" i="1988"/>
  <c r="L21" i="1988"/>
  <c r="D21" i="1988"/>
  <c r="R20" i="1988"/>
  <c r="R19" i="1988"/>
  <c r="R18" i="1988"/>
  <c r="L18" i="1988"/>
  <c r="D18" i="1988"/>
  <c r="R17" i="1988"/>
  <c r="L17" i="1988"/>
  <c r="D17" i="1988" s="1"/>
  <c r="R16" i="1988"/>
  <c r="R15" i="1988"/>
  <c r="L15" i="1988"/>
  <c r="D15" i="1988"/>
  <c r="R14" i="1988"/>
  <c r="D14" i="1988"/>
  <c r="R13" i="1988"/>
  <c r="D13" i="1988"/>
  <c r="R12" i="1988"/>
  <c r="L12" i="1988"/>
  <c r="D12" i="1988" s="1"/>
  <c r="R11" i="1988"/>
  <c r="L8" i="1988"/>
  <c r="D8" i="1988"/>
  <c r="L7" i="1988"/>
  <c r="D7" i="1988"/>
  <c r="R6" i="1988"/>
  <c r="L16" i="1988" s="1"/>
  <c r="D16" i="1988" s="1"/>
  <c r="R5" i="1988"/>
  <c r="R4" i="1988"/>
  <c r="R52" i="1987"/>
  <c r="R51" i="1987"/>
  <c r="D50" i="1987"/>
  <c r="R49" i="1987"/>
  <c r="D49" i="1987"/>
  <c r="R48" i="1987"/>
  <c r="D48" i="1987"/>
  <c r="D46" i="1987"/>
  <c r="D45" i="1987"/>
  <c r="R44" i="1987"/>
  <c r="D44" i="1987"/>
  <c r="R42" i="1987"/>
  <c r="D42" i="1987"/>
  <c r="R41" i="1987"/>
  <c r="L7" i="1987" s="1"/>
  <c r="D7" i="1987" s="1"/>
  <c r="D41" i="1987"/>
  <c r="R40" i="1987"/>
  <c r="D40" i="1987"/>
  <c r="R39" i="1987"/>
  <c r="H39" i="1987"/>
  <c r="D39" i="1987"/>
  <c r="R38" i="1987"/>
  <c r="H38" i="1987"/>
  <c r="D38" i="1987"/>
  <c r="R37" i="1987"/>
  <c r="H37" i="1987"/>
  <c r="D37" i="1987"/>
  <c r="R36" i="1987"/>
  <c r="H36" i="1987"/>
  <c r="D36" i="1987"/>
  <c r="R35" i="1987"/>
  <c r="L18" i="1987" s="1"/>
  <c r="D18" i="1987" s="1"/>
  <c r="H35" i="1987"/>
  <c r="D35" i="1987"/>
  <c r="R34" i="1987"/>
  <c r="H34" i="1987"/>
  <c r="D34" i="1987"/>
  <c r="R33" i="1987"/>
  <c r="L19" i="1987" s="1"/>
  <c r="D19" i="1987" s="1"/>
  <c r="R32" i="1987"/>
  <c r="R31" i="1987"/>
  <c r="R30" i="1987"/>
  <c r="R29" i="1987"/>
  <c r="R28" i="1987"/>
  <c r="L28" i="1987"/>
  <c r="D28" i="1987"/>
  <c r="R27" i="1987"/>
  <c r="L27" i="1987"/>
  <c r="D27" i="1987" s="1"/>
  <c r="R26" i="1987"/>
  <c r="L26" i="1987"/>
  <c r="D26" i="1987"/>
  <c r="R25" i="1987"/>
  <c r="L25" i="1987"/>
  <c r="D25" i="1987"/>
  <c r="R24" i="1987"/>
  <c r="L24" i="1987"/>
  <c r="D24" i="1987"/>
  <c r="R23" i="1987"/>
  <c r="L23" i="1987"/>
  <c r="D23" i="1987"/>
  <c r="R22" i="1987"/>
  <c r="L22" i="1987"/>
  <c r="D22" i="1987" s="1"/>
  <c r="R21" i="1987"/>
  <c r="L21" i="1987"/>
  <c r="D21" i="1987"/>
  <c r="R20" i="1987"/>
  <c r="L20" i="1987"/>
  <c r="D20" i="1987" s="1"/>
  <c r="R19" i="1987"/>
  <c r="R18" i="1987"/>
  <c r="R17" i="1987"/>
  <c r="L17" i="1987"/>
  <c r="D17" i="1987"/>
  <c r="R16" i="1987"/>
  <c r="R15" i="1987"/>
  <c r="L15" i="1987"/>
  <c r="D15" i="1987" s="1"/>
  <c r="R14" i="1987"/>
  <c r="D14" i="1987"/>
  <c r="R13" i="1987"/>
  <c r="D13" i="1987"/>
  <c r="R12" i="1987"/>
  <c r="L12" i="1987"/>
  <c r="D12" i="1987" s="1"/>
  <c r="R11" i="1987"/>
  <c r="L11" i="1987"/>
  <c r="D11" i="1987" s="1"/>
  <c r="L10" i="1987"/>
  <c r="D10" i="1987"/>
  <c r="L9" i="1987"/>
  <c r="D9" i="1987"/>
  <c r="L8" i="1987"/>
  <c r="D8" i="1987"/>
  <c r="R6" i="1987"/>
  <c r="L16" i="1987" s="1"/>
  <c r="D16" i="1987" s="1"/>
  <c r="L6" i="1987"/>
  <c r="D6" i="1987"/>
  <c r="R5" i="1987"/>
  <c r="R4" i="1987"/>
  <c r="G51" i="1993" l="1"/>
  <c r="H15" i="1992"/>
  <c r="H29" i="1992" s="1"/>
  <c r="G51" i="1992" s="1"/>
  <c r="H15" i="1991"/>
  <c r="H29" i="1991" s="1"/>
  <c r="G51" i="1991" s="1"/>
  <c r="G49" i="1989"/>
  <c r="D54" i="1989"/>
  <c r="H14" i="1989" s="1"/>
  <c r="G49" i="1988"/>
  <c r="G49" i="1987"/>
  <c r="D54" i="1988"/>
  <c r="H14" i="1988" s="1"/>
  <c r="D54" i="1987"/>
  <c r="H14" i="1987" s="1"/>
  <c r="D29" i="1987"/>
  <c r="H13" i="1987" s="1"/>
  <c r="D29" i="1989"/>
  <c r="H13" i="1989" s="1"/>
  <c r="H15" i="1989" s="1"/>
  <c r="H29" i="1989" s="1"/>
  <c r="G51" i="1989" s="1"/>
  <c r="D29" i="1988"/>
  <c r="H13" i="1988" s="1"/>
  <c r="H15" i="1988" s="1"/>
  <c r="H29" i="1988" s="1"/>
  <c r="R52" i="1986"/>
  <c r="R51" i="1986"/>
  <c r="D50" i="1986"/>
  <c r="R49" i="1986"/>
  <c r="G49" i="1986"/>
  <c r="D49" i="1986"/>
  <c r="R48" i="1986"/>
  <c r="D48" i="1986"/>
  <c r="D46" i="1986"/>
  <c r="D45" i="1986"/>
  <c r="D44" i="1986"/>
  <c r="R42" i="1986"/>
  <c r="L6" i="1986" s="1"/>
  <c r="D6" i="1986" s="1"/>
  <c r="D42" i="1986"/>
  <c r="R41" i="1986"/>
  <c r="L7" i="1986" s="1"/>
  <c r="D7" i="1986" s="1"/>
  <c r="D41" i="1986"/>
  <c r="R40" i="1986"/>
  <c r="D40" i="1986"/>
  <c r="R39" i="1986"/>
  <c r="D39" i="1986"/>
  <c r="R38" i="1986"/>
  <c r="L9" i="1986" s="1"/>
  <c r="D9" i="1986" s="1"/>
  <c r="D38" i="1986"/>
  <c r="R37" i="1986"/>
  <c r="D37" i="1986"/>
  <c r="R36" i="1986"/>
  <c r="L10" i="1986" s="1"/>
  <c r="D10" i="1986" s="1"/>
  <c r="D36" i="1986"/>
  <c r="R35" i="1986"/>
  <c r="D35" i="1986"/>
  <c r="R34" i="1986"/>
  <c r="L12" i="1986" s="1"/>
  <c r="D12" i="1986" s="1"/>
  <c r="D34" i="1986"/>
  <c r="D54" i="1986" s="1"/>
  <c r="H14" i="1986" s="1"/>
  <c r="R33" i="1986"/>
  <c r="L23" i="1986" s="1"/>
  <c r="D23" i="1986" s="1"/>
  <c r="R32" i="1986"/>
  <c r="R31" i="1986"/>
  <c r="R30" i="1986"/>
  <c r="R29" i="1986"/>
  <c r="R28" i="1986"/>
  <c r="D28" i="1986"/>
  <c r="R27" i="1986"/>
  <c r="D27" i="1986"/>
  <c r="R26" i="1986"/>
  <c r="L26" i="1986"/>
  <c r="D26" i="1986"/>
  <c r="R25" i="1986"/>
  <c r="L25" i="1986"/>
  <c r="D25" i="1986"/>
  <c r="R24" i="1986"/>
  <c r="D24" i="1986"/>
  <c r="R23" i="1986"/>
  <c r="R22" i="1986"/>
  <c r="L22" i="1986"/>
  <c r="D22" i="1986"/>
  <c r="R21" i="1986"/>
  <c r="D21" i="1986"/>
  <c r="R20" i="1986"/>
  <c r="L20" i="1986"/>
  <c r="D20" i="1986"/>
  <c r="R19" i="1986"/>
  <c r="L19" i="1986"/>
  <c r="D19" i="1986"/>
  <c r="R18" i="1986"/>
  <c r="D18" i="1986"/>
  <c r="R17" i="1986"/>
  <c r="D17" i="1986"/>
  <c r="R16" i="1986"/>
  <c r="L16" i="1986"/>
  <c r="D16" i="1986" s="1"/>
  <c r="S15" i="1986"/>
  <c r="R15" i="1986"/>
  <c r="D15" i="1986"/>
  <c r="S14" i="1986"/>
  <c r="R14" i="1986"/>
  <c r="D14" i="1986"/>
  <c r="R13" i="1986"/>
  <c r="D13" i="1986"/>
  <c r="R12" i="1986"/>
  <c r="R11" i="1986"/>
  <c r="L11" i="1986"/>
  <c r="D11" i="1986" s="1"/>
  <c r="L8" i="1986"/>
  <c r="D8" i="1986"/>
  <c r="R6" i="1986"/>
  <c r="R5" i="1986"/>
  <c r="R4" i="1986"/>
  <c r="H16" i="1983"/>
  <c r="R52" i="1985"/>
  <c r="R51" i="1985"/>
  <c r="D50" i="1985"/>
  <c r="R49" i="1985"/>
  <c r="D49" i="1985"/>
  <c r="R48" i="1985"/>
  <c r="D48" i="1985"/>
  <c r="D46" i="1985"/>
  <c r="D45" i="1985"/>
  <c r="R44" i="1985"/>
  <c r="D44" i="1985"/>
  <c r="R42" i="1985"/>
  <c r="D42" i="1985"/>
  <c r="R41" i="1985"/>
  <c r="L7" i="1985" s="1"/>
  <c r="D7" i="1985" s="1"/>
  <c r="D41" i="1985"/>
  <c r="R40" i="1985"/>
  <c r="D40" i="1985"/>
  <c r="R39" i="1985"/>
  <c r="H39" i="1985"/>
  <c r="D39" i="1985"/>
  <c r="R38" i="1985"/>
  <c r="H38" i="1985"/>
  <c r="D38" i="1985"/>
  <c r="R37" i="1985"/>
  <c r="H37" i="1985"/>
  <c r="D37" i="1985"/>
  <c r="R36" i="1985"/>
  <c r="L10" i="1985" s="1"/>
  <c r="D10" i="1985" s="1"/>
  <c r="H36" i="1985"/>
  <c r="D36" i="1985"/>
  <c r="R35" i="1985"/>
  <c r="L18" i="1985" s="1"/>
  <c r="D18" i="1985" s="1"/>
  <c r="H35" i="1985"/>
  <c r="D35" i="1985"/>
  <c r="R34" i="1985"/>
  <c r="H34" i="1985"/>
  <c r="D34" i="1985"/>
  <c r="R33" i="1985"/>
  <c r="R32" i="1985"/>
  <c r="L11" i="1985" s="1"/>
  <c r="D11" i="1985" s="1"/>
  <c r="R31" i="1985"/>
  <c r="R30" i="1985"/>
  <c r="R29" i="1985"/>
  <c r="R28" i="1985"/>
  <c r="L28" i="1985"/>
  <c r="D28" i="1985"/>
  <c r="R27" i="1985"/>
  <c r="L27" i="1985"/>
  <c r="D27" i="1985" s="1"/>
  <c r="R26" i="1985"/>
  <c r="L26" i="1985"/>
  <c r="D26" i="1985" s="1"/>
  <c r="R25" i="1985"/>
  <c r="L25" i="1985"/>
  <c r="D25" i="1985"/>
  <c r="R24" i="1985"/>
  <c r="L24" i="1985"/>
  <c r="D24" i="1985"/>
  <c r="R23" i="1985"/>
  <c r="L23" i="1985"/>
  <c r="D23" i="1985" s="1"/>
  <c r="R22" i="1985"/>
  <c r="L20" i="1985" s="1"/>
  <c r="D20" i="1985" s="1"/>
  <c r="L22" i="1985"/>
  <c r="D22" i="1985" s="1"/>
  <c r="R21" i="1985"/>
  <c r="L21" i="1985"/>
  <c r="D21" i="1985"/>
  <c r="R20" i="1985"/>
  <c r="R19" i="1985"/>
  <c r="L19" i="1985"/>
  <c r="D19" i="1985"/>
  <c r="R18" i="1985"/>
  <c r="R17" i="1985"/>
  <c r="L17" i="1985"/>
  <c r="D17" i="1985"/>
  <c r="R16" i="1985"/>
  <c r="R15" i="1985"/>
  <c r="R14" i="1985"/>
  <c r="D14" i="1985"/>
  <c r="R13" i="1985"/>
  <c r="D13" i="1985"/>
  <c r="R12" i="1985"/>
  <c r="L12" i="1985"/>
  <c r="D12" i="1985"/>
  <c r="R11" i="1985"/>
  <c r="L9" i="1985"/>
  <c r="D9" i="1985" s="1"/>
  <c r="L8" i="1985"/>
  <c r="D8" i="1985" s="1"/>
  <c r="R6" i="1985"/>
  <c r="L16" i="1985" s="1"/>
  <c r="D16" i="1985" s="1"/>
  <c r="L6" i="1985"/>
  <c r="D6" i="1985"/>
  <c r="R5" i="1985"/>
  <c r="R4" i="1985"/>
  <c r="L15" i="1985" s="1"/>
  <c r="D15" i="1985" s="1"/>
  <c r="R52" i="1984"/>
  <c r="R51" i="1984"/>
  <c r="D50" i="1984"/>
  <c r="R49" i="1984"/>
  <c r="D49" i="1984"/>
  <c r="R48" i="1984"/>
  <c r="D48" i="1984"/>
  <c r="D46" i="1984"/>
  <c r="D45" i="1984"/>
  <c r="R44" i="1984"/>
  <c r="L28" i="1984" s="1"/>
  <c r="D28" i="1984" s="1"/>
  <c r="D44" i="1984"/>
  <c r="R42" i="1984"/>
  <c r="D42" i="1984"/>
  <c r="R41" i="1984"/>
  <c r="D41" i="1984"/>
  <c r="R40" i="1984"/>
  <c r="L8" i="1984" s="1"/>
  <c r="D8" i="1984" s="1"/>
  <c r="D40" i="1984"/>
  <c r="R39" i="1984"/>
  <c r="H39" i="1984"/>
  <c r="D39" i="1984"/>
  <c r="R38" i="1984"/>
  <c r="H38" i="1984"/>
  <c r="D38" i="1984"/>
  <c r="R37" i="1984"/>
  <c r="H37" i="1984"/>
  <c r="D37" i="1984"/>
  <c r="R36" i="1984"/>
  <c r="H36" i="1984"/>
  <c r="D36" i="1984"/>
  <c r="R35" i="1984"/>
  <c r="L18" i="1984" s="1"/>
  <c r="D18" i="1984" s="1"/>
  <c r="H35" i="1984"/>
  <c r="D35" i="1984"/>
  <c r="R34" i="1984"/>
  <c r="L12" i="1984" s="1"/>
  <c r="D12" i="1984" s="1"/>
  <c r="H34" i="1984"/>
  <c r="D34" i="1984"/>
  <c r="R33" i="1984"/>
  <c r="L19" i="1984" s="1"/>
  <c r="D19" i="1984" s="1"/>
  <c r="R32" i="1984"/>
  <c r="R31" i="1984"/>
  <c r="R30" i="1984"/>
  <c r="R29" i="1984"/>
  <c r="R28" i="1984"/>
  <c r="R27" i="1984"/>
  <c r="L27" i="1984"/>
  <c r="D27" i="1984"/>
  <c r="R26" i="1984"/>
  <c r="L26" i="1984"/>
  <c r="D26" i="1984"/>
  <c r="R25" i="1984"/>
  <c r="L25" i="1984"/>
  <c r="D25" i="1984"/>
  <c r="R24" i="1984"/>
  <c r="L24" i="1984"/>
  <c r="D24" i="1984" s="1"/>
  <c r="R23" i="1984"/>
  <c r="L23" i="1984"/>
  <c r="D23" i="1984" s="1"/>
  <c r="R22" i="1984"/>
  <c r="L22" i="1984"/>
  <c r="D22" i="1984"/>
  <c r="R21" i="1984"/>
  <c r="L17" i="1984" s="1"/>
  <c r="D17" i="1984" s="1"/>
  <c r="L21" i="1984"/>
  <c r="D21" i="1984"/>
  <c r="R20" i="1984"/>
  <c r="L20" i="1984"/>
  <c r="D20" i="1984" s="1"/>
  <c r="R19" i="1984"/>
  <c r="R18" i="1984"/>
  <c r="R17" i="1984"/>
  <c r="R16" i="1984"/>
  <c r="L16" i="1984"/>
  <c r="D16" i="1984" s="1"/>
  <c r="R15" i="1984"/>
  <c r="L15" i="1984"/>
  <c r="D15" i="1984" s="1"/>
  <c r="R14" i="1984"/>
  <c r="D14" i="1984"/>
  <c r="R13" i="1984"/>
  <c r="D13" i="1984"/>
  <c r="R12" i="1984"/>
  <c r="R11" i="1984"/>
  <c r="L11" i="1984"/>
  <c r="D11" i="1984" s="1"/>
  <c r="L10" i="1984"/>
  <c r="D10" i="1984"/>
  <c r="L9" i="1984"/>
  <c r="D9" i="1984" s="1"/>
  <c r="L7" i="1984"/>
  <c r="D7" i="1984" s="1"/>
  <c r="R6" i="1984"/>
  <c r="L6" i="1984"/>
  <c r="D6" i="1984" s="1"/>
  <c r="R5" i="1984"/>
  <c r="R4" i="1984"/>
  <c r="R52" i="1983"/>
  <c r="R51" i="1983"/>
  <c r="D50" i="1983"/>
  <c r="R49" i="1983"/>
  <c r="D49" i="1983"/>
  <c r="R48" i="1983"/>
  <c r="D48" i="1983"/>
  <c r="D46" i="1983"/>
  <c r="D45" i="1983"/>
  <c r="R44" i="1983"/>
  <c r="D44" i="1983"/>
  <c r="R42" i="1983"/>
  <c r="L6" i="1983" s="1"/>
  <c r="D6" i="1983" s="1"/>
  <c r="D42" i="1983"/>
  <c r="R41" i="1983"/>
  <c r="D41" i="1983"/>
  <c r="R40" i="1983"/>
  <c r="D40" i="1983"/>
  <c r="R39" i="1983"/>
  <c r="H39" i="1983"/>
  <c r="D39" i="1983"/>
  <c r="R38" i="1983"/>
  <c r="H38" i="1983"/>
  <c r="D38" i="1983"/>
  <c r="R37" i="1983"/>
  <c r="H37" i="1983"/>
  <c r="D37" i="1983"/>
  <c r="R36" i="1983"/>
  <c r="L10" i="1983" s="1"/>
  <c r="D10" i="1983" s="1"/>
  <c r="H36" i="1983"/>
  <c r="D36" i="1983"/>
  <c r="R35" i="1983"/>
  <c r="H35" i="1983"/>
  <c r="D35" i="1983"/>
  <c r="R34" i="1983"/>
  <c r="H34" i="1983"/>
  <c r="D34" i="1983"/>
  <c r="R33" i="1983"/>
  <c r="L19" i="1983" s="1"/>
  <c r="D19" i="1983" s="1"/>
  <c r="R32" i="1983"/>
  <c r="L11" i="1983" s="1"/>
  <c r="D11" i="1983" s="1"/>
  <c r="R31" i="1983"/>
  <c r="R30" i="1983"/>
  <c r="R29" i="1983"/>
  <c r="R28" i="1983"/>
  <c r="L28" i="1983"/>
  <c r="D28" i="1983"/>
  <c r="R27" i="1983"/>
  <c r="L27" i="1983"/>
  <c r="D27" i="1983"/>
  <c r="R26" i="1983"/>
  <c r="L26" i="1983"/>
  <c r="D26" i="1983" s="1"/>
  <c r="R25" i="1983"/>
  <c r="L25" i="1983"/>
  <c r="D25" i="1983" s="1"/>
  <c r="R24" i="1983"/>
  <c r="L24" i="1983"/>
  <c r="D24" i="1983" s="1"/>
  <c r="R23" i="1983"/>
  <c r="L23" i="1983"/>
  <c r="D23" i="1983"/>
  <c r="R22" i="1983"/>
  <c r="L20" i="1983" s="1"/>
  <c r="D20" i="1983" s="1"/>
  <c r="L22" i="1983"/>
  <c r="D22" i="1983"/>
  <c r="R21" i="1983"/>
  <c r="L21" i="1983"/>
  <c r="D21" i="1983"/>
  <c r="R20" i="1983"/>
  <c r="R19" i="1983"/>
  <c r="R18" i="1983"/>
  <c r="L18" i="1983"/>
  <c r="D18" i="1983"/>
  <c r="R17" i="1983"/>
  <c r="L17" i="1983"/>
  <c r="D17" i="1983" s="1"/>
  <c r="R16" i="1983"/>
  <c r="R15" i="1983"/>
  <c r="L15" i="1983"/>
  <c r="D15" i="1983"/>
  <c r="R14" i="1983"/>
  <c r="D14" i="1983"/>
  <c r="R13" i="1983"/>
  <c r="D13" i="1983"/>
  <c r="R12" i="1983"/>
  <c r="L12" i="1983"/>
  <c r="D12" i="1983" s="1"/>
  <c r="R11" i="1983"/>
  <c r="L9" i="1983"/>
  <c r="D9" i="1983"/>
  <c r="L8" i="1983"/>
  <c r="D8" i="1983" s="1"/>
  <c r="L7" i="1983"/>
  <c r="D7" i="1983" s="1"/>
  <c r="R6" i="1983"/>
  <c r="L16" i="1983" s="1"/>
  <c r="D16" i="1983" s="1"/>
  <c r="R5" i="1983"/>
  <c r="R4" i="1983"/>
  <c r="R52" i="1982"/>
  <c r="R51" i="1982"/>
  <c r="D50" i="1982"/>
  <c r="R49" i="1982"/>
  <c r="G49" i="1982"/>
  <c r="D49" i="1982"/>
  <c r="R48" i="1982"/>
  <c r="D48" i="1982"/>
  <c r="D46" i="1982"/>
  <c r="D45" i="1982"/>
  <c r="D44" i="1982"/>
  <c r="R42" i="1982"/>
  <c r="D42" i="1982"/>
  <c r="R41" i="1982"/>
  <c r="L7" i="1982" s="1"/>
  <c r="D7" i="1982" s="1"/>
  <c r="D41" i="1982"/>
  <c r="R40" i="1982"/>
  <c r="L8" i="1982" s="1"/>
  <c r="D8" i="1982" s="1"/>
  <c r="D40" i="1982"/>
  <c r="R39" i="1982"/>
  <c r="D39" i="1982"/>
  <c r="R38" i="1982"/>
  <c r="L9" i="1982" s="1"/>
  <c r="D9" i="1982" s="1"/>
  <c r="D38" i="1982"/>
  <c r="R37" i="1982"/>
  <c r="D37" i="1982"/>
  <c r="R36" i="1982"/>
  <c r="D36" i="1982"/>
  <c r="D54" i="1982" s="1"/>
  <c r="H14" i="1982" s="1"/>
  <c r="R35" i="1982"/>
  <c r="L19" i="1982" s="1"/>
  <c r="D19" i="1982" s="1"/>
  <c r="D35" i="1982"/>
  <c r="R34" i="1982"/>
  <c r="D34" i="1982"/>
  <c r="R33" i="1982"/>
  <c r="R32" i="1982"/>
  <c r="R31" i="1982"/>
  <c r="R30" i="1982"/>
  <c r="R29" i="1982"/>
  <c r="R28" i="1982"/>
  <c r="L16" i="1982" s="1"/>
  <c r="D16" i="1982" s="1"/>
  <c r="D28" i="1982"/>
  <c r="R27" i="1982"/>
  <c r="D27" i="1982"/>
  <c r="R26" i="1982"/>
  <c r="L26" i="1982"/>
  <c r="D26" i="1982"/>
  <c r="R25" i="1982"/>
  <c r="L25" i="1982"/>
  <c r="D25" i="1982"/>
  <c r="R24" i="1982"/>
  <c r="D24" i="1982"/>
  <c r="R23" i="1982"/>
  <c r="L23" i="1982"/>
  <c r="D23" i="1982"/>
  <c r="R22" i="1982"/>
  <c r="L22" i="1982"/>
  <c r="D22" i="1982"/>
  <c r="R21" i="1982"/>
  <c r="D21" i="1982"/>
  <c r="R20" i="1982"/>
  <c r="L20" i="1982"/>
  <c r="D20" i="1982"/>
  <c r="R19" i="1982"/>
  <c r="R18" i="1982"/>
  <c r="D18" i="1982"/>
  <c r="R17" i="1982"/>
  <c r="D17" i="1982"/>
  <c r="R16" i="1982"/>
  <c r="S15" i="1982"/>
  <c r="R15" i="1982"/>
  <c r="D15" i="1982"/>
  <c r="S14" i="1982"/>
  <c r="R14" i="1982"/>
  <c r="D14" i="1982"/>
  <c r="R13" i="1982"/>
  <c r="D13" i="1982"/>
  <c r="R12" i="1982"/>
  <c r="L12" i="1982"/>
  <c r="D12" i="1982"/>
  <c r="R11" i="1982"/>
  <c r="L11" i="1982"/>
  <c r="D11" i="1982"/>
  <c r="L10" i="1982"/>
  <c r="D10" i="1982" s="1"/>
  <c r="R6" i="1982"/>
  <c r="L6" i="1982"/>
  <c r="D6" i="1982"/>
  <c r="R5" i="1982"/>
  <c r="R4" i="1982"/>
  <c r="G51" i="1988" l="1"/>
  <c r="H15" i="1987"/>
  <c r="H29" i="1987" s="1"/>
  <c r="G51" i="1987" s="1"/>
  <c r="G49" i="1984"/>
  <c r="G49" i="1985"/>
  <c r="D54" i="1985"/>
  <c r="H14" i="1985" s="1"/>
  <c r="D54" i="1984"/>
  <c r="H14" i="1984" s="1"/>
  <c r="D54" i="1983"/>
  <c r="H14" i="1983" s="1"/>
  <c r="D29" i="1986"/>
  <c r="H13" i="1986" s="1"/>
  <c r="H15" i="1986" s="1"/>
  <c r="H29" i="1986" s="1"/>
  <c r="G51" i="1986" s="1"/>
  <c r="G49" i="1983"/>
  <c r="D29" i="1985"/>
  <c r="H13" i="1985" s="1"/>
  <c r="D29" i="1984"/>
  <c r="H13" i="1984" s="1"/>
  <c r="D29" i="1983"/>
  <c r="H13" i="1983" s="1"/>
  <c r="D29" i="1982"/>
  <c r="H13" i="1982" s="1"/>
  <c r="H15" i="1982" s="1"/>
  <c r="H29" i="1982" s="1"/>
  <c r="G51" i="1982" s="1"/>
  <c r="L26" i="1971"/>
  <c r="H15" i="1985" l="1"/>
  <c r="H29" i="1985" s="1"/>
  <c r="G51" i="1985" s="1"/>
  <c r="H15" i="1984"/>
  <c r="H29" i="1984" s="1"/>
  <c r="G51" i="1984" s="1"/>
  <c r="H15" i="1983"/>
  <c r="H29" i="1983" s="1"/>
  <c r="G51" i="1983" s="1"/>
  <c r="C18" i="1971"/>
  <c r="L27" i="1971"/>
  <c r="C15" i="1976" l="1"/>
  <c r="H16" i="1975" l="1"/>
  <c r="H16" i="1974" l="1"/>
  <c r="H16" i="1959"/>
  <c r="L27" i="1974"/>
  <c r="C12" i="1974"/>
  <c r="C16" i="1974"/>
  <c r="C16" i="1960"/>
  <c r="H16" i="1957" l="1"/>
  <c r="H16" i="1956"/>
  <c r="H16" i="1955"/>
  <c r="C12" i="1955"/>
  <c r="R52" i="1981"/>
  <c r="R51" i="1981"/>
  <c r="D50" i="1981"/>
  <c r="R49" i="1981"/>
  <c r="D49" i="1981"/>
  <c r="R48" i="1981"/>
  <c r="D48" i="1981"/>
  <c r="D46" i="1981"/>
  <c r="D45" i="1981"/>
  <c r="R44" i="1981"/>
  <c r="D44" i="1981"/>
  <c r="R42" i="1981"/>
  <c r="L6" i="1981" s="1"/>
  <c r="D6" i="1981" s="1"/>
  <c r="D42" i="1981"/>
  <c r="R41" i="1981"/>
  <c r="D41" i="1981"/>
  <c r="R40" i="1981"/>
  <c r="D40" i="1981"/>
  <c r="R39" i="1981"/>
  <c r="H39" i="1981"/>
  <c r="D39" i="1981"/>
  <c r="R38" i="1981"/>
  <c r="H38" i="1981"/>
  <c r="D38" i="1981"/>
  <c r="R37" i="1981"/>
  <c r="H37" i="1981"/>
  <c r="D37" i="1981"/>
  <c r="R36" i="1981"/>
  <c r="L10" i="1981" s="1"/>
  <c r="D10" i="1981" s="1"/>
  <c r="H36" i="1981"/>
  <c r="D36" i="1981"/>
  <c r="R35" i="1981"/>
  <c r="H35" i="1981"/>
  <c r="D35" i="1981"/>
  <c r="R34" i="1981"/>
  <c r="H34" i="1981"/>
  <c r="G49" i="1981" s="1"/>
  <c r="D34" i="1981"/>
  <c r="D54" i="1981" s="1"/>
  <c r="H14" i="1981" s="1"/>
  <c r="R33" i="1981"/>
  <c r="R32" i="1981"/>
  <c r="L11" i="1981" s="1"/>
  <c r="D11" i="1981" s="1"/>
  <c r="R31" i="1981"/>
  <c r="R30" i="1981"/>
  <c r="R29" i="1981"/>
  <c r="R28" i="1981"/>
  <c r="L28" i="1981"/>
  <c r="D28" i="1981"/>
  <c r="R27" i="1981"/>
  <c r="L27" i="1981"/>
  <c r="D27" i="1981" s="1"/>
  <c r="R26" i="1981"/>
  <c r="L26" i="1981"/>
  <c r="D26" i="1981" s="1"/>
  <c r="R25" i="1981"/>
  <c r="L25" i="1981"/>
  <c r="D25" i="1981" s="1"/>
  <c r="R24" i="1981"/>
  <c r="L24" i="1981"/>
  <c r="D24" i="1981" s="1"/>
  <c r="R23" i="1981"/>
  <c r="L23" i="1981"/>
  <c r="D23" i="1981"/>
  <c r="R22" i="1981"/>
  <c r="L20" i="1981" s="1"/>
  <c r="D20" i="1981" s="1"/>
  <c r="L22" i="1981"/>
  <c r="D22" i="1981"/>
  <c r="R21" i="1981"/>
  <c r="L21" i="1981"/>
  <c r="D21" i="1981"/>
  <c r="R20" i="1981"/>
  <c r="R19" i="1981"/>
  <c r="L19" i="1981"/>
  <c r="D19" i="1981"/>
  <c r="R18" i="1981"/>
  <c r="L18" i="1981"/>
  <c r="D18" i="1981"/>
  <c r="R17" i="1981"/>
  <c r="L17" i="1981"/>
  <c r="D17" i="1981" s="1"/>
  <c r="R16" i="1981"/>
  <c r="R15" i="1981"/>
  <c r="L15" i="1981"/>
  <c r="D15" i="1981" s="1"/>
  <c r="R14" i="1981"/>
  <c r="D14" i="1981"/>
  <c r="R13" i="1981"/>
  <c r="D13" i="1981"/>
  <c r="R12" i="1981"/>
  <c r="L12" i="1981"/>
  <c r="D12" i="1981" s="1"/>
  <c r="R11" i="1981"/>
  <c r="L9" i="1981"/>
  <c r="D9" i="1981" s="1"/>
  <c r="L8" i="1981"/>
  <c r="D8" i="1981"/>
  <c r="L7" i="1981"/>
  <c r="D7" i="1981" s="1"/>
  <c r="R6" i="1981"/>
  <c r="L16" i="1981" s="1"/>
  <c r="D16" i="1981" s="1"/>
  <c r="R5" i="1981"/>
  <c r="R4" i="1981"/>
  <c r="R52" i="1980"/>
  <c r="R51" i="1980"/>
  <c r="D50" i="1980"/>
  <c r="R49" i="1980"/>
  <c r="D49" i="1980"/>
  <c r="R48" i="1980"/>
  <c r="D48" i="1980"/>
  <c r="D46" i="1980"/>
  <c r="D45" i="1980"/>
  <c r="R44" i="1980"/>
  <c r="L28" i="1980" s="1"/>
  <c r="D28" i="1980" s="1"/>
  <c r="D44" i="1980"/>
  <c r="R42" i="1980"/>
  <c r="L6" i="1980" s="1"/>
  <c r="D6" i="1980" s="1"/>
  <c r="D42" i="1980"/>
  <c r="R41" i="1980"/>
  <c r="D41" i="1980"/>
  <c r="R40" i="1980"/>
  <c r="L8" i="1980" s="1"/>
  <c r="D8" i="1980" s="1"/>
  <c r="D40" i="1980"/>
  <c r="R39" i="1980"/>
  <c r="H39" i="1980"/>
  <c r="D39" i="1980"/>
  <c r="R38" i="1980"/>
  <c r="L9" i="1980" s="1"/>
  <c r="D9" i="1980" s="1"/>
  <c r="H38" i="1980"/>
  <c r="D38" i="1980"/>
  <c r="R37" i="1980"/>
  <c r="H37" i="1980"/>
  <c r="D37" i="1980"/>
  <c r="R36" i="1980"/>
  <c r="H36" i="1980"/>
  <c r="D36" i="1980"/>
  <c r="R35" i="1980"/>
  <c r="H35" i="1980"/>
  <c r="D35" i="1980"/>
  <c r="R34" i="1980"/>
  <c r="H34" i="1980"/>
  <c r="G49" i="1980" s="1"/>
  <c r="D34" i="1980"/>
  <c r="D54" i="1980" s="1"/>
  <c r="H14" i="1980" s="1"/>
  <c r="R33" i="1980"/>
  <c r="R32" i="1980"/>
  <c r="R31" i="1980"/>
  <c r="R30" i="1980"/>
  <c r="R29" i="1980"/>
  <c r="R28" i="1980"/>
  <c r="R27" i="1980"/>
  <c r="L27" i="1980"/>
  <c r="D27" i="1980"/>
  <c r="R26" i="1980"/>
  <c r="L26" i="1980"/>
  <c r="D26" i="1980" s="1"/>
  <c r="R25" i="1980"/>
  <c r="L25" i="1980"/>
  <c r="D25" i="1980" s="1"/>
  <c r="R24" i="1980"/>
  <c r="L24" i="1980"/>
  <c r="D24" i="1980"/>
  <c r="R23" i="1980"/>
  <c r="L23" i="1980"/>
  <c r="D23" i="1980"/>
  <c r="R22" i="1980"/>
  <c r="L20" i="1980" s="1"/>
  <c r="D20" i="1980" s="1"/>
  <c r="L22" i="1980"/>
  <c r="D22" i="1980"/>
  <c r="R21" i="1980"/>
  <c r="L21" i="1980"/>
  <c r="D21" i="1980"/>
  <c r="R20" i="1980"/>
  <c r="R19" i="1980"/>
  <c r="L19" i="1980"/>
  <c r="D19" i="1980"/>
  <c r="R18" i="1980"/>
  <c r="L18" i="1980"/>
  <c r="D18" i="1980" s="1"/>
  <c r="R17" i="1980"/>
  <c r="L17" i="1980"/>
  <c r="D17" i="1980" s="1"/>
  <c r="R16" i="1980"/>
  <c r="R15" i="1980"/>
  <c r="L15" i="1980"/>
  <c r="D15" i="1980" s="1"/>
  <c r="R14" i="1980"/>
  <c r="D14" i="1980"/>
  <c r="R13" i="1980"/>
  <c r="D13" i="1980"/>
  <c r="R12" i="1980"/>
  <c r="L12" i="1980"/>
  <c r="D12" i="1980" s="1"/>
  <c r="R11" i="1980"/>
  <c r="L11" i="1980"/>
  <c r="D11" i="1980"/>
  <c r="L10" i="1980"/>
  <c r="D10" i="1980" s="1"/>
  <c r="L7" i="1980"/>
  <c r="D7" i="1980"/>
  <c r="R6" i="1980"/>
  <c r="L16" i="1980" s="1"/>
  <c r="D16" i="1980" s="1"/>
  <c r="R5" i="1980"/>
  <c r="R4" i="1980"/>
  <c r="R52" i="1979"/>
  <c r="R51" i="1979"/>
  <c r="D50" i="1979"/>
  <c r="R49" i="1979"/>
  <c r="D49" i="1979"/>
  <c r="R48" i="1979"/>
  <c r="D48" i="1979"/>
  <c r="D46" i="1979"/>
  <c r="D45" i="1979"/>
  <c r="R44" i="1979"/>
  <c r="L28" i="1979" s="1"/>
  <c r="D28" i="1979" s="1"/>
  <c r="D44" i="1979"/>
  <c r="R42" i="1979"/>
  <c r="D42" i="1979"/>
  <c r="R41" i="1979"/>
  <c r="L7" i="1979" s="1"/>
  <c r="D7" i="1979" s="1"/>
  <c r="D41" i="1979"/>
  <c r="R40" i="1979"/>
  <c r="L8" i="1979" s="1"/>
  <c r="D8" i="1979" s="1"/>
  <c r="D40" i="1979"/>
  <c r="R39" i="1979"/>
  <c r="H39" i="1979"/>
  <c r="D39" i="1979"/>
  <c r="R38" i="1979"/>
  <c r="H38" i="1979"/>
  <c r="D38" i="1979"/>
  <c r="R37" i="1979"/>
  <c r="H37" i="1979"/>
  <c r="D37" i="1979"/>
  <c r="R36" i="1979"/>
  <c r="H36" i="1979"/>
  <c r="D36" i="1979"/>
  <c r="R35" i="1979"/>
  <c r="H35" i="1979"/>
  <c r="D35" i="1979"/>
  <c r="R34" i="1979"/>
  <c r="L12" i="1979" s="1"/>
  <c r="D12" i="1979" s="1"/>
  <c r="H34" i="1979"/>
  <c r="G49" i="1979" s="1"/>
  <c r="D34" i="1979"/>
  <c r="D54" i="1979" s="1"/>
  <c r="H14" i="1979" s="1"/>
  <c r="R33" i="1979"/>
  <c r="L19" i="1979" s="1"/>
  <c r="D19" i="1979" s="1"/>
  <c r="R32" i="1979"/>
  <c r="R31" i="1979"/>
  <c r="R30" i="1979"/>
  <c r="R29" i="1979"/>
  <c r="R28" i="1979"/>
  <c r="R27" i="1979"/>
  <c r="L27" i="1979"/>
  <c r="D27" i="1979" s="1"/>
  <c r="R26" i="1979"/>
  <c r="L26" i="1979"/>
  <c r="D26" i="1979" s="1"/>
  <c r="R25" i="1979"/>
  <c r="L25" i="1979"/>
  <c r="D25" i="1979" s="1"/>
  <c r="R24" i="1979"/>
  <c r="L24" i="1979"/>
  <c r="D24" i="1979"/>
  <c r="R23" i="1979"/>
  <c r="L23" i="1979"/>
  <c r="D23" i="1979" s="1"/>
  <c r="R22" i="1979"/>
  <c r="L22" i="1979"/>
  <c r="D22" i="1979" s="1"/>
  <c r="R21" i="1979"/>
  <c r="L21" i="1979"/>
  <c r="D21" i="1979"/>
  <c r="R20" i="1979"/>
  <c r="L20" i="1979"/>
  <c r="D20" i="1979" s="1"/>
  <c r="R19" i="1979"/>
  <c r="R18" i="1979"/>
  <c r="L18" i="1979"/>
  <c r="D18" i="1979" s="1"/>
  <c r="R17" i="1979"/>
  <c r="L17" i="1979"/>
  <c r="D17" i="1979"/>
  <c r="R16" i="1979"/>
  <c r="R15" i="1979"/>
  <c r="R14" i="1979"/>
  <c r="D14" i="1979"/>
  <c r="R13" i="1979"/>
  <c r="D13" i="1979"/>
  <c r="R12" i="1979"/>
  <c r="R11" i="1979"/>
  <c r="L11" i="1979"/>
  <c r="D11" i="1979"/>
  <c r="L10" i="1979"/>
  <c r="D10" i="1979" s="1"/>
  <c r="L9" i="1979"/>
  <c r="D9" i="1979" s="1"/>
  <c r="R6" i="1979"/>
  <c r="L16" i="1979" s="1"/>
  <c r="D16" i="1979" s="1"/>
  <c r="L6" i="1979"/>
  <c r="D6" i="1979" s="1"/>
  <c r="D29" i="1979" s="1"/>
  <c r="H13" i="1979" s="1"/>
  <c r="H15" i="1979" s="1"/>
  <c r="H29" i="1979" s="1"/>
  <c r="R5" i="1979"/>
  <c r="R4" i="1979"/>
  <c r="L15" i="1979" s="1"/>
  <c r="D15" i="1979" s="1"/>
  <c r="R52" i="1978"/>
  <c r="R51" i="1978"/>
  <c r="D50" i="1978"/>
  <c r="R49" i="1978"/>
  <c r="G49" i="1978"/>
  <c r="D49" i="1978"/>
  <c r="R48" i="1978"/>
  <c r="D48" i="1978"/>
  <c r="D46" i="1978"/>
  <c r="D45" i="1978"/>
  <c r="D44" i="1978"/>
  <c r="R42" i="1978"/>
  <c r="L6" i="1978" s="1"/>
  <c r="D6" i="1978" s="1"/>
  <c r="D42" i="1978"/>
  <c r="R41" i="1978"/>
  <c r="L7" i="1978" s="1"/>
  <c r="D7" i="1978" s="1"/>
  <c r="D41" i="1978"/>
  <c r="R40" i="1978"/>
  <c r="D40" i="1978"/>
  <c r="R39" i="1978"/>
  <c r="D39" i="1978"/>
  <c r="R38" i="1978"/>
  <c r="D38" i="1978"/>
  <c r="R37" i="1978"/>
  <c r="D37" i="1978"/>
  <c r="R36" i="1978"/>
  <c r="D36" i="1978"/>
  <c r="R35" i="1978"/>
  <c r="D35" i="1978"/>
  <c r="R34" i="1978"/>
  <c r="L12" i="1978" s="1"/>
  <c r="D12" i="1978" s="1"/>
  <c r="D34" i="1978"/>
  <c r="D54" i="1978" s="1"/>
  <c r="H14" i="1978" s="1"/>
  <c r="R33" i="1978"/>
  <c r="L23" i="1978" s="1"/>
  <c r="D23" i="1978" s="1"/>
  <c r="R32" i="1978"/>
  <c r="R31" i="1978"/>
  <c r="R30" i="1978"/>
  <c r="R29" i="1978"/>
  <c r="R28" i="1978"/>
  <c r="L16" i="1978" s="1"/>
  <c r="D16" i="1978" s="1"/>
  <c r="D28" i="1978"/>
  <c r="R27" i="1978"/>
  <c r="D27" i="1978"/>
  <c r="R26" i="1978"/>
  <c r="L26" i="1978"/>
  <c r="D26" i="1978"/>
  <c r="R25" i="1978"/>
  <c r="L25" i="1978"/>
  <c r="D25" i="1978"/>
  <c r="R24" i="1978"/>
  <c r="D24" i="1978"/>
  <c r="R23" i="1978"/>
  <c r="R22" i="1978"/>
  <c r="L22" i="1978"/>
  <c r="D22" i="1978" s="1"/>
  <c r="R21" i="1978"/>
  <c r="D21" i="1978"/>
  <c r="R20" i="1978"/>
  <c r="L20" i="1978"/>
  <c r="D20" i="1978"/>
  <c r="R19" i="1978"/>
  <c r="L19" i="1978"/>
  <c r="D19" i="1978"/>
  <c r="R18" i="1978"/>
  <c r="D18" i="1978"/>
  <c r="R17" i="1978"/>
  <c r="D17" i="1978"/>
  <c r="R16" i="1978"/>
  <c r="S15" i="1978"/>
  <c r="R15" i="1978"/>
  <c r="D15" i="1978"/>
  <c r="S14" i="1978"/>
  <c r="R14" i="1978"/>
  <c r="D14" i="1978"/>
  <c r="R13" i="1978"/>
  <c r="D13" i="1978"/>
  <c r="R12" i="1978"/>
  <c r="R11" i="1978"/>
  <c r="L11" i="1978"/>
  <c r="D11" i="1978" s="1"/>
  <c r="L10" i="1978"/>
  <c r="D10" i="1978"/>
  <c r="L9" i="1978"/>
  <c r="D9" i="1978" s="1"/>
  <c r="L8" i="1978"/>
  <c r="D8" i="1978"/>
  <c r="R6" i="1978"/>
  <c r="R5" i="1978"/>
  <c r="R4" i="1978"/>
  <c r="R52" i="1977"/>
  <c r="R51" i="1977"/>
  <c r="D50" i="1977"/>
  <c r="R49" i="1977"/>
  <c r="D49" i="1977"/>
  <c r="R48" i="1977"/>
  <c r="D48" i="1977"/>
  <c r="D46" i="1977"/>
  <c r="D45" i="1977"/>
  <c r="R44" i="1977"/>
  <c r="D44" i="1977"/>
  <c r="R42" i="1977"/>
  <c r="L6" i="1977" s="1"/>
  <c r="D6" i="1977" s="1"/>
  <c r="D42" i="1977"/>
  <c r="R41" i="1977"/>
  <c r="D41" i="1977"/>
  <c r="R40" i="1977"/>
  <c r="L8" i="1977" s="1"/>
  <c r="D8" i="1977" s="1"/>
  <c r="D40" i="1977"/>
  <c r="R39" i="1977"/>
  <c r="H39" i="1977"/>
  <c r="D39" i="1977"/>
  <c r="R38" i="1977"/>
  <c r="L9" i="1977" s="1"/>
  <c r="D9" i="1977" s="1"/>
  <c r="H38" i="1977"/>
  <c r="D38" i="1977"/>
  <c r="R37" i="1977"/>
  <c r="H37" i="1977"/>
  <c r="D37" i="1977"/>
  <c r="R36" i="1977"/>
  <c r="H36" i="1977"/>
  <c r="D36" i="1977"/>
  <c r="R35" i="1977"/>
  <c r="H35" i="1977"/>
  <c r="D35" i="1977"/>
  <c r="R34" i="1977"/>
  <c r="L12" i="1977" s="1"/>
  <c r="D12" i="1977" s="1"/>
  <c r="H34" i="1977"/>
  <c r="G49" i="1977" s="1"/>
  <c r="D34" i="1977"/>
  <c r="D54" i="1977" s="1"/>
  <c r="H14" i="1977" s="1"/>
  <c r="R33" i="1977"/>
  <c r="R32" i="1977"/>
  <c r="R31" i="1977"/>
  <c r="R30" i="1977"/>
  <c r="R29" i="1977"/>
  <c r="R28" i="1977"/>
  <c r="L28" i="1977"/>
  <c r="D28" i="1977"/>
  <c r="R27" i="1977"/>
  <c r="L27" i="1977"/>
  <c r="D27" i="1977"/>
  <c r="R26" i="1977"/>
  <c r="L26" i="1977"/>
  <c r="D26" i="1977"/>
  <c r="R25" i="1977"/>
  <c r="L25" i="1977"/>
  <c r="D25" i="1977"/>
  <c r="R24" i="1977"/>
  <c r="L24" i="1977"/>
  <c r="D24" i="1977" s="1"/>
  <c r="R23" i="1977"/>
  <c r="L23" i="1977"/>
  <c r="D23" i="1977"/>
  <c r="R22" i="1977"/>
  <c r="L20" i="1977" s="1"/>
  <c r="D20" i="1977" s="1"/>
  <c r="L22" i="1977"/>
  <c r="D22" i="1977"/>
  <c r="R21" i="1977"/>
  <c r="L21" i="1977"/>
  <c r="D21" i="1977" s="1"/>
  <c r="R20" i="1977"/>
  <c r="R19" i="1977"/>
  <c r="L19" i="1977"/>
  <c r="D19" i="1977"/>
  <c r="R18" i="1977"/>
  <c r="L18" i="1977"/>
  <c r="D18" i="1977" s="1"/>
  <c r="R17" i="1977"/>
  <c r="L17" i="1977"/>
  <c r="D17" i="1977" s="1"/>
  <c r="R16" i="1977"/>
  <c r="L16" i="1977"/>
  <c r="D16" i="1977"/>
  <c r="R15" i="1977"/>
  <c r="L15" i="1977"/>
  <c r="D15" i="1977" s="1"/>
  <c r="R14" i="1977"/>
  <c r="D14" i="1977"/>
  <c r="R13" i="1977"/>
  <c r="D13" i="1977"/>
  <c r="R12" i="1977"/>
  <c r="R11" i="1977"/>
  <c r="L11" i="1977"/>
  <c r="D11" i="1977"/>
  <c r="L10" i="1977"/>
  <c r="D10" i="1977"/>
  <c r="L7" i="1977"/>
  <c r="D7" i="1977" s="1"/>
  <c r="R6" i="1977"/>
  <c r="R5" i="1977"/>
  <c r="R4" i="1977"/>
  <c r="R52" i="1976"/>
  <c r="R51" i="1976"/>
  <c r="D50" i="1976"/>
  <c r="R49" i="1976"/>
  <c r="D49" i="1976"/>
  <c r="R48" i="1976"/>
  <c r="D48" i="1976"/>
  <c r="D46" i="1976"/>
  <c r="D45" i="1976"/>
  <c r="R44" i="1976"/>
  <c r="D44" i="1976"/>
  <c r="R42" i="1976"/>
  <c r="L6" i="1976" s="1"/>
  <c r="D6" i="1976" s="1"/>
  <c r="D42" i="1976"/>
  <c r="R41" i="1976"/>
  <c r="D41" i="1976"/>
  <c r="R40" i="1976"/>
  <c r="D40" i="1976"/>
  <c r="R39" i="1976"/>
  <c r="H39" i="1976"/>
  <c r="D39" i="1976"/>
  <c r="R38" i="1976"/>
  <c r="L9" i="1976" s="1"/>
  <c r="D9" i="1976" s="1"/>
  <c r="H38" i="1976"/>
  <c r="D38" i="1976"/>
  <c r="R37" i="1976"/>
  <c r="H37" i="1976"/>
  <c r="D37" i="1976"/>
  <c r="R36" i="1976"/>
  <c r="L10" i="1976" s="1"/>
  <c r="D10" i="1976" s="1"/>
  <c r="H36" i="1976"/>
  <c r="D36" i="1976"/>
  <c r="R35" i="1976"/>
  <c r="H35" i="1976"/>
  <c r="D35" i="1976"/>
  <c r="R34" i="1976"/>
  <c r="H34" i="1976"/>
  <c r="D34" i="1976"/>
  <c r="R33" i="1976"/>
  <c r="R32" i="1976"/>
  <c r="L11" i="1976" s="1"/>
  <c r="D11" i="1976" s="1"/>
  <c r="R31" i="1976"/>
  <c r="R30" i="1976"/>
  <c r="R29" i="1976"/>
  <c r="R28" i="1976"/>
  <c r="L28" i="1976"/>
  <c r="D28" i="1976"/>
  <c r="R27" i="1976"/>
  <c r="L27" i="1976"/>
  <c r="D27" i="1976" s="1"/>
  <c r="R26" i="1976"/>
  <c r="L26" i="1976"/>
  <c r="D26" i="1976"/>
  <c r="R25" i="1976"/>
  <c r="L25" i="1976"/>
  <c r="D25" i="1976" s="1"/>
  <c r="R24" i="1976"/>
  <c r="L24" i="1976"/>
  <c r="D24" i="1976" s="1"/>
  <c r="R23" i="1976"/>
  <c r="L23" i="1976"/>
  <c r="D23" i="1976"/>
  <c r="R22" i="1976"/>
  <c r="L20" i="1976" s="1"/>
  <c r="D20" i="1976" s="1"/>
  <c r="L22" i="1976"/>
  <c r="D22" i="1976"/>
  <c r="R21" i="1976"/>
  <c r="L21" i="1976"/>
  <c r="D21" i="1976" s="1"/>
  <c r="R20" i="1976"/>
  <c r="R19" i="1976"/>
  <c r="L19" i="1976"/>
  <c r="D19" i="1976" s="1"/>
  <c r="R18" i="1976"/>
  <c r="L18" i="1976"/>
  <c r="D18" i="1976" s="1"/>
  <c r="R17" i="1976"/>
  <c r="L17" i="1976"/>
  <c r="D17" i="1976" s="1"/>
  <c r="R16" i="1976"/>
  <c r="R15" i="1976"/>
  <c r="L15" i="1976"/>
  <c r="D15" i="1976"/>
  <c r="R14" i="1976"/>
  <c r="D14" i="1976"/>
  <c r="R13" i="1976"/>
  <c r="D13" i="1976"/>
  <c r="R12" i="1976"/>
  <c r="L12" i="1976"/>
  <c r="D12" i="1976" s="1"/>
  <c r="R11" i="1976"/>
  <c r="L8" i="1976"/>
  <c r="D8" i="1976"/>
  <c r="L7" i="1976"/>
  <c r="D7" i="1976" s="1"/>
  <c r="R6" i="1976"/>
  <c r="L16" i="1976" s="1"/>
  <c r="D16" i="1976" s="1"/>
  <c r="R5" i="1976"/>
  <c r="R4" i="1976"/>
  <c r="R52" i="1975"/>
  <c r="R51" i="1975"/>
  <c r="D50" i="1975"/>
  <c r="R49" i="1975"/>
  <c r="D49" i="1975"/>
  <c r="R48" i="1975"/>
  <c r="D48" i="1975"/>
  <c r="D46" i="1975"/>
  <c r="D45" i="1975"/>
  <c r="R44" i="1975"/>
  <c r="L28" i="1975" s="1"/>
  <c r="D28" i="1975" s="1"/>
  <c r="D44" i="1975"/>
  <c r="R42" i="1975"/>
  <c r="L6" i="1975" s="1"/>
  <c r="D6" i="1975" s="1"/>
  <c r="D42" i="1975"/>
  <c r="R41" i="1975"/>
  <c r="D41" i="1975"/>
  <c r="R40" i="1975"/>
  <c r="D40" i="1975"/>
  <c r="R39" i="1975"/>
  <c r="H39" i="1975"/>
  <c r="D39" i="1975"/>
  <c r="R38" i="1975"/>
  <c r="L9" i="1975" s="1"/>
  <c r="D9" i="1975" s="1"/>
  <c r="H38" i="1975"/>
  <c r="D38" i="1975"/>
  <c r="R37" i="1975"/>
  <c r="H37" i="1975"/>
  <c r="D37" i="1975"/>
  <c r="R36" i="1975"/>
  <c r="H36" i="1975"/>
  <c r="D36" i="1975"/>
  <c r="R35" i="1975"/>
  <c r="H35" i="1975"/>
  <c r="D35" i="1975"/>
  <c r="R34" i="1975"/>
  <c r="H34" i="1975"/>
  <c r="D34" i="1975"/>
  <c r="R33" i="1975"/>
  <c r="R32" i="1975"/>
  <c r="L11" i="1975" s="1"/>
  <c r="D11" i="1975" s="1"/>
  <c r="R31" i="1975"/>
  <c r="R30" i="1975"/>
  <c r="R29" i="1975"/>
  <c r="R28" i="1975"/>
  <c r="R27" i="1975"/>
  <c r="L27" i="1975"/>
  <c r="D27" i="1975" s="1"/>
  <c r="R26" i="1975"/>
  <c r="L26" i="1975"/>
  <c r="D26" i="1975" s="1"/>
  <c r="R25" i="1975"/>
  <c r="L25" i="1975"/>
  <c r="D25" i="1975"/>
  <c r="R24" i="1975"/>
  <c r="L24" i="1975"/>
  <c r="D24" i="1975"/>
  <c r="R23" i="1975"/>
  <c r="L23" i="1975"/>
  <c r="D23" i="1975"/>
  <c r="R22" i="1975"/>
  <c r="L20" i="1975" s="1"/>
  <c r="D20" i="1975" s="1"/>
  <c r="L22" i="1975"/>
  <c r="D22" i="1975"/>
  <c r="R21" i="1975"/>
  <c r="L21" i="1975"/>
  <c r="D21" i="1975"/>
  <c r="R20" i="1975"/>
  <c r="R19" i="1975"/>
  <c r="L19" i="1975"/>
  <c r="D19" i="1975" s="1"/>
  <c r="R18" i="1975"/>
  <c r="L18" i="1975"/>
  <c r="D18" i="1975" s="1"/>
  <c r="R17" i="1975"/>
  <c r="L17" i="1975"/>
  <c r="D17" i="1975" s="1"/>
  <c r="R16" i="1975"/>
  <c r="R15" i="1975"/>
  <c r="L15" i="1975"/>
  <c r="D15" i="1975"/>
  <c r="R14" i="1975"/>
  <c r="D14" i="1975"/>
  <c r="R13" i="1975"/>
  <c r="D13" i="1975"/>
  <c r="R12" i="1975"/>
  <c r="L12" i="1975"/>
  <c r="D12" i="1975" s="1"/>
  <c r="R11" i="1975"/>
  <c r="L10" i="1975"/>
  <c r="D10" i="1975" s="1"/>
  <c r="L8" i="1975"/>
  <c r="D8" i="1975"/>
  <c r="L7" i="1975"/>
  <c r="D7" i="1975"/>
  <c r="R6" i="1975"/>
  <c r="L16" i="1975" s="1"/>
  <c r="D16" i="1975" s="1"/>
  <c r="R5" i="1975"/>
  <c r="R4" i="1975"/>
  <c r="R52" i="1974"/>
  <c r="R51" i="1974"/>
  <c r="D50" i="1974"/>
  <c r="R49" i="1974"/>
  <c r="D49" i="1974"/>
  <c r="R48" i="1974"/>
  <c r="D48" i="1974"/>
  <c r="D46" i="1974"/>
  <c r="D45" i="1974"/>
  <c r="R44" i="1974"/>
  <c r="D44" i="1974"/>
  <c r="R42" i="1974"/>
  <c r="D42" i="1974"/>
  <c r="R41" i="1974"/>
  <c r="L7" i="1974" s="1"/>
  <c r="D7" i="1974" s="1"/>
  <c r="D41" i="1974"/>
  <c r="R40" i="1974"/>
  <c r="D40" i="1974"/>
  <c r="R39" i="1974"/>
  <c r="H39" i="1974"/>
  <c r="D39" i="1974"/>
  <c r="R38" i="1974"/>
  <c r="L9" i="1974" s="1"/>
  <c r="D9" i="1974" s="1"/>
  <c r="H38" i="1974"/>
  <c r="D38" i="1974"/>
  <c r="R37" i="1974"/>
  <c r="H37" i="1974"/>
  <c r="D37" i="1974"/>
  <c r="R36" i="1974"/>
  <c r="H36" i="1974"/>
  <c r="D36" i="1974"/>
  <c r="R35" i="1974"/>
  <c r="L18" i="1974" s="1"/>
  <c r="D18" i="1974" s="1"/>
  <c r="H35" i="1974"/>
  <c r="D35" i="1974"/>
  <c r="R34" i="1974"/>
  <c r="H34" i="1974"/>
  <c r="D34" i="1974"/>
  <c r="R33" i="1974"/>
  <c r="R32" i="1974"/>
  <c r="R31" i="1974"/>
  <c r="R30" i="1974"/>
  <c r="R29" i="1974"/>
  <c r="R28" i="1974"/>
  <c r="L28" i="1974"/>
  <c r="D28" i="1974"/>
  <c r="R27" i="1974"/>
  <c r="D27" i="1974"/>
  <c r="R26" i="1974"/>
  <c r="L26" i="1974"/>
  <c r="D26" i="1974"/>
  <c r="R25" i="1974"/>
  <c r="L25" i="1974"/>
  <c r="D25" i="1974"/>
  <c r="R24" i="1974"/>
  <c r="L24" i="1974"/>
  <c r="D24" i="1974"/>
  <c r="R23" i="1974"/>
  <c r="L23" i="1974"/>
  <c r="D23" i="1974"/>
  <c r="R22" i="1974"/>
  <c r="L20" i="1974" s="1"/>
  <c r="D20" i="1974" s="1"/>
  <c r="L22" i="1974"/>
  <c r="D22" i="1974" s="1"/>
  <c r="R21" i="1974"/>
  <c r="L17" i="1974" s="1"/>
  <c r="D17" i="1974" s="1"/>
  <c r="L21" i="1974"/>
  <c r="D21" i="1974"/>
  <c r="R20" i="1974"/>
  <c r="R19" i="1974"/>
  <c r="L19" i="1974"/>
  <c r="D19" i="1974"/>
  <c r="R18" i="1974"/>
  <c r="R17" i="1974"/>
  <c r="R16" i="1974"/>
  <c r="L16" i="1974"/>
  <c r="D16" i="1974" s="1"/>
  <c r="R15" i="1974"/>
  <c r="L15" i="1974"/>
  <c r="D15" i="1974" s="1"/>
  <c r="R14" i="1974"/>
  <c r="D14" i="1974"/>
  <c r="R13" i="1974"/>
  <c r="D13" i="1974"/>
  <c r="R12" i="1974"/>
  <c r="L12" i="1974"/>
  <c r="D12" i="1974"/>
  <c r="R11" i="1974"/>
  <c r="L11" i="1974"/>
  <c r="D11" i="1974" s="1"/>
  <c r="L10" i="1974"/>
  <c r="D10" i="1974"/>
  <c r="L8" i="1974"/>
  <c r="D8" i="1974" s="1"/>
  <c r="R6" i="1974"/>
  <c r="L6" i="1974"/>
  <c r="D6" i="1974" s="1"/>
  <c r="R5" i="1974"/>
  <c r="R4" i="1974"/>
  <c r="R52" i="1972"/>
  <c r="R51" i="1972"/>
  <c r="D50" i="1972"/>
  <c r="R49" i="1972"/>
  <c r="D49" i="1972"/>
  <c r="R48" i="1972"/>
  <c r="D48" i="1972"/>
  <c r="D46" i="1972"/>
  <c r="D45" i="1972"/>
  <c r="R44" i="1972"/>
  <c r="D44" i="1972"/>
  <c r="R42" i="1972"/>
  <c r="D42" i="1972"/>
  <c r="R41" i="1972"/>
  <c r="D41" i="1972"/>
  <c r="R40" i="1972"/>
  <c r="L8" i="1972" s="1"/>
  <c r="D8" i="1972" s="1"/>
  <c r="D40" i="1972"/>
  <c r="R39" i="1972"/>
  <c r="H39" i="1972"/>
  <c r="D39" i="1972"/>
  <c r="R38" i="1972"/>
  <c r="H38" i="1972"/>
  <c r="D38" i="1972"/>
  <c r="R37" i="1972"/>
  <c r="H37" i="1972"/>
  <c r="D37" i="1972"/>
  <c r="R36" i="1972"/>
  <c r="H36" i="1972"/>
  <c r="D36" i="1972"/>
  <c r="R35" i="1972"/>
  <c r="H35" i="1972"/>
  <c r="D35" i="1972"/>
  <c r="R34" i="1972"/>
  <c r="L12" i="1972" s="1"/>
  <c r="D12" i="1972" s="1"/>
  <c r="H34" i="1972"/>
  <c r="D34" i="1972"/>
  <c r="R33" i="1972"/>
  <c r="L19" i="1972" s="1"/>
  <c r="D19" i="1972" s="1"/>
  <c r="R32" i="1972"/>
  <c r="R31" i="1972"/>
  <c r="R30" i="1972"/>
  <c r="R29" i="1972"/>
  <c r="R28" i="1972"/>
  <c r="L28" i="1972"/>
  <c r="D28" i="1972"/>
  <c r="R27" i="1972"/>
  <c r="L27" i="1972"/>
  <c r="D27" i="1972" s="1"/>
  <c r="R26" i="1972"/>
  <c r="L26" i="1972"/>
  <c r="D26" i="1972"/>
  <c r="R25" i="1972"/>
  <c r="L25" i="1972"/>
  <c r="D25" i="1972" s="1"/>
  <c r="R24" i="1972"/>
  <c r="L24" i="1972"/>
  <c r="D24" i="1972"/>
  <c r="R23" i="1972"/>
  <c r="L23" i="1972"/>
  <c r="D23" i="1972" s="1"/>
  <c r="R22" i="1972"/>
  <c r="L22" i="1972"/>
  <c r="D22" i="1972"/>
  <c r="R21" i="1972"/>
  <c r="L17" i="1972" s="1"/>
  <c r="D17" i="1972" s="1"/>
  <c r="L21" i="1972"/>
  <c r="D21" i="1972" s="1"/>
  <c r="R20" i="1972"/>
  <c r="L20" i="1972"/>
  <c r="D20" i="1972" s="1"/>
  <c r="R19" i="1972"/>
  <c r="R18" i="1972"/>
  <c r="L18" i="1972"/>
  <c r="D18" i="1972"/>
  <c r="R17" i="1972"/>
  <c r="R16" i="1972"/>
  <c r="L16" i="1972"/>
  <c r="D16" i="1972"/>
  <c r="R15" i="1972"/>
  <c r="L15" i="1972"/>
  <c r="D15" i="1972" s="1"/>
  <c r="R14" i="1972"/>
  <c r="D14" i="1972"/>
  <c r="R13" i="1972"/>
  <c r="D13" i="1972"/>
  <c r="R12" i="1972"/>
  <c r="R11" i="1972"/>
  <c r="L11" i="1972"/>
  <c r="D11" i="1972"/>
  <c r="L10" i="1972"/>
  <c r="D10" i="1972"/>
  <c r="L9" i="1972"/>
  <c r="D9" i="1972" s="1"/>
  <c r="L7" i="1972"/>
  <c r="D7" i="1972"/>
  <c r="R6" i="1972"/>
  <c r="L6" i="1972"/>
  <c r="D6" i="1972" s="1"/>
  <c r="R5" i="1972"/>
  <c r="R4" i="1972"/>
  <c r="R52" i="1971"/>
  <c r="R51" i="1971"/>
  <c r="D50" i="1971"/>
  <c r="R49" i="1971"/>
  <c r="D49" i="1971"/>
  <c r="R48" i="1971"/>
  <c r="D48" i="1971"/>
  <c r="D46" i="1971"/>
  <c r="D45" i="1971"/>
  <c r="R44" i="1971"/>
  <c r="L28" i="1971" s="1"/>
  <c r="D28" i="1971" s="1"/>
  <c r="D44" i="1971"/>
  <c r="R42" i="1971"/>
  <c r="D42" i="1971"/>
  <c r="R41" i="1971"/>
  <c r="D41" i="1971"/>
  <c r="R40" i="1971"/>
  <c r="L8" i="1971" s="1"/>
  <c r="D8" i="1971" s="1"/>
  <c r="D40" i="1971"/>
  <c r="R39" i="1971"/>
  <c r="H39" i="1971"/>
  <c r="D39" i="1971"/>
  <c r="R38" i="1971"/>
  <c r="H38" i="1971"/>
  <c r="D38" i="1971"/>
  <c r="R37" i="1971"/>
  <c r="H37" i="1971"/>
  <c r="D37" i="1971"/>
  <c r="R36" i="1971"/>
  <c r="L10" i="1971" s="1"/>
  <c r="D10" i="1971" s="1"/>
  <c r="H36" i="1971"/>
  <c r="D36" i="1971"/>
  <c r="R35" i="1971"/>
  <c r="L18" i="1971" s="1"/>
  <c r="D18" i="1971" s="1"/>
  <c r="H35" i="1971"/>
  <c r="D35" i="1971"/>
  <c r="R34" i="1971"/>
  <c r="H34" i="1971"/>
  <c r="D34" i="1971"/>
  <c r="R33" i="1971"/>
  <c r="R32" i="1971"/>
  <c r="R31" i="1971"/>
  <c r="R30" i="1971"/>
  <c r="R29" i="1971"/>
  <c r="R28" i="1971"/>
  <c r="R27" i="1971"/>
  <c r="D27" i="1971"/>
  <c r="R26" i="1971"/>
  <c r="D26" i="1971"/>
  <c r="R25" i="1971"/>
  <c r="L25" i="1971"/>
  <c r="D25" i="1971"/>
  <c r="R24" i="1971"/>
  <c r="L24" i="1971"/>
  <c r="D24" i="1971" s="1"/>
  <c r="R23" i="1971"/>
  <c r="L23" i="1971"/>
  <c r="D23" i="1971" s="1"/>
  <c r="R22" i="1971"/>
  <c r="L20" i="1971" s="1"/>
  <c r="D20" i="1971" s="1"/>
  <c r="L22" i="1971"/>
  <c r="D22" i="1971" s="1"/>
  <c r="R21" i="1971"/>
  <c r="L17" i="1971" s="1"/>
  <c r="D17" i="1971" s="1"/>
  <c r="L21" i="1971"/>
  <c r="D21" i="1971"/>
  <c r="R20" i="1971"/>
  <c r="R19" i="1971"/>
  <c r="L19" i="1971"/>
  <c r="D19" i="1971"/>
  <c r="R18" i="1971"/>
  <c r="R17" i="1971"/>
  <c r="R16" i="1971"/>
  <c r="L16" i="1971"/>
  <c r="D16" i="1971" s="1"/>
  <c r="R15" i="1971"/>
  <c r="R14" i="1971"/>
  <c r="D14" i="1971"/>
  <c r="R13" i="1971"/>
  <c r="D13" i="1971"/>
  <c r="R12" i="1971"/>
  <c r="L12" i="1971"/>
  <c r="D12" i="1971"/>
  <c r="R11" i="1971"/>
  <c r="L11" i="1971"/>
  <c r="D11" i="1971" s="1"/>
  <c r="L9" i="1971"/>
  <c r="D9" i="1971" s="1"/>
  <c r="L7" i="1971"/>
  <c r="D7" i="1971" s="1"/>
  <c r="R6" i="1971"/>
  <c r="L6" i="1971"/>
  <c r="D6" i="1971" s="1"/>
  <c r="R5" i="1971"/>
  <c r="R4" i="1971"/>
  <c r="L15" i="1971" s="1"/>
  <c r="D15" i="1971" s="1"/>
  <c r="R52" i="1970"/>
  <c r="R51" i="1970"/>
  <c r="D50" i="1970"/>
  <c r="R49" i="1970"/>
  <c r="G49" i="1970"/>
  <c r="D49" i="1970"/>
  <c r="R48" i="1970"/>
  <c r="D48" i="1970"/>
  <c r="D46" i="1970"/>
  <c r="D45" i="1970"/>
  <c r="D44" i="1970"/>
  <c r="R42" i="1970"/>
  <c r="L6" i="1970" s="1"/>
  <c r="D6" i="1970" s="1"/>
  <c r="D42" i="1970"/>
  <c r="R41" i="1970"/>
  <c r="L7" i="1970" s="1"/>
  <c r="D7" i="1970" s="1"/>
  <c r="D41" i="1970"/>
  <c r="R40" i="1970"/>
  <c r="D40" i="1970"/>
  <c r="R39" i="1970"/>
  <c r="D39" i="1970"/>
  <c r="R38" i="1970"/>
  <c r="L9" i="1970" s="1"/>
  <c r="D9" i="1970" s="1"/>
  <c r="D38" i="1970"/>
  <c r="R37" i="1970"/>
  <c r="D37" i="1970"/>
  <c r="R36" i="1970"/>
  <c r="L10" i="1970" s="1"/>
  <c r="D10" i="1970" s="1"/>
  <c r="D36" i="1970"/>
  <c r="R35" i="1970"/>
  <c r="D35" i="1970"/>
  <c r="R34" i="1970"/>
  <c r="L12" i="1970" s="1"/>
  <c r="D12" i="1970" s="1"/>
  <c r="D34" i="1970"/>
  <c r="D54" i="1970" s="1"/>
  <c r="H14" i="1970" s="1"/>
  <c r="R33" i="1970"/>
  <c r="L23" i="1970" s="1"/>
  <c r="D23" i="1970" s="1"/>
  <c r="R32" i="1970"/>
  <c r="R31" i="1970"/>
  <c r="R30" i="1970"/>
  <c r="R29" i="1970"/>
  <c r="R28" i="1970"/>
  <c r="D28" i="1970"/>
  <c r="R27" i="1970"/>
  <c r="D27" i="1970"/>
  <c r="R26" i="1970"/>
  <c r="L26" i="1970"/>
  <c r="D26" i="1970"/>
  <c r="R25" i="1970"/>
  <c r="L25" i="1970"/>
  <c r="D25" i="1970"/>
  <c r="R24" i="1970"/>
  <c r="D24" i="1970"/>
  <c r="R23" i="1970"/>
  <c r="R22" i="1970"/>
  <c r="L22" i="1970"/>
  <c r="D22" i="1970"/>
  <c r="R21" i="1970"/>
  <c r="D21" i="1970"/>
  <c r="R20" i="1970"/>
  <c r="L20" i="1970"/>
  <c r="D20" i="1970"/>
  <c r="R19" i="1970"/>
  <c r="L19" i="1970"/>
  <c r="D19" i="1970"/>
  <c r="R18" i="1970"/>
  <c r="D18" i="1970"/>
  <c r="R17" i="1970"/>
  <c r="D17" i="1970"/>
  <c r="R16" i="1970"/>
  <c r="L16" i="1970"/>
  <c r="D16" i="1970" s="1"/>
  <c r="S15" i="1970"/>
  <c r="R15" i="1970"/>
  <c r="D15" i="1970"/>
  <c r="S14" i="1970"/>
  <c r="R14" i="1970"/>
  <c r="D14" i="1970"/>
  <c r="R13" i="1970"/>
  <c r="D13" i="1970"/>
  <c r="R12" i="1970"/>
  <c r="R11" i="1970"/>
  <c r="L11" i="1970"/>
  <c r="D11" i="1970"/>
  <c r="L8" i="1970"/>
  <c r="D8" i="1970"/>
  <c r="R6" i="1970"/>
  <c r="R5" i="1970"/>
  <c r="R4" i="1970"/>
  <c r="R52" i="1968"/>
  <c r="R51" i="1968"/>
  <c r="D50" i="1968"/>
  <c r="R49" i="1968"/>
  <c r="D49" i="1968"/>
  <c r="R48" i="1968"/>
  <c r="D48" i="1968"/>
  <c r="D46" i="1968"/>
  <c r="D45" i="1968"/>
  <c r="R44" i="1968"/>
  <c r="D44" i="1968"/>
  <c r="R42" i="1968"/>
  <c r="D42" i="1968"/>
  <c r="R41" i="1968"/>
  <c r="D41" i="1968"/>
  <c r="R40" i="1968"/>
  <c r="L8" i="1968" s="1"/>
  <c r="D8" i="1968" s="1"/>
  <c r="D40" i="1968"/>
  <c r="R39" i="1968"/>
  <c r="H39" i="1968"/>
  <c r="D39" i="1968"/>
  <c r="R38" i="1968"/>
  <c r="H38" i="1968"/>
  <c r="D38" i="1968"/>
  <c r="R37" i="1968"/>
  <c r="H37" i="1968"/>
  <c r="D37" i="1968"/>
  <c r="R36" i="1968"/>
  <c r="H36" i="1968"/>
  <c r="D36" i="1968"/>
  <c r="R35" i="1968"/>
  <c r="L18" i="1968" s="1"/>
  <c r="D18" i="1968" s="1"/>
  <c r="H35" i="1968"/>
  <c r="D35" i="1968"/>
  <c r="R34" i="1968"/>
  <c r="L12" i="1968" s="1"/>
  <c r="D12" i="1968" s="1"/>
  <c r="H34" i="1968"/>
  <c r="D34" i="1968"/>
  <c r="R33" i="1968"/>
  <c r="L19" i="1968" s="1"/>
  <c r="D19" i="1968" s="1"/>
  <c r="R32" i="1968"/>
  <c r="R31" i="1968"/>
  <c r="R30" i="1968"/>
  <c r="R29" i="1968"/>
  <c r="R28" i="1968"/>
  <c r="L28" i="1968"/>
  <c r="D28" i="1968"/>
  <c r="R27" i="1968"/>
  <c r="L27" i="1968"/>
  <c r="D27" i="1968"/>
  <c r="R26" i="1968"/>
  <c r="L26" i="1968"/>
  <c r="D26" i="1968"/>
  <c r="R25" i="1968"/>
  <c r="L25" i="1968"/>
  <c r="D25" i="1968"/>
  <c r="R24" i="1968"/>
  <c r="L24" i="1968"/>
  <c r="D24" i="1968"/>
  <c r="R23" i="1968"/>
  <c r="L23" i="1968"/>
  <c r="D23" i="1968" s="1"/>
  <c r="R22" i="1968"/>
  <c r="L22" i="1968"/>
  <c r="D22" i="1968"/>
  <c r="R21" i="1968"/>
  <c r="L17" i="1968" s="1"/>
  <c r="D17" i="1968" s="1"/>
  <c r="L21" i="1968"/>
  <c r="D21" i="1968"/>
  <c r="R20" i="1968"/>
  <c r="L20" i="1968"/>
  <c r="D20" i="1968" s="1"/>
  <c r="R19" i="1968"/>
  <c r="R18" i="1968"/>
  <c r="R17" i="1968"/>
  <c r="R16" i="1968"/>
  <c r="L16" i="1968"/>
  <c r="D16" i="1968"/>
  <c r="R15" i="1968"/>
  <c r="L15" i="1968"/>
  <c r="D15" i="1968" s="1"/>
  <c r="R14" i="1968"/>
  <c r="D14" i="1968"/>
  <c r="R13" i="1968"/>
  <c r="D13" i="1968"/>
  <c r="R12" i="1968"/>
  <c r="R11" i="1968"/>
  <c r="L11" i="1968"/>
  <c r="D11" i="1968"/>
  <c r="L10" i="1968"/>
  <c r="D10" i="1968"/>
  <c r="L9" i="1968"/>
  <c r="D9" i="1968" s="1"/>
  <c r="L7" i="1968"/>
  <c r="D7" i="1968"/>
  <c r="R6" i="1968"/>
  <c r="L6" i="1968"/>
  <c r="D6" i="1968" s="1"/>
  <c r="R5" i="1968"/>
  <c r="R4" i="1968"/>
  <c r="R52" i="1967"/>
  <c r="R51" i="1967"/>
  <c r="D50" i="1967"/>
  <c r="R49" i="1967"/>
  <c r="D49" i="1967"/>
  <c r="R48" i="1967"/>
  <c r="D48" i="1967"/>
  <c r="D46" i="1967"/>
  <c r="D45" i="1967"/>
  <c r="R44" i="1967"/>
  <c r="D44" i="1967"/>
  <c r="R42" i="1967"/>
  <c r="L6" i="1967" s="1"/>
  <c r="D6" i="1967" s="1"/>
  <c r="D42" i="1967"/>
  <c r="R41" i="1967"/>
  <c r="L7" i="1967" s="1"/>
  <c r="D7" i="1967" s="1"/>
  <c r="D41" i="1967"/>
  <c r="R40" i="1967"/>
  <c r="D40" i="1967"/>
  <c r="R39" i="1967"/>
  <c r="H39" i="1967"/>
  <c r="D39" i="1967"/>
  <c r="R38" i="1967"/>
  <c r="H38" i="1967"/>
  <c r="D38" i="1967"/>
  <c r="R37" i="1967"/>
  <c r="H37" i="1967"/>
  <c r="D37" i="1967"/>
  <c r="R36" i="1967"/>
  <c r="H36" i="1967"/>
  <c r="D36" i="1967"/>
  <c r="R35" i="1967"/>
  <c r="L18" i="1967" s="1"/>
  <c r="D18" i="1967" s="1"/>
  <c r="H35" i="1967"/>
  <c r="D35" i="1967"/>
  <c r="R34" i="1967"/>
  <c r="H34" i="1967"/>
  <c r="D34" i="1967"/>
  <c r="R33" i="1967"/>
  <c r="L19" i="1967" s="1"/>
  <c r="D19" i="1967" s="1"/>
  <c r="R32" i="1967"/>
  <c r="L11" i="1967" s="1"/>
  <c r="D11" i="1967" s="1"/>
  <c r="R31" i="1967"/>
  <c r="R30" i="1967"/>
  <c r="R29" i="1967"/>
  <c r="R28" i="1967"/>
  <c r="L28" i="1967"/>
  <c r="D28" i="1967"/>
  <c r="R27" i="1967"/>
  <c r="L27" i="1967"/>
  <c r="D27" i="1967" s="1"/>
  <c r="R26" i="1967"/>
  <c r="L26" i="1967"/>
  <c r="D26" i="1967" s="1"/>
  <c r="R25" i="1967"/>
  <c r="L25" i="1967"/>
  <c r="D25" i="1967"/>
  <c r="R24" i="1967"/>
  <c r="L24" i="1967"/>
  <c r="D24" i="1967"/>
  <c r="R23" i="1967"/>
  <c r="L23" i="1967"/>
  <c r="D23" i="1967"/>
  <c r="R22" i="1967"/>
  <c r="L20" i="1967" s="1"/>
  <c r="D20" i="1967" s="1"/>
  <c r="L22" i="1967"/>
  <c r="D22" i="1967" s="1"/>
  <c r="R21" i="1967"/>
  <c r="L21" i="1967"/>
  <c r="D21" i="1967"/>
  <c r="R20" i="1967"/>
  <c r="R19" i="1967"/>
  <c r="R18" i="1967"/>
  <c r="R17" i="1967"/>
  <c r="L17" i="1967"/>
  <c r="D17" i="1967" s="1"/>
  <c r="R16" i="1967"/>
  <c r="R15" i="1967"/>
  <c r="R14" i="1967"/>
  <c r="D14" i="1967"/>
  <c r="R13" i="1967"/>
  <c r="D13" i="1967"/>
  <c r="R12" i="1967"/>
  <c r="L12" i="1967"/>
  <c r="D12" i="1967" s="1"/>
  <c r="R11" i="1967"/>
  <c r="L10" i="1967"/>
  <c r="D10" i="1967" s="1"/>
  <c r="L9" i="1967"/>
  <c r="D9" i="1967" s="1"/>
  <c r="L8" i="1967"/>
  <c r="D8" i="1967" s="1"/>
  <c r="R6" i="1967"/>
  <c r="L16" i="1967" s="1"/>
  <c r="D16" i="1967" s="1"/>
  <c r="R5" i="1967"/>
  <c r="R4" i="1967"/>
  <c r="L15" i="1967" s="1"/>
  <c r="D15" i="1967" s="1"/>
  <c r="R52" i="1966"/>
  <c r="R51" i="1966"/>
  <c r="D50" i="1966"/>
  <c r="R49" i="1966"/>
  <c r="G49" i="1966"/>
  <c r="D49" i="1966"/>
  <c r="R48" i="1966"/>
  <c r="D48" i="1966"/>
  <c r="D46" i="1966"/>
  <c r="D45" i="1966"/>
  <c r="D44" i="1966"/>
  <c r="R42" i="1966"/>
  <c r="L6" i="1966" s="1"/>
  <c r="D6" i="1966" s="1"/>
  <c r="D42" i="1966"/>
  <c r="R41" i="1966"/>
  <c r="L7" i="1966" s="1"/>
  <c r="D7" i="1966" s="1"/>
  <c r="D41" i="1966"/>
  <c r="R40" i="1966"/>
  <c r="D40" i="1966"/>
  <c r="R39" i="1966"/>
  <c r="D39" i="1966"/>
  <c r="R38" i="1966"/>
  <c r="D38" i="1966"/>
  <c r="R37" i="1966"/>
  <c r="D37" i="1966"/>
  <c r="R36" i="1966"/>
  <c r="D36" i="1966"/>
  <c r="R35" i="1966"/>
  <c r="D35" i="1966"/>
  <c r="R34" i="1966"/>
  <c r="L12" i="1966" s="1"/>
  <c r="D12" i="1966" s="1"/>
  <c r="D34" i="1966"/>
  <c r="D54" i="1966" s="1"/>
  <c r="H14" i="1966" s="1"/>
  <c r="R33" i="1966"/>
  <c r="L23" i="1966" s="1"/>
  <c r="D23" i="1966" s="1"/>
  <c r="R32" i="1966"/>
  <c r="R31" i="1966"/>
  <c r="R30" i="1966"/>
  <c r="R29" i="1966"/>
  <c r="R28" i="1966"/>
  <c r="L16" i="1966" s="1"/>
  <c r="D16" i="1966" s="1"/>
  <c r="D28" i="1966"/>
  <c r="R27" i="1966"/>
  <c r="D27" i="1966"/>
  <c r="R26" i="1966"/>
  <c r="L26" i="1966"/>
  <c r="D26" i="1966"/>
  <c r="R25" i="1966"/>
  <c r="L25" i="1966"/>
  <c r="D25" i="1966"/>
  <c r="R24" i="1966"/>
  <c r="D24" i="1966"/>
  <c r="R23" i="1966"/>
  <c r="R22" i="1966"/>
  <c r="L22" i="1966"/>
  <c r="D22" i="1966"/>
  <c r="R21" i="1966"/>
  <c r="D21" i="1966"/>
  <c r="R20" i="1966"/>
  <c r="L20" i="1966"/>
  <c r="D20" i="1966"/>
  <c r="R19" i="1966"/>
  <c r="L19" i="1966"/>
  <c r="D19" i="1966"/>
  <c r="R18" i="1966"/>
  <c r="D18" i="1966"/>
  <c r="R17" i="1966"/>
  <c r="D17" i="1966"/>
  <c r="R16" i="1966"/>
  <c r="S15" i="1966"/>
  <c r="R15" i="1966"/>
  <c r="D15" i="1966"/>
  <c r="S14" i="1966"/>
  <c r="R14" i="1966"/>
  <c r="D14" i="1966"/>
  <c r="R13" i="1966"/>
  <c r="D13" i="1966"/>
  <c r="R12" i="1966"/>
  <c r="R11" i="1966"/>
  <c r="L11" i="1966"/>
  <c r="D11" i="1966"/>
  <c r="L10" i="1966"/>
  <c r="D10" i="1966"/>
  <c r="L9" i="1966"/>
  <c r="D9" i="1966"/>
  <c r="L8" i="1966"/>
  <c r="D8" i="1966" s="1"/>
  <c r="R6" i="1966"/>
  <c r="R5" i="1966"/>
  <c r="R4" i="1966"/>
  <c r="R52" i="1964"/>
  <c r="R51" i="1964"/>
  <c r="D50" i="1964"/>
  <c r="R49" i="1964"/>
  <c r="D49" i="1964"/>
  <c r="R48" i="1964"/>
  <c r="D48" i="1964"/>
  <c r="D46" i="1964"/>
  <c r="D45" i="1964"/>
  <c r="R44" i="1964"/>
  <c r="L28" i="1964" s="1"/>
  <c r="D28" i="1964" s="1"/>
  <c r="D44" i="1964"/>
  <c r="R42" i="1964"/>
  <c r="D42" i="1964"/>
  <c r="R41" i="1964"/>
  <c r="D41" i="1964"/>
  <c r="R40" i="1964"/>
  <c r="L8" i="1964" s="1"/>
  <c r="D8" i="1964" s="1"/>
  <c r="D40" i="1964"/>
  <c r="R39" i="1964"/>
  <c r="H39" i="1964"/>
  <c r="D39" i="1964"/>
  <c r="R38" i="1964"/>
  <c r="L9" i="1964" s="1"/>
  <c r="D9" i="1964" s="1"/>
  <c r="H38" i="1964"/>
  <c r="D38" i="1964"/>
  <c r="R37" i="1964"/>
  <c r="H37" i="1964"/>
  <c r="D37" i="1964"/>
  <c r="R36" i="1964"/>
  <c r="L10" i="1964" s="1"/>
  <c r="D10" i="1964" s="1"/>
  <c r="H36" i="1964"/>
  <c r="D36" i="1964"/>
  <c r="R35" i="1964"/>
  <c r="H35" i="1964"/>
  <c r="D35" i="1964"/>
  <c r="R34" i="1964"/>
  <c r="L12" i="1964" s="1"/>
  <c r="D12" i="1964" s="1"/>
  <c r="H34" i="1964"/>
  <c r="D34" i="1964"/>
  <c r="R33" i="1964"/>
  <c r="R32" i="1964"/>
  <c r="R31" i="1964"/>
  <c r="R30" i="1964"/>
  <c r="R29" i="1964"/>
  <c r="R28" i="1964"/>
  <c r="R27" i="1964"/>
  <c r="L27" i="1964"/>
  <c r="D27" i="1964"/>
  <c r="R26" i="1964"/>
  <c r="L26" i="1964"/>
  <c r="D26" i="1964"/>
  <c r="R25" i="1964"/>
  <c r="L25" i="1964"/>
  <c r="D25" i="1964" s="1"/>
  <c r="R24" i="1964"/>
  <c r="L24" i="1964"/>
  <c r="D24" i="1964"/>
  <c r="R23" i="1964"/>
  <c r="L23" i="1964"/>
  <c r="D23" i="1964" s="1"/>
  <c r="R22" i="1964"/>
  <c r="L20" i="1964" s="1"/>
  <c r="D20" i="1964" s="1"/>
  <c r="L22" i="1964"/>
  <c r="D22" i="1964"/>
  <c r="R21" i="1964"/>
  <c r="L21" i="1964"/>
  <c r="D21" i="1964" s="1"/>
  <c r="R20" i="1964"/>
  <c r="R19" i="1964"/>
  <c r="L19" i="1964"/>
  <c r="D19" i="1964"/>
  <c r="R18" i="1964"/>
  <c r="L18" i="1964"/>
  <c r="D18" i="1964" s="1"/>
  <c r="R17" i="1964"/>
  <c r="L17" i="1964"/>
  <c r="D17" i="1964" s="1"/>
  <c r="R16" i="1964"/>
  <c r="R15" i="1964"/>
  <c r="L15" i="1964"/>
  <c r="D15" i="1964" s="1"/>
  <c r="R14" i="1964"/>
  <c r="D14" i="1964"/>
  <c r="R13" i="1964"/>
  <c r="D13" i="1964"/>
  <c r="R12" i="1964"/>
  <c r="R11" i="1964"/>
  <c r="L11" i="1964"/>
  <c r="D11" i="1964"/>
  <c r="L7" i="1964"/>
  <c r="D7" i="1964"/>
  <c r="R6" i="1964"/>
  <c r="L16" i="1964" s="1"/>
  <c r="D16" i="1964" s="1"/>
  <c r="L6" i="1964"/>
  <c r="D6" i="1964" s="1"/>
  <c r="R5" i="1964"/>
  <c r="R4" i="1964"/>
  <c r="R52" i="1963"/>
  <c r="R51" i="1963"/>
  <c r="D50" i="1963"/>
  <c r="R49" i="1963"/>
  <c r="D49" i="1963"/>
  <c r="R48" i="1963"/>
  <c r="D48" i="1963"/>
  <c r="D46" i="1963"/>
  <c r="D45" i="1963"/>
  <c r="R44" i="1963"/>
  <c r="L28" i="1963" s="1"/>
  <c r="D28" i="1963" s="1"/>
  <c r="D44" i="1963"/>
  <c r="R42" i="1963"/>
  <c r="D42" i="1963"/>
  <c r="R41" i="1963"/>
  <c r="D41" i="1963"/>
  <c r="R40" i="1963"/>
  <c r="L8" i="1963" s="1"/>
  <c r="D8" i="1963" s="1"/>
  <c r="D40" i="1963"/>
  <c r="R39" i="1963"/>
  <c r="H39" i="1963"/>
  <c r="D39" i="1963"/>
  <c r="R38" i="1963"/>
  <c r="L9" i="1963" s="1"/>
  <c r="D9" i="1963" s="1"/>
  <c r="H38" i="1963"/>
  <c r="D38" i="1963"/>
  <c r="R37" i="1963"/>
  <c r="H37" i="1963"/>
  <c r="D37" i="1963"/>
  <c r="R36" i="1963"/>
  <c r="L10" i="1963" s="1"/>
  <c r="D10" i="1963" s="1"/>
  <c r="H36" i="1963"/>
  <c r="D36" i="1963"/>
  <c r="R35" i="1963"/>
  <c r="H35" i="1963"/>
  <c r="D35" i="1963"/>
  <c r="R34" i="1963"/>
  <c r="H34" i="1963"/>
  <c r="G49" i="1963" s="1"/>
  <c r="D34" i="1963"/>
  <c r="R33" i="1963"/>
  <c r="R32" i="1963"/>
  <c r="L11" i="1963" s="1"/>
  <c r="D11" i="1963" s="1"/>
  <c r="R31" i="1963"/>
  <c r="R30" i="1963"/>
  <c r="R29" i="1963"/>
  <c r="R28" i="1963"/>
  <c r="R27" i="1963"/>
  <c r="L27" i="1963"/>
  <c r="D27" i="1963"/>
  <c r="R26" i="1963"/>
  <c r="L26" i="1963"/>
  <c r="D26" i="1963"/>
  <c r="R25" i="1963"/>
  <c r="L25" i="1963"/>
  <c r="D25" i="1963" s="1"/>
  <c r="R24" i="1963"/>
  <c r="L24" i="1963"/>
  <c r="D24" i="1963" s="1"/>
  <c r="R23" i="1963"/>
  <c r="L23" i="1963"/>
  <c r="D23" i="1963" s="1"/>
  <c r="R22" i="1963"/>
  <c r="L20" i="1963" s="1"/>
  <c r="D20" i="1963" s="1"/>
  <c r="L22" i="1963"/>
  <c r="D22" i="1963"/>
  <c r="R21" i="1963"/>
  <c r="L21" i="1963"/>
  <c r="D21" i="1963"/>
  <c r="R20" i="1963"/>
  <c r="R19" i="1963"/>
  <c r="L19" i="1963"/>
  <c r="D19" i="1963"/>
  <c r="R18" i="1963"/>
  <c r="L18" i="1963"/>
  <c r="D18" i="1963"/>
  <c r="R17" i="1963"/>
  <c r="L17" i="1963"/>
  <c r="D17" i="1963" s="1"/>
  <c r="R16" i="1963"/>
  <c r="R15" i="1963"/>
  <c r="L15" i="1963"/>
  <c r="D15" i="1963"/>
  <c r="R14" i="1963"/>
  <c r="D14" i="1963"/>
  <c r="R13" i="1963"/>
  <c r="D13" i="1963"/>
  <c r="R12" i="1963"/>
  <c r="L12" i="1963"/>
  <c r="D12" i="1963" s="1"/>
  <c r="R11" i="1963"/>
  <c r="L7" i="1963"/>
  <c r="D7" i="1963" s="1"/>
  <c r="R6" i="1963"/>
  <c r="L16" i="1963" s="1"/>
  <c r="D16" i="1963" s="1"/>
  <c r="L6" i="1963"/>
  <c r="D6" i="1963" s="1"/>
  <c r="R5" i="1963"/>
  <c r="R4" i="1963"/>
  <c r="R52" i="1962"/>
  <c r="R51" i="1962"/>
  <c r="D50" i="1962"/>
  <c r="R49" i="1962"/>
  <c r="G49" i="1962"/>
  <c r="D49" i="1962"/>
  <c r="R48" i="1962"/>
  <c r="D48" i="1962"/>
  <c r="D46" i="1962"/>
  <c r="D45" i="1962"/>
  <c r="D44" i="1962"/>
  <c r="R42" i="1962"/>
  <c r="L6" i="1962" s="1"/>
  <c r="D6" i="1962" s="1"/>
  <c r="D42" i="1962"/>
  <c r="R41" i="1962"/>
  <c r="L7" i="1962" s="1"/>
  <c r="D7" i="1962" s="1"/>
  <c r="D41" i="1962"/>
  <c r="R40" i="1962"/>
  <c r="D40" i="1962"/>
  <c r="R39" i="1962"/>
  <c r="D39" i="1962"/>
  <c r="R38" i="1962"/>
  <c r="L9" i="1962" s="1"/>
  <c r="D9" i="1962" s="1"/>
  <c r="D38" i="1962"/>
  <c r="R37" i="1962"/>
  <c r="D37" i="1962"/>
  <c r="D54" i="1962" s="1"/>
  <c r="H14" i="1962" s="1"/>
  <c r="R36" i="1962"/>
  <c r="D36" i="1962"/>
  <c r="R35" i="1962"/>
  <c r="D35" i="1962"/>
  <c r="R34" i="1962"/>
  <c r="L12" i="1962" s="1"/>
  <c r="D12" i="1962" s="1"/>
  <c r="D34" i="1962"/>
  <c r="R33" i="1962"/>
  <c r="L23" i="1962" s="1"/>
  <c r="D23" i="1962" s="1"/>
  <c r="R32" i="1962"/>
  <c r="R31" i="1962"/>
  <c r="R30" i="1962"/>
  <c r="R29" i="1962"/>
  <c r="R28" i="1962"/>
  <c r="L16" i="1962" s="1"/>
  <c r="D16" i="1962" s="1"/>
  <c r="D28" i="1962"/>
  <c r="R27" i="1962"/>
  <c r="D27" i="1962"/>
  <c r="R26" i="1962"/>
  <c r="L26" i="1962"/>
  <c r="D26" i="1962"/>
  <c r="R25" i="1962"/>
  <c r="L25" i="1962"/>
  <c r="D25" i="1962"/>
  <c r="R24" i="1962"/>
  <c r="D24" i="1962"/>
  <c r="R23" i="1962"/>
  <c r="R22" i="1962"/>
  <c r="L22" i="1962"/>
  <c r="D22" i="1962" s="1"/>
  <c r="R21" i="1962"/>
  <c r="D21" i="1962"/>
  <c r="R20" i="1962"/>
  <c r="L20" i="1962"/>
  <c r="D20" i="1962"/>
  <c r="R19" i="1962"/>
  <c r="L19" i="1962"/>
  <c r="D19" i="1962"/>
  <c r="R18" i="1962"/>
  <c r="D18" i="1962"/>
  <c r="R17" i="1962"/>
  <c r="D17" i="1962"/>
  <c r="R16" i="1962"/>
  <c r="S15" i="1962"/>
  <c r="R15" i="1962"/>
  <c r="D15" i="1962"/>
  <c r="S14" i="1962"/>
  <c r="R14" i="1962"/>
  <c r="D14" i="1962"/>
  <c r="R13" i="1962"/>
  <c r="D13" i="1962"/>
  <c r="R12" i="1962"/>
  <c r="R11" i="1962"/>
  <c r="L11" i="1962"/>
  <c r="D11" i="1962" s="1"/>
  <c r="L10" i="1962"/>
  <c r="D10" i="1962" s="1"/>
  <c r="L8" i="1962"/>
  <c r="D8" i="1962"/>
  <c r="R6" i="1962"/>
  <c r="R5" i="1962"/>
  <c r="R4" i="1962"/>
  <c r="R52" i="1960"/>
  <c r="R51" i="1960"/>
  <c r="D50" i="1960"/>
  <c r="R49" i="1960"/>
  <c r="D49" i="1960"/>
  <c r="R48" i="1960"/>
  <c r="D48" i="1960"/>
  <c r="D46" i="1960"/>
  <c r="D45" i="1960"/>
  <c r="R44" i="1960"/>
  <c r="L28" i="1960" s="1"/>
  <c r="D28" i="1960" s="1"/>
  <c r="D44" i="1960"/>
  <c r="R42" i="1960"/>
  <c r="D42" i="1960"/>
  <c r="R41" i="1960"/>
  <c r="D41" i="1960"/>
  <c r="R40" i="1960"/>
  <c r="L8" i="1960" s="1"/>
  <c r="D8" i="1960" s="1"/>
  <c r="D40" i="1960"/>
  <c r="R39" i="1960"/>
  <c r="H39" i="1960"/>
  <c r="D39" i="1960"/>
  <c r="R38" i="1960"/>
  <c r="L9" i="1960" s="1"/>
  <c r="D9" i="1960" s="1"/>
  <c r="H38" i="1960"/>
  <c r="D38" i="1960"/>
  <c r="R37" i="1960"/>
  <c r="H37" i="1960"/>
  <c r="D37" i="1960"/>
  <c r="R36" i="1960"/>
  <c r="L10" i="1960" s="1"/>
  <c r="D10" i="1960" s="1"/>
  <c r="H36" i="1960"/>
  <c r="D36" i="1960"/>
  <c r="R35" i="1960"/>
  <c r="H35" i="1960"/>
  <c r="D35" i="1960"/>
  <c r="R34" i="1960"/>
  <c r="H34" i="1960"/>
  <c r="D34" i="1960"/>
  <c r="R33" i="1960"/>
  <c r="R32" i="1960"/>
  <c r="L11" i="1960" s="1"/>
  <c r="D11" i="1960" s="1"/>
  <c r="R31" i="1960"/>
  <c r="R30" i="1960"/>
  <c r="R29" i="1960"/>
  <c r="R28" i="1960"/>
  <c r="R27" i="1960"/>
  <c r="L27" i="1960"/>
  <c r="D27" i="1960"/>
  <c r="R26" i="1960"/>
  <c r="L26" i="1960"/>
  <c r="D26" i="1960"/>
  <c r="R25" i="1960"/>
  <c r="L25" i="1960"/>
  <c r="D25" i="1960" s="1"/>
  <c r="R24" i="1960"/>
  <c r="L24" i="1960"/>
  <c r="D24" i="1960"/>
  <c r="R23" i="1960"/>
  <c r="L23" i="1960"/>
  <c r="D23" i="1960" s="1"/>
  <c r="R22" i="1960"/>
  <c r="L20" i="1960" s="1"/>
  <c r="D20" i="1960" s="1"/>
  <c r="L22" i="1960"/>
  <c r="D22" i="1960"/>
  <c r="R21" i="1960"/>
  <c r="L21" i="1960"/>
  <c r="D21" i="1960"/>
  <c r="R20" i="1960"/>
  <c r="R19" i="1960"/>
  <c r="L19" i="1960"/>
  <c r="D19" i="1960"/>
  <c r="R18" i="1960"/>
  <c r="L18" i="1960"/>
  <c r="D18" i="1960"/>
  <c r="R17" i="1960"/>
  <c r="L17" i="1960"/>
  <c r="D17" i="1960" s="1"/>
  <c r="R16" i="1960"/>
  <c r="R15" i="1960"/>
  <c r="L15" i="1960"/>
  <c r="D15" i="1960" s="1"/>
  <c r="R14" i="1960"/>
  <c r="D14" i="1960"/>
  <c r="R13" i="1960"/>
  <c r="D13" i="1960"/>
  <c r="R12" i="1960"/>
  <c r="L12" i="1960"/>
  <c r="D12" i="1960" s="1"/>
  <c r="R11" i="1960"/>
  <c r="L7" i="1960"/>
  <c r="D7" i="1960"/>
  <c r="R6" i="1960"/>
  <c r="L16" i="1960" s="1"/>
  <c r="D16" i="1960" s="1"/>
  <c r="L6" i="1960"/>
  <c r="D6" i="1960" s="1"/>
  <c r="R5" i="1960"/>
  <c r="R4" i="1960"/>
  <c r="R52" i="1959"/>
  <c r="R51" i="1959"/>
  <c r="D50" i="1959"/>
  <c r="R49" i="1959"/>
  <c r="D49" i="1959"/>
  <c r="R48" i="1959"/>
  <c r="D48" i="1959"/>
  <c r="D46" i="1959"/>
  <c r="D45" i="1959"/>
  <c r="R44" i="1959"/>
  <c r="L28" i="1959" s="1"/>
  <c r="D28" i="1959" s="1"/>
  <c r="D44" i="1959"/>
  <c r="R42" i="1959"/>
  <c r="D42" i="1959"/>
  <c r="R41" i="1959"/>
  <c r="L7" i="1959" s="1"/>
  <c r="D7" i="1959" s="1"/>
  <c r="D41" i="1959"/>
  <c r="R40" i="1959"/>
  <c r="L8" i="1959" s="1"/>
  <c r="D8" i="1959" s="1"/>
  <c r="D40" i="1959"/>
  <c r="R39" i="1959"/>
  <c r="H39" i="1959"/>
  <c r="D39" i="1959"/>
  <c r="R38" i="1959"/>
  <c r="H38" i="1959"/>
  <c r="D38" i="1959"/>
  <c r="R37" i="1959"/>
  <c r="H37" i="1959"/>
  <c r="D37" i="1959"/>
  <c r="R36" i="1959"/>
  <c r="H36" i="1959"/>
  <c r="D36" i="1959"/>
  <c r="R35" i="1959"/>
  <c r="L18" i="1959" s="1"/>
  <c r="D18" i="1959" s="1"/>
  <c r="H35" i="1959"/>
  <c r="D35" i="1959"/>
  <c r="R34" i="1959"/>
  <c r="L12" i="1959" s="1"/>
  <c r="D12" i="1959" s="1"/>
  <c r="H34" i="1959"/>
  <c r="D34" i="1959"/>
  <c r="R33" i="1959"/>
  <c r="R32" i="1959"/>
  <c r="R31" i="1959"/>
  <c r="R30" i="1959"/>
  <c r="R29" i="1959"/>
  <c r="R28" i="1959"/>
  <c r="R27" i="1959"/>
  <c r="L27" i="1959"/>
  <c r="D27" i="1959"/>
  <c r="R26" i="1959"/>
  <c r="L26" i="1959"/>
  <c r="D26" i="1959"/>
  <c r="R25" i="1959"/>
  <c r="L25" i="1959"/>
  <c r="D25" i="1959"/>
  <c r="R24" i="1959"/>
  <c r="L24" i="1959"/>
  <c r="D24" i="1959"/>
  <c r="R23" i="1959"/>
  <c r="L23" i="1959"/>
  <c r="D23" i="1959" s="1"/>
  <c r="R22" i="1959"/>
  <c r="L20" i="1959" s="1"/>
  <c r="D20" i="1959" s="1"/>
  <c r="L22" i="1959"/>
  <c r="D22" i="1959" s="1"/>
  <c r="R21" i="1959"/>
  <c r="L21" i="1959"/>
  <c r="D21" i="1959"/>
  <c r="R20" i="1959"/>
  <c r="R19" i="1959"/>
  <c r="L19" i="1959"/>
  <c r="D19" i="1959"/>
  <c r="R18" i="1959"/>
  <c r="R17" i="1959"/>
  <c r="L17" i="1959"/>
  <c r="D17" i="1959"/>
  <c r="R16" i="1959"/>
  <c r="L16" i="1959"/>
  <c r="D16" i="1959"/>
  <c r="R15" i="1959"/>
  <c r="L15" i="1959"/>
  <c r="D15" i="1959" s="1"/>
  <c r="R14" i="1959"/>
  <c r="D14" i="1959"/>
  <c r="R13" i="1959"/>
  <c r="D13" i="1959"/>
  <c r="R12" i="1959"/>
  <c r="R11" i="1959"/>
  <c r="L11" i="1959"/>
  <c r="D11" i="1959"/>
  <c r="L10" i="1959"/>
  <c r="D10" i="1959"/>
  <c r="L9" i="1959"/>
  <c r="D9" i="1959"/>
  <c r="R6" i="1959"/>
  <c r="L6" i="1959"/>
  <c r="D6" i="1959" s="1"/>
  <c r="R5" i="1959"/>
  <c r="R4" i="1959"/>
  <c r="R52" i="1958"/>
  <c r="R51" i="1958"/>
  <c r="D50" i="1958"/>
  <c r="R49" i="1958"/>
  <c r="G49" i="1958"/>
  <c r="D49" i="1958"/>
  <c r="R48" i="1958"/>
  <c r="D48" i="1958"/>
  <c r="D46" i="1958"/>
  <c r="D45" i="1958"/>
  <c r="D44" i="1958"/>
  <c r="R42" i="1958"/>
  <c r="D42" i="1958"/>
  <c r="R41" i="1958"/>
  <c r="L7" i="1958" s="1"/>
  <c r="D7" i="1958" s="1"/>
  <c r="D41" i="1958"/>
  <c r="R40" i="1958"/>
  <c r="L8" i="1958" s="1"/>
  <c r="D8" i="1958" s="1"/>
  <c r="D40" i="1958"/>
  <c r="R39" i="1958"/>
  <c r="D39" i="1958"/>
  <c r="R38" i="1958"/>
  <c r="D38" i="1958"/>
  <c r="R37" i="1958"/>
  <c r="D37" i="1958"/>
  <c r="R36" i="1958"/>
  <c r="D36" i="1958"/>
  <c r="R35" i="1958"/>
  <c r="L19" i="1958" s="1"/>
  <c r="D19" i="1958" s="1"/>
  <c r="D35" i="1958"/>
  <c r="D54" i="1958" s="1"/>
  <c r="H14" i="1958" s="1"/>
  <c r="R34" i="1958"/>
  <c r="D34" i="1958"/>
  <c r="R33" i="1958"/>
  <c r="R32" i="1958"/>
  <c r="L11" i="1958" s="1"/>
  <c r="D11" i="1958" s="1"/>
  <c r="R31" i="1958"/>
  <c r="R30" i="1958"/>
  <c r="R29" i="1958"/>
  <c r="R28" i="1958"/>
  <c r="L16" i="1958" s="1"/>
  <c r="D16" i="1958" s="1"/>
  <c r="D28" i="1958"/>
  <c r="R27" i="1958"/>
  <c r="D27" i="1958"/>
  <c r="R26" i="1958"/>
  <c r="L26" i="1958"/>
  <c r="D26" i="1958"/>
  <c r="R25" i="1958"/>
  <c r="L25" i="1958"/>
  <c r="D25" i="1958"/>
  <c r="R24" i="1958"/>
  <c r="D24" i="1958"/>
  <c r="R23" i="1958"/>
  <c r="L23" i="1958"/>
  <c r="D23" i="1958"/>
  <c r="R22" i="1958"/>
  <c r="L22" i="1958"/>
  <c r="D22" i="1958"/>
  <c r="R21" i="1958"/>
  <c r="D21" i="1958"/>
  <c r="R20" i="1958"/>
  <c r="L20" i="1958"/>
  <c r="D20" i="1958"/>
  <c r="R19" i="1958"/>
  <c r="R18" i="1958"/>
  <c r="D18" i="1958"/>
  <c r="R17" i="1958"/>
  <c r="D17" i="1958"/>
  <c r="R16" i="1958"/>
  <c r="S15" i="1958"/>
  <c r="R15" i="1958"/>
  <c r="D15" i="1958"/>
  <c r="S14" i="1958"/>
  <c r="R14" i="1958"/>
  <c r="D14" i="1958"/>
  <c r="R13" i="1958"/>
  <c r="D13" i="1958"/>
  <c r="R12" i="1958"/>
  <c r="L12" i="1958"/>
  <c r="D12" i="1958"/>
  <c r="R11" i="1958"/>
  <c r="L10" i="1958"/>
  <c r="D10" i="1958" s="1"/>
  <c r="L9" i="1958"/>
  <c r="D9" i="1958"/>
  <c r="R6" i="1958"/>
  <c r="L6" i="1958"/>
  <c r="D6" i="1958"/>
  <c r="R5" i="1958"/>
  <c r="R4" i="1958"/>
  <c r="G49" i="1972" l="1"/>
  <c r="G49" i="1971"/>
  <c r="D54" i="1972"/>
  <c r="H14" i="1972" s="1"/>
  <c r="D29" i="1972"/>
  <c r="H13" i="1972" s="1"/>
  <c r="D54" i="1971"/>
  <c r="H14" i="1971" s="1"/>
  <c r="G49" i="1976"/>
  <c r="G49" i="1968"/>
  <c r="G49" i="1967"/>
  <c r="D54" i="1968"/>
  <c r="H14" i="1968" s="1"/>
  <c r="D54" i="1967"/>
  <c r="H14" i="1967" s="1"/>
  <c r="D54" i="1976"/>
  <c r="H14" i="1976" s="1"/>
  <c r="G49" i="1975"/>
  <c r="G49" i="1964"/>
  <c r="D54" i="1975"/>
  <c r="H14" i="1975" s="1"/>
  <c r="D29" i="1975"/>
  <c r="H13" i="1975" s="1"/>
  <c r="D54" i="1964"/>
  <c r="H14" i="1964" s="1"/>
  <c r="D54" i="1963"/>
  <c r="H14" i="1963" s="1"/>
  <c r="G49" i="1974"/>
  <c r="G49" i="1960"/>
  <c r="G49" i="1959"/>
  <c r="D54" i="1974"/>
  <c r="H14" i="1974" s="1"/>
  <c r="D54" i="1960"/>
  <c r="H14" i="1960" s="1"/>
  <c r="D54" i="1959"/>
  <c r="H14" i="1959" s="1"/>
  <c r="D29" i="1981"/>
  <c r="H13" i="1981" s="1"/>
  <c r="H15" i="1981" s="1"/>
  <c r="H29" i="1981" s="1"/>
  <c r="G51" i="1981" s="1"/>
  <c r="D29" i="1980"/>
  <c r="H13" i="1980" s="1"/>
  <c r="H15" i="1980" s="1"/>
  <c r="H29" i="1980" s="1"/>
  <c r="G51" i="1980"/>
  <c r="G51" i="1979"/>
  <c r="D29" i="1978"/>
  <c r="H13" i="1978" s="1"/>
  <c r="H15" i="1978" s="1"/>
  <c r="H29" i="1978" s="1"/>
  <c r="G51" i="1978"/>
  <c r="D29" i="1977"/>
  <c r="H13" i="1977" s="1"/>
  <c r="H15" i="1977" s="1"/>
  <c r="H29" i="1977" s="1"/>
  <c r="G51" i="1977"/>
  <c r="D29" i="1976"/>
  <c r="H13" i="1976" s="1"/>
  <c r="D29" i="1974"/>
  <c r="H13" i="1974" s="1"/>
  <c r="D29" i="1971"/>
  <c r="H13" i="1971" s="1"/>
  <c r="D29" i="1970"/>
  <c r="H13" i="1970" s="1"/>
  <c r="H15" i="1970" s="1"/>
  <c r="H29" i="1970" s="1"/>
  <c r="G51" i="1970" s="1"/>
  <c r="D29" i="1968"/>
  <c r="H13" i="1968" s="1"/>
  <c r="D29" i="1967"/>
  <c r="H13" i="1967" s="1"/>
  <c r="D29" i="1966"/>
  <c r="H13" i="1966" s="1"/>
  <c r="H15" i="1966" s="1"/>
  <c r="H29" i="1966" s="1"/>
  <c r="G51" i="1966" s="1"/>
  <c r="D29" i="1964"/>
  <c r="H13" i="1964" s="1"/>
  <c r="D29" i="1963"/>
  <c r="H13" i="1963" s="1"/>
  <c r="D29" i="1962"/>
  <c r="H13" i="1962" s="1"/>
  <c r="H15" i="1962" s="1"/>
  <c r="H29" i="1962" s="1"/>
  <c r="G51" i="1962" s="1"/>
  <c r="D29" i="1960"/>
  <c r="H13" i="1960" s="1"/>
  <c r="H15" i="1960" s="1"/>
  <c r="H29" i="1960" s="1"/>
  <c r="D29" i="1959"/>
  <c r="H13" i="1959" s="1"/>
  <c r="H15" i="1959" s="1"/>
  <c r="H29" i="1959" s="1"/>
  <c r="D29" i="1958"/>
  <c r="H13" i="1958" s="1"/>
  <c r="H15" i="1958" s="1"/>
  <c r="H29" i="1958" s="1"/>
  <c r="G51" i="1958" s="1"/>
  <c r="H16" i="1944"/>
  <c r="H16" i="1945"/>
  <c r="H16" i="1943"/>
  <c r="C12" i="1945"/>
  <c r="C16" i="1945"/>
  <c r="H15" i="1972" l="1"/>
  <c r="H29" i="1972" s="1"/>
  <c r="G51" i="1972" s="1"/>
  <c r="H15" i="1971"/>
  <c r="H29" i="1971" s="1"/>
  <c r="G51" i="1971" s="1"/>
  <c r="H15" i="1968"/>
  <c r="H29" i="1968" s="1"/>
  <c r="G51" i="1968" s="1"/>
  <c r="H15" i="1967"/>
  <c r="H29" i="1967" s="1"/>
  <c r="G51" i="1967" s="1"/>
  <c r="H15" i="1976"/>
  <c r="H29" i="1976" s="1"/>
  <c r="G51" i="1976" s="1"/>
  <c r="H15" i="1964"/>
  <c r="H29" i="1964" s="1"/>
  <c r="G51" i="1964" s="1"/>
  <c r="H15" i="1975"/>
  <c r="H29" i="1975" s="1"/>
  <c r="G51" i="1975" s="1"/>
  <c r="H15" i="1963"/>
  <c r="H29" i="1963" s="1"/>
  <c r="G51" i="1963" s="1"/>
  <c r="G51" i="1960"/>
  <c r="G51" i="1959"/>
  <c r="H15" i="1974"/>
  <c r="H29" i="1974" s="1"/>
  <c r="G51" i="1974" s="1"/>
  <c r="H16" i="1941"/>
  <c r="H16" i="1940"/>
  <c r="G49" i="1939"/>
  <c r="C12" i="1941"/>
  <c r="C12" i="1940"/>
  <c r="R52" i="1957" l="1"/>
  <c r="R51" i="1957"/>
  <c r="D50" i="1957"/>
  <c r="R49" i="1957"/>
  <c r="D49" i="1957"/>
  <c r="R48" i="1957"/>
  <c r="D48" i="1957"/>
  <c r="D46" i="1957"/>
  <c r="D45" i="1957"/>
  <c r="R44" i="1957"/>
  <c r="D44" i="1957"/>
  <c r="R42" i="1957"/>
  <c r="D42" i="1957"/>
  <c r="R41" i="1957"/>
  <c r="D41" i="1957"/>
  <c r="R40" i="1957"/>
  <c r="L8" i="1957" s="1"/>
  <c r="D8" i="1957" s="1"/>
  <c r="D40" i="1957"/>
  <c r="R39" i="1957"/>
  <c r="H39" i="1957"/>
  <c r="D39" i="1957"/>
  <c r="R38" i="1957"/>
  <c r="H38" i="1957"/>
  <c r="D38" i="1957"/>
  <c r="R37" i="1957"/>
  <c r="H37" i="1957"/>
  <c r="D37" i="1957"/>
  <c r="R36" i="1957"/>
  <c r="H36" i="1957"/>
  <c r="D36" i="1957"/>
  <c r="R35" i="1957"/>
  <c r="H35" i="1957"/>
  <c r="D35" i="1957"/>
  <c r="R34" i="1957"/>
  <c r="L12" i="1957" s="1"/>
  <c r="D12" i="1957" s="1"/>
  <c r="H34" i="1957"/>
  <c r="D34" i="1957"/>
  <c r="R33" i="1957"/>
  <c r="L19" i="1957" s="1"/>
  <c r="D19" i="1957" s="1"/>
  <c r="R32" i="1957"/>
  <c r="R31" i="1957"/>
  <c r="R30" i="1957"/>
  <c r="R29" i="1957"/>
  <c r="R28" i="1957"/>
  <c r="L28" i="1957"/>
  <c r="D28" i="1957"/>
  <c r="R27" i="1957"/>
  <c r="L27" i="1957"/>
  <c r="D27" i="1957"/>
  <c r="R26" i="1957"/>
  <c r="L26" i="1957"/>
  <c r="D26" i="1957" s="1"/>
  <c r="R25" i="1957"/>
  <c r="L25" i="1957"/>
  <c r="D25" i="1957" s="1"/>
  <c r="R24" i="1957"/>
  <c r="L24" i="1957"/>
  <c r="D24" i="1957"/>
  <c r="R23" i="1957"/>
  <c r="L23" i="1957"/>
  <c r="D23" i="1957" s="1"/>
  <c r="R22" i="1957"/>
  <c r="L22" i="1957"/>
  <c r="D22" i="1957"/>
  <c r="R21" i="1957"/>
  <c r="L17" i="1957" s="1"/>
  <c r="D17" i="1957" s="1"/>
  <c r="L21" i="1957"/>
  <c r="D21" i="1957"/>
  <c r="R20" i="1957"/>
  <c r="L20" i="1957"/>
  <c r="D20" i="1957" s="1"/>
  <c r="R19" i="1957"/>
  <c r="R18" i="1957"/>
  <c r="L18" i="1957"/>
  <c r="D18" i="1957"/>
  <c r="R17" i="1957"/>
  <c r="R16" i="1957"/>
  <c r="L16" i="1957"/>
  <c r="D16" i="1957"/>
  <c r="R15" i="1957"/>
  <c r="L15" i="1957"/>
  <c r="D15" i="1957" s="1"/>
  <c r="R14" i="1957"/>
  <c r="D14" i="1957"/>
  <c r="R13" i="1957"/>
  <c r="D13" i="1957"/>
  <c r="R12" i="1957"/>
  <c r="R11" i="1957"/>
  <c r="L11" i="1957"/>
  <c r="D11" i="1957"/>
  <c r="L10" i="1957"/>
  <c r="D10" i="1957"/>
  <c r="L9" i="1957"/>
  <c r="D9" i="1957" s="1"/>
  <c r="L7" i="1957"/>
  <c r="D7" i="1957"/>
  <c r="R6" i="1957"/>
  <c r="L6" i="1957"/>
  <c r="D6" i="1957" s="1"/>
  <c r="R5" i="1957"/>
  <c r="R4" i="1957"/>
  <c r="R52" i="1956"/>
  <c r="R51" i="1956"/>
  <c r="D50" i="1956"/>
  <c r="R49" i="1956"/>
  <c r="D49" i="1956"/>
  <c r="R48" i="1956"/>
  <c r="D48" i="1956"/>
  <c r="D46" i="1956"/>
  <c r="D45" i="1956"/>
  <c r="R44" i="1956"/>
  <c r="L28" i="1956" s="1"/>
  <c r="D28" i="1956" s="1"/>
  <c r="D44" i="1956"/>
  <c r="R42" i="1956"/>
  <c r="D42" i="1956"/>
  <c r="R41" i="1956"/>
  <c r="D41" i="1956"/>
  <c r="R40" i="1956"/>
  <c r="L8" i="1956" s="1"/>
  <c r="D8" i="1956" s="1"/>
  <c r="D40" i="1956"/>
  <c r="R39" i="1956"/>
  <c r="H39" i="1956"/>
  <c r="D39" i="1956"/>
  <c r="R38" i="1956"/>
  <c r="H38" i="1956"/>
  <c r="D38" i="1956"/>
  <c r="R37" i="1956"/>
  <c r="H37" i="1956"/>
  <c r="D37" i="1956"/>
  <c r="R36" i="1956"/>
  <c r="L10" i="1956" s="1"/>
  <c r="D10" i="1956" s="1"/>
  <c r="H36" i="1956"/>
  <c r="D36" i="1956"/>
  <c r="R35" i="1956"/>
  <c r="H35" i="1956"/>
  <c r="D35" i="1956"/>
  <c r="R34" i="1956"/>
  <c r="H34" i="1956"/>
  <c r="D34" i="1956"/>
  <c r="R33" i="1956"/>
  <c r="R32" i="1956"/>
  <c r="R31" i="1956"/>
  <c r="R30" i="1956"/>
  <c r="R29" i="1956"/>
  <c r="R28" i="1956"/>
  <c r="R27" i="1956"/>
  <c r="L27" i="1956"/>
  <c r="D27" i="1956"/>
  <c r="R26" i="1956"/>
  <c r="L26" i="1956"/>
  <c r="D26" i="1956" s="1"/>
  <c r="R25" i="1956"/>
  <c r="L25" i="1956"/>
  <c r="D25" i="1956" s="1"/>
  <c r="R24" i="1956"/>
  <c r="L24" i="1956"/>
  <c r="D24" i="1956" s="1"/>
  <c r="R23" i="1956"/>
  <c r="L23" i="1956"/>
  <c r="D23" i="1956" s="1"/>
  <c r="R22" i="1956"/>
  <c r="L20" i="1956" s="1"/>
  <c r="D20" i="1956" s="1"/>
  <c r="L22" i="1956"/>
  <c r="D22" i="1956"/>
  <c r="R21" i="1956"/>
  <c r="L17" i="1956" s="1"/>
  <c r="D17" i="1956" s="1"/>
  <c r="L21" i="1956"/>
  <c r="D21" i="1956"/>
  <c r="R20" i="1956"/>
  <c r="R19" i="1956"/>
  <c r="L19" i="1956"/>
  <c r="D19" i="1956"/>
  <c r="R18" i="1956"/>
  <c r="L18" i="1956"/>
  <c r="D18" i="1956"/>
  <c r="R17" i="1956"/>
  <c r="R16" i="1956"/>
  <c r="R15" i="1956"/>
  <c r="L15" i="1956"/>
  <c r="D15" i="1956" s="1"/>
  <c r="R14" i="1956"/>
  <c r="D14" i="1956"/>
  <c r="R13" i="1956"/>
  <c r="D13" i="1956"/>
  <c r="R12" i="1956"/>
  <c r="L12" i="1956"/>
  <c r="D12" i="1956" s="1"/>
  <c r="R11" i="1956"/>
  <c r="L11" i="1956"/>
  <c r="D11" i="1956" s="1"/>
  <c r="L9" i="1956"/>
  <c r="D9" i="1956"/>
  <c r="L7" i="1956"/>
  <c r="D7" i="1956" s="1"/>
  <c r="R6" i="1956"/>
  <c r="L16" i="1956" s="1"/>
  <c r="D16" i="1956" s="1"/>
  <c r="L6" i="1956"/>
  <c r="D6" i="1956" s="1"/>
  <c r="R5" i="1956"/>
  <c r="R4" i="1956"/>
  <c r="R52" i="1955"/>
  <c r="R51" i="1955"/>
  <c r="D50" i="1955"/>
  <c r="R49" i="1955"/>
  <c r="D49" i="1955"/>
  <c r="R48" i="1955"/>
  <c r="D48" i="1955"/>
  <c r="D46" i="1955"/>
  <c r="D45" i="1955"/>
  <c r="R44" i="1955"/>
  <c r="L28" i="1955" s="1"/>
  <c r="D28" i="1955" s="1"/>
  <c r="D44" i="1955"/>
  <c r="R42" i="1955"/>
  <c r="D42" i="1955"/>
  <c r="R41" i="1955"/>
  <c r="D41" i="1955"/>
  <c r="R40" i="1955"/>
  <c r="L8" i="1955" s="1"/>
  <c r="D8" i="1955" s="1"/>
  <c r="D40" i="1955"/>
  <c r="R39" i="1955"/>
  <c r="H39" i="1955"/>
  <c r="D39" i="1955"/>
  <c r="R38" i="1955"/>
  <c r="L9" i="1955" s="1"/>
  <c r="D9" i="1955" s="1"/>
  <c r="H38" i="1955"/>
  <c r="D38" i="1955"/>
  <c r="R37" i="1955"/>
  <c r="H37" i="1955"/>
  <c r="D37" i="1955"/>
  <c r="R36" i="1955"/>
  <c r="H36" i="1955"/>
  <c r="D36" i="1955"/>
  <c r="R35" i="1955"/>
  <c r="H35" i="1955"/>
  <c r="D35" i="1955"/>
  <c r="R34" i="1955"/>
  <c r="L12" i="1955" s="1"/>
  <c r="D12" i="1955" s="1"/>
  <c r="H34" i="1955"/>
  <c r="D34" i="1955"/>
  <c r="R33" i="1955"/>
  <c r="L19" i="1955" s="1"/>
  <c r="D19" i="1955" s="1"/>
  <c r="R32" i="1955"/>
  <c r="L11" i="1955" s="1"/>
  <c r="D11" i="1955" s="1"/>
  <c r="R31" i="1955"/>
  <c r="R30" i="1955"/>
  <c r="R29" i="1955"/>
  <c r="R28" i="1955"/>
  <c r="R27" i="1955"/>
  <c r="L27" i="1955"/>
  <c r="D27" i="1955"/>
  <c r="R26" i="1955"/>
  <c r="L26" i="1955"/>
  <c r="D26" i="1955"/>
  <c r="R25" i="1955"/>
  <c r="L25" i="1955"/>
  <c r="D25" i="1955" s="1"/>
  <c r="R24" i="1955"/>
  <c r="L24" i="1955"/>
  <c r="D24" i="1955" s="1"/>
  <c r="R23" i="1955"/>
  <c r="L23" i="1955"/>
  <c r="D23" i="1955" s="1"/>
  <c r="R22" i="1955"/>
  <c r="L22" i="1955"/>
  <c r="D22" i="1955"/>
  <c r="R21" i="1955"/>
  <c r="L21" i="1955"/>
  <c r="D21" i="1955"/>
  <c r="R20" i="1955"/>
  <c r="L20" i="1955"/>
  <c r="D20" i="1955"/>
  <c r="R19" i="1955"/>
  <c r="R18" i="1955"/>
  <c r="L18" i="1955"/>
  <c r="D18" i="1955"/>
  <c r="R17" i="1955"/>
  <c r="L17" i="1955"/>
  <c r="D17" i="1955" s="1"/>
  <c r="R16" i="1955"/>
  <c r="R15" i="1955"/>
  <c r="L15" i="1955"/>
  <c r="D15" i="1955" s="1"/>
  <c r="R14" i="1955"/>
  <c r="D14" i="1955"/>
  <c r="R13" i="1955"/>
  <c r="D13" i="1955"/>
  <c r="R12" i="1955"/>
  <c r="R11" i="1955"/>
  <c r="L10" i="1955"/>
  <c r="D10" i="1955"/>
  <c r="L7" i="1955"/>
  <c r="D7" i="1955" s="1"/>
  <c r="R6" i="1955"/>
  <c r="L16" i="1955" s="1"/>
  <c r="D16" i="1955" s="1"/>
  <c r="L6" i="1955"/>
  <c r="D6" i="1955" s="1"/>
  <c r="R5" i="1955"/>
  <c r="R4" i="1955"/>
  <c r="R52" i="1954"/>
  <c r="R51" i="1954"/>
  <c r="D50" i="1954"/>
  <c r="R49" i="1954"/>
  <c r="G49" i="1954"/>
  <c r="D49" i="1954"/>
  <c r="R48" i="1954"/>
  <c r="D48" i="1954"/>
  <c r="D46" i="1954"/>
  <c r="D45" i="1954"/>
  <c r="D44" i="1954"/>
  <c r="R42" i="1954"/>
  <c r="L6" i="1954" s="1"/>
  <c r="D6" i="1954" s="1"/>
  <c r="D42" i="1954"/>
  <c r="R41" i="1954"/>
  <c r="L7" i="1954" s="1"/>
  <c r="D7" i="1954" s="1"/>
  <c r="D41" i="1954"/>
  <c r="R40" i="1954"/>
  <c r="L8" i="1954" s="1"/>
  <c r="D8" i="1954" s="1"/>
  <c r="D40" i="1954"/>
  <c r="R39" i="1954"/>
  <c r="D39" i="1954"/>
  <c r="R38" i="1954"/>
  <c r="L9" i="1954" s="1"/>
  <c r="D9" i="1954" s="1"/>
  <c r="D38" i="1954"/>
  <c r="R37" i="1954"/>
  <c r="D37" i="1954"/>
  <c r="R36" i="1954"/>
  <c r="L10" i="1954" s="1"/>
  <c r="D10" i="1954" s="1"/>
  <c r="D36" i="1954"/>
  <c r="R35" i="1954"/>
  <c r="D35" i="1954"/>
  <c r="R34" i="1954"/>
  <c r="D34" i="1954"/>
  <c r="D54" i="1954" s="1"/>
  <c r="H14" i="1954" s="1"/>
  <c r="R33" i="1954"/>
  <c r="L23" i="1954" s="1"/>
  <c r="D23" i="1954" s="1"/>
  <c r="R32" i="1954"/>
  <c r="R31" i="1954"/>
  <c r="R30" i="1954"/>
  <c r="R29" i="1954"/>
  <c r="R28" i="1954"/>
  <c r="D28" i="1954"/>
  <c r="R27" i="1954"/>
  <c r="D27" i="1954"/>
  <c r="R26" i="1954"/>
  <c r="L26" i="1954"/>
  <c r="D26" i="1954"/>
  <c r="R25" i="1954"/>
  <c r="L25" i="1954"/>
  <c r="D25" i="1954"/>
  <c r="R24" i="1954"/>
  <c r="D24" i="1954"/>
  <c r="R23" i="1954"/>
  <c r="R22" i="1954"/>
  <c r="L22" i="1954"/>
  <c r="D22" i="1954" s="1"/>
  <c r="R21" i="1954"/>
  <c r="D21" i="1954"/>
  <c r="R20" i="1954"/>
  <c r="L20" i="1954"/>
  <c r="D20" i="1954"/>
  <c r="R19" i="1954"/>
  <c r="L19" i="1954"/>
  <c r="D19" i="1954"/>
  <c r="R18" i="1954"/>
  <c r="D18" i="1954"/>
  <c r="R17" i="1954"/>
  <c r="D17" i="1954"/>
  <c r="R16" i="1954"/>
  <c r="L16" i="1954"/>
  <c r="D16" i="1954" s="1"/>
  <c r="S15" i="1954"/>
  <c r="R15" i="1954"/>
  <c r="D15" i="1954"/>
  <c r="S14" i="1954"/>
  <c r="R14" i="1954"/>
  <c r="D14" i="1954"/>
  <c r="R13" i="1954"/>
  <c r="D13" i="1954"/>
  <c r="R12" i="1954"/>
  <c r="L12" i="1954"/>
  <c r="D12" i="1954"/>
  <c r="R11" i="1954"/>
  <c r="L11" i="1954"/>
  <c r="D11" i="1954" s="1"/>
  <c r="R6" i="1954"/>
  <c r="R5" i="1954"/>
  <c r="R4" i="1954"/>
  <c r="R52" i="1953"/>
  <c r="R51" i="1953"/>
  <c r="D50" i="1953"/>
  <c r="R49" i="1953"/>
  <c r="D49" i="1953"/>
  <c r="R48" i="1953"/>
  <c r="D48" i="1953"/>
  <c r="D46" i="1953"/>
  <c r="D45" i="1953"/>
  <c r="R44" i="1953"/>
  <c r="L28" i="1953" s="1"/>
  <c r="D28" i="1953" s="1"/>
  <c r="D44" i="1953"/>
  <c r="R42" i="1953"/>
  <c r="D42" i="1953"/>
  <c r="R41" i="1953"/>
  <c r="D41" i="1953"/>
  <c r="R40" i="1953"/>
  <c r="D40" i="1953"/>
  <c r="R39" i="1953"/>
  <c r="H39" i="1953"/>
  <c r="D39" i="1953"/>
  <c r="R38" i="1953"/>
  <c r="L9" i="1953" s="1"/>
  <c r="D9" i="1953" s="1"/>
  <c r="H38" i="1953"/>
  <c r="G49" i="1953" s="1"/>
  <c r="D38" i="1953"/>
  <c r="R37" i="1953"/>
  <c r="H37" i="1953"/>
  <c r="D37" i="1953"/>
  <c r="R36" i="1953"/>
  <c r="H36" i="1953"/>
  <c r="D36" i="1953"/>
  <c r="R35" i="1953"/>
  <c r="L18" i="1953" s="1"/>
  <c r="D18" i="1953" s="1"/>
  <c r="H35" i="1953"/>
  <c r="D35" i="1953"/>
  <c r="R34" i="1953"/>
  <c r="H34" i="1953"/>
  <c r="D34" i="1953"/>
  <c r="D54" i="1953" s="1"/>
  <c r="H14" i="1953" s="1"/>
  <c r="R33" i="1953"/>
  <c r="L19" i="1953" s="1"/>
  <c r="D19" i="1953" s="1"/>
  <c r="R32" i="1953"/>
  <c r="L11" i="1953" s="1"/>
  <c r="D11" i="1953" s="1"/>
  <c r="R31" i="1953"/>
  <c r="R30" i="1953"/>
  <c r="R29" i="1953"/>
  <c r="R28" i="1953"/>
  <c r="R27" i="1953"/>
  <c r="L27" i="1953"/>
  <c r="D27" i="1953" s="1"/>
  <c r="R26" i="1953"/>
  <c r="L26" i="1953"/>
  <c r="D26" i="1953"/>
  <c r="R25" i="1953"/>
  <c r="L25" i="1953"/>
  <c r="D25" i="1953" s="1"/>
  <c r="R24" i="1953"/>
  <c r="L24" i="1953"/>
  <c r="D24" i="1953" s="1"/>
  <c r="R23" i="1953"/>
  <c r="L23" i="1953"/>
  <c r="D23" i="1953" s="1"/>
  <c r="R22" i="1953"/>
  <c r="L22" i="1953"/>
  <c r="D22" i="1953" s="1"/>
  <c r="R21" i="1953"/>
  <c r="L21" i="1953"/>
  <c r="D21" i="1953"/>
  <c r="R20" i="1953"/>
  <c r="L20" i="1953"/>
  <c r="D20" i="1953"/>
  <c r="R19" i="1953"/>
  <c r="R18" i="1953"/>
  <c r="R17" i="1953"/>
  <c r="L17" i="1953"/>
  <c r="D17" i="1953"/>
  <c r="R16" i="1953"/>
  <c r="R15" i="1953"/>
  <c r="L15" i="1953"/>
  <c r="D15" i="1953"/>
  <c r="R14" i="1953"/>
  <c r="D14" i="1953"/>
  <c r="R13" i="1953"/>
  <c r="D13" i="1953"/>
  <c r="R12" i="1953"/>
  <c r="L12" i="1953"/>
  <c r="D12" i="1953"/>
  <c r="R11" i="1953"/>
  <c r="L10" i="1953"/>
  <c r="D10" i="1953"/>
  <c r="L8" i="1953"/>
  <c r="D8" i="1953" s="1"/>
  <c r="L7" i="1953"/>
  <c r="D7" i="1953" s="1"/>
  <c r="R6" i="1953"/>
  <c r="L16" i="1953" s="1"/>
  <c r="D16" i="1953" s="1"/>
  <c r="L6" i="1953"/>
  <c r="D6" i="1953" s="1"/>
  <c r="R5" i="1953"/>
  <c r="R4" i="1953"/>
  <c r="R52" i="1952"/>
  <c r="R51" i="1952"/>
  <c r="D50" i="1952"/>
  <c r="R49" i="1952"/>
  <c r="D49" i="1952"/>
  <c r="R48" i="1952"/>
  <c r="D48" i="1952"/>
  <c r="D46" i="1952"/>
  <c r="D45" i="1952"/>
  <c r="R44" i="1952"/>
  <c r="D44" i="1952"/>
  <c r="R42" i="1952"/>
  <c r="L6" i="1952" s="1"/>
  <c r="D6" i="1952" s="1"/>
  <c r="D42" i="1952"/>
  <c r="R41" i="1952"/>
  <c r="D41" i="1952"/>
  <c r="R40" i="1952"/>
  <c r="D40" i="1952"/>
  <c r="R39" i="1952"/>
  <c r="H39" i="1952"/>
  <c r="D39" i="1952"/>
  <c r="R38" i="1952"/>
  <c r="H38" i="1952"/>
  <c r="D38" i="1952"/>
  <c r="R37" i="1952"/>
  <c r="H37" i="1952"/>
  <c r="D37" i="1952"/>
  <c r="R36" i="1952"/>
  <c r="L10" i="1952" s="1"/>
  <c r="D10" i="1952" s="1"/>
  <c r="H36" i="1952"/>
  <c r="D36" i="1952"/>
  <c r="R35" i="1952"/>
  <c r="H35" i="1952"/>
  <c r="D35" i="1952"/>
  <c r="R34" i="1952"/>
  <c r="H34" i="1952"/>
  <c r="G49" i="1952" s="1"/>
  <c r="D34" i="1952"/>
  <c r="D54" i="1952" s="1"/>
  <c r="H14" i="1952" s="1"/>
  <c r="R33" i="1952"/>
  <c r="R32" i="1952"/>
  <c r="L11" i="1952" s="1"/>
  <c r="D11" i="1952" s="1"/>
  <c r="R31" i="1952"/>
  <c r="R30" i="1952"/>
  <c r="R29" i="1952"/>
  <c r="R28" i="1952"/>
  <c r="L28" i="1952"/>
  <c r="D28" i="1952"/>
  <c r="R27" i="1952"/>
  <c r="L27" i="1952"/>
  <c r="D27" i="1952" s="1"/>
  <c r="R26" i="1952"/>
  <c r="L26" i="1952"/>
  <c r="D26" i="1952"/>
  <c r="R25" i="1952"/>
  <c r="L25" i="1952"/>
  <c r="D25" i="1952"/>
  <c r="R24" i="1952"/>
  <c r="L24" i="1952"/>
  <c r="D24" i="1952"/>
  <c r="R23" i="1952"/>
  <c r="L23" i="1952"/>
  <c r="D23" i="1952"/>
  <c r="R22" i="1952"/>
  <c r="L20" i="1952" s="1"/>
  <c r="D20" i="1952" s="1"/>
  <c r="L22" i="1952"/>
  <c r="D22" i="1952"/>
  <c r="R21" i="1952"/>
  <c r="L21" i="1952"/>
  <c r="D21" i="1952"/>
  <c r="R20" i="1952"/>
  <c r="R19" i="1952"/>
  <c r="L19" i="1952"/>
  <c r="D19" i="1952"/>
  <c r="R18" i="1952"/>
  <c r="L18" i="1952"/>
  <c r="D18" i="1952"/>
  <c r="R17" i="1952"/>
  <c r="L17" i="1952"/>
  <c r="D17" i="1952" s="1"/>
  <c r="R16" i="1952"/>
  <c r="R15" i="1952"/>
  <c r="L15" i="1952"/>
  <c r="D15" i="1952" s="1"/>
  <c r="R14" i="1952"/>
  <c r="D14" i="1952"/>
  <c r="R13" i="1952"/>
  <c r="D13" i="1952"/>
  <c r="R12" i="1952"/>
  <c r="L12" i="1952"/>
  <c r="D12" i="1952" s="1"/>
  <c r="R11" i="1952"/>
  <c r="L9" i="1952"/>
  <c r="D9" i="1952" s="1"/>
  <c r="L8" i="1952"/>
  <c r="D8" i="1952" s="1"/>
  <c r="L7" i="1952"/>
  <c r="D7" i="1952"/>
  <c r="R6" i="1952"/>
  <c r="L16" i="1952" s="1"/>
  <c r="D16" i="1952" s="1"/>
  <c r="R5" i="1952"/>
  <c r="R4" i="1952"/>
  <c r="D54" i="1951"/>
  <c r="H14" i="1951" s="1"/>
  <c r="R52" i="1951"/>
  <c r="R51" i="1951"/>
  <c r="D50" i="1951"/>
  <c r="R49" i="1951"/>
  <c r="D49" i="1951"/>
  <c r="R48" i="1951"/>
  <c r="D48" i="1951"/>
  <c r="D46" i="1951"/>
  <c r="D45" i="1951"/>
  <c r="R44" i="1951"/>
  <c r="L28" i="1951" s="1"/>
  <c r="D28" i="1951" s="1"/>
  <c r="D44" i="1951"/>
  <c r="R42" i="1951"/>
  <c r="L6" i="1951" s="1"/>
  <c r="D6" i="1951" s="1"/>
  <c r="D42" i="1951"/>
  <c r="R41" i="1951"/>
  <c r="L7" i="1951" s="1"/>
  <c r="D7" i="1951" s="1"/>
  <c r="D41" i="1951"/>
  <c r="R40" i="1951"/>
  <c r="D40" i="1951"/>
  <c r="R39" i="1951"/>
  <c r="H39" i="1951"/>
  <c r="D39" i="1951"/>
  <c r="R38" i="1951"/>
  <c r="H38" i="1951"/>
  <c r="D38" i="1951"/>
  <c r="R37" i="1951"/>
  <c r="H37" i="1951"/>
  <c r="D37" i="1951"/>
  <c r="R36" i="1951"/>
  <c r="H36" i="1951"/>
  <c r="D36" i="1951"/>
  <c r="R35" i="1951"/>
  <c r="L18" i="1951" s="1"/>
  <c r="D18" i="1951" s="1"/>
  <c r="H35" i="1951"/>
  <c r="D35" i="1951"/>
  <c r="R34" i="1951"/>
  <c r="H34" i="1951"/>
  <c r="G49" i="1951" s="1"/>
  <c r="D34" i="1951"/>
  <c r="R33" i="1951"/>
  <c r="R32" i="1951"/>
  <c r="L11" i="1951" s="1"/>
  <c r="D11" i="1951" s="1"/>
  <c r="R31" i="1951"/>
  <c r="R30" i="1951"/>
  <c r="R29" i="1951"/>
  <c r="R28" i="1951"/>
  <c r="R27" i="1951"/>
  <c r="L27" i="1951"/>
  <c r="D27" i="1951"/>
  <c r="R26" i="1951"/>
  <c r="L26" i="1951"/>
  <c r="D26" i="1951"/>
  <c r="R25" i="1951"/>
  <c r="L25" i="1951"/>
  <c r="D25" i="1951" s="1"/>
  <c r="R24" i="1951"/>
  <c r="L24" i="1951"/>
  <c r="D24" i="1951" s="1"/>
  <c r="R23" i="1951"/>
  <c r="L23" i="1951"/>
  <c r="D23" i="1951"/>
  <c r="R22" i="1951"/>
  <c r="L20" i="1951" s="1"/>
  <c r="D20" i="1951" s="1"/>
  <c r="L22" i="1951"/>
  <c r="D22" i="1951" s="1"/>
  <c r="R21" i="1951"/>
  <c r="L21" i="1951"/>
  <c r="D21" i="1951"/>
  <c r="R20" i="1951"/>
  <c r="R19" i="1951"/>
  <c r="L19" i="1951"/>
  <c r="D19" i="1951"/>
  <c r="R18" i="1951"/>
  <c r="R17" i="1951"/>
  <c r="L17" i="1951"/>
  <c r="D17" i="1951"/>
  <c r="R16" i="1951"/>
  <c r="R15" i="1951"/>
  <c r="R14" i="1951"/>
  <c r="D14" i="1951"/>
  <c r="R13" i="1951"/>
  <c r="D13" i="1951"/>
  <c r="R12" i="1951"/>
  <c r="L12" i="1951"/>
  <c r="D12" i="1951"/>
  <c r="R11" i="1951"/>
  <c r="L10" i="1951"/>
  <c r="D10" i="1951"/>
  <c r="L9" i="1951"/>
  <c r="D9" i="1951"/>
  <c r="L8" i="1951"/>
  <c r="D8" i="1951"/>
  <c r="R6" i="1951"/>
  <c r="L16" i="1951" s="1"/>
  <c r="D16" i="1951" s="1"/>
  <c r="R5" i="1951"/>
  <c r="R4" i="1951"/>
  <c r="L15" i="1951" s="1"/>
  <c r="D15" i="1951" s="1"/>
  <c r="R52" i="1950"/>
  <c r="R51" i="1950"/>
  <c r="D50" i="1950"/>
  <c r="R49" i="1950"/>
  <c r="G49" i="1950"/>
  <c r="D49" i="1950"/>
  <c r="R48" i="1950"/>
  <c r="D48" i="1950"/>
  <c r="D46" i="1950"/>
  <c r="D45" i="1950"/>
  <c r="D44" i="1950"/>
  <c r="R42" i="1950"/>
  <c r="L6" i="1950" s="1"/>
  <c r="D6" i="1950" s="1"/>
  <c r="D42" i="1950"/>
  <c r="R41" i="1950"/>
  <c r="L7" i="1950" s="1"/>
  <c r="D7" i="1950" s="1"/>
  <c r="D41" i="1950"/>
  <c r="R40" i="1950"/>
  <c r="D40" i="1950"/>
  <c r="R39" i="1950"/>
  <c r="D39" i="1950"/>
  <c r="R38" i="1950"/>
  <c r="L9" i="1950" s="1"/>
  <c r="D9" i="1950" s="1"/>
  <c r="D38" i="1950"/>
  <c r="R37" i="1950"/>
  <c r="D37" i="1950"/>
  <c r="R36" i="1950"/>
  <c r="L10" i="1950" s="1"/>
  <c r="D10" i="1950" s="1"/>
  <c r="D36" i="1950"/>
  <c r="R35" i="1950"/>
  <c r="D35" i="1950"/>
  <c r="R34" i="1950"/>
  <c r="L12" i="1950" s="1"/>
  <c r="D12" i="1950" s="1"/>
  <c r="D34" i="1950"/>
  <c r="D54" i="1950" s="1"/>
  <c r="H14" i="1950" s="1"/>
  <c r="R33" i="1950"/>
  <c r="L23" i="1950" s="1"/>
  <c r="D23" i="1950" s="1"/>
  <c r="R32" i="1950"/>
  <c r="R31" i="1950"/>
  <c r="R30" i="1950"/>
  <c r="R29" i="1950"/>
  <c r="R28" i="1950"/>
  <c r="L16" i="1950" s="1"/>
  <c r="D16" i="1950" s="1"/>
  <c r="D28" i="1950"/>
  <c r="R27" i="1950"/>
  <c r="D27" i="1950"/>
  <c r="R26" i="1950"/>
  <c r="L26" i="1950"/>
  <c r="D26" i="1950"/>
  <c r="R25" i="1950"/>
  <c r="L25" i="1950"/>
  <c r="D25" i="1950"/>
  <c r="R24" i="1950"/>
  <c r="D24" i="1950"/>
  <c r="R23" i="1950"/>
  <c r="R22" i="1950"/>
  <c r="L22" i="1950"/>
  <c r="D22" i="1950" s="1"/>
  <c r="R21" i="1950"/>
  <c r="D21" i="1950"/>
  <c r="R20" i="1950"/>
  <c r="L20" i="1950"/>
  <c r="D20" i="1950"/>
  <c r="R19" i="1950"/>
  <c r="L19" i="1950"/>
  <c r="D19" i="1950"/>
  <c r="R18" i="1950"/>
  <c r="D18" i="1950"/>
  <c r="R17" i="1950"/>
  <c r="D17" i="1950"/>
  <c r="R16" i="1950"/>
  <c r="S15" i="1950"/>
  <c r="R15" i="1950"/>
  <c r="D15" i="1950"/>
  <c r="S14" i="1950"/>
  <c r="R14" i="1950"/>
  <c r="D14" i="1950"/>
  <c r="R13" i="1950"/>
  <c r="D13" i="1950"/>
  <c r="R12" i="1950"/>
  <c r="R11" i="1950"/>
  <c r="L11" i="1950"/>
  <c r="D11" i="1950" s="1"/>
  <c r="L8" i="1950"/>
  <c r="D8" i="1950"/>
  <c r="R6" i="1950"/>
  <c r="R5" i="1950"/>
  <c r="R4" i="1950"/>
  <c r="R52" i="1949"/>
  <c r="R51" i="1949"/>
  <c r="D50" i="1949"/>
  <c r="R49" i="1949"/>
  <c r="D49" i="1949"/>
  <c r="R48" i="1949"/>
  <c r="D48" i="1949"/>
  <c r="D46" i="1949"/>
  <c r="D45" i="1949"/>
  <c r="R44" i="1949"/>
  <c r="D44" i="1949"/>
  <c r="R42" i="1949"/>
  <c r="D42" i="1949"/>
  <c r="R41" i="1949"/>
  <c r="D41" i="1949"/>
  <c r="R40" i="1949"/>
  <c r="D40" i="1949"/>
  <c r="R39" i="1949"/>
  <c r="H39" i="1949"/>
  <c r="D39" i="1949"/>
  <c r="R38" i="1949"/>
  <c r="H38" i="1949"/>
  <c r="D38" i="1949"/>
  <c r="R37" i="1949"/>
  <c r="H37" i="1949"/>
  <c r="D37" i="1949"/>
  <c r="R36" i="1949"/>
  <c r="L10" i="1949" s="1"/>
  <c r="D10" i="1949" s="1"/>
  <c r="H36" i="1949"/>
  <c r="G49" i="1949" s="1"/>
  <c r="D36" i="1949"/>
  <c r="R35" i="1949"/>
  <c r="H35" i="1949"/>
  <c r="D35" i="1949"/>
  <c r="R34" i="1949"/>
  <c r="H34" i="1949"/>
  <c r="D34" i="1949"/>
  <c r="D54" i="1949" s="1"/>
  <c r="H14" i="1949" s="1"/>
  <c r="R33" i="1949"/>
  <c r="R32" i="1949"/>
  <c r="L11" i="1949" s="1"/>
  <c r="D11" i="1949" s="1"/>
  <c r="R31" i="1949"/>
  <c r="R30" i="1949"/>
  <c r="R29" i="1949"/>
  <c r="R28" i="1949"/>
  <c r="L28" i="1949"/>
  <c r="D28" i="1949"/>
  <c r="R27" i="1949"/>
  <c r="L27" i="1949"/>
  <c r="D27" i="1949" s="1"/>
  <c r="R26" i="1949"/>
  <c r="L26" i="1949"/>
  <c r="D26" i="1949"/>
  <c r="R25" i="1949"/>
  <c r="L25" i="1949"/>
  <c r="D25" i="1949"/>
  <c r="R24" i="1949"/>
  <c r="L24" i="1949"/>
  <c r="D24" i="1949"/>
  <c r="R23" i="1949"/>
  <c r="L23" i="1949"/>
  <c r="D23" i="1949"/>
  <c r="R22" i="1949"/>
  <c r="L20" i="1949" s="1"/>
  <c r="D20" i="1949" s="1"/>
  <c r="L22" i="1949"/>
  <c r="D22" i="1949" s="1"/>
  <c r="R21" i="1949"/>
  <c r="L21" i="1949"/>
  <c r="D21" i="1949" s="1"/>
  <c r="R20" i="1949"/>
  <c r="R19" i="1949"/>
  <c r="L19" i="1949"/>
  <c r="D19" i="1949"/>
  <c r="R18" i="1949"/>
  <c r="L18" i="1949"/>
  <c r="D18" i="1949"/>
  <c r="R17" i="1949"/>
  <c r="L17" i="1949"/>
  <c r="D17" i="1949" s="1"/>
  <c r="R16" i="1949"/>
  <c r="R15" i="1949"/>
  <c r="R14" i="1949"/>
  <c r="D14" i="1949"/>
  <c r="R13" i="1949"/>
  <c r="D13" i="1949"/>
  <c r="R12" i="1949"/>
  <c r="L12" i="1949"/>
  <c r="D12" i="1949" s="1"/>
  <c r="R11" i="1949"/>
  <c r="L9" i="1949"/>
  <c r="D9" i="1949" s="1"/>
  <c r="L8" i="1949"/>
  <c r="D8" i="1949" s="1"/>
  <c r="L7" i="1949"/>
  <c r="D7" i="1949"/>
  <c r="R6" i="1949"/>
  <c r="L16" i="1949" s="1"/>
  <c r="D16" i="1949" s="1"/>
  <c r="L6" i="1949"/>
  <c r="D6" i="1949" s="1"/>
  <c r="R5" i="1949"/>
  <c r="R4" i="1949"/>
  <c r="L15" i="1949" s="1"/>
  <c r="D15" i="1949" s="1"/>
  <c r="R52" i="1948"/>
  <c r="R51" i="1948"/>
  <c r="D50" i="1948"/>
  <c r="R49" i="1948"/>
  <c r="D49" i="1948"/>
  <c r="R48" i="1948"/>
  <c r="D48" i="1948"/>
  <c r="D46" i="1948"/>
  <c r="D45" i="1948"/>
  <c r="R44" i="1948"/>
  <c r="D44" i="1948"/>
  <c r="R42" i="1948"/>
  <c r="L6" i="1948" s="1"/>
  <c r="D6" i="1948" s="1"/>
  <c r="D42" i="1948"/>
  <c r="R41" i="1948"/>
  <c r="D41" i="1948"/>
  <c r="R40" i="1948"/>
  <c r="D40" i="1948"/>
  <c r="R39" i="1948"/>
  <c r="H39" i="1948"/>
  <c r="D39" i="1948"/>
  <c r="R38" i="1948"/>
  <c r="H38" i="1948"/>
  <c r="D38" i="1948"/>
  <c r="R37" i="1948"/>
  <c r="H37" i="1948"/>
  <c r="D37" i="1948"/>
  <c r="R36" i="1948"/>
  <c r="L10" i="1948" s="1"/>
  <c r="D10" i="1948" s="1"/>
  <c r="H36" i="1948"/>
  <c r="D36" i="1948"/>
  <c r="R35" i="1948"/>
  <c r="H35" i="1948"/>
  <c r="D35" i="1948"/>
  <c r="R34" i="1948"/>
  <c r="H34" i="1948"/>
  <c r="G49" i="1948" s="1"/>
  <c r="D34" i="1948"/>
  <c r="D54" i="1948" s="1"/>
  <c r="H14" i="1948" s="1"/>
  <c r="R33" i="1948"/>
  <c r="R32" i="1948"/>
  <c r="R31" i="1948"/>
  <c r="R30" i="1948"/>
  <c r="R29" i="1948"/>
  <c r="R28" i="1948"/>
  <c r="L28" i="1948"/>
  <c r="D28" i="1948"/>
  <c r="R27" i="1948"/>
  <c r="L27" i="1948"/>
  <c r="D27" i="1948"/>
  <c r="R26" i="1948"/>
  <c r="L26" i="1948"/>
  <c r="D26" i="1948" s="1"/>
  <c r="R25" i="1948"/>
  <c r="L25" i="1948"/>
  <c r="D25" i="1948"/>
  <c r="R24" i="1948"/>
  <c r="L24" i="1948"/>
  <c r="D24" i="1948"/>
  <c r="R23" i="1948"/>
  <c r="L23" i="1948"/>
  <c r="D23" i="1948"/>
  <c r="R22" i="1948"/>
  <c r="L20" i="1948" s="1"/>
  <c r="D20" i="1948" s="1"/>
  <c r="L22" i="1948"/>
  <c r="D22" i="1948"/>
  <c r="R21" i="1948"/>
  <c r="L21" i="1948"/>
  <c r="D21" i="1948" s="1"/>
  <c r="R20" i="1948"/>
  <c r="R19" i="1948"/>
  <c r="L19" i="1948"/>
  <c r="D19" i="1948"/>
  <c r="R18" i="1948"/>
  <c r="L18" i="1948"/>
  <c r="D18" i="1948"/>
  <c r="R17" i="1948"/>
  <c r="L17" i="1948"/>
  <c r="D17" i="1948" s="1"/>
  <c r="R16" i="1948"/>
  <c r="R15" i="1948"/>
  <c r="R14" i="1948"/>
  <c r="D14" i="1948"/>
  <c r="R13" i="1948"/>
  <c r="D13" i="1948"/>
  <c r="R12" i="1948"/>
  <c r="L12" i="1948"/>
  <c r="D12" i="1948" s="1"/>
  <c r="R11" i="1948"/>
  <c r="L11" i="1948"/>
  <c r="D11" i="1948"/>
  <c r="L9" i="1948"/>
  <c r="D9" i="1948" s="1"/>
  <c r="L8" i="1948"/>
  <c r="D8" i="1948"/>
  <c r="L7" i="1948"/>
  <c r="D7" i="1948"/>
  <c r="R6" i="1948"/>
  <c r="L16" i="1948" s="1"/>
  <c r="D16" i="1948" s="1"/>
  <c r="R5" i="1948"/>
  <c r="R4" i="1948"/>
  <c r="L15" i="1948" s="1"/>
  <c r="D15" i="1948" s="1"/>
  <c r="R52" i="1947"/>
  <c r="R51" i="1947"/>
  <c r="D50" i="1947"/>
  <c r="R49" i="1947"/>
  <c r="D49" i="1947"/>
  <c r="R48" i="1947"/>
  <c r="D48" i="1947"/>
  <c r="D46" i="1947"/>
  <c r="D45" i="1947"/>
  <c r="R44" i="1947"/>
  <c r="D44" i="1947"/>
  <c r="R42" i="1947"/>
  <c r="L6" i="1947" s="1"/>
  <c r="D6" i="1947" s="1"/>
  <c r="D29" i="1947" s="1"/>
  <c r="H13" i="1947" s="1"/>
  <c r="H15" i="1947" s="1"/>
  <c r="H29" i="1947" s="1"/>
  <c r="D42" i="1947"/>
  <c r="R41" i="1947"/>
  <c r="D41" i="1947"/>
  <c r="R40" i="1947"/>
  <c r="D40" i="1947"/>
  <c r="R39" i="1947"/>
  <c r="H39" i="1947"/>
  <c r="D39" i="1947"/>
  <c r="R38" i="1947"/>
  <c r="L9" i="1947" s="1"/>
  <c r="D9" i="1947" s="1"/>
  <c r="H38" i="1947"/>
  <c r="D38" i="1947"/>
  <c r="R37" i="1947"/>
  <c r="H37" i="1947"/>
  <c r="D37" i="1947"/>
  <c r="R36" i="1947"/>
  <c r="L10" i="1947" s="1"/>
  <c r="D10" i="1947" s="1"/>
  <c r="H36" i="1947"/>
  <c r="D36" i="1947"/>
  <c r="R35" i="1947"/>
  <c r="H35" i="1947"/>
  <c r="G49" i="1947" s="1"/>
  <c r="D35" i="1947"/>
  <c r="R34" i="1947"/>
  <c r="H34" i="1947"/>
  <c r="D34" i="1947"/>
  <c r="D54" i="1947" s="1"/>
  <c r="H14" i="1947" s="1"/>
  <c r="R33" i="1947"/>
  <c r="R32" i="1947"/>
  <c r="L11" i="1947" s="1"/>
  <c r="D11" i="1947" s="1"/>
  <c r="R31" i="1947"/>
  <c r="R30" i="1947"/>
  <c r="R29" i="1947"/>
  <c r="R28" i="1947"/>
  <c r="L28" i="1947"/>
  <c r="D28" i="1947"/>
  <c r="R27" i="1947"/>
  <c r="L27" i="1947"/>
  <c r="D27" i="1947" s="1"/>
  <c r="R26" i="1947"/>
  <c r="L26" i="1947"/>
  <c r="D26" i="1947"/>
  <c r="R25" i="1947"/>
  <c r="L25" i="1947"/>
  <c r="D25" i="1947"/>
  <c r="R24" i="1947"/>
  <c r="L24" i="1947"/>
  <c r="D24" i="1947"/>
  <c r="R23" i="1947"/>
  <c r="L23" i="1947"/>
  <c r="D23" i="1947"/>
  <c r="R22" i="1947"/>
  <c r="L20" i="1947" s="1"/>
  <c r="D20" i="1947" s="1"/>
  <c r="L22" i="1947"/>
  <c r="D22" i="1947"/>
  <c r="R21" i="1947"/>
  <c r="L21" i="1947"/>
  <c r="D21" i="1947"/>
  <c r="R20" i="1947"/>
  <c r="R19" i="1947"/>
  <c r="L19" i="1947"/>
  <c r="D19" i="1947"/>
  <c r="R18" i="1947"/>
  <c r="L18" i="1947"/>
  <c r="D18" i="1947" s="1"/>
  <c r="R17" i="1947"/>
  <c r="L17" i="1947"/>
  <c r="D17" i="1947" s="1"/>
  <c r="R16" i="1947"/>
  <c r="R15" i="1947"/>
  <c r="L15" i="1947"/>
  <c r="D15" i="1947"/>
  <c r="R14" i="1947"/>
  <c r="D14" i="1947"/>
  <c r="R13" i="1947"/>
  <c r="D13" i="1947"/>
  <c r="R12" i="1947"/>
  <c r="L12" i="1947"/>
  <c r="D12" i="1947" s="1"/>
  <c r="R11" i="1947"/>
  <c r="L8" i="1947"/>
  <c r="D8" i="1947" s="1"/>
  <c r="L7" i="1947"/>
  <c r="D7" i="1947"/>
  <c r="R6" i="1947"/>
  <c r="L16" i="1947" s="1"/>
  <c r="D16" i="1947" s="1"/>
  <c r="R5" i="1947"/>
  <c r="R4" i="1947"/>
  <c r="R52" i="1946"/>
  <c r="R51" i="1946"/>
  <c r="D50" i="1946"/>
  <c r="R49" i="1946"/>
  <c r="G49" i="1946"/>
  <c r="D49" i="1946"/>
  <c r="R48" i="1946"/>
  <c r="D48" i="1946"/>
  <c r="D46" i="1946"/>
  <c r="D45" i="1946"/>
  <c r="D44" i="1946"/>
  <c r="R42" i="1946"/>
  <c r="L6" i="1946" s="1"/>
  <c r="D6" i="1946" s="1"/>
  <c r="D42" i="1946"/>
  <c r="R41" i="1946"/>
  <c r="L7" i="1946" s="1"/>
  <c r="D7" i="1946" s="1"/>
  <c r="D41" i="1946"/>
  <c r="R40" i="1946"/>
  <c r="D40" i="1946"/>
  <c r="R39" i="1946"/>
  <c r="D39" i="1946"/>
  <c r="R38" i="1946"/>
  <c r="L9" i="1946" s="1"/>
  <c r="D9" i="1946" s="1"/>
  <c r="D38" i="1946"/>
  <c r="R37" i="1946"/>
  <c r="D37" i="1946"/>
  <c r="R36" i="1946"/>
  <c r="L10" i="1946" s="1"/>
  <c r="D10" i="1946" s="1"/>
  <c r="D36" i="1946"/>
  <c r="R35" i="1946"/>
  <c r="D35" i="1946"/>
  <c r="R34" i="1946"/>
  <c r="L12" i="1946" s="1"/>
  <c r="D12" i="1946" s="1"/>
  <c r="D34" i="1946"/>
  <c r="D54" i="1946" s="1"/>
  <c r="H14" i="1946" s="1"/>
  <c r="R33" i="1946"/>
  <c r="L23" i="1946" s="1"/>
  <c r="D23" i="1946" s="1"/>
  <c r="R32" i="1946"/>
  <c r="R31" i="1946"/>
  <c r="R30" i="1946"/>
  <c r="R29" i="1946"/>
  <c r="R28" i="1946"/>
  <c r="L16" i="1946" s="1"/>
  <c r="D16" i="1946" s="1"/>
  <c r="D28" i="1946"/>
  <c r="R27" i="1946"/>
  <c r="D27" i="1946"/>
  <c r="R26" i="1946"/>
  <c r="L26" i="1946"/>
  <c r="D26" i="1946"/>
  <c r="R25" i="1946"/>
  <c r="L25" i="1946"/>
  <c r="D25" i="1946"/>
  <c r="R24" i="1946"/>
  <c r="D24" i="1946"/>
  <c r="R23" i="1946"/>
  <c r="R22" i="1946"/>
  <c r="L22" i="1946"/>
  <c r="D22" i="1946"/>
  <c r="R21" i="1946"/>
  <c r="D21" i="1946"/>
  <c r="R20" i="1946"/>
  <c r="L20" i="1946"/>
  <c r="D20" i="1946"/>
  <c r="R19" i="1946"/>
  <c r="L19" i="1946"/>
  <c r="D19" i="1946"/>
  <c r="R18" i="1946"/>
  <c r="D18" i="1946"/>
  <c r="R17" i="1946"/>
  <c r="D17" i="1946"/>
  <c r="R16" i="1946"/>
  <c r="S15" i="1946"/>
  <c r="R15" i="1946"/>
  <c r="D15" i="1946"/>
  <c r="S14" i="1946"/>
  <c r="R14" i="1946"/>
  <c r="D14" i="1946"/>
  <c r="R13" i="1946"/>
  <c r="D13" i="1946"/>
  <c r="R12" i="1946"/>
  <c r="R11" i="1946"/>
  <c r="L11" i="1946"/>
  <c r="D11" i="1946"/>
  <c r="L8" i="1946"/>
  <c r="D8" i="1946"/>
  <c r="R6" i="1946"/>
  <c r="R5" i="1946"/>
  <c r="R4" i="1946"/>
  <c r="R52" i="1945"/>
  <c r="R51" i="1945"/>
  <c r="D50" i="1945"/>
  <c r="R49" i="1945"/>
  <c r="D49" i="1945"/>
  <c r="R48" i="1945"/>
  <c r="D48" i="1945"/>
  <c r="D46" i="1945"/>
  <c r="D45" i="1945"/>
  <c r="R44" i="1945"/>
  <c r="L28" i="1945" s="1"/>
  <c r="D28" i="1945" s="1"/>
  <c r="D44" i="1945"/>
  <c r="R42" i="1945"/>
  <c r="D42" i="1945"/>
  <c r="R41" i="1945"/>
  <c r="L7" i="1945" s="1"/>
  <c r="D7" i="1945" s="1"/>
  <c r="D41" i="1945"/>
  <c r="R40" i="1945"/>
  <c r="D40" i="1945"/>
  <c r="R39" i="1945"/>
  <c r="H39" i="1945"/>
  <c r="D39" i="1945"/>
  <c r="R38" i="1945"/>
  <c r="L9" i="1945" s="1"/>
  <c r="D9" i="1945" s="1"/>
  <c r="H38" i="1945"/>
  <c r="D38" i="1945"/>
  <c r="R37" i="1945"/>
  <c r="H37" i="1945"/>
  <c r="D37" i="1945"/>
  <c r="R36" i="1945"/>
  <c r="L10" i="1945" s="1"/>
  <c r="D10" i="1945" s="1"/>
  <c r="H36" i="1945"/>
  <c r="D36" i="1945"/>
  <c r="R35" i="1945"/>
  <c r="L18" i="1945" s="1"/>
  <c r="D18" i="1945" s="1"/>
  <c r="H35" i="1945"/>
  <c r="D35" i="1945"/>
  <c r="R34" i="1945"/>
  <c r="H34" i="1945"/>
  <c r="D34" i="1945"/>
  <c r="R33" i="1945"/>
  <c r="R32" i="1945"/>
  <c r="L11" i="1945" s="1"/>
  <c r="D11" i="1945" s="1"/>
  <c r="R31" i="1945"/>
  <c r="R30" i="1945"/>
  <c r="R29" i="1945"/>
  <c r="R28" i="1945"/>
  <c r="R27" i="1945"/>
  <c r="L27" i="1945"/>
  <c r="D27" i="1945" s="1"/>
  <c r="R26" i="1945"/>
  <c r="L26" i="1945"/>
  <c r="D26" i="1945" s="1"/>
  <c r="R25" i="1945"/>
  <c r="L25" i="1945"/>
  <c r="D25" i="1945" s="1"/>
  <c r="R24" i="1945"/>
  <c r="L24" i="1945"/>
  <c r="D24" i="1945"/>
  <c r="R23" i="1945"/>
  <c r="L23" i="1945"/>
  <c r="D23" i="1945" s="1"/>
  <c r="R22" i="1945"/>
  <c r="L20" i="1945" s="1"/>
  <c r="D20" i="1945" s="1"/>
  <c r="L22" i="1945"/>
  <c r="D22" i="1945" s="1"/>
  <c r="R21" i="1945"/>
  <c r="L21" i="1945"/>
  <c r="D21" i="1945"/>
  <c r="R20" i="1945"/>
  <c r="R19" i="1945"/>
  <c r="L19" i="1945"/>
  <c r="D19" i="1945"/>
  <c r="R18" i="1945"/>
  <c r="R17" i="1945"/>
  <c r="L17" i="1945"/>
  <c r="D17" i="1945"/>
  <c r="R16" i="1945"/>
  <c r="R15" i="1945"/>
  <c r="R14" i="1945"/>
  <c r="D14" i="1945"/>
  <c r="R13" i="1945"/>
  <c r="D13" i="1945"/>
  <c r="R12" i="1945"/>
  <c r="L12" i="1945"/>
  <c r="D12" i="1945"/>
  <c r="R11" i="1945"/>
  <c r="L8" i="1945"/>
  <c r="D8" i="1945" s="1"/>
  <c r="R6" i="1945"/>
  <c r="L16" i="1945" s="1"/>
  <c r="D16" i="1945" s="1"/>
  <c r="L6" i="1945"/>
  <c r="D6" i="1945" s="1"/>
  <c r="R5" i="1945"/>
  <c r="R4" i="1945"/>
  <c r="L15" i="1945" s="1"/>
  <c r="D15" i="1945" s="1"/>
  <c r="R52" i="1944"/>
  <c r="R51" i="1944"/>
  <c r="D50" i="1944"/>
  <c r="R49" i="1944"/>
  <c r="D49" i="1944"/>
  <c r="R48" i="1944"/>
  <c r="D48" i="1944"/>
  <c r="D46" i="1944"/>
  <c r="D45" i="1944"/>
  <c r="R44" i="1944"/>
  <c r="L28" i="1944" s="1"/>
  <c r="D28" i="1944" s="1"/>
  <c r="D44" i="1944"/>
  <c r="R42" i="1944"/>
  <c r="D42" i="1944"/>
  <c r="R41" i="1944"/>
  <c r="L7" i="1944" s="1"/>
  <c r="D7" i="1944" s="1"/>
  <c r="D41" i="1944"/>
  <c r="R40" i="1944"/>
  <c r="L8" i="1944" s="1"/>
  <c r="D8" i="1944" s="1"/>
  <c r="D40" i="1944"/>
  <c r="R39" i="1944"/>
  <c r="H39" i="1944"/>
  <c r="D39" i="1944"/>
  <c r="R38" i="1944"/>
  <c r="H38" i="1944"/>
  <c r="D38" i="1944"/>
  <c r="R37" i="1944"/>
  <c r="H37" i="1944"/>
  <c r="D37" i="1944"/>
  <c r="R36" i="1944"/>
  <c r="H36" i="1944"/>
  <c r="D36" i="1944"/>
  <c r="R35" i="1944"/>
  <c r="H35" i="1944"/>
  <c r="D35" i="1944"/>
  <c r="R34" i="1944"/>
  <c r="L12" i="1944" s="1"/>
  <c r="D12" i="1944" s="1"/>
  <c r="H34" i="1944"/>
  <c r="D34" i="1944"/>
  <c r="R33" i="1944"/>
  <c r="L19" i="1944" s="1"/>
  <c r="D19" i="1944" s="1"/>
  <c r="R32" i="1944"/>
  <c r="R31" i="1944"/>
  <c r="R30" i="1944"/>
  <c r="R29" i="1944"/>
  <c r="R28" i="1944"/>
  <c r="R27" i="1944"/>
  <c r="L27" i="1944"/>
  <c r="D27" i="1944"/>
  <c r="R26" i="1944"/>
  <c r="L26" i="1944"/>
  <c r="D26" i="1944" s="1"/>
  <c r="R25" i="1944"/>
  <c r="L25" i="1944"/>
  <c r="D25" i="1944"/>
  <c r="R24" i="1944"/>
  <c r="L24" i="1944"/>
  <c r="D24" i="1944"/>
  <c r="R23" i="1944"/>
  <c r="L23" i="1944"/>
  <c r="D23" i="1944" s="1"/>
  <c r="R22" i="1944"/>
  <c r="L22" i="1944"/>
  <c r="D22" i="1944"/>
  <c r="R21" i="1944"/>
  <c r="L17" i="1944" s="1"/>
  <c r="D17" i="1944" s="1"/>
  <c r="L21" i="1944"/>
  <c r="D21" i="1944"/>
  <c r="R20" i="1944"/>
  <c r="L20" i="1944"/>
  <c r="D20" i="1944" s="1"/>
  <c r="R19" i="1944"/>
  <c r="R18" i="1944"/>
  <c r="L18" i="1944"/>
  <c r="D18" i="1944"/>
  <c r="R17" i="1944"/>
  <c r="R16" i="1944"/>
  <c r="L16" i="1944"/>
  <c r="D16" i="1944" s="1"/>
  <c r="R15" i="1944"/>
  <c r="L15" i="1944"/>
  <c r="D15" i="1944" s="1"/>
  <c r="R14" i="1944"/>
  <c r="D14" i="1944"/>
  <c r="R13" i="1944"/>
  <c r="D13" i="1944"/>
  <c r="R12" i="1944"/>
  <c r="R11" i="1944"/>
  <c r="L11" i="1944"/>
  <c r="D11" i="1944"/>
  <c r="L10" i="1944"/>
  <c r="D10" i="1944"/>
  <c r="L9" i="1944"/>
  <c r="D9" i="1944" s="1"/>
  <c r="R6" i="1944"/>
  <c r="L6" i="1944"/>
  <c r="D6" i="1944" s="1"/>
  <c r="R5" i="1944"/>
  <c r="R4" i="1944"/>
  <c r="R52" i="1943"/>
  <c r="R51" i="1943"/>
  <c r="D50" i="1943"/>
  <c r="R49" i="1943"/>
  <c r="D49" i="1943"/>
  <c r="R48" i="1943"/>
  <c r="D48" i="1943"/>
  <c r="D46" i="1943"/>
  <c r="D45" i="1943"/>
  <c r="R44" i="1943"/>
  <c r="D44" i="1943"/>
  <c r="R42" i="1943"/>
  <c r="L6" i="1943" s="1"/>
  <c r="D6" i="1943" s="1"/>
  <c r="D42" i="1943"/>
  <c r="R41" i="1943"/>
  <c r="L7" i="1943" s="1"/>
  <c r="D7" i="1943" s="1"/>
  <c r="D41" i="1943"/>
  <c r="R40" i="1943"/>
  <c r="D40" i="1943"/>
  <c r="R39" i="1943"/>
  <c r="H39" i="1943"/>
  <c r="D39" i="1943"/>
  <c r="R38" i="1943"/>
  <c r="H38" i="1943"/>
  <c r="D38" i="1943"/>
  <c r="R37" i="1943"/>
  <c r="H37" i="1943"/>
  <c r="D37" i="1943"/>
  <c r="R36" i="1943"/>
  <c r="L10" i="1943" s="1"/>
  <c r="D10" i="1943" s="1"/>
  <c r="H36" i="1943"/>
  <c r="D36" i="1943"/>
  <c r="R35" i="1943"/>
  <c r="L18" i="1943" s="1"/>
  <c r="D18" i="1943" s="1"/>
  <c r="H35" i="1943"/>
  <c r="D35" i="1943"/>
  <c r="R34" i="1943"/>
  <c r="H34" i="1943"/>
  <c r="D34" i="1943"/>
  <c r="R33" i="1943"/>
  <c r="R32" i="1943"/>
  <c r="R31" i="1943"/>
  <c r="R30" i="1943"/>
  <c r="R29" i="1943"/>
  <c r="R28" i="1943"/>
  <c r="L28" i="1943"/>
  <c r="D28" i="1943"/>
  <c r="R27" i="1943"/>
  <c r="L27" i="1943"/>
  <c r="D27" i="1943"/>
  <c r="R26" i="1943"/>
  <c r="L26" i="1943"/>
  <c r="D26" i="1943"/>
  <c r="R25" i="1943"/>
  <c r="L25" i="1943"/>
  <c r="D25" i="1943"/>
  <c r="R24" i="1943"/>
  <c r="L24" i="1943"/>
  <c r="D24" i="1943"/>
  <c r="R23" i="1943"/>
  <c r="L23" i="1943"/>
  <c r="D23" i="1943"/>
  <c r="R22" i="1943"/>
  <c r="L20" i="1943" s="1"/>
  <c r="D20" i="1943" s="1"/>
  <c r="L22" i="1943"/>
  <c r="D22" i="1943" s="1"/>
  <c r="R21" i="1943"/>
  <c r="L21" i="1943"/>
  <c r="D21" i="1943" s="1"/>
  <c r="R20" i="1943"/>
  <c r="R19" i="1943"/>
  <c r="L19" i="1943"/>
  <c r="D19" i="1943"/>
  <c r="R18" i="1943"/>
  <c r="R17" i="1943"/>
  <c r="L17" i="1943"/>
  <c r="D17" i="1943"/>
  <c r="R16" i="1943"/>
  <c r="R15" i="1943"/>
  <c r="R14" i="1943"/>
  <c r="D14" i="1943"/>
  <c r="R13" i="1943"/>
  <c r="D13" i="1943"/>
  <c r="R12" i="1943"/>
  <c r="L12" i="1943"/>
  <c r="D12" i="1943"/>
  <c r="R11" i="1943"/>
  <c r="L11" i="1943"/>
  <c r="D11" i="1943" s="1"/>
  <c r="L9" i="1943"/>
  <c r="D9" i="1943"/>
  <c r="L8" i="1943"/>
  <c r="D8" i="1943" s="1"/>
  <c r="R6" i="1943"/>
  <c r="L16" i="1943" s="1"/>
  <c r="D16" i="1943" s="1"/>
  <c r="R5" i="1943"/>
  <c r="R4" i="1943"/>
  <c r="L15" i="1943" s="1"/>
  <c r="D15" i="1943" s="1"/>
  <c r="R52" i="1942"/>
  <c r="R51" i="1942"/>
  <c r="D50" i="1942"/>
  <c r="R49" i="1942"/>
  <c r="G49" i="1942"/>
  <c r="D49" i="1942"/>
  <c r="R48" i="1942"/>
  <c r="D48" i="1942"/>
  <c r="D46" i="1942"/>
  <c r="D45" i="1942"/>
  <c r="D44" i="1942"/>
  <c r="R42" i="1942"/>
  <c r="D42" i="1942"/>
  <c r="R41" i="1942"/>
  <c r="L7" i="1942" s="1"/>
  <c r="D7" i="1942" s="1"/>
  <c r="D41" i="1942"/>
  <c r="R40" i="1942"/>
  <c r="L8" i="1942" s="1"/>
  <c r="D8" i="1942" s="1"/>
  <c r="D40" i="1942"/>
  <c r="R39" i="1942"/>
  <c r="D39" i="1942"/>
  <c r="R38" i="1942"/>
  <c r="L9" i="1942" s="1"/>
  <c r="D9" i="1942" s="1"/>
  <c r="D38" i="1942"/>
  <c r="R37" i="1942"/>
  <c r="D37" i="1942"/>
  <c r="D54" i="1942" s="1"/>
  <c r="H14" i="1942" s="1"/>
  <c r="R36" i="1942"/>
  <c r="L10" i="1942" s="1"/>
  <c r="D10" i="1942" s="1"/>
  <c r="D36" i="1942"/>
  <c r="R35" i="1942"/>
  <c r="D35" i="1942"/>
  <c r="R34" i="1942"/>
  <c r="L12" i="1942" s="1"/>
  <c r="D12" i="1942" s="1"/>
  <c r="D34" i="1942"/>
  <c r="R33" i="1942"/>
  <c r="L23" i="1942" s="1"/>
  <c r="D23" i="1942" s="1"/>
  <c r="R32" i="1942"/>
  <c r="L11" i="1942" s="1"/>
  <c r="D11" i="1942" s="1"/>
  <c r="R31" i="1942"/>
  <c r="R30" i="1942"/>
  <c r="R29" i="1942"/>
  <c r="R28" i="1942"/>
  <c r="L16" i="1942" s="1"/>
  <c r="D16" i="1942" s="1"/>
  <c r="D28" i="1942"/>
  <c r="R27" i="1942"/>
  <c r="D27" i="1942"/>
  <c r="R26" i="1942"/>
  <c r="L26" i="1942"/>
  <c r="D26" i="1942"/>
  <c r="R25" i="1942"/>
  <c r="L25" i="1942"/>
  <c r="D25" i="1942"/>
  <c r="R24" i="1942"/>
  <c r="D24" i="1942"/>
  <c r="R23" i="1942"/>
  <c r="R22" i="1942"/>
  <c r="L22" i="1942"/>
  <c r="D22" i="1942"/>
  <c r="R21" i="1942"/>
  <c r="D21" i="1942"/>
  <c r="R20" i="1942"/>
  <c r="L20" i="1942"/>
  <c r="D20" i="1942"/>
  <c r="R19" i="1942"/>
  <c r="L19" i="1942"/>
  <c r="D19" i="1942"/>
  <c r="R18" i="1942"/>
  <c r="D18" i="1942"/>
  <c r="R17" i="1942"/>
  <c r="D17" i="1942"/>
  <c r="R16" i="1942"/>
  <c r="S15" i="1942"/>
  <c r="R15" i="1942"/>
  <c r="D15" i="1942"/>
  <c r="S14" i="1942"/>
  <c r="R14" i="1942"/>
  <c r="D14" i="1942"/>
  <c r="R13" i="1942"/>
  <c r="D13" i="1942"/>
  <c r="R12" i="1942"/>
  <c r="R11" i="1942"/>
  <c r="R6" i="1942"/>
  <c r="L6" i="1942"/>
  <c r="D6" i="1942" s="1"/>
  <c r="R5" i="1942"/>
  <c r="R4" i="1942"/>
  <c r="L28" i="1941"/>
  <c r="L27" i="1941"/>
  <c r="L26" i="1941"/>
  <c r="L25" i="1941"/>
  <c r="L24" i="1941"/>
  <c r="L23" i="1941"/>
  <c r="L22" i="1941"/>
  <c r="L21" i="1941"/>
  <c r="L20" i="1941"/>
  <c r="L19" i="1941"/>
  <c r="L18" i="1941"/>
  <c r="L17" i="1941"/>
  <c r="L16" i="1941"/>
  <c r="L15" i="1941"/>
  <c r="L12" i="1941"/>
  <c r="L11" i="1941"/>
  <c r="L10" i="1941"/>
  <c r="L9" i="1941"/>
  <c r="L8" i="1941"/>
  <c r="L7" i="1941"/>
  <c r="L6" i="1941"/>
  <c r="L28" i="1940"/>
  <c r="L27" i="1940"/>
  <c r="L26" i="1940"/>
  <c r="L25" i="1940"/>
  <c r="L24" i="1940"/>
  <c r="L23" i="1940"/>
  <c r="L22" i="1940"/>
  <c r="L21" i="1940"/>
  <c r="L20" i="1940"/>
  <c r="L19" i="1940"/>
  <c r="L18" i="1940"/>
  <c r="L17" i="1940"/>
  <c r="L16" i="1940"/>
  <c r="L15" i="1940"/>
  <c r="L12" i="1940"/>
  <c r="L11" i="1940"/>
  <c r="L10" i="1940"/>
  <c r="L9" i="1940"/>
  <c r="L8" i="1940"/>
  <c r="L7" i="1940"/>
  <c r="L6" i="1940"/>
  <c r="L27" i="1939"/>
  <c r="L26" i="1939"/>
  <c r="L25" i="1939"/>
  <c r="L24" i="1939"/>
  <c r="L23" i="1939"/>
  <c r="L22" i="1939"/>
  <c r="L21" i="1939"/>
  <c r="L20" i="1939"/>
  <c r="L18" i="1939"/>
  <c r="L17" i="1939"/>
  <c r="L15" i="1939"/>
  <c r="L19" i="1939"/>
  <c r="L16" i="1939"/>
  <c r="G49" i="1957" l="1"/>
  <c r="G49" i="1956"/>
  <c r="G49" i="1955"/>
  <c r="D54" i="1957"/>
  <c r="H14" i="1957" s="1"/>
  <c r="D54" i="1956"/>
  <c r="H14" i="1956" s="1"/>
  <c r="D54" i="1955"/>
  <c r="H14" i="1955" s="1"/>
  <c r="G49" i="1944"/>
  <c r="G49" i="1945"/>
  <c r="G49" i="1943"/>
  <c r="D54" i="1945"/>
  <c r="H14" i="1945" s="1"/>
  <c r="D54" i="1944"/>
  <c r="H14" i="1944" s="1"/>
  <c r="D29" i="1944"/>
  <c r="H13" i="1944" s="1"/>
  <c r="D54" i="1943"/>
  <c r="H14" i="1943" s="1"/>
  <c r="D29" i="1957"/>
  <c r="H13" i="1957" s="1"/>
  <c r="D29" i="1956"/>
  <c r="H13" i="1956" s="1"/>
  <c r="D29" i="1955"/>
  <c r="H13" i="1955" s="1"/>
  <c r="D29" i="1954"/>
  <c r="H13" i="1954" s="1"/>
  <c r="H15" i="1954" s="1"/>
  <c r="H29" i="1954" s="1"/>
  <c r="G51" i="1954"/>
  <c r="D29" i="1953"/>
  <c r="H13" i="1953" s="1"/>
  <c r="H15" i="1953" s="1"/>
  <c r="H29" i="1953" s="1"/>
  <c r="G51" i="1953" s="1"/>
  <c r="D29" i="1952"/>
  <c r="H13" i="1952" s="1"/>
  <c r="H15" i="1952" s="1"/>
  <c r="H29" i="1952" s="1"/>
  <c r="G51" i="1952" s="1"/>
  <c r="D29" i="1951"/>
  <c r="H13" i="1951" s="1"/>
  <c r="H15" i="1951" s="1"/>
  <c r="H29" i="1951" s="1"/>
  <c r="G51" i="1951" s="1"/>
  <c r="D29" i="1950"/>
  <c r="H13" i="1950" s="1"/>
  <c r="H15" i="1950" s="1"/>
  <c r="H29" i="1950" s="1"/>
  <c r="G51" i="1950" s="1"/>
  <c r="D29" i="1949"/>
  <c r="H13" i="1949" s="1"/>
  <c r="H15" i="1949" s="1"/>
  <c r="H29" i="1949" s="1"/>
  <c r="G51" i="1949"/>
  <c r="D29" i="1948"/>
  <c r="H13" i="1948" s="1"/>
  <c r="H15" i="1948" s="1"/>
  <c r="H29" i="1948" s="1"/>
  <c r="G51" i="1948" s="1"/>
  <c r="G51" i="1947"/>
  <c r="D29" i="1946"/>
  <c r="H13" i="1946" s="1"/>
  <c r="H15" i="1946" s="1"/>
  <c r="H29" i="1946" s="1"/>
  <c r="G51" i="1946" s="1"/>
  <c r="D29" i="1945"/>
  <c r="H13" i="1945" s="1"/>
  <c r="D29" i="1943"/>
  <c r="H13" i="1943" s="1"/>
  <c r="D29" i="1942"/>
  <c r="H13" i="1942" s="1"/>
  <c r="H15" i="1942" s="1"/>
  <c r="H29" i="1942" s="1"/>
  <c r="G51" i="1942" s="1"/>
  <c r="R52" i="1941"/>
  <c r="R51" i="1941"/>
  <c r="D50" i="1941"/>
  <c r="R49" i="1941"/>
  <c r="D49" i="1941"/>
  <c r="R48" i="1941"/>
  <c r="D48" i="1941"/>
  <c r="D46" i="1941"/>
  <c r="D45" i="1941"/>
  <c r="R44" i="1941"/>
  <c r="D28" i="1941" s="1"/>
  <c r="D44" i="1941"/>
  <c r="R42" i="1941"/>
  <c r="D42" i="1941"/>
  <c r="R41" i="1941"/>
  <c r="D41" i="1941"/>
  <c r="R40" i="1941"/>
  <c r="D40" i="1941"/>
  <c r="R39" i="1941"/>
  <c r="H39" i="1941"/>
  <c r="D39" i="1941"/>
  <c r="R38" i="1941"/>
  <c r="D9" i="1941" s="1"/>
  <c r="H38" i="1941"/>
  <c r="D38" i="1941"/>
  <c r="R37" i="1941"/>
  <c r="H37" i="1941"/>
  <c r="D37" i="1941"/>
  <c r="R36" i="1941"/>
  <c r="D10" i="1941" s="1"/>
  <c r="H36" i="1941"/>
  <c r="D36" i="1941"/>
  <c r="R35" i="1941"/>
  <c r="H35" i="1941"/>
  <c r="D35" i="1941"/>
  <c r="R34" i="1941"/>
  <c r="H34" i="1941"/>
  <c r="D34" i="1941"/>
  <c r="R33" i="1941"/>
  <c r="R32" i="1941"/>
  <c r="R31" i="1941"/>
  <c r="R30" i="1941"/>
  <c r="R29" i="1941"/>
  <c r="R28" i="1941"/>
  <c r="R27" i="1941"/>
  <c r="D27" i="1941"/>
  <c r="R26" i="1941"/>
  <c r="D26" i="1941"/>
  <c r="R25" i="1941"/>
  <c r="D25" i="1941"/>
  <c r="R24" i="1941"/>
  <c r="D24" i="1941"/>
  <c r="R23" i="1941"/>
  <c r="D23" i="1941"/>
  <c r="R22" i="1941"/>
  <c r="D22" i="1941"/>
  <c r="R21" i="1941"/>
  <c r="D21" i="1941"/>
  <c r="R20" i="1941"/>
  <c r="D20" i="1941"/>
  <c r="R19" i="1941"/>
  <c r="D19" i="1941"/>
  <c r="R18" i="1941"/>
  <c r="D18" i="1941"/>
  <c r="R17" i="1941"/>
  <c r="D17" i="1941"/>
  <c r="R16" i="1941"/>
  <c r="D16" i="1941"/>
  <c r="R15" i="1941"/>
  <c r="D15" i="1941"/>
  <c r="R14" i="1941"/>
  <c r="D14" i="1941"/>
  <c r="R13" i="1941"/>
  <c r="D13" i="1941"/>
  <c r="R12" i="1941"/>
  <c r="D12" i="1941"/>
  <c r="R11" i="1941"/>
  <c r="D11" i="1941"/>
  <c r="D8" i="1941"/>
  <c r="D7" i="1941"/>
  <c r="R6" i="1941"/>
  <c r="D6" i="1941"/>
  <c r="R5" i="1941"/>
  <c r="R4" i="1941"/>
  <c r="R52" i="1940"/>
  <c r="R51" i="1940"/>
  <c r="D50" i="1940"/>
  <c r="R49" i="1940"/>
  <c r="D49" i="1940"/>
  <c r="R48" i="1940"/>
  <c r="D48" i="1940"/>
  <c r="D46" i="1940"/>
  <c r="D45" i="1940"/>
  <c r="R44" i="1940"/>
  <c r="D44" i="1940"/>
  <c r="R42" i="1940"/>
  <c r="D42" i="1940"/>
  <c r="R41" i="1940"/>
  <c r="D41" i="1940"/>
  <c r="R40" i="1940"/>
  <c r="D40" i="1940"/>
  <c r="R39" i="1940"/>
  <c r="H39" i="1940"/>
  <c r="D39" i="1940"/>
  <c r="R38" i="1940"/>
  <c r="H38" i="1940"/>
  <c r="D38" i="1940"/>
  <c r="R37" i="1940"/>
  <c r="H37" i="1940"/>
  <c r="D37" i="1940"/>
  <c r="R36" i="1940"/>
  <c r="D10" i="1940" s="1"/>
  <c r="H36" i="1940"/>
  <c r="D36" i="1940"/>
  <c r="R35" i="1940"/>
  <c r="H35" i="1940"/>
  <c r="D35" i="1940"/>
  <c r="R34" i="1940"/>
  <c r="D12" i="1940" s="1"/>
  <c r="H34" i="1940"/>
  <c r="D34" i="1940"/>
  <c r="R33" i="1940"/>
  <c r="D23" i="1940" s="1"/>
  <c r="R32" i="1940"/>
  <c r="R31" i="1940"/>
  <c r="R30" i="1940"/>
  <c r="R29" i="1940"/>
  <c r="R28" i="1940"/>
  <c r="D28" i="1940"/>
  <c r="R27" i="1940"/>
  <c r="D27" i="1940"/>
  <c r="R26" i="1940"/>
  <c r="D26" i="1940"/>
  <c r="R25" i="1940"/>
  <c r="D25" i="1940"/>
  <c r="R24" i="1940"/>
  <c r="D24" i="1940"/>
  <c r="R23" i="1940"/>
  <c r="R22" i="1940"/>
  <c r="D22" i="1940"/>
  <c r="R21" i="1940"/>
  <c r="D17" i="1940" s="1"/>
  <c r="D21" i="1940"/>
  <c r="R20" i="1940"/>
  <c r="D20" i="1940"/>
  <c r="R19" i="1940"/>
  <c r="D19" i="1940"/>
  <c r="R18" i="1940"/>
  <c r="D18" i="1940"/>
  <c r="R17" i="1940"/>
  <c r="R16" i="1940"/>
  <c r="D16" i="1940"/>
  <c r="R15" i="1940"/>
  <c r="D15" i="1940"/>
  <c r="R14" i="1940"/>
  <c r="D14" i="1940"/>
  <c r="R13" i="1940"/>
  <c r="D13" i="1940"/>
  <c r="R12" i="1940"/>
  <c r="R11" i="1940"/>
  <c r="D11" i="1940"/>
  <c r="D9" i="1940"/>
  <c r="D8" i="1940"/>
  <c r="D7" i="1940"/>
  <c r="R6" i="1940"/>
  <c r="D6" i="1940"/>
  <c r="R5" i="1940"/>
  <c r="R4" i="1940"/>
  <c r="R52" i="1939"/>
  <c r="R51" i="1939"/>
  <c r="D50" i="1939"/>
  <c r="R49" i="1939"/>
  <c r="D49" i="1939"/>
  <c r="R48" i="1939"/>
  <c r="D48" i="1939"/>
  <c r="D46" i="1939"/>
  <c r="D45" i="1939"/>
  <c r="R44" i="1939"/>
  <c r="L28" i="1939" s="1"/>
  <c r="D28" i="1939" s="1"/>
  <c r="D44" i="1939"/>
  <c r="R42" i="1939"/>
  <c r="D42" i="1939"/>
  <c r="R41" i="1939"/>
  <c r="D41" i="1939"/>
  <c r="R40" i="1939"/>
  <c r="D40" i="1939"/>
  <c r="R39" i="1939"/>
  <c r="D20" i="1939" s="1"/>
  <c r="H39" i="1939"/>
  <c r="D39" i="1939"/>
  <c r="R38" i="1939"/>
  <c r="H38" i="1939"/>
  <c r="D38" i="1939"/>
  <c r="R37" i="1939"/>
  <c r="H37" i="1939"/>
  <c r="D37" i="1939"/>
  <c r="R36" i="1939"/>
  <c r="H36" i="1939"/>
  <c r="D36" i="1939"/>
  <c r="R35" i="1939"/>
  <c r="H35" i="1939"/>
  <c r="D35" i="1939"/>
  <c r="R34" i="1939"/>
  <c r="L12" i="1939" s="1"/>
  <c r="D12" i="1939" s="1"/>
  <c r="H34" i="1939"/>
  <c r="D34" i="1939"/>
  <c r="R33" i="1939"/>
  <c r="R32" i="1939"/>
  <c r="R31" i="1939"/>
  <c r="R30" i="1939"/>
  <c r="R29" i="1939"/>
  <c r="R28" i="1939"/>
  <c r="R27" i="1939"/>
  <c r="D27" i="1939"/>
  <c r="R26" i="1939"/>
  <c r="D26" i="1939"/>
  <c r="R25" i="1939"/>
  <c r="D25" i="1939"/>
  <c r="R24" i="1939"/>
  <c r="D24" i="1939"/>
  <c r="R23" i="1939"/>
  <c r="D23" i="1939"/>
  <c r="R22" i="1939"/>
  <c r="D22" i="1939"/>
  <c r="R21" i="1939"/>
  <c r="D21" i="1939"/>
  <c r="R20" i="1939"/>
  <c r="R19" i="1939"/>
  <c r="D19" i="1939"/>
  <c r="R18" i="1939"/>
  <c r="D18" i="1939"/>
  <c r="R17" i="1939"/>
  <c r="D17" i="1939"/>
  <c r="R16" i="1939"/>
  <c r="D16" i="1939"/>
  <c r="R15" i="1939"/>
  <c r="D15" i="1939"/>
  <c r="R14" i="1939"/>
  <c r="D14" i="1939"/>
  <c r="R13" i="1939"/>
  <c r="D13" i="1939"/>
  <c r="R12" i="1939"/>
  <c r="R11" i="1939"/>
  <c r="L11" i="1939"/>
  <c r="D11" i="1939" s="1"/>
  <c r="L10" i="1939"/>
  <c r="D10" i="1939"/>
  <c r="L9" i="1939"/>
  <c r="D9" i="1939" s="1"/>
  <c r="L8" i="1939"/>
  <c r="D8" i="1939" s="1"/>
  <c r="L7" i="1939"/>
  <c r="D7" i="1939"/>
  <c r="R6" i="1939"/>
  <c r="L6" i="1939"/>
  <c r="D6" i="1939"/>
  <c r="R5" i="1939"/>
  <c r="R4" i="1939"/>
  <c r="R52" i="1938"/>
  <c r="R51" i="1938"/>
  <c r="D50" i="1938"/>
  <c r="R49" i="1938"/>
  <c r="G49" i="1938"/>
  <c r="D49" i="1938"/>
  <c r="R48" i="1938"/>
  <c r="D48" i="1938"/>
  <c r="D46" i="1938"/>
  <c r="D45" i="1938"/>
  <c r="D44" i="1938"/>
  <c r="R42" i="1938"/>
  <c r="L6" i="1938" s="1"/>
  <c r="D6" i="1938" s="1"/>
  <c r="D42" i="1938"/>
  <c r="R41" i="1938"/>
  <c r="L7" i="1938" s="1"/>
  <c r="D7" i="1938" s="1"/>
  <c r="D41" i="1938"/>
  <c r="R40" i="1938"/>
  <c r="D40" i="1938"/>
  <c r="R39" i="1938"/>
  <c r="D39" i="1938"/>
  <c r="R38" i="1938"/>
  <c r="D38" i="1938"/>
  <c r="R37" i="1938"/>
  <c r="D37" i="1938"/>
  <c r="R36" i="1938"/>
  <c r="D36" i="1938"/>
  <c r="R35" i="1938"/>
  <c r="D35" i="1938"/>
  <c r="R34" i="1938"/>
  <c r="L12" i="1938" s="1"/>
  <c r="D12" i="1938" s="1"/>
  <c r="D34" i="1938"/>
  <c r="D54" i="1938" s="1"/>
  <c r="H14" i="1938" s="1"/>
  <c r="R33" i="1938"/>
  <c r="L23" i="1938" s="1"/>
  <c r="D23" i="1938" s="1"/>
  <c r="R32" i="1938"/>
  <c r="R31" i="1938"/>
  <c r="R30" i="1938"/>
  <c r="R29" i="1938"/>
  <c r="R28" i="1938"/>
  <c r="D28" i="1938"/>
  <c r="R27" i="1938"/>
  <c r="D27" i="1938"/>
  <c r="R26" i="1938"/>
  <c r="L26" i="1938"/>
  <c r="D26" i="1938"/>
  <c r="R25" i="1938"/>
  <c r="L25" i="1938"/>
  <c r="D25" i="1938"/>
  <c r="R24" i="1938"/>
  <c r="D24" i="1938"/>
  <c r="R23" i="1938"/>
  <c r="R22" i="1938"/>
  <c r="L22" i="1938"/>
  <c r="D22" i="1938"/>
  <c r="R21" i="1938"/>
  <c r="D21" i="1938"/>
  <c r="R20" i="1938"/>
  <c r="L20" i="1938"/>
  <c r="D20" i="1938"/>
  <c r="R19" i="1938"/>
  <c r="L19" i="1938"/>
  <c r="D19" i="1938"/>
  <c r="R18" i="1938"/>
  <c r="D18" i="1938"/>
  <c r="R17" i="1938"/>
  <c r="D17" i="1938"/>
  <c r="R16" i="1938"/>
  <c r="L16" i="1938"/>
  <c r="D16" i="1938" s="1"/>
  <c r="S15" i="1938"/>
  <c r="R15" i="1938"/>
  <c r="D15" i="1938"/>
  <c r="S14" i="1938"/>
  <c r="R14" i="1938"/>
  <c r="D14" i="1938"/>
  <c r="R13" i="1938"/>
  <c r="D13" i="1938"/>
  <c r="R12" i="1938"/>
  <c r="R11" i="1938"/>
  <c r="L11" i="1938"/>
  <c r="D11" i="1938"/>
  <c r="L10" i="1938"/>
  <c r="D10" i="1938"/>
  <c r="L9" i="1938"/>
  <c r="D9" i="1938" s="1"/>
  <c r="L8" i="1938"/>
  <c r="D8" i="1938"/>
  <c r="R6" i="1938"/>
  <c r="R5" i="1938"/>
  <c r="R4" i="1938"/>
  <c r="H15" i="1957" l="1"/>
  <c r="H29" i="1957" s="1"/>
  <c r="G51" i="1957" s="1"/>
  <c r="H15" i="1956"/>
  <c r="H29" i="1956" s="1"/>
  <c r="G51" i="1956" s="1"/>
  <c r="H15" i="1955"/>
  <c r="H29" i="1955" s="1"/>
  <c r="G51" i="1955" s="1"/>
  <c r="H15" i="1945"/>
  <c r="H29" i="1945" s="1"/>
  <c r="G51" i="1945" s="1"/>
  <c r="H15" i="1944"/>
  <c r="H29" i="1944" s="1"/>
  <c r="G51" i="1944" s="1"/>
  <c r="H15" i="1943"/>
  <c r="H29" i="1943" s="1"/>
  <c r="G51" i="1943" s="1"/>
  <c r="G49" i="1941"/>
  <c r="G49" i="1940"/>
  <c r="D54" i="1941"/>
  <c r="H14" i="1941" s="1"/>
  <c r="D54" i="1940"/>
  <c r="H14" i="1940" s="1"/>
  <c r="D54" i="1939"/>
  <c r="H14" i="1939" s="1"/>
  <c r="D29" i="1941"/>
  <c r="H13" i="1941" s="1"/>
  <c r="D29" i="1940"/>
  <c r="H13" i="1940" s="1"/>
  <c r="D29" i="1939"/>
  <c r="H13" i="1939" s="1"/>
  <c r="D29" i="1938"/>
  <c r="H13" i="1938" s="1"/>
  <c r="H15" i="1938" s="1"/>
  <c r="H29" i="1938" s="1"/>
  <c r="G51" i="1938" s="1"/>
  <c r="H15" i="1941" l="1"/>
  <c r="H29" i="1941" s="1"/>
  <c r="G51" i="1941" s="1"/>
  <c r="H15" i="1940"/>
  <c r="H29" i="1940" s="1"/>
  <c r="G51" i="1940" s="1"/>
  <c r="H15" i="1939"/>
  <c r="H29" i="1939" s="1"/>
  <c r="G51" i="1939" s="1"/>
</calcChain>
</file>

<file path=xl/sharedStrings.xml><?xml version="1.0" encoding="utf-8"?>
<sst xmlns="http://schemas.openxmlformats.org/spreadsheetml/2006/main" count="9194" uniqueCount="175">
  <si>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</si>
  <si>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</si>
  <si>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</si>
  <si>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</si>
  <si>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</si>
  <si>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</si>
  <si>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</si>
  <si>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</si>
  <si>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</si>
  <si>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</si>
  <si>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</si>
  <si>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</si>
  <si>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</si>
  <si>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</si>
  <si>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</si>
  <si>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</si>
  <si>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</si>
  <si>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</si>
  <si>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</si>
  <si>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</si>
  <si>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</si>
  <si>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</si>
  <si>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</si>
  <si>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</si>
  <si>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</si>
  <si>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</si>
  <si>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</si>
  <si>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</si>
  <si>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</si>
  <si>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</si>
  <si>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</si>
  <si>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</si>
  <si>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</si>
  <si>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</si>
  <si>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</si>
  <si>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</si>
  <si>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</si>
  <si>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</si>
  <si>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</si>
  <si>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</si>
  <si>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</si>
  <si>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</si>
  <si>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</si>
  <si>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</si>
  <si>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</si>
  <si>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</si>
  <si>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</si>
  <si>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</si>
  <si>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</si>
  <si>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</si>
  <si>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</si>
  <si>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</si>
  <si>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</si>
  <si>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</si>
  <si>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</si>
  <si>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</si>
  <si>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</si>
  <si>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</si>
  <si>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</si>
  <si>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</si>
  <si>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</si>
  <si>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</si>
  <si>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</si>
  <si>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</si>
  <si>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</si>
  <si>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</si>
  <si>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</si>
  <si>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</si>
  <si>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</si>
  <si>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</si>
  <si>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</si>
  <si>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</si>
  <si>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</si>
  <si>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</si>
  <si>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</si>
  <si>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</si>
  <si>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</si>
  <si>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</si>
  <si>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</si>
  <si>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</si>
  <si>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</si>
  <si>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</si>
  <si>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</si>
  <si>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</si>
  <si>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</si>
  <si>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</si>
  <si>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</si>
  <si>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</si>
  <si>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</si>
  <si>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</si>
  <si>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</si>
  <si>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</si>
  <si>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</si>
  <si>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</si>
  <si>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</si>
  <si>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</si>
  <si>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</si>
  <si>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</si>
  <si>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</si>
  <si>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</si>
  <si>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</si>
  <si>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</si>
  <si>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</si>
  <si>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</si>
  <si>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</si>
  <si>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</si>
  <si>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</si>
  <si>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</si>
  <si>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</si>
  <si>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</si>
  <si>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</si>
  <si>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</si>
  <si>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</si>
  <si>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</si>
  <si>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</si>
  <si>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</si>
  <si>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</si>
  <si>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</si>
  <si>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</si>
  <si>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</si>
  <si>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</si>
  <si>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</si>
  <si>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</si>
  <si>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</si>
  <si>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</si>
  <si>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</si>
  <si>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</si>
  <si>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</si>
  <si>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</si>
  <si>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</si>
  <si>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</si>
  <si>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PSBC</t>
  </si>
  <si>
    <t>2120012964</t>
  </si>
  <si>
    <t>PNB</t>
  </si>
  <si>
    <t>BANK TRANSFER</t>
  </si>
  <si>
    <t>BALWARTE</t>
  </si>
  <si>
    <t>2130020838</t>
  </si>
  <si>
    <t>BDO</t>
  </si>
  <si>
    <t>1ST VALLEY BANK</t>
  </si>
  <si>
    <t>43026</t>
  </si>
  <si>
    <t>5089395</t>
  </si>
  <si>
    <t>149014</t>
  </si>
  <si>
    <t>2000003034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</si>
  <si>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</si>
  <si>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147781</t>
  </si>
  <si>
    <t>149018</t>
  </si>
  <si>
    <t>43029</t>
  </si>
  <si>
    <t>5089396</t>
  </si>
  <si>
    <t>SMFC</t>
  </si>
  <si>
    <t>147623</t>
  </si>
  <si>
    <t>2000005932</t>
  </si>
  <si>
    <t>2000003041</t>
  </si>
  <si>
    <t>2000008065</t>
  </si>
  <si>
    <t>143511</t>
  </si>
  <si>
    <t>43030</t>
  </si>
  <si>
    <t>52598</t>
  </si>
  <si>
    <t>FB BOTT.</t>
  </si>
  <si>
    <t>2120007646</t>
  </si>
  <si>
    <t>2122212974</t>
  </si>
  <si>
    <t>2000008074</t>
  </si>
  <si>
    <t>CALI BOTT.</t>
  </si>
  <si>
    <t>G-CASH</t>
  </si>
  <si>
    <t>SOUND CHECK</t>
  </si>
  <si>
    <t>149807</t>
  </si>
  <si>
    <t>147804</t>
  </si>
  <si>
    <t>43034</t>
  </si>
  <si>
    <t>LOPEZ, GINA GRACE</t>
  </si>
  <si>
    <t>2130020855</t>
  </si>
  <si>
    <t>2000003065</t>
  </si>
  <si>
    <t>147821</t>
  </si>
  <si>
    <t>132749</t>
  </si>
  <si>
    <t>1ST VB</t>
  </si>
  <si>
    <t>5089401</t>
  </si>
  <si>
    <t>56718</t>
  </si>
  <si>
    <t>43036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</si>
</sst>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2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4" fillId="0" borderId="16" xfId="0" applyFont="1" applyBorder="1"/>
    <xf numFmtId="0" fontId="23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71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FB12D2-7709-4891-8E6C-6DBFF35FB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95CB68-FCA5-412E-9114-A0099434BB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BBFE61-75D5-4370-9B9A-28E3EE3383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261D-F579-45C7-B27D-E389C8877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4AD7FA-BA60-491B-9509-23406D1A83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B7AF26-D318-4C19-9552-F66D7D824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8D7F34-627A-440A-B197-3AAC777C18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F2F134-68B1-423A-A0B2-D01F4FE618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34CAC6-3CEF-44F5-8A18-3F4C8FF311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785943-BB03-4B09-B4B5-5E94D7701A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B6761-DA5D-412C-B111-4C9998146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4B8E9-8624-4A55-88EE-5335A79427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0F15E4-074C-44E9-9E54-E0991FECA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683FF8-DFB6-4D45-BC06-819B670682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529C72-DE62-4B61-B5ED-BE595074C1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E7A0D-D077-478E-94E1-B2FA79CEA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3281A9-1B24-4F07-9B9B-E76BB96B4C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AAC741-A985-437E-954C-142E7E2DF9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C739A6-DE5A-407A-80AB-B2D77EFA4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8FC96-3391-436A-B8ED-CA2D9CC51B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AAC47D-548D-469E-BC3B-61B8E1383B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7AE3E8-F9FD-456F-97F1-473A9C8D9C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17720D-BDEC-4AE8-904E-FCEAC0B29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D50D0F-AECC-47E5-8618-F92C2E759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24261-D29A-40DD-8E51-26017F79A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1DF308-32FE-4376-A20A-A0CD76F774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885E7C-0105-4727-8D5F-C5970F3FA6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5A96C1-C7AA-4E96-B915-27035C3663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98BF1F-E818-4C2A-AA2E-7403AE8022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3AFB16-50A9-42CA-958E-F89DFA86F1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E7D12A-F63D-46E4-A465-5BBD34B93A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887401-B151-4EE7-B1D0-A2899F569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05B437-42F4-4AC3-A9D7-66BD2D3EB1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671E85-7197-4846-93E4-A50612AE5B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78ECCD-4E50-480D-9CD9-0AB3B9B456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F54095-A669-43E3-9F6B-A38BDB34B7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311EA49-C632-42F4-9330-E758BFB8D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0F34A6-7FF1-4255-90EB-D8018522B6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56BCBA-D553-4AB5-B49E-2F5DAB611F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E47869-F87A-416B-9128-6F1183A0F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76CE2A-12F8-4A9F-BCEB-EDE5D057EC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8D6FBB-EABF-4D87-804D-6B4E12298A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D66242-B257-4CAB-82EE-E3598949D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1DC604-65F5-4605-82D2-38C6965C6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327370-25A1-418A-B5C8-71CF219806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69B88F-CA99-469E-961B-99D018C040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C1FC41-6EE7-417C-9B8D-B19BF8799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877621-D256-4216-B969-431E5B3D5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8EAEFA-8C2F-4455-A628-06CD2CF7EF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23C7E0-841F-4617-A322-5130BCFB32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BA3B7E-830D-4298-9259-84AB4FB50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AAF1B3-E35F-4102-A62D-039604FBC6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465261-290F-43FA-AAB9-4DCDE215E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84733B-7DFF-4D02-9CAD-D309EBE71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AA551F-6B8E-4ED6-9CC3-6A9339D6FB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42975-8245-47D5-B15A-7C77078BA5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CFA16B-063A-4796-8A2B-927A560363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8B5BE2-3976-4C07-96B5-9A292B435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3AB09-3D0E-4730-A75A-0FF5C53C2A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1F4ECB-94F0-4290-818B-B4B9758678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4E7FBC-762F-4FFB-A825-405D39AD3D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8F17E3-8801-4518-83AF-E455508C31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E93704-004D-47FD-AD25-4550781A3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B4E6A0-6F97-4796-80BA-E44FB5F3FA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A4C043-F82A-47B4-BF74-0960E6F1F3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A15FFA-9CC6-4C5E-AD40-3D9553F84F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D1FCE1-1D1C-4E4C-A6B6-758C46F9F0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008653-D96B-4172-9EFB-BB23E593B4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50227-4F2A-4EB6-8A59-6A39C9C817A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89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86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8FBB-89F6-4124-A47C-716C2FB9345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46113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644</v>
      </c>
      <c r="D6" s="13">
        <f t="shared" ref="D6:D28" si="1">C6*L6</f>
        <v>490084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3</v>
      </c>
      <c r="D7" s="13">
        <f t="shared" si="1"/>
        <v>2343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120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71</v>
      </c>
      <c r="D9" s="13">
        <f t="shared" si="1"/>
        <v>52043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</v>
      </c>
      <c r="D10" s="13">
        <f t="shared" si="1"/>
        <v>1032</v>
      </c>
      <c r="F10" s="228" t="s">
        <v>26</v>
      </c>
      <c r="G10" s="243" t="s">
        <v>124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1</v>
      </c>
      <c r="D11" s="13">
        <f t="shared" si="1"/>
        <v>1170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1</v>
      </c>
      <c r="D12" s="48">
        <f t="shared" si="1"/>
        <v>992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8</v>
      </c>
      <c r="D13" s="48">
        <f t="shared" si="1"/>
        <v>2456</v>
      </c>
      <c r="F13" s="249" t="s">
        <v>36</v>
      </c>
      <c r="G13" s="213"/>
      <c r="H13" s="204">
        <f>D29</f>
        <v>554839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4</v>
      </c>
      <c r="D14" s="31">
        <f t="shared" si="1"/>
        <v>44</v>
      </c>
      <c r="F14" s="207" t="s">
        <v>38</v>
      </c>
      <c r="G14" s="208"/>
      <c r="H14" s="209">
        <f>D54</f>
        <v>79868.25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>
        <v>1</v>
      </c>
      <c r="D15" s="31">
        <f t="shared" si="1"/>
        <v>620</v>
      </c>
      <c r="F15" s="212" t="s">
        <v>39</v>
      </c>
      <c r="G15" s="213"/>
      <c r="H15" s="214">
        <f>H13-H14</f>
        <v>474970.75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 t="s">
        <v>135</v>
      </c>
      <c r="G22" s="73">
        <v>9961</v>
      </c>
      <c r="H22" s="190">
        <v>92259</v>
      </c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75" t="s">
        <v>135</v>
      </c>
      <c r="G26" s="65">
        <v>9736</v>
      </c>
      <c r="H26" s="160">
        <v>94558</v>
      </c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71"/>
      <c r="G27" s="86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>
        <v>5</v>
      </c>
      <c r="D28" s="48">
        <f t="shared" si="1"/>
        <v>4055</v>
      </c>
      <c r="F28" s="8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554839</v>
      </c>
      <c r="F29" s="121" t="s">
        <v>54</v>
      </c>
      <c r="G29" s="183"/>
      <c r="H29" s="143">
        <f>H15-H16-H17-H18-H19-H20-H22-H23-H24+H26+H27+H28</f>
        <v>477269.75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273</v>
      </c>
      <c r="H34" s="165">
        <f t="shared" ref="H34:H39" si="2">F34*G34</f>
        <v>273000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5">
        <f t="shared" si="2"/>
        <v>200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682</v>
      </c>
      <c r="D37" s="12">
        <f>C37*111</f>
        <v>75702</v>
      </c>
      <c r="F37" s="12">
        <v>100</v>
      </c>
      <c r="G37" s="39">
        <v>16</v>
      </c>
      <c r="H37" s="165">
        <f t="shared" si="2"/>
        <v>1600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6</v>
      </c>
      <c r="H38" s="165">
        <f t="shared" si="2"/>
        <v>300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65">
        <v>70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8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4</v>
      </c>
      <c r="D44" s="12">
        <f>C44*120</f>
        <v>480</v>
      </c>
      <c r="F44" s="37" t="s">
        <v>131</v>
      </c>
      <c r="G44" s="99" t="s">
        <v>132</v>
      </c>
      <c r="H44" s="160">
        <v>73932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 t="s">
        <v>133</v>
      </c>
      <c r="G45" s="83" t="s">
        <v>134</v>
      </c>
      <c r="H45" s="160">
        <v>20000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 t="s">
        <v>133</v>
      </c>
      <c r="G46" s="83" t="s">
        <v>134</v>
      </c>
      <c r="H46" s="160">
        <v>13540</v>
      </c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37" t="s">
        <v>133</v>
      </c>
      <c r="G47" s="83" t="s">
        <v>134</v>
      </c>
      <c r="H47" s="160">
        <v>94558</v>
      </c>
      <c r="I47" s="160"/>
      <c r="J47" s="16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H34+H35+H36+H37+H38+H39+H40+H41+G42+H44+H45+H46+H47</f>
        <v>477220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-49.75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79868.25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66B91-10C1-481F-99C6-8F01575E81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46113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339</v>
      </c>
      <c r="D6" s="13">
        <f t="shared" ref="D6:D28" si="1">C6*L6</f>
        <v>257979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13</v>
      </c>
      <c r="D7" s="13">
        <f t="shared" si="1"/>
        <v>10153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>
        <v>70</v>
      </c>
      <c r="D8" s="13">
        <f t="shared" si="1"/>
        <v>76510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2</v>
      </c>
      <c r="D9" s="13">
        <f t="shared" si="1"/>
        <v>1466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3</v>
      </c>
      <c r="D11" s="13">
        <f t="shared" si="1"/>
        <v>3510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3+1</f>
        <v>4</v>
      </c>
      <c r="D12" s="48">
        <f t="shared" si="1"/>
        <v>3968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6</v>
      </c>
      <c r="D13" s="48">
        <f t="shared" si="1"/>
        <v>1842</v>
      </c>
      <c r="F13" s="249" t="s">
        <v>36</v>
      </c>
      <c r="G13" s="213"/>
      <c r="H13" s="204">
        <f>D29</f>
        <v>356469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4</v>
      </c>
      <c r="D14" s="31">
        <f t="shared" si="1"/>
        <v>44</v>
      </c>
      <c r="F14" s="207" t="s">
        <v>38</v>
      </c>
      <c r="G14" s="208"/>
      <c r="H14" s="209">
        <f>D54</f>
        <v>50412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306057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f>1356</f>
        <v>1356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>
        <v>12</v>
      </c>
      <c r="D21" s="48">
        <f t="shared" si="1"/>
        <v>543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>
        <v>12</v>
      </c>
      <c r="D24" s="48">
        <f t="shared" si="1"/>
        <v>454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8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356469</v>
      </c>
      <c r="F29" s="121" t="s">
        <v>54</v>
      </c>
      <c r="G29" s="183"/>
      <c r="H29" s="143">
        <f>H15-H16-H17-H18-H19-H20-H22-H23-H24+H26+H27</f>
        <v>304701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165">
        <f>F34*G34</f>
        <v>145000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19</v>
      </c>
      <c r="H35" s="165">
        <f t="shared" ref="H35:H39" si="2">F35*G35</f>
        <v>9500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5">
        <f>F36*G36</f>
        <v>200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355</v>
      </c>
      <c r="D37" s="12">
        <f>C37*111</f>
        <v>39405</v>
      </c>
      <c r="F37" s="12">
        <v>100</v>
      </c>
      <c r="G37" s="39">
        <v>2</v>
      </c>
      <c r="H37" s="165">
        <f t="shared" si="2"/>
        <v>200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>
        <v>73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8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83</v>
      </c>
      <c r="D44" s="12">
        <f>C44*120</f>
        <v>9960</v>
      </c>
      <c r="F44" s="37" t="s">
        <v>131</v>
      </c>
      <c r="G44" s="99" t="s">
        <v>136</v>
      </c>
      <c r="H44" s="160">
        <v>149988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87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6</v>
      </c>
      <c r="D49" s="12">
        <f>C49*42</f>
        <v>252</v>
      </c>
      <c r="F49" s="141" t="s">
        <v>85</v>
      </c>
      <c r="G49" s="143">
        <f>H34+H35+H36+H37+H38+H39+H40+H41+G42+H44+H45+H46</f>
        <v>304961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112</v>
      </c>
      <c r="G51" s="151">
        <f>G49-H29</f>
        <v>260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50412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09B54-23EF-4CDB-B1EE-F9983FC487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46113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482</v>
      </c>
      <c r="D6" s="13">
        <f t="shared" ref="D6:D28" si="1">C6*L6</f>
        <v>366802</v>
      </c>
      <c r="F6" s="228" t="s">
        <v>16</v>
      </c>
      <c r="G6" s="230" t="s">
        <v>117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17</v>
      </c>
      <c r="D7" s="13">
        <f t="shared" si="1"/>
        <v>13277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>
        <v>2</v>
      </c>
      <c r="D8" s="13">
        <f t="shared" si="1"/>
        <v>2186</v>
      </c>
      <c r="F8" s="236" t="s">
        <v>21</v>
      </c>
      <c r="G8" s="237" t="s">
        <v>110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35</v>
      </c>
      <c r="D9" s="13">
        <f t="shared" si="1"/>
        <v>25655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2</v>
      </c>
      <c r="D11" s="13">
        <f t="shared" si="1"/>
        <v>2340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3</f>
        <v>3</v>
      </c>
      <c r="D12" s="48">
        <f t="shared" si="1"/>
        <v>2976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21</v>
      </c>
      <c r="D13" s="48">
        <f t="shared" si="1"/>
        <v>6447</v>
      </c>
      <c r="F13" s="249" t="s">
        <v>36</v>
      </c>
      <c r="G13" s="213"/>
      <c r="H13" s="204">
        <f>D29</f>
        <v>419925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22</v>
      </c>
      <c r="D14" s="31">
        <f t="shared" si="1"/>
        <v>242</v>
      </c>
      <c r="F14" s="207" t="s">
        <v>38</v>
      </c>
      <c r="G14" s="208"/>
      <c r="H14" s="209">
        <f>D54</f>
        <v>66984.75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352940.25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f>648+738+840</f>
        <v>2226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8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419925</v>
      </c>
      <c r="F29" s="121" t="s">
        <v>54</v>
      </c>
      <c r="G29" s="183"/>
      <c r="H29" s="143">
        <f>H15-H16-H17-H18-H19-H20-H22-H23-H24+H26+H27</f>
        <v>350714.25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123</v>
      </c>
      <c r="H34" s="165">
        <f>F34*G34</f>
        <v>123000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112</v>
      </c>
      <c r="H35" s="165">
        <f>F35*G35</f>
        <v>56000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577</v>
      </c>
      <c r="D37" s="12">
        <f>C37*111</f>
        <v>64047</v>
      </c>
      <c r="F37" s="12">
        <v>100</v>
      </c>
      <c r="G37" s="39">
        <v>107</v>
      </c>
      <c r="H37" s="165">
        <f t="shared" si="2"/>
        <v>10700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3</v>
      </c>
      <c r="H38" s="165">
        <f t="shared" si="2"/>
        <v>150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65">
        <f t="shared" si="2"/>
        <v>40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7</v>
      </c>
      <c r="D42" s="12">
        <f>C42*2.25</f>
        <v>15.75</v>
      </c>
      <c r="F42" s="39" t="s">
        <v>78</v>
      </c>
      <c r="G42" s="165">
        <v>710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8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139</v>
      </c>
      <c r="H44" s="160">
        <v>93138.5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>
        <v>4</v>
      </c>
      <c r="D45" s="12">
        <f>C45*84</f>
        <v>336</v>
      </c>
      <c r="F45" s="100" t="s">
        <v>138</v>
      </c>
      <c r="G45" s="62" t="s">
        <v>140</v>
      </c>
      <c r="H45" s="160">
        <v>66764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>
        <v>19</v>
      </c>
      <c r="D46" s="12">
        <f>C46*1.5</f>
        <v>28.5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350502.5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39</v>
      </c>
      <c r="D50" s="12">
        <f>C50*1.5</f>
        <v>58.5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-211.75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66984.75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78EA5-6004-4C6F-8E5A-37412DE30D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92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95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6CFE-97F6-4FDD-95A1-7EA7756492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46114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402</v>
      </c>
      <c r="D6" s="13">
        <f t="shared" ref="D6:D28" si="1">C6*L6</f>
        <v>305922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4</v>
      </c>
      <c r="D7" s="13">
        <f t="shared" si="1"/>
        <v>3124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120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18</v>
      </c>
      <c r="D9" s="13">
        <f t="shared" si="1"/>
        <v>13194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124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1</v>
      </c>
      <c r="D12" s="48">
        <f t="shared" si="1"/>
        <v>992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12</v>
      </c>
      <c r="D13" s="48">
        <f t="shared" si="1"/>
        <v>3684</v>
      </c>
      <c r="F13" s="249" t="s">
        <v>36</v>
      </c>
      <c r="G13" s="213"/>
      <c r="H13" s="204">
        <f>D29</f>
        <v>326938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2</v>
      </c>
      <c r="D14" s="31">
        <f t="shared" si="1"/>
        <v>22</v>
      </c>
      <c r="F14" s="207" t="s">
        <v>38</v>
      </c>
      <c r="G14" s="208"/>
      <c r="H14" s="209">
        <f>D54</f>
        <v>16806.75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310131.25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f>1944</f>
        <v>1944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75"/>
      <c r="G26" s="65"/>
      <c r="H26" s="160"/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71"/>
      <c r="G27" s="95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9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326938</v>
      </c>
      <c r="F29" s="121" t="s">
        <v>54</v>
      </c>
      <c r="G29" s="183"/>
      <c r="H29" s="143">
        <f>H15-H16-H17-H18-H19-H20-H22-H23-H24+H26+H27+H28</f>
        <v>308187.25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53</v>
      </c>
      <c r="H34" s="165">
        <f t="shared" ref="H34:H39" si="2">F34*G34</f>
        <v>53000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65">
        <f t="shared" si="2"/>
        <v>3500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5">
        <f t="shared" si="2"/>
        <v>200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147</v>
      </c>
      <c r="D37" s="12">
        <f>C37*111</f>
        <v>16317</v>
      </c>
      <c r="F37" s="12">
        <v>100</v>
      </c>
      <c r="G37" s="39">
        <v>36</v>
      </c>
      <c r="H37" s="165">
        <f t="shared" si="2"/>
        <v>3600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7</v>
      </c>
      <c r="D42" s="12">
        <f>C42*2.25</f>
        <v>15.75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9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 t="s">
        <v>137</v>
      </c>
      <c r="G44" s="62" t="s">
        <v>141</v>
      </c>
      <c r="H44" s="160">
        <v>247690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>
        <v>4</v>
      </c>
      <c r="D46" s="12">
        <f>C46*1.5</f>
        <v>6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307990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10</v>
      </c>
      <c r="D50" s="12">
        <f>C50*1.5</f>
        <v>15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-197.25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16806.75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205A5-FB6E-4A5D-8E2B-1A592E93370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46114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353</v>
      </c>
      <c r="D6" s="13">
        <f t="shared" ref="D6:D28" si="1">C6*L6</f>
        <v>268633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5</v>
      </c>
      <c r="D9" s="13">
        <f t="shared" si="1"/>
        <v>3665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13</v>
      </c>
      <c r="D13" s="48">
        <f t="shared" si="1"/>
        <v>3991</v>
      </c>
      <c r="F13" s="249" t="s">
        <v>36</v>
      </c>
      <c r="G13" s="213"/>
      <c r="H13" s="204">
        <f>D29</f>
        <v>278180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6</v>
      </c>
      <c r="D14" s="31">
        <f t="shared" si="1"/>
        <v>66</v>
      </c>
      <c r="F14" s="207" t="s">
        <v>38</v>
      </c>
      <c r="G14" s="208"/>
      <c r="H14" s="209">
        <f>D54</f>
        <v>41341.5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236838.5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4">
        <f>1944</f>
        <v>1944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9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278180</v>
      </c>
      <c r="F29" s="121" t="s">
        <v>54</v>
      </c>
      <c r="G29" s="183"/>
      <c r="H29" s="143">
        <f>H15-H16-H17-H18-H19-H20-H22-H23-H24+H26+H27</f>
        <v>234894.5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24</v>
      </c>
      <c r="H34" s="165">
        <f>F34*G34</f>
        <v>24000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398</v>
      </c>
      <c r="H35" s="165">
        <f t="shared" ref="H35:H39" si="2">F35*G35</f>
        <v>199000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65">
        <f>F36*G36</f>
        <v>400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360</v>
      </c>
      <c r="D37" s="12">
        <f>C37*111</f>
        <v>39960</v>
      </c>
      <c r="F37" s="12">
        <v>100</v>
      </c>
      <c r="G37" s="39">
        <v>1</v>
      </c>
      <c r="H37" s="165">
        <f t="shared" si="2"/>
        <v>100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202</v>
      </c>
      <c r="H38" s="165">
        <f t="shared" si="2"/>
        <v>10100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2</v>
      </c>
      <c r="H39" s="165">
        <f t="shared" si="2"/>
        <v>40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>
        <v>168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9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94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15</v>
      </c>
      <c r="D49" s="12">
        <f>C49*42</f>
        <v>630</v>
      </c>
      <c r="F49" s="141" t="s">
        <v>85</v>
      </c>
      <c r="G49" s="143">
        <f>H34+H35+H36+H37+H38+H39+H40+H41+G42+H44+H45+H46</f>
        <v>233808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6</v>
      </c>
      <c r="D50" s="12">
        <f>C50*1.5</f>
        <v>9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143</v>
      </c>
      <c r="G51" s="250">
        <f>G49-H29</f>
        <v>-1086.5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41341.5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92E46-534F-4C5D-A40C-9B425B885A7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46114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653</v>
      </c>
      <c r="D6" s="13">
        <f t="shared" ref="D6:D28" si="1">C6*L6</f>
        <v>496933</v>
      </c>
      <c r="F6" s="228" t="s">
        <v>16</v>
      </c>
      <c r="G6" s="230" t="s">
        <v>117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29</v>
      </c>
      <c r="D7" s="13">
        <f t="shared" si="1"/>
        <v>22649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76</v>
      </c>
      <c r="D9" s="13">
        <f t="shared" si="1"/>
        <v>55708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3+1</f>
        <v>4</v>
      </c>
      <c r="D12" s="48">
        <f t="shared" si="1"/>
        <v>3968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24</v>
      </c>
      <c r="D13" s="48">
        <f t="shared" si="1"/>
        <v>7368</v>
      </c>
      <c r="F13" s="249" t="s">
        <v>36</v>
      </c>
      <c r="G13" s="213"/>
      <c r="H13" s="204">
        <f>D29</f>
        <v>589177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</v>
      </c>
      <c r="D14" s="31">
        <f t="shared" si="1"/>
        <v>11</v>
      </c>
      <c r="F14" s="207" t="s">
        <v>38</v>
      </c>
      <c r="G14" s="208"/>
      <c r="H14" s="209">
        <f>D54</f>
        <v>87320.25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>
        <v>2</v>
      </c>
      <c r="D15" s="31">
        <f t="shared" si="1"/>
        <v>1240</v>
      </c>
      <c r="F15" s="212" t="s">
        <v>39</v>
      </c>
      <c r="G15" s="213"/>
      <c r="H15" s="214">
        <f>H13-H14</f>
        <v>501856.75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4">
        <f>2814+1050</f>
        <v>3864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9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589177</v>
      </c>
      <c r="F29" s="121" t="s">
        <v>54</v>
      </c>
      <c r="G29" s="183"/>
      <c r="H29" s="143">
        <f>H15-H16-H17-H18-H19-H20-H22-H23-H24+H26+H27</f>
        <v>497992.75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158</v>
      </c>
      <c r="H34" s="165">
        <f>F34*G34</f>
        <v>158000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57</v>
      </c>
      <c r="H35" s="165">
        <f>F35*G35</f>
        <v>28500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757</v>
      </c>
      <c r="D37" s="12">
        <f>C37*111</f>
        <v>84027</v>
      </c>
      <c r="F37" s="12">
        <v>100</v>
      </c>
      <c r="G37" s="39">
        <v>27</v>
      </c>
      <c r="H37" s="165">
        <f t="shared" si="2"/>
        <v>2700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34</v>
      </c>
      <c r="H38" s="165">
        <f t="shared" si="2"/>
        <v>1700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5</v>
      </c>
      <c r="D42" s="12">
        <f>C42*2.25</f>
        <v>11.25</v>
      </c>
      <c r="F42" s="39" t="s">
        <v>78</v>
      </c>
      <c r="G42" s="165">
        <v>72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9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6</v>
      </c>
      <c r="D44" s="12">
        <f>C44*120</f>
        <v>720</v>
      </c>
      <c r="F44" s="37" t="s">
        <v>133</v>
      </c>
      <c r="G44" s="76" t="s">
        <v>142</v>
      </c>
      <c r="H44" s="160">
        <v>306876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8</v>
      </c>
      <c r="D49" s="12">
        <f>C49*42</f>
        <v>336</v>
      </c>
      <c r="F49" s="141" t="s">
        <v>85</v>
      </c>
      <c r="G49" s="143">
        <f>H34+H35+H36+H37+H38+H39+H40+H41+G42+H44+H45+H46</f>
        <v>497848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13</v>
      </c>
      <c r="D50" s="12">
        <f>C50*1.5</f>
        <v>19.5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-144.75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87320.25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08BA2-0B39-425F-82B7-99CC9379F71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92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95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87AF0-1B67-4531-86F8-C402A6196B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46115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120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124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75"/>
      <c r="G26" s="65"/>
      <c r="H26" s="160"/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71"/>
      <c r="G27" s="95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9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H15-H16-H17-H18-H19-H20-H22-H23-H24+H26+H27+H28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9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83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DF423-ED03-46CB-983D-307DFB68220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46115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9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9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94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112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BE451-9A34-40EF-949A-1BA5F2ADB9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46115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9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9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115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F989D-335C-487D-A1A8-EA2B58E7913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92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95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91CB8-248B-4665-88FD-A07B44B5B1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46116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120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124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75"/>
      <c r="G26" s="65"/>
      <c r="H26" s="160"/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71"/>
      <c r="G27" s="95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9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H15-H16-H17-H18-H19-H20-H22-H23-H24+H26+H27+H28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9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83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7BB4-4438-4164-B3AE-575F081F78F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46116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9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9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94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112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BC2FB-238D-4BD9-B786-9325B16CD7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46116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9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9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115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745DD-29F8-41F4-8CE3-A631A9935D5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92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95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A81C4-2989-4A7C-9E1B-A05AFD0E79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46118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990</v>
      </c>
      <c r="D6" s="13">
        <f t="shared" ref="D6:D28" si="1">C6*L6</f>
        <v>753390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</v>
      </c>
      <c r="D7" s="13">
        <f t="shared" si="1"/>
        <v>781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120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230</v>
      </c>
      <c r="D9" s="13">
        <f t="shared" si="1"/>
        <v>168590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10</v>
      </c>
      <c r="D10" s="13">
        <f t="shared" si="1"/>
        <v>10320</v>
      </c>
      <c r="F10" s="228" t="s">
        <v>26</v>
      </c>
      <c r="G10" s="243" t="s">
        <v>124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2+1</f>
        <v>3</v>
      </c>
      <c r="D12" s="48">
        <f t="shared" si="1"/>
        <v>2976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17</v>
      </c>
      <c r="D13" s="48">
        <f t="shared" si="1"/>
        <v>5219</v>
      </c>
      <c r="F13" s="249" t="s">
        <v>36</v>
      </c>
      <c r="G13" s="213"/>
      <c r="H13" s="204">
        <f>D29</f>
        <v>941474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18</v>
      </c>
      <c r="D14" s="31">
        <f t="shared" si="1"/>
        <v>198</v>
      </c>
      <c r="F14" s="207" t="s">
        <v>38</v>
      </c>
      <c r="G14" s="208"/>
      <c r="H14" s="209">
        <f>D54</f>
        <v>138555.75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802918.25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f>2670+3882</f>
        <v>6552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75"/>
      <c r="G26" s="65"/>
      <c r="H26" s="160"/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71"/>
      <c r="G27" s="95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9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941474</v>
      </c>
      <c r="F29" s="121" t="s">
        <v>54</v>
      </c>
      <c r="G29" s="183"/>
      <c r="H29" s="143">
        <f>H15-H16-H17-H18-H19-H20-H22-H23-H24+H26+H27+H28</f>
        <v>796366.25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82</v>
      </c>
      <c r="H34" s="165">
        <f t="shared" ref="H34:H39" si="2">F34*G34</f>
        <v>82000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165">
        <f t="shared" si="2"/>
        <v>2000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1188</v>
      </c>
      <c r="D37" s="12">
        <f>C37*111</f>
        <v>131868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27</v>
      </c>
      <c r="D40" s="12">
        <f>C40*111</f>
        <v>2997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9</v>
      </c>
      <c r="D42" s="12">
        <f>C42*2.25</f>
        <v>20.25</v>
      </c>
      <c r="F42" s="39" t="s">
        <v>78</v>
      </c>
      <c r="G42" s="165">
        <v>34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9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9</v>
      </c>
      <c r="D44" s="12">
        <f>C44*120</f>
        <v>1080</v>
      </c>
      <c r="F44" s="37" t="s">
        <v>137</v>
      </c>
      <c r="G44" s="62" t="s">
        <v>144</v>
      </c>
      <c r="H44" s="160">
        <v>291136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 t="s">
        <v>137</v>
      </c>
      <c r="G45" s="62" t="s">
        <v>145</v>
      </c>
      <c r="H45" s="160">
        <v>420282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>
        <v>2</v>
      </c>
      <c r="D46" s="12">
        <f>C46*1.5</f>
        <v>3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795502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22</v>
      </c>
      <c r="D50" s="12">
        <f>C50*1.5</f>
        <v>33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-864.25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138555.75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AD949-ECEA-4CED-81D1-803692010F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46118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570</v>
      </c>
      <c r="D6" s="13">
        <f t="shared" ref="D6:D28" si="1">C6*L6</f>
        <v>433770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7</v>
      </c>
      <c r="D7" s="13">
        <f t="shared" si="1"/>
        <v>5467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60</v>
      </c>
      <c r="D9" s="13">
        <f t="shared" si="1"/>
        <v>43980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18</v>
      </c>
      <c r="D13" s="48">
        <f t="shared" si="1"/>
        <v>5526</v>
      </c>
      <c r="F13" s="249" t="s">
        <v>36</v>
      </c>
      <c r="G13" s="213"/>
      <c r="H13" s="204">
        <f>D29</f>
        <v>488743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72385.5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416357.5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f>900+2106</f>
        <v>3006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9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488743</v>
      </c>
      <c r="F29" s="121" t="s">
        <v>54</v>
      </c>
      <c r="G29" s="183"/>
      <c r="H29" s="143">
        <f>H15-H16-H17-H18-H19-H20-H22-H23-H24+H26+H27</f>
        <v>413351.5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383</v>
      </c>
      <c r="H34" s="165">
        <f>F34*G34</f>
        <v>383000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61</v>
      </c>
      <c r="H35" s="165">
        <f t="shared" ref="H35:H39" si="2">F35*G35</f>
        <v>30500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622</v>
      </c>
      <c r="D37" s="12">
        <f>C37*111</f>
        <v>69042</v>
      </c>
      <c r="F37" s="12">
        <v>100</v>
      </c>
      <c r="G37" s="39">
        <v>14</v>
      </c>
      <c r="H37" s="165">
        <f t="shared" si="2"/>
        <v>1400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7</v>
      </c>
      <c r="H38" s="165">
        <f t="shared" si="2"/>
        <v>350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5</v>
      </c>
      <c r="H39" s="165">
        <f t="shared" si="2"/>
        <v>100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>
        <v>103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9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94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13</v>
      </c>
      <c r="D49" s="12">
        <f>C49*42</f>
        <v>546</v>
      </c>
      <c r="F49" s="141" t="s">
        <v>85</v>
      </c>
      <c r="G49" s="143">
        <f>H34+H35+H36+H37+H38+H39+H40+H41+G42+H44+H45+H46</f>
        <v>415453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112</v>
      </c>
      <c r="G51" s="151">
        <f>G49-H29</f>
        <v>2101.5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72385.5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298D0-67C6-4023-9E33-286C3D5433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46118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541</v>
      </c>
      <c r="D6" s="13">
        <f t="shared" ref="D6:D28" si="1">C6*L6</f>
        <v>411701</v>
      </c>
      <c r="F6" s="228" t="s">
        <v>16</v>
      </c>
      <c r="G6" s="230" t="s">
        <v>117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19</v>
      </c>
      <c r="D7" s="13">
        <f t="shared" si="1"/>
        <v>14839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108</v>
      </c>
      <c r="D9" s="13">
        <f t="shared" si="1"/>
        <v>79164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</v>
      </c>
      <c r="D10" s="13">
        <f t="shared" si="1"/>
        <v>1032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4</v>
      </c>
      <c r="D12" s="48">
        <f t="shared" si="1"/>
        <v>3968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10</v>
      </c>
      <c r="D13" s="48">
        <f t="shared" si="1"/>
        <v>3070</v>
      </c>
      <c r="F13" s="249" t="s">
        <v>36</v>
      </c>
      <c r="G13" s="213"/>
      <c r="H13" s="204">
        <f>D29</f>
        <v>513840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6</v>
      </c>
      <c r="D14" s="31">
        <f t="shared" si="1"/>
        <v>66</v>
      </c>
      <c r="F14" s="207" t="s">
        <v>38</v>
      </c>
      <c r="G14" s="208"/>
      <c r="H14" s="209">
        <f>D54</f>
        <v>78996.75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434843.25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f>1866</f>
        <v>1866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>
        <v>50</v>
      </c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9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513840</v>
      </c>
      <c r="F29" s="121" t="s">
        <v>54</v>
      </c>
      <c r="G29" s="183"/>
      <c r="H29" s="143">
        <f>H15-H16-H17-H18-H19-H20-H22-H23-H24+H26+H27</f>
        <v>432927.25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71</v>
      </c>
      <c r="H34" s="165">
        <f>F34*G34</f>
        <v>71000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21</v>
      </c>
      <c r="H35" s="165">
        <f>F35*G35</f>
        <v>10500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>
        <v>14</v>
      </c>
      <c r="D36" s="12">
        <f>C36*1.5</f>
        <v>21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680</v>
      </c>
      <c r="D37" s="12">
        <f>C37*111</f>
        <v>75480</v>
      </c>
      <c r="F37" s="12">
        <v>100</v>
      </c>
      <c r="G37" s="39">
        <v>104</v>
      </c>
      <c r="H37" s="165">
        <f t="shared" si="2"/>
        <v>10400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1</v>
      </c>
      <c r="D42" s="12">
        <f>C42*2.25</f>
        <v>2.25</v>
      </c>
      <c r="F42" s="39" t="s">
        <v>78</v>
      </c>
      <c r="G42" s="165">
        <v>102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9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146</v>
      </c>
      <c r="H44" s="160">
        <v>199262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>
        <v>1</v>
      </c>
      <c r="D45" s="12">
        <f>C45*84</f>
        <v>84</v>
      </c>
      <c r="F45" s="100" t="s">
        <v>138</v>
      </c>
      <c r="G45" s="62" t="s">
        <v>147</v>
      </c>
      <c r="H45" s="160">
        <v>141172.5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>
        <v>8</v>
      </c>
      <c r="D46" s="12">
        <f>C46*1.5</f>
        <v>12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432436.5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16</v>
      </c>
      <c r="D50" s="12">
        <f>C50*1.5</f>
        <v>24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-490.75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78996.75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A7B69-920B-44B5-8E54-5B8A65198A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2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9A862-44CF-4337-AFED-B28D6CDF08B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46119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647</v>
      </c>
      <c r="D6" s="13">
        <f t="shared" ref="D6:D28" si="1">C6*L6</f>
        <v>492367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5</v>
      </c>
      <c r="D7" s="13">
        <f t="shared" si="1"/>
        <v>3905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120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34</v>
      </c>
      <c r="D9" s="13">
        <f t="shared" si="1"/>
        <v>24922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3</v>
      </c>
      <c r="D10" s="13">
        <f t="shared" si="1"/>
        <v>3096</v>
      </c>
      <c r="F10" s="228" t="s">
        <v>26</v>
      </c>
      <c r="G10" s="243" t="s">
        <v>124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3</v>
      </c>
      <c r="D12" s="48">
        <f t="shared" si="1"/>
        <v>2976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13</v>
      </c>
      <c r="D13" s="48">
        <f t="shared" si="1"/>
        <v>3991</v>
      </c>
      <c r="F13" s="249" t="s">
        <v>36</v>
      </c>
      <c r="G13" s="213"/>
      <c r="H13" s="204">
        <f>D29</f>
        <v>532497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52386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>
        <v>2</v>
      </c>
      <c r="D15" s="31">
        <f t="shared" si="1"/>
        <v>1240</v>
      </c>
      <c r="F15" s="212" t="s">
        <v>39</v>
      </c>
      <c r="G15" s="213"/>
      <c r="H15" s="214">
        <f>H13-H14</f>
        <v>480111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f>1944+1476</f>
        <v>3420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75"/>
      <c r="G26" s="65"/>
      <c r="H26" s="160"/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71"/>
      <c r="G27" s="105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532497</v>
      </c>
      <c r="F29" s="121" t="s">
        <v>54</v>
      </c>
      <c r="G29" s="183"/>
      <c r="H29" s="143">
        <f>H15-H16-H17-H18-H19-H20-H22-H23-H24+H26+H27+H28</f>
        <v>476691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270</v>
      </c>
      <c r="H34" s="165">
        <f t="shared" ref="H34:H39" si="2">F34*G34</f>
        <v>270000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313</v>
      </c>
      <c r="H35" s="165">
        <f t="shared" si="2"/>
        <v>156500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>
        <v>119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3</v>
      </c>
      <c r="D44" s="12">
        <f>C44*120</f>
        <v>360</v>
      </c>
      <c r="F44" s="37" t="s">
        <v>133</v>
      </c>
      <c r="G44" s="83" t="s">
        <v>134</v>
      </c>
      <c r="H44" s="160">
        <v>50000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8</v>
      </c>
      <c r="D49" s="12">
        <f>C49*42</f>
        <v>336</v>
      </c>
      <c r="F49" s="141" t="s">
        <v>85</v>
      </c>
      <c r="G49" s="143">
        <f>H34+H35+H36+H37+H38+H39+H40+H41+G42+H44+H45+H46</f>
        <v>476689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-2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52386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C3FB3-614F-4C87-AE35-0A0FA11AAA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46119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375</v>
      </c>
      <c r="D6" s="13">
        <f t="shared" ref="D6:D28" si="1">C6*L6</f>
        <v>285375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10</v>
      </c>
      <c r="D7" s="13">
        <f t="shared" si="1"/>
        <v>7810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25</v>
      </c>
      <c r="D9" s="13">
        <f t="shared" si="1"/>
        <v>18325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2</v>
      </c>
      <c r="D12" s="48">
        <f t="shared" si="1"/>
        <v>1984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8</v>
      </c>
      <c r="D13" s="48">
        <f t="shared" si="1"/>
        <v>2456</v>
      </c>
      <c r="F13" s="249" t="s">
        <v>36</v>
      </c>
      <c r="G13" s="213"/>
      <c r="H13" s="204">
        <f>D29</f>
        <v>321418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6</v>
      </c>
      <c r="D14" s="31">
        <f t="shared" si="1"/>
        <v>66</v>
      </c>
      <c r="F14" s="207" t="s">
        <v>38</v>
      </c>
      <c r="G14" s="208"/>
      <c r="H14" s="209">
        <f>D54</f>
        <v>45939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275479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74">
        <v>1200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>
        <v>2</v>
      </c>
      <c r="D19" s="48">
        <f t="shared" si="1"/>
        <v>2350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321418</v>
      </c>
      <c r="F29" s="121" t="s">
        <v>54</v>
      </c>
      <c r="G29" s="183"/>
      <c r="H29" s="143">
        <f>H15-H16-H17-H18-H19-H20-H22-H23-H24+H26+H27</f>
        <v>274279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128</v>
      </c>
      <c r="H34" s="165">
        <f>F34*G34</f>
        <v>128000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165">
        <f t="shared" ref="H35:H39" si="2">F35*G35</f>
        <v>12000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372</v>
      </c>
      <c r="D37" s="12">
        <f>C37*111</f>
        <v>41292</v>
      </c>
      <c r="F37" s="12">
        <v>100</v>
      </c>
      <c r="G37" s="39">
        <v>16</v>
      </c>
      <c r="H37" s="165">
        <f t="shared" si="2"/>
        <v>1600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32</v>
      </c>
      <c r="D38" s="12">
        <f>C38*84</f>
        <v>2688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4</v>
      </c>
      <c r="D42" s="12">
        <f>C42*2.25</f>
        <v>9</v>
      </c>
      <c r="F42" s="39" t="s">
        <v>78</v>
      </c>
      <c r="G42" s="165">
        <v>111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149</v>
      </c>
      <c r="H44" s="160">
        <v>132227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104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9</v>
      </c>
      <c r="D49" s="12">
        <f>C49*42</f>
        <v>378</v>
      </c>
      <c r="F49" s="141" t="s">
        <v>85</v>
      </c>
      <c r="G49" s="143">
        <f>H34+H35+H36+H37+H38+H39+H40+H41+G42+H44+H45+H46</f>
        <v>273958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15</v>
      </c>
      <c r="D50" s="12">
        <f>C50*1.5</f>
        <v>22.5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143</v>
      </c>
      <c r="G51" s="250">
        <f>G49-H29</f>
        <v>-321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45939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2B163-9327-4F85-875E-13F1B0D1E9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46119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756</v>
      </c>
      <c r="D6" s="13">
        <f t="shared" ref="D6:D28" si="1">C6*L6</f>
        <v>575316</v>
      </c>
      <c r="F6" s="228" t="s">
        <v>16</v>
      </c>
      <c r="G6" s="230" t="s">
        <v>117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9</v>
      </c>
      <c r="D7" s="13">
        <f t="shared" si="1"/>
        <v>7029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108</v>
      </c>
      <c r="D9" s="13">
        <f t="shared" si="1"/>
        <v>79164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9+1+1</f>
        <v>11</v>
      </c>
      <c r="D12" s="48">
        <f t="shared" si="1"/>
        <v>10912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31</v>
      </c>
      <c r="D13" s="48">
        <f t="shared" si="1"/>
        <v>9517</v>
      </c>
      <c r="F13" s="249" t="s">
        <v>36</v>
      </c>
      <c r="G13" s="213"/>
      <c r="H13" s="204">
        <f>D29</f>
        <v>709846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4</v>
      </c>
      <c r="D14" s="31">
        <f t="shared" si="1"/>
        <v>44</v>
      </c>
      <c r="F14" s="207" t="s">
        <v>38</v>
      </c>
      <c r="G14" s="208"/>
      <c r="H14" s="209">
        <f>D54</f>
        <v>105213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604633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>
        <f>18+13</f>
        <v>31</v>
      </c>
      <c r="D16" s="48">
        <f t="shared" si="1"/>
        <v>20150</v>
      </c>
      <c r="F16" s="67" t="s">
        <v>41</v>
      </c>
      <c r="G16" s="66" t="s">
        <v>42</v>
      </c>
      <c r="H16" s="174">
        <f>3360+648+300+636</f>
        <v>4944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148</v>
      </c>
      <c r="C27" s="10">
        <v>6</v>
      </c>
      <c r="D27" s="44">
        <f t="shared" si="1"/>
        <v>6612</v>
      </c>
      <c r="F27" s="25"/>
      <c r="G27" s="80"/>
      <c r="H27" s="198"/>
      <c r="I27" s="199"/>
      <c r="J27" s="200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709846</v>
      </c>
      <c r="F29" s="121" t="s">
        <v>54</v>
      </c>
      <c r="G29" s="183"/>
      <c r="H29" s="143">
        <f>H15-H16-H17-H18-H19-H20-H22-H23-H24+H26+H27</f>
        <v>599689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4">
        <v>58</v>
      </c>
      <c r="H34" s="165">
        <f>F34*G34</f>
        <v>58000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65">
        <f>F35*G35</f>
        <v>22000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>
        <v>4</v>
      </c>
      <c r="H36" s="165">
        <f t="shared" ref="H36:H39" si="2">F36*G36</f>
        <v>800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896</v>
      </c>
      <c r="D37" s="12">
        <f>C37*111</f>
        <v>99456</v>
      </c>
      <c r="F37" s="12">
        <v>100</v>
      </c>
      <c r="G37" s="39">
        <v>106</v>
      </c>
      <c r="H37" s="165">
        <f t="shared" si="2"/>
        <v>10600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>
        <v>45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9</v>
      </c>
      <c r="D44" s="12">
        <f>C44*120</f>
        <v>1080</v>
      </c>
      <c r="F44" s="37" t="s">
        <v>133</v>
      </c>
      <c r="G44" s="76" t="s">
        <v>150</v>
      </c>
      <c r="H44" s="160">
        <v>71328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 t="s">
        <v>133</v>
      </c>
      <c r="G45" s="76" t="s">
        <v>151</v>
      </c>
      <c r="H45" s="160">
        <v>366768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 t="s">
        <v>133</v>
      </c>
      <c r="G46" s="76" t="s">
        <v>152</v>
      </c>
      <c r="H46" s="160">
        <v>70468</v>
      </c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35</v>
      </c>
      <c r="D49" s="12">
        <f>C49*42</f>
        <v>1470</v>
      </c>
      <c r="F49" s="141" t="s">
        <v>85</v>
      </c>
      <c r="G49" s="143">
        <f>H34+H35+H36+H37+H38+H39+H40+H41+G42+H44+H45+H46</f>
        <v>600009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4</v>
      </c>
      <c r="D50" s="12">
        <f>C50*1.5</f>
        <v>6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115</v>
      </c>
      <c r="G51" s="151">
        <f>G49-H29</f>
        <v>320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105213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B489D-719B-4EA9-A859-CAEA7E37F9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2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90CDA-65A6-4A6F-9AE9-17E3FF0E232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46120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540</v>
      </c>
      <c r="D6" s="13">
        <f t="shared" ref="D6:D28" si="1">C6*L6</f>
        <v>410940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120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124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15</v>
      </c>
      <c r="D13" s="48">
        <f t="shared" si="1"/>
        <v>4605</v>
      </c>
      <c r="F13" s="249" t="s">
        <v>36</v>
      </c>
      <c r="G13" s="213"/>
      <c r="H13" s="204">
        <f>D29</f>
        <v>415545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57449.25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358095.75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2592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75"/>
      <c r="G26" s="65"/>
      <c r="H26" s="160"/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71"/>
      <c r="G27" s="105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415545</v>
      </c>
      <c r="F29" s="121" t="s">
        <v>54</v>
      </c>
      <c r="G29" s="183"/>
      <c r="H29" s="143">
        <f>H15-H16-H17-H18-H19-H20-H22-H23-H24+H26+H27+H28</f>
        <v>355503.75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301</v>
      </c>
      <c r="H34" s="165">
        <f t="shared" ref="H34:H39" si="2">F34*G34</f>
        <v>301000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165">
        <f t="shared" si="2"/>
        <v>53500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507</v>
      </c>
      <c r="D37" s="12">
        <f>C37*111</f>
        <v>56277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5</v>
      </c>
      <c r="D38" s="12">
        <f>C38*84</f>
        <v>420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7</v>
      </c>
      <c r="D42" s="12">
        <f>C42*2.25</f>
        <v>15.75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83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17</v>
      </c>
      <c r="D49" s="12">
        <f>C49*42</f>
        <v>714</v>
      </c>
      <c r="F49" s="141" t="s">
        <v>85</v>
      </c>
      <c r="G49" s="143">
        <f>H34+H35+H36+H37+H38+H39+H40+H41+G42+H44+H45+H46</f>
        <v>354500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-1003.75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57449.25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079C2-8559-4BB2-B051-938D7A2541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46120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327</v>
      </c>
      <c r="D6" s="13">
        <f t="shared" ref="D6:D28" si="1">C6*L6</f>
        <v>248847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48</v>
      </c>
      <c r="D9" s="13">
        <f t="shared" si="1"/>
        <v>35184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7</v>
      </c>
      <c r="D13" s="48">
        <f t="shared" si="1"/>
        <v>2149</v>
      </c>
      <c r="F13" s="249" t="s">
        <v>36</v>
      </c>
      <c r="G13" s="213"/>
      <c r="H13" s="204">
        <f>D29</f>
        <v>286224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4</v>
      </c>
      <c r="D14" s="31">
        <f t="shared" si="1"/>
        <v>44</v>
      </c>
      <c r="F14" s="207" t="s">
        <v>38</v>
      </c>
      <c r="G14" s="208"/>
      <c r="H14" s="209">
        <f>D54</f>
        <v>46103.25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240120.75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1494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286224</v>
      </c>
      <c r="F29" s="121" t="s">
        <v>54</v>
      </c>
      <c r="G29" s="183"/>
      <c r="H29" s="143">
        <f>H15-H16-H17-H18-H19-H20-H22-H23-H24+H26+H27</f>
        <v>238626.75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165">
        <f>F34*G34</f>
        <v>145000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65">
        <f t="shared" ref="H35:H39" si="2">F35*G35</f>
        <v>3500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406</v>
      </c>
      <c r="D37" s="12">
        <f>C37*111</f>
        <v>45066</v>
      </c>
      <c r="F37" s="12">
        <v>100</v>
      </c>
      <c r="G37" s="39">
        <v>13</v>
      </c>
      <c r="H37" s="165">
        <f t="shared" si="2"/>
        <v>1300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1</v>
      </c>
      <c r="D42" s="12">
        <f>C42*2.25</f>
        <v>2.25</v>
      </c>
      <c r="F42" s="39" t="s">
        <v>78</v>
      </c>
      <c r="G42" s="165">
        <v>40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 t="s">
        <v>137</v>
      </c>
      <c r="G44" s="62" t="s">
        <v>153</v>
      </c>
      <c r="H44" s="160">
        <v>88133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>
        <v>1</v>
      </c>
      <c r="D45" s="12">
        <f>C45*84</f>
        <v>84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104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7</v>
      </c>
      <c r="D49" s="12">
        <f>C49*42</f>
        <v>294</v>
      </c>
      <c r="F49" s="141" t="s">
        <v>85</v>
      </c>
      <c r="G49" s="143">
        <f>H34+H35+H36+H37+H38+H39+H40+H41+G42+H44+H45+H46</f>
        <v>238043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8</v>
      </c>
      <c r="D50" s="12">
        <f>C50*1.5</f>
        <v>12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143</v>
      </c>
      <c r="G51" s="250">
        <f>G49-H29</f>
        <v>-583.75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46103.25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E9A05-B4D1-4045-B98F-6DB921B3B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46120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600</v>
      </c>
      <c r="D6" s="13">
        <f t="shared" ref="D6:D28" si="1">C6*L6</f>
        <v>456600</v>
      </c>
      <c r="F6" s="228" t="s">
        <v>16</v>
      </c>
      <c r="G6" s="230" t="s">
        <v>117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10</v>
      </c>
      <c r="D7" s="13">
        <f t="shared" si="1"/>
        <v>7810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94</v>
      </c>
      <c r="D9" s="13">
        <f t="shared" si="1"/>
        <v>68902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2</v>
      </c>
      <c r="D10" s="13">
        <f t="shared" si="1"/>
        <v>2064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4</v>
      </c>
      <c r="D12" s="48">
        <f t="shared" si="1"/>
        <v>3968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20</v>
      </c>
      <c r="D13" s="48">
        <f t="shared" si="1"/>
        <v>6140</v>
      </c>
      <c r="F13" s="249" t="s">
        <v>36</v>
      </c>
      <c r="G13" s="213"/>
      <c r="H13" s="204">
        <f>D29</f>
        <v>546916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12</v>
      </c>
      <c r="D14" s="31">
        <f t="shared" si="1"/>
        <v>132</v>
      </c>
      <c r="F14" s="207" t="s">
        <v>38</v>
      </c>
      <c r="G14" s="208"/>
      <c r="H14" s="209">
        <f>D54</f>
        <v>81273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465643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4">
        <f>390+1266+1530+858</f>
        <v>4044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>
        <v>50</v>
      </c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546916</v>
      </c>
      <c r="F29" s="121" t="s">
        <v>54</v>
      </c>
      <c r="G29" s="183"/>
      <c r="H29" s="143">
        <f>H15-H16-H17-H18-H19-H20-H22-H23-H24+H26+H27</f>
        <v>461549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92</v>
      </c>
      <c r="H34" s="165">
        <f>F34*G34</f>
        <v>92000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114</v>
      </c>
      <c r="H35" s="165">
        <f>F35*G35</f>
        <v>57000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>
        <v>4</v>
      </c>
      <c r="H36" s="165">
        <f t="shared" ref="H36:H39" si="2">F36*G36</f>
        <v>800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703</v>
      </c>
      <c r="D37" s="12">
        <f>C37*111</f>
        <v>78033</v>
      </c>
      <c r="F37" s="12">
        <v>100</v>
      </c>
      <c r="G37" s="39">
        <v>67</v>
      </c>
      <c r="H37" s="165">
        <f t="shared" si="2"/>
        <v>6700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10</v>
      </c>
      <c r="D42" s="12">
        <f>C42*2.25</f>
        <v>22.5</v>
      </c>
      <c r="F42" s="39" t="s">
        <v>78</v>
      </c>
      <c r="G42" s="165">
        <v>73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 t="s">
        <v>137</v>
      </c>
      <c r="G44" s="76" t="s">
        <v>154</v>
      </c>
      <c r="H44" s="160">
        <v>138508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 t="s">
        <v>137</v>
      </c>
      <c r="G45" s="76" t="s">
        <v>155</v>
      </c>
      <c r="H45" s="160">
        <v>165614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>
        <v>3</v>
      </c>
      <c r="D46" s="12">
        <f>C46*1.5</f>
        <v>4.5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26</v>
      </c>
      <c r="D48" s="12">
        <f>C48*78</f>
        <v>2028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1</v>
      </c>
      <c r="D49" s="12">
        <f>C49*42</f>
        <v>42</v>
      </c>
      <c r="F49" s="141" t="s">
        <v>85</v>
      </c>
      <c r="G49" s="143">
        <f>H34+H35+H36+H37+H38+H39+H40+H41+G42+H44+H45+H46</f>
        <v>460695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10</v>
      </c>
      <c r="D50" s="12">
        <f>C50*1.5</f>
        <v>15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-854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81273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5125C-7299-43A4-826A-168421B846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2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0D054-4269-46B1-A9BB-3511BCD6AD3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46121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535</v>
      </c>
      <c r="D6" s="13">
        <f t="shared" ref="D6:D28" si="1">C6*L6</f>
        <v>407135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2</v>
      </c>
      <c r="D7" s="13">
        <f t="shared" si="1"/>
        <v>1562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120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20</v>
      </c>
      <c r="D9" s="13">
        <f t="shared" si="1"/>
        <v>14660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124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1</v>
      </c>
      <c r="D12" s="48">
        <f t="shared" si="1"/>
        <v>992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6</v>
      </c>
      <c r="D13" s="48">
        <f t="shared" si="1"/>
        <v>1842</v>
      </c>
      <c r="F13" s="249" t="s">
        <v>36</v>
      </c>
      <c r="G13" s="213"/>
      <c r="H13" s="204">
        <f>D29</f>
        <v>426678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3</v>
      </c>
      <c r="D14" s="31">
        <f t="shared" si="1"/>
        <v>33</v>
      </c>
      <c r="F14" s="207" t="s">
        <v>38</v>
      </c>
      <c r="G14" s="208"/>
      <c r="H14" s="209">
        <f>D54</f>
        <v>60252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366426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156</v>
      </c>
      <c r="C24" s="10">
        <v>12</v>
      </c>
      <c r="D24" s="48">
        <f t="shared" si="1"/>
        <v>454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75"/>
      <c r="G26" s="65"/>
      <c r="H26" s="160"/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71"/>
      <c r="G27" s="105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426678</v>
      </c>
      <c r="F29" s="121" t="s">
        <v>54</v>
      </c>
      <c r="G29" s="183"/>
      <c r="H29" s="143">
        <f>H15-H16-H17-H18-H19-H20-H22-H23-H24+H26+H27+H28</f>
        <v>366426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94</v>
      </c>
      <c r="H34" s="165">
        <f t="shared" ref="H34:H39" si="2">F34*G34</f>
        <v>94000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41</v>
      </c>
      <c r="H35" s="165">
        <f t="shared" si="2"/>
        <v>20500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1</v>
      </c>
      <c r="H36" s="165">
        <f t="shared" si="2"/>
        <v>200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509</v>
      </c>
      <c r="D37" s="12">
        <f>C37*111</f>
        <v>56499</v>
      </c>
      <c r="F37" s="12">
        <v>100</v>
      </c>
      <c r="G37" s="39">
        <v>49</v>
      </c>
      <c r="H37" s="165">
        <f t="shared" si="2"/>
        <v>4900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76</v>
      </c>
      <c r="H38" s="165">
        <f t="shared" si="2"/>
        <v>3800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165">
        <f t="shared" si="2"/>
        <v>40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4</v>
      </c>
      <c r="D42" s="12">
        <f>C42*2.25</f>
        <v>9</v>
      </c>
      <c r="F42" s="39" t="s">
        <v>78</v>
      </c>
      <c r="G42" s="165">
        <v>23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3</v>
      </c>
      <c r="D44" s="12">
        <f>C44*120</f>
        <v>360</v>
      </c>
      <c r="F44" s="37" t="s">
        <v>131</v>
      </c>
      <c r="G44" s="99" t="s">
        <v>157</v>
      </c>
      <c r="H44" s="160">
        <v>140000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>
        <v>1</v>
      </c>
      <c r="D45" s="12">
        <f>C45*84</f>
        <v>84</v>
      </c>
      <c r="F45" s="37" t="s">
        <v>131</v>
      </c>
      <c r="G45" s="99" t="s">
        <v>158</v>
      </c>
      <c r="H45" s="160">
        <v>104214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>
        <v>8</v>
      </c>
      <c r="D46" s="12">
        <f>C46*1.5</f>
        <v>12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367677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29</v>
      </c>
      <c r="D50" s="12">
        <f>C50*1.5</f>
        <v>43.5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115</v>
      </c>
      <c r="G51" s="151">
        <f>G49-H29</f>
        <v>1251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60252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9BD1B-B3B8-466A-88CA-AB02318A568F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46121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317</v>
      </c>
      <c r="D6" s="13">
        <f t="shared" ref="D6:D28" si="1">C6*L6</f>
        <v>241237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3</v>
      </c>
      <c r="D7" s="13">
        <f t="shared" si="1"/>
        <v>2343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12</v>
      </c>
      <c r="D9" s="13">
        <f t="shared" si="1"/>
        <v>8796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1</v>
      </c>
      <c r="D12" s="48">
        <f t="shared" si="1"/>
        <v>992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11</v>
      </c>
      <c r="D13" s="48">
        <f t="shared" si="1"/>
        <v>3377</v>
      </c>
      <c r="F13" s="249" t="s">
        <v>36</v>
      </c>
      <c r="G13" s="213"/>
      <c r="H13" s="204">
        <f>D29</f>
        <v>256965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20</v>
      </c>
      <c r="D14" s="31">
        <f t="shared" si="1"/>
        <v>220</v>
      </c>
      <c r="F14" s="207" t="s">
        <v>38</v>
      </c>
      <c r="G14" s="208"/>
      <c r="H14" s="209">
        <f>D54</f>
        <v>37854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219111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1296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256965</v>
      </c>
      <c r="F29" s="121" t="s">
        <v>54</v>
      </c>
      <c r="G29" s="183"/>
      <c r="H29" s="143">
        <f>H15-H16-H17-H18-H19-H20-H22-H23-H24+H26+H27</f>
        <v>217815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59</v>
      </c>
      <c r="H34" s="165">
        <f>F34*G34</f>
        <v>59000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253</v>
      </c>
      <c r="H35" s="165">
        <f t="shared" ref="H35:H39" si="2">F35*G35</f>
        <v>126500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330</v>
      </c>
      <c r="D37" s="12">
        <f>C37*111</f>
        <v>36630</v>
      </c>
      <c r="F37" s="12">
        <v>100</v>
      </c>
      <c r="G37" s="39">
        <v>217</v>
      </c>
      <c r="H37" s="165">
        <f t="shared" si="2"/>
        <v>21700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205</v>
      </c>
      <c r="H38" s="165">
        <f t="shared" si="2"/>
        <v>10250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>
        <v>3</v>
      </c>
      <c r="H39" s="165">
        <f t="shared" si="2"/>
        <v>60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8</v>
      </c>
      <c r="D42" s="12">
        <f>C42*2.25</f>
        <v>18</v>
      </c>
      <c r="F42" s="39" t="s">
        <v>78</v>
      </c>
      <c r="G42" s="165">
        <v>118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>
        <v>1</v>
      </c>
      <c r="D45" s="12">
        <f>C45*84</f>
        <v>84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>
        <v>5</v>
      </c>
      <c r="D46" s="12">
        <f>C46*1.5</f>
        <v>7.5</v>
      </c>
      <c r="F46" s="37"/>
      <c r="G46" s="104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9</v>
      </c>
      <c r="D49" s="12">
        <f>C49*42</f>
        <v>378</v>
      </c>
      <c r="F49" s="141" t="s">
        <v>85</v>
      </c>
      <c r="G49" s="143">
        <f>H34+H35+H36+H37+H38+H39+H40+H41+G42+H44+H45+H46</f>
        <v>217628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23</v>
      </c>
      <c r="D50" s="12">
        <f>C50*1.5</f>
        <v>34.5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143</v>
      </c>
      <c r="G51" s="250">
        <f>G49-H29</f>
        <v>-187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37854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236DA-6D19-4403-A8EF-A2C3A9B6C4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46121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523</v>
      </c>
      <c r="D6" s="13">
        <f t="shared" ref="D6:D28" si="1">C6*L6</f>
        <v>398003</v>
      </c>
      <c r="F6" s="228" t="s">
        <v>16</v>
      </c>
      <c r="G6" s="230" t="s">
        <v>117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32</v>
      </c>
      <c r="D7" s="13">
        <f t="shared" si="1"/>
        <v>24992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19</v>
      </c>
      <c r="D9" s="13">
        <f t="shared" si="1"/>
        <v>13927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1</v>
      </c>
      <c r="D11" s="13">
        <f t="shared" si="1"/>
        <v>1170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3</v>
      </c>
      <c r="D12" s="48">
        <f t="shared" si="1"/>
        <v>2976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18</v>
      </c>
      <c r="D13" s="48">
        <f t="shared" si="1"/>
        <v>5526</v>
      </c>
      <c r="F13" s="249" t="s">
        <v>36</v>
      </c>
      <c r="G13" s="213"/>
      <c r="H13" s="204">
        <f>D29</f>
        <v>448958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2</v>
      </c>
      <c r="D14" s="31">
        <f t="shared" si="1"/>
        <v>22</v>
      </c>
      <c r="F14" s="207" t="s">
        <v>38</v>
      </c>
      <c r="G14" s="208"/>
      <c r="H14" s="209">
        <f>D54</f>
        <v>81078.75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>
        <f>1+1</f>
        <v>2</v>
      </c>
      <c r="D15" s="31">
        <f t="shared" si="1"/>
        <v>1240</v>
      </c>
      <c r="F15" s="212" t="s">
        <v>39</v>
      </c>
      <c r="G15" s="213"/>
      <c r="H15" s="214">
        <f>H13-H14</f>
        <v>367879.25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1296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448958</v>
      </c>
      <c r="F29" s="121" t="s">
        <v>54</v>
      </c>
      <c r="G29" s="183"/>
      <c r="H29" s="143">
        <f>H15-H16-H17-H18-H19-H20-H22-H23-H24+H26+H27</f>
        <v>366583.25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261</v>
      </c>
      <c r="H34" s="165">
        <f>F34*G34</f>
        <v>261000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61</v>
      </c>
      <c r="H35" s="165">
        <f>F35*G35</f>
        <v>30500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650</v>
      </c>
      <c r="D37" s="12">
        <f>C37*111</f>
        <v>72150</v>
      </c>
      <c r="F37" s="12">
        <v>100</v>
      </c>
      <c r="G37" s="39">
        <v>145</v>
      </c>
      <c r="H37" s="165">
        <f t="shared" si="2"/>
        <v>14500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18</v>
      </c>
      <c r="D38" s="12">
        <f>C38*84</f>
        <v>1512</v>
      </c>
      <c r="F38" s="30">
        <v>50</v>
      </c>
      <c r="G38" s="39">
        <v>51</v>
      </c>
      <c r="H38" s="165">
        <f t="shared" si="2"/>
        <v>2550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3</v>
      </c>
      <c r="H39" s="165">
        <f t="shared" si="2"/>
        <v>60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41</v>
      </c>
      <c r="D40" s="12">
        <f>C40*111</f>
        <v>4551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65">
        <v>23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3</v>
      </c>
      <c r="D44" s="12">
        <f>C44*120</f>
        <v>360</v>
      </c>
      <c r="F44" s="37" t="s">
        <v>133</v>
      </c>
      <c r="G44" s="76" t="s">
        <v>159</v>
      </c>
      <c r="H44" s="160">
        <v>59614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>
        <v>3</v>
      </c>
      <c r="D45" s="12">
        <f>C45*84</f>
        <v>252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>
        <v>1</v>
      </c>
      <c r="D46" s="12">
        <f>C46*1.5</f>
        <v>1.5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3</v>
      </c>
      <c r="D49" s="12">
        <f>C49*42</f>
        <v>126</v>
      </c>
      <c r="F49" s="141" t="s">
        <v>85</v>
      </c>
      <c r="G49" s="143">
        <f>H34+H35+H36+H37+H38+H39+H40+H41+G42+H44+H45+H46</f>
        <v>368247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10</v>
      </c>
      <c r="D50" s="12">
        <f>C50*1.5</f>
        <v>15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115</v>
      </c>
      <c r="G51" s="151">
        <f>G49-H29</f>
        <v>1663.75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81078.75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0601-568C-4A66-875F-6CDF00E5882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2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0D1DF-F3BF-43F4-8979-D252484C258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46122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316</v>
      </c>
      <c r="D6" s="13">
        <f t="shared" ref="D6:D28" si="1">C6*L6</f>
        <v>240476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10</v>
      </c>
      <c r="D7" s="13">
        <f t="shared" si="1"/>
        <v>7810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120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22</v>
      </c>
      <c r="D9" s="13">
        <f t="shared" si="1"/>
        <v>16126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6</v>
      </c>
      <c r="D10" s="13">
        <f t="shared" si="1"/>
        <v>6192</v>
      </c>
      <c r="F10" s="228" t="s">
        <v>26</v>
      </c>
      <c r="G10" s="243" t="s">
        <v>124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4</v>
      </c>
      <c r="D11" s="13">
        <f t="shared" si="1"/>
        <v>4680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4</v>
      </c>
      <c r="D12" s="48">
        <f t="shared" si="1"/>
        <v>3968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3</v>
      </c>
      <c r="D13" s="48">
        <f t="shared" si="1"/>
        <v>921</v>
      </c>
      <c r="F13" s="249" t="s">
        <v>36</v>
      </c>
      <c r="G13" s="213"/>
      <c r="H13" s="204">
        <f>D29</f>
        <v>291054.08333333337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10</v>
      </c>
      <c r="D14" s="31">
        <f t="shared" si="1"/>
        <v>110</v>
      </c>
      <c r="F14" s="207" t="s">
        <v>38</v>
      </c>
      <c r="G14" s="208"/>
      <c r="H14" s="209">
        <f>D54</f>
        <v>40578.75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>
        <v>2</v>
      </c>
      <c r="D15" s="31">
        <f t="shared" si="1"/>
        <v>1240</v>
      </c>
      <c r="F15" s="212" t="s">
        <v>39</v>
      </c>
      <c r="G15" s="213"/>
      <c r="H15" s="214">
        <f>H13-H14</f>
        <v>250475.33333333337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>
        <f>2+1</f>
        <v>3</v>
      </c>
      <c r="D18" s="48">
        <f t="shared" si="1"/>
        <v>3306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4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>
        <v>10</v>
      </c>
      <c r="D21" s="48">
        <f t="shared" si="1"/>
        <v>452.5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>
        <v>4</v>
      </c>
      <c r="D22" s="48">
        <f t="shared" si="1"/>
        <v>168.16666666666666</v>
      </c>
      <c r="F22" s="77" t="s">
        <v>162</v>
      </c>
      <c r="G22" s="73">
        <v>9917</v>
      </c>
      <c r="H22" s="190">
        <v>4698</v>
      </c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>
        <v>4</v>
      </c>
      <c r="D23" s="48">
        <f t="shared" si="1"/>
        <v>158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156</v>
      </c>
      <c r="C24" s="10">
        <v>12</v>
      </c>
      <c r="D24" s="48">
        <f t="shared" si="1"/>
        <v>454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>
        <v>9</v>
      </c>
      <c r="D26" s="48">
        <f t="shared" si="1"/>
        <v>522.75</v>
      </c>
      <c r="F26" s="75"/>
      <c r="G26" s="65"/>
      <c r="H26" s="160"/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160</v>
      </c>
      <c r="C27" s="10">
        <v>2</v>
      </c>
      <c r="D27" s="44">
        <f t="shared" si="1"/>
        <v>44.666666666666664</v>
      </c>
      <c r="F27" s="71"/>
      <c r="G27" s="105"/>
      <c r="H27" s="258"/>
      <c r="I27" s="259"/>
      <c r="J27" s="259"/>
      <c r="L27" s="7">
        <f>500/24+1.5</f>
        <v>22.333333333333332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291054.08333333337</v>
      </c>
      <c r="F29" s="121" t="s">
        <v>54</v>
      </c>
      <c r="G29" s="183"/>
      <c r="H29" s="143">
        <f>H15-H16-H17-H18-H19-H20-H22-H23-H24+H26+H27+H28</f>
        <v>245777.33333333337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>
        <v>211</v>
      </c>
      <c r="H34" s="165">
        <f t="shared" ref="H34:H39" si="2">F34*G34</f>
        <v>211000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>
        <v>4</v>
      </c>
      <c r="D35" s="30">
        <f>C35*84</f>
        <v>336</v>
      </c>
      <c r="F35" s="58">
        <v>500</v>
      </c>
      <c r="G35" s="41">
        <v>25</v>
      </c>
      <c r="H35" s="165">
        <f t="shared" si="2"/>
        <v>12500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65">
        <f t="shared" si="2"/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318</v>
      </c>
      <c r="D37" s="12">
        <f>C37*111</f>
        <v>35298</v>
      </c>
      <c r="F37" s="12">
        <v>100</v>
      </c>
      <c r="G37" s="39">
        <v>100</v>
      </c>
      <c r="H37" s="165">
        <f t="shared" si="2"/>
        <v>10000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19</v>
      </c>
      <c r="D38" s="12">
        <f>C38*84</f>
        <v>1596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1</v>
      </c>
      <c r="D42" s="12">
        <f>C42*2.25</f>
        <v>2.25</v>
      </c>
      <c r="F42" s="39" t="s">
        <v>78</v>
      </c>
      <c r="G42" s="165">
        <v>18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7</v>
      </c>
      <c r="D44" s="12">
        <f>C44*120</f>
        <v>840</v>
      </c>
      <c r="F44" s="37" t="s">
        <v>133</v>
      </c>
      <c r="G44" s="83" t="s">
        <v>134</v>
      </c>
      <c r="H44" s="160">
        <v>9184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>
        <v>1</v>
      </c>
      <c r="D45" s="12">
        <f>C45*84</f>
        <v>84</v>
      </c>
      <c r="F45" s="37" t="s">
        <v>161</v>
      </c>
      <c r="G45" s="62"/>
      <c r="H45" s="160">
        <v>3110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>
        <v>1</v>
      </c>
      <c r="D46" s="12">
        <f>C46*1.5</f>
        <v>1.5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245882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69</v>
      </c>
      <c r="D50" s="12">
        <f>C50*1.5</f>
        <v>103.5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115</v>
      </c>
      <c r="G51" s="151">
        <f>G49-H29</f>
        <v>104.66666666662786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40578.75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7E3C3-7CC2-41EE-99B6-269D583864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46122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386</v>
      </c>
      <c r="D6" s="13">
        <f t="shared" ref="D6:D28" si="1">C6*L6</f>
        <v>293746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2</v>
      </c>
      <c r="D7" s="13">
        <f t="shared" si="1"/>
        <v>1562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47</v>
      </c>
      <c r="D9" s="13">
        <f t="shared" si="1"/>
        <v>34451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</v>
      </c>
      <c r="D10" s="13">
        <f t="shared" si="1"/>
        <v>1032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1</v>
      </c>
      <c r="D12" s="48">
        <f t="shared" si="1"/>
        <v>992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14</v>
      </c>
      <c r="D13" s="48">
        <f t="shared" si="1"/>
        <v>4298</v>
      </c>
      <c r="F13" s="249" t="s">
        <v>36</v>
      </c>
      <c r="G13" s="213"/>
      <c r="H13" s="204">
        <f>D29</f>
        <v>337013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11</v>
      </c>
      <c r="D14" s="31">
        <f t="shared" si="1"/>
        <v>121</v>
      </c>
      <c r="F14" s="207" t="s">
        <v>38</v>
      </c>
      <c r="G14" s="208"/>
      <c r="H14" s="209">
        <f>D54</f>
        <v>35585.25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301427.75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1200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>
        <v>1</v>
      </c>
      <c r="D28" s="48">
        <f t="shared" si="1"/>
        <v>811</v>
      </c>
      <c r="F28" s="10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337013</v>
      </c>
      <c r="F29" s="121" t="s">
        <v>54</v>
      </c>
      <c r="G29" s="183"/>
      <c r="H29" s="143">
        <f>H15-H16-H17-H18-H19-H20-H22-H23-H24+H26+H27</f>
        <v>300227.75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140</v>
      </c>
      <c r="H34" s="165">
        <f>F34*G34</f>
        <v>140000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28</v>
      </c>
      <c r="H35" s="165">
        <f t="shared" ref="H35:H39" si="2">F35*G35</f>
        <v>14000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165">
        <f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270</v>
      </c>
      <c r="D37" s="12">
        <f>C37*111</f>
        <v>29970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42</v>
      </c>
      <c r="D38" s="12">
        <f>C38*84</f>
        <v>3528</v>
      </c>
      <c r="F38" s="30">
        <v>50</v>
      </c>
      <c r="G38" s="39">
        <v>8</v>
      </c>
      <c r="H38" s="165">
        <f t="shared" si="2"/>
        <v>400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65">
        <v>150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163</v>
      </c>
      <c r="H44" s="160">
        <v>145790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104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3</v>
      </c>
      <c r="D49" s="12">
        <f>C49*42</f>
        <v>126</v>
      </c>
      <c r="F49" s="141" t="s">
        <v>85</v>
      </c>
      <c r="G49" s="143">
        <f>H34+H35+H36+H37+H38+H39+H40+H41+G42+H44+H45+H46</f>
        <v>300340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3</v>
      </c>
      <c r="D50" s="12">
        <f>C50*1.5</f>
        <v>4.5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112</v>
      </c>
      <c r="G51" s="151">
        <f>G49-H29</f>
        <v>112.25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35585.25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B0D49-F56E-42BD-B8FA-C427778D886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46122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115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C583E-B2EF-45A8-BB78-82D6BD7EC7B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2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79803-9ACE-4564-80AA-C36DDA68134D}">
  <dimension ref="A1:R59"/>
  <sheetViews>
    <sheetView topLeftCell="A10" zoomScaleNormal="100" zoomScaleSheetLayoutView="85" workbookViewId="0">
      <selection activeCell="G34" sqref="G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46123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120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124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75"/>
      <c r="G26" s="65"/>
      <c r="H26" s="160"/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71"/>
      <c r="G27" s="105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H15-H16-H17-H18-H19-H20-H22-H23-H24+H26+H27+H28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83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A3418-65AA-4510-AFD2-24E7B3007A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46123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104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112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BE39D-54E2-4FDB-822A-1FDA8870C2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46123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115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17862-1451-41B2-8930-77EC56A51C6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08" t="s">
        <v>2</v>
      </c>
      <c r="Q1" s="10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9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6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DA3DC-2061-4154-9943-EEDC04C329AC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46125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316</v>
      </c>
      <c r="D6" s="13">
        <f t="shared" ref="D6:D28" si="1">C6*L6</f>
        <v>240476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120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240718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22</v>
      </c>
      <c r="D14" s="31">
        <f t="shared" si="1"/>
        <v>242</v>
      </c>
      <c r="F14" s="207" t="s">
        <v>38</v>
      </c>
      <c r="G14" s="208"/>
      <c r="H14" s="209">
        <f>D54</f>
        <v>51207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189511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f>1296</f>
        <v>1296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4">
        <v>174.11</v>
      </c>
      <c r="I19" s="174"/>
      <c r="J19" s="1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75"/>
      <c r="G26" s="65"/>
      <c r="H26" s="160"/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71"/>
      <c r="G27" s="106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240718</v>
      </c>
      <c r="F29" s="121" t="s">
        <v>54</v>
      </c>
      <c r="G29" s="183"/>
      <c r="H29" s="143">
        <f>H15-H16-H17-H18-H19-H20-H22-H23-H24+H26+H27+H28</f>
        <v>188040.89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45</v>
      </c>
      <c r="H34" s="165">
        <f t="shared" ref="H34:H39" si="2">F34*G34</f>
        <v>45000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33</v>
      </c>
      <c r="H35" s="165">
        <f t="shared" si="2"/>
        <v>16500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165">
        <f t="shared" si="2"/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444</v>
      </c>
      <c r="D37" s="12">
        <f>C37*111</f>
        <v>49284</v>
      </c>
      <c r="F37" s="12">
        <v>100</v>
      </c>
      <c r="G37" s="39">
        <v>29</v>
      </c>
      <c r="H37" s="165">
        <f t="shared" si="2"/>
        <v>2900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7</v>
      </c>
      <c r="H38" s="165">
        <f t="shared" si="2"/>
        <v>350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2</v>
      </c>
      <c r="D42" s="12">
        <f>C42*2.25</f>
        <v>4.5</v>
      </c>
      <c r="F42" s="39" t="s">
        <v>78</v>
      </c>
      <c r="G42" s="165">
        <v>77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4</v>
      </c>
      <c r="D44" s="12">
        <f>C44*120</f>
        <v>480</v>
      </c>
      <c r="F44" s="37" t="s">
        <v>137</v>
      </c>
      <c r="G44" s="62" t="s">
        <v>164</v>
      </c>
      <c r="H44" s="160">
        <v>123103.5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>
        <v>1</v>
      </c>
      <c r="D45" s="12">
        <f>C45*84</f>
        <v>84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>
        <v>23</v>
      </c>
      <c r="D46" s="12">
        <f>C46*1.5</f>
        <v>34.5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1</v>
      </c>
      <c r="D49" s="12">
        <f>C49*42</f>
        <v>42</v>
      </c>
      <c r="F49" s="141" t="s">
        <v>85</v>
      </c>
      <c r="G49" s="143">
        <f>H34+H35+H36+H37+H38+H39+H40+H41+G42+H44+H45+H46</f>
        <v>187930.5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14</v>
      </c>
      <c r="D50" s="12">
        <f>C50*1.5</f>
        <v>21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-110.39000000001397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51207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7B6F4-2F2F-4F9E-B99D-35598297BE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46125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377</v>
      </c>
      <c r="D6" s="13">
        <f t="shared" ref="D6:D28" si="1">C6*L6</f>
        <v>286897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13</v>
      </c>
      <c r="D9" s="13">
        <f t="shared" si="1"/>
        <v>9529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3</v>
      </c>
      <c r="D12" s="48">
        <f t="shared" si="1"/>
        <v>2976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15</v>
      </c>
      <c r="D13" s="48">
        <f t="shared" si="1"/>
        <v>4605</v>
      </c>
      <c r="F13" s="249" t="s">
        <v>36</v>
      </c>
      <c r="G13" s="213"/>
      <c r="H13" s="204">
        <f>D29</f>
        <v>304172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15</v>
      </c>
      <c r="D14" s="31">
        <f t="shared" si="1"/>
        <v>165</v>
      </c>
      <c r="F14" s="207" t="s">
        <v>38</v>
      </c>
      <c r="G14" s="208"/>
      <c r="H14" s="209">
        <f>D54</f>
        <v>44827.5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259344.5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1944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304172</v>
      </c>
      <c r="F29" s="121" t="s">
        <v>54</v>
      </c>
      <c r="G29" s="183"/>
      <c r="H29" s="143">
        <f>H15-H16-H17-H18-H19-H20-H22-H23-H24+H26+H27</f>
        <v>257400.5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136</v>
      </c>
      <c r="H34" s="165">
        <f>F34*G34</f>
        <v>136000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214</v>
      </c>
      <c r="H35" s="165">
        <f t="shared" ref="H35:H39" si="2">F35*G35</f>
        <v>107000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5">
        <f>F36*G36</f>
        <v>200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389</v>
      </c>
      <c r="D37" s="12">
        <f>C37*111</f>
        <v>43179</v>
      </c>
      <c r="F37" s="12">
        <v>100</v>
      </c>
      <c r="G37" s="39">
        <v>126</v>
      </c>
      <c r="H37" s="165">
        <f t="shared" si="2"/>
        <v>12600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6</v>
      </c>
      <c r="D42" s="12">
        <f>C42*2.25</f>
        <v>13.5</v>
      </c>
      <c r="F42" s="39" t="s">
        <v>78</v>
      </c>
      <c r="G42" s="165">
        <v>77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1</v>
      </c>
      <c r="D44" s="12">
        <f>C44*120</f>
        <v>120</v>
      </c>
      <c r="F44" s="37"/>
      <c r="G44" s="62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>
        <v>2</v>
      </c>
      <c r="D45" s="12">
        <f>C45*84</f>
        <v>168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>
        <v>6</v>
      </c>
      <c r="D46" s="12">
        <f>C46*1.5</f>
        <v>9</v>
      </c>
      <c r="F46" s="37"/>
      <c r="G46" s="107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10</v>
      </c>
      <c r="D49" s="12">
        <f>C49*42</f>
        <v>420</v>
      </c>
      <c r="F49" s="141" t="s">
        <v>85</v>
      </c>
      <c r="G49" s="143">
        <f>H34+H35+H36+H37+H38+H39+H40+H41+G42+H44+H45+H46</f>
        <v>255947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10</v>
      </c>
      <c r="D50" s="12">
        <f>C50*1.5</f>
        <v>15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143</v>
      </c>
      <c r="G51" s="250">
        <f>G49-H29</f>
        <v>-1453.5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44827.5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15412-5A63-4497-9FEA-790E13BDF32F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46125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358</v>
      </c>
      <c r="D6" s="13">
        <f t="shared" ref="D6:D28" si="1">C6*L6</f>
        <v>272438</v>
      </c>
      <c r="F6" s="228" t="s">
        <v>16</v>
      </c>
      <c r="G6" s="230" t="s">
        <v>166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14</v>
      </c>
      <c r="D7" s="13">
        <f t="shared" si="1"/>
        <v>10934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57</v>
      </c>
      <c r="D9" s="13">
        <f t="shared" si="1"/>
        <v>41781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124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1</v>
      </c>
      <c r="D12" s="48">
        <f t="shared" si="1"/>
        <v>992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8</v>
      </c>
      <c r="D13" s="48">
        <f t="shared" si="1"/>
        <v>2456</v>
      </c>
      <c r="F13" s="249" t="s">
        <v>36</v>
      </c>
      <c r="G13" s="213"/>
      <c r="H13" s="204">
        <f>D29</f>
        <v>328634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3</v>
      </c>
      <c r="D14" s="31">
        <f t="shared" si="1"/>
        <v>33</v>
      </c>
      <c r="F14" s="207" t="s">
        <v>38</v>
      </c>
      <c r="G14" s="208"/>
      <c r="H14" s="209">
        <f>D54</f>
        <v>48386.25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280247.75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1920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>
        <v>50</v>
      </c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328634</v>
      </c>
      <c r="F29" s="121" t="s">
        <v>54</v>
      </c>
      <c r="G29" s="183"/>
      <c r="H29" s="143">
        <f>H15-H16-H17-H18-H19-H20-H22-H23-H24+H26+H27</f>
        <v>278277.75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150</v>
      </c>
      <c r="H34" s="165">
        <f>F34*G34</f>
        <v>150000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22</v>
      </c>
      <c r="H35" s="165">
        <f>F35*G35</f>
        <v>11000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416</v>
      </c>
      <c r="D37" s="12">
        <f>C37*111</f>
        <v>46176</v>
      </c>
      <c r="F37" s="12">
        <v>100</v>
      </c>
      <c r="G37" s="39">
        <v>5</v>
      </c>
      <c r="H37" s="165">
        <f t="shared" si="2"/>
        <v>500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4</v>
      </c>
      <c r="H38" s="165">
        <f t="shared" si="2"/>
        <v>200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165">
        <f t="shared" si="2"/>
        <v>40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9</v>
      </c>
      <c r="D42" s="12">
        <f>C42*2.25</f>
        <v>20.25</v>
      </c>
      <c r="F42" s="39" t="s">
        <v>78</v>
      </c>
      <c r="G42" s="165">
        <v>9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1</v>
      </c>
      <c r="D44" s="12">
        <f>C44*120</f>
        <v>120</v>
      </c>
      <c r="F44" s="37" t="s">
        <v>137</v>
      </c>
      <c r="G44" s="62" t="s">
        <v>165</v>
      </c>
      <c r="H44" s="160">
        <v>116101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277850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2</v>
      </c>
      <c r="D50" s="12">
        <f>C50*1.5</f>
        <v>3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-427.75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48386.25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50E6B-248E-42A0-998E-CC5B3094AC2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08" t="s">
        <v>2</v>
      </c>
      <c r="Q1" s="10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9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6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FBA13-6433-4868-97E7-86FA2928673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46126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317</v>
      </c>
      <c r="D6" s="13">
        <f t="shared" ref="D6:D28" si="1">C6*L6</f>
        <v>241237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10</v>
      </c>
      <c r="D7" s="13">
        <f t="shared" si="1"/>
        <v>7810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120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20</v>
      </c>
      <c r="D9" s="13">
        <f t="shared" si="1"/>
        <v>14660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</v>
      </c>
      <c r="D10" s="13">
        <f t="shared" si="1"/>
        <v>1032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1+1</f>
        <v>2</v>
      </c>
      <c r="D12" s="48">
        <f t="shared" si="1"/>
        <v>1984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4</v>
      </c>
      <c r="D13" s="48">
        <f t="shared" si="1"/>
        <v>1228</v>
      </c>
      <c r="F13" s="249" t="s">
        <v>36</v>
      </c>
      <c r="G13" s="213"/>
      <c r="H13" s="204">
        <f>D29</f>
        <v>270579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8</v>
      </c>
      <c r="D14" s="31">
        <f t="shared" si="1"/>
        <v>88</v>
      </c>
      <c r="F14" s="207" t="s">
        <v>38</v>
      </c>
      <c r="G14" s="208"/>
      <c r="H14" s="209">
        <f>D54</f>
        <v>39222.75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>
        <v>2</v>
      </c>
      <c r="D15" s="31">
        <f t="shared" si="1"/>
        <v>1240</v>
      </c>
      <c r="F15" s="212" t="s">
        <v>39</v>
      </c>
      <c r="G15" s="213"/>
      <c r="H15" s="214">
        <f>H13-H14</f>
        <v>231356.25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4">
        <v>60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75"/>
      <c r="G26" s="65"/>
      <c r="H26" s="160"/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71"/>
      <c r="G27" s="115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270579</v>
      </c>
      <c r="F29" s="121" t="s">
        <v>54</v>
      </c>
      <c r="G29" s="183"/>
      <c r="H29" s="143">
        <f>H15-H16-H17-H18-H19-H20-H22-H23-H24+H26+H27+H28</f>
        <v>231296.25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163</v>
      </c>
      <c r="H34" s="165">
        <f t="shared" ref="H34:H39" si="2">F34*G34</f>
        <v>163000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57</v>
      </c>
      <c r="H35" s="165">
        <f t="shared" si="2"/>
        <v>28500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>
        <v>4</v>
      </c>
      <c r="H37" s="165">
        <f t="shared" si="2"/>
        <v>400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7</v>
      </c>
      <c r="D42" s="12">
        <f>C42*2.25</f>
        <v>15.75</v>
      </c>
      <c r="F42" s="39" t="s">
        <v>78</v>
      </c>
      <c r="G42" s="165">
        <v>75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2</v>
      </c>
      <c r="D44" s="12">
        <f>C44*120</f>
        <v>240</v>
      </c>
      <c r="F44" s="37" t="s">
        <v>133</v>
      </c>
      <c r="G44" s="83" t="s">
        <v>134</v>
      </c>
      <c r="H44" s="160">
        <v>40000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>
        <v>2</v>
      </c>
      <c r="D45" s="12">
        <f>C45*84</f>
        <v>168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>
        <v>14</v>
      </c>
      <c r="D46" s="12">
        <f>C46*1.5</f>
        <v>21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231975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4</v>
      </c>
      <c r="D50" s="12">
        <f>C50*1.5</f>
        <v>6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115</v>
      </c>
      <c r="G51" s="151">
        <f>G49-H29</f>
        <v>678.75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39222.75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9C4FD-794B-4E3D-AAD7-4BC4F0DEABE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46126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380</v>
      </c>
      <c r="D6" s="13">
        <f t="shared" ref="D6:D28" si="1">C6*L6</f>
        <v>289180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7</v>
      </c>
      <c r="D7" s="13">
        <f t="shared" si="1"/>
        <v>5467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39</v>
      </c>
      <c r="D9" s="13">
        <f t="shared" si="1"/>
        <v>28587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11</v>
      </c>
      <c r="D13" s="48">
        <f t="shared" si="1"/>
        <v>3377</v>
      </c>
      <c r="F13" s="249" t="s">
        <v>36</v>
      </c>
      <c r="G13" s="213"/>
      <c r="H13" s="204">
        <f>D29</f>
        <v>326754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13</v>
      </c>
      <c r="D14" s="31">
        <f t="shared" si="1"/>
        <v>143</v>
      </c>
      <c r="F14" s="207" t="s">
        <v>38</v>
      </c>
      <c r="G14" s="208"/>
      <c r="H14" s="209">
        <f>D54</f>
        <v>51193.5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275560.5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2286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326754</v>
      </c>
      <c r="F29" s="121" t="s">
        <v>54</v>
      </c>
      <c r="G29" s="183"/>
      <c r="H29" s="143">
        <f>H15-H16-H17-H18-H19-H20-H22-H23-H24+H26+H27</f>
        <v>273274.5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119</v>
      </c>
      <c r="H34" s="165">
        <f>F34*G34</f>
        <v>119000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65">
        <f t="shared" ref="H35:H39" si="2">F35*G35</f>
        <v>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443</v>
      </c>
      <c r="D37" s="12">
        <f>C37*111</f>
        <v>49173</v>
      </c>
      <c r="F37" s="12">
        <v>100</v>
      </c>
      <c r="G37" s="39">
        <v>2</v>
      </c>
      <c r="H37" s="165">
        <f t="shared" si="2"/>
        <v>200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4</v>
      </c>
      <c r="H38" s="165">
        <f t="shared" si="2"/>
        <v>200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>
        <v>70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 t="s">
        <v>131</v>
      </c>
      <c r="G44" s="99" t="s">
        <v>167</v>
      </c>
      <c r="H44" s="160">
        <v>153098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114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7</v>
      </c>
      <c r="D49" s="12">
        <f>C49*42</f>
        <v>294</v>
      </c>
      <c r="F49" s="141" t="s">
        <v>85</v>
      </c>
      <c r="G49" s="143">
        <f>H34+H35+H36+H37+H38+H39+H40+H41+G42+H44+H45+H46</f>
        <v>273068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12</v>
      </c>
      <c r="D50" s="12">
        <f>C50*1.5</f>
        <v>18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143</v>
      </c>
      <c r="G51" s="250">
        <f>G49-H29</f>
        <v>-206.5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51193.5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851C3-AE72-49C2-82F2-92AE2F8125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46126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431</v>
      </c>
      <c r="D6" s="13">
        <f t="shared" ref="D6:D28" si="1">C6*L6</f>
        <v>327991</v>
      </c>
      <c r="F6" s="228" t="s">
        <v>16</v>
      </c>
      <c r="G6" s="230" t="s">
        <v>117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30</v>
      </c>
      <c r="D7" s="13">
        <f t="shared" si="1"/>
        <v>23430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77</v>
      </c>
      <c r="D9" s="13">
        <f t="shared" si="1"/>
        <v>56441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124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20</v>
      </c>
      <c r="D11" s="13">
        <f t="shared" si="1"/>
        <v>23400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4+1</f>
        <v>5</v>
      </c>
      <c r="D12" s="48">
        <f t="shared" si="1"/>
        <v>4960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19</v>
      </c>
      <c r="D13" s="48">
        <f t="shared" si="1"/>
        <v>5833</v>
      </c>
      <c r="F13" s="249" t="s">
        <v>36</v>
      </c>
      <c r="G13" s="213"/>
      <c r="H13" s="204">
        <f>D29</f>
        <v>447818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3</v>
      </c>
      <c r="D14" s="31">
        <f t="shared" si="1"/>
        <v>33</v>
      </c>
      <c r="F14" s="207" t="s">
        <v>38</v>
      </c>
      <c r="G14" s="208"/>
      <c r="H14" s="209">
        <f>D54</f>
        <v>60831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>
        <f>3+1</f>
        <v>4</v>
      </c>
      <c r="D15" s="31">
        <f t="shared" si="1"/>
        <v>2480</v>
      </c>
      <c r="F15" s="212" t="s">
        <v>39</v>
      </c>
      <c r="G15" s="213"/>
      <c r="H15" s="214">
        <f>H13-H14</f>
        <v>386987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74">
        <f>2118+738</f>
        <v>2856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447818</v>
      </c>
      <c r="F29" s="121" t="s">
        <v>54</v>
      </c>
      <c r="G29" s="183"/>
      <c r="H29" s="143">
        <f>H15-H16-H17-H18-H19-H20-H22-H23-H24+H26+H27</f>
        <v>384131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127</v>
      </c>
      <c r="H34" s="165">
        <f>F34*G34</f>
        <v>127000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21</v>
      </c>
      <c r="H35" s="165">
        <f>F35*G35</f>
        <v>10500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>
        <v>21</v>
      </c>
      <c r="D36" s="12">
        <f>C36*1.5</f>
        <v>31.5</v>
      </c>
      <c r="F36" s="12">
        <v>200</v>
      </c>
      <c r="G36" s="37">
        <v>1</v>
      </c>
      <c r="H36" s="165">
        <f t="shared" ref="H36:H39" si="2">F36*G36</f>
        <v>200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475</v>
      </c>
      <c r="D37" s="12">
        <f>C37*111</f>
        <v>52725</v>
      </c>
      <c r="F37" s="12">
        <v>100</v>
      </c>
      <c r="G37" s="39">
        <v>35</v>
      </c>
      <c r="H37" s="165">
        <f t="shared" si="2"/>
        <v>3500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>
        <v>7</v>
      </c>
      <c r="H38" s="165">
        <f t="shared" si="2"/>
        <v>350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20</v>
      </c>
      <c r="D39" s="31">
        <f>C39*4.5</f>
        <v>90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36</v>
      </c>
      <c r="D40" s="12">
        <f>C40*111</f>
        <v>3996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12</v>
      </c>
      <c r="D42" s="12">
        <f>C42*2.25</f>
        <v>27</v>
      </c>
      <c r="F42" s="39" t="s">
        <v>78</v>
      </c>
      <c r="G42" s="165">
        <v>36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18</v>
      </c>
      <c r="D44" s="12">
        <f>C44*120</f>
        <v>2160</v>
      </c>
      <c r="F44" s="37" t="s">
        <v>133</v>
      </c>
      <c r="G44" s="76" t="s">
        <v>168</v>
      </c>
      <c r="H44" s="160">
        <v>243106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>
        <v>5</v>
      </c>
      <c r="D45" s="12">
        <f>C45*84</f>
        <v>420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3</v>
      </c>
      <c r="D49" s="12">
        <f>C49*42</f>
        <v>126</v>
      </c>
      <c r="F49" s="141" t="s">
        <v>85</v>
      </c>
      <c r="G49" s="143">
        <f>H34+H35+H36+H37+H38+H39+H40+H41+G42+H44+H45+H46</f>
        <v>384692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1</v>
      </c>
      <c r="D50" s="12">
        <f>C50*1.5</f>
        <v>1.5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115</v>
      </c>
      <c r="G51" s="151">
        <f>G49-H29</f>
        <v>561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60831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705F3-D573-4120-8472-BB5EF78F177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9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461A0-8FC8-4F55-AE48-DCBD9279B297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46127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331</v>
      </c>
      <c r="D6" s="13">
        <f t="shared" ref="D6:D28" si="1">C6*L6</f>
        <v>251891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24</v>
      </c>
      <c r="D7" s="13">
        <f t="shared" si="1"/>
        <v>18744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>
        <v>65</v>
      </c>
      <c r="D8" s="13">
        <f t="shared" si="1"/>
        <v>71045</v>
      </c>
      <c r="F8" s="236" t="s">
        <v>21</v>
      </c>
      <c r="G8" s="237" t="s">
        <v>120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10</v>
      </c>
      <c r="D9" s="13">
        <f t="shared" si="1"/>
        <v>7330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10</v>
      </c>
      <c r="D10" s="13">
        <f t="shared" si="1"/>
        <v>10320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3</v>
      </c>
      <c r="D11" s="13">
        <f t="shared" si="1"/>
        <v>3510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2+2</f>
        <v>4</v>
      </c>
      <c r="D12" s="48">
        <f t="shared" si="1"/>
        <v>3968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13</v>
      </c>
      <c r="D13" s="48">
        <f t="shared" si="1"/>
        <v>3991</v>
      </c>
      <c r="F13" s="249" t="s">
        <v>36</v>
      </c>
      <c r="G13" s="213"/>
      <c r="H13" s="204">
        <f>D29</f>
        <v>376385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21</v>
      </c>
      <c r="D14" s="31">
        <f t="shared" si="1"/>
        <v>231</v>
      </c>
      <c r="F14" s="207" t="s">
        <v>38</v>
      </c>
      <c r="G14" s="208"/>
      <c r="H14" s="209">
        <f>D54</f>
        <v>37755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338630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4">
        <f>1476</f>
        <v>1476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 t="s">
        <v>135</v>
      </c>
      <c r="G22" s="73">
        <v>9948</v>
      </c>
      <c r="H22" s="190">
        <v>91257</v>
      </c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7" t="s">
        <v>162</v>
      </c>
      <c r="G23" s="79">
        <v>9950</v>
      </c>
      <c r="H23" s="256">
        <v>67961</v>
      </c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75" t="s">
        <v>135</v>
      </c>
      <c r="G26" s="65">
        <v>9961</v>
      </c>
      <c r="H26" s="160">
        <v>92259</v>
      </c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75" t="s">
        <v>162</v>
      </c>
      <c r="G27" s="116">
        <v>9917</v>
      </c>
      <c r="H27" s="258">
        <v>4698</v>
      </c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>
        <v>5</v>
      </c>
      <c r="D28" s="48">
        <f t="shared" si="1"/>
        <v>4055</v>
      </c>
      <c r="F28" s="11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376385</v>
      </c>
      <c r="F29" s="121" t="s">
        <v>54</v>
      </c>
      <c r="G29" s="183"/>
      <c r="H29" s="143">
        <f>H15-H16-H17-H18-H19-H20-H22-H23-H24+H26+H27+H28</f>
        <v>274893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4</v>
      </c>
      <c r="H34" s="165">
        <f t="shared" ref="H34:H39" si="2">F34*G34</f>
        <v>4000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</v>
      </c>
      <c r="H35" s="165">
        <f t="shared" si="2"/>
        <v>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165">
        <f t="shared" si="2"/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253</v>
      </c>
      <c r="D37" s="12">
        <f>C37*111</f>
        <v>28083</v>
      </c>
      <c r="F37" s="12">
        <v>100</v>
      </c>
      <c r="G37" s="39">
        <v>1</v>
      </c>
      <c r="H37" s="165">
        <f t="shared" si="2"/>
        <v>100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6</v>
      </c>
      <c r="D42" s="12">
        <f>C42*2.25</f>
        <v>13.5</v>
      </c>
      <c r="F42" s="39" t="s">
        <v>78</v>
      </c>
      <c r="G42" s="165">
        <v>48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69</v>
      </c>
      <c r="D44" s="12">
        <f>C44*120</f>
        <v>8280</v>
      </c>
      <c r="F44" s="37" t="s">
        <v>137</v>
      </c>
      <c r="G44" s="62" t="s">
        <v>169</v>
      </c>
      <c r="H44" s="160">
        <v>176530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>
        <v>1</v>
      </c>
      <c r="D45" s="12">
        <f>C45*84</f>
        <v>84</v>
      </c>
      <c r="F45" s="37" t="s">
        <v>133</v>
      </c>
      <c r="G45" s="83" t="s">
        <v>134</v>
      </c>
      <c r="H45" s="160">
        <f>92259</f>
        <v>92259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>
        <v>23</v>
      </c>
      <c r="D46" s="12">
        <f>C46*1.5</f>
        <v>34.5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7</v>
      </c>
      <c r="D49" s="12">
        <f>C49*42</f>
        <v>294</v>
      </c>
      <c r="F49" s="141" t="s">
        <v>85</v>
      </c>
      <c r="G49" s="143">
        <f>H34+H35+H36+H37+H38+H39+H40+H41+G42+H44+H45+H46</f>
        <v>273487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22</v>
      </c>
      <c r="D50" s="12">
        <f>C50*1.5</f>
        <v>33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-1406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37755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744C9-8100-4ACA-BE14-D363ED0533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46127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338</v>
      </c>
      <c r="D6" s="13">
        <f t="shared" ref="D6:D28" si="1">C6*L6</f>
        <v>257218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</v>
      </c>
      <c r="D7" s="13">
        <f t="shared" si="1"/>
        <v>781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>
        <v>5</v>
      </c>
      <c r="D8" s="13">
        <f t="shared" si="1"/>
        <v>5465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35</v>
      </c>
      <c r="D9" s="13">
        <f t="shared" si="1"/>
        <v>25655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</v>
      </c>
      <c r="D10" s="13">
        <f t="shared" si="1"/>
        <v>1032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1</v>
      </c>
      <c r="D12" s="48">
        <f t="shared" si="1"/>
        <v>992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13</v>
      </c>
      <c r="D13" s="48">
        <f t="shared" si="1"/>
        <v>3991</v>
      </c>
      <c r="F13" s="249" t="s">
        <v>36</v>
      </c>
      <c r="G13" s="213"/>
      <c r="H13" s="204">
        <f>D29</f>
        <v>295167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3</v>
      </c>
      <c r="D14" s="31">
        <f t="shared" si="1"/>
        <v>33</v>
      </c>
      <c r="F14" s="207" t="s">
        <v>38</v>
      </c>
      <c r="G14" s="208"/>
      <c r="H14" s="209">
        <f>D54</f>
        <v>47517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247650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2010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295167</v>
      </c>
      <c r="F29" s="121" t="s">
        <v>54</v>
      </c>
      <c r="G29" s="183"/>
      <c r="H29" s="143">
        <f>H15-H16-H17-H18-H19-H20-H22-H23-H24+H26+H27</f>
        <v>245640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3</v>
      </c>
      <c r="H34" s="165">
        <f>F34*G34</f>
        <v>3000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54</v>
      </c>
      <c r="H35" s="165">
        <f t="shared" ref="H35:H39" si="2">F35*G35</f>
        <v>27000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>
        <v>17</v>
      </c>
      <c r="D36" s="12">
        <f>C36*1.5</f>
        <v>25.5</v>
      </c>
      <c r="F36" s="12">
        <v>200</v>
      </c>
      <c r="G36" s="37"/>
      <c r="H36" s="165">
        <f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412</v>
      </c>
      <c r="D37" s="12">
        <f>C37*111</f>
        <v>45732</v>
      </c>
      <c r="F37" s="12">
        <v>100</v>
      </c>
      <c r="G37" s="39">
        <v>1</v>
      </c>
      <c r="H37" s="165">
        <f t="shared" si="2"/>
        <v>100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>
        <v>14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4</v>
      </c>
      <c r="D44" s="12">
        <f>C44*120</f>
        <v>480</v>
      </c>
      <c r="F44" s="37" t="s">
        <v>137</v>
      </c>
      <c r="G44" s="62" t="s">
        <v>170</v>
      </c>
      <c r="H44" s="160">
        <v>215805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>
        <v>1</v>
      </c>
      <c r="D45" s="12">
        <f>C45*84</f>
        <v>84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117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7</v>
      </c>
      <c r="D49" s="12">
        <f>C49*42</f>
        <v>294</v>
      </c>
      <c r="F49" s="141" t="s">
        <v>85</v>
      </c>
      <c r="G49" s="143">
        <f>H34+H35+H36+H37+H38+H39+H40+H41+G42+H44+H45+H46</f>
        <v>245969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7</v>
      </c>
      <c r="D50" s="12">
        <f>C50*1.5</f>
        <v>10.5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112</v>
      </c>
      <c r="G51" s="151">
        <f>G49-H29</f>
        <v>329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47517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6EA22-9D59-44DC-8C5E-F81A7DECA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46127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566</v>
      </c>
      <c r="D6" s="13">
        <f t="shared" ref="D6:D28" si="1">C6*L6</f>
        <v>430726</v>
      </c>
      <c r="F6" s="228" t="s">
        <v>16</v>
      </c>
      <c r="G6" s="230" t="s">
        <v>117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20</v>
      </c>
      <c r="D7" s="13">
        <f t="shared" si="1"/>
        <v>15620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120</v>
      </c>
      <c r="D9" s="13">
        <f t="shared" si="1"/>
        <v>87960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124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1</v>
      </c>
      <c r="D11" s="13">
        <f t="shared" si="1"/>
        <v>1170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2+1+1</f>
        <v>4</v>
      </c>
      <c r="D12" s="48">
        <f t="shared" si="1"/>
        <v>3968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17</v>
      </c>
      <c r="D13" s="48">
        <f t="shared" si="1"/>
        <v>5219</v>
      </c>
      <c r="F13" s="249" t="s">
        <v>36</v>
      </c>
      <c r="G13" s="213"/>
      <c r="H13" s="204">
        <f>D29</f>
        <v>547376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13</v>
      </c>
      <c r="D14" s="31">
        <f t="shared" si="1"/>
        <v>143</v>
      </c>
      <c r="F14" s="207" t="s">
        <v>38</v>
      </c>
      <c r="G14" s="208"/>
      <c r="H14" s="209">
        <f>D54</f>
        <v>67408.5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>
        <v>1</v>
      </c>
      <c r="D15" s="31">
        <f t="shared" si="1"/>
        <v>620</v>
      </c>
      <c r="F15" s="212" t="s">
        <v>39</v>
      </c>
      <c r="G15" s="213"/>
      <c r="H15" s="214">
        <f>H13-H14</f>
        <v>479967.5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74">
        <f>690+606+768</f>
        <v>2064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>
        <v>50</v>
      </c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547376</v>
      </c>
      <c r="F29" s="121" t="s">
        <v>54</v>
      </c>
      <c r="G29" s="183"/>
      <c r="H29" s="143">
        <f>H15-H16-H17-H18-H19-H20-H22-H23-H24+H26+H27</f>
        <v>477853.5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148</v>
      </c>
      <c r="H34" s="165">
        <f>F34*G34</f>
        <v>148000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165">
        <f>F35*G35</f>
        <v>20000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563</v>
      </c>
      <c r="D37" s="12">
        <f>C37*111</f>
        <v>62493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6</v>
      </c>
      <c r="D42" s="12">
        <f>C42*2.25</f>
        <v>13.5</v>
      </c>
      <c r="F42" s="39" t="s">
        <v>78</v>
      </c>
      <c r="G42" s="165">
        <v>307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4</v>
      </c>
      <c r="D44" s="12">
        <f>C44*120</f>
        <v>480</v>
      </c>
      <c r="F44" s="37" t="s">
        <v>171</v>
      </c>
      <c r="G44" s="62" t="s">
        <v>172</v>
      </c>
      <c r="H44" s="160">
        <v>150450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>
        <v>1</v>
      </c>
      <c r="D45" s="12">
        <f>C45*84</f>
        <v>84</v>
      </c>
      <c r="F45" s="37" t="s">
        <v>137</v>
      </c>
      <c r="G45" s="62" t="s">
        <v>173</v>
      </c>
      <c r="H45" s="160">
        <f>76924</f>
        <v>76924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>
        <v>19</v>
      </c>
      <c r="D46" s="12">
        <f>C46*1.5</f>
        <v>28.5</v>
      </c>
      <c r="F46" s="37" t="s">
        <v>137</v>
      </c>
      <c r="G46" s="62" t="s">
        <v>174</v>
      </c>
      <c r="H46" s="160">
        <v>81872</v>
      </c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5</v>
      </c>
      <c r="D49" s="12">
        <f>C49*42</f>
        <v>210</v>
      </c>
      <c r="F49" s="141" t="s">
        <v>85</v>
      </c>
      <c r="G49" s="143">
        <f>H34+H35+H36+H37+H38+H39+H40+H41+G42+H44+H45+H46</f>
        <v>477553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4</v>
      </c>
      <c r="D50" s="12">
        <f>C50*1.5</f>
        <v>6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-300.5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67408.5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F5D60-E815-4F0C-BF1C-36BB74E55D3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9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B1F7E-544F-4C36-9E21-076981AFF6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46128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120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75"/>
      <c r="G26" s="65"/>
      <c r="H26" s="160"/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71"/>
      <c r="G27" s="116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H15-H16-H17-H18-H19-H20-H22-H23-H24+H26+H27+H28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72CFB-A9DC-4389-AF9D-CD026BFBA2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46128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117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112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AE3C8-582F-41D8-8D66-D6025A44C905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46128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124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115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0D7A6-4A38-4473-98AD-764B52FB186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9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8E6BD-915C-4A60-AA3A-93006E8B79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46129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120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75"/>
      <c r="G26" s="65"/>
      <c r="H26" s="160"/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71"/>
      <c r="G27" s="116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H15-H16-H17-H18-H19-H20-H22-H23-H24+H26+H27+H28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27970-37F6-407F-8F6A-89F8F6239A4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46129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117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112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C4865-A840-42A3-B1A7-B50E76C202CC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46129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124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115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3AD48-1D5A-4672-A312-D67EB9C1000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9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783A3-5766-4B83-8FCD-659126CD27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46130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120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75"/>
      <c r="G26" s="65"/>
      <c r="H26" s="160"/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71"/>
      <c r="G27" s="116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H15-H16-H17-H18-H19-H20-H22-H23-H24+H26+H27+H28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3DCFB-0338-4798-8466-BD61034BBB4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46130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117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112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9EC8F-975D-45DD-A5F2-AF3FE96B34FB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46130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124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115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5A20-7E97-4C8F-974B-C0401A1D56F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9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F8ADE-3E0F-4711-8839-8AB3D4BCFE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46132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120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75"/>
      <c r="G26" s="65"/>
      <c r="H26" s="160"/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71"/>
      <c r="G27" s="116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H15-H16-H17-H18-H19-H20-H22-H23-H24+H26+H27+H28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65897-7BDD-41CA-A1F3-88CFBE5FAC2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46132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117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112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5F278-7018-4420-B270-0CBE9C37BF4D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46132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124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115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69</vt:i4>
      </vt:variant>
      <vt:variant>
        <vt:lpstr>Named Ranges</vt:lpstr>
      </vt:variant>
      <vt:variant>
        <vt:i4>68</vt:i4>
      </vt:variant>
    </vt:vector>
  </HeadingPairs>
  <TitlesOfParts>
    <vt:vector size="137" baseType="lpstr">
      <vt:lpstr>(APRIL 2026)</vt:lpstr>
      <vt:lpstr>(01)</vt:lpstr>
      <vt:lpstr>01,4 R1</vt:lpstr>
      <vt:lpstr>01,4 R2</vt:lpstr>
      <vt:lpstr>01,4 R3</vt:lpstr>
      <vt:lpstr>(2)</vt:lpstr>
      <vt:lpstr>01,2 R1</vt:lpstr>
      <vt:lpstr>01,2 R2</vt:lpstr>
      <vt:lpstr>01,2 R3</vt:lpstr>
      <vt:lpstr>(3) NO TRIP</vt:lpstr>
      <vt:lpstr>01,3 R1 NO TRIP</vt:lpstr>
      <vt:lpstr>01,3 R2 NO TRIP</vt:lpstr>
      <vt:lpstr>01,3 R3 NO TRIP</vt:lpstr>
      <vt:lpstr>(4)</vt:lpstr>
      <vt:lpstr>01,04 R1 NO TRIP</vt:lpstr>
      <vt:lpstr>01,04 R2 NO TRIP</vt:lpstr>
      <vt:lpstr>01,04 R3 NO TRIP</vt:lpstr>
      <vt:lpstr>(6)</vt:lpstr>
      <vt:lpstr>04,06 R1</vt:lpstr>
      <vt:lpstr>04,06 R2</vt:lpstr>
      <vt:lpstr>04,06 R3</vt:lpstr>
      <vt:lpstr>(7)</vt:lpstr>
      <vt:lpstr>04,07 R1</vt:lpstr>
      <vt:lpstr>04,07 R2</vt:lpstr>
      <vt:lpstr>04,07 R3</vt:lpstr>
      <vt:lpstr>(8)</vt:lpstr>
      <vt:lpstr>04,08 R1</vt:lpstr>
      <vt:lpstr>04,08 R2</vt:lpstr>
      <vt:lpstr>04,08 R3</vt:lpstr>
      <vt:lpstr>(9)</vt:lpstr>
      <vt:lpstr>04,09 R1</vt:lpstr>
      <vt:lpstr>04,09 R2</vt:lpstr>
      <vt:lpstr>04,09 R3</vt:lpstr>
      <vt:lpstr>(10)</vt:lpstr>
      <vt:lpstr>04,10 R1</vt:lpstr>
      <vt:lpstr>04,10 R2</vt:lpstr>
      <vt:lpstr>04,10 R3 NO TRIP</vt:lpstr>
      <vt:lpstr>(11)</vt:lpstr>
      <vt:lpstr>04,11 R1 NO TRIP</vt:lpstr>
      <vt:lpstr>04,11 R2 NO TRIP</vt:lpstr>
      <vt:lpstr>04,11 R3 NO TRIP</vt:lpstr>
      <vt:lpstr>(13)</vt:lpstr>
      <vt:lpstr>04,13 R1</vt:lpstr>
      <vt:lpstr>04,13 R2</vt:lpstr>
      <vt:lpstr>04,13 R3</vt:lpstr>
      <vt:lpstr>(14)</vt:lpstr>
      <vt:lpstr>04,14 R1</vt:lpstr>
      <vt:lpstr>04,14 R2</vt:lpstr>
      <vt:lpstr>04,14 R3</vt:lpstr>
      <vt:lpstr>(15)</vt:lpstr>
      <vt:lpstr>04,15 R1</vt:lpstr>
      <vt:lpstr>04,15 R2</vt:lpstr>
      <vt:lpstr>04,15 R3</vt:lpstr>
      <vt:lpstr>(16)</vt:lpstr>
      <vt:lpstr>04,16 R1</vt:lpstr>
      <vt:lpstr>04,16 R2</vt:lpstr>
      <vt:lpstr>04,16 R3</vt:lpstr>
      <vt:lpstr>(17)</vt:lpstr>
      <vt:lpstr>04,17 R1</vt:lpstr>
      <vt:lpstr>04,17 R2 </vt:lpstr>
      <vt:lpstr>04,17 R3</vt:lpstr>
      <vt:lpstr>(18)</vt:lpstr>
      <vt:lpstr>04,18 R1</vt:lpstr>
      <vt:lpstr>04,18 R2</vt:lpstr>
      <vt:lpstr>04,18 R3</vt:lpstr>
      <vt:lpstr>(20)</vt:lpstr>
      <vt:lpstr>04,20 R1</vt:lpstr>
      <vt:lpstr>04,20 R2</vt:lpstr>
      <vt:lpstr>04,20 R3</vt:lpstr>
      <vt:lpstr>'(01)'!Print_Area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'(3) NO TRIP'!Print_Area</vt:lpstr>
      <vt:lpstr>'(4)'!Print_Area</vt:lpstr>
      <vt:lpstr>'(6)'!Print_Area</vt:lpstr>
      <vt:lpstr>'(7)'!Print_Area</vt:lpstr>
      <vt:lpstr>'(8)'!Print_Area</vt:lpstr>
      <vt:lpstr>'(9)'!Print_Area</vt:lpstr>
      <vt:lpstr>'01,04 R1 NO TRIP'!Print_Area</vt:lpstr>
      <vt:lpstr>'01,04 R2 NO TRIP'!Print_Area</vt:lpstr>
      <vt:lpstr>'01,04 R3 NO TRIP'!Print_Area</vt:lpstr>
      <vt:lpstr>'01,2 R1'!Print_Area</vt:lpstr>
      <vt:lpstr>'01,2 R2'!Print_Area</vt:lpstr>
      <vt:lpstr>'01,2 R3'!Print_Area</vt:lpstr>
      <vt:lpstr>'01,3 R1 NO TRIP'!Print_Area</vt:lpstr>
      <vt:lpstr>'01,3 R2 NO TRIP'!Print_Area</vt:lpstr>
      <vt:lpstr>'01,3 R3 NO TRIP'!Print_Area</vt:lpstr>
      <vt:lpstr>'01,4 R1'!Print_Area</vt:lpstr>
      <vt:lpstr>'01,4 R2'!Print_Area</vt:lpstr>
      <vt:lpstr>'01,4 R3'!Print_Area</vt:lpstr>
      <vt:lpstr>'04,06 R1'!Print_Area</vt:lpstr>
      <vt:lpstr>'04,06 R2'!Print_Area</vt:lpstr>
      <vt:lpstr>'04,06 R3'!Print_Area</vt:lpstr>
      <vt:lpstr>'04,07 R1'!Print_Area</vt:lpstr>
      <vt:lpstr>'04,07 R2'!Print_Area</vt:lpstr>
      <vt:lpstr>'04,07 R3'!Print_Area</vt:lpstr>
      <vt:lpstr>'04,08 R1'!Print_Area</vt:lpstr>
      <vt:lpstr>'04,08 R2'!Print_Area</vt:lpstr>
      <vt:lpstr>'04,08 R3'!Print_Area</vt:lpstr>
      <vt:lpstr>'04,09 R1'!Print_Area</vt:lpstr>
      <vt:lpstr>'04,09 R2'!Print_Area</vt:lpstr>
      <vt:lpstr>'04,09 R3'!Print_Area</vt:lpstr>
      <vt:lpstr>'04,10 R1'!Print_Area</vt:lpstr>
      <vt:lpstr>'04,10 R2'!Print_Area</vt:lpstr>
      <vt:lpstr>'04,10 R3 NO TRIP'!Print_Area</vt:lpstr>
      <vt:lpstr>'04,11 R1 NO TRIP'!Print_Area</vt:lpstr>
      <vt:lpstr>'04,11 R2 NO TRIP'!Print_Area</vt:lpstr>
      <vt:lpstr>'04,11 R3 NO TRIP'!Print_Area</vt:lpstr>
      <vt:lpstr>'04,13 R1'!Print_Area</vt:lpstr>
      <vt:lpstr>'04,13 R2'!Print_Area</vt:lpstr>
      <vt:lpstr>'04,13 R3'!Print_Area</vt:lpstr>
      <vt:lpstr>'04,14 R1'!Print_Area</vt:lpstr>
      <vt:lpstr>'04,14 R2'!Print_Area</vt:lpstr>
      <vt:lpstr>'04,14 R3'!Print_Area</vt:lpstr>
      <vt:lpstr>'04,15 R1'!Print_Area</vt:lpstr>
      <vt:lpstr>'04,15 R2'!Print_Area</vt:lpstr>
      <vt:lpstr>'04,15 R3'!Print_Area</vt:lpstr>
      <vt:lpstr>'04,16 R1'!Print_Area</vt:lpstr>
      <vt:lpstr>'04,16 R2'!Print_Area</vt:lpstr>
      <vt:lpstr>'04,16 R3'!Print_Area</vt:lpstr>
      <vt:lpstr>'04,17 R1'!Print_Area</vt:lpstr>
      <vt:lpstr>'04,17 R2 '!Print_Area</vt:lpstr>
      <vt:lpstr>'04,17 R3'!Print_Area</vt:lpstr>
      <vt:lpstr>'04,18 R1'!Print_Area</vt:lpstr>
      <vt:lpstr>'04,18 R2'!Print_Area</vt:lpstr>
      <vt:lpstr>'04,18 R3'!Print_Area</vt:lpstr>
      <vt:lpstr>'04,20 R1'!Print_Area</vt:lpstr>
      <vt:lpstr>'04,20 R2'!Print_Area</vt:lpstr>
      <vt:lpstr>'04,20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2026-04-16T00:11:12Z</cp:lastPrinted>
  <dcterms:created xsi:type="dcterms:W3CDTF">2024-09-01T23:36:50Z</dcterms:created>
  <dcterms:modified xsi:type="dcterms:W3CDTF">2026-04-16T00:12:00Z</dcterms:modified>
</cp:coreProperties>
</file>