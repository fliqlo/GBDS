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4EE5B59-66F0-4A98-8CD0-83C87553A017}" xr6:coauthVersionLast="45" xr6:coauthVersionMax="47" xr10:uidLastSave="{00000000-0000-0000-0000-000000000000}"/>
  <bookViews>
    <workbookView xWindow="-120" yWindow="-120" windowWidth="29040" windowHeight="15840" firstSheet="84" activeTab="88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20)" sheetId="2006" r:id="rId62"/>
    <sheet name="04,20 R1" sheetId="2007" r:id="rId63"/>
    <sheet name="04,20 R2" sheetId="2008" r:id="rId64"/>
    <sheet name="04,20 R3" sheetId="2009" r:id="rId65"/>
    <sheet name="(21)" sheetId="2002" r:id="rId66"/>
    <sheet name="04,21 R1" sheetId="2003" r:id="rId67"/>
    <sheet name="04,21 R2" sheetId="2004" r:id="rId68"/>
    <sheet name="04,21 R3" sheetId="2005" r:id="rId69"/>
    <sheet name="(22)" sheetId="2010" r:id="rId70"/>
    <sheet name="04,22 R1" sheetId="2011" r:id="rId71"/>
    <sheet name="04,22 R2" sheetId="2012" r:id="rId72"/>
    <sheet name="04,22 R3" sheetId="2013" r:id="rId73"/>
    <sheet name="(23)" sheetId="2014" r:id="rId74"/>
    <sheet name="04,23 R1" sheetId="2015" r:id="rId75"/>
    <sheet name="04,23 R2" sheetId="2016" r:id="rId76"/>
    <sheet name="04,23 R3" sheetId="2017" r:id="rId77"/>
    <sheet name="(24)" sheetId="2018" r:id="rId78"/>
    <sheet name="04,24 R1 NO TRIP" sheetId="2019" r:id="rId79"/>
    <sheet name="04,24 R2" sheetId="2020" r:id="rId80"/>
    <sheet name="04,24 R3" sheetId="2021" r:id="rId81"/>
    <sheet name="(27)" sheetId="2022" r:id="rId82"/>
    <sheet name="04,27 R1" sheetId="2023" r:id="rId83"/>
    <sheet name="04,27 R2" sheetId="2024" r:id="rId84"/>
    <sheet name="04,27 R3" sheetId="2025" r:id="rId85"/>
    <sheet name="(28)" sheetId="2026" r:id="rId86"/>
    <sheet name="04,28 R1" sheetId="2027" r:id="rId87"/>
    <sheet name="04,28 R2" sheetId="2028" r:id="rId88"/>
    <sheet name="04,28 R3" sheetId="2029" r:id="rId89"/>
    <sheet name="(29)" sheetId="2030" r:id="rId90"/>
    <sheet name="04,29 R1" sheetId="2031" r:id="rId91"/>
    <sheet name="04,29 R2" sheetId="2032" r:id="rId92"/>
    <sheet name="04,29 R3" sheetId="2033" r:id="rId93"/>
    <sheet name="(30)" sheetId="2034" r:id="rId94"/>
    <sheet name="04,30 R1" sheetId="2035" r:id="rId95"/>
    <sheet name="04,30 R2" sheetId="2036" r:id="rId96"/>
    <sheet name="04,30 R3" sheetId="2037" r:id="rId9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'(24)'!$A$1:$J$60</definedName>
    <definedName name="_xlnm.Print_Area" localSheetId="81">'(27)'!$A$1:$J$60</definedName>
    <definedName name="_xlnm.Print_Area" localSheetId="85">'(28)'!$A$1:$J$60</definedName>
    <definedName name="_xlnm.Print_Area" localSheetId="89">'(29)'!$A$1:$J$60</definedName>
    <definedName name="_xlnm.Print_Area" localSheetId="9">'(3) NO TRIP'!$A$1:$J$60</definedName>
    <definedName name="_xlnm.Print_Area" localSheetId="93">'(30)'!$A$1:$J$60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'04,20 R1'!$A$1:$J$60</definedName>
    <definedName name="_xlnm.Print_Area" localSheetId="63">'04,20 R2'!$A$1:$J$60</definedName>
    <definedName name="_xlnm.Print_Area" localSheetId="64">'04,20 R3'!$A$1:$J$60</definedName>
    <definedName name="_xlnm.Print_Area" localSheetId="66">'04,21 R1'!$A$1:$J$60</definedName>
    <definedName name="_xlnm.Print_Area" localSheetId="67">'04,21 R2'!$A$1:$J$60</definedName>
    <definedName name="_xlnm.Print_Area" localSheetId="68">'04,21 R3'!$A$1:$J$60</definedName>
    <definedName name="_xlnm.Print_Area" localSheetId="70">'04,22 R1'!$A$1:$J$60</definedName>
    <definedName name="_xlnm.Print_Area" localSheetId="71">'04,22 R2'!$A$1:$J$60</definedName>
    <definedName name="_xlnm.Print_Area" localSheetId="72">'04,22 R3'!$A$1:$J$60</definedName>
    <definedName name="_xlnm.Print_Area" localSheetId="74">'04,23 R1'!$A$1:$J$60</definedName>
    <definedName name="_xlnm.Print_Area" localSheetId="75">'04,23 R2'!$A$1:$J$60</definedName>
    <definedName name="_xlnm.Print_Area" localSheetId="76">'04,23 R3'!$A$1:$J$60</definedName>
    <definedName name="_xlnm.Print_Area" localSheetId="78">'04,24 R1 NO TRIP'!$A$1:$J$60</definedName>
    <definedName name="_xlnm.Print_Area" localSheetId="79">'04,24 R2'!$A$1:$J$60</definedName>
    <definedName name="_xlnm.Print_Area" localSheetId="80">'04,24 R3'!$A$1:$J$60</definedName>
    <definedName name="_xlnm.Print_Area" localSheetId="82">'04,27 R1'!$A$1:$J$60</definedName>
    <definedName name="_xlnm.Print_Area" localSheetId="83">'04,27 R2'!$A$1:$J$60</definedName>
    <definedName name="_xlnm.Print_Area" localSheetId="84">'04,27 R3'!$A$1:$J$60</definedName>
    <definedName name="_xlnm.Print_Area" localSheetId="86">'04,28 R1'!$A$1:$J$60</definedName>
    <definedName name="_xlnm.Print_Area" localSheetId="87">'04,28 R2'!$A$1:$J$60</definedName>
    <definedName name="_xlnm.Print_Area" localSheetId="88">'04,28 R3'!$A$1:$J$60</definedName>
    <definedName name="_xlnm.Print_Area" localSheetId="90">'04,29 R1'!$A$1:$J$60</definedName>
    <definedName name="_xlnm.Print_Area" localSheetId="91">'04,29 R2'!$A$1:$J$60</definedName>
    <definedName name="_xlnm.Print_Area" localSheetId="92">'04,29 R3'!$A$1:$J$60</definedName>
    <definedName name="_xlnm.Print_Area" localSheetId="94">'04,30 R1'!$A$1:$J$60</definedName>
    <definedName name="_xlnm.Print_Area" localSheetId="95">'04,30 R2'!$A$1:$J$60</definedName>
    <definedName name="_xlnm.Print_Area" localSheetId="96">'04,30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29" l="1"/>
  <c r="R52" i="2037"/>
  <c r="R51" i="2037"/>
  <c r="D50" i="2037"/>
  <c r="R49" i="2037"/>
  <c r="D49" i="2037"/>
  <c r="R48" i="2037"/>
  <c r="D48" i="2037"/>
  <c r="D46" i="2037"/>
  <c r="D45" i="2037"/>
  <c r="R44" i="2037"/>
  <c r="D44" i="2037"/>
  <c r="R42" i="2037"/>
  <c r="L6" i="2037" s="1"/>
  <c r="D6" i="2037" s="1"/>
  <c r="D42" i="2037"/>
  <c r="R41" i="2037"/>
  <c r="D41" i="2037"/>
  <c r="R40" i="2037"/>
  <c r="L8" i="2037" s="1"/>
  <c r="D8" i="2037" s="1"/>
  <c r="D40" i="2037"/>
  <c r="R39" i="2037"/>
  <c r="H39" i="2037"/>
  <c r="D39" i="2037"/>
  <c r="R38" i="2037"/>
  <c r="L9" i="2037" s="1"/>
  <c r="D9" i="2037" s="1"/>
  <c r="H38" i="2037"/>
  <c r="D38" i="2037"/>
  <c r="R37" i="2037"/>
  <c r="H37" i="2037"/>
  <c r="D37" i="2037"/>
  <c r="R36" i="2037"/>
  <c r="L10" i="2037" s="1"/>
  <c r="D10" i="2037" s="1"/>
  <c r="H36" i="2037"/>
  <c r="G49" i="2037" s="1"/>
  <c r="D36" i="2037"/>
  <c r="R35" i="2037"/>
  <c r="H35" i="2037"/>
  <c r="D35" i="2037"/>
  <c r="R34" i="2037"/>
  <c r="H34" i="2037"/>
  <c r="D34" i="2037"/>
  <c r="D54" i="2037" s="1"/>
  <c r="H14" i="2037" s="1"/>
  <c r="R33" i="2037"/>
  <c r="R32" i="2037"/>
  <c r="R31" i="2037"/>
  <c r="R30" i="2037"/>
  <c r="R29" i="2037"/>
  <c r="R28" i="2037"/>
  <c r="L28" i="2037"/>
  <c r="D28" i="2037"/>
  <c r="R27" i="2037"/>
  <c r="L27" i="2037"/>
  <c r="D27" i="2037"/>
  <c r="R26" i="2037"/>
  <c r="L26" i="2037"/>
  <c r="D26" i="2037"/>
  <c r="R25" i="2037"/>
  <c r="L25" i="2037"/>
  <c r="D25" i="2037" s="1"/>
  <c r="R24" i="2037"/>
  <c r="L24" i="2037"/>
  <c r="D24" i="2037"/>
  <c r="R23" i="2037"/>
  <c r="L23" i="2037"/>
  <c r="D23" i="2037"/>
  <c r="R22" i="2037"/>
  <c r="L20" i="2037" s="1"/>
  <c r="D20" i="2037" s="1"/>
  <c r="L22" i="2037"/>
  <c r="D22" i="2037"/>
  <c r="R21" i="2037"/>
  <c r="L21" i="2037"/>
  <c r="D21" i="2037" s="1"/>
  <c r="R20" i="2037"/>
  <c r="R19" i="2037"/>
  <c r="L19" i="2037"/>
  <c r="D19" i="2037"/>
  <c r="R18" i="2037"/>
  <c r="L18" i="2037"/>
  <c r="D18" i="2037"/>
  <c r="R17" i="2037"/>
  <c r="L17" i="2037"/>
  <c r="D17" i="2037" s="1"/>
  <c r="R16" i="2037"/>
  <c r="R15" i="2037"/>
  <c r="L15" i="2037"/>
  <c r="D15" i="2037" s="1"/>
  <c r="R14" i="2037"/>
  <c r="D14" i="2037"/>
  <c r="R13" i="2037"/>
  <c r="D13" i="2037"/>
  <c r="R12" i="2037"/>
  <c r="L12" i="2037"/>
  <c r="D12" i="2037" s="1"/>
  <c r="R11" i="2037"/>
  <c r="L11" i="2037"/>
  <c r="D11" i="2037"/>
  <c r="L7" i="2037"/>
  <c r="D7" i="2037"/>
  <c r="R6" i="2037"/>
  <c r="L16" i="2037" s="1"/>
  <c r="D16" i="2037" s="1"/>
  <c r="R5" i="2037"/>
  <c r="R4" i="2037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D54" i="2036" s="1"/>
  <c r="H14" i="2036" s="1"/>
  <c r="R33" i="2036"/>
  <c r="R32" i="2036"/>
  <c r="L11" i="2036" s="1"/>
  <c r="D11" i="2036" s="1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21" i="2036"/>
  <c r="D21" i="2036"/>
  <c r="R20" i="2036"/>
  <c r="R19" i="2036"/>
  <c r="L19" i="2036"/>
  <c r="D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8" i="2036"/>
  <c r="D8" i="2036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D41" i="2035"/>
  <c r="R40" i="2035"/>
  <c r="L8" i="2035" s="1"/>
  <c r="D8" i="2035" s="1"/>
  <c r="D40" i="2035"/>
  <c r="R39" i="2035"/>
  <c r="H39" i="2035"/>
  <c r="D39" i="2035"/>
  <c r="R38" i="2035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H35" i="2035"/>
  <c r="D35" i="2035"/>
  <c r="R34" i="2035"/>
  <c r="H34" i="2035"/>
  <c r="G49" i="2035" s="1"/>
  <c r="D34" i="2035"/>
  <c r="D54" i="2035" s="1"/>
  <c r="H14" i="2035" s="1"/>
  <c r="R33" i="2035"/>
  <c r="L19" i="2035" s="1"/>
  <c r="D19" i="2035" s="1"/>
  <c r="R32" i="2035"/>
  <c r="R31" i="2035"/>
  <c r="R30" i="2035"/>
  <c r="R29" i="2035"/>
  <c r="R28" i="2035"/>
  <c r="L28" i="2035"/>
  <c r="D28" i="2035"/>
  <c r="R27" i="2035"/>
  <c r="L27" i="2035"/>
  <c r="D27" i="2035"/>
  <c r="R26" i="2035"/>
  <c r="L26" i="2035"/>
  <c r="D26" i="2035" s="1"/>
  <c r="R25" i="2035"/>
  <c r="L25" i="2035"/>
  <c r="D25" i="2035" s="1"/>
  <c r="R24" i="2035"/>
  <c r="L24" i="2035"/>
  <c r="D24" i="2035"/>
  <c r="R23" i="2035"/>
  <c r="L23" i="2035"/>
  <c r="D23" i="2035"/>
  <c r="R22" i="2035"/>
  <c r="L20" i="2035" s="1"/>
  <c r="D20" i="2035" s="1"/>
  <c r="L22" i="2035"/>
  <c r="D22" i="2035"/>
  <c r="R21" i="2035"/>
  <c r="L21" i="2035"/>
  <c r="D21" i="2035" s="1"/>
  <c r="R20" i="2035"/>
  <c r="R19" i="2035"/>
  <c r="R18" i="2035"/>
  <c r="L18" i="2035"/>
  <c r="D18" i="2035"/>
  <c r="R17" i="2035"/>
  <c r="L17" i="2035"/>
  <c r="D17" i="2035" s="1"/>
  <c r="R16" i="2035"/>
  <c r="L16" i="2035"/>
  <c r="D16" i="2035"/>
  <c r="R15" i="2035"/>
  <c r="L15" i="2035"/>
  <c r="D15" i="2035" s="1"/>
  <c r="R14" i="2035"/>
  <c r="D14" i="2035"/>
  <c r="R13" i="2035"/>
  <c r="D13" i="2035"/>
  <c r="R12" i="2035"/>
  <c r="L12" i="2035"/>
  <c r="D12" i="2035" s="1"/>
  <c r="R11" i="2035"/>
  <c r="L11" i="2035"/>
  <c r="D11" i="2035"/>
  <c r="L9" i="2035"/>
  <c r="D9" i="2035" s="1"/>
  <c r="L7" i="2035"/>
  <c r="D7" i="2035"/>
  <c r="R6" i="2035"/>
  <c r="R5" i="2035"/>
  <c r="R4" i="2035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R31" i="2034"/>
  <c r="R30" i="2034"/>
  <c r="R29" i="2034"/>
  <c r="R28" i="2034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L16" i="2034"/>
  <c r="D16" i="2034" s="1"/>
  <c r="S15" i="2034"/>
  <c r="R15" i="2034"/>
  <c r="D15" i="2034"/>
  <c r="S14" i="2034"/>
  <c r="R14" i="2034"/>
  <c r="D14" i="2034"/>
  <c r="R13" i="2034"/>
  <c r="D13" i="2034"/>
  <c r="R12" i="2034"/>
  <c r="R11" i="2034"/>
  <c r="L11" i="2034"/>
  <c r="D11" i="2034"/>
  <c r="L9" i="2034"/>
  <c r="D9" i="2034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L7" i="2033" s="1"/>
  <c r="D7" i="2033" s="1"/>
  <c r="D41" i="2033"/>
  <c r="R40" i="2033"/>
  <c r="L8" i="2033" s="1"/>
  <c r="D8" i="2033" s="1"/>
  <c r="D40" i="2033"/>
  <c r="R39" i="2033"/>
  <c r="H39" i="2033"/>
  <c r="D39" i="2033"/>
  <c r="R38" i="2033"/>
  <c r="L9" i="2033" s="1"/>
  <c r="D9" i="2033" s="1"/>
  <c r="H38" i="2033"/>
  <c r="D38" i="2033"/>
  <c r="R37" i="2033"/>
  <c r="H37" i="2033"/>
  <c r="D37" i="2033"/>
  <c r="R36" i="2033"/>
  <c r="L10" i="2033" s="1"/>
  <c r="D10" i="2033" s="1"/>
  <c r="H36" i="2033"/>
  <c r="D36" i="2033"/>
  <c r="R35" i="2033"/>
  <c r="L18" i="2033" s="1"/>
  <c r="D18" i="2033" s="1"/>
  <c r="H35" i="2033"/>
  <c r="G49" i="2033" s="1"/>
  <c r="D35" i="2033"/>
  <c r="D54" i="2033" s="1"/>
  <c r="H14" i="2033" s="1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 s="1"/>
  <c r="R26" i="2033"/>
  <c r="L26" i="2033"/>
  <c r="D26" i="2033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/>
  <c r="R21" i="2033"/>
  <c r="L17" i="2033" s="1"/>
  <c r="D17" i="2033" s="1"/>
  <c r="L21" i="2033"/>
  <c r="D21" i="2033" s="1"/>
  <c r="R20" i="2033"/>
  <c r="R19" i="2033"/>
  <c r="R18" i="2033"/>
  <c r="R17" i="2033"/>
  <c r="R16" i="2033"/>
  <c r="L16" i="2033"/>
  <c r="D16" i="2033" s="1"/>
  <c r="R15" i="2033"/>
  <c r="R14" i="2033"/>
  <c r="D14" i="2033"/>
  <c r="R13" i="2033"/>
  <c r="D13" i="2033"/>
  <c r="R12" i="2033"/>
  <c r="R11" i="2033"/>
  <c r="L11" i="2033"/>
  <c r="D11" i="2033" s="1"/>
  <c r="R6" i="2033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D44" i="2032"/>
  <c r="R42" i="2032"/>
  <c r="L6" i="2032" s="1"/>
  <c r="D6" i="2032" s="1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H35" i="2032"/>
  <c r="D35" i="2032"/>
  <c r="R34" i="2032"/>
  <c r="H34" i="2032"/>
  <c r="G49" i="2032" s="1"/>
  <c r="D34" i="2032"/>
  <c r="D54" i="2032" s="1"/>
  <c r="H14" i="2032" s="1"/>
  <c r="R33" i="2032"/>
  <c r="R32" i="2032"/>
  <c r="R31" i="2032"/>
  <c r="R30" i="2032"/>
  <c r="R29" i="2032"/>
  <c r="R28" i="2032"/>
  <c r="L28" i="2032"/>
  <c r="D28" i="2032"/>
  <c r="R27" i="2032"/>
  <c r="L27" i="2032"/>
  <c r="D27" i="2032"/>
  <c r="R26" i="2032"/>
  <c r="L26" i="2032"/>
  <c r="D26" i="2032" s="1"/>
  <c r="R25" i="2032"/>
  <c r="L25" i="2032"/>
  <c r="D25" i="2032" s="1"/>
  <c r="R24" i="2032"/>
  <c r="L24" i="2032"/>
  <c r="D24" i="2032"/>
  <c r="R23" i="2032"/>
  <c r="L23" i="2032"/>
  <c r="D23" i="2032"/>
  <c r="R22" i="2032"/>
  <c r="L20" i="2032" s="1"/>
  <c r="D20" i="2032" s="1"/>
  <c r="L22" i="2032"/>
  <c r="D22" i="2032"/>
  <c r="R21" i="2032"/>
  <c r="L21" i="2032"/>
  <c r="D21" i="2032"/>
  <c r="R20" i="2032"/>
  <c r="R19" i="2032"/>
  <c r="L19" i="2032"/>
  <c r="D19" i="2032"/>
  <c r="R18" i="2032"/>
  <c r="L18" i="2032"/>
  <c r="D18" i="2032" s="1"/>
  <c r="R17" i="2032"/>
  <c r="L17" i="2032"/>
  <c r="D17" i="2032" s="1"/>
  <c r="R16" i="2032"/>
  <c r="R15" i="2032"/>
  <c r="L15" i="2032"/>
  <c r="D15" i="2032"/>
  <c r="R14" i="2032"/>
  <c r="D14" i="2032"/>
  <c r="R13" i="2032"/>
  <c r="D13" i="2032"/>
  <c r="R12" i="2032"/>
  <c r="L12" i="2032"/>
  <c r="D12" i="2032" s="1"/>
  <c r="R11" i="2032"/>
  <c r="L11" i="2032"/>
  <c r="D11" i="2032"/>
  <c r="L10" i="2032"/>
  <c r="D10" i="2032" s="1"/>
  <c r="L9" i="2032"/>
  <c r="D9" i="2032" s="1"/>
  <c r="L7" i="2032"/>
  <c r="D7" i="2032"/>
  <c r="R6" i="2032"/>
  <c r="L16" i="2032" s="1"/>
  <c r="D1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D42" i="2031"/>
  <c r="R41" i="2031"/>
  <c r="D41" i="2031"/>
  <c r="R40" i="2031"/>
  <c r="L8" i="2031" s="1"/>
  <c r="D8" i="2031" s="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G49" i="2031" s="1"/>
  <c r="D35" i="2031"/>
  <c r="D54" i="2031" s="1"/>
  <c r="H14" i="2031" s="1"/>
  <c r="R34" i="2031"/>
  <c r="H34" i="2031"/>
  <c r="D34" i="2031"/>
  <c r="R33" i="2031"/>
  <c r="R32" i="2031"/>
  <c r="R31" i="2031"/>
  <c r="R30" i="2031"/>
  <c r="R29" i="2031"/>
  <c r="R28" i="2031"/>
  <c r="L28" i="2031"/>
  <c r="D28" i="2031"/>
  <c r="R27" i="2031"/>
  <c r="L27" i="2031"/>
  <c r="D27" i="203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 s="1"/>
  <c r="R22" i="2031"/>
  <c r="L20" i="2031" s="1"/>
  <c r="D20" i="2031" s="1"/>
  <c r="L22" i="2031"/>
  <c r="D22" i="2031"/>
  <c r="R21" i="2031"/>
  <c r="L17" i="2031" s="1"/>
  <c r="D17" i="2031" s="1"/>
  <c r="L21" i="2031"/>
  <c r="D21" i="2031"/>
  <c r="R20" i="2031"/>
  <c r="R19" i="2031"/>
  <c r="L19" i="2031"/>
  <c r="D19" i="2031"/>
  <c r="R18" i="2031"/>
  <c r="R17" i="2031"/>
  <c r="R16" i="2031"/>
  <c r="L16" i="2031"/>
  <c r="D16" i="2031" s="1"/>
  <c r="R15" i="2031"/>
  <c r="R14" i="2031"/>
  <c r="D14" i="2031"/>
  <c r="R13" i="2031"/>
  <c r="D13" i="2031"/>
  <c r="R12" i="2031"/>
  <c r="L12" i="2031"/>
  <c r="D12" i="2031"/>
  <c r="R11" i="2031"/>
  <c r="L11" i="2031"/>
  <c r="D11" i="2031" s="1"/>
  <c r="L7" i="2031"/>
  <c r="D7" i="2031" s="1"/>
  <c r="R6" i="2031"/>
  <c r="L6" i="2031"/>
  <c r="D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D42" i="2030"/>
  <c r="R41" i="2030"/>
  <c r="L7" i="2030" s="1"/>
  <c r="D7" i="2030" s="1"/>
  <c r="D41" i="2030"/>
  <c r="R40" i="2030"/>
  <c r="L8" i="2030" s="1"/>
  <c r="D8" i="2030" s="1"/>
  <c r="D40" i="2030"/>
  <c r="D54" i="2030" s="1"/>
  <c r="H14" i="2030" s="1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L16" i="2030"/>
  <c r="D16" i="2030" s="1"/>
  <c r="S15" i="2030"/>
  <c r="R15" i="2030"/>
  <c r="D15" i="2030"/>
  <c r="S14" i="2030"/>
  <c r="R14" i="2030"/>
  <c r="D14" i="2030"/>
  <c r="R13" i="2030"/>
  <c r="D13" i="2030"/>
  <c r="R12" i="2030"/>
  <c r="R11" i="2030"/>
  <c r="L9" i="2030"/>
  <c r="D9" i="2030" s="1"/>
  <c r="R6" i="2030"/>
  <c r="L6" i="2030"/>
  <c r="D6" i="2030"/>
  <c r="R5" i="2030"/>
  <c r="R4" i="2030"/>
  <c r="D29" i="2037" l="1"/>
  <c r="H13" i="2037" s="1"/>
  <c r="H15" i="2037" s="1"/>
  <c r="H29" i="2037" s="1"/>
  <c r="G51" i="2037"/>
  <c r="D29" i="2036"/>
  <c r="H13" i="2036" s="1"/>
  <c r="H15" i="2036" s="1"/>
  <c r="H29" i="2036" s="1"/>
  <c r="G51" i="2036" s="1"/>
  <c r="D29" i="2035"/>
  <c r="H13" i="2035" s="1"/>
  <c r="H15" i="2035" s="1"/>
  <c r="H29" i="2035" s="1"/>
  <c r="G51" i="2035"/>
  <c r="D29" i="2034"/>
  <c r="H13" i="2034" s="1"/>
  <c r="H15" i="2034" s="1"/>
  <c r="H29" i="2034" s="1"/>
  <c r="G51" i="2034"/>
  <c r="D29" i="2033"/>
  <c r="H13" i="2033" s="1"/>
  <c r="H15" i="2033" s="1"/>
  <c r="H29" i="2033" s="1"/>
  <c r="G51" i="2033" s="1"/>
  <c r="D29" i="2032"/>
  <c r="H13" i="2032" s="1"/>
  <c r="H15" i="2032" s="1"/>
  <c r="H29" i="2032" s="1"/>
  <c r="G51" i="2032" s="1"/>
  <c r="D29" i="2031"/>
  <c r="H13" i="2031" s="1"/>
  <c r="H15" i="2031" s="1"/>
  <c r="H29" i="2031" s="1"/>
  <c r="G51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G49" i="2029" s="1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G49" i="2028" l="1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G51" i="2020"/>
  <c r="C12" i="2021"/>
  <c r="H15" i="2029" l="1"/>
  <c r="H29" i="2029" s="1"/>
  <c r="G51" i="2029" s="1"/>
  <c r="H15" i="2028"/>
  <c r="H29" i="2028" s="1"/>
  <c r="G51" i="2028" s="1"/>
  <c r="H15" i="2027"/>
  <c r="H29" i="2027" s="1"/>
  <c r="G51" i="2027" s="1"/>
  <c r="H16" i="2017"/>
  <c r="C12" i="2017"/>
  <c r="C16" i="2016"/>
  <c r="C12" i="2015"/>
  <c r="H16" i="2013" l="1"/>
  <c r="C12" i="2013"/>
  <c r="H16" i="2005" l="1"/>
  <c r="C12" i="2005"/>
  <c r="C15" i="2005"/>
  <c r="C12" i="2004"/>
  <c r="C18" i="2003"/>
  <c r="G51" i="2009" l="1"/>
  <c r="H16" i="2009"/>
  <c r="C18" i="2008"/>
  <c r="C12" i="2007"/>
  <c r="R52" i="2025" l="1"/>
  <c r="R51" i="2025"/>
  <c r="D50" i="2025"/>
  <c r="R49" i="2025"/>
  <c r="D49" i="2025"/>
  <c r="R48" i="2025"/>
  <c r="D48" i="2025"/>
  <c r="D46" i="2025"/>
  <c r="D45" i="2025"/>
  <c r="R44" i="2025"/>
  <c r="L28" i="2025" s="1"/>
  <c r="D28" i="2025" s="1"/>
  <c r="D44" i="2025"/>
  <c r="R42" i="2025"/>
  <c r="D42" i="2025"/>
  <c r="R41" i="2025"/>
  <c r="L7" i="2025" s="1"/>
  <c r="D7" i="2025" s="1"/>
  <c r="D41" i="2025"/>
  <c r="R40" i="2025"/>
  <c r="D40" i="2025"/>
  <c r="R39" i="2025"/>
  <c r="H39" i="2025"/>
  <c r="D39" i="2025"/>
  <c r="R38" i="2025"/>
  <c r="H38" i="2025"/>
  <c r="D38" i="2025"/>
  <c r="R37" i="2025"/>
  <c r="H37" i="2025"/>
  <c r="D37" i="2025"/>
  <c r="R36" i="2025"/>
  <c r="H36" i="2025"/>
  <c r="D36" i="2025"/>
  <c r="R35" i="2025"/>
  <c r="L18" i="2025" s="1"/>
  <c r="D18" i="2025" s="1"/>
  <c r="H35" i="2025"/>
  <c r="D35" i="2025"/>
  <c r="R34" i="2025"/>
  <c r="L12" i="2025" s="1"/>
  <c r="D12" i="2025" s="1"/>
  <c r="H34" i="2025"/>
  <c r="D34" i="2025"/>
  <c r="R33" i="2025"/>
  <c r="R32" i="2025"/>
  <c r="R31" i="2025"/>
  <c r="R30" i="2025"/>
  <c r="R29" i="2025"/>
  <c r="R28" i="2025"/>
  <c r="R27" i="2025"/>
  <c r="L27" i="2025"/>
  <c r="D27" i="2025" s="1"/>
  <c r="R26" i="2025"/>
  <c r="L26" i="2025"/>
  <c r="D26" i="2025" s="1"/>
  <c r="R25" i="2025"/>
  <c r="L25" i="2025"/>
  <c r="D25" i="2025"/>
  <c r="R24" i="2025"/>
  <c r="L24" i="2025"/>
  <c r="D24" i="2025" s="1"/>
  <c r="R23" i="2025"/>
  <c r="L23" i="2025"/>
  <c r="D23" i="2025" s="1"/>
  <c r="R22" i="2025"/>
  <c r="L22" i="2025"/>
  <c r="D22" i="2025"/>
  <c r="R21" i="2025"/>
  <c r="L21" i="2025"/>
  <c r="D21" i="2025" s="1"/>
  <c r="R20" i="2025"/>
  <c r="L20" i="2025"/>
  <c r="D20" i="2025" s="1"/>
  <c r="R19" i="2025"/>
  <c r="L19" i="2025"/>
  <c r="D19" i="2025" s="1"/>
  <c r="R18" i="2025"/>
  <c r="R17" i="2025"/>
  <c r="L17" i="2025"/>
  <c r="D17" i="2025"/>
  <c r="R16" i="2025"/>
  <c r="R15" i="2025"/>
  <c r="R14" i="2025"/>
  <c r="D14" i="2025"/>
  <c r="R13" i="2025"/>
  <c r="D13" i="2025"/>
  <c r="R12" i="2025"/>
  <c r="R11" i="2025"/>
  <c r="L11" i="2025"/>
  <c r="D11" i="2025"/>
  <c r="L10" i="2025"/>
  <c r="D10" i="2025" s="1"/>
  <c r="L9" i="2025"/>
  <c r="D9" i="2025" s="1"/>
  <c r="L8" i="2025"/>
  <c r="D8" i="2025"/>
  <c r="R6" i="2025"/>
  <c r="L16" i="2025" s="1"/>
  <c r="D16" i="2025" s="1"/>
  <c r="L6" i="2025"/>
  <c r="D6" i="2025" s="1"/>
  <c r="R5" i="2025"/>
  <c r="R4" i="2025"/>
  <c r="L15" i="2025" s="1"/>
  <c r="D15" i="2025" s="1"/>
  <c r="R52" i="2024"/>
  <c r="R51" i="2024"/>
  <c r="D50" i="2024"/>
  <c r="R49" i="2024"/>
  <c r="D49" i="2024"/>
  <c r="R48" i="2024"/>
  <c r="D48" i="2024"/>
  <c r="D46" i="2024"/>
  <c r="D45" i="2024"/>
  <c r="R44" i="2024"/>
  <c r="D44" i="2024"/>
  <c r="R42" i="2024"/>
  <c r="D42" i="2024"/>
  <c r="R41" i="2024"/>
  <c r="D41" i="2024"/>
  <c r="R40" i="2024"/>
  <c r="L8" i="2024" s="1"/>
  <c r="D8" i="2024" s="1"/>
  <c r="D40" i="2024"/>
  <c r="R39" i="2024"/>
  <c r="H39" i="2024"/>
  <c r="D39" i="2024"/>
  <c r="R38" i="2024"/>
  <c r="H38" i="2024"/>
  <c r="D38" i="2024"/>
  <c r="R37" i="2024"/>
  <c r="H37" i="2024"/>
  <c r="D37" i="2024"/>
  <c r="R36" i="2024"/>
  <c r="L10" i="2024" s="1"/>
  <c r="D10" i="2024" s="1"/>
  <c r="H36" i="2024"/>
  <c r="D36" i="2024"/>
  <c r="R35" i="2024"/>
  <c r="H35" i="2024"/>
  <c r="D35" i="2024"/>
  <c r="R34" i="2024"/>
  <c r="H34" i="2024"/>
  <c r="G49" i="2024" s="1"/>
  <c r="D34" i="2024"/>
  <c r="D54" i="2024" s="1"/>
  <c r="H14" i="2024" s="1"/>
  <c r="R33" i="2024"/>
  <c r="R32" i="2024"/>
  <c r="R31" i="2024"/>
  <c r="R30" i="2024"/>
  <c r="R29" i="2024"/>
  <c r="R28" i="2024"/>
  <c r="L28" i="2024"/>
  <c r="D28" i="2024"/>
  <c r="R27" i="2024"/>
  <c r="L27" i="2024"/>
  <c r="D27" i="2024"/>
  <c r="R26" i="2024"/>
  <c r="L26" i="2024"/>
  <c r="D26" i="2024" s="1"/>
  <c r="R25" i="2024"/>
  <c r="L25" i="2024"/>
  <c r="D25" i="2024"/>
  <c r="R24" i="2024"/>
  <c r="L24" i="2024"/>
  <c r="D24" i="2024" s="1"/>
  <c r="R23" i="2024"/>
  <c r="L23" i="2024"/>
  <c r="D23" i="2024" s="1"/>
  <c r="R22" i="2024"/>
  <c r="L20" i="2024" s="1"/>
  <c r="D20" i="2024" s="1"/>
  <c r="L22" i="2024"/>
  <c r="D22" i="2024"/>
  <c r="R21" i="2024"/>
  <c r="L21" i="2024"/>
  <c r="D21" i="2024"/>
  <c r="R20" i="2024"/>
  <c r="R19" i="2024"/>
  <c r="L19" i="2024"/>
  <c r="D19" i="2024"/>
  <c r="R18" i="2024"/>
  <c r="L18" i="2024"/>
  <c r="D18" i="2024"/>
  <c r="R17" i="2024"/>
  <c r="L17" i="2024"/>
  <c r="D17" i="2024" s="1"/>
  <c r="R16" i="2024"/>
  <c r="L16" i="2024"/>
  <c r="D16" i="2024" s="1"/>
  <c r="R15" i="2024"/>
  <c r="L15" i="2024"/>
  <c r="D15" i="2024"/>
  <c r="R14" i="2024"/>
  <c r="D14" i="2024"/>
  <c r="R13" i="2024"/>
  <c r="D13" i="2024"/>
  <c r="R12" i="2024"/>
  <c r="L12" i="2024"/>
  <c r="D12" i="2024" s="1"/>
  <c r="R11" i="2024"/>
  <c r="L11" i="2024"/>
  <c r="D11" i="2024" s="1"/>
  <c r="L9" i="2024"/>
  <c r="D9" i="2024" s="1"/>
  <c r="L7" i="2024"/>
  <c r="D7" i="2024" s="1"/>
  <c r="R6" i="2024"/>
  <c r="L6" i="2024"/>
  <c r="D6" i="2024" s="1"/>
  <c r="R5" i="2024"/>
  <c r="R4" i="2024"/>
  <c r="R52" i="2023"/>
  <c r="R51" i="2023"/>
  <c r="D50" i="2023"/>
  <c r="R49" i="2023"/>
  <c r="D49" i="2023"/>
  <c r="R48" i="2023"/>
  <c r="D48" i="2023"/>
  <c r="D46" i="2023"/>
  <c r="D45" i="2023"/>
  <c r="R44" i="2023"/>
  <c r="L28" i="2023" s="1"/>
  <c r="D28" i="2023" s="1"/>
  <c r="D44" i="2023"/>
  <c r="R42" i="2023"/>
  <c r="D42" i="2023"/>
  <c r="R41" i="2023"/>
  <c r="L7" i="2023" s="1"/>
  <c r="D7" i="2023" s="1"/>
  <c r="D41" i="2023"/>
  <c r="R40" i="2023"/>
  <c r="D40" i="2023"/>
  <c r="R39" i="2023"/>
  <c r="H39" i="2023"/>
  <c r="D39" i="2023"/>
  <c r="R38" i="2023"/>
  <c r="H38" i="2023"/>
  <c r="D38" i="2023"/>
  <c r="R37" i="2023"/>
  <c r="H37" i="2023"/>
  <c r="D37" i="2023"/>
  <c r="R36" i="2023"/>
  <c r="H36" i="2023"/>
  <c r="D36" i="2023"/>
  <c r="R35" i="2023"/>
  <c r="H35" i="2023"/>
  <c r="D35" i="2023"/>
  <c r="R34" i="2023"/>
  <c r="L12" i="2023" s="1"/>
  <c r="D12" i="2023" s="1"/>
  <c r="H34" i="2023"/>
  <c r="G49" i="2023" s="1"/>
  <c r="D34" i="2023"/>
  <c r="R33" i="2023"/>
  <c r="L19" i="2023" s="1"/>
  <c r="D19" i="2023" s="1"/>
  <c r="R32" i="2023"/>
  <c r="R31" i="2023"/>
  <c r="R30" i="2023"/>
  <c r="R29" i="2023"/>
  <c r="R28" i="2023"/>
  <c r="R27" i="2023"/>
  <c r="L27" i="2023"/>
  <c r="D27" i="2023" s="1"/>
  <c r="R26" i="2023"/>
  <c r="L26" i="2023"/>
  <c r="D26" i="2023" s="1"/>
  <c r="R25" i="2023"/>
  <c r="L25" i="2023"/>
  <c r="D25" i="2023"/>
  <c r="R24" i="2023"/>
  <c r="L24" i="2023"/>
  <c r="D24" i="2023" s="1"/>
  <c r="R23" i="2023"/>
  <c r="L23" i="2023"/>
  <c r="D23" i="2023" s="1"/>
  <c r="R22" i="2023"/>
  <c r="L22" i="2023"/>
  <c r="D22" i="2023" s="1"/>
  <c r="R21" i="2023"/>
  <c r="L21" i="2023"/>
  <c r="D21" i="2023" s="1"/>
  <c r="R20" i="2023"/>
  <c r="L20" i="2023"/>
  <c r="D20" i="2023" s="1"/>
  <c r="R19" i="2023"/>
  <c r="R18" i="2023"/>
  <c r="L18" i="2023"/>
  <c r="D18" i="2023" s="1"/>
  <c r="R17" i="2023"/>
  <c r="L17" i="2023"/>
  <c r="D17" i="2023" s="1"/>
  <c r="R16" i="2023"/>
  <c r="R15" i="2023"/>
  <c r="R14" i="2023"/>
  <c r="D14" i="2023"/>
  <c r="R13" i="2023"/>
  <c r="D13" i="2023"/>
  <c r="R12" i="2023"/>
  <c r="R11" i="2023"/>
  <c r="L11" i="2023"/>
  <c r="D11" i="2023"/>
  <c r="L10" i="2023"/>
  <c r="D10" i="2023" s="1"/>
  <c r="L9" i="2023"/>
  <c r="D9" i="2023" s="1"/>
  <c r="L8" i="2023"/>
  <c r="D8" i="2023" s="1"/>
  <c r="R6" i="2023"/>
  <c r="L16" i="2023" s="1"/>
  <c r="D16" i="2023" s="1"/>
  <c r="L6" i="2023"/>
  <c r="D6" i="2023" s="1"/>
  <c r="R5" i="2023"/>
  <c r="R4" i="2023"/>
  <c r="L15" i="2023" s="1"/>
  <c r="D15" i="2023" s="1"/>
  <c r="R52" i="2022"/>
  <c r="R51" i="2022"/>
  <c r="D50" i="2022"/>
  <c r="R49" i="2022"/>
  <c r="G49" i="2022"/>
  <c r="D49" i="2022"/>
  <c r="R48" i="2022"/>
  <c r="D48" i="2022"/>
  <c r="D46" i="2022"/>
  <c r="D45" i="2022"/>
  <c r="D44" i="2022"/>
  <c r="R42" i="2022"/>
  <c r="L6" i="2022" s="1"/>
  <c r="D6" i="2022" s="1"/>
  <c r="D42" i="2022"/>
  <c r="R41" i="2022"/>
  <c r="L7" i="2022" s="1"/>
  <c r="D7" i="2022" s="1"/>
  <c r="D41" i="2022"/>
  <c r="R40" i="2022"/>
  <c r="D40" i="2022"/>
  <c r="R39" i="2022"/>
  <c r="D39" i="2022"/>
  <c r="R38" i="2022"/>
  <c r="D38" i="2022"/>
  <c r="R37" i="2022"/>
  <c r="D37" i="2022"/>
  <c r="R36" i="2022"/>
  <c r="L10" i="2022" s="1"/>
  <c r="D10" i="2022" s="1"/>
  <c r="D36" i="2022"/>
  <c r="R35" i="2022"/>
  <c r="D35" i="2022"/>
  <c r="R34" i="2022"/>
  <c r="L12" i="2022" s="1"/>
  <c r="D12" i="2022" s="1"/>
  <c r="D34" i="2022"/>
  <c r="D54" i="2022" s="1"/>
  <c r="H14" i="2022" s="1"/>
  <c r="R33" i="2022"/>
  <c r="L23" i="2022" s="1"/>
  <c r="D23" i="2022" s="1"/>
  <c r="R32" i="2022"/>
  <c r="R31" i="2022"/>
  <c r="R30" i="2022"/>
  <c r="R29" i="2022"/>
  <c r="R28" i="2022"/>
  <c r="D28" i="2022"/>
  <c r="R27" i="2022"/>
  <c r="D27" i="2022"/>
  <c r="R26" i="2022"/>
  <c r="L26" i="2022"/>
  <c r="D26" i="2022"/>
  <c r="R25" i="2022"/>
  <c r="L25" i="2022"/>
  <c r="D25" i="2022"/>
  <c r="R24" i="2022"/>
  <c r="D24" i="2022"/>
  <c r="R23" i="2022"/>
  <c r="R22" i="2022"/>
  <c r="L22" i="2022"/>
  <c r="D22" i="2022"/>
  <c r="R21" i="2022"/>
  <c r="D21" i="2022"/>
  <c r="R20" i="2022"/>
  <c r="L20" i="2022"/>
  <c r="D20" i="2022"/>
  <c r="R19" i="2022"/>
  <c r="L19" i="2022"/>
  <c r="D19" i="2022"/>
  <c r="R18" i="2022"/>
  <c r="D18" i="2022"/>
  <c r="R17" i="2022"/>
  <c r="D17" i="2022"/>
  <c r="R16" i="2022"/>
  <c r="L16" i="2022"/>
  <c r="D16" i="2022" s="1"/>
  <c r="S15" i="2022"/>
  <c r="R15" i="2022"/>
  <c r="D15" i="2022"/>
  <c r="S14" i="2022"/>
  <c r="R14" i="2022"/>
  <c r="D14" i="2022"/>
  <c r="R13" i="2022"/>
  <c r="D13" i="2022"/>
  <c r="R12" i="2022"/>
  <c r="R11" i="2022"/>
  <c r="L11" i="2022"/>
  <c r="D11" i="2022"/>
  <c r="L9" i="2022"/>
  <c r="D9" i="2022" s="1"/>
  <c r="L8" i="2022"/>
  <c r="D8" i="2022"/>
  <c r="R6" i="2022"/>
  <c r="R5" i="2022"/>
  <c r="R4" i="2022"/>
  <c r="R52" i="2021"/>
  <c r="R51" i="2021"/>
  <c r="D50" i="2021"/>
  <c r="R49" i="2021"/>
  <c r="D49" i="2021"/>
  <c r="R48" i="2021"/>
  <c r="D48" i="2021"/>
  <c r="D46" i="2021"/>
  <c r="D45" i="2021"/>
  <c r="R44" i="2021"/>
  <c r="D44" i="2021"/>
  <c r="R42" i="2021"/>
  <c r="D42" i="2021"/>
  <c r="R41" i="2021"/>
  <c r="D41" i="2021"/>
  <c r="R40" i="2021"/>
  <c r="L8" i="2021" s="1"/>
  <c r="D8" i="2021" s="1"/>
  <c r="D40" i="2021"/>
  <c r="R39" i="2021"/>
  <c r="H39" i="2021"/>
  <c r="D39" i="2021"/>
  <c r="R38" i="2021"/>
  <c r="L9" i="2021" s="1"/>
  <c r="D9" i="2021" s="1"/>
  <c r="H38" i="2021"/>
  <c r="D38" i="2021"/>
  <c r="R37" i="2021"/>
  <c r="H37" i="2021"/>
  <c r="D37" i="2021"/>
  <c r="R36" i="2021"/>
  <c r="L10" i="2021" s="1"/>
  <c r="D10" i="2021" s="1"/>
  <c r="H36" i="2021"/>
  <c r="D36" i="2021"/>
  <c r="R35" i="2021"/>
  <c r="H35" i="2021"/>
  <c r="D35" i="2021"/>
  <c r="R34" i="2021"/>
  <c r="L12" i="2021" s="1"/>
  <c r="D12" i="2021" s="1"/>
  <c r="H34" i="2021"/>
  <c r="D34" i="2021"/>
  <c r="R33" i="2021"/>
  <c r="R32" i="2021"/>
  <c r="R31" i="2021"/>
  <c r="R30" i="2021"/>
  <c r="R29" i="2021"/>
  <c r="R28" i="2021"/>
  <c r="L28" i="2021"/>
  <c r="D28" i="2021"/>
  <c r="R27" i="2021"/>
  <c r="L27" i="2021"/>
  <c r="D27" i="2021"/>
  <c r="R26" i="2021"/>
  <c r="L26" i="2021"/>
  <c r="D26" i="2021"/>
  <c r="R25" i="2021"/>
  <c r="L25" i="2021"/>
  <c r="D25" i="2021" s="1"/>
  <c r="R24" i="2021"/>
  <c r="L24" i="2021"/>
  <c r="D24" i="2021"/>
  <c r="R23" i="2021"/>
  <c r="L23" i="2021"/>
  <c r="D23" i="2021" s="1"/>
  <c r="R22" i="2021"/>
  <c r="L20" i="2021" s="1"/>
  <c r="D20" i="2021" s="1"/>
  <c r="L22" i="2021"/>
  <c r="D22" i="2021"/>
  <c r="R21" i="2021"/>
  <c r="L17" i="2021" s="1"/>
  <c r="D17" i="2021" s="1"/>
  <c r="L21" i="2021"/>
  <c r="D21" i="2021" s="1"/>
  <c r="R20" i="2021"/>
  <c r="R19" i="2021"/>
  <c r="L19" i="2021"/>
  <c r="D19" i="2021"/>
  <c r="R18" i="2021"/>
  <c r="L18" i="2021"/>
  <c r="D18" i="2021"/>
  <c r="R17" i="2021"/>
  <c r="R16" i="2021"/>
  <c r="L16" i="2021"/>
  <c r="D16" i="2021"/>
  <c r="R15" i="2021"/>
  <c r="L15" i="2021"/>
  <c r="D15" i="2021" s="1"/>
  <c r="R14" i="2021"/>
  <c r="D14" i="2021"/>
  <c r="R13" i="2021"/>
  <c r="D13" i="2021"/>
  <c r="R12" i="2021"/>
  <c r="R11" i="2021"/>
  <c r="L11" i="2021"/>
  <c r="D11" i="2021"/>
  <c r="L7" i="2021"/>
  <c r="D7" i="2021"/>
  <c r="R6" i="2021"/>
  <c r="L6" i="2021"/>
  <c r="D6" i="2021" s="1"/>
  <c r="R5" i="2021"/>
  <c r="R4" i="2021"/>
  <c r="R52" i="2020"/>
  <c r="R51" i="2020"/>
  <c r="D50" i="2020"/>
  <c r="R49" i="2020"/>
  <c r="D49" i="2020"/>
  <c r="R48" i="2020"/>
  <c r="D48" i="2020"/>
  <c r="D46" i="2020"/>
  <c r="D45" i="2020"/>
  <c r="R44" i="2020"/>
  <c r="D44" i="2020"/>
  <c r="R42" i="2020"/>
  <c r="L6" i="2020" s="1"/>
  <c r="D6" i="2020" s="1"/>
  <c r="D42" i="2020"/>
  <c r="R41" i="2020"/>
  <c r="D41" i="2020"/>
  <c r="R40" i="2020"/>
  <c r="L8" i="2020" s="1"/>
  <c r="D8" i="2020" s="1"/>
  <c r="D40" i="2020"/>
  <c r="R39" i="2020"/>
  <c r="H39" i="2020"/>
  <c r="D39" i="2020"/>
  <c r="R38" i="2020"/>
  <c r="H38" i="2020"/>
  <c r="D38" i="2020"/>
  <c r="R37" i="2020"/>
  <c r="H37" i="2020"/>
  <c r="D37" i="2020"/>
  <c r="R36" i="2020"/>
  <c r="H36" i="2020"/>
  <c r="D36" i="2020"/>
  <c r="R35" i="2020"/>
  <c r="H35" i="2020"/>
  <c r="D35" i="2020"/>
  <c r="R34" i="2020"/>
  <c r="L12" i="2020" s="1"/>
  <c r="D12" i="2020" s="1"/>
  <c r="H34" i="2020"/>
  <c r="D34" i="2020"/>
  <c r="R33" i="2020"/>
  <c r="L19" i="2020" s="1"/>
  <c r="D19" i="2020" s="1"/>
  <c r="R32" i="2020"/>
  <c r="L11" i="2020" s="1"/>
  <c r="D11" i="2020" s="1"/>
  <c r="R31" i="2020"/>
  <c r="R30" i="2020"/>
  <c r="R29" i="2020"/>
  <c r="R28" i="2020"/>
  <c r="L28" i="2020"/>
  <c r="D28" i="2020"/>
  <c r="R27" i="2020"/>
  <c r="L27" i="2020"/>
  <c r="D27" i="2020"/>
  <c r="R26" i="2020"/>
  <c r="L26" i="2020"/>
  <c r="D26" i="2020"/>
  <c r="R25" i="2020"/>
  <c r="L25" i="2020"/>
  <c r="D25" i="2020" s="1"/>
  <c r="R24" i="2020"/>
  <c r="L24" i="2020"/>
  <c r="D24" i="2020" s="1"/>
  <c r="R23" i="2020"/>
  <c r="L23" i="2020"/>
  <c r="D23" i="2020"/>
  <c r="R22" i="2020"/>
  <c r="L22" i="2020"/>
  <c r="D22" i="2020"/>
  <c r="R21" i="2020"/>
  <c r="L17" i="2020" s="1"/>
  <c r="D17" i="2020" s="1"/>
  <c r="L21" i="2020"/>
  <c r="D21" i="2020"/>
  <c r="R20" i="2020"/>
  <c r="L20" i="2020"/>
  <c r="D20" i="2020" s="1"/>
  <c r="R19" i="2020"/>
  <c r="R18" i="2020"/>
  <c r="L18" i="2020"/>
  <c r="D18" i="2020" s="1"/>
  <c r="R17" i="2020"/>
  <c r="R16" i="2020"/>
  <c r="L16" i="2020"/>
  <c r="D16" i="2020"/>
  <c r="R15" i="2020"/>
  <c r="L15" i="2020"/>
  <c r="D15" i="2020" s="1"/>
  <c r="R14" i="2020"/>
  <c r="D14" i="2020"/>
  <c r="R13" i="2020"/>
  <c r="D13" i="2020"/>
  <c r="R12" i="2020"/>
  <c r="R11" i="2020"/>
  <c r="L10" i="2020"/>
  <c r="D10" i="2020"/>
  <c r="L9" i="2020"/>
  <c r="D9" i="2020" s="1"/>
  <c r="L7" i="2020"/>
  <c r="D7" i="2020" s="1"/>
  <c r="R6" i="2020"/>
  <c r="R5" i="2020"/>
  <c r="R4" i="2020"/>
  <c r="R52" i="2019"/>
  <c r="R51" i="2019"/>
  <c r="D50" i="2019"/>
  <c r="R49" i="2019"/>
  <c r="D49" i="2019"/>
  <c r="R48" i="2019"/>
  <c r="D48" i="2019"/>
  <c r="D46" i="2019"/>
  <c r="D45" i="2019"/>
  <c r="R44" i="2019"/>
  <c r="D44" i="2019"/>
  <c r="R42" i="2019"/>
  <c r="D42" i="2019"/>
  <c r="R41" i="2019"/>
  <c r="D41" i="2019"/>
  <c r="R40" i="2019"/>
  <c r="L8" i="2019" s="1"/>
  <c r="D8" i="2019" s="1"/>
  <c r="D40" i="2019"/>
  <c r="R39" i="2019"/>
  <c r="H39" i="2019"/>
  <c r="D39" i="2019"/>
  <c r="R38" i="2019"/>
  <c r="L9" i="2019" s="1"/>
  <c r="D9" i="2019" s="1"/>
  <c r="H38" i="2019"/>
  <c r="D38" i="2019"/>
  <c r="R37" i="2019"/>
  <c r="H37" i="2019"/>
  <c r="D37" i="2019"/>
  <c r="R36" i="2019"/>
  <c r="H36" i="2019"/>
  <c r="D36" i="2019"/>
  <c r="R35" i="2019"/>
  <c r="H35" i="2019"/>
  <c r="D35" i="2019"/>
  <c r="R34" i="2019"/>
  <c r="L12" i="2019" s="1"/>
  <c r="D12" i="2019" s="1"/>
  <c r="H34" i="2019"/>
  <c r="D34" i="2019"/>
  <c r="D54" i="2019" s="1"/>
  <c r="H14" i="2019" s="1"/>
  <c r="R33" i="2019"/>
  <c r="R32" i="2019"/>
  <c r="R31" i="2019"/>
  <c r="R30" i="2019"/>
  <c r="R29" i="2019"/>
  <c r="R28" i="2019"/>
  <c r="L28" i="2019"/>
  <c r="D28" i="2019"/>
  <c r="R27" i="2019"/>
  <c r="L27" i="2019"/>
  <c r="D27" i="2019"/>
  <c r="R26" i="2019"/>
  <c r="L26" i="2019"/>
  <c r="D26" i="2019"/>
  <c r="R25" i="2019"/>
  <c r="L25" i="2019"/>
  <c r="D25" i="2019" s="1"/>
  <c r="R24" i="2019"/>
  <c r="L24" i="2019"/>
  <c r="D24" i="2019" s="1"/>
  <c r="R23" i="2019"/>
  <c r="L23" i="2019"/>
  <c r="D23" i="2019" s="1"/>
  <c r="R22" i="2019"/>
  <c r="L20" i="2019" s="1"/>
  <c r="D20" i="2019" s="1"/>
  <c r="L22" i="2019"/>
  <c r="D22" i="2019"/>
  <c r="R21" i="2019"/>
  <c r="L17" i="2019" s="1"/>
  <c r="D17" i="2019" s="1"/>
  <c r="L21" i="2019"/>
  <c r="D21" i="2019"/>
  <c r="R20" i="2019"/>
  <c r="R19" i="2019"/>
  <c r="L19" i="2019"/>
  <c r="D19" i="2019"/>
  <c r="R18" i="2019"/>
  <c r="L18" i="2019"/>
  <c r="D18" i="2019"/>
  <c r="R17" i="2019"/>
  <c r="R16" i="2019"/>
  <c r="L16" i="2019"/>
  <c r="D16" i="2019"/>
  <c r="R15" i="2019"/>
  <c r="L15" i="2019"/>
  <c r="D15" i="2019" s="1"/>
  <c r="R14" i="2019"/>
  <c r="D14" i="2019"/>
  <c r="R13" i="2019"/>
  <c r="D13" i="2019"/>
  <c r="R12" i="2019"/>
  <c r="R11" i="2019"/>
  <c r="L11" i="2019"/>
  <c r="D11" i="2019"/>
  <c r="L10" i="2019"/>
  <c r="D10" i="2019"/>
  <c r="L7" i="2019"/>
  <c r="D7" i="2019" s="1"/>
  <c r="R6" i="2019"/>
  <c r="L6" i="2019"/>
  <c r="D6" i="2019" s="1"/>
  <c r="R5" i="2019"/>
  <c r="R4" i="2019"/>
  <c r="R52" i="2018"/>
  <c r="R51" i="2018"/>
  <c r="D50" i="2018"/>
  <c r="R49" i="2018"/>
  <c r="G49" i="2018"/>
  <c r="D49" i="2018"/>
  <c r="R48" i="2018"/>
  <c r="D48" i="2018"/>
  <c r="D46" i="2018"/>
  <c r="D45" i="2018"/>
  <c r="D44" i="2018"/>
  <c r="R42" i="2018"/>
  <c r="L6" i="2018" s="1"/>
  <c r="D6" i="2018" s="1"/>
  <c r="D42" i="2018"/>
  <c r="R41" i="2018"/>
  <c r="L7" i="2018" s="1"/>
  <c r="D7" i="2018" s="1"/>
  <c r="D41" i="2018"/>
  <c r="R40" i="2018"/>
  <c r="D40" i="2018"/>
  <c r="R39" i="2018"/>
  <c r="D39" i="2018"/>
  <c r="R38" i="2018"/>
  <c r="D38" i="2018"/>
  <c r="R37" i="2018"/>
  <c r="D37" i="2018"/>
  <c r="R36" i="2018"/>
  <c r="L10" i="2018" s="1"/>
  <c r="D10" i="2018" s="1"/>
  <c r="D36" i="2018"/>
  <c r="R35" i="2018"/>
  <c r="D35" i="2018"/>
  <c r="R34" i="2018"/>
  <c r="L12" i="2018" s="1"/>
  <c r="D12" i="2018" s="1"/>
  <c r="D34" i="2018"/>
  <c r="D54" i="2018" s="1"/>
  <c r="H14" i="2018" s="1"/>
  <c r="R33" i="2018"/>
  <c r="L23" i="2018" s="1"/>
  <c r="D23" i="2018" s="1"/>
  <c r="R32" i="2018"/>
  <c r="R31" i="2018"/>
  <c r="R30" i="2018"/>
  <c r="R29" i="2018"/>
  <c r="R28" i="2018"/>
  <c r="L16" i="2018" s="1"/>
  <c r="D16" i="2018" s="1"/>
  <c r="D28" i="2018"/>
  <c r="R27" i="2018"/>
  <c r="D27" i="2018"/>
  <c r="R26" i="2018"/>
  <c r="L26" i="2018"/>
  <c r="D26" i="2018"/>
  <c r="R25" i="2018"/>
  <c r="L25" i="2018"/>
  <c r="D25" i="2018"/>
  <c r="R24" i="2018"/>
  <c r="D24" i="2018"/>
  <c r="R23" i="2018"/>
  <c r="R22" i="2018"/>
  <c r="L22" i="2018"/>
  <c r="D22" i="2018" s="1"/>
  <c r="R21" i="2018"/>
  <c r="D21" i="2018"/>
  <c r="R20" i="2018"/>
  <c r="L20" i="2018"/>
  <c r="D20" i="2018"/>
  <c r="R19" i="2018"/>
  <c r="L19" i="2018"/>
  <c r="D19" i="2018"/>
  <c r="R18" i="2018"/>
  <c r="D18" i="2018"/>
  <c r="R17" i="2018"/>
  <c r="D17" i="2018"/>
  <c r="R16" i="2018"/>
  <c r="S15" i="2018"/>
  <c r="R15" i="2018"/>
  <c r="D15" i="2018"/>
  <c r="S14" i="2018"/>
  <c r="R14" i="2018"/>
  <c r="D14" i="2018"/>
  <c r="R13" i="2018"/>
  <c r="D13" i="2018"/>
  <c r="R12" i="2018"/>
  <c r="R11" i="2018"/>
  <c r="L11" i="2018"/>
  <c r="D11" i="2018" s="1"/>
  <c r="L9" i="2018"/>
  <c r="D9" i="2018" s="1"/>
  <c r="L8" i="2018"/>
  <c r="D8" i="2018"/>
  <c r="R6" i="2018"/>
  <c r="R5" i="2018"/>
  <c r="R4" i="2018"/>
  <c r="R52" i="2017"/>
  <c r="R51" i="2017"/>
  <c r="D50" i="2017"/>
  <c r="R49" i="2017"/>
  <c r="D49" i="2017"/>
  <c r="R48" i="2017"/>
  <c r="D48" i="2017"/>
  <c r="D46" i="2017"/>
  <c r="D45" i="2017"/>
  <c r="R44" i="2017"/>
  <c r="L28" i="2017" s="1"/>
  <c r="D28" i="2017" s="1"/>
  <c r="D44" i="2017"/>
  <c r="R42" i="2017"/>
  <c r="D42" i="2017"/>
  <c r="R41" i="2017"/>
  <c r="D41" i="2017"/>
  <c r="R40" i="2017"/>
  <c r="D40" i="2017"/>
  <c r="R39" i="2017"/>
  <c r="H39" i="2017"/>
  <c r="D39" i="2017"/>
  <c r="R38" i="2017"/>
  <c r="H38" i="2017"/>
  <c r="D38" i="2017"/>
  <c r="R37" i="2017"/>
  <c r="H37" i="2017"/>
  <c r="D37" i="2017"/>
  <c r="R36" i="2017"/>
  <c r="H36" i="2017"/>
  <c r="D36" i="2017"/>
  <c r="R35" i="2017"/>
  <c r="L18" i="2017" s="1"/>
  <c r="D18" i="2017" s="1"/>
  <c r="H35" i="2017"/>
  <c r="G49" i="2017" s="1"/>
  <c r="D35" i="2017"/>
  <c r="R34" i="2017"/>
  <c r="L12" i="2017" s="1"/>
  <c r="D12" i="2017" s="1"/>
  <c r="H34" i="2017"/>
  <c r="D34" i="2017"/>
  <c r="R33" i="2017"/>
  <c r="L19" i="2017" s="1"/>
  <c r="D19" i="2017" s="1"/>
  <c r="R32" i="2017"/>
  <c r="R31" i="2017"/>
  <c r="R30" i="2017"/>
  <c r="R29" i="2017"/>
  <c r="R28" i="2017"/>
  <c r="R27" i="2017"/>
  <c r="L27" i="2017"/>
  <c r="D27" i="2017" s="1"/>
  <c r="R26" i="2017"/>
  <c r="L26" i="2017"/>
  <c r="D26" i="2017" s="1"/>
  <c r="R25" i="2017"/>
  <c r="L25" i="2017"/>
  <c r="D25" i="2017"/>
  <c r="R24" i="2017"/>
  <c r="L24" i="2017"/>
  <c r="D24" i="2017" s="1"/>
  <c r="R23" i="2017"/>
  <c r="L23" i="2017"/>
  <c r="D23" i="2017" s="1"/>
  <c r="R22" i="2017"/>
  <c r="L22" i="2017"/>
  <c r="D22" i="2017"/>
  <c r="R21" i="2017"/>
  <c r="L17" i="2017" s="1"/>
  <c r="D17" i="2017" s="1"/>
  <c r="L21" i="2017"/>
  <c r="D21" i="2017" s="1"/>
  <c r="R20" i="2017"/>
  <c r="L20" i="2017"/>
  <c r="D20" i="2017" s="1"/>
  <c r="R19" i="2017"/>
  <c r="R18" i="2017"/>
  <c r="R17" i="2017"/>
  <c r="R16" i="2017"/>
  <c r="L16" i="2017"/>
  <c r="D16" i="2017"/>
  <c r="R15" i="2017"/>
  <c r="L15" i="2017"/>
  <c r="D15" i="2017"/>
  <c r="R14" i="2017"/>
  <c r="D14" i="2017"/>
  <c r="R13" i="2017"/>
  <c r="D13" i="2017"/>
  <c r="R12" i="2017"/>
  <c r="R11" i="2017"/>
  <c r="L11" i="2017"/>
  <c r="D11" i="2017"/>
  <c r="L10" i="2017"/>
  <c r="D10" i="2017" s="1"/>
  <c r="L9" i="2017"/>
  <c r="D9" i="2017" s="1"/>
  <c r="L8" i="2017"/>
  <c r="D8" i="2017"/>
  <c r="L7" i="2017"/>
  <c r="D7" i="2017" s="1"/>
  <c r="R6" i="2017"/>
  <c r="L6" i="2017"/>
  <c r="D6" i="2017" s="1"/>
  <c r="R5" i="2017"/>
  <c r="R4" i="2017"/>
  <c r="R52" i="2016"/>
  <c r="R51" i="2016"/>
  <c r="D50" i="2016"/>
  <c r="R49" i="2016"/>
  <c r="D49" i="2016"/>
  <c r="R48" i="2016"/>
  <c r="D48" i="2016"/>
  <c r="D46" i="2016"/>
  <c r="D45" i="2016"/>
  <c r="R44" i="2016"/>
  <c r="L28" i="2016" s="1"/>
  <c r="D28" i="2016" s="1"/>
  <c r="D44" i="2016"/>
  <c r="R42" i="2016"/>
  <c r="D42" i="2016"/>
  <c r="R41" i="2016"/>
  <c r="L7" i="2016" s="1"/>
  <c r="D7" i="2016" s="1"/>
  <c r="D41" i="2016"/>
  <c r="R40" i="2016"/>
  <c r="L8" i="2016" s="1"/>
  <c r="D8" i="2016" s="1"/>
  <c r="D40" i="2016"/>
  <c r="R39" i="2016"/>
  <c r="H39" i="2016"/>
  <c r="D39" i="2016"/>
  <c r="R38" i="2016"/>
  <c r="L9" i="2016" s="1"/>
  <c r="D9" i="2016" s="1"/>
  <c r="H38" i="2016"/>
  <c r="D38" i="2016"/>
  <c r="R37" i="2016"/>
  <c r="H37" i="2016"/>
  <c r="D37" i="2016"/>
  <c r="R36" i="2016"/>
  <c r="H36" i="2016"/>
  <c r="D36" i="2016"/>
  <c r="R35" i="2016"/>
  <c r="L18" i="2016" s="1"/>
  <c r="D18" i="2016" s="1"/>
  <c r="H35" i="2016"/>
  <c r="D35" i="2016"/>
  <c r="R34" i="2016"/>
  <c r="H34" i="2016"/>
  <c r="D34" i="2016"/>
  <c r="R33" i="2016"/>
  <c r="R32" i="2016"/>
  <c r="R31" i="2016"/>
  <c r="R30" i="2016"/>
  <c r="R29" i="2016"/>
  <c r="R28" i="2016"/>
  <c r="R27" i="2016"/>
  <c r="L27" i="2016"/>
  <c r="D27" i="2016" s="1"/>
  <c r="R26" i="2016"/>
  <c r="L26" i="2016"/>
  <c r="D26" i="2016" s="1"/>
  <c r="R25" i="2016"/>
  <c r="L25" i="2016"/>
  <c r="D25" i="2016" s="1"/>
  <c r="R24" i="2016"/>
  <c r="L24" i="2016"/>
  <c r="D24" i="2016" s="1"/>
  <c r="R23" i="2016"/>
  <c r="L23" i="2016"/>
  <c r="D23" i="2016" s="1"/>
  <c r="R22" i="2016"/>
  <c r="L22" i="2016"/>
  <c r="D22" i="2016" s="1"/>
  <c r="R21" i="2016"/>
  <c r="L17" i="2016" s="1"/>
  <c r="D17" i="2016" s="1"/>
  <c r="L21" i="2016"/>
  <c r="D21" i="2016"/>
  <c r="R20" i="2016"/>
  <c r="L20" i="2016"/>
  <c r="D20" i="2016"/>
  <c r="R19" i="2016"/>
  <c r="L19" i="2016"/>
  <c r="D19" i="2016" s="1"/>
  <c r="R18" i="2016"/>
  <c r="R17" i="2016"/>
  <c r="R16" i="2016"/>
  <c r="L16" i="2016"/>
  <c r="D16" i="2016" s="1"/>
  <c r="R15" i="2016"/>
  <c r="R14" i="2016"/>
  <c r="D14" i="2016"/>
  <c r="R13" i="2016"/>
  <c r="D13" i="2016"/>
  <c r="R12" i="2016"/>
  <c r="L12" i="2016"/>
  <c r="D12" i="2016"/>
  <c r="R11" i="2016"/>
  <c r="L11" i="2016"/>
  <c r="D11" i="2016" s="1"/>
  <c r="L10" i="2016"/>
  <c r="D10" i="2016" s="1"/>
  <c r="R6" i="2016"/>
  <c r="L6" i="2016"/>
  <c r="D6" i="2016" s="1"/>
  <c r="R5" i="2016"/>
  <c r="R4" i="2016"/>
  <c r="L15" i="2016" s="1"/>
  <c r="D15" i="2016" s="1"/>
  <c r="R52" i="2015"/>
  <c r="R51" i="2015"/>
  <c r="D50" i="2015"/>
  <c r="R49" i="2015"/>
  <c r="D49" i="2015"/>
  <c r="R48" i="2015"/>
  <c r="D48" i="2015"/>
  <c r="D46" i="2015"/>
  <c r="D45" i="2015"/>
  <c r="R44" i="2015"/>
  <c r="L28" i="2015" s="1"/>
  <c r="D28" i="2015" s="1"/>
  <c r="D44" i="2015"/>
  <c r="R42" i="2015"/>
  <c r="D42" i="2015"/>
  <c r="R41" i="2015"/>
  <c r="D41" i="2015"/>
  <c r="R40" i="2015"/>
  <c r="D40" i="2015"/>
  <c r="R39" i="2015"/>
  <c r="H39" i="2015"/>
  <c r="D39" i="2015"/>
  <c r="R38" i="2015"/>
  <c r="H38" i="2015"/>
  <c r="D38" i="2015"/>
  <c r="R37" i="2015"/>
  <c r="H37" i="2015"/>
  <c r="D37" i="2015"/>
  <c r="R36" i="2015"/>
  <c r="H36" i="2015"/>
  <c r="D36" i="2015"/>
  <c r="R35" i="2015"/>
  <c r="L18" i="2015" s="1"/>
  <c r="D18" i="2015" s="1"/>
  <c r="H35" i="2015"/>
  <c r="D35" i="2015"/>
  <c r="R34" i="2015"/>
  <c r="L12" i="2015" s="1"/>
  <c r="D12" i="2015" s="1"/>
  <c r="H34" i="2015"/>
  <c r="D34" i="2015"/>
  <c r="R33" i="2015"/>
  <c r="L19" i="2015" s="1"/>
  <c r="D19" i="2015" s="1"/>
  <c r="R32" i="2015"/>
  <c r="L11" i="2015" s="1"/>
  <c r="D11" i="2015" s="1"/>
  <c r="R31" i="2015"/>
  <c r="R30" i="2015"/>
  <c r="R29" i="2015"/>
  <c r="R28" i="2015"/>
  <c r="R27" i="2015"/>
  <c r="L27" i="2015"/>
  <c r="D27" i="2015"/>
  <c r="R26" i="2015"/>
  <c r="L26" i="2015"/>
  <c r="D26" i="2015"/>
  <c r="R25" i="2015"/>
  <c r="L25" i="2015"/>
  <c r="D25" i="2015" s="1"/>
  <c r="R24" i="2015"/>
  <c r="L24" i="2015"/>
  <c r="D24" i="2015" s="1"/>
  <c r="R23" i="2015"/>
  <c r="L23" i="2015"/>
  <c r="D23" i="2015" s="1"/>
  <c r="R22" i="2015"/>
  <c r="L22" i="2015"/>
  <c r="D22" i="2015"/>
  <c r="R21" i="2015"/>
  <c r="L17" i="2015" s="1"/>
  <c r="D17" i="2015" s="1"/>
  <c r="L21" i="2015"/>
  <c r="D21" i="2015"/>
  <c r="R20" i="2015"/>
  <c r="L20" i="2015"/>
  <c r="D20" i="2015" s="1"/>
  <c r="R19" i="2015"/>
  <c r="R18" i="2015"/>
  <c r="R17" i="2015"/>
  <c r="R16" i="2015"/>
  <c r="L16" i="2015"/>
  <c r="D16" i="2015"/>
  <c r="R15" i="2015"/>
  <c r="L15" i="2015"/>
  <c r="D15" i="2015" s="1"/>
  <c r="R14" i="2015"/>
  <c r="D14" i="2015"/>
  <c r="R13" i="2015"/>
  <c r="D13" i="2015"/>
  <c r="R12" i="2015"/>
  <c r="R11" i="2015"/>
  <c r="L10" i="2015"/>
  <c r="D10" i="2015"/>
  <c r="L9" i="2015"/>
  <c r="D9" i="2015" s="1"/>
  <c r="L8" i="2015"/>
  <c r="D8" i="2015"/>
  <c r="L7" i="2015"/>
  <c r="D7" i="2015" s="1"/>
  <c r="R6" i="2015"/>
  <c r="L6" i="2015"/>
  <c r="D6" i="2015" s="1"/>
  <c r="R5" i="2015"/>
  <c r="R4" i="2015"/>
  <c r="R52" i="2014"/>
  <c r="R51" i="2014"/>
  <c r="D50" i="2014"/>
  <c r="R49" i="2014"/>
  <c r="G49" i="2014"/>
  <c r="D49" i="2014"/>
  <c r="R48" i="2014"/>
  <c r="D48" i="2014"/>
  <c r="D46" i="2014"/>
  <c r="D45" i="2014"/>
  <c r="D44" i="2014"/>
  <c r="R42" i="2014"/>
  <c r="L6" i="2014" s="1"/>
  <c r="D6" i="2014" s="1"/>
  <c r="D42" i="2014"/>
  <c r="R41" i="2014"/>
  <c r="L7" i="2014" s="1"/>
  <c r="D7" i="2014" s="1"/>
  <c r="D41" i="2014"/>
  <c r="R40" i="2014"/>
  <c r="D40" i="2014"/>
  <c r="R39" i="2014"/>
  <c r="D39" i="2014"/>
  <c r="R38" i="2014"/>
  <c r="D38" i="2014"/>
  <c r="R37" i="2014"/>
  <c r="D37" i="2014"/>
  <c r="R36" i="2014"/>
  <c r="D36" i="2014"/>
  <c r="R35" i="2014"/>
  <c r="D35" i="2014"/>
  <c r="D54" i="2014" s="1"/>
  <c r="H14" i="2014" s="1"/>
  <c r="R34" i="2014"/>
  <c r="L12" i="2014" s="1"/>
  <c r="D12" i="2014" s="1"/>
  <c r="D34" i="2014"/>
  <c r="R33" i="2014"/>
  <c r="L23" i="2014" s="1"/>
  <c r="D23" i="2014" s="1"/>
  <c r="R32" i="2014"/>
  <c r="L11" i="2014" s="1"/>
  <c r="D11" i="2014" s="1"/>
  <c r="R31" i="2014"/>
  <c r="R30" i="2014"/>
  <c r="R29" i="2014"/>
  <c r="R28" i="2014"/>
  <c r="D28" i="2014"/>
  <c r="R27" i="2014"/>
  <c r="D27" i="2014"/>
  <c r="R26" i="2014"/>
  <c r="L26" i="2014"/>
  <c r="D26" i="2014"/>
  <c r="R25" i="2014"/>
  <c r="L25" i="2014"/>
  <c r="D25" i="2014"/>
  <c r="R24" i="2014"/>
  <c r="D24" i="2014"/>
  <c r="R23" i="2014"/>
  <c r="R22" i="2014"/>
  <c r="L22" i="2014"/>
  <c r="D22" i="2014"/>
  <c r="R21" i="2014"/>
  <c r="D21" i="2014"/>
  <c r="R20" i="2014"/>
  <c r="L20" i="2014"/>
  <c r="D20" i="2014"/>
  <c r="R19" i="2014"/>
  <c r="L19" i="2014"/>
  <c r="D19" i="2014"/>
  <c r="R18" i="2014"/>
  <c r="D18" i="2014"/>
  <c r="R17" i="2014"/>
  <c r="D17" i="2014"/>
  <c r="R16" i="2014"/>
  <c r="L16" i="2014"/>
  <c r="D16" i="2014" s="1"/>
  <c r="S15" i="2014"/>
  <c r="R15" i="2014"/>
  <c r="D15" i="2014"/>
  <c r="S14" i="2014"/>
  <c r="R14" i="2014"/>
  <c r="D14" i="2014"/>
  <c r="R13" i="2014"/>
  <c r="D13" i="2014"/>
  <c r="R12" i="2014"/>
  <c r="R11" i="2014"/>
  <c r="L10" i="2014"/>
  <c r="D10" i="2014" s="1"/>
  <c r="L9" i="2014"/>
  <c r="D9" i="2014"/>
  <c r="L8" i="2014"/>
  <c r="D8" i="2014"/>
  <c r="R6" i="2014"/>
  <c r="R5" i="2014"/>
  <c r="R4" i="2014"/>
  <c r="R52" i="2013"/>
  <c r="R51" i="2013"/>
  <c r="D50" i="2013"/>
  <c r="R49" i="2013"/>
  <c r="D49" i="2013"/>
  <c r="R48" i="2013"/>
  <c r="D48" i="2013"/>
  <c r="D46" i="2013"/>
  <c r="D45" i="2013"/>
  <c r="R44" i="2013"/>
  <c r="L28" i="2013" s="1"/>
  <c r="D28" i="2013" s="1"/>
  <c r="D44" i="2013"/>
  <c r="R42" i="2013"/>
  <c r="D42" i="2013"/>
  <c r="R41" i="2013"/>
  <c r="L7" i="2013" s="1"/>
  <c r="D7" i="2013" s="1"/>
  <c r="D41" i="2013"/>
  <c r="R40" i="2013"/>
  <c r="D40" i="2013"/>
  <c r="R39" i="2013"/>
  <c r="H39" i="2013"/>
  <c r="D39" i="2013"/>
  <c r="R38" i="2013"/>
  <c r="H38" i="2013"/>
  <c r="D38" i="2013"/>
  <c r="R37" i="2013"/>
  <c r="H37" i="2013"/>
  <c r="D37" i="2013"/>
  <c r="R36" i="2013"/>
  <c r="H36" i="2013"/>
  <c r="D36" i="2013"/>
  <c r="R35" i="2013"/>
  <c r="L18" i="2013" s="1"/>
  <c r="D18" i="2013" s="1"/>
  <c r="H35" i="2013"/>
  <c r="D35" i="2013"/>
  <c r="R34" i="2013"/>
  <c r="H34" i="2013"/>
  <c r="D34" i="2013"/>
  <c r="R33" i="2013"/>
  <c r="L19" i="2013" s="1"/>
  <c r="D19" i="2013" s="1"/>
  <c r="R32" i="2013"/>
  <c r="L11" i="2013" s="1"/>
  <c r="D11" i="2013" s="1"/>
  <c r="R31" i="2013"/>
  <c r="R30" i="2013"/>
  <c r="R29" i="2013"/>
  <c r="R28" i="2013"/>
  <c r="R27" i="2013"/>
  <c r="L27" i="2013"/>
  <c r="D27" i="2013"/>
  <c r="R26" i="2013"/>
  <c r="L26" i="2013"/>
  <c r="D26" i="2013"/>
  <c r="R25" i="2013"/>
  <c r="L25" i="2013"/>
  <c r="D25" i="2013"/>
  <c r="R24" i="2013"/>
  <c r="L24" i="2013"/>
  <c r="D24" i="2013" s="1"/>
  <c r="R23" i="2013"/>
  <c r="L23" i="2013"/>
  <c r="D23" i="2013" s="1"/>
  <c r="R22" i="2013"/>
  <c r="L22" i="2013"/>
  <c r="D22" i="2013" s="1"/>
  <c r="R21" i="2013"/>
  <c r="L21" i="2013"/>
  <c r="D21" i="2013"/>
  <c r="R20" i="2013"/>
  <c r="L20" i="2013"/>
  <c r="D20" i="2013" s="1"/>
  <c r="R19" i="2013"/>
  <c r="R18" i="2013"/>
  <c r="R17" i="2013"/>
  <c r="L17" i="2013"/>
  <c r="D17" i="2013"/>
  <c r="R16" i="2013"/>
  <c r="R15" i="2013"/>
  <c r="L15" i="2013"/>
  <c r="D15" i="2013" s="1"/>
  <c r="R14" i="2013"/>
  <c r="D14" i="2013"/>
  <c r="R13" i="2013"/>
  <c r="D13" i="2013"/>
  <c r="R12" i="2013"/>
  <c r="L12" i="2013"/>
  <c r="D12" i="2013"/>
  <c r="R11" i="2013"/>
  <c r="L10" i="2013"/>
  <c r="D10" i="2013"/>
  <c r="L9" i="2013"/>
  <c r="D9" i="2013" s="1"/>
  <c r="L8" i="2013"/>
  <c r="D8" i="2013" s="1"/>
  <c r="R6" i="2013"/>
  <c r="L16" i="2013" s="1"/>
  <c r="D16" i="2013" s="1"/>
  <c r="L6" i="2013"/>
  <c r="D6" i="2013" s="1"/>
  <c r="R5" i="2013"/>
  <c r="R4" i="2013"/>
  <c r="R52" i="2012"/>
  <c r="R51" i="2012"/>
  <c r="D50" i="2012"/>
  <c r="R49" i="2012"/>
  <c r="D49" i="2012"/>
  <c r="R48" i="2012"/>
  <c r="D48" i="2012"/>
  <c r="D46" i="2012"/>
  <c r="D45" i="2012"/>
  <c r="R44" i="2012"/>
  <c r="L28" i="2012" s="1"/>
  <c r="D28" i="2012" s="1"/>
  <c r="D44" i="2012"/>
  <c r="R42" i="2012"/>
  <c r="D42" i="2012"/>
  <c r="R41" i="2012"/>
  <c r="D41" i="2012"/>
  <c r="R40" i="2012"/>
  <c r="L8" i="2012" s="1"/>
  <c r="D8" i="2012" s="1"/>
  <c r="D40" i="2012"/>
  <c r="R39" i="2012"/>
  <c r="H39" i="2012"/>
  <c r="D39" i="2012"/>
  <c r="R38" i="2012"/>
  <c r="L9" i="2012" s="1"/>
  <c r="D9" i="2012" s="1"/>
  <c r="H38" i="2012"/>
  <c r="D38" i="2012"/>
  <c r="R37" i="2012"/>
  <c r="H37" i="2012"/>
  <c r="D37" i="2012"/>
  <c r="R36" i="2012"/>
  <c r="L10" i="2012" s="1"/>
  <c r="D10" i="2012" s="1"/>
  <c r="H36" i="2012"/>
  <c r="D36" i="2012"/>
  <c r="R35" i="2012"/>
  <c r="H35" i="2012"/>
  <c r="D35" i="2012"/>
  <c r="R34" i="2012"/>
  <c r="H34" i="2012"/>
  <c r="D34" i="2012"/>
  <c r="R33" i="2012"/>
  <c r="R32" i="2012"/>
  <c r="R31" i="2012"/>
  <c r="R30" i="2012"/>
  <c r="R29" i="2012"/>
  <c r="R28" i="2012"/>
  <c r="R27" i="2012"/>
  <c r="L27" i="2012"/>
  <c r="D27" i="2012"/>
  <c r="R26" i="2012"/>
  <c r="L26" i="2012"/>
  <c r="D26" i="2012"/>
  <c r="R25" i="2012"/>
  <c r="L25" i="2012"/>
  <c r="D25" i="2012" s="1"/>
  <c r="R24" i="2012"/>
  <c r="L24" i="2012"/>
  <c r="D24" i="2012"/>
  <c r="R23" i="2012"/>
  <c r="L23" i="2012"/>
  <c r="D23" i="2012" s="1"/>
  <c r="R22" i="2012"/>
  <c r="L20" i="2012" s="1"/>
  <c r="D20" i="2012" s="1"/>
  <c r="L22" i="2012"/>
  <c r="D22" i="2012"/>
  <c r="R21" i="2012"/>
  <c r="L21" i="2012"/>
  <c r="D21" i="2012" s="1"/>
  <c r="R20" i="2012"/>
  <c r="R19" i="2012"/>
  <c r="L19" i="2012"/>
  <c r="D19" i="2012"/>
  <c r="R18" i="2012"/>
  <c r="L18" i="2012"/>
  <c r="D18" i="2012"/>
  <c r="R17" i="2012"/>
  <c r="L17" i="2012"/>
  <c r="D17" i="2012" s="1"/>
  <c r="R16" i="2012"/>
  <c r="R15" i="2012"/>
  <c r="L15" i="2012"/>
  <c r="D15" i="2012"/>
  <c r="R14" i="2012"/>
  <c r="D14" i="2012"/>
  <c r="R13" i="2012"/>
  <c r="D13" i="2012"/>
  <c r="R12" i="2012"/>
  <c r="L12" i="2012"/>
  <c r="D12" i="2012" s="1"/>
  <c r="R11" i="2012"/>
  <c r="L11" i="2012"/>
  <c r="D11" i="2012"/>
  <c r="L7" i="2012"/>
  <c r="D7" i="2012"/>
  <c r="R6" i="2012"/>
  <c r="L16" i="2012" s="1"/>
  <c r="D16" i="2012" s="1"/>
  <c r="L6" i="2012"/>
  <c r="D6" i="2012" s="1"/>
  <c r="R5" i="2012"/>
  <c r="R4" i="2012"/>
  <c r="R52" i="2011"/>
  <c r="R51" i="2011"/>
  <c r="D50" i="2011"/>
  <c r="R49" i="2011"/>
  <c r="D49" i="2011"/>
  <c r="R48" i="2011"/>
  <c r="D48" i="2011"/>
  <c r="D46" i="2011"/>
  <c r="D45" i="2011"/>
  <c r="R44" i="2011"/>
  <c r="L28" i="2011" s="1"/>
  <c r="D28" i="2011" s="1"/>
  <c r="D44" i="2011"/>
  <c r="R42" i="2011"/>
  <c r="D42" i="2011"/>
  <c r="R41" i="2011"/>
  <c r="L7" i="2011" s="1"/>
  <c r="D7" i="2011" s="1"/>
  <c r="D41" i="2011"/>
  <c r="R40" i="2011"/>
  <c r="L8" i="2011" s="1"/>
  <c r="D8" i="2011" s="1"/>
  <c r="D40" i="2011"/>
  <c r="R39" i="2011"/>
  <c r="H39" i="2011"/>
  <c r="D39" i="2011"/>
  <c r="R38" i="2011"/>
  <c r="L9" i="2011" s="1"/>
  <c r="D9" i="2011" s="1"/>
  <c r="H38" i="2011"/>
  <c r="D38" i="2011"/>
  <c r="R37" i="2011"/>
  <c r="H37" i="2011"/>
  <c r="D37" i="2011"/>
  <c r="R36" i="2011"/>
  <c r="L10" i="2011" s="1"/>
  <c r="D10" i="2011" s="1"/>
  <c r="H36" i="2011"/>
  <c r="D36" i="2011"/>
  <c r="R35" i="2011"/>
  <c r="L18" i="2011" s="1"/>
  <c r="D18" i="2011" s="1"/>
  <c r="H35" i="2011"/>
  <c r="D35" i="2011"/>
  <c r="R34" i="2011"/>
  <c r="H34" i="2011"/>
  <c r="D34" i="2011"/>
  <c r="R33" i="2011"/>
  <c r="R32" i="2011"/>
  <c r="R31" i="2011"/>
  <c r="R30" i="2011"/>
  <c r="R29" i="2011"/>
  <c r="R28" i="2011"/>
  <c r="R27" i="2011"/>
  <c r="L27" i="2011"/>
  <c r="D27" i="2011"/>
  <c r="R26" i="2011"/>
  <c r="L26" i="2011"/>
  <c r="D26" i="2011"/>
  <c r="R25" i="2011"/>
  <c r="L25" i="2011"/>
  <c r="D25" i="2011"/>
  <c r="R24" i="2011"/>
  <c r="L24" i="2011"/>
  <c r="D24" i="2011" s="1"/>
  <c r="R23" i="2011"/>
  <c r="L23" i="2011"/>
  <c r="D23" i="2011" s="1"/>
  <c r="R22" i="2011"/>
  <c r="L20" i="2011" s="1"/>
  <c r="D20" i="2011" s="1"/>
  <c r="L22" i="2011"/>
  <c r="D22" i="2011"/>
  <c r="R21" i="2011"/>
  <c r="L17" i="2011" s="1"/>
  <c r="D17" i="2011" s="1"/>
  <c r="L21" i="2011"/>
  <c r="D21" i="2011"/>
  <c r="R20" i="2011"/>
  <c r="R19" i="2011"/>
  <c r="L19" i="2011"/>
  <c r="D19" i="2011"/>
  <c r="R18" i="2011"/>
  <c r="R17" i="2011"/>
  <c r="R16" i="2011"/>
  <c r="L16" i="2011"/>
  <c r="D16" i="2011" s="1"/>
  <c r="R15" i="2011"/>
  <c r="R14" i="2011"/>
  <c r="D14" i="2011"/>
  <c r="R13" i="2011"/>
  <c r="D13" i="2011"/>
  <c r="R12" i="2011"/>
  <c r="L12" i="2011"/>
  <c r="D12" i="2011"/>
  <c r="R11" i="2011"/>
  <c r="L11" i="2011"/>
  <c r="D11" i="2011" s="1"/>
  <c r="R6" i="2011"/>
  <c r="L6" i="2011"/>
  <c r="D6" i="2011" s="1"/>
  <c r="R5" i="2011"/>
  <c r="R4" i="2011"/>
  <c r="L15" i="2011" s="1"/>
  <c r="D15" i="2011" s="1"/>
  <c r="R52" i="2010"/>
  <c r="R51" i="2010"/>
  <c r="D50" i="2010"/>
  <c r="R49" i="2010"/>
  <c r="G49" i="2010"/>
  <c r="D49" i="2010"/>
  <c r="R48" i="2010"/>
  <c r="D48" i="2010"/>
  <c r="D46" i="2010"/>
  <c r="D45" i="2010"/>
  <c r="D44" i="2010"/>
  <c r="R42" i="2010"/>
  <c r="L6" i="2010" s="1"/>
  <c r="D6" i="2010" s="1"/>
  <c r="D29" i="2010" s="1"/>
  <c r="H13" i="2010" s="1"/>
  <c r="H15" i="2010" s="1"/>
  <c r="H29" i="2010" s="1"/>
  <c r="D42" i="2010"/>
  <c r="R41" i="2010"/>
  <c r="D41" i="2010"/>
  <c r="R40" i="2010"/>
  <c r="D40" i="2010"/>
  <c r="R39" i="2010"/>
  <c r="D39" i="2010"/>
  <c r="R38" i="2010"/>
  <c r="L9" i="2010" s="1"/>
  <c r="D9" i="2010" s="1"/>
  <c r="D38" i="2010"/>
  <c r="R37" i="2010"/>
  <c r="D37" i="2010"/>
  <c r="R36" i="2010"/>
  <c r="L10" i="2010" s="1"/>
  <c r="D10" i="2010" s="1"/>
  <c r="D36" i="2010"/>
  <c r="R35" i="2010"/>
  <c r="D35" i="2010"/>
  <c r="R34" i="2010"/>
  <c r="L12" i="2010" s="1"/>
  <c r="D12" i="2010" s="1"/>
  <c r="D34" i="2010"/>
  <c r="D54" i="2010" s="1"/>
  <c r="H14" i="2010" s="1"/>
  <c r="R33" i="2010"/>
  <c r="R32" i="2010"/>
  <c r="R31" i="2010"/>
  <c r="R30" i="2010"/>
  <c r="R29" i="2010"/>
  <c r="R28" i="2010"/>
  <c r="L16" i="2010" s="1"/>
  <c r="D16" i="2010" s="1"/>
  <c r="D28" i="2010"/>
  <c r="R27" i="2010"/>
  <c r="D27" i="2010"/>
  <c r="R26" i="2010"/>
  <c r="L26" i="2010"/>
  <c r="D26" i="2010"/>
  <c r="R25" i="2010"/>
  <c r="L25" i="2010"/>
  <c r="D25" i="2010" s="1"/>
  <c r="R24" i="2010"/>
  <c r="D24" i="2010"/>
  <c r="R23" i="2010"/>
  <c r="L23" i="2010"/>
  <c r="D23" i="2010"/>
  <c r="R22" i="2010"/>
  <c r="L22" i="2010"/>
  <c r="D22" i="2010"/>
  <c r="R21" i="2010"/>
  <c r="D21" i="2010"/>
  <c r="R20" i="2010"/>
  <c r="L20" i="2010"/>
  <c r="D20" i="2010"/>
  <c r="R19" i="2010"/>
  <c r="L19" i="2010"/>
  <c r="D19" i="2010" s="1"/>
  <c r="R18" i="2010"/>
  <c r="D18" i="2010"/>
  <c r="R17" i="2010"/>
  <c r="D17" i="2010"/>
  <c r="R16" i="2010"/>
  <c r="S15" i="2010"/>
  <c r="R15" i="2010"/>
  <c r="D15" i="2010"/>
  <c r="S14" i="2010"/>
  <c r="R14" i="2010"/>
  <c r="D14" i="2010"/>
  <c r="R13" i="2010"/>
  <c r="D13" i="2010"/>
  <c r="R12" i="2010"/>
  <c r="R11" i="2010"/>
  <c r="L11" i="2010"/>
  <c r="D11" i="2010"/>
  <c r="L8" i="2010"/>
  <c r="D8" i="2010"/>
  <c r="L7" i="2010"/>
  <c r="D7" i="2010" s="1"/>
  <c r="R6" i="2010"/>
  <c r="R5" i="2010"/>
  <c r="R4" i="2010"/>
  <c r="G49" i="2025" l="1"/>
  <c r="D54" i="2025"/>
  <c r="H14" i="2025" s="1"/>
  <c r="D54" i="2023"/>
  <c r="H14" i="2023" s="1"/>
  <c r="G49" i="2019"/>
  <c r="G49" i="2021"/>
  <c r="G49" i="2020"/>
  <c r="D54" i="2021"/>
  <c r="H14" i="2021" s="1"/>
  <c r="D54" i="2020"/>
  <c r="H14" i="2020" s="1"/>
  <c r="G49" i="2016"/>
  <c r="G49" i="2015"/>
  <c r="D54" i="2017"/>
  <c r="H14" i="2017" s="1"/>
  <c r="D54" i="2016"/>
  <c r="H14" i="2016" s="1"/>
  <c r="D29" i="2016"/>
  <c r="H13" i="2016" s="1"/>
  <c r="D54" i="2015"/>
  <c r="H14" i="2015" s="1"/>
  <c r="G49" i="2013"/>
  <c r="G49" i="2011"/>
  <c r="G49" i="2012"/>
  <c r="D54" i="2013"/>
  <c r="H14" i="2013" s="1"/>
  <c r="D29" i="2013"/>
  <c r="H13" i="2013" s="1"/>
  <c r="D54" i="2012"/>
  <c r="H14" i="2012" s="1"/>
  <c r="D54" i="2011"/>
  <c r="H14" i="2011" s="1"/>
  <c r="D29" i="2025"/>
  <c r="H13" i="2025" s="1"/>
  <c r="D29" i="2024"/>
  <c r="H13" i="2024" s="1"/>
  <c r="H15" i="2024" s="1"/>
  <c r="H29" i="2024" s="1"/>
  <c r="G51" i="2024"/>
  <c r="D29" i="2023"/>
  <c r="H13" i="2023" s="1"/>
  <c r="D29" i="2022"/>
  <c r="H13" i="2022" s="1"/>
  <c r="H15" i="2022" s="1"/>
  <c r="H29" i="2022" s="1"/>
  <c r="G51" i="2022" s="1"/>
  <c r="D29" i="2021"/>
  <c r="H13" i="2021" s="1"/>
  <c r="D29" i="2020"/>
  <c r="H13" i="2020" s="1"/>
  <c r="D29" i="2019"/>
  <c r="H13" i="2019" s="1"/>
  <c r="H15" i="2019" s="1"/>
  <c r="H29" i="2019" s="1"/>
  <c r="D29" i="2018"/>
  <c r="H13" i="2018" s="1"/>
  <c r="H15" i="2018" s="1"/>
  <c r="H29" i="2018" s="1"/>
  <c r="G51" i="2018" s="1"/>
  <c r="D29" i="2017"/>
  <c r="H13" i="2017" s="1"/>
  <c r="D29" i="2015"/>
  <c r="H13" i="2015" s="1"/>
  <c r="D29" i="2014"/>
  <c r="H13" i="2014" s="1"/>
  <c r="H15" i="2014" s="1"/>
  <c r="H29" i="2014" s="1"/>
  <c r="G51" i="2014" s="1"/>
  <c r="D29" i="2012"/>
  <c r="H13" i="2012" s="1"/>
  <c r="D29" i="2011"/>
  <c r="H13" i="2011" s="1"/>
  <c r="G51" i="2010"/>
  <c r="H16" i="2001"/>
  <c r="C9" i="2001"/>
  <c r="C12" i="2001"/>
  <c r="C37" i="2000"/>
  <c r="C16" i="2000"/>
  <c r="H15" i="2025" l="1"/>
  <c r="H29" i="2025" s="1"/>
  <c r="G51" i="2025" s="1"/>
  <c r="H15" i="2023"/>
  <c r="H29" i="2023" s="1"/>
  <c r="G51" i="2023" s="1"/>
  <c r="G51" i="2019"/>
  <c r="H15" i="2021"/>
  <c r="H29" i="2021" s="1"/>
  <c r="G51" i="2021" s="1"/>
  <c r="H15" i="2020"/>
  <c r="H29" i="2020" s="1"/>
  <c r="H15" i="2017"/>
  <c r="H29" i="2017" s="1"/>
  <c r="G51" i="2017" s="1"/>
  <c r="H15" i="2016"/>
  <c r="H29" i="2016" s="1"/>
  <c r="G51" i="2016" s="1"/>
  <c r="H15" i="2015"/>
  <c r="H29" i="2015" s="1"/>
  <c r="G51" i="2015" s="1"/>
  <c r="H15" i="2013"/>
  <c r="H29" i="2013" s="1"/>
  <c r="G51" i="2013" s="1"/>
  <c r="H15" i="2012"/>
  <c r="H29" i="2012" s="1"/>
  <c r="G51" i="2012" s="1"/>
  <c r="H15" i="2011"/>
  <c r="H29" i="2011" s="1"/>
  <c r="G51" i="2011" s="1"/>
  <c r="H16" i="1997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D34" i="2009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D34" i="2008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D34" i="2005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D34" i="2003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5" l="1"/>
  <c r="G49" i="2004"/>
  <c r="G49" i="2003"/>
  <c r="D54" i="2005"/>
  <c r="H14" i="2005" s="1"/>
  <c r="D54" i="2004"/>
  <c r="H14" i="2004" s="1"/>
  <c r="D54" i="2003"/>
  <c r="H14" i="2003" s="1"/>
  <c r="G49" i="2008"/>
  <c r="G49" i="2009"/>
  <c r="G49" i="2007"/>
  <c r="D54" i="2009"/>
  <c r="H14" i="2009" s="1"/>
  <c r="D54" i="2008"/>
  <c r="H14" i="2008" s="1"/>
  <c r="D54" i="2007"/>
  <c r="H14" i="2007" s="1"/>
  <c r="G49" i="200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D29" i="2008"/>
  <c r="H13" i="2008" s="1"/>
  <c r="D29" i="2007"/>
  <c r="H13" i="2007" s="1"/>
  <c r="D29" i="2006"/>
  <c r="H13" i="2006" s="1"/>
  <c r="H15" i="2006" s="1"/>
  <c r="H29" i="2006" s="1"/>
  <c r="G51" i="2006" s="1"/>
  <c r="D29" i="2005"/>
  <c r="H13" i="2005" s="1"/>
  <c r="D29" i="2004"/>
  <c r="H13" i="2004" s="1"/>
  <c r="D29" i="2003"/>
  <c r="H13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5" l="1"/>
  <c r="H29" i="2005" s="1"/>
  <c r="G51" i="2005" s="1"/>
  <c r="H15" i="2004"/>
  <c r="H29" i="2004" s="1"/>
  <c r="G51" i="2004" s="1"/>
  <c r="H15" i="2003"/>
  <c r="H29" i="2003" s="1"/>
  <c r="G51" i="2003" s="1"/>
  <c r="H15" i="2009"/>
  <c r="H29" i="2009" s="1"/>
  <c r="H15" i="2008"/>
  <c r="H29" i="2008" s="1"/>
  <c r="G51" i="2008" s="1"/>
  <c r="H15" i="2007"/>
  <c r="H29" i="2007" s="1"/>
  <c r="G51" i="2007" s="1"/>
  <c r="H15" i="200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<sst xmlns="http://schemas.openxmlformats.org/spreadsheetml/2006/main" count="13014" uniqueCount="209">
  <si>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</si>
  <si>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</si>
  <si>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</si>
  <si>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</si>
  <si>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</si>
  <si>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</si>
  <si>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</si>
  <si>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</si>
  <si>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</si>
  <si>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</si>
  <si>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</si>
  <si>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</si>
  <si>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</si>
  <si>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</si>
  <si>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</si>
  <si>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</si>
  <si>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</si>
  <si>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</si>
  <si>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</si>
  <si>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</si>
  <si>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</si>
  <si>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</si>
  <si>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</si>
  <si>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</si>
  <si>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</si>
  <si>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</si>
  <si>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</si>
  <si>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</si>
  <si>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</si>
  <si>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</si>
  <si>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</si>
  <si>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</si>
  <si>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</si>
  <si>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</si>
  <si>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</si>
  <si>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</si>
  <si>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</si>
  <si>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</si>
  <si>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</si>
  <si>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</si>
  <si>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</si>
  <si>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</si>
  <si>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</si>
  <si>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</si>
  <si>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</si>
  <si>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</si>
  <si>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</si>
  <si>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</si>
  <si>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</si>
  <si>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</si>
  <si>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</si>
  <si>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</si>
  <si>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</si>
  <si>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</si>
  <si>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</si>
  <si>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</si>
  <si>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</si>
  <si>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</si>
  <si>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</si>
  <si>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</si>
  <si>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</si>
  <si>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</si>
  <si>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</si>
  <si>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</si>
  <si>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</si>
  <si>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</si>
  <si>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</si>
  <si>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</si>
  <si>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</si>
  <si>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</si>
  <si>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</si>
  <si>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</si>
  <si>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</si>
  <si>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</si>
  <si>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</si>
  <si>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</si>
  <si>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</si>
  <si>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</si>
  <si>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</si>
  <si>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</si>
  <si>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</si>
  <si>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</si>
  <si>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</si>
  <si>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</si>
  <si>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</si>
  <si>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</si>
  <si>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</si>
  <si>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</si>
  <si>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</si>
  <si>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</si>
  <si>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</si>
  <si>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</si>
  <si>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</si>
  <si>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</si>
  <si>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</si>
  <si>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</si>
  <si>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</si>
  <si>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</si>
  <si>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</si>
  <si>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</si>
  <si>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</si>
  <si>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</si>
  <si>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</si>
  <si>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</si>
  <si>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</si>
  <si>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</si>
  <si>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</si>
  <si>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</si>
  <si>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</si>
  <si>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</si>
  <si>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</si>
  <si>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</si>
  <si>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</si>
  <si>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</si>
  <si>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</si>
  <si>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</si>
  <si>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</si>
  <si>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</si>
  <si>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</si>
  <si>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</si>
  <si>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</si>
  <si>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</si>
  <si>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</si>
  <si>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</si>
  <si>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</si>
  <si>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</si>
  <si>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</si>
  <si>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</si>
  <si>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</si>
  <si>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</si>
  <si>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</si>
  <si>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</si>
  <si>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</si>
  <si>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</si>
  <si>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</si>
  <si>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</si>
  <si>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</si>
  <si>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</si>
  <si>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</si>
  <si>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</si>
  <si>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</si>
  <si>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</si>
  <si>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</si>
  <si>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</si>
  <si>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</si>
  <si>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</si>
  <si>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</si>
  <si>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</si>
  <si>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</si>
  <si>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</si>
  <si>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</si>
  <si>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</si>
  <si>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</si>
  <si>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</si>
  <si>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</si>
  <si>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</si>
  <si>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</si>
  <si>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</si>
  <si>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</si>
  <si>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</si>
  <si>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</si>
  <si>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</si>
  <si>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</si>
  <si>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</si>
  <si>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</si>
  <si>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</si>
  <si>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</si>
  <si>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</si>
  <si>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</si>
  <si>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</si>
  <si>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</si>
  <si>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</si>
  <si>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</si>
  <si>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</si>
  <si>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</si>
  <si>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</si>
  <si>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</si>
  <si>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</si>
  <si>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</si>
  <si>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</si>
  <si>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</si>
  <si>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</si>
  <si>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</si>
  <si>
    <t>149061</t>
  </si>
  <si>
    <t>56725</t>
  </si>
  <si>
    <t>147850</t>
  </si>
  <si>
    <t>2130020868</t>
  </si>
  <si>
    <t>2000008094</t>
  </si>
  <si>
    <t>2000005963</t>
  </si>
  <si>
    <t>2000003090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</si>
  <si>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</si>
  <si>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43042</t>
  </si>
  <si>
    <t>56734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</si>
  <si>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</si>
  <si>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5089409</t>
  </si>
  <si>
    <t>2120013000</t>
  </si>
  <si>
    <t>149945</t>
  </si>
  <si>
    <t>2130020675</t>
  </si>
  <si>
    <t>METRO BANK</t>
  </si>
  <si>
    <t>43045</t>
  </si>
  <si>
    <t>3593281</t>
  </si>
  <si>
    <r>
      <rPr>
        <sz val="11"/>
        <color theme="1"/>
        <rFont val="Calibri"/>
        <family val="2"/>
        <scheme val="minor"/>
      </rPr>
      <t xml:space="preserve">SHORT </t>
    </r>
    <r>
      <rPr>
        <sz val="11"/>
        <rFont val="Calibri"/>
        <family val="2"/>
        <scheme val="minor"/>
      </rPr>
      <t>/ OVER</t>
    </r>
  </si>
  <si>
    <t>149099</t>
  </si>
  <si>
    <t>43048</t>
  </si>
  <si>
    <t>2000002805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</si>
  <si>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</si>
  <si>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147894</t>
  </si>
  <si>
    <t>2000002809</t>
  </si>
  <si>
    <t>2000008508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</si>
</sst>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221A78-A40B-4698-9CD2-32C26EDBF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8B7521-4AF7-4D9B-AF6C-AAAEC423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0FAB01-2E7F-414B-BE29-8DED6C700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EE6721-CEC2-42D9-9902-B30B92C29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1C664-F276-448B-AF37-364C666BA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A9A93-8F14-429A-AE67-00DD00BC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AA874-0367-48AD-B33F-49FCF47F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E427A-BEFA-4EA4-867A-40B75C07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C65E4B-085E-43E3-9DD2-D43D8541B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BC8757-25E4-4ABE-A62B-F6016579A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6FF134-6B9E-4BCF-98E5-ECC87E181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51089-1797-4E9A-939B-C0462F878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1B9DC-C3F2-42B7-9031-5C406CF0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7DADAF-549E-49B8-A7B0-8D6D2E03B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2C8731-10BA-4AD8-8B8C-2B0E02358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5523-F5CD-4E80-ADA6-E7143D60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F3CE8-CD37-4E10-B06A-3E7604ACD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2DB60B-6E39-44D9-BD19-340F20CA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F8045F-56DA-4A0D-97FF-DB77928F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97F440-2970-44A3-B94F-0FB5A8262B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608DEA-912D-46EF-BD92-CA4D630BD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92BF5-470A-4973-BBC4-CACC0EFA3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19BA78-2F59-43EC-A51B-C39D58D7E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C9694D-D5BC-4AFF-A82C-3963D2D35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8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8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46113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644</v>
      </c>
      <c r="D6" s="13">
        <f t="shared" ref="D6:D28" si="1">C6*L6</f>
        <v>490084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3</v>
      </c>
      <c r="D7" s="13">
        <f t="shared" si="1"/>
        <v>2343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71</v>
      </c>
      <c r="D9" s="13">
        <f t="shared" si="1"/>
        <v>52043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8</v>
      </c>
      <c r="D13" s="48">
        <f t="shared" si="1"/>
        <v>2456</v>
      </c>
      <c r="F13" s="176" t="s">
        <v>36</v>
      </c>
      <c r="G13" s="177"/>
      <c r="H13" s="178">
        <f>D29</f>
        <v>554839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4</v>
      </c>
      <c r="D14" s="31">
        <f t="shared" si="1"/>
        <v>44</v>
      </c>
      <c r="F14" s="181" t="s">
        <v>38</v>
      </c>
      <c r="G14" s="182"/>
      <c r="H14" s="183">
        <f>D54</f>
        <v>79868.25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1</v>
      </c>
      <c r="D15" s="31">
        <f t="shared" si="1"/>
        <v>620</v>
      </c>
      <c r="F15" s="186" t="s">
        <v>39</v>
      </c>
      <c r="G15" s="177"/>
      <c r="H15" s="187">
        <f>H13-H14</f>
        <v>474970.75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213">
        <v>92259</v>
      </c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215">
        <v>94558</v>
      </c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8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>
        <v>5</v>
      </c>
      <c r="D28" s="48">
        <f t="shared" si="1"/>
        <v>4055</v>
      </c>
      <c r="F28" s="8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554839</v>
      </c>
      <c r="F29" s="199" t="s">
        <v>54</v>
      </c>
      <c r="G29" s="200"/>
      <c r="H29" s="203">
        <f>H15-H16-H17-H18-H19-H20-H22-H23-H24+H26+H27+H28</f>
        <v>477269.75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231">
        <f t="shared" ref="H34:H39" si="2">F34*G34</f>
        <v>273000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 t="shared" si="2"/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231">
        <f t="shared" si="2"/>
        <v>1600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231">
        <f t="shared" si="2"/>
        <v>300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1">
        <v>70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8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215">
        <v>73932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215">
        <v>20000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215">
        <v>13540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37" t="s">
        <v>133</v>
      </c>
      <c r="G47" s="83" t="s">
        <v>134</v>
      </c>
      <c r="H47" s="215">
        <v>94558</v>
      </c>
      <c r="I47" s="215"/>
      <c r="J47" s="215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H34+H35+H36+H37+H38+H39+H40+H41+G42+H44+H45+H46+H47</f>
        <v>477220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-49.75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46113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339</v>
      </c>
      <c r="D6" s="13">
        <f t="shared" ref="D6:D28" si="1">C6*L6</f>
        <v>257979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13</v>
      </c>
      <c r="D7" s="13">
        <f t="shared" si="1"/>
        <v>10153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70</v>
      </c>
      <c r="D8" s="13">
        <f t="shared" si="1"/>
        <v>76510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</v>
      </c>
      <c r="D9" s="13">
        <f t="shared" si="1"/>
        <v>1466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3</v>
      </c>
      <c r="D11" s="13">
        <f t="shared" si="1"/>
        <v>3510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3+1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6</v>
      </c>
      <c r="D13" s="48">
        <f t="shared" si="1"/>
        <v>1842</v>
      </c>
      <c r="F13" s="176" t="s">
        <v>36</v>
      </c>
      <c r="G13" s="177"/>
      <c r="H13" s="178">
        <f>D29</f>
        <v>356469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4</v>
      </c>
      <c r="D14" s="31">
        <f t="shared" si="1"/>
        <v>44</v>
      </c>
      <c r="F14" s="181" t="s">
        <v>38</v>
      </c>
      <c r="G14" s="182"/>
      <c r="H14" s="183">
        <f>D54</f>
        <v>50412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306057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1356</f>
        <v>1356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>
        <v>12</v>
      </c>
      <c r="D24" s="48">
        <f t="shared" si="1"/>
        <v>454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8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356469</v>
      </c>
      <c r="F29" s="199" t="s">
        <v>54</v>
      </c>
      <c r="G29" s="200"/>
      <c r="H29" s="203">
        <f>H15-H16-H17-H18-H19-H20-H22-H23-H24+H26+H27</f>
        <v>304701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31">
        <f>F34*G34</f>
        <v>145000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31">
        <f t="shared" ref="H35:H39" si="2">F35*G35</f>
        <v>9500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>F36*G36</f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231">
        <f t="shared" si="2"/>
        <v>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73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8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215">
        <v>149988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8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6</v>
      </c>
      <c r="D49" s="12">
        <f>C49*42</f>
        <v>252</v>
      </c>
      <c r="F49" s="256" t="s">
        <v>85</v>
      </c>
      <c r="G49" s="203">
        <f>H34+H35+H36+H37+H38+H39+H40+H41+G42+H44+H45+H46</f>
        <v>304961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260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46113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482</v>
      </c>
      <c r="D6" s="13">
        <f t="shared" ref="D6:D28" si="1">C6*L6</f>
        <v>366802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17</v>
      </c>
      <c r="D7" s="13">
        <f t="shared" si="1"/>
        <v>13277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2</v>
      </c>
      <c r="D8" s="13">
        <f t="shared" si="1"/>
        <v>2186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35</v>
      </c>
      <c r="D9" s="13">
        <f t="shared" si="1"/>
        <v>25655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2</v>
      </c>
      <c r="D11" s="13">
        <f t="shared" si="1"/>
        <v>2340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3</f>
        <v>3</v>
      </c>
      <c r="D12" s="48">
        <f t="shared" si="1"/>
        <v>2976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21</v>
      </c>
      <c r="D13" s="48">
        <f t="shared" si="1"/>
        <v>6447</v>
      </c>
      <c r="F13" s="176" t="s">
        <v>36</v>
      </c>
      <c r="G13" s="177"/>
      <c r="H13" s="178">
        <f>D29</f>
        <v>419925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22</v>
      </c>
      <c r="D14" s="31">
        <f t="shared" si="1"/>
        <v>242</v>
      </c>
      <c r="F14" s="181" t="s">
        <v>38</v>
      </c>
      <c r="G14" s="182"/>
      <c r="H14" s="183">
        <f>D54</f>
        <v>66984.75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352940.25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648+738+840</f>
        <v>2226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8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419925</v>
      </c>
      <c r="F29" s="199" t="s">
        <v>54</v>
      </c>
      <c r="G29" s="200"/>
      <c r="H29" s="203">
        <f>H15-H16-H17-H18-H19-H20-H22-H23-H24+H26+H27</f>
        <v>350714.25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231">
        <f>F34*G34</f>
        <v>123000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231">
        <f>F35*G35</f>
        <v>56000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231">
        <f t="shared" si="2"/>
        <v>10700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31">
        <f t="shared" si="2"/>
        <v>150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31">
        <f t="shared" si="2"/>
        <v>40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1">
        <v>710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8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215">
        <v>93138.5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215">
        <v>66764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19</v>
      </c>
      <c r="D46" s="12">
        <f>C46*1.5</f>
        <v>28.5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350502.5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39</v>
      </c>
      <c r="D50" s="12">
        <f>C50*1.5</f>
        <v>58.5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-211.75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9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46114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402</v>
      </c>
      <c r="D6" s="13">
        <f t="shared" ref="D6:D28" si="1">C6*L6</f>
        <v>305922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4</v>
      </c>
      <c r="D7" s="13">
        <f t="shared" si="1"/>
        <v>3124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18</v>
      </c>
      <c r="D9" s="13">
        <f t="shared" si="1"/>
        <v>13194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12</v>
      </c>
      <c r="D13" s="48">
        <f t="shared" si="1"/>
        <v>3684</v>
      </c>
      <c r="F13" s="176" t="s">
        <v>36</v>
      </c>
      <c r="G13" s="177"/>
      <c r="H13" s="178">
        <f>D29</f>
        <v>326938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</v>
      </c>
      <c r="D14" s="31">
        <f t="shared" si="1"/>
        <v>22</v>
      </c>
      <c r="F14" s="181" t="s">
        <v>38</v>
      </c>
      <c r="G14" s="182"/>
      <c r="H14" s="183">
        <f>D54</f>
        <v>16806.75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310131.25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1944</f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9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326938</v>
      </c>
      <c r="F29" s="199" t="s">
        <v>54</v>
      </c>
      <c r="G29" s="200"/>
      <c r="H29" s="203">
        <f>H15-H16-H17-H18-H19-H20-H22-H23-H24+H26+H27+H28</f>
        <v>308187.25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231">
        <f t="shared" ref="H34:H39" si="2">F34*G34</f>
        <v>53000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31">
        <f t="shared" si="2"/>
        <v>3500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 t="shared" si="2"/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231">
        <f t="shared" si="2"/>
        <v>3600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215">
        <v>247690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4</v>
      </c>
      <c r="D46" s="12">
        <f>C46*1.5</f>
        <v>6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307990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10</v>
      </c>
      <c r="D50" s="12">
        <f>C50*1.5</f>
        <v>15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-197.25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46114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353</v>
      </c>
      <c r="D6" s="13">
        <f t="shared" ref="D6:D28" si="1">C6*L6</f>
        <v>268633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</v>
      </c>
      <c r="D9" s="13">
        <f t="shared" si="1"/>
        <v>3665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13</v>
      </c>
      <c r="D13" s="48">
        <f t="shared" si="1"/>
        <v>3991</v>
      </c>
      <c r="F13" s="176" t="s">
        <v>36</v>
      </c>
      <c r="G13" s="177"/>
      <c r="H13" s="178">
        <f>D29</f>
        <v>278180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6</v>
      </c>
      <c r="D14" s="31">
        <f t="shared" si="1"/>
        <v>66</v>
      </c>
      <c r="F14" s="181" t="s">
        <v>38</v>
      </c>
      <c r="G14" s="182"/>
      <c r="H14" s="183">
        <f>D54</f>
        <v>41341.5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236838.5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f>1944</f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278180</v>
      </c>
      <c r="F29" s="199" t="s">
        <v>54</v>
      </c>
      <c r="G29" s="200"/>
      <c r="H29" s="203">
        <f>H15-H16-H17-H18-H19-H20-H22-H23-H24+H26+H27</f>
        <v>234894.5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231">
        <f>F34*G34</f>
        <v>24000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231">
        <f t="shared" ref="H35:H39" si="2">F35*G35</f>
        <v>199000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31">
        <f>F36*G36</f>
        <v>400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31">
        <f t="shared" si="2"/>
        <v>100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231">
        <f t="shared" si="2"/>
        <v>10100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31">
        <f t="shared" si="2"/>
        <v>40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168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9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15</v>
      </c>
      <c r="D49" s="12">
        <f>C49*42</f>
        <v>630</v>
      </c>
      <c r="F49" s="256" t="s">
        <v>85</v>
      </c>
      <c r="G49" s="203">
        <f>H34+H35+H36+H37+H38+H39+H40+H41+G42+H44+H45+H46</f>
        <v>233808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6</v>
      </c>
      <c r="D50" s="12">
        <f>C50*1.5</f>
        <v>9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-1086.5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46114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653</v>
      </c>
      <c r="D6" s="13">
        <f t="shared" ref="D6:D28" si="1">C6*L6</f>
        <v>496933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29</v>
      </c>
      <c r="D7" s="13">
        <f t="shared" si="1"/>
        <v>22649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76</v>
      </c>
      <c r="D9" s="13">
        <f t="shared" si="1"/>
        <v>55708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3+1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24</v>
      </c>
      <c r="D13" s="48">
        <f t="shared" si="1"/>
        <v>7368</v>
      </c>
      <c r="F13" s="176" t="s">
        <v>36</v>
      </c>
      <c r="G13" s="177"/>
      <c r="H13" s="178">
        <f>D29</f>
        <v>589177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</v>
      </c>
      <c r="D14" s="31">
        <f t="shared" si="1"/>
        <v>11</v>
      </c>
      <c r="F14" s="181" t="s">
        <v>38</v>
      </c>
      <c r="G14" s="182"/>
      <c r="H14" s="183">
        <f>D54</f>
        <v>87320.25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2</v>
      </c>
      <c r="D15" s="31">
        <f t="shared" si="1"/>
        <v>1240</v>
      </c>
      <c r="F15" s="186" t="s">
        <v>39</v>
      </c>
      <c r="G15" s="177"/>
      <c r="H15" s="187">
        <f>H13-H14</f>
        <v>501856.75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0">
        <f>2814+1050</f>
        <v>3864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589177</v>
      </c>
      <c r="F29" s="199" t="s">
        <v>54</v>
      </c>
      <c r="G29" s="200"/>
      <c r="H29" s="203">
        <f>H15-H16-H17-H18-H19-H20-H22-H23-H24+H26+H27</f>
        <v>497992.75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231">
        <f>F34*G34</f>
        <v>158000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31">
        <f>F35*G35</f>
        <v>28500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231">
        <f t="shared" si="2"/>
        <v>2700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231">
        <f t="shared" si="2"/>
        <v>1700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5</v>
      </c>
      <c r="D42" s="12">
        <f>C42*2.25</f>
        <v>11.25</v>
      </c>
      <c r="F42" s="39" t="s">
        <v>78</v>
      </c>
      <c r="G42" s="231">
        <v>72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215">
        <v>306876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8</v>
      </c>
      <c r="D49" s="12">
        <f>C49*42</f>
        <v>336</v>
      </c>
      <c r="F49" s="256" t="s">
        <v>85</v>
      </c>
      <c r="G49" s="203">
        <f>H34+H35+H36+H37+H38+H39+H40+H41+G42+H44+H45+H46</f>
        <v>497848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13</v>
      </c>
      <c r="D50" s="12">
        <f>C50*1.5</f>
        <v>19.5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-144.75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9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46115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9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H15-H16-H17-H18-H19-H20-H22-H23-H24+H26+H27+H28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1">
        <f t="shared" ref="H34:H39" si="2"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83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46115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ref="H35:H39" si="2"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9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46115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9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46116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9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H15-H16-H17-H18-H19-H20-H22-H23-H24+H26+H27+H28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1">
        <f t="shared" ref="H34:H39" si="2"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83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46116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ref="H35:H39" si="2"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9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46116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9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46118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990</v>
      </c>
      <c r="D6" s="13">
        <f t="shared" ref="D6:D28" si="1">C6*L6</f>
        <v>753390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</v>
      </c>
      <c r="D7" s="13">
        <f t="shared" si="1"/>
        <v>781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230</v>
      </c>
      <c r="D9" s="13">
        <f t="shared" si="1"/>
        <v>168590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10</v>
      </c>
      <c r="D10" s="13">
        <f t="shared" si="1"/>
        <v>10320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2+1</f>
        <v>3</v>
      </c>
      <c r="D12" s="48">
        <f t="shared" si="1"/>
        <v>2976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17</v>
      </c>
      <c r="D13" s="48">
        <f t="shared" si="1"/>
        <v>5219</v>
      </c>
      <c r="F13" s="176" t="s">
        <v>36</v>
      </c>
      <c r="G13" s="177"/>
      <c r="H13" s="178">
        <f>D29</f>
        <v>941474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18</v>
      </c>
      <c r="D14" s="31">
        <f t="shared" si="1"/>
        <v>198</v>
      </c>
      <c r="F14" s="181" t="s">
        <v>38</v>
      </c>
      <c r="G14" s="182"/>
      <c r="H14" s="183">
        <f>D54</f>
        <v>138555.75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802918.25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2670+3882</f>
        <v>6552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9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941474</v>
      </c>
      <c r="F29" s="199" t="s">
        <v>54</v>
      </c>
      <c r="G29" s="200"/>
      <c r="H29" s="203">
        <f>H15-H16-H17-H18-H19-H20-H22-H23-H24+H26+H27+H28</f>
        <v>796366.25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231">
        <f t="shared" ref="H34:H39" si="2">F34*G34</f>
        <v>82000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31">
        <f t="shared" si="2"/>
        <v>2000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9</v>
      </c>
      <c r="D42" s="12">
        <f>C42*2.25</f>
        <v>20.25</v>
      </c>
      <c r="F42" s="39" t="s">
        <v>78</v>
      </c>
      <c r="G42" s="231">
        <v>34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215">
        <v>291136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215">
        <v>420282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</v>
      </c>
      <c r="D46" s="12">
        <f>C46*1.5</f>
        <v>3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795502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22</v>
      </c>
      <c r="D50" s="12">
        <f>C50*1.5</f>
        <v>33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-864.25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46118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570</v>
      </c>
      <c r="D6" s="13">
        <f t="shared" ref="D6:D28" si="1">C6*L6</f>
        <v>433770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7</v>
      </c>
      <c r="D7" s="13">
        <f t="shared" si="1"/>
        <v>5467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60</v>
      </c>
      <c r="D9" s="13">
        <f t="shared" si="1"/>
        <v>43980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18</v>
      </c>
      <c r="D13" s="48">
        <f t="shared" si="1"/>
        <v>5526</v>
      </c>
      <c r="F13" s="176" t="s">
        <v>36</v>
      </c>
      <c r="G13" s="177"/>
      <c r="H13" s="178">
        <f>D29</f>
        <v>488743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72385.5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416357.5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900+2106</f>
        <v>3006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488743</v>
      </c>
      <c r="F29" s="199" t="s">
        <v>54</v>
      </c>
      <c r="G29" s="200"/>
      <c r="H29" s="203">
        <f>H15-H16-H17-H18-H19-H20-H22-H23-H24+H26+H27</f>
        <v>413351.5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231">
        <f>F34*G34</f>
        <v>383000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31">
        <f t="shared" ref="H35:H39" si="2">F35*G35</f>
        <v>30500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231">
        <f t="shared" si="2"/>
        <v>1400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231">
        <f t="shared" si="2"/>
        <v>350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231">
        <f t="shared" si="2"/>
        <v>100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103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9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13</v>
      </c>
      <c r="D49" s="12">
        <f>C49*42</f>
        <v>546</v>
      </c>
      <c r="F49" s="256" t="s">
        <v>85</v>
      </c>
      <c r="G49" s="203">
        <f>H34+H35+H36+H37+H38+H39+H40+H41+G42+H44+H45+H46</f>
        <v>415453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2101.5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46118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541</v>
      </c>
      <c r="D6" s="13">
        <f t="shared" ref="D6:D28" si="1">C6*L6</f>
        <v>411701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19</v>
      </c>
      <c r="D7" s="13">
        <f t="shared" si="1"/>
        <v>14839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108</v>
      </c>
      <c r="D9" s="13">
        <f t="shared" si="1"/>
        <v>79164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10</v>
      </c>
      <c r="D13" s="48">
        <f t="shared" si="1"/>
        <v>3070</v>
      </c>
      <c r="F13" s="176" t="s">
        <v>36</v>
      </c>
      <c r="G13" s="177"/>
      <c r="H13" s="178">
        <f>D29</f>
        <v>513840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6</v>
      </c>
      <c r="D14" s="31">
        <f t="shared" si="1"/>
        <v>66</v>
      </c>
      <c r="F14" s="181" t="s">
        <v>38</v>
      </c>
      <c r="G14" s="182"/>
      <c r="H14" s="183">
        <f>D54</f>
        <v>78996.75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434843.25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1866</f>
        <v>1866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513840</v>
      </c>
      <c r="F29" s="199" t="s">
        <v>54</v>
      </c>
      <c r="G29" s="200"/>
      <c r="H29" s="203">
        <f>H15-H16-H17-H18-H19-H20-H22-H23-H24+H26+H27</f>
        <v>432927.25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231">
        <f>F34*G34</f>
        <v>71000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31">
        <f>F35*G35</f>
        <v>10500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231">
        <f t="shared" si="2"/>
        <v>10400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</v>
      </c>
      <c r="D42" s="12">
        <f>C42*2.25</f>
        <v>2.25</v>
      </c>
      <c r="F42" s="39" t="s">
        <v>78</v>
      </c>
      <c r="G42" s="231">
        <v>102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215">
        <v>199262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215">
        <v>141172.5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8</v>
      </c>
      <c r="D46" s="12">
        <f>C46*1.5</f>
        <v>12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432436.5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16</v>
      </c>
      <c r="D50" s="12">
        <f>C50*1.5</f>
        <v>24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-490.75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46119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647</v>
      </c>
      <c r="D6" s="13">
        <f t="shared" ref="D6:D28" si="1">C6*L6</f>
        <v>492367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5</v>
      </c>
      <c r="D7" s="13">
        <f t="shared" si="1"/>
        <v>3905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34</v>
      </c>
      <c r="D9" s="13">
        <f t="shared" si="1"/>
        <v>24922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3</v>
      </c>
      <c r="D10" s="13">
        <f t="shared" si="1"/>
        <v>3096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3</v>
      </c>
      <c r="D12" s="48">
        <f t="shared" si="1"/>
        <v>2976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13</v>
      </c>
      <c r="D13" s="48">
        <f t="shared" si="1"/>
        <v>3991</v>
      </c>
      <c r="F13" s="176" t="s">
        <v>36</v>
      </c>
      <c r="G13" s="177"/>
      <c r="H13" s="178">
        <f>D29</f>
        <v>532497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52386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2</v>
      </c>
      <c r="D15" s="31">
        <f t="shared" si="1"/>
        <v>1240</v>
      </c>
      <c r="F15" s="186" t="s">
        <v>39</v>
      </c>
      <c r="G15" s="177"/>
      <c r="H15" s="187">
        <f>H13-H14</f>
        <v>480111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1944+1476</f>
        <v>3420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0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532497</v>
      </c>
      <c r="F29" s="199" t="s">
        <v>54</v>
      </c>
      <c r="G29" s="200"/>
      <c r="H29" s="203">
        <f>H15-H16-H17-H18-H19-H20-H22-H23-H24+H26+H27+H28</f>
        <v>476691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231">
        <f t="shared" ref="H34:H39" si="2">F34*G34</f>
        <v>270000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231">
        <f t="shared" si="2"/>
        <v>156500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119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215">
        <v>50000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8</v>
      </c>
      <c r="D49" s="12">
        <f>C49*42</f>
        <v>336</v>
      </c>
      <c r="F49" s="256" t="s">
        <v>85</v>
      </c>
      <c r="G49" s="203">
        <f>H34+H35+H36+H37+H38+H39+H40+H41+G42+H44+H45+H46</f>
        <v>476689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-2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46119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375</v>
      </c>
      <c r="D6" s="13">
        <f t="shared" ref="D6:D28" si="1">C6*L6</f>
        <v>285375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10</v>
      </c>
      <c r="D7" s="13">
        <f t="shared" si="1"/>
        <v>7810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25</v>
      </c>
      <c r="D9" s="13">
        <f t="shared" si="1"/>
        <v>18325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8</v>
      </c>
      <c r="D13" s="48">
        <f t="shared" si="1"/>
        <v>2456</v>
      </c>
      <c r="F13" s="176" t="s">
        <v>36</v>
      </c>
      <c r="G13" s="177"/>
      <c r="H13" s="178">
        <f>D29</f>
        <v>321418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6</v>
      </c>
      <c r="D14" s="31">
        <f t="shared" si="1"/>
        <v>66</v>
      </c>
      <c r="F14" s="181" t="s">
        <v>38</v>
      </c>
      <c r="G14" s="182"/>
      <c r="H14" s="183">
        <f>D54</f>
        <v>45939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275479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90">
        <v>1200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321418</v>
      </c>
      <c r="F29" s="199" t="s">
        <v>54</v>
      </c>
      <c r="G29" s="200"/>
      <c r="H29" s="203">
        <f>H15-H16-H17-H18-H19-H20-H22-H23-H24+H26+H27</f>
        <v>274279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231">
        <f>F34*G34</f>
        <v>128000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31">
        <f t="shared" ref="H35:H39" si="2">F35*G35</f>
        <v>12000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231">
        <f t="shared" si="2"/>
        <v>1600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4</v>
      </c>
      <c r="D42" s="12">
        <f>C42*2.25</f>
        <v>9</v>
      </c>
      <c r="F42" s="39" t="s">
        <v>78</v>
      </c>
      <c r="G42" s="231">
        <v>111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215">
        <v>132227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0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9</v>
      </c>
      <c r="D49" s="12">
        <f>C49*42</f>
        <v>378</v>
      </c>
      <c r="F49" s="256" t="s">
        <v>85</v>
      </c>
      <c r="G49" s="203">
        <f>H34+H35+H36+H37+H38+H39+H40+H41+G42+H44+H45+H46</f>
        <v>273958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15</v>
      </c>
      <c r="D50" s="12">
        <f>C50*1.5</f>
        <v>22.5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-321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46119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756</v>
      </c>
      <c r="D6" s="13">
        <f t="shared" ref="D6:D28" si="1">C6*L6</f>
        <v>575316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9</v>
      </c>
      <c r="D7" s="13">
        <f t="shared" si="1"/>
        <v>7029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108</v>
      </c>
      <c r="D9" s="13">
        <f t="shared" si="1"/>
        <v>79164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9+1+1</f>
        <v>11</v>
      </c>
      <c r="D12" s="48">
        <f t="shared" si="1"/>
        <v>10912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31</v>
      </c>
      <c r="D13" s="48">
        <f t="shared" si="1"/>
        <v>9517</v>
      </c>
      <c r="F13" s="176" t="s">
        <v>36</v>
      </c>
      <c r="G13" s="177"/>
      <c r="H13" s="178">
        <f>D29</f>
        <v>709846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4</v>
      </c>
      <c r="D14" s="31">
        <f t="shared" si="1"/>
        <v>44</v>
      </c>
      <c r="F14" s="181" t="s">
        <v>38</v>
      </c>
      <c r="G14" s="182"/>
      <c r="H14" s="183">
        <f>D54</f>
        <v>105213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604633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90">
        <f>3360+648+300+636</f>
        <v>4944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148</v>
      </c>
      <c r="C27" s="10">
        <v>6</v>
      </c>
      <c r="D27" s="44">
        <f t="shared" si="1"/>
        <v>6612</v>
      </c>
      <c r="F27" s="25"/>
      <c r="G27" s="80"/>
      <c r="H27" s="222"/>
      <c r="I27" s="223"/>
      <c r="J27" s="224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709846</v>
      </c>
      <c r="F29" s="199" t="s">
        <v>54</v>
      </c>
      <c r="G29" s="200"/>
      <c r="H29" s="203">
        <f>H15-H16-H17-H18-H19-H20-H22-H23-H24+H26+H27</f>
        <v>599689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231">
        <f>F34*G34</f>
        <v>58000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31">
        <f>F35*G35</f>
        <v>22000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31">
        <f t="shared" ref="H36:H39" si="2">F36*G36</f>
        <v>800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231">
        <f t="shared" si="2"/>
        <v>10600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45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215">
        <v>71328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215">
        <v>366768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215">
        <v>70468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35</v>
      </c>
      <c r="D49" s="12">
        <f>C49*42</f>
        <v>1470</v>
      </c>
      <c r="F49" s="256" t="s">
        <v>85</v>
      </c>
      <c r="G49" s="203">
        <f>H34+H35+H36+H37+H38+H39+H40+H41+G42+H44+H45+H46</f>
        <v>600009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4</v>
      </c>
      <c r="D50" s="12">
        <f>C50*1.5</f>
        <v>6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320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46120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540</v>
      </c>
      <c r="D6" s="13">
        <f t="shared" ref="D6:D28" si="1">C6*L6</f>
        <v>410940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15</v>
      </c>
      <c r="D13" s="48">
        <f t="shared" si="1"/>
        <v>4605</v>
      </c>
      <c r="F13" s="176" t="s">
        <v>36</v>
      </c>
      <c r="G13" s="177"/>
      <c r="H13" s="178">
        <f>D29</f>
        <v>415545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57449.25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358095.75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2592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0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415545</v>
      </c>
      <c r="F29" s="199" t="s">
        <v>54</v>
      </c>
      <c r="G29" s="200"/>
      <c r="H29" s="203">
        <f>H15-H16-H17-H18-H19-H20-H22-H23-H24+H26+H27+H28</f>
        <v>355503.75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231">
        <f t="shared" ref="H34:H39" si="2">F34*G34</f>
        <v>301000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31">
        <f t="shared" si="2"/>
        <v>53500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83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17</v>
      </c>
      <c r="D49" s="12">
        <f>C49*42</f>
        <v>714</v>
      </c>
      <c r="F49" s="256" t="s">
        <v>85</v>
      </c>
      <c r="G49" s="203">
        <f>H34+H35+H36+H37+H38+H39+H40+H41+G42+H44+H45+H46</f>
        <v>354500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-1003.75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46120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327</v>
      </c>
      <c r="D6" s="13">
        <f t="shared" ref="D6:D28" si="1">C6*L6</f>
        <v>248847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48</v>
      </c>
      <c r="D9" s="13">
        <f t="shared" si="1"/>
        <v>35184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7</v>
      </c>
      <c r="D13" s="48">
        <f t="shared" si="1"/>
        <v>2149</v>
      </c>
      <c r="F13" s="176" t="s">
        <v>36</v>
      </c>
      <c r="G13" s="177"/>
      <c r="H13" s="178">
        <f>D29</f>
        <v>286224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4</v>
      </c>
      <c r="D14" s="31">
        <f t="shared" si="1"/>
        <v>44</v>
      </c>
      <c r="F14" s="181" t="s">
        <v>38</v>
      </c>
      <c r="G14" s="182"/>
      <c r="H14" s="183">
        <f>D54</f>
        <v>46103.25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240120.75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1494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286224</v>
      </c>
      <c r="F29" s="199" t="s">
        <v>54</v>
      </c>
      <c r="G29" s="200"/>
      <c r="H29" s="203">
        <f>H15-H16-H17-H18-H19-H20-H22-H23-H24+H26+H27</f>
        <v>238626.75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31">
        <f>F34*G34</f>
        <v>145000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31">
        <f t="shared" ref="H35:H39" si="2">F35*G35</f>
        <v>3500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231">
        <f t="shared" si="2"/>
        <v>1300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</v>
      </c>
      <c r="D42" s="12">
        <f>C42*2.25</f>
        <v>2.25</v>
      </c>
      <c r="F42" s="39" t="s">
        <v>78</v>
      </c>
      <c r="G42" s="231">
        <v>40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215">
        <v>88133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0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7</v>
      </c>
      <c r="D49" s="12">
        <f>C49*42</f>
        <v>294</v>
      </c>
      <c r="F49" s="256" t="s">
        <v>85</v>
      </c>
      <c r="G49" s="203">
        <f>H34+H35+H36+H37+H38+H39+H40+H41+G42+H44+H45+H46</f>
        <v>238043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8</v>
      </c>
      <c r="D50" s="12">
        <f>C50*1.5</f>
        <v>12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-583.75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46120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600</v>
      </c>
      <c r="D6" s="13">
        <f t="shared" ref="D6:D28" si="1">C6*L6</f>
        <v>456600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10</v>
      </c>
      <c r="D7" s="13">
        <f t="shared" si="1"/>
        <v>7810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94</v>
      </c>
      <c r="D9" s="13">
        <f t="shared" si="1"/>
        <v>68902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2</v>
      </c>
      <c r="D10" s="13">
        <f t="shared" si="1"/>
        <v>2064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20</v>
      </c>
      <c r="D13" s="48">
        <f t="shared" si="1"/>
        <v>6140</v>
      </c>
      <c r="F13" s="176" t="s">
        <v>36</v>
      </c>
      <c r="G13" s="177"/>
      <c r="H13" s="178">
        <f>D29</f>
        <v>546916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12</v>
      </c>
      <c r="D14" s="31">
        <f t="shared" si="1"/>
        <v>132</v>
      </c>
      <c r="F14" s="181" t="s">
        <v>38</v>
      </c>
      <c r="G14" s="182"/>
      <c r="H14" s="183">
        <f>D54</f>
        <v>81273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465643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f>390+1266+1530+858</f>
        <v>4044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546916</v>
      </c>
      <c r="F29" s="199" t="s">
        <v>54</v>
      </c>
      <c r="G29" s="200"/>
      <c r="H29" s="203">
        <f>H15-H16-H17-H18-H19-H20-H22-H23-H24+H26+H27</f>
        <v>461549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231">
        <f>F34*G34</f>
        <v>92000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231">
        <f>F35*G35</f>
        <v>57000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31">
        <f t="shared" ref="H36:H39" si="2">F36*G36</f>
        <v>800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231">
        <f t="shared" si="2"/>
        <v>6700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1">
        <v>73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215">
        <v>138508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215">
        <v>165614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3</v>
      </c>
      <c r="D46" s="12">
        <f>C46*1.5</f>
        <v>4.5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</v>
      </c>
      <c r="D49" s="12">
        <f>C49*42</f>
        <v>42</v>
      </c>
      <c r="F49" s="256" t="s">
        <v>85</v>
      </c>
      <c r="G49" s="203">
        <f>H34+H35+H36+H37+H38+H39+H40+H41+G42+H44+H45+H46</f>
        <v>460695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10</v>
      </c>
      <c r="D50" s="12">
        <f>C50*1.5</f>
        <v>15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-854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46121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535</v>
      </c>
      <c r="D6" s="13">
        <f t="shared" ref="D6:D28" si="1">C6*L6</f>
        <v>407135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20</v>
      </c>
      <c r="D9" s="13">
        <f t="shared" si="1"/>
        <v>14660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6</v>
      </c>
      <c r="D13" s="48">
        <f t="shared" si="1"/>
        <v>1842</v>
      </c>
      <c r="F13" s="176" t="s">
        <v>36</v>
      </c>
      <c r="G13" s="177"/>
      <c r="H13" s="178">
        <f>D29</f>
        <v>426678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3</v>
      </c>
      <c r="D14" s="31">
        <f t="shared" si="1"/>
        <v>33</v>
      </c>
      <c r="F14" s="181" t="s">
        <v>38</v>
      </c>
      <c r="G14" s="182"/>
      <c r="H14" s="183">
        <f>D54</f>
        <v>60252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366426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156</v>
      </c>
      <c r="C24" s="10">
        <v>12</v>
      </c>
      <c r="D24" s="48">
        <f t="shared" si="1"/>
        <v>454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0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426678</v>
      </c>
      <c r="F29" s="199" t="s">
        <v>54</v>
      </c>
      <c r="G29" s="200"/>
      <c r="H29" s="203">
        <f>H15-H16-H17-H18-H19-H20-H22-H23-H24+H26+H27+H28</f>
        <v>366426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231">
        <f t="shared" ref="H34:H39" si="2">F34*G34</f>
        <v>94000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31">
        <f t="shared" si="2"/>
        <v>20500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31">
        <f t="shared" si="2"/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231">
        <f t="shared" si="2"/>
        <v>4900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231">
        <f t="shared" si="2"/>
        <v>3800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31">
        <f t="shared" si="2"/>
        <v>40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4</v>
      </c>
      <c r="D42" s="12">
        <f>C42*2.25</f>
        <v>9</v>
      </c>
      <c r="F42" s="39" t="s">
        <v>78</v>
      </c>
      <c r="G42" s="231">
        <v>23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215">
        <v>140000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215">
        <v>104214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8</v>
      </c>
      <c r="D46" s="12">
        <f>C46*1.5</f>
        <v>12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367677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29</v>
      </c>
      <c r="D50" s="12">
        <f>C50*1.5</f>
        <v>43.5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1251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46121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317</v>
      </c>
      <c r="D6" s="13">
        <f t="shared" ref="D6:D28" si="1">C6*L6</f>
        <v>241237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3</v>
      </c>
      <c r="D7" s="13">
        <f t="shared" si="1"/>
        <v>2343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12</v>
      </c>
      <c r="D9" s="13">
        <f t="shared" si="1"/>
        <v>8796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11</v>
      </c>
      <c r="D13" s="48">
        <f t="shared" si="1"/>
        <v>3377</v>
      </c>
      <c r="F13" s="176" t="s">
        <v>36</v>
      </c>
      <c r="G13" s="177"/>
      <c r="H13" s="178">
        <f>D29</f>
        <v>256965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20</v>
      </c>
      <c r="D14" s="31">
        <f t="shared" si="1"/>
        <v>220</v>
      </c>
      <c r="F14" s="181" t="s">
        <v>38</v>
      </c>
      <c r="G14" s="182"/>
      <c r="H14" s="183">
        <f>D54</f>
        <v>37854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219111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1296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256965</v>
      </c>
      <c r="F29" s="199" t="s">
        <v>54</v>
      </c>
      <c r="G29" s="200"/>
      <c r="H29" s="203">
        <f>H15-H16-H17-H18-H19-H20-H22-H23-H24+H26+H27</f>
        <v>217815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231">
        <f>F34*G34</f>
        <v>59000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231">
        <f t="shared" ref="H35:H39" si="2">F35*G35</f>
        <v>126500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231">
        <f t="shared" si="2"/>
        <v>21700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231">
        <f t="shared" si="2"/>
        <v>10250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31">
        <f t="shared" si="2"/>
        <v>60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8</v>
      </c>
      <c r="D42" s="12">
        <f>C42*2.25</f>
        <v>18</v>
      </c>
      <c r="F42" s="39" t="s">
        <v>78</v>
      </c>
      <c r="G42" s="231">
        <v>118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5</v>
      </c>
      <c r="D46" s="12">
        <f>C46*1.5</f>
        <v>7.5</v>
      </c>
      <c r="F46" s="37"/>
      <c r="G46" s="10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9</v>
      </c>
      <c r="D49" s="12">
        <f>C49*42</f>
        <v>378</v>
      </c>
      <c r="F49" s="256" t="s">
        <v>85</v>
      </c>
      <c r="G49" s="203">
        <f>H34+H35+H36+H37+H38+H39+H40+H41+G42+H44+H45+H46</f>
        <v>217628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23</v>
      </c>
      <c r="D50" s="12">
        <f>C50*1.5</f>
        <v>34.5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-187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46121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523</v>
      </c>
      <c r="D6" s="13">
        <f t="shared" ref="D6:D28" si="1">C6*L6</f>
        <v>398003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32</v>
      </c>
      <c r="D7" s="13">
        <f t="shared" si="1"/>
        <v>24992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19</v>
      </c>
      <c r="D9" s="13">
        <f t="shared" si="1"/>
        <v>13927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3</v>
      </c>
      <c r="D12" s="48">
        <f t="shared" si="1"/>
        <v>2976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18</v>
      </c>
      <c r="D13" s="48">
        <f t="shared" si="1"/>
        <v>5526</v>
      </c>
      <c r="F13" s="176" t="s">
        <v>36</v>
      </c>
      <c r="G13" s="177"/>
      <c r="H13" s="178">
        <f>D29</f>
        <v>448958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</v>
      </c>
      <c r="D14" s="31">
        <f t="shared" si="1"/>
        <v>22</v>
      </c>
      <c r="F14" s="181" t="s">
        <v>38</v>
      </c>
      <c r="G14" s="182"/>
      <c r="H14" s="183">
        <f>D54</f>
        <v>81078.75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f>1+1</f>
        <v>2</v>
      </c>
      <c r="D15" s="31">
        <f t="shared" si="1"/>
        <v>1240</v>
      </c>
      <c r="F15" s="186" t="s">
        <v>39</v>
      </c>
      <c r="G15" s="177"/>
      <c r="H15" s="187">
        <f>H13-H14</f>
        <v>367879.25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1296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448958</v>
      </c>
      <c r="F29" s="199" t="s">
        <v>54</v>
      </c>
      <c r="G29" s="200"/>
      <c r="H29" s="203">
        <f>H15-H16-H17-H18-H19-H20-H22-H23-H24+H26+H27</f>
        <v>366583.25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231">
        <f>F34*G34</f>
        <v>261000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31">
        <f>F35*G35</f>
        <v>30500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231">
        <f t="shared" si="2"/>
        <v>14500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231">
        <f t="shared" si="2"/>
        <v>2550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231">
        <f t="shared" si="2"/>
        <v>60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1">
        <v>23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215">
        <v>59614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3</v>
      </c>
      <c r="D45" s="12">
        <f>C45*84</f>
        <v>252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</v>
      </c>
      <c r="D46" s="12">
        <f>C46*1.5</f>
        <v>1.5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3</v>
      </c>
      <c r="D49" s="12">
        <f>C49*42</f>
        <v>126</v>
      </c>
      <c r="F49" s="256" t="s">
        <v>85</v>
      </c>
      <c r="G49" s="203">
        <f>H34+H35+H36+H37+H38+H39+H40+H41+G42+H44+H45+H46</f>
        <v>368247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10</v>
      </c>
      <c r="D50" s="12">
        <f>C50*1.5</f>
        <v>15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1663.75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316</v>
      </c>
      <c r="D6" s="13">
        <f t="shared" ref="D6:D28" si="1">C6*L6</f>
        <v>240476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10</v>
      </c>
      <c r="D7" s="13">
        <f t="shared" si="1"/>
        <v>7810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22</v>
      </c>
      <c r="D9" s="13">
        <f t="shared" si="1"/>
        <v>16126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6</v>
      </c>
      <c r="D10" s="13">
        <f t="shared" si="1"/>
        <v>6192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4</v>
      </c>
      <c r="D11" s="13">
        <f t="shared" si="1"/>
        <v>4680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3</v>
      </c>
      <c r="D13" s="48">
        <f t="shared" si="1"/>
        <v>921</v>
      </c>
      <c r="F13" s="176" t="s">
        <v>36</v>
      </c>
      <c r="G13" s="177"/>
      <c r="H13" s="178">
        <f>D29</f>
        <v>291054.08333333337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10</v>
      </c>
      <c r="D14" s="31">
        <f t="shared" si="1"/>
        <v>110</v>
      </c>
      <c r="F14" s="181" t="s">
        <v>38</v>
      </c>
      <c r="G14" s="182"/>
      <c r="H14" s="183">
        <f>D54</f>
        <v>40578.75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2</v>
      </c>
      <c r="D15" s="31">
        <f t="shared" si="1"/>
        <v>1240</v>
      </c>
      <c r="F15" s="186" t="s">
        <v>39</v>
      </c>
      <c r="G15" s="177"/>
      <c r="H15" s="187">
        <f>H13-H14</f>
        <v>250475.33333333337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213">
        <v>4698</v>
      </c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>
        <v>4</v>
      </c>
      <c r="D23" s="48">
        <f t="shared" si="1"/>
        <v>158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156</v>
      </c>
      <c r="C24" s="10">
        <v>12</v>
      </c>
      <c r="D24" s="48">
        <f t="shared" si="1"/>
        <v>454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>
        <v>9</v>
      </c>
      <c r="D26" s="48">
        <f t="shared" si="1"/>
        <v>522.75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68"/>
      <c r="I27" s="269"/>
      <c r="J27" s="269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291054.08333333337</v>
      </c>
      <c r="F29" s="199" t="s">
        <v>54</v>
      </c>
      <c r="G29" s="200"/>
      <c r="H29" s="203">
        <f>H15-H16-H17-H18-H19-H20-H22-H23-H24+H26+H27+H28</f>
        <v>245777.33333333337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231">
        <f t="shared" ref="H34:H39" si="2">F34*G34</f>
        <v>211000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231">
        <f t="shared" si="2"/>
        <v>12500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231">
        <f t="shared" si="2"/>
        <v>10000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</v>
      </c>
      <c r="D42" s="12">
        <f>C42*2.25</f>
        <v>2.25</v>
      </c>
      <c r="F42" s="39" t="s">
        <v>78</v>
      </c>
      <c r="G42" s="231">
        <v>18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215">
        <v>9184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215">
        <v>3110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</v>
      </c>
      <c r="D46" s="12">
        <f>C46*1.5</f>
        <v>1.5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245882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69</v>
      </c>
      <c r="D50" s="12">
        <f>C50*1.5</f>
        <v>103.5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104.66666666662786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386</v>
      </c>
      <c r="D6" s="13">
        <f t="shared" ref="D6:D28" si="1">C6*L6</f>
        <v>293746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47</v>
      </c>
      <c r="D9" s="13">
        <f t="shared" si="1"/>
        <v>34451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14</v>
      </c>
      <c r="D13" s="48">
        <f t="shared" si="1"/>
        <v>4298</v>
      </c>
      <c r="F13" s="176" t="s">
        <v>36</v>
      </c>
      <c r="G13" s="177"/>
      <c r="H13" s="178">
        <f>D29</f>
        <v>337013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11</v>
      </c>
      <c r="D14" s="31">
        <f t="shared" si="1"/>
        <v>121</v>
      </c>
      <c r="F14" s="181" t="s">
        <v>38</v>
      </c>
      <c r="G14" s="182"/>
      <c r="H14" s="183">
        <f>D54</f>
        <v>35585.25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301427.75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1200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>
        <v>1</v>
      </c>
      <c r="D28" s="48">
        <f t="shared" si="1"/>
        <v>811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337013</v>
      </c>
      <c r="F29" s="199" t="s">
        <v>54</v>
      </c>
      <c r="G29" s="200"/>
      <c r="H29" s="203">
        <f>H15-H16-H17-H18-H19-H20-H22-H23-H24+H26+H27</f>
        <v>300227.75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231">
        <f>F34*G34</f>
        <v>140000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231">
        <f t="shared" ref="H35:H39" si="2">F35*G35</f>
        <v>14000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231">
        <f t="shared" si="2"/>
        <v>400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1">
        <v>150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215">
        <v>145790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0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3</v>
      </c>
      <c r="D49" s="12">
        <f>C49*42</f>
        <v>126</v>
      </c>
      <c r="F49" s="256" t="s">
        <v>85</v>
      </c>
      <c r="G49" s="203">
        <f>H34+H35+H36+H37+H38+H39+H40+H41+G42+H44+H45+H46</f>
        <v>300340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3</v>
      </c>
      <c r="D50" s="12">
        <f>C50*1.5</f>
        <v>4.5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112.25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0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H15-H16-H17-H18-H19-H20-H22-H23-H24+H26+H27+H28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1">
        <f t="shared" ref="H34:H39" si="2"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83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ref="H35:H39" si="2"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0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316</v>
      </c>
      <c r="D6" s="13">
        <f t="shared" ref="D6:D28" si="1">C6*L6</f>
        <v>240476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240718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22</v>
      </c>
      <c r="D14" s="31">
        <f t="shared" si="1"/>
        <v>242</v>
      </c>
      <c r="F14" s="181" t="s">
        <v>38</v>
      </c>
      <c r="G14" s="182"/>
      <c r="H14" s="183">
        <f>D54</f>
        <v>51207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189511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1296</f>
        <v>1296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>
        <v>174.11</v>
      </c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0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240718</v>
      </c>
      <c r="F29" s="199" t="s">
        <v>54</v>
      </c>
      <c r="G29" s="200"/>
      <c r="H29" s="203">
        <f>H15-H16-H17-H18-H19-H20-H22-H23-H24+H26+H27+H28</f>
        <v>188040.89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231">
        <f t="shared" ref="H34:H39" si="2">F34*G34</f>
        <v>45000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231">
        <f t="shared" si="2"/>
        <v>16500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231">
        <f t="shared" si="2"/>
        <v>2900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231">
        <f t="shared" si="2"/>
        <v>350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2</v>
      </c>
      <c r="D42" s="12">
        <f>C42*2.25</f>
        <v>4.5</v>
      </c>
      <c r="F42" s="39" t="s">
        <v>78</v>
      </c>
      <c r="G42" s="231">
        <v>77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215">
        <v>123103.5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23</v>
      </c>
      <c r="D46" s="12">
        <f>C46*1.5</f>
        <v>34.5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</v>
      </c>
      <c r="D49" s="12">
        <f>C49*42</f>
        <v>42</v>
      </c>
      <c r="F49" s="256" t="s">
        <v>85</v>
      </c>
      <c r="G49" s="203">
        <f>H34+H35+H36+H37+H38+H39+H40+H41+G42+H44+H45+H46</f>
        <v>187930.5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14</v>
      </c>
      <c r="D50" s="12">
        <f>C50*1.5</f>
        <v>21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-110.39000000001397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377</v>
      </c>
      <c r="D6" s="13">
        <f t="shared" ref="D6:D28" si="1">C6*L6</f>
        <v>286897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13</v>
      </c>
      <c r="D9" s="13">
        <f t="shared" si="1"/>
        <v>9529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3</v>
      </c>
      <c r="D12" s="48">
        <f t="shared" si="1"/>
        <v>2976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15</v>
      </c>
      <c r="D13" s="48">
        <f t="shared" si="1"/>
        <v>4605</v>
      </c>
      <c r="F13" s="176" t="s">
        <v>36</v>
      </c>
      <c r="G13" s="177"/>
      <c r="H13" s="178">
        <f>D29</f>
        <v>304172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15</v>
      </c>
      <c r="D14" s="31">
        <f t="shared" si="1"/>
        <v>165</v>
      </c>
      <c r="F14" s="181" t="s">
        <v>38</v>
      </c>
      <c r="G14" s="182"/>
      <c r="H14" s="183">
        <f>D54</f>
        <v>44827.5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259344.5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304172</v>
      </c>
      <c r="F29" s="199" t="s">
        <v>54</v>
      </c>
      <c r="G29" s="200"/>
      <c r="H29" s="203">
        <f>H15-H16-H17-H18-H19-H20-H22-H23-H24+H26+H27</f>
        <v>257400.5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231">
        <f>F34*G34</f>
        <v>136000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231">
        <f t="shared" ref="H35:H39" si="2">F35*G35</f>
        <v>107000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>F36*G36</f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231">
        <f t="shared" si="2"/>
        <v>12600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6</v>
      </c>
      <c r="D42" s="12">
        <f>C42*2.25</f>
        <v>13.5</v>
      </c>
      <c r="F42" s="39" t="s">
        <v>78</v>
      </c>
      <c r="G42" s="231">
        <v>77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2</v>
      </c>
      <c r="D45" s="12">
        <f>C45*84</f>
        <v>168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6</v>
      </c>
      <c r="D46" s="12">
        <f>C46*1.5</f>
        <v>9</v>
      </c>
      <c r="F46" s="37"/>
      <c r="G46" s="10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10</v>
      </c>
      <c r="D49" s="12">
        <f>C49*42</f>
        <v>420</v>
      </c>
      <c r="F49" s="256" t="s">
        <v>85</v>
      </c>
      <c r="G49" s="203">
        <f>H34+H35+H36+H37+H38+H39+H40+H41+G42+H44+H45+H46</f>
        <v>255947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10</v>
      </c>
      <c r="D50" s="12">
        <f>C50*1.5</f>
        <v>15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-1453.5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358</v>
      </c>
      <c r="D6" s="13">
        <f t="shared" ref="D6:D28" si="1">C6*L6</f>
        <v>272438</v>
      </c>
      <c r="F6" s="154" t="s">
        <v>16</v>
      </c>
      <c r="G6" s="156" t="s">
        <v>166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14</v>
      </c>
      <c r="D7" s="13">
        <f t="shared" si="1"/>
        <v>10934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57</v>
      </c>
      <c r="D9" s="13">
        <f t="shared" si="1"/>
        <v>41781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8</v>
      </c>
      <c r="D13" s="48">
        <f t="shared" si="1"/>
        <v>2456</v>
      </c>
      <c r="F13" s="176" t="s">
        <v>36</v>
      </c>
      <c r="G13" s="177"/>
      <c r="H13" s="178">
        <f>D29</f>
        <v>328634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3</v>
      </c>
      <c r="D14" s="31">
        <f t="shared" si="1"/>
        <v>33</v>
      </c>
      <c r="F14" s="181" t="s">
        <v>38</v>
      </c>
      <c r="G14" s="182"/>
      <c r="H14" s="183">
        <f>D54</f>
        <v>48386.25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280247.75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1920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328634</v>
      </c>
      <c r="F29" s="199" t="s">
        <v>54</v>
      </c>
      <c r="G29" s="200"/>
      <c r="H29" s="203">
        <f>H15-H16-H17-H18-H19-H20-H22-H23-H24+H26+H27</f>
        <v>278277.75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231">
        <f>F34*G34</f>
        <v>150000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231">
        <f>F35*G35</f>
        <v>11000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231">
        <f t="shared" si="2"/>
        <v>500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231">
        <f t="shared" si="2"/>
        <v>200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31">
        <f t="shared" si="2"/>
        <v>40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9</v>
      </c>
      <c r="D42" s="12">
        <f>C42*2.25</f>
        <v>20.25</v>
      </c>
      <c r="F42" s="39" t="s">
        <v>78</v>
      </c>
      <c r="G42" s="231">
        <v>9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215">
        <v>116101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277850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</v>
      </c>
      <c r="D50" s="12">
        <f>C50*1.5</f>
        <v>3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-427.75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317</v>
      </c>
      <c r="D6" s="13">
        <f t="shared" ref="D6:D28" si="1">C6*L6</f>
        <v>241237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10</v>
      </c>
      <c r="D7" s="13">
        <f t="shared" si="1"/>
        <v>7810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20</v>
      </c>
      <c r="D9" s="13">
        <f t="shared" si="1"/>
        <v>14660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1+1</f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4</v>
      </c>
      <c r="D13" s="48">
        <f t="shared" si="1"/>
        <v>1228</v>
      </c>
      <c r="F13" s="176" t="s">
        <v>36</v>
      </c>
      <c r="G13" s="177"/>
      <c r="H13" s="178">
        <f>D29</f>
        <v>270579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8</v>
      </c>
      <c r="D14" s="31">
        <f t="shared" si="1"/>
        <v>88</v>
      </c>
      <c r="F14" s="181" t="s">
        <v>38</v>
      </c>
      <c r="G14" s="182"/>
      <c r="H14" s="183">
        <f>D54</f>
        <v>39222.75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2</v>
      </c>
      <c r="D15" s="31">
        <f t="shared" si="1"/>
        <v>1240</v>
      </c>
      <c r="F15" s="186" t="s">
        <v>39</v>
      </c>
      <c r="G15" s="177"/>
      <c r="H15" s="187">
        <f>H13-H14</f>
        <v>231356.25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60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1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270579</v>
      </c>
      <c r="F29" s="199" t="s">
        <v>54</v>
      </c>
      <c r="G29" s="200"/>
      <c r="H29" s="203">
        <f>H15-H16-H17-H18-H19-H20-H22-H23-H24+H26+H27+H28</f>
        <v>231296.25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231">
        <f t="shared" ref="H34:H39" si="2">F34*G34</f>
        <v>163000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31">
        <f t="shared" si="2"/>
        <v>28500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231">
        <f t="shared" si="2"/>
        <v>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1">
        <v>75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215">
        <v>40000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2</v>
      </c>
      <c r="D45" s="12">
        <f>C45*84</f>
        <v>168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14</v>
      </c>
      <c r="D46" s="12">
        <f>C46*1.5</f>
        <v>21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231975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4</v>
      </c>
      <c r="D50" s="12">
        <f>C50*1.5</f>
        <v>6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678.75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380</v>
      </c>
      <c r="D6" s="13">
        <f t="shared" ref="D6:D28" si="1">C6*L6</f>
        <v>289180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7</v>
      </c>
      <c r="D7" s="13">
        <f t="shared" si="1"/>
        <v>5467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39</v>
      </c>
      <c r="D9" s="13">
        <f t="shared" si="1"/>
        <v>28587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11</v>
      </c>
      <c r="D13" s="48">
        <f t="shared" si="1"/>
        <v>3377</v>
      </c>
      <c r="F13" s="176" t="s">
        <v>36</v>
      </c>
      <c r="G13" s="177"/>
      <c r="H13" s="178">
        <f>D29</f>
        <v>326754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13</v>
      </c>
      <c r="D14" s="31">
        <f t="shared" si="1"/>
        <v>143</v>
      </c>
      <c r="F14" s="181" t="s">
        <v>38</v>
      </c>
      <c r="G14" s="182"/>
      <c r="H14" s="183">
        <f>D54</f>
        <v>51193.5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275560.5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2286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326754</v>
      </c>
      <c r="F29" s="199" t="s">
        <v>54</v>
      </c>
      <c r="G29" s="200"/>
      <c r="H29" s="203">
        <f>H15-H16-H17-H18-H19-H20-H22-H23-H24+H26+H27</f>
        <v>273274.5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231">
        <f>F34*G34</f>
        <v>119000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31">
        <f t="shared" ref="H35:H39" si="2">F35*G35</f>
        <v>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231">
        <f t="shared" si="2"/>
        <v>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231">
        <f t="shared" si="2"/>
        <v>200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70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215">
        <v>153098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1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7</v>
      </c>
      <c r="D49" s="12">
        <f>C49*42</f>
        <v>294</v>
      </c>
      <c r="F49" s="256" t="s">
        <v>85</v>
      </c>
      <c r="G49" s="203">
        <f>H34+H35+H36+H37+H38+H39+H40+H41+G42+H44+H45+H46</f>
        <v>273068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12</v>
      </c>
      <c r="D50" s="12">
        <f>C50*1.5</f>
        <v>18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-206.5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431</v>
      </c>
      <c r="D6" s="13">
        <f t="shared" ref="D6:D28" si="1">C6*L6</f>
        <v>327991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30</v>
      </c>
      <c r="D7" s="13">
        <f t="shared" si="1"/>
        <v>23430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77</v>
      </c>
      <c r="D9" s="13">
        <f t="shared" si="1"/>
        <v>56441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20</v>
      </c>
      <c r="D11" s="13">
        <f t="shared" si="1"/>
        <v>23400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4+1</f>
        <v>5</v>
      </c>
      <c r="D12" s="48">
        <f t="shared" si="1"/>
        <v>4960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19</v>
      </c>
      <c r="D13" s="48">
        <f t="shared" si="1"/>
        <v>5833</v>
      </c>
      <c r="F13" s="176" t="s">
        <v>36</v>
      </c>
      <c r="G13" s="177"/>
      <c r="H13" s="178">
        <f>D29</f>
        <v>447818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3</v>
      </c>
      <c r="D14" s="31">
        <f t="shared" si="1"/>
        <v>33</v>
      </c>
      <c r="F14" s="181" t="s">
        <v>38</v>
      </c>
      <c r="G14" s="182"/>
      <c r="H14" s="183">
        <f>D54</f>
        <v>60831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f>3+1</f>
        <v>4</v>
      </c>
      <c r="D15" s="31">
        <f t="shared" si="1"/>
        <v>2480</v>
      </c>
      <c r="F15" s="186" t="s">
        <v>39</v>
      </c>
      <c r="G15" s="177"/>
      <c r="H15" s="187">
        <f>H13-H14</f>
        <v>386987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0">
        <f>2118+738</f>
        <v>2856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447818</v>
      </c>
      <c r="F29" s="199" t="s">
        <v>54</v>
      </c>
      <c r="G29" s="200"/>
      <c r="H29" s="203">
        <f>H15-H16-H17-H18-H19-H20-H22-H23-H24+H26+H27</f>
        <v>384131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231">
        <f>F34*G34</f>
        <v>127000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31">
        <f>F35*G35</f>
        <v>10500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231">
        <f t="shared" ref="H36:H39" si="2">F36*G36</f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231">
        <f t="shared" si="2"/>
        <v>3500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231">
        <f t="shared" si="2"/>
        <v>350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12</v>
      </c>
      <c r="D42" s="12">
        <f>C42*2.25</f>
        <v>27</v>
      </c>
      <c r="F42" s="39" t="s">
        <v>78</v>
      </c>
      <c r="G42" s="231">
        <v>36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215">
        <v>243106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5</v>
      </c>
      <c r="D45" s="12">
        <f>C45*84</f>
        <v>420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3</v>
      </c>
      <c r="D49" s="12">
        <f>C49*42</f>
        <v>126</v>
      </c>
      <c r="F49" s="256" t="s">
        <v>85</v>
      </c>
      <c r="G49" s="203">
        <f>H34+H35+H36+H37+H38+H39+H40+H41+G42+H44+H45+H46</f>
        <v>384692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</v>
      </c>
      <c r="D50" s="12">
        <f>C50*1.5</f>
        <v>1.5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561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1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46127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331</v>
      </c>
      <c r="D6" s="13">
        <f t="shared" ref="D6:D28" si="1">C6*L6</f>
        <v>251891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24</v>
      </c>
      <c r="D7" s="13">
        <f t="shared" si="1"/>
        <v>18744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65</v>
      </c>
      <c r="D8" s="13">
        <f t="shared" si="1"/>
        <v>71045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10</v>
      </c>
      <c r="D9" s="13">
        <f t="shared" si="1"/>
        <v>7330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10</v>
      </c>
      <c r="D10" s="13">
        <f t="shared" si="1"/>
        <v>10320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3</v>
      </c>
      <c r="D11" s="13">
        <f t="shared" si="1"/>
        <v>3510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2+2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13</v>
      </c>
      <c r="D13" s="48">
        <f t="shared" si="1"/>
        <v>3991</v>
      </c>
      <c r="F13" s="176" t="s">
        <v>36</v>
      </c>
      <c r="G13" s="177"/>
      <c r="H13" s="178">
        <f>D29</f>
        <v>376385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21</v>
      </c>
      <c r="D14" s="31">
        <f t="shared" si="1"/>
        <v>231</v>
      </c>
      <c r="F14" s="181" t="s">
        <v>38</v>
      </c>
      <c r="G14" s="182"/>
      <c r="H14" s="183">
        <f>D54</f>
        <v>37755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338630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f>1476</f>
        <v>1476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213">
        <v>91257</v>
      </c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66">
        <v>67961</v>
      </c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215">
        <v>92259</v>
      </c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68">
        <v>4698</v>
      </c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>
        <v>5</v>
      </c>
      <c r="D28" s="48">
        <f t="shared" si="1"/>
        <v>4055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376385</v>
      </c>
      <c r="F29" s="199" t="s">
        <v>54</v>
      </c>
      <c r="G29" s="200"/>
      <c r="H29" s="203">
        <f>H15-H16-H17-H18-H19-H20-H22-H23-H24+H26+H27+H28</f>
        <v>274893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231">
        <f t="shared" ref="H34:H39" si="2">F34*G34</f>
        <v>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31">
        <f t="shared" si="2"/>
        <v>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231">
        <f t="shared" si="2"/>
        <v>100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6</v>
      </c>
      <c r="D42" s="12">
        <f>C42*2.25</f>
        <v>13.5</v>
      </c>
      <c r="F42" s="39" t="s">
        <v>78</v>
      </c>
      <c r="G42" s="231">
        <v>48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215">
        <v>176530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215">
        <f>92259</f>
        <v>92259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23</v>
      </c>
      <c r="D46" s="12">
        <f>C46*1.5</f>
        <v>34.5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7</v>
      </c>
      <c r="D49" s="12">
        <f>C49*42</f>
        <v>294</v>
      </c>
      <c r="F49" s="256" t="s">
        <v>85</v>
      </c>
      <c r="G49" s="203">
        <f>H34+H35+H36+H37+H38+H39+H40+H41+G42+H44+H45+H46</f>
        <v>273487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22</v>
      </c>
      <c r="D50" s="12">
        <f>C50*1.5</f>
        <v>33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-1406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46127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338</v>
      </c>
      <c r="D6" s="13">
        <f t="shared" ref="D6:D28" si="1">C6*L6</f>
        <v>257218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</v>
      </c>
      <c r="D7" s="13">
        <f t="shared" si="1"/>
        <v>781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5</v>
      </c>
      <c r="D8" s="13">
        <f t="shared" si="1"/>
        <v>5465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35</v>
      </c>
      <c r="D9" s="13">
        <f t="shared" si="1"/>
        <v>25655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13</v>
      </c>
      <c r="D13" s="48">
        <f t="shared" si="1"/>
        <v>3991</v>
      </c>
      <c r="F13" s="176" t="s">
        <v>36</v>
      </c>
      <c r="G13" s="177"/>
      <c r="H13" s="178">
        <f>D29</f>
        <v>295167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3</v>
      </c>
      <c r="D14" s="31">
        <f t="shared" si="1"/>
        <v>33</v>
      </c>
      <c r="F14" s="181" t="s">
        <v>38</v>
      </c>
      <c r="G14" s="182"/>
      <c r="H14" s="183">
        <f>D54</f>
        <v>47517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247650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2010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295167</v>
      </c>
      <c r="F29" s="199" t="s">
        <v>54</v>
      </c>
      <c r="G29" s="200"/>
      <c r="H29" s="203">
        <f>H15-H16-H17-H18-H19-H20-H22-H23-H24+H26+H27</f>
        <v>245640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231">
        <f>F34*G34</f>
        <v>3000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231">
        <f t="shared" ref="H35:H39" si="2">F35*G35</f>
        <v>27000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231">
        <f t="shared" si="2"/>
        <v>100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14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215">
        <v>215805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1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7</v>
      </c>
      <c r="D49" s="12">
        <f>C49*42</f>
        <v>294</v>
      </c>
      <c r="F49" s="256" t="s">
        <v>85</v>
      </c>
      <c r="G49" s="203">
        <f>H34+H35+H36+H37+H38+H39+H40+H41+G42+H44+H45+H46</f>
        <v>245969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7</v>
      </c>
      <c r="D50" s="12">
        <f>C50*1.5</f>
        <v>10.5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329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46127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566</v>
      </c>
      <c r="D6" s="13">
        <f t="shared" ref="D6:D28" si="1">C6*L6</f>
        <v>430726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20</v>
      </c>
      <c r="D7" s="13">
        <f t="shared" si="1"/>
        <v>15620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120</v>
      </c>
      <c r="D9" s="13">
        <f t="shared" si="1"/>
        <v>87960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2+1+1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17</v>
      </c>
      <c r="D13" s="48">
        <f t="shared" si="1"/>
        <v>5219</v>
      </c>
      <c r="F13" s="176" t="s">
        <v>36</v>
      </c>
      <c r="G13" s="177"/>
      <c r="H13" s="178">
        <f>D29</f>
        <v>547376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13</v>
      </c>
      <c r="D14" s="31">
        <f t="shared" si="1"/>
        <v>143</v>
      </c>
      <c r="F14" s="181" t="s">
        <v>38</v>
      </c>
      <c r="G14" s="182"/>
      <c r="H14" s="183">
        <f>D54</f>
        <v>67408.5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1</v>
      </c>
      <c r="D15" s="31">
        <f t="shared" si="1"/>
        <v>620</v>
      </c>
      <c r="F15" s="186" t="s">
        <v>39</v>
      </c>
      <c r="G15" s="177"/>
      <c r="H15" s="187">
        <f>H13-H14</f>
        <v>479967.5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90">
        <f>690+606+768</f>
        <v>2064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547376</v>
      </c>
      <c r="F29" s="199" t="s">
        <v>54</v>
      </c>
      <c r="G29" s="200"/>
      <c r="H29" s="203">
        <f>H15-H16-H17-H18-H19-H20-H22-H23-H24+H26+H27</f>
        <v>477853.5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231">
        <f>F34*G34</f>
        <v>148000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31">
        <f>F35*G35</f>
        <v>20000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6</v>
      </c>
      <c r="D42" s="12">
        <f>C42*2.25</f>
        <v>13.5</v>
      </c>
      <c r="F42" s="39" t="s">
        <v>78</v>
      </c>
      <c r="G42" s="231">
        <v>307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215">
        <v>150450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215">
        <f>76924</f>
        <v>76924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215">
        <v>81872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5</v>
      </c>
      <c r="D49" s="12">
        <f>C49*42</f>
        <v>210</v>
      </c>
      <c r="F49" s="256" t="s">
        <v>85</v>
      </c>
      <c r="G49" s="203">
        <f>H34+H35+H36+H37+H38+H39+H40+H41+G42+H44+H45+H46</f>
        <v>477553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4</v>
      </c>
      <c r="D50" s="12">
        <f>C50*1.5</f>
        <v>6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-300.5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1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46128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319</v>
      </c>
      <c r="D6" s="13">
        <f t="shared" ref="D6:D28" si="1">C6*L6</f>
        <v>242759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45</v>
      </c>
      <c r="D9" s="13">
        <f t="shared" si="1"/>
        <v>32985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6</v>
      </c>
      <c r="D13" s="48">
        <f t="shared" si="1"/>
        <v>1842</v>
      </c>
      <c r="F13" s="176" t="s">
        <v>36</v>
      </c>
      <c r="G13" s="177"/>
      <c r="H13" s="178">
        <f>D29</f>
        <v>288771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5</v>
      </c>
      <c r="D14" s="31">
        <f t="shared" si="1"/>
        <v>55</v>
      </c>
      <c r="F14" s="181" t="s">
        <v>38</v>
      </c>
      <c r="G14" s="182"/>
      <c r="H14" s="183">
        <f>D54</f>
        <v>42247.5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2</v>
      </c>
      <c r="D15" s="31">
        <f t="shared" si="1"/>
        <v>1240</v>
      </c>
      <c r="F15" s="186" t="s">
        <v>39</v>
      </c>
      <c r="G15" s="177"/>
      <c r="H15" s="187">
        <f>H13-H14</f>
        <v>246523.5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>
        <v>40</v>
      </c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215">
        <v>67961</v>
      </c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1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>
        <v>6</v>
      </c>
      <c r="D28" s="48">
        <f t="shared" si="1"/>
        <v>4866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288771</v>
      </c>
      <c r="F29" s="199" t="s">
        <v>54</v>
      </c>
      <c r="G29" s="200"/>
      <c r="H29" s="203">
        <f>H15-H16-H17-H18-H19-H20-H22-H23-H24+H26+H27+H28</f>
        <v>314444.5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231">
        <f t="shared" ref="H34:H39" si="2">F34*G34</f>
        <v>210000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231">
        <f t="shared" si="2"/>
        <v>8300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231">
        <f t="shared" si="2"/>
        <v>1100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2</v>
      </c>
      <c r="D42" s="12">
        <f>C42*2.25</f>
        <v>4.5</v>
      </c>
      <c r="F42" s="39" t="s">
        <v>78</v>
      </c>
      <c r="G42" s="231">
        <v>11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215">
        <v>33412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215">
        <v>62450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7</v>
      </c>
      <c r="D46" s="12">
        <f>C46*1.5</f>
        <v>10.5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315273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78" t="s">
        <v>178</v>
      </c>
      <c r="G51" s="280">
        <f>G49-H29</f>
        <v>828.5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79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46128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317</v>
      </c>
      <c r="D6" s="13">
        <f t="shared" ref="D6:D28" si="1">C6*L6</f>
        <v>241237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58</v>
      </c>
      <c r="D9" s="13">
        <f t="shared" si="1"/>
        <v>42514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14</v>
      </c>
      <c r="D13" s="48">
        <f t="shared" si="1"/>
        <v>4298</v>
      </c>
      <c r="F13" s="176" t="s">
        <v>36</v>
      </c>
      <c r="G13" s="177"/>
      <c r="H13" s="178">
        <f>D29</f>
        <v>292871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6</v>
      </c>
      <c r="D14" s="31">
        <f t="shared" si="1"/>
        <v>66</v>
      </c>
      <c r="F14" s="181" t="s">
        <v>38</v>
      </c>
      <c r="G14" s="182"/>
      <c r="H14" s="183">
        <f>D54</f>
        <v>44629.5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248241.5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1536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292871</v>
      </c>
      <c r="F29" s="199" t="s">
        <v>54</v>
      </c>
      <c r="G29" s="200"/>
      <c r="H29" s="203">
        <f>H15-H16-H17-H18-H19-H20-H22-H23-H24+H26+H27</f>
        <v>246705.5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231">
        <f>F34*G34</f>
        <v>169000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231">
        <f t="shared" ref="H35:H39" si="2">F35*G35</f>
        <v>78000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231">
        <f t="shared" si="2"/>
        <v>100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2</v>
      </c>
      <c r="D42" s="12">
        <f>C42*2.25</f>
        <v>4.5</v>
      </c>
      <c r="F42" s="39" t="s">
        <v>78</v>
      </c>
      <c r="G42" s="231">
        <v>80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2</v>
      </c>
      <c r="D45" s="12">
        <f>C45*84</f>
        <v>168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22</v>
      </c>
      <c r="D46" s="12">
        <f>C46*1.5</f>
        <v>33</v>
      </c>
      <c r="F46" s="37"/>
      <c r="G46" s="11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10</v>
      </c>
      <c r="D49" s="12">
        <f>C49*42</f>
        <v>420</v>
      </c>
      <c r="F49" s="256" t="s">
        <v>85</v>
      </c>
      <c r="G49" s="203">
        <f>H34+H35+H36+H37+H38+H39+H40+H41+G42+H44+H45+H46</f>
        <v>247230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15</v>
      </c>
      <c r="D50" s="12">
        <f>C50*1.5</f>
        <v>22.5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524.5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46128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477</v>
      </c>
      <c r="D6" s="13">
        <f t="shared" ref="D6:D28" si="1">C6*L6</f>
        <v>362997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19</v>
      </c>
      <c r="D7" s="13">
        <f t="shared" si="1"/>
        <v>14839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21</v>
      </c>
      <c r="D9" s="13">
        <f t="shared" si="1"/>
        <v>15393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16</v>
      </c>
      <c r="D13" s="48">
        <f t="shared" si="1"/>
        <v>4912</v>
      </c>
      <c r="F13" s="176" t="s">
        <v>36</v>
      </c>
      <c r="G13" s="177"/>
      <c r="H13" s="178">
        <f>D29</f>
        <v>402605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60225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1</v>
      </c>
      <c r="D15" s="31">
        <f t="shared" si="1"/>
        <v>620</v>
      </c>
      <c r="F15" s="186" t="s">
        <v>39</v>
      </c>
      <c r="G15" s="177"/>
      <c r="H15" s="187">
        <f>H13-H14</f>
        <v>342380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f>1548+648+300</f>
        <v>2496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402605</v>
      </c>
      <c r="F29" s="199" t="s">
        <v>54</v>
      </c>
      <c r="G29" s="200"/>
      <c r="H29" s="203">
        <f>H15-H16-H17-H18-H19-H20-H22-H23-H24+H26+H27</f>
        <v>339884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231">
        <f>F34*G34</f>
        <v>66000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231">
        <f>F35*G35</f>
        <v>35000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231">
        <f t="shared" si="2"/>
        <v>1100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215">
        <v>70468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215">
        <v>167696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25</v>
      </c>
      <c r="D49" s="12">
        <f>C49*42</f>
        <v>1050</v>
      </c>
      <c r="F49" s="256" t="s">
        <v>85</v>
      </c>
      <c r="G49" s="203">
        <f>H34+H35+H36+H37+H38+H39+H40+H41+G42+H44+H45+H46</f>
        <v>340264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380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1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1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H15-H16-H17-H18-H19-H20-H22-H23-H24+H26+H27+H28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1">
        <f t="shared" ref="H34:H39" si="2"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325</v>
      </c>
      <c r="D6" s="13">
        <f t="shared" ref="D6:D28" si="1">C6*L6</f>
        <v>247325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28</v>
      </c>
      <c r="D9" s="13">
        <f t="shared" si="1"/>
        <v>20524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9</v>
      </c>
      <c r="D13" s="48">
        <f t="shared" si="1"/>
        <v>2763</v>
      </c>
      <c r="F13" s="176" t="s">
        <v>36</v>
      </c>
      <c r="G13" s="177"/>
      <c r="H13" s="178">
        <f>D29</f>
        <v>274543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7</v>
      </c>
      <c r="D14" s="31">
        <f t="shared" si="1"/>
        <v>77</v>
      </c>
      <c r="F14" s="181" t="s">
        <v>38</v>
      </c>
      <c r="G14" s="182"/>
      <c r="H14" s="183">
        <f>D54</f>
        <v>37446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237097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0">
        <v>1200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274543</v>
      </c>
      <c r="F29" s="199" t="s">
        <v>54</v>
      </c>
      <c r="G29" s="200"/>
      <c r="H29" s="203">
        <f>H15-H16-H17-H18-H19-H20-H22-H23-H24+H26+H27</f>
        <v>235897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231">
        <f>F34*G34</f>
        <v>102000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ref="H35:H39" si="2"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4</v>
      </c>
      <c r="D42" s="12">
        <f>C42*2.25</f>
        <v>9</v>
      </c>
      <c r="F42" s="39" t="s">
        <v>78</v>
      </c>
      <c r="G42" s="231">
        <v>44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215">
        <v>133815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16</v>
      </c>
      <c r="D46" s="12">
        <f>C46*1.5</f>
        <v>24</v>
      </c>
      <c r="F46" s="37"/>
      <c r="G46" s="11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5</v>
      </c>
      <c r="D49" s="12">
        <f>C49*42</f>
        <v>210</v>
      </c>
      <c r="F49" s="256" t="s">
        <v>85</v>
      </c>
      <c r="G49" s="203">
        <f>H34+H35+H36+H37+H38+H39+H40+H41+G42+H44+H45+H46</f>
        <v>235859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11</v>
      </c>
      <c r="D50" s="12">
        <f>C50*1.5</f>
        <v>16.5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-38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531</v>
      </c>
      <c r="D6" s="13">
        <f t="shared" ref="D6:D28" si="1">C6*L6</f>
        <v>404091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20</v>
      </c>
      <c r="D7" s="13">
        <f t="shared" si="1"/>
        <v>15620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2</v>
      </c>
      <c r="D8" s="13">
        <f t="shared" si="1"/>
        <v>2186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f>91-76</f>
        <v>15</v>
      </c>
      <c r="D9" s="13">
        <f t="shared" si="1"/>
        <v>10995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2+1</f>
        <v>3</v>
      </c>
      <c r="D12" s="48">
        <f t="shared" si="1"/>
        <v>2976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13</v>
      </c>
      <c r="D13" s="48">
        <f t="shared" si="1"/>
        <v>3991</v>
      </c>
      <c r="F13" s="176" t="s">
        <v>36</v>
      </c>
      <c r="G13" s="177"/>
      <c r="H13" s="178">
        <f>D29</f>
        <v>442271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10</v>
      </c>
      <c r="D14" s="31">
        <f t="shared" si="1"/>
        <v>110</v>
      </c>
      <c r="F14" s="181" t="s">
        <v>38</v>
      </c>
      <c r="G14" s="182"/>
      <c r="H14" s="183">
        <f>D54</f>
        <v>63924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1</v>
      </c>
      <c r="D15" s="31">
        <f t="shared" si="1"/>
        <v>620</v>
      </c>
      <c r="F15" s="186" t="s">
        <v>39</v>
      </c>
      <c r="G15" s="177"/>
      <c r="H15" s="187">
        <f>H13-H14</f>
        <v>378347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f>648+1374+606+300</f>
        <v>2928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442271</v>
      </c>
      <c r="F29" s="199" t="s">
        <v>54</v>
      </c>
      <c r="G29" s="200"/>
      <c r="H29" s="203">
        <f>H15-H16-H17-H18-H19-H20-H22-H23-H24+H26+H27</f>
        <v>375419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231">
        <f>F34*G34</f>
        <v>76000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231">
        <f>F35*G35</f>
        <v>20000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231">
        <f t="shared" si="2"/>
        <v>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8</v>
      </c>
      <c r="D42" s="12">
        <f>C42*2.25</f>
        <v>18</v>
      </c>
      <c r="F42" s="39" t="s">
        <v>78</v>
      </c>
      <c r="G42" s="231">
        <v>74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215">
        <v>161738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215">
        <v>58484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215">
        <v>70010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386526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4</v>
      </c>
      <c r="D50" s="12">
        <f>C50*1.5</f>
        <v>6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11107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1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topLeftCell="A22" zoomScaleNormal="100" zoomScaleSheetLayoutView="85" workbookViewId="0">
      <selection activeCell="H37" sqref="H37:J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46132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582</v>
      </c>
      <c r="D6" s="13">
        <f t="shared" ref="D6:D28" si="1">C6*L6</f>
        <v>442902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8</v>
      </c>
      <c r="D7" s="13">
        <f t="shared" si="1"/>
        <v>6248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123</v>
      </c>
      <c r="D9" s="13">
        <f t="shared" si="1"/>
        <v>90159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3+1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6</v>
      </c>
      <c r="D13" s="48">
        <f t="shared" si="1"/>
        <v>1842</v>
      </c>
      <c r="F13" s="176" t="s">
        <v>36</v>
      </c>
      <c r="G13" s="177"/>
      <c r="H13" s="178">
        <f>D29</f>
        <v>547809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20</v>
      </c>
      <c r="D14" s="31">
        <f t="shared" si="1"/>
        <v>220</v>
      </c>
      <c r="F14" s="181" t="s">
        <v>38</v>
      </c>
      <c r="G14" s="182"/>
      <c r="H14" s="183">
        <f>D54</f>
        <v>100504.5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447304.5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3312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1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547809</v>
      </c>
      <c r="F29" s="199" t="s">
        <v>54</v>
      </c>
      <c r="G29" s="200"/>
      <c r="H29" s="203">
        <f>H15-H16-H17-H18-H19-H20-H22-H23-H24+H26+H27+H28</f>
        <v>443992.5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85</v>
      </c>
      <c r="H34" s="231">
        <f t="shared" ref="H34:H39" si="2">F34*G34</f>
        <v>85000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31">
        <f t="shared" si="2"/>
        <v>21000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877</v>
      </c>
      <c r="D37" s="12">
        <f>C37*111</f>
        <v>97347</v>
      </c>
      <c r="F37" s="12">
        <v>100</v>
      </c>
      <c r="G37" s="39">
        <v>13</v>
      </c>
      <c r="H37" s="231">
        <f t="shared" si="2"/>
        <v>1300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4</v>
      </c>
      <c r="H38" s="231">
        <f t="shared" si="2"/>
        <v>200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4</v>
      </c>
      <c r="D42" s="12">
        <f>C42*2.25</f>
        <v>9</v>
      </c>
      <c r="F42" s="39" t="s">
        <v>78</v>
      </c>
      <c r="G42" s="231">
        <v>98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183</v>
      </c>
      <c r="H44" s="215">
        <v>336212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19</v>
      </c>
      <c r="D46" s="12">
        <f>C46*1.5</f>
        <v>28.5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443830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-162.5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100504.5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46132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368</v>
      </c>
      <c r="D6" s="13">
        <f t="shared" ref="D6:D28" si="1">C6*L6</f>
        <v>280048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5</v>
      </c>
      <c r="D7" s="13">
        <f t="shared" si="1"/>
        <v>3905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129</v>
      </c>
      <c r="D9" s="13">
        <f t="shared" si="1"/>
        <v>94557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16</v>
      </c>
      <c r="D13" s="48">
        <f t="shared" si="1"/>
        <v>4912</v>
      </c>
      <c r="F13" s="176" t="s">
        <v>36</v>
      </c>
      <c r="G13" s="177"/>
      <c r="H13" s="178">
        <f>D29</f>
        <v>387918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55333.5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332584.5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2874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387918</v>
      </c>
      <c r="F29" s="199" t="s">
        <v>54</v>
      </c>
      <c r="G29" s="200"/>
      <c r="H29" s="203">
        <f>H15-H16-H17-H18-H19-H20-H22-H23-H24+H26+H27</f>
        <v>329710.5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280</v>
      </c>
      <c r="H34" s="231">
        <f>F34*G34</f>
        <v>280000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231">
        <f t="shared" ref="H35:H39" si="2">F35*G35</f>
        <v>44500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>F36*G36</f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485</v>
      </c>
      <c r="D37" s="12">
        <f>C37*111</f>
        <v>53835</v>
      </c>
      <c r="F37" s="12">
        <v>100</v>
      </c>
      <c r="G37" s="39">
        <v>39</v>
      </c>
      <c r="H37" s="231">
        <f t="shared" si="2"/>
        <v>3900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22</v>
      </c>
      <c r="H38" s="231">
        <f t="shared" si="2"/>
        <v>1100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65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1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18</v>
      </c>
      <c r="D49" s="12">
        <f>C49*42</f>
        <v>756</v>
      </c>
      <c r="F49" s="256" t="s">
        <v>85</v>
      </c>
      <c r="G49" s="203">
        <f>H34+H35+H36+H37+H38+H39+H40+H41+G42+H44+H45+H46</f>
        <v>329765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</v>
      </c>
      <c r="D50" s="12">
        <f>C50*1.5</f>
        <v>1.5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54.5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55333.5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46132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394</v>
      </c>
      <c r="D6" s="13">
        <f t="shared" ref="D6:D28" si="1">C6*L6</f>
        <v>299834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15</v>
      </c>
      <c r="D7" s="13">
        <f t="shared" si="1"/>
        <v>11715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94</v>
      </c>
      <c r="D9" s="13">
        <f t="shared" si="1"/>
        <v>68902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2</v>
      </c>
      <c r="D11" s="13">
        <f t="shared" si="1"/>
        <v>2340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18</v>
      </c>
      <c r="D13" s="48">
        <f t="shared" si="1"/>
        <v>5526</v>
      </c>
      <c r="F13" s="176" t="s">
        <v>36</v>
      </c>
      <c r="G13" s="177"/>
      <c r="H13" s="178">
        <f>D29</f>
        <v>394839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</v>
      </c>
      <c r="D14" s="31">
        <f t="shared" si="1"/>
        <v>22</v>
      </c>
      <c r="F14" s="181" t="s">
        <v>38</v>
      </c>
      <c r="G14" s="182"/>
      <c r="H14" s="183">
        <f>D54</f>
        <v>62503.5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332335.5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90">
        <f>612+600+744</f>
        <v>1956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394839</v>
      </c>
      <c r="F29" s="199" t="s">
        <v>54</v>
      </c>
      <c r="G29" s="200"/>
      <c r="H29" s="203">
        <f>H15-H16-H17-H18-H19-H20-H22-H23-H24+H26+H27</f>
        <v>330329.5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191</v>
      </c>
      <c r="H34" s="231">
        <f>F34*G34</f>
        <v>191000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31">
        <f>F35*G35</f>
        <v>36500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5</v>
      </c>
      <c r="H36" s="231">
        <f t="shared" ref="H36:H39" si="2">F36*G36</f>
        <v>1000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541</v>
      </c>
      <c r="D37" s="12">
        <f>C37*111</f>
        <v>60051</v>
      </c>
      <c r="F37" s="12">
        <v>100</v>
      </c>
      <c r="G37" s="39">
        <v>202</v>
      </c>
      <c r="H37" s="231">
        <f t="shared" si="2"/>
        <v>20200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131</v>
      </c>
      <c r="H38" s="231">
        <f t="shared" si="2"/>
        <v>6550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8</v>
      </c>
      <c r="D42" s="12">
        <f>C42*2.25</f>
        <v>18</v>
      </c>
      <c r="F42" s="39" t="s">
        <v>78</v>
      </c>
      <c r="G42" s="231">
        <v>58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 t="s">
        <v>137</v>
      </c>
      <c r="G44" s="76" t="s">
        <v>184</v>
      </c>
      <c r="H44" s="215">
        <v>64758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21</v>
      </c>
      <c r="D46" s="12">
        <f>C46*1.5</f>
        <v>31.5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2</v>
      </c>
      <c r="D49" s="12">
        <f>C49*42</f>
        <v>84</v>
      </c>
      <c r="F49" s="256" t="s">
        <v>85</v>
      </c>
      <c r="G49" s="203">
        <f>H34+H35+H36+H37+H38+H39+H40+H41+G42+H44+H45+H46</f>
        <v>320066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-10263.5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62503.5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1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46133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422</v>
      </c>
      <c r="D6" s="13">
        <f t="shared" ref="D6:D28" si="1">C6*L6</f>
        <v>321142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5</v>
      </c>
      <c r="D8" s="13">
        <f t="shared" si="1"/>
        <v>5465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118</v>
      </c>
      <c r="D9" s="13">
        <f t="shared" si="1"/>
        <v>86494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17</v>
      </c>
      <c r="D13" s="48">
        <f t="shared" si="1"/>
        <v>5219</v>
      </c>
      <c r="F13" s="176" t="s">
        <v>36</v>
      </c>
      <c r="G13" s="177"/>
      <c r="H13" s="178">
        <f>D29</f>
        <v>439067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7</v>
      </c>
      <c r="D14" s="31">
        <f t="shared" si="1"/>
        <v>77</v>
      </c>
      <c r="F14" s="181" t="s">
        <v>38</v>
      </c>
      <c r="G14" s="182"/>
      <c r="H14" s="183">
        <f>D54</f>
        <v>56168.25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5</v>
      </c>
      <c r="D15" s="31">
        <f t="shared" si="1"/>
        <v>3100</v>
      </c>
      <c r="F15" s="186" t="s">
        <v>39</v>
      </c>
      <c r="G15" s="177"/>
      <c r="H15" s="187">
        <f>H13-H14</f>
        <v>382898.75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7</v>
      </c>
      <c r="D16" s="48">
        <f t="shared" si="1"/>
        <v>4550</v>
      </c>
      <c r="F16" s="67" t="s">
        <v>41</v>
      </c>
      <c r="G16" s="66" t="s">
        <v>42</v>
      </c>
      <c r="H16" s="190">
        <v>2622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f>1+3</f>
        <v>4</v>
      </c>
      <c r="D18" s="48">
        <f t="shared" si="1"/>
        <v>4408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>
        <v>6</v>
      </c>
      <c r="D19" s="48">
        <f t="shared" si="1"/>
        <v>7050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1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439067</v>
      </c>
      <c r="F29" s="199" t="s">
        <v>54</v>
      </c>
      <c r="G29" s="200"/>
      <c r="H29" s="203">
        <f>H15-H16-H17-H18-H19-H20-H22-H23-H24+H26+H27+H28</f>
        <v>380276.75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69</v>
      </c>
      <c r="H34" s="231">
        <f t="shared" ref="H34:H39" si="2">F34*G34</f>
        <v>69000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31">
        <f t="shared" si="2"/>
        <v>9500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31">
        <f t="shared" si="2"/>
        <v>600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454</v>
      </c>
      <c r="D37" s="12">
        <f>C37*111</f>
        <v>50394</v>
      </c>
      <c r="F37" s="12">
        <v>100</v>
      </c>
      <c r="G37" s="39">
        <v>100</v>
      </c>
      <c r="H37" s="231">
        <f t="shared" si="2"/>
        <v>10000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1">
        <v>23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185</v>
      </c>
      <c r="H44" s="215">
        <v>291684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36</v>
      </c>
      <c r="D49" s="12">
        <f>C49*42</f>
        <v>1512</v>
      </c>
      <c r="F49" s="256" t="s">
        <v>85</v>
      </c>
      <c r="G49" s="203">
        <f>H34+H35+H36+H37+H38+H39+H40+H41+G42+H44+H45+H46</f>
        <v>380857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14</v>
      </c>
      <c r="D50" s="12">
        <f>C50*1.5</f>
        <v>21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78" t="s">
        <v>190</v>
      </c>
      <c r="G51" s="280">
        <f>G49-H29</f>
        <v>580.25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79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56168.25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46133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365</v>
      </c>
      <c r="D6" s="13">
        <f t="shared" ref="D6:D28" si="1">C6*L6</f>
        <v>277765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6</v>
      </c>
      <c r="D7" s="13">
        <f t="shared" si="1"/>
        <v>4686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21</v>
      </c>
      <c r="D9" s="13">
        <f t="shared" si="1"/>
        <v>15393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1+1</f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7</v>
      </c>
      <c r="D13" s="48">
        <f t="shared" si="1"/>
        <v>2149</v>
      </c>
      <c r="F13" s="176" t="s">
        <v>36</v>
      </c>
      <c r="G13" s="177"/>
      <c r="H13" s="178">
        <f>D29</f>
        <v>302792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15</v>
      </c>
      <c r="D14" s="31">
        <f t="shared" si="1"/>
        <v>165</v>
      </c>
      <c r="F14" s="181" t="s">
        <v>38</v>
      </c>
      <c r="G14" s="182"/>
      <c r="H14" s="183">
        <f>D54</f>
        <v>46932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255860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v>1332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302792</v>
      </c>
      <c r="F29" s="199" t="s">
        <v>54</v>
      </c>
      <c r="G29" s="200"/>
      <c r="H29" s="203">
        <f>H15-H16-H17-H18-H19-H20-H22-H23-H24+H26+H27</f>
        <v>254528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231">
        <f>F34*G34</f>
        <v>109000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31">
        <f t="shared" ref="H35:H39" si="2">F35*G35</f>
        <v>1500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413</v>
      </c>
      <c r="D37" s="12">
        <f>C37*111</f>
        <v>45843</v>
      </c>
      <c r="F37" s="12">
        <v>100</v>
      </c>
      <c r="G37" s="39">
        <v>1</v>
      </c>
      <c r="H37" s="231">
        <f t="shared" si="2"/>
        <v>100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108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186</v>
      </c>
      <c r="H44" s="215">
        <v>144413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10</v>
      </c>
      <c r="D46" s="12">
        <f>C46*1.5</f>
        <v>15</v>
      </c>
      <c r="F46" s="37"/>
      <c r="G46" s="11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4</v>
      </c>
      <c r="D49" s="12">
        <f>C49*42</f>
        <v>168</v>
      </c>
      <c r="F49" s="256" t="s">
        <v>85</v>
      </c>
      <c r="G49" s="203">
        <f>H34+H35+H36+H37+H38+H39+H40+H41+G42+H44+H45+H46</f>
        <v>255141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6</v>
      </c>
      <c r="D50" s="12">
        <f>C50*1.5</f>
        <v>9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613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46932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46133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424</v>
      </c>
      <c r="D6" s="13">
        <f t="shared" ref="D6:D28" si="1">C6*L6</f>
        <v>322664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50</v>
      </c>
      <c r="D7" s="13">
        <f t="shared" si="1"/>
        <v>39050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3</v>
      </c>
      <c r="D8" s="13">
        <f t="shared" si="1"/>
        <v>3279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57</v>
      </c>
      <c r="D9" s="13">
        <f t="shared" si="1"/>
        <v>41781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3</v>
      </c>
      <c r="D10" s="13">
        <f t="shared" si="1"/>
        <v>3096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20+2</f>
        <v>22</v>
      </c>
      <c r="D12" s="48">
        <f t="shared" si="1"/>
        <v>21824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15</v>
      </c>
      <c r="D13" s="48">
        <f t="shared" si="1"/>
        <v>4605</v>
      </c>
      <c r="F13" s="176" t="s">
        <v>36</v>
      </c>
      <c r="G13" s="177"/>
      <c r="H13" s="178">
        <f>D29</f>
        <v>454803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10</v>
      </c>
      <c r="D14" s="31">
        <f t="shared" si="1"/>
        <v>110</v>
      </c>
      <c r="F14" s="181" t="s">
        <v>38</v>
      </c>
      <c r="G14" s="182"/>
      <c r="H14" s="183">
        <f>D54</f>
        <v>61493.25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f>1+1</f>
        <v>2</v>
      </c>
      <c r="D15" s="31">
        <f t="shared" si="1"/>
        <v>1240</v>
      </c>
      <c r="F15" s="186" t="s">
        <v>39</v>
      </c>
      <c r="G15" s="177"/>
      <c r="H15" s="187">
        <f>H13-H14</f>
        <v>393309.75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23</v>
      </c>
      <c r="D16" s="48">
        <f t="shared" si="1"/>
        <v>14950</v>
      </c>
      <c r="F16" s="67" t="s">
        <v>41</v>
      </c>
      <c r="G16" s="66" t="s">
        <v>42</v>
      </c>
      <c r="H16" s="190">
        <f>330+1740+648+438</f>
        <v>3156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148</v>
      </c>
      <c r="C18" s="10">
        <v>2</v>
      </c>
      <c r="D18" s="48">
        <f t="shared" si="1"/>
        <v>2204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454803</v>
      </c>
      <c r="F29" s="199" t="s">
        <v>54</v>
      </c>
      <c r="G29" s="200"/>
      <c r="H29" s="203">
        <f>H15-H16-H17-H18-H19-H20-H22-H23-H24+H26+H27</f>
        <v>390153.75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48</v>
      </c>
      <c r="H34" s="231">
        <f>F34*G34</f>
        <v>48000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31">
        <f>F35*G35</f>
        <v>8500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520</v>
      </c>
      <c r="D37" s="12">
        <f>C37*111</f>
        <v>57720</v>
      </c>
      <c r="F37" s="12">
        <v>100</v>
      </c>
      <c r="G37" s="39">
        <v>2</v>
      </c>
      <c r="H37" s="231">
        <f t="shared" si="2"/>
        <v>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31">
        <f t="shared" si="2"/>
        <v>100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3</v>
      </c>
      <c r="D42" s="12">
        <f>C42*2.25</f>
        <v>6.75</v>
      </c>
      <c r="F42" s="39" t="s">
        <v>78</v>
      </c>
      <c r="G42" s="231">
        <v>28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12</v>
      </c>
      <c r="D44" s="12">
        <f>C44*120</f>
        <v>1440</v>
      </c>
      <c r="F44" s="37" t="s">
        <v>133</v>
      </c>
      <c r="G44" s="76" t="s">
        <v>187</v>
      </c>
      <c r="H44" s="215">
        <v>70468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133</v>
      </c>
      <c r="G45" s="76" t="s">
        <v>188</v>
      </c>
      <c r="H45" s="215">
        <v>39588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19</v>
      </c>
      <c r="D46" s="12">
        <f>C46*1.5</f>
        <v>28.5</v>
      </c>
      <c r="F46" s="37" t="s">
        <v>133</v>
      </c>
      <c r="G46" s="76" t="s">
        <v>189</v>
      </c>
      <c r="H46" s="215">
        <v>208046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4</v>
      </c>
      <c r="D49" s="12">
        <f>C49*42</f>
        <v>168</v>
      </c>
      <c r="F49" s="256" t="s">
        <v>85</v>
      </c>
      <c r="G49" s="203">
        <f>H34+H35+H36+H37+H38+H39+H40+H41+G42+H44+H45+H46</f>
        <v>374930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22</v>
      </c>
      <c r="D50" s="12">
        <f>C50*1.5</f>
        <v>33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-15223.75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61493.25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C8CC8-B415-4164-B287-090C9BEE41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24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35A1-DBCC-4363-9018-4C7A04DB22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46134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273</v>
      </c>
      <c r="D6" s="13">
        <f t="shared" ref="D6:D28" si="1">C6*L6</f>
        <v>207753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11</v>
      </c>
      <c r="D7" s="13">
        <f t="shared" si="1"/>
        <v>8591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30</v>
      </c>
      <c r="D9" s="13">
        <f t="shared" si="1"/>
        <v>21990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</v>
      </c>
      <c r="D13" s="48">
        <f t="shared" si="1"/>
        <v>307</v>
      </c>
      <c r="F13" s="176" t="s">
        <v>36</v>
      </c>
      <c r="G13" s="177"/>
      <c r="H13" s="178">
        <f>D29</f>
        <v>240726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15</v>
      </c>
      <c r="D14" s="31">
        <f t="shared" si="1"/>
        <v>165</v>
      </c>
      <c r="F14" s="181" t="s">
        <v>38</v>
      </c>
      <c r="G14" s="182"/>
      <c r="H14" s="183">
        <f>D54</f>
        <v>33759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1</v>
      </c>
      <c r="D15" s="31">
        <f t="shared" si="1"/>
        <v>620</v>
      </c>
      <c r="F15" s="186" t="s">
        <v>39</v>
      </c>
      <c r="G15" s="177"/>
      <c r="H15" s="187">
        <f>H13-H14</f>
        <v>206967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21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240726</v>
      </c>
      <c r="F29" s="199" t="s">
        <v>54</v>
      </c>
      <c r="G29" s="200"/>
      <c r="H29" s="203">
        <f>H15-H16-H17-H18-H19-H20-H22-H23-H24+H26+H27+H28</f>
        <v>206967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127</v>
      </c>
      <c r="H34" s="231">
        <f t="shared" ref="H34:H39" si="2">F34*G34</f>
        <v>127000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31">
        <f t="shared" si="2"/>
        <v>15000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283</v>
      </c>
      <c r="D37" s="12">
        <f>C37*111</f>
        <v>31413</v>
      </c>
      <c r="F37" s="12">
        <v>100</v>
      </c>
      <c r="G37" s="39">
        <v>44</v>
      </c>
      <c r="H37" s="231">
        <f t="shared" si="2"/>
        <v>4400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3</v>
      </c>
      <c r="H38" s="231">
        <f t="shared" si="2"/>
        <v>150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8</v>
      </c>
      <c r="D42" s="12">
        <f>C42*2.25</f>
        <v>18</v>
      </c>
      <c r="F42" s="39" t="s">
        <v>78</v>
      </c>
      <c r="G42" s="231">
        <v>195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 t="s">
        <v>133</v>
      </c>
      <c r="G44" s="83" t="s">
        <v>134</v>
      </c>
      <c r="H44" s="215">
        <v>17438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215">
        <v>30000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 t="s">
        <v>161</v>
      </c>
      <c r="G46" s="62"/>
      <c r="H46" s="215">
        <v>12350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</v>
      </c>
      <c r="D49" s="12">
        <f>C49*42</f>
        <v>42</v>
      </c>
      <c r="F49" s="256" t="s">
        <v>85</v>
      </c>
      <c r="G49" s="203">
        <f>H34+H35+H36+H37+H38+H39+H40+H41+G42+H44+H45+H46</f>
        <v>206533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13</v>
      </c>
      <c r="D50" s="12">
        <f>C50*1.5</f>
        <v>19.5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-434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33759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219E-F998-49AC-A336-62F595F07F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46134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332</v>
      </c>
      <c r="D6" s="13">
        <f t="shared" ref="D6:D28" si="1">C6*L6</f>
        <v>252652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</v>
      </c>
      <c r="D9" s="13">
        <f t="shared" si="1"/>
        <v>1466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2</v>
      </c>
      <c r="D10" s="13">
        <f t="shared" si="1"/>
        <v>2064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15</v>
      </c>
      <c r="D13" s="48">
        <f t="shared" si="1"/>
        <v>4605</v>
      </c>
      <c r="F13" s="176" t="s">
        <v>36</v>
      </c>
      <c r="G13" s="177"/>
      <c r="H13" s="178">
        <f>D29</f>
        <v>262492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13</v>
      </c>
      <c r="D14" s="31">
        <f t="shared" si="1"/>
        <v>143</v>
      </c>
      <c r="F14" s="181" t="s">
        <v>38</v>
      </c>
      <c r="G14" s="182"/>
      <c r="H14" s="183">
        <f>D54</f>
        <v>38428.5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224063.5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262492</v>
      </c>
      <c r="F29" s="199" t="s">
        <v>54</v>
      </c>
      <c r="G29" s="200"/>
      <c r="H29" s="203">
        <f>H15-H16-H17-H18-H19-H20-H22-H23-H24+H26+H27</f>
        <v>222119.5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209</v>
      </c>
      <c r="H34" s="231">
        <f>F34*G34</f>
        <v>209000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31">
        <f t="shared" ref="H35:H39" si="2">F35*G35</f>
        <v>12500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</v>
      </c>
      <c r="H37" s="231">
        <f t="shared" si="2"/>
        <v>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2</v>
      </c>
      <c r="D42" s="12">
        <f>C42*2.25</f>
        <v>4.5</v>
      </c>
      <c r="F42" s="39" t="s">
        <v>78</v>
      </c>
      <c r="G42" s="231">
        <v>17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2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11</v>
      </c>
      <c r="D49" s="12">
        <f>C49*42</f>
        <v>462</v>
      </c>
      <c r="F49" s="256" t="s">
        <v>85</v>
      </c>
      <c r="G49" s="203">
        <f>H34+H35+H36+H37+H38+H39+H40+H41+G42+H44+H45+H46</f>
        <v>221967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10</v>
      </c>
      <c r="D50" s="12">
        <f>C50*1.5</f>
        <v>15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-152.5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38428.5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84321-7E36-41D2-A8A7-3221EE6A70B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46134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336</v>
      </c>
      <c r="D6" s="13">
        <f t="shared" ref="D6:D28" si="1">C6*L6</f>
        <v>255696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20</v>
      </c>
      <c r="D7" s="13">
        <f t="shared" si="1"/>
        <v>15620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107</v>
      </c>
      <c r="D9" s="13">
        <f t="shared" si="1"/>
        <v>78431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2+2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12</v>
      </c>
      <c r="D13" s="48">
        <f t="shared" si="1"/>
        <v>3684</v>
      </c>
      <c r="F13" s="176" t="s">
        <v>36</v>
      </c>
      <c r="G13" s="177"/>
      <c r="H13" s="178">
        <f>D29</f>
        <v>359940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19</v>
      </c>
      <c r="D14" s="31">
        <f t="shared" si="1"/>
        <v>209</v>
      </c>
      <c r="F14" s="181" t="s">
        <v>38</v>
      </c>
      <c r="G14" s="182"/>
      <c r="H14" s="183">
        <f>D54</f>
        <v>51162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308778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f>300+1128+330</f>
        <v>1758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359940</v>
      </c>
      <c r="F29" s="199" t="s">
        <v>54</v>
      </c>
      <c r="G29" s="200"/>
      <c r="H29" s="203">
        <f>H15-H16-H17-H18-H19-H20-H22-H23-H24+H26+H27</f>
        <v>306970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105</v>
      </c>
      <c r="H34" s="231">
        <f>F34*G34</f>
        <v>105000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31">
        <f>F35*G35</f>
        <v>42500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 t="shared" ref="H36:H39" si="2">F36*G36</f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432</v>
      </c>
      <c r="D37" s="12">
        <f>C37*111</f>
        <v>47952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125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191</v>
      </c>
      <c r="H44" s="215">
        <v>123061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192</v>
      </c>
      <c r="H45" s="215">
        <v>35278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7</v>
      </c>
      <c r="D46" s="12">
        <f>C46*1.5</f>
        <v>10.5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3</v>
      </c>
      <c r="D49" s="12">
        <f>C49*42</f>
        <v>126</v>
      </c>
      <c r="F49" s="256" t="s">
        <v>85</v>
      </c>
      <c r="G49" s="203">
        <f>H34+H35+H36+H37+H38+H39+H40+H41+G42+H44+H45+H46</f>
        <v>306164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</v>
      </c>
      <c r="D50" s="12">
        <f>C50*1.5</f>
        <v>3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193</v>
      </c>
      <c r="G51" s="270">
        <f>G49-H29</f>
        <v>-806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51162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682-EFF0-4EF7-AC47-CB63051A2B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24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7737-16BC-4A37-BCC2-DB50589082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46135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355</v>
      </c>
      <c r="D6" s="13">
        <f t="shared" ref="D6:D28" si="1">C6*L6</f>
        <v>270155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5</v>
      </c>
      <c r="D7" s="13">
        <f t="shared" si="1"/>
        <v>3905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71</v>
      </c>
      <c r="D8" s="13">
        <f t="shared" si="1"/>
        <v>77603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</v>
      </c>
      <c r="D9" s="13">
        <f t="shared" si="1"/>
        <v>2199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2</v>
      </c>
      <c r="D10" s="13">
        <f t="shared" si="1"/>
        <v>2064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4</v>
      </c>
      <c r="D11" s="13">
        <f t="shared" si="1"/>
        <v>4680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1+1</f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2</v>
      </c>
      <c r="D13" s="48">
        <f t="shared" si="1"/>
        <v>614</v>
      </c>
      <c r="F13" s="176" t="s">
        <v>36</v>
      </c>
      <c r="G13" s="177"/>
      <c r="H13" s="178">
        <f>D29</f>
        <v>366981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4</v>
      </c>
      <c r="D14" s="31">
        <f t="shared" si="1"/>
        <v>44</v>
      </c>
      <c r="F14" s="181" t="s">
        <v>38</v>
      </c>
      <c r="G14" s="182"/>
      <c r="H14" s="183">
        <f>D54</f>
        <v>50151.75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316829.25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 t="s">
        <v>135</v>
      </c>
      <c r="G22" s="73">
        <v>10237</v>
      </c>
      <c r="H22" s="213">
        <v>86291</v>
      </c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 t="s">
        <v>162</v>
      </c>
      <c r="G23" s="79">
        <v>10242</v>
      </c>
      <c r="H23" s="266">
        <v>71260</v>
      </c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 t="s">
        <v>135</v>
      </c>
      <c r="G26" s="65">
        <v>9948</v>
      </c>
      <c r="H26" s="215">
        <v>91257</v>
      </c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21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>
        <v>3</v>
      </c>
      <c r="D28" s="48">
        <f t="shared" si="1"/>
        <v>2433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366981</v>
      </c>
      <c r="F29" s="199" t="s">
        <v>54</v>
      </c>
      <c r="G29" s="200"/>
      <c r="H29" s="203">
        <f>H15-H16-H17-H18-H19-H20-H22-H23-H24+H26+H27+H28</f>
        <v>250535.25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78</v>
      </c>
      <c r="H34" s="231">
        <f t="shared" ref="H34:H39" si="2">F34*G34</f>
        <v>78000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31">
        <f t="shared" si="2"/>
        <v>13000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6</v>
      </c>
      <c r="H37" s="231">
        <f t="shared" si="2"/>
        <v>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31">
        <f t="shared" si="2"/>
        <v>150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5</v>
      </c>
      <c r="D41" s="12">
        <f>C41*84</f>
        <v>420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1">
        <v>49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72</v>
      </c>
      <c r="D44" s="12">
        <f>C44*120</f>
        <v>8640</v>
      </c>
      <c r="F44" s="37" t="s">
        <v>131</v>
      </c>
      <c r="G44" s="99" t="s">
        <v>195</v>
      </c>
      <c r="H44" s="215">
        <v>67085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2</v>
      </c>
      <c r="D45" s="12">
        <f>C45*84</f>
        <v>168</v>
      </c>
      <c r="F45" s="37" t="s">
        <v>133</v>
      </c>
      <c r="G45" s="83" t="s">
        <v>134</v>
      </c>
      <c r="H45" s="215">
        <v>91257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29</v>
      </c>
      <c r="D46" s="12">
        <f>C46*1.5</f>
        <v>43.5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250141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-394.25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50151.75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EEAC-DFBA-4E3A-9EE9-B02FEB6E9C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46135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318</v>
      </c>
      <c r="D6" s="13">
        <f t="shared" ref="D6:D28" si="1">C6*L6</f>
        <v>241998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7</v>
      </c>
      <c r="D7" s="13">
        <f t="shared" si="1"/>
        <v>5467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52</v>
      </c>
      <c r="D9" s="13">
        <f t="shared" si="1"/>
        <v>38116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5</v>
      </c>
      <c r="D13" s="48">
        <f t="shared" si="1"/>
        <v>1535</v>
      </c>
      <c r="F13" s="176" t="s">
        <v>36</v>
      </c>
      <c r="G13" s="177"/>
      <c r="H13" s="178">
        <f>D29</f>
        <v>289540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12</v>
      </c>
      <c r="D14" s="31">
        <f t="shared" si="1"/>
        <v>132</v>
      </c>
      <c r="F14" s="181" t="s">
        <v>38</v>
      </c>
      <c r="G14" s="182"/>
      <c r="H14" s="183">
        <f>D54</f>
        <v>48969.75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240570.25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0">
        <v>2130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289540</v>
      </c>
      <c r="F29" s="199" t="s">
        <v>54</v>
      </c>
      <c r="G29" s="200"/>
      <c r="H29" s="203">
        <f>H15-H16-H17-H18-H19-H20-H22-H23-H24+H26+H27</f>
        <v>238440.25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231">
        <f>F34*G34</f>
        <v>109000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231">
        <f t="shared" ref="H35:H39" si="2">F35*G35</f>
        <v>2500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53</v>
      </c>
      <c r="H37" s="231">
        <f t="shared" si="2"/>
        <v>5300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19</v>
      </c>
      <c r="H38" s="231">
        <f t="shared" si="2"/>
        <v>950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1">
        <v>35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196</v>
      </c>
      <c r="H44" s="215">
        <v>120792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</v>
      </c>
      <c r="D46" s="12">
        <f>C46*1.5</f>
        <v>3</v>
      </c>
      <c r="F46" s="37"/>
      <c r="G46" s="12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2</v>
      </c>
      <c r="D49" s="12">
        <f>C49*42</f>
        <v>84</v>
      </c>
      <c r="F49" s="256" t="s">
        <v>85</v>
      </c>
      <c r="G49" s="203">
        <f>H34+H35+H36+H37+H38+H39+H40+H41+G42+H44+H45+H46</f>
        <v>238577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26</v>
      </c>
      <c r="D50" s="12">
        <f>C50*1.5</f>
        <v>39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136.75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48969.75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69881-05C1-4B22-9D9C-E316A0C08765}">
  <dimension ref="A1:R59"/>
  <sheetViews>
    <sheetView topLeftCell="A25" zoomScaleNormal="100" zoomScaleSheetLayoutView="85" workbookViewId="0">
      <selection activeCell="H22" sqref="F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46135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380</v>
      </c>
      <c r="D6" s="13">
        <f t="shared" ref="D6:D28" si="1">C6*L6</f>
        <v>289180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12</v>
      </c>
      <c r="D7" s="13">
        <f t="shared" si="1"/>
        <v>9372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6</v>
      </c>
      <c r="D9" s="13">
        <f t="shared" si="1"/>
        <v>4398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2</v>
      </c>
      <c r="D10" s="13">
        <f t="shared" si="1"/>
        <v>2064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2</v>
      </c>
      <c r="D11" s="13">
        <f t="shared" si="1"/>
        <v>2340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</f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15</v>
      </c>
      <c r="D13" s="48">
        <f t="shared" si="1"/>
        <v>4605</v>
      </c>
      <c r="F13" s="176" t="s">
        <v>36</v>
      </c>
      <c r="G13" s="177"/>
      <c r="H13" s="178">
        <f>D29</f>
        <v>315337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14</v>
      </c>
      <c r="D14" s="31">
        <f t="shared" si="1"/>
        <v>154</v>
      </c>
      <c r="F14" s="181" t="s">
        <v>38</v>
      </c>
      <c r="G14" s="182"/>
      <c r="H14" s="183">
        <f>D54</f>
        <v>33960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2</v>
      </c>
      <c r="D15" s="31">
        <f t="shared" si="1"/>
        <v>1240</v>
      </c>
      <c r="F15" s="186" t="s">
        <v>39</v>
      </c>
      <c r="G15" s="177"/>
      <c r="H15" s="187">
        <f>H13-H14</f>
        <v>281377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648</f>
        <v>648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>
        <v>26145</v>
      </c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126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315337</v>
      </c>
      <c r="F29" s="199" t="s">
        <v>54</v>
      </c>
      <c r="G29" s="200"/>
      <c r="H29" s="203">
        <f>H15-H16-H17-H18-H19-H20-H22-H23-H24+H26+H27</f>
        <v>254584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144</v>
      </c>
      <c r="H34" s="231">
        <f>F34*G34</f>
        <v>144000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31">
        <f>F35*G35</f>
        <v>18500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76</v>
      </c>
      <c r="H37" s="231">
        <f t="shared" si="2"/>
        <v>7600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10</v>
      </c>
      <c r="H38" s="231">
        <f t="shared" si="2"/>
        <v>500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63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5</v>
      </c>
      <c r="D44" s="12">
        <f>C44*120</f>
        <v>600</v>
      </c>
      <c r="F44" s="100" t="s">
        <v>138</v>
      </c>
      <c r="G44" s="76" t="s">
        <v>194</v>
      </c>
      <c r="H44" s="215">
        <v>85258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22</v>
      </c>
      <c r="D46" s="12">
        <f>C46*1.5</f>
        <v>33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255921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110</v>
      </c>
      <c r="D50" s="12">
        <f>C50*1.5</f>
        <v>165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1337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33960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2690-A44E-4B7E-9789-2F2DA6E7D20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24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6BB5-8354-4C59-9940-B623E4F26B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46136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 t="s">
        <v>162</v>
      </c>
      <c r="G26" s="65">
        <v>10242</v>
      </c>
      <c r="H26" s="215">
        <v>71260</v>
      </c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21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H15-H16-H17-H18-H19-H20-H22-H23-H24+H26+H27+H28</f>
        <v>71260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71</v>
      </c>
      <c r="H34" s="231">
        <f t="shared" ref="H34:H39" si="2">F34*G34</f>
        <v>71000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31">
        <f t="shared" si="2"/>
        <v>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71260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201</v>
      </c>
      <c r="G51" s="280">
        <f>G49-H29</f>
        <v>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BB95-B404-415C-AD8A-B1B2DBA6B2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46136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284</v>
      </c>
      <c r="D6" s="13">
        <f t="shared" ref="D6:D28" si="1">C6*L6</f>
        <v>216124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5</v>
      </c>
      <c r="D7" s="13">
        <f t="shared" si="1"/>
        <v>3905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15</v>
      </c>
      <c r="D9" s="13">
        <f t="shared" si="1"/>
        <v>10995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8</v>
      </c>
      <c r="D13" s="48">
        <f t="shared" si="1"/>
        <v>2456</v>
      </c>
      <c r="F13" s="176" t="s">
        <v>36</v>
      </c>
      <c r="G13" s="177"/>
      <c r="H13" s="178">
        <f>D29</f>
        <v>233535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5</v>
      </c>
      <c r="D14" s="31">
        <f t="shared" si="1"/>
        <v>55</v>
      </c>
      <c r="F14" s="181" t="s">
        <v>38</v>
      </c>
      <c r="G14" s="182"/>
      <c r="H14" s="183">
        <f>D54</f>
        <v>34940.25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198594.75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648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233535</v>
      </c>
      <c r="F29" s="199" t="s">
        <v>54</v>
      </c>
      <c r="G29" s="200"/>
      <c r="H29" s="203">
        <f>H15-H16-H17-H18-H19-H20-H22-H23-H24+H26+H27</f>
        <v>197946.75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89</v>
      </c>
      <c r="H34" s="231">
        <f>F34*G34</f>
        <v>89000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31">
        <f t="shared" ref="H35:H39" si="2">F35*G35</f>
        <v>29500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6</v>
      </c>
      <c r="H36" s="231">
        <f>F36*G36</f>
        <v>1200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288</v>
      </c>
      <c r="D37" s="12">
        <f>C37*111</f>
        <v>31968</v>
      </c>
      <c r="F37" s="12">
        <v>100</v>
      </c>
      <c r="G37" s="39">
        <v>74</v>
      </c>
      <c r="H37" s="231">
        <f t="shared" si="2"/>
        <v>7400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8</v>
      </c>
      <c r="H38" s="231">
        <f t="shared" si="2"/>
        <v>400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3</v>
      </c>
      <c r="D42" s="12">
        <f>C42*2.25</f>
        <v>6.75</v>
      </c>
      <c r="F42" s="39" t="s">
        <v>78</v>
      </c>
      <c r="G42" s="231">
        <v>91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131</v>
      </c>
      <c r="G44" s="99" t="s">
        <v>197</v>
      </c>
      <c r="H44" s="215">
        <v>70347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</v>
      </c>
      <c r="D46" s="12">
        <f>C46*1.5</f>
        <v>3</v>
      </c>
      <c r="F46" s="37"/>
      <c r="G46" s="12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5</v>
      </c>
      <c r="D49" s="12">
        <f>C49*42</f>
        <v>210</v>
      </c>
      <c r="F49" s="256" t="s">
        <v>85</v>
      </c>
      <c r="G49" s="203">
        <f>H34+H35+H36+H37+H38+H39+H40+H41+G42+H44+H45+H46</f>
        <v>197938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7</v>
      </c>
      <c r="D50" s="12">
        <f>C50*1.5</f>
        <v>10.5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-8.75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34940.25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99F9-A87F-4D70-A829-1D5F136A5A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46136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326</v>
      </c>
      <c r="D6" s="13">
        <f t="shared" ref="D6:D28" si="1">C6*L6</f>
        <v>248086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1</v>
      </c>
      <c r="D8" s="13">
        <f t="shared" si="1"/>
        <v>1093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56</v>
      </c>
      <c r="D9" s="13">
        <f t="shared" si="1"/>
        <v>41048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3+1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4</v>
      </c>
      <c r="D13" s="48">
        <f t="shared" si="1"/>
        <v>1228</v>
      </c>
      <c r="F13" s="176" t="s">
        <v>36</v>
      </c>
      <c r="G13" s="177"/>
      <c r="H13" s="178">
        <f>D29</f>
        <v>299078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13</v>
      </c>
      <c r="D14" s="31">
        <f t="shared" si="1"/>
        <v>143</v>
      </c>
      <c r="F14" s="181" t="s">
        <v>38</v>
      </c>
      <c r="G14" s="182"/>
      <c r="H14" s="183">
        <f>D54</f>
        <v>43329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255749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90">
        <v>906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299078</v>
      </c>
      <c r="F29" s="199" t="s">
        <v>54</v>
      </c>
      <c r="G29" s="200"/>
      <c r="H29" s="203">
        <f>H15-H16-H17-H18-H19-H20-H22-H23-H24+H26+H27</f>
        <v>254793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55</v>
      </c>
      <c r="H34" s="231">
        <f>F34*G34</f>
        <v>55000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31">
        <f>F35*G35</f>
        <v>22500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 t="shared" ref="H36:H39" si="2">F36*G36</f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17</v>
      </c>
      <c r="H37" s="231">
        <f t="shared" si="2"/>
        <v>1700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2</v>
      </c>
      <c r="D42" s="12">
        <f>C42*2.25</f>
        <v>4.5</v>
      </c>
      <c r="F42" s="39" t="s">
        <v>78</v>
      </c>
      <c r="G42" s="231">
        <v>20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199</v>
      </c>
      <c r="H44" s="215">
        <v>99132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3</v>
      </c>
      <c r="D45" s="12">
        <f>C45*84</f>
        <v>252</v>
      </c>
      <c r="F45" s="37" t="s">
        <v>198</v>
      </c>
      <c r="G45" s="62" t="s">
        <v>200</v>
      </c>
      <c r="H45" s="215">
        <v>74624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20</v>
      </c>
      <c r="D46" s="12">
        <f>C46*1.5</f>
        <v>30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253176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11</v>
      </c>
      <c r="D50" s="12">
        <f>C50*1.5</f>
        <v>16.5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-1617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43329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BA9D-4A67-4ACE-B082-45111BE149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24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C0EA-2B15-4E9D-B64E-A652E332978E}">
  <dimension ref="A1:R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46139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691</v>
      </c>
      <c r="D6" s="13">
        <f t="shared" ref="D6:D28" si="1">C6*L6</f>
        <v>525851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4</v>
      </c>
      <c r="D7" s="13">
        <f t="shared" si="1"/>
        <v>3124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8</v>
      </c>
      <c r="D9" s="13">
        <f t="shared" si="1"/>
        <v>5864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6</v>
      </c>
      <c r="D13" s="48">
        <f t="shared" si="1"/>
        <v>1842</v>
      </c>
      <c r="F13" s="176" t="s">
        <v>36</v>
      </c>
      <c r="G13" s="177"/>
      <c r="H13" s="178">
        <f>D29</f>
        <v>536879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18</v>
      </c>
      <c r="D14" s="31">
        <f t="shared" si="1"/>
        <v>198</v>
      </c>
      <c r="F14" s="181" t="s">
        <v>38</v>
      </c>
      <c r="G14" s="182"/>
      <c r="H14" s="183">
        <f>D54</f>
        <v>89015.25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447863.75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3888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21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536879</v>
      </c>
      <c r="F29" s="199" t="s">
        <v>54</v>
      </c>
      <c r="G29" s="200"/>
      <c r="H29" s="203">
        <f>H15-H16-H17-H18-H19-H20-H22-H23-H24+H26+H27+H28</f>
        <v>443975.75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21</v>
      </c>
      <c r="H34" s="231">
        <f t="shared" ref="H34:H39" si="2">F34*G34</f>
        <v>21000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14</v>
      </c>
      <c r="H35" s="231">
        <f t="shared" si="2"/>
        <v>7000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660</v>
      </c>
      <c r="D37" s="12">
        <f>C37*111</f>
        <v>73260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32</v>
      </c>
      <c r="D38" s="12">
        <f>C38*84</f>
        <v>2688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39</v>
      </c>
      <c r="D40" s="12">
        <f>C40*111</f>
        <v>4329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9</v>
      </c>
      <c r="D41" s="12">
        <f>C41*84</f>
        <v>756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31">
        <v>49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8</v>
      </c>
      <c r="D44" s="12">
        <f>C44*120</f>
        <v>960</v>
      </c>
      <c r="F44" s="37" t="s">
        <v>137</v>
      </c>
      <c r="G44" s="62" t="s">
        <v>202</v>
      </c>
      <c r="H44" s="215">
        <v>415886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22</v>
      </c>
      <c r="D48" s="12">
        <f>C48*78</f>
        <v>1716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107</v>
      </c>
      <c r="D49" s="12">
        <f>C49*42</f>
        <v>4494</v>
      </c>
      <c r="F49" s="256" t="s">
        <v>85</v>
      </c>
      <c r="G49" s="203">
        <f>H34+H35+H36+H37+H38+H39+H40+H41+G42+H44+H45+H46</f>
        <v>443985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16</v>
      </c>
      <c r="D50" s="12">
        <f>C50*1.5</f>
        <v>24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78" t="s">
        <v>205</v>
      </c>
      <c r="G51" s="280">
        <f>G49-H29</f>
        <v>9.25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79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89015.25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6B4E-896A-4B30-8F0B-89DFD84ECF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46139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ref="H35:H39" si="2"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2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6EC3-5684-4E15-8AF6-CF3D18FB5B28}">
  <dimension ref="A1:R59"/>
  <sheetViews>
    <sheetView zoomScaleNormal="100" zoomScaleSheetLayoutView="85" workbookViewId="0">
      <selection activeCell="C13" sqref="C1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46139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477</v>
      </c>
      <c r="D6" s="13">
        <f t="shared" ref="D6:D28" si="1">C6*L6</f>
        <v>362997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13</v>
      </c>
      <c r="D7" s="13">
        <f t="shared" si="1"/>
        <v>10153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110</v>
      </c>
      <c r="D9" s="13">
        <f t="shared" si="1"/>
        <v>80630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3</v>
      </c>
      <c r="D10" s="13">
        <f t="shared" si="1"/>
        <v>3096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2</v>
      </c>
      <c r="D11" s="13">
        <f t="shared" si="1"/>
        <v>2340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16</v>
      </c>
      <c r="D13" s="48">
        <f t="shared" si="1"/>
        <v>4912</v>
      </c>
      <c r="F13" s="176" t="s">
        <v>36</v>
      </c>
      <c r="G13" s="177"/>
      <c r="H13" s="178">
        <f>D29</f>
        <v>467478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6</v>
      </c>
      <c r="D14" s="31">
        <f t="shared" si="1"/>
        <v>66</v>
      </c>
      <c r="F14" s="181" t="s">
        <v>38</v>
      </c>
      <c r="G14" s="182"/>
      <c r="H14" s="183">
        <f>D54</f>
        <v>68556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398922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3036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467478</v>
      </c>
      <c r="F29" s="199" t="s">
        <v>54</v>
      </c>
      <c r="G29" s="200"/>
      <c r="H29" s="203">
        <f>H15-H16-H17-H18-H19-H20-H22-H23-H24+H26+H27</f>
        <v>395836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74</v>
      </c>
      <c r="H34" s="231">
        <f>F34*G34</f>
        <v>74000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50</v>
      </c>
      <c r="H35" s="231">
        <f>F35*G35</f>
        <v>25000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12</v>
      </c>
      <c r="D36" s="12">
        <f>C36*1.5</f>
        <v>18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12</v>
      </c>
      <c r="H37" s="231">
        <f t="shared" si="2"/>
        <v>1200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31">
        <f t="shared" si="2"/>
        <v>100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4</v>
      </c>
      <c r="D42" s="12">
        <f>C42*2.25</f>
        <v>9</v>
      </c>
      <c r="F42" s="39" t="s">
        <v>78</v>
      </c>
      <c r="G42" s="231">
        <v>6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203</v>
      </c>
      <c r="H44" s="215">
        <v>180778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133</v>
      </c>
      <c r="G45" s="76" t="s">
        <v>204</v>
      </c>
      <c r="H45" s="215">
        <v>116343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10</v>
      </c>
      <c r="D46" s="12">
        <f>C46*1.5</f>
        <v>15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7</v>
      </c>
      <c r="D49" s="12">
        <f>C49*42</f>
        <v>294</v>
      </c>
      <c r="F49" s="256" t="s">
        <v>85</v>
      </c>
      <c r="G49" s="203">
        <f>H34+H35+H36+H37+H38+H39+H40+H41+G42+H44+H45+H46</f>
        <v>397427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1591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68556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29" t="s">
        <v>2</v>
      </c>
      <c r="Q1" s="12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30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7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46140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467</v>
      </c>
      <c r="D6" s="13">
        <f t="shared" ref="D6:D28" si="1">C6*L6</f>
        <v>355387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10</v>
      </c>
      <c r="D7" s="13">
        <f t="shared" si="1"/>
        <v>7810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</v>
      </c>
      <c r="D9" s="13">
        <f t="shared" si="1"/>
        <v>3665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10</v>
      </c>
      <c r="D10" s="13">
        <f t="shared" si="1"/>
        <v>10320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5</v>
      </c>
      <c r="D11" s="13">
        <f t="shared" si="1"/>
        <v>5850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11</v>
      </c>
      <c r="D13" s="48">
        <f t="shared" si="1"/>
        <v>3377</v>
      </c>
      <c r="F13" s="176" t="s">
        <v>36</v>
      </c>
      <c r="G13" s="177"/>
      <c r="H13" s="178">
        <f>D29</f>
        <v>386508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9</v>
      </c>
      <c r="D14" s="31">
        <f t="shared" si="1"/>
        <v>99</v>
      </c>
      <c r="F14" s="181" t="s">
        <v>38</v>
      </c>
      <c r="G14" s="182"/>
      <c r="H14" s="183">
        <f>D54</f>
        <v>52203.75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334304.25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2742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>
        <v>92.86</v>
      </c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27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0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386508</v>
      </c>
      <c r="F29" s="199" t="s">
        <v>54</v>
      </c>
      <c r="G29" s="200"/>
      <c r="H29" s="203">
        <f>H15-H16-H17-H18-H19-H20-H22-H23-H24+H26+H27+H28</f>
        <v>331469.39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24</v>
      </c>
      <c r="H34" s="231">
        <f t="shared" ref="H34:H39" si="2">F34*G34</f>
        <v>24000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31">
        <f t="shared" si="2"/>
        <v>1000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436</v>
      </c>
      <c r="D37" s="12">
        <f>C37*111</f>
        <v>48396</v>
      </c>
      <c r="F37" s="12">
        <v>100</v>
      </c>
      <c r="G37" s="39">
        <v>4</v>
      </c>
      <c r="H37" s="231">
        <f t="shared" si="2"/>
        <v>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1">
        <v>89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7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137</v>
      </c>
      <c r="G44" s="62" t="s">
        <v>206</v>
      </c>
      <c r="H44" s="215">
        <v>306000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</v>
      </c>
      <c r="D46" s="12">
        <f>C46*1.5</f>
        <v>3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10</v>
      </c>
      <c r="D49" s="12">
        <f>C49*42</f>
        <v>420</v>
      </c>
      <c r="F49" s="256" t="s">
        <v>85</v>
      </c>
      <c r="G49" s="203">
        <f>H34+H35+H36+H37+H38+H39+H40+H41+G42+H44+H45+H46</f>
        <v>331539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9</v>
      </c>
      <c r="D50" s="12">
        <f>C50*1.5</f>
        <v>13.5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69.60999999998603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52203.75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46140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694</v>
      </c>
      <c r="D6" s="13">
        <f t="shared" ref="D6:D28" si="1">C6*L6</f>
        <v>528134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160</v>
      </c>
      <c r="D9" s="13">
        <f t="shared" si="1"/>
        <v>117280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5</v>
      </c>
      <c r="D12" s="48">
        <f t="shared" si="1"/>
        <v>4960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32</v>
      </c>
      <c r="D13" s="48">
        <f t="shared" si="1"/>
        <v>9824</v>
      </c>
      <c r="F13" s="176" t="s">
        <v>36</v>
      </c>
      <c r="G13" s="177"/>
      <c r="H13" s="178">
        <f>D29</f>
        <v>661760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90981.75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570778.25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4686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0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661760</v>
      </c>
      <c r="F29" s="199" t="s">
        <v>54</v>
      </c>
      <c r="G29" s="200"/>
      <c r="H29" s="203">
        <f>H15-H16-H17-H18-H19-H20-H22-H23-H24+H26+H27</f>
        <v>566092.25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538</v>
      </c>
      <c r="H34" s="231">
        <f>F34*G34</f>
        <v>538000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58</v>
      </c>
      <c r="H35" s="231">
        <f t="shared" ref="H35:H39" si="2">F35*G35</f>
        <v>29000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761</v>
      </c>
      <c r="D37" s="12">
        <f>C37*111</f>
        <v>84471</v>
      </c>
      <c r="F37" s="12">
        <v>100</v>
      </c>
      <c r="G37" s="39">
        <v>4</v>
      </c>
      <c r="H37" s="231">
        <f t="shared" si="2"/>
        <v>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21</v>
      </c>
      <c r="D42" s="12">
        <f>C42*2.25</f>
        <v>47.25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7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2</v>
      </c>
      <c r="D44" s="12">
        <f>C44*120</f>
        <v>240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12</v>
      </c>
      <c r="D46" s="12">
        <f>C46*1.5</f>
        <v>18</v>
      </c>
      <c r="F46" s="37"/>
      <c r="G46" s="128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13</v>
      </c>
      <c r="D49" s="12">
        <f>C49*42</f>
        <v>546</v>
      </c>
      <c r="F49" s="256" t="s">
        <v>85</v>
      </c>
      <c r="G49" s="203">
        <f>H34+H35+H36+H37+H38+H39+H40+H41+G42+H44+H45+H46</f>
        <v>567450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6</v>
      </c>
      <c r="D50" s="12">
        <f>C50*1.5</f>
        <v>9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1357.75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90981.75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46140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540</v>
      </c>
      <c r="D6" s="13">
        <f t="shared" ref="D6:D28" si="1">C6*L6</f>
        <v>410940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13</v>
      </c>
      <c r="D7" s="13">
        <f t="shared" si="1"/>
        <v>10153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1</v>
      </c>
      <c r="D8" s="13">
        <f t="shared" si="1"/>
        <v>1093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46</v>
      </c>
      <c r="D9" s="13">
        <f t="shared" si="1"/>
        <v>33718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20</v>
      </c>
      <c r="D11" s="13">
        <f t="shared" si="1"/>
        <v>23400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19</v>
      </c>
      <c r="D13" s="48">
        <f t="shared" si="1"/>
        <v>5833</v>
      </c>
      <c r="F13" s="176" t="s">
        <v>36</v>
      </c>
      <c r="G13" s="177"/>
      <c r="H13" s="178">
        <f>D29</f>
        <v>487143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</v>
      </c>
      <c r="D14" s="31">
        <f t="shared" si="1"/>
        <v>22</v>
      </c>
      <c r="F14" s="181" t="s">
        <v>38</v>
      </c>
      <c r="G14" s="182"/>
      <c r="H14" s="183">
        <f>D54</f>
        <v>71475.75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415667.25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828+2064+588</f>
        <v>3480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0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487143</v>
      </c>
      <c r="F29" s="199" t="s">
        <v>54</v>
      </c>
      <c r="G29" s="200"/>
      <c r="H29" s="203">
        <f>H15-H16-H17-H18-H19-H20-H22-H23-H24+H26+H27</f>
        <v>412187.25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80</v>
      </c>
      <c r="H34" s="231">
        <f>F34*G34</f>
        <v>80000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231">
        <f>F35*G35</f>
        <v>11000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3</v>
      </c>
      <c r="D36" s="12">
        <f>C36*1.5</f>
        <v>4.5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578</v>
      </c>
      <c r="D37" s="12">
        <f>C37*111</f>
        <v>64158</v>
      </c>
      <c r="F37" s="12">
        <v>100</v>
      </c>
      <c r="G37" s="39">
        <v>4</v>
      </c>
      <c r="H37" s="231">
        <f t="shared" si="2"/>
        <v>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71</v>
      </c>
      <c r="D39" s="31">
        <f>C39*4.5</f>
        <v>319.5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</v>
      </c>
      <c r="D42" s="12">
        <f>C42*2.25</f>
        <v>2.25</v>
      </c>
      <c r="F42" s="39" t="s">
        <v>78</v>
      </c>
      <c r="G42" s="231">
        <v>82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7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207</v>
      </c>
      <c r="H44" s="215">
        <v>231862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133</v>
      </c>
      <c r="G45" s="76" t="s">
        <v>208</v>
      </c>
      <c r="H45" s="215">
        <v>88948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18</v>
      </c>
      <c r="D46" s="12">
        <f>C46*1.5</f>
        <v>27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17</v>
      </c>
      <c r="D49" s="12">
        <f>C49*42</f>
        <v>714</v>
      </c>
      <c r="F49" s="256" t="s">
        <v>85</v>
      </c>
      <c r="G49" s="203">
        <f>H34+H35+H36+H37+H38+H39+H40+H41+G42+H44+H45+H46</f>
        <v>412342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</v>
      </c>
      <c r="D50" s="12">
        <f>C50*1.5</f>
        <v>1.5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154.75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71475.75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F0D18-775F-4D35-B559-3503E358000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35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96602-83D9-43BB-9750-FFF9395244C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46141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32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5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H15-H16-H17-H18-H19-H20-H22-H23-H24+H26+H27+H28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1">
        <f t="shared" ref="H34:H39" si="2"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430E2-16BA-43DB-98EB-EC558A645C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46141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5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ref="H35:H39" si="2"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33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C00AA-CB11-4025-9D79-24D372FCBA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46141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5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79134-A32F-462F-9E27-F0758516B43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35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7DE1-CFB5-4947-BD72-D05D94A851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46142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32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5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H15-H16-H17-H18-H19-H20-H22-H23-H24+H26+H27+H28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1">
        <f t="shared" ref="H34:H39" si="2"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FEC33-C1FD-4A89-B7E4-D85E3DEEE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46142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5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ref="H35:H39" si="2"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33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0F56C-A910-45D1-BA59-F013B0C5FC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46142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5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(20)</vt:lpstr>
      <vt:lpstr>04,20 R1</vt:lpstr>
      <vt:lpstr>04,20 R2</vt:lpstr>
      <vt:lpstr>04,20 R3</vt:lpstr>
      <vt:lpstr>(21)</vt:lpstr>
      <vt:lpstr>04,21 R1</vt:lpstr>
      <vt:lpstr>04,21 R2</vt:lpstr>
      <vt:lpstr>04,21 R3</vt:lpstr>
      <vt:lpstr>(22)</vt:lpstr>
      <vt:lpstr>04,22 R1</vt:lpstr>
      <vt:lpstr>04,22 R2</vt:lpstr>
      <vt:lpstr>04,22 R3</vt:lpstr>
      <vt:lpstr>(23)</vt:lpstr>
      <vt:lpstr>04,23 R1</vt:lpstr>
      <vt:lpstr>04,23 R2</vt:lpstr>
      <vt:lpstr>04,23 R3</vt:lpstr>
      <vt:lpstr>(24)</vt:lpstr>
      <vt:lpstr>04,24 R1 NO TRIP</vt:lpstr>
      <vt:lpstr>04,24 R2</vt:lpstr>
      <vt:lpstr>04,24 R3</vt:lpstr>
      <vt:lpstr>(27)</vt:lpstr>
      <vt:lpstr>04,27 R1</vt:lpstr>
      <vt:lpstr>04,27 R2</vt:lpstr>
      <vt:lpstr>04,27 R3</vt:lpstr>
      <vt:lpstr>(28)</vt:lpstr>
      <vt:lpstr>04,28 R1</vt:lpstr>
      <vt:lpstr>04,28 R2</vt:lpstr>
      <vt:lpstr>04,28 R3</vt:lpstr>
      <vt:lpstr>(29)</vt:lpstr>
      <vt:lpstr>04,29 R1</vt:lpstr>
      <vt:lpstr>04,29 R2</vt:lpstr>
      <vt:lpstr>04,29 R3</vt:lpstr>
      <vt:lpstr>(30)</vt:lpstr>
      <vt:lpstr>04,30 R1</vt:lpstr>
      <vt:lpstr>04,30 R2</vt:lpstr>
      <vt:lpstr>04,30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'(29)'!Print_Area</vt:lpstr>
      <vt:lpstr>'(3) NO TRIP'!Print_Area</vt:lpstr>
      <vt:lpstr>'(30)'!Print_Area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'04,20 R1'!Print_Area</vt:lpstr>
      <vt:lpstr>'04,20 R2'!Print_Area</vt:lpstr>
      <vt:lpstr>'04,20 R3'!Print_Area</vt:lpstr>
      <vt:lpstr>'04,21 R1'!Print_Area</vt:lpstr>
      <vt:lpstr>'04,21 R2'!Print_Area</vt:lpstr>
      <vt:lpstr>'04,21 R3'!Print_Area</vt:lpstr>
      <vt:lpstr>'04,22 R1'!Print_Area</vt:lpstr>
      <vt:lpstr>'04,22 R2'!Print_Area</vt:lpstr>
      <vt:lpstr>'04,22 R3'!Print_Area</vt:lpstr>
      <vt:lpstr>'04,23 R1'!Print_Area</vt:lpstr>
      <vt:lpstr>'04,23 R2'!Print_Area</vt:lpstr>
      <vt:lpstr>'04,23 R3'!Print_Area</vt:lpstr>
      <vt:lpstr>'04,24 R1 NO TRIP'!Print_Area</vt:lpstr>
      <vt:lpstr>'04,24 R2'!Print_Area</vt:lpstr>
      <vt:lpstr>'04,24 R3'!Print_Area</vt:lpstr>
      <vt:lpstr>'04,27 R1'!Print_Area</vt:lpstr>
      <vt:lpstr>'04,27 R2'!Print_Area</vt:lpstr>
      <vt:lpstr>'04,27 R3'!Print_Area</vt:lpstr>
      <vt:lpstr>'04,28 R1'!Print_Area</vt:lpstr>
      <vt:lpstr>'04,28 R2'!Print_Area</vt:lpstr>
      <vt:lpstr>'04,28 R3'!Print_Area</vt:lpstr>
      <vt:lpstr>'04,29 R1'!Print_Area</vt:lpstr>
      <vt:lpstr>'04,29 R2'!Print_Area</vt:lpstr>
      <vt:lpstr>'04,29 R3'!Print_Area</vt:lpstr>
      <vt:lpstr>'04,30 R1'!Print_Area</vt:lpstr>
      <vt:lpstr>'04,30 R2'!Print_Area</vt:lpstr>
      <vt:lpstr>'04,30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2026-04-28T23:55:07Z</cp:lastPrinted>
  <dcterms:created xsi:type="dcterms:W3CDTF">2024-09-01T23:36:50Z</dcterms:created>
  <dcterms:modified xsi:type="dcterms:W3CDTF">2026-04-28T23:56:59Z</dcterms:modified>
</cp:coreProperties>
</file>