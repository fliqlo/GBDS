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87B60C0A-C12B-4595-8CEF-999DAF91ADE6}" xr6:coauthVersionLast="45" xr6:coauthVersionMax="47" xr10:uidLastSave="{00000000-0000-0000-0000-000000000000}"/>
  <bookViews>
    <workbookView xWindow="-120" yWindow="-120" windowWidth="29040" windowHeight="15840" firstSheet="37" activeTab="42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" sheetId="1979" r:id="rId39"/>
    <sheet name="04,11 R2" sheetId="1980" r:id="rId40"/>
    <sheet name="04,11 R3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  <sheet name="04,13 R1 (2)" sheetId="1987" r:id="rId47"/>
    <sheet name="04,13 R2 (2)" sheetId="1988" r:id="rId48"/>
    <sheet name="04,13 R3 (2)" sheetId="1989" r:id="rId4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5">'(2)'!$A$1:$J$60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R1'!$A$1:$J$60</definedName>
    <definedName name="_xlnm.Print_Area" localSheetId="39">'04,11 R2'!$A$1:$J$60</definedName>
    <definedName name="_xlnm.Print_Area" localSheetId="40">'04,11 R3'!$A$1:$J$60</definedName>
    <definedName name="_xlnm.Print_Area" localSheetId="42">'04,13 R1'!$A$1:$J$60</definedName>
    <definedName name="_xlnm.Print_Area" localSheetId="46">'04,13 R1 (2)'!$A$1:$J$60</definedName>
    <definedName name="_xlnm.Print_Area" localSheetId="43">'04,13 R2'!$A$1:$J$60</definedName>
    <definedName name="_xlnm.Print_Area" localSheetId="47">'04,13 R2 (2)'!$A$1:$J$60</definedName>
    <definedName name="_xlnm.Print_Area" localSheetId="44">'04,13 R3'!$A$1:$J$60</definedName>
    <definedName name="_xlnm.Print_Area" localSheetId="48">'04,13 R3 (2)'!$A$1:$J$60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1989" l="1"/>
  <c r="R51" i="1989"/>
  <c r="D50" i="1989"/>
  <c r="R49" i="1989"/>
  <c r="D49" i="1989"/>
  <c r="R48" i="1989"/>
  <c r="D48" i="1989"/>
  <c r="D46" i="1989"/>
  <c r="D45" i="1989"/>
  <c r="R44" i="1989"/>
  <c r="D44" i="1989"/>
  <c r="R42" i="1989"/>
  <c r="L6" i="1989" s="1"/>
  <c r="D6" i="1989" s="1"/>
  <c r="D42" i="1989"/>
  <c r="R41" i="1989"/>
  <c r="L7" i="1989" s="1"/>
  <c r="D7" i="1989" s="1"/>
  <c r="D41" i="1989"/>
  <c r="D54" i="1989" s="1"/>
  <c r="H14" i="1989" s="1"/>
  <c r="R40" i="1989"/>
  <c r="D40" i="1989"/>
  <c r="R39" i="1989"/>
  <c r="H39" i="1989"/>
  <c r="D39" i="1989"/>
  <c r="R38" i="1989"/>
  <c r="L9" i="1989" s="1"/>
  <c r="D9" i="1989" s="1"/>
  <c r="H38" i="1989"/>
  <c r="D38" i="1989"/>
  <c r="R37" i="1989"/>
  <c r="H37" i="1989"/>
  <c r="D37" i="1989"/>
  <c r="R36" i="1989"/>
  <c r="L10" i="1989" s="1"/>
  <c r="D10" i="1989" s="1"/>
  <c r="H36" i="1989"/>
  <c r="D36" i="1989"/>
  <c r="R35" i="1989"/>
  <c r="L18" i="1989" s="1"/>
  <c r="D18" i="1989" s="1"/>
  <c r="H35" i="1989"/>
  <c r="D35" i="1989"/>
  <c r="R34" i="1989"/>
  <c r="H34" i="1989"/>
  <c r="G49" i="1989" s="1"/>
  <c r="D34" i="1989"/>
  <c r="R33" i="1989"/>
  <c r="R32" i="1989"/>
  <c r="L11" i="1989" s="1"/>
  <c r="D11" i="1989" s="1"/>
  <c r="R31" i="1989"/>
  <c r="R30" i="1989"/>
  <c r="R29" i="1989"/>
  <c r="R28" i="1989"/>
  <c r="L28" i="1989"/>
  <c r="D28" i="1989"/>
  <c r="R27" i="1989"/>
  <c r="L27" i="1989"/>
  <c r="D27" i="1989" s="1"/>
  <c r="R26" i="1989"/>
  <c r="L26" i="1989"/>
  <c r="D26" i="1989" s="1"/>
  <c r="R25" i="1989"/>
  <c r="L25" i="1989"/>
  <c r="D25" i="1989" s="1"/>
  <c r="R24" i="1989"/>
  <c r="L24" i="1989"/>
  <c r="D24" i="1989"/>
  <c r="R23" i="1989"/>
  <c r="L23" i="1989"/>
  <c r="D23" i="1989"/>
  <c r="R22" i="1989"/>
  <c r="L20" i="1989" s="1"/>
  <c r="D20" i="1989" s="1"/>
  <c r="L22" i="1989"/>
  <c r="D22" i="1989"/>
  <c r="R21" i="1989"/>
  <c r="L21" i="1989"/>
  <c r="D21" i="1989"/>
  <c r="R20" i="1989"/>
  <c r="R19" i="1989"/>
  <c r="L19" i="1989"/>
  <c r="D19" i="1989"/>
  <c r="R18" i="1989"/>
  <c r="R17" i="1989"/>
  <c r="L17" i="1989"/>
  <c r="D17" i="1989"/>
  <c r="R16" i="1989"/>
  <c r="R15" i="1989"/>
  <c r="R14" i="1989"/>
  <c r="D14" i="1989"/>
  <c r="R13" i="1989"/>
  <c r="D13" i="1989"/>
  <c r="R12" i="1989"/>
  <c r="L12" i="1989"/>
  <c r="D12" i="1989"/>
  <c r="R11" i="1989"/>
  <c r="L8" i="1989"/>
  <c r="D8" i="1989"/>
  <c r="R6" i="1989"/>
  <c r="L16" i="1989" s="1"/>
  <c r="D16" i="1989" s="1"/>
  <c r="R5" i="1989"/>
  <c r="R4" i="1989"/>
  <c r="L15" i="1989" s="1"/>
  <c r="D15" i="1989" s="1"/>
  <c r="R52" i="1988"/>
  <c r="R51" i="1988"/>
  <c r="D50" i="1988"/>
  <c r="R49" i="1988"/>
  <c r="D49" i="1988"/>
  <c r="R48" i="1988"/>
  <c r="D48" i="1988"/>
  <c r="D46" i="1988"/>
  <c r="D45" i="1988"/>
  <c r="R44" i="1988"/>
  <c r="D44" i="1988"/>
  <c r="R42" i="1988"/>
  <c r="L6" i="1988" s="1"/>
  <c r="D6" i="1988" s="1"/>
  <c r="D42" i="1988"/>
  <c r="R41" i="1988"/>
  <c r="D41" i="1988"/>
  <c r="R40" i="1988"/>
  <c r="D40" i="1988"/>
  <c r="R39" i="1988"/>
  <c r="H39" i="1988"/>
  <c r="D39" i="1988"/>
  <c r="R38" i="1988"/>
  <c r="L9" i="1988" s="1"/>
  <c r="D9" i="1988" s="1"/>
  <c r="H38" i="1988"/>
  <c r="D38" i="1988"/>
  <c r="R37" i="1988"/>
  <c r="H37" i="1988"/>
  <c r="D37" i="1988"/>
  <c r="R36" i="1988"/>
  <c r="L10" i="1988" s="1"/>
  <c r="D10" i="1988" s="1"/>
  <c r="H36" i="1988"/>
  <c r="G49" i="1988" s="1"/>
  <c r="D36" i="1988"/>
  <c r="R35" i="1988"/>
  <c r="H35" i="1988"/>
  <c r="D35" i="1988"/>
  <c r="R34" i="1988"/>
  <c r="H34" i="1988"/>
  <c r="D34" i="1988"/>
  <c r="D54" i="1988" s="1"/>
  <c r="H14" i="1988" s="1"/>
  <c r="R33" i="1988"/>
  <c r="L19" i="1988" s="1"/>
  <c r="D19" i="1988" s="1"/>
  <c r="R32" i="1988"/>
  <c r="L11" i="1988" s="1"/>
  <c r="D11" i="1988" s="1"/>
  <c r="R31" i="1988"/>
  <c r="R30" i="1988"/>
  <c r="R29" i="1988"/>
  <c r="R28" i="1988"/>
  <c r="L28" i="1988"/>
  <c r="D28" i="1988"/>
  <c r="R27" i="1988"/>
  <c r="L27" i="1988"/>
  <c r="D27" i="1988"/>
  <c r="R26" i="1988"/>
  <c r="L26" i="1988"/>
  <c r="D26" i="1988"/>
  <c r="R25" i="1988"/>
  <c r="L25" i="1988"/>
  <c r="D25" i="1988" s="1"/>
  <c r="R24" i="1988"/>
  <c r="L24" i="1988"/>
  <c r="D24" i="1988"/>
  <c r="R23" i="1988"/>
  <c r="L23" i="1988"/>
  <c r="D23" i="1988"/>
  <c r="R22" i="1988"/>
  <c r="L20" i="1988" s="1"/>
  <c r="D20" i="1988" s="1"/>
  <c r="L22" i="1988"/>
  <c r="D22" i="1988" s="1"/>
  <c r="R21" i="1988"/>
  <c r="L21" i="1988"/>
  <c r="D21" i="1988"/>
  <c r="R20" i="1988"/>
  <c r="R19" i="1988"/>
  <c r="R18" i="1988"/>
  <c r="L18" i="1988"/>
  <c r="D18" i="1988"/>
  <c r="R17" i="1988"/>
  <c r="L17" i="1988"/>
  <c r="D17" i="1988" s="1"/>
  <c r="R16" i="1988"/>
  <c r="R15" i="1988"/>
  <c r="L15" i="1988"/>
  <c r="D15" i="1988"/>
  <c r="R14" i="1988"/>
  <c r="D14" i="1988"/>
  <c r="R13" i="1988"/>
  <c r="D13" i="1988"/>
  <c r="R12" i="1988"/>
  <c r="L12" i="1988"/>
  <c r="D12" i="1988" s="1"/>
  <c r="R11" i="1988"/>
  <c r="L8" i="1988"/>
  <c r="D8" i="1988"/>
  <c r="L7" i="1988"/>
  <c r="D7" i="1988"/>
  <c r="R6" i="1988"/>
  <c r="L16" i="1988" s="1"/>
  <c r="D16" i="1988" s="1"/>
  <c r="R5" i="1988"/>
  <c r="R4" i="1988"/>
  <c r="R52" i="1987"/>
  <c r="R51" i="1987"/>
  <c r="D50" i="1987"/>
  <c r="R49" i="1987"/>
  <c r="G49" i="1987"/>
  <c r="D49" i="1987"/>
  <c r="R48" i="1987"/>
  <c r="D48" i="1987"/>
  <c r="D46" i="1987"/>
  <c r="D45" i="1987"/>
  <c r="R44" i="1987"/>
  <c r="D44" i="1987"/>
  <c r="R42" i="1987"/>
  <c r="D42" i="1987"/>
  <c r="R41" i="1987"/>
  <c r="L7" i="1987" s="1"/>
  <c r="D7" i="1987" s="1"/>
  <c r="D41" i="1987"/>
  <c r="R40" i="1987"/>
  <c r="D40" i="1987"/>
  <c r="R39" i="1987"/>
  <c r="H39" i="1987"/>
  <c r="D39" i="1987"/>
  <c r="R38" i="1987"/>
  <c r="H38" i="1987"/>
  <c r="D38" i="1987"/>
  <c r="R37" i="1987"/>
  <c r="H37" i="1987"/>
  <c r="D37" i="1987"/>
  <c r="R36" i="1987"/>
  <c r="H36" i="1987"/>
  <c r="D36" i="1987"/>
  <c r="R35" i="1987"/>
  <c r="L18" i="1987" s="1"/>
  <c r="D18" i="1987" s="1"/>
  <c r="H35" i="1987"/>
  <c r="D35" i="1987"/>
  <c r="R34" i="1987"/>
  <c r="H34" i="1987"/>
  <c r="D34" i="1987"/>
  <c r="D54" i="1987" s="1"/>
  <c r="H14" i="1987" s="1"/>
  <c r="R33" i="1987"/>
  <c r="L19" i="1987" s="1"/>
  <c r="D19" i="1987" s="1"/>
  <c r="R32" i="1987"/>
  <c r="R31" i="1987"/>
  <c r="R30" i="1987"/>
  <c r="R29" i="1987"/>
  <c r="R28" i="1987"/>
  <c r="L28" i="1987"/>
  <c r="D28" i="1987"/>
  <c r="R27" i="1987"/>
  <c r="L27" i="1987"/>
  <c r="D27" i="1987" s="1"/>
  <c r="R26" i="1987"/>
  <c r="L26" i="1987"/>
  <c r="D26" i="1987"/>
  <c r="R25" i="1987"/>
  <c r="L25" i="1987"/>
  <c r="D25" i="1987"/>
  <c r="R24" i="1987"/>
  <c r="L24" i="1987"/>
  <c r="D24" i="1987"/>
  <c r="R23" i="1987"/>
  <c r="L23" i="1987"/>
  <c r="D23" i="1987"/>
  <c r="R22" i="1987"/>
  <c r="L22" i="1987"/>
  <c r="D22" i="1987" s="1"/>
  <c r="R21" i="1987"/>
  <c r="L21" i="1987"/>
  <c r="D21" i="1987"/>
  <c r="R20" i="1987"/>
  <c r="L20" i="1987"/>
  <c r="D20" i="1987" s="1"/>
  <c r="R19" i="1987"/>
  <c r="R18" i="1987"/>
  <c r="R17" i="1987"/>
  <c r="L17" i="1987"/>
  <c r="D17" i="1987"/>
  <c r="R16" i="1987"/>
  <c r="H16" i="1987"/>
  <c r="R15" i="1987"/>
  <c r="L15" i="1987"/>
  <c r="D15" i="1987" s="1"/>
  <c r="R14" i="1987"/>
  <c r="D14" i="1987"/>
  <c r="R13" i="1987"/>
  <c r="D13" i="1987"/>
  <c r="R12" i="1987"/>
  <c r="L12" i="1987"/>
  <c r="D12" i="1987" s="1"/>
  <c r="R11" i="1987"/>
  <c r="L11" i="1987"/>
  <c r="D11" i="1987" s="1"/>
  <c r="L10" i="1987"/>
  <c r="D10" i="1987"/>
  <c r="L9" i="1987"/>
  <c r="D9" i="1987"/>
  <c r="L8" i="1987"/>
  <c r="D8" i="1987"/>
  <c r="R6" i="1987"/>
  <c r="L16" i="1987" s="1"/>
  <c r="D16" i="1987" s="1"/>
  <c r="L6" i="1987"/>
  <c r="D6" i="1987"/>
  <c r="D29" i="1987" s="1"/>
  <c r="H13" i="1987" s="1"/>
  <c r="H15" i="1987" s="1"/>
  <c r="H29" i="1987" s="1"/>
  <c r="R5" i="1987"/>
  <c r="R4" i="1987"/>
  <c r="D29" i="1989" l="1"/>
  <c r="H13" i="1989" s="1"/>
  <c r="H15" i="1989" s="1"/>
  <c r="H29" i="1989" s="1"/>
  <c r="G51" i="1989"/>
  <c r="D29" i="1988"/>
  <c r="H13" i="1988" s="1"/>
  <c r="H15" i="1988" s="1"/>
  <c r="H29" i="1988" s="1"/>
  <c r="G51" i="1988" s="1"/>
  <c r="G51" i="1987"/>
  <c r="R52" i="1986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D34" i="1984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G49" i="1984" l="1"/>
  <c r="G49" i="1985"/>
  <c r="D54" i="1985"/>
  <c r="H14" i="1985" s="1"/>
  <c r="D54" i="1984"/>
  <c r="H14" i="1984" s="1"/>
  <c r="D54" i="1983"/>
  <c r="H14" i="1983" s="1"/>
  <c r="D29" i="1986"/>
  <c r="H13" i="1986" s="1"/>
  <c r="H15" i="1986" s="1"/>
  <c r="H29" i="1986" s="1"/>
  <c r="G51" i="1986" s="1"/>
  <c r="G49" i="1983"/>
  <c r="D29" i="1985"/>
  <c r="H13" i="1985" s="1"/>
  <c r="D29" i="1984"/>
  <c r="H13" i="1984" s="1"/>
  <c r="D29" i="1983"/>
  <c r="H13" i="1983" s="1"/>
  <c r="D29" i="1982"/>
  <c r="H13" i="1982" s="1"/>
  <c r="H15" i="1982" s="1"/>
  <c r="H29" i="1982" s="1"/>
  <c r="G51" i="1982" s="1"/>
  <c r="L26" i="1971"/>
  <c r="H15" i="1985" l="1"/>
  <c r="H29" i="1985" s="1"/>
  <c r="G51" i="1985" s="1"/>
  <c r="H15" i="1984"/>
  <c r="H29" i="1984" s="1"/>
  <c r="G51" i="1984" s="1"/>
  <c r="H15" i="1983"/>
  <c r="H29" i="1983" s="1"/>
  <c r="G51" i="1983" s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<sst xmlns="http://schemas.openxmlformats.org/spreadsheetml/2006/main" count="6494" uniqueCount="167">
  <si>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</si>
  <si>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</si>
  <si>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</si>
  <si>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</si>
  <si>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</si>
  <si>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</si>
  <si>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</si>
  <si>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</si>
  <si>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</si>
  <si>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</si>
  <si>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</si>
  <si>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</si>
  <si>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</si>
  <si>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</si>
  <si>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</si>
  <si>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</si>
  <si>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</si>
  <si>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</si>
  <si>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</si>
  <si>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</si>
  <si>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</si>
  <si>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</si>
  <si>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</si>
  <si>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</si>
  <si>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</si>
  <si>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</si>
  <si>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</si>
  <si>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</si>
  <si>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</si>
  <si>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</si>
  <si>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</si>
  <si>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</si>
  <si>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</si>
  <si>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</si>
  <si>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</si>
  <si>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</si>
  <si>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</si>
  <si>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</si>
  <si>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</si>
  <si>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</si>
  <si>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</si>
  <si>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</si>
  <si>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</si>
  <si>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</si>
  <si>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</si>
  <si>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</si>
  <si>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</si>
  <si>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</si>
  <si>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</si>
  <si>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</si>
  <si>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</si>
  <si>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</si>
  <si>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</si>
  <si>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</si>
  <si>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</si>
  <si>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</si>
  <si>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</si>
  <si>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</si>
  <si>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</si>
  <si>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</si>
  <si>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</si>
  <si>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</si>
  <si>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</si>
  <si>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</si>
  <si>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</si>
  <si>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</si>
  <si>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</si>
  <si>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</si>
  <si>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</si>
  <si>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</si>
  <si>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</si>
  <si>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</si>
  <si>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</si>
  <si>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</si>
  <si>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</si>
  <si>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</si>
  <si>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</si>
  <si>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</si>
  <si>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</si>
  <si>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</si>
  <si>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</si>
  <si>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</si>
  <si>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</si>
  <si>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</si>
  <si>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</si>
  <si>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</si>
  <si>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</si>
  <si>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</si>
  <si>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</si>
  <si>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</si>
  <si>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</si>
  <si>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</si>
  <si>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</si>
  <si>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</si>
  <si>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</si>
  <si>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</si>
  <si>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</si>
  <si>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</si>
  <si>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</si>
  <si>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</si>
  <si>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</si>
  <si>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</si>
  <si>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</si>
  <si>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</si>
  <si>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</si>
  <si>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</si>
  <si>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</si>
  <si>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</si>
  <si>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</si>
  <si>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</si>
  <si>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</si>
  <si>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</si>
  <si>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</si>
  <si>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</si>
  <si>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</si>
  <si>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</si>
  <si>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</si>
  <si>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</si>
  <si>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</si>
  <si>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</si>
  <si>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</si>
  <si>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</si>
  <si>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</si>
  <si>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</si>
  <si>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</si>
  <si>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</si>
  <si>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</si>
  <si>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</si>
  <si>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</si>
  <si>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</si>
  <si>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</si>
  <si>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</si>
  <si>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</si>
  <si>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</si>
  <si>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</si>
  <si>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</si>
  <si>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</si>
  <si>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</si>
  <si>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</si>
  <si>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</si>
  <si>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</si>
  <si>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</si>
  <si>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</si>
  <si>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</si>
  <si>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</si>
  <si>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</si>
  <si>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</si>
  <si>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</si>
  <si>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</si>
  <si>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</si>
  <si>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</si>
  <si>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</si>
  <si>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</si>
  <si>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</si>
  <si>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</si>
  <si>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</si>
  <si>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</si>
  <si>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</si>
  <si>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</si>
  <si>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</si>
  <si>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</si>
  <si>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</si>
  <si>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</si>
  <si>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</si>
  <si>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</si>
  <si>
    <t>43034</t>
  </si>
  <si>
    <t>LOPEZ, GINA GRACE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</si>
</sst>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9B88F-CA99-469E-961B-99D018C04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1FC41-6EE7-417C-9B8D-B19BF8799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877621-D256-4216-B969-431E5B3D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89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86" t="s">
        <v>82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106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46113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644</v>
      </c>
      <c r="D6" s="13">
        <f t="shared" ref="D6:D28" si="1">C6*L6</f>
        <v>490084</v>
      </c>
      <c r="F6" s="223" t="s">
        <v>16</v>
      </c>
      <c r="G6" s="225" t="s">
        <v>99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3</v>
      </c>
      <c r="D7" s="13">
        <f t="shared" si="1"/>
        <v>2343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120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71</v>
      </c>
      <c r="D9" s="13">
        <f t="shared" si="1"/>
        <v>52043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</v>
      </c>
      <c r="D10" s="13">
        <f t="shared" si="1"/>
        <v>1032</v>
      </c>
      <c r="F10" s="223" t="s">
        <v>26</v>
      </c>
      <c r="G10" s="238" t="s">
        <v>124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1</v>
      </c>
      <c r="D11" s="13">
        <f t="shared" si="1"/>
        <v>1170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8</v>
      </c>
      <c r="D13" s="48">
        <f t="shared" si="1"/>
        <v>2456</v>
      </c>
      <c r="F13" s="244" t="s">
        <v>36</v>
      </c>
      <c r="G13" s="208"/>
      <c r="H13" s="199">
        <f>D29</f>
        <v>554839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4</v>
      </c>
      <c r="D14" s="31">
        <f t="shared" si="1"/>
        <v>44</v>
      </c>
      <c r="F14" s="202" t="s">
        <v>38</v>
      </c>
      <c r="G14" s="203"/>
      <c r="H14" s="204">
        <f>D54</f>
        <v>79868.25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>
        <v>1</v>
      </c>
      <c r="D15" s="31">
        <f t="shared" si="1"/>
        <v>620</v>
      </c>
      <c r="F15" s="207" t="s">
        <v>39</v>
      </c>
      <c r="G15" s="208"/>
      <c r="H15" s="209">
        <f>H13-H14</f>
        <v>474970.75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185">
        <v>92259</v>
      </c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55">
        <v>94558</v>
      </c>
      <c r="I26" s="155"/>
      <c r="J26" s="15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71"/>
      <c r="G27" s="86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>
        <v>5</v>
      </c>
      <c r="D28" s="48">
        <f t="shared" si="1"/>
        <v>4055</v>
      </c>
      <c r="F28" s="89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554839</v>
      </c>
      <c r="F29" s="116" t="s">
        <v>54</v>
      </c>
      <c r="G29" s="178"/>
      <c r="H29" s="138">
        <f>H15-H16-H17-H18-H19-H20-H22-H23-H24+H26+H27+H28</f>
        <v>477269.75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160">
        <f t="shared" ref="H34:H39" si="2">F34*G34</f>
        <v>273000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>
        <f t="shared" si="2"/>
        <v>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0">
        <f t="shared" si="2"/>
        <v>200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160">
        <f t="shared" si="2"/>
        <v>1600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160">
        <f t="shared" si="2"/>
        <v>300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60">
        <f t="shared" si="2"/>
        <v>20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60">
        <v>70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86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55">
        <v>73932</v>
      </c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55">
        <v>20000</v>
      </c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55">
        <v>13540</v>
      </c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37" t="s">
        <v>133</v>
      </c>
      <c r="G47" s="83" t="s">
        <v>134</v>
      </c>
      <c r="H47" s="155">
        <v>94558</v>
      </c>
      <c r="I47" s="155"/>
      <c r="J47" s="15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H34+H35+H36+H37+H38+H39+H40+H41+G42+H44+H45+H46+H47</f>
        <v>477220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109</v>
      </c>
      <c r="G51" s="245">
        <f>G49-H29</f>
        <v>-49.75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46113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339</v>
      </c>
      <c r="D6" s="13">
        <f t="shared" ref="D6:D28" si="1">C6*L6</f>
        <v>257979</v>
      </c>
      <c r="F6" s="223" t="s">
        <v>16</v>
      </c>
      <c r="G6" s="225" t="s">
        <v>107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13</v>
      </c>
      <c r="D7" s="13">
        <f t="shared" si="1"/>
        <v>10153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70</v>
      </c>
      <c r="D8" s="13">
        <f t="shared" si="1"/>
        <v>76510</v>
      </c>
      <c r="F8" s="231" t="s">
        <v>21</v>
      </c>
      <c r="G8" s="232" t="s">
        <v>100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</v>
      </c>
      <c r="D9" s="13">
        <f t="shared" si="1"/>
        <v>1466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101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3</v>
      </c>
      <c r="D11" s="13">
        <f t="shared" si="1"/>
        <v>3510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3+1</f>
        <v>4</v>
      </c>
      <c r="D12" s="48">
        <f t="shared" si="1"/>
        <v>3968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6</v>
      </c>
      <c r="D13" s="48">
        <f t="shared" si="1"/>
        <v>1842</v>
      </c>
      <c r="F13" s="244" t="s">
        <v>36</v>
      </c>
      <c r="G13" s="208"/>
      <c r="H13" s="199">
        <f>D29</f>
        <v>356469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4</v>
      </c>
      <c r="D14" s="31">
        <f t="shared" si="1"/>
        <v>44</v>
      </c>
      <c r="F14" s="202" t="s">
        <v>38</v>
      </c>
      <c r="G14" s="203"/>
      <c r="H14" s="204">
        <f>D54</f>
        <v>50412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306057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1356</f>
        <v>1356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>
        <v>12</v>
      </c>
      <c r="D24" s="48">
        <f t="shared" si="1"/>
        <v>454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89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356469</v>
      </c>
      <c r="F29" s="116" t="s">
        <v>54</v>
      </c>
      <c r="G29" s="178"/>
      <c r="H29" s="138">
        <f>H15-H16-H17-H18-H19-H20-H22-H23-H24+H26+H27</f>
        <v>304701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60">
        <f>F34*G34</f>
        <v>145000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60">
        <f t="shared" ref="H35:H39" si="2">F35*G35</f>
        <v>9500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0">
        <f>F36*G36</f>
        <v>200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160">
        <f t="shared" si="2"/>
        <v>200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60">
        <f t="shared" si="2"/>
        <v>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>
        <v>73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86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55">
        <v>149988</v>
      </c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87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>
        <v>6</v>
      </c>
      <c r="D49" s="12">
        <f>C49*42</f>
        <v>252</v>
      </c>
      <c r="F49" s="136" t="s">
        <v>85</v>
      </c>
      <c r="G49" s="138">
        <f>H34+H35+H36+H37+H38+H39+H40+H41+G42+H44+H45+H46</f>
        <v>304961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112</v>
      </c>
      <c r="G51" s="146">
        <f>G49-H29</f>
        <v>260</v>
      </c>
      <c r="H51" s="147"/>
      <c r="I51" s="147"/>
      <c r="J51" s="1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46113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482</v>
      </c>
      <c r="D6" s="13">
        <f t="shared" ref="D6:D28" si="1">C6*L6</f>
        <v>366802</v>
      </c>
      <c r="F6" s="223" t="s">
        <v>16</v>
      </c>
      <c r="G6" s="225" t="s">
        <v>117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17</v>
      </c>
      <c r="D7" s="13">
        <f t="shared" si="1"/>
        <v>13277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2</v>
      </c>
      <c r="D8" s="13">
        <f t="shared" si="1"/>
        <v>2186</v>
      </c>
      <c r="F8" s="231" t="s">
        <v>21</v>
      </c>
      <c r="G8" s="232" t="s">
        <v>110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35</v>
      </c>
      <c r="D9" s="13">
        <f t="shared" si="1"/>
        <v>25655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108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</v>
      </c>
      <c r="D11" s="13">
        <f t="shared" si="1"/>
        <v>2340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3</f>
        <v>3</v>
      </c>
      <c r="D12" s="48">
        <f t="shared" si="1"/>
        <v>2976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21</v>
      </c>
      <c r="D13" s="48">
        <f t="shared" si="1"/>
        <v>6447</v>
      </c>
      <c r="F13" s="244" t="s">
        <v>36</v>
      </c>
      <c r="G13" s="208"/>
      <c r="H13" s="199">
        <f>D29</f>
        <v>419925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22</v>
      </c>
      <c r="D14" s="31">
        <f t="shared" si="1"/>
        <v>242</v>
      </c>
      <c r="F14" s="202" t="s">
        <v>38</v>
      </c>
      <c r="G14" s="203"/>
      <c r="H14" s="204">
        <f>D54</f>
        <v>66984.75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352940.25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648+738+840</f>
        <v>2226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89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419925</v>
      </c>
      <c r="F29" s="116" t="s">
        <v>54</v>
      </c>
      <c r="G29" s="178"/>
      <c r="H29" s="138">
        <f>H15-H16-H17-H18-H19-H20-H22-H23-H24+H26+H27</f>
        <v>350714.25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160">
        <f>F34*G34</f>
        <v>123000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160">
        <f>F35*G35</f>
        <v>56000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60">
        <f t="shared" ref="H36:H39" si="2">F36*G36</f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160">
        <f t="shared" si="2"/>
        <v>10700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60">
        <f t="shared" si="2"/>
        <v>150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60">
        <f t="shared" si="2"/>
        <v>40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0">
        <v>710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86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55">
        <v>93138.5</v>
      </c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55">
        <v>66764</v>
      </c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>
        <v>19</v>
      </c>
      <c r="D46" s="12">
        <f>C46*1.5</f>
        <v>28.5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350502.5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>
        <v>39</v>
      </c>
      <c r="D50" s="12">
        <f>C50*1.5</f>
        <v>58.5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109</v>
      </c>
      <c r="G51" s="245">
        <f>G49-H29</f>
        <v>-211.75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92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95" t="s">
        <v>82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106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46114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402</v>
      </c>
      <c r="D6" s="13">
        <f t="shared" ref="D6:D28" si="1">C6*L6</f>
        <v>305922</v>
      </c>
      <c r="F6" s="223" t="s">
        <v>16</v>
      </c>
      <c r="G6" s="225" t="s">
        <v>99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4</v>
      </c>
      <c r="D7" s="13">
        <f t="shared" si="1"/>
        <v>3124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120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18</v>
      </c>
      <c r="D9" s="13">
        <f t="shared" si="1"/>
        <v>13194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124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12</v>
      </c>
      <c r="D13" s="48">
        <f t="shared" si="1"/>
        <v>3684</v>
      </c>
      <c r="F13" s="244" t="s">
        <v>36</v>
      </c>
      <c r="G13" s="208"/>
      <c r="H13" s="199">
        <f>D29</f>
        <v>326938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2</v>
      </c>
      <c r="D14" s="31">
        <f t="shared" si="1"/>
        <v>22</v>
      </c>
      <c r="F14" s="202" t="s">
        <v>38</v>
      </c>
      <c r="G14" s="203"/>
      <c r="H14" s="204">
        <f>D54</f>
        <v>16806.75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310131.25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1944</f>
        <v>1944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75"/>
      <c r="G26" s="65"/>
      <c r="H26" s="155"/>
      <c r="I26" s="155"/>
      <c r="J26" s="15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71"/>
      <c r="G27" s="95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9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326938</v>
      </c>
      <c r="F29" s="116" t="s">
        <v>54</v>
      </c>
      <c r="G29" s="178"/>
      <c r="H29" s="138">
        <f>H15-H16-H17-H18-H19-H20-H22-H23-H24+H26+H27+H28</f>
        <v>308187.25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160">
        <f t="shared" ref="H34:H39" si="2">F34*G34</f>
        <v>53000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60">
        <f t="shared" si="2"/>
        <v>3500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0">
        <f t="shared" si="2"/>
        <v>200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160">
        <f t="shared" si="2"/>
        <v>3600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60">
        <f t="shared" si="2"/>
        <v>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9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55">
        <v>247690</v>
      </c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>
        <v>4</v>
      </c>
      <c r="D46" s="12">
        <f>C46*1.5</f>
        <v>6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307990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>
        <v>10</v>
      </c>
      <c r="D50" s="12">
        <f>C50*1.5</f>
        <v>15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109</v>
      </c>
      <c r="G51" s="245">
        <f>G49-H29</f>
        <v>-197.25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46114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353</v>
      </c>
      <c r="D6" s="13">
        <f t="shared" ref="D6:D28" si="1">C6*L6</f>
        <v>268633</v>
      </c>
      <c r="F6" s="223" t="s">
        <v>16</v>
      </c>
      <c r="G6" s="225" t="s">
        <v>107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100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5</v>
      </c>
      <c r="D9" s="13">
        <f t="shared" si="1"/>
        <v>3665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101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13</v>
      </c>
      <c r="D13" s="48">
        <f t="shared" si="1"/>
        <v>3991</v>
      </c>
      <c r="F13" s="244" t="s">
        <v>36</v>
      </c>
      <c r="G13" s="208"/>
      <c r="H13" s="199">
        <f>D29</f>
        <v>278180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6</v>
      </c>
      <c r="D14" s="31">
        <f t="shared" si="1"/>
        <v>66</v>
      </c>
      <c r="F14" s="202" t="s">
        <v>38</v>
      </c>
      <c r="G14" s="203"/>
      <c r="H14" s="204">
        <f>D54</f>
        <v>41341.5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236838.5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9">
        <f>1944</f>
        <v>1944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9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278180</v>
      </c>
      <c r="F29" s="116" t="s">
        <v>54</v>
      </c>
      <c r="G29" s="178"/>
      <c r="H29" s="138">
        <f>H15-H16-H17-H18-H19-H20-H22-H23-H24+H26+H27</f>
        <v>234894.5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160">
        <f>F34*G34</f>
        <v>24000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160">
        <f t="shared" ref="H35:H39" si="2">F35*G35</f>
        <v>199000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60">
        <f>F36*G36</f>
        <v>400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60">
        <f t="shared" si="2"/>
        <v>100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160">
        <f t="shared" si="2"/>
        <v>10100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160">
        <f t="shared" si="2"/>
        <v>40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>
        <v>168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9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62"/>
      <c r="H44" s="155"/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94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>
        <v>15</v>
      </c>
      <c r="D49" s="12">
        <f>C49*42</f>
        <v>630</v>
      </c>
      <c r="F49" s="136" t="s">
        <v>85</v>
      </c>
      <c r="G49" s="138">
        <f>H34+H35+H36+H37+H38+H39+H40+H41+G42+H44+H45+H46</f>
        <v>233808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>
        <v>6</v>
      </c>
      <c r="D50" s="12">
        <f>C50*1.5</f>
        <v>9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143</v>
      </c>
      <c r="G51" s="245">
        <f>G49-H29</f>
        <v>-1086.5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46114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653</v>
      </c>
      <c r="D6" s="13">
        <f t="shared" ref="D6:D28" si="1">C6*L6</f>
        <v>496933</v>
      </c>
      <c r="F6" s="223" t="s">
        <v>16</v>
      </c>
      <c r="G6" s="225" t="s">
        <v>117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29</v>
      </c>
      <c r="D7" s="13">
        <f t="shared" si="1"/>
        <v>22649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76</v>
      </c>
      <c r="D9" s="13">
        <f t="shared" si="1"/>
        <v>55708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108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3+1</f>
        <v>4</v>
      </c>
      <c r="D12" s="48">
        <f t="shared" si="1"/>
        <v>3968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24</v>
      </c>
      <c r="D13" s="48">
        <f t="shared" si="1"/>
        <v>7368</v>
      </c>
      <c r="F13" s="244" t="s">
        <v>36</v>
      </c>
      <c r="G13" s="208"/>
      <c r="H13" s="199">
        <f>D29</f>
        <v>589177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</v>
      </c>
      <c r="D14" s="31">
        <f t="shared" si="1"/>
        <v>11</v>
      </c>
      <c r="F14" s="202" t="s">
        <v>38</v>
      </c>
      <c r="G14" s="203"/>
      <c r="H14" s="204">
        <f>D54</f>
        <v>87320.25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>
        <v>2</v>
      </c>
      <c r="D15" s="31">
        <f t="shared" si="1"/>
        <v>1240</v>
      </c>
      <c r="F15" s="207" t="s">
        <v>39</v>
      </c>
      <c r="G15" s="208"/>
      <c r="H15" s="209">
        <f>H13-H14</f>
        <v>501856.75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9">
        <f>2814+1050</f>
        <v>3864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9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589177</v>
      </c>
      <c r="F29" s="116" t="s">
        <v>54</v>
      </c>
      <c r="G29" s="178"/>
      <c r="H29" s="138">
        <f>H15-H16-H17-H18-H19-H20-H22-H23-H24+H26+H27</f>
        <v>497992.75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160">
        <f>F34*G34</f>
        <v>158000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60">
        <f>F35*G35</f>
        <v>28500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60">
        <f t="shared" ref="H36:H39" si="2">F36*G36</f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160">
        <f t="shared" si="2"/>
        <v>2700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160">
        <f t="shared" si="2"/>
        <v>1700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5</v>
      </c>
      <c r="D42" s="12">
        <f>C42*2.25</f>
        <v>11.25</v>
      </c>
      <c r="F42" s="39" t="s">
        <v>78</v>
      </c>
      <c r="G42" s="160">
        <v>72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9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55">
        <v>306876</v>
      </c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>
        <v>8</v>
      </c>
      <c r="D49" s="12">
        <f>C49*42</f>
        <v>336</v>
      </c>
      <c r="F49" s="136" t="s">
        <v>85</v>
      </c>
      <c r="G49" s="138">
        <f>H34+H35+H36+H37+H38+H39+H40+H41+G42+H44+H45+H46</f>
        <v>497848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>
        <v>13</v>
      </c>
      <c r="D50" s="12">
        <f>C50*1.5</f>
        <v>19.5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109</v>
      </c>
      <c r="G51" s="245">
        <f>G49-H29</f>
        <v>-144.75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92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95" t="s">
        <v>82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106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46115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99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120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124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75"/>
      <c r="G26" s="65"/>
      <c r="H26" s="155"/>
      <c r="I26" s="155"/>
      <c r="J26" s="15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71"/>
      <c r="G27" s="95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9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H15-H16-H17-H18-H19-H20-H22-H23-H24+H26+H27+H28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0">
        <f t="shared" ref="H34:H39" si="2">F34*G34</f>
        <v>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>
        <f t="shared" si="2"/>
        <v>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 t="shared" si="2"/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9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83"/>
      <c r="H44" s="155"/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109</v>
      </c>
      <c r="G51" s="245">
        <f>G49-H29</f>
        <v>0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46115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107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100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101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9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>
        <f>F34*G34</f>
        <v>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>
        <f t="shared" ref="H35:H39" si="2">F35*G35</f>
        <v>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>F36*G36</f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9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62"/>
      <c r="H44" s="155"/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94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112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46115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117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108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9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>
        <f>F34*G34</f>
        <v>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>
        <f>F35*G35</f>
        <v>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 t="shared" ref="H36:H39" si="2">F36*G36</f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9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115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92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95" t="s">
        <v>82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106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46116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99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120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124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75"/>
      <c r="G26" s="65"/>
      <c r="H26" s="155"/>
      <c r="I26" s="155"/>
      <c r="J26" s="15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71"/>
      <c r="G27" s="95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9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H15-H16-H17-H18-H19-H20-H22-H23-H24+H26+H27+H28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0">
        <f t="shared" ref="H34:H39" si="2">F34*G34</f>
        <v>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>
        <f t="shared" si="2"/>
        <v>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 t="shared" si="2"/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9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83"/>
      <c r="H44" s="155"/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109</v>
      </c>
      <c r="G51" s="245">
        <f>G49-H29</f>
        <v>0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46116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107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100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101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9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>
        <f>F34*G34</f>
        <v>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>
        <f t="shared" ref="H35:H39" si="2">F35*G35</f>
        <v>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>F36*G36</f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9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62"/>
      <c r="H44" s="155"/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94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112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46116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117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108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9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>
        <f>F34*G34</f>
        <v>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>
        <f>F35*G35</f>
        <v>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 t="shared" ref="H36:H39" si="2">F36*G36</f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9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115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92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95" t="s">
        <v>82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106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46118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990</v>
      </c>
      <c r="D6" s="13">
        <f t="shared" ref="D6:D28" si="1">C6*L6</f>
        <v>753390</v>
      </c>
      <c r="F6" s="223" t="s">
        <v>16</v>
      </c>
      <c r="G6" s="225" t="s">
        <v>99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</v>
      </c>
      <c r="D7" s="13">
        <f t="shared" si="1"/>
        <v>781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120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230</v>
      </c>
      <c r="D9" s="13">
        <f t="shared" si="1"/>
        <v>168590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10</v>
      </c>
      <c r="D10" s="13">
        <f t="shared" si="1"/>
        <v>10320</v>
      </c>
      <c r="F10" s="223" t="s">
        <v>26</v>
      </c>
      <c r="G10" s="238" t="s">
        <v>124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2+1</f>
        <v>3</v>
      </c>
      <c r="D12" s="48">
        <f t="shared" si="1"/>
        <v>2976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17</v>
      </c>
      <c r="D13" s="48">
        <f t="shared" si="1"/>
        <v>5219</v>
      </c>
      <c r="F13" s="244" t="s">
        <v>36</v>
      </c>
      <c r="G13" s="208"/>
      <c r="H13" s="199">
        <f>D29</f>
        <v>941474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18</v>
      </c>
      <c r="D14" s="31">
        <f t="shared" si="1"/>
        <v>198</v>
      </c>
      <c r="F14" s="202" t="s">
        <v>38</v>
      </c>
      <c r="G14" s="203"/>
      <c r="H14" s="204">
        <f>D54</f>
        <v>138555.75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802918.25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2670+3882</f>
        <v>6552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75"/>
      <c r="G26" s="65"/>
      <c r="H26" s="155"/>
      <c r="I26" s="155"/>
      <c r="J26" s="15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71"/>
      <c r="G27" s="95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9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941474</v>
      </c>
      <c r="F29" s="116" t="s">
        <v>54</v>
      </c>
      <c r="G29" s="178"/>
      <c r="H29" s="138">
        <f>H15-H16-H17-H18-H19-H20-H22-H23-H24+H26+H27+H28</f>
        <v>796366.25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160">
        <f t="shared" ref="H34:H39" si="2">F34*G34</f>
        <v>82000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60">
        <f t="shared" si="2"/>
        <v>2000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 t="shared" si="2"/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160">
        <f t="shared" si="2"/>
        <v>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160">
        <f t="shared" si="2"/>
        <v>50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0">
        <v>34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9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55">
        <v>291136</v>
      </c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55">
        <v>420282</v>
      </c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>
        <v>2</v>
      </c>
      <c r="D46" s="12">
        <f>C46*1.5</f>
        <v>3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795502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>
        <v>22</v>
      </c>
      <c r="D50" s="12">
        <f>C50*1.5</f>
        <v>33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109</v>
      </c>
      <c r="G51" s="245">
        <f>G49-H29</f>
        <v>-864.25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46118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570</v>
      </c>
      <c r="D6" s="13">
        <f t="shared" ref="D6:D28" si="1">C6*L6</f>
        <v>433770</v>
      </c>
      <c r="F6" s="223" t="s">
        <v>16</v>
      </c>
      <c r="G6" s="225" t="s">
        <v>107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7</v>
      </c>
      <c r="D7" s="13">
        <f t="shared" si="1"/>
        <v>5467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100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60</v>
      </c>
      <c r="D9" s="13">
        <f t="shared" si="1"/>
        <v>43980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101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18</v>
      </c>
      <c r="D13" s="48">
        <f t="shared" si="1"/>
        <v>5526</v>
      </c>
      <c r="F13" s="244" t="s">
        <v>36</v>
      </c>
      <c r="G13" s="208"/>
      <c r="H13" s="199">
        <f>D29</f>
        <v>488743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72385.5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416357.5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900+2106</f>
        <v>3006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9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488743</v>
      </c>
      <c r="F29" s="116" t="s">
        <v>54</v>
      </c>
      <c r="G29" s="178"/>
      <c r="H29" s="138">
        <f>H15-H16-H17-H18-H19-H20-H22-H23-H24+H26+H27</f>
        <v>413351.5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160">
        <f>F34*G34</f>
        <v>383000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60">
        <f t="shared" ref="H35:H39" si="2">F35*G35</f>
        <v>30500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>F36*G36</f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160">
        <f t="shared" si="2"/>
        <v>1400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160">
        <f t="shared" si="2"/>
        <v>350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160">
        <f t="shared" si="2"/>
        <v>100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>
        <v>103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9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62"/>
      <c r="H44" s="155"/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94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>
        <v>13</v>
      </c>
      <c r="D49" s="12">
        <f>C49*42</f>
        <v>546</v>
      </c>
      <c r="F49" s="136" t="s">
        <v>85</v>
      </c>
      <c r="G49" s="138">
        <f>H34+H35+H36+H37+H38+H39+H40+H41+G42+H44+H45+H46</f>
        <v>415453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112</v>
      </c>
      <c r="G51" s="146">
        <f>G49-H29</f>
        <v>2101.5</v>
      </c>
      <c r="H51" s="147"/>
      <c r="I51" s="147"/>
      <c r="J51" s="1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46118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541</v>
      </c>
      <c r="D6" s="13">
        <f t="shared" ref="D6:D28" si="1">C6*L6</f>
        <v>411701</v>
      </c>
      <c r="F6" s="223" t="s">
        <v>16</v>
      </c>
      <c r="G6" s="225" t="s">
        <v>117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19</v>
      </c>
      <c r="D7" s="13">
        <f t="shared" si="1"/>
        <v>14839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108</v>
      </c>
      <c r="D9" s="13">
        <f t="shared" si="1"/>
        <v>79164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</v>
      </c>
      <c r="D10" s="13">
        <f t="shared" si="1"/>
        <v>1032</v>
      </c>
      <c r="F10" s="223" t="s">
        <v>26</v>
      </c>
      <c r="G10" s="238" t="s">
        <v>108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4</v>
      </c>
      <c r="D12" s="48">
        <f t="shared" si="1"/>
        <v>3968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10</v>
      </c>
      <c r="D13" s="48">
        <f t="shared" si="1"/>
        <v>3070</v>
      </c>
      <c r="F13" s="244" t="s">
        <v>36</v>
      </c>
      <c r="G13" s="208"/>
      <c r="H13" s="199">
        <f>D29</f>
        <v>513840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6</v>
      </c>
      <c r="D14" s="31">
        <f t="shared" si="1"/>
        <v>66</v>
      </c>
      <c r="F14" s="202" t="s">
        <v>38</v>
      </c>
      <c r="G14" s="203"/>
      <c r="H14" s="204">
        <f>D54</f>
        <v>78996.75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434843.25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1866</f>
        <v>1866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6">
        <v>50</v>
      </c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9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513840</v>
      </c>
      <c r="F29" s="116" t="s">
        <v>54</v>
      </c>
      <c r="G29" s="178"/>
      <c r="H29" s="138">
        <f>H15-H16-H17-H18-H19-H20-H22-H23-H24+H26+H27</f>
        <v>432927.25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160">
        <f>F34*G34</f>
        <v>71000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60">
        <f>F35*G35</f>
        <v>10500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160">
        <f t="shared" ref="H36:H39" si="2">F36*G36</f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160">
        <f t="shared" si="2"/>
        <v>10400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60">
        <f t="shared" si="2"/>
        <v>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</v>
      </c>
      <c r="D42" s="12">
        <f>C42*2.25</f>
        <v>2.25</v>
      </c>
      <c r="F42" s="39" t="s">
        <v>78</v>
      </c>
      <c r="G42" s="160">
        <v>102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9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55">
        <v>199262</v>
      </c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55">
        <v>141172.5</v>
      </c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>
        <v>8</v>
      </c>
      <c r="D46" s="12">
        <f>C46*1.5</f>
        <v>12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432436.5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>
        <v>16</v>
      </c>
      <c r="D50" s="12">
        <f>C50*1.5</f>
        <v>24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109</v>
      </c>
      <c r="G51" s="245">
        <f>G49-H29</f>
        <v>-490.75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2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5" t="s">
        <v>82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106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46119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647</v>
      </c>
      <c r="D6" s="13">
        <f t="shared" ref="D6:D28" si="1">C6*L6</f>
        <v>492367</v>
      </c>
      <c r="F6" s="223" t="s">
        <v>16</v>
      </c>
      <c r="G6" s="225" t="s">
        <v>99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</v>
      </c>
      <c r="D7" s="13">
        <f t="shared" si="1"/>
        <v>3905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120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34</v>
      </c>
      <c r="D9" s="13">
        <f t="shared" si="1"/>
        <v>24922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3</v>
      </c>
      <c r="D10" s="13">
        <f t="shared" si="1"/>
        <v>3096</v>
      </c>
      <c r="F10" s="223" t="s">
        <v>26</v>
      </c>
      <c r="G10" s="238" t="s">
        <v>124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3</v>
      </c>
      <c r="D12" s="48">
        <f t="shared" si="1"/>
        <v>2976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13</v>
      </c>
      <c r="D13" s="48">
        <f t="shared" si="1"/>
        <v>3991</v>
      </c>
      <c r="F13" s="244" t="s">
        <v>36</v>
      </c>
      <c r="G13" s="208"/>
      <c r="H13" s="199">
        <f>D29</f>
        <v>532497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52386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>
        <v>2</v>
      </c>
      <c r="D15" s="31">
        <f t="shared" si="1"/>
        <v>1240</v>
      </c>
      <c r="F15" s="207" t="s">
        <v>39</v>
      </c>
      <c r="G15" s="208"/>
      <c r="H15" s="209">
        <f>H13-H14</f>
        <v>480111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1944+1476</f>
        <v>3420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75"/>
      <c r="G26" s="65"/>
      <c r="H26" s="155"/>
      <c r="I26" s="155"/>
      <c r="J26" s="15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71"/>
      <c r="G27" s="105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532497</v>
      </c>
      <c r="F29" s="116" t="s">
        <v>54</v>
      </c>
      <c r="G29" s="178"/>
      <c r="H29" s="138">
        <f>H15-H16-H17-H18-H19-H20-H22-H23-H24+H26+H27+H28</f>
        <v>476691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160">
        <f t="shared" ref="H34:H39" si="2">F34*G34</f>
        <v>270000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160">
        <f t="shared" si="2"/>
        <v>156500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 t="shared" si="2"/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160">
        <f t="shared" si="2"/>
        <v>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0">
        <f t="shared" si="2"/>
        <v>50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60">
        <f t="shared" si="2"/>
        <v>20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>
        <v>119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155">
        <v>50000</v>
      </c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>
        <v>8</v>
      </c>
      <c r="D49" s="12">
        <f>C49*42</f>
        <v>336</v>
      </c>
      <c r="F49" s="136" t="s">
        <v>85</v>
      </c>
      <c r="G49" s="138">
        <f>H34+H35+H36+H37+H38+H39+H40+H41+G42+H44+H45+H46</f>
        <v>476689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109</v>
      </c>
      <c r="G51" s="245">
        <f>G49-H29</f>
        <v>-2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46119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375</v>
      </c>
      <c r="D6" s="13">
        <f t="shared" ref="D6:D28" si="1">C6*L6</f>
        <v>285375</v>
      </c>
      <c r="F6" s="223" t="s">
        <v>16</v>
      </c>
      <c r="G6" s="225" t="s">
        <v>107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10</v>
      </c>
      <c r="D7" s="13">
        <f t="shared" si="1"/>
        <v>7810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100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25</v>
      </c>
      <c r="D9" s="13">
        <f t="shared" si="1"/>
        <v>18325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101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2</v>
      </c>
      <c r="D12" s="48">
        <f t="shared" si="1"/>
        <v>1984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8</v>
      </c>
      <c r="D13" s="48">
        <f t="shared" si="1"/>
        <v>2456</v>
      </c>
      <c r="F13" s="244" t="s">
        <v>36</v>
      </c>
      <c r="G13" s="208"/>
      <c r="H13" s="199">
        <f>D29</f>
        <v>321418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6</v>
      </c>
      <c r="D14" s="31">
        <f t="shared" si="1"/>
        <v>66</v>
      </c>
      <c r="F14" s="202" t="s">
        <v>38</v>
      </c>
      <c r="G14" s="203"/>
      <c r="H14" s="204">
        <f>D54</f>
        <v>45939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275479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69">
        <v>1200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321418</v>
      </c>
      <c r="F29" s="116" t="s">
        <v>54</v>
      </c>
      <c r="G29" s="178"/>
      <c r="H29" s="138">
        <f>H15-H16-H17-H18-H19-H20-H22-H23-H24+H26+H27</f>
        <v>274279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160">
        <f>F34*G34</f>
        <v>128000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60">
        <f t="shared" ref="H35:H39" si="2">F35*G35</f>
        <v>12000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>F36*G36</f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160">
        <f t="shared" si="2"/>
        <v>1600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60">
        <f t="shared" si="2"/>
        <v>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60">
        <f t="shared" si="2"/>
        <v>20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4</v>
      </c>
      <c r="D42" s="12">
        <f>C42*2.25</f>
        <v>9</v>
      </c>
      <c r="F42" s="39" t="s">
        <v>78</v>
      </c>
      <c r="G42" s="160">
        <v>111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155">
        <v>132227</v>
      </c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104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>
        <v>9</v>
      </c>
      <c r="D49" s="12">
        <f>C49*42</f>
        <v>378</v>
      </c>
      <c r="F49" s="136" t="s">
        <v>85</v>
      </c>
      <c r="G49" s="138">
        <f>H34+H35+H36+H37+H38+H39+H40+H41+G42+H44+H45+H46</f>
        <v>273958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>
        <v>15</v>
      </c>
      <c r="D50" s="12">
        <f>C50*1.5</f>
        <v>22.5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143</v>
      </c>
      <c r="G51" s="245">
        <f>G49-H29</f>
        <v>-321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46119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756</v>
      </c>
      <c r="D6" s="13">
        <f t="shared" ref="D6:D28" si="1">C6*L6</f>
        <v>575316</v>
      </c>
      <c r="F6" s="223" t="s">
        <v>16</v>
      </c>
      <c r="G6" s="225" t="s">
        <v>117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9</v>
      </c>
      <c r="D7" s="13">
        <f t="shared" si="1"/>
        <v>7029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108</v>
      </c>
      <c r="D9" s="13">
        <f t="shared" si="1"/>
        <v>79164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108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9+1+1</f>
        <v>11</v>
      </c>
      <c r="D12" s="48">
        <f t="shared" si="1"/>
        <v>10912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31</v>
      </c>
      <c r="D13" s="48">
        <f t="shared" si="1"/>
        <v>9517</v>
      </c>
      <c r="F13" s="244" t="s">
        <v>36</v>
      </c>
      <c r="G13" s="208"/>
      <c r="H13" s="199">
        <f>D29</f>
        <v>709846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4</v>
      </c>
      <c r="D14" s="31">
        <f t="shared" si="1"/>
        <v>44</v>
      </c>
      <c r="F14" s="202" t="s">
        <v>38</v>
      </c>
      <c r="G14" s="203"/>
      <c r="H14" s="204">
        <f>D54</f>
        <v>105213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604633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69">
        <f>3360+648+300+636</f>
        <v>4944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148</v>
      </c>
      <c r="C27" s="10">
        <v>6</v>
      </c>
      <c r="D27" s="44">
        <f t="shared" si="1"/>
        <v>6612</v>
      </c>
      <c r="F27" s="25"/>
      <c r="G27" s="80"/>
      <c r="H27" s="193"/>
      <c r="I27" s="194"/>
      <c r="J27" s="195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709846</v>
      </c>
      <c r="F29" s="116" t="s">
        <v>54</v>
      </c>
      <c r="G29" s="178"/>
      <c r="H29" s="138">
        <f>H15-H16-H17-H18-H19-H20-H22-H23-H24+H26+H27</f>
        <v>599689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160">
        <f>F34*G34</f>
        <v>58000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60">
        <f>F35*G35</f>
        <v>22000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60">
        <f t="shared" ref="H36:H39" si="2">F36*G36</f>
        <v>800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160">
        <f t="shared" si="2"/>
        <v>10600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>
        <v>45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155">
        <v>71328</v>
      </c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155">
        <v>366768</v>
      </c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155">
        <v>70468</v>
      </c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>
        <v>35</v>
      </c>
      <c r="D49" s="12">
        <f>C49*42</f>
        <v>1470</v>
      </c>
      <c r="F49" s="136" t="s">
        <v>85</v>
      </c>
      <c r="G49" s="138">
        <f>H34+H35+H36+H37+H38+H39+H40+H41+G42+H44+H45+H46</f>
        <v>600009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>
        <v>4</v>
      </c>
      <c r="D50" s="12">
        <f>C50*1.5</f>
        <v>6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115</v>
      </c>
      <c r="G51" s="146">
        <f>G49-H29</f>
        <v>320</v>
      </c>
      <c r="H51" s="147"/>
      <c r="I51" s="147"/>
      <c r="J51" s="1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2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5" t="s">
        <v>82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106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46120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540</v>
      </c>
      <c r="D6" s="13">
        <f t="shared" ref="D6:D28" si="1">C6*L6</f>
        <v>410940</v>
      </c>
      <c r="F6" s="223" t="s">
        <v>16</v>
      </c>
      <c r="G6" s="225" t="s">
        <v>99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120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124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15</v>
      </c>
      <c r="D13" s="48">
        <f t="shared" si="1"/>
        <v>4605</v>
      </c>
      <c r="F13" s="244" t="s">
        <v>36</v>
      </c>
      <c r="G13" s="208"/>
      <c r="H13" s="199">
        <f>D29</f>
        <v>415545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57449.25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358095.75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2592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75"/>
      <c r="G26" s="65"/>
      <c r="H26" s="155"/>
      <c r="I26" s="155"/>
      <c r="J26" s="15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71"/>
      <c r="G27" s="105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415545</v>
      </c>
      <c r="F29" s="116" t="s">
        <v>54</v>
      </c>
      <c r="G29" s="178"/>
      <c r="H29" s="138">
        <f>H15-H16-H17-H18-H19-H20-H22-H23-H24+H26+H27+H28</f>
        <v>355503.75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160">
        <f t="shared" ref="H34:H39" si="2">F34*G34</f>
        <v>301000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60">
        <f t="shared" si="2"/>
        <v>53500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 t="shared" si="2"/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160">
        <f t="shared" si="2"/>
        <v>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60">
        <f t="shared" si="2"/>
        <v>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83"/>
      <c r="H44" s="155"/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>
        <v>17</v>
      </c>
      <c r="D49" s="12">
        <f>C49*42</f>
        <v>714</v>
      </c>
      <c r="F49" s="136" t="s">
        <v>85</v>
      </c>
      <c r="G49" s="138">
        <f>H34+H35+H36+H37+H38+H39+H40+H41+G42+H44+H45+H46</f>
        <v>354500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109</v>
      </c>
      <c r="G51" s="245">
        <f>G49-H29</f>
        <v>-1003.75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46120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327</v>
      </c>
      <c r="D6" s="13">
        <f t="shared" ref="D6:D28" si="1">C6*L6</f>
        <v>248847</v>
      </c>
      <c r="F6" s="223" t="s">
        <v>16</v>
      </c>
      <c r="G6" s="225" t="s">
        <v>107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100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48</v>
      </c>
      <c r="D9" s="13">
        <f t="shared" si="1"/>
        <v>35184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101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7</v>
      </c>
      <c r="D13" s="48">
        <f t="shared" si="1"/>
        <v>2149</v>
      </c>
      <c r="F13" s="244" t="s">
        <v>36</v>
      </c>
      <c r="G13" s="208"/>
      <c r="H13" s="199">
        <f>D29</f>
        <v>286224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4</v>
      </c>
      <c r="D14" s="31">
        <f t="shared" si="1"/>
        <v>44</v>
      </c>
      <c r="F14" s="202" t="s">
        <v>38</v>
      </c>
      <c r="G14" s="203"/>
      <c r="H14" s="204">
        <f>D54</f>
        <v>46103.25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240120.75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1494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286224</v>
      </c>
      <c r="F29" s="116" t="s">
        <v>54</v>
      </c>
      <c r="G29" s="178"/>
      <c r="H29" s="138">
        <f>H15-H16-H17-H18-H19-H20-H22-H23-H24+H26+H27</f>
        <v>238626.75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60">
        <f>F34*G34</f>
        <v>145000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60">
        <f t="shared" ref="H35:H39" si="2">F35*G35</f>
        <v>3500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>F36*G36</f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160">
        <f t="shared" si="2"/>
        <v>1300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0">
        <f t="shared" si="2"/>
        <v>50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60">
        <f t="shared" si="2"/>
        <v>20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</v>
      </c>
      <c r="D42" s="12">
        <f>C42*2.25</f>
        <v>2.25</v>
      </c>
      <c r="F42" s="39" t="s">
        <v>78</v>
      </c>
      <c r="G42" s="160">
        <v>40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155">
        <v>88133</v>
      </c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>
        <v>1</v>
      </c>
      <c r="D45" s="12">
        <f>C45*84</f>
        <v>84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104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>
        <v>7</v>
      </c>
      <c r="D49" s="12">
        <f>C49*42</f>
        <v>294</v>
      </c>
      <c r="F49" s="136" t="s">
        <v>85</v>
      </c>
      <c r="G49" s="138">
        <f>H34+H35+H36+H37+H38+H39+H40+H41+G42+H44+H45+H46</f>
        <v>238043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>
        <v>8</v>
      </c>
      <c r="D50" s="12">
        <f>C50*1.5</f>
        <v>12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143</v>
      </c>
      <c r="G51" s="245">
        <f>G49-H29</f>
        <v>-583.75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46120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600</v>
      </c>
      <c r="D6" s="13">
        <f t="shared" ref="D6:D28" si="1">C6*L6</f>
        <v>456600</v>
      </c>
      <c r="F6" s="223" t="s">
        <v>16</v>
      </c>
      <c r="G6" s="225" t="s">
        <v>117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10</v>
      </c>
      <c r="D7" s="13">
        <f t="shared" si="1"/>
        <v>7810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94</v>
      </c>
      <c r="D9" s="13">
        <f t="shared" si="1"/>
        <v>68902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2</v>
      </c>
      <c r="D10" s="13">
        <f t="shared" si="1"/>
        <v>2064</v>
      </c>
      <c r="F10" s="223" t="s">
        <v>26</v>
      </c>
      <c r="G10" s="238" t="s">
        <v>108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4</v>
      </c>
      <c r="D12" s="48">
        <f t="shared" si="1"/>
        <v>3968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20</v>
      </c>
      <c r="D13" s="48">
        <f t="shared" si="1"/>
        <v>6140</v>
      </c>
      <c r="F13" s="244" t="s">
        <v>36</v>
      </c>
      <c r="G13" s="208"/>
      <c r="H13" s="199">
        <f>D29</f>
        <v>546916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202" t="s">
        <v>38</v>
      </c>
      <c r="G14" s="203"/>
      <c r="H14" s="204">
        <f>D54</f>
        <v>81273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465643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9">
        <f>390+1266+1530+858</f>
        <v>4044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6">
        <v>50</v>
      </c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546916</v>
      </c>
      <c r="F29" s="116" t="s">
        <v>54</v>
      </c>
      <c r="G29" s="178"/>
      <c r="H29" s="138">
        <f>H15-H16-H17-H18-H19-H20-H22-H23-H24+H26+H27</f>
        <v>461549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160">
        <f>F34*G34</f>
        <v>92000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160">
        <f>F35*G35</f>
        <v>57000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60">
        <f t="shared" ref="H36:H39" si="2">F36*G36</f>
        <v>800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160">
        <f t="shared" si="2"/>
        <v>6700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0">
        <v>73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155">
        <v>138508</v>
      </c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155">
        <v>165614</v>
      </c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>
        <v>3</v>
      </c>
      <c r="D46" s="12">
        <f>C46*1.5</f>
        <v>4.5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>
        <v>1</v>
      </c>
      <c r="D49" s="12">
        <f>C49*42</f>
        <v>42</v>
      </c>
      <c r="F49" s="136" t="s">
        <v>85</v>
      </c>
      <c r="G49" s="138">
        <f>H34+H35+H36+H37+H38+H39+H40+H41+G42+H44+H45+H46</f>
        <v>460695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>
        <v>10</v>
      </c>
      <c r="D50" s="12">
        <f>C50*1.5</f>
        <v>15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109</v>
      </c>
      <c r="G51" s="245">
        <f>G49-H29</f>
        <v>-854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2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5" t="s">
        <v>82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106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46121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535</v>
      </c>
      <c r="D6" s="13">
        <f t="shared" ref="D6:D28" si="1">C6*L6</f>
        <v>407135</v>
      </c>
      <c r="F6" s="223" t="s">
        <v>16</v>
      </c>
      <c r="G6" s="225" t="s">
        <v>99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</v>
      </c>
      <c r="D7" s="13">
        <f t="shared" si="1"/>
        <v>1562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120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20</v>
      </c>
      <c r="D9" s="13">
        <f t="shared" si="1"/>
        <v>14660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124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6</v>
      </c>
      <c r="D13" s="48">
        <f t="shared" si="1"/>
        <v>1842</v>
      </c>
      <c r="F13" s="244" t="s">
        <v>36</v>
      </c>
      <c r="G13" s="208"/>
      <c r="H13" s="199">
        <f>D29</f>
        <v>426678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3</v>
      </c>
      <c r="D14" s="31">
        <f t="shared" si="1"/>
        <v>33</v>
      </c>
      <c r="F14" s="202" t="s">
        <v>38</v>
      </c>
      <c r="G14" s="203"/>
      <c r="H14" s="204">
        <f>D54</f>
        <v>60252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366426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156</v>
      </c>
      <c r="C24" s="10">
        <v>12</v>
      </c>
      <c r="D24" s="48">
        <f t="shared" si="1"/>
        <v>454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75"/>
      <c r="G26" s="65"/>
      <c r="H26" s="155"/>
      <c r="I26" s="155"/>
      <c r="J26" s="15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71"/>
      <c r="G27" s="105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426678</v>
      </c>
      <c r="F29" s="116" t="s">
        <v>54</v>
      </c>
      <c r="G29" s="178"/>
      <c r="H29" s="138">
        <f>H15-H16-H17-H18-H19-H20-H22-H23-H24+H26+H27+H28</f>
        <v>366426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160">
        <f t="shared" ref="H34:H39" si="2">F34*G34</f>
        <v>94000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60">
        <f t="shared" si="2"/>
        <v>20500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160">
        <f t="shared" si="2"/>
        <v>200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160">
        <f t="shared" si="2"/>
        <v>4900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160">
        <f t="shared" si="2"/>
        <v>3800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60">
        <f t="shared" si="2"/>
        <v>40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4</v>
      </c>
      <c r="D42" s="12">
        <f>C42*2.25</f>
        <v>9</v>
      </c>
      <c r="F42" s="39" t="s">
        <v>78</v>
      </c>
      <c r="G42" s="160">
        <v>23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155">
        <v>140000</v>
      </c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155">
        <v>104214</v>
      </c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>
        <v>8</v>
      </c>
      <c r="D46" s="12">
        <f>C46*1.5</f>
        <v>12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367677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>
        <v>29</v>
      </c>
      <c r="D50" s="12">
        <f>C50*1.5</f>
        <v>43.5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115</v>
      </c>
      <c r="G51" s="146">
        <f>G49-H29</f>
        <v>1251</v>
      </c>
      <c r="H51" s="147"/>
      <c r="I51" s="147"/>
      <c r="J51" s="1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46121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317</v>
      </c>
      <c r="D6" s="13">
        <f t="shared" ref="D6:D28" si="1">C6*L6</f>
        <v>241237</v>
      </c>
      <c r="F6" s="223" t="s">
        <v>16</v>
      </c>
      <c r="G6" s="225" t="s">
        <v>107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3</v>
      </c>
      <c r="D7" s="13">
        <f t="shared" si="1"/>
        <v>2343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100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12</v>
      </c>
      <c r="D9" s="13">
        <f t="shared" si="1"/>
        <v>8796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101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11</v>
      </c>
      <c r="D13" s="48">
        <f t="shared" si="1"/>
        <v>3377</v>
      </c>
      <c r="F13" s="244" t="s">
        <v>36</v>
      </c>
      <c r="G13" s="208"/>
      <c r="H13" s="199">
        <f>D29</f>
        <v>256965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20</v>
      </c>
      <c r="D14" s="31">
        <f t="shared" si="1"/>
        <v>220</v>
      </c>
      <c r="F14" s="202" t="s">
        <v>38</v>
      </c>
      <c r="G14" s="203"/>
      <c r="H14" s="204">
        <f>D54</f>
        <v>37854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219111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1296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256965</v>
      </c>
      <c r="F29" s="116" t="s">
        <v>54</v>
      </c>
      <c r="G29" s="178"/>
      <c r="H29" s="138">
        <f>H15-H16-H17-H18-H19-H20-H22-H23-H24+H26+H27</f>
        <v>217815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160">
        <f>F34*G34</f>
        <v>59000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160">
        <f t="shared" ref="H35:H39" si="2">F35*G35</f>
        <v>126500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>F36*G36</f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160">
        <f t="shared" si="2"/>
        <v>21700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160">
        <f t="shared" si="2"/>
        <v>10250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60">
        <f t="shared" si="2"/>
        <v>60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8</v>
      </c>
      <c r="D42" s="12">
        <f>C42*2.25</f>
        <v>18</v>
      </c>
      <c r="F42" s="39" t="s">
        <v>78</v>
      </c>
      <c r="G42" s="160">
        <v>118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62"/>
      <c r="H44" s="155"/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>
        <v>1</v>
      </c>
      <c r="D45" s="12">
        <f>C45*84</f>
        <v>84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>
        <v>5</v>
      </c>
      <c r="D46" s="12">
        <f>C46*1.5</f>
        <v>7.5</v>
      </c>
      <c r="F46" s="37"/>
      <c r="G46" s="104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>
        <v>9</v>
      </c>
      <c r="D49" s="12">
        <f>C49*42</f>
        <v>378</v>
      </c>
      <c r="F49" s="136" t="s">
        <v>85</v>
      </c>
      <c r="G49" s="138">
        <f>H34+H35+H36+H37+H38+H39+H40+H41+G42+H44+H45+H46</f>
        <v>217628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>
        <v>23</v>
      </c>
      <c r="D50" s="12">
        <f>C50*1.5</f>
        <v>34.5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143</v>
      </c>
      <c r="G51" s="245">
        <f>G49-H29</f>
        <v>-187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46121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523</v>
      </c>
      <c r="D6" s="13">
        <f t="shared" ref="D6:D28" si="1">C6*L6</f>
        <v>398003</v>
      </c>
      <c r="F6" s="223" t="s">
        <v>16</v>
      </c>
      <c r="G6" s="225" t="s">
        <v>117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32</v>
      </c>
      <c r="D7" s="13">
        <f t="shared" si="1"/>
        <v>24992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19</v>
      </c>
      <c r="D9" s="13">
        <f t="shared" si="1"/>
        <v>13927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108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1</v>
      </c>
      <c r="D11" s="13">
        <f t="shared" si="1"/>
        <v>1170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3</v>
      </c>
      <c r="D12" s="48">
        <f t="shared" si="1"/>
        <v>2976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18</v>
      </c>
      <c r="D13" s="48">
        <f t="shared" si="1"/>
        <v>5526</v>
      </c>
      <c r="F13" s="244" t="s">
        <v>36</v>
      </c>
      <c r="G13" s="208"/>
      <c r="H13" s="199">
        <f>D29</f>
        <v>448958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2</v>
      </c>
      <c r="D14" s="31">
        <f t="shared" si="1"/>
        <v>22</v>
      </c>
      <c r="F14" s="202" t="s">
        <v>38</v>
      </c>
      <c r="G14" s="203"/>
      <c r="H14" s="204">
        <f>D54</f>
        <v>81078.75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>
        <f>1+1</f>
        <v>2</v>
      </c>
      <c r="D15" s="31">
        <f t="shared" si="1"/>
        <v>1240</v>
      </c>
      <c r="F15" s="207" t="s">
        <v>39</v>
      </c>
      <c r="G15" s="208"/>
      <c r="H15" s="209">
        <f>H13-H14</f>
        <v>367879.25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1296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448958</v>
      </c>
      <c r="F29" s="116" t="s">
        <v>54</v>
      </c>
      <c r="G29" s="178"/>
      <c r="H29" s="138">
        <f>H15-H16-H17-H18-H19-H20-H22-H23-H24+H26+H27</f>
        <v>366583.25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160">
        <f>F34*G34</f>
        <v>261000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60">
        <f>F35*G35</f>
        <v>30500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 t="shared" ref="H36:H39" si="2">F36*G36</f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160">
        <f t="shared" si="2"/>
        <v>14500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160">
        <f t="shared" si="2"/>
        <v>2550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160">
        <f t="shared" si="2"/>
        <v>60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60">
        <v>23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155">
        <v>59614</v>
      </c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>
        <v>3</v>
      </c>
      <c r="D45" s="12">
        <f>C45*84</f>
        <v>252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>
        <v>1</v>
      </c>
      <c r="D46" s="12">
        <f>C46*1.5</f>
        <v>1.5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>
        <v>3</v>
      </c>
      <c r="D49" s="12">
        <f>C49*42</f>
        <v>126</v>
      </c>
      <c r="F49" s="136" t="s">
        <v>85</v>
      </c>
      <c r="G49" s="138">
        <f>H34+H35+H36+H37+H38+H39+H40+H41+G42+H44+H45+H46</f>
        <v>368247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>
        <v>10</v>
      </c>
      <c r="D50" s="12">
        <f>C50*1.5</f>
        <v>15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115</v>
      </c>
      <c r="G51" s="146">
        <f>G49-H29</f>
        <v>1663.75</v>
      </c>
      <c r="H51" s="147"/>
      <c r="I51" s="147"/>
      <c r="J51" s="1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2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5" t="s">
        <v>82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106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46122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316</v>
      </c>
      <c r="D6" s="13">
        <f t="shared" ref="D6:D28" si="1">C6*L6</f>
        <v>240476</v>
      </c>
      <c r="F6" s="223" t="s">
        <v>16</v>
      </c>
      <c r="G6" s="225" t="s">
        <v>99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10</v>
      </c>
      <c r="D7" s="13">
        <f t="shared" si="1"/>
        <v>7810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120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22</v>
      </c>
      <c r="D9" s="13">
        <f t="shared" si="1"/>
        <v>16126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6</v>
      </c>
      <c r="D10" s="13">
        <f t="shared" si="1"/>
        <v>6192</v>
      </c>
      <c r="F10" s="223" t="s">
        <v>26</v>
      </c>
      <c r="G10" s="238" t="s">
        <v>124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4</v>
      </c>
      <c r="D11" s="13">
        <f t="shared" si="1"/>
        <v>4680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4</v>
      </c>
      <c r="D12" s="48">
        <f t="shared" si="1"/>
        <v>3968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3</v>
      </c>
      <c r="D13" s="48">
        <f t="shared" si="1"/>
        <v>921</v>
      </c>
      <c r="F13" s="244" t="s">
        <v>36</v>
      </c>
      <c r="G13" s="208"/>
      <c r="H13" s="199">
        <f>D29</f>
        <v>291054.08333333337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10</v>
      </c>
      <c r="D14" s="31">
        <f t="shared" si="1"/>
        <v>110</v>
      </c>
      <c r="F14" s="202" t="s">
        <v>38</v>
      </c>
      <c r="G14" s="203"/>
      <c r="H14" s="204">
        <f>D54</f>
        <v>40578.75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>
        <v>2</v>
      </c>
      <c r="D15" s="31">
        <f t="shared" si="1"/>
        <v>1240</v>
      </c>
      <c r="F15" s="207" t="s">
        <v>39</v>
      </c>
      <c r="G15" s="208"/>
      <c r="H15" s="209">
        <f>H13-H14</f>
        <v>250475.33333333337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185">
        <v>4698</v>
      </c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>
        <v>4</v>
      </c>
      <c r="D23" s="48">
        <f t="shared" si="1"/>
        <v>158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156</v>
      </c>
      <c r="C24" s="10">
        <v>12</v>
      </c>
      <c r="D24" s="48">
        <f t="shared" si="1"/>
        <v>454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>
        <v>9</v>
      </c>
      <c r="D26" s="48">
        <f t="shared" si="1"/>
        <v>522.75</v>
      </c>
      <c r="F26" s="75"/>
      <c r="G26" s="65"/>
      <c r="H26" s="155"/>
      <c r="I26" s="155"/>
      <c r="J26" s="15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53"/>
      <c r="I27" s="254"/>
      <c r="J27" s="254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291054.08333333337</v>
      </c>
      <c r="F29" s="116" t="s">
        <v>54</v>
      </c>
      <c r="G29" s="178"/>
      <c r="H29" s="138">
        <f>H15-H16-H17-H18-H19-H20-H22-H23-H24+H26+H27+H28</f>
        <v>245777.33333333337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160">
        <f t="shared" ref="H34:H39" si="2">F34*G34</f>
        <v>211000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160">
        <f t="shared" si="2"/>
        <v>12500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60">
        <f t="shared" si="2"/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160">
        <f t="shared" si="2"/>
        <v>10000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160">
        <f t="shared" si="2"/>
        <v>50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60">
        <f t="shared" si="2"/>
        <v>20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</v>
      </c>
      <c r="D42" s="12">
        <f>C42*2.25</f>
        <v>2.25</v>
      </c>
      <c r="F42" s="39" t="s">
        <v>78</v>
      </c>
      <c r="G42" s="160">
        <v>18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155">
        <v>9184</v>
      </c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155">
        <v>3110</v>
      </c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>
        <v>1</v>
      </c>
      <c r="D46" s="12">
        <f>C46*1.5</f>
        <v>1.5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245882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>
        <v>69</v>
      </c>
      <c r="D50" s="12">
        <f>C50*1.5</f>
        <v>103.5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115</v>
      </c>
      <c r="G51" s="146">
        <f>G49-H29</f>
        <v>104.66666666662786</v>
      </c>
      <c r="H51" s="147"/>
      <c r="I51" s="147"/>
      <c r="J51" s="1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46122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386</v>
      </c>
      <c r="D6" s="13">
        <f t="shared" ref="D6:D28" si="1">C6*L6</f>
        <v>293746</v>
      </c>
      <c r="F6" s="223" t="s">
        <v>16</v>
      </c>
      <c r="G6" s="225" t="s">
        <v>107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</v>
      </c>
      <c r="D7" s="13">
        <f t="shared" si="1"/>
        <v>1562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100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47</v>
      </c>
      <c r="D9" s="13">
        <f t="shared" si="1"/>
        <v>34451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</v>
      </c>
      <c r="D10" s="13">
        <f t="shared" si="1"/>
        <v>1032</v>
      </c>
      <c r="F10" s="223" t="s">
        <v>26</v>
      </c>
      <c r="G10" s="238" t="s">
        <v>101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14</v>
      </c>
      <c r="D13" s="48">
        <f t="shared" si="1"/>
        <v>4298</v>
      </c>
      <c r="F13" s="244" t="s">
        <v>36</v>
      </c>
      <c r="G13" s="208"/>
      <c r="H13" s="199">
        <f>D29</f>
        <v>337013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11</v>
      </c>
      <c r="D14" s="31">
        <f t="shared" si="1"/>
        <v>121</v>
      </c>
      <c r="F14" s="202" t="s">
        <v>38</v>
      </c>
      <c r="G14" s="203"/>
      <c r="H14" s="204">
        <f>D54</f>
        <v>35585.25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301427.75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1200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>
        <v>1</v>
      </c>
      <c r="D28" s="48">
        <f t="shared" si="1"/>
        <v>811</v>
      </c>
      <c r="F28" s="10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337013</v>
      </c>
      <c r="F29" s="116" t="s">
        <v>54</v>
      </c>
      <c r="G29" s="178"/>
      <c r="H29" s="138">
        <f>H15-H16-H17-H18-H19-H20-H22-H23-H24+H26+H27</f>
        <v>300227.75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160">
        <f>F34*G34</f>
        <v>140000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160">
        <f t="shared" ref="H35:H39" si="2">F35*G35</f>
        <v>14000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60">
        <f>F36*G36</f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160">
        <f t="shared" si="2"/>
        <v>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160">
        <f t="shared" si="2"/>
        <v>400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60">
        <v>150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155">
        <v>145790</v>
      </c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104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>
        <v>3</v>
      </c>
      <c r="D49" s="12">
        <f>C49*42</f>
        <v>126</v>
      </c>
      <c r="F49" s="136" t="s">
        <v>85</v>
      </c>
      <c r="G49" s="138">
        <f>H34+H35+H36+H37+H38+H39+H40+H41+G42+H44+H45+H46</f>
        <v>300340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>
        <v>3</v>
      </c>
      <c r="D50" s="12">
        <f>C50*1.5</f>
        <v>4.5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112</v>
      </c>
      <c r="G51" s="146">
        <f>G49-H29</f>
        <v>112.25</v>
      </c>
      <c r="H51" s="147"/>
      <c r="I51" s="147"/>
      <c r="J51" s="1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46122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117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108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>
        <f>F34*G34</f>
        <v>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>
        <f>F35*G35</f>
        <v>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 t="shared" ref="H36:H39" si="2">F36*G36</f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115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2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5" t="s">
        <v>82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106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46123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99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120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124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75"/>
      <c r="G26" s="65"/>
      <c r="H26" s="155"/>
      <c r="I26" s="155"/>
      <c r="J26" s="15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71"/>
      <c r="G27" s="105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H15-H16-H17-H18-H19-H20-H22-H23-H24+H26+H27+H28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0">
        <f t="shared" ref="H34:H39" si="2">F34*G34</f>
        <v>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>
        <f t="shared" si="2"/>
        <v>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 t="shared" si="2"/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83"/>
      <c r="H44" s="155"/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109</v>
      </c>
      <c r="G51" s="245">
        <f>G49-H29</f>
        <v>0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46123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107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100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101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>
        <f>F34*G34</f>
        <v>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>
        <f t="shared" ref="H35:H39" si="2">F35*G35</f>
        <v>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>F36*G36</f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62"/>
      <c r="H44" s="155"/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104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112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46123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117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108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>
        <f>F34*G34</f>
        <v>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>
        <f>F35*G35</f>
        <v>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 t="shared" ref="H36:H39" si="2">F36*G36</f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115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9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6" t="s">
        <v>82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106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46125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316</v>
      </c>
      <c r="D6" s="13">
        <f t="shared" ref="D6:D28" si="1">C6*L6</f>
        <v>240476</v>
      </c>
      <c r="F6" s="223" t="s">
        <v>16</v>
      </c>
      <c r="G6" s="225" t="s">
        <v>99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120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108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240718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22</v>
      </c>
      <c r="D14" s="31">
        <f t="shared" si="1"/>
        <v>242</v>
      </c>
      <c r="F14" s="202" t="s">
        <v>38</v>
      </c>
      <c r="G14" s="203"/>
      <c r="H14" s="204">
        <f>D54</f>
        <v>51207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189511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1296</f>
        <v>1296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9">
        <v>174.11</v>
      </c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75"/>
      <c r="G26" s="65"/>
      <c r="H26" s="155"/>
      <c r="I26" s="155"/>
      <c r="J26" s="15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71"/>
      <c r="G27" s="106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9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240718</v>
      </c>
      <c r="F29" s="116" t="s">
        <v>54</v>
      </c>
      <c r="G29" s="178"/>
      <c r="H29" s="138">
        <f>H15-H16-H17-H18-H19-H20-H22-H23-H24+H26+H27+H28</f>
        <v>188040.89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45</v>
      </c>
      <c r="H34" s="160">
        <f t="shared" ref="H34:H39" si="2">F34*G34</f>
        <v>45000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33</v>
      </c>
      <c r="H35" s="160">
        <f t="shared" si="2"/>
        <v>16500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60">
        <f t="shared" si="2"/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29</v>
      </c>
      <c r="H37" s="160">
        <f t="shared" si="2"/>
        <v>2900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160">
        <f t="shared" si="2"/>
        <v>350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2</v>
      </c>
      <c r="D42" s="12">
        <f>C42*2.25</f>
        <v>4.5</v>
      </c>
      <c r="F42" s="39" t="s">
        <v>78</v>
      </c>
      <c r="G42" s="160">
        <v>77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6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164</v>
      </c>
      <c r="H44" s="155">
        <v>123103.5</v>
      </c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>
        <v>1</v>
      </c>
      <c r="D45" s="12">
        <f>C45*84</f>
        <v>84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>
        <v>23</v>
      </c>
      <c r="D46" s="12">
        <f>C46*1.5</f>
        <v>34.5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>
        <v>1</v>
      </c>
      <c r="D49" s="12">
        <f>C49*42</f>
        <v>42</v>
      </c>
      <c r="F49" s="136" t="s">
        <v>85</v>
      </c>
      <c r="G49" s="138">
        <f>H34+H35+H36+H37+H38+H39+H40+H41+G42+H44+H45+H46</f>
        <v>187930.5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>
        <v>14</v>
      </c>
      <c r="D50" s="12">
        <f>C50*1.5</f>
        <v>21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109</v>
      </c>
      <c r="G51" s="245">
        <f>G49-H29</f>
        <v>-110.39000000001397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51207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46125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377</v>
      </c>
      <c r="D6" s="13">
        <f t="shared" ref="D6:D28" si="1">C6*L6</f>
        <v>286897</v>
      </c>
      <c r="F6" s="223" t="s">
        <v>16</v>
      </c>
      <c r="G6" s="225" t="s">
        <v>107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100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13</v>
      </c>
      <c r="D9" s="13">
        <f t="shared" si="1"/>
        <v>9529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101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3</v>
      </c>
      <c r="D12" s="48">
        <f t="shared" si="1"/>
        <v>2976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15</v>
      </c>
      <c r="D13" s="48">
        <f t="shared" si="1"/>
        <v>4605</v>
      </c>
      <c r="F13" s="244" t="s">
        <v>36</v>
      </c>
      <c r="G13" s="208"/>
      <c r="H13" s="199">
        <f>D29</f>
        <v>304172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15</v>
      </c>
      <c r="D14" s="31">
        <f t="shared" si="1"/>
        <v>165</v>
      </c>
      <c r="F14" s="202" t="s">
        <v>38</v>
      </c>
      <c r="G14" s="203"/>
      <c r="H14" s="204">
        <f>D54</f>
        <v>44827.5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259344.5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1944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9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304172</v>
      </c>
      <c r="F29" s="116" t="s">
        <v>54</v>
      </c>
      <c r="G29" s="178"/>
      <c r="H29" s="138">
        <f>H15-H16-H17-H18-H19-H20-H22-H23-H24+H26+H27</f>
        <v>257400.5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136</v>
      </c>
      <c r="H34" s="160">
        <f>F34*G34</f>
        <v>136000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214</v>
      </c>
      <c r="H35" s="160">
        <f t="shared" ref="H35:H39" si="2">F35*G35</f>
        <v>107000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0">
        <f>F36*G36</f>
        <v>200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126</v>
      </c>
      <c r="H37" s="160">
        <f t="shared" si="2"/>
        <v>12600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60">
        <f t="shared" si="2"/>
        <v>50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60">
        <f t="shared" si="2"/>
        <v>20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6</v>
      </c>
      <c r="D42" s="12">
        <f>C42*2.25</f>
        <v>13.5</v>
      </c>
      <c r="F42" s="39" t="s">
        <v>78</v>
      </c>
      <c r="G42" s="160">
        <v>77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6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>
        <v>1</v>
      </c>
      <c r="D44" s="12">
        <f>C44*120</f>
        <v>120</v>
      </c>
      <c r="F44" s="37"/>
      <c r="G44" s="62"/>
      <c r="H44" s="155"/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>
        <v>2</v>
      </c>
      <c r="D45" s="12">
        <f>C45*84</f>
        <v>168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>
        <v>6</v>
      </c>
      <c r="D46" s="12">
        <f>C46*1.5</f>
        <v>9</v>
      </c>
      <c r="F46" s="37"/>
      <c r="G46" s="107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>
        <v>10</v>
      </c>
      <c r="D49" s="12">
        <f>C49*42</f>
        <v>420</v>
      </c>
      <c r="F49" s="136" t="s">
        <v>85</v>
      </c>
      <c r="G49" s="138">
        <f>H34+H35+H36+H37+H38+H39+H40+H41+G42+H44+H45+H46</f>
        <v>255947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>
        <v>10</v>
      </c>
      <c r="D50" s="12">
        <f>C50*1.5</f>
        <v>15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143</v>
      </c>
      <c r="G51" s="245">
        <f>G49-H29</f>
        <v>-1453.5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44827.5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46125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358</v>
      </c>
      <c r="D6" s="13">
        <f t="shared" ref="D6:D28" si="1">C6*L6</f>
        <v>272438</v>
      </c>
      <c r="F6" s="223" t="s">
        <v>16</v>
      </c>
      <c r="G6" s="225" t="s">
        <v>166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14</v>
      </c>
      <c r="D7" s="13">
        <f t="shared" si="1"/>
        <v>10934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57</v>
      </c>
      <c r="D9" s="13">
        <f t="shared" si="1"/>
        <v>41781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124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8</v>
      </c>
      <c r="D13" s="48">
        <f t="shared" si="1"/>
        <v>2456</v>
      </c>
      <c r="F13" s="244" t="s">
        <v>36</v>
      </c>
      <c r="G13" s="208"/>
      <c r="H13" s="199">
        <f>D29</f>
        <v>328634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3</v>
      </c>
      <c r="D14" s="31">
        <f t="shared" si="1"/>
        <v>33</v>
      </c>
      <c r="F14" s="202" t="s">
        <v>38</v>
      </c>
      <c r="G14" s="203"/>
      <c r="H14" s="204">
        <f>D54</f>
        <v>48386.25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280247.75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1920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6">
        <v>50</v>
      </c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9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328634</v>
      </c>
      <c r="F29" s="116" t="s">
        <v>54</v>
      </c>
      <c r="G29" s="178"/>
      <c r="H29" s="138">
        <f>H15-H16-H17-H18-H19-H20-H22-H23-H24+H26+H27</f>
        <v>278277.75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150</v>
      </c>
      <c r="H34" s="160">
        <f>F34*G34</f>
        <v>150000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160">
        <f>F35*G35</f>
        <v>11000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 t="shared" ref="H36:H39" si="2">F36*G36</f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416</v>
      </c>
      <c r="D37" s="12">
        <f>C37*111</f>
        <v>46176</v>
      </c>
      <c r="F37" s="12">
        <v>100</v>
      </c>
      <c r="G37" s="39">
        <v>5</v>
      </c>
      <c r="H37" s="160">
        <f t="shared" si="2"/>
        <v>500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160">
        <f t="shared" si="2"/>
        <v>200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60">
        <f t="shared" si="2"/>
        <v>40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0">
        <v>9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6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165</v>
      </c>
      <c r="H44" s="155">
        <v>116101</v>
      </c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277850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>
        <v>2</v>
      </c>
      <c r="D50" s="12">
        <f>C50*1.5</f>
        <v>3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109</v>
      </c>
      <c r="G51" s="245">
        <f>G49-H29</f>
        <v>-427.75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48386.25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2" t="s">
        <v>1</v>
      </c>
      <c r="O1" s="212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3" t="s">
        <v>7</v>
      </c>
      <c r="B4" s="164"/>
      <c r="C4" s="164"/>
      <c r="D4" s="165"/>
      <c r="F4" s="213" t="s">
        <v>8</v>
      </c>
      <c r="G4" s="215"/>
      <c r="H4" s="217" t="s">
        <v>9</v>
      </c>
      <c r="I4" s="219"/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223" t="s">
        <v>16</v>
      </c>
      <c r="G6" s="225"/>
      <c r="H6" s="226"/>
      <c r="I6" s="226"/>
      <c r="J6" s="2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231" t="s">
        <v>21</v>
      </c>
      <c r="G8" s="232"/>
      <c r="H8" s="233"/>
      <c r="I8" s="233"/>
      <c r="J8" s="2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223" t="s">
        <v>26</v>
      </c>
      <c r="G10" s="238"/>
      <c r="H10" s="239"/>
      <c r="I10" s="239"/>
      <c r="J10" s="240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186"/>
      <c r="I24" s="155"/>
      <c r="J24" s="15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80"/>
      <c r="H27" s="193"/>
      <c r="I27" s="194"/>
      <c r="J27" s="195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9"/>
      <c r="G28" s="61"/>
      <c r="H28" s="196"/>
      <c r="I28" s="197"/>
      <c r="J28" s="198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/>
      <c r="I34" s="161"/>
      <c r="J34" s="16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/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/>
      <c r="I36" s="161"/>
      <c r="J36" s="16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/>
      <c r="I37" s="161"/>
      <c r="J37" s="16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/>
      <c r="I38" s="161"/>
      <c r="J38" s="16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/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06" t="s">
        <v>82</v>
      </c>
      <c r="H43" s="152" t="s">
        <v>13</v>
      </c>
      <c r="I43" s="153"/>
      <c r="J43" s="154"/>
      <c r="K43" s="21"/>
      <c r="P43" s="4"/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P44" s="4"/>
      <c r="Q44" s="4"/>
      <c r="R44" s="5"/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P50" s="4"/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106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BA13-6433-4868-97E7-86FA29286733}">
  <dimension ref="A1:R59"/>
  <sheetViews>
    <sheetView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1</v>
      </c>
      <c r="H4" s="217" t="s">
        <v>9</v>
      </c>
      <c r="I4" s="219">
        <v>46125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99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120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124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1296</f>
        <v>1296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9">
        <v>174.11</v>
      </c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75"/>
      <c r="G26" s="65"/>
      <c r="H26" s="155"/>
      <c r="I26" s="155"/>
      <c r="J26" s="15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71"/>
      <c r="G27" s="115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H15-H16-H17-H18-H19-H20-H22-H23-H24+H26+H27+H28</f>
        <v>-1470.1100000000001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45</v>
      </c>
      <c r="H34" s="160">
        <f t="shared" ref="H34:H39" si="2">F34*G34</f>
        <v>45000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160">
        <f t="shared" si="2"/>
        <v>16500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 t="shared" si="2"/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29</v>
      </c>
      <c r="H37" s="160">
        <f t="shared" si="2"/>
        <v>2900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>
        <v>7</v>
      </c>
      <c r="H38" s="160">
        <f t="shared" si="2"/>
        <v>350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>
        <v>77</v>
      </c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1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 t="s">
        <v>137</v>
      </c>
      <c r="G44" s="62" t="s">
        <v>164</v>
      </c>
      <c r="H44" s="155">
        <v>123103.5</v>
      </c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5"/>
      <c r="I46" s="155"/>
      <c r="J46" s="155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187930.5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109</v>
      </c>
      <c r="G51" s="245">
        <f>G49-H29</f>
        <v>189400.61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C4FD-794B-4E3D-AAD7-4BC4F0DEAB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2</v>
      </c>
      <c r="H4" s="217" t="s">
        <v>9</v>
      </c>
      <c r="I4" s="219">
        <v>46125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107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100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101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5"/>
      <c r="I19" s="255"/>
      <c r="J19" s="2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2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25"/>
      <c r="G23" s="37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10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14"/>
      <c r="G27" s="14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>
        <f>F34*G34</f>
        <v>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>
        <f t="shared" ref="H35:H39" si="2">F35*G35</f>
        <v>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>F36*G36</f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1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62"/>
      <c r="H44" s="155"/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62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114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112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51C3-AE72-49C2-82F2-92AE2F8125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2" t="s">
        <v>1</v>
      </c>
      <c r="O1" s="212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3" t="s">
        <v>7</v>
      </c>
      <c r="B4" s="164"/>
      <c r="C4" s="164"/>
      <c r="D4" s="165"/>
      <c r="F4" s="213" t="s">
        <v>8</v>
      </c>
      <c r="G4" s="215">
        <v>3</v>
      </c>
      <c r="H4" s="217" t="s">
        <v>9</v>
      </c>
      <c r="I4" s="219">
        <v>46125</v>
      </c>
      <c r="J4" s="2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214"/>
      <c r="G5" s="216"/>
      <c r="H5" s="218"/>
      <c r="I5" s="221"/>
      <c r="J5" s="2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223" t="s">
        <v>16</v>
      </c>
      <c r="G6" s="225" t="s">
        <v>117</v>
      </c>
      <c r="H6" s="226"/>
      <c r="I6" s="226"/>
      <c r="J6" s="2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224"/>
      <c r="G7" s="228"/>
      <c r="H7" s="229"/>
      <c r="I7" s="229"/>
      <c r="J7" s="2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231" t="s">
        <v>21</v>
      </c>
      <c r="G8" s="232" t="s">
        <v>110</v>
      </c>
      <c r="H8" s="233"/>
      <c r="I8" s="233"/>
      <c r="J8" s="2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224"/>
      <c r="G9" s="235"/>
      <c r="H9" s="236"/>
      <c r="I9" s="236"/>
      <c r="J9" s="2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223" t="s">
        <v>26</v>
      </c>
      <c r="G10" s="238" t="s">
        <v>108</v>
      </c>
      <c r="H10" s="239"/>
      <c r="I10" s="239"/>
      <c r="J10" s="240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224"/>
      <c r="G11" s="235"/>
      <c r="H11" s="236"/>
      <c r="I11" s="236"/>
      <c r="J11" s="2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241" t="s">
        <v>33</v>
      </c>
      <c r="G12" s="242"/>
      <c r="H12" s="242"/>
      <c r="I12" s="242"/>
      <c r="J12" s="2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244" t="s">
        <v>36</v>
      </c>
      <c r="G13" s="208"/>
      <c r="H13" s="199">
        <f>D29</f>
        <v>0</v>
      </c>
      <c r="I13" s="200"/>
      <c r="J13" s="20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202" t="s">
        <v>38</v>
      </c>
      <c r="G14" s="203"/>
      <c r="H14" s="204">
        <f>D54</f>
        <v>0</v>
      </c>
      <c r="I14" s="205"/>
      <c r="J14" s="20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122</v>
      </c>
      <c r="C15" s="10"/>
      <c r="D15" s="31">
        <f t="shared" si="1"/>
        <v>0</v>
      </c>
      <c r="F15" s="207" t="s">
        <v>39</v>
      </c>
      <c r="G15" s="208"/>
      <c r="H15" s="209">
        <f>H13-H14</f>
        <v>0</v>
      </c>
      <c r="I15" s="210"/>
      <c r="J15" s="21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0"/>
      <c r="I17" s="180"/>
      <c r="J17" s="18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0"/>
      <c r="I18" s="180"/>
      <c r="J18" s="180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7"/>
      <c r="G22" s="73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121</v>
      </c>
      <c r="C23" s="10"/>
      <c r="D23" s="48">
        <f t="shared" si="1"/>
        <v>0</v>
      </c>
      <c r="F23" s="78"/>
      <c r="G23" s="79"/>
      <c r="H23" s="186"/>
      <c r="I23" s="155"/>
      <c r="J23" s="1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128</v>
      </c>
      <c r="C24" s="10"/>
      <c r="D24" s="48">
        <f t="shared" si="1"/>
        <v>0</v>
      </c>
      <c r="F24" s="38"/>
      <c r="G24" s="37"/>
      <c r="H24" s="186"/>
      <c r="I24" s="155"/>
      <c r="J24" s="1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7" t="s">
        <v>13</v>
      </c>
      <c r="I25" s="188"/>
      <c r="J25" s="189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129</v>
      </c>
      <c r="C26" s="10"/>
      <c r="D26" s="48">
        <f t="shared" si="1"/>
        <v>0</v>
      </c>
      <c r="F26" s="64"/>
      <c r="G26" s="59"/>
      <c r="H26" s="190"/>
      <c r="I26" s="191"/>
      <c r="J26" s="19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130</v>
      </c>
      <c r="C27" s="10"/>
      <c r="D27" s="44">
        <f t="shared" si="1"/>
        <v>0</v>
      </c>
      <c r="F27" s="25"/>
      <c r="G27" s="80"/>
      <c r="H27" s="193"/>
      <c r="I27" s="194"/>
      <c r="J27" s="19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2"/>
      <c r="G28" s="61"/>
      <c r="H28" s="196"/>
      <c r="I28" s="197"/>
      <c r="J28" s="198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16" t="s">
        <v>54</v>
      </c>
      <c r="G29" s="178"/>
      <c r="H29" s="138">
        <f>H15-H16-H17-H18-H19-H20-H22-H23-H24+H26+H27</f>
        <v>0</v>
      </c>
      <c r="I29" s="139"/>
      <c r="J29" s="14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19"/>
      <c r="G30" s="179"/>
      <c r="H30" s="141"/>
      <c r="I30" s="142"/>
      <c r="J30" s="143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3" t="s">
        <v>57</v>
      </c>
      <c r="B32" s="164"/>
      <c r="C32" s="164"/>
      <c r="D32" s="165"/>
      <c r="F32" s="166" t="s">
        <v>58</v>
      </c>
      <c r="G32" s="167"/>
      <c r="H32" s="167"/>
      <c r="I32" s="167"/>
      <c r="J32" s="16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66" t="s">
        <v>13</v>
      </c>
      <c r="I33" s="167"/>
      <c r="J33" s="16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0">
        <f>F34*G34</f>
        <v>0</v>
      </c>
      <c r="I34" s="161"/>
      <c r="J34" s="16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160">
        <f>F35*G35</f>
        <v>0</v>
      </c>
      <c r="I35" s="161"/>
      <c r="J35" s="16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160">
        <f t="shared" ref="H36:H39" si="2">F36*G36</f>
        <v>0</v>
      </c>
      <c r="I36" s="161"/>
      <c r="J36" s="16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0">
        <f t="shared" si="2"/>
        <v>0</v>
      </c>
      <c r="I37" s="161"/>
      <c r="J37" s="16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160">
        <f t="shared" si="2"/>
        <v>0</v>
      </c>
      <c r="I38" s="161"/>
      <c r="J38" s="16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160">
        <f t="shared" si="2"/>
        <v>0</v>
      </c>
      <c r="I39" s="161"/>
      <c r="J39" s="16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0"/>
      <c r="I40" s="161"/>
      <c r="J40" s="16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160"/>
      <c r="I41" s="161"/>
      <c r="J41" s="16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160"/>
      <c r="H42" s="161"/>
      <c r="I42" s="161"/>
      <c r="J42" s="16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0" t="s">
        <v>80</v>
      </c>
      <c r="C43" s="11"/>
      <c r="D43" s="12"/>
      <c r="F43" s="59" t="s">
        <v>81</v>
      </c>
      <c r="G43" s="115" t="s">
        <v>82</v>
      </c>
      <c r="H43" s="152" t="s">
        <v>13</v>
      </c>
      <c r="I43" s="153"/>
      <c r="J43" s="1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1"/>
      <c r="B44" s="27" t="s">
        <v>65</v>
      </c>
      <c r="C44" s="10"/>
      <c r="D44" s="12">
        <f>C44*120</f>
        <v>0</v>
      </c>
      <c r="F44" s="37"/>
      <c r="G44" s="76"/>
      <c r="H44" s="155"/>
      <c r="I44" s="155"/>
      <c r="J44" s="15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1"/>
      <c r="B45" s="27" t="s">
        <v>67</v>
      </c>
      <c r="C45" s="33"/>
      <c r="D45" s="12">
        <f>C45*84</f>
        <v>0</v>
      </c>
      <c r="F45" s="37"/>
      <c r="G45" s="76"/>
      <c r="H45" s="155"/>
      <c r="I45" s="155"/>
      <c r="J45" s="155"/>
      <c r="K45" s="21"/>
      <c r="P45" s="4"/>
      <c r="Q45" s="4"/>
      <c r="R45" s="5"/>
    </row>
    <row r="46" spans="1:18" ht="15.75" x14ac:dyDescent="0.25">
      <c r="A46" s="131"/>
      <c r="B46" s="49" t="s">
        <v>69</v>
      </c>
      <c r="C46" s="81"/>
      <c r="D46" s="12">
        <f>C46*1.5</f>
        <v>0</v>
      </c>
      <c r="F46" s="37"/>
      <c r="G46" s="62"/>
      <c r="H46" s="156"/>
      <c r="I46" s="156"/>
      <c r="J46" s="156"/>
      <c r="K46" s="21"/>
      <c r="P46" s="4"/>
      <c r="Q46" s="4"/>
      <c r="R46" s="5"/>
    </row>
    <row r="47" spans="1:18" ht="15.75" x14ac:dyDescent="0.25">
      <c r="A47" s="132"/>
      <c r="B47" s="27"/>
      <c r="C47" s="11"/>
      <c r="D47" s="12"/>
      <c r="F47" s="59"/>
      <c r="G47" s="59"/>
      <c r="H47" s="133"/>
      <c r="I47" s="134"/>
      <c r="J47" s="135"/>
      <c r="K47" s="21"/>
      <c r="P47" s="4"/>
      <c r="Q47" s="4"/>
      <c r="R47" s="5"/>
    </row>
    <row r="48" spans="1:18" ht="15" customHeight="1" x14ac:dyDescent="0.25">
      <c r="A48" s="130" t="s">
        <v>32</v>
      </c>
      <c r="B48" s="27" t="s">
        <v>65</v>
      </c>
      <c r="C48" s="10"/>
      <c r="D48" s="12">
        <f>C48*78</f>
        <v>0</v>
      </c>
      <c r="F48" s="59"/>
      <c r="G48" s="59"/>
      <c r="H48" s="133"/>
      <c r="I48" s="134"/>
      <c r="J48" s="13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1"/>
      <c r="B49" s="29" t="s">
        <v>67</v>
      </c>
      <c r="C49" s="33"/>
      <c r="D49" s="12">
        <f>C49*42</f>
        <v>0</v>
      </c>
      <c r="F49" s="136" t="s">
        <v>85</v>
      </c>
      <c r="G49" s="138">
        <f>H34+H35+H36+H37+H38+H39+H40+H41+G42+H44+H45+H46</f>
        <v>0</v>
      </c>
      <c r="H49" s="139"/>
      <c r="I49" s="139"/>
      <c r="J49" s="14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1"/>
      <c r="B50" s="32" t="s">
        <v>69</v>
      </c>
      <c r="C50" s="11"/>
      <c r="D50" s="12">
        <f>C50*1.5</f>
        <v>0</v>
      </c>
      <c r="F50" s="137"/>
      <c r="G50" s="141"/>
      <c r="H50" s="142"/>
      <c r="I50" s="142"/>
      <c r="J50" s="143"/>
      <c r="O50" t="s">
        <v>114</v>
      </c>
      <c r="P50" s="4">
        <v>1204</v>
      </c>
      <c r="Q50" s="4"/>
      <c r="R50" s="5"/>
    </row>
    <row r="51" spans="1:18" ht="15" customHeight="1" x14ac:dyDescent="0.25">
      <c r="A51" s="131"/>
      <c r="B51" s="27"/>
      <c r="C51" s="10"/>
      <c r="D51" s="31"/>
      <c r="F51" s="144" t="s">
        <v>115</v>
      </c>
      <c r="G51" s="146">
        <f>G49-H29</f>
        <v>0</v>
      </c>
      <c r="H51" s="147"/>
      <c r="I51" s="147"/>
      <c r="J51" s="14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1"/>
      <c r="B52" s="29"/>
      <c r="C52" s="33"/>
      <c r="D52" s="45"/>
      <c r="F52" s="145"/>
      <c r="G52" s="149"/>
      <c r="H52" s="150"/>
      <c r="I52" s="150"/>
      <c r="J52" s="15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6" t="s">
        <v>89</v>
      </c>
      <c r="B54" s="117"/>
      <c r="C54" s="118"/>
      <c r="D54" s="1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9"/>
      <c r="B55" s="120"/>
      <c r="C55" s="121"/>
      <c r="D55" s="1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4" t="s">
        <v>90</v>
      </c>
      <c r="B58" s="125"/>
      <c r="C58" s="125"/>
      <c r="D58" s="126"/>
      <c r="F58" s="124" t="s">
        <v>91</v>
      </c>
      <c r="G58" s="125"/>
      <c r="H58" s="125"/>
      <c r="I58" s="125"/>
      <c r="J58" s="126"/>
    </row>
    <row r="59" spans="1:18" x14ac:dyDescent="0.25">
      <c r="A59" s="127"/>
      <c r="B59" s="128"/>
      <c r="C59" s="128"/>
      <c r="D59" s="129"/>
      <c r="F59" s="127"/>
      <c r="G59" s="128"/>
      <c r="H59" s="128"/>
      <c r="I59" s="128"/>
      <c r="J59" s="1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49</vt:i4>
      </vt:variant>
      <vt:variant>
        <vt:lpstr>Named Ranges</vt:lpstr>
      </vt:variant>
      <vt:variant>
        <vt:i4>48</vt:i4>
      </vt:variant>
    </vt:vector>
  </HeadingPairs>
  <TitlesOfParts>
    <vt:vector size="97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</vt:lpstr>
      <vt:lpstr>04,11 R2</vt:lpstr>
      <vt:lpstr>04,11 R3</vt:lpstr>
      <vt:lpstr>(13)</vt:lpstr>
      <vt:lpstr>04,13 R1</vt:lpstr>
      <vt:lpstr>04,13 R2</vt:lpstr>
      <vt:lpstr>04,13 R3</vt:lpstr>
      <vt:lpstr>(14)</vt:lpstr>
      <vt:lpstr>04,13 R1 (2)</vt:lpstr>
      <vt:lpstr>04,13 R2 (2)</vt:lpstr>
      <vt:lpstr>04,13 R3 (2)</vt:lpstr>
      <vt:lpstr>'(01)'!Print_Area</vt:lpstr>
      <vt:lpstr>'(10)'!Print_Area</vt:lpstr>
      <vt:lpstr>'(11)'!Print_Area</vt:lpstr>
      <vt:lpstr>'(13)'!Print_Area</vt:lpstr>
      <vt:lpstr>'(14)'!Print_Area</vt:lpstr>
      <vt:lpstr>'(2)'!Print_Area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R1'!Print_Area</vt:lpstr>
      <vt:lpstr>'04,11 R2'!Print_Area</vt:lpstr>
      <vt:lpstr>'04,11 R3'!Print_Area</vt:lpstr>
      <vt:lpstr>'04,13 R1'!Print_Area</vt:lpstr>
      <vt:lpstr>'04,13 R1 (2)'!Print_Area</vt:lpstr>
      <vt:lpstr>'04,13 R2'!Print_Area</vt:lpstr>
      <vt:lpstr>'04,13 R2 (2)'!Print_Area</vt:lpstr>
      <vt:lpstr>'04,13 R3'!Print_Area</vt:lpstr>
      <vt:lpstr>'04,13 R3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2026-04-13T23:53:35Z</cp:lastPrinted>
  <dcterms:created xsi:type="dcterms:W3CDTF">2024-09-01T23:36:50Z</dcterms:created>
  <dcterms:modified xsi:type="dcterms:W3CDTF">2026-04-13T23:53:54Z</dcterms:modified>
</cp:coreProperties>
</file>