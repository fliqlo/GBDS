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CD09841-BD2D-42FA-A6BC-656B33178B55}" xr6:coauthVersionLast="45" xr6:coauthVersionMax="47" xr10:uidLastSave="{00000000-0000-0000-0000-000000000000}"/>
  <bookViews>
    <workbookView xWindow="-120" yWindow="-120" windowWidth="29040" windowHeight="15840" firstSheet="44" activeTab="5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" sheetId="1999" r:id="rId59"/>
    <sheet name="04,17 R2 " sheetId="2000" r:id="rId60"/>
    <sheet name="04,17 R3" sheetId="2001" r:id="rId61"/>
    <sheet name="(18)" sheetId="2002" r:id="rId62"/>
    <sheet name="04,18 R1" sheetId="2003" r:id="rId63"/>
    <sheet name="04,18 R2" sheetId="2004" r:id="rId64"/>
    <sheet name="04,18 R3" sheetId="2005" r:id="rId65"/>
    <sheet name="(20)" sheetId="2006" r:id="rId66"/>
    <sheet name="04,20 R1" sheetId="2007" r:id="rId67"/>
    <sheet name="04,20 R2" sheetId="2008" r:id="rId68"/>
    <sheet name="04,20 R3" sheetId="2009" r:id="rId6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'04,18 R1'!$A$1:$J$60</definedName>
    <definedName name="_xlnm.Print_Area" localSheetId="63">'04,18 R2'!$A$1:$J$60</definedName>
    <definedName name="_xlnm.Print_Area" localSheetId="64">'04,18 R3'!$A$1:$J$60</definedName>
    <definedName name="_xlnm.Print_Area" localSheetId="66">'04,20 R1'!$A$1:$J$60</definedName>
    <definedName name="_xlnm.Print_Area" localSheetId="67">'04,20 R2'!$A$1:$J$60</definedName>
    <definedName name="_xlnm.Print_Area" localSheetId="68">'04,20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G49" i="2001" s="1"/>
  <c r="D34" i="2001"/>
  <c r="D54" i="2001" s="1"/>
  <c r="H14" i="2001" s="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D54" i="2000" s="1"/>
  <c r="H14" i="2000" s="1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G49" i="1997" s="1"/>
  <c r="D34" i="1997"/>
  <c r="D54" i="1997" s="1"/>
  <c r="H14" i="1997" s="1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G49" i="1996" s="1"/>
  <c r="D35" i="1996"/>
  <c r="R34" i="1996"/>
  <c r="H34" i="1996"/>
  <c r="D34" i="1996"/>
  <c r="D54" i="1996" s="1"/>
  <c r="H14" i="1996" s="1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G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D54" i="1995" s="1"/>
  <c r="H14" i="1995" s="1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1993" l="1"/>
  <c r="G49" i="1992"/>
  <c r="D54" i="1992"/>
  <c r="H14" i="1992" s="1"/>
  <c r="D54" i="1993"/>
  <c r="H14" i="1993" s="1"/>
  <c r="D54" i="1991"/>
  <c r="H14" i="1991" s="1"/>
  <c r="D29" i="2009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H15" i="2001" s="1"/>
  <c r="H29" i="2001" s="1"/>
  <c r="G51" i="2001" s="1"/>
  <c r="D29" i="2000"/>
  <c r="H13" i="2000" s="1"/>
  <c r="H15" i="2000" s="1"/>
  <c r="H29" i="2000" s="1"/>
  <c r="G51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H15" i="1997" s="1"/>
  <c r="H29" i="1997" s="1"/>
  <c r="G51" i="1997" s="1"/>
  <c r="D29" i="1996"/>
  <c r="H13" i="1996" s="1"/>
  <c r="H15" i="1996" s="1"/>
  <c r="H29" i="1996" s="1"/>
  <c r="G51" i="1996" s="1"/>
  <c r="D29" i="1995"/>
  <c r="H13" i="1995" s="1"/>
  <c r="H15" i="1995" s="1"/>
  <c r="H29" i="1995" s="1"/>
  <c r="G51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G51" i="1993" l="1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<sst xmlns="http://schemas.openxmlformats.org/spreadsheetml/2006/main" count="9194" uniqueCount="175">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</sst>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644</v>
      </c>
      <c r="D6" s="13">
        <f t="shared" ref="D6:D28" si="1">C6*L6</f>
        <v>490084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71</v>
      </c>
      <c r="D9" s="13">
        <f t="shared" si="1"/>
        <v>52043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554839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79868.25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1</v>
      </c>
      <c r="D15" s="31">
        <f t="shared" si="1"/>
        <v>620</v>
      </c>
      <c r="F15" s="170" t="s">
        <v>39</v>
      </c>
      <c r="G15" s="161"/>
      <c r="H15" s="171">
        <f>H13-H14</f>
        <v>474970.75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7">
        <v>92259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99">
        <v>94558</v>
      </c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8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5</v>
      </c>
      <c r="D28" s="48">
        <f t="shared" si="1"/>
        <v>4055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554839</v>
      </c>
      <c r="F29" s="183" t="s">
        <v>54</v>
      </c>
      <c r="G29" s="184"/>
      <c r="H29" s="187">
        <f>H15-H16-H17-H18-H19-H20-H22-H23-H24+H26+H27+H28</f>
        <v>477269.75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15">
        <f t="shared" ref="H34:H39" si="2">F34*G34</f>
        <v>273000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15">
        <f t="shared" si="2"/>
        <v>1600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70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99">
        <v>73932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99">
        <v>20000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99">
        <v>13540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133</v>
      </c>
      <c r="G47" s="83" t="s">
        <v>134</v>
      </c>
      <c r="H47" s="199">
        <v>94558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H34+H35+H36+H37+H38+H39+H40+H41+G42+H44+H45+H46+H47</f>
        <v>477220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-49.75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339</v>
      </c>
      <c r="D6" s="13">
        <f t="shared" ref="D6:D28" si="1">C6*L6</f>
        <v>257979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10153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70</v>
      </c>
      <c r="D8" s="13">
        <f t="shared" si="1"/>
        <v>76510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</v>
      </c>
      <c r="D9" s="13">
        <f t="shared" si="1"/>
        <v>1466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3</v>
      </c>
      <c r="D11" s="13">
        <f t="shared" si="1"/>
        <v>3510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356469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50412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306057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1356</f>
        <v>1356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>
        <v>12</v>
      </c>
      <c r="D24" s="48">
        <f t="shared" si="1"/>
        <v>454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356469</v>
      </c>
      <c r="F29" s="183" t="s">
        <v>54</v>
      </c>
      <c r="G29" s="184"/>
      <c r="H29" s="187">
        <f>H15-H16-H17-H18-H19-H20-H22-H23-H24+H26+H27</f>
        <v>304701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15">
        <f>F34*G34</f>
        <v>145000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15">
        <f t="shared" ref="H35:H39" si="2">F35*G35</f>
        <v>9500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73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99">
        <v>149988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8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6</v>
      </c>
      <c r="D49" s="12">
        <f>C49*42</f>
        <v>252</v>
      </c>
      <c r="F49" s="240" t="s">
        <v>85</v>
      </c>
      <c r="G49" s="187">
        <f>H34+H35+H36+H37+H38+H39+H40+H41+G42+H44+H45+H46</f>
        <v>304961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260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482</v>
      </c>
      <c r="D6" s="13">
        <f t="shared" ref="D6:D28" si="1">C6*L6</f>
        <v>366802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13277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2186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35</v>
      </c>
      <c r="D9" s="13">
        <f t="shared" si="1"/>
        <v>25655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</f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419925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38</v>
      </c>
      <c r="G14" s="166"/>
      <c r="H14" s="167">
        <f>D54</f>
        <v>66984.75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352940.25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648+738+840</f>
        <v>2226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419925</v>
      </c>
      <c r="F29" s="183" t="s">
        <v>54</v>
      </c>
      <c r="G29" s="184"/>
      <c r="H29" s="187">
        <f>H15-H16-H17-H18-H19-H20-H22-H23-H24+H26+H27</f>
        <v>350714.25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15">
        <f>F34*G34</f>
        <v>123000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15">
        <f>F35*G35</f>
        <v>56000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15">
        <f t="shared" si="2"/>
        <v>10700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>
        <v>710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99">
        <v>93138.5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99">
        <v>66764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19</v>
      </c>
      <c r="D46" s="12">
        <f>C46*1.5</f>
        <v>28.5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350502.5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39</v>
      </c>
      <c r="D50" s="12">
        <f>C50*1.5</f>
        <v>58.5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-211.75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402</v>
      </c>
      <c r="D6" s="13">
        <f t="shared" ref="D6:D28" si="1">C6*L6</f>
        <v>305922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3124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13194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12</v>
      </c>
      <c r="D13" s="48">
        <f t="shared" si="1"/>
        <v>3684</v>
      </c>
      <c r="F13" s="160" t="s">
        <v>36</v>
      </c>
      <c r="G13" s="161"/>
      <c r="H13" s="162">
        <f>D29</f>
        <v>326938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38</v>
      </c>
      <c r="G14" s="166"/>
      <c r="H14" s="167">
        <f>D54</f>
        <v>16806.75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310131.25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326938</v>
      </c>
      <c r="F29" s="183" t="s">
        <v>54</v>
      </c>
      <c r="G29" s="184"/>
      <c r="H29" s="187">
        <f>H15-H16-H17-H18-H19-H20-H22-H23-H24+H26+H27+H28</f>
        <v>308187.25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5">
        <f t="shared" si="2"/>
        <v>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99">
        <v>247690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4</v>
      </c>
      <c r="D46" s="12">
        <f>C46*1.5</f>
        <v>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307990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-197.25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353</v>
      </c>
      <c r="D6" s="13">
        <f t="shared" ref="D6:D28" si="1">C6*L6</f>
        <v>268633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3665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278180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41341.5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236838.5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278180</v>
      </c>
      <c r="F29" s="183" t="s">
        <v>54</v>
      </c>
      <c r="G29" s="184"/>
      <c r="H29" s="187">
        <f>H15-H16-H17-H18-H19-H20-H22-H23-H24+H26+H27</f>
        <v>234894.5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15">
        <f>F34*G34</f>
        <v>24000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15">
        <f t="shared" ref="H35:H39" si="2">F35*G35</f>
        <v>199000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5">
        <f>F36*G36</f>
        <v>400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15">
        <f t="shared" si="2"/>
        <v>10100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168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15</v>
      </c>
      <c r="D49" s="12">
        <f>C49*42</f>
        <v>630</v>
      </c>
      <c r="F49" s="240" t="s">
        <v>85</v>
      </c>
      <c r="G49" s="187">
        <f>H34+H35+H36+H37+H38+H39+H40+H41+G42+H44+H45+H46</f>
        <v>233808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-1086.5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653</v>
      </c>
      <c r="D6" s="13">
        <f t="shared" ref="D6:D28" si="1">C6*L6</f>
        <v>496933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29</v>
      </c>
      <c r="D7" s="13">
        <f t="shared" si="1"/>
        <v>22649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55708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24</v>
      </c>
      <c r="D13" s="48">
        <f t="shared" si="1"/>
        <v>7368</v>
      </c>
      <c r="F13" s="160" t="s">
        <v>36</v>
      </c>
      <c r="G13" s="161"/>
      <c r="H13" s="162">
        <f>D29</f>
        <v>589177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38</v>
      </c>
      <c r="G14" s="166"/>
      <c r="H14" s="167">
        <f>D54</f>
        <v>87320.25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501856.75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f>2814+1050</f>
        <v>3864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589177</v>
      </c>
      <c r="F29" s="183" t="s">
        <v>54</v>
      </c>
      <c r="G29" s="184"/>
      <c r="H29" s="187">
        <f>H15-H16-H17-H18-H19-H20-H22-H23-H24+H26+H27</f>
        <v>497992.75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15">
        <f>F34*G34</f>
        <v>158000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15">
        <f>F35*G35</f>
        <v>28500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15">
        <f t="shared" si="2"/>
        <v>2700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15">
        <f t="shared" si="2"/>
        <v>1700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5">
        <v>72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99">
        <v>306876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8</v>
      </c>
      <c r="D49" s="12">
        <f>C49*42</f>
        <v>336</v>
      </c>
      <c r="F49" s="240" t="s">
        <v>85</v>
      </c>
      <c r="G49" s="187">
        <f>H34+H35+H36+H37+H38+H39+H40+H41+G42+H44+H45+H46</f>
        <v>497848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-144.75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990</v>
      </c>
      <c r="D6" s="13">
        <f t="shared" ref="D6:D28" si="1">C6*L6</f>
        <v>753390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230</v>
      </c>
      <c r="D9" s="13">
        <f t="shared" si="1"/>
        <v>168590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10320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17</v>
      </c>
      <c r="D13" s="48">
        <f t="shared" si="1"/>
        <v>5219</v>
      </c>
      <c r="F13" s="160" t="s">
        <v>36</v>
      </c>
      <c r="G13" s="161"/>
      <c r="H13" s="162">
        <f>D29</f>
        <v>941474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38</v>
      </c>
      <c r="G14" s="166"/>
      <c r="H14" s="167">
        <f>D54</f>
        <v>138555.75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802918.25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2670+3882</f>
        <v>6552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941474</v>
      </c>
      <c r="F29" s="183" t="s">
        <v>54</v>
      </c>
      <c r="G29" s="184"/>
      <c r="H29" s="187">
        <f>H15-H16-H17-H18-H19-H20-H22-H23-H24+H26+H27+H28</f>
        <v>796366.25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15">
        <f t="shared" ref="H34:H39" si="2">F34*G34</f>
        <v>82000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5">
        <f t="shared" si="2"/>
        <v>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5">
        <v>34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99">
        <v>291136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99">
        <v>420282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</v>
      </c>
      <c r="D46" s="12">
        <f>C46*1.5</f>
        <v>3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795502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-864.25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570</v>
      </c>
      <c r="D6" s="13">
        <f t="shared" ref="D6:D28" si="1">C6*L6</f>
        <v>433770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60</v>
      </c>
      <c r="D9" s="13">
        <f t="shared" si="1"/>
        <v>43980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488743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72385.5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416357.5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900+2106</f>
        <v>3006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488743</v>
      </c>
      <c r="F29" s="183" t="s">
        <v>54</v>
      </c>
      <c r="G29" s="184"/>
      <c r="H29" s="187">
        <f>H15-H16-H17-H18-H19-H20-H22-H23-H24+H26+H27</f>
        <v>413351.5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15">
        <f>F34*G34</f>
        <v>383000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15">
        <f t="shared" ref="H35:H39" si="2">F35*G35</f>
        <v>30500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15">
        <f t="shared" si="2"/>
        <v>1400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15">
        <f t="shared" si="2"/>
        <v>100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103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13</v>
      </c>
      <c r="D49" s="12">
        <f>C49*42</f>
        <v>546</v>
      </c>
      <c r="F49" s="240" t="s">
        <v>85</v>
      </c>
      <c r="G49" s="187">
        <f>H34+H35+H36+H37+H38+H39+H40+H41+G42+H44+H45+H46</f>
        <v>415453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2101.5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541</v>
      </c>
      <c r="D6" s="13">
        <f t="shared" ref="D6:D28" si="1">C6*L6</f>
        <v>411701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19</v>
      </c>
      <c r="D7" s="13">
        <f t="shared" si="1"/>
        <v>14839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79164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513840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78996.75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434843.25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1866</f>
        <v>1866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513840</v>
      </c>
      <c r="F29" s="183" t="s">
        <v>54</v>
      </c>
      <c r="G29" s="184"/>
      <c r="H29" s="187">
        <f>H15-H16-H17-H18-H19-H20-H22-H23-H24+H26+H27</f>
        <v>432927.25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15">
        <f>F34*G34</f>
        <v>71000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15">
        <f>F35*G35</f>
        <v>10500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15">
        <f t="shared" si="2"/>
        <v>10400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102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99">
        <v>199262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99">
        <v>141172.5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8</v>
      </c>
      <c r="D46" s="12">
        <f>C46*1.5</f>
        <v>12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432436.5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-490.75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647</v>
      </c>
      <c r="D6" s="13">
        <f t="shared" ref="D6:D28" si="1">C6*L6</f>
        <v>492367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3905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24922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532497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52386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480111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1944+1476</f>
        <v>3420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532497</v>
      </c>
      <c r="F29" s="183" t="s">
        <v>54</v>
      </c>
      <c r="G29" s="184"/>
      <c r="H29" s="187">
        <f>H15-H16-H17-H18-H19-H20-H22-H23-H24+H26+H27+H28</f>
        <v>476691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15">
        <f t="shared" ref="H34:H39" si="2">F34*G34</f>
        <v>270000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15">
        <f t="shared" si="2"/>
        <v>156500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119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99">
        <v>50000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8</v>
      </c>
      <c r="D49" s="12">
        <f>C49*42</f>
        <v>336</v>
      </c>
      <c r="F49" s="240" t="s">
        <v>85</v>
      </c>
      <c r="G49" s="187">
        <f>H34+H35+H36+H37+H38+H39+H40+H41+G42+H44+H45+H46</f>
        <v>476689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-2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375</v>
      </c>
      <c r="D6" s="13">
        <f t="shared" ref="D6:D28" si="1">C6*L6</f>
        <v>285375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18325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321418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45939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275479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321418</v>
      </c>
      <c r="F29" s="183" t="s">
        <v>54</v>
      </c>
      <c r="G29" s="184"/>
      <c r="H29" s="187">
        <f>H15-H16-H17-H18-H19-H20-H22-H23-H24+H26+H27</f>
        <v>274279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15">
        <f>F34*G34</f>
        <v>128000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15">
        <f t="shared" ref="H35:H39" si="2">F35*G35</f>
        <v>12000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15">
        <f t="shared" si="2"/>
        <v>1600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4</v>
      </c>
      <c r="D42" s="12">
        <f>C42*2.25</f>
        <v>9</v>
      </c>
      <c r="F42" s="39" t="s">
        <v>78</v>
      </c>
      <c r="G42" s="215">
        <v>111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99">
        <v>132227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9</v>
      </c>
      <c r="D49" s="12">
        <f>C49*42</f>
        <v>378</v>
      </c>
      <c r="F49" s="240" t="s">
        <v>85</v>
      </c>
      <c r="G49" s="187">
        <f>H34+H35+H36+H37+H38+H39+H40+H41+G42+H44+H45+H46</f>
        <v>273958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-321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756</v>
      </c>
      <c r="D6" s="13">
        <f t="shared" ref="D6:D28" si="1">C6*L6</f>
        <v>575316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7029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79164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9+1+1</f>
        <v>11</v>
      </c>
      <c r="D12" s="48">
        <f t="shared" si="1"/>
        <v>10912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31</v>
      </c>
      <c r="D13" s="48">
        <f t="shared" si="1"/>
        <v>9517</v>
      </c>
      <c r="F13" s="160" t="s">
        <v>36</v>
      </c>
      <c r="G13" s="161"/>
      <c r="H13" s="162">
        <f>D29</f>
        <v>709846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105213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604633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4">
        <f>3360+648+300+636</f>
        <v>4944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148</v>
      </c>
      <c r="C27" s="10">
        <v>6</v>
      </c>
      <c r="D27" s="44">
        <f t="shared" si="1"/>
        <v>6612</v>
      </c>
      <c r="F27" s="25"/>
      <c r="G27" s="80"/>
      <c r="H27" s="206"/>
      <c r="I27" s="207"/>
      <c r="J27" s="20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709846</v>
      </c>
      <c r="F29" s="183" t="s">
        <v>54</v>
      </c>
      <c r="G29" s="184"/>
      <c r="H29" s="187">
        <f>H15-H16-H17-H18-H19-H20-H22-H23-H24+H26+H27</f>
        <v>599689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15">
        <f>F34*G34</f>
        <v>58000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5">
        <f>F35*G35</f>
        <v>22000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15">
        <f t="shared" ref="H36:H39" si="2">F36*G36</f>
        <v>800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15">
        <f t="shared" si="2"/>
        <v>10600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45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99">
        <v>71328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99">
        <v>366768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99">
        <v>70468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35</v>
      </c>
      <c r="D49" s="12">
        <f>C49*42</f>
        <v>1470</v>
      </c>
      <c r="F49" s="240" t="s">
        <v>85</v>
      </c>
      <c r="G49" s="187">
        <f>H34+H35+H36+H37+H38+H39+H40+H41+G42+H44+H45+H46</f>
        <v>600009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320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540</v>
      </c>
      <c r="D6" s="13">
        <f t="shared" ref="D6:D28" si="1">C6*L6</f>
        <v>410940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415545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57449.25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358095.75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2592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415545</v>
      </c>
      <c r="F29" s="183" t="s">
        <v>54</v>
      </c>
      <c r="G29" s="184"/>
      <c r="H29" s="187">
        <f>H15-H16-H17-H18-H19-H20-H22-H23-H24+H26+H27+H28</f>
        <v>355503.75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15">
        <f t="shared" ref="H34:H39" si="2">F34*G34</f>
        <v>301000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5">
        <f t="shared" si="2"/>
        <v>53500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17</v>
      </c>
      <c r="D49" s="12">
        <f>C49*42</f>
        <v>714</v>
      </c>
      <c r="F49" s="240" t="s">
        <v>85</v>
      </c>
      <c r="G49" s="187">
        <f>H34+H35+H36+H37+H38+H39+H40+H41+G42+H44+H45+H46</f>
        <v>354500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-1003.75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327</v>
      </c>
      <c r="D6" s="13">
        <f t="shared" ref="D6:D28" si="1">C6*L6</f>
        <v>248847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48</v>
      </c>
      <c r="D9" s="13">
        <f t="shared" si="1"/>
        <v>35184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7</v>
      </c>
      <c r="D13" s="48">
        <f t="shared" si="1"/>
        <v>2149</v>
      </c>
      <c r="F13" s="160" t="s">
        <v>36</v>
      </c>
      <c r="G13" s="161"/>
      <c r="H13" s="162">
        <f>D29</f>
        <v>286224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46103.25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240120.75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1494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286224</v>
      </c>
      <c r="F29" s="183" t="s">
        <v>54</v>
      </c>
      <c r="G29" s="184"/>
      <c r="H29" s="187">
        <f>H15-H16-H17-H18-H19-H20-H22-H23-H24+H26+H27</f>
        <v>238626.75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15">
        <f>F34*G34</f>
        <v>145000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5">
        <f t="shared" ref="H35:H39" si="2">F35*G35</f>
        <v>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40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99">
        <v>88133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238043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-583.75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600</v>
      </c>
      <c r="D6" s="13">
        <f t="shared" ref="D6:D28" si="1">C6*L6</f>
        <v>456600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94</v>
      </c>
      <c r="D9" s="13">
        <f t="shared" si="1"/>
        <v>68902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2064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546916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38</v>
      </c>
      <c r="G14" s="166"/>
      <c r="H14" s="167">
        <f>D54</f>
        <v>81273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465643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390+1266+1530+858</f>
        <v>4044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546916</v>
      </c>
      <c r="F29" s="183" t="s">
        <v>54</v>
      </c>
      <c r="G29" s="184"/>
      <c r="H29" s="187">
        <f>H15-H16-H17-H18-H19-H20-H22-H23-H24+H26+H27</f>
        <v>461549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15">
        <f>F34*G34</f>
        <v>92000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15">
        <f>F35*G35</f>
        <v>57000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15">
        <f t="shared" ref="H36:H39" si="2">F36*G36</f>
        <v>800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15">
        <f t="shared" si="2"/>
        <v>6700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5">
        <v>73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99">
        <v>138508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99">
        <v>165614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</v>
      </c>
      <c r="D49" s="12">
        <f>C49*42</f>
        <v>42</v>
      </c>
      <c r="F49" s="240" t="s">
        <v>85</v>
      </c>
      <c r="G49" s="187">
        <f>H34+H35+H36+H37+H38+H39+H40+H41+G42+H44+H45+H46</f>
        <v>460695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-854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535</v>
      </c>
      <c r="D6" s="13">
        <f t="shared" ref="D6:D28" si="1">C6*L6</f>
        <v>407135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426678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60252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366426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156</v>
      </c>
      <c r="C24" s="10">
        <v>12</v>
      </c>
      <c r="D24" s="48">
        <f t="shared" si="1"/>
        <v>454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426678</v>
      </c>
      <c r="F29" s="183" t="s">
        <v>54</v>
      </c>
      <c r="G29" s="184"/>
      <c r="H29" s="187">
        <f>H15-H16-H17-H18-H19-H20-H22-H23-H24+H26+H27+H28</f>
        <v>366426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15">
        <f t="shared" ref="H34:H39" si="2">F34*G34</f>
        <v>94000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15">
        <f t="shared" si="2"/>
        <v>20500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15">
        <f t="shared" si="2"/>
        <v>4900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15">
        <f t="shared" si="2"/>
        <v>3800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4</v>
      </c>
      <c r="D42" s="12">
        <f>C42*2.25</f>
        <v>9</v>
      </c>
      <c r="F42" s="39" t="s">
        <v>78</v>
      </c>
      <c r="G42" s="215">
        <v>23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99">
        <v>140000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99">
        <v>104214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367677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29</v>
      </c>
      <c r="D50" s="12">
        <f>C50*1.5</f>
        <v>43.5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1251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</v>
      </c>
      <c r="D9" s="13">
        <f t="shared" si="1"/>
        <v>8796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256965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20</v>
      </c>
      <c r="D14" s="31">
        <f t="shared" si="1"/>
        <v>220</v>
      </c>
      <c r="F14" s="165" t="s">
        <v>38</v>
      </c>
      <c r="G14" s="166"/>
      <c r="H14" s="167">
        <f>D54</f>
        <v>37854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219111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256965</v>
      </c>
      <c r="F29" s="183" t="s">
        <v>54</v>
      </c>
      <c r="G29" s="184"/>
      <c r="H29" s="187">
        <f>H15-H16-H17-H18-H19-H20-H22-H23-H24+H26+H27</f>
        <v>217815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15">
        <f t="shared" ref="H35:H39" si="2">F35*G35</f>
        <v>126500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15">
        <f t="shared" si="2"/>
        <v>21700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15">
        <f t="shared" si="2"/>
        <v>10250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8</v>
      </c>
      <c r="D42" s="12">
        <f>C42*2.25</f>
        <v>18</v>
      </c>
      <c r="F42" s="39" t="s">
        <v>78</v>
      </c>
      <c r="G42" s="215">
        <v>118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5</v>
      </c>
      <c r="D46" s="12">
        <f>C46*1.5</f>
        <v>7.5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9</v>
      </c>
      <c r="D49" s="12">
        <f>C49*42</f>
        <v>378</v>
      </c>
      <c r="F49" s="240" t="s">
        <v>85</v>
      </c>
      <c r="G49" s="187">
        <f>H34+H35+H36+H37+H38+H39+H40+H41+G42+H44+H45+H46</f>
        <v>217628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-187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523</v>
      </c>
      <c r="D6" s="13">
        <f t="shared" ref="D6:D28" si="1">C6*L6</f>
        <v>398003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32</v>
      </c>
      <c r="D7" s="13">
        <f t="shared" si="1"/>
        <v>24992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19</v>
      </c>
      <c r="D9" s="13">
        <f t="shared" si="1"/>
        <v>13927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448958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38</v>
      </c>
      <c r="G14" s="166"/>
      <c r="H14" s="167">
        <f>D54</f>
        <v>81078.75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f>1+1</f>
        <v>2</v>
      </c>
      <c r="D15" s="31">
        <f t="shared" si="1"/>
        <v>1240</v>
      </c>
      <c r="F15" s="170" t="s">
        <v>39</v>
      </c>
      <c r="G15" s="161"/>
      <c r="H15" s="171">
        <f>H13-H14</f>
        <v>367879.25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448958</v>
      </c>
      <c r="F29" s="183" t="s">
        <v>54</v>
      </c>
      <c r="G29" s="184"/>
      <c r="H29" s="187">
        <f>H15-H16-H17-H18-H19-H20-H22-H23-H24+H26+H27</f>
        <v>366583.25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15">
        <f>F34*G34</f>
        <v>261000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15">
        <f>F35*G35</f>
        <v>30500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15">
        <f t="shared" si="2"/>
        <v>14500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15">
        <f t="shared" si="2"/>
        <v>2550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23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99">
        <v>59614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368247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1663.75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316</v>
      </c>
      <c r="D6" s="13">
        <f t="shared" ref="D6:D28" si="1">C6*L6</f>
        <v>240476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22</v>
      </c>
      <c r="D9" s="13">
        <f t="shared" si="1"/>
        <v>16126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6192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4</v>
      </c>
      <c r="D11" s="13">
        <f t="shared" si="1"/>
        <v>4680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</v>
      </c>
      <c r="D13" s="48">
        <f t="shared" si="1"/>
        <v>921</v>
      </c>
      <c r="F13" s="160" t="s">
        <v>36</v>
      </c>
      <c r="G13" s="161"/>
      <c r="H13" s="162">
        <f>D29</f>
        <v>291054.08333333337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38</v>
      </c>
      <c r="G14" s="166"/>
      <c r="H14" s="167">
        <f>D54</f>
        <v>40578.75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250475.33333333337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7">
        <v>4698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>
        <v>4</v>
      </c>
      <c r="D23" s="48">
        <f t="shared" si="1"/>
        <v>158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156</v>
      </c>
      <c r="C24" s="10">
        <v>12</v>
      </c>
      <c r="D24" s="48">
        <f t="shared" si="1"/>
        <v>454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2"/>
      <c r="I27" s="253"/>
      <c r="J27" s="253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291054.08333333337</v>
      </c>
      <c r="F29" s="183" t="s">
        <v>54</v>
      </c>
      <c r="G29" s="184"/>
      <c r="H29" s="187">
        <f>H15-H16-H17-H18-H19-H20-H22-H23-H24+H26+H27+H28</f>
        <v>245777.33333333337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15">
        <f t="shared" ref="H34:H39" si="2">F34*G34</f>
        <v>211000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15">
        <f t="shared" si="2"/>
        <v>12500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15">
        <f t="shared" si="2"/>
        <v>10000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18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99">
        <v>9184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99">
        <v>3110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</v>
      </c>
      <c r="D46" s="12">
        <f>C46*1.5</f>
        <v>1.5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245882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69</v>
      </c>
      <c r="D50" s="12">
        <f>C50*1.5</f>
        <v>103.5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104.66666666662786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293746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47</v>
      </c>
      <c r="D9" s="13">
        <f t="shared" si="1"/>
        <v>34451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337013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38</v>
      </c>
      <c r="G14" s="166"/>
      <c r="H14" s="167">
        <f>D54</f>
        <v>35585.25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301427.75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1</v>
      </c>
      <c r="D28" s="48">
        <f t="shared" si="1"/>
        <v>811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337013</v>
      </c>
      <c r="F29" s="183" t="s">
        <v>54</v>
      </c>
      <c r="G29" s="184"/>
      <c r="H29" s="187">
        <f>H15-H16-H17-H18-H19-H20-H22-H23-H24+H26+H27</f>
        <v>300227.75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15">
        <f>F34*G34</f>
        <v>140000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15">
        <f t="shared" ref="H35:H39" si="2">F35*G35</f>
        <v>14000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15">
        <f t="shared" si="2"/>
        <v>400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150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99">
        <v>145790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300340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112.25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316</v>
      </c>
      <c r="D6" s="13">
        <f t="shared" ref="D6:D28" si="1">C6*L6</f>
        <v>240476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240718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38</v>
      </c>
      <c r="G14" s="166"/>
      <c r="H14" s="167">
        <f>D54</f>
        <v>51207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189511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1296</f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174.11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240718</v>
      </c>
      <c r="F29" s="183" t="s">
        <v>54</v>
      </c>
      <c r="G29" s="184"/>
      <c r="H29" s="187">
        <f>H15-H16-H17-H18-H19-H20-H22-H23-H24+H26+H27+H28</f>
        <v>188040.89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15">
        <f t="shared" ref="H34:H39" si="2">F34*G34</f>
        <v>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15">
        <f t="shared" si="2"/>
        <v>16500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15">
        <f t="shared" si="2"/>
        <v>2900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2</v>
      </c>
      <c r="D42" s="12">
        <f>C42*2.25</f>
        <v>4.5</v>
      </c>
      <c r="F42" s="39" t="s">
        <v>78</v>
      </c>
      <c r="G42" s="215">
        <v>77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99">
        <v>123103.5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23</v>
      </c>
      <c r="D46" s="12">
        <f>C46*1.5</f>
        <v>34.5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</v>
      </c>
      <c r="D49" s="12">
        <f>C49*42</f>
        <v>42</v>
      </c>
      <c r="F49" s="240" t="s">
        <v>85</v>
      </c>
      <c r="G49" s="187">
        <f>H34+H35+H36+H37+H38+H39+H40+H41+G42+H44+H45+H46</f>
        <v>187930.5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-110.39000000001397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286897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9529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304172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38</v>
      </c>
      <c r="G14" s="166"/>
      <c r="H14" s="167">
        <f>D54</f>
        <v>44827.5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259344.5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304172</v>
      </c>
      <c r="F29" s="183" t="s">
        <v>54</v>
      </c>
      <c r="G29" s="184"/>
      <c r="H29" s="187">
        <f>H15-H16-H17-H18-H19-H20-H22-H23-H24+H26+H27</f>
        <v>257400.5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15">
        <f>F34*G34</f>
        <v>136000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15">
        <f t="shared" ref="H35:H39" si="2">F35*G35</f>
        <v>107000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15">
        <f t="shared" si="2"/>
        <v>12600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77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6</v>
      </c>
      <c r="D46" s="12">
        <f>C46*1.5</f>
        <v>9</v>
      </c>
      <c r="F46" s="37"/>
      <c r="G46" s="10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10</v>
      </c>
      <c r="D49" s="12">
        <f>C49*42</f>
        <v>420</v>
      </c>
      <c r="F49" s="240" t="s">
        <v>85</v>
      </c>
      <c r="G49" s="187">
        <f>H34+H35+H36+H37+H38+H39+H40+H41+G42+H44+H45+H46</f>
        <v>255947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-1453.5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358</v>
      </c>
      <c r="D6" s="13">
        <f t="shared" ref="D6:D28" si="1">C6*L6</f>
        <v>272438</v>
      </c>
      <c r="F6" s="138" t="s">
        <v>16</v>
      </c>
      <c r="G6" s="140" t="s">
        <v>166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14</v>
      </c>
      <c r="D7" s="13">
        <f t="shared" si="1"/>
        <v>10934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57</v>
      </c>
      <c r="D9" s="13">
        <f t="shared" si="1"/>
        <v>41781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328634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48386.25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280247.75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328634</v>
      </c>
      <c r="F29" s="183" t="s">
        <v>54</v>
      </c>
      <c r="G29" s="184"/>
      <c r="H29" s="187">
        <f>H15-H16-H17-H18-H19-H20-H22-H23-H24+H26+H27</f>
        <v>278277.75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15">
        <f>F34*G34</f>
        <v>150000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5">
        <v>9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99">
        <v>116101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277850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-427.75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270579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38</v>
      </c>
      <c r="G14" s="166"/>
      <c r="H14" s="167">
        <f>D54</f>
        <v>39222.75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231356.25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v>60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270579</v>
      </c>
      <c r="F29" s="183" t="s">
        <v>54</v>
      </c>
      <c r="G29" s="184"/>
      <c r="H29" s="187">
        <f>H15-H16-H17-H18-H19-H20-H22-H23-H24+H26+H27+H28</f>
        <v>231296.25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15">
        <f t="shared" ref="H34:H39" si="2">F34*G34</f>
        <v>163000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15">
        <f t="shared" si="2"/>
        <v>28500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>
        <v>75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99">
        <v>40000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14</v>
      </c>
      <c r="D46" s="12">
        <f>C46*1.5</f>
        <v>21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231975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678.75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380</v>
      </c>
      <c r="D6" s="13">
        <f t="shared" ref="D6:D28" si="1">C6*L6</f>
        <v>289180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28587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326754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38</v>
      </c>
      <c r="G14" s="166"/>
      <c r="H14" s="167">
        <f>D54</f>
        <v>51193.5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275560.5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2286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326754</v>
      </c>
      <c r="F29" s="183" t="s">
        <v>54</v>
      </c>
      <c r="G29" s="184"/>
      <c r="H29" s="187">
        <f>H15-H16-H17-H18-H19-H20-H22-H23-H24+H26+H27</f>
        <v>273274.5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15">
        <f>F34*G34</f>
        <v>119000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5">
        <f t="shared" ref="H35:H39" si="2">F35*G35</f>
        <v>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70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99">
        <v>153098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273068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-206.5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431</v>
      </c>
      <c r="D6" s="13">
        <f t="shared" ref="D6:D28" si="1">C6*L6</f>
        <v>327991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30</v>
      </c>
      <c r="D7" s="13">
        <f t="shared" si="1"/>
        <v>23430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77</v>
      </c>
      <c r="D9" s="13">
        <f t="shared" si="1"/>
        <v>56441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20</v>
      </c>
      <c r="D11" s="13">
        <f t="shared" si="1"/>
        <v>23400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4+1</f>
        <v>5</v>
      </c>
      <c r="D12" s="48">
        <f t="shared" si="1"/>
        <v>4960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19</v>
      </c>
      <c r="D13" s="48">
        <f t="shared" si="1"/>
        <v>5833</v>
      </c>
      <c r="F13" s="160" t="s">
        <v>36</v>
      </c>
      <c r="G13" s="161"/>
      <c r="H13" s="162">
        <f>D29</f>
        <v>447818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60831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f>3+1</f>
        <v>4</v>
      </c>
      <c r="D15" s="31">
        <f t="shared" si="1"/>
        <v>2480</v>
      </c>
      <c r="F15" s="170" t="s">
        <v>39</v>
      </c>
      <c r="G15" s="161"/>
      <c r="H15" s="171">
        <f>H13-H14</f>
        <v>386987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>
        <f>2118+738</f>
        <v>2856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447818</v>
      </c>
      <c r="F29" s="183" t="s">
        <v>54</v>
      </c>
      <c r="G29" s="184"/>
      <c r="H29" s="187">
        <f>H15-H16-H17-H18-H19-H20-H22-H23-H24+H26+H27</f>
        <v>384131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15">
        <f>F34*G34</f>
        <v>127000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15">
        <f>F35*G35</f>
        <v>10500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15">
        <f t="shared" si="2"/>
        <v>3500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12</v>
      </c>
      <c r="D42" s="12">
        <f>C42*2.25</f>
        <v>27</v>
      </c>
      <c r="F42" s="39" t="s">
        <v>78</v>
      </c>
      <c r="G42" s="215">
        <v>36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99">
        <v>243106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5</v>
      </c>
      <c r="D45" s="12">
        <f>C45*84</f>
        <v>420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384692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561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331</v>
      </c>
      <c r="D6" s="13">
        <f t="shared" ref="D6:D28" si="1">C6*L6</f>
        <v>251891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24</v>
      </c>
      <c r="D7" s="13">
        <f t="shared" si="1"/>
        <v>18744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65</v>
      </c>
      <c r="D8" s="13">
        <f t="shared" si="1"/>
        <v>71045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</v>
      </c>
      <c r="D9" s="13">
        <f t="shared" si="1"/>
        <v>7330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10320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3</v>
      </c>
      <c r="D11" s="13">
        <f t="shared" si="1"/>
        <v>3510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2+2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376385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21</v>
      </c>
      <c r="D14" s="31">
        <f t="shared" si="1"/>
        <v>231</v>
      </c>
      <c r="F14" s="165" t="s">
        <v>38</v>
      </c>
      <c r="G14" s="166"/>
      <c r="H14" s="167">
        <f>D54</f>
        <v>37755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338630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1476</f>
        <v>1476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7">
        <v>91257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0">
        <v>67961</v>
      </c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99">
        <v>92259</v>
      </c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2">
        <v>4698</v>
      </c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5</v>
      </c>
      <c r="D28" s="48">
        <f t="shared" si="1"/>
        <v>4055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376385</v>
      </c>
      <c r="F29" s="183" t="s">
        <v>54</v>
      </c>
      <c r="G29" s="184"/>
      <c r="H29" s="187">
        <f>H15-H16-H17-H18-H19-H20-H22-H23-H24+H26+H27+H28</f>
        <v>274893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15">
        <f t="shared" ref="H34:H39" si="2">F34*G34</f>
        <v>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15">
        <f t="shared" si="2"/>
        <v>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48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99">
        <v>176530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99">
        <f>92259</f>
        <v>92259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23</v>
      </c>
      <c r="D46" s="12">
        <f>C46*1.5</f>
        <v>34.5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273457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-1436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topLeftCell="A21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338</v>
      </c>
      <c r="D6" s="13">
        <f t="shared" ref="D6:D28" si="1">C6*L6</f>
        <v>257218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5</v>
      </c>
      <c r="D8" s="13">
        <f t="shared" si="1"/>
        <v>5465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35</v>
      </c>
      <c r="D9" s="13">
        <f t="shared" si="1"/>
        <v>25655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295167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47517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247650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2010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295167</v>
      </c>
      <c r="F29" s="183" t="s">
        <v>54</v>
      </c>
      <c r="G29" s="184"/>
      <c r="H29" s="187">
        <f>H15-H16-H17-H18-H19-H20-H22-H23-H24+H26+H27</f>
        <v>245640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15">
        <f>F34*G34</f>
        <v>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15">
        <f t="shared" ref="H35:H39" si="2">F35*G35</f>
        <v>27000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14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99">
        <v>215805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245969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329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566</v>
      </c>
      <c r="D6" s="13">
        <f t="shared" ref="D6:D28" si="1">C6*L6</f>
        <v>430726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15620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120</v>
      </c>
      <c r="D9" s="13">
        <f t="shared" si="1"/>
        <v>87960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17</v>
      </c>
      <c r="D13" s="48">
        <f t="shared" si="1"/>
        <v>5219</v>
      </c>
      <c r="F13" s="160" t="s">
        <v>36</v>
      </c>
      <c r="G13" s="161"/>
      <c r="H13" s="162">
        <f>D29</f>
        <v>547376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38</v>
      </c>
      <c r="G14" s="166"/>
      <c r="H14" s="167">
        <f>D54</f>
        <v>67408.5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1</v>
      </c>
      <c r="D15" s="31">
        <f t="shared" si="1"/>
        <v>620</v>
      </c>
      <c r="F15" s="170" t="s">
        <v>39</v>
      </c>
      <c r="G15" s="161"/>
      <c r="H15" s="171">
        <f>H13-H14</f>
        <v>479967.5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4">
        <f>690+606+768</f>
        <v>2064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547376</v>
      </c>
      <c r="F29" s="183" t="s">
        <v>54</v>
      </c>
      <c r="G29" s="184"/>
      <c r="H29" s="187">
        <f>H15-H16-H17-H18-H19-H20-H22-H23-H24+H26+H27</f>
        <v>477853.5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15">
        <f>F34*G34</f>
        <v>148000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5">
        <f>F35*G35</f>
        <v>20000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307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99">
        <v>150450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99">
        <f>76924</f>
        <v>76924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99">
        <v>81872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5</v>
      </c>
      <c r="D49" s="12">
        <f>C49*42</f>
        <v>210</v>
      </c>
      <c r="F49" s="240" t="s">
        <v>85</v>
      </c>
      <c r="G49" s="187">
        <f>H34+H35+H36+H37+H38+H39+H40+H41+G42+H44+H45+H46</f>
        <v>477553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-300.5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</vt:lpstr>
      <vt:lpstr>04,17 R2 </vt:lpstr>
      <vt:lpstr>04,17 R3</vt:lpstr>
      <vt:lpstr>(18)</vt:lpstr>
      <vt:lpstr>04,18 R1</vt:lpstr>
      <vt:lpstr>04,18 R2</vt:lpstr>
      <vt:lpstr>04,18 R3</vt:lpstr>
      <vt:lpstr>(20)</vt:lpstr>
      <vt:lpstr>04,20 R1</vt:lpstr>
      <vt:lpstr>04,20 R2</vt:lpstr>
      <vt:lpstr>04,20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R1'!Print_Area</vt:lpstr>
      <vt:lpstr>'04,17 R2 '!Print_Area</vt:lpstr>
      <vt:lpstr>'04,17 R3'!Print_Area</vt:lpstr>
      <vt:lpstr>'04,18 R1'!Print_Area</vt:lpstr>
      <vt:lpstr>'04,18 R2'!Print_Area</vt:lpstr>
      <vt:lpstr>'04,18 R3'!Print_Area</vt:lpstr>
      <vt:lpstr>'04,20 R1'!Print_Area</vt:lpstr>
      <vt:lpstr>'04,20 R2'!Print_Area</vt:lpstr>
      <vt:lpstr>'04,20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2026-04-15T00:03:25Z</cp:lastPrinted>
  <dcterms:created xsi:type="dcterms:W3CDTF">2024-09-01T23:36:50Z</dcterms:created>
  <dcterms:modified xsi:type="dcterms:W3CDTF">2026-04-16T00:00:36Z</dcterms:modified>
</cp:coreProperties>
</file>