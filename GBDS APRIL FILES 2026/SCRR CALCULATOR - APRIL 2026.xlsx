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4B51CA68-5F29-49BB-87A1-5E9221B27E61}" xr6:coauthVersionLast="45" xr6:coauthVersionMax="47" xr10:uidLastSave="{00000000-0000-0000-0000-000000000000}"/>
  <bookViews>
    <workbookView xWindow="-120" yWindow="-120" windowWidth="29040" windowHeight="15840" firstSheet="7" activeTab="20" xr2:uid="{00000000-000D-0000-FFFF-FFFF00000000}"/>
  </bookViews>
  <sheets>
    <sheet name="(APRIL 2026)" sheetId="814" r:id="rId1"/>
    <sheet name="(01)" sheetId="1938" r:id="rId2"/>
    <sheet name="01,4 R1" sheetId="1939" r:id="rId3"/>
    <sheet name="01,4 R2" sheetId="1940" r:id="rId4"/>
    <sheet name="01,4 R3" sheetId="1941" r:id="rId5"/>
    <sheet name="(2)" sheetId="1942" r:id="rId6"/>
    <sheet name="01,2 R1" sheetId="1943" r:id="rId7"/>
    <sheet name="01,2 R2" sheetId="1944" r:id="rId8"/>
    <sheet name="01,2 R3" sheetId="1945" r:id="rId9"/>
    <sheet name="(3)" sheetId="1946" r:id="rId10"/>
    <sheet name="01,3 R1" sheetId="1947" r:id="rId11"/>
    <sheet name="01,3 R2" sheetId="1948" r:id="rId12"/>
    <sheet name="01,3 R3" sheetId="1949" r:id="rId13"/>
    <sheet name="(4)" sheetId="1950" r:id="rId14"/>
    <sheet name="01,04 R1" sheetId="1951" r:id="rId15"/>
    <sheet name="01,04 R2" sheetId="1952" r:id="rId16"/>
    <sheet name="01,04 R3" sheetId="1953" r:id="rId17"/>
    <sheet name="(6)" sheetId="1954" r:id="rId18"/>
    <sheet name="01,06 R1" sheetId="1955" r:id="rId19"/>
    <sheet name="01,06 R2" sheetId="1956" r:id="rId20"/>
    <sheet name="01,06 R3" sheetId="1957" r:id="rId21"/>
  </sheets>
  <definedNames>
    <definedName name="_xlnm.Print_Area" localSheetId="1">'(01)'!$A$1:$J$60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'(6)'!$A$1:$J$60</definedName>
    <definedName name="_xlnm.Print_Area" localSheetId="14">'01,04 R1'!$A$1:$J$60</definedName>
    <definedName name="_xlnm.Print_Area" localSheetId="15">'01,04 R2'!$A$1:$J$60</definedName>
    <definedName name="_xlnm.Print_Area" localSheetId="16">'01,04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6">'01,2 R1'!$A$1:$J$60</definedName>
    <definedName name="_xlnm.Print_Area" localSheetId="7">'01,2 R2'!$A$1:$J$60</definedName>
    <definedName name="_xlnm.Print_Area" localSheetId="8">'01,2 R3'!$A$1:$J$60</definedName>
    <definedName name="_xlnm.Print_Area" localSheetId="10">'01,3 R1'!$A$1:$J$60</definedName>
    <definedName name="_xlnm.Print_Area" localSheetId="11">'01,3 R2'!$A$1:$J$60</definedName>
    <definedName name="_xlnm.Print_Area" localSheetId="12">'01,3 R3'!$A$1:$J$60</definedName>
    <definedName name="_xlnm.Print_Area" localSheetId="2">'01,4 R1'!$A$1:$J$60</definedName>
    <definedName name="_xlnm.Print_Area" localSheetId="3">'01,4 R2'!$A$1:$J$60</definedName>
    <definedName name="_xlnm.Print_Area" localSheetId="4">'01,4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1957" l="1"/>
  <c r="R51" i="1957"/>
  <c r="D50" i="1957"/>
  <c r="R49" i="1957"/>
  <c r="D49" i="1957"/>
  <c r="R48" i="1957"/>
  <c r="D48" i="1957"/>
  <c r="D46" i="1957"/>
  <c r="D45" i="1957"/>
  <c r="R44" i="1957"/>
  <c r="D44" i="1957"/>
  <c r="R42" i="1957"/>
  <c r="D42" i="1957"/>
  <c r="R41" i="1957"/>
  <c r="D41" i="1957"/>
  <c r="R40" i="1957"/>
  <c r="L8" i="1957" s="1"/>
  <c r="D8" i="1957" s="1"/>
  <c r="D40" i="1957"/>
  <c r="R39" i="1957"/>
  <c r="H39" i="1957"/>
  <c r="D39" i="1957"/>
  <c r="R38" i="1957"/>
  <c r="H38" i="1957"/>
  <c r="D38" i="1957"/>
  <c r="R37" i="1957"/>
  <c r="H37" i="1957"/>
  <c r="D37" i="1957"/>
  <c r="R36" i="1957"/>
  <c r="H36" i="1957"/>
  <c r="D36" i="1957"/>
  <c r="R35" i="1957"/>
  <c r="H35" i="1957"/>
  <c r="D35" i="1957"/>
  <c r="R34" i="1957"/>
  <c r="L12" i="1957" s="1"/>
  <c r="D12" i="1957" s="1"/>
  <c r="H34" i="1957"/>
  <c r="G49" i="1957" s="1"/>
  <c r="D34" i="1957"/>
  <c r="D54" i="1957" s="1"/>
  <c r="H14" i="1957" s="1"/>
  <c r="R33" i="1957"/>
  <c r="L19" i="1957" s="1"/>
  <c r="D19" i="1957" s="1"/>
  <c r="R32" i="1957"/>
  <c r="R31" i="1957"/>
  <c r="R30" i="1957"/>
  <c r="R29" i="1957"/>
  <c r="R28" i="1957"/>
  <c r="L28" i="1957"/>
  <c r="D28" i="1957"/>
  <c r="R27" i="1957"/>
  <c r="L27" i="1957"/>
  <c r="D27" i="1957"/>
  <c r="R26" i="1957"/>
  <c r="L26" i="1957"/>
  <c r="D26" i="1957" s="1"/>
  <c r="R25" i="1957"/>
  <c r="L25" i="1957"/>
  <c r="D25" i="1957" s="1"/>
  <c r="R24" i="1957"/>
  <c r="L24" i="1957"/>
  <c r="D24" i="1957"/>
  <c r="R23" i="1957"/>
  <c r="L23" i="1957"/>
  <c r="D23" i="1957" s="1"/>
  <c r="R22" i="1957"/>
  <c r="L22" i="1957"/>
  <c r="D22" i="1957"/>
  <c r="R21" i="1957"/>
  <c r="L17" i="1957" s="1"/>
  <c r="D17" i="1957" s="1"/>
  <c r="L21" i="1957"/>
  <c r="D21" i="1957"/>
  <c r="R20" i="1957"/>
  <c r="L20" i="1957"/>
  <c r="D20" i="1957" s="1"/>
  <c r="R19" i="1957"/>
  <c r="R18" i="1957"/>
  <c r="L18" i="1957"/>
  <c r="D18" i="1957"/>
  <c r="R17" i="1957"/>
  <c r="R16" i="1957"/>
  <c r="L16" i="1957"/>
  <c r="D16" i="1957"/>
  <c r="R15" i="1957"/>
  <c r="L15" i="1957"/>
  <c r="D15" i="1957" s="1"/>
  <c r="R14" i="1957"/>
  <c r="D14" i="1957"/>
  <c r="R13" i="1957"/>
  <c r="D13" i="1957"/>
  <c r="R12" i="1957"/>
  <c r="R11" i="1957"/>
  <c r="L11" i="1957"/>
  <c r="D11" i="1957"/>
  <c r="L10" i="1957"/>
  <c r="D10" i="1957"/>
  <c r="L9" i="1957"/>
  <c r="D9" i="1957" s="1"/>
  <c r="L7" i="1957"/>
  <c r="D7" i="1957"/>
  <c r="R6" i="1957"/>
  <c r="L6" i="1957"/>
  <c r="D6" i="1957" s="1"/>
  <c r="R5" i="1957"/>
  <c r="R4" i="1957"/>
  <c r="R52" i="1956"/>
  <c r="R51" i="1956"/>
  <c r="D50" i="1956"/>
  <c r="R49" i="1956"/>
  <c r="D49" i="1956"/>
  <c r="R48" i="1956"/>
  <c r="D48" i="1956"/>
  <c r="D46" i="1956"/>
  <c r="D45" i="1956"/>
  <c r="R44" i="1956"/>
  <c r="L28" i="1956" s="1"/>
  <c r="D28" i="1956" s="1"/>
  <c r="D44" i="1956"/>
  <c r="R42" i="1956"/>
  <c r="D42" i="1956"/>
  <c r="R41" i="1956"/>
  <c r="D41" i="1956"/>
  <c r="R40" i="1956"/>
  <c r="L8" i="1956" s="1"/>
  <c r="D8" i="1956" s="1"/>
  <c r="D40" i="1956"/>
  <c r="R39" i="1956"/>
  <c r="H39" i="1956"/>
  <c r="D39" i="1956"/>
  <c r="R38" i="1956"/>
  <c r="H38" i="1956"/>
  <c r="D38" i="1956"/>
  <c r="R37" i="1956"/>
  <c r="H37" i="1956"/>
  <c r="D37" i="1956"/>
  <c r="R36" i="1956"/>
  <c r="L10" i="1956" s="1"/>
  <c r="D10" i="1956" s="1"/>
  <c r="H36" i="1956"/>
  <c r="D36" i="1956"/>
  <c r="R35" i="1956"/>
  <c r="H35" i="1956"/>
  <c r="D35" i="1956"/>
  <c r="R34" i="1956"/>
  <c r="H34" i="1956"/>
  <c r="G49" i="1956" s="1"/>
  <c r="D34" i="1956"/>
  <c r="D54" i="1956" s="1"/>
  <c r="H14" i="1956" s="1"/>
  <c r="R33" i="1956"/>
  <c r="R32" i="1956"/>
  <c r="R31" i="1956"/>
  <c r="R30" i="1956"/>
  <c r="R29" i="1956"/>
  <c r="R28" i="1956"/>
  <c r="R27" i="1956"/>
  <c r="L27" i="1956"/>
  <c r="D27" i="1956"/>
  <c r="R26" i="1956"/>
  <c r="L26" i="1956"/>
  <c r="D26" i="1956" s="1"/>
  <c r="R25" i="1956"/>
  <c r="L25" i="1956"/>
  <c r="D25" i="1956" s="1"/>
  <c r="R24" i="1956"/>
  <c r="L24" i="1956"/>
  <c r="D24" i="1956" s="1"/>
  <c r="R23" i="1956"/>
  <c r="L23" i="1956"/>
  <c r="D23" i="1956" s="1"/>
  <c r="R22" i="1956"/>
  <c r="L20" i="1956" s="1"/>
  <c r="D20" i="1956" s="1"/>
  <c r="L22" i="1956"/>
  <c r="D22" i="1956"/>
  <c r="R21" i="1956"/>
  <c r="L17" i="1956" s="1"/>
  <c r="D17" i="1956" s="1"/>
  <c r="L21" i="1956"/>
  <c r="D21" i="1956"/>
  <c r="R20" i="1956"/>
  <c r="R19" i="1956"/>
  <c r="L19" i="1956"/>
  <c r="D19" i="1956"/>
  <c r="R18" i="1956"/>
  <c r="L18" i="1956"/>
  <c r="D18" i="1956"/>
  <c r="R17" i="1956"/>
  <c r="R16" i="1956"/>
  <c r="R15" i="1956"/>
  <c r="L15" i="1956"/>
  <c r="D15" i="1956" s="1"/>
  <c r="R14" i="1956"/>
  <c r="D14" i="1956"/>
  <c r="R13" i="1956"/>
  <c r="D13" i="1956"/>
  <c r="R12" i="1956"/>
  <c r="L12" i="1956"/>
  <c r="D12" i="1956" s="1"/>
  <c r="R11" i="1956"/>
  <c r="L11" i="1956"/>
  <c r="D11" i="1956" s="1"/>
  <c r="L9" i="1956"/>
  <c r="D9" i="1956"/>
  <c r="L7" i="1956"/>
  <c r="D7" i="1956" s="1"/>
  <c r="R6" i="1956"/>
  <c r="L16" i="1956" s="1"/>
  <c r="D16" i="1956" s="1"/>
  <c r="L6" i="1956"/>
  <c r="D6" i="1956" s="1"/>
  <c r="R5" i="1956"/>
  <c r="R4" i="1956"/>
  <c r="R52" i="1955"/>
  <c r="R51" i="1955"/>
  <c r="D50" i="1955"/>
  <c r="R49" i="1955"/>
  <c r="D49" i="1955"/>
  <c r="R48" i="1955"/>
  <c r="D48" i="1955"/>
  <c r="D46" i="1955"/>
  <c r="D45" i="1955"/>
  <c r="R44" i="1955"/>
  <c r="L28" i="1955" s="1"/>
  <c r="D28" i="1955" s="1"/>
  <c r="D44" i="1955"/>
  <c r="R42" i="1955"/>
  <c r="D42" i="1955"/>
  <c r="R41" i="1955"/>
  <c r="D41" i="1955"/>
  <c r="R40" i="1955"/>
  <c r="L8" i="1955" s="1"/>
  <c r="D8" i="1955" s="1"/>
  <c r="D40" i="1955"/>
  <c r="R39" i="1955"/>
  <c r="H39" i="1955"/>
  <c r="D39" i="1955"/>
  <c r="R38" i="1955"/>
  <c r="L9" i="1955" s="1"/>
  <c r="D9" i="1955" s="1"/>
  <c r="H38" i="1955"/>
  <c r="D38" i="1955"/>
  <c r="R37" i="1955"/>
  <c r="H37" i="1955"/>
  <c r="D37" i="1955"/>
  <c r="R36" i="1955"/>
  <c r="H36" i="1955"/>
  <c r="D36" i="1955"/>
  <c r="R35" i="1955"/>
  <c r="H35" i="1955"/>
  <c r="D35" i="1955"/>
  <c r="R34" i="1955"/>
  <c r="L12" i="1955" s="1"/>
  <c r="D12" i="1955" s="1"/>
  <c r="H34" i="1955"/>
  <c r="G49" i="1955" s="1"/>
  <c r="D34" i="1955"/>
  <c r="D54" i="1955" s="1"/>
  <c r="H14" i="1955" s="1"/>
  <c r="R33" i="1955"/>
  <c r="L19" i="1955" s="1"/>
  <c r="D19" i="1955" s="1"/>
  <c r="R32" i="1955"/>
  <c r="L11" i="1955" s="1"/>
  <c r="D11" i="1955" s="1"/>
  <c r="R31" i="1955"/>
  <c r="R30" i="1955"/>
  <c r="R29" i="1955"/>
  <c r="R28" i="1955"/>
  <c r="R27" i="1955"/>
  <c r="L27" i="1955"/>
  <c r="D27" i="1955"/>
  <c r="R26" i="1955"/>
  <c r="L26" i="1955"/>
  <c r="D26" i="1955"/>
  <c r="R25" i="1955"/>
  <c r="L25" i="1955"/>
  <c r="D25" i="1955" s="1"/>
  <c r="R24" i="1955"/>
  <c r="L24" i="1955"/>
  <c r="D24" i="1955" s="1"/>
  <c r="R23" i="1955"/>
  <c r="L23" i="1955"/>
  <c r="D23" i="1955" s="1"/>
  <c r="R22" i="1955"/>
  <c r="L22" i="1955"/>
  <c r="D22" i="1955"/>
  <c r="R21" i="1955"/>
  <c r="L21" i="1955"/>
  <c r="D21" i="1955"/>
  <c r="R20" i="1955"/>
  <c r="L20" i="1955"/>
  <c r="D20" i="1955"/>
  <c r="R19" i="1955"/>
  <c r="R18" i="1955"/>
  <c r="L18" i="1955"/>
  <c r="D18" i="1955"/>
  <c r="R17" i="1955"/>
  <c r="L17" i="1955"/>
  <c r="D17" i="1955" s="1"/>
  <c r="R16" i="1955"/>
  <c r="R15" i="1955"/>
  <c r="L15" i="1955"/>
  <c r="D15" i="1955" s="1"/>
  <c r="R14" i="1955"/>
  <c r="D14" i="1955"/>
  <c r="R13" i="1955"/>
  <c r="D13" i="1955"/>
  <c r="R12" i="1955"/>
  <c r="R11" i="1955"/>
  <c r="L10" i="1955"/>
  <c r="D10" i="1955"/>
  <c r="L7" i="1955"/>
  <c r="D7" i="1955" s="1"/>
  <c r="R6" i="1955"/>
  <c r="L16" i="1955" s="1"/>
  <c r="D16" i="1955" s="1"/>
  <c r="L6" i="1955"/>
  <c r="D6" i="1955" s="1"/>
  <c r="R5" i="1955"/>
  <c r="R4" i="1955"/>
  <c r="R52" i="1954"/>
  <c r="R51" i="1954"/>
  <c r="D50" i="1954"/>
  <c r="R49" i="1954"/>
  <c r="G49" i="1954"/>
  <c r="D49" i="1954"/>
  <c r="R48" i="1954"/>
  <c r="D48" i="1954"/>
  <c r="D46" i="1954"/>
  <c r="D45" i="1954"/>
  <c r="D44" i="1954"/>
  <c r="R42" i="1954"/>
  <c r="L6" i="1954" s="1"/>
  <c r="D6" i="1954" s="1"/>
  <c r="D42" i="1954"/>
  <c r="R41" i="1954"/>
  <c r="L7" i="1954" s="1"/>
  <c r="D7" i="1954" s="1"/>
  <c r="D41" i="1954"/>
  <c r="R40" i="1954"/>
  <c r="L8" i="1954" s="1"/>
  <c r="D8" i="1954" s="1"/>
  <c r="D40" i="1954"/>
  <c r="R39" i="1954"/>
  <c r="D39" i="1954"/>
  <c r="R38" i="1954"/>
  <c r="L9" i="1954" s="1"/>
  <c r="D9" i="1954" s="1"/>
  <c r="D38" i="1954"/>
  <c r="R37" i="1954"/>
  <c r="D37" i="1954"/>
  <c r="R36" i="1954"/>
  <c r="L10" i="1954" s="1"/>
  <c r="D10" i="1954" s="1"/>
  <c r="D36" i="1954"/>
  <c r="R35" i="1954"/>
  <c r="D35" i="1954"/>
  <c r="R34" i="1954"/>
  <c r="D34" i="1954"/>
  <c r="D54" i="1954" s="1"/>
  <c r="H14" i="1954" s="1"/>
  <c r="R33" i="1954"/>
  <c r="L23" i="1954" s="1"/>
  <c r="D23" i="1954" s="1"/>
  <c r="R32" i="1954"/>
  <c r="R31" i="1954"/>
  <c r="R30" i="1954"/>
  <c r="R29" i="1954"/>
  <c r="R28" i="1954"/>
  <c r="D28" i="1954"/>
  <c r="R27" i="1954"/>
  <c r="D27" i="1954"/>
  <c r="R26" i="1954"/>
  <c r="L26" i="1954"/>
  <c r="D26" i="1954"/>
  <c r="R25" i="1954"/>
  <c r="L25" i="1954"/>
  <c r="D25" i="1954"/>
  <c r="R24" i="1954"/>
  <c r="D24" i="1954"/>
  <c r="R23" i="1954"/>
  <c r="R22" i="1954"/>
  <c r="L22" i="1954"/>
  <c r="D22" i="1954" s="1"/>
  <c r="R21" i="1954"/>
  <c r="D21" i="1954"/>
  <c r="R20" i="1954"/>
  <c r="L20" i="1954"/>
  <c r="D20" i="1954"/>
  <c r="R19" i="1954"/>
  <c r="L19" i="1954"/>
  <c r="D19" i="1954"/>
  <c r="R18" i="1954"/>
  <c r="D18" i="1954"/>
  <c r="R17" i="1954"/>
  <c r="D17" i="1954"/>
  <c r="R16" i="1954"/>
  <c r="L16" i="1954"/>
  <c r="D16" i="1954" s="1"/>
  <c r="S15" i="1954"/>
  <c r="R15" i="1954"/>
  <c r="D15" i="1954"/>
  <c r="S14" i="1954"/>
  <c r="R14" i="1954"/>
  <c r="D14" i="1954"/>
  <c r="R13" i="1954"/>
  <c r="D13" i="1954"/>
  <c r="R12" i="1954"/>
  <c r="L12" i="1954"/>
  <c r="D12" i="1954"/>
  <c r="R11" i="1954"/>
  <c r="L11" i="1954"/>
  <c r="D11" i="1954" s="1"/>
  <c r="R6" i="1954"/>
  <c r="R5" i="1954"/>
  <c r="R4" i="1954"/>
  <c r="R52" i="1953"/>
  <c r="R51" i="1953"/>
  <c r="D50" i="1953"/>
  <c r="R49" i="1953"/>
  <c r="D49" i="1953"/>
  <c r="R48" i="1953"/>
  <c r="D48" i="1953"/>
  <c r="D46" i="1953"/>
  <c r="D45" i="1953"/>
  <c r="R44" i="1953"/>
  <c r="L28" i="1953" s="1"/>
  <c r="D28" i="1953" s="1"/>
  <c r="D44" i="1953"/>
  <c r="R42" i="1953"/>
  <c r="D42" i="1953"/>
  <c r="R41" i="1953"/>
  <c r="D41" i="1953"/>
  <c r="R40" i="1953"/>
  <c r="D40" i="1953"/>
  <c r="R39" i="1953"/>
  <c r="H39" i="1953"/>
  <c r="D39" i="1953"/>
  <c r="R38" i="1953"/>
  <c r="L9" i="1953" s="1"/>
  <c r="D9" i="1953" s="1"/>
  <c r="H38" i="1953"/>
  <c r="G49" i="1953" s="1"/>
  <c r="D38" i="1953"/>
  <c r="R37" i="1953"/>
  <c r="H37" i="1953"/>
  <c r="D37" i="1953"/>
  <c r="R36" i="1953"/>
  <c r="H36" i="1953"/>
  <c r="D36" i="1953"/>
  <c r="R35" i="1953"/>
  <c r="L18" i="1953" s="1"/>
  <c r="D18" i="1953" s="1"/>
  <c r="H35" i="1953"/>
  <c r="D35" i="1953"/>
  <c r="R34" i="1953"/>
  <c r="H34" i="1953"/>
  <c r="D34" i="1953"/>
  <c r="D54" i="1953" s="1"/>
  <c r="H14" i="1953" s="1"/>
  <c r="R33" i="1953"/>
  <c r="L19" i="1953" s="1"/>
  <c r="D19" i="1953" s="1"/>
  <c r="R32" i="1953"/>
  <c r="L11" i="1953" s="1"/>
  <c r="D11" i="1953" s="1"/>
  <c r="R31" i="1953"/>
  <c r="R30" i="1953"/>
  <c r="R29" i="1953"/>
  <c r="R28" i="1953"/>
  <c r="R27" i="1953"/>
  <c r="L27" i="1953"/>
  <c r="D27" i="1953" s="1"/>
  <c r="R26" i="1953"/>
  <c r="L26" i="1953"/>
  <c r="D26" i="1953"/>
  <c r="R25" i="1953"/>
  <c r="L25" i="1953"/>
  <c r="D25" i="1953" s="1"/>
  <c r="R24" i="1953"/>
  <c r="L24" i="1953"/>
  <c r="D24" i="1953" s="1"/>
  <c r="R23" i="1953"/>
  <c r="L23" i="1953"/>
  <c r="D23" i="1953" s="1"/>
  <c r="R22" i="1953"/>
  <c r="L22" i="1953"/>
  <c r="D22" i="1953" s="1"/>
  <c r="R21" i="1953"/>
  <c r="L21" i="1953"/>
  <c r="D21" i="1953"/>
  <c r="R20" i="1953"/>
  <c r="L20" i="1953"/>
  <c r="D20" i="1953"/>
  <c r="R19" i="1953"/>
  <c r="R18" i="1953"/>
  <c r="R17" i="1953"/>
  <c r="L17" i="1953"/>
  <c r="D17" i="1953"/>
  <c r="R16" i="1953"/>
  <c r="R15" i="1953"/>
  <c r="L15" i="1953"/>
  <c r="D15" i="1953"/>
  <c r="R14" i="1953"/>
  <c r="D14" i="1953"/>
  <c r="R13" i="1953"/>
  <c r="D13" i="1953"/>
  <c r="R12" i="1953"/>
  <c r="L12" i="1953"/>
  <c r="D12" i="1953"/>
  <c r="R11" i="1953"/>
  <c r="L10" i="1953"/>
  <c r="D10" i="1953"/>
  <c r="L8" i="1953"/>
  <c r="D8" i="1953" s="1"/>
  <c r="L7" i="1953"/>
  <c r="D7" i="1953" s="1"/>
  <c r="R6" i="1953"/>
  <c r="L16" i="1953" s="1"/>
  <c r="D16" i="1953" s="1"/>
  <c r="L6" i="1953"/>
  <c r="D6" i="1953" s="1"/>
  <c r="R5" i="1953"/>
  <c r="R4" i="1953"/>
  <c r="R52" i="1952"/>
  <c r="R51" i="1952"/>
  <c r="D50" i="1952"/>
  <c r="R49" i="1952"/>
  <c r="D49" i="1952"/>
  <c r="R48" i="1952"/>
  <c r="D48" i="1952"/>
  <c r="D46" i="1952"/>
  <c r="D45" i="1952"/>
  <c r="R44" i="1952"/>
  <c r="D44" i="1952"/>
  <c r="R42" i="1952"/>
  <c r="L6" i="1952" s="1"/>
  <c r="D6" i="1952" s="1"/>
  <c r="D42" i="1952"/>
  <c r="R41" i="1952"/>
  <c r="D41" i="1952"/>
  <c r="R40" i="1952"/>
  <c r="D40" i="1952"/>
  <c r="R39" i="1952"/>
  <c r="H39" i="1952"/>
  <c r="D39" i="1952"/>
  <c r="R38" i="1952"/>
  <c r="H38" i="1952"/>
  <c r="D38" i="1952"/>
  <c r="R37" i="1952"/>
  <c r="H37" i="1952"/>
  <c r="D37" i="1952"/>
  <c r="R36" i="1952"/>
  <c r="L10" i="1952" s="1"/>
  <c r="D10" i="1952" s="1"/>
  <c r="H36" i="1952"/>
  <c r="D36" i="1952"/>
  <c r="R35" i="1952"/>
  <c r="H35" i="1952"/>
  <c r="D35" i="1952"/>
  <c r="R34" i="1952"/>
  <c r="H34" i="1952"/>
  <c r="G49" i="1952" s="1"/>
  <c r="D34" i="1952"/>
  <c r="D54" i="1952" s="1"/>
  <c r="H14" i="1952" s="1"/>
  <c r="R33" i="1952"/>
  <c r="R32" i="1952"/>
  <c r="L11" i="1952" s="1"/>
  <c r="D11" i="1952" s="1"/>
  <c r="R31" i="1952"/>
  <c r="R30" i="1952"/>
  <c r="R29" i="1952"/>
  <c r="R28" i="1952"/>
  <c r="L28" i="1952"/>
  <c r="D28" i="1952"/>
  <c r="R27" i="1952"/>
  <c r="L27" i="1952"/>
  <c r="D27" i="1952" s="1"/>
  <c r="R26" i="1952"/>
  <c r="L26" i="1952"/>
  <c r="D26" i="1952"/>
  <c r="R25" i="1952"/>
  <c r="L25" i="1952"/>
  <c r="D25" i="1952"/>
  <c r="R24" i="1952"/>
  <c r="L24" i="1952"/>
  <c r="D24" i="1952"/>
  <c r="R23" i="1952"/>
  <c r="L23" i="1952"/>
  <c r="D23" i="1952"/>
  <c r="R22" i="1952"/>
  <c r="L20" i="1952" s="1"/>
  <c r="D20" i="1952" s="1"/>
  <c r="L22" i="1952"/>
  <c r="D22" i="1952"/>
  <c r="R21" i="1952"/>
  <c r="L21" i="1952"/>
  <c r="D21" i="1952"/>
  <c r="R20" i="1952"/>
  <c r="R19" i="1952"/>
  <c r="L19" i="1952"/>
  <c r="D19" i="1952"/>
  <c r="R18" i="1952"/>
  <c r="L18" i="1952"/>
  <c r="D18" i="1952"/>
  <c r="R17" i="1952"/>
  <c r="L17" i="1952"/>
  <c r="D17" i="1952" s="1"/>
  <c r="R16" i="1952"/>
  <c r="R15" i="1952"/>
  <c r="L15" i="1952"/>
  <c r="D15" i="1952" s="1"/>
  <c r="R14" i="1952"/>
  <c r="D14" i="1952"/>
  <c r="R13" i="1952"/>
  <c r="D13" i="1952"/>
  <c r="R12" i="1952"/>
  <c r="L12" i="1952"/>
  <c r="D12" i="1952" s="1"/>
  <c r="R11" i="1952"/>
  <c r="L9" i="1952"/>
  <c r="D9" i="1952" s="1"/>
  <c r="L8" i="1952"/>
  <c r="D8" i="1952" s="1"/>
  <c r="L7" i="1952"/>
  <c r="D7" i="1952"/>
  <c r="R6" i="1952"/>
  <c r="L16" i="1952" s="1"/>
  <c r="D16" i="1952" s="1"/>
  <c r="R5" i="1952"/>
  <c r="R4" i="1952"/>
  <c r="D54" i="1951"/>
  <c r="H14" i="1951" s="1"/>
  <c r="R52" i="1951"/>
  <c r="R51" i="1951"/>
  <c r="D50" i="1951"/>
  <c r="R49" i="1951"/>
  <c r="D49" i="1951"/>
  <c r="R48" i="1951"/>
  <c r="D48" i="1951"/>
  <c r="D46" i="1951"/>
  <c r="D45" i="1951"/>
  <c r="R44" i="1951"/>
  <c r="L28" i="1951" s="1"/>
  <c r="D28" i="1951" s="1"/>
  <c r="D44" i="1951"/>
  <c r="R42" i="1951"/>
  <c r="L6" i="1951" s="1"/>
  <c r="D6" i="1951" s="1"/>
  <c r="D42" i="1951"/>
  <c r="R41" i="1951"/>
  <c r="L7" i="1951" s="1"/>
  <c r="D7" i="1951" s="1"/>
  <c r="D41" i="1951"/>
  <c r="R40" i="1951"/>
  <c r="D40" i="1951"/>
  <c r="R39" i="1951"/>
  <c r="H39" i="1951"/>
  <c r="D39" i="1951"/>
  <c r="R38" i="1951"/>
  <c r="H38" i="1951"/>
  <c r="D38" i="1951"/>
  <c r="R37" i="1951"/>
  <c r="H37" i="1951"/>
  <c r="D37" i="1951"/>
  <c r="R36" i="1951"/>
  <c r="H36" i="1951"/>
  <c r="D36" i="1951"/>
  <c r="R35" i="1951"/>
  <c r="L18" i="1951" s="1"/>
  <c r="D18" i="1951" s="1"/>
  <c r="H35" i="1951"/>
  <c r="D35" i="1951"/>
  <c r="R34" i="1951"/>
  <c r="H34" i="1951"/>
  <c r="G49" i="1951" s="1"/>
  <c r="D34" i="1951"/>
  <c r="R33" i="1951"/>
  <c r="R32" i="1951"/>
  <c r="L11" i="1951" s="1"/>
  <c r="D11" i="1951" s="1"/>
  <c r="R31" i="1951"/>
  <c r="R30" i="1951"/>
  <c r="R29" i="1951"/>
  <c r="R28" i="1951"/>
  <c r="R27" i="1951"/>
  <c r="L27" i="1951"/>
  <c r="D27" i="1951"/>
  <c r="R26" i="1951"/>
  <c r="L26" i="1951"/>
  <c r="D26" i="1951"/>
  <c r="R25" i="1951"/>
  <c r="L25" i="1951"/>
  <c r="D25" i="1951" s="1"/>
  <c r="R24" i="1951"/>
  <c r="L24" i="1951"/>
  <c r="D24" i="1951" s="1"/>
  <c r="R23" i="1951"/>
  <c r="L23" i="1951"/>
  <c r="D23" i="1951"/>
  <c r="R22" i="1951"/>
  <c r="L20" i="1951" s="1"/>
  <c r="D20" i="1951" s="1"/>
  <c r="L22" i="1951"/>
  <c r="D22" i="1951" s="1"/>
  <c r="R21" i="1951"/>
  <c r="L21" i="1951"/>
  <c r="D21" i="1951"/>
  <c r="R20" i="1951"/>
  <c r="R19" i="1951"/>
  <c r="L19" i="1951"/>
  <c r="D19" i="1951"/>
  <c r="R18" i="1951"/>
  <c r="R17" i="1951"/>
  <c r="L17" i="1951"/>
  <c r="D17" i="1951"/>
  <c r="R16" i="1951"/>
  <c r="R15" i="1951"/>
  <c r="R14" i="1951"/>
  <c r="D14" i="1951"/>
  <c r="R13" i="1951"/>
  <c r="D13" i="1951"/>
  <c r="R12" i="1951"/>
  <c r="L12" i="1951"/>
  <c r="D12" i="1951"/>
  <c r="R11" i="1951"/>
  <c r="L10" i="1951"/>
  <c r="D10" i="1951"/>
  <c r="L9" i="1951"/>
  <c r="D9" i="1951"/>
  <c r="L8" i="1951"/>
  <c r="D8" i="1951"/>
  <c r="R6" i="1951"/>
  <c r="L16" i="1951" s="1"/>
  <c r="D16" i="1951" s="1"/>
  <c r="R5" i="1951"/>
  <c r="R4" i="1951"/>
  <c r="L15" i="1951" s="1"/>
  <c r="D15" i="1951" s="1"/>
  <c r="R52" i="1950"/>
  <c r="R51" i="1950"/>
  <c r="D50" i="1950"/>
  <c r="R49" i="1950"/>
  <c r="G49" i="1950"/>
  <c r="D49" i="1950"/>
  <c r="R48" i="1950"/>
  <c r="D48" i="1950"/>
  <c r="D46" i="1950"/>
  <c r="D45" i="1950"/>
  <c r="D44" i="1950"/>
  <c r="R42" i="1950"/>
  <c r="L6" i="1950" s="1"/>
  <c r="D6" i="1950" s="1"/>
  <c r="D42" i="1950"/>
  <c r="R41" i="1950"/>
  <c r="L7" i="1950" s="1"/>
  <c r="D7" i="1950" s="1"/>
  <c r="D41" i="1950"/>
  <c r="R40" i="1950"/>
  <c r="D40" i="1950"/>
  <c r="R39" i="1950"/>
  <c r="D39" i="1950"/>
  <c r="R38" i="1950"/>
  <c r="L9" i="1950" s="1"/>
  <c r="D9" i="1950" s="1"/>
  <c r="D38" i="1950"/>
  <c r="R37" i="1950"/>
  <c r="D37" i="1950"/>
  <c r="R36" i="1950"/>
  <c r="L10" i="1950" s="1"/>
  <c r="D10" i="1950" s="1"/>
  <c r="D36" i="1950"/>
  <c r="R35" i="1950"/>
  <c r="D35" i="1950"/>
  <c r="R34" i="1950"/>
  <c r="L12" i="1950" s="1"/>
  <c r="D12" i="1950" s="1"/>
  <c r="D34" i="1950"/>
  <c r="D54" i="1950" s="1"/>
  <c r="H14" i="1950" s="1"/>
  <c r="R33" i="1950"/>
  <c r="L23" i="1950" s="1"/>
  <c r="D23" i="1950" s="1"/>
  <c r="R32" i="1950"/>
  <c r="R31" i="1950"/>
  <c r="R30" i="1950"/>
  <c r="R29" i="1950"/>
  <c r="R28" i="1950"/>
  <c r="L16" i="1950" s="1"/>
  <c r="D16" i="1950" s="1"/>
  <c r="D28" i="1950"/>
  <c r="R27" i="1950"/>
  <c r="D27" i="1950"/>
  <c r="R26" i="1950"/>
  <c r="L26" i="1950"/>
  <c r="D26" i="1950"/>
  <c r="R25" i="1950"/>
  <c r="L25" i="1950"/>
  <c r="D25" i="1950"/>
  <c r="R24" i="1950"/>
  <c r="D24" i="1950"/>
  <c r="R23" i="1950"/>
  <c r="R22" i="1950"/>
  <c r="L22" i="1950"/>
  <c r="D22" i="1950" s="1"/>
  <c r="R21" i="1950"/>
  <c r="D21" i="1950"/>
  <c r="R20" i="1950"/>
  <c r="L20" i="1950"/>
  <c r="D20" i="1950"/>
  <c r="R19" i="1950"/>
  <c r="L19" i="1950"/>
  <c r="D19" i="1950"/>
  <c r="R18" i="1950"/>
  <c r="D18" i="1950"/>
  <c r="R17" i="1950"/>
  <c r="D17" i="1950"/>
  <c r="R16" i="1950"/>
  <c r="S15" i="1950"/>
  <c r="R15" i="1950"/>
  <c r="D15" i="1950"/>
  <c r="S14" i="1950"/>
  <c r="R14" i="1950"/>
  <c r="D14" i="1950"/>
  <c r="R13" i="1950"/>
  <c r="D13" i="1950"/>
  <c r="R12" i="1950"/>
  <c r="R11" i="1950"/>
  <c r="L11" i="1950"/>
  <c r="D11" i="1950" s="1"/>
  <c r="L8" i="1950"/>
  <c r="D8" i="1950"/>
  <c r="R6" i="1950"/>
  <c r="R5" i="1950"/>
  <c r="R4" i="1950"/>
  <c r="R52" i="1949"/>
  <c r="R51" i="1949"/>
  <c r="D50" i="1949"/>
  <c r="R49" i="1949"/>
  <c r="D49" i="1949"/>
  <c r="R48" i="1949"/>
  <c r="D48" i="1949"/>
  <c r="D46" i="1949"/>
  <c r="D45" i="1949"/>
  <c r="R44" i="1949"/>
  <c r="D44" i="1949"/>
  <c r="R42" i="1949"/>
  <c r="D42" i="1949"/>
  <c r="R41" i="1949"/>
  <c r="D41" i="1949"/>
  <c r="R40" i="1949"/>
  <c r="D40" i="1949"/>
  <c r="R39" i="1949"/>
  <c r="H39" i="1949"/>
  <c r="D39" i="1949"/>
  <c r="R38" i="1949"/>
  <c r="H38" i="1949"/>
  <c r="D38" i="1949"/>
  <c r="R37" i="1949"/>
  <c r="H37" i="1949"/>
  <c r="D37" i="1949"/>
  <c r="R36" i="1949"/>
  <c r="L10" i="1949" s="1"/>
  <c r="D10" i="1949" s="1"/>
  <c r="H36" i="1949"/>
  <c r="G49" i="1949" s="1"/>
  <c r="D36" i="1949"/>
  <c r="R35" i="1949"/>
  <c r="H35" i="1949"/>
  <c r="D35" i="1949"/>
  <c r="R34" i="1949"/>
  <c r="H34" i="1949"/>
  <c r="D34" i="1949"/>
  <c r="D54" i="1949" s="1"/>
  <c r="H14" i="1949" s="1"/>
  <c r="R33" i="1949"/>
  <c r="R32" i="1949"/>
  <c r="L11" i="1949" s="1"/>
  <c r="D11" i="1949" s="1"/>
  <c r="R31" i="1949"/>
  <c r="R30" i="1949"/>
  <c r="R29" i="1949"/>
  <c r="R28" i="1949"/>
  <c r="L28" i="1949"/>
  <c r="D28" i="1949"/>
  <c r="R27" i="1949"/>
  <c r="L27" i="1949"/>
  <c r="D27" i="1949" s="1"/>
  <c r="R26" i="1949"/>
  <c r="L26" i="1949"/>
  <c r="D26" i="1949"/>
  <c r="R25" i="1949"/>
  <c r="L25" i="1949"/>
  <c r="D25" i="1949"/>
  <c r="R24" i="1949"/>
  <c r="L24" i="1949"/>
  <c r="D24" i="1949"/>
  <c r="R23" i="1949"/>
  <c r="L23" i="1949"/>
  <c r="D23" i="1949"/>
  <c r="R22" i="1949"/>
  <c r="L20" i="1949" s="1"/>
  <c r="D20" i="1949" s="1"/>
  <c r="L22" i="1949"/>
  <c r="D22" i="1949" s="1"/>
  <c r="R21" i="1949"/>
  <c r="L21" i="1949"/>
  <c r="D21" i="1949" s="1"/>
  <c r="R20" i="1949"/>
  <c r="R19" i="1949"/>
  <c r="L19" i="1949"/>
  <c r="D19" i="1949"/>
  <c r="R18" i="1949"/>
  <c r="L18" i="1949"/>
  <c r="D18" i="1949"/>
  <c r="R17" i="1949"/>
  <c r="L17" i="1949"/>
  <c r="D17" i="1949" s="1"/>
  <c r="R16" i="1949"/>
  <c r="R15" i="1949"/>
  <c r="R14" i="1949"/>
  <c r="D14" i="1949"/>
  <c r="R13" i="1949"/>
  <c r="D13" i="1949"/>
  <c r="R12" i="1949"/>
  <c r="L12" i="1949"/>
  <c r="D12" i="1949" s="1"/>
  <c r="R11" i="1949"/>
  <c r="L9" i="1949"/>
  <c r="D9" i="1949" s="1"/>
  <c r="L8" i="1949"/>
  <c r="D8" i="1949" s="1"/>
  <c r="L7" i="1949"/>
  <c r="D7" i="1949"/>
  <c r="R6" i="1949"/>
  <c r="L16" i="1949" s="1"/>
  <c r="D16" i="1949" s="1"/>
  <c r="L6" i="1949"/>
  <c r="D6" i="1949" s="1"/>
  <c r="R5" i="1949"/>
  <c r="R4" i="1949"/>
  <c r="L15" i="1949" s="1"/>
  <c r="D15" i="1949" s="1"/>
  <c r="R52" i="1948"/>
  <c r="R51" i="1948"/>
  <c r="D50" i="1948"/>
  <c r="R49" i="1948"/>
  <c r="D49" i="1948"/>
  <c r="R48" i="1948"/>
  <c r="D48" i="1948"/>
  <c r="D46" i="1948"/>
  <c r="D45" i="1948"/>
  <c r="R44" i="1948"/>
  <c r="D44" i="1948"/>
  <c r="R42" i="1948"/>
  <c r="L6" i="1948" s="1"/>
  <c r="D6" i="1948" s="1"/>
  <c r="D42" i="1948"/>
  <c r="R41" i="1948"/>
  <c r="D41" i="1948"/>
  <c r="R40" i="1948"/>
  <c r="D40" i="1948"/>
  <c r="R39" i="1948"/>
  <c r="H39" i="1948"/>
  <c r="D39" i="1948"/>
  <c r="R38" i="1948"/>
  <c r="H38" i="1948"/>
  <c r="D38" i="1948"/>
  <c r="R37" i="1948"/>
  <c r="H37" i="1948"/>
  <c r="D37" i="1948"/>
  <c r="R36" i="1948"/>
  <c r="L10" i="1948" s="1"/>
  <c r="D10" i="1948" s="1"/>
  <c r="H36" i="1948"/>
  <c r="D36" i="1948"/>
  <c r="R35" i="1948"/>
  <c r="H35" i="1948"/>
  <c r="D35" i="1948"/>
  <c r="R34" i="1948"/>
  <c r="H34" i="1948"/>
  <c r="G49" i="1948" s="1"/>
  <c r="D34" i="1948"/>
  <c r="D54" i="1948" s="1"/>
  <c r="H14" i="1948" s="1"/>
  <c r="R33" i="1948"/>
  <c r="R32" i="1948"/>
  <c r="R31" i="1948"/>
  <c r="R30" i="1948"/>
  <c r="R29" i="1948"/>
  <c r="R28" i="1948"/>
  <c r="L28" i="1948"/>
  <c r="D28" i="1948"/>
  <c r="R27" i="1948"/>
  <c r="L27" i="1948"/>
  <c r="D27" i="1948"/>
  <c r="R26" i="1948"/>
  <c r="L26" i="1948"/>
  <c r="D26" i="1948" s="1"/>
  <c r="R25" i="1948"/>
  <c r="L25" i="1948"/>
  <c r="D25" i="1948"/>
  <c r="R24" i="1948"/>
  <c r="L24" i="1948"/>
  <c r="D24" i="1948"/>
  <c r="R23" i="1948"/>
  <c r="L23" i="1948"/>
  <c r="D23" i="1948"/>
  <c r="R22" i="1948"/>
  <c r="L20" i="1948" s="1"/>
  <c r="D20" i="1948" s="1"/>
  <c r="L22" i="1948"/>
  <c r="D22" i="1948"/>
  <c r="R21" i="1948"/>
  <c r="L21" i="1948"/>
  <c r="D21" i="1948" s="1"/>
  <c r="R20" i="1948"/>
  <c r="R19" i="1948"/>
  <c r="L19" i="1948"/>
  <c r="D19" i="1948"/>
  <c r="R18" i="1948"/>
  <c r="L18" i="1948"/>
  <c r="D18" i="1948"/>
  <c r="R17" i="1948"/>
  <c r="L17" i="1948"/>
  <c r="D17" i="1948" s="1"/>
  <c r="R16" i="1948"/>
  <c r="R15" i="1948"/>
  <c r="R14" i="1948"/>
  <c r="D14" i="1948"/>
  <c r="R13" i="1948"/>
  <c r="D13" i="1948"/>
  <c r="R12" i="1948"/>
  <c r="L12" i="1948"/>
  <c r="D12" i="1948" s="1"/>
  <c r="R11" i="1948"/>
  <c r="L11" i="1948"/>
  <c r="D11" i="1948"/>
  <c r="L9" i="1948"/>
  <c r="D9" i="1948" s="1"/>
  <c r="L8" i="1948"/>
  <c r="D8" i="1948"/>
  <c r="L7" i="1948"/>
  <c r="D7" i="1948"/>
  <c r="R6" i="1948"/>
  <c r="L16" i="1948" s="1"/>
  <c r="D16" i="1948" s="1"/>
  <c r="R5" i="1948"/>
  <c r="R4" i="1948"/>
  <c r="L15" i="1948" s="1"/>
  <c r="D15" i="1948" s="1"/>
  <c r="R52" i="1947"/>
  <c r="R51" i="1947"/>
  <c r="D50" i="1947"/>
  <c r="R49" i="1947"/>
  <c r="D49" i="1947"/>
  <c r="R48" i="1947"/>
  <c r="D48" i="1947"/>
  <c r="D46" i="1947"/>
  <c r="D45" i="1947"/>
  <c r="R44" i="1947"/>
  <c r="D44" i="1947"/>
  <c r="R42" i="1947"/>
  <c r="L6" i="1947" s="1"/>
  <c r="D6" i="1947" s="1"/>
  <c r="D29" i="1947" s="1"/>
  <c r="H13" i="1947" s="1"/>
  <c r="H15" i="1947" s="1"/>
  <c r="H29" i="1947" s="1"/>
  <c r="D42" i="1947"/>
  <c r="R41" i="1947"/>
  <c r="D41" i="1947"/>
  <c r="R40" i="1947"/>
  <c r="D40" i="1947"/>
  <c r="R39" i="1947"/>
  <c r="H39" i="1947"/>
  <c r="D39" i="1947"/>
  <c r="R38" i="1947"/>
  <c r="L9" i="1947" s="1"/>
  <c r="D9" i="1947" s="1"/>
  <c r="H38" i="1947"/>
  <c r="D38" i="1947"/>
  <c r="R37" i="1947"/>
  <c r="H37" i="1947"/>
  <c r="D37" i="1947"/>
  <c r="R36" i="1947"/>
  <c r="L10" i="1947" s="1"/>
  <c r="D10" i="1947" s="1"/>
  <c r="H36" i="1947"/>
  <c r="D36" i="1947"/>
  <c r="R35" i="1947"/>
  <c r="H35" i="1947"/>
  <c r="G49" i="1947" s="1"/>
  <c r="D35" i="1947"/>
  <c r="R34" i="1947"/>
  <c r="H34" i="1947"/>
  <c r="D34" i="1947"/>
  <c r="D54" i="1947" s="1"/>
  <c r="H14" i="1947" s="1"/>
  <c r="R33" i="1947"/>
  <c r="R32" i="1947"/>
  <c r="L11" i="1947" s="1"/>
  <c r="D11" i="1947" s="1"/>
  <c r="R31" i="1947"/>
  <c r="R30" i="1947"/>
  <c r="R29" i="1947"/>
  <c r="R28" i="1947"/>
  <c r="L28" i="1947"/>
  <c r="D28" i="1947"/>
  <c r="R27" i="1947"/>
  <c r="L27" i="1947"/>
  <c r="D27" i="1947" s="1"/>
  <c r="R26" i="1947"/>
  <c r="L26" i="1947"/>
  <c r="D26" i="1947"/>
  <c r="R25" i="1947"/>
  <c r="L25" i="1947"/>
  <c r="D25" i="1947"/>
  <c r="R24" i="1947"/>
  <c r="L24" i="1947"/>
  <c r="D24" i="1947"/>
  <c r="R23" i="1947"/>
  <c r="L23" i="1947"/>
  <c r="D23" i="1947"/>
  <c r="R22" i="1947"/>
  <c r="L20" i="1947" s="1"/>
  <c r="D20" i="1947" s="1"/>
  <c r="L22" i="1947"/>
  <c r="D22" i="1947"/>
  <c r="R21" i="1947"/>
  <c r="L21" i="1947"/>
  <c r="D21" i="1947"/>
  <c r="R20" i="1947"/>
  <c r="R19" i="1947"/>
  <c r="L19" i="1947"/>
  <c r="D19" i="1947"/>
  <c r="R18" i="1947"/>
  <c r="L18" i="1947"/>
  <c r="D18" i="1947" s="1"/>
  <c r="R17" i="1947"/>
  <c r="L17" i="1947"/>
  <c r="D17" i="1947" s="1"/>
  <c r="R16" i="1947"/>
  <c r="R15" i="1947"/>
  <c r="L15" i="1947"/>
  <c r="D15" i="1947"/>
  <c r="R14" i="1947"/>
  <c r="D14" i="1947"/>
  <c r="R13" i="1947"/>
  <c r="D13" i="1947"/>
  <c r="R12" i="1947"/>
  <c r="L12" i="1947"/>
  <c r="D12" i="1947" s="1"/>
  <c r="R11" i="1947"/>
  <c r="L8" i="1947"/>
  <c r="D8" i="1947" s="1"/>
  <c r="L7" i="1947"/>
  <c r="D7" i="1947"/>
  <c r="R6" i="1947"/>
  <c r="L16" i="1947" s="1"/>
  <c r="D16" i="1947" s="1"/>
  <c r="R5" i="1947"/>
  <c r="R4" i="1947"/>
  <c r="R52" i="1946"/>
  <c r="R51" i="1946"/>
  <c r="D50" i="1946"/>
  <c r="R49" i="1946"/>
  <c r="G49" i="1946"/>
  <c r="D49" i="1946"/>
  <c r="R48" i="1946"/>
  <c r="D48" i="1946"/>
  <c r="D46" i="1946"/>
  <c r="D45" i="1946"/>
  <c r="D44" i="1946"/>
  <c r="R42" i="1946"/>
  <c r="L6" i="1946" s="1"/>
  <c r="D6" i="1946" s="1"/>
  <c r="D42" i="1946"/>
  <c r="R41" i="1946"/>
  <c r="L7" i="1946" s="1"/>
  <c r="D7" i="1946" s="1"/>
  <c r="D41" i="1946"/>
  <c r="R40" i="1946"/>
  <c r="D40" i="1946"/>
  <c r="R39" i="1946"/>
  <c r="D39" i="1946"/>
  <c r="R38" i="1946"/>
  <c r="L9" i="1946" s="1"/>
  <c r="D9" i="1946" s="1"/>
  <c r="D38" i="1946"/>
  <c r="R37" i="1946"/>
  <c r="D37" i="1946"/>
  <c r="R36" i="1946"/>
  <c r="L10" i="1946" s="1"/>
  <c r="D10" i="1946" s="1"/>
  <c r="D36" i="1946"/>
  <c r="R35" i="1946"/>
  <c r="D35" i="1946"/>
  <c r="R34" i="1946"/>
  <c r="L12" i="1946" s="1"/>
  <c r="D12" i="1946" s="1"/>
  <c r="D34" i="1946"/>
  <c r="D54" i="1946" s="1"/>
  <c r="H14" i="1946" s="1"/>
  <c r="R33" i="1946"/>
  <c r="L23" i="1946" s="1"/>
  <c r="D23" i="1946" s="1"/>
  <c r="R32" i="1946"/>
  <c r="R31" i="1946"/>
  <c r="R30" i="1946"/>
  <c r="R29" i="1946"/>
  <c r="R28" i="1946"/>
  <c r="L16" i="1946" s="1"/>
  <c r="D16" i="1946" s="1"/>
  <c r="D28" i="1946"/>
  <c r="R27" i="1946"/>
  <c r="D27" i="1946"/>
  <c r="R26" i="1946"/>
  <c r="L26" i="1946"/>
  <c r="D26" i="1946"/>
  <c r="R25" i="1946"/>
  <c r="L25" i="1946"/>
  <c r="D25" i="1946"/>
  <c r="R24" i="1946"/>
  <c r="D24" i="1946"/>
  <c r="R23" i="1946"/>
  <c r="R22" i="1946"/>
  <c r="L22" i="1946"/>
  <c r="D22" i="1946"/>
  <c r="R21" i="1946"/>
  <c r="D21" i="1946"/>
  <c r="R20" i="1946"/>
  <c r="L20" i="1946"/>
  <c r="D20" i="1946"/>
  <c r="R19" i="1946"/>
  <c r="L19" i="1946"/>
  <c r="D19" i="1946"/>
  <c r="R18" i="1946"/>
  <c r="D18" i="1946"/>
  <c r="R17" i="1946"/>
  <c r="D17" i="1946"/>
  <c r="R16" i="1946"/>
  <c r="S15" i="1946"/>
  <c r="R15" i="1946"/>
  <c r="D15" i="1946"/>
  <c r="S14" i="1946"/>
  <c r="R14" i="1946"/>
  <c r="D14" i="1946"/>
  <c r="R13" i="1946"/>
  <c r="D13" i="1946"/>
  <c r="R12" i="1946"/>
  <c r="R11" i="1946"/>
  <c r="L11" i="1946"/>
  <c r="D11" i="1946"/>
  <c r="L8" i="1946"/>
  <c r="D8" i="1946"/>
  <c r="R6" i="1946"/>
  <c r="R5" i="1946"/>
  <c r="R4" i="1946"/>
  <c r="D54" i="1945"/>
  <c r="H14" i="1945" s="1"/>
  <c r="R52" i="1945"/>
  <c r="R51" i="1945"/>
  <c r="D50" i="1945"/>
  <c r="R49" i="1945"/>
  <c r="D49" i="1945"/>
  <c r="R48" i="1945"/>
  <c r="D48" i="1945"/>
  <c r="D46" i="1945"/>
  <c r="D45" i="1945"/>
  <c r="R44" i="1945"/>
  <c r="L28" i="1945" s="1"/>
  <c r="D28" i="1945" s="1"/>
  <c r="D44" i="1945"/>
  <c r="R42" i="1945"/>
  <c r="D42" i="1945"/>
  <c r="R41" i="1945"/>
  <c r="L7" i="1945" s="1"/>
  <c r="D7" i="1945" s="1"/>
  <c r="D41" i="1945"/>
  <c r="R40" i="1945"/>
  <c r="D40" i="1945"/>
  <c r="R39" i="1945"/>
  <c r="H39" i="1945"/>
  <c r="D39" i="1945"/>
  <c r="R38" i="1945"/>
  <c r="L9" i="1945" s="1"/>
  <c r="D9" i="1945" s="1"/>
  <c r="H38" i="1945"/>
  <c r="D38" i="1945"/>
  <c r="R37" i="1945"/>
  <c r="H37" i="1945"/>
  <c r="D37" i="1945"/>
  <c r="R36" i="1945"/>
  <c r="L10" i="1945" s="1"/>
  <c r="D10" i="1945" s="1"/>
  <c r="H36" i="1945"/>
  <c r="D36" i="1945"/>
  <c r="R35" i="1945"/>
  <c r="L18" i="1945" s="1"/>
  <c r="D18" i="1945" s="1"/>
  <c r="H35" i="1945"/>
  <c r="D35" i="1945"/>
  <c r="R34" i="1945"/>
  <c r="H34" i="1945"/>
  <c r="G49" i="1945" s="1"/>
  <c r="D34" i="1945"/>
  <c r="R33" i="1945"/>
  <c r="R32" i="1945"/>
  <c r="L11" i="1945" s="1"/>
  <c r="D11" i="1945" s="1"/>
  <c r="R31" i="1945"/>
  <c r="R30" i="1945"/>
  <c r="R29" i="1945"/>
  <c r="R28" i="1945"/>
  <c r="R27" i="1945"/>
  <c r="L27" i="1945"/>
  <c r="D27" i="1945" s="1"/>
  <c r="R26" i="1945"/>
  <c r="L26" i="1945"/>
  <c r="D26" i="1945" s="1"/>
  <c r="R25" i="1945"/>
  <c r="L25" i="1945"/>
  <c r="D25" i="1945" s="1"/>
  <c r="R24" i="1945"/>
  <c r="L24" i="1945"/>
  <c r="D24" i="1945"/>
  <c r="R23" i="1945"/>
  <c r="L23" i="1945"/>
  <c r="D23" i="1945" s="1"/>
  <c r="R22" i="1945"/>
  <c r="L20" i="1945" s="1"/>
  <c r="D20" i="1945" s="1"/>
  <c r="L22" i="1945"/>
  <c r="D22" i="1945" s="1"/>
  <c r="R21" i="1945"/>
  <c r="L21" i="1945"/>
  <c r="D21" i="1945"/>
  <c r="R20" i="1945"/>
  <c r="R19" i="1945"/>
  <c r="L19" i="1945"/>
  <c r="D19" i="1945"/>
  <c r="R18" i="1945"/>
  <c r="R17" i="1945"/>
  <c r="L17" i="1945"/>
  <c r="D17" i="1945"/>
  <c r="R16" i="1945"/>
  <c r="R15" i="1945"/>
  <c r="R14" i="1945"/>
  <c r="D14" i="1945"/>
  <c r="R13" i="1945"/>
  <c r="D13" i="1945"/>
  <c r="R12" i="1945"/>
  <c r="L12" i="1945"/>
  <c r="D12" i="1945"/>
  <c r="R11" i="1945"/>
  <c r="L8" i="1945"/>
  <c r="D8" i="1945" s="1"/>
  <c r="R6" i="1945"/>
  <c r="L16" i="1945" s="1"/>
  <c r="D16" i="1945" s="1"/>
  <c r="L6" i="1945"/>
  <c r="D6" i="1945" s="1"/>
  <c r="R5" i="1945"/>
  <c r="R4" i="1945"/>
  <c r="L15" i="1945" s="1"/>
  <c r="D15" i="1945" s="1"/>
  <c r="R52" i="1944"/>
  <c r="R51" i="1944"/>
  <c r="D50" i="1944"/>
  <c r="R49" i="1944"/>
  <c r="D49" i="1944"/>
  <c r="R48" i="1944"/>
  <c r="D48" i="1944"/>
  <c r="D46" i="1944"/>
  <c r="D45" i="1944"/>
  <c r="R44" i="1944"/>
  <c r="L28" i="1944" s="1"/>
  <c r="D28" i="1944" s="1"/>
  <c r="D44" i="1944"/>
  <c r="R42" i="1944"/>
  <c r="D42" i="1944"/>
  <c r="R41" i="1944"/>
  <c r="L7" i="1944" s="1"/>
  <c r="D7" i="1944" s="1"/>
  <c r="D41" i="1944"/>
  <c r="R40" i="1944"/>
  <c r="L8" i="1944" s="1"/>
  <c r="D8" i="1944" s="1"/>
  <c r="D40" i="1944"/>
  <c r="R39" i="1944"/>
  <c r="H39" i="1944"/>
  <c r="D39" i="1944"/>
  <c r="R38" i="1944"/>
  <c r="H38" i="1944"/>
  <c r="D38" i="1944"/>
  <c r="R37" i="1944"/>
  <c r="H37" i="1944"/>
  <c r="D37" i="1944"/>
  <c r="R36" i="1944"/>
  <c r="H36" i="1944"/>
  <c r="D36" i="1944"/>
  <c r="R35" i="1944"/>
  <c r="H35" i="1944"/>
  <c r="D35" i="1944"/>
  <c r="R34" i="1944"/>
  <c r="L12" i="1944" s="1"/>
  <c r="D12" i="1944" s="1"/>
  <c r="H34" i="1944"/>
  <c r="G49" i="1944" s="1"/>
  <c r="D34" i="1944"/>
  <c r="D54" i="1944" s="1"/>
  <c r="H14" i="1944" s="1"/>
  <c r="R33" i="1944"/>
  <c r="L19" i="1944" s="1"/>
  <c r="D19" i="1944" s="1"/>
  <c r="R32" i="1944"/>
  <c r="R31" i="1944"/>
  <c r="R30" i="1944"/>
  <c r="R29" i="1944"/>
  <c r="R28" i="1944"/>
  <c r="R27" i="1944"/>
  <c r="L27" i="1944"/>
  <c r="D27" i="1944"/>
  <c r="R26" i="1944"/>
  <c r="L26" i="1944"/>
  <c r="D26" i="1944" s="1"/>
  <c r="R25" i="1944"/>
  <c r="L25" i="1944"/>
  <c r="D25" i="1944"/>
  <c r="R24" i="1944"/>
  <c r="L24" i="1944"/>
  <c r="D24" i="1944"/>
  <c r="R23" i="1944"/>
  <c r="L23" i="1944"/>
  <c r="D23" i="1944" s="1"/>
  <c r="R22" i="1944"/>
  <c r="L22" i="1944"/>
  <c r="D22" i="1944"/>
  <c r="R21" i="1944"/>
  <c r="L17" i="1944" s="1"/>
  <c r="D17" i="1944" s="1"/>
  <c r="L21" i="1944"/>
  <c r="D21" i="1944"/>
  <c r="R20" i="1944"/>
  <c r="L20" i="1944"/>
  <c r="D20" i="1944" s="1"/>
  <c r="R19" i="1944"/>
  <c r="R18" i="1944"/>
  <c r="L18" i="1944"/>
  <c r="D18" i="1944"/>
  <c r="R17" i="1944"/>
  <c r="R16" i="1944"/>
  <c r="L16" i="1944"/>
  <c r="D16" i="1944" s="1"/>
  <c r="R15" i="1944"/>
  <c r="L15" i="1944"/>
  <c r="D15" i="1944" s="1"/>
  <c r="R14" i="1944"/>
  <c r="D14" i="1944"/>
  <c r="R13" i="1944"/>
  <c r="D13" i="1944"/>
  <c r="R12" i="1944"/>
  <c r="R11" i="1944"/>
  <c r="L11" i="1944"/>
  <c r="D11" i="1944"/>
  <c r="L10" i="1944"/>
  <c r="D10" i="1944"/>
  <c r="L9" i="1944"/>
  <c r="D9" i="1944" s="1"/>
  <c r="R6" i="1944"/>
  <c r="L6" i="1944"/>
  <c r="D6" i="1944" s="1"/>
  <c r="D29" i="1944" s="1"/>
  <c r="H13" i="1944" s="1"/>
  <c r="H15" i="1944" s="1"/>
  <c r="H29" i="1944" s="1"/>
  <c r="R5" i="1944"/>
  <c r="R4" i="1944"/>
  <c r="R52" i="1943"/>
  <c r="R51" i="1943"/>
  <c r="D50" i="1943"/>
  <c r="R49" i="1943"/>
  <c r="D49" i="1943"/>
  <c r="R48" i="1943"/>
  <c r="D48" i="1943"/>
  <c r="D46" i="1943"/>
  <c r="D45" i="1943"/>
  <c r="R44" i="1943"/>
  <c r="D44" i="1943"/>
  <c r="R42" i="1943"/>
  <c r="L6" i="1943" s="1"/>
  <c r="D6" i="1943" s="1"/>
  <c r="D42" i="1943"/>
  <c r="R41" i="1943"/>
  <c r="L7" i="1943" s="1"/>
  <c r="D7" i="1943" s="1"/>
  <c r="D41" i="1943"/>
  <c r="R40" i="1943"/>
  <c r="D40" i="1943"/>
  <c r="R39" i="1943"/>
  <c r="H39" i="1943"/>
  <c r="D39" i="1943"/>
  <c r="R38" i="1943"/>
  <c r="H38" i="1943"/>
  <c r="D38" i="1943"/>
  <c r="R37" i="1943"/>
  <c r="H37" i="1943"/>
  <c r="D37" i="1943"/>
  <c r="R36" i="1943"/>
  <c r="L10" i="1943" s="1"/>
  <c r="D10" i="1943" s="1"/>
  <c r="H36" i="1943"/>
  <c r="G49" i="1943" s="1"/>
  <c r="D36" i="1943"/>
  <c r="D54" i="1943" s="1"/>
  <c r="H14" i="1943" s="1"/>
  <c r="R35" i="1943"/>
  <c r="L18" i="1943" s="1"/>
  <c r="D18" i="1943" s="1"/>
  <c r="H35" i="1943"/>
  <c r="D35" i="1943"/>
  <c r="R34" i="1943"/>
  <c r="H34" i="1943"/>
  <c r="D34" i="1943"/>
  <c r="R33" i="1943"/>
  <c r="R32" i="1943"/>
  <c r="R31" i="1943"/>
  <c r="R30" i="1943"/>
  <c r="R29" i="1943"/>
  <c r="R28" i="1943"/>
  <c r="L28" i="1943"/>
  <c r="D28" i="1943"/>
  <c r="R27" i="1943"/>
  <c r="L27" i="1943"/>
  <c r="D27" i="1943"/>
  <c r="R26" i="1943"/>
  <c r="L26" i="1943"/>
  <c r="D26" i="1943"/>
  <c r="R25" i="1943"/>
  <c r="L25" i="1943"/>
  <c r="D25" i="1943"/>
  <c r="R24" i="1943"/>
  <c r="L24" i="1943"/>
  <c r="D24" i="1943"/>
  <c r="R23" i="1943"/>
  <c r="L23" i="1943"/>
  <c r="D23" i="1943"/>
  <c r="R22" i="1943"/>
  <c r="L20" i="1943" s="1"/>
  <c r="D20" i="1943" s="1"/>
  <c r="L22" i="1943"/>
  <c r="D22" i="1943" s="1"/>
  <c r="R21" i="1943"/>
  <c r="L21" i="1943"/>
  <c r="D21" i="1943" s="1"/>
  <c r="R20" i="1943"/>
  <c r="R19" i="1943"/>
  <c r="L19" i="1943"/>
  <c r="D19" i="1943"/>
  <c r="R18" i="1943"/>
  <c r="R17" i="1943"/>
  <c r="L17" i="1943"/>
  <c r="D17" i="1943"/>
  <c r="R16" i="1943"/>
  <c r="R15" i="1943"/>
  <c r="R14" i="1943"/>
  <c r="D14" i="1943"/>
  <c r="R13" i="1943"/>
  <c r="D13" i="1943"/>
  <c r="R12" i="1943"/>
  <c r="L12" i="1943"/>
  <c r="D12" i="1943"/>
  <c r="R11" i="1943"/>
  <c r="L11" i="1943"/>
  <c r="D11" i="1943" s="1"/>
  <c r="L9" i="1943"/>
  <c r="D9" i="1943"/>
  <c r="L8" i="1943"/>
  <c r="D8" i="1943" s="1"/>
  <c r="R6" i="1943"/>
  <c r="L16" i="1943" s="1"/>
  <c r="D16" i="1943" s="1"/>
  <c r="R5" i="1943"/>
  <c r="R4" i="1943"/>
  <c r="L15" i="1943" s="1"/>
  <c r="D15" i="1943" s="1"/>
  <c r="R52" i="1942"/>
  <c r="R51" i="1942"/>
  <c r="D50" i="1942"/>
  <c r="R49" i="1942"/>
  <c r="G49" i="1942"/>
  <c r="D49" i="1942"/>
  <c r="R48" i="1942"/>
  <c r="D48" i="1942"/>
  <c r="D46" i="1942"/>
  <c r="D45" i="1942"/>
  <c r="D44" i="1942"/>
  <c r="R42" i="1942"/>
  <c r="D42" i="1942"/>
  <c r="R41" i="1942"/>
  <c r="L7" i="1942" s="1"/>
  <c r="D7" i="1942" s="1"/>
  <c r="D41" i="1942"/>
  <c r="R40" i="1942"/>
  <c r="L8" i="1942" s="1"/>
  <c r="D8" i="1942" s="1"/>
  <c r="D40" i="1942"/>
  <c r="R39" i="1942"/>
  <c r="D39" i="1942"/>
  <c r="R38" i="1942"/>
  <c r="L9" i="1942" s="1"/>
  <c r="D9" i="1942" s="1"/>
  <c r="D38" i="1942"/>
  <c r="R37" i="1942"/>
  <c r="D37" i="1942"/>
  <c r="D54" i="1942" s="1"/>
  <c r="H14" i="1942" s="1"/>
  <c r="R36" i="1942"/>
  <c r="L10" i="1942" s="1"/>
  <c r="D10" i="1942" s="1"/>
  <c r="D36" i="1942"/>
  <c r="R35" i="1942"/>
  <c r="D35" i="1942"/>
  <c r="R34" i="1942"/>
  <c r="L12" i="1942" s="1"/>
  <c r="D12" i="1942" s="1"/>
  <c r="D34" i="1942"/>
  <c r="R33" i="1942"/>
  <c r="L23" i="1942" s="1"/>
  <c r="D23" i="1942" s="1"/>
  <c r="R32" i="1942"/>
  <c r="L11" i="1942" s="1"/>
  <c r="D11" i="1942" s="1"/>
  <c r="R31" i="1942"/>
  <c r="R30" i="1942"/>
  <c r="R29" i="1942"/>
  <c r="R28" i="1942"/>
  <c r="L16" i="1942" s="1"/>
  <c r="D16" i="1942" s="1"/>
  <c r="D28" i="1942"/>
  <c r="R27" i="1942"/>
  <c r="D27" i="1942"/>
  <c r="R26" i="1942"/>
  <c r="L26" i="1942"/>
  <c r="D26" i="1942"/>
  <c r="R25" i="1942"/>
  <c r="L25" i="1942"/>
  <c r="D25" i="1942"/>
  <c r="R24" i="1942"/>
  <c r="D24" i="1942"/>
  <c r="R23" i="1942"/>
  <c r="R22" i="1942"/>
  <c r="L22" i="1942"/>
  <c r="D22" i="1942"/>
  <c r="R21" i="1942"/>
  <c r="D21" i="1942"/>
  <c r="R20" i="1942"/>
  <c r="L20" i="1942"/>
  <c r="D20" i="1942"/>
  <c r="R19" i="1942"/>
  <c r="L19" i="1942"/>
  <c r="D19" i="1942"/>
  <c r="R18" i="1942"/>
  <c r="D18" i="1942"/>
  <c r="R17" i="1942"/>
  <c r="D17" i="1942"/>
  <c r="R16" i="1942"/>
  <c r="S15" i="1942"/>
  <c r="R15" i="1942"/>
  <c r="D15" i="1942"/>
  <c r="S14" i="1942"/>
  <c r="R14" i="1942"/>
  <c r="D14" i="1942"/>
  <c r="R13" i="1942"/>
  <c r="D13" i="1942"/>
  <c r="R12" i="1942"/>
  <c r="R11" i="1942"/>
  <c r="R6" i="1942"/>
  <c r="L6" i="1942"/>
  <c r="D6" i="1942" s="1"/>
  <c r="R5" i="1942"/>
  <c r="R4" i="1942"/>
  <c r="L28" i="1941"/>
  <c r="L27" i="1941"/>
  <c r="L26" i="1941"/>
  <c r="L25" i="1941"/>
  <c r="L24" i="1941"/>
  <c r="L23" i="1941"/>
  <c r="L22" i="1941"/>
  <c r="L21" i="1941"/>
  <c r="L20" i="1941"/>
  <c r="L19" i="1941"/>
  <c r="L18" i="1941"/>
  <c r="L17" i="1941"/>
  <c r="L16" i="1941"/>
  <c r="L15" i="1941"/>
  <c r="L12" i="1941"/>
  <c r="L11" i="1941"/>
  <c r="L10" i="1941"/>
  <c r="L9" i="1941"/>
  <c r="L8" i="1941"/>
  <c r="L7" i="1941"/>
  <c r="L6" i="1941"/>
  <c r="L28" i="1940"/>
  <c r="L27" i="1940"/>
  <c r="L26" i="1940"/>
  <c r="L25" i="1940"/>
  <c r="L24" i="1940"/>
  <c r="L23" i="1940"/>
  <c r="L22" i="1940"/>
  <c r="L21" i="1940"/>
  <c r="L20" i="1940"/>
  <c r="L19" i="1940"/>
  <c r="L18" i="1940"/>
  <c r="L17" i="1940"/>
  <c r="L16" i="1940"/>
  <c r="L15" i="1940"/>
  <c r="L12" i="1940"/>
  <c r="L11" i="1940"/>
  <c r="L10" i="1940"/>
  <c r="L9" i="1940"/>
  <c r="L8" i="1940"/>
  <c r="L7" i="1940"/>
  <c r="L6" i="1940"/>
  <c r="L27" i="1939"/>
  <c r="L26" i="1939"/>
  <c r="L25" i="1939"/>
  <c r="L24" i="1939"/>
  <c r="L23" i="1939"/>
  <c r="L22" i="1939"/>
  <c r="L21" i="1939"/>
  <c r="L20" i="1939"/>
  <c r="L18" i="1939"/>
  <c r="L17" i="1939"/>
  <c r="L15" i="1939"/>
  <c r="L19" i="1939"/>
  <c r="L16" i="1939"/>
  <c r="D29" i="1957" l="1"/>
  <c r="H13" i="1957" s="1"/>
  <c r="H15" i="1957" s="1"/>
  <c r="H29" i="1957" s="1"/>
  <c r="G51" i="1957"/>
  <c r="D29" i="1956"/>
  <c r="H13" i="1956" s="1"/>
  <c r="H15" i="1956" s="1"/>
  <c r="H29" i="1956" s="1"/>
  <c r="G51" i="1956"/>
  <c r="D29" i="1955"/>
  <c r="H13" i="1955" s="1"/>
  <c r="H15" i="1955" s="1"/>
  <c r="H29" i="1955" s="1"/>
  <c r="G51" i="1955"/>
  <c r="D29" i="1954"/>
  <c r="H13" i="1954" s="1"/>
  <c r="H15" i="1954" s="1"/>
  <c r="H29" i="1954" s="1"/>
  <c r="G51" i="1954"/>
  <c r="D29" i="1953"/>
  <c r="H13" i="1953" s="1"/>
  <c r="H15" i="1953" s="1"/>
  <c r="H29" i="1953" s="1"/>
  <c r="G51" i="1953" s="1"/>
  <c r="D29" i="1952"/>
  <c r="H13" i="1952" s="1"/>
  <c r="H15" i="1952" s="1"/>
  <c r="H29" i="1952" s="1"/>
  <c r="G51" i="1952" s="1"/>
  <c r="D29" i="1951"/>
  <c r="H13" i="1951" s="1"/>
  <c r="H15" i="1951" s="1"/>
  <c r="H29" i="1951" s="1"/>
  <c r="G51" i="1951" s="1"/>
  <c r="D29" i="1950"/>
  <c r="H13" i="1950" s="1"/>
  <c r="H15" i="1950" s="1"/>
  <c r="H29" i="1950" s="1"/>
  <c r="G51" i="1950" s="1"/>
  <c r="D29" i="1949"/>
  <c r="H13" i="1949" s="1"/>
  <c r="H15" i="1949" s="1"/>
  <c r="H29" i="1949" s="1"/>
  <c r="G51" i="1949"/>
  <c r="D29" i="1948"/>
  <c r="H13" i="1948" s="1"/>
  <c r="H15" i="1948" s="1"/>
  <c r="H29" i="1948" s="1"/>
  <c r="G51" i="1948" s="1"/>
  <c r="G51" i="1947"/>
  <c r="D29" i="1946"/>
  <c r="H13" i="1946" s="1"/>
  <c r="H15" i="1946" s="1"/>
  <c r="H29" i="1946" s="1"/>
  <c r="G51" i="1946" s="1"/>
  <c r="D29" i="1945"/>
  <c r="H13" i="1945" s="1"/>
  <c r="H15" i="1945" s="1"/>
  <c r="H29" i="1945" s="1"/>
  <c r="G51" i="1945" s="1"/>
  <c r="G51" i="1944"/>
  <c r="G51" i="1943"/>
  <c r="D29" i="1943"/>
  <c r="H13" i="1943" s="1"/>
  <c r="H15" i="1943" s="1"/>
  <c r="H29" i="1943" s="1"/>
  <c r="D29" i="1942"/>
  <c r="H13" i="1942" s="1"/>
  <c r="H15" i="1942" s="1"/>
  <c r="H29" i="1942" s="1"/>
  <c r="G51" i="1942" s="1"/>
  <c r="R52" i="1941"/>
  <c r="R51" i="1941"/>
  <c r="D50" i="1941"/>
  <c r="R49" i="1941"/>
  <c r="D49" i="1941"/>
  <c r="R48" i="1941"/>
  <c r="D48" i="1941"/>
  <c r="D46" i="1941"/>
  <c r="D45" i="1941"/>
  <c r="R44" i="194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D9" i="1941" s="1"/>
  <c r="H38" i="1941"/>
  <c r="D38" i="1941"/>
  <c r="R37" i="1941"/>
  <c r="H37" i="1941"/>
  <c r="D37" i="1941"/>
  <c r="R36" i="1941"/>
  <c r="D10" i="1941" s="1"/>
  <c r="H36" i="1941"/>
  <c r="D36" i="1941"/>
  <c r="R35" i="1941"/>
  <c r="H35" i="1941"/>
  <c r="D35" i="1941"/>
  <c r="R34" i="1941"/>
  <c r="H34" i="1941"/>
  <c r="G49" i="1941" s="1"/>
  <c r="D34" i="1941"/>
  <c r="D54" i="1941" s="1"/>
  <c r="H14" i="1941" s="1"/>
  <c r="R33" i="1941"/>
  <c r="R32" i="1941"/>
  <c r="R31" i="1941"/>
  <c r="R30" i="1941"/>
  <c r="R29" i="1941"/>
  <c r="R28" i="1941"/>
  <c r="R27" i="1941"/>
  <c r="D27" i="1941"/>
  <c r="R26" i="1941"/>
  <c r="D26" i="1941"/>
  <c r="R25" i="1941"/>
  <c r="D25" i="1941"/>
  <c r="R24" i="1941"/>
  <c r="D24" i="1941"/>
  <c r="R23" i="1941"/>
  <c r="D23" i="1941"/>
  <c r="R22" i="1941"/>
  <c r="D22" i="1941"/>
  <c r="R21" i="1941"/>
  <c r="D21" i="1941"/>
  <c r="R20" i="1941"/>
  <c r="D20" i="1941"/>
  <c r="R19" i="1941"/>
  <c r="D19" i="1941"/>
  <c r="R18" i="1941"/>
  <c r="D18" i="1941"/>
  <c r="R17" i="1941"/>
  <c r="D17" i="1941"/>
  <c r="R16" i="1941"/>
  <c r="D16" i="1941"/>
  <c r="R15" i="1941"/>
  <c r="D15" i="1941"/>
  <c r="R14" i="1941"/>
  <c r="D14" i="1941"/>
  <c r="R13" i="1941"/>
  <c r="D13" i="1941"/>
  <c r="R12" i="1941"/>
  <c r="D12" i="1941"/>
  <c r="R11" i="1941"/>
  <c r="D11" i="1941"/>
  <c r="D8" i="1941"/>
  <c r="D7" i="1941"/>
  <c r="R6" i="1941"/>
  <c r="D6" i="194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D10" i="1940" s="1"/>
  <c r="H36" i="1940"/>
  <c r="D36" i="1940"/>
  <c r="R35" i="1940"/>
  <c r="H35" i="1940"/>
  <c r="D35" i="1940"/>
  <c r="R34" i="1940"/>
  <c r="D12" i="1940" s="1"/>
  <c r="H34" i="1940"/>
  <c r="G49" i="1940" s="1"/>
  <c r="D34" i="1940"/>
  <c r="D54" i="1940" s="1"/>
  <c r="H14" i="1940" s="1"/>
  <c r="R33" i="1940"/>
  <c r="D23" i="1940" s="1"/>
  <c r="R32" i="1940"/>
  <c r="R31" i="1940"/>
  <c r="R30" i="1940"/>
  <c r="R29" i="1940"/>
  <c r="R28" i="1940"/>
  <c r="D28" i="1940"/>
  <c r="R27" i="1940"/>
  <c r="D27" i="1940"/>
  <c r="R26" i="1940"/>
  <c r="D26" i="1940"/>
  <c r="R25" i="1940"/>
  <c r="D25" i="1940"/>
  <c r="R24" i="1940"/>
  <c r="D24" i="1940"/>
  <c r="R23" i="1940"/>
  <c r="R22" i="1940"/>
  <c r="D22" i="1940"/>
  <c r="R21" i="1940"/>
  <c r="D17" i="1940" s="1"/>
  <c r="D21" i="1940"/>
  <c r="R20" i="1940"/>
  <c r="D20" i="1940"/>
  <c r="R19" i="1940"/>
  <c r="D19" i="1940"/>
  <c r="R18" i="1940"/>
  <c r="D18" i="1940"/>
  <c r="R17" i="1940"/>
  <c r="R16" i="1940"/>
  <c r="D16" i="1940"/>
  <c r="R15" i="1940"/>
  <c r="D15" i="1940"/>
  <c r="R14" i="1940"/>
  <c r="D14" i="1940"/>
  <c r="R13" i="1940"/>
  <c r="D13" i="1940"/>
  <c r="R12" i="1940"/>
  <c r="R11" i="1940"/>
  <c r="D11" i="1940"/>
  <c r="D9" i="1940"/>
  <c r="D8" i="1940"/>
  <c r="D7" i="1940"/>
  <c r="R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G49" i="1939" s="1"/>
  <c r="D34" i="1939"/>
  <c r="D54" i="1939" s="1"/>
  <c r="H14" i="1939" s="1"/>
  <c r="R33" i="1939"/>
  <c r="R32" i="1939"/>
  <c r="R31" i="1939"/>
  <c r="R30" i="1939"/>
  <c r="R29" i="1939"/>
  <c r="R28" i="1939"/>
  <c r="R27" i="1939"/>
  <c r="D27" i="1939"/>
  <c r="R26" i="1939"/>
  <c r="D26" i="1939"/>
  <c r="R25" i="1939"/>
  <c r="D25" i="1939"/>
  <c r="R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D17" i="1939"/>
  <c r="R16" i="1939"/>
  <c r="D16" i="1939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D29" i="1941" l="1"/>
  <c r="H13" i="1941" s="1"/>
  <c r="H15" i="1941" s="1"/>
  <c r="H29" i="1941" s="1"/>
  <c r="G51" i="1941" s="1"/>
  <c r="D29" i="1940"/>
  <c r="H13" i="1940" s="1"/>
  <c r="H15" i="1940" s="1"/>
  <c r="H29" i="1940" s="1"/>
  <c r="G51" i="1940" s="1"/>
  <c r="D29" i="1939"/>
  <c r="H13" i="1939" s="1"/>
  <c r="H15" i="1939" s="1"/>
  <c r="H29" i="1939" s="1"/>
  <c r="G51" i="1939" s="1"/>
  <c r="D29" i="1938"/>
  <c r="H13" i="1938" s="1"/>
  <c r="H15" i="1938" s="1"/>
  <c r="H29" i="1938" s="1"/>
  <c r="G51" i="1938" s="1"/>
</calcChain>
</file>

<file path=xl/sharedStrings.xml><?xml version="1.0" encoding="utf-8"?>
<sst xmlns="http://schemas.openxmlformats.org/spreadsheetml/2006/main" count="2680" uniqueCount="131">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</sst>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0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4" fillId="0" borderId="16" xfId="0" applyFont="1" applyBorder="1"/>
    <xf numFmtId="0" fontId="23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4AD7FA-BA60-491B-9509-23406D1A83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B7AF26-D318-4C19-9552-F66D7D824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8D7F34-627A-440A-B197-3AAC777C18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F2F134-68B1-423A-A0B2-D01F4FE61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34CAC6-3CEF-44F5-8A18-3F4C8FF311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785943-BB03-4B09-B4B5-5E94D7701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B6761-DA5D-412C-B111-4C9998146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4B8E9-8624-4A55-88EE-5335A7942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0F15E4-074C-44E9-9E54-E0991FECA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683FF8-DFB6-4D45-BC06-819B67068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529C72-DE62-4B61-B5ED-BE595074C1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E7A0D-D077-478E-94E1-B2FA79CEA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3281A9-1B24-4F07-9B9B-E76BB96B4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AAC741-A985-437E-954C-142E7E2DF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739A6-DE5A-407A-80AB-B2D77EFA4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8FC96-3391-436A-B8ED-CA2D9CC51B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38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39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2" t="s">
        <v>13</v>
      </c>
      <c r="I21" s="163"/>
      <c r="J21" s="16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67" t="s">
        <v>13</v>
      </c>
      <c r="I25" s="168"/>
      <c r="J25" s="16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89"/>
      <c r="G28" s="61"/>
      <c r="H28" s="176"/>
      <c r="I28" s="177"/>
      <c r="J28" s="17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54</v>
      </c>
      <c r="G29" s="158"/>
      <c r="H29" s="118">
        <f>H15-H16-H17-H18-H19-H20-H22-H23-H24+H26+H27</f>
        <v>0</v>
      </c>
      <c r="I29" s="119"/>
      <c r="J29" s="1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57</v>
      </c>
      <c r="B32" s="144"/>
      <c r="C32" s="144"/>
      <c r="D32" s="145"/>
      <c r="F32" s="146" t="s">
        <v>58</v>
      </c>
      <c r="G32" s="147"/>
      <c r="H32" s="147"/>
      <c r="I32" s="147"/>
      <c r="J32" s="14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46" t="s">
        <v>13</v>
      </c>
      <c r="I33" s="147"/>
      <c r="J33" s="14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140"/>
      <c r="H42" s="141"/>
      <c r="I42" s="141"/>
      <c r="J42" s="14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80</v>
      </c>
      <c r="C43" s="11"/>
      <c r="D43" s="12"/>
      <c r="F43" s="59" t="s">
        <v>81</v>
      </c>
      <c r="G43" s="86" t="s">
        <v>82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65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67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69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65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67</v>
      </c>
      <c r="C49" s="33"/>
      <c r="D49" s="12">
        <f>C49*42</f>
        <v>0</v>
      </c>
      <c r="F49" s="116" t="s">
        <v>85</v>
      </c>
      <c r="G49" s="118">
        <f>H34+H35+H36+H37+H38+H39+H40+H41+G42+H44+H45+H46</f>
        <v>0</v>
      </c>
      <c r="H49" s="119"/>
      <c r="I49" s="119"/>
      <c r="J49" s="1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69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106</v>
      </c>
      <c r="G51" s="126">
        <f>G49-H29</f>
        <v>0</v>
      </c>
      <c r="H51" s="127"/>
      <c r="I51" s="127"/>
      <c r="J51" s="12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6" t="s">
        <v>89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90</v>
      </c>
      <c r="B58" s="105"/>
      <c r="C58" s="105"/>
      <c r="D58" s="106"/>
      <c r="F58" s="104" t="s">
        <v>91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zoomScaleNormal="100" zoomScaleSheetLayoutView="85" workbookViewId="0">
      <selection activeCell="C6" sqref="C6:C1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46113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99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120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38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122</v>
      </c>
      <c r="C15" s="10"/>
      <c r="D15" s="31">
        <f t="shared" si="1"/>
        <v>0</v>
      </c>
      <c r="F15" s="187" t="s">
        <v>39</v>
      </c>
      <c r="G15" s="188"/>
      <c r="H15" s="189">
        <f>H13-H14</f>
        <v>0</v>
      </c>
      <c r="I15" s="190"/>
      <c r="J15" s="19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237" t="s">
        <v>123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238" t="s">
        <v>125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60"/>
      <c r="I19" s="160"/>
      <c r="J19" s="1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2" t="s">
        <v>13</v>
      </c>
      <c r="I21" s="163"/>
      <c r="J21" s="16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121</v>
      </c>
      <c r="C23" s="10"/>
      <c r="D23" s="48">
        <f t="shared" si="1"/>
        <v>0</v>
      </c>
      <c r="F23" s="77"/>
      <c r="G23" s="79"/>
      <c r="H23" s="231"/>
      <c r="I23" s="232"/>
      <c r="J23" s="23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128</v>
      </c>
      <c r="C24" s="10"/>
      <c r="D24" s="48">
        <f t="shared" si="1"/>
        <v>0</v>
      </c>
      <c r="F24" s="77"/>
      <c r="G24" s="79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67" t="s">
        <v>13</v>
      </c>
      <c r="I25" s="168"/>
      <c r="J25" s="16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129</v>
      </c>
      <c r="C26" s="10"/>
      <c r="D26" s="48">
        <f t="shared" si="1"/>
        <v>0</v>
      </c>
      <c r="F26" s="75"/>
      <c r="G26" s="65"/>
      <c r="H26" s="135"/>
      <c r="I26" s="135"/>
      <c r="J26" s="1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130</v>
      </c>
      <c r="C27" s="10"/>
      <c r="D27" s="44">
        <f t="shared" si="1"/>
        <v>0</v>
      </c>
      <c r="F27" s="71"/>
      <c r="G27" s="86"/>
      <c r="H27" s="233"/>
      <c r="I27" s="234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89"/>
      <c r="G28" s="61"/>
      <c r="H28" s="176"/>
      <c r="I28" s="177"/>
      <c r="J28" s="17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54</v>
      </c>
      <c r="G29" s="158"/>
      <c r="H29" s="118">
        <f>H15-H16-H17-H18-H19-H20-H22-H23-H24+H26+H27+H28</f>
        <v>0</v>
      </c>
      <c r="I29" s="119"/>
      <c r="J29" s="1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146" t="s">
        <v>58</v>
      </c>
      <c r="G32" s="147"/>
      <c r="H32" s="147"/>
      <c r="I32" s="147"/>
      <c r="J32" s="14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46" t="s">
        <v>13</v>
      </c>
      <c r="I33" s="147"/>
      <c r="J33" s="14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0">
        <f t="shared" ref="H34:H39" si="2">F34*G34</f>
        <v>0</v>
      </c>
      <c r="I34" s="141"/>
      <c r="J34" s="14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/>
      <c r="H35" s="140">
        <f t="shared" si="2"/>
        <v>0</v>
      </c>
      <c r="I35" s="141"/>
      <c r="J35" s="14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140">
        <f t="shared" si="2"/>
        <v>0</v>
      </c>
      <c r="I36" s="141"/>
      <c r="J36" s="14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140"/>
      <c r="H42" s="141"/>
      <c r="I42" s="141"/>
      <c r="J42" s="14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80</v>
      </c>
      <c r="C43" s="11"/>
      <c r="D43" s="12"/>
      <c r="F43" s="59" t="s">
        <v>81</v>
      </c>
      <c r="G43" s="86" t="s">
        <v>82</v>
      </c>
      <c r="H43" s="132" t="s">
        <v>13</v>
      </c>
      <c r="I43" s="133"/>
      <c r="J43" s="1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1"/>
      <c r="B44" s="27" t="s">
        <v>65</v>
      </c>
      <c r="C44" s="10"/>
      <c r="D44" s="12">
        <f>C44*120</f>
        <v>0</v>
      </c>
      <c r="F44" s="37"/>
      <c r="G44" s="83"/>
      <c r="H44" s="135"/>
      <c r="I44" s="135"/>
      <c r="J44" s="13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67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69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65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67</v>
      </c>
      <c r="C49" s="33"/>
      <c r="D49" s="12">
        <f>C49*42</f>
        <v>0</v>
      </c>
      <c r="F49" s="116" t="s">
        <v>85</v>
      </c>
      <c r="G49" s="118">
        <f>H34+H35+H36+H37+H38+H39+H40+H41+G42+H44+H45+H46</f>
        <v>0</v>
      </c>
      <c r="H49" s="119"/>
      <c r="I49" s="119"/>
      <c r="J49" s="1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69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114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109</v>
      </c>
      <c r="G51" s="225">
        <f>G49-H29</f>
        <v>0</v>
      </c>
      <c r="H51" s="226"/>
      <c r="I51" s="226"/>
      <c r="J51" s="22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6" t="s">
        <v>89</v>
      </c>
      <c r="B54" s="97"/>
      <c r="C54" s="98"/>
      <c r="D54" s="10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90</v>
      </c>
      <c r="B58" s="105"/>
      <c r="C58" s="105"/>
      <c r="D58" s="106"/>
      <c r="F58" s="104" t="s">
        <v>91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46113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107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100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101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38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122</v>
      </c>
      <c r="C15" s="10"/>
      <c r="D15" s="31">
        <f t="shared" si="1"/>
        <v>0</v>
      </c>
      <c r="F15" s="187" t="s">
        <v>39</v>
      </c>
      <c r="G15" s="188"/>
      <c r="H15" s="189">
        <f>H13-H14</f>
        <v>0</v>
      </c>
      <c r="I15" s="190"/>
      <c r="J15" s="19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237" t="s">
        <v>123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238" t="s">
        <v>125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239" t="s">
        <v>105</v>
      </c>
      <c r="C19" s="10"/>
      <c r="D19" s="48">
        <f t="shared" si="1"/>
        <v>0</v>
      </c>
      <c r="F19" s="56"/>
      <c r="G19" s="68" t="s">
        <v>49</v>
      </c>
      <c r="H19" s="235"/>
      <c r="I19" s="235"/>
      <c r="J19" s="23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2" t="s">
        <v>13</v>
      </c>
      <c r="I21" s="163"/>
      <c r="J21" s="16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121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128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67" t="s">
        <v>13</v>
      </c>
      <c r="I25" s="168"/>
      <c r="J25" s="16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129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130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89"/>
      <c r="G28" s="61"/>
      <c r="H28" s="176"/>
      <c r="I28" s="177"/>
      <c r="J28" s="17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54</v>
      </c>
      <c r="G29" s="158"/>
      <c r="H29" s="118">
        <f>H15-H16-H17-H18-H19-H20-H22-H23-H24+H26+H27</f>
        <v>0</v>
      </c>
      <c r="I29" s="119"/>
      <c r="J29" s="1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146" t="s">
        <v>58</v>
      </c>
      <c r="G32" s="147"/>
      <c r="H32" s="147"/>
      <c r="I32" s="147"/>
      <c r="J32" s="14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46" t="s">
        <v>13</v>
      </c>
      <c r="I33" s="147"/>
      <c r="J33" s="14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/>
      <c r="H35" s="140">
        <f t="shared" ref="H35:H39" si="2">F35*G35</f>
        <v>0</v>
      </c>
      <c r="I35" s="141"/>
      <c r="J35" s="14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140"/>
      <c r="H42" s="141"/>
      <c r="I42" s="141"/>
      <c r="J42" s="14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80</v>
      </c>
      <c r="C43" s="11"/>
      <c r="D43" s="12"/>
      <c r="F43" s="59" t="s">
        <v>81</v>
      </c>
      <c r="G43" s="86" t="s">
        <v>82</v>
      </c>
      <c r="H43" s="132" t="s">
        <v>13</v>
      </c>
      <c r="I43" s="133"/>
      <c r="J43" s="1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1"/>
      <c r="B44" s="27" t="s">
        <v>65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67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69</v>
      </c>
      <c r="C46" s="81"/>
      <c r="D46" s="12">
        <f>C46*1.5</f>
        <v>0</v>
      </c>
      <c r="F46" s="37"/>
      <c r="G46" s="87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65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67</v>
      </c>
      <c r="C49" s="33"/>
      <c r="D49" s="12">
        <f>C49*42</f>
        <v>0</v>
      </c>
      <c r="F49" s="116" t="s">
        <v>85</v>
      </c>
      <c r="G49" s="118">
        <f>H34+H35+H36+H37+H38+H39+H40+H41+G42+H44+H45+H46</f>
        <v>0</v>
      </c>
      <c r="H49" s="119"/>
      <c r="I49" s="119"/>
      <c r="J49" s="1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69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114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112</v>
      </c>
      <c r="G51" s="126">
        <f>G49-H29</f>
        <v>0</v>
      </c>
      <c r="H51" s="127"/>
      <c r="I51" s="127"/>
      <c r="J51" s="12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6" t="s">
        <v>89</v>
      </c>
      <c r="B54" s="97"/>
      <c r="C54" s="98"/>
      <c r="D54" s="10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90</v>
      </c>
      <c r="B58" s="105"/>
      <c r="C58" s="105"/>
      <c r="D58" s="106"/>
      <c r="F58" s="104" t="s">
        <v>91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46113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117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108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38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122</v>
      </c>
      <c r="C15" s="10"/>
      <c r="D15" s="31">
        <f t="shared" si="1"/>
        <v>0</v>
      </c>
      <c r="F15" s="187" t="s">
        <v>39</v>
      </c>
      <c r="G15" s="188"/>
      <c r="H15" s="189">
        <f>H13-H14</f>
        <v>0</v>
      </c>
      <c r="I15" s="190"/>
      <c r="J15" s="19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237" t="s">
        <v>123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238" t="s">
        <v>125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239" t="s">
        <v>105</v>
      </c>
      <c r="C19" s="10"/>
      <c r="D19" s="48">
        <f t="shared" si="1"/>
        <v>0</v>
      </c>
      <c r="F19" s="56"/>
      <c r="G19" s="68" t="s">
        <v>49</v>
      </c>
      <c r="H19" s="236"/>
      <c r="I19" s="236"/>
      <c r="J19" s="23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2" t="s">
        <v>13</v>
      </c>
      <c r="I21" s="163"/>
      <c r="J21" s="16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121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128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67" t="s">
        <v>13</v>
      </c>
      <c r="I25" s="168"/>
      <c r="J25" s="16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129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130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89"/>
      <c r="G28" s="61"/>
      <c r="H28" s="176"/>
      <c r="I28" s="177"/>
      <c r="J28" s="17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54</v>
      </c>
      <c r="G29" s="158"/>
      <c r="H29" s="118">
        <f>H15-H16-H17-H18-H19-H20-H22-H23-H24+H26+H27</f>
        <v>0</v>
      </c>
      <c r="I29" s="119"/>
      <c r="J29" s="1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146" t="s">
        <v>58</v>
      </c>
      <c r="G32" s="147"/>
      <c r="H32" s="147"/>
      <c r="I32" s="147"/>
      <c r="J32" s="14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46" t="s">
        <v>13</v>
      </c>
      <c r="I33" s="147"/>
      <c r="J33" s="14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/>
      <c r="H35" s="140">
        <f>F35*G35</f>
        <v>0</v>
      </c>
      <c r="I35" s="141"/>
      <c r="J35" s="14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140"/>
      <c r="H42" s="141"/>
      <c r="I42" s="141"/>
      <c r="J42" s="14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80</v>
      </c>
      <c r="C43" s="11"/>
      <c r="D43" s="12"/>
      <c r="F43" s="59" t="s">
        <v>81</v>
      </c>
      <c r="G43" s="86" t="s">
        <v>82</v>
      </c>
      <c r="H43" s="132" t="s">
        <v>13</v>
      </c>
      <c r="I43" s="133"/>
      <c r="J43" s="1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1"/>
      <c r="B44" s="27" t="s">
        <v>65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67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69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65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67</v>
      </c>
      <c r="C49" s="33"/>
      <c r="D49" s="12">
        <f>C49*42</f>
        <v>0</v>
      </c>
      <c r="F49" s="116" t="s">
        <v>85</v>
      </c>
      <c r="G49" s="118">
        <f>H34+H35+H36+H37+H38+H39+H40+H41+G42+H44+H45+H46</f>
        <v>0</v>
      </c>
      <c r="H49" s="119"/>
      <c r="I49" s="119"/>
      <c r="J49" s="1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69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114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115</v>
      </c>
      <c r="G51" s="126">
        <f>G49-H29</f>
        <v>0</v>
      </c>
      <c r="H51" s="127"/>
      <c r="I51" s="127"/>
      <c r="J51" s="12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6" t="s">
        <v>89</v>
      </c>
      <c r="B54" s="97"/>
      <c r="C54" s="98"/>
      <c r="D54" s="10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90</v>
      </c>
      <c r="B58" s="105"/>
      <c r="C58" s="105"/>
      <c r="D58" s="106"/>
      <c r="F58" s="104" t="s">
        <v>91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8EA5-6004-4C6F-8E5A-37412DE30D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38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39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2" t="s">
        <v>13</v>
      </c>
      <c r="I21" s="163"/>
      <c r="J21" s="16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67" t="s">
        <v>13</v>
      </c>
      <c r="I25" s="168"/>
      <c r="J25" s="16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2"/>
      <c r="G28" s="61"/>
      <c r="H28" s="176"/>
      <c r="I28" s="177"/>
      <c r="J28" s="17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54</v>
      </c>
      <c r="G29" s="158"/>
      <c r="H29" s="118">
        <f>H15-H16-H17-H18-H19-H20-H22-H23-H24+H26+H27</f>
        <v>0</v>
      </c>
      <c r="I29" s="119"/>
      <c r="J29" s="1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57</v>
      </c>
      <c r="B32" s="144"/>
      <c r="C32" s="144"/>
      <c r="D32" s="145"/>
      <c r="F32" s="146" t="s">
        <v>58</v>
      </c>
      <c r="G32" s="147"/>
      <c r="H32" s="147"/>
      <c r="I32" s="147"/>
      <c r="J32" s="14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46" t="s">
        <v>13</v>
      </c>
      <c r="I33" s="147"/>
      <c r="J33" s="14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140"/>
      <c r="H42" s="141"/>
      <c r="I42" s="141"/>
      <c r="J42" s="14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80</v>
      </c>
      <c r="C43" s="11"/>
      <c r="D43" s="12"/>
      <c r="F43" s="59" t="s">
        <v>81</v>
      </c>
      <c r="G43" s="95" t="s">
        <v>82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65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67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69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65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67</v>
      </c>
      <c r="C49" s="33"/>
      <c r="D49" s="12">
        <f>C49*42</f>
        <v>0</v>
      </c>
      <c r="F49" s="116" t="s">
        <v>85</v>
      </c>
      <c r="G49" s="118">
        <f>H34+H35+H36+H37+H38+H39+H40+H41+G42+H44+H45+H46</f>
        <v>0</v>
      </c>
      <c r="H49" s="119"/>
      <c r="I49" s="119"/>
      <c r="J49" s="1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69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106</v>
      </c>
      <c r="G51" s="126">
        <f>G49-H29</f>
        <v>0</v>
      </c>
      <c r="H51" s="127"/>
      <c r="I51" s="127"/>
      <c r="J51" s="12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6" t="s">
        <v>89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90</v>
      </c>
      <c r="B58" s="105"/>
      <c r="C58" s="105"/>
      <c r="D58" s="106"/>
      <c r="F58" s="104" t="s">
        <v>91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6CFE-97F6-4FDD-95A1-7EA7756492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46114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99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120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38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122</v>
      </c>
      <c r="C15" s="10"/>
      <c r="D15" s="31">
        <f t="shared" si="1"/>
        <v>0</v>
      </c>
      <c r="F15" s="187" t="s">
        <v>39</v>
      </c>
      <c r="G15" s="188"/>
      <c r="H15" s="189">
        <f>H13-H14</f>
        <v>0</v>
      </c>
      <c r="I15" s="190"/>
      <c r="J15" s="19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237" t="s">
        <v>123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238" t="s">
        <v>125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60"/>
      <c r="I19" s="160"/>
      <c r="J19" s="1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2" t="s">
        <v>13</v>
      </c>
      <c r="I21" s="163"/>
      <c r="J21" s="16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121</v>
      </c>
      <c r="C23" s="10"/>
      <c r="D23" s="48">
        <f t="shared" si="1"/>
        <v>0</v>
      </c>
      <c r="F23" s="77"/>
      <c r="G23" s="79"/>
      <c r="H23" s="231"/>
      <c r="I23" s="232"/>
      <c r="J23" s="23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128</v>
      </c>
      <c r="C24" s="10"/>
      <c r="D24" s="48">
        <f t="shared" si="1"/>
        <v>0</v>
      </c>
      <c r="F24" s="77"/>
      <c r="G24" s="79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67" t="s">
        <v>13</v>
      </c>
      <c r="I25" s="168"/>
      <c r="J25" s="16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129</v>
      </c>
      <c r="C26" s="10"/>
      <c r="D26" s="48">
        <f t="shared" si="1"/>
        <v>0</v>
      </c>
      <c r="F26" s="75"/>
      <c r="G26" s="65"/>
      <c r="H26" s="135"/>
      <c r="I26" s="135"/>
      <c r="J26" s="1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130</v>
      </c>
      <c r="C27" s="10"/>
      <c r="D27" s="44">
        <f t="shared" si="1"/>
        <v>0</v>
      </c>
      <c r="F27" s="71"/>
      <c r="G27" s="95"/>
      <c r="H27" s="233"/>
      <c r="I27" s="234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92"/>
      <c r="G28" s="61"/>
      <c r="H28" s="176"/>
      <c r="I28" s="177"/>
      <c r="J28" s="17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54</v>
      </c>
      <c r="G29" s="158"/>
      <c r="H29" s="118">
        <f>H15-H16-H17-H18-H19-H20-H22-H23-H24+H26+H27+H28</f>
        <v>0</v>
      </c>
      <c r="I29" s="119"/>
      <c r="J29" s="1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146" t="s">
        <v>58</v>
      </c>
      <c r="G32" s="147"/>
      <c r="H32" s="147"/>
      <c r="I32" s="147"/>
      <c r="J32" s="14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46" t="s">
        <v>13</v>
      </c>
      <c r="I33" s="147"/>
      <c r="J33" s="14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0">
        <f t="shared" ref="H34:H39" si="2">F34*G34</f>
        <v>0</v>
      </c>
      <c r="I34" s="141"/>
      <c r="J34" s="14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/>
      <c r="H35" s="140">
        <f t="shared" si="2"/>
        <v>0</v>
      </c>
      <c r="I35" s="141"/>
      <c r="J35" s="14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140">
        <f t="shared" si="2"/>
        <v>0</v>
      </c>
      <c r="I36" s="141"/>
      <c r="J36" s="14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140"/>
      <c r="H42" s="141"/>
      <c r="I42" s="141"/>
      <c r="J42" s="14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80</v>
      </c>
      <c r="C43" s="11"/>
      <c r="D43" s="12"/>
      <c r="F43" s="59" t="s">
        <v>81</v>
      </c>
      <c r="G43" s="95" t="s">
        <v>82</v>
      </c>
      <c r="H43" s="132" t="s">
        <v>13</v>
      </c>
      <c r="I43" s="133"/>
      <c r="J43" s="1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1"/>
      <c r="B44" s="27" t="s">
        <v>65</v>
      </c>
      <c r="C44" s="10"/>
      <c r="D44" s="12">
        <f>C44*120</f>
        <v>0</v>
      </c>
      <c r="F44" s="37"/>
      <c r="G44" s="83"/>
      <c r="H44" s="135"/>
      <c r="I44" s="135"/>
      <c r="J44" s="13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67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69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65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67</v>
      </c>
      <c r="C49" s="33"/>
      <c r="D49" s="12">
        <f>C49*42</f>
        <v>0</v>
      </c>
      <c r="F49" s="116" t="s">
        <v>85</v>
      </c>
      <c r="G49" s="118">
        <f>H34+H35+H36+H37+H38+H39+H40+H41+G42+H44+H45+H46</f>
        <v>0</v>
      </c>
      <c r="H49" s="119"/>
      <c r="I49" s="119"/>
      <c r="J49" s="1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69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114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109</v>
      </c>
      <c r="G51" s="225">
        <f>G49-H29</f>
        <v>0</v>
      </c>
      <c r="H51" s="226"/>
      <c r="I51" s="226"/>
      <c r="J51" s="22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6" t="s">
        <v>89</v>
      </c>
      <c r="B54" s="97"/>
      <c r="C54" s="98"/>
      <c r="D54" s="10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90</v>
      </c>
      <c r="B58" s="105"/>
      <c r="C58" s="105"/>
      <c r="D58" s="106"/>
      <c r="F58" s="104" t="s">
        <v>91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205A5-FB6E-4A5D-8E2B-1A592E9337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46114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107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100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101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38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122</v>
      </c>
      <c r="C15" s="10"/>
      <c r="D15" s="31">
        <f t="shared" si="1"/>
        <v>0</v>
      </c>
      <c r="F15" s="187" t="s">
        <v>39</v>
      </c>
      <c r="G15" s="188"/>
      <c r="H15" s="189">
        <f>H13-H14</f>
        <v>0</v>
      </c>
      <c r="I15" s="190"/>
      <c r="J15" s="19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237" t="s">
        <v>123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238" t="s">
        <v>125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239" t="s">
        <v>105</v>
      </c>
      <c r="C19" s="10"/>
      <c r="D19" s="48">
        <f t="shared" si="1"/>
        <v>0</v>
      </c>
      <c r="F19" s="56"/>
      <c r="G19" s="68" t="s">
        <v>49</v>
      </c>
      <c r="H19" s="235"/>
      <c r="I19" s="235"/>
      <c r="J19" s="23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2" t="s">
        <v>13</v>
      </c>
      <c r="I21" s="163"/>
      <c r="J21" s="16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121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128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67" t="s">
        <v>13</v>
      </c>
      <c r="I25" s="168"/>
      <c r="J25" s="16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129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130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92"/>
      <c r="G28" s="61"/>
      <c r="H28" s="176"/>
      <c r="I28" s="177"/>
      <c r="J28" s="17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54</v>
      </c>
      <c r="G29" s="158"/>
      <c r="H29" s="118">
        <f>H15-H16-H17-H18-H19-H20-H22-H23-H24+H26+H27</f>
        <v>0</v>
      </c>
      <c r="I29" s="119"/>
      <c r="J29" s="1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146" t="s">
        <v>58</v>
      </c>
      <c r="G32" s="147"/>
      <c r="H32" s="147"/>
      <c r="I32" s="147"/>
      <c r="J32" s="14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46" t="s">
        <v>13</v>
      </c>
      <c r="I33" s="147"/>
      <c r="J33" s="14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/>
      <c r="H35" s="140">
        <f t="shared" ref="H35:H39" si="2">F35*G35</f>
        <v>0</v>
      </c>
      <c r="I35" s="141"/>
      <c r="J35" s="14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140"/>
      <c r="H42" s="141"/>
      <c r="I42" s="141"/>
      <c r="J42" s="14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80</v>
      </c>
      <c r="C43" s="11"/>
      <c r="D43" s="12"/>
      <c r="F43" s="59" t="s">
        <v>81</v>
      </c>
      <c r="G43" s="95" t="s">
        <v>82</v>
      </c>
      <c r="H43" s="132" t="s">
        <v>13</v>
      </c>
      <c r="I43" s="133"/>
      <c r="J43" s="1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1"/>
      <c r="B44" s="27" t="s">
        <v>65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67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69</v>
      </c>
      <c r="C46" s="81"/>
      <c r="D46" s="12">
        <f>C46*1.5</f>
        <v>0</v>
      </c>
      <c r="F46" s="37"/>
      <c r="G46" s="94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65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67</v>
      </c>
      <c r="C49" s="33"/>
      <c r="D49" s="12">
        <f>C49*42</f>
        <v>0</v>
      </c>
      <c r="F49" s="116" t="s">
        <v>85</v>
      </c>
      <c r="G49" s="118">
        <f>H34+H35+H36+H37+H38+H39+H40+H41+G42+H44+H45+H46</f>
        <v>0</v>
      </c>
      <c r="H49" s="119"/>
      <c r="I49" s="119"/>
      <c r="J49" s="1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69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114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112</v>
      </c>
      <c r="G51" s="126">
        <f>G49-H29</f>
        <v>0</v>
      </c>
      <c r="H51" s="127"/>
      <c r="I51" s="127"/>
      <c r="J51" s="12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6" t="s">
        <v>89</v>
      </c>
      <c r="B54" s="97"/>
      <c r="C54" s="98"/>
      <c r="D54" s="10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90</v>
      </c>
      <c r="B58" s="105"/>
      <c r="C58" s="105"/>
      <c r="D58" s="106"/>
      <c r="F58" s="104" t="s">
        <v>91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2E46-534F-4C5D-A40C-9B425B885A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46114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117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108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38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122</v>
      </c>
      <c r="C15" s="10"/>
      <c r="D15" s="31">
        <f t="shared" si="1"/>
        <v>0</v>
      </c>
      <c r="F15" s="187" t="s">
        <v>39</v>
      </c>
      <c r="G15" s="188"/>
      <c r="H15" s="189">
        <f>H13-H14</f>
        <v>0</v>
      </c>
      <c r="I15" s="190"/>
      <c r="J15" s="19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237" t="s">
        <v>123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238" t="s">
        <v>125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239" t="s">
        <v>105</v>
      </c>
      <c r="C19" s="10"/>
      <c r="D19" s="48">
        <f t="shared" si="1"/>
        <v>0</v>
      </c>
      <c r="F19" s="56"/>
      <c r="G19" s="68" t="s">
        <v>49</v>
      </c>
      <c r="H19" s="236"/>
      <c r="I19" s="236"/>
      <c r="J19" s="23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2" t="s">
        <v>13</v>
      </c>
      <c r="I21" s="163"/>
      <c r="J21" s="16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121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128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67" t="s">
        <v>13</v>
      </c>
      <c r="I25" s="168"/>
      <c r="J25" s="16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129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130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92"/>
      <c r="G28" s="61"/>
      <c r="H28" s="176"/>
      <c r="I28" s="177"/>
      <c r="J28" s="17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54</v>
      </c>
      <c r="G29" s="158"/>
      <c r="H29" s="118">
        <f>H15-H16-H17-H18-H19-H20-H22-H23-H24+H26+H27</f>
        <v>0</v>
      </c>
      <c r="I29" s="119"/>
      <c r="J29" s="1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146" t="s">
        <v>58</v>
      </c>
      <c r="G32" s="147"/>
      <c r="H32" s="147"/>
      <c r="I32" s="147"/>
      <c r="J32" s="14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46" t="s">
        <v>13</v>
      </c>
      <c r="I33" s="147"/>
      <c r="J33" s="14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/>
      <c r="H35" s="140">
        <f>F35*G35</f>
        <v>0</v>
      </c>
      <c r="I35" s="141"/>
      <c r="J35" s="14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140"/>
      <c r="H42" s="141"/>
      <c r="I42" s="141"/>
      <c r="J42" s="14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80</v>
      </c>
      <c r="C43" s="11"/>
      <c r="D43" s="12"/>
      <c r="F43" s="59" t="s">
        <v>81</v>
      </c>
      <c r="G43" s="95" t="s">
        <v>82</v>
      </c>
      <c r="H43" s="132" t="s">
        <v>13</v>
      </c>
      <c r="I43" s="133"/>
      <c r="J43" s="1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1"/>
      <c r="B44" s="27" t="s">
        <v>65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67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69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65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67</v>
      </c>
      <c r="C49" s="33"/>
      <c r="D49" s="12">
        <f>C49*42</f>
        <v>0</v>
      </c>
      <c r="F49" s="116" t="s">
        <v>85</v>
      </c>
      <c r="G49" s="118">
        <f>H34+H35+H36+H37+H38+H39+H40+H41+G42+H44+H45+H46</f>
        <v>0</v>
      </c>
      <c r="H49" s="119"/>
      <c r="I49" s="119"/>
      <c r="J49" s="1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69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114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115</v>
      </c>
      <c r="G51" s="126">
        <f>G49-H29</f>
        <v>0</v>
      </c>
      <c r="H51" s="127"/>
      <c r="I51" s="127"/>
      <c r="J51" s="12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6" t="s">
        <v>89</v>
      </c>
      <c r="B54" s="97"/>
      <c r="C54" s="98"/>
      <c r="D54" s="10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90</v>
      </c>
      <c r="B58" s="105"/>
      <c r="C58" s="105"/>
      <c r="D58" s="106"/>
      <c r="F58" s="104" t="s">
        <v>91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8BA2-0B39-425F-82B7-99CC9379F71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38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39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2" t="s">
        <v>13</v>
      </c>
      <c r="I21" s="163"/>
      <c r="J21" s="16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67" t="s">
        <v>13</v>
      </c>
      <c r="I25" s="168"/>
      <c r="J25" s="16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2"/>
      <c r="G28" s="61"/>
      <c r="H28" s="176"/>
      <c r="I28" s="177"/>
      <c r="J28" s="17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54</v>
      </c>
      <c r="G29" s="158"/>
      <c r="H29" s="118">
        <f>H15-H16-H17-H18-H19-H20-H22-H23-H24+H26+H27</f>
        <v>0</v>
      </c>
      <c r="I29" s="119"/>
      <c r="J29" s="1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57</v>
      </c>
      <c r="B32" s="144"/>
      <c r="C32" s="144"/>
      <c r="D32" s="145"/>
      <c r="F32" s="146" t="s">
        <v>58</v>
      </c>
      <c r="G32" s="147"/>
      <c r="H32" s="147"/>
      <c r="I32" s="147"/>
      <c r="J32" s="14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46" t="s">
        <v>13</v>
      </c>
      <c r="I33" s="147"/>
      <c r="J33" s="14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140"/>
      <c r="H42" s="141"/>
      <c r="I42" s="141"/>
      <c r="J42" s="14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80</v>
      </c>
      <c r="C43" s="11"/>
      <c r="D43" s="12"/>
      <c r="F43" s="59" t="s">
        <v>81</v>
      </c>
      <c r="G43" s="95" t="s">
        <v>82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65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67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69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65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67</v>
      </c>
      <c r="C49" s="33"/>
      <c r="D49" s="12">
        <f>C49*42</f>
        <v>0</v>
      </c>
      <c r="F49" s="116" t="s">
        <v>85</v>
      </c>
      <c r="G49" s="118">
        <f>H34+H35+H36+H37+H38+H39+H40+H41+G42+H44+H45+H46</f>
        <v>0</v>
      </c>
      <c r="H49" s="119"/>
      <c r="I49" s="119"/>
      <c r="J49" s="1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69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106</v>
      </c>
      <c r="G51" s="126">
        <f>G49-H29</f>
        <v>0</v>
      </c>
      <c r="H51" s="127"/>
      <c r="I51" s="127"/>
      <c r="J51" s="12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6" t="s">
        <v>89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90</v>
      </c>
      <c r="B58" s="105"/>
      <c r="C58" s="105"/>
      <c r="D58" s="106"/>
      <c r="F58" s="104" t="s">
        <v>91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87AF0-1B67-4531-86F8-C402A6196B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46115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99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120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38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122</v>
      </c>
      <c r="C15" s="10"/>
      <c r="D15" s="31">
        <f t="shared" si="1"/>
        <v>0</v>
      </c>
      <c r="F15" s="187" t="s">
        <v>39</v>
      </c>
      <c r="G15" s="188"/>
      <c r="H15" s="189">
        <f>H13-H14</f>
        <v>0</v>
      </c>
      <c r="I15" s="190"/>
      <c r="J15" s="19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237" t="s">
        <v>123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238" t="s">
        <v>125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60"/>
      <c r="I19" s="160"/>
      <c r="J19" s="1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2" t="s">
        <v>13</v>
      </c>
      <c r="I21" s="163"/>
      <c r="J21" s="16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121</v>
      </c>
      <c r="C23" s="10"/>
      <c r="D23" s="48">
        <f t="shared" si="1"/>
        <v>0</v>
      </c>
      <c r="F23" s="77"/>
      <c r="G23" s="79"/>
      <c r="H23" s="231"/>
      <c r="I23" s="232"/>
      <c r="J23" s="23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128</v>
      </c>
      <c r="C24" s="10"/>
      <c r="D24" s="48">
        <f t="shared" si="1"/>
        <v>0</v>
      </c>
      <c r="F24" s="77"/>
      <c r="G24" s="79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67" t="s">
        <v>13</v>
      </c>
      <c r="I25" s="168"/>
      <c r="J25" s="16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129</v>
      </c>
      <c r="C26" s="10"/>
      <c r="D26" s="48">
        <f t="shared" si="1"/>
        <v>0</v>
      </c>
      <c r="F26" s="75"/>
      <c r="G26" s="65"/>
      <c r="H26" s="135"/>
      <c r="I26" s="135"/>
      <c r="J26" s="1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130</v>
      </c>
      <c r="C27" s="10"/>
      <c r="D27" s="44">
        <f t="shared" si="1"/>
        <v>0</v>
      </c>
      <c r="F27" s="71"/>
      <c r="G27" s="95"/>
      <c r="H27" s="233"/>
      <c r="I27" s="234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92"/>
      <c r="G28" s="61"/>
      <c r="H28" s="176"/>
      <c r="I28" s="177"/>
      <c r="J28" s="17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54</v>
      </c>
      <c r="G29" s="158"/>
      <c r="H29" s="118">
        <f>H15-H16-H17-H18-H19-H20-H22-H23-H24+H26+H27+H28</f>
        <v>0</v>
      </c>
      <c r="I29" s="119"/>
      <c r="J29" s="1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146" t="s">
        <v>58</v>
      </c>
      <c r="G32" s="147"/>
      <c r="H32" s="147"/>
      <c r="I32" s="147"/>
      <c r="J32" s="14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46" t="s">
        <v>13</v>
      </c>
      <c r="I33" s="147"/>
      <c r="J33" s="14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0">
        <f t="shared" ref="H34:H39" si="2">F34*G34</f>
        <v>0</v>
      </c>
      <c r="I34" s="141"/>
      <c r="J34" s="14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/>
      <c r="H35" s="140">
        <f t="shared" si="2"/>
        <v>0</v>
      </c>
      <c r="I35" s="141"/>
      <c r="J35" s="14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140">
        <f t="shared" si="2"/>
        <v>0</v>
      </c>
      <c r="I36" s="141"/>
      <c r="J36" s="14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140"/>
      <c r="H42" s="141"/>
      <c r="I42" s="141"/>
      <c r="J42" s="14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80</v>
      </c>
      <c r="C43" s="11"/>
      <c r="D43" s="12"/>
      <c r="F43" s="59" t="s">
        <v>81</v>
      </c>
      <c r="G43" s="95" t="s">
        <v>82</v>
      </c>
      <c r="H43" s="132" t="s">
        <v>13</v>
      </c>
      <c r="I43" s="133"/>
      <c r="J43" s="1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1"/>
      <c r="B44" s="27" t="s">
        <v>65</v>
      </c>
      <c r="C44" s="10"/>
      <c r="D44" s="12">
        <f>C44*120</f>
        <v>0</v>
      </c>
      <c r="F44" s="37"/>
      <c r="G44" s="83"/>
      <c r="H44" s="135"/>
      <c r="I44" s="135"/>
      <c r="J44" s="13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67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69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65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67</v>
      </c>
      <c r="C49" s="33"/>
      <c r="D49" s="12">
        <f>C49*42</f>
        <v>0</v>
      </c>
      <c r="F49" s="116" t="s">
        <v>85</v>
      </c>
      <c r="G49" s="118">
        <f>H34+H35+H36+H37+H38+H39+H40+H41+G42+H44+H45+H46</f>
        <v>0</v>
      </c>
      <c r="H49" s="119"/>
      <c r="I49" s="119"/>
      <c r="J49" s="1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69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114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109</v>
      </c>
      <c r="G51" s="225">
        <f>G49-H29</f>
        <v>0</v>
      </c>
      <c r="H51" s="226"/>
      <c r="I51" s="226"/>
      <c r="J51" s="22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6" t="s">
        <v>89</v>
      </c>
      <c r="B54" s="97"/>
      <c r="C54" s="98"/>
      <c r="D54" s="10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90</v>
      </c>
      <c r="B58" s="105"/>
      <c r="C58" s="105"/>
      <c r="D58" s="106"/>
      <c r="F58" s="104" t="s">
        <v>91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DF423-ED03-46CB-983D-307DFB68220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46115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107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100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101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38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122</v>
      </c>
      <c r="C15" s="10"/>
      <c r="D15" s="31">
        <f t="shared" si="1"/>
        <v>0</v>
      </c>
      <c r="F15" s="187" t="s">
        <v>39</v>
      </c>
      <c r="G15" s="188"/>
      <c r="H15" s="189">
        <f>H13-H14</f>
        <v>0</v>
      </c>
      <c r="I15" s="190"/>
      <c r="J15" s="19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237" t="s">
        <v>123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238" t="s">
        <v>125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239" t="s">
        <v>105</v>
      </c>
      <c r="C19" s="10"/>
      <c r="D19" s="48">
        <f t="shared" si="1"/>
        <v>0</v>
      </c>
      <c r="F19" s="56"/>
      <c r="G19" s="68" t="s">
        <v>49</v>
      </c>
      <c r="H19" s="235"/>
      <c r="I19" s="235"/>
      <c r="J19" s="23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2" t="s">
        <v>13</v>
      </c>
      <c r="I21" s="163"/>
      <c r="J21" s="16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121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128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67" t="s">
        <v>13</v>
      </c>
      <c r="I25" s="168"/>
      <c r="J25" s="16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129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130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92"/>
      <c r="G28" s="61"/>
      <c r="H28" s="176"/>
      <c r="I28" s="177"/>
      <c r="J28" s="17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54</v>
      </c>
      <c r="G29" s="158"/>
      <c r="H29" s="118">
        <f>H15-H16-H17-H18-H19-H20-H22-H23-H24+H26+H27</f>
        <v>0</v>
      </c>
      <c r="I29" s="119"/>
      <c r="J29" s="1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146" t="s">
        <v>58</v>
      </c>
      <c r="G32" s="147"/>
      <c r="H32" s="147"/>
      <c r="I32" s="147"/>
      <c r="J32" s="14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46" t="s">
        <v>13</v>
      </c>
      <c r="I33" s="147"/>
      <c r="J33" s="14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/>
      <c r="H35" s="140">
        <f t="shared" ref="H35:H39" si="2">F35*G35</f>
        <v>0</v>
      </c>
      <c r="I35" s="141"/>
      <c r="J35" s="14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140"/>
      <c r="H42" s="141"/>
      <c r="I42" s="141"/>
      <c r="J42" s="14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80</v>
      </c>
      <c r="C43" s="11"/>
      <c r="D43" s="12"/>
      <c r="F43" s="59" t="s">
        <v>81</v>
      </c>
      <c r="G43" s="95" t="s">
        <v>82</v>
      </c>
      <c r="H43" s="132" t="s">
        <v>13</v>
      </c>
      <c r="I43" s="133"/>
      <c r="J43" s="1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1"/>
      <c r="B44" s="27" t="s">
        <v>65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67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69</v>
      </c>
      <c r="C46" s="81"/>
      <c r="D46" s="12">
        <f>C46*1.5</f>
        <v>0</v>
      </c>
      <c r="F46" s="37"/>
      <c r="G46" s="94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65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67</v>
      </c>
      <c r="C49" s="33"/>
      <c r="D49" s="12">
        <f>C49*42</f>
        <v>0</v>
      </c>
      <c r="F49" s="116" t="s">
        <v>85</v>
      </c>
      <c r="G49" s="118">
        <f>H34+H35+H36+H37+H38+H39+H40+H41+G42+H44+H45+H46</f>
        <v>0</v>
      </c>
      <c r="H49" s="119"/>
      <c r="I49" s="119"/>
      <c r="J49" s="1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69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114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112</v>
      </c>
      <c r="G51" s="126">
        <f>G49-H29</f>
        <v>0</v>
      </c>
      <c r="H51" s="127"/>
      <c r="I51" s="127"/>
      <c r="J51" s="12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6" t="s">
        <v>89</v>
      </c>
      <c r="B54" s="97"/>
      <c r="C54" s="98"/>
      <c r="D54" s="10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90</v>
      </c>
      <c r="B58" s="105"/>
      <c r="C58" s="105"/>
      <c r="D58" s="106"/>
      <c r="F58" s="104" t="s">
        <v>91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BE451-9A34-40EF-949A-1BA5F2ADB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46115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117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108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38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122</v>
      </c>
      <c r="C15" s="10"/>
      <c r="D15" s="31">
        <f t="shared" si="1"/>
        <v>0</v>
      </c>
      <c r="F15" s="187" t="s">
        <v>39</v>
      </c>
      <c r="G15" s="188"/>
      <c r="H15" s="189">
        <f>H13-H14</f>
        <v>0</v>
      </c>
      <c r="I15" s="190"/>
      <c r="J15" s="19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237" t="s">
        <v>123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238" t="s">
        <v>125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239" t="s">
        <v>105</v>
      </c>
      <c r="C19" s="10"/>
      <c r="D19" s="48">
        <f t="shared" si="1"/>
        <v>0</v>
      </c>
      <c r="F19" s="56"/>
      <c r="G19" s="68" t="s">
        <v>49</v>
      </c>
      <c r="H19" s="236"/>
      <c r="I19" s="236"/>
      <c r="J19" s="23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2" t="s">
        <v>13</v>
      </c>
      <c r="I21" s="163"/>
      <c r="J21" s="16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121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128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67" t="s">
        <v>13</v>
      </c>
      <c r="I25" s="168"/>
      <c r="J25" s="16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129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130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92"/>
      <c r="G28" s="61"/>
      <c r="H28" s="176"/>
      <c r="I28" s="177"/>
      <c r="J28" s="17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54</v>
      </c>
      <c r="G29" s="158"/>
      <c r="H29" s="118">
        <f>H15-H16-H17-H18-H19-H20-H22-H23-H24+H26+H27</f>
        <v>0</v>
      </c>
      <c r="I29" s="119"/>
      <c r="J29" s="1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146" t="s">
        <v>58</v>
      </c>
      <c r="G32" s="147"/>
      <c r="H32" s="147"/>
      <c r="I32" s="147"/>
      <c r="J32" s="14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46" t="s">
        <v>13</v>
      </c>
      <c r="I33" s="147"/>
      <c r="J33" s="14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/>
      <c r="H35" s="140">
        <f>F35*G35</f>
        <v>0</v>
      </c>
      <c r="I35" s="141"/>
      <c r="J35" s="14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140"/>
      <c r="H42" s="141"/>
      <c r="I42" s="141"/>
      <c r="J42" s="14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80</v>
      </c>
      <c r="C43" s="11"/>
      <c r="D43" s="12"/>
      <c r="F43" s="59" t="s">
        <v>81</v>
      </c>
      <c r="G43" s="95" t="s">
        <v>82</v>
      </c>
      <c r="H43" s="132" t="s">
        <v>13</v>
      </c>
      <c r="I43" s="133"/>
      <c r="J43" s="1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1"/>
      <c r="B44" s="27" t="s">
        <v>65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67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69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65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67</v>
      </c>
      <c r="C49" s="33"/>
      <c r="D49" s="12">
        <f>C49*42</f>
        <v>0</v>
      </c>
      <c r="F49" s="116" t="s">
        <v>85</v>
      </c>
      <c r="G49" s="118">
        <f>H34+H35+H36+H37+H38+H39+H40+H41+G42+H44+H45+H46</f>
        <v>0</v>
      </c>
      <c r="H49" s="119"/>
      <c r="I49" s="119"/>
      <c r="J49" s="1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69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114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115</v>
      </c>
      <c r="G51" s="126">
        <f>G49-H29</f>
        <v>0</v>
      </c>
      <c r="H51" s="127"/>
      <c r="I51" s="127"/>
      <c r="J51" s="12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6" t="s">
        <v>89</v>
      </c>
      <c r="B54" s="97"/>
      <c r="C54" s="98"/>
      <c r="D54" s="10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90</v>
      </c>
      <c r="B58" s="105"/>
      <c r="C58" s="105"/>
      <c r="D58" s="106"/>
      <c r="F58" s="104" t="s">
        <v>91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F989D-335C-487D-A1A8-EA2B58E7913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38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39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2" t="s">
        <v>13</v>
      </c>
      <c r="I21" s="163"/>
      <c r="J21" s="16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67" t="s">
        <v>13</v>
      </c>
      <c r="I25" s="168"/>
      <c r="J25" s="16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2"/>
      <c r="G28" s="61"/>
      <c r="H28" s="176"/>
      <c r="I28" s="177"/>
      <c r="J28" s="17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54</v>
      </c>
      <c r="G29" s="158"/>
      <c r="H29" s="118">
        <f>H15-H16-H17-H18-H19-H20-H22-H23-H24+H26+H27</f>
        <v>0</v>
      </c>
      <c r="I29" s="119"/>
      <c r="J29" s="1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57</v>
      </c>
      <c r="B32" s="144"/>
      <c r="C32" s="144"/>
      <c r="D32" s="145"/>
      <c r="F32" s="146" t="s">
        <v>58</v>
      </c>
      <c r="G32" s="147"/>
      <c r="H32" s="147"/>
      <c r="I32" s="147"/>
      <c r="J32" s="14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46" t="s">
        <v>13</v>
      </c>
      <c r="I33" s="147"/>
      <c r="J33" s="14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140"/>
      <c r="H42" s="141"/>
      <c r="I42" s="141"/>
      <c r="J42" s="14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80</v>
      </c>
      <c r="C43" s="11"/>
      <c r="D43" s="12"/>
      <c r="F43" s="59" t="s">
        <v>81</v>
      </c>
      <c r="G43" s="95" t="s">
        <v>82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65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67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69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65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67</v>
      </c>
      <c r="C49" s="33"/>
      <c r="D49" s="12">
        <f>C49*42</f>
        <v>0</v>
      </c>
      <c r="F49" s="116" t="s">
        <v>85</v>
      </c>
      <c r="G49" s="118">
        <f>H34+H35+H36+H37+H38+H39+H40+H41+G42+H44+H45+H46</f>
        <v>0</v>
      </c>
      <c r="H49" s="119"/>
      <c r="I49" s="119"/>
      <c r="J49" s="1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69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106</v>
      </c>
      <c r="G51" s="126">
        <f>G49-H29</f>
        <v>0</v>
      </c>
      <c r="H51" s="127"/>
      <c r="I51" s="127"/>
      <c r="J51" s="12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6" t="s">
        <v>89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90</v>
      </c>
      <c r="B58" s="105"/>
      <c r="C58" s="105"/>
      <c r="D58" s="106"/>
      <c r="F58" s="104" t="s">
        <v>91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91CB8-248B-4665-88FD-A07B44B5B1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46116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99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120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38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122</v>
      </c>
      <c r="C15" s="10"/>
      <c r="D15" s="31">
        <f t="shared" si="1"/>
        <v>0</v>
      </c>
      <c r="F15" s="187" t="s">
        <v>39</v>
      </c>
      <c r="G15" s="188"/>
      <c r="H15" s="189">
        <f>H13-H14</f>
        <v>0</v>
      </c>
      <c r="I15" s="190"/>
      <c r="J15" s="19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237" t="s">
        <v>123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238" t="s">
        <v>125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60"/>
      <c r="I19" s="160"/>
      <c r="J19" s="1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2" t="s">
        <v>13</v>
      </c>
      <c r="I21" s="163"/>
      <c r="J21" s="16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121</v>
      </c>
      <c r="C23" s="10"/>
      <c r="D23" s="48">
        <f t="shared" si="1"/>
        <v>0</v>
      </c>
      <c r="F23" s="77"/>
      <c r="G23" s="79"/>
      <c r="H23" s="231"/>
      <c r="I23" s="232"/>
      <c r="J23" s="23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128</v>
      </c>
      <c r="C24" s="10"/>
      <c r="D24" s="48">
        <f t="shared" si="1"/>
        <v>0</v>
      </c>
      <c r="F24" s="77"/>
      <c r="G24" s="79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67" t="s">
        <v>13</v>
      </c>
      <c r="I25" s="168"/>
      <c r="J25" s="16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129</v>
      </c>
      <c r="C26" s="10"/>
      <c r="D26" s="48">
        <f t="shared" si="1"/>
        <v>0</v>
      </c>
      <c r="F26" s="75"/>
      <c r="G26" s="65"/>
      <c r="H26" s="135"/>
      <c r="I26" s="135"/>
      <c r="J26" s="1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130</v>
      </c>
      <c r="C27" s="10"/>
      <c r="D27" s="44">
        <f t="shared" si="1"/>
        <v>0</v>
      </c>
      <c r="F27" s="71"/>
      <c r="G27" s="95"/>
      <c r="H27" s="233"/>
      <c r="I27" s="234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92"/>
      <c r="G28" s="61"/>
      <c r="H28" s="176"/>
      <c r="I28" s="177"/>
      <c r="J28" s="17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54</v>
      </c>
      <c r="G29" s="158"/>
      <c r="H29" s="118">
        <f>H15-H16-H17-H18-H19-H20-H22-H23-H24+H26+H27+H28</f>
        <v>0</v>
      </c>
      <c r="I29" s="119"/>
      <c r="J29" s="1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146" t="s">
        <v>58</v>
      </c>
      <c r="G32" s="147"/>
      <c r="H32" s="147"/>
      <c r="I32" s="147"/>
      <c r="J32" s="14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46" t="s">
        <v>13</v>
      </c>
      <c r="I33" s="147"/>
      <c r="J33" s="14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0">
        <f t="shared" ref="H34:H39" si="2">F34*G34</f>
        <v>0</v>
      </c>
      <c r="I34" s="141"/>
      <c r="J34" s="14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/>
      <c r="H35" s="140">
        <f t="shared" si="2"/>
        <v>0</v>
      </c>
      <c r="I35" s="141"/>
      <c r="J35" s="14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140">
        <f t="shared" si="2"/>
        <v>0</v>
      </c>
      <c r="I36" s="141"/>
      <c r="J36" s="14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140"/>
      <c r="H42" s="141"/>
      <c r="I42" s="141"/>
      <c r="J42" s="14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80</v>
      </c>
      <c r="C43" s="11"/>
      <c r="D43" s="12"/>
      <c r="F43" s="59" t="s">
        <v>81</v>
      </c>
      <c r="G43" s="95" t="s">
        <v>82</v>
      </c>
      <c r="H43" s="132" t="s">
        <v>13</v>
      </c>
      <c r="I43" s="133"/>
      <c r="J43" s="1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1"/>
      <c r="B44" s="27" t="s">
        <v>65</v>
      </c>
      <c r="C44" s="10"/>
      <c r="D44" s="12">
        <f>C44*120</f>
        <v>0</v>
      </c>
      <c r="F44" s="37"/>
      <c r="G44" s="83"/>
      <c r="H44" s="135"/>
      <c r="I44" s="135"/>
      <c r="J44" s="13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67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69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65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67</v>
      </c>
      <c r="C49" s="33"/>
      <c r="D49" s="12">
        <f>C49*42</f>
        <v>0</v>
      </c>
      <c r="F49" s="116" t="s">
        <v>85</v>
      </c>
      <c r="G49" s="118">
        <f>H34+H35+H36+H37+H38+H39+H40+H41+G42+H44+H45+H46</f>
        <v>0</v>
      </c>
      <c r="H49" s="119"/>
      <c r="I49" s="119"/>
      <c r="J49" s="1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69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114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109</v>
      </c>
      <c r="G51" s="225">
        <f>G49-H29</f>
        <v>0</v>
      </c>
      <c r="H51" s="226"/>
      <c r="I51" s="226"/>
      <c r="J51" s="22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6" t="s">
        <v>89</v>
      </c>
      <c r="B54" s="97"/>
      <c r="C54" s="98"/>
      <c r="D54" s="10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90</v>
      </c>
      <c r="B58" s="105"/>
      <c r="C58" s="105"/>
      <c r="D58" s="106"/>
      <c r="F58" s="104" t="s">
        <v>91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7BB4-4438-4164-B3AE-575F081F78F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46116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107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100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101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38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122</v>
      </c>
      <c r="C15" s="10"/>
      <c r="D15" s="31">
        <f t="shared" si="1"/>
        <v>0</v>
      </c>
      <c r="F15" s="187" t="s">
        <v>39</v>
      </c>
      <c r="G15" s="188"/>
      <c r="H15" s="189">
        <f>H13-H14</f>
        <v>0</v>
      </c>
      <c r="I15" s="190"/>
      <c r="J15" s="19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237" t="s">
        <v>123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238" t="s">
        <v>125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239" t="s">
        <v>105</v>
      </c>
      <c r="C19" s="10"/>
      <c r="D19" s="48">
        <f t="shared" si="1"/>
        <v>0</v>
      </c>
      <c r="F19" s="56"/>
      <c r="G19" s="68" t="s">
        <v>49</v>
      </c>
      <c r="H19" s="235"/>
      <c r="I19" s="235"/>
      <c r="J19" s="23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2" t="s">
        <v>13</v>
      </c>
      <c r="I21" s="163"/>
      <c r="J21" s="16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121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128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67" t="s">
        <v>13</v>
      </c>
      <c r="I25" s="168"/>
      <c r="J25" s="16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129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130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92"/>
      <c r="G28" s="61"/>
      <c r="H28" s="176"/>
      <c r="I28" s="177"/>
      <c r="J28" s="17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54</v>
      </c>
      <c r="G29" s="158"/>
      <c r="H29" s="118">
        <f>H15-H16-H17-H18-H19-H20-H22-H23-H24+H26+H27</f>
        <v>0</v>
      </c>
      <c r="I29" s="119"/>
      <c r="J29" s="1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146" t="s">
        <v>58</v>
      </c>
      <c r="G32" s="147"/>
      <c r="H32" s="147"/>
      <c r="I32" s="147"/>
      <c r="J32" s="14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46" t="s">
        <v>13</v>
      </c>
      <c r="I33" s="147"/>
      <c r="J33" s="14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/>
      <c r="H35" s="140">
        <f t="shared" ref="H35:H39" si="2">F35*G35</f>
        <v>0</v>
      </c>
      <c r="I35" s="141"/>
      <c r="J35" s="14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140"/>
      <c r="H42" s="141"/>
      <c r="I42" s="141"/>
      <c r="J42" s="14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80</v>
      </c>
      <c r="C43" s="11"/>
      <c r="D43" s="12"/>
      <c r="F43" s="59" t="s">
        <v>81</v>
      </c>
      <c r="G43" s="95" t="s">
        <v>82</v>
      </c>
      <c r="H43" s="132" t="s">
        <v>13</v>
      </c>
      <c r="I43" s="133"/>
      <c r="J43" s="1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1"/>
      <c r="B44" s="27" t="s">
        <v>65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67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69</v>
      </c>
      <c r="C46" s="81"/>
      <c r="D46" s="12">
        <f>C46*1.5</f>
        <v>0</v>
      </c>
      <c r="F46" s="37"/>
      <c r="G46" s="94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65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67</v>
      </c>
      <c r="C49" s="33"/>
      <c r="D49" s="12">
        <f>C49*42</f>
        <v>0</v>
      </c>
      <c r="F49" s="116" t="s">
        <v>85</v>
      </c>
      <c r="G49" s="118">
        <f>H34+H35+H36+H37+H38+H39+H40+H41+G42+H44+H45+H46</f>
        <v>0</v>
      </c>
      <c r="H49" s="119"/>
      <c r="I49" s="119"/>
      <c r="J49" s="1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69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114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112</v>
      </c>
      <c r="G51" s="126">
        <f>G49-H29</f>
        <v>0</v>
      </c>
      <c r="H51" s="127"/>
      <c r="I51" s="127"/>
      <c r="J51" s="12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6" t="s">
        <v>89</v>
      </c>
      <c r="B54" s="97"/>
      <c r="C54" s="98"/>
      <c r="D54" s="10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90</v>
      </c>
      <c r="B58" s="105"/>
      <c r="C58" s="105"/>
      <c r="D58" s="106"/>
      <c r="F58" s="104" t="s">
        <v>91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BC2FB-238D-4BD9-B786-9325B16CD7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46116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117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108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38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122</v>
      </c>
      <c r="C15" s="10"/>
      <c r="D15" s="31">
        <f t="shared" si="1"/>
        <v>0</v>
      </c>
      <c r="F15" s="187" t="s">
        <v>39</v>
      </c>
      <c r="G15" s="188"/>
      <c r="H15" s="189">
        <f>H13-H14</f>
        <v>0</v>
      </c>
      <c r="I15" s="190"/>
      <c r="J15" s="19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237" t="s">
        <v>123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238" t="s">
        <v>125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239" t="s">
        <v>105</v>
      </c>
      <c r="C19" s="10"/>
      <c r="D19" s="48">
        <f t="shared" si="1"/>
        <v>0</v>
      </c>
      <c r="F19" s="56"/>
      <c r="G19" s="68" t="s">
        <v>49</v>
      </c>
      <c r="H19" s="236"/>
      <c r="I19" s="236"/>
      <c r="J19" s="23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2" t="s">
        <v>13</v>
      </c>
      <c r="I21" s="163"/>
      <c r="J21" s="16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121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128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67" t="s">
        <v>13</v>
      </c>
      <c r="I25" s="168"/>
      <c r="J25" s="16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129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130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92"/>
      <c r="G28" s="61"/>
      <c r="H28" s="176"/>
      <c r="I28" s="177"/>
      <c r="J28" s="17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54</v>
      </c>
      <c r="G29" s="158"/>
      <c r="H29" s="118">
        <f>H15-H16-H17-H18-H19-H20-H22-H23-H24+H26+H27</f>
        <v>0</v>
      </c>
      <c r="I29" s="119"/>
      <c r="J29" s="1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146" t="s">
        <v>58</v>
      </c>
      <c r="G32" s="147"/>
      <c r="H32" s="147"/>
      <c r="I32" s="147"/>
      <c r="J32" s="14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46" t="s">
        <v>13</v>
      </c>
      <c r="I33" s="147"/>
      <c r="J33" s="14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/>
      <c r="H35" s="140">
        <f>F35*G35</f>
        <v>0</v>
      </c>
      <c r="I35" s="141"/>
      <c r="J35" s="14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140"/>
      <c r="H42" s="141"/>
      <c r="I42" s="141"/>
      <c r="J42" s="14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80</v>
      </c>
      <c r="C43" s="11"/>
      <c r="D43" s="12"/>
      <c r="F43" s="59" t="s">
        <v>81</v>
      </c>
      <c r="G43" s="95" t="s">
        <v>82</v>
      </c>
      <c r="H43" s="132" t="s">
        <v>13</v>
      </c>
      <c r="I43" s="133"/>
      <c r="J43" s="1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1"/>
      <c r="B44" s="27" t="s">
        <v>65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67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69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65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67</v>
      </c>
      <c r="C49" s="33"/>
      <c r="D49" s="12">
        <f>C49*42</f>
        <v>0</v>
      </c>
      <c r="F49" s="116" t="s">
        <v>85</v>
      </c>
      <c r="G49" s="118">
        <f>H34+H35+H36+H37+H38+H39+H40+H41+G42+H44+H45+H46</f>
        <v>0</v>
      </c>
      <c r="H49" s="119"/>
      <c r="I49" s="119"/>
      <c r="J49" s="1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69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114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115</v>
      </c>
      <c r="G51" s="126">
        <f>G49-H29</f>
        <v>0</v>
      </c>
      <c r="H51" s="127"/>
      <c r="I51" s="127"/>
      <c r="J51" s="12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6" t="s">
        <v>89</v>
      </c>
      <c r="B54" s="97"/>
      <c r="C54" s="98"/>
      <c r="D54" s="10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90</v>
      </c>
      <c r="B58" s="105"/>
      <c r="C58" s="105"/>
      <c r="D58" s="106"/>
      <c r="F58" s="104" t="s">
        <v>91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745DD-29F8-41F4-8CE3-A631A9935D5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3" t="s">
        <v>7</v>
      </c>
      <c r="B4" s="144"/>
      <c r="C4" s="144"/>
      <c r="D4" s="145"/>
      <c r="F4" s="193" t="s">
        <v>8</v>
      </c>
      <c r="G4" s="195"/>
      <c r="H4" s="197" t="s">
        <v>9</v>
      </c>
      <c r="I4" s="199"/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8"/>
      <c r="B6" s="16"/>
      <c r="C6" s="10"/>
      <c r="D6" s="13">
        <f t="shared" ref="D6:D28" si="1">C6*L6</f>
        <v>0</v>
      </c>
      <c r="F6" s="203" t="s">
        <v>16</v>
      </c>
      <c r="G6" s="205"/>
      <c r="H6" s="206"/>
      <c r="I6" s="206"/>
      <c r="J6" s="20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8"/>
      <c r="B7" s="16"/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8"/>
      <c r="B8" s="16"/>
      <c r="C8" s="10"/>
      <c r="D8" s="13">
        <f t="shared" si="1"/>
        <v>0</v>
      </c>
      <c r="F8" s="211" t="s">
        <v>21</v>
      </c>
      <c r="G8" s="212"/>
      <c r="H8" s="213"/>
      <c r="I8" s="213"/>
      <c r="J8" s="21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8"/>
      <c r="B9" s="16"/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8"/>
      <c r="C10" s="10"/>
      <c r="D10" s="13">
        <f t="shared" si="1"/>
        <v>0</v>
      </c>
      <c r="F10" s="203" t="s">
        <v>26</v>
      </c>
      <c r="G10" s="218"/>
      <c r="H10" s="219"/>
      <c r="I10" s="219"/>
      <c r="J10" s="220"/>
      <c r="K10" s="8"/>
      <c r="L10" s="6">
        <f>R36</f>
        <v>972</v>
      </c>
      <c r="P10" s="4"/>
      <c r="Q10" s="4"/>
      <c r="R10" s="5"/>
    </row>
    <row r="11" spans="1:19" ht="15.75" x14ac:dyDescent="0.25">
      <c r="A11" s="138"/>
      <c r="B11" s="17"/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8"/>
      <c r="B12" s="17"/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8"/>
      <c r="B13" s="17"/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8"/>
      <c r="B14" s="14"/>
      <c r="C14" s="10"/>
      <c r="D14" s="31">
        <f t="shared" si="1"/>
        <v>0</v>
      </c>
      <c r="F14" s="182" t="s">
        <v>38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8"/>
      <c r="B15" s="14"/>
      <c r="C15" s="10"/>
      <c r="D15" s="31">
        <f t="shared" si="1"/>
        <v>0</v>
      </c>
      <c r="F15" s="187" t="s">
        <v>39</v>
      </c>
      <c r="G15" s="188"/>
      <c r="H15" s="189">
        <f>H13-H14</f>
        <v>0</v>
      </c>
      <c r="I15" s="190"/>
      <c r="J15" s="19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19"/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14"/>
      <c r="C19" s="10"/>
      <c r="D19" s="48">
        <f t="shared" si="1"/>
        <v>0</v>
      </c>
      <c r="F19" s="56"/>
      <c r="G19" s="68" t="s">
        <v>49</v>
      </c>
      <c r="H19" s="161"/>
      <c r="I19" s="161"/>
      <c r="J19" s="1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8"/>
      <c r="B20" s="46"/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2" t="s">
        <v>13</v>
      </c>
      <c r="I21" s="163"/>
      <c r="J21" s="16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8"/>
      <c r="B22" s="46"/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/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/>
      <c r="C24" s="10"/>
      <c r="D24" s="48">
        <f t="shared" si="1"/>
        <v>0</v>
      </c>
      <c r="F24" s="38"/>
      <c r="G24" s="37"/>
      <c r="H24" s="166"/>
      <c r="I24" s="135"/>
      <c r="J24" s="13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67" t="s">
        <v>13</v>
      </c>
      <c r="I25" s="168"/>
      <c r="J25" s="16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/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8"/>
      <c r="B27" s="14"/>
      <c r="C27" s="10"/>
      <c r="D27" s="44">
        <f t="shared" si="1"/>
        <v>0</v>
      </c>
      <c r="F27" s="25"/>
      <c r="G27" s="80"/>
      <c r="H27" s="173"/>
      <c r="I27" s="174"/>
      <c r="J27" s="17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/>
      <c r="C28" s="10"/>
      <c r="D28" s="48">
        <f t="shared" si="1"/>
        <v>0</v>
      </c>
      <c r="F28" s="92"/>
      <c r="G28" s="61"/>
      <c r="H28" s="176"/>
      <c r="I28" s="177"/>
      <c r="J28" s="17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54</v>
      </c>
      <c r="G29" s="158"/>
      <c r="H29" s="118">
        <f>H15-H16-H17-H18-H19-H20-H22-H23-H24+H26+H27</f>
        <v>0</v>
      </c>
      <c r="I29" s="119"/>
      <c r="J29" s="1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3" t="s">
        <v>57</v>
      </c>
      <c r="B32" s="144"/>
      <c r="C32" s="144"/>
      <c r="D32" s="145"/>
      <c r="F32" s="146" t="s">
        <v>58</v>
      </c>
      <c r="G32" s="147"/>
      <c r="H32" s="147"/>
      <c r="I32" s="147"/>
      <c r="J32" s="14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46" t="s">
        <v>13</v>
      </c>
      <c r="I33" s="147"/>
      <c r="J33" s="14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0"/>
      <c r="I34" s="141"/>
      <c r="J34" s="14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/>
      <c r="H35" s="140"/>
      <c r="I35" s="141"/>
      <c r="J35" s="14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140"/>
      <c r="I36" s="141"/>
      <c r="J36" s="14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0"/>
      <c r="I37" s="141"/>
      <c r="J37" s="14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140"/>
      <c r="I38" s="141"/>
      <c r="J38" s="14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140"/>
      <c r="I39" s="141"/>
      <c r="J39" s="14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140"/>
      <c r="H42" s="141"/>
      <c r="I42" s="141"/>
      <c r="J42" s="14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0" t="s">
        <v>80</v>
      </c>
      <c r="C43" s="11"/>
      <c r="D43" s="12"/>
      <c r="F43" s="59" t="s">
        <v>81</v>
      </c>
      <c r="G43" s="95" t="s">
        <v>82</v>
      </c>
      <c r="H43" s="132" t="s">
        <v>13</v>
      </c>
      <c r="I43" s="133"/>
      <c r="J43" s="134"/>
      <c r="K43" s="21"/>
      <c r="P43" s="4"/>
      <c r="Q43" s="4"/>
      <c r="R43" s="5"/>
    </row>
    <row r="44" spans="1:18" ht="15.75" x14ac:dyDescent="0.25">
      <c r="A44" s="111"/>
      <c r="B44" s="27" t="s">
        <v>65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P44" s="4"/>
      <c r="Q44" s="4"/>
      <c r="R44" s="5"/>
    </row>
    <row r="45" spans="1:18" ht="15.75" x14ac:dyDescent="0.25">
      <c r="A45" s="111"/>
      <c r="B45" s="27" t="s">
        <v>67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69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65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67</v>
      </c>
      <c r="C49" s="33"/>
      <c r="D49" s="12">
        <f>C49*42</f>
        <v>0</v>
      </c>
      <c r="F49" s="116" t="s">
        <v>85</v>
      </c>
      <c r="G49" s="118">
        <f>H34+H35+H36+H37+H38+H39+H40+H41+G42+H44+H45+H46</f>
        <v>0</v>
      </c>
      <c r="H49" s="119"/>
      <c r="I49" s="119"/>
      <c r="J49" s="1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69</v>
      </c>
      <c r="C50" s="11"/>
      <c r="D50" s="12">
        <f>C50*1.5</f>
        <v>0</v>
      </c>
      <c r="F50" s="117"/>
      <c r="G50" s="121"/>
      <c r="H50" s="122"/>
      <c r="I50" s="122"/>
      <c r="J50" s="123"/>
      <c r="P50" s="4"/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106</v>
      </c>
      <c r="G51" s="126">
        <f>G49-H29</f>
        <v>0</v>
      </c>
      <c r="H51" s="127"/>
      <c r="I51" s="127"/>
      <c r="J51" s="12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6" t="s">
        <v>89</v>
      </c>
      <c r="B54" s="97"/>
      <c r="C54" s="98"/>
      <c r="D54" s="102">
        <f>SUM(D34:D53)</f>
        <v>0</v>
      </c>
      <c r="F54" s="21"/>
      <c r="J54" s="34"/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4" t="s">
        <v>90</v>
      </c>
      <c r="B58" s="105"/>
      <c r="C58" s="105"/>
      <c r="D58" s="106"/>
      <c r="F58" s="104" t="s">
        <v>91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81C4-2989-4A7C-9E1B-A05AFD0E79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1</v>
      </c>
      <c r="H4" s="197" t="s">
        <v>9</v>
      </c>
      <c r="I4" s="199">
        <v>46118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99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120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124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38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122</v>
      </c>
      <c r="C15" s="10"/>
      <c r="D15" s="31">
        <f t="shared" si="1"/>
        <v>0</v>
      </c>
      <c r="F15" s="187" t="s">
        <v>39</v>
      </c>
      <c r="G15" s="188"/>
      <c r="H15" s="189">
        <f>H13-H14</f>
        <v>0</v>
      </c>
      <c r="I15" s="190"/>
      <c r="J15" s="19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237" t="s">
        <v>123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238" t="s">
        <v>125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60"/>
      <c r="I19" s="160"/>
      <c r="J19" s="1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2" t="s">
        <v>13</v>
      </c>
      <c r="I21" s="163"/>
      <c r="J21" s="16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121</v>
      </c>
      <c r="C23" s="10"/>
      <c r="D23" s="48">
        <f t="shared" si="1"/>
        <v>0</v>
      </c>
      <c r="F23" s="77"/>
      <c r="G23" s="79"/>
      <c r="H23" s="231"/>
      <c r="I23" s="232"/>
      <c r="J23" s="23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128</v>
      </c>
      <c r="C24" s="10"/>
      <c r="D24" s="48">
        <f t="shared" si="1"/>
        <v>0</v>
      </c>
      <c r="F24" s="77"/>
      <c r="G24" s="79"/>
      <c r="H24" s="231"/>
      <c r="I24" s="232"/>
      <c r="J24" s="23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67" t="s">
        <v>13</v>
      </c>
      <c r="I25" s="168"/>
      <c r="J25" s="16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129</v>
      </c>
      <c r="C26" s="10"/>
      <c r="D26" s="48">
        <f t="shared" si="1"/>
        <v>0</v>
      </c>
      <c r="F26" s="75"/>
      <c r="G26" s="65"/>
      <c r="H26" s="135"/>
      <c r="I26" s="135"/>
      <c r="J26" s="13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130</v>
      </c>
      <c r="C27" s="10"/>
      <c r="D27" s="44">
        <f t="shared" si="1"/>
        <v>0</v>
      </c>
      <c r="F27" s="71"/>
      <c r="G27" s="95"/>
      <c r="H27" s="233"/>
      <c r="I27" s="234"/>
      <c r="J27" s="23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92"/>
      <c r="G28" s="61"/>
      <c r="H28" s="176"/>
      <c r="I28" s="177"/>
      <c r="J28" s="17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54</v>
      </c>
      <c r="G29" s="158"/>
      <c r="H29" s="118">
        <f>H15-H16-H17-H18-H19-H20-H22-H23-H24+H26+H27+H28</f>
        <v>0</v>
      </c>
      <c r="I29" s="119"/>
      <c r="J29" s="1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146" t="s">
        <v>58</v>
      </c>
      <c r="G32" s="147"/>
      <c r="H32" s="147"/>
      <c r="I32" s="147"/>
      <c r="J32" s="14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46" t="s">
        <v>13</v>
      </c>
      <c r="I33" s="147"/>
      <c r="J33" s="14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0">
        <f t="shared" ref="H34:H39" si="2">F34*G34</f>
        <v>0</v>
      </c>
      <c r="I34" s="141"/>
      <c r="J34" s="14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/>
      <c r="H35" s="140">
        <f t="shared" si="2"/>
        <v>0</v>
      </c>
      <c r="I35" s="141"/>
      <c r="J35" s="14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140">
        <f t="shared" si="2"/>
        <v>0</v>
      </c>
      <c r="I36" s="141"/>
      <c r="J36" s="14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140"/>
      <c r="H42" s="141"/>
      <c r="I42" s="141"/>
      <c r="J42" s="14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80</v>
      </c>
      <c r="C43" s="11"/>
      <c r="D43" s="12"/>
      <c r="F43" s="59" t="s">
        <v>81</v>
      </c>
      <c r="G43" s="95" t="s">
        <v>82</v>
      </c>
      <c r="H43" s="132" t="s">
        <v>13</v>
      </c>
      <c r="I43" s="133"/>
      <c r="J43" s="1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1"/>
      <c r="B44" s="27" t="s">
        <v>65</v>
      </c>
      <c r="C44" s="10"/>
      <c r="D44" s="12">
        <f>C44*120</f>
        <v>0</v>
      </c>
      <c r="F44" s="37"/>
      <c r="G44" s="83"/>
      <c r="H44" s="135"/>
      <c r="I44" s="135"/>
      <c r="J44" s="13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67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69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65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67</v>
      </c>
      <c r="C49" s="33"/>
      <c r="D49" s="12">
        <f>C49*42</f>
        <v>0</v>
      </c>
      <c r="F49" s="116" t="s">
        <v>85</v>
      </c>
      <c r="G49" s="118">
        <f>H34+H35+H36+H37+H38+H39+H40+H41+G42+H44+H45+H46</f>
        <v>0</v>
      </c>
      <c r="H49" s="119"/>
      <c r="I49" s="119"/>
      <c r="J49" s="1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69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114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109</v>
      </c>
      <c r="G51" s="225">
        <f>G49-H29</f>
        <v>0</v>
      </c>
      <c r="H51" s="226"/>
      <c r="I51" s="226"/>
      <c r="J51" s="22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228"/>
      <c r="H52" s="229"/>
      <c r="I52" s="229"/>
      <c r="J52" s="23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6" t="s">
        <v>89</v>
      </c>
      <c r="B54" s="97"/>
      <c r="C54" s="98"/>
      <c r="D54" s="10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90</v>
      </c>
      <c r="B58" s="105"/>
      <c r="C58" s="105"/>
      <c r="D58" s="106"/>
      <c r="F58" s="104" t="s">
        <v>91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AD949-ECEA-4CED-81D1-803692010F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2</v>
      </c>
      <c r="H4" s="197" t="s">
        <v>9</v>
      </c>
      <c r="I4" s="199">
        <v>46118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107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100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101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38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122</v>
      </c>
      <c r="C15" s="10"/>
      <c r="D15" s="31">
        <f t="shared" si="1"/>
        <v>0</v>
      </c>
      <c r="F15" s="187" t="s">
        <v>39</v>
      </c>
      <c r="G15" s="188"/>
      <c r="H15" s="189">
        <f>H13-H14</f>
        <v>0</v>
      </c>
      <c r="I15" s="190"/>
      <c r="J15" s="19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237" t="s">
        <v>123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238" t="s">
        <v>125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239" t="s">
        <v>105</v>
      </c>
      <c r="C19" s="10"/>
      <c r="D19" s="48">
        <f t="shared" si="1"/>
        <v>0</v>
      </c>
      <c r="F19" s="56"/>
      <c r="G19" s="68" t="s">
        <v>49</v>
      </c>
      <c r="H19" s="235"/>
      <c r="I19" s="235"/>
      <c r="J19" s="23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0"/>
      <c r="I20" s="160"/>
      <c r="J20" s="16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2" t="s">
        <v>13</v>
      </c>
      <c r="I21" s="163"/>
      <c r="J21" s="16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2"/>
      <c r="G22" s="73"/>
      <c r="H22" s="165"/>
      <c r="I22" s="165"/>
      <c r="J22" s="16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121</v>
      </c>
      <c r="C23" s="10"/>
      <c r="D23" s="48">
        <f t="shared" si="1"/>
        <v>0</v>
      </c>
      <c r="F23" s="25"/>
      <c r="G23" s="37"/>
      <c r="H23" s="166"/>
      <c r="I23" s="135"/>
      <c r="J23" s="1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128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67" t="s">
        <v>13</v>
      </c>
      <c r="I25" s="168"/>
      <c r="J25" s="16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129</v>
      </c>
      <c r="C26" s="10"/>
      <c r="D26" s="48">
        <f t="shared" si="1"/>
        <v>0</v>
      </c>
      <c r="F26" s="64"/>
      <c r="G26" s="10"/>
      <c r="H26" s="170"/>
      <c r="I26" s="171"/>
      <c r="J26" s="17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130</v>
      </c>
      <c r="C27" s="10"/>
      <c r="D27" s="44">
        <f t="shared" si="1"/>
        <v>0</v>
      </c>
      <c r="F27" s="14"/>
      <c r="G27" s="14"/>
      <c r="H27" s="173"/>
      <c r="I27" s="174"/>
      <c r="J27" s="1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92"/>
      <c r="G28" s="61"/>
      <c r="H28" s="176"/>
      <c r="I28" s="177"/>
      <c r="J28" s="17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54</v>
      </c>
      <c r="G29" s="158"/>
      <c r="H29" s="118">
        <f>H15-H16-H17-H18-H19-H20-H22-H23-H24+H26+H27</f>
        <v>0</v>
      </c>
      <c r="I29" s="119"/>
      <c r="J29" s="1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146" t="s">
        <v>58</v>
      </c>
      <c r="G32" s="147"/>
      <c r="H32" s="147"/>
      <c r="I32" s="147"/>
      <c r="J32" s="14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46" t="s">
        <v>13</v>
      </c>
      <c r="I33" s="147"/>
      <c r="J33" s="14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/>
      <c r="H35" s="140">
        <f t="shared" ref="H35:H39" si="2">F35*G35</f>
        <v>0</v>
      </c>
      <c r="I35" s="141"/>
      <c r="J35" s="14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140">
        <f>F36*G36</f>
        <v>0</v>
      </c>
      <c r="I36" s="141"/>
      <c r="J36" s="14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140"/>
      <c r="H42" s="141"/>
      <c r="I42" s="141"/>
      <c r="J42" s="14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80</v>
      </c>
      <c r="C43" s="11"/>
      <c r="D43" s="12"/>
      <c r="F43" s="59" t="s">
        <v>81</v>
      </c>
      <c r="G43" s="95" t="s">
        <v>82</v>
      </c>
      <c r="H43" s="132" t="s">
        <v>13</v>
      </c>
      <c r="I43" s="133"/>
      <c r="J43" s="1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1"/>
      <c r="B44" s="27" t="s">
        <v>65</v>
      </c>
      <c r="C44" s="10"/>
      <c r="D44" s="12">
        <f>C44*120</f>
        <v>0</v>
      </c>
      <c r="F44" s="37"/>
      <c r="G44" s="62"/>
      <c r="H44" s="135"/>
      <c r="I44" s="135"/>
      <c r="J44" s="13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67</v>
      </c>
      <c r="C45" s="33"/>
      <c r="D45" s="12">
        <f>C45*84</f>
        <v>0</v>
      </c>
      <c r="F45" s="37"/>
      <c r="G45" s="62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69</v>
      </c>
      <c r="C46" s="81"/>
      <c r="D46" s="12">
        <f>C46*1.5</f>
        <v>0</v>
      </c>
      <c r="F46" s="37"/>
      <c r="G46" s="94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65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67</v>
      </c>
      <c r="C49" s="33"/>
      <c r="D49" s="12">
        <f>C49*42</f>
        <v>0</v>
      </c>
      <c r="F49" s="116" t="s">
        <v>85</v>
      </c>
      <c r="G49" s="118">
        <f>H34+H35+H36+H37+H38+H39+H40+H41+G42+H44+H45+H46</f>
        <v>0</v>
      </c>
      <c r="H49" s="119"/>
      <c r="I49" s="119"/>
      <c r="J49" s="1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69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114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112</v>
      </c>
      <c r="G51" s="126">
        <f>G49-H29</f>
        <v>0</v>
      </c>
      <c r="H51" s="127"/>
      <c r="I51" s="127"/>
      <c r="J51" s="12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6" t="s">
        <v>89</v>
      </c>
      <c r="B54" s="97"/>
      <c r="C54" s="98"/>
      <c r="D54" s="10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90</v>
      </c>
      <c r="B58" s="105"/>
      <c r="C58" s="105"/>
      <c r="D58" s="106"/>
      <c r="F58" s="104" t="s">
        <v>91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298D0-67C6-4023-9E33-286C3D5433C4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2" t="s">
        <v>1</v>
      </c>
      <c r="O1" s="19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3" t="s">
        <v>7</v>
      </c>
      <c r="B4" s="144"/>
      <c r="C4" s="144"/>
      <c r="D4" s="145"/>
      <c r="F4" s="193" t="s">
        <v>8</v>
      </c>
      <c r="G4" s="195">
        <v>3</v>
      </c>
      <c r="H4" s="197" t="s">
        <v>9</v>
      </c>
      <c r="I4" s="199">
        <v>46118</v>
      </c>
      <c r="J4" s="20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7" t="s">
        <v>7</v>
      </c>
      <c r="B5" s="15" t="s">
        <v>11</v>
      </c>
      <c r="C5" s="9" t="s">
        <v>12</v>
      </c>
      <c r="D5" s="25" t="s">
        <v>13</v>
      </c>
      <c r="F5" s="194"/>
      <c r="G5" s="196"/>
      <c r="H5" s="198"/>
      <c r="I5" s="201"/>
      <c r="J5" s="20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8"/>
      <c r="B6" s="16" t="s">
        <v>15</v>
      </c>
      <c r="C6" s="10"/>
      <c r="D6" s="13">
        <f t="shared" ref="D6:D28" si="1">C6*L6</f>
        <v>0</v>
      </c>
      <c r="F6" s="203" t="s">
        <v>16</v>
      </c>
      <c r="G6" s="205" t="s">
        <v>117</v>
      </c>
      <c r="H6" s="206"/>
      <c r="I6" s="206"/>
      <c r="J6" s="20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8"/>
      <c r="B7" s="16" t="s">
        <v>18</v>
      </c>
      <c r="C7" s="10"/>
      <c r="D7" s="13">
        <f t="shared" si="1"/>
        <v>0</v>
      </c>
      <c r="F7" s="204"/>
      <c r="G7" s="208"/>
      <c r="H7" s="209"/>
      <c r="I7" s="209"/>
      <c r="J7" s="21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8"/>
      <c r="B8" s="16" t="s">
        <v>20</v>
      </c>
      <c r="C8" s="10"/>
      <c r="D8" s="13">
        <f t="shared" si="1"/>
        <v>0</v>
      </c>
      <c r="F8" s="211" t="s">
        <v>21</v>
      </c>
      <c r="G8" s="212" t="s">
        <v>110</v>
      </c>
      <c r="H8" s="213"/>
      <c r="I8" s="213"/>
      <c r="J8" s="21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8"/>
      <c r="B9" s="16" t="s">
        <v>23</v>
      </c>
      <c r="C9" s="10"/>
      <c r="D9" s="13">
        <f t="shared" si="1"/>
        <v>0</v>
      </c>
      <c r="F9" s="204"/>
      <c r="G9" s="215"/>
      <c r="H9" s="216"/>
      <c r="I9" s="216"/>
      <c r="J9" s="21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8"/>
      <c r="B10" t="s">
        <v>25</v>
      </c>
      <c r="C10" s="10"/>
      <c r="D10" s="13">
        <f t="shared" si="1"/>
        <v>0</v>
      </c>
      <c r="F10" s="203" t="s">
        <v>26</v>
      </c>
      <c r="G10" s="218" t="s">
        <v>108</v>
      </c>
      <c r="H10" s="219"/>
      <c r="I10" s="219"/>
      <c r="J10" s="220"/>
      <c r="K10" s="8"/>
      <c r="L10" s="6">
        <f>R36</f>
        <v>1032</v>
      </c>
      <c r="P10" s="4"/>
      <c r="Q10" s="4"/>
      <c r="R10" s="5"/>
    </row>
    <row r="11" spans="1:18" ht="15.75" x14ac:dyDescent="0.25">
      <c r="A11" s="138"/>
      <c r="B11" s="17" t="s">
        <v>28</v>
      </c>
      <c r="C11" s="10"/>
      <c r="D11" s="13">
        <f t="shared" si="1"/>
        <v>0</v>
      </c>
      <c r="F11" s="204"/>
      <c r="G11" s="215"/>
      <c r="H11" s="216"/>
      <c r="I11" s="216"/>
      <c r="J11" s="21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8"/>
      <c r="B12" s="17" t="s">
        <v>30</v>
      </c>
      <c r="C12" s="10"/>
      <c r="D12" s="48">
        <f t="shared" si="1"/>
        <v>0</v>
      </c>
      <c r="F12" s="221" t="s">
        <v>33</v>
      </c>
      <c r="G12" s="222"/>
      <c r="H12" s="222"/>
      <c r="I12" s="222"/>
      <c r="J12" s="22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8"/>
      <c r="B13" s="17" t="s">
        <v>32</v>
      </c>
      <c r="C13" s="10"/>
      <c r="D13" s="48">
        <f t="shared" si="1"/>
        <v>0</v>
      </c>
      <c r="F13" s="224" t="s">
        <v>36</v>
      </c>
      <c r="G13" s="188"/>
      <c r="H13" s="179">
        <f>D29</f>
        <v>0</v>
      </c>
      <c r="I13" s="180"/>
      <c r="J13" s="18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8"/>
      <c r="B14" s="14" t="s">
        <v>35</v>
      </c>
      <c r="C14" s="10"/>
      <c r="D14" s="31">
        <f t="shared" si="1"/>
        <v>0</v>
      </c>
      <c r="F14" s="182" t="s">
        <v>38</v>
      </c>
      <c r="G14" s="183"/>
      <c r="H14" s="184">
        <f>D54</f>
        <v>0</v>
      </c>
      <c r="I14" s="185"/>
      <c r="J14" s="18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8"/>
      <c r="B15" s="14" t="s">
        <v>122</v>
      </c>
      <c r="C15" s="10"/>
      <c r="D15" s="31">
        <f t="shared" si="1"/>
        <v>0</v>
      </c>
      <c r="F15" s="187" t="s">
        <v>39</v>
      </c>
      <c r="G15" s="188"/>
      <c r="H15" s="189">
        <f>H13-H14</f>
        <v>0</v>
      </c>
      <c r="I15" s="190"/>
      <c r="J15" s="19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49"/>
      <c r="I16" s="149"/>
      <c r="J16" s="14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8"/>
      <c r="B17" s="237" t="s">
        <v>123</v>
      </c>
      <c r="C17" s="10"/>
      <c r="D17" s="48">
        <f t="shared" si="1"/>
        <v>0</v>
      </c>
      <c r="F17" s="56"/>
      <c r="G17" s="66" t="s">
        <v>44</v>
      </c>
      <c r="H17" s="160"/>
      <c r="I17" s="160"/>
      <c r="J17" s="16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8"/>
      <c r="B18" s="238" t="s">
        <v>125</v>
      </c>
      <c r="C18" s="10"/>
      <c r="D18" s="48">
        <f t="shared" si="1"/>
        <v>0</v>
      </c>
      <c r="F18" s="56"/>
      <c r="G18" s="66" t="s">
        <v>46</v>
      </c>
      <c r="H18" s="160"/>
      <c r="I18" s="160"/>
      <c r="J18" s="16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8"/>
      <c r="B19" s="239" t="s">
        <v>105</v>
      </c>
      <c r="C19" s="10"/>
      <c r="D19" s="48">
        <f t="shared" si="1"/>
        <v>0</v>
      </c>
      <c r="F19" s="56"/>
      <c r="G19" s="68" t="s">
        <v>49</v>
      </c>
      <c r="H19" s="236"/>
      <c r="I19" s="236"/>
      <c r="J19" s="23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49"/>
      <c r="I20" s="149"/>
      <c r="J20" s="14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2" t="s">
        <v>13</v>
      </c>
      <c r="I21" s="163"/>
      <c r="J21" s="16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8"/>
      <c r="B22" s="46" t="s">
        <v>103</v>
      </c>
      <c r="C22" s="10"/>
      <c r="D22" s="48">
        <f t="shared" si="1"/>
        <v>0</v>
      </c>
      <c r="F22" s="77"/>
      <c r="G22" s="73"/>
      <c r="H22" s="165"/>
      <c r="I22" s="165"/>
      <c r="J22" s="16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8"/>
      <c r="B23" s="14" t="s">
        <v>121</v>
      </c>
      <c r="C23" s="10"/>
      <c r="D23" s="48">
        <f t="shared" si="1"/>
        <v>0</v>
      </c>
      <c r="F23" s="78"/>
      <c r="G23" s="79"/>
      <c r="H23" s="166"/>
      <c r="I23" s="135"/>
      <c r="J23" s="1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8"/>
      <c r="B24" s="14" t="s">
        <v>128</v>
      </c>
      <c r="C24" s="10"/>
      <c r="D24" s="48">
        <f t="shared" si="1"/>
        <v>0</v>
      </c>
      <c r="F24" s="38"/>
      <c r="G24" s="37"/>
      <c r="H24" s="166"/>
      <c r="I24" s="135"/>
      <c r="J24" s="1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67" t="s">
        <v>13</v>
      </c>
      <c r="I25" s="168"/>
      <c r="J25" s="16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8"/>
      <c r="B26" s="14" t="s">
        <v>129</v>
      </c>
      <c r="C26" s="10"/>
      <c r="D26" s="48">
        <f t="shared" si="1"/>
        <v>0</v>
      </c>
      <c r="F26" s="64"/>
      <c r="G26" s="59"/>
      <c r="H26" s="170"/>
      <c r="I26" s="171"/>
      <c r="J26" s="17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8"/>
      <c r="B27" s="14" t="s">
        <v>130</v>
      </c>
      <c r="C27" s="10"/>
      <c r="D27" s="44">
        <f t="shared" si="1"/>
        <v>0</v>
      </c>
      <c r="F27" s="25"/>
      <c r="G27" s="80"/>
      <c r="H27" s="173"/>
      <c r="I27" s="174"/>
      <c r="J27" s="1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9"/>
      <c r="B28" s="46" t="s">
        <v>92</v>
      </c>
      <c r="C28" s="10"/>
      <c r="D28" s="48">
        <f t="shared" si="1"/>
        <v>0</v>
      </c>
      <c r="F28" s="92"/>
      <c r="G28" s="61"/>
      <c r="H28" s="176"/>
      <c r="I28" s="177"/>
      <c r="J28" s="17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96" t="s">
        <v>54</v>
      </c>
      <c r="G29" s="158"/>
      <c r="H29" s="118">
        <f>H15-H16-H17-H18-H19-H20-H22-H23-H24+H26+H27</f>
        <v>0</v>
      </c>
      <c r="I29" s="119"/>
      <c r="J29" s="1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99"/>
      <c r="G30" s="159"/>
      <c r="H30" s="121"/>
      <c r="I30" s="122"/>
      <c r="J30" s="12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3" t="s">
        <v>57</v>
      </c>
      <c r="B32" s="144"/>
      <c r="C32" s="144"/>
      <c r="D32" s="145"/>
      <c r="F32" s="146" t="s">
        <v>58</v>
      </c>
      <c r="G32" s="147"/>
      <c r="H32" s="147"/>
      <c r="I32" s="147"/>
      <c r="J32" s="14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46" t="s">
        <v>13</v>
      </c>
      <c r="I33" s="147"/>
      <c r="J33" s="14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0">
        <f>F34*G34</f>
        <v>0</v>
      </c>
      <c r="I34" s="141"/>
      <c r="J34" s="14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8"/>
      <c r="B35" s="27" t="s">
        <v>67</v>
      </c>
      <c r="C35" s="52"/>
      <c r="D35" s="30">
        <f>C35*84</f>
        <v>0</v>
      </c>
      <c r="F35" s="58">
        <v>500</v>
      </c>
      <c r="G35" s="41"/>
      <c r="H35" s="140">
        <f>F35*G35</f>
        <v>0</v>
      </c>
      <c r="I35" s="141"/>
      <c r="J35" s="14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9"/>
      <c r="B36" s="26" t="s">
        <v>69</v>
      </c>
      <c r="C36" s="10"/>
      <c r="D36" s="12">
        <f>C36*1.5</f>
        <v>0</v>
      </c>
      <c r="F36" s="12">
        <v>200</v>
      </c>
      <c r="G36" s="37"/>
      <c r="H36" s="140">
        <f t="shared" ref="H36:H39" si="2">F36*G36</f>
        <v>0</v>
      </c>
      <c r="I36" s="141"/>
      <c r="J36" s="14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0">
        <f t="shared" si="2"/>
        <v>0</v>
      </c>
      <c r="I37" s="141"/>
      <c r="J37" s="14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8"/>
      <c r="B38" s="29" t="s">
        <v>67</v>
      </c>
      <c r="C38" s="54"/>
      <c r="D38" s="12">
        <f>C38*84</f>
        <v>0</v>
      </c>
      <c r="F38" s="30">
        <v>50</v>
      </c>
      <c r="G38" s="39"/>
      <c r="H38" s="140">
        <f t="shared" si="2"/>
        <v>0</v>
      </c>
      <c r="I38" s="141"/>
      <c r="J38" s="14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9"/>
      <c r="B39" s="29" t="s">
        <v>69</v>
      </c>
      <c r="C39" s="52"/>
      <c r="D39" s="31">
        <f>C39*4.5</f>
        <v>0</v>
      </c>
      <c r="F39" s="12">
        <v>20</v>
      </c>
      <c r="G39" s="37"/>
      <c r="H39" s="140">
        <f t="shared" si="2"/>
        <v>0</v>
      </c>
      <c r="I39" s="141"/>
      <c r="J39" s="14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0"/>
      <c r="I40" s="141"/>
      <c r="J40" s="14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8"/>
      <c r="B41" s="27" t="s">
        <v>67</v>
      </c>
      <c r="C41" s="10"/>
      <c r="D41" s="12">
        <f>C41*84</f>
        <v>0</v>
      </c>
      <c r="F41" s="12">
        <v>5</v>
      </c>
      <c r="G41" s="42"/>
      <c r="H41" s="140"/>
      <c r="I41" s="141"/>
      <c r="J41" s="14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9"/>
      <c r="B42" s="27" t="s">
        <v>69</v>
      </c>
      <c r="C42" s="11"/>
      <c r="D42" s="12">
        <f>C42*2.25</f>
        <v>0</v>
      </c>
      <c r="F42" s="39" t="s">
        <v>78</v>
      </c>
      <c r="G42" s="140"/>
      <c r="H42" s="141"/>
      <c r="I42" s="141"/>
      <c r="J42" s="14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0" t="s">
        <v>80</v>
      </c>
      <c r="C43" s="11"/>
      <c r="D43" s="12"/>
      <c r="F43" s="59" t="s">
        <v>81</v>
      </c>
      <c r="G43" s="95" t="s">
        <v>82</v>
      </c>
      <c r="H43" s="132" t="s">
        <v>13</v>
      </c>
      <c r="I43" s="133"/>
      <c r="J43" s="13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1"/>
      <c r="B44" s="27" t="s">
        <v>65</v>
      </c>
      <c r="C44" s="10"/>
      <c r="D44" s="12">
        <f>C44*120</f>
        <v>0</v>
      </c>
      <c r="F44" s="37"/>
      <c r="G44" s="76"/>
      <c r="H44" s="135"/>
      <c r="I44" s="135"/>
      <c r="J44" s="13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1"/>
      <c r="B45" s="27" t="s">
        <v>67</v>
      </c>
      <c r="C45" s="33"/>
      <c r="D45" s="12">
        <f>C45*84</f>
        <v>0</v>
      </c>
      <c r="F45" s="37"/>
      <c r="G45" s="76"/>
      <c r="H45" s="135"/>
      <c r="I45" s="135"/>
      <c r="J45" s="135"/>
      <c r="K45" s="21"/>
      <c r="P45" s="4"/>
      <c r="Q45" s="4"/>
      <c r="R45" s="5"/>
    </row>
    <row r="46" spans="1:18" ht="15.75" x14ac:dyDescent="0.25">
      <c r="A46" s="111"/>
      <c r="B46" s="49" t="s">
        <v>69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2"/>
      <c r="B47" s="27"/>
      <c r="C47" s="11"/>
      <c r="D47" s="12"/>
      <c r="F47" s="59"/>
      <c r="G47" s="59"/>
      <c r="H47" s="113"/>
      <c r="I47" s="114"/>
      <c r="J47" s="115"/>
      <c r="K47" s="21"/>
      <c r="P47" s="4"/>
      <c r="Q47" s="4"/>
      <c r="R47" s="5"/>
    </row>
    <row r="48" spans="1:18" ht="15" customHeight="1" x14ac:dyDescent="0.25">
      <c r="A48" s="110" t="s">
        <v>32</v>
      </c>
      <c r="B48" s="27" t="s">
        <v>65</v>
      </c>
      <c r="C48" s="10"/>
      <c r="D48" s="12">
        <f>C48*78</f>
        <v>0</v>
      </c>
      <c r="F48" s="59"/>
      <c r="G48" s="59"/>
      <c r="H48" s="113"/>
      <c r="I48" s="114"/>
      <c r="J48" s="1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1"/>
      <c r="B49" s="29" t="s">
        <v>67</v>
      </c>
      <c r="C49" s="33"/>
      <c r="D49" s="12">
        <f>C49*42</f>
        <v>0</v>
      </c>
      <c r="F49" s="116" t="s">
        <v>85</v>
      </c>
      <c r="G49" s="118">
        <f>H34+H35+H36+H37+H38+H39+H40+H41+G42+H44+H45+H46</f>
        <v>0</v>
      </c>
      <c r="H49" s="119"/>
      <c r="I49" s="119"/>
      <c r="J49" s="1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1"/>
      <c r="B50" s="32" t="s">
        <v>69</v>
      </c>
      <c r="C50" s="11"/>
      <c r="D50" s="12">
        <f>C50*1.5</f>
        <v>0</v>
      </c>
      <c r="F50" s="117"/>
      <c r="G50" s="121"/>
      <c r="H50" s="122"/>
      <c r="I50" s="122"/>
      <c r="J50" s="123"/>
      <c r="O50" t="s">
        <v>114</v>
      </c>
      <c r="P50" s="4">
        <v>1204</v>
      </c>
      <c r="Q50" s="4"/>
      <c r="R50" s="5"/>
    </row>
    <row r="51" spans="1:18" ht="15" customHeight="1" x14ac:dyDescent="0.25">
      <c r="A51" s="111"/>
      <c r="B51" s="27"/>
      <c r="C51" s="10"/>
      <c r="D51" s="31"/>
      <c r="F51" s="124" t="s">
        <v>115</v>
      </c>
      <c r="G51" s="126">
        <f>G49-H29</f>
        <v>0</v>
      </c>
      <c r="H51" s="127"/>
      <c r="I51" s="127"/>
      <c r="J51" s="12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1"/>
      <c r="B52" s="29"/>
      <c r="C52" s="33"/>
      <c r="D52" s="45"/>
      <c r="F52" s="125"/>
      <c r="G52" s="129"/>
      <c r="H52" s="130"/>
      <c r="I52" s="130"/>
      <c r="J52" s="13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6" t="s">
        <v>89</v>
      </c>
      <c r="B54" s="97"/>
      <c r="C54" s="98"/>
      <c r="D54" s="10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99"/>
      <c r="B55" s="100"/>
      <c r="C55" s="101"/>
      <c r="D55" s="10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4" t="s">
        <v>90</v>
      </c>
      <c r="B58" s="105"/>
      <c r="C58" s="105"/>
      <c r="D58" s="106"/>
      <c r="F58" s="104" t="s">
        <v>91</v>
      </c>
      <c r="G58" s="105"/>
      <c r="H58" s="105"/>
      <c r="I58" s="105"/>
      <c r="J58" s="106"/>
    </row>
    <row r="59" spans="1:18" x14ac:dyDescent="0.25">
      <c r="A59" s="107"/>
      <c r="B59" s="108"/>
      <c r="C59" s="108"/>
      <c r="D59" s="109"/>
      <c r="F59" s="107"/>
      <c r="G59" s="108"/>
      <c r="H59" s="108"/>
      <c r="I59" s="108"/>
      <c r="J59" s="10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20</vt:i4>
      </vt:variant>
    </vt:vector>
  </HeadingPairs>
  <TitlesOfParts>
    <vt:vector size="41" baseType="lpstr">
      <vt:lpstr>(APRIL 2026)</vt:lpstr>
      <vt:lpstr>(01)</vt:lpstr>
      <vt:lpstr>01,4 R1</vt:lpstr>
      <vt:lpstr>01,4 R2</vt:lpstr>
      <vt:lpstr>01,4 R3</vt:lpstr>
      <vt:lpstr>(2)</vt:lpstr>
      <vt:lpstr>01,2 R1</vt:lpstr>
      <vt:lpstr>01,2 R2</vt:lpstr>
      <vt:lpstr>01,2 R3</vt:lpstr>
      <vt:lpstr>(3)</vt:lpstr>
      <vt:lpstr>01,3 R1</vt:lpstr>
      <vt:lpstr>01,3 R2</vt:lpstr>
      <vt:lpstr>01,3 R3</vt:lpstr>
      <vt:lpstr>(4)</vt:lpstr>
      <vt:lpstr>01,04 R1</vt:lpstr>
      <vt:lpstr>01,04 R2</vt:lpstr>
      <vt:lpstr>01,04 R3</vt:lpstr>
      <vt:lpstr>(6)</vt:lpstr>
      <vt:lpstr>01,06 R1</vt:lpstr>
      <vt:lpstr>01,06 R2</vt:lpstr>
      <vt:lpstr>01,06 R3</vt:lpstr>
      <vt:lpstr>'(01)'!Print_Area</vt:lpstr>
      <vt:lpstr>'(2)'!Print_Area</vt:lpstr>
      <vt:lpstr>'(3)'!Print_Area</vt:lpstr>
      <vt:lpstr>'(4)'!Print_Area</vt:lpstr>
      <vt:lpstr>'(6)'!Print_Area</vt:lpstr>
      <vt:lpstr>'01,04 R1'!Print_Area</vt:lpstr>
      <vt:lpstr>'01,04 R2'!Print_Area</vt:lpstr>
      <vt:lpstr>'01,04 R3'!Print_Area</vt:lpstr>
      <vt:lpstr>'01,06 R1'!Print_Area</vt:lpstr>
      <vt:lpstr>'01,06 R2'!Print_Area</vt:lpstr>
      <vt:lpstr>'01,06 R3'!Print_Area</vt:lpstr>
      <vt:lpstr>'01,2 R1'!Print_Area</vt:lpstr>
      <vt:lpstr>'01,2 R2'!Print_Area</vt:lpstr>
      <vt:lpstr>'01,2 R3'!Print_Area</vt:lpstr>
      <vt:lpstr>'01,3 R1'!Print_Area</vt:lpstr>
      <vt:lpstr>'01,3 R2'!Print_Area</vt:lpstr>
      <vt:lpstr>'01,3 R3'!Print_Area</vt:lpstr>
      <vt:lpstr>'01,4 R1'!Print_Area</vt:lpstr>
      <vt:lpstr>'01,4 R2'!Print_Area</vt:lpstr>
      <vt:lpstr>'01,4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2026-03-24T00:07:40Z</cp:lastPrinted>
  <dcterms:created xsi:type="dcterms:W3CDTF">2024-09-01T23:36:50Z</dcterms:created>
  <dcterms:modified xsi:type="dcterms:W3CDTF">2026-03-24T07:16:51Z</dcterms:modified>
</cp:coreProperties>
</file>