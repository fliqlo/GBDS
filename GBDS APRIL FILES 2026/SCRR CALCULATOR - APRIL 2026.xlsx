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C659B4F-BCAE-4121-9D6C-07A505CA8E32}" xr6:coauthVersionLast="45" xr6:coauthVersionMax="47" xr10:uidLastSave="{00000000-0000-0000-0000-000000000000}"/>
  <bookViews>
    <workbookView xWindow="-120" yWindow="-120" windowWidth="29040" windowHeight="15840" firstSheet="3" activeTab="6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" sheetId="1946" r:id="rId10"/>
    <sheet name="01,3 R1" sheetId="1947" r:id="rId11"/>
    <sheet name="01,3 R2" sheetId="1948" r:id="rId12"/>
    <sheet name="01,3 R3" sheetId="1949" r:id="rId13"/>
    <sheet name="(4)" sheetId="1950" r:id="rId14"/>
    <sheet name="01,04 R1" sheetId="1951" r:id="rId15"/>
    <sheet name="01,04 R2" sheetId="1952" r:id="rId16"/>
    <sheet name="01,04 R3" sheetId="1953" r:id="rId17"/>
    <sheet name="(6)" sheetId="1954" r:id="rId18"/>
    <sheet name="01,06 R1" sheetId="1955" r:id="rId19"/>
    <sheet name="01,06 R2" sheetId="1956" r:id="rId20"/>
    <sheet name="01,06 R3" sheetId="1957" r:id="rId21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14">'01,04 R1'!$A$1:$J$60</definedName>
    <definedName name="_xlnm.Print_Area" localSheetId="15">'01,04 R2'!$A$1:$J$60</definedName>
    <definedName name="_xlnm.Print_Area" localSheetId="16">'01,04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R1'!$A$1:$J$60</definedName>
    <definedName name="_xlnm.Print_Area" localSheetId="11">'01,3 R2'!$A$1:$J$60</definedName>
    <definedName name="_xlnm.Print_Area" localSheetId="12">'01,3 R3'!$A$1:$J$60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44" l="1"/>
  <c r="H16" i="1945"/>
  <c r="H16" i="1943"/>
  <c r="C12" i="1945"/>
  <c r="C16" i="1945"/>
  <c r="H16" i="1941" l="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G49" i="1957" s="1"/>
  <c r="D34" i="1957"/>
  <c r="D54" i="1957" s="1"/>
  <c r="H14" i="1957" s="1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G49" i="1956" s="1"/>
  <c r="D34" i="1956"/>
  <c r="D54" i="1956" s="1"/>
  <c r="H14" i="1956" s="1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G49" i="1955" s="1"/>
  <c r="D34" i="1955"/>
  <c r="D54" i="1955" s="1"/>
  <c r="H14" i="1955" s="1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44" l="1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H15" i="1957" s="1"/>
  <c r="H29" i="1957" s="1"/>
  <c r="G51" i="1957"/>
  <c r="D29" i="1956"/>
  <c r="H13" i="1956" s="1"/>
  <c r="H15" i="1956" s="1"/>
  <c r="H29" i="1956" s="1"/>
  <c r="G51" i="1956"/>
  <c r="D29" i="1955"/>
  <c r="H13" i="1955" s="1"/>
  <c r="H15" i="1955" s="1"/>
  <c r="H29" i="1955" s="1"/>
  <c r="G51" i="1955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45" l="1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<sst xmlns="http://schemas.openxmlformats.org/spreadsheetml/2006/main" count="2700" uniqueCount="144">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</sst>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49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89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86" t="s">
        <v>82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106</v>
      </c>
      <c r="G51" s="224">
        <f>G49-H29</f>
        <v>0</v>
      </c>
      <c r="H51" s="225"/>
      <c r="I51" s="225"/>
      <c r="J51" s="22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46113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644</v>
      </c>
      <c r="D6" s="13">
        <f t="shared" ref="D6:D28" si="1">C6*L6</f>
        <v>490084</v>
      </c>
      <c r="F6" s="118" t="s">
        <v>16</v>
      </c>
      <c r="G6" s="120" t="s">
        <v>99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>
        <v>3</v>
      </c>
      <c r="D7" s="13">
        <f t="shared" si="1"/>
        <v>2343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120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71</v>
      </c>
      <c r="D9" s="13">
        <f t="shared" si="1"/>
        <v>52043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>
        <v>1</v>
      </c>
      <c r="D10" s="13">
        <f t="shared" si="1"/>
        <v>1032</v>
      </c>
      <c r="F10" s="118" t="s">
        <v>26</v>
      </c>
      <c r="G10" s="134" t="s">
        <v>124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>
        <v>1</v>
      </c>
      <c r="D11" s="13">
        <f t="shared" si="1"/>
        <v>1170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>
        <v>1</v>
      </c>
      <c r="D12" s="48">
        <f t="shared" si="1"/>
        <v>992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8</v>
      </c>
      <c r="D13" s="48">
        <f t="shared" si="1"/>
        <v>2456</v>
      </c>
      <c r="F13" s="140" t="s">
        <v>36</v>
      </c>
      <c r="G13" s="141"/>
      <c r="H13" s="142">
        <f>D29</f>
        <v>554839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4</v>
      </c>
      <c r="D14" s="31">
        <f t="shared" si="1"/>
        <v>44</v>
      </c>
      <c r="F14" s="145" t="s">
        <v>38</v>
      </c>
      <c r="G14" s="146"/>
      <c r="H14" s="147">
        <f>D54</f>
        <v>79868.25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>
        <v>1</v>
      </c>
      <c r="D15" s="31">
        <f t="shared" si="1"/>
        <v>620</v>
      </c>
      <c r="F15" s="150" t="s">
        <v>39</v>
      </c>
      <c r="G15" s="141"/>
      <c r="H15" s="151">
        <f>H13-H14</f>
        <v>474970.75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27"/>
      <c r="I19" s="127"/>
      <c r="J19" s="12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77">
        <v>92259</v>
      </c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77"/>
      <c r="G23" s="79"/>
      <c r="H23" s="230"/>
      <c r="I23" s="231"/>
      <c r="J23" s="23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77"/>
      <c r="G24" s="79"/>
      <c r="H24" s="230"/>
      <c r="I24" s="231"/>
      <c r="J24" s="23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79">
        <v>94558</v>
      </c>
      <c r="I26" s="179"/>
      <c r="J26" s="17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71"/>
      <c r="G27" s="86"/>
      <c r="H27" s="232"/>
      <c r="I27" s="233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>
        <v>5</v>
      </c>
      <c r="D28" s="48">
        <f t="shared" si="1"/>
        <v>4055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554839</v>
      </c>
      <c r="F29" s="163" t="s">
        <v>54</v>
      </c>
      <c r="G29" s="164"/>
      <c r="H29" s="167">
        <f>H15-H16-H17-H18-H19-H20-H22-H23-H24+H26+H27+H28</f>
        <v>477269.75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95">
        <f t="shared" ref="H34:H39" si="2">F34*G34</f>
        <v>273000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>
        <f t="shared" si="2"/>
        <v>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5">
        <f t="shared" si="2"/>
        <v>200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95">
        <f t="shared" si="2"/>
        <v>1600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95">
        <f t="shared" si="2"/>
        <v>300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5">
        <f t="shared" si="2"/>
        <v>20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5">
        <v>70</v>
      </c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86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79">
        <v>73932</v>
      </c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79">
        <v>20000</v>
      </c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79">
        <v>13540</v>
      </c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37" t="s">
        <v>133</v>
      </c>
      <c r="G47" s="83" t="s">
        <v>134</v>
      </c>
      <c r="H47" s="179">
        <v>94558</v>
      </c>
      <c r="I47" s="179"/>
      <c r="J47" s="179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H34+H35+H36+H37+H38+H39+H40+H41+G42+H44+H45+H46+H47</f>
        <v>477220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109</v>
      </c>
      <c r="G51" s="234">
        <f>G49-H29</f>
        <v>-49.75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46113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339</v>
      </c>
      <c r="D6" s="13">
        <f t="shared" ref="D6:D28" si="1">C6*L6</f>
        <v>257979</v>
      </c>
      <c r="F6" s="118" t="s">
        <v>16</v>
      </c>
      <c r="G6" s="120" t="s">
        <v>107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>
        <v>13</v>
      </c>
      <c r="D7" s="13">
        <f t="shared" si="1"/>
        <v>10153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>
        <v>70</v>
      </c>
      <c r="D8" s="13">
        <f t="shared" si="1"/>
        <v>76510</v>
      </c>
      <c r="F8" s="126" t="s">
        <v>21</v>
      </c>
      <c r="G8" s="128" t="s">
        <v>100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2</v>
      </c>
      <c r="D9" s="13">
        <f t="shared" si="1"/>
        <v>1466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101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>
        <v>3</v>
      </c>
      <c r="D11" s="13">
        <f t="shared" si="1"/>
        <v>3510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>
        <f>3+1</f>
        <v>4</v>
      </c>
      <c r="D12" s="48">
        <f t="shared" si="1"/>
        <v>3968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6</v>
      </c>
      <c r="D13" s="48">
        <f t="shared" si="1"/>
        <v>1842</v>
      </c>
      <c r="F13" s="140" t="s">
        <v>36</v>
      </c>
      <c r="G13" s="141"/>
      <c r="H13" s="142">
        <f>D29</f>
        <v>356469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4</v>
      </c>
      <c r="D14" s="31">
        <f t="shared" si="1"/>
        <v>44</v>
      </c>
      <c r="F14" s="145" t="s">
        <v>38</v>
      </c>
      <c r="G14" s="146"/>
      <c r="H14" s="147">
        <f>D54</f>
        <v>50412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306057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1356</f>
        <v>1356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0"/>
      <c r="I19" s="240"/>
      <c r="J19" s="24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27"/>
      <c r="I20" s="127"/>
      <c r="J20" s="12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>
        <v>12</v>
      </c>
      <c r="D24" s="48">
        <f t="shared" si="1"/>
        <v>454</v>
      </c>
      <c r="F24" s="38"/>
      <c r="G24" s="37"/>
      <c r="H24" s="178"/>
      <c r="I24" s="179"/>
      <c r="J24" s="1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356469</v>
      </c>
      <c r="F29" s="163" t="s">
        <v>54</v>
      </c>
      <c r="G29" s="164"/>
      <c r="H29" s="167">
        <f>H15-H16-H17-H18-H19-H20-H22-H23-H24+H26+H27</f>
        <v>304701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95">
        <f>F34*G34</f>
        <v>145000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95">
        <f t="shared" ref="H35:H39" si="2">F35*G35</f>
        <v>9500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5">
        <f>F36*G36</f>
        <v>200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95">
        <f t="shared" si="2"/>
        <v>200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5">
        <f t="shared" si="2"/>
        <v>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>
        <v>73</v>
      </c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86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79">
        <v>149988</v>
      </c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87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>
        <v>6</v>
      </c>
      <c r="D49" s="12">
        <f>C49*42</f>
        <v>252</v>
      </c>
      <c r="F49" s="220" t="s">
        <v>85</v>
      </c>
      <c r="G49" s="167">
        <f>H34+H35+H36+H37+H38+H39+H40+H41+G42+H44+H45+H46</f>
        <v>304961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112</v>
      </c>
      <c r="G51" s="224">
        <f>G49-H29</f>
        <v>260</v>
      </c>
      <c r="H51" s="225"/>
      <c r="I51" s="225"/>
      <c r="J51" s="22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46113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482</v>
      </c>
      <c r="D6" s="13">
        <f t="shared" ref="D6:D28" si="1">C6*L6</f>
        <v>366802</v>
      </c>
      <c r="F6" s="118" t="s">
        <v>16</v>
      </c>
      <c r="G6" s="120" t="s">
        <v>117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>
        <v>17</v>
      </c>
      <c r="D7" s="13">
        <f t="shared" si="1"/>
        <v>13277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>
        <v>2</v>
      </c>
      <c r="D8" s="13">
        <f t="shared" si="1"/>
        <v>2186</v>
      </c>
      <c r="F8" s="126" t="s">
        <v>21</v>
      </c>
      <c r="G8" s="128" t="s">
        <v>110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35</v>
      </c>
      <c r="D9" s="13">
        <f t="shared" si="1"/>
        <v>25655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108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>
        <v>2</v>
      </c>
      <c r="D11" s="13">
        <f t="shared" si="1"/>
        <v>2340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>
        <f>3</f>
        <v>3</v>
      </c>
      <c r="D12" s="48">
        <f t="shared" si="1"/>
        <v>2976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21</v>
      </c>
      <c r="D13" s="48">
        <f t="shared" si="1"/>
        <v>6447</v>
      </c>
      <c r="F13" s="140" t="s">
        <v>36</v>
      </c>
      <c r="G13" s="141"/>
      <c r="H13" s="142">
        <f>D29</f>
        <v>419925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22</v>
      </c>
      <c r="D14" s="31">
        <f t="shared" si="1"/>
        <v>242</v>
      </c>
      <c r="F14" s="145" t="s">
        <v>38</v>
      </c>
      <c r="G14" s="146"/>
      <c r="H14" s="147">
        <f>D54</f>
        <v>66984.75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352940.25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648+738+840</f>
        <v>2226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1"/>
      <c r="I19" s="241"/>
      <c r="J19" s="24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419925</v>
      </c>
      <c r="F29" s="163" t="s">
        <v>54</v>
      </c>
      <c r="G29" s="164"/>
      <c r="H29" s="167">
        <f>H15-H16-H17-H18-H19-H20-H22-H23-H24+H26+H27</f>
        <v>350714.25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95">
        <f>F34*G34</f>
        <v>123000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95">
        <f>F35*G35</f>
        <v>56000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5">
        <f t="shared" ref="H36:H39" si="2">F36*G36</f>
        <v>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95">
        <f t="shared" si="2"/>
        <v>10700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95">
        <f t="shared" si="2"/>
        <v>150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95">
        <f t="shared" si="2"/>
        <v>40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5">
        <v>710</v>
      </c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86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79">
        <v>93138.5</v>
      </c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79">
        <v>66764</v>
      </c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>
        <v>19</v>
      </c>
      <c r="D46" s="12">
        <f>C46*1.5</f>
        <v>28.5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350502.5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>
        <v>39</v>
      </c>
      <c r="D50" s="12">
        <f>C50*1.5</f>
        <v>58.5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109</v>
      </c>
      <c r="G51" s="234">
        <f>G49-H29</f>
        <v>-211.75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49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92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106</v>
      </c>
      <c r="G51" s="224">
        <f>G49-H29</f>
        <v>0</v>
      </c>
      <c r="H51" s="225"/>
      <c r="I51" s="225"/>
      <c r="J51" s="22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46114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402</v>
      </c>
      <c r="D6" s="13">
        <f t="shared" ref="D6:D28" si="1">C6*L6</f>
        <v>305922</v>
      </c>
      <c r="F6" s="118" t="s">
        <v>16</v>
      </c>
      <c r="G6" s="120" t="s">
        <v>99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>
        <v>4</v>
      </c>
      <c r="D7" s="13">
        <f t="shared" si="1"/>
        <v>3124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120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18</v>
      </c>
      <c r="D9" s="13">
        <f t="shared" si="1"/>
        <v>13194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124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>
        <v>1</v>
      </c>
      <c r="D12" s="48">
        <f t="shared" si="1"/>
        <v>992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12</v>
      </c>
      <c r="D13" s="48">
        <f t="shared" si="1"/>
        <v>3684</v>
      </c>
      <c r="F13" s="140" t="s">
        <v>36</v>
      </c>
      <c r="G13" s="141"/>
      <c r="H13" s="142">
        <f>D29</f>
        <v>326938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2</v>
      </c>
      <c r="D14" s="31">
        <f t="shared" si="1"/>
        <v>22</v>
      </c>
      <c r="F14" s="145" t="s">
        <v>38</v>
      </c>
      <c r="G14" s="146"/>
      <c r="H14" s="147">
        <f>D54</f>
        <v>16806.75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310131.25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>
        <f>1944</f>
        <v>1944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27"/>
      <c r="I19" s="127"/>
      <c r="J19" s="12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77"/>
      <c r="G23" s="79"/>
      <c r="H23" s="230"/>
      <c r="I23" s="231"/>
      <c r="J23" s="23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77"/>
      <c r="G24" s="79"/>
      <c r="H24" s="230"/>
      <c r="I24" s="231"/>
      <c r="J24" s="23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75"/>
      <c r="G26" s="65"/>
      <c r="H26" s="179"/>
      <c r="I26" s="179"/>
      <c r="J26" s="17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71"/>
      <c r="G27" s="95"/>
      <c r="H27" s="232"/>
      <c r="I27" s="233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326938</v>
      </c>
      <c r="F29" s="163" t="s">
        <v>54</v>
      </c>
      <c r="G29" s="164"/>
      <c r="H29" s="167">
        <f>H15-H16-H17-H18-H19-H20-H22-H23-H24+H26+H27+H28</f>
        <v>308187.25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95">
        <f t="shared" ref="H34:H39" si="2">F34*G34</f>
        <v>53000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5">
        <f t="shared" si="2"/>
        <v>3500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5">
        <f t="shared" si="2"/>
        <v>200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95">
        <f t="shared" si="2"/>
        <v>3600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5">
        <f t="shared" si="2"/>
        <v>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79">
        <v>247690</v>
      </c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>
        <v>4</v>
      </c>
      <c r="D46" s="12">
        <f>C46*1.5</f>
        <v>6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307990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>
        <v>10</v>
      </c>
      <c r="D50" s="12">
        <f>C50*1.5</f>
        <v>15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109</v>
      </c>
      <c r="G51" s="234">
        <f>G49-H29</f>
        <v>-197.25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46114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353</v>
      </c>
      <c r="D6" s="13">
        <f t="shared" ref="D6:D28" si="1">C6*L6</f>
        <v>268633</v>
      </c>
      <c r="F6" s="118" t="s">
        <v>16</v>
      </c>
      <c r="G6" s="120" t="s">
        <v>107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100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5</v>
      </c>
      <c r="D9" s="13">
        <f t="shared" si="1"/>
        <v>3665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101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13</v>
      </c>
      <c r="D13" s="48">
        <f t="shared" si="1"/>
        <v>3991</v>
      </c>
      <c r="F13" s="140" t="s">
        <v>36</v>
      </c>
      <c r="G13" s="141"/>
      <c r="H13" s="142">
        <f>D29</f>
        <v>278180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6</v>
      </c>
      <c r="D14" s="31">
        <f t="shared" si="1"/>
        <v>66</v>
      </c>
      <c r="F14" s="145" t="s">
        <v>38</v>
      </c>
      <c r="G14" s="146"/>
      <c r="H14" s="147">
        <f>D54</f>
        <v>41341.5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236838.5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4">
        <f>1944</f>
        <v>1944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40"/>
      <c r="I19" s="240"/>
      <c r="J19" s="24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27"/>
      <c r="I20" s="127"/>
      <c r="J20" s="12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278180</v>
      </c>
      <c r="F29" s="163" t="s">
        <v>54</v>
      </c>
      <c r="G29" s="164"/>
      <c r="H29" s="167">
        <f>H15-H16-H17-H18-H19-H20-H22-H23-H24+H26+H27</f>
        <v>234894.5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95">
        <f>F34*G34</f>
        <v>24000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95">
        <f t="shared" ref="H35:H39" si="2">F35*G35</f>
        <v>199000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5">
        <f>F36*G36</f>
        <v>400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95">
        <f t="shared" si="2"/>
        <v>100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95">
        <f t="shared" si="2"/>
        <v>10100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95">
        <f t="shared" si="2"/>
        <v>40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>
        <v>168</v>
      </c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94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>
        <v>15</v>
      </c>
      <c r="D49" s="12">
        <f>C49*42</f>
        <v>630</v>
      </c>
      <c r="F49" s="220" t="s">
        <v>85</v>
      </c>
      <c r="G49" s="167">
        <f>H34+H35+H36+H37+H38+H39+H40+H41+G42+H44+H45+H46</f>
        <v>233808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>
        <v>6</v>
      </c>
      <c r="D50" s="12">
        <f>C50*1.5</f>
        <v>9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143</v>
      </c>
      <c r="G51" s="234">
        <f>G49-H29</f>
        <v>-1086.5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46114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>
        <v>653</v>
      </c>
      <c r="D6" s="13">
        <f t="shared" ref="D6:D28" si="1">C6*L6</f>
        <v>496933</v>
      </c>
      <c r="F6" s="118" t="s">
        <v>16</v>
      </c>
      <c r="G6" s="120" t="s">
        <v>117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>
        <v>29</v>
      </c>
      <c r="D7" s="13">
        <f t="shared" si="1"/>
        <v>22649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110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>
        <v>76</v>
      </c>
      <c r="D9" s="13">
        <f t="shared" si="1"/>
        <v>55708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108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>
        <f>3+1</f>
        <v>4</v>
      </c>
      <c r="D12" s="48">
        <f t="shared" si="1"/>
        <v>3968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>
        <v>24</v>
      </c>
      <c r="D13" s="48">
        <f t="shared" si="1"/>
        <v>7368</v>
      </c>
      <c r="F13" s="140" t="s">
        <v>36</v>
      </c>
      <c r="G13" s="141"/>
      <c r="H13" s="142">
        <f>D29</f>
        <v>589177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>
        <v>1</v>
      </c>
      <c r="D14" s="31">
        <f t="shared" si="1"/>
        <v>11</v>
      </c>
      <c r="F14" s="145" t="s">
        <v>38</v>
      </c>
      <c r="G14" s="146"/>
      <c r="H14" s="147">
        <f>D54</f>
        <v>87320.25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>
        <v>2</v>
      </c>
      <c r="D15" s="31">
        <f t="shared" si="1"/>
        <v>1240</v>
      </c>
      <c r="F15" s="150" t="s">
        <v>39</v>
      </c>
      <c r="G15" s="141"/>
      <c r="H15" s="151">
        <f>H13-H14</f>
        <v>501856.75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4">
        <f>2814+1050</f>
        <v>3864</v>
      </c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1"/>
      <c r="I19" s="241"/>
      <c r="J19" s="24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589177</v>
      </c>
      <c r="F29" s="163" t="s">
        <v>54</v>
      </c>
      <c r="G29" s="164"/>
      <c r="H29" s="167">
        <f>H15-H16-H17-H18-H19-H20-H22-H23-H24+H26+H27</f>
        <v>497992.75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95">
        <f>F34*G34</f>
        <v>158000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95">
        <f>F35*G35</f>
        <v>28500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5">
        <f t="shared" ref="H36:H39" si="2">F36*G36</f>
        <v>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95">
        <f t="shared" si="2"/>
        <v>2700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95">
        <f t="shared" si="2"/>
        <v>1700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5">
        <v>72</v>
      </c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79">
        <v>306876</v>
      </c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>
        <v>8</v>
      </c>
      <c r="D49" s="12">
        <f>C49*42</f>
        <v>336</v>
      </c>
      <c r="F49" s="220" t="s">
        <v>85</v>
      </c>
      <c r="G49" s="167">
        <f>H34+H35+H36+H37+H38+H39+H40+H41+G42+H44+H45+H46</f>
        <v>497848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>
        <v>13</v>
      </c>
      <c r="D50" s="12">
        <f>C50*1.5</f>
        <v>19.5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109</v>
      </c>
      <c r="G51" s="234">
        <f>G49-H29</f>
        <v>-144.75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49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92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106</v>
      </c>
      <c r="G51" s="224">
        <f>G49-H29</f>
        <v>0</v>
      </c>
      <c r="H51" s="225"/>
      <c r="I51" s="225"/>
      <c r="J51" s="22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46115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99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120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124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27"/>
      <c r="I19" s="127"/>
      <c r="J19" s="12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77"/>
      <c r="G23" s="79"/>
      <c r="H23" s="230"/>
      <c r="I23" s="231"/>
      <c r="J23" s="23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77"/>
      <c r="G24" s="79"/>
      <c r="H24" s="230"/>
      <c r="I24" s="231"/>
      <c r="J24" s="23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75"/>
      <c r="G26" s="65"/>
      <c r="H26" s="179"/>
      <c r="I26" s="179"/>
      <c r="J26" s="17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71"/>
      <c r="G27" s="95"/>
      <c r="H27" s="232"/>
      <c r="I27" s="233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H15-H16-H17-H18-H19-H20-H22-H23-H24+H26+H27+H28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5">
        <f t="shared" ref="H34:H39" si="2">F34*G34</f>
        <v>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>
        <f t="shared" si="2"/>
        <v>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>
        <f t="shared" si="2"/>
        <v>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83"/>
      <c r="H44" s="179"/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109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46115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107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100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101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0"/>
      <c r="I19" s="240"/>
      <c r="J19" s="24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27"/>
      <c r="I20" s="127"/>
      <c r="J20" s="12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>
        <f t="shared" ref="H35:H39" si="2">F35*G35</f>
        <v>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>
        <f>F36*G36</f>
        <v>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94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112</v>
      </c>
      <c r="G51" s="224">
        <f>G49-H29</f>
        <v>0</v>
      </c>
      <c r="H51" s="225"/>
      <c r="I51" s="225"/>
      <c r="J51" s="22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46115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117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110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108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1"/>
      <c r="I19" s="241"/>
      <c r="J19" s="24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>
        <f>F35*G35</f>
        <v>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>
        <f t="shared" ref="H36:H39" si="2">F36*G36</f>
        <v>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115</v>
      </c>
      <c r="G51" s="224">
        <f>G49-H29</f>
        <v>0</v>
      </c>
      <c r="H51" s="225"/>
      <c r="I51" s="225"/>
      <c r="J51" s="22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49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92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106</v>
      </c>
      <c r="G51" s="224">
        <f>G49-H29</f>
        <v>0</v>
      </c>
      <c r="H51" s="225"/>
      <c r="I51" s="225"/>
      <c r="J51" s="22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46116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99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120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124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27"/>
      <c r="I19" s="127"/>
      <c r="J19" s="12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77"/>
      <c r="G23" s="79"/>
      <c r="H23" s="230"/>
      <c r="I23" s="231"/>
      <c r="J23" s="23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77"/>
      <c r="G24" s="79"/>
      <c r="H24" s="230"/>
      <c r="I24" s="231"/>
      <c r="J24" s="23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75"/>
      <c r="G26" s="65"/>
      <c r="H26" s="179"/>
      <c r="I26" s="179"/>
      <c r="J26" s="17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71"/>
      <c r="G27" s="95"/>
      <c r="H27" s="232"/>
      <c r="I27" s="233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H15-H16-H17-H18-H19-H20-H22-H23-H24+H26+H27+H28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5">
        <f t="shared" ref="H34:H39" si="2">F34*G34</f>
        <v>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>
        <f t="shared" si="2"/>
        <v>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>
        <f t="shared" si="2"/>
        <v>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83"/>
      <c r="H44" s="179"/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109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46116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107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100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101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0"/>
      <c r="I19" s="240"/>
      <c r="J19" s="24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27"/>
      <c r="I20" s="127"/>
      <c r="J20" s="12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>
        <f t="shared" ref="H35:H39" si="2">F35*G35</f>
        <v>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>
        <f>F36*G36</f>
        <v>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94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112</v>
      </c>
      <c r="G51" s="224">
        <f>G49-H29</f>
        <v>0</v>
      </c>
      <c r="H51" s="225"/>
      <c r="I51" s="225"/>
      <c r="J51" s="22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46116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117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110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108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1"/>
      <c r="I19" s="241"/>
      <c r="J19" s="24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>
        <f>F35*G35</f>
        <v>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>
        <f t="shared" ref="H36:H39" si="2">F36*G36</f>
        <v>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115</v>
      </c>
      <c r="G51" s="224">
        <f>G49-H29</f>
        <v>0</v>
      </c>
      <c r="H51" s="225"/>
      <c r="I51" s="225"/>
      <c r="J51" s="22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2" t="s">
        <v>7</v>
      </c>
      <c r="B4" s="103"/>
      <c r="C4" s="103"/>
      <c r="D4" s="104"/>
      <c r="F4" s="105" t="s">
        <v>8</v>
      </c>
      <c r="G4" s="107"/>
      <c r="H4" s="109" t="s">
        <v>9</v>
      </c>
      <c r="I4" s="111"/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6"/>
      <c r="B6" s="16"/>
      <c r="C6" s="10"/>
      <c r="D6" s="13">
        <f t="shared" ref="D6:D28" si="1">C6*L6</f>
        <v>0</v>
      </c>
      <c r="F6" s="118" t="s">
        <v>16</v>
      </c>
      <c r="G6" s="120"/>
      <c r="H6" s="121"/>
      <c r="I6" s="121"/>
      <c r="J6" s="1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6"/>
      <c r="B7" s="16"/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6"/>
      <c r="B8" s="16"/>
      <c r="C8" s="10"/>
      <c r="D8" s="13">
        <f t="shared" si="1"/>
        <v>0</v>
      </c>
      <c r="F8" s="126" t="s">
        <v>21</v>
      </c>
      <c r="G8" s="128"/>
      <c r="H8" s="129"/>
      <c r="I8" s="129"/>
      <c r="J8" s="13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6"/>
      <c r="B9" s="16"/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6"/>
      <c r="C10" s="10"/>
      <c r="D10" s="13">
        <f t="shared" si="1"/>
        <v>0</v>
      </c>
      <c r="F10" s="118" t="s">
        <v>26</v>
      </c>
      <c r="G10" s="134"/>
      <c r="H10" s="135"/>
      <c r="I10" s="135"/>
      <c r="J10" s="136"/>
      <c r="K10" s="8"/>
      <c r="L10" s="6">
        <f>R36</f>
        <v>972</v>
      </c>
      <c r="P10" s="4"/>
      <c r="Q10" s="4"/>
      <c r="R10" s="5"/>
    </row>
    <row r="11" spans="1:19" ht="15.75" x14ac:dyDescent="0.25">
      <c r="A11" s="116"/>
      <c r="B11" s="17"/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6"/>
      <c r="B12" s="17"/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6"/>
      <c r="B13" s="17"/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6"/>
      <c r="B14" s="14"/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6"/>
      <c r="B15" s="14"/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19"/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14"/>
      <c r="C19" s="10"/>
      <c r="D19" s="48">
        <f t="shared" si="1"/>
        <v>0</v>
      </c>
      <c r="F19" s="56"/>
      <c r="G19" s="68" t="s">
        <v>49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6"/>
      <c r="B20" s="46"/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6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/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/>
      <c r="C24" s="10"/>
      <c r="D24" s="48">
        <f t="shared" si="1"/>
        <v>0</v>
      </c>
      <c r="F24" s="38"/>
      <c r="G24" s="37"/>
      <c r="H24" s="178"/>
      <c r="I24" s="179"/>
      <c r="J24" s="17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6"/>
      <c r="B27" s="14"/>
      <c r="C27" s="10"/>
      <c r="D27" s="44">
        <f t="shared" si="1"/>
        <v>0</v>
      </c>
      <c r="F27" s="25"/>
      <c r="G27" s="80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/>
      <c r="C28" s="10"/>
      <c r="D28" s="48">
        <f t="shared" si="1"/>
        <v>0</v>
      </c>
      <c r="F28" s="92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5"/>
      <c r="I34" s="196"/>
      <c r="J34" s="19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/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/>
      <c r="I36" s="196"/>
      <c r="J36" s="19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/>
      <c r="I37" s="196"/>
      <c r="J37" s="19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/>
      <c r="I38" s="196"/>
      <c r="J38" s="19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/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P43" s="4"/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P50" s="4"/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106</v>
      </c>
      <c r="G51" s="224">
        <f>G49-H29</f>
        <v>0</v>
      </c>
      <c r="H51" s="225"/>
      <c r="I51" s="225"/>
      <c r="J51" s="22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1</v>
      </c>
      <c r="H4" s="109" t="s">
        <v>9</v>
      </c>
      <c r="I4" s="111">
        <v>46118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99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120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124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27"/>
      <c r="I19" s="127"/>
      <c r="J19" s="12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77"/>
      <c r="G23" s="79"/>
      <c r="H23" s="230"/>
      <c r="I23" s="231"/>
      <c r="J23" s="23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77"/>
      <c r="G24" s="79"/>
      <c r="H24" s="230"/>
      <c r="I24" s="231"/>
      <c r="J24" s="23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75"/>
      <c r="G26" s="65"/>
      <c r="H26" s="179"/>
      <c r="I26" s="179"/>
      <c r="J26" s="17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71"/>
      <c r="G27" s="95"/>
      <c r="H27" s="232"/>
      <c r="I27" s="233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H15-H16-H17-H18-H19-H20-H22-H23-H24+H26+H27+H28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5">
        <f t="shared" ref="H34:H39" si="2">F34*G34</f>
        <v>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>
        <f t="shared" si="2"/>
        <v>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>
        <f t="shared" si="2"/>
        <v>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83"/>
      <c r="H44" s="179"/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109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2</v>
      </c>
      <c r="H4" s="109" t="s">
        <v>9</v>
      </c>
      <c r="I4" s="111">
        <v>46118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107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100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101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0"/>
      <c r="I19" s="240"/>
      <c r="J19" s="24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27"/>
      <c r="I20" s="127"/>
      <c r="J20" s="12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25"/>
      <c r="G23" s="37"/>
      <c r="H23" s="178"/>
      <c r="I23" s="179"/>
      <c r="J23" s="1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64"/>
      <c r="G26" s="10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14"/>
      <c r="G27" s="14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>
        <f t="shared" ref="H35:H39" si="2">F35*G35</f>
        <v>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>
        <f>F36*G36</f>
        <v>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94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112</v>
      </c>
      <c r="G51" s="224">
        <f>G49-H29</f>
        <v>0</v>
      </c>
      <c r="H51" s="225"/>
      <c r="I51" s="225"/>
      <c r="J51" s="22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B26" sqref="B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1" t="s">
        <v>1</v>
      </c>
      <c r="O1" s="10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2" t="s">
        <v>7</v>
      </c>
      <c r="B4" s="103"/>
      <c r="C4" s="103"/>
      <c r="D4" s="104"/>
      <c r="F4" s="105" t="s">
        <v>8</v>
      </c>
      <c r="G4" s="107">
        <v>3</v>
      </c>
      <c r="H4" s="109" t="s">
        <v>9</v>
      </c>
      <c r="I4" s="111">
        <v>46118</v>
      </c>
      <c r="J4" s="1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5" t="s">
        <v>7</v>
      </c>
      <c r="B5" s="15" t="s">
        <v>11</v>
      </c>
      <c r="C5" s="9" t="s">
        <v>12</v>
      </c>
      <c r="D5" s="25" t="s">
        <v>13</v>
      </c>
      <c r="F5" s="106"/>
      <c r="G5" s="108"/>
      <c r="H5" s="110"/>
      <c r="I5" s="113"/>
      <c r="J5" s="1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6"/>
      <c r="B6" s="16" t="s">
        <v>15</v>
      </c>
      <c r="C6" s="10"/>
      <c r="D6" s="13">
        <f t="shared" ref="D6:D28" si="1">C6*L6</f>
        <v>0</v>
      </c>
      <c r="F6" s="118" t="s">
        <v>16</v>
      </c>
      <c r="G6" s="120" t="s">
        <v>117</v>
      </c>
      <c r="H6" s="121"/>
      <c r="I6" s="121"/>
      <c r="J6" s="1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6"/>
      <c r="B7" s="16" t="s">
        <v>18</v>
      </c>
      <c r="C7" s="10"/>
      <c r="D7" s="13">
        <f t="shared" si="1"/>
        <v>0</v>
      </c>
      <c r="F7" s="119"/>
      <c r="G7" s="123"/>
      <c r="H7" s="124"/>
      <c r="I7" s="124"/>
      <c r="J7" s="1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6"/>
      <c r="B8" s="16" t="s">
        <v>20</v>
      </c>
      <c r="C8" s="10"/>
      <c r="D8" s="13">
        <f t="shared" si="1"/>
        <v>0</v>
      </c>
      <c r="F8" s="126" t="s">
        <v>21</v>
      </c>
      <c r="G8" s="128" t="s">
        <v>110</v>
      </c>
      <c r="H8" s="129"/>
      <c r="I8" s="129"/>
      <c r="J8" s="13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6"/>
      <c r="B9" s="16" t="s">
        <v>23</v>
      </c>
      <c r="C9" s="10"/>
      <c r="D9" s="13">
        <f t="shared" si="1"/>
        <v>0</v>
      </c>
      <c r="F9" s="119"/>
      <c r="G9" s="131"/>
      <c r="H9" s="132"/>
      <c r="I9" s="132"/>
      <c r="J9" s="13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6"/>
      <c r="B10" t="s">
        <v>25</v>
      </c>
      <c r="C10" s="10"/>
      <c r="D10" s="13">
        <f t="shared" si="1"/>
        <v>0</v>
      </c>
      <c r="F10" s="118" t="s">
        <v>26</v>
      </c>
      <c r="G10" s="134" t="s">
        <v>108</v>
      </c>
      <c r="H10" s="135"/>
      <c r="I10" s="135"/>
      <c r="J10" s="136"/>
      <c r="K10" s="8"/>
      <c r="L10" s="6">
        <f>R36</f>
        <v>1032</v>
      </c>
      <c r="P10" s="4"/>
      <c r="Q10" s="4"/>
      <c r="R10" s="5"/>
    </row>
    <row r="11" spans="1:18" ht="15.75" x14ac:dyDescent="0.25">
      <c r="A11" s="116"/>
      <c r="B11" s="17" t="s">
        <v>28</v>
      </c>
      <c r="C11" s="10"/>
      <c r="D11" s="13">
        <f t="shared" si="1"/>
        <v>0</v>
      </c>
      <c r="F11" s="119"/>
      <c r="G11" s="131"/>
      <c r="H11" s="132"/>
      <c r="I11" s="132"/>
      <c r="J11" s="13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6"/>
      <c r="B12" s="17" t="s">
        <v>30</v>
      </c>
      <c r="C12" s="10"/>
      <c r="D12" s="48">
        <f t="shared" si="1"/>
        <v>0</v>
      </c>
      <c r="F12" s="137" t="s">
        <v>33</v>
      </c>
      <c r="G12" s="138"/>
      <c r="H12" s="138"/>
      <c r="I12" s="138"/>
      <c r="J12" s="13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6"/>
      <c r="B13" s="17" t="s">
        <v>32</v>
      </c>
      <c r="C13" s="10"/>
      <c r="D13" s="48">
        <f t="shared" si="1"/>
        <v>0</v>
      </c>
      <c r="F13" s="140" t="s">
        <v>36</v>
      </c>
      <c r="G13" s="141"/>
      <c r="H13" s="142">
        <f>D29</f>
        <v>0</v>
      </c>
      <c r="I13" s="143"/>
      <c r="J13" s="14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6"/>
      <c r="B14" s="14" t="s">
        <v>35</v>
      </c>
      <c r="C14" s="10"/>
      <c r="D14" s="31">
        <f t="shared" si="1"/>
        <v>0</v>
      </c>
      <c r="F14" s="145" t="s">
        <v>38</v>
      </c>
      <c r="G14" s="146"/>
      <c r="H14" s="147">
        <f>D54</f>
        <v>0</v>
      </c>
      <c r="I14" s="148"/>
      <c r="J14" s="14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6"/>
      <c r="B15" s="14" t="s">
        <v>122</v>
      </c>
      <c r="C15" s="10"/>
      <c r="D15" s="31">
        <f t="shared" si="1"/>
        <v>0</v>
      </c>
      <c r="F15" s="150" t="s">
        <v>39</v>
      </c>
      <c r="G15" s="141"/>
      <c r="H15" s="151">
        <f>H13-H14</f>
        <v>0</v>
      </c>
      <c r="I15" s="152"/>
      <c r="J15" s="15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4"/>
      <c r="I16" s="154"/>
      <c r="J16" s="15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27"/>
      <c r="I17" s="127"/>
      <c r="J17" s="12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27"/>
      <c r="I18" s="127"/>
      <c r="J18" s="12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1"/>
      <c r="I19" s="241"/>
      <c r="J19" s="24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4"/>
      <c r="I20" s="154"/>
      <c r="J20" s="15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4" t="s">
        <v>13</v>
      </c>
      <c r="I21" s="175"/>
      <c r="J21" s="17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6"/>
      <c r="B22" s="46" t="s">
        <v>103</v>
      </c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6"/>
      <c r="B23" s="14" t="s">
        <v>121</v>
      </c>
      <c r="C23" s="10"/>
      <c r="D23" s="48">
        <f t="shared" si="1"/>
        <v>0</v>
      </c>
      <c r="F23" s="78"/>
      <c r="G23" s="79"/>
      <c r="H23" s="178"/>
      <c r="I23" s="179"/>
      <c r="J23" s="1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6"/>
      <c r="B24" s="14" t="s">
        <v>128</v>
      </c>
      <c r="C24" s="10"/>
      <c r="D24" s="48">
        <f t="shared" si="1"/>
        <v>0</v>
      </c>
      <c r="F24" s="38"/>
      <c r="G24" s="37"/>
      <c r="H24" s="178"/>
      <c r="I24" s="179"/>
      <c r="J24" s="1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6"/>
      <c r="B26" s="14" t="s">
        <v>129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6"/>
      <c r="B27" s="14" t="s">
        <v>130</v>
      </c>
      <c r="C27" s="10"/>
      <c r="D27" s="44">
        <f t="shared" si="1"/>
        <v>0</v>
      </c>
      <c r="F27" s="25"/>
      <c r="G27" s="80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7"/>
      <c r="B28" s="46" t="s">
        <v>92</v>
      </c>
      <c r="C28" s="10"/>
      <c r="D28" s="48">
        <f t="shared" si="1"/>
        <v>0</v>
      </c>
      <c r="F28" s="92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5" t="s">
        <v>36</v>
      </c>
      <c r="B29" s="156"/>
      <c r="C29" s="157"/>
      <c r="D29" s="161">
        <f>SUM(D6:D28)</f>
        <v>0</v>
      </c>
      <c r="F29" s="163" t="s">
        <v>54</v>
      </c>
      <c r="G29" s="164"/>
      <c r="H29" s="167">
        <f>H15-H16-H17-H18-H19-H20-H22-H23-H24+H26+H27</f>
        <v>0</v>
      </c>
      <c r="I29" s="168"/>
      <c r="J29" s="16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8"/>
      <c r="B30" s="159"/>
      <c r="C30" s="160"/>
      <c r="D30" s="162"/>
      <c r="F30" s="165"/>
      <c r="G30" s="166"/>
      <c r="H30" s="170"/>
      <c r="I30" s="171"/>
      <c r="J30" s="17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2" t="s">
        <v>57</v>
      </c>
      <c r="B32" s="103"/>
      <c r="C32" s="103"/>
      <c r="D32" s="104"/>
      <c r="F32" s="192" t="s">
        <v>58</v>
      </c>
      <c r="G32" s="193"/>
      <c r="H32" s="193"/>
      <c r="I32" s="193"/>
      <c r="J32" s="19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2" t="s">
        <v>13</v>
      </c>
      <c r="I33" s="193"/>
      <c r="J33" s="19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5">
        <f>F34*G34</f>
        <v>0</v>
      </c>
      <c r="I34" s="196"/>
      <c r="J34" s="19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6"/>
      <c r="B35" s="27" t="s">
        <v>67</v>
      </c>
      <c r="C35" s="52"/>
      <c r="D35" s="30">
        <f>C35*84</f>
        <v>0</v>
      </c>
      <c r="F35" s="58">
        <v>500</v>
      </c>
      <c r="G35" s="41"/>
      <c r="H35" s="195">
        <f>F35*G35</f>
        <v>0</v>
      </c>
      <c r="I35" s="196"/>
      <c r="J35" s="19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7"/>
      <c r="B36" s="26" t="s">
        <v>69</v>
      </c>
      <c r="C36" s="10"/>
      <c r="D36" s="12">
        <f>C36*1.5</f>
        <v>0</v>
      </c>
      <c r="F36" s="12">
        <v>200</v>
      </c>
      <c r="G36" s="37"/>
      <c r="H36" s="195">
        <f t="shared" ref="H36:H39" si="2">F36*G36</f>
        <v>0</v>
      </c>
      <c r="I36" s="196"/>
      <c r="J36" s="19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5">
        <f t="shared" si="2"/>
        <v>0</v>
      </c>
      <c r="I37" s="196"/>
      <c r="J37" s="19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6"/>
      <c r="B38" s="29" t="s">
        <v>67</v>
      </c>
      <c r="C38" s="54"/>
      <c r="D38" s="12">
        <f>C38*84</f>
        <v>0</v>
      </c>
      <c r="F38" s="30">
        <v>50</v>
      </c>
      <c r="G38" s="39"/>
      <c r="H38" s="195">
        <f t="shared" si="2"/>
        <v>0</v>
      </c>
      <c r="I38" s="196"/>
      <c r="J38" s="19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7"/>
      <c r="B39" s="29" t="s">
        <v>69</v>
      </c>
      <c r="C39" s="52"/>
      <c r="D39" s="31">
        <f>C39*4.5</f>
        <v>0</v>
      </c>
      <c r="F39" s="12">
        <v>20</v>
      </c>
      <c r="G39" s="37"/>
      <c r="H39" s="195">
        <f t="shared" si="2"/>
        <v>0</v>
      </c>
      <c r="I39" s="196"/>
      <c r="J39" s="19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5"/>
      <c r="I40" s="196"/>
      <c r="J40" s="19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6"/>
      <c r="B41" s="27" t="s">
        <v>67</v>
      </c>
      <c r="C41" s="10"/>
      <c r="D41" s="12">
        <f>C41*84</f>
        <v>0</v>
      </c>
      <c r="F41" s="12">
        <v>5</v>
      </c>
      <c r="G41" s="42"/>
      <c r="H41" s="195"/>
      <c r="I41" s="196"/>
      <c r="J41" s="19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7"/>
      <c r="B42" s="27" t="s">
        <v>69</v>
      </c>
      <c r="C42" s="11"/>
      <c r="D42" s="12">
        <f>C42*2.25</f>
        <v>0</v>
      </c>
      <c r="F42" s="39" t="s">
        <v>78</v>
      </c>
      <c r="G42" s="195"/>
      <c r="H42" s="196"/>
      <c r="I42" s="196"/>
      <c r="J42" s="19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8" t="s">
        <v>80</v>
      </c>
      <c r="C43" s="11"/>
      <c r="D43" s="12"/>
      <c r="F43" s="59" t="s">
        <v>81</v>
      </c>
      <c r="G43" s="95" t="s">
        <v>82</v>
      </c>
      <c r="H43" s="201" t="s">
        <v>13</v>
      </c>
      <c r="I43" s="202"/>
      <c r="J43" s="20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9"/>
      <c r="B44" s="27" t="s">
        <v>65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9"/>
      <c r="B45" s="27" t="s">
        <v>67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99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00"/>
      <c r="B47" s="27"/>
      <c r="C47" s="11"/>
      <c r="D47" s="12"/>
      <c r="F47" s="59"/>
      <c r="G47" s="59"/>
      <c r="H47" s="205"/>
      <c r="I47" s="206"/>
      <c r="J47" s="207"/>
      <c r="K47" s="21"/>
      <c r="P47" s="4"/>
      <c r="Q47" s="4"/>
      <c r="R47" s="5"/>
    </row>
    <row r="48" spans="1:18" ht="15" customHeight="1" x14ac:dyDescent="0.25">
      <c r="A48" s="198" t="s">
        <v>32</v>
      </c>
      <c r="B48" s="27" t="s">
        <v>65</v>
      </c>
      <c r="C48" s="10"/>
      <c r="D48" s="12">
        <f>C48*78</f>
        <v>0</v>
      </c>
      <c r="F48" s="59"/>
      <c r="G48" s="59"/>
      <c r="H48" s="205"/>
      <c r="I48" s="206"/>
      <c r="J48" s="20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9"/>
      <c r="B49" s="29" t="s">
        <v>67</v>
      </c>
      <c r="C49" s="33"/>
      <c r="D49" s="12">
        <f>C49*42</f>
        <v>0</v>
      </c>
      <c r="F49" s="220" t="s">
        <v>85</v>
      </c>
      <c r="G49" s="167">
        <f>H34+H35+H36+H37+H38+H39+H40+H41+G42+H44+H45+H46</f>
        <v>0</v>
      </c>
      <c r="H49" s="168"/>
      <c r="I49" s="168"/>
      <c r="J49" s="16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9"/>
      <c r="B50" s="32" t="s">
        <v>69</v>
      </c>
      <c r="C50" s="11"/>
      <c r="D50" s="12">
        <f>C50*1.5</f>
        <v>0</v>
      </c>
      <c r="F50" s="221"/>
      <c r="G50" s="170"/>
      <c r="H50" s="171"/>
      <c r="I50" s="171"/>
      <c r="J50" s="172"/>
      <c r="O50" t="s">
        <v>114</v>
      </c>
      <c r="P50" s="4">
        <v>1204</v>
      </c>
      <c r="Q50" s="4"/>
      <c r="R50" s="5"/>
    </row>
    <row r="51" spans="1:18" ht="15" customHeight="1" x14ac:dyDescent="0.25">
      <c r="A51" s="199"/>
      <c r="B51" s="27"/>
      <c r="C51" s="10"/>
      <c r="D51" s="31"/>
      <c r="F51" s="222" t="s">
        <v>115</v>
      </c>
      <c r="G51" s="224">
        <f>G49-H29</f>
        <v>0</v>
      </c>
      <c r="H51" s="225"/>
      <c r="I51" s="225"/>
      <c r="J51" s="22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9"/>
      <c r="B52" s="29"/>
      <c r="C52" s="33"/>
      <c r="D52" s="45"/>
      <c r="F52" s="223"/>
      <c r="G52" s="227"/>
      <c r="H52" s="228"/>
      <c r="I52" s="228"/>
      <c r="J52" s="22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3" t="s">
        <v>89</v>
      </c>
      <c r="B54" s="208"/>
      <c r="C54" s="209"/>
      <c r="D54" s="2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5"/>
      <c r="B55" s="210"/>
      <c r="C55" s="211"/>
      <c r="D55" s="2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4" t="s">
        <v>90</v>
      </c>
      <c r="B58" s="215"/>
      <c r="C58" s="215"/>
      <c r="D58" s="216"/>
      <c r="F58" s="214" t="s">
        <v>91</v>
      </c>
      <c r="G58" s="215"/>
      <c r="H58" s="215"/>
      <c r="I58" s="215"/>
      <c r="J58" s="216"/>
    </row>
    <row r="59" spans="1:18" x14ac:dyDescent="0.25">
      <c r="A59" s="217"/>
      <c r="B59" s="218"/>
      <c r="C59" s="218"/>
      <c r="D59" s="219"/>
      <c r="F59" s="217"/>
      <c r="G59" s="218"/>
      <c r="H59" s="218"/>
      <c r="I59" s="218"/>
      <c r="J59" s="2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</vt:lpstr>
      <vt:lpstr>01,3 R1</vt:lpstr>
      <vt:lpstr>01,3 R2</vt:lpstr>
      <vt:lpstr>01,3 R3</vt:lpstr>
      <vt:lpstr>(4)</vt:lpstr>
      <vt:lpstr>01,04 R1</vt:lpstr>
      <vt:lpstr>01,04 R2</vt:lpstr>
      <vt:lpstr>01,04 R3</vt:lpstr>
      <vt:lpstr>(6)</vt:lpstr>
      <vt:lpstr>01,06 R1</vt:lpstr>
      <vt:lpstr>01,06 R2</vt:lpstr>
      <vt:lpstr>01,06 R3</vt:lpstr>
      <vt:lpstr>'(01)'!Print_Area</vt:lpstr>
      <vt:lpstr>'(2)'!Print_Area</vt:lpstr>
      <vt:lpstr>'(3)'!Print_Area</vt:lpstr>
      <vt:lpstr>'(4)'!Print_Area</vt:lpstr>
      <vt:lpstr>'(6)'!Print_Area</vt:lpstr>
      <vt:lpstr>'01,04 R1'!Print_Area</vt:lpstr>
      <vt:lpstr>'01,04 R2'!Print_Area</vt:lpstr>
      <vt:lpstr>'01,04 R3'!Print_Area</vt:lpstr>
      <vt:lpstr>'01,06 R1'!Print_Area</vt:lpstr>
      <vt:lpstr>'01,06 R2'!Print_Area</vt:lpstr>
      <vt:lpstr>'01,06 R3'!Print_Area</vt:lpstr>
      <vt:lpstr>'01,2 R1'!Print_Area</vt:lpstr>
      <vt:lpstr>'01,2 R2'!Print_Area</vt:lpstr>
      <vt:lpstr>'01,2 R3'!Print_Area</vt:lpstr>
      <vt:lpstr>'01,3 R1'!Print_Area</vt:lpstr>
      <vt:lpstr>'01,3 R2'!Print_Area</vt:lpstr>
      <vt:lpstr>'01,3 R3'!Print_Area</vt:lpstr>
      <vt:lpstr>'01,4 R1'!Print_Area</vt:lpstr>
      <vt:lpstr>'01,4 R2'!Print_Area</vt:lpstr>
      <vt:lpstr>'01,4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2026-04-05T00:58:17Z</cp:lastPrinted>
  <dcterms:created xsi:type="dcterms:W3CDTF">2024-09-01T23:36:50Z</dcterms:created>
  <dcterms:modified xsi:type="dcterms:W3CDTF">2026-04-05T00:59:02Z</dcterms:modified>
</cp:coreProperties>
</file>